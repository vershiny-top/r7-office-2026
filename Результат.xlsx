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persons/person.xml" ContentType="application/vnd.ms-excel.perso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readedComments/threadedComment3.xml" ContentType="application/vnd.ms-excel.threadedcomments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threadedComments/threadedComment4.xml" ContentType="application/vnd.ms-excel.threadedcomments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workbook.xml" ContentType="application/vnd.openxmlformats-officedocument.spreadsheetml.sheet.main+xml"/>
  <Override PartName="/xl/charts/colors2.xml" ContentType="application/vnd.ms-office.chartcolorstyle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charts/style1.xml" ContentType="application/vnd.ms-office.chartstyle+xml"/>
  <Override PartName="/xl/charts/colors1.xml" ContentType="application/vnd.ms-office.chartcolorstyle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style2.xml" ContentType="application/vnd.ms-office.chartstyle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Инструкция" sheetId="1" state="visible" r:id="rId3"/>
    <sheet name="Товары_исходные" sheetId="2" state="visible" r:id="rId4"/>
    <sheet name="Товары_очищенные" sheetId="3" state="visible" r:id="rId5"/>
    <sheet name="Поставщики_исходные" sheetId="4" state="visible" r:id="rId6"/>
    <sheet name="Поставщики_очищенные" sheetId="5" state="visible" r:id="rId7"/>
    <sheet name="Продажи_исходные" sheetId="6" state="visible" r:id="rId8"/>
    <sheet name="Продажи_очищенные" sheetId="7" state="visible" r:id="rId9"/>
    <sheet name="Клиенты_исходные" sheetId="8" state="visible" r:id="rId10"/>
    <sheet name="Клиенты_очищенные" sheetId="9" state="visible" r:id="rId11"/>
    <sheet name="Справочники" sheetId="10" state="visible" r:id="rId12"/>
    <sheet name="Итоговый_отчет" sheetId="11" state="visible" r:id="rId13"/>
  </sheets>
  <calcPr calcMode="auto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tc={006600DA-0007-4050-8C40-00A8007C00C8}</author>
    <author>tc={00F000EC-0050-4648-A94B-003E007A00E3}</author>
    <author>tc={00A80085-001D-474B-B324-00660039008A}</author>
    <author>tc={00EC005B-005C-428A-B390-00B3005D005B}</author>
  </authors>
  <commentList>
    <comment ref="A1" authorId="0" xr:uid="{006600DA-0007-4050-8C40-00A8007C00C8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АРТ-XXX: SUBSTITUTE+LEFT
</t>
        </r>
      </text>
    </comment>
    <comment ref="B1" authorId="1" xr:uid="{00F000EC-0050-4648-A94B-003E007A00E3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PROPER+TRIM, скобки через IFERROR(LEFT,FIND)
</t>
        </r>
      </text>
    </comment>
    <comment ref="C1" authorId="2" xr:uid="{00A80085-001D-474B-B324-00660039008A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VLOOKUP в Справочники!A:B
</t>
        </r>
      </text>
    </comment>
    <comment ref="E1" authorId="3" xr:uid="{00EC005B-005C-428A-B390-00B3005D005B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Обрабатывает '1 200,50' и '1,200.50'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tc={00B10048-00EF-4938-83A9-009E003E00BA}</author>
    <author>tc={00FD00C9-002D-450E-945A-00020067004C}</author>
    <author>tc={006B007F-0060-4ECA-86E6-009E001A007C}</author>
  </authors>
  <commentList>
    <comment ref="C1" authorId="0" xr:uid="{00B10048-00EF-4938-83A9-009E003E00BA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SUMPRODUCT+MID+ROW+INDIRECT: только цифры
</t>
        </r>
      </text>
    </comment>
    <comment ref="E1" authorId="1" xr:uid="{00FD00C9-002D-450E-945A-00020067004C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+7 (XXX) XXX-XX-XX
</t>
        </r>
      </text>
    </comment>
    <comment ref="H1" authorId="2" xr:uid="{006B007F-0060-4ECA-86E6-009E001A007C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Первые 6 цифр адреса — индекс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tc={00AB00B2-0046-44AB-9561-009700CB00F9}</author>
    <author>tc={000000C9-0090-40F7-8B34-00F300A00036}</author>
    <author>tc={00C000D3-0066-4075-8D9D-001F00F700E9}</author>
  </authors>
  <commentList>
    <comment ref="A1" authorId="0" xr:uid="{00AB00B2-0046-44AB-9561-009700CB00F9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Дата MM/DD/YYYY -&gt; DD.MM.YYYY через DATE()
</t>
        </r>
      </text>
    </comment>
    <comment ref="D1" authorId="1" xr:uid="{000000C9-0090-40F7-8B34-00F300A00036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$=95₽, €=100₽, ₽=as-is
</t>
        </r>
      </text>
    </comment>
    <comment ref="G1" authorId="2" xr:uid="{00C000D3-0066-4075-8D9D-001F00F700E9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VLOOKUP в Справочники!G:H (статусы)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tc={00D70002-00E1-48F4-B42D-006A00E0008C}</author>
    <author>tc={0044002A-008F-4FC2-B149-0087009E00DF}</author>
    <author>tc={009A0046-00F3-4036-8AA9-000F002B0064}</author>
  </authors>
  <commentList>
    <comment ref="B1" authorId="0" xr:uid="{00D70002-00E1-48F4-B42D-006A00E0008C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PROPER+TRIM: единый регистр
</t>
        </r>
      </text>
    </comment>
    <comment ref="C1" authorId="1" xr:uid="{0044002A-008F-4FC2-B149-0087009E00DF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Даты в двух форматах: DD.MM.YYYY и YYYY-MM-DD
</t>
        </r>
      </text>
    </comment>
    <comment ref="H1" authorId="2" xr:uid="{009A0046-00F3-4036-8AA9-000F002B0064}">
      <text>
        <r>
          <rPr>
            <b/>
            <sz val="9"/>
            <rFont val="Tahoma"/>
          </rPr>
          <t>build_result:</t>
        </r>
        <r>
          <rPr>
            <sz val="9"/>
            <rFont val="Tahoma"/>
          </rPr>
          <t xml:space="preserve">
DATEDIF(...,TODAY(),"Y")
</t>
        </r>
      </text>
    </comment>
  </commentList>
</comments>
</file>

<file path=xl/sharedStrings.xml><?xml version="1.0" encoding="utf-8"?>
<sst xmlns="http://schemas.openxmlformats.org/spreadsheetml/2006/main" count="7954" uniqueCount="7954">
  <si>
    <t xml:space="preserve">ОТЧЁТ ПО КАЧЕСТВУ ДАННЫХ
─────────────────────────
ЧТО ЭТО
Результат очистки 4 исходных таблиц:
Товары, Поставщики, Продажи, Клиенты.
СТРУКТУРА
• *_исходные   — сырые данные
• *_очищенные  — после нормализации
• Справочники  — категории, единицы, статусы
• Итоговый_отчет — сводка и графики
ГЛАВНЫЕ НАХОДКИ
• 130 клиентов с некорректным email
• 16 поставщиков с неправильным ИНН
• 3 товара с розницей ниже закупки
КАК ОБНОВИТЬ
Данные тянутся формулами из *_исходные.
Итоговый_отчет пересчитывается автоматически. Остались вопросы? Пишите: https://t.me/niyaz_gimadiev</t>
  </si>
  <si>
    <t>Артикул</t>
  </si>
  <si>
    <t>Наименование</t>
  </si>
  <si>
    <t>Категория</t>
  </si>
  <si>
    <t>Производитель</t>
  </si>
  <si>
    <t>Цена_закупки</t>
  </si>
  <si>
    <t>Цена_розница</t>
  </si>
  <si>
    <t>Единица_измерения</t>
  </si>
  <si>
    <t>№АРТ-001/24</t>
  </si>
  <si>
    <t xml:space="preserve">Смартфон Apple iPhone 15</t>
  </si>
  <si>
    <t>Смартфоны</t>
  </si>
  <si>
    <t>Apple</t>
  </si>
  <si>
    <t xml:space="preserve">45 000,50</t>
  </si>
  <si>
    <t xml:space="preserve">79 990,00</t>
  </si>
  <si>
    <t>шт</t>
  </si>
  <si>
    <t>АРТ_002</t>
  </si>
  <si>
    <t xml:space="preserve">смартфон APPLE IPHONE 15</t>
  </si>
  <si>
    <t>Телефоны</t>
  </si>
  <si>
    <t xml:space="preserve">44 500,00</t>
  </si>
  <si>
    <t xml:space="preserve">78 500,00</t>
  </si>
  <si>
    <t>штука</t>
  </si>
  <si>
    <t>003/24</t>
  </si>
  <si>
    <t xml:space="preserve">Смартфон Apple iPhone 15 (Черный)</t>
  </si>
  <si>
    <t xml:space="preserve">Мобильные телефоны</t>
  </si>
  <si>
    <t>APPLE</t>
  </si>
  <si>
    <t xml:space="preserve">43 800,00</t>
  </si>
  <si>
    <t xml:space="preserve">77 700</t>
  </si>
  <si>
    <t>штуки</t>
  </si>
  <si>
    <t>№АРТ-004</t>
  </si>
  <si>
    <t xml:space="preserve">Ноутбук ASUS ROG Zephyrus</t>
  </si>
  <si>
    <t>Ноутбуки</t>
  </si>
  <si>
    <t>ASUS</t>
  </si>
  <si>
    <t xml:space="preserve">85 000</t>
  </si>
  <si>
    <t xml:space="preserve">129 999.99</t>
  </si>
  <si>
    <t>шт.</t>
  </si>
  <si>
    <t>АРТ_005</t>
  </si>
  <si>
    <t xml:space="preserve">ноутбук ASUS ROG Zephyrus</t>
  </si>
  <si>
    <t>Лэптопы</t>
  </si>
  <si>
    <t>asus</t>
  </si>
  <si>
    <t xml:space="preserve">84 500,50</t>
  </si>
  <si>
    <t xml:space="preserve">128 500,00</t>
  </si>
  <si>
    <t>006-24</t>
  </si>
  <si>
    <t xml:space="preserve">Ноутбук ASUS ROG Zephyrus (G14)</t>
  </si>
  <si>
    <t xml:space="preserve">86 000</t>
  </si>
  <si>
    <t xml:space="preserve">131 000</t>
  </si>
  <si>
    <t>№АРТ-007</t>
  </si>
  <si>
    <t xml:space="preserve">Смартфон Samsung Galaxy S24</t>
  </si>
  <si>
    <t>Samsung</t>
  </si>
  <si>
    <t xml:space="preserve">39 999,99</t>
  </si>
  <si>
    <t xml:space="preserve">69 999,00</t>
  </si>
  <si>
    <t>АРТ_008</t>
  </si>
  <si>
    <t xml:space="preserve">смартфон SAMSUNG GALAXY S24</t>
  </si>
  <si>
    <t>SAMSUNG</t>
  </si>
  <si>
    <t xml:space="preserve">39 500</t>
  </si>
  <si>
    <t xml:space="preserve">68 900</t>
  </si>
  <si>
    <t>009/24</t>
  </si>
  <si>
    <t xml:space="preserve">Смартфон Samsung Galaxy S24 (Синий)</t>
  </si>
  <si>
    <t xml:space="preserve">40 200</t>
  </si>
  <si>
    <t xml:space="preserve">70 500</t>
  </si>
  <si>
    <t>№АРТ-010</t>
  </si>
  <si>
    <t xml:space="preserve">Планшет iPad Pro 12.9</t>
  </si>
  <si>
    <t>Планшеты</t>
  </si>
  <si>
    <t xml:space="preserve">55 000</t>
  </si>
  <si>
    <t xml:space="preserve">89 900</t>
  </si>
  <si>
    <t>АРТ_011</t>
  </si>
  <si>
    <t xml:space="preserve">планшет APPLE IPAD PRO 12.9</t>
  </si>
  <si>
    <t>apple</t>
  </si>
  <si>
    <t xml:space="preserve">54 500</t>
  </si>
  <si>
    <t xml:space="preserve">88 500</t>
  </si>
  <si>
    <t>012-24</t>
  </si>
  <si>
    <t xml:space="preserve">Планшет Apple iPad Pro 12.9 (Wi-Fi)</t>
  </si>
  <si>
    <t xml:space="preserve">56 000</t>
  </si>
  <si>
    <t xml:space="preserve">91 000</t>
  </si>
  <si>
    <t>№АРТ-013</t>
  </si>
  <si>
    <t xml:space="preserve">Телевизор LG OLED65C3</t>
  </si>
  <si>
    <t>Телевизоры</t>
  </si>
  <si>
    <t>LG</t>
  </si>
  <si>
    <t xml:space="preserve">95 000</t>
  </si>
  <si>
    <t xml:space="preserve">149 999</t>
  </si>
  <si>
    <t>АРТ_014</t>
  </si>
  <si>
    <t xml:space="preserve">телевизор LG OLED65C3</t>
  </si>
  <si>
    <t>lg</t>
  </si>
  <si>
    <t xml:space="preserve">93 500</t>
  </si>
  <si>
    <t xml:space="preserve">147 500</t>
  </si>
  <si>
    <t>015/24</t>
  </si>
  <si>
    <t xml:space="preserve">Телевизор LG OLED65C3 (4K)</t>
  </si>
  <si>
    <t xml:space="preserve">96 500</t>
  </si>
  <si>
    <t xml:space="preserve">151 000</t>
  </si>
  <si>
    <t>№АРТ-016</t>
  </si>
  <si>
    <t xml:space="preserve">Наушники Sony WH-1000XM5</t>
  </si>
  <si>
    <t>Наушники</t>
  </si>
  <si>
    <t>SONY</t>
  </si>
  <si>
    <t xml:space="preserve">18 000</t>
  </si>
  <si>
    <t xml:space="preserve">29 990,00</t>
  </si>
  <si>
    <t>АРТ_017</t>
  </si>
  <si>
    <t xml:space="preserve">наушники SONY WH-1000XM5</t>
  </si>
  <si>
    <t>sony</t>
  </si>
  <si>
    <t xml:space="preserve">17 500</t>
  </si>
  <si>
    <t xml:space="preserve">28 900</t>
  </si>
  <si>
    <t>018-24</t>
  </si>
  <si>
    <t xml:space="preserve">Наушники Sony WH-1000XM5 (Беспроводные)</t>
  </si>
  <si>
    <t xml:space="preserve">18 500</t>
  </si>
  <si>
    <t xml:space="preserve">30 500</t>
  </si>
  <si>
    <t>№АРТ-019</t>
  </si>
  <si>
    <t xml:space="preserve">Ноутбук Lenovo ThinkPad X1</t>
  </si>
  <si>
    <t>Lenovo</t>
  </si>
  <si>
    <t xml:space="preserve">90 000</t>
  </si>
  <si>
    <t xml:space="preserve">135 000</t>
  </si>
  <si>
    <t>АРТ_020</t>
  </si>
  <si>
    <t xml:space="preserve">ноутбук LENOVO THINKPAD X1</t>
  </si>
  <si>
    <t>lenovo</t>
  </si>
  <si>
    <t xml:space="preserve">89 000</t>
  </si>
  <si>
    <t xml:space="preserve">133 500</t>
  </si>
  <si>
    <t>021/24</t>
  </si>
  <si>
    <t xml:space="preserve">Ноутбук Lenovo ThinkPad X1 (Carbon)</t>
  </si>
  <si>
    <t>LENOVO</t>
  </si>
  <si>
    <t xml:space="preserve">91 500</t>
  </si>
  <si>
    <t xml:space="preserve">137 000</t>
  </si>
  <si>
    <t>№АРТ-022</t>
  </si>
  <si>
    <t xml:space="preserve">Смартфон Xiaomi 14 Pro</t>
  </si>
  <si>
    <t>Xiaomi</t>
  </si>
  <si>
    <t xml:space="preserve">35 000</t>
  </si>
  <si>
    <t xml:space="preserve">59 999,00</t>
  </si>
  <si>
    <t>АРТ_023</t>
  </si>
  <si>
    <t xml:space="preserve">смартфон XIAOMI 14 PRO</t>
  </si>
  <si>
    <t>xiaomi</t>
  </si>
  <si>
    <t xml:space="preserve">34 500</t>
  </si>
  <si>
    <t xml:space="preserve">58 500</t>
  </si>
  <si>
    <t>024-24</t>
  </si>
  <si>
    <t xml:space="preserve">Смартфон Xiaomi 14 Pro (Черный)</t>
  </si>
  <si>
    <t>XIAOMI</t>
  </si>
  <si>
    <t xml:space="preserve">35 800</t>
  </si>
  <si>
    <t xml:space="preserve">60 800</t>
  </si>
  <si>
    <t>№АРТ-025</t>
  </si>
  <si>
    <t xml:space="preserve">Монитор Samsung Odyssey G9</t>
  </si>
  <si>
    <t>Мониторы</t>
  </si>
  <si>
    <t xml:space="preserve">65 000</t>
  </si>
  <si>
    <t xml:space="preserve">99 900</t>
  </si>
  <si>
    <t>АРТ_026</t>
  </si>
  <si>
    <t xml:space="preserve">монитор SAMSUNG ODYSSEY G9</t>
  </si>
  <si>
    <t>samsung</t>
  </si>
  <si>
    <t xml:space="preserve">64 000</t>
  </si>
  <si>
    <t xml:space="preserve">98 000</t>
  </si>
  <si>
    <t>027/24</t>
  </si>
  <si>
    <t xml:space="preserve">Монитор Samsung Odyssey G9 (Curved)</t>
  </si>
  <si>
    <t xml:space="preserve">66 500</t>
  </si>
  <si>
    <t xml:space="preserve">101 500</t>
  </si>
  <si>
    <t>№АРТ-028</t>
  </si>
  <si>
    <t xml:space="preserve">Клавиатура Logitech MX Keys</t>
  </si>
  <si>
    <t>Аксессуары</t>
  </si>
  <si>
    <t>Logitech</t>
  </si>
  <si>
    <t xml:space="preserve">5 500</t>
  </si>
  <si>
    <t xml:space="preserve">9 990</t>
  </si>
  <si>
    <t>АРТ_029</t>
  </si>
  <si>
    <t xml:space="preserve">клавиатура LOGITECH MX KEYS</t>
  </si>
  <si>
    <t>logitech</t>
  </si>
  <si>
    <t xml:space="preserve">5 200</t>
  </si>
  <si>
    <t xml:space="preserve">9 500</t>
  </si>
  <si>
    <t>030-24</t>
  </si>
  <si>
    <t xml:space="preserve">Клавиатура Logitech MX Keys (Беспроводная)</t>
  </si>
  <si>
    <t>LOGITECH</t>
  </si>
  <si>
    <t xml:space="preserve">5 800</t>
  </si>
  <si>
    <t xml:space="preserve">10 500</t>
  </si>
  <si>
    <t>№АРТ-031</t>
  </si>
  <si>
    <t xml:space="preserve">Мышь Logitech MX Master 3S</t>
  </si>
  <si>
    <t xml:space="preserve">4 500</t>
  </si>
  <si>
    <t xml:space="preserve">8 990</t>
  </si>
  <si>
    <t>АРТ_032</t>
  </si>
  <si>
    <t xml:space="preserve">мышь LOGITECH MX MASTER 3S</t>
  </si>
  <si>
    <t xml:space="preserve">4 200</t>
  </si>
  <si>
    <t xml:space="preserve">8 500</t>
  </si>
  <si>
    <t>033/24</t>
  </si>
  <si>
    <t xml:space="preserve">Мышь Logitech MX Master 3S (Графит)</t>
  </si>
  <si>
    <t xml:space="preserve">4 800</t>
  </si>
  <si>
    <t xml:space="preserve">9 200</t>
  </si>
  <si>
    <t>№АРТ-034</t>
  </si>
  <si>
    <t xml:space="preserve">Планшет Huawei MatePad Pro</t>
  </si>
  <si>
    <t>Huawei</t>
  </si>
  <si>
    <t xml:space="preserve">40 000</t>
  </si>
  <si>
    <t xml:space="preserve">64 999</t>
  </si>
  <si>
    <t>АРТ_035</t>
  </si>
  <si>
    <t xml:space="preserve">планшет HUAWEI MATEPAD PRO</t>
  </si>
  <si>
    <t>huawei</t>
  </si>
  <si>
    <t xml:space="preserve">39 000</t>
  </si>
  <si>
    <t xml:space="preserve">63 500</t>
  </si>
  <si>
    <t>036-24</t>
  </si>
  <si>
    <t xml:space="preserve">Планшет Huawei MatePad Pro (12.6")</t>
  </si>
  <si>
    <t>HUAWEI</t>
  </si>
  <si>
    <t xml:space="preserve">41 000</t>
  </si>
  <si>
    <t>№АРТ-037</t>
  </si>
  <si>
    <t xml:space="preserve">Смарт-часы Apple Watch Ultra</t>
  </si>
  <si>
    <t>Часы</t>
  </si>
  <si>
    <t xml:space="preserve">45 000</t>
  </si>
  <si>
    <t xml:space="preserve">69 990</t>
  </si>
  <si>
    <t>АРТ_038</t>
  </si>
  <si>
    <t xml:space="preserve">смарт-часы APPLE WATCH ULTRA</t>
  </si>
  <si>
    <t xml:space="preserve">44 000</t>
  </si>
  <si>
    <t xml:space="preserve">68 500</t>
  </si>
  <si>
    <t>039/24</t>
  </si>
  <si>
    <t xml:space="preserve">Смарт-часы Apple Watch Ultra (Титан)</t>
  </si>
  <si>
    <t xml:space="preserve">46 000</t>
  </si>
  <si>
    <t xml:space="preserve">71 000</t>
  </si>
  <si>
    <t>№АРТ-040</t>
  </si>
  <si>
    <t xml:space="preserve">Ноутбук Dell XPS 15</t>
  </si>
  <si>
    <t>Dell</t>
  </si>
  <si>
    <t xml:space="preserve">142 000</t>
  </si>
  <si>
    <t>АРТ_041</t>
  </si>
  <si>
    <t xml:space="preserve">ноутбук DELL XPS 15</t>
  </si>
  <si>
    <t>dell</t>
  </si>
  <si>
    <t xml:space="preserve">140 500</t>
  </si>
  <si>
    <t>042-24</t>
  </si>
  <si>
    <t xml:space="preserve">Ноутбук Dell XPS 15 (9530)</t>
  </si>
  <si>
    <t>DELL</t>
  </si>
  <si>
    <t xml:space="preserve">144 000</t>
  </si>
  <si>
    <t>№АРТ-043</t>
  </si>
  <si>
    <t xml:space="preserve">Телевизор Sony Bravia XR</t>
  </si>
  <si>
    <t>Sony</t>
  </si>
  <si>
    <t xml:space="preserve">88 000</t>
  </si>
  <si>
    <t xml:space="preserve">134 990</t>
  </si>
  <si>
    <t>АРТ_044</t>
  </si>
  <si>
    <t xml:space="preserve">телевизор SONY BRAVIA XR</t>
  </si>
  <si>
    <t xml:space="preserve">86 500</t>
  </si>
  <si>
    <t xml:space="preserve">132 000</t>
  </si>
  <si>
    <t>045/24</t>
  </si>
  <si>
    <t xml:space="preserve">Телевизор Sony Bravia XR (55")</t>
  </si>
  <si>
    <t xml:space="preserve">89 500</t>
  </si>
  <si>
    <t>№АРТ-046</t>
  </si>
  <si>
    <t xml:space="preserve">Наушники Apple AirPods Pro</t>
  </si>
  <si>
    <t xml:space="preserve">15 000</t>
  </si>
  <si>
    <t xml:space="preserve">24 990</t>
  </si>
  <si>
    <t>АРТ_047</t>
  </si>
  <si>
    <t xml:space="preserve">наушники APPLE AIRPODS PRO</t>
  </si>
  <si>
    <t xml:space="preserve">14 500</t>
  </si>
  <si>
    <t xml:space="preserve">23 900</t>
  </si>
  <si>
    <t>048-24</t>
  </si>
  <si>
    <t xml:space="preserve">Наушники Apple AirPods Pro (2-е поколение)</t>
  </si>
  <si>
    <t xml:space="preserve">15 800</t>
  </si>
  <si>
    <t xml:space="preserve">25 800</t>
  </si>
  <si>
    <t>№АРТ-049</t>
  </si>
  <si>
    <t xml:space="preserve">Смартфон Google Pixel 8</t>
  </si>
  <si>
    <t>Google</t>
  </si>
  <si>
    <t xml:space="preserve">32 000</t>
  </si>
  <si>
    <t xml:space="preserve">54 999</t>
  </si>
  <si>
    <t>АРТ_050</t>
  </si>
  <si>
    <t xml:space="preserve">смартфон GOOGLE PIXEL 8</t>
  </si>
  <si>
    <t>google</t>
  </si>
  <si>
    <t xml:space="preserve">31 500</t>
  </si>
  <si>
    <t xml:space="preserve">53 500</t>
  </si>
  <si>
    <t>051/24</t>
  </si>
  <si>
    <t xml:space="preserve">Смартфон Google Pixel 8 (Обсидиан)</t>
  </si>
  <si>
    <t>GOOGLE</t>
  </si>
  <si>
    <t xml:space="preserve">32 800</t>
  </si>
  <si>
    <t>№АРТ-052</t>
  </si>
  <si>
    <t xml:space="preserve">Монитор LG UltraGear 27GP950</t>
  </si>
  <si>
    <t xml:space="preserve">69 900</t>
  </si>
  <si>
    <t>АРТ_053</t>
  </si>
  <si>
    <t xml:space="preserve">монитор LG ULTRA GEAR 27GP950</t>
  </si>
  <si>
    <t xml:space="preserve">68 000</t>
  </si>
  <si>
    <t>054-24</t>
  </si>
  <si>
    <t xml:space="preserve">Монитор LG UltraGear 27GP950 (4K)</t>
  </si>
  <si>
    <t xml:space="preserve">46 500</t>
  </si>
  <si>
    <t xml:space="preserve">71 500</t>
  </si>
  <si>
    <t>№АРТ-055</t>
  </si>
  <si>
    <t xml:space="preserve">Колонка JBL Charge 5</t>
  </si>
  <si>
    <t>JBL</t>
  </si>
  <si>
    <t xml:space="preserve">6 500</t>
  </si>
  <si>
    <t xml:space="preserve">10 990</t>
  </si>
  <si>
    <t>АРТ_056</t>
  </si>
  <si>
    <t xml:space="preserve">колонка JBL CHARGE 5</t>
  </si>
  <si>
    <t>jbl</t>
  </si>
  <si>
    <t xml:space="preserve">6 200</t>
  </si>
  <si>
    <t>057/24</t>
  </si>
  <si>
    <t xml:space="preserve">Колонка JBL Charge 5 (Синяя)</t>
  </si>
  <si>
    <t xml:space="preserve">6 800</t>
  </si>
  <si>
    <t xml:space="preserve">11 200</t>
  </si>
  <si>
    <t>№АРТ-058</t>
  </si>
  <si>
    <t xml:space="preserve">Планшет Samsung Galaxy Tab S9</t>
  </si>
  <si>
    <t xml:space="preserve">42 000</t>
  </si>
  <si>
    <t xml:space="preserve">67 900</t>
  </si>
  <si>
    <t>АРТ_059</t>
  </si>
  <si>
    <t xml:space="preserve">планшет SAMSUNG GALAXY TAB S9</t>
  </si>
  <si>
    <t xml:space="preserve">66 000</t>
  </si>
  <si>
    <t>060-24</t>
  </si>
  <si>
    <t xml:space="preserve">Планшет Samsung Galaxy Tab S9 (Ultra)</t>
  </si>
  <si>
    <t xml:space="preserve">43 500</t>
  </si>
  <si>
    <t xml:space="preserve">69 500</t>
  </si>
  <si>
    <t>№АРТ-061</t>
  </si>
  <si>
    <t xml:space="preserve">Ноутбук HP Spectre x360</t>
  </si>
  <si>
    <t>HP</t>
  </si>
  <si>
    <t xml:space="preserve">82 000</t>
  </si>
  <si>
    <t xml:space="preserve">124 999</t>
  </si>
  <si>
    <t>АРТ_062</t>
  </si>
  <si>
    <t xml:space="preserve">ноутбук HP SPECTRE X360</t>
  </si>
  <si>
    <t>hp</t>
  </si>
  <si>
    <t xml:space="preserve">80 500</t>
  </si>
  <si>
    <t xml:space="preserve">122 500</t>
  </si>
  <si>
    <t>063/24</t>
  </si>
  <si>
    <t xml:space="preserve">Ноутбук HP Spectre x360 (14")</t>
  </si>
  <si>
    <t xml:space="preserve">83 500</t>
  </si>
  <si>
    <t xml:space="preserve">127 000</t>
  </si>
  <si>
    <t>№АРТ-064</t>
  </si>
  <si>
    <t xml:space="preserve">Смартфон OnePlus 12</t>
  </si>
  <si>
    <t>OnePlus</t>
  </si>
  <si>
    <t xml:space="preserve">33 000</t>
  </si>
  <si>
    <t xml:space="preserve">56 990</t>
  </si>
  <si>
    <t>АРТ_065</t>
  </si>
  <si>
    <t xml:space="preserve">смартфон ONEPLUS 12</t>
  </si>
  <si>
    <t>oneplus</t>
  </si>
  <si>
    <t xml:space="preserve">32 500</t>
  </si>
  <si>
    <t xml:space="preserve">55 500</t>
  </si>
  <si>
    <t>066-24</t>
  </si>
  <si>
    <t xml:space="preserve">Смартфон OnePlus 12 (Зеленый)</t>
  </si>
  <si>
    <t>ONEPLUS</t>
  </si>
  <si>
    <t xml:space="preserve">33 800</t>
  </si>
  <si>
    <t xml:space="preserve">57 800</t>
  </si>
  <si>
    <t>№АРТ-067</t>
  </si>
  <si>
    <t xml:space="preserve">Телевизор TCL 65C745</t>
  </si>
  <si>
    <t>TCL</t>
  </si>
  <si>
    <t xml:space="preserve">70 000</t>
  </si>
  <si>
    <t xml:space="preserve">109 999</t>
  </si>
  <si>
    <t>АРТ_068</t>
  </si>
  <si>
    <t xml:space="preserve">телевизор TCL 65C745</t>
  </si>
  <si>
    <t>tcl</t>
  </si>
  <si>
    <t xml:space="preserve">107 000</t>
  </si>
  <si>
    <t>069/24</t>
  </si>
  <si>
    <t xml:space="preserve">Телевизор TCL 65C745 (QLED)</t>
  </si>
  <si>
    <t xml:space="preserve">112 000</t>
  </si>
  <si>
    <t>№АРТ-070</t>
  </si>
  <si>
    <t xml:space="preserve">Наушники Marshall Major IV</t>
  </si>
  <si>
    <t>Marshall</t>
  </si>
  <si>
    <t xml:space="preserve">12 000</t>
  </si>
  <si>
    <t xml:space="preserve">19 990</t>
  </si>
  <si>
    <t>АРТ_071</t>
  </si>
  <si>
    <t xml:space="preserve">наушники MARSHALL MAJOR IV</t>
  </si>
  <si>
    <t>marshall</t>
  </si>
  <si>
    <t xml:space="preserve">11 500</t>
  </si>
  <si>
    <t xml:space="preserve">19 000</t>
  </si>
  <si>
    <t>072-24</t>
  </si>
  <si>
    <t xml:space="preserve">Наушники Marshall Major IV (Бежевые)</t>
  </si>
  <si>
    <t>MARSHALL</t>
  </si>
  <si>
    <t xml:space="preserve">12 500</t>
  </si>
  <si>
    <t xml:space="preserve">20 800</t>
  </si>
  <si>
    <t>№АРТ-073</t>
  </si>
  <si>
    <t xml:space="preserve">Монитор Acer Predator X27</t>
  </si>
  <si>
    <t>Acer</t>
  </si>
  <si>
    <t xml:space="preserve">52 000</t>
  </si>
  <si>
    <t xml:space="preserve">79 900</t>
  </si>
  <si>
    <t>АРТ_074</t>
  </si>
  <si>
    <t xml:space="preserve">монитор ACER PREDATOR X27</t>
  </si>
  <si>
    <t>acer</t>
  </si>
  <si>
    <t xml:space="preserve">50 500</t>
  </si>
  <si>
    <t xml:space="preserve">77 500</t>
  </si>
  <si>
    <t>075/24</t>
  </si>
  <si>
    <t xml:space="preserve">Монитор Acer Predator X27 (4K)</t>
  </si>
  <si>
    <t>ACER</t>
  </si>
  <si>
    <t>№АРТ-076</t>
  </si>
  <si>
    <t xml:space="preserve">Клавиатура Razer BlackWidow V4</t>
  </si>
  <si>
    <t>Razer</t>
  </si>
  <si>
    <t xml:space="preserve">7 500</t>
  </si>
  <si>
    <t xml:space="preserve">12 990</t>
  </si>
  <si>
    <t>АРТ_077</t>
  </si>
  <si>
    <t xml:space="preserve">клавиатура RAZER BLACKWIDOW V4</t>
  </si>
  <si>
    <t>razer</t>
  </si>
  <si>
    <t xml:space="preserve">7 200</t>
  </si>
  <si>
    <t>078-24</t>
  </si>
  <si>
    <t xml:space="preserve">Клавиатура Razer BlackWidow V4 (Зеленая)</t>
  </si>
  <si>
    <t>RAZER</t>
  </si>
  <si>
    <t xml:space="preserve">7 800</t>
  </si>
  <si>
    <t xml:space="preserve">13 500</t>
  </si>
  <si>
    <t>№АРТ-079</t>
  </si>
  <si>
    <t xml:space="preserve">Планшет Lenovo Tab P12</t>
  </si>
  <si>
    <t xml:space="preserve">28 000</t>
  </si>
  <si>
    <t xml:space="preserve">45 999</t>
  </si>
  <si>
    <t>АРТ_080</t>
  </si>
  <si>
    <t xml:space="preserve">планшет LENOVO TAB P12</t>
  </si>
  <si>
    <t xml:space="preserve">27 000</t>
  </si>
  <si>
    <t xml:space="preserve">44 500</t>
  </si>
  <si>
    <t>081/24</t>
  </si>
  <si>
    <t xml:space="preserve">Планшет Lenovo Tab P12 (Pro)</t>
  </si>
  <si>
    <t xml:space="preserve">29 000</t>
  </si>
  <si>
    <t xml:space="preserve">47 500</t>
  </si>
  <si>
    <t>№АРТ-082</t>
  </si>
  <si>
    <t xml:space="preserve">Смарт-часы Samsung Galaxy Watch6</t>
  </si>
  <si>
    <t xml:space="preserve">25 000</t>
  </si>
  <si>
    <t xml:space="preserve">39 990</t>
  </si>
  <si>
    <t>АРТ_083</t>
  </si>
  <si>
    <t xml:space="preserve">смарт-часы SAMSUNG GALAXY WATCH6</t>
  </si>
  <si>
    <t xml:space="preserve">24 000</t>
  </si>
  <si>
    <t xml:space="preserve">38 500</t>
  </si>
  <si>
    <t>084-24</t>
  </si>
  <si>
    <t xml:space="preserve">Смарт-часы Samsung Galaxy Watch6 (Classic)</t>
  </si>
  <si>
    <t xml:space="preserve">26 000</t>
  </si>
  <si>
    <t>№АРТ-085</t>
  </si>
  <si>
    <t xml:space="preserve">Ноутбук Asus Zenbook 14</t>
  </si>
  <si>
    <t>Asus</t>
  </si>
  <si>
    <t xml:space="preserve">72 000</t>
  </si>
  <si>
    <t xml:space="preserve">109 990</t>
  </si>
  <si>
    <t>АРТ_086</t>
  </si>
  <si>
    <t xml:space="preserve">ноутбук ASUS ZENBOOK 14</t>
  </si>
  <si>
    <t xml:space="preserve">107 500</t>
  </si>
  <si>
    <t>087/24</t>
  </si>
  <si>
    <t xml:space="preserve">Ноутбук Asus Zenbook 14 (OLED)</t>
  </si>
  <si>
    <t xml:space="preserve">73 500</t>
  </si>
  <si>
    <t>№АРТ-088</t>
  </si>
  <si>
    <t xml:space="preserve">Телевизор Xiaomi TV A2</t>
  </si>
  <si>
    <t>АРТ_089</t>
  </si>
  <si>
    <t xml:space="preserve">телевизор XIAOMI TV A2</t>
  </si>
  <si>
    <t xml:space="preserve">34 000</t>
  </si>
  <si>
    <t>090-24</t>
  </si>
  <si>
    <t xml:space="preserve">Телевизор Xiaomi TV A2 (43")</t>
  </si>
  <si>
    <t xml:space="preserve">36 000</t>
  </si>
  <si>
    <t xml:space="preserve">56 500</t>
  </si>
  <si>
    <t>№АРТ-091</t>
  </si>
  <si>
    <t xml:space="preserve">Наушники Anker Soundcore Q45</t>
  </si>
  <si>
    <t>Anker</t>
  </si>
  <si>
    <t xml:space="preserve">6 000</t>
  </si>
  <si>
    <t>АРТ_092</t>
  </si>
  <si>
    <t xml:space="preserve">наушники ANKER SOUNDCORE Q45</t>
  </si>
  <si>
    <t>anker</t>
  </si>
  <si>
    <t>093/24</t>
  </si>
  <si>
    <t xml:space="preserve">Наушники Anker Soundcore Q45 (Черные)</t>
  </si>
  <si>
    <t>ANKER</t>
  </si>
  <si>
    <t>№АРТ-094</t>
  </si>
  <si>
    <t xml:space="preserve">Монитор Dell UltraSharp U3223QE</t>
  </si>
  <si>
    <t xml:space="preserve">62 000</t>
  </si>
  <si>
    <t xml:space="preserve">94 900</t>
  </si>
  <si>
    <t>АРТ_095</t>
  </si>
  <si>
    <t xml:space="preserve">монитор DELL ULTRASHARP U3223QE</t>
  </si>
  <si>
    <t xml:space="preserve">60 500</t>
  </si>
  <si>
    <t xml:space="preserve">92 000</t>
  </si>
  <si>
    <t>096-24</t>
  </si>
  <si>
    <t xml:space="preserve">Монитор Dell UltraSharp U3223QE (4K)</t>
  </si>
  <si>
    <t xml:space="preserve">97 000</t>
  </si>
  <si>
    <t>№АРТ-097</t>
  </si>
  <si>
    <t xml:space="preserve">Мышь Razer DeathAdder V3</t>
  </si>
  <si>
    <t xml:space="preserve">3 500</t>
  </si>
  <si>
    <t xml:space="preserve">6 990</t>
  </si>
  <si>
    <t>АРТ_098</t>
  </si>
  <si>
    <t xml:space="preserve">мышь RAZER DEATHADDER V3</t>
  </si>
  <si>
    <t xml:space="preserve">3 200</t>
  </si>
  <si>
    <t>099/24</t>
  </si>
  <si>
    <t xml:space="preserve">Мышь Razer DeathAdder V3 (Pro)</t>
  </si>
  <si>
    <t xml:space="preserve">3 800</t>
  </si>
  <si>
    <t>№АРТ-100</t>
  </si>
  <si>
    <t xml:space="preserve">Планшет Apple iPad Mini</t>
  </si>
  <si>
    <t>АРТ_101</t>
  </si>
  <si>
    <t xml:space="preserve">планшет APPLE IPAD MINI</t>
  </si>
  <si>
    <t>102-24</t>
  </si>
  <si>
    <t xml:space="preserve">Планшет Apple iPad Mini (Wi-Fi)</t>
  </si>
  <si>
    <t>№АРТ-103</t>
  </si>
  <si>
    <t xml:space="preserve">Ноутбук MSI Stealth 16</t>
  </si>
  <si>
    <t>MSI</t>
  </si>
  <si>
    <t xml:space="preserve">149 990</t>
  </si>
  <si>
    <t>АРТ_104</t>
  </si>
  <si>
    <t xml:space="preserve">ноутбук MSI STEALTH 16</t>
  </si>
  <si>
    <t>msi</t>
  </si>
  <si>
    <t xml:space="preserve">96 000</t>
  </si>
  <si>
    <t xml:space="preserve">147 000</t>
  </si>
  <si>
    <t>105/24</t>
  </si>
  <si>
    <t xml:space="preserve">Ноутбук MSI Stealth 16 (Gaming)</t>
  </si>
  <si>
    <t xml:space="preserve">99 500</t>
  </si>
  <si>
    <t xml:space="preserve">152 000</t>
  </si>
  <si>
    <t>№АРТ-106</t>
  </si>
  <si>
    <t xml:space="preserve">Смартфон Realme GT 3</t>
  </si>
  <si>
    <t>Realme</t>
  </si>
  <si>
    <t xml:space="preserve">47 990</t>
  </si>
  <si>
    <t>АРТ_107</t>
  </si>
  <si>
    <t xml:space="preserve">смартфон REALME GT 3</t>
  </si>
  <si>
    <t>realme</t>
  </si>
  <si>
    <t>108-24</t>
  </si>
  <si>
    <t xml:space="preserve">Смартфон Realme GT 3 (White)</t>
  </si>
  <si>
    <t>REALME</t>
  </si>
  <si>
    <t xml:space="preserve">49 500</t>
  </si>
  <si>
    <t>№АРТ-109</t>
  </si>
  <si>
    <t xml:space="preserve">Телевизор Hisense U8K</t>
  </si>
  <si>
    <t>Hisense</t>
  </si>
  <si>
    <t xml:space="preserve">78 000</t>
  </si>
  <si>
    <t xml:space="preserve">119 999</t>
  </si>
  <si>
    <t>АРТ_110</t>
  </si>
  <si>
    <t xml:space="preserve">телевизор HISENSE U8K</t>
  </si>
  <si>
    <t>hisense</t>
  </si>
  <si>
    <t xml:space="preserve">76 000</t>
  </si>
  <si>
    <t xml:space="preserve">117 000</t>
  </si>
  <si>
    <t>111/24</t>
  </si>
  <si>
    <t xml:space="preserve">Телевизор Hisense U8K (65")</t>
  </si>
  <si>
    <t>HISENSE</t>
  </si>
  <si>
    <t xml:space="preserve">79 500</t>
  </si>
  <si>
    <t>№АРТ-112</t>
  </si>
  <si>
    <t xml:space="preserve">Наушники Sennheiser HD 660S</t>
  </si>
  <si>
    <t>Sennheiser</t>
  </si>
  <si>
    <t xml:space="preserve">22 000</t>
  </si>
  <si>
    <t xml:space="preserve">34 990</t>
  </si>
  <si>
    <t>АРТ_113</t>
  </si>
  <si>
    <t xml:space="preserve">наушники SENNHEISER HD 660S</t>
  </si>
  <si>
    <t>sennheiser</t>
  </si>
  <si>
    <t xml:space="preserve">21 000</t>
  </si>
  <si>
    <t xml:space="preserve">33 500</t>
  </si>
  <si>
    <t>114-24</t>
  </si>
  <si>
    <t xml:space="preserve">Наушники Sennheiser HD 660S (Открытые)</t>
  </si>
  <si>
    <t>SENNHEISER</t>
  </si>
  <si>
    <t xml:space="preserve">23 000</t>
  </si>
  <si>
    <t>№АРТ-115</t>
  </si>
  <si>
    <t xml:space="preserve">Монитор ViewSonic VP2780</t>
  </si>
  <si>
    <t>ViewSonic</t>
  </si>
  <si>
    <t xml:space="preserve">48 000</t>
  </si>
  <si>
    <t xml:space="preserve">74 900</t>
  </si>
  <si>
    <t>АРТ_116</t>
  </si>
  <si>
    <t xml:space="preserve">монитор VIEWSONIC VP2780</t>
  </si>
  <si>
    <t>viewsonic</t>
  </si>
  <si>
    <t xml:space="preserve">72 500</t>
  </si>
  <si>
    <t>117/24</t>
  </si>
  <si>
    <t xml:space="preserve">Монитор ViewSonic VP2780 (Pro)</t>
  </si>
  <si>
    <t>VIEWSONIC</t>
  </si>
  <si>
    <t xml:space="preserve">77 000</t>
  </si>
  <si>
    <t>№АРТ-118</t>
  </si>
  <si>
    <t xml:space="preserve">Клавиатура Keychron K8 Pro</t>
  </si>
  <si>
    <t>Keychron</t>
  </si>
  <si>
    <t xml:space="preserve">7 990</t>
  </si>
  <si>
    <t>АРТ_119</t>
  </si>
  <si>
    <t xml:space="preserve">клавиатура KEYCHRON K8 PRO</t>
  </si>
  <si>
    <t>keychron</t>
  </si>
  <si>
    <t>120-24</t>
  </si>
  <si>
    <t xml:space="preserve">Клавиатура Keychron K8 Pro (Беспроводная)</t>
  </si>
  <si>
    <t>KEYCHRON</t>
  </si>
  <si>
    <t>№АРТ-121</t>
  </si>
  <si>
    <t xml:space="preserve">Смарт-часы Garmin Fenix 7</t>
  </si>
  <si>
    <t>Garmin</t>
  </si>
  <si>
    <t xml:space="preserve">84 990</t>
  </si>
  <si>
    <t>АРТ_122</t>
  </si>
  <si>
    <t xml:space="preserve">смарт-часы GARMIN FENIX 7</t>
  </si>
  <si>
    <t>garmin</t>
  </si>
  <si>
    <t xml:space="preserve">82 500</t>
  </si>
  <si>
    <t>123/24</t>
  </si>
  <si>
    <t xml:space="preserve">Смарт-часы Garmin Fenix 7 (Sapphire)</t>
  </si>
  <si>
    <t>GARMIN</t>
  </si>
  <si>
    <t xml:space="preserve">87 000</t>
  </si>
  <si>
    <t>№АРТ-124</t>
  </si>
  <si>
    <t xml:space="preserve">Ноутбук Razer Blade 18</t>
  </si>
  <si>
    <t xml:space="preserve">110 000</t>
  </si>
  <si>
    <t xml:space="preserve">169 990</t>
  </si>
  <si>
    <t>АРТ_125</t>
  </si>
  <si>
    <t xml:space="preserve">ноутбук RAZER BLADE 18</t>
  </si>
  <si>
    <t xml:space="preserve">108 000</t>
  </si>
  <si>
    <t xml:space="preserve">166 500</t>
  </si>
  <si>
    <t>126-24</t>
  </si>
  <si>
    <t xml:space="preserve">Ноутбук Razer Blade 18 (Gaming)</t>
  </si>
  <si>
    <t xml:space="preserve">173 000</t>
  </si>
  <si>
    <t>№АРТ-127</t>
  </si>
  <si>
    <t xml:space="preserve">Смартфон Nothing Phone 2</t>
  </si>
  <si>
    <t>Nothing</t>
  </si>
  <si>
    <t xml:space="preserve">30 000</t>
  </si>
  <si>
    <t xml:space="preserve">51 990</t>
  </si>
  <si>
    <t>АРТ_128</t>
  </si>
  <si>
    <t xml:space="preserve">смартфон NOTHING PHONE 2</t>
  </si>
  <si>
    <t>nothing</t>
  </si>
  <si>
    <t>129/24</t>
  </si>
  <si>
    <t xml:space="preserve">Смартфон Nothing Phone 2 (Dark)</t>
  </si>
  <si>
    <t>NOTHING</t>
  </si>
  <si>
    <t xml:space="preserve">31 000</t>
  </si>
  <si>
    <t>№АРТ-130</t>
  </si>
  <si>
    <t xml:space="preserve">Планшет Xiaomi Pad 6</t>
  </si>
  <si>
    <t xml:space="preserve">42 990</t>
  </si>
  <si>
    <t>АРТ_131</t>
  </si>
  <si>
    <t xml:space="preserve">планшет XIAOMI PAD 6</t>
  </si>
  <si>
    <t xml:space="preserve">41 500</t>
  </si>
  <si>
    <t>132-24</t>
  </si>
  <si>
    <t xml:space="preserve">Планшет Xiaomi Pad 6 (Pro)</t>
  </si>
  <si>
    <t>№АРТ-133</t>
  </si>
  <si>
    <t xml:space="preserve">Телевизор Philips Ambilight 65</t>
  </si>
  <si>
    <t>Philips</t>
  </si>
  <si>
    <t xml:space="preserve">126 990</t>
  </si>
  <si>
    <t>АРТ_134</t>
  </si>
  <si>
    <t xml:space="preserve">телевизор PHILIPS AMBILIGHT 65</t>
  </si>
  <si>
    <t>philips</t>
  </si>
  <si>
    <t xml:space="preserve">80 000</t>
  </si>
  <si>
    <t xml:space="preserve">124 000</t>
  </si>
  <si>
    <t>135/24</t>
  </si>
  <si>
    <t xml:space="preserve">Телевизор Philips Ambilight 65 (4K)</t>
  </si>
  <si>
    <t>PHILIPS</t>
  </si>
  <si>
    <t xml:space="preserve">129 500</t>
  </si>
  <si>
    <t>№АРТ-136</t>
  </si>
  <si>
    <t xml:space="preserve">Наушники Bose QC45</t>
  </si>
  <si>
    <t>Bose</t>
  </si>
  <si>
    <t xml:space="preserve">14 000</t>
  </si>
  <si>
    <t xml:space="preserve">22 990</t>
  </si>
  <si>
    <t>АРТ_137</t>
  </si>
  <si>
    <t xml:space="preserve">наушники BOSE QC45</t>
  </si>
  <si>
    <t>bose</t>
  </si>
  <si>
    <t>138-24</t>
  </si>
  <si>
    <t xml:space="preserve">Наушники Bose QC45 (Silver)</t>
  </si>
  <si>
    <t>BOSE</t>
  </si>
  <si>
    <t>№АРТ-139</t>
  </si>
  <si>
    <t xml:space="preserve">Монитор BenQ PD3220U</t>
  </si>
  <si>
    <t>BenQ</t>
  </si>
  <si>
    <t xml:space="preserve">58 000</t>
  </si>
  <si>
    <t>АРТ_140</t>
  </si>
  <si>
    <t xml:space="preserve">монитор BENQ PD3220U</t>
  </si>
  <si>
    <t>benq</t>
  </si>
  <si>
    <t>141/24</t>
  </si>
  <si>
    <t xml:space="preserve">Монитор BenQ PD3220U (4K)</t>
  </si>
  <si>
    <t>BENQ</t>
  </si>
  <si>
    <t xml:space="preserve">59 500</t>
  </si>
  <si>
    <t xml:space="preserve">92 500</t>
  </si>
  <si>
    <t>№АРТ-142</t>
  </si>
  <si>
    <t xml:space="preserve">Мышь Apple Magic Mouse</t>
  </si>
  <si>
    <t>АРТ_143</t>
  </si>
  <si>
    <t xml:space="preserve">мышь APPLE MAGIC MOUSE</t>
  </si>
  <si>
    <t>144-24</t>
  </si>
  <si>
    <t xml:space="preserve">Мышь Apple Magic Mouse (Black)</t>
  </si>
  <si>
    <t>№АРТ-145</t>
  </si>
  <si>
    <t xml:space="preserve">Смартфон Motorola Edge 40</t>
  </si>
  <si>
    <t>Motorola</t>
  </si>
  <si>
    <t xml:space="preserve">45 990</t>
  </si>
  <si>
    <t>АРТ_146</t>
  </si>
  <si>
    <t xml:space="preserve">смартфон MOTOROLA EDGE 40</t>
  </si>
  <si>
    <t>motorola</t>
  </si>
  <si>
    <t>147/24</t>
  </si>
  <si>
    <t xml:space="preserve">Смартфон Motorola Edge 40 (Pro)</t>
  </si>
  <si>
    <t>MOTOROLA</t>
  </si>
  <si>
    <t>№АРТ-148</t>
  </si>
  <si>
    <t xml:space="preserve">Ноутбук Gigabyte Aorus 17</t>
  </si>
  <si>
    <t>Gigabyte</t>
  </si>
  <si>
    <t xml:space="preserve">139 990</t>
  </si>
  <si>
    <t>АРТ_149</t>
  </si>
  <si>
    <t xml:space="preserve">ноутбук GIGABYTE AORUS 17</t>
  </si>
  <si>
    <t>gigabyte</t>
  </si>
  <si>
    <t>150-24</t>
  </si>
  <si>
    <t xml:space="preserve">Ноутбук Gigabyte Aorus 17 (Gaming)</t>
  </si>
  <si>
    <t>GIGABYTE</t>
  </si>
  <si>
    <t xml:space="preserve">142 500</t>
  </si>
  <si>
    <t>№АРТ-151</t>
  </si>
  <si>
    <t xml:space="preserve">Телевизор Panasonic HZ2000</t>
  </si>
  <si>
    <t>Panasonic</t>
  </si>
  <si>
    <t xml:space="preserve">100 000</t>
  </si>
  <si>
    <t xml:space="preserve">154 990</t>
  </si>
  <si>
    <t>АРТ_152</t>
  </si>
  <si>
    <t xml:space="preserve">телевизор PANASONIC HZ2000</t>
  </si>
  <si>
    <t>panasonic</t>
  </si>
  <si>
    <t xml:space="preserve">151 500</t>
  </si>
  <si>
    <t>153/24</t>
  </si>
  <si>
    <t xml:space="preserve">Телевизор Panasonic HZ2000 (OLED)</t>
  </si>
  <si>
    <t>PANASONIC</t>
  </si>
  <si>
    <t xml:space="preserve">102 000</t>
  </si>
  <si>
    <t xml:space="preserve">158 000</t>
  </si>
  <si>
    <t>№АРТ-154</t>
  </si>
  <si>
    <t xml:space="preserve">Наушники Audio-Technica ATH-M50x</t>
  </si>
  <si>
    <t>Audio-Technica</t>
  </si>
  <si>
    <t xml:space="preserve">10 000</t>
  </si>
  <si>
    <t xml:space="preserve">16 990</t>
  </si>
  <si>
    <t>АРТ_155</t>
  </si>
  <si>
    <t xml:space="preserve">наушники AUDIO-TECHNICA ATH-M50X</t>
  </si>
  <si>
    <t>audio-technica</t>
  </si>
  <si>
    <t xml:space="preserve">16 000</t>
  </si>
  <si>
    <t>156-24</t>
  </si>
  <si>
    <t xml:space="preserve">Наушники Audio-Technica ATH-M50x (BT)</t>
  </si>
  <si>
    <t>AUDIO-TECHNICA</t>
  </si>
  <si>
    <t xml:space="preserve">17 800</t>
  </si>
  <si>
    <t>№АРТ-157</t>
  </si>
  <si>
    <t xml:space="preserve">Монитор ASUS ProArt PA329CV</t>
  </si>
  <si>
    <t xml:space="preserve">60 000</t>
  </si>
  <si>
    <t xml:space="preserve">92 900</t>
  </si>
  <si>
    <t>АРТ_158</t>
  </si>
  <si>
    <t xml:space="preserve">монитор ASUS PROART PA329CV</t>
  </si>
  <si>
    <t>159/24</t>
  </si>
  <si>
    <t xml:space="preserve">Монитор ASUS ProArt PA329CV (4K)</t>
  </si>
  <si>
    <t xml:space="preserve">61 500</t>
  </si>
  <si>
    <t xml:space="preserve">95 500</t>
  </si>
  <si>
    <t>№АРТ-160</t>
  </si>
  <si>
    <t xml:space="preserve">Клавиатура Ducky One 3 Mini</t>
  </si>
  <si>
    <t>Ducky</t>
  </si>
  <si>
    <t xml:space="preserve">5 000</t>
  </si>
  <si>
    <t>АРТ_161</t>
  </si>
  <si>
    <t xml:space="preserve">клавиатура DUCKY ONE 3 MINI</t>
  </si>
  <si>
    <t>ducky</t>
  </si>
  <si>
    <t xml:space="preserve">4 700</t>
  </si>
  <si>
    <t>162-24</t>
  </si>
  <si>
    <t xml:space="preserve">Клавиатура Ducky One 3 Mini (RGB)</t>
  </si>
  <si>
    <t>DUCKY</t>
  </si>
  <si>
    <t>№АРТ-163</t>
  </si>
  <si>
    <t xml:space="preserve">Смарт-часы Huawei Watch GT4</t>
  </si>
  <si>
    <t xml:space="preserve">29 990</t>
  </si>
  <si>
    <t>АРТ_164</t>
  </si>
  <si>
    <t xml:space="preserve">смарт-часы HUAWEI WATCH GT4</t>
  </si>
  <si>
    <t xml:space="preserve">17 000</t>
  </si>
  <si>
    <t xml:space="preserve">28 500</t>
  </si>
  <si>
    <t>165/24</t>
  </si>
  <si>
    <t xml:space="preserve">Смарт-часы Huawei Watch GT4 (41mm)</t>
  </si>
  <si>
    <t>№АРТ-166</t>
  </si>
  <si>
    <t xml:space="preserve">Планшет Microsoft Surface Pro 9</t>
  </si>
  <si>
    <t>Microsoft</t>
  </si>
  <si>
    <t xml:space="preserve">82 990</t>
  </si>
  <si>
    <t>АРТ_167</t>
  </si>
  <si>
    <t xml:space="preserve">планшет MICROSOFT SURFACE PRO 9</t>
  </si>
  <si>
    <t>microsoft</t>
  </si>
  <si>
    <t xml:space="preserve">50 000</t>
  </si>
  <si>
    <t>168-24</t>
  </si>
  <si>
    <t xml:space="preserve">Планшет Microsoft Surface Pro 9 (i5)</t>
  </si>
  <si>
    <t>MICROSOFT</t>
  </si>
  <si>
    <t>№АРТ-169</t>
  </si>
  <si>
    <t xml:space="preserve">Смартфон Oppo Find X6</t>
  </si>
  <si>
    <t>Oppo</t>
  </si>
  <si>
    <t xml:space="preserve">57 990</t>
  </si>
  <si>
    <t>АРТ_170</t>
  </si>
  <si>
    <t xml:space="preserve">смартфон OPPO FIND X6</t>
  </si>
  <si>
    <t>oppo</t>
  </si>
  <si>
    <t>171/24</t>
  </si>
  <si>
    <t xml:space="preserve">Смартфон Oppo Find X6 (Pro)</t>
  </si>
  <si>
    <t>OPPO</t>
  </si>
  <si>
    <t>№АРТ-172</t>
  </si>
  <si>
    <t xml:space="preserve">Ноутбук Acer Swift 5</t>
  </si>
  <si>
    <t xml:space="preserve">104 990</t>
  </si>
  <si>
    <t>АРТ_173</t>
  </si>
  <si>
    <t xml:space="preserve">ноутбук ACER SWIFT 5</t>
  </si>
  <si>
    <t>174-24</t>
  </si>
  <si>
    <t xml:space="preserve">Ноутбук Acer Swift 5 (OLED)</t>
  </si>
  <si>
    <t>№АРТ-175</t>
  </si>
  <si>
    <t xml:space="preserve">Телевизор Vizio M-Series 65</t>
  </si>
  <si>
    <t>Vizio</t>
  </si>
  <si>
    <t xml:space="preserve">99 990</t>
  </si>
  <si>
    <t>АРТ_176</t>
  </si>
  <si>
    <t xml:space="preserve">телевизор VIZIO M-SERIES 65</t>
  </si>
  <si>
    <t>vizio</t>
  </si>
  <si>
    <t xml:space="preserve">63 000</t>
  </si>
  <si>
    <t>177/24</t>
  </si>
  <si>
    <t xml:space="preserve">Телевизор Vizio M-Series 65 (Quantum)</t>
  </si>
  <si>
    <t>VIZIO</t>
  </si>
  <si>
    <t xml:space="preserve">102 500</t>
  </si>
  <si>
    <t>№АРТ-178</t>
  </si>
  <si>
    <t xml:space="preserve">Наушники Jabra Elite 85h</t>
  </si>
  <si>
    <t>Jabra</t>
  </si>
  <si>
    <t xml:space="preserve">8 000</t>
  </si>
  <si>
    <t xml:space="preserve">13 990</t>
  </si>
  <si>
    <t>АРТ_179</t>
  </si>
  <si>
    <t xml:space="preserve">наушники JABRA ELITE 85H</t>
  </si>
  <si>
    <t>jabra</t>
  </si>
  <si>
    <t xml:space="preserve">13 000</t>
  </si>
  <si>
    <t>180-24</t>
  </si>
  <si>
    <t xml:space="preserve">Наушники Jabra Elite 85h (Navy)</t>
  </si>
  <si>
    <t>JABRA</t>
  </si>
  <si>
    <t xml:space="preserve">14 800</t>
  </si>
  <si>
    <t>№АРТ-181</t>
  </si>
  <si>
    <t xml:space="preserve">Монитор Eizo ColorEdge CS2740</t>
  </si>
  <si>
    <t>Eizo</t>
  </si>
  <si>
    <t>АРТ_182</t>
  </si>
  <si>
    <t xml:space="preserve">монитор EIZO COLOREDGE CS2740</t>
  </si>
  <si>
    <t>eizo</t>
  </si>
  <si>
    <t>183/24</t>
  </si>
  <si>
    <t xml:space="preserve">Монитор Eizo ColorEdge CS2740 (Pro)</t>
  </si>
  <si>
    <t>EIZO</t>
  </si>
  <si>
    <t>№АРТ-184</t>
  </si>
  <si>
    <t xml:space="preserve">Колонка Sony SRS-XG300</t>
  </si>
  <si>
    <t>АРТ_185</t>
  </si>
  <si>
    <t xml:space="preserve">колонка SONY SRS-XG300</t>
  </si>
  <si>
    <t>186-24</t>
  </si>
  <si>
    <t xml:space="preserve">Колонка Sony SRS-XG300 (Black)</t>
  </si>
  <si>
    <t>№АРТ-187</t>
  </si>
  <si>
    <t xml:space="preserve">Смарт-часы Apple Watch Series 9</t>
  </si>
  <si>
    <t xml:space="preserve">49 990</t>
  </si>
  <si>
    <t>АРТ_188</t>
  </si>
  <si>
    <t xml:space="preserve">смарт-часы APPLE WATCH SERIES 9</t>
  </si>
  <si>
    <t xml:space="preserve">48 500</t>
  </si>
  <si>
    <t>189/24</t>
  </si>
  <si>
    <t xml:space="preserve">Смарт-часы Apple Watch Series 9 (GPS)</t>
  </si>
  <si>
    <t xml:space="preserve">51 500</t>
  </si>
  <si>
    <t>№АРТ-190</t>
  </si>
  <si>
    <t xml:space="preserve">Планшет Amazon Fire HD 10</t>
  </si>
  <si>
    <t>Amazon</t>
  </si>
  <si>
    <t>АРТ_191</t>
  </si>
  <si>
    <t xml:space="preserve">планшет AMAZON FIRE HD 10</t>
  </si>
  <si>
    <t>amazon</t>
  </si>
  <si>
    <t xml:space="preserve">23 500</t>
  </si>
  <si>
    <t>192-24</t>
  </si>
  <si>
    <t xml:space="preserve">Планшет Amazon Fire HD 10 (Plus)</t>
  </si>
  <si>
    <t>AMAZON</t>
  </si>
  <si>
    <t xml:space="preserve">26 500</t>
  </si>
  <si>
    <t>№АРТ-193</t>
  </si>
  <si>
    <t xml:space="preserve">Ноутбук Framework Laptop 13</t>
  </si>
  <si>
    <t>Framework</t>
  </si>
  <si>
    <t xml:space="preserve">129 990</t>
  </si>
  <si>
    <t>АРТ_194</t>
  </si>
  <si>
    <t xml:space="preserve">ноутбук FRAMEWORK LAPTOP 13</t>
  </si>
  <si>
    <t>framework</t>
  </si>
  <si>
    <t xml:space="preserve">83 000</t>
  </si>
  <si>
    <t>195/24</t>
  </si>
  <si>
    <t xml:space="preserve">Ноутбук Framework Laptop 13 (DIY)</t>
  </si>
  <si>
    <t>FRAMEWORK</t>
  </si>
  <si>
    <t xml:space="preserve">132 500</t>
  </si>
  <si>
    <t>№АРТ-196</t>
  </si>
  <si>
    <t xml:space="preserve">Смартфон Vivo X90</t>
  </si>
  <si>
    <t>Vivo</t>
  </si>
  <si>
    <t xml:space="preserve">53 990</t>
  </si>
  <si>
    <t>АРТ_197</t>
  </si>
  <si>
    <t xml:space="preserve">смартфон VIVO X90</t>
  </si>
  <si>
    <t>vivo</t>
  </si>
  <si>
    <t xml:space="preserve">52 500</t>
  </si>
  <si>
    <t>198-24</t>
  </si>
  <si>
    <t xml:space="preserve">Смартфон Vivo X90 (Pro)</t>
  </si>
  <si>
    <t>VIVO</t>
  </si>
  <si>
    <t>№АРТ-199</t>
  </si>
  <si>
    <t xml:space="preserve">Телевизор TCL 55C835</t>
  </si>
  <si>
    <t xml:space="preserve">95 990</t>
  </si>
  <si>
    <t>АРТ_200</t>
  </si>
  <si>
    <t xml:space="preserve">телевизор TCL 55C835</t>
  </si>
  <si>
    <t xml:space="preserve">93 000</t>
  </si>
  <si>
    <t>201/24</t>
  </si>
  <si>
    <t xml:space="preserve">Телевизор TCL 55C835 (Mini LED)</t>
  </si>
  <si>
    <t xml:space="preserve">98 500</t>
  </si>
  <si>
    <t>№АРТ-202</t>
  </si>
  <si>
    <t xml:space="preserve">Наушники Logitech G435</t>
  </si>
  <si>
    <t>АРТ_203</t>
  </si>
  <si>
    <t xml:space="preserve">наушники LOGITECH G435</t>
  </si>
  <si>
    <t>204-24</t>
  </si>
  <si>
    <t xml:space="preserve">Наушники Logitech G435 (Беспроводные)</t>
  </si>
  <si>
    <t xml:space="preserve">10 800</t>
  </si>
  <si>
    <t>№АРТ-205</t>
  </si>
  <si>
    <t xml:space="preserve">Монитор MSI Optix MAG274QRF</t>
  </si>
  <si>
    <t xml:space="preserve">64 990</t>
  </si>
  <si>
    <t>АРТ_206</t>
  </si>
  <si>
    <t xml:space="preserve">монитор MSI OPTIX MAG274QRF</t>
  </si>
  <si>
    <t xml:space="preserve">62 500</t>
  </si>
  <si>
    <t>207/24</t>
  </si>
  <si>
    <t xml:space="preserve">Монитор MSI Optix MAG274QRF (QD)</t>
  </si>
  <si>
    <t xml:space="preserve">42 500</t>
  </si>
  <si>
    <t xml:space="preserve">67 000</t>
  </si>
  <si>
    <t>№АРТ-208</t>
  </si>
  <si>
    <t xml:space="preserve">Клавиатура Corsair K70 RGB</t>
  </si>
  <si>
    <t>Corsair</t>
  </si>
  <si>
    <t>АРТ_209</t>
  </si>
  <si>
    <t xml:space="preserve">клавиатура CORSAIR K70 RGB</t>
  </si>
  <si>
    <t>corsair</t>
  </si>
  <si>
    <t>210-24</t>
  </si>
  <si>
    <t xml:space="preserve">Клавиатура Corsair K70 RGB (Pro)</t>
  </si>
  <si>
    <t>CORSAIR</t>
  </si>
  <si>
    <t xml:space="preserve">7 000</t>
  </si>
  <si>
    <t>№АРТ-211</t>
  </si>
  <si>
    <t xml:space="preserve">Смартфон Honor Magic 5</t>
  </si>
  <si>
    <t>Honor</t>
  </si>
  <si>
    <t xml:space="preserve">59 990</t>
  </si>
  <si>
    <t>АРТ_212</t>
  </si>
  <si>
    <t xml:space="preserve">смартфон HONOR MAGIC 5</t>
  </si>
  <si>
    <t>honor</t>
  </si>
  <si>
    <t>213/24</t>
  </si>
  <si>
    <t xml:space="preserve">Смартфон Honor Magic 5 (Pro)</t>
  </si>
  <si>
    <t>HONOR</t>
  </si>
  <si>
    <t xml:space="preserve">37 000</t>
  </si>
  <si>
    <t>№АРТ-214</t>
  </si>
  <si>
    <t xml:space="preserve">Планшет Samsung Galaxy A8</t>
  </si>
  <si>
    <t xml:space="preserve">26 990</t>
  </si>
  <si>
    <t>АРТ_215</t>
  </si>
  <si>
    <t xml:space="preserve">планшет SAMSUNG GALAXY A8</t>
  </si>
  <si>
    <t xml:space="preserve">25 500</t>
  </si>
  <si>
    <t>216-24</t>
  </si>
  <si>
    <t xml:space="preserve">Планшет Samsung Galaxy A8 (Wi-Fi)</t>
  </si>
  <si>
    <t>№АРТ-217</t>
  </si>
  <si>
    <t xml:space="preserve">Телевизор LG UQ8000</t>
  </si>
  <si>
    <t>АРТ_218</t>
  </si>
  <si>
    <t xml:space="preserve">телевизор LG UQ8000</t>
  </si>
  <si>
    <t xml:space="preserve">67 500</t>
  </si>
  <si>
    <t>219/24</t>
  </si>
  <si>
    <t xml:space="preserve">Телевизор LG UQ8000 (65")</t>
  </si>
  <si>
    <t>№АРТ-220</t>
  </si>
  <si>
    <t xml:space="preserve">Наушники Beats Studio Pro</t>
  </si>
  <si>
    <t>Beats</t>
  </si>
  <si>
    <t>АРТ_221</t>
  </si>
  <si>
    <t xml:space="preserve">наушники BEATS STUDIO PRO</t>
  </si>
  <si>
    <t>beats</t>
  </si>
  <si>
    <t>222-24</t>
  </si>
  <si>
    <t xml:space="preserve">Наушники Beats Studio Pro (Black)</t>
  </si>
  <si>
    <t>BEATS</t>
  </si>
  <si>
    <t>№АРТ-223</t>
  </si>
  <si>
    <t xml:space="preserve">Монитор HP E27m G4</t>
  </si>
  <si>
    <t xml:space="preserve">54 990</t>
  </si>
  <si>
    <t>АРТ_224</t>
  </si>
  <si>
    <t xml:space="preserve">монитор HP E27M G4</t>
  </si>
  <si>
    <t>225/24</t>
  </si>
  <si>
    <t xml:space="preserve">Монитор HP E27m G4 (4K)</t>
  </si>
  <si>
    <t xml:space="preserve">36 500</t>
  </si>
  <si>
    <t xml:space="preserve">57 000</t>
  </si>
  <si>
    <t>№АРТ-226</t>
  </si>
  <si>
    <t xml:space="preserve">Мышь SteelSeries Aerox 3</t>
  </si>
  <si>
    <t>SteelSeries</t>
  </si>
  <si>
    <t xml:space="preserve">3 000</t>
  </si>
  <si>
    <t xml:space="preserve">5 990</t>
  </si>
  <si>
    <t>АРТ_227</t>
  </si>
  <si>
    <t xml:space="preserve">мышь STEELSERIES AEROX 3</t>
  </si>
  <si>
    <t>steelseries</t>
  </si>
  <si>
    <t xml:space="preserve">2 800</t>
  </si>
  <si>
    <t>228-24</t>
  </si>
  <si>
    <t xml:space="preserve">Мышь SteelSeries Aerox 3 (White)</t>
  </si>
  <si>
    <t>STEELSERIES</t>
  </si>
  <si>
    <t>№АРТ-229</t>
  </si>
  <si>
    <t xml:space="preserve">Ноутбук Lenovo Yoga 9i</t>
  </si>
  <si>
    <t xml:space="preserve">119 990</t>
  </si>
  <si>
    <t>АРТ_230</t>
  </si>
  <si>
    <t xml:space="preserve">ноутбук LENOVO YOGA 9I</t>
  </si>
  <si>
    <t>231/24</t>
  </si>
  <si>
    <t xml:space="preserve">Ноутбук Lenovo Yoga 9i (OLED)</t>
  </si>
  <si>
    <t>№АРТ-232</t>
  </si>
  <si>
    <t xml:space="preserve">Смартфон Google Pixel 7a</t>
  </si>
  <si>
    <t>АРТ_233</t>
  </si>
  <si>
    <t xml:space="preserve">смартфон GOOGLE PIXEL 7A</t>
  </si>
  <si>
    <t>234-24</t>
  </si>
  <si>
    <t xml:space="preserve">Смартфон Google Pixel 7a (Charcoal)</t>
  </si>
  <si>
    <t>№АРТ-235</t>
  </si>
  <si>
    <t xml:space="preserve">Планшет Huawei MateBook E</t>
  </si>
  <si>
    <t xml:space="preserve">38 000</t>
  </si>
  <si>
    <t>АРТ_236</t>
  </si>
  <si>
    <t xml:space="preserve">планшет HUAWEI MATEBOOK E</t>
  </si>
  <si>
    <t>237/24</t>
  </si>
  <si>
    <t xml:space="preserve">Планшет Huawei MateBook E (i5)</t>
  </si>
  <si>
    <t>№АРТ-238</t>
  </si>
  <si>
    <t xml:space="preserve">Телевизор Sony X90L</t>
  </si>
  <si>
    <t xml:space="preserve">110 990</t>
  </si>
  <si>
    <t>АРТ_239</t>
  </si>
  <si>
    <t xml:space="preserve">телевизор SONY X90L</t>
  </si>
  <si>
    <t>240-24</t>
  </si>
  <si>
    <t xml:space="preserve">Телевизор Sony X90L (55")</t>
  </si>
  <si>
    <t xml:space="preserve">113 500</t>
  </si>
  <si>
    <t>№АРТ-241</t>
  </si>
  <si>
    <t xml:space="preserve">Наушники Focal Bathys</t>
  </si>
  <si>
    <t>Focal</t>
  </si>
  <si>
    <t>АРТ_242</t>
  </si>
  <si>
    <t xml:space="preserve">наушники FOCAL BATHYS</t>
  </si>
  <si>
    <t>focal</t>
  </si>
  <si>
    <t>243/24</t>
  </si>
  <si>
    <t xml:space="preserve">Наушники Focal Bathys (Беспроводные)</t>
  </si>
  <si>
    <t>FOCAL</t>
  </si>
  <si>
    <t>№АРТ-244</t>
  </si>
  <si>
    <t xml:space="preserve">Монитор Samsung Smart Monitor M8</t>
  </si>
  <si>
    <t xml:space="preserve">77 990</t>
  </si>
  <si>
    <t>АРТ_245</t>
  </si>
  <si>
    <t xml:space="preserve">монитор SAMSUNG SMART MONITOR M8</t>
  </si>
  <si>
    <t xml:space="preserve">75 000</t>
  </si>
  <si>
    <t>246-24</t>
  </si>
  <si>
    <t xml:space="preserve">Монитор Samsung Smart Monitor M8 (32")</t>
  </si>
  <si>
    <t>№АРТ-247</t>
  </si>
  <si>
    <t xml:space="preserve">Клавиатура Logitech G Pro X</t>
  </si>
  <si>
    <t>АРТ_248</t>
  </si>
  <si>
    <t xml:space="preserve">клавиатура LOGITECH G PRO X</t>
  </si>
  <si>
    <t>249/24</t>
  </si>
  <si>
    <t xml:space="preserve">Клавиатура Logitech G Pro X (Rapid)</t>
  </si>
  <si>
    <t>№АРТ-250</t>
  </si>
  <si>
    <t xml:space="preserve">Смарт-часы Garmin Venu 3</t>
  </si>
  <si>
    <t>АРТ_251</t>
  </si>
  <si>
    <t xml:space="preserve">смарт-часы GARMIN VENU 3</t>
  </si>
  <si>
    <t>252-24</t>
  </si>
  <si>
    <t xml:space="preserve">Смарт-часы Garmin Venu 3 (Sapphire)</t>
  </si>
  <si>
    <t>№АРТ-253</t>
  </si>
  <si>
    <t xml:space="preserve">Ноутбук Dell Alienware m18</t>
  </si>
  <si>
    <t xml:space="preserve">105 000</t>
  </si>
  <si>
    <t xml:space="preserve">159 990</t>
  </si>
  <si>
    <t>АРТ_254</t>
  </si>
  <si>
    <t xml:space="preserve">ноутбук DELL ALIENWARE M18</t>
  </si>
  <si>
    <t xml:space="preserve">103 000</t>
  </si>
  <si>
    <t xml:space="preserve">157 000</t>
  </si>
  <si>
    <t>255/24</t>
  </si>
  <si>
    <t xml:space="preserve">Ноутбук Dell Alienware m18 (Gaming)</t>
  </si>
  <si>
    <t xml:space="preserve">163 000</t>
  </si>
  <si>
    <t>№АРТ-256</t>
  </si>
  <si>
    <t xml:space="preserve">Смартфон Nokia XR21</t>
  </si>
  <si>
    <t>Nokia</t>
  </si>
  <si>
    <t xml:space="preserve">37 990</t>
  </si>
  <si>
    <t>АРТ_257</t>
  </si>
  <si>
    <t xml:space="preserve">смартфон NOKIA XR21</t>
  </si>
  <si>
    <t>nokia</t>
  </si>
  <si>
    <t>258-24</t>
  </si>
  <si>
    <t xml:space="preserve">Смартфон Nokia XR21 (Black)</t>
  </si>
  <si>
    <t>NOKIA</t>
  </si>
  <si>
    <t>№АРТ-259</t>
  </si>
  <si>
    <t xml:space="preserve">Телевизор Philips 55PUS8888</t>
  </si>
  <si>
    <t xml:space="preserve">92 990</t>
  </si>
  <si>
    <t>АРТ_260</t>
  </si>
  <si>
    <t xml:space="preserve">телевизор PHILIPS 55PUS8888</t>
  </si>
  <si>
    <t>261/24</t>
  </si>
  <si>
    <t xml:space="preserve">Телевизор Philips 55PUS8888 (The One)</t>
  </si>
  <si>
    <t>№АРТ-262</t>
  </si>
  <si>
    <t xml:space="preserve">Наушники AKG K371</t>
  </si>
  <si>
    <t>AKG</t>
  </si>
  <si>
    <t xml:space="preserve">11 990</t>
  </si>
  <si>
    <t>АРТ_263</t>
  </si>
  <si>
    <t xml:space="preserve">наушники AKG K371</t>
  </si>
  <si>
    <t>akg</t>
  </si>
  <si>
    <t xml:space="preserve">11 000</t>
  </si>
  <si>
    <t>264-24</t>
  </si>
  <si>
    <t xml:space="preserve">Наушники AKG K371 (BT)</t>
  </si>
  <si>
    <t xml:space="preserve">12 800</t>
  </si>
  <si>
    <t>№АРТ-265</t>
  </si>
  <si>
    <t xml:space="preserve">Монитор AOC U32U1</t>
  </si>
  <si>
    <t>AOC</t>
  </si>
  <si>
    <t xml:space="preserve">67 990</t>
  </si>
  <si>
    <t>АРТ_266</t>
  </si>
  <si>
    <t xml:space="preserve">монитор AOC U32U1</t>
  </si>
  <si>
    <t>aoc</t>
  </si>
  <si>
    <t xml:space="preserve">65 500</t>
  </si>
  <si>
    <t>267/24</t>
  </si>
  <si>
    <t xml:space="preserve">Монитор AOC U32U1 (4K)</t>
  </si>
  <si>
    <t xml:space="preserve">45 500</t>
  </si>
  <si>
    <t>№АРТ-268</t>
  </si>
  <si>
    <t xml:space="preserve">Колонка Marshall Stanmore II</t>
  </si>
  <si>
    <t>АРТ_269</t>
  </si>
  <si>
    <t xml:space="preserve">колонка MARSHALL STANMORE II</t>
  </si>
  <si>
    <t xml:space="preserve">21 500</t>
  </si>
  <si>
    <t>270-24</t>
  </si>
  <si>
    <t xml:space="preserve">Колонка Marshall Stanmore II (Black)</t>
  </si>
  <si>
    <t xml:space="preserve">24 500</t>
  </si>
  <si>
    <t>№АРТ-271</t>
  </si>
  <si>
    <t xml:space="preserve">Смартфон ZTE Axon 40</t>
  </si>
  <si>
    <t>ZTE</t>
  </si>
  <si>
    <t xml:space="preserve">44 990</t>
  </si>
  <si>
    <t>АРТ_272</t>
  </si>
  <si>
    <t xml:space="preserve">смартфон ZTE AXON 40</t>
  </si>
  <si>
    <t>zte</t>
  </si>
  <si>
    <t>273/24</t>
  </si>
  <si>
    <t xml:space="preserve">Смартфон ZTE Axon 40 (Ultra)</t>
  </si>
  <si>
    <t>№АРТ-274</t>
  </si>
  <si>
    <t xml:space="preserve">Планшет Lenovo Yoga Tab 13</t>
  </si>
  <si>
    <t xml:space="preserve">48 990</t>
  </si>
  <si>
    <t>АРТ_275</t>
  </si>
  <si>
    <t xml:space="preserve">планшет LENOVO YOGA TAB 13</t>
  </si>
  <si>
    <t xml:space="preserve">47 000</t>
  </si>
  <si>
    <t>276-24</t>
  </si>
  <si>
    <t xml:space="preserve">Планшет Lenovo Yoga Tab 13 (Pro)</t>
  </si>
  <si>
    <t>№АРТ-277</t>
  </si>
  <si>
    <t xml:space="preserve">Телевизор Samsung QLED Q80B</t>
  </si>
  <si>
    <t xml:space="preserve">114 990</t>
  </si>
  <si>
    <t>АРТ_278</t>
  </si>
  <si>
    <t xml:space="preserve">телевизор SAMSUNG QLED Q80B</t>
  </si>
  <si>
    <t xml:space="preserve">73 000</t>
  </si>
  <si>
    <t>279/24</t>
  </si>
  <si>
    <t xml:space="preserve">Телевизор Samsung QLED Q80B (65")</t>
  </si>
  <si>
    <t xml:space="preserve">76 500</t>
  </si>
  <si>
    <t xml:space="preserve">117 500</t>
  </si>
  <si>
    <t>№АРТ-280</t>
  </si>
  <si>
    <t xml:space="preserve">Наушники Sony WF-1000XM5</t>
  </si>
  <si>
    <t xml:space="preserve">20 000</t>
  </si>
  <si>
    <t xml:space="preserve">32 990</t>
  </si>
  <si>
    <t>АРТ_281</t>
  </si>
  <si>
    <t xml:space="preserve">наушники SONY WF-1000XM5</t>
  </si>
  <si>
    <t>282-24</t>
  </si>
  <si>
    <t xml:space="preserve">Наушники Sony WF-1000XM5 (Black)</t>
  </si>
  <si>
    <t>№АРТ-283</t>
  </si>
  <si>
    <t xml:space="preserve">Монитор LG 34WP88C</t>
  </si>
  <si>
    <t>АРТ_284</t>
  </si>
  <si>
    <t xml:space="preserve">монитор LG 34WP88C</t>
  </si>
  <si>
    <t xml:space="preserve">53 000</t>
  </si>
  <si>
    <t>285/24</t>
  </si>
  <si>
    <t xml:space="preserve">Монитор LG 34WP88C (UltraWide)</t>
  </si>
  <si>
    <t xml:space="preserve">87 500</t>
  </si>
  <si>
    <t>№АРТ-286</t>
  </si>
  <si>
    <t xml:space="preserve">Клавиатура NuPhy Air75</t>
  </si>
  <si>
    <t>NuPhy</t>
  </si>
  <si>
    <t xml:space="preserve">7 490</t>
  </si>
  <si>
    <t>АРТ_287</t>
  </si>
  <si>
    <t xml:space="preserve">клавиатура NUPHY AIR75</t>
  </si>
  <si>
    <t>nuphy</t>
  </si>
  <si>
    <t>288-24</t>
  </si>
  <si>
    <t xml:space="preserve">Клавиатура NuPhy Air75 (RGB)</t>
  </si>
  <si>
    <t>NUPHY</t>
  </si>
  <si>
    <t>№АРТ-289</t>
  </si>
  <si>
    <t xml:space="preserve">Смарт-часы Polar Vantage V3</t>
  </si>
  <si>
    <t>Polar</t>
  </si>
  <si>
    <t xml:space="preserve">62 990</t>
  </si>
  <si>
    <t>АРТ_290</t>
  </si>
  <si>
    <t xml:space="preserve">смарт-часы POLAR VANTAGE V3</t>
  </si>
  <si>
    <t>polar</t>
  </si>
  <si>
    <t>291/24</t>
  </si>
  <si>
    <t xml:space="preserve">Смарт-часы Polar Vantage V3 (Titanium)</t>
  </si>
  <si>
    <t>POLAR</t>
  </si>
  <si>
    <t>№АРТ-292</t>
  </si>
  <si>
    <t xml:space="preserve">Ноутбук Microsoft Surface Laptop 5</t>
  </si>
  <si>
    <t>АРТ_293</t>
  </si>
  <si>
    <t xml:space="preserve">ноутбук MICROSOFT SURFACE LAPTOP 5</t>
  </si>
  <si>
    <t>294-24</t>
  </si>
  <si>
    <t xml:space="preserve">Ноутбук Microsoft Surface Laptop 5 (15")</t>
  </si>
  <si>
    <t xml:space="preserve">137 500</t>
  </si>
  <si>
    <t>№АРТ-295</t>
  </si>
  <si>
    <t xml:space="preserve">Смартфон Infinix Zero 30</t>
  </si>
  <si>
    <t>Infinix</t>
  </si>
  <si>
    <t>АРТ_296</t>
  </si>
  <si>
    <t xml:space="preserve">смартфон INFINIX ZERO 30</t>
  </si>
  <si>
    <t>infinix</t>
  </si>
  <si>
    <t>297/24</t>
  </si>
  <si>
    <t xml:space="preserve">Смартфон Infinix Zero 30 (5G)</t>
  </si>
  <si>
    <t>INFINIX</t>
  </si>
  <si>
    <t>№АРТ-298</t>
  </si>
  <si>
    <t xml:space="preserve">Телевизор Hisense A6K</t>
  </si>
  <si>
    <t xml:space="preserve">65 990</t>
  </si>
  <si>
    <t>АРТ_299</t>
  </si>
  <si>
    <t xml:space="preserve">телевизор HISENSE A6K</t>
  </si>
  <si>
    <t xml:space="preserve">40 500</t>
  </si>
  <si>
    <t>300-24</t>
  </si>
  <si>
    <t xml:space="preserve">Телевизор Hisense A6K (50")</t>
  </si>
  <si>
    <t>№АРТ-301</t>
  </si>
  <si>
    <t xml:space="preserve">Наушники Edifier W820NB</t>
  </si>
  <si>
    <t>Edifier</t>
  </si>
  <si>
    <t>АРТ_302</t>
  </si>
  <si>
    <t xml:space="preserve">наушники EDIFIER W820NB</t>
  </si>
  <si>
    <t>edifier</t>
  </si>
  <si>
    <t xml:space="preserve">4 000</t>
  </si>
  <si>
    <t>303/24</t>
  </si>
  <si>
    <t xml:space="preserve">Наушники Edifier W820NB (Pro)</t>
  </si>
  <si>
    <t>EDIFIER</t>
  </si>
  <si>
    <t xml:space="preserve">8 800</t>
  </si>
  <si>
    <t>№АРТ-304</t>
  </si>
  <si>
    <t xml:space="preserve">Монитор Acer Nitro XV282K</t>
  </si>
  <si>
    <t>АРТ_305</t>
  </si>
  <si>
    <t xml:space="preserve">монитор ACER NITRO XV282K</t>
  </si>
  <si>
    <t xml:space="preserve">57 500</t>
  </si>
  <si>
    <t>306-24</t>
  </si>
  <si>
    <t xml:space="preserve">Монитор Acer Nitro XV282K (4K)</t>
  </si>
  <si>
    <t>№АРТ-307</t>
  </si>
  <si>
    <t xml:space="preserve">Мышь Razer Viper V2 Pro</t>
  </si>
  <si>
    <t>АРТ_308</t>
  </si>
  <si>
    <t xml:space="preserve">мышь RAZER VIPER V2 PRO</t>
  </si>
  <si>
    <t>309/24</t>
  </si>
  <si>
    <t xml:space="preserve">Мышь Razer Viper V2 Pro (White)</t>
  </si>
  <si>
    <t xml:space="preserve">9 800</t>
  </si>
  <si>
    <t>№АРТ-310</t>
  </si>
  <si>
    <t xml:space="preserve">Планшет Samsung Galaxy Tab S8</t>
  </si>
  <si>
    <t>АРТ_311</t>
  </si>
  <si>
    <t xml:space="preserve">планшет SAMSUNG GALAXY TAB S8</t>
  </si>
  <si>
    <t>312-24</t>
  </si>
  <si>
    <t xml:space="preserve">Планшет Samsung Galaxy Tab S8 (Ultra)</t>
  </si>
  <si>
    <t>№АРТ-313</t>
  </si>
  <si>
    <t xml:space="preserve">Смартфон Apple iPhone 14</t>
  </si>
  <si>
    <t>АРТ_314</t>
  </si>
  <si>
    <t xml:space="preserve">смартфон APPLE IPHONE 14</t>
  </si>
  <si>
    <t>315/24</t>
  </si>
  <si>
    <t xml:space="preserve">Смартфон Apple iPhone 14 (Blue)</t>
  </si>
  <si>
    <t>№АРТ-316</t>
  </si>
  <si>
    <t xml:space="preserve">Ноутбук ASUS TUF Gaming F15</t>
  </si>
  <si>
    <t>АРТ_317</t>
  </si>
  <si>
    <t xml:space="preserve">ноутбук ASUS TUF GAMING F15</t>
  </si>
  <si>
    <t>318-24</t>
  </si>
  <si>
    <t xml:space="preserve">Ноутбук ASUS TUF Gaming F15 (Gaming)</t>
  </si>
  <si>
    <t xml:space="preserve">112 500</t>
  </si>
  <si>
    <t>№АРТ-319</t>
  </si>
  <si>
    <t xml:space="preserve">Телевизор TCL 98C735</t>
  </si>
  <si>
    <t xml:space="preserve">120 000</t>
  </si>
  <si>
    <t xml:space="preserve">184 990</t>
  </si>
  <si>
    <t>АРТ_320</t>
  </si>
  <si>
    <t xml:space="preserve">телевизор TCL 98C735</t>
  </si>
  <si>
    <t xml:space="preserve">118 000</t>
  </si>
  <si>
    <t xml:space="preserve">181 500</t>
  </si>
  <si>
    <t>321/24</t>
  </si>
  <si>
    <t xml:space="preserve">Телевизор TCL 98C735 (QLED)</t>
  </si>
  <si>
    <t xml:space="preserve">122 000</t>
  </si>
  <si>
    <t xml:space="preserve">188 000</t>
  </si>
  <si>
    <t>№АРТ-322</t>
  </si>
  <si>
    <t xml:space="preserve">Наушники Sony WH-CH720N</t>
  </si>
  <si>
    <t>АРТ_323</t>
  </si>
  <si>
    <t xml:space="preserve">наушники SONY WH-CH720N</t>
  </si>
  <si>
    <t>324-24</t>
  </si>
  <si>
    <t xml:space="preserve">Наушники Sony WH-CH720N (Black)</t>
  </si>
  <si>
    <t xml:space="preserve">13 800</t>
  </si>
  <si>
    <t>№АРТ-325</t>
  </si>
  <si>
    <t xml:space="preserve">Монитор LG 27UP850N</t>
  </si>
  <si>
    <t xml:space="preserve">43 000</t>
  </si>
  <si>
    <t xml:space="preserve">66 990</t>
  </si>
  <si>
    <t>АРТ_326</t>
  </si>
  <si>
    <t xml:space="preserve">монитор LG 27UP850N</t>
  </si>
  <si>
    <t xml:space="preserve">64 500</t>
  </si>
  <si>
    <t>327/24</t>
  </si>
  <si>
    <t xml:space="preserve">Монитор LG 27UP850N (4K)</t>
  </si>
  <si>
    <t xml:space="preserve">69 000</t>
  </si>
  <si>
    <t>№АРТ-328</t>
  </si>
  <si>
    <t xml:space="preserve">Клавиатура Keychron Q1 Pro</t>
  </si>
  <si>
    <t>АРТ_329</t>
  </si>
  <si>
    <t xml:space="preserve">клавиатура KEYCHRON Q1 PRO</t>
  </si>
  <si>
    <t>330-24</t>
  </si>
  <si>
    <t xml:space="preserve">Клавиатура Keychron Q1 Pro (Knob)</t>
  </si>
  <si>
    <t>№АРТ-331</t>
  </si>
  <si>
    <t xml:space="preserve">Смарт-часы Suunto 9 Peak</t>
  </si>
  <si>
    <t>Suunto</t>
  </si>
  <si>
    <t>АРТ_332</t>
  </si>
  <si>
    <t xml:space="preserve">смарт-часы SUUNTO 9 PEAK</t>
  </si>
  <si>
    <t>suunto</t>
  </si>
  <si>
    <t>333/24</t>
  </si>
  <si>
    <t xml:space="preserve">Смарт-часы Suunto 9 Peak (Titanium)</t>
  </si>
  <si>
    <t>SUUNTO</t>
  </si>
  <si>
    <t>№АРТ-334</t>
  </si>
  <si>
    <t xml:space="preserve">Планшет OnePlus Pad</t>
  </si>
  <si>
    <t>АРТ_335</t>
  </si>
  <si>
    <t xml:space="preserve">планшет ONEPLUS PAD</t>
  </si>
  <si>
    <t>336-24</t>
  </si>
  <si>
    <t xml:space="preserve">Планшет OnePlus Pad (Green)</t>
  </si>
  <si>
    <t>№АРТ-337</t>
  </si>
  <si>
    <t xml:space="preserve">Смартфон Motorola Razr 40</t>
  </si>
  <si>
    <t>АРТ_338</t>
  </si>
  <si>
    <t xml:space="preserve">смартфон MOTOROLA RAZR 40</t>
  </si>
  <si>
    <t>339/24</t>
  </si>
  <si>
    <t xml:space="preserve">Смартфон Motorola Razr 40 (Ultra)</t>
  </si>
  <si>
    <t>№АРТ-340</t>
  </si>
  <si>
    <t xml:space="preserve">Ноутбук Gigabyte Aero 16</t>
  </si>
  <si>
    <t>АРТ_341</t>
  </si>
  <si>
    <t xml:space="preserve">ноутбук GIGABYTE AERO 16</t>
  </si>
  <si>
    <t>342-24</t>
  </si>
  <si>
    <t xml:space="preserve">Ноутбук Gigabyte Aero 16 (OLED)</t>
  </si>
  <si>
    <t>№АРТ-343</t>
  </si>
  <si>
    <t xml:space="preserve">Телевизор Samsung Crystal UHD</t>
  </si>
  <si>
    <t>АРТ_344</t>
  </si>
  <si>
    <t xml:space="preserve">телевизор SAMSUNG CRYSTAL UHD</t>
  </si>
  <si>
    <t>345/24</t>
  </si>
  <si>
    <t xml:space="preserve">Телевизор Samsung Crystal UHD (55")</t>
  </si>
  <si>
    <t>№АРТ-346</t>
  </si>
  <si>
    <t xml:space="preserve">Наушники Audio-Technica ATH-TWX9</t>
  </si>
  <si>
    <t>АРТ_347</t>
  </si>
  <si>
    <t xml:space="preserve">наушники AUDIO-TECHNICA ATH-TWX9</t>
  </si>
  <si>
    <t>348-24</t>
  </si>
  <si>
    <t xml:space="preserve">Наушники Audio-Technica ATH-TWX9 (Black)</t>
  </si>
  <si>
    <t>№АРТ-349</t>
  </si>
  <si>
    <t xml:space="preserve">Монитор Dell S2721QS</t>
  </si>
  <si>
    <t>АРТ_350</t>
  </si>
  <si>
    <t xml:space="preserve">монитор DELL S2721QS</t>
  </si>
  <si>
    <t>351/24</t>
  </si>
  <si>
    <t xml:space="preserve">Монитор Dell S2721QS (4K)</t>
  </si>
  <si>
    <t>№АРТ-352</t>
  </si>
  <si>
    <t xml:space="preserve">Колонка JBL Flip 6</t>
  </si>
  <si>
    <t>АРТ_353</t>
  </si>
  <si>
    <t xml:space="preserve">колонка JBL FLIP 6</t>
  </si>
  <si>
    <t>354-24</t>
  </si>
  <si>
    <t xml:space="preserve">Колонка JBL Flip 6 (Red)</t>
  </si>
  <si>
    <t>№АРТ-355</t>
  </si>
  <si>
    <t xml:space="preserve">Смартфон Huawei P60 Pro</t>
  </si>
  <si>
    <t xml:space="preserve">85 990</t>
  </si>
  <si>
    <t>АРТ_356</t>
  </si>
  <si>
    <t xml:space="preserve">смартфон HUAWEI P60 PRO</t>
  </si>
  <si>
    <t>357/24</t>
  </si>
  <si>
    <t xml:space="preserve">Смартфон Huawei P60 Pro (Art)</t>
  </si>
  <si>
    <t>№АРТ-358</t>
  </si>
  <si>
    <t xml:space="preserve">Планшет Apple iPad Air</t>
  </si>
  <si>
    <t>АРТ_359</t>
  </si>
  <si>
    <t xml:space="preserve">планшет APPLE IPAD AIR</t>
  </si>
  <si>
    <t>360-24</t>
  </si>
  <si>
    <t xml:space="preserve">Планшет Apple iPad Air (M1)</t>
  </si>
  <si>
    <t>№АРТ-361</t>
  </si>
  <si>
    <t xml:space="preserve">Ноутбук MSI Creator Z17</t>
  </si>
  <si>
    <t xml:space="preserve">145 990</t>
  </si>
  <si>
    <t>АРТ_362</t>
  </si>
  <si>
    <t xml:space="preserve">ноутбук MSI CREATOR Z17</t>
  </si>
  <si>
    <t>363/24</t>
  </si>
  <si>
    <t xml:space="preserve">Ноутбук MSI Creator Z17 (Pro)</t>
  </si>
  <si>
    <t xml:space="preserve">149 000</t>
  </si>
  <si>
    <t>№АРТ-364</t>
  </si>
  <si>
    <t xml:space="preserve">Телевизор Sony A80L</t>
  </si>
  <si>
    <t>АРТ_365</t>
  </si>
  <si>
    <t xml:space="preserve">телевизор SONY A80L</t>
  </si>
  <si>
    <t>366-24</t>
  </si>
  <si>
    <t xml:space="preserve">Телевизор Sony A80L (OLED)</t>
  </si>
  <si>
    <t>№АРТ-367</t>
  </si>
  <si>
    <t xml:space="preserve">Наушники Beats Fit Pro</t>
  </si>
  <si>
    <t>АРТ_368</t>
  </si>
  <si>
    <t xml:space="preserve">наушники BEATS FIT PRO</t>
  </si>
  <si>
    <t>369/24</t>
  </si>
  <si>
    <t xml:space="preserve">Наушники Beats Fit Pro (Black)</t>
  </si>
  <si>
    <t>№АРТ-370</t>
  </si>
  <si>
    <t xml:space="preserve">Монитор ASUS VG27AQ</t>
  </si>
  <si>
    <t>АРТ_371</t>
  </si>
  <si>
    <t xml:space="preserve">монитор ASUS VG27AQ</t>
  </si>
  <si>
    <t>372-24</t>
  </si>
  <si>
    <t xml:space="preserve">Монитор ASUS VG27AQ (Gaming)</t>
  </si>
  <si>
    <t>№АРТ-373</t>
  </si>
  <si>
    <t xml:space="preserve">Клавиатура Razer Huntsman V2</t>
  </si>
  <si>
    <t>АРТ_374</t>
  </si>
  <si>
    <t xml:space="preserve">клавиатура RAZER HUNTSMAN V2</t>
  </si>
  <si>
    <t>375/24</t>
  </si>
  <si>
    <t xml:space="preserve">Клавиатура Razer Huntsman V2 (RGB)</t>
  </si>
  <si>
    <t xml:space="preserve">9 000</t>
  </si>
  <si>
    <t>№АРТ-376</t>
  </si>
  <si>
    <t xml:space="preserve">Смарт-часы Xiaomi Watch S1</t>
  </si>
  <si>
    <t>АРТ_377</t>
  </si>
  <si>
    <t xml:space="preserve">смарт-часы XIAOMI WATCH S1</t>
  </si>
  <si>
    <t>378-24</t>
  </si>
  <si>
    <t xml:space="preserve">Смарт-часы Xiaomi Watch S1 (Active)</t>
  </si>
  <si>
    <t>№АРТ-379</t>
  </si>
  <si>
    <t xml:space="preserve">Планшет Samsung Galaxy Tab S6</t>
  </si>
  <si>
    <t xml:space="preserve">36 990</t>
  </si>
  <si>
    <t>АРТ_380</t>
  </si>
  <si>
    <t xml:space="preserve">планшет SAMSUNG GALAXY TAB S6</t>
  </si>
  <si>
    <t xml:space="preserve">35 500</t>
  </si>
  <si>
    <t>381/24</t>
  </si>
  <si>
    <t xml:space="preserve">Планшет Samsung Galaxy Tab S6 (Lite)</t>
  </si>
  <si>
    <t>№АРТ-382</t>
  </si>
  <si>
    <t xml:space="preserve">Смартфон OnePlus Nord 3</t>
  </si>
  <si>
    <t>АРТ_383</t>
  </si>
  <si>
    <t xml:space="preserve">смартфон ONEPLUS NORD 3</t>
  </si>
  <si>
    <t>384-24</t>
  </si>
  <si>
    <t xml:space="preserve">Смартфон OnePlus Nord 3 (Green)</t>
  </si>
  <si>
    <t>№АРТ-385</t>
  </si>
  <si>
    <t xml:space="preserve">Ноутбук HP Omen 16</t>
  </si>
  <si>
    <t xml:space="preserve">116 990</t>
  </si>
  <si>
    <t>АРТ_386</t>
  </si>
  <si>
    <t xml:space="preserve">ноутбук HP OMEN 16</t>
  </si>
  <si>
    <t xml:space="preserve">74 000</t>
  </si>
  <si>
    <t xml:space="preserve">114 000</t>
  </si>
  <si>
    <t>387/24</t>
  </si>
  <si>
    <t xml:space="preserve">Ноутбук HP Omen 16 (Gaming)</t>
  </si>
  <si>
    <t xml:space="preserve">119 500</t>
  </si>
  <si>
    <t>№АРТ-388</t>
  </si>
  <si>
    <t xml:space="preserve">Телевизор Panasonic LX800</t>
  </si>
  <si>
    <t>АРТ_389</t>
  </si>
  <si>
    <t xml:space="preserve">телевизор PANASONIC LX800</t>
  </si>
  <si>
    <t>390-24</t>
  </si>
  <si>
    <t xml:space="preserve">Телевизор Panasonic LX800 (55")</t>
  </si>
  <si>
    <t>№АРТ-391</t>
  </si>
  <si>
    <t xml:space="preserve">Наушники Sony LinkBuds S</t>
  </si>
  <si>
    <t xml:space="preserve">18 990</t>
  </si>
  <si>
    <t>АРТ_392</t>
  </si>
  <si>
    <t xml:space="preserve">наушники SONY LINKBUDS S</t>
  </si>
  <si>
    <t>393/24</t>
  </si>
  <si>
    <t xml:space="preserve">Наушники Sony LinkBuds S (White)</t>
  </si>
  <si>
    <t xml:space="preserve">19 800</t>
  </si>
  <si>
    <t>№АРТ-394</t>
  </si>
  <si>
    <t xml:space="preserve">Монитор BenQ EW3270U</t>
  </si>
  <si>
    <t>АРТ_395</t>
  </si>
  <si>
    <t xml:space="preserve">монитор BENQ EW3270U</t>
  </si>
  <si>
    <t>396-24</t>
  </si>
  <si>
    <t xml:space="preserve">Монитор BenQ EW3270U (4K)</t>
  </si>
  <si>
    <t>№АРТ-397</t>
  </si>
  <si>
    <t xml:space="preserve">Мышь Logitech G502 X</t>
  </si>
  <si>
    <t>АРТ_398</t>
  </si>
  <si>
    <t xml:space="preserve">мышь LOGITECH G502 X</t>
  </si>
  <si>
    <t>399/24</t>
  </si>
  <si>
    <t xml:space="preserve">Мышь Logitech G502 X (Plus)</t>
  </si>
  <si>
    <t>№АРТ-400</t>
  </si>
  <si>
    <t xml:space="preserve">Смартфон Realme C55</t>
  </si>
  <si>
    <t>АРТ_401</t>
  </si>
  <si>
    <t xml:space="preserve">смартфон REALME C55</t>
  </si>
  <si>
    <t>402-24</t>
  </si>
  <si>
    <t xml:space="preserve">Смартфон Realme C55 (Black)</t>
  </si>
  <si>
    <t>№АРТ-403</t>
  </si>
  <si>
    <t xml:space="preserve">Планшет Lenovo Tab M10</t>
  </si>
  <si>
    <t>АРТ_404</t>
  </si>
  <si>
    <t xml:space="preserve">планшет LENOVO TAB M10</t>
  </si>
  <si>
    <t>405/24</t>
  </si>
  <si>
    <t xml:space="preserve">Планшет Lenovo Tab M10 (HD)</t>
  </si>
  <si>
    <t>№АРТ-406</t>
  </si>
  <si>
    <t xml:space="preserve">Телевизор LG NanoCell 75</t>
  </si>
  <si>
    <t>АРТ_407</t>
  </si>
  <si>
    <t xml:space="preserve">телевизор LG NANOCELL 75</t>
  </si>
  <si>
    <t>408-24</t>
  </si>
  <si>
    <t xml:space="preserve">Телевизор LG NanoCell 75 (65")</t>
  </si>
  <si>
    <t>№АРТ-409</t>
  </si>
  <si>
    <t xml:space="preserve">Наушники Sennheiser MOMENTUM 4</t>
  </si>
  <si>
    <t>АРТ_410</t>
  </si>
  <si>
    <t xml:space="preserve">наушники SENNHEISER MOMENTUM 4</t>
  </si>
  <si>
    <t>411/24</t>
  </si>
  <si>
    <t xml:space="preserve">Наушники Sennheiser MOMENTUM 4 (Black)</t>
  </si>
  <si>
    <t>№АРТ-412</t>
  </si>
  <si>
    <t xml:space="preserve">Монитор ViewSonic VP2458</t>
  </si>
  <si>
    <t>АРТ_413</t>
  </si>
  <si>
    <t xml:space="preserve">монитор VIEWSONIC VP2458</t>
  </si>
  <si>
    <t>414-24</t>
  </si>
  <si>
    <t xml:space="preserve">Монитор ViewSonic VP2458 (Pro)</t>
  </si>
  <si>
    <t>№АРТ-415</t>
  </si>
  <si>
    <t xml:space="preserve">Клавиатура Corsair K100 RGB</t>
  </si>
  <si>
    <t xml:space="preserve">14 990</t>
  </si>
  <si>
    <t>АРТ_416</t>
  </si>
  <si>
    <t xml:space="preserve">клавиатура CORSAIR K100 RGB</t>
  </si>
  <si>
    <t>417/24</t>
  </si>
  <si>
    <t xml:space="preserve">Клавиатура Corsair K100 RGB (OPX)</t>
  </si>
  <si>
    <t>№АРТ-418</t>
  </si>
  <si>
    <t xml:space="preserve">Смарт-часы Amazfit T-Rex 2</t>
  </si>
  <si>
    <t>Amazfit</t>
  </si>
  <si>
    <t>АРТ_419</t>
  </si>
  <si>
    <t xml:space="preserve">смарт-часы AMAZFIT T-REX 2</t>
  </si>
  <si>
    <t>amazfit</t>
  </si>
  <si>
    <t>420-24</t>
  </si>
  <si>
    <t xml:space="preserve">Смарт-часы Amazfit T-Rex 2 (Military)</t>
  </si>
  <si>
    <t>AMAZFIT</t>
  </si>
  <si>
    <t>№АРТ-421</t>
  </si>
  <si>
    <t xml:space="preserve">Ноутбук Acer Predator Helios 300</t>
  </si>
  <si>
    <t>АРТ_422</t>
  </si>
  <si>
    <t xml:space="preserve">ноутбук ACER PREDATOR HELIOS 300</t>
  </si>
  <si>
    <t>423/24</t>
  </si>
  <si>
    <t xml:space="preserve">Ноутбук Acer Predator Helios 300 (Gaming)</t>
  </si>
  <si>
    <t>№АРТ-424</t>
  </si>
  <si>
    <t xml:space="preserve">Смартфон Oppo Reno 10</t>
  </si>
  <si>
    <t>АРТ_425</t>
  </si>
  <si>
    <t xml:space="preserve">смартфон OPPO RENO 10</t>
  </si>
  <si>
    <t>426-24</t>
  </si>
  <si>
    <t xml:space="preserve">Смартфон Oppo Reno 10 (Pro)</t>
  </si>
  <si>
    <t>№АРТ-427</t>
  </si>
  <si>
    <t xml:space="preserve">Телевизор Xiaomi TV 5</t>
  </si>
  <si>
    <t>АРТ_428</t>
  </si>
  <si>
    <t xml:space="preserve">телевизор XIAOMI TV 5</t>
  </si>
  <si>
    <t>429/24</t>
  </si>
  <si>
    <t xml:space="preserve">Телевизор Xiaomi TV 5 (55")</t>
  </si>
  <si>
    <t>№АРТ-430</t>
  </si>
  <si>
    <t xml:space="preserve">Наушники Marshall Motif II</t>
  </si>
  <si>
    <t>АРТ_431</t>
  </si>
  <si>
    <t xml:space="preserve">наушники MARSHALL MOTIF II</t>
  </si>
  <si>
    <t>432-24</t>
  </si>
  <si>
    <t xml:space="preserve">Наушники Marshall Motif II (Black)</t>
  </si>
  <si>
    <t>№АРТ-433</t>
  </si>
  <si>
    <t xml:space="preserve">Монитор MSI PRO MP271</t>
  </si>
  <si>
    <t xml:space="preserve">43 990</t>
  </si>
  <si>
    <t>АРТ_434</t>
  </si>
  <si>
    <t xml:space="preserve">монитор MSI PRO MP271</t>
  </si>
  <si>
    <t>435/24</t>
  </si>
  <si>
    <t xml:space="preserve">Монитор MSI PRO MP271 (Business)</t>
  </si>
  <si>
    <t xml:space="preserve">29 500</t>
  </si>
  <si>
    <t>№АРТ-436</t>
  </si>
  <si>
    <t xml:space="preserve">Колонка Sony SRS-XB13</t>
  </si>
  <si>
    <t>АРТ_437</t>
  </si>
  <si>
    <t xml:space="preserve">колонка SONY SRS-XB13</t>
  </si>
  <si>
    <t>438-24</t>
  </si>
  <si>
    <t xml:space="preserve">Колонка Sony SRS-XB13 (Blue)</t>
  </si>
  <si>
    <t>№АРТ-439</t>
  </si>
  <si>
    <t xml:space="preserve">Планшет Honor Pad 8</t>
  </si>
  <si>
    <t>АРТ_440</t>
  </si>
  <si>
    <t xml:space="preserve">планшет HONOR PAD 8</t>
  </si>
  <si>
    <t>441/24</t>
  </si>
  <si>
    <t xml:space="preserve">Планшет Honor Pad 8 (Wi-Fi)</t>
  </si>
  <si>
    <t>№АРТ-442</t>
  </si>
  <si>
    <t xml:space="preserve">Смартфон Vivo Y100</t>
  </si>
  <si>
    <t>АРТ_443</t>
  </si>
  <si>
    <t xml:space="preserve">смартфон VIVO Y100</t>
  </si>
  <si>
    <t>444-24</t>
  </si>
  <si>
    <t xml:space="preserve">Смартфон Vivo Y100 (Black)</t>
  </si>
  <si>
    <t>№АРТ-445</t>
  </si>
  <si>
    <t xml:space="preserve">Ноутбук Framework Laptop 16</t>
  </si>
  <si>
    <t xml:space="preserve">141 990</t>
  </si>
  <si>
    <t>АРТ_446</t>
  </si>
  <si>
    <t xml:space="preserve">ноутбук FRAMEWORK LAPTOP 16</t>
  </si>
  <si>
    <t xml:space="preserve">139 000</t>
  </si>
  <si>
    <t>447/24</t>
  </si>
  <si>
    <t xml:space="preserve">Ноутбук Framework Laptop 16 (Gaming)</t>
  </si>
  <si>
    <t xml:space="preserve">144 500</t>
  </si>
  <si>
    <t>№АРТ-448</t>
  </si>
  <si>
    <t xml:space="preserve">Телевизор Philips 50PUS8507</t>
  </si>
  <si>
    <t xml:space="preserve">73 990</t>
  </si>
  <si>
    <t>АРТ_449</t>
  </si>
  <si>
    <t xml:space="preserve">телевизор PHILIPS 50PUS8507</t>
  </si>
  <si>
    <t>450-24</t>
  </si>
  <si>
    <t xml:space="preserve">Телевизор Philips 50PUS8507 (The One)</t>
  </si>
  <si>
    <t>№АРТ-451</t>
  </si>
  <si>
    <t xml:space="preserve">Наушники Apple AirPods Max</t>
  </si>
  <si>
    <t>АРТ_452</t>
  </si>
  <si>
    <t xml:space="preserve">наушники APPLE AIRPODS MAX</t>
  </si>
  <si>
    <t>453/24</t>
  </si>
  <si>
    <t xml:space="preserve">Наушники Apple AirPods Max (Silver)</t>
  </si>
  <si>
    <t>№АРТ-454</t>
  </si>
  <si>
    <t xml:space="preserve">Монитор Samsung Odyssey G7</t>
  </si>
  <si>
    <t xml:space="preserve">74 990</t>
  </si>
  <si>
    <t>АРТ_455</t>
  </si>
  <si>
    <t xml:space="preserve">монитор SAMSUNG ODYSSEY G7</t>
  </si>
  <si>
    <t>456-24</t>
  </si>
  <si>
    <t xml:space="preserve">Монитор Samsung Odyssey G7 (Curved)</t>
  </si>
  <si>
    <t>№АРТ-457</t>
  </si>
  <si>
    <t xml:space="preserve">Клавиатура Ducky One 2 Mini</t>
  </si>
  <si>
    <t>АРТ_458</t>
  </si>
  <si>
    <t xml:space="preserve">клавиатура DUCKY ONE 2 MINI</t>
  </si>
  <si>
    <t>459/24</t>
  </si>
  <si>
    <t xml:space="preserve">Клавиатура Ducky One 2 Mini (RGB)</t>
  </si>
  <si>
    <t>№АРТ-460</t>
  </si>
  <si>
    <t xml:space="preserve">Смарт-часы Garmin Instinct 2</t>
  </si>
  <si>
    <t>АРТ_461</t>
  </si>
  <si>
    <t xml:space="preserve">смарт-часы GARMIN INSTINCT 2</t>
  </si>
  <si>
    <t>462-24</t>
  </si>
  <si>
    <t xml:space="preserve">Смарт-часы Garmin Instinct 2 (Solar)</t>
  </si>
  <si>
    <t>№АРТ-463</t>
  </si>
  <si>
    <t xml:space="preserve">Планшет Amazon Fire Max 11</t>
  </si>
  <si>
    <t>АРТ_464</t>
  </si>
  <si>
    <t xml:space="preserve">планшет AMAZON FIRE MAX 11</t>
  </si>
  <si>
    <t>465/24</t>
  </si>
  <si>
    <t xml:space="preserve">Планшет Amazon Fire Max 11 (Pro)</t>
  </si>
  <si>
    <t>№АРТ-466</t>
  </si>
  <si>
    <t xml:space="preserve">Смартфон Nokia G60</t>
  </si>
  <si>
    <t>АРТ_467</t>
  </si>
  <si>
    <t xml:space="preserve">смартфон NOKIA G60</t>
  </si>
  <si>
    <t>468-24</t>
  </si>
  <si>
    <t xml:space="preserve">Смартфон Nokia G60 (Black)</t>
  </si>
  <si>
    <t>№АРТ-469</t>
  </si>
  <si>
    <t xml:space="preserve">Телевизор Hisense E7K</t>
  </si>
  <si>
    <t xml:space="preserve">58 990</t>
  </si>
  <si>
    <t>АРТ_470</t>
  </si>
  <si>
    <t xml:space="preserve">телевизор HISENSE E7K</t>
  </si>
  <si>
    <t>471/24</t>
  </si>
  <si>
    <t xml:space="preserve">Телевизор Hisense E7K (55")</t>
  </si>
  <si>
    <t xml:space="preserve">61 000</t>
  </si>
  <si>
    <t>№АРТ-472</t>
  </si>
  <si>
    <t xml:space="preserve">Наушники Sony WF-C500</t>
  </si>
  <si>
    <t>АРТ_473</t>
  </si>
  <si>
    <t xml:space="preserve">наушники SONY WF-C500</t>
  </si>
  <si>
    <t>474-24</t>
  </si>
  <si>
    <t xml:space="preserve">Наушники Sony WF-C500 (Black)</t>
  </si>
  <si>
    <t>№АРТ-475</t>
  </si>
  <si>
    <t xml:space="preserve">Монитор LG 27GN800</t>
  </si>
  <si>
    <t xml:space="preserve">52 990</t>
  </si>
  <si>
    <t>АРТ_476</t>
  </si>
  <si>
    <t xml:space="preserve">монитор LG 27GN800</t>
  </si>
  <si>
    <t>477/24</t>
  </si>
  <si>
    <t xml:space="preserve">Монитор LG 27GN800 (Gaming)</t>
  </si>
  <si>
    <t>№АРТ-478</t>
  </si>
  <si>
    <t xml:space="preserve">Колонка Marshall Emberton II</t>
  </si>
  <si>
    <t>АРТ_479</t>
  </si>
  <si>
    <t xml:space="preserve">колонка MARSHALL EMBERTON II</t>
  </si>
  <si>
    <t>480-24</t>
  </si>
  <si>
    <t xml:space="preserve">Колонка Marshall Emberton II (Black)</t>
  </si>
  <si>
    <t>№АРТ-481</t>
  </si>
  <si>
    <t xml:space="preserve">Планшет Huawei MatePad 11</t>
  </si>
  <si>
    <t>АРТ_482</t>
  </si>
  <si>
    <t xml:space="preserve">планшет HUAWEI MATEPAD 11</t>
  </si>
  <si>
    <t>483/24</t>
  </si>
  <si>
    <t xml:space="preserve">Планшет Huawei MatePad 11 (2023)</t>
  </si>
  <si>
    <t>№АРТ-484</t>
  </si>
  <si>
    <t xml:space="preserve">Смартфон Google Pixel 6a</t>
  </si>
  <si>
    <t xml:space="preserve">33 990</t>
  </si>
  <si>
    <t>АРТ_485</t>
  </si>
  <si>
    <t xml:space="preserve">смартфон GOOGLE PIXEL 6A</t>
  </si>
  <si>
    <t>486-24</t>
  </si>
  <si>
    <t xml:space="preserve">Смартфон Google Pixel 6a (Charcoal)</t>
  </si>
  <si>
    <t>№АРТ-487</t>
  </si>
  <si>
    <t xml:space="preserve">Ноутбук Dell XPS 13</t>
  </si>
  <si>
    <t>АРТ_488</t>
  </si>
  <si>
    <t xml:space="preserve">ноутбук DELL XPS 13</t>
  </si>
  <si>
    <t>489/24</t>
  </si>
  <si>
    <t xml:space="preserve">Ноутбук Dell XPS 13 (Plus)</t>
  </si>
  <si>
    <t>№АРТ-490</t>
  </si>
  <si>
    <t xml:space="preserve">Телевизор Sony X75L</t>
  </si>
  <si>
    <t xml:space="preserve">61 990</t>
  </si>
  <si>
    <t>АРТ_491</t>
  </si>
  <si>
    <t xml:space="preserve">телевизор SONY X75L</t>
  </si>
  <si>
    <t>492-24</t>
  </si>
  <si>
    <t xml:space="preserve">Телевизор Sony X75L (50")</t>
  </si>
  <si>
    <t>№АРТ-493</t>
  </si>
  <si>
    <t xml:space="preserve">Наушники Sennheiser HD 450BT</t>
  </si>
  <si>
    <t>АРТ_494</t>
  </si>
  <si>
    <t xml:space="preserve">наушники SENNHEISER HD 450BT</t>
  </si>
  <si>
    <t>495/24</t>
  </si>
  <si>
    <t xml:space="preserve">Наушники Sennheiser HD 450BT (Black)</t>
  </si>
  <si>
    <t>№АРТ-496</t>
  </si>
  <si>
    <t xml:space="preserve">Монитор ASUS TUF VG32VQ</t>
  </si>
  <si>
    <t>АРТ_497</t>
  </si>
  <si>
    <t xml:space="preserve">монитор ASUS TUF VG32VQ</t>
  </si>
  <si>
    <t>498-24</t>
  </si>
  <si>
    <t xml:space="preserve">Монитор ASUS TUF VG32VQ (Curved)</t>
  </si>
  <si>
    <t>№АРТ-499</t>
  </si>
  <si>
    <t xml:space="preserve">Клавиатура Logitech POP Keys</t>
  </si>
  <si>
    <t>АРТ_500</t>
  </si>
  <si>
    <t xml:space="preserve">клавиатура LOGITECH POP KEYS</t>
  </si>
  <si>
    <t>501/24</t>
  </si>
  <si>
    <t xml:space="preserve">Клавиатура Logitech POP Keys (Pink)</t>
  </si>
  <si>
    <t>Проверка_цены</t>
  </si>
  <si>
    <t>Проверка_уникальности</t>
  </si>
  <si>
    <t>ID_поставщика</t>
  </si>
  <si>
    <t>Название</t>
  </si>
  <si>
    <t>ИНН</t>
  </si>
  <si>
    <t>КПП</t>
  </si>
  <si>
    <t>Телефон</t>
  </si>
  <si>
    <t>Email</t>
  </si>
  <si>
    <t>Адрес</t>
  </si>
  <si>
    <t>P001</t>
  </si>
  <si>
    <t xml:space="preserve">ООО ТехноСнаб</t>
  </si>
  <si>
    <t>7708123456</t>
  </si>
  <si>
    <t>770801001</t>
  </si>
  <si>
    <t>8-903-123-45-67</t>
  </si>
  <si>
    <t>info@tehnosnab.ru</t>
  </si>
  <si>
    <t xml:space="preserve">125009 г.Москва ул.Тверская д.15</t>
  </si>
  <si>
    <t>P002</t>
  </si>
  <si>
    <t xml:space="preserve">ЗАО ЭлектроПром</t>
  </si>
  <si>
    <t>7812345678123</t>
  </si>
  <si>
    <t>781201001</t>
  </si>
  <si>
    <t xml:space="preserve">+7 903 234-56-78</t>
  </si>
  <si>
    <t>zakaz@electroprom</t>
  </si>
  <si>
    <t xml:space="preserve">191186 г.Санкт-Петербург Невский пр.д.28</t>
  </si>
  <si>
    <t>P003</t>
  </si>
  <si>
    <t xml:space="preserve">ООО КомплектСервис</t>
  </si>
  <si>
    <t>77098765</t>
  </si>
  <si>
    <t>770901001</t>
  </si>
  <si>
    <t xml:space="preserve">8 903 345 67 89</t>
  </si>
  <si>
    <t>komplekt@mail.ru</t>
  </si>
  <si>
    <t xml:space="preserve">127006 г.Москва ул.Петровка д.20</t>
  </si>
  <si>
    <t>P004</t>
  </si>
  <si>
    <t xml:space="preserve">АО ТехноИмпорт</t>
  </si>
  <si>
    <t>7712345678</t>
  </si>
  <si>
    <t>771001001</t>
  </si>
  <si>
    <t>+79034567890</t>
  </si>
  <si>
    <t>import@techno</t>
  </si>
  <si>
    <t xml:space="preserve">119019 г.Москва ул.Арбат д.12</t>
  </si>
  <si>
    <t>P005</t>
  </si>
  <si>
    <t xml:space="preserve">ООО ТоргМастер</t>
  </si>
  <si>
    <t>7801234567890</t>
  </si>
  <si>
    <t>780101001</t>
  </si>
  <si>
    <t>8-903-567-89-01</t>
  </si>
  <si>
    <t>torg@master</t>
  </si>
  <si>
    <t xml:space="preserve">192007 г.Санкт-Петербург пр.Обуховской Обороны д.120</t>
  </si>
  <si>
    <t>P006</t>
  </si>
  <si>
    <t xml:space="preserve">ЗАО Техноресурс</t>
  </si>
  <si>
    <t>77134567</t>
  </si>
  <si>
    <t>771101001</t>
  </si>
  <si>
    <t>8-903-678-90-12</t>
  </si>
  <si>
    <t>resurs@techno.ru</t>
  </si>
  <si>
    <t xml:space="preserve">119121 г.Москва ул.Плющиха д.25</t>
  </si>
  <si>
    <t>P007</t>
  </si>
  <si>
    <t xml:space="preserve">ООО ПрогрессПлюс</t>
  </si>
  <si>
    <t>7802345678</t>
  </si>
  <si>
    <t>780201001</t>
  </si>
  <si>
    <t xml:space="preserve">+7 903 789-01-23</t>
  </si>
  <si>
    <t>progress@mail</t>
  </si>
  <si>
    <t xml:space="preserve">197022 г.Санкт-Петербург ул.Профессора Попова д.37</t>
  </si>
  <si>
    <t>P008</t>
  </si>
  <si>
    <t xml:space="preserve">АО ЭлектронСбыт</t>
  </si>
  <si>
    <t>771456789012</t>
  </si>
  <si>
    <t>771201001</t>
  </si>
  <si>
    <t>8-903-890-12-34</t>
  </si>
  <si>
    <t>electron@sbyt</t>
  </si>
  <si>
    <t xml:space="preserve">109316 г.Москва ул.Таганская д.54</t>
  </si>
  <si>
    <t>P009</t>
  </si>
  <si>
    <t xml:space="preserve">ООО СмартТех</t>
  </si>
  <si>
    <t>7803456789</t>
  </si>
  <si>
    <t>780301001</t>
  </si>
  <si>
    <t>+79039012345</t>
  </si>
  <si>
    <t>smart@tech</t>
  </si>
  <si>
    <t xml:space="preserve">196084 г.Санкт-Петербург ул.Заставская д.22</t>
  </si>
  <si>
    <t>P010</t>
  </si>
  <si>
    <t xml:space="preserve">ЗАО ТехноПром</t>
  </si>
  <si>
    <t>7715678901</t>
  </si>
  <si>
    <t>771301001</t>
  </si>
  <si>
    <t>8-903-012-34-56</t>
  </si>
  <si>
    <t>prom@tehno</t>
  </si>
  <si>
    <t xml:space="preserve">119334 г.Москва ул.Косыгина д.17</t>
  </si>
  <si>
    <t>P011</t>
  </si>
  <si>
    <t xml:space="preserve">ООО СервисПлюс</t>
  </si>
  <si>
    <t>78045678</t>
  </si>
  <si>
    <t>780401001</t>
  </si>
  <si>
    <t>service@plus.ru</t>
  </si>
  <si>
    <t xml:space="preserve">199178 г.Санкт-Петербург ул.Средний пр.В.О.д.78</t>
  </si>
  <si>
    <t>P012</t>
  </si>
  <si>
    <t xml:space="preserve">АО ТехноТрейд</t>
  </si>
  <si>
    <t>7716789012</t>
  </si>
  <si>
    <t>771401001</t>
  </si>
  <si>
    <t>89032345678</t>
  </si>
  <si>
    <t>trade@tehno</t>
  </si>
  <si>
    <t xml:space="preserve">107113 г.Москва ул.Сокольнический вал д.3</t>
  </si>
  <si>
    <t>P013</t>
  </si>
  <si>
    <t xml:space="preserve">ООО РесурсСнаб</t>
  </si>
  <si>
    <t>7805678901234</t>
  </si>
  <si>
    <t>780501001</t>
  </si>
  <si>
    <t>+7-903-345-67-89</t>
  </si>
  <si>
    <t>resurs_snab@mail</t>
  </si>
  <si>
    <t xml:space="preserve">196247 г.Санкт-Петербург ул.Ленина д.45</t>
  </si>
  <si>
    <t>P014</t>
  </si>
  <si>
    <t xml:space="preserve">ЗАО ТехноСервис</t>
  </si>
  <si>
    <t>7717890123</t>
  </si>
  <si>
    <t>771501001</t>
  </si>
  <si>
    <t>8-903-456-78-90</t>
  </si>
  <si>
    <t>service@tehno</t>
  </si>
  <si>
    <t xml:space="preserve">109147 г.Москва ул.Марксистская д.30</t>
  </si>
  <si>
    <t>P015</t>
  </si>
  <si>
    <t xml:space="preserve">ООО Электротехника</t>
  </si>
  <si>
    <t>7806789012</t>
  </si>
  <si>
    <t>780601001</t>
  </si>
  <si>
    <t>+7-903-567-89-01</t>
  </si>
  <si>
    <t>electro@tehnika</t>
  </si>
  <si>
    <t xml:space="preserve">192236 г.Санкт-Петербург ул.Софийская д.55</t>
  </si>
  <si>
    <t>P016</t>
  </si>
  <si>
    <t xml:space="preserve">АО ПрофТехно</t>
  </si>
  <si>
    <t>7718901234</t>
  </si>
  <si>
    <t>771601001</t>
  </si>
  <si>
    <t>prof@tehno</t>
  </si>
  <si>
    <t xml:space="preserve">109052 г.Москва ул.Смирновская д.8</t>
  </si>
  <si>
    <t>P017</t>
  </si>
  <si>
    <t xml:space="preserve">ООО ТехноКомплект</t>
  </si>
  <si>
    <t>7807890</t>
  </si>
  <si>
    <t>780701001</t>
  </si>
  <si>
    <t>komplekt@tehno</t>
  </si>
  <si>
    <t xml:space="preserve">193079 г.Санкт-Петербург ул.Новоселов д.12</t>
  </si>
  <si>
    <t>P018</t>
  </si>
  <si>
    <t xml:space="preserve">ЗАО Инновация</t>
  </si>
  <si>
    <t>7719012345</t>
  </si>
  <si>
    <t>771701001</t>
  </si>
  <si>
    <t>innov@mail</t>
  </si>
  <si>
    <t xml:space="preserve">109004 г.Москва ул.Земляной вал д.42</t>
  </si>
  <si>
    <t>P019</t>
  </si>
  <si>
    <t xml:space="preserve">ООО ЭлектроПром</t>
  </si>
  <si>
    <t>780890123456</t>
  </si>
  <si>
    <t>780801001</t>
  </si>
  <si>
    <t xml:space="preserve">+7 903 901-23-45</t>
  </si>
  <si>
    <t>electro_prom@mail</t>
  </si>
  <si>
    <t xml:space="preserve">194100 г.Санкт-Петербург ул.Кантемировская д.18</t>
  </si>
  <si>
    <t>P020</t>
  </si>
  <si>
    <t xml:space="preserve">АО ТехноИнвест</t>
  </si>
  <si>
    <t>7720123456</t>
  </si>
  <si>
    <t>771801001</t>
  </si>
  <si>
    <t>invest@tehno</t>
  </si>
  <si>
    <t xml:space="preserve">109380 г.Москва ул.Люблинская д.75</t>
  </si>
  <si>
    <t>P021</t>
  </si>
  <si>
    <t xml:space="preserve">ООО ТехноПарк</t>
  </si>
  <si>
    <t>7809012345</t>
  </si>
  <si>
    <t>780901001</t>
  </si>
  <si>
    <t>+7-903-123-45-67</t>
  </si>
  <si>
    <t>park@tehno</t>
  </si>
  <si>
    <t xml:space="preserve">191040 г.Санкт-Петербург ул.Коломенская д.29</t>
  </si>
  <si>
    <t>P022</t>
  </si>
  <si>
    <t xml:space="preserve">ЗАО ТехноЦентр</t>
  </si>
  <si>
    <t>7721234567</t>
  </si>
  <si>
    <t>771901001</t>
  </si>
  <si>
    <t>8-903-234-56-78</t>
  </si>
  <si>
    <t>center@tehno</t>
  </si>
  <si>
    <t xml:space="preserve">107031 г.Москва ул.Рождественка д.10</t>
  </si>
  <si>
    <t>P023</t>
  </si>
  <si>
    <t xml:space="preserve">ООО ТехноСбыт</t>
  </si>
  <si>
    <t>78101234</t>
  </si>
  <si>
    <t>781001001</t>
  </si>
  <si>
    <t>sbyt@tehno</t>
  </si>
  <si>
    <t xml:space="preserve">195009 г.Санкт-Петербург ул.Комсомола д.21</t>
  </si>
  <si>
    <t>P024</t>
  </si>
  <si>
    <t xml:space="preserve">АО ТехноГарант</t>
  </si>
  <si>
    <t>7722345678</t>
  </si>
  <si>
    <t>772001001</t>
  </si>
  <si>
    <t>garant@tehno</t>
  </si>
  <si>
    <t xml:space="preserve">119071 г.Москва ул.Ленинский пр.д.15</t>
  </si>
  <si>
    <t>P025</t>
  </si>
  <si>
    <t xml:space="preserve">ООО ТехноЭкспо</t>
  </si>
  <si>
    <t>7811234567890</t>
  </si>
  <si>
    <t>781101001</t>
  </si>
  <si>
    <t xml:space="preserve">+7 903 567-89-01</t>
  </si>
  <si>
    <t>expo@tehno</t>
  </si>
  <si>
    <t xml:space="preserve">198095 г.Санкт-Петербург ул.Балтийская д.43</t>
  </si>
  <si>
    <t>P026</t>
  </si>
  <si>
    <t xml:space="preserve">ЗАО ТехноМаркет</t>
  </si>
  <si>
    <t>77234567</t>
  </si>
  <si>
    <t>772101001</t>
  </si>
  <si>
    <t>market@tehno</t>
  </si>
  <si>
    <t xml:space="preserve">125040 г.Москва ул.Нижняя Масловка д.5</t>
  </si>
  <si>
    <t>P027</t>
  </si>
  <si>
    <t xml:space="preserve">ООО ТехноПромТех</t>
  </si>
  <si>
    <t>7812345678</t>
  </si>
  <si>
    <t>+7-903-789-01-23</t>
  </si>
  <si>
    <t>promteh@mail</t>
  </si>
  <si>
    <t xml:space="preserve">192012 г.Санкт-Петербург ул.Заневский пр.д.32</t>
  </si>
  <si>
    <t>P028</t>
  </si>
  <si>
    <t xml:space="preserve">АО ТехноЛогистик</t>
  </si>
  <si>
    <t>772456789012</t>
  </si>
  <si>
    <t>772201001</t>
  </si>
  <si>
    <t>logistik@tehno</t>
  </si>
  <si>
    <t xml:space="preserve">109544 г.Москва ул.Б.Семеновская д.38</t>
  </si>
  <si>
    <t>P029</t>
  </si>
  <si>
    <t xml:space="preserve">ООО ТехноСтандарт</t>
  </si>
  <si>
    <t>7813456789</t>
  </si>
  <si>
    <t>781301001</t>
  </si>
  <si>
    <t>+7-903-901-23-45</t>
  </si>
  <si>
    <t>standart@tehno</t>
  </si>
  <si>
    <t xml:space="preserve">197376 г.Санкт-Петербург ул.Пионерская д.9</t>
  </si>
  <si>
    <t>P030</t>
  </si>
  <si>
    <t xml:space="preserve">ЗАО ТехноСтиль</t>
  </si>
  <si>
    <t>7725678901</t>
  </si>
  <si>
    <t>772301001</t>
  </si>
  <si>
    <t>style@tehno</t>
  </si>
  <si>
    <t xml:space="preserve">119146 г.Москва ул.Фрунзенская д.50</t>
  </si>
  <si>
    <t>P031</t>
  </si>
  <si>
    <t xml:space="preserve">ООО ТехноПоставка</t>
  </si>
  <si>
    <t>78145678</t>
  </si>
  <si>
    <t>781401001</t>
  </si>
  <si>
    <t xml:space="preserve">+7 903 123-45-67</t>
  </si>
  <si>
    <t>postavka@tehno</t>
  </si>
  <si>
    <t xml:space="preserve">190121 г.Санкт-Петербург ул.Курляндская д.27</t>
  </si>
  <si>
    <t>P032</t>
  </si>
  <si>
    <t xml:space="preserve">АО ТехноСфера</t>
  </si>
  <si>
    <t>7726789012</t>
  </si>
  <si>
    <t>772401001</t>
  </si>
  <si>
    <t>sfera@tehno</t>
  </si>
  <si>
    <t xml:space="preserve">111123 г.Москва ул.Электродная д.11</t>
  </si>
  <si>
    <t>P033</t>
  </si>
  <si>
    <t xml:space="preserve">ООО ТехноСистема</t>
  </si>
  <si>
    <t>7815678901234</t>
  </si>
  <si>
    <t>781501001</t>
  </si>
  <si>
    <t>sistema@tehno</t>
  </si>
  <si>
    <t xml:space="preserve">198332 г.Санкт-Петербург ул.Краснопутиловская д.65</t>
  </si>
  <si>
    <t>P034</t>
  </si>
  <si>
    <t xml:space="preserve">ЗАО ТехноТранс</t>
  </si>
  <si>
    <t>7727890123</t>
  </si>
  <si>
    <t>772501001</t>
  </si>
  <si>
    <t>trans@tehno</t>
  </si>
  <si>
    <t xml:space="preserve">107014 г.Москва ул.Малая Почтовая д.2</t>
  </si>
  <si>
    <t>P035</t>
  </si>
  <si>
    <t xml:space="preserve">ООО ТехноЭнерго</t>
  </si>
  <si>
    <t>7816789012</t>
  </si>
  <si>
    <t>781601001</t>
  </si>
  <si>
    <t>energo@tehno</t>
  </si>
  <si>
    <t xml:space="preserve">191123 г.Санкт-Петербург ул.Шпалерная д.54</t>
  </si>
  <si>
    <t>P036</t>
  </si>
  <si>
    <t xml:space="preserve">АО ТехноИзмерение</t>
  </si>
  <si>
    <t>7728901234</t>
  </si>
  <si>
    <t>772601001</t>
  </si>
  <si>
    <t>izmerenie@tehno</t>
  </si>
  <si>
    <t xml:space="preserve">109028 г.Москва ул.Тургеневская д.17</t>
  </si>
  <si>
    <t>P037</t>
  </si>
  <si>
    <t xml:space="preserve">ООО ТехноИнжиниринг</t>
  </si>
  <si>
    <t>7817890</t>
  </si>
  <si>
    <t>781701001</t>
  </si>
  <si>
    <t>ingenering@tehno</t>
  </si>
  <si>
    <t xml:space="preserve">197198 г.Санкт-Петербург ул.Большая Зеленина д.42</t>
  </si>
  <si>
    <t>P038</t>
  </si>
  <si>
    <t xml:space="preserve">ЗАО ТехноЦифра</t>
  </si>
  <si>
    <t>7729012345</t>
  </si>
  <si>
    <t>772701001</t>
  </si>
  <si>
    <t>cifra@tehno</t>
  </si>
  <si>
    <t xml:space="preserve">119048 г.Москва ул.Усачева д.35</t>
  </si>
  <si>
    <t>P039</t>
  </si>
  <si>
    <t xml:space="preserve">ООО ТехноСпектр</t>
  </si>
  <si>
    <t>781890123456</t>
  </si>
  <si>
    <t>781801001</t>
  </si>
  <si>
    <t>spektr@tehno</t>
  </si>
  <si>
    <t xml:space="preserve">192102 г.Санкт-Петербург ул.Бухарестская д.22</t>
  </si>
  <si>
    <t>P040</t>
  </si>
  <si>
    <t xml:space="preserve">АО ТехноФорум</t>
  </si>
  <si>
    <t>7730123456</t>
  </si>
  <si>
    <t>772801001</t>
  </si>
  <si>
    <t>forum@tehno</t>
  </si>
  <si>
    <t xml:space="preserve">109240 г.Москва ул.Гончарная д.18</t>
  </si>
  <si>
    <t>P041</t>
  </si>
  <si>
    <t xml:space="preserve">ООО ТехноХолод</t>
  </si>
  <si>
    <t>7819012345</t>
  </si>
  <si>
    <t>781901001</t>
  </si>
  <si>
    <t>holod@tehno</t>
  </si>
  <si>
    <t xml:space="preserve">196191 г.Санкт-Петербург ул.Бассейная д.63</t>
  </si>
  <si>
    <t>P042</t>
  </si>
  <si>
    <t xml:space="preserve">ЗАО ТехноРесурс</t>
  </si>
  <si>
    <t>7731234567</t>
  </si>
  <si>
    <t>772901001</t>
  </si>
  <si>
    <t>resurs_tehno@mail</t>
  </si>
  <si>
    <t xml:space="preserve">115114 г.Москва ул.Дербеневская д.17</t>
  </si>
  <si>
    <t>P043</t>
  </si>
  <si>
    <t xml:space="preserve">ООО ТехноДизайн</t>
  </si>
  <si>
    <t>78201234</t>
  </si>
  <si>
    <t>782001001</t>
  </si>
  <si>
    <t>design@tehno</t>
  </si>
  <si>
    <t xml:space="preserve">194292 г.Санкт-Петербург ул.Светлановский пр.д.62</t>
  </si>
  <si>
    <t>P044</t>
  </si>
  <si>
    <t xml:space="preserve">АО ТехноАльянс</t>
  </si>
  <si>
    <t>7732345678</t>
  </si>
  <si>
    <t>773001001</t>
  </si>
  <si>
    <t>aljans@tehno</t>
  </si>
  <si>
    <t xml:space="preserve">127018 г.Москва ул.Полковая д.3</t>
  </si>
  <si>
    <t>P045</t>
  </si>
  <si>
    <t xml:space="preserve">ООО ТехноПартнер</t>
  </si>
  <si>
    <t>7821234567890</t>
  </si>
  <si>
    <t>782101001</t>
  </si>
  <si>
    <t>partner@tehno</t>
  </si>
  <si>
    <t xml:space="preserve">190000 г.Санкт-Петербург ул.Большая Морская д.18</t>
  </si>
  <si>
    <t>P046</t>
  </si>
  <si>
    <t xml:space="preserve">ЗАО ТехноКомфорт</t>
  </si>
  <si>
    <t>77334567</t>
  </si>
  <si>
    <t>773101001</t>
  </si>
  <si>
    <t>komfort@tehno</t>
  </si>
  <si>
    <t xml:space="preserve">117312 г.Москва ул.Вавилова д.65</t>
  </si>
  <si>
    <t>P047</t>
  </si>
  <si>
    <t xml:space="preserve">ООО ТехноСтрой</t>
  </si>
  <si>
    <t>7822345678</t>
  </si>
  <si>
    <t>782201001</t>
  </si>
  <si>
    <t>stroy@tehno</t>
  </si>
  <si>
    <t xml:space="preserve">193231 г.Санкт-Петербург ул.Дыбенко д.14</t>
  </si>
  <si>
    <t>P048</t>
  </si>
  <si>
    <t xml:space="preserve">АО ТехноАвтоматика</t>
  </si>
  <si>
    <t>773456789012</t>
  </si>
  <si>
    <t>773201001</t>
  </si>
  <si>
    <t>avtomatika@tehno</t>
  </si>
  <si>
    <t xml:space="preserve">109012 г.Москва ул.Никольская д.8</t>
  </si>
  <si>
    <t>P049</t>
  </si>
  <si>
    <t xml:space="preserve">ООО ТехноКонтроль</t>
  </si>
  <si>
    <t>7823456789</t>
  </si>
  <si>
    <t>782301001</t>
  </si>
  <si>
    <t>kontrol@tehno</t>
  </si>
  <si>
    <t xml:space="preserve">194044 г.Санкт-Петербург ул.Смолячкова д.7</t>
  </si>
  <si>
    <t>P050</t>
  </si>
  <si>
    <t xml:space="preserve">ЗАО ТехноПроект</t>
  </si>
  <si>
    <t>7735678901</t>
  </si>
  <si>
    <t>773301001</t>
  </si>
  <si>
    <t>proekt@tehno</t>
  </si>
  <si>
    <t xml:space="preserve">119435 г.Москва ул.Погодинская д.18</t>
  </si>
  <si>
    <t>Индекс</t>
  </si>
  <si>
    <t>Адрес_остаток</t>
  </si>
  <si>
    <t>Проверка_ИНН</t>
  </si>
  <si>
    <t>Проверка_Email</t>
  </si>
  <si>
    <t>Количество</t>
  </si>
  <si>
    <t>Цена_продажи</t>
  </si>
  <si>
    <t>ID_клиента</t>
  </si>
  <si>
    <t>Статус</t>
  </si>
  <si>
    <t>01/15/2025</t>
  </si>
  <si>
    <t>№АРТ-045</t>
  </si>
  <si>
    <t>2</t>
  </si>
  <si>
    <t>$100</t>
  </si>
  <si>
    <t>C0001</t>
  </si>
  <si>
    <t>Завершен</t>
  </si>
  <si>
    <t>АРТ_112</t>
  </si>
  <si>
    <t>1</t>
  </si>
  <si>
    <t>€85</t>
  </si>
  <si>
    <t>C0002</t>
  </si>
  <si>
    <t>завершен</t>
  </si>
  <si>
    <t>01/16/2025</t>
  </si>
  <si>
    <t xml:space="preserve">3 шт.</t>
  </si>
  <si>
    <t xml:space="preserve">7500 ₽</t>
  </si>
  <si>
    <t>C0003</t>
  </si>
  <si>
    <t>completed</t>
  </si>
  <si>
    <t>№АРТ-234</t>
  </si>
  <si>
    <t>-1</t>
  </si>
  <si>
    <t>$110</t>
  </si>
  <si>
    <t>C0004</t>
  </si>
  <si>
    <t>отменен</t>
  </si>
  <si>
    <t>01/17/2025</t>
  </si>
  <si>
    <t>АРТ_067</t>
  </si>
  <si>
    <t xml:space="preserve">2 шт</t>
  </si>
  <si>
    <t>€90</t>
  </si>
  <si>
    <t>C0005</t>
  </si>
  <si>
    <t>canceled</t>
  </si>
  <si>
    <t xml:space="preserve">8000 ₽</t>
  </si>
  <si>
    <t>C0006</t>
  </si>
  <si>
    <t>возврат</t>
  </si>
  <si>
    <t>01/18/2025</t>
  </si>
  <si>
    <t>№АРТ-389</t>
  </si>
  <si>
    <t>3</t>
  </si>
  <si>
    <t>$105</t>
  </si>
  <si>
    <t>C0007</t>
  </si>
  <si>
    <t>АРТ_156</t>
  </si>
  <si>
    <t>€95</t>
  </si>
  <si>
    <t>C0008</t>
  </si>
  <si>
    <t>01/19/2025</t>
  </si>
  <si>
    <t>251/24</t>
  </si>
  <si>
    <t xml:space="preserve">1 шт.</t>
  </si>
  <si>
    <t xml:space="preserve">6500 ₽</t>
  </si>
  <si>
    <t>C0009</t>
  </si>
  <si>
    <t>№АРТ-023</t>
  </si>
  <si>
    <t>-2</t>
  </si>
  <si>
    <t>$115</t>
  </si>
  <si>
    <t>C0010</t>
  </si>
  <si>
    <t>Отменен</t>
  </si>
  <si>
    <t>01/20/2025</t>
  </si>
  <si>
    <t>АРТ_478</t>
  </si>
  <si>
    <t>€80</t>
  </si>
  <si>
    <t>C0011</t>
  </si>
  <si>
    <t>045-24</t>
  </si>
  <si>
    <t xml:space="preserve">8500 ₽</t>
  </si>
  <si>
    <t>C0012</t>
  </si>
  <si>
    <t>01/21/2025</t>
  </si>
  <si>
    <t>№АРТ-189</t>
  </si>
  <si>
    <t>$130</t>
  </si>
  <si>
    <t>C0013</t>
  </si>
  <si>
    <t>АРТ_334</t>
  </si>
  <si>
    <t>€110</t>
  </si>
  <si>
    <t>C0014</t>
  </si>
  <si>
    <t>01/22/2025</t>
  </si>
  <si>
    <t>126/24</t>
  </si>
  <si>
    <t xml:space="preserve">9500 ₽</t>
  </si>
  <si>
    <t>C0015</t>
  </si>
  <si>
    <t>$95</t>
  </si>
  <si>
    <t>C0016</t>
  </si>
  <si>
    <t>01/23/2025</t>
  </si>
  <si>
    <t>АРТ_057</t>
  </si>
  <si>
    <t>€75</t>
  </si>
  <si>
    <t>C0017</t>
  </si>
  <si>
    <t>394-24</t>
  </si>
  <si>
    <t xml:space="preserve">7000 ₽</t>
  </si>
  <si>
    <t>C0018</t>
  </si>
  <si>
    <t>01/24/2025</t>
  </si>
  <si>
    <t>№АРТ-278</t>
  </si>
  <si>
    <t>$140</t>
  </si>
  <si>
    <t>C0019</t>
  </si>
  <si>
    <t>АРТ_193</t>
  </si>
  <si>
    <t>€120</t>
  </si>
  <si>
    <t>C0020</t>
  </si>
  <si>
    <t>01/25/2025</t>
  </si>
  <si>
    <t>149/24</t>
  </si>
  <si>
    <t xml:space="preserve">10000 ₽</t>
  </si>
  <si>
    <t>C0021</t>
  </si>
  <si>
    <t>№АРТ-345</t>
  </si>
  <si>
    <t>-3</t>
  </si>
  <si>
    <t>$90</t>
  </si>
  <si>
    <t>C0022</t>
  </si>
  <si>
    <t>01/26/2025</t>
  </si>
  <si>
    <t>€70</t>
  </si>
  <si>
    <t>C0023</t>
  </si>
  <si>
    <t>223-24</t>
  </si>
  <si>
    <t xml:space="preserve">5500 ₽</t>
  </si>
  <si>
    <t>C0024</t>
  </si>
  <si>
    <t>01/27/2025</t>
  </si>
  <si>
    <t>$125</t>
  </si>
  <si>
    <t>C0025</t>
  </si>
  <si>
    <t>АРТ_501</t>
  </si>
  <si>
    <t>€105</t>
  </si>
  <si>
    <t>C0026</t>
  </si>
  <si>
    <t>01/28/2025</t>
  </si>
  <si>
    <t>067/24</t>
  </si>
  <si>
    <t xml:space="preserve">9000 ₽</t>
  </si>
  <si>
    <t>C0027</t>
  </si>
  <si>
    <t>$85</t>
  </si>
  <si>
    <t>C0028</t>
  </si>
  <si>
    <t>01/29/2025</t>
  </si>
  <si>
    <t>АРТ_321</t>
  </si>
  <si>
    <t>€65</t>
  </si>
  <si>
    <t>C0029</t>
  </si>
  <si>
    <t>176-24</t>
  </si>
  <si>
    <t xml:space="preserve">6000 ₽</t>
  </si>
  <si>
    <t>C0030</t>
  </si>
  <si>
    <t>01/30/2025</t>
  </si>
  <si>
    <t>№АРТ-009</t>
  </si>
  <si>
    <t>C0031</t>
  </si>
  <si>
    <t>АРТ_444</t>
  </si>
  <si>
    <t>C0032</t>
  </si>
  <si>
    <t>01/31/2025</t>
  </si>
  <si>
    <t>352/24</t>
  </si>
  <si>
    <t xml:space="preserve">2 шт.</t>
  </si>
  <si>
    <t>C0033</t>
  </si>
  <si>
    <t>C0034</t>
  </si>
  <si>
    <t>02/01/2025</t>
  </si>
  <si>
    <t>АРТ_159</t>
  </si>
  <si>
    <t>C0035</t>
  </si>
  <si>
    <t>C0036</t>
  </si>
  <si>
    <t>02/02/2025</t>
  </si>
  <si>
    <t>№АРТ-401</t>
  </si>
  <si>
    <t>C0037</t>
  </si>
  <si>
    <t>АРТ_234</t>
  </si>
  <si>
    <t>4</t>
  </si>
  <si>
    <t>C0038</t>
  </si>
  <si>
    <t>02/03/2025</t>
  </si>
  <si>
    <t>C0039</t>
  </si>
  <si>
    <t>№АРТ-116</t>
  </si>
  <si>
    <t>C0040</t>
  </si>
  <si>
    <t>02/04/2025</t>
  </si>
  <si>
    <t>АРТ_087</t>
  </si>
  <si>
    <t>C0041</t>
  </si>
  <si>
    <t>322-24</t>
  </si>
  <si>
    <t>C0042</t>
  </si>
  <si>
    <t>02/05/2025</t>
  </si>
  <si>
    <t>№АРТ-257</t>
  </si>
  <si>
    <t>$120</t>
  </si>
  <si>
    <t>C0043</t>
  </si>
  <si>
    <t>€100</t>
  </si>
  <si>
    <t>C0044</t>
  </si>
  <si>
    <t>02/06/2025</t>
  </si>
  <si>
    <t>042/24</t>
  </si>
  <si>
    <t xml:space="preserve">8800 ₽</t>
  </si>
  <si>
    <t>C0045</t>
  </si>
  <si>
    <t>№АРТ-194</t>
  </si>
  <si>
    <t>C0046</t>
  </si>
  <si>
    <t>02/07/2025</t>
  </si>
  <si>
    <t>АРТ_075</t>
  </si>
  <si>
    <t>C0047</t>
  </si>
  <si>
    <t>461-24</t>
  </si>
  <si>
    <t>C0048</t>
  </si>
  <si>
    <t>02/08/2025</t>
  </si>
  <si>
    <t>№АРТ-312</t>
  </si>
  <si>
    <t>C0049</t>
  </si>
  <si>
    <t>АРТ_423</t>
  </si>
  <si>
    <t>C0050</t>
  </si>
  <si>
    <t>02/09/2025</t>
  </si>
  <si>
    <t>208/24</t>
  </si>
  <si>
    <t>C0051</t>
  </si>
  <si>
    <t>№АРТ-147</t>
  </si>
  <si>
    <t>C0052</t>
  </si>
  <si>
    <t>02/10/2025</t>
  </si>
  <si>
    <t>C0053</t>
  </si>
  <si>
    <t>065-24</t>
  </si>
  <si>
    <t>C0054</t>
  </si>
  <si>
    <t>02/11/2025</t>
  </si>
  <si>
    <t>C0055</t>
  </si>
  <si>
    <t>АРТ_492</t>
  </si>
  <si>
    <t>C0056</t>
  </si>
  <si>
    <t>02/12/2025</t>
  </si>
  <si>
    <t>134/24</t>
  </si>
  <si>
    <t xml:space="preserve">6800 ₽</t>
  </si>
  <si>
    <t>C0057</t>
  </si>
  <si>
    <t>№АРТ-368</t>
  </si>
  <si>
    <t>C0058</t>
  </si>
  <si>
    <t>02/13/2025</t>
  </si>
  <si>
    <t>АРТ_177</t>
  </si>
  <si>
    <t>C0059</t>
  </si>
  <si>
    <t>275-24</t>
  </si>
  <si>
    <t xml:space="preserve">9200 ₽</t>
  </si>
  <si>
    <t>C0060</t>
  </si>
  <si>
    <t>02/14/2025</t>
  </si>
  <si>
    <t>$135</t>
  </si>
  <si>
    <t>C0061</t>
  </si>
  <si>
    <t>АРТ_456</t>
  </si>
  <si>
    <t>€115</t>
  </si>
  <si>
    <t>C0062</t>
  </si>
  <si>
    <t>02/15/2025</t>
  </si>
  <si>
    <t>364/24</t>
  </si>
  <si>
    <t>C0063</t>
  </si>
  <si>
    <t>№АРТ-221</t>
  </si>
  <si>
    <t>C0064</t>
  </si>
  <si>
    <t>02/16/2025</t>
  </si>
  <si>
    <t>C0065</t>
  </si>
  <si>
    <t>327-24</t>
  </si>
  <si>
    <t>C0066</t>
  </si>
  <si>
    <t>02/17/2025</t>
  </si>
  <si>
    <t>№АРТ-485</t>
  </si>
  <si>
    <t>C0067</t>
  </si>
  <si>
    <t>C0068</t>
  </si>
  <si>
    <t>02/18/2025</t>
  </si>
  <si>
    <t>188/24</t>
  </si>
  <si>
    <t xml:space="preserve">10500 ₽</t>
  </si>
  <si>
    <t>C0069</t>
  </si>
  <si>
    <t>C0070</t>
  </si>
  <si>
    <t>02/19/2025</t>
  </si>
  <si>
    <t>АРТ_411</t>
  </si>
  <si>
    <t>C0071</t>
  </si>
  <si>
    <t>056-24</t>
  </si>
  <si>
    <t>C0072</t>
  </si>
  <si>
    <t>02/20/2025</t>
  </si>
  <si>
    <t>C0073</t>
  </si>
  <si>
    <t>АРТ_348</t>
  </si>
  <si>
    <t>C0074</t>
  </si>
  <si>
    <t>02/21/2025</t>
  </si>
  <si>
    <t>241/24</t>
  </si>
  <si>
    <t xml:space="preserve">9800 ₽</t>
  </si>
  <si>
    <t>C0075</t>
  </si>
  <si>
    <t>№АРТ-132</t>
  </si>
  <si>
    <t>C0076</t>
  </si>
  <si>
    <t>02/22/2025</t>
  </si>
  <si>
    <t>C0077</t>
  </si>
  <si>
    <t>032-24</t>
  </si>
  <si>
    <t>C0078</t>
  </si>
  <si>
    <t>02/23/2025</t>
  </si>
  <si>
    <t>№АРТ-266</t>
  </si>
  <si>
    <t>C0079</t>
  </si>
  <si>
    <t>C0080</t>
  </si>
  <si>
    <t>02/24/2025</t>
  </si>
  <si>
    <t>C0081</t>
  </si>
  <si>
    <t>№АРТ-059</t>
  </si>
  <si>
    <t>C0082</t>
  </si>
  <si>
    <t>02/25/2025</t>
  </si>
  <si>
    <t>АРТ_319</t>
  </si>
  <si>
    <t>C0083</t>
  </si>
  <si>
    <t>147-24</t>
  </si>
  <si>
    <t>C0084</t>
  </si>
  <si>
    <t>02/26/2025</t>
  </si>
  <si>
    <t>$145</t>
  </si>
  <si>
    <t>C0085</t>
  </si>
  <si>
    <t>€125</t>
  </si>
  <si>
    <t>C0086</t>
  </si>
  <si>
    <t>02/27/2025</t>
  </si>
  <si>
    <t>271/24</t>
  </si>
  <si>
    <t xml:space="preserve">11000 ₽</t>
  </si>
  <si>
    <t>C0087</t>
  </si>
  <si>
    <t>C0088</t>
  </si>
  <si>
    <t>02/28/2025</t>
  </si>
  <si>
    <t>АРТ_369</t>
  </si>
  <si>
    <t>C0089</t>
  </si>
  <si>
    <t>104-24</t>
  </si>
  <si>
    <t>C0090</t>
  </si>
  <si>
    <t>03/01/2025</t>
  </si>
  <si>
    <t>№АРТ-452</t>
  </si>
  <si>
    <t>C0091</t>
  </si>
  <si>
    <t>C0092</t>
  </si>
  <si>
    <t>03/02/2025</t>
  </si>
  <si>
    <t>336/24</t>
  </si>
  <si>
    <t xml:space="preserve">7800 ₽</t>
  </si>
  <si>
    <t>C0093</t>
  </si>
  <si>
    <t>C0094</t>
  </si>
  <si>
    <t>03/03/2025</t>
  </si>
  <si>
    <t>АРТ_490</t>
  </si>
  <si>
    <t>C0095</t>
  </si>
  <si>
    <t>087-24</t>
  </si>
  <si>
    <t>C0096</t>
  </si>
  <si>
    <t>03/04/2025</t>
  </si>
  <si>
    <t>C0097</t>
  </si>
  <si>
    <t>АРТ_141</t>
  </si>
  <si>
    <t>C0098</t>
  </si>
  <si>
    <t>03/05/2025</t>
  </si>
  <si>
    <t>226/24</t>
  </si>
  <si>
    <t>C0099</t>
  </si>
  <si>
    <t>C0100</t>
  </si>
  <si>
    <t>03/06/2025</t>
  </si>
  <si>
    <t>АРТ_273</t>
  </si>
  <si>
    <t>C0101</t>
  </si>
  <si>
    <t>184-24</t>
  </si>
  <si>
    <t>C0102</t>
  </si>
  <si>
    <t>03/07/2025</t>
  </si>
  <si>
    <t>№АРТ-065</t>
  </si>
  <si>
    <t>C0103</t>
  </si>
  <si>
    <t>АРТ_408</t>
  </si>
  <si>
    <t>C0104</t>
  </si>
  <si>
    <t>03/08/2025</t>
  </si>
  <si>
    <t>C0105</t>
  </si>
  <si>
    <t>№АРТ-159</t>
  </si>
  <si>
    <t>C0106</t>
  </si>
  <si>
    <t>03/09/2025</t>
  </si>
  <si>
    <t>АРТ_432</t>
  </si>
  <si>
    <t>C0107</t>
  </si>
  <si>
    <t>067-24</t>
  </si>
  <si>
    <t>C0108</t>
  </si>
  <si>
    <t>03/10/2025</t>
  </si>
  <si>
    <t>№АРТ-287</t>
  </si>
  <si>
    <t>C0109</t>
  </si>
  <si>
    <t>C0110</t>
  </si>
  <si>
    <t>03/11/2025</t>
  </si>
  <si>
    <t>382/24</t>
  </si>
  <si>
    <t>C0111</t>
  </si>
  <si>
    <t>№АРТ-077</t>
  </si>
  <si>
    <t>C0112</t>
  </si>
  <si>
    <t>03/12/2025</t>
  </si>
  <si>
    <t>C0113</t>
  </si>
  <si>
    <t>245-24</t>
  </si>
  <si>
    <t>C0114</t>
  </si>
  <si>
    <t>03/13/2025</t>
  </si>
  <si>
    <t>C0115</t>
  </si>
  <si>
    <t>АРТ_298</t>
  </si>
  <si>
    <t>C0116</t>
  </si>
  <si>
    <t>03/14/2025</t>
  </si>
  <si>
    <t>C0117</t>
  </si>
  <si>
    <t>№АРТ-329</t>
  </si>
  <si>
    <t>C0118</t>
  </si>
  <si>
    <t>03/15/2025</t>
  </si>
  <si>
    <t>АРТ_063</t>
  </si>
  <si>
    <t>C0119</t>
  </si>
  <si>
    <t>049-24</t>
  </si>
  <si>
    <t>C0120</t>
  </si>
  <si>
    <t>03/16/2025</t>
  </si>
  <si>
    <t>C0121</t>
  </si>
  <si>
    <t>C0122</t>
  </si>
  <si>
    <t>03/17/2025</t>
  </si>
  <si>
    <t>329/24</t>
  </si>
  <si>
    <t>C0123</t>
  </si>
  <si>
    <t>№АРТ-344</t>
  </si>
  <si>
    <t>C0124</t>
  </si>
  <si>
    <t>03/18/2025</t>
  </si>
  <si>
    <t>АРТ_291</t>
  </si>
  <si>
    <t>C0125</t>
  </si>
  <si>
    <t>133-24</t>
  </si>
  <si>
    <t>C0126</t>
  </si>
  <si>
    <t>03/19/2025</t>
  </si>
  <si>
    <t>№АРТ-251</t>
  </si>
  <si>
    <t>C0127</t>
  </si>
  <si>
    <t>C0128</t>
  </si>
  <si>
    <t>03/20/2025</t>
  </si>
  <si>
    <t>378/24</t>
  </si>
  <si>
    <t>C0129</t>
  </si>
  <si>
    <t>№АРТ-161</t>
  </si>
  <si>
    <t>C0130</t>
  </si>
  <si>
    <t>03/21/2025</t>
  </si>
  <si>
    <t>АРТ_480</t>
  </si>
  <si>
    <t>C0131</t>
  </si>
  <si>
    <t>059-24</t>
  </si>
  <si>
    <t>C0132</t>
  </si>
  <si>
    <t>03/22/2025</t>
  </si>
  <si>
    <t>№АРТ-222</t>
  </si>
  <si>
    <t>C0133</t>
  </si>
  <si>
    <t>C0134</t>
  </si>
  <si>
    <t>03/23/2025</t>
  </si>
  <si>
    <t>097/24</t>
  </si>
  <si>
    <t>C0135</t>
  </si>
  <si>
    <t>№АРТ-306</t>
  </si>
  <si>
    <t>C0136</t>
  </si>
  <si>
    <t>03/24/2025</t>
  </si>
  <si>
    <t>АРТ_184</t>
  </si>
  <si>
    <t>C0137</t>
  </si>
  <si>
    <t>256-24</t>
  </si>
  <si>
    <t>C0138</t>
  </si>
  <si>
    <t>03/25/2025</t>
  </si>
  <si>
    <t>№АРТ-138</t>
  </si>
  <si>
    <t>C0139</t>
  </si>
  <si>
    <t>АРТ_399</t>
  </si>
  <si>
    <t>C0140</t>
  </si>
  <si>
    <t>03/26/2025</t>
  </si>
  <si>
    <t>407/24</t>
  </si>
  <si>
    <t>C0141</t>
  </si>
  <si>
    <t>№АРТ-272</t>
  </si>
  <si>
    <t>C0142</t>
  </si>
  <si>
    <t>03/27/2025</t>
  </si>
  <si>
    <t>АРТ_144</t>
  </si>
  <si>
    <t>C0143</t>
  </si>
  <si>
    <t>112-24</t>
  </si>
  <si>
    <t>C0144</t>
  </si>
  <si>
    <t>03/28/2025</t>
  </si>
  <si>
    <t>№АРТ-099</t>
  </si>
  <si>
    <t>C0145</t>
  </si>
  <si>
    <t>АРТ_337</t>
  </si>
  <si>
    <t>C0146</t>
  </si>
  <si>
    <t>03/29/2025</t>
  </si>
  <si>
    <t>C0147</t>
  </si>
  <si>
    <t>№АРТ-165</t>
  </si>
  <si>
    <t>C0148</t>
  </si>
  <si>
    <t>03/30/2025</t>
  </si>
  <si>
    <t>C0149</t>
  </si>
  <si>
    <t>025-24</t>
  </si>
  <si>
    <t>C0150</t>
  </si>
  <si>
    <t>03/31/2025</t>
  </si>
  <si>
    <t>№АРТ-285</t>
  </si>
  <si>
    <t>C0151</t>
  </si>
  <si>
    <t>АРТ_472</t>
  </si>
  <si>
    <t>C0152</t>
  </si>
  <si>
    <t>04/01/2025</t>
  </si>
  <si>
    <t>157/24</t>
  </si>
  <si>
    <t>C0153</t>
  </si>
  <si>
    <t>№АРТ-042</t>
  </si>
  <si>
    <t>C0154</t>
  </si>
  <si>
    <t>04/02/2025</t>
  </si>
  <si>
    <t>АРТ_397</t>
  </si>
  <si>
    <t>C0155</t>
  </si>
  <si>
    <t>203-24</t>
  </si>
  <si>
    <t>C0156</t>
  </si>
  <si>
    <t>04/03/2025</t>
  </si>
  <si>
    <t>№АРТ-315</t>
  </si>
  <si>
    <t>C0157</t>
  </si>
  <si>
    <t>АРТ_109</t>
  </si>
  <si>
    <t>C0158</t>
  </si>
  <si>
    <t>04/04/2025</t>
  </si>
  <si>
    <t>278/24</t>
  </si>
  <si>
    <t>C0159</t>
  </si>
  <si>
    <t>№АРТ-129</t>
  </si>
  <si>
    <t>C0160</t>
  </si>
  <si>
    <t>04/05/2025</t>
  </si>
  <si>
    <t>АРТ_424</t>
  </si>
  <si>
    <t>C0161</t>
  </si>
  <si>
    <t>046-24</t>
  </si>
  <si>
    <t>C0162</t>
  </si>
  <si>
    <t>04/06/2025</t>
  </si>
  <si>
    <t>№АРТ-353</t>
  </si>
  <si>
    <t>C0163</t>
  </si>
  <si>
    <t>АРТ_244</t>
  </si>
  <si>
    <t>C0164</t>
  </si>
  <si>
    <t>04/07/2025</t>
  </si>
  <si>
    <t>193/24</t>
  </si>
  <si>
    <t>C0165</t>
  </si>
  <si>
    <t>C0166</t>
  </si>
  <si>
    <t>04/08/2025</t>
  </si>
  <si>
    <t>C0167</t>
  </si>
  <si>
    <t>321-24</t>
  </si>
  <si>
    <t>C0168</t>
  </si>
  <si>
    <t>04/09/2025</t>
  </si>
  <si>
    <t>№АРТ-263</t>
  </si>
  <si>
    <t>C0169</t>
  </si>
  <si>
    <t>C0170</t>
  </si>
  <si>
    <t>04/10/2025</t>
  </si>
  <si>
    <t>014/24</t>
  </si>
  <si>
    <t>C0171</t>
  </si>
  <si>
    <t>№АРТ-396</t>
  </si>
  <si>
    <t>C0172</t>
  </si>
  <si>
    <t>04/11/2025</t>
  </si>
  <si>
    <t>АРТ_078</t>
  </si>
  <si>
    <t>C0173</t>
  </si>
  <si>
    <t>C0174</t>
  </si>
  <si>
    <t>04/12/2025</t>
  </si>
  <si>
    <t>C0175</t>
  </si>
  <si>
    <t>C0176</t>
  </si>
  <si>
    <t>04/13/2025</t>
  </si>
  <si>
    <t>456/24</t>
  </si>
  <si>
    <t>C0177</t>
  </si>
  <si>
    <t>C0178</t>
  </si>
  <si>
    <t>04/14/2025</t>
  </si>
  <si>
    <t>C0179</t>
  </si>
  <si>
    <t>091-24</t>
  </si>
  <si>
    <t>C0180</t>
  </si>
  <si>
    <t>04/15/2025</t>
  </si>
  <si>
    <t>№АРТ-323</t>
  </si>
  <si>
    <t>C0181</t>
  </si>
  <si>
    <t>АРТ_468</t>
  </si>
  <si>
    <t>C0182</t>
  </si>
  <si>
    <t>04/16/2025</t>
  </si>
  <si>
    <t>358/24</t>
  </si>
  <si>
    <t>C0183</t>
  </si>
  <si>
    <t>C0184</t>
  </si>
  <si>
    <t>04/17/2025</t>
  </si>
  <si>
    <t>C0185</t>
  </si>
  <si>
    <t>110-24</t>
  </si>
  <si>
    <t>C0186</t>
  </si>
  <si>
    <t>04/18/2025</t>
  </si>
  <si>
    <t>№АРТ-029</t>
  </si>
  <si>
    <t>C0187</t>
  </si>
  <si>
    <t>АРТ_415</t>
  </si>
  <si>
    <t>C0188</t>
  </si>
  <si>
    <t>04/19/2025</t>
  </si>
  <si>
    <t>223/24</t>
  </si>
  <si>
    <t>C0189</t>
  </si>
  <si>
    <t>C0190</t>
  </si>
  <si>
    <t>04/20/2025</t>
  </si>
  <si>
    <t>АРТ_196</t>
  </si>
  <si>
    <t>C0191</t>
  </si>
  <si>
    <t>289-24</t>
  </si>
  <si>
    <t>C0192</t>
  </si>
  <si>
    <t>04/21/2025</t>
  </si>
  <si>
    <t>№АРТ-105</t>
  </si>
  <si>
    <t>C0193</t>
  </si>
  <si>
    <t>C0194</t>
  </si>
  <si>
    <t>04/22/2025</t>
  </si>
  <si>
    <t>371/24</t>
  </si>
  <si>
    <t>C0195</t>
  </si>
  <si>
    <t>C0196</t>
  </si>
  <si>
    <t>04/23/2025</t>
  </si>
  <si>
    <t>C0197</t>
  </si>
  <si>
    <t>062-24</t>
  </si>
  <si>
    <t>C0198</t>
  </si>
  <si>
    <t>04/24/2025</t>
  </si>
  <si>
    <t>№АРТ-134</t>
  </si>
  <si>
    <t>C0199</t>
  </si>
  <si>
    <t>C0200</t>
  </si>
  <si>
    <t>04/25/2025</t>
  </si>
  <si>
    <t>C0201</t>
  </si>
  <si>
    <t>№АРТ-291</t>
  </si>
  <si>
    <t>C0202</t>
  </si>
  <si>
    <t>04/26/2025</t>
  </si>
  <si>
    <t>АРТ_180</t>
  </si>
  <si>
    <t>C0203</t>
  </si>
  <si>
    <t>166-24</t>
  </si>
  <si>
    <t>C0204</t>
  </si>
  <si>
    <t>04/27/2025</t>
  </si>
  <si>
    <t>№АРТ-060</t>
  </si>
  <si>
    <t>C0205</t>
  </si>
  <si>
    <t>C0206</t>
  </si>
  <si>
    <t>04/28/2025</t>
  </si>
  <si>
    <t>248/24</t>
  </si>
  <si>
    <t>C0207</t>
  </si>
  <si>
    <t>№АРТ-383</t>
  </si>
  <si>
    <t>C0208</t>
  </si>
  <si>
    <t>04/29/2025</t>
  </si>
  <si>
    <t>АРТ_229</t>
  </si>
  <si>
    <t>C0209</t>
  </si>
  <si>
    <t>034-24</t>
  </si>
  <si>
    <t>C0210</t>
  </si>
  <si>
    <t>04/30/2025</t>
  </si>
  <si>
    <t>C0211</t>
  </si>
  <si>
    <t>АРТ_459</t>
  </si>
  <si>
    <t>C0212</t>
  </si>
  <si>
    <t>05/01/2025</t>
  </si>
  <si>
    <t>296/24</t>
  </si>
  <si>
    <t>C0213</t>
  </si>
  <si>
    <t>№АРТ-267</t>
  </si>
  <si>
    <t>C0214</t>
  </si>
  <si>
    <t>05/02/2025</t>
  </si>
  <si>
    <t>АРТ_340</t>
  </si>
  <si>
    <t>C0215</t>
  </si>
  <si>
    <t>C0216</t>
  </si>
  <si>
    <t>05/03/2025</t>
  </si>
  <si>
    <t>C0217</t>
  </si>
  <si>
    <t>АРТ_474</t>
  </si>
  <si>
    <t>C0218</t>
  </si>
  <si>
    <t>05/04/2025</t>
  </si>
  <si>
    <t>C0219</t>
  </si>
  <si>
    <t>C0220</t>
  </si>
  <si>
    <t>05/05/2025</t>
  </si>
  <si>
    <t>АРТ_202</t>
  </si>
  <si>
    <t>C0221</t>
  </si>
  <si>
    <t>C0222</t>
  </si>
  <si>
    <t>05/06/2025</t>
  </si>
  <si>
    <t>№АРТ-081</t>
  </si>
  <si>
    <t>C0223</t>
  </si>
  <si>
    <t>АРТ_418</t>
  </si>
  <si>
    <t>C0224</t>
  </si>
  <si>
    <t>05/07/2025</t>
  </si>
  <si>
    <t>272/24</t>
  </si>
  <si>
    <t>C0225</t>
  </si>
  <si>
    <t>№АРТ-407</t>
  </si>
  <si>
    <t>C0226</t>
  </si>
  <si>
    <t>05/08/2025</t>
  </si>
  <si>
    <t>C0227</t>
  </si>
  <si>
    <t>057-24</t>
  </si>
  <si>
    <t>C0228</t>
  </si>
  <si>
    <t>05/09/2025</t>
  </si>
  <si>
    <t>№АРТ-183</t>
  </si>
  <si>
    <t>C0229</t>
  </si>
  <si>
    <t>АРТ_481</t>
  </si>
  <si>
    <t>C0230</t>
  </si>
  <si>
    <t>05/10/2025</t>
  </si>
  <si>
    <t>335/24</t>
  </si>
  <si>
    <t>C0231</t>
  </si>
  <si>
    <t>№АРТ-021</t>
  </si>
  <si>
    <t>C0232</t>
  </si>
  <si>
    <t>05/11/2025</t>
  </si>
  <si>
    <t>АРТ_390</t>
  </si>
  <si>
    <t>C0233</t>
  </si>
  <si>
    <t>098-24</t>
  </si>
  <si>
    <t>C0234</t>
  </si>
  <si>
    <t>05/12/2025</t>
  </si>
  <si>
    <t>C0235</t>
  </si>
  <si>
    <t>C0236</t>
  </si>
  <si>
    <t>05/13/2025</t>
  </si>
  <si>
    <t>C0237</t>
  </si>
  <si>
    <t>№АРТ-338</t>
  </si>
  <si>
    <t>C0238</t>
  </si>
  <si>
    <t>05/14/2025</t>
  </si>
  <si>
    <t>АРТ_214</t>
  </si>
  <si>
    <t>C0239</t>
  </si>
  <si>
    <t>178-24</t>
  </si>
  <si>
    <t>C0240</t>
  </si>
  <si>
    <t>05/15/2025</t>
  </si>
  <si>
    <t>№АРТ-071</t>
  </si>
  <si>
    <t>C0241</t>
  </si>
  <si>
    <t>АРТ_439</t>
  </si>
  <si>
    <t>C0242</t>
  </si>
  <si>
    <t>05/16/2025</t>
  </si>
  <si>
    <t>C0243</t>
  </si>
  <si>
    <t>№АРТ-423</t>
  </si>
  <si>
    <t>C0244</t>
  </si>
  <si>
    <t>05/17/2025</t>
  </si>
  <si>
    <t>АРТ_276</t>
  </si>
  <si>
    <t>C0245</t>
  </si>
  <si>
    <t>113-24</t>
  </si>
  <si>
    <t>C0246</t>
  </si>
  <si>
    <t>05/18/2025</t>
  </si>
  <si>
    <t>№АРТ-162</t>
  </si>
  <si>
    <t>C0247</t>
  </si>
  <si>
    <t>АРТ_502</t>
  </si>
  <si>
    <t>C0248</t>
  </si>
  <si>
    <t>05/19/2025</t>
  </si>
  <si>
    <t>C0249</t>
  </si>
  <si>
    <t>C0250</t>
  </si>
  <si>
    <t>05/20/2025</t>
  </si>
  <si>
    <t>АРТ_361</t>
  </si>
  <si>
    <t>C0251</t>
  </si>
  <si>
    <t>075-24</t>
  </si>
  <si>
    <t>C0252</t>
  </si>
  <si>
    <t>05/21/2025</t>
  </si>
  <si>
    <t>C0253</t>
  </si>
  <si>
    <t>АРТ_483</t>
  </si>
  <si>
    <t>C0254</t>
  </si>
  <si>
    <t>05/22/2025</t>
  </si>
  <si>
    <t>346/24</t>
  </si>
  <si>
    <t>C0255</t>
  </si>
  <si>
    <t>№АРТ-374</t>
  </si>
  <si>
    <t>C0256</t>
  </si>
  <si>
    <t>05/23/2025</t>
  </si>
  <si>
    <t>C0257</t>
  </si>
  <si>
    <t>189-24</t>
  </si>
  <si>
    <t>C0258</t>
  </si>
  <si>
    <t>05/24/2025</t>
  </si>
  <si>
    <t>№АРТ-102</t>
  </si>
  <si>
    <t>C0259</t>
  </si>
  <si>
    <t>АРТ_451</t>
  </si>
  <si>
    <t>C0260</t>
  </si>
  <si>
    <t>05/25/2025</t>
  </si>
  <si>
    <t>312/24</t>
  </si>
  <si>
    <t>C0261</t>
  </si>
  <si>
    <t>C0262</t>
  </si>
  <si>
    <t>05/26/2025</t>
  </si>
  <si>
    <t>АРТ_283</t>
  </si>
  <si>
    <t>C0263</t>
  </si>
  <si>
    <t>C0264</t>
  </si>
  <si>
    <t>05/27/2025</t>
  </si>
  <si>
    <t>C0265</t>
  </si>
  <si>
    <t>C0266</t>
  </si>
  <si>
    <t>05/28/2025</t>
  </si>
  <si>
    <t>311/24</t>
  </si>
  <si>
    <t>C0267</t>
  </si>
  <si>
    <t>C0268</t>
  </si>
  <si>
    <t>05/29/2025</t>
  </si>
  <si>
    <t>АРТ_330</t>
  </si>
  <si>
    <t>C0269</t>
  </si>
  <si>
    <t>053-24</t>
  </si>
  <si>
    <t>C0270</t>
  </si>
  <si>
    <t>05/30/2025</t>
  </si>
  <si>
    <t>C0271</t>
  </si>
  <si>
    <t>АРТ_462</t>
  </si>
  <si>
    <t>C0272</t>
  </si>
  <si>
    <t>05/31/2025</t>
  </si>
  <si>
    <t>388/24</t>
  </si>
  <si>
    <t>C0273</t>
  </si>
  <si>
    <t>№АРТ-206</t>
  </si>
  <si>
    <t>C0274</t>
  </si>
  <si>
    <t>06/01/2025</t>
  </si>
  <si>
    <t>АРТ_274</t>
  </si>
  <si>
    <t>C0275</t>
  </si>
  <si>
    <t>C0276</t>
  </si>
  <si>
    <t>06/02/2025</t>
  </si>
  <si>
    <t>№АРТ-062</t>
  </si>
  <si>
    <t>C0277</t>
  </si>
  <si>
    <t>C0278</t>
  </si>
  <si>
    <t>06/03/2025</t>
  </si>
  <si>
    <t>258/24</t>
  </si>
  <si>
    <t>C0279</t>
  </si>
  <si>
    <t>№АРТ-386</t>
  </si>
  <si>
    <t>C0280</t>
  </si>
  <si>
    <t>06/04/2025</t>
  </si>
  <si>
    <t>C0281</t>
  </si>
  <si>
    <t>073-24</t>
  </si>
  <si>
    <t>C0282</t>
  </si>
  <si>
    <t>06/05/2025</t>
  </si>
  <si>
    <t>C0283</t>
  </si>
  <si>
    <t>АРТ_457</t>
  </si>
  <si>
    <t>C0284</t>
  </si>
  <si>
    <t>06/06/2025</t>
  </si>
  <si>
    <t>359/24</t>
  </si>
  <si>
    <t>C0285</t>
  </si>
  <si>
    <t>№АРТ-053</t>
  </si>
  <si>
    <t>C0286</t>
  </si>
  <si>
    <t>06/07/2025</t>
  </si>
  <si>
    <t>C0287</t>
  </si>
  <si>
    <t>C0288</t>
  </si>
  <si>
    <t>06/08/2025</t>
  </si>
  <si>
    <t>№АРТ-203</t>
  </si>
  <si>
    <t>C0289</t>
  </si>
  <si>
    <t>АРТ_303</t>
  </si>
  <si>
    <t>C0290</t>
  </si>
  <si>
    <t>06/09/2025</t>
  </si>
  <si>
    <t>259/24</t>
  </si>
  <si>
    <t>C0291</t>
  </si>
  <si>
    <t>C0292</t>
  </si>
  <si>
    <t>06/10/2025</t>
  </si>
  <si>
    <t>C0293</t>
  </si>
  <si>
    <t>C0294</t>
  </si>
  <si>
    <t>06/11/2025</t>
  </si>
  <si>
    <t>C0295</t>
  </si>
  <si>
    <t>C0296</t>
  </si>
  <si>
    <t>06/12/2025</t>
  </si>
  <si>
    <t>325/24</t>
  </si>
  <si>
    <t>C0297</t>
  </si>
  <si>
    <t>C0298</t>
  </si>
  <si>
    <t>06/13/2025</t>
  </si>
  <si>
    <t>АРТ_268</t>
  </si>
  <si>
    <t>C0299</t>
  </si>
  <si>
    <t>187-24</t>
  </si>
  <si>
    <t>C0300</t>
  </si>
  <si>
    <t>06/14/2025</t>
  </si>
  <si>
    <t>C0301</t>
  </si>
  <si>
    <t>АРТ_486</t>
  </si>
  <si>
    <t>C0302</t>
  </si>
  <si>
    <t>06/15/2025</t>
  </si>
  <si>
    <t>347/24</t>
  </si>
  <si>
    <t>C0303</t>
  </si>
  <si>
    <t>№АРТ-381</t>
  </si>
  <si>
    <t>C0304</t>
  </si>
  <si>
    <t>06/16/2025</t>
  </si>
  <si>
    <t>АРТ_219</t>
  </si>
  <si>
    <t>C0305</t>
  </si>
  <si>
    <t>263-24</t>
  </si>
  <si>
    <t>C0306</t>
  </si>
  <si>
    <t>06/17/2025</t>
  </si>
  <si>
    <t>№АРТ-101</t>
  </si>
  <si>
    <t>C0307</t>
  </si>
  <si>
    <t>C0308</t>
  </si>
  <si>
    <t>06/18/2025</t>
  </si>
  <si>
    <t>380/24</t>
  </si>
  <si>
    <t>C0309</t>
  </si>
  <si>
    <t>C0310</t>
  </si>
  <si>
    <t>06/19/2025</t>
  </si>
  <si>
    <t>АРТ_306</t>
  </si>
  <si>
    <t>C0311</t>
  </si>
  <si>
    <t>158-24</t>
  </si>
  <si>
    <t>C0312</t>
  </si>
  <si>
    <t>06/20/2025</t>
  </si>
  <si>
    <t>№АРТ-074</t>
  </si>
  <si>
    <t>C0313</t>
  </si>
  <si>
    <t>C0314</t>
  </si>
  <si>
    <t>06/21/2025</t>
  </si>
  <si>
    <t>293/24</t>
  </si>
  <si>
    <t>C0315</t>
  </si>
  <si>
    <t>№АРТ-416</t>
  </si>
  <si>
    <t>C0316</t>
  </si>
  <si>
    <t>06/22/2025</t>
  </si>
  <si>
    <t>C0317</t>
  </si>
  <si>
    <t>243-24</t>
  </si>
  <si>
    <t>C0318</t>
  </si>
  <si>
    <t>06/23/2025</t>
  </si>
  <si>
    <t>C0319</t>
  </si>
  <si>
    <t>C0320</t>
  </si>
  <si>
    <t>06/24/2025</t>
  </si>
  <si>
    <t>C0321</t>
  </si>
  <si>
    <t>№АРТ-305</t>
  </si>
  <si>
    <t>C0322</t>
  </si>
  <si>
    <t>06/25/2025</t>
  </si>
  <si>
    <t>АРТ_288</t>
  </si>
  <si>
    <t>C0323</t>
  </si>
  <si>
    <t>134-24</t>
  </si>
  <si>
    <t>C0324</t>
  </si>
  <si>
    <t>06/26/2025</t>
  </si>
  <si>
    <t>№АРТ-110</t>
  </si>
  <si>
    <t>C0325</t>
  </si>
  <si>
    <t>АРТ_471</t>
  </si>
  <si>
    <t>C0326</t>
  </si>
  <si>
    <t>06/27/2025</t>
  </si>
  <si>
    <t>322/24</t>
  </si>
  <si>
    <t>C0327</t>
  </si>
  <si>
    <t>№АРТ-188</t>
  </si>
  <si>
    <t>C0328</t>
  </si>
  <si>
    <t>06/28/2025</t>
  </si>
  <si>
    <t>C0329</t>
  </si>
  <si>
    <t>063-24</t>
  </si>
  <si>
    <t>C0330</t>
  </si>
  <si>
    <t>06/29/2025</t>
  </si>
  <si>
    <t>№АРТ-248</t>
  </si>
  <si>
    <t>C0331</t>
  </si>
  <si>
    <t>АРТ_454</t>
  </si>
  <si>
    <t>C0332</t>
  </si>
  <si>
    <t>06/30/2025</t>
  </si>
  <si>
    <t>281/24</t>
  </si>
  <si>
    <t>C0333</t>
  </si>
  <si>
    <t>C0334</t>
  </si>
  <si>
    <t>07/01/2025</t>
  </si>
  <si>
    <t>АРТ_345</t>
  </si>
  <si>
    <t>C0335</t>
  </si>
  <si>
    <t>224-24</t>
  </si>
  <si>
    <t>C0336</t>
  </si>
  <si>
    <t>07/02/2025</t>
  </si>
  <si>
    <t>C0337</t>
  </si>
  <si>
    <t>АРТ_438</t>
  </si>
  <si>
    <t>C0338</t>
  </si>
  <si>
    <t>07/03/2025</t>
  </si>
  <si>
    <t>C0339</t>
  </si>
  <si>
    <t>C0340</t>
  </si>
  <si>
    <t>07/04/2025</t>
  </si>
  <si>
    <t>АРТ_267</t>
  </si>
  <si>
    <t>C0341</t>
  </si>
  <si>
    <t>095-24</t>
  </si>
  <si>
    <t>C0342</t>
  </si>
  <si>
    <t>07/05/2025</t>
  </si>
  <si>
    <t>№АРТ-030</t>
  </si>
  <si>
    <t>C0343</t>
  </si>
  <si>
    <t>АРТ_493</t>
  </si>
  <si>
    <t>C0344</t>
  </si>
  <si>
    <t>07/06/2025</t>
  </si>
  <si>
    <t>313/24</t>
  </si>
  <si>
    <t>C0345</t>
  </si>
  <si>
    <t>№АРТ-200</t>
  </si>
  <si>
    <t>C0346</t>
  </si>
  <si>
    <t>07/07/2025</t>
  </si>
  <si>
    <t>АРТ_253</t>
  </si>
  <si>
    <t>C0347</t>
  </si>
  <si>
    <t>105-24</t>
  </si>
  <si>
    <t>C0348</t>
  </si>
  <si>
    <t>07/08/2025</t>
  </si>
  <si>
    <t>C0349</t>
  </si>
  <si>
    <t>C0350</t>
  </si>
  <si>
    <t>07/09/2025</t>
  </si>
  <si>
    <t>C0351</t>
  </si>
  <si>
    <t>C0352</t>
  </si>
  <si>
    <t>07/10/2025</t>
  </si>
  <si>
    <t>АРТ_328</t>
  </si>
  <si>
    <t>C0353</t>
  </si>
  <si>
    <t>C0354</t>
  </si>
  <si>
    <t>07/11/2025</t>
  </si>
  <si>
    <t>C0355</t>
  </si>
  <si>
    <t>АРТ_466</t>
  </si>
  <si>
    <t>C0356</t>
  </si>
  <si>
    <t>07/12/2025</t>
  </si>
  <si>
    <t>334/24</t>
  </si>
  <si>
    <t>C0357</t>
  </si>
  <si>
    <t>C0358</t>
  </si>
  <si>
    <t>07/13/2025</t>
  </si>
  <si>
    <t>АРТ_223</t>
  </si>
  <si>
    <t>C0359</t>
  </si>
  <si>
    <t>137-24</t>
  </si>
  <si>
    <t>C0360</t>
  </si>
  <si>
    <t>07/14/2025</t>
  </si>
  <si>
    <t>№АРТ-096</t>
  </si>
  <si>
    <t>C0361</t>
  </si>
  <si>
    <t>C0362</t>
  </si>
  <si>
    <t>07/15/2025</t>
  </si>
  <si>
    <t>304/24</t>
  </si>
  <si>
    <t>C0363</t>
  </si>
  <si>
    <t>№АРТ-179</t>
  </si>
  <si>
    <t>C0364</t>
  </si>
  <si>
    <t>07/16/2025</t>
  </si>
  <si>
    <t>АРТ_364</t>
  </si>
  <si>
    <t>C0365</t>
  </si>
  <si>
    <t>C0366</t>
  </si>
  <si>
    <t>07/17/2025</t>
  </si>
  <si>
    <t>№АРТ-044</t>
  </si>
  <si>
    <t>C0367</t>
  </si>
  <si>
    <t>АРТ_448</t>
  </si>
  <si>
    <t>C0368</t>
  </si>
  <si>
    <t>07/18/2025</t>
  </si>
  <si>
    <t>389/24</t>
  </si>
  <si>
    <t>C0369</t>
  </si>
  <si>
    <t>№АРТ-419</t>
  </si>
  <si>
    <t>C0370</t>
  </si>
  <si>
    <t>07/19/2025</t>
  </si>
  <si>
    <t>АРТ_258</t>
  </si>
  <si>
    <t>C0371</t>
  </si>
  <si>
    <t>C0372</t>
  </si>
  <si>
    <t>07/20/2025</t>
  </si>
  <si>
    <t>C0373</t>
  </si>
  <si>
    <t>АРТ_477</t>
  </si>
  <si>
    <t>C0374</t>
  </si>
  <si>
    <t>07/21/2025</t>
  </si>
  <si>
    <t>342/24</t>
  </si>
  <si>
    <t>C0375</t>
  </si>
  <si>
    <t>C0376</t>
  </si>
  <si>
    <t>07/22/2025</t>
  </si>
  <si>
    <t>АРТ_216</t>
  </si>
  <si>
    <t>C0377</t>
  </si>
  <si>
    <t>257-24</t>
  </si>
  <si>
    <t>C0378</t>
  </si>
  <si>
    <t>07/23/2025</t>
  </si>
  <si>
    <t>№АРТ-080</t>
  </si>
  <si>
    <t>C0379</t>
  </si>
  <si>
    <t>C0380</t>
  </si>
  <si>
    <t>07/24/2025</t>
  </si>
  <si>
    <t>328/24</t>
  </si>
  <si>
    <t>C0381</t>
  </si>
  <si>
    <t>C0382</t>
  </si>
  <si>
    <t>07/25/2025</t>
  </si>
  <si>
    <t>АРТ_342</t>
  </si>
  <si>
    <t>C0383</t>
  </si>
  <si>
    <t>181-24</t>
  </si>
  <si>
    <t>C0384</t>
  </si>
  <si>
    <t>07/26/2025</t>
  </si>
  <si>
    <t>C0385</t>
  </si>
  <si>
    <t>АРТ_489</t>
  </si>
  <si>
    <t>C0386</t>
  </si>
  <si>
    <t>07/27/2025</t>
  </si>
  <si>
    <t>C0387</t>
  </si>
  <si>
    <t>№АРТ-413</t>
  </si>
  <si>
    <t>C0388</t>
  </si>
  <si>
    <t>07/28/2025</t>
  </si>
  <si>
    <t>АРТ_357</t>
  </si>
  <si>
    <t>C0389</t>
  </si>
  <si>
    <t>238-24</t>
  </si>
  <si>
    <t>C0390</t>
  </si>
  <si>
    <t>07/29/2025</t>
  </si>
  <si>
    <t>№АРТ-168</t>
  </si>
  <si>
    <t>C0391</t>
  </si>
  <si>
    <t>АРТ_426</t>
  </si>
  <si>
    <t>C0392</t>
  </si>
  <si>
    <t>07/30/2025</t>
  </si>
  <si>
    <t>C0393</t>
  </si>
  <si>
    <t>№АРТ-360</t>
  </si>
  <si>
    <t>C0394</t>
  </si>
  <si>
    <t>07/31/2025</t>
  </si>
  <si>
    <t>C0395</t>
  </si>
  <si>
    <t>C0396</t>
  </si>
  <si>
    <t>08/01/2025</t>
  </si>
  <si>
    <t>№АРТ-141</t>
  </si>
  <si>
    <t>C0397</t>
  </si>
  <si>
    <t>АРТ_495</t>
  </si>
  <si>
    <t>C0398</t>
  </si>
  <si>
    <t>08/02/2025</t>
  </si>
  <si>
    <t>331/24</t>
  </si>
  <si>
    <t>C0399</t>
  </si>
  <si>
    <t>C0400</t>
  </si>
  <si>
    <t>08/03/2025</t>
  </si>
  <si>
    <t>АРТ_256</t>
  </si>
  <si>
    <t>C0401</t>
  </si>
  <si>
    <t>139-24</t>
  </si>
  <si>
    <t>C0402</t>
  </si>
  <si>
    <t>08/04/2025</t>
  </si>
  <si>
    <t>C0403</t>
  </si>
  <si>
    <t>АРТ_436</t>
  </si>
  <si>
    <t>C0404</t>
  </si>
  <si>
    <t>08/05/2025</t>
  </si>
  <si>
    <t>C0405</t>
  </si>
  <si>
    <t>№АРТ-437</t>
  </si>
  <si>
    <t>C0406</t>
  </si>
  <si>
    <t>08/06/2025</t>
  </si>
  <si>
    <t>C0407</t>
  </si>
  <si>
    <t>217-24</t>
  </si>
  <si>
    <t>C0408</t>
  </si>
  <si>
    <t>08/07/2025</t>
  </si>
  <si>
    <t>C0409</t>
  </si>
  <si>
    <t>C0410</t>
  </si>
  <si>
    <t>08/08/2025</t>
  </si>
  <si>
    <t>C0411</t>
  </si>
  <si>
    <t>№АРТ-408</t>
  </si>
  <si>
    <t>C0412</t>
  </si>
  <si>
    <t>08/09/2025</t>
  </si>
  <si>
    <t>C0413</t>
  </si>
  <si>
    <t>278-24</t>
  </si>
  <si>
    <t>C0414</t>
  </si>
  <si>
    <t>08/10/2025</t>
  </si>
  <si>
    <t>№АРТ-038</t>
  </si>
  <si>
    <t>C0415</t>
  </si>
  <si>
    <t>C0416</t>
  </si>
  <si>
    <t>08/11/2025</t>
  </si>
  <si>
    <t>C0417</t>
  </si>
  <si>
    <t>C0418</t>
  </si>
  <si>
    <t>08/12/2025</t>
  </si>
  <si>
    <t>АРТ_286</t>
  </si>
  <si>
    <t>C0419</t>
  </si>
  <si>
    <t>052-24</t>
  </si>
  <si>
    <t>C0420</t>
  </si>
  <si>
    <t>08/13/2025</t>
  </si>
  <si>
    <t>№АРТ-197</t>
  </si>
  <si>
    <t>C0421</t>
  </si>
  <si>
    <t>АРТ_414</t>
  </si>
  <si>
    <t>C0422</t>
  </si>
  <si>
    <t>08/14/2025</t>
  </si>
  <si>
    <t>C0423</t>
  </si>
  <si>
    <t>C0424</t>
  </si>
  <si>
    <t>08/15/2025</t>
  </si>
  <si>
    <t>C0425</t>
  </si>
  <si>
    <t>254-24</t>
  </si>
  <si>
    <t>C0426</t>
  </si>
  <si>
    <t>08/16/2025</t>
  </si>
  <si>
    <t>№АРТ-104</t>
  </si>
  <si>
    <t>C0427</t>
  </si>
  <si>
    <t>АРТ_442</t>
  </si>
  <si>
    <t>C0428</t>
  </si>
  <si>
    <t>08/17/2025</t>
  </si>
  <si>
    <t>286/24</t>
  </si>
  <si>
    <t>C0429</t>
  </si>
  <si>
    <t>№АРТ-333</t>
  </si>
  <si>
    <t>C0430</t>
  </si>
  <si>
    <t>08/18/2025</t>
  </si>
  <si>
    <t>C0431</t>
  </si>
  <si>
    <t>C0432</t>
  </si>
  <si>
    <t>08/19/2025</t>
  </si>
  <si>
    <t>C0433</t>
  </si>
  <si>
    <t>C0434</t>
  </si>
  <si>
    <t>08/20/2025</t>
  </si>
  <si>
    <t>307/24</t>
  </si>
  <si>
    <t>C0435</t>
  </si>
  <si>
    <t>№АРТ-201</t>
  </si>
  <si>
    <t>C0436</t>
  </si>
  <si>
    <t>08/21/2025</t>
  </si>
  <si>
    <t>C0437</t>
  </si>
  <si>
    <t>041-24</t>
  </si>
  <si>
    <t>C0438</t>
  </si>
  <si>
    <t>08/22/2025</t>
  </si>
  <si>
    <t>C0439</t>
  </si>
  <si>
    <t>C0440</t>
  </si>
  <si>
    <t>08/23/2025</t>
  </si>
  <si>
    <t>C0441</t>
  </si>
  <si>
    <t>C0442</t>
  </si>
  <si>
    <t>08/24/2025</t>
  </si>
  <si>
    <t>АРТ_327</t>
  </si>
  <si>
    <t>C0443</t>
  </si>
  <si>
    <t>153-24</t>
  </si>
  <si>
    <t>C0444</t>
  </si>
  <si>
    <t>08/25/2025</t>
  </si>
  <si>
    <t>C0445</t>
  </si>
  <si>
    <t>C0446</t>
  </si>
  <si>
    <t>08/26/2025</t>
  </si>
  <si>
    <t>C0447</t>
  </si>
  <si>
    <t>C0448</t>
  </si>
  <si>
    <t>08/27/2025</t>
  </si>
  <si>
    <t>C0449</t>
  </si>
  <si>
    <t>265-24</t>
  </si>
  <si>
    <t>C0450</t>
  </si>
  <si>
    <t>08/28/2025</t>
  </si>
  <si>
    <t>C0451</t>
  </si>
  <si>
    <t>C0452</t>
  </si>
  <si>
    <t>08/29/2025</t>
  </si>
  <si>
    <t>361/24</t>
  </si>
  <si>
    <t>C0453</t>
  </si>
  <si>
    <t>C0454</t>
  </si>
  <si>
    <t>08/30/2025</t>
  </si>
  <si>
    <t>C0455</t>
  </si>
  <si>
    <t>088-24</t>
  </si>
  <si>
    <t>C0456</t>
  </si>
  <si>
    <t>08/31/2025</t>
  </si>
  <si>
    <t>№АРТ-171</t>
  </si>
  <si>
    <t>C0457</t>
  </si>
  <si>
    <t>АРТ_433</t>
  </si>
  <si>
    <t>C0458</t>
  </si>
  <si>
    <t>09/01/2025</t>
  </si>
  <si>
    <t>C0459</t>
  </si>
  <si>
    <t>C0460</t>
  </si>
  <si>
    <t>09/02/2025</t>
  </si>
  <si>
    <t>АРТ_312</t>
  </si>
  <si>
    <t>C0461</t>
  </si>
  <si>
    <t>C0462</t>
  </si>
  <si>
    <t>09/03/2025</t>
  </si>
  <si>
    <t>C0463</t>
  </si>
  <si>
    <t>АРТ_460</t>
  </si>
  <si>
    <t>C0464</t>
  </si>
  <si>
    <t>09/04/2025</t>
  </si>
  <si>
    <t>366/24</t>
  </si>
  <si>
    <t>C0465</t>
  </si>
  <si>
    <t>№АРТ-384</t>
  </si>
  <si>
    <t>C0466</t>
  </si>
  <si>
    <t>09/05/2025</t>
  </si>
  <si>
    <t>C0467</t>
  </si>
  <si>
    <t>299-24</t>
  </si>
  <si>
    <t>C0468</t>
  </si>
  <si>
    <t>09/06/2025</t>
  </si>
  <si>
    <t>№АРТ-001</t>
  </si>
  <si>
    <t>C0469</t>
  </si>
  <si>
    <t>АРТ_496</t>
  </si>
  <si>
    <t>C0470</t>
  </si>
  <si>
    <t>09/07/2025</t>
  </si>
  <si>
    <t>305/24</t>
  </si>
  <si>
    <t>C0471</t>
  </si>
  <si>
    <t>C0472</t>
  </si>
  <si>
    <t>09/08/2025</t>
  </si>
  <si>
    <t>АРТ_351</t>
  </si>
  <si>
    <t>C0473</t>
  </si>
  <si>
    <t>214-24</t>
  </si>
  <si>
    <t>C0474</t>
  </si>
  <si>
    <t>09/09/2025</t>
  </si>
  <si>
    <t>№АРТ-135</t>
  </si>
  <si>
    <t>C0475</t>
  </si>
  <si>
    <t>C0476</t>
  </si>
  <si>
    <t>09/10/2025</t>
  </si>
  <si>
    <t>C0477</t>
  </si>
  <si>
    <t>C0478</t>
  </si>
  <si>
    <t>09/11/2025</t>
  </si>
  <si>
    <t>C0479</t>
  </si>
  <si>
    <t>129-24</t>
  </si>
  <si>
    <t>C0480</t>
  </si>
  <si>
    <t>09/12/2025</t>
  </si>
  <si>
    <t>C0481</t>
  </si>
  <si>
    <t>C0482</t>
  </si>
  <si>
    <t>09/13/2025</t>
  </si>
  <si>
    <t>362/24</t>
  </si>
  <si>
    <t>C0483</t>
  </si>
  <si>
    <t>C0484</t>
  </si>
  <si>
    <t>09/14/2025</t>
  </si>
  <si>
    <t>C0485</t>
  </si>
  <si>
    <t>C0486</t>
  </si>
  <si>
    <t>09/15/2025</t>
  </si>
  <si>
    <t>№АРТ-047</t>
  </si>
  <si>
    <t>C0487</t>
  </si>
  <si>
    <t>C0488</t>
  </si>
  <si>
    <t>09/16/2025</t>
  </si>
  <si>
    <t>308/24</t>
  </si>
  <si>
    <t>C0489</t>
  </si>
  <si>
    <t>C0490</t>
  </si>
  <si>
    <t>09/17/2025</t>
  </si>
  <si>
    <t>C0491</t>
  </si>
  <si>
    <t>C0492</t>
  </si>
  <si>
    <t>09/18/2025</t>
  </si>
  <si>
    <t>C0493</t>
  </si>
  <si>
    <t>АРТ_498</t>
  </si>
  <si>
    <t>C0494</t>
  </si>
  <si>
    <t>09/19/2025</t>
  </si>
  <si>
    <t>C0495</t>
  </si>
  <si>
    <t>C0496</t>
  </si>
  <si>
    <t>09/20/2025</t>
  </si>
  <si>
    <t>C0497</t>
  </si>
  <si>
    <t>145-24</t>
  </si>
  <si>
    <t>C0498</t>
  </si>
  <si>
    <t>09/21/2025</t>
  </si>
  <si>
    <t>№АРТ-020</t>
  </si>
  <si>
    <t>C0499</t>
  </si>
  <si>
    <t>C0500</t>
  </si>
  <si>
    <t>09/22/2025</t>
  </si>
  <si>
    <t>376/24</t>
  </si>
  <si>
    <t>C0501</t>
  </si>
  <si>
    <t>C0502</t>
  </si>
  <si>
    <t>09/23/2025</t>
  </si>
  <si>
    <t>АРТ_309</t>
  </si>
  <si>
    <t>C0503</t>
  </si>
  <si>
    <t>251-24</t>
  </si>
  <si>
    <t>C0504</t>
  </si>
  <si>
    <t>09/24/2025</t>
  </si>
  <si>
    <t>C0505</t>
  </si>
  <si>
    <t>C0506</t>
  </si>
  <si>
    <t>09/25/2025</t>
  </si>
  <si>
    <t>C0507</t>
  </si>
  <si>
    <t>C0508</t>
  </si>
  <si>
    <t>09/26/2025</t>
  </si>
  <si>
    <t>АРТ_367</t>
  </si>
  <si>
    <t>C0509</t>
  </si>
  <si>
    <t>C0510</t>
  </si>
  <si>
    <t>09/27/2025</t>
  </si>
  <si>
    <t>№АРТ-050</t>
  </si>
  <si>
    <t>C0511</t>
  </si>
  <si>
    <t>C0512</t>
  </si>
  <si>
    <t>09/28/2025</t>
  </si>
  <si>
    <t>C0513</t>
  </si>
  <si>
    <t>№АРТ-398</t>
  </si>
  <si>
    <t>C0514</t>
  </si>
  <si>
    <t>09/29/2025</t>
  </si>
  <si>
    <t>C0515</t>
  </si>
  <si>
    <t>284-24</t>
  </si>
  <si>
    <t>C0516</t>
  </si>
  <si>
    <t>09/30/2025</t>
  </si>
  <si>
    <t>№АРТ-093</t>
  </si>
  <si>
    <t>C0517</t>
  </si>
  <si>
    <t>C0518</t>
  </si>
  <si>
    <t>10/01/2025</t>
  </si>
  <si>
    <t>C0519</t>
  </si>
  <si>
    <t>C0520</t>
  </si>
  <si>
    <t>10/02/2025</t>
  </si>
  <si>
    <t>C0521</t>
  </si>
  <si>
    <t>225-24</t>
  </si>
  <si>
    <t>C0522</t>
  </si>
  <si>
    <t>10/03/2025</t>
  </si>
  <si>
    <t>№АРТ-144</t>
  </si>
  <si>
    <t>C0523</t>
  </si>
  <si>
    <t>C0524</t>
  </si>
  <si>
    <t>10/04/2025</t>
  </si>
  <si>
    <t>C0525</t>
  </si>
  <si>
    <t>C0526</t>
  </si>
  <si>
    <t>10/05/2025</t>
  </si>
  <si>
    <t>C0527</t>
  </si>
  <si>
    <t>267-24</t>
  </si>
  <si>
    <t>C0528</t>
  </si>
  <si>
    <t>10/06/2025</t>
  </si>
  <si>
    <t>C0529</t>
  </si>
  <si>
    <t>АРТ_445</t>
  </si>
  <si>
    <t>C0530</t>
  </si>
  <si>
    <t>10/07/2025</t>
  </si>
  <si>
    <t>288/24</t>
  </si>
  <si>
    <t>C0531</t>
  </si>
  <si>
    <t>№АРТ-377</t>
  </si>
  <si>
    <t>C0532</t>
  </si>
  <si>
    <t>10/08/2025</t>
  </si>
  <si>
    <t>C0533</t>
  </si>
  <si>
    <t>C0534</t>
  </si>
  <si>
    <t>10/09/2025</t>
  </si>
  <si>
    <t>C0535</t>
  </si>
  <si>
    <t>C0536</t>
  </si>
  <si>
    <t>10/10/2025</t>
  </si>
  <si>
    <t>386/24</t>
  </si>
  <si>
    <t>C0537</t>
  </si>
  <si>
    <t>№АРТ-299</t>
  </si>
  <si>
    <t>C0538</t>
  </si>
  <si>
    <t>10/11/2025</t>
  </si>
  <si>
    <t>C0539</t>
  </si>
  <si>
    <t>320-24</t>
  </si>
  <si>
    <t>C0540</t>
  </si>
  <si>
    <t>10/12/2025</t>
  </si>
  <si>
    <t>C0541</t>
  </si>
  <si>
    <t>C0542</t>
  </si>
  <si>
    <t>10/13/2025</t>
  </si>
  <si>
    <t>C0543</t>
  </si>
  <si>
    <t>C0544</t>
  </si>
  <si>
    <t>10/14/2025</t>
  </si>
  <si>
    <t>C0545</t>
  </si>
  <si>
    <t>083-24</t>
  </si>
  <si>
    <t>C0546</t>
  </si>
  <si>
    <t>10/15/2025</t>
  </si>
  <si>
    <t>C0547</t>
  </si>
  <si>
    <t>C0548</t>
  </si>
  <si>
    <t>10/16/2025</t>
  </si>
  <si>
    <t>330/24</t>
  </si>
  <si>
    <t>C0549</t>
  </si>
  <si>
    <t>№АРТ-296</t>
  </si>
  <si>
    <t>C0550</t>
  </si>
  <si>
    <t>10/17/2025</t>
  </si>
  <si>
    <t>АРТ_354</t>
  </si>
  <si>
    <t>C0551</t>
  </si>
  <si>
    <t>C0552</t>
  </si>
  <si>
    <t>10/18/2025</t>
  </si>
  <si>
    <t>C0553</t>
  </si>
  <si>
    <t>C0554</t>
  </si>
  <si>
    <t>10/19/2025</t>
  </si>
  <si>
    <t>C0555</t>
  </si>
  <si>
    <t>C0556</t>
  </si>
  <si>
    <t>10/20/2025</t>
  </si>
  <si>
    <t>C0557</t>
  </si>
  <si>
    <t>C0558</t>
  </si>
  <si>
    <t>10/21/2025</t>
  </si>
  <si>
    <t>C0559</t>
  </si>
  <si>
    <t>C0560</t>
  </si>
  <si>
    <t>10/22/2025</t>
  </si>
  <si>
    <t>C0561</t>
  </si>
  <si>
    <t>№АРТ-192</t>
  </si>
  <si>
    <t>C0562</t>
  </si>
  <si>
    <t>10/23/2025</t>
  </si>
  <si>
    <t>C0563</t>
  </si>
  <si>
    <t>C0564</t>
  </si>
  <si>
    <t>10/24/2025</t>
  </si>
  <si>
    <t>№АРТ-087</t>
  </si>
  <si>
    <t>C0565</t>
  </si>
  <si>
    <t>C0566</t>
  </si>
  <si>
    <t>10/25/2025</t>
  </si>
  <si>
    <t>C0567</t>
  </si>
  <si>
    <t>C0568</t>
  </si>
  <si>
    <t>10/26/2025</t>
  </si>
  <si>
    <t>АРТ_396</t>
  </si>
  <si>
    <t>C0569</t>
  </si>
  <si>
    <t>253-24</t>
  </si>
  <si>
    <t>C0570</t>
  </si>
  <si>
    <t>10/27/2025</t>
  </si>
  <si>
    <t>C0571</t>
  </si>
  <si>
    <t>АРТ_484</t>
  </si>
  <si>
    <t>C0572</t>
  </si>
  <si>
    <t>10/28/2025</t>
  </si>
  <si>
    <t>C0573</t>
  </si>
  <si>
    <t>C0574</t>
  </si>
  <si>
    <t>10/29/2025</t>
  </si>
  <si>
    <t>C0575</t>
  </si>
  <si>
    <t>141-24</t>
  </si>
  <si>
    <t>C0576</t>
  </si>
  <si>
    <t>10/30/2025</t>
  </si>
  <si>
    <t>C0577</t>
  </si>
  <si>
    <t>АРТ_475</t>
  </si>
  <si>
    <t>C0578</t>
  </si>
  <si>
    <t>10/31/2025</t>
  </si>
  <si>
    <t>C0579</t>
  </si>
  <si>
    <t>C0580</t>
  </si>
  <si>
    <t>11/01/2025</t>
  </si>
  <si>
    <t>C0581</t>
  </si>
  <si>
    <t>C0582</t>
  </si>
  <si>
    <t>11/02/2025</t>
  </si>
  <si>
    <t>C0583</t>
  </si>
  <si>
    <t>C0584</t>
  </si>
  <si>
    <t>11/03/2025</t>
  </si>
  <si>
    <t>C0585</t>
  </si>
  <si>
    <t>C0586</t>
  </si>
  <si>
    <t>11/04/2025</t>
  </si>
  <si>
    <t>C0587</t>
  </si>
  <si>
    <t>272-24</t>
  </si>
  <si>
    <t>C0588</t>
  </si>
  <si>
    <t>11/05/2025</t>
  </si>
  <si>
    <t>C0589</t>
  </si>
  <si>
    <t>АРТ_447</t>
  </si>
  <si>
    <t>C0590</t>
  </si>
  <si>
    <t>11/06/2025</t>
  </si>
  <si>
    <t>379/24</t>
  </si>
  <si>
    <t>C0591</t>
  </si>
  <si>
    <t>C0592</t>
  </si>
  <si>
    <t>11/07/2025</t>
  </si>
  <si>
    <t>C0593</t>
  </si>
  <si>
    <t>C0594</t>
  </si>
  <si>
    <t>11/08/2025</t>
  </si>
  <si>
    <t>№АРТ-128</t>
  </si>
  <si>
    <t>C0595</t>
  </si>
  <si>
    <t>C0596</t>
  </si>
  <si>
    <t>11/09/2025</t>
  </si>
  <si>
    <t>310/24</t>
  </si>
  <si>
    <t>C0597</t>
  </si>
  <si>
    <t>C0598</t>
  </si>
  <si>
    <t>11/10/2025</t>
  </si>
  <si>
    <t>АРТ_372</t>
  </si>
  <si>
    <t>C0599</t>
  </si>
  <si>
    <t>C0600</t>
  </si>
  <si>
    <t>11/11/2025</t>
  </si>
  <si>
    <t>C0601</t>
  </si>
  <si>
    <t>АРТ_429</t>
  </si>
  <si>
    <t>C0602</t>
  </si>
  <si>
    <t>11/12/2025</t>
  </si>
  <si>
    <t>C0603</t>
  </si>
  <si>
    <t>C0604</t>
  </si>
  <si>
    <t>11/13/2025</t>
  </si>
  <si>
    <t>C0605</t>
  </si>
  <si>
    <t>293-24</t>
  </si>
  <si>
    <t>C0606</t>
  </si>
  <si>
    <t>11/14/2025</t>
  </si>
  <si>
    <t>№АРТ-006</t>
  </si>
  <si>
    <t>C0607</t>
  </si>
  <si>
    <t>C0608</t>
  </si>
  <si>
    <t>11/15/2025</t>
  </si>
  <si>
    <t>398/24</t>
  </si>
  <si>
    <t>C0609</t>
  </si>
  <si>
    <t>C0610</t>
  </si>
  <si>
    <t>11/16/2025</t>
  </si>
  <si>
    <t>C0611</t>
  </si>
  <si>
    <t>C0612</t>
  </si>
  <si>
    <t>11/17/2025</t>
  </si>
  <si>
    <t>C0613</t>
  </si>
  <si>
    <t>C0614</t>
  </si>
  <si>
    <t>11/18/2025</t>
  </si>
  <si>
    <t>324/24</t>
  </si>
  <si>
    <t>C0615</t>
  </si>
  <si>
    <t>C0616</t>
  </si>
  <si>
    <t>11/19/2025</t>
  </si>
  <si>
    <t>C0617</t>
  </si>
  <si>
    <t>218-24</t>
  </si>
  <si>
    <t>C0618</t>
  </si>
  <si>
    <t>11/20/2025</t>
  </si>
  <si>
    <t>C0619</t>
  </si>
  <si>
    <t>АРТ_412</t>
  </si>
  <si>
    <t>C0620</t>
  </si>
  <si>
    <t>11/21/2025</t>
  </si>
  <si>
    <t>385/24</t>
  </si>
  <si>
    <t>C0621</t>
  </si>
  <si>
    <t>C0622</t>
  </si>
  <si>
    <t>11/22/2025</t>
  </si>
  <si>
    <t>C0623</t>
  </si>
  <si>
    <t>C0624</t>
  </si>
  <si>
    <t>11/23/2025</t>
  </si>
  <si>
    <t>№АРТ-095</t>
  </si>
  <si>
    <t>C0625</t>
  </si>
  <si>
    <t>C0626</t>
  </si>
  <si>
    <t>11/24/2025</t>
  </si>
  <si>
    <t>C0627</t>
  </si>
  <si>
    <t>№АРТ-219</t>
  </si>
  <si>
    <t>C0628</t>
  </si>
  <si>
    <t>11/25/2025</t>
  </si>
  <si>
    <t>АРТ_336</t>
  </si>
  <si>
    <t>C0629</t>
  </si>
  <si>
    <t>279-24</t>
  </si>
  <si>
    <t>C0630</t>
  </si>
  <si>
    <t>11/26/2025</t>
  </si>
  <si>
    <t>C0631</t>
  </si>
  <si>
    <t>АРТ_465</t>
  </si>
  <si>
    <t>C0632</t>
  </si>
  <si>
    <t>11/27/2025</t>
  </si>
  <si>
    <t>365/24</t>
  </si>
  <si>
    <t>C0633</t>
  </si>
  <si>
    <t>C0634</t>
  </si>
  <si>
    <t>11/28/2025</t>
  </si>
  <si>
    <t>C0635</t>
  </si>
  <si>
    <t>C0636</t>
  </si>
  <si>
    <t>11/29/2025</t>
  </si>
  <si>
    <t>№АРТ-150</t>
  </si>
  <si>
    <t>C0637</t>
  </si>
  <si>
    <t>C0638</t>
  </si>
  <si>
    <t>11/30/2025</t>
  </si>
  <si>
    <t>C0639</t>
  </si>
  <si>
    <t>№АРТ-411</t>
  </si>
  <si>
    <t>C0640</t>
  </si>
  <si>
    <t>12/01/2025</t>
  </si>
  <si>
    <t>C0641</t>
  </si>
  <si>
    <t>155-24</t>
  </si>
  <si>
    <t>C0642</t>
  </si>
  <si>
    <t>12/02/2025</t>
  </si>
  <si>
    <t>№АРТ-056</t>
  </si>
  <si>
    <t>C0643</t>
  </si>
  <si>
    <t>C0644</t>
  </si>
  <si>
    <t>12/03/2025</t>
  </si>
  <si>
    <t>300/24</t>
  </si>
  <si>
    <t>C0645</t>
  </si>
  <si>
    <t>C0646</t>
  </si>
  <si>
    <t>12/04/2025</t>
  </si>
  <si>
    <t>C0647</t>
  </si>
  <si>
    <t>233-24</t>
  </si>
  <si>
    <t>C0648</t>
  </si>
  <si>
    <t>12/05/2025</t>
  </si>
  <si>
    <t>№АРТ-122</t>
  </si>
  <si>
    <t>C0649</t>
  </si>
  <si>
    <t>C0650</t>
  </si>
  <si>
    <t>12/06/2025</t>
  </si>
  <si>
    <t>367/24</t>
  </si>
  <si>
    <t>C0651</t>
  </si>
  <si>
    <t>C0652</t>
  </si>
  <si>
    <t>12/07/2025</t>
  </si>
  <si>
    <t>АРТ_385</t>
  </si>
  <si>
    <t>C0653</t>
  </si>
  <si>
    <t>242-24</t>
  </si>
  <si>
    <t>C0654</t>
  </si>
  <si>
    <t>12/08/2025</t>
  </si>
  <si>
    <t>№АРТ-089</t>
  </si>
  <si>
    <t>C0655</t>
  </si>
  <si>
    <t>C0656</t>
  </si>
  <si>
    <t>12/09/2025</t>
  </si>
  <si>
    <t>C0657</t>
  </si>
  <si>
    <t>C0658</t>
  </si>
  <si>
    <t>12/10/2025</t>
  </si>
  <si>
    <t>C0659</t>
  </si>
  <si>
    <t>C0660</t>
  </si>
  <si>
    <t>12/11/2025</t>
  </si>
  <si>
    <t>№АРТ-014</t>
  </si>
  <si>
    <t>C0661</t>
  </si>
  <si>
    <t>АРТ_453</t>
  </si>
  <si>
    <t>C0662</t>
  </si>
  <si>
    <t>12/12/2025</t>
  </si>
  <si>
    <t>C0663</t>
  </si>
  <si>
    <t>№АРТ-273</t>
  </si>
  <si>
    <t>C0664</t>
  </si>
  <si>
    <t>12/13/2025</t>
  </si>
  <si>
    <t>C0665</t>
  </si>
  <si>
    <t>C0666</t>
  </si>
  <si>
    <t>12/14/2025</t>
  </si>
  <si>
    <t>№АРТ-039</t>
  </si>
  <si>
    <t>C0667</t>
  </si>
  <si>
    <t>C0668</t>
  </si>
  <si>
    <t>12/15/2025</t>
  </si>
  <si>
    <t>377/24</t>
  </si>
  <si>
    <t>C0669</t>
  </si>
  <si>
    <t>C0670</t>
  </si>
  <si>
    <t>12/16/2025</t>
  </si>
  <si>
    <t>C0671</t>
  </si>
  <si>
    <t>285-24</t>
  </si>
  <si>
    <t>C0672</t>
  </si>
  <si>
    <t>12/17/2025</t>
  </si>
  <si>
    <t>C0673</t>
  </si>
  <si>
    <t>АРТ_430</t>
  </si>
  <si>
    <t>C0674</t>
  </si>
  <si>
    <t>12/18/2025</t>
  </si>
  <si>
    <t>C0675</t>
  </si>
  <si>
    <t>№АРТ-198</t>
  </si>
  <si>
    <t>C0676</t>
  </si>
  <si>
    <t>12/19/2025</t>
  </si>
  <si>
    <t>АРТ_379</t>
  </si>
  <si>
    <t>C0677</t>
  </si>
  <si>
    <t>116-24</t>
  </si>
  <si>
    <t>C0678</t>
  </si>
  <si>
    <t>12/20/2025</t>
  </si>
  <si>
    <t>№АРТ-066</t>
  </si>
  <si>
    <t>C0679</t>
  </si>
  <si>
    <t>C0680</t>
  </si>
  <si>
    <t>12/21/2025</t>
  </si>
  <si>
    <t>C0681</t>
  </si>
  <si>
    <t>C0682</t>
  </si>
  <si>
    <t>12/22/2025</t>
  </si>
  <si>
    <t>АРТ_282</t>
  </si>
  <si>
    <t>C0683</t>
  </si>
  <si>
    <t>259-24</t>
  </si>
  <si>
    <t>C0684</t>
  </si>
  <si>
    <t>12/23/2025</t>
  </si>
  <si>
    <t>C0685</t>
  </si>
  <si>
    <t>C0686</t>
  </si>
  <si>
    <t>12/24/2025</t>
  </si>
  <si>
    <t>C0687</t>
  </si>
  <si>
    <t>№АРТ-236</t>
  </si>
  <si>
    <t>C0688</t>
  </si>
  <si>
    <t>12/25/2025</t>
  </si>
  <si>
    <t>АРТ_322</t>
  </si>
  <si>
    <t>C0689</t>
  </si>
  <si>
    <t>C0690</t>
  </si>
  <si>
    <t>12/26/2025</t>
  </si>
  <si>
    <t>№АРТ-008</t>
  </si>
  <si>
    <t>C0691</t>
  </si>
  <si>
    <t>C0692</t>
  </si>
  <si>
    <t>12/27/2025</t>
  </si>
  <si>
    <t>C0693</t>
  </si>
  <si>
    <t>C0694</t>
  </si>
  <si>
    <t>12/28/2025</t>
  </si>
  <si>
    <t>C0695</t>
  </si>
  <si>
    <t>283-24</t>
  </si>
  <si>
    <t>C0696</t>
  </si>
  <si>
    <t>12/29/2025</t>
  </si>
  <si>
    <t>C0697</t>
  </si>
  <si>
    <t>C0698</t>
  </si>
  <si>
    <t>12/30/2025</t>
  </si>
  <si>
    <t>306/24</t>
  </si>
  <si>
    <t>C0699</t>
  </si>
  <si>
    <t>C0700</t>
  </si>
  <si>
    <t>12/31/2025</t>
  </si>
  <si>
    <t>АРТ_375</t>
  </si>
  <si>
    <t>C0701</t>
  </si>
  <si>
    <t>C0702</t>
  </si>
  <si>
    <t>01/01/2026</t>
  </si>
  <si>
    <t>C0703</t>
  </si>
  <si>
    <t>C0704</t>
  </si>
  <si>
    <t>01/02/2026</t>
  </si>
  <si>
    <t>323/24</t>
  </si>
  <si>
    <t>C0705</t>
  </si>
  <si>
    <t>C0706</t>
  </si>
  <si>
    <t>01/03/2026</t>
  </si>
  <si>
    <t>АРТ_343</t>
  </si>
  <si>
    <t>C0707</t>
  </si>
  <si>
    <t>C0708</t>
  </si>
  <si>
    <t>01/04/2026</t>
  </si>
  <si>
    <t>C0709</t>
  </si>
  <si>
    <t>C0710</t>
  </si>
  <si>
    <t>01/05/2026</t>
  </si>
  <si>
    <t>C0711</t>
  </si>
  <si>
    <t>№АРТ-390</t>
  </si>
  <si>
    <t>C0712</t>
  </si>
  <si>
    <t>01/06/2026</t>
  </si>
  <si>
    <t>АРТ_301</t>
  </si>
  <si>
    <t>C0713</t>
  </si>
  <si>
    <t>C0714</t>
  </si>
  <si>
    <t>01/07/2026</t>
  </si>
  <si>
    <t>C0715</t>
  </si>
  <si>
    <t>АРТ_469</t>
  </si>
  <si>
    <t>C0716</t>
  </si>
  <si>
    <t>01/08/2026</t>
  </si>
  <si>
    <t>C0717</t>
  </si>
  <si>
    <t>C0718</t>
  </si>
  <si>
    <t>01/09/2026</t>
  </si>
  <si>
    <t>АРТ_310</t>
  </si>
  <si>
    <t>C0719</t>
  </si>
  <si>
    <t>C0720</t>
  </si>
  <si>
    <t>01/10/2026</t>
  </si>
  <si>
    <t>C0721</t>
  </si>
  <si>
    <t>АРТ_463</t>
  </si>
  <si>
    <t>C0722</t>
  </si>
  <si>
    <t>01/11/2026</t>
  </si>
  <si>
    <t>C0723</t>
  </si>
  <si>
    <t>C0724</t>
  </si>
  <si>
    <t>01/12/2026</t>
  </si>
  <si>
    <t>АРТ_246</t>
  </si>
  <si>
    <t>C0725</t>
  </si>
  <si>
    <t>C0726</t>
  </si>
  <si>
    <t>01/13/2026</t>
  </si>
  <si>
    <t>C0727</t>
  </si>
  <si>
    <t>C0728</t>
  </si>
  <si>
    <t>01/14/2026</t>
  </si>
  <si>
    <t>374/24</t>
  </si>
  <si>
    <t>C0729</t>
  </si>
  <si>
    <t>№АРТ-357</t>
  </si>
  <si>
    <t>C0730</t>
  </si>
  <si>
    <t>01/15/2026</t>
  </si>
  <si>
    <t>C0731</t>
  </si>
  <si>
    <t>C0732</t>
  </si>
  <si>
    <t>01/16/2026</t>
  </si>
  <si>
    <t>C0733</t>
  </si>
  <si>
    <t>C0734</t>
  </si>
  <si>
    <t>01/17/2026</t>
  </si>
  <si>
    <t>397/24</t>
  </si>
  <si>
    <t>C0735</t>
  </si>
  <si>
    <t>C0736</t>
  </si>
  <si>
    <t>01/18/2026</t>
  </si>
  <si>
    <t>C0737</t>
  </si>
  <si>
    <t>131-24</t>
  </si>
  <si>
    <t>C0738</t>
  </si>
  <si>
    <t>01/19/2026</t>
  </si>
  <si>
    <t>C0739</t>
  </si>
  <si>
    <t>C0740</t>
  </si>
  <si>
    <t>01/20/2026</t>
  </si>
  <si>
    <t>C0741</t>
  </si>
  <si>
    <t>№АРТ-351</t>
  </si>
  <si>
    <t>C0742</t>
  </si>
  <si>
    <t>01/21/2026</t>
  </si>
  <si>
    <t>АРТ_324</t>
  </si>
  <si>
    <t>C0743</t>
  </si>
  <si>
    <t>196-24</t>
  </si>
  <si>
    <t>C0744</t>
  </si>
  <si>
    <t>01/22/2026</t>
  </si>
  <si>
    <t>№АРТ-083</t>
  </si>
  <si>
    <t>C0745</t>
  </si>
  <si>
    <t>C0746</t>
  </si>
  <si>
    <t>01/23/2026</t>
  </si>
  <si>
    <t>C0747</t>
  </si>
  <si>
    <t>№АРТ-326</t>
  </si>
  <si>
    <t>C0748</t>
  </si>
  <si>
    <t>01/24/2026</t>
  </si>
  <si>
    <t>АРТ_315</t>
  </si>
  <si>
    <t>C0749</t>
  </si>
  <si>
    <t>221-24</t>
  </si>
  <si>
    <t>C0750</t>
  </si>
  <si>
    <t>01/25/2026</t>
  </si>
  <si>
    <t>C0751</t>
  </si>
  <si>
    <t>C0752</t>
  </si>
  <si>
    <t>01/26/2026</t>
  </si>
  <si>
    <t>C0753</t>
  </si>
  <si>
    <t>C0754</t>
  </si>
  <si>
    <t>01/27/2026</t>
  </si>
  <si>
    <t>C0755</t>
  </si>
  <si>
    <t>124-24</t>
  </si>
  <si>
    <t>C0756</t>
  </si>
  <si>
    <t>01/28/2026</t>
  </si>
  <si>
    <t>№АРТ-158</t>
  </si>
  <si>
    <t>C0757</t>
  </si>
  <si>
    <t>C0758</t>
  </si>
  <si>
    <t>01/29/2026</t>
  </si>
  <si>
    <t>326/24</t>
  </si>
  <si>
    <t>C0759</t>
  </si>
  <si>
    <t>C0760</t>
  </si>
  <si>
    <t>01/30/2026</t>
  </si>
  <si>
    <t>C0761</t>
  </si>
  <si>
    <t>277-24</t>
  </si>
  <si>
    <t>C0762</t>
  </si>
  <si>
    <t>01/31/2026</t>
  </si>
  <si>
    <t>№АРТ-069</t>
  </si>
  <si>
    <t>C0763</t>
  </si>
  <si>
    <t>C0764</t>
  </si>
  <si>
    <t>02/01/2026</t>
  </si>
  <si>
    <t>349/24</t>
  </si>
  <si>
    <t>C0765</t>
  </si>
  <si>
    <t>C0766</t>
  </si>
  <si>
    <t>02/02/2026</t>
  </si>
  <si>
    <t>АРТ_394</t>
  </si>
  <si>
    <t>C0767</t>
  </si>
  <si>
    <t>C0768</t>
  </si>
  <si>
    <t>02/03/2026</t>
  </si>
  <si>
    <t>C0769</t>
  </si>
  <si>
    <t>C0770</t>
  </si>
  <si>
    <t>02/04/2026</t>
  </si>
  <si>
    <t>319/24</t>
  </si>
  <si>
    <t>C0771</t>
  </si>
  <si>
    <t>C0772</t>
  </si>
  <si>
    <t>02/05/2026</t>
  </si>
  <si>
    <t>C0773</t>
  </si>
  <si>
    <t>115-24</t>
  </si>
  <si>
    <t>C0774</t>
  </si>
  <si>
    <t>02/06/2026</t>
  </si>
  <si>
    <t>C0775</t>
  </si>
  <si>
    <t>C0776</t>
  </si>
  <si>
    <t>02/07/2026</t>
  </si>
  <si>
    <t>C0777</t>
  </si>
  <si>
    <t>№АРТ-167</t>
  </si>
  <si>
    <t>C0778</t>
  </si>
  <si>
    <t>02/08/2026</t>
  </si>
  <si>
    <t>C0779</t>
  </si>
  <si>
    <t>193-24</t>
  </si>
  <si>
    <t>C0780</t>
  </si>
  <si>
    <t>02/09/2026</t>
  </si>
  <si>
    <t>C0781</t>
  </si>
  <si>
    <t>C0782</t>
  </si>
  <si>
    <t>02/10/2026</t>
  </si>
  <si>
    <t>320/24</t>
  </si>
  <si>
    <t>C0783</t>
  </si>
  <si>
    <t>C0784</t>
  </si>
  <si>
    <t>02/11/2026</t>
  </si>
  <si>
    <t>АРТ_325</t>
  </si>
  <si>
    <t>C0785</t>
  </si>
  <si>
    <t>C0786</t>
  </si>
  <si>
    <t>02/12/2026</t>
  </si>
  <si>
    <t>C0787</t>
  </si>
  <si>
    <t>C0788</t>
  </si>
  <si>
    <t>02/13/2026</t>
  </si>
  <si>
    <t>C0789</t>
  </si>
  <si>
    <t>C0790</t>
  </si>
  <si>
    <t>02/14/2026</t>
  </si>
  <si>
    <t>C0791</t>
  </si>
  <si>
    <t>C0792</t>
  </si>
  <si>
    <t>02/15/2026</t>
  </si>
  <si>
    <t>C0793</t>
  </si>
  <si>
    <t>C0794</t>
  </si>
  <si>
    <t>02/16/2026</t>
  </si>
  <si>
    <t>C0795</t>
  </si>
  <si>
    <t>№АРТ-264</t>
  </si>
  <si>
    <t>C0796</t>
  </si>
  <si>
    <t>02/17/2026</t>
  </si>
  <si>
    <t>C0797</t>
  </si>
  <si>
    <t>191-24</t>
  </si>
  <si>
    <t>C0798</t>
  </si>
  <si>
    <t>02/18/2026</t>
  </si>
  <si>
    <t>№АРТ-153</t>
  </si>
  <si>
    <t>C0799</t>
  </si>
  <si>
    <t>C0800</t>
  </si>
  <si>
    <t>02/19/2026</t>
  </si>
  <si>
    <t>C0801</t>
  </si>
  <si>
    <t>№АРТ-393</t>
  </si>
  <si>
    <t>C0802</t>
  </si>
  <si>
    <t>02/20/2026</t>
  </si>
  <si>
    <t>АРТ_307</t>
  </si>
  <si>
    <t>C0803</t>
  </si>
  <si>
    <t>C0804</t>
  </si>
  <si>
    <t>02/21/2026</t>
  </si>
  <si>
    <t>C0805</t>
  </si>
  <si>
    <t>C0806</t>
  </si>
  <si>
    <t>02/22/2026</t>
  </si>
  <si>
    <t>C0807</t>
  </si>
  <si>
    <t>C0808</t>
  </si>
  <si>
    <t>02/23/2026</t>
  </si>
  <si>
    <t>C0809</t>
  </si>
  <si>
    <t>C0810</t>
  </si>
  <si>
    <t>02/24/2026</t>
  </si>
  <si>
    <t>C0811</t>
  </si>
  <si>
    <t>C0812</t>
  </si>
  <si>
    <t>02/25/2026</t>
  </si>
  <si>
    <t>C0813</t>
  </si>
  <si>
    <t>C0814</t>
  </si>
  <si>
    <t>02/26/2026</t>
  </si>
  <si>
    <t>C0815</t>
  </si>
  <si>
    <t>136-24</t>
  </si>
  <si>
    <t>C0816</t>
  </si>
  <si>
    <t>02/27/2026</t>
  </si>
  <si>
    <t>№АРТ-117</t>
  </si>
  <si>
    <t>C0817</t>
  </si>
  <si>
    <t>C0818</t>
  </si>
  <si>
    <t>02/28/2026</t>
  </si>
  <si>
    <t>384/24</t>
  </si>
  <si>
    <t>C0819</t>
  </si>
  <si>
    <t>№АРТ-336</t>
  </si>
  <si>
    <t>C0820</t>
  </si>
  <si>
    <t>03/01/2026</t>
  </si>
  <si>
    <t>C0821</t>
  </si>
  <si>
    <t>C0822</t>
  </si>
  <si>
    <t>03/02/2026</t>
  </si>
  <si>
    <t>C0823</t>
  </si>
  <si>
    <t>АРТ_421</t>
  </si>
  <si>
    <t>C0824</t>
  </si>
  <si>
    <t>03/03/2026</t>
  </si>
  <si>
    <t>C0825</t>
  </si>
  <si>
    <t>C0826</t>
  </si>
  <si>
    <t>03/04/2026</t>
  </si>
  <si>
    <t>C0827</t>
  </si>
  <si>
    <t>101-24</t>
  </si>
  <si>
    <t>C0828</t>
  </si>
  <si>
    <t>03/05/2026</t>
  </si>
  <si>
    <t>C0829</t>
  </si>
  <si>
    <t>C0830</t>
  </si>
  <si>
    <t>03/06/2026</t>
  </si>
  <si>
    <t>C0831</t>
  </si>
  <si>
    <t>C0832</t>
  </si>
  <si>
    <t>03/07/2026</t>
  </si>
  <si>
    <t>C0833</t>
  </si>
  <si>
    <t>152-24</t>
  </si>
  <si>
    <t>C0834</t>
  </si>
  <si>
    <t>03/08/2026</t>
  </si>
  <si>
    <t>C0835</t>
  </si>
  <si>
    <t>C0836</t>
  </si>
  <si>
    <t>03/09/2026</t>
  </si>
  <si>
    <t>C0837</t>
  </si>
  <si>
    <t>№АРТ-270</t>
  </si>
  <si>
    <t>C0838</t>
  </si>
  <si>
    <t>03/10/2026</t>
  </si>
  <si>
    <t>C0839</t>
  </si>
  <si>
    <t>197-24</t>
  </si>
  <si>
    <t>C0840</t>
  </si>
  <si>
    <t>03/11/2026</t>
  </si>
  <si>
    <t>C0841</t>
  </si>
  <si>
    <t>C0842</t>
  </si>
  <si>
    <t>03/12/2026</t>
  </si>
  <si>
    <t>C0843</t>
  </si>
  <si>
    <t>C0844</t>
  </si>
  <si>
    <t>03/13/2026</t>
  </si>
  <si>
    <t>C0845</t>
  </si>
  <si>
    <t>151-24</t>
  </si>
  <si>
    <t>C0846</t>
  </si>
  <si>
    <t>03/14/2026</t>
  </si>
  <si>
    <t>C0847</t>
  </si>
  <si>
    <t>C0848</t>
  </si>
  <si>
    <t>03/15/2026</t>
  </si>
  <si>
    <t>C0849</t>
  </si>
  <si>
    <t>C0850</t>
  </si>
  <si>
    <t>03/16/2026</t>
  </si>
  <si>
    <t>C0851</t>
  </si>
  <si>
    <t>248-24</t>
  </si>
  <si>
    <t>C0852</t>
  </si>
  <si>
    <t>03/17/2026</t>
  </si>
  <si>
    <t>№АРТ-075</t>
  </si>
  <si>
    <t>C0853</t>
  </si>
  <si>
    <t>C0854</t>
  </si>
  <si>
    <t>03/18/2026</t>
  </si>
  <si>
    <t>C0855</t>
  </si>
  <si>
    <t>C0856</t>
  </si>
  <si>
    <t>03/19/2026</t>
  </si>
  <si>
    <t>C0857</t>
  </si>
  <si>
    <t>C0858</t>
  </si>
  <si>
    <t>03/20/2026</t>
  </si>
  <si>
    <t>№АРТ-113</t>
  </si>
  <si>
    <t>C0859</t>
  </si>
  <si>
    <t>C0860</t>
  </si>
  <si>
    <t>03/21/2026</t>
  </si>
  <si>
    <t>C0861</t>
  </si>
  <si>
    <t>№АРТ-402</t>
  </si>
  <si>
    <t>C0862</t>
  </si>
  <si>
    <t>03/22/2026</t>
  </si>
  <si>
    <t>C0863</t>
  </si>
  <si>
    <t>C0864</t>
  </si>
  <si>
    <t>03/23/2026</t>
  </si>
  <si>
    <t>C0865</t>
  </si>
  <si>
    <t>C0866</t>
  </si>
  <si>
    <t>03/24/2026</t>
  </si>
  <si>
    <t>C0867</t>
  </si>
  <si>
    <t>C0868</t>
  </si>
  <si>
    <t>03/25/2026</t>
  </si>
  <si>
    <t>АРТ_355</t>
  </si>
  <si>
    <t>C0869</t>
  </si>
  <si>
    <t>C0870</t>
  </si>
  <si>
    <t>03/26/2026</t>
  </si>
  <si>
    <t>C0871</t>
  </si>
  <si>
    <t>C0872</t>
  </si>
  <si>
    <t>03/27/2026</t>
  </si>
  <si>
    <t>C0873</t>
  </si>
  <si>
    <t>№АРТ-213</t>
  </si>
  <si>
    <t>C0874</t>
  </si>
  <si>
    <t>03/28/2026</t>
  </si>
  <si>
    <t>C0875</t>
  </si>
  <si>
    <t>C0876</t>
  </si>
  <si>
    <t>03/29/2026</t>
  </si>
  <si>
    <t>C0877</t>
  </si>
  <si>
    <t>C0878</t>
  </si>
  <si>
    <t>03/30/2026</t>
  </si>
  <si>
    <t>337/24</t>
  </si>
  <si>
    <t>C0879</t>
  </si>
  <si>
    <t>C0880</t>
  </si>
  <si>
    <t>03/31/2026</t>
  </si>
  <si>
    <t>C0881</t>
  </si>
  <si>
    <t>229-24</t>
  </si>
  <si>
    <t>C0882</t>
  </si>
  <si>
    <t>04/01/2026</t>
  </si>
  <si>
    <t>C0883</t>
  </si>
  <si>
    <t>C0884</t>
  </si>
  <si>
    <t>04/02/2026</t>
  </si>
  <si>
    <t>392/24</t>
  </si>
  <si>
    <t>C0885</t>
  </si>
  <si>
    <t>№АРТ-240</t>
  </si>
  <si>
    <t>C0886</t>
  </si>
  <si>
    <t>04/03/2026</t>
  </si>
  <si>
    <t>C0887</t>
  </si>
  <si>
    <t>C0888</t>
  </si>
  <si>
    <t>04/04/2026</t>
  </si>
  <si>
    <t>№АРТ-111</t>
  </si>
  <si>
    <t>C0889</t>
  </si>
  <si>
    <t>C0890</t>
  </si>
  <si>
    <t>04/05/2026</t>
  </si>
  <si>
    <t>C0891</t>
  </si>
  <si>
    <t>C0892</t>
  </si>
  <si>
    <t>04/06/2026</t>
  </si>
  <si>
    <t>C0893</t>
  </si>
  <si>
    <t>266-24</t>
  </si>
  <si>
    <t>C0894</t>
  </si>
  <si>
    <t>04/07/2026</t>
  </si>
  <si>
    <t>№АРТ-090</t>
  </si>
  <si>
    <t>C0895</t>
  </si>
  <si>
    <t>C0896</t>
  </si>
  <si>
    <t>04/08/2026</t>
  </si>
  <si>
    <t>C0897</t>
  </si>
  <si>
    <t>C0898</t>
  </si>
  <si>
    <t>04/09/2026</t>
  </si>
  <si>
    <t>АРТ_391</t>
  </si>
  <si>
    <t>C0899</t>
  </si>
  <si>
    <t>C0900</t>
  </si>
  <si>
    <t>04/10/2026</t>
  </si>
  <si>
    <t>C0901</t>
  </si>
  <si>
    <t>C0902</t>
  </si>
  <si>
    <t>04/11/2026</t>
  </si>
  <si>
    <t>C0903</t>
  </si>
  <si>
    <t>№АРТ-279</t>
  </si>
  <si>
    <t>C0904</t>
  </si>
  <si>
    <t>04/12/2026</t>
  </si>
  <si>
    <t>АРТ_271</t>
  </si>
  <si>
    <t>C0905</t>
  </si>
  <si>
    <t>C0906</t>
  </si>
  <si>
    <t>04/13/2026</t>
  </si>
  <si>
    <t>№АРТ-015</t>
  </si>
  <si>
    <t>C0907</t>
  </si>
  <si>
    <t>АРТ_417</t>
  </si>
  <si>
    <t>C0908</t>
  </si>
  <si>
    <t>04/14/2026</t>
  </si>
  <si>
    <t>C0909</t>
  </si>
  <si>
    <t>C0910</t>
  </si>
  <si>
    <t>04/15/2026</t>
  </si>
  <si>
    <t>C0911</t>
  </si>
  <si>
    <t>209-24</t>
  </si>
  <si>
    <t>C0912</t>
  </si>
  <si>
    <t>04/16/2026</t>
  </si>
  <si>
    <t>№АРТ-143</t>
  </si>
  <si>
    <t>C0913</t>
  </si>
  <si>
    <t>C0914</t>
  </si>
  <si>
    <t>04/17/2026</t>
  </si>
  <si>
    <t>C0915</t>
  </si>
  <si>
    <t>№АРТ-309</t>
  </si>
  <si>
    <t>C0916</t>
  </si>
  <si>
    <t>04/18/2026</t>
  </si>
  <si>
    <t>C0917</t>
  </si>
  <si>
    <t>C0918</t>
  </si>
  <si>
    <t>04/19/2026</t>
  </si>
  <si>
    <t>C0919</t>
  </si>
  <si>
    <t>C0920</t>
  </si>
  <si>
    <t>04/20/2026</t>
  </si>
  <si>
    <t>C0921</t>
  </si>
  <si>
    <t>№АРТ-314</t>
  </si>
  <si>
    <t>C0922</t>
  </si>
  <si>
    <t>04/21/2026</t>
  </si>
  <si>
    <t>C0923</t>
  </si>
  <si>
    <t>287-24</t>
  </si>
  <si>
    <t>C0924</t>
  </si>
  <si>
    <t>04/22/2026</t>
  </si>
  <si>
    <t>№АРТ-048</t>
  </si>
  <si>
    <t>C0925</t>
  </si>
  <si>
    <t>C0926</t>
  </si>
  <si>
    <t>04/23/2026</t>
  </si>
  <si>
    <t>C0927</t>
  </si>
  <si>
    <t>№АРТ-395</t>
  </si>
  <si>
    <t>C0928</t>
  </si>
  <si>
    <t>04/24/2026</t>
  </si>
  <si>
    <t>C0929</t>
  </si>
  <si>
    <t>230-24</t>
  </si>
  <si>
    <t>C0930</t>
  </si>
  <si>
    <t>04/25/2026</t>
  </si>
  <si>
    <t>C0931</t>
  </si>
  <si>
    <t>C0932</t>
  </si>
  <si>
    <t>04/26/2026</t>
  </si>
  <si>
    <t>332/24</t>
  </si>
  <si>
    <t>C0933</t>
  </si>
  <si>
    <t>C0934</t>
  </si>
  <si>
    <t>04/27/2026</t>
  </si>
  <si>
    <t>C0935</t>
  </si>
  <si>
    <t>109-24</t>
  </si>
  <si>
    <t>C0936</t>
  </si>
  <si>
    <t>04/28/2026</t>
  </si>
  <si>
    <t>№АРТ-098</t>
  </si>
  <si>
    <t>C0937</t>
  </si>
  <si>
    <t>C0938</t>
  </si>
  <si>
    <t>04/29/2026</t>
  </si>
  <si>
    <t>C0939</t>
  </si>
  <si>
    <t>C0940</t>
  </si>
  <si>
    <t>04/30/2026</t>
  </si>
  <si>
    <t>C0941</t>
  </si>
  <si>
    <t>244-24</t>
  </si>
  <si>
    <t>C0942</t>
  </si>
  <si>
    <t>05/01/2026</t>
  </si>
  <si>
    <t>C0943</t>
  </si>
  <si>
    <t>C0944</t>
  </si>
  <si>
    <t>05/02/2026</t>
  </si>
  <si>
    <t>C0945</t>
  </si>
  <si>
    <t>№АРТ-170</t>
  </si>
  <si>
    <t>C0946</t>
  </si>
  <si>
    <t>05/03/2026</t>
  </si>
  <si>
    <t>C0947</t>
  </si>
  <si>
    <t>273-24</t>
  </si>
  <si>
    <t>C0948</t>
  </si>
  <si>
    <t>05/04/2026</t>
  </si>
  <si>
    <t>C0949</t>
  </si>
  <si>
    <t>C0950</t>
  </si>
  <si>
    <t>05/05/2026</t>
  </si>
  <si>
    <t>C0951</t>
  </si>
  <si>
    <t>№АРТ-369</t>
  </si>
  <si>
    <t>C0952</t>
  </si>
  <si>
    <t>05/06/2026</t>
  </si>
  <si>
    <t>C0953</t>
  </si>
  <si>
    <t>C0954</t>
  </si>
  <si>
    <t>05/07/2026</t>
  </si>
  <si>
    <t>C0955</t>
  </si>
  <si>
    <t>АРТ_499</t>
  </si>
  <si>
    <t>C0956</t>
  </si>
  <si>
    <t>05/08/2026</t>
  </si>
  <si>
    <t>C0957</t>
  </si>
  <si>
    <t>C0958</t>
  </si>
  <si>
    <t>05/09/2026</t>
  </si>
  <si>
    <t>C0959</t>
  </si>
  <si>
    <t>C0960</t>
  </si>
  <si>
    <t>05/10/2026</t>
  </si>
  <si>
    <t>C0961</t>
  </si>
  <si>
    <t>C0962</t>
  </si>
  <si>
    <t>05/11/2026</t>
  </si>
  <si>
    <t>C0963</t>
  </si>
  <si>
    <t>C0964</t>
  </si>
  <si>
    <t>05/12/2026</t>
  </si>
  <si>
    <t>C0965</t>
  </si>
  <si>
    <t>C0966</t>
  </si>
  <si>
    <t>05/13/2026</t>
  </si>
  <si>
    <t>C0967</t>
  </si>
  <si>
    <t>C0968</t>
  </si>
  <si>
    <t>05/14/2026</t>
  </si>
  <si>
    <t>C0969</t>
  </si>
  <si>
    <t>C0970</t>
  </si>
  <si>
    <t>05/15/2026</t>
  </si>
  <si>
    <t>C0971</t>
  </si>
  <si>
    <t>154-24</t>
  </si>
  <si>
    <t>C0972</t>
  </si>
  <si>
    <t>05/16/2026</t>
  </si>
  <si>
    <t>C0973</t>
  </si>
  <si>
    <t>C0974</t>
  </si>
  <si>
    <t>05/17/2026</t>
  </si>
  <si>
    <t>C0975</t>
  </si>
  <si>
    <t>C0976</t>
  </si>
  <si>
    <t>05/18/2026</t>
  </si>
  <si>
    <t>C0977</t>
  </si>
  <si>
    <t>C0978</t>
  </si>
  <si>
    <t>05/19/2026</t>
  </si>
  <si>
    <t>C0979</t>
  </si>
  <si>
    <t>C0980</t>
  </si>
  <si>
    <t>05/20/2026</t>
  </si>
  <si>
    <t>C0981</t>
  </si>
  <si>
    <t>C0982</t>
  </si>
  <si>
    <t>05/21/2026</t>
  </si>
  <si>
    <t>C0983</t>
  </si>
  <si>
    <t>C0984</t>
  </si>
  <si>
    <t>05/22/2026</t>
  </si>
  <si>
    <t>C0985</t>
  </si>
  <si>
    <t>C0986</t>
  </si>
  <si>
    <t>05/23/2026</t>
  </si>
  <si>
    <t>C0987</t>
  </si>
  <si>
    <t>№АРТ-140</t>
  </si>
  <si>
    <t>C0988</t>
  </si>
  <si>
    <t>05/24/2026</t>
  </si>
  <si>
    <t>АРТ_270</t>
  </si>
  <si>
    <t>C0989</t>
  </si>
  <si>
    <t>C0990</t>
  </si>
  <si>
    <t>05/25/2026</t>
  </si>
  <si>
    <t>C0991</t>
  </si>
  <si>
    <t>C0992</t>
  </si>
  <si>
    <t>05/26/2026</t>
  </si>
  <si>
    <t>C0993</t>
  </si>
  <si>
    <t>№АРТ-174</t>
  </si>
  <si>
    <t>C0994</t>
  </si>
  <si>
    <t>05/27/2026</t>
  </si>
  <si>
    <t>C0995</t>
  </si>
  <si>
    <t>C0996</t>
  </si>
  <si>
    <t>05/28/2026</t>
  </si>
  <si>
    <t>C0997</t>
  </si>
  <si>
    <t>C0998</t>
  </si>
  <si>
    <t>05/29/2026</t>
  </si>
  <si>
    <t>372/24</t>
  </si>
  <si>
    <t>C0999</t>
  </si>
  <si>
    <t>C1000</t>
  </si>
  <si>
    <t>Дата</t>
  </si>
  <si>
    <t>Розничная_цена</t>
  </si>
  <si>
    <t>Категория_товара</t>
  </si>
  <si>
    <t>ФИО</t>
  </si>
  <si>
    <t>Дата_рождения</t>
  </si>
  <si>
    <t>Город</t>
  </si>
  <si>
    <t>Дата_регистрации</t>
  </si>
  <si>
    <t xml:space="preserve">Иванов Иван Иванович</t>
  </si>
  <si>
    <t>15.05.1990</t>
  </si>
  <si>
    <t>ivanov@mail.ru</t>
  </si>
  <si>
    <t>Москва</t>
  </si>
  <si>
    <t>01.01.2022</t>
  </si>
  <si>
    <t xml:space="preserve">Петров Петр Петрович</t>
  </si>
  <si>
    <t>23.08.1985</t>
  </si>
  <si>
    <t>petrov@yandex</t>
  </si>
  <si>
    <t>Санкт-Петербург</t>
  </si>
  <si>
    <t>2022-01-15</t>
  </si>
  <si>
    <t xml:space="preserve">Сидоров Сидор Сидорович</t>
  </si>
  <si>
    <t>12.03.1992</t>
  </si>
  <si>
    <t>sidorov@gmail.com</t>
  </si>
  <si>
    <t>Екатеринбург</t>
  </si>
  <si>
    <t>15.01.2022</t>
  </si>
  <si>
    <t xml:space="preserve">Кузнецова Анна Сергеевна</t>
  </si>
  <si>
    <t>07.11.1978</t>
  </si>
  <si>
    <t>kuznetsova@mail</t>
  </si>
  <si>
    <t>Новосибирск</t>
  </si>
  <si>
    <t>01.02.2022</t>
  </si>
  <si>
    <t xml:space="preserve">Смирнов Алексей Владимирович</t>
  </si>
  <si>
    <t>30.06.1995</t>
  </si>
  <si>
    <t>smirnov@yandex</t>
  </si>
  <si>
    <t>Казань</t>
  </si>
  <si>
    <t>2022-02-10</t>
  </si>
  <si>
    <t xml:space="preserve">Попова Елена Дмитриевна</t>
  </si>
  <si>
    <t>14.09.1982</t>
  </si>
  <si>
    <t xml:space="preserve">8 903 567 89 01</t>
  </si>
  <si>
    <t>popova@gmail</t>
  </si>
  <si>
    <t xml:space="preserve">Нижний Новгород</t>
  </si>
  <si>
    <t>10.02.2022</t>
  </si>
  <si>
    <t xml:space="preserve">Васильев Андрей Николаевич</t>
  </si>
  <si>
    <t>25.12.1970</t>
  </si>
  <si>
    <t>+79035678901</t>
  </si>
  <si>
    <t>vasiliev@mail</t>
  </si>
  <si>
    <t>Челябинск</t>
  </si>
  <si>
    <t>01.03.2022</t>
  </si>
  <si>
    <t xml:space="preserve">Зайцева Ольга Игоревна</t>
  </si>
  <si>
    <t>19.04.1988</t>
  </si>
  <si>
    <t>zaitceva@yandex</t>
  </si>
  <si>
    <t>Самара</t>
  </si>
  <si>
    <t>2022-03-15</t>
  </si>
  <si>
    <t xml:space="preserve">Морозов Дмитрий Алексеевич</t>
  </si>
  <si>
    <t>02.10.1993</t>
  </si>
  <si>
    <t xml:space="preserve">8 903 789 01 23</t>
  </si>
  <si>
    <t>morozov@gmail</t>
  </si>
  <si>
    <t>Омск</t>
  </si>
  <si>
    <t>15.03.2022</t>
  </si>
  <si>
    <t xml:space="preserve">Соколова Екатерина Павловна</t>
  </si>
  <si>
    <t>16.01.1976</t>
  </si>
  <si>
    <t>+79038901234</t>
  </si>
  <si>
    <t>sokolova@mail</t>
  </si>
  <si>
    <t>Ростов-на-Дону</t>
  </si>
  <si>
    <t>01.04.2022</t>
  </si>
  <si>
    <t xml:space="preserve">Михайлов Сергей Иванович</t>
  </si>
  <si>
    <t>28.07.1984</t>
  </si>
  <si>
    <t>mihailov@yandex</t>
  </si>
  <si>
    <t>Уфа</t>
  </si>
  <si>
    <t>2022-04-10</t>
  </si>
  <si>
    <t xml:space="preserve">Федорова Татьяна Владимировна</t>
  </si>
  <si>
    <t>11.03.1991</t>
  </si>
  <si>
    <t xml:space="preserve">8 903 901 23 45</t>
  </si>
  <si>
    <t>fedorova@gmail</t>
  </si>
  <si>
    <t>Красноярск</t>
  </si>
  <si>
    <t>10.04.2022</t>
  </si>
  <si>
    <t xml:space="preserve">Егоров Павел Андреевич</t>
  </si>
  <si>
    <t>05.12.1973</t>
  </si>
  <si>
    <t>egorov@mail</t>
  </si>
  <si>
    <t>Пермь</t>
  </si>
  <si>
    <t>01.05.2022</t>
  </si>
  <si>
    <t xml:space="preserve">Николаев Александр Сергеевич</t>
  </si>
  <si>
    <t>23.08.1986</t>
  </si>
  <si>
    <t>nikolaev@yandex</t>
  </si>
  <si>
    <t>Волгоград</t>
  </si>
  <si>
    <t>2022-05-15</t>
  </si>
  <si>
    <t xml:space="preserve">Григорьева Наталья Юрьевна</t>
  </si>
  <si>
    <t>14.05.1994</t>
  </si>
  <si>
    <t xml:space="preserve">8 903 123 45 67</t>
  </si>
  <si>
    <t>grigorieva@gmail</t>
  </si>
  <si>
    <t>Воронеж</t>
  </si>
  <si>
    <t>15.05.2022</t>
  </si>
  <si>
    <t xml:space="preserve">Семенов Константин Денисович</t>
  </si>
  <si>
    <t>07.11.1979</t>
  </si>
  <si>
    <t>+79031234567</t>
  </si>
  <si>
    <t>semenov@mail</t>
  </si>
  <si>
    <t>Саратов</t>
  </si>
  <si>
    <t>01.06.2022</t>
  </si>
  <si>
    <t xml:space="preserve">Игнатова Мария Петровна</t>
  </si>
  <si>
    <t>22.06.1987</t>
  </si>
  <si>
    <t>ignatova@yandex</t>
  </si>
  <si>
    <t>Тольятти</t>
  </si>
  <si>
    <t>2022-06-10</t>
  </si>
  <si>
    <t xml:space="preserve">Поликарпов Василий Олегович</t>
  </si>
  <si>
    <t>30.09.1996</t>
  </si>
  <si>
    <t xml:space="preserve">8 903 234 56 78</t>
  </si>
  <si>
    <t>polikarpov@gmail</t>
  </si>
  <si>
    <t>Тюмень</t>
  </si>
  <si>
    <t>10.06.2022</t>
  </si>
  <si>
    <t xml:space="preserve">Тимофеева Оксана Николаевна</t>
  </si>
  <si>
    <t>12.02.1975</t>
  </si>
  <si>
    <t>+79032345678</t>
  </si>
  <si>
    <t>timofeeva@mail</t>
  </si>
  <si>
    <t>Ижевск</t>
  </si>
  <si>
    <t>01.07.2022</t>
  </si>
  <si>
    <t xml:space="preserve">Яковлев Артем Романович</t>
  </si>
  <si>
    <t>18.07.1983</t>
  </si>
  <si>
    <t>yakovlev@yandex</t>
  </si>
  <si>
    <t>Барнаул</t>
  </si>
  <si>
    <t>2022-07-15</t>
  </si>
  <si>
    <t xml:space="preserve">Медведева Кристина Сергеевна</t>
  </si>
  <si>
    <t>05.10.1990</t>
  </si>
  <si>
    <t>medvedeva@gmail</t>
  </si>
  <si>
    <t>Ульяновск</t>
  </si>
  <si>
    <t>15.07.2022</t>
  </si>
  <si>
    <t xml:space="preserve">Беляев Григорий Алексеевич</t>
  </si>
  <si>
    <t>27.04.1972</t>
  </si>
  <si>
    <t>+79033456789</t>
  </si>
  <si>
    <t>belyaev@mail</t>
  </si>
  <si>
    <t>Иркутск</t>
  </si>
  <si>
    <t>01.08.2022</t>
  </si>
  <si>
    <t xml:space="preserve">Романова Елизавета Дмитриевна</t>
  </si>
  <si>
    <t>14.11.1984</t>
  </si>
  <si>
    <t>8-903-345-67-89</t>
  </si>
  <si>
    <t>romanova@yandex</t>
  </si>
  <si>
    <t>Хабаровск</t>
  </si>
  <si>
    <t>2022-08-10</t>
  </si>
  <si>
    <t xml:space="preserve">Степанов Максим Владимирович</t>
  </si>
  <si>
    <t>20.03.1992</t>
  </si>
  <si>
    <t xml:space="preserve">8 903 456 78 90</t>
  </si>
  <si>
    <t>stepanov@gmail</t>
  </si>
  <si>
    <t>Ярославль</t>
  </si>
  <si>
    <t>10.08.2022</t>
  </si>
  <si>
    <t xml:space="preserve">Алексеева Татьяна Аркадьевна</t>
  </si>
  <si>
    <t>31.08.1976</t>
  </si>
  <si>
    <t>alekseeva@mail</t>
  </si>
  <si>
    <t>Владивосток</t>
  </si>
  <si>
    <t>01.09.2022</t>
  </si>
  <si>
    <t xml:space="preserve">Лебедев Николай Павлович</t>
  </si>
  <si>
    <t>09.12.1981</t>
  </si>
  <si>
    <t>lebedev@yandex</t>
  </si>
  <si>
    <t>Махачкала</t>
  </si>
  <si>
    <t>2022-09-15</t>
  </si>
  <si>
    <t xml:space="preserve">Козлова Надежда Викторовна</t>
  </si>
  <si>
    <t>17.06.1989</t>
  </si>
  <si>
    <t>kozlova@gmail</t>
  </si>
  <si>
    <t>Томск</t>
  </si>
  <si>
    <t>15.09.2022</t>
  </si>
  <si>
    <t xml:space="preserve">Орлов Юрий Александрович</t>
  </si>
  <si>
    <t>25.01.1977</t>
  </si>
  <si>
    <t>orlov@mail</t>
  </si>
  <si>
    <t>Оренбург</t>
  </si>
  <si>
    <t>01.10.2022</t>
  </si>
  <si>
    <t xml:space="preserve">Борисов Виталий Игоревич</t>
  </si>
  <si>
    <t>03.09.1991</t>
  </si>
  <si>
    <t>borisov@yandex</t>
  </si>
  <si>
    <t>Кемерово</t>
  </si>
  <si>
    <t>2022-10-10</t>
  </si>
  <si>
    <t xml:space="preserve">Фомина Светлана Петровна</t>
  </si>
  <si>
    <t>19.07.1983</t>
  </si>
  <si>
    <t xml:space="preserve">8 903 678 90 12</t>
  </si>
  <si>
    <t>fomina@gmail</t>
  </si>
  <si>
    <t>Новокузнецк</t>
  </si>
  <si>
    <t>10.10.2022</t>
  </si>
  <si>
    <t xml:space="preserve">Крылова Анжелика Сергеевна</t>
  </si>
  <si>
    <t>06.11.1974</t>
  </si>
  <si>
    <t>+79036789012</t>
  </si>
  <si>
    <t>krylova@mail</t>
  </si>
  <si>
    <t>Рязань</t>
  </si>
  <si>
    <t>01.11.2022</t>
  </si>
  <si>
    <t xml:space="preserve">Тихонов Владислав Андреевич</t>
  </si>
  <si>
    <t>15.04.1994</t>
  </si>
  <si>
    <t>tihonov@yandex</t>
  </si>
  <si>
    <t>Астрахань</t>
  </si>
  <si>
    <t>2022-11-15</t>
  </si>
  <si>
    <t xml:space="preserve">Никитина Дарья Владимировна</t>
  </si>
  <si>
    <t>28.09.1985</t>
  </si>
  <si>
    <t>nikitina@gmail</t>
  </si>
  <si>
    <t xml:space="preserve">Набережные Челны</t>
  </si>
  <si>
    <t>15.11.2022</t>
  </si>
  <si>
    <t xml:space="preserve">Соболев Арсений Федорович</t>
  </si>
  <si>
    <t>11.02.1973</t>
  </si>
  <si>
    <t>+79037890123</t>
  </si>
  <si>
    <t>sobolev@mail</t>
  </si>
  <si>
    <t>Липецк</t>
  </si>
  <si>
    <t>01.12.2022</t>
  </si>
  <si>
    <t xml:space="preserve">Данилова Ева Александровна</t>
  </si>
  <si>
    <t>23.12.1987</t>
  </si>
  <si>
    <t>8-903-789-01-23</t>
  </si>
  <si>
    <t>danilova@yandex</t>
  </si>
  <si>
    <t>Киров</t>
  </si>
  <si>
    <t>2022-12-10</t>
  </si>
  <si>
    <t xml:space="preserve">Гусев Олег Юрьевич</t>
  </si>
  <si>
    <t>18.05.1990</t>
  </si>
  <si>
    <t xml:space="preserve">8 903 890 12 34</t>
  </si>
  <si>
    <t>gusev@gmail</t>
  </si>
  <si>
    <t>Чебоксары</t>
  </si>
  <si>
    <t>10.12.2022</t>
  </si>
  <si>
    <t xml:space="preserve">Колесникова Жанна Игоревна</t>
  </si>
  <si>
    <t>07.08.1978</t>
  </si>
  <si>
    <t>kolesnikova@mail</t>
  </si>
  <si>
    <t>Тверь</t>
  </si>
  <si>
    <t>01.01.2023</t>
  </si>
  <si>
    <t xml:space="preserve">Куликов Илья Николаевич</t>
  </si>
  <si>
    <t>29.01.1982</t>
  </si>
  <si>
    <t>kulikov@yandex</t>
  </si>
  <si>
    <t>Краснодар</t>
  </si>
  <si>
    <t>2023-01-15</t>
  </si>
  <si>
    <t xml:space="preserve">Большакова Антонина Викторовна</t>
  </si>
  <si>
    <t>14.06.1993</t>
  </si>
  <si>
    <t>bolshakova@gmail</t>
  </si>
  <si>
    <t>Стерлитамак</t>
  </si>
  <si>
    <t>15.01.2023</t>
  </si>
  <si>
    <t xml:space="preserve">Савельев Артур Евгеньевич</t>
  </si>
  <si>
    <t>02.10.1976</t>
  </si>
  <si>
    <t>savelev@mail</t>
  </si>
  <si>
    <t>Пенза</t>
  </si>
  <si>
    <t>01.02.2023</t>
  </si>
  <si>
    <t xml:space="preserve">Журавлева Полина Ильинична</t>
  </si>
  <si>
    <t>19.03.1986</t>
  </si>
  <si>
    <t>8-903-901-23-45</t>
  </si>
  <si>
    <t>zhuravleva@yandex</t>
  </si>
  <si>
    <t>Находка</t>
  </si>
  <si>
    <t>2023-02-10</t>
  </si>
  <si>
    <t xml:space="preserve">Еремин Сергей Владимирович</t>
  </si>
  <si>
    <t>31.07.1991</t>
  </si>
  <si>
    <t xml:space="preserve">8 903 012 34 56</t>
  </si>
  <si>
    <t>eremin@gmail</t>
  </si>
  <si>
    <t>Магнитогорск</t>
  </si>
  <si>
    <t>10.02.2023</t>
  </si>
  <si>
    <t xml:space="preserve">Сергеева Анна Михайловна</t>
  </si>
  <si>
    <t>12.11.1975</t>
  </si>
  <si>
    <t>+79030123456</t>
  </si>
  <si>
    <t>sergeeva@mail</t>
  </si>
  <si>
    <t>Курск</t>
  </si>
  <si>
    <t>01.03.2023</t>
  </si>
  <si>
    <t xml:space="preserve">Карпов Андрей Петрович</t>
  </si>
  <si>
    <t>05.04.1983</t>
  </si>
  <si>
    <t>karpov@yandex</t>
  </si>
  <si>
    <t>Комсомольск-на-Амуре</t>
  </si>
  <si>
    <t>2023-03-15</t>
  </si>
  <si>
    <t xml:space="preserve">Киселева Екатерина Евгеньевна</t>
  </si>
  <si>
    <t>22.09.1989</t>
  </si>
  <si>
    <t>kiseleva@gmail</t>
  </si>
  <si>
    <t>Улан-Удэ</t>
  </si>
  <si>
    <t>15.03.2023</t>
  </si>
  <si>
    <t xml:space="preserve">Власов Денис Алексеевич</t>
  </si>
  <si>
    <t>10.02.1979</t>
  </si>
  <si>
    <t>vlasov@mail</t>
  </si>
  <si>
    <t>Якутск</t>
  </si>
  <si>
    <t>01.04.2023</t>
  </si>
  <si>
    <t xml:space="preserve">Ларионова Елена Валентиновна</t>
  </si>
  <si>
    <t>27.06.1994</t>
  </si>
  <si>
    <t>larionova@yandex</t>
  </si>
  <si>
    <t>Череповец</t>
  </si>
  <si>
    <t>2023-04-10</t>
  </si>
  <si>
    <t xml:space="preserve">Савин Юрий Михайлович</t>
  </si>
  <si>
    <t>14.12.1970</t>
  </si>
  <si>
    <t>savin@gmail</t>
  </si>
  <si>
    <t>Саранск</t>
  </si>
  <si>
    <t>10.04.2023</t>
  </si>
  <si>
    <t xml:space="preserve">Лобанова Ксения Сергеевна</t>
  </si>
  <si>
    <t>16.08.1982</t>
  </si>
  <si>
    <t>lobanova@mail</t>
  </si>
  <si>
    <t>Тула</t>
  </si>
  <si>
    <t>01.05.2023</t>
  </si>
  <si>
    <t xml:space="preserve">Макаров Игорь Дмитриевич</t>
  </si>
  <si>
    <t>23.01.1990</t>
  </si>
  <si>
    <t>makarov@yandex</t>
  </si>
  <si>
    <t>Калуга</t>
  </si>
  <si>
    <t>2023-05-15</t>
  </si>
  <si>
    <t xml:space="preserve">Спиридонова Ольга Петровна</t>
  </si>
  <si>
    <t>05.11.1977</t>
  </si>
  <si>
    <t>spiridonova@gmail</t>
  </si>
  <si>
    <t>Владикавказ</t>
  </si>
  <si>
    <t>15.05.2023</t>
  </si>
  <si>
    <t xml:space="preserve">Абрамова Марина Александровна</t>
  </si>
  <si>
    <t>29.07.1985</t>
  </si>
  <si>
    <t>abramova@mail</t>
  </si>
  <si>
    <t>Смоленск</t>
  </si>
  <si>
    <t>01.06.2023</t>
  </si>
  <si>
    <t xml:space="preserve">Богданов Павел Николаевич</t>
  </si>
  <si>
    <t>18.03.1992</t>
  </si>
  <si>
    <t>bogdanov@yandex</t>
  </si>
  <si>
    <t>Белгород</t>
  </si>
  <si>
    <t>2023-06-10</t>
  </si>
  <si>
    <t xml:space="preserve">Комаров Иван Валерьевич</t>
  </si>
  <si>
    <t>06.10.1987</t>
  </si>
  <si>
    <t>komarov@gmail</t>
  </si>
  <si>
    <t>Мурманск</t>
  </si>
  <si>
    <t>10.06.2023</t>
  </si>
  <si>
    <t xml:space="preserve">Анисимова Людмила Юрьевна</t>
  </si>
  <si>
    <t>12.05.1974</t>
  </si>
  <si>
    <t>anisimova@mail</t>
  </si>
  <si>
    <t>Ставрополь</t>
  </si>
  <si>
    <t>01.07.2023</t>
  </si>
  <si>
    <t xml:space="preserve">Трифонов Алексей Игоревич</t>
  </si>
  <si>
    <t>30.12.1980</t>
  </si>
  <si>
    <t>trifonov@yandex</t>
  </si>
  <si>
    <t>Севастополь</t>
  </si>
  <si>
    <t>2023-07-15</t>
  </si>
  <si>
    <t xml:space="preserve">Овсянникова Раиса Петровна</t>
  </si>
  <si>
    <t>17.09.1986</t>
  </si>
  <si>
    <t>ovsyannikova@gmail</t>
  </si>
  <si>
    <t>Сочи</t>
  </si>
  <si>
    <t>15.07.2023</t>
  </si>
  <si>
    <t xml:space="preserve">Дементьева Тамара Васильевна</t>
  </si>
  <si>
    <t>25.02.1971</t>
  </si>
  <si>
    <t>dementeva@mail</t>
  </si>
  <si>
    <t>Симферополь</t>
  </si>
  <si>
    <t>01.08.2023</t>
  </si>
  <si>
    <t xml:space="preserve">Суханов Станислав Анатольевич</t>
  </si>
  <si>
    <t>08.11.1993</t>
  </si>
  <si>
    <t>suhanov@yandex</t>
  </si>
  <si>
    <t>Брянск</t>
  </si>
  <si>
    <t>2023-08-10</t>
  </si>
  <si>
    <t xml:space="preserve">Новикова Алла Станиславовна</t>
  </si>
  <si>
    <t>14.07.1984</t>
  </si>
  <si>
    <t>novikova@gmail</t>
  </si>
  <si>
    <t>Абакан</t>
  </si>
  <si>
    <t>10.08.2023</t>
  </si>
  <si>
    <t xml:space="preserve">Калинин Герман Викторович</t>
  </si>
  <si>
    <t>27.03.1976</t>
  </si>
  <si>
    <t>kalinin@mail</t>
  </si>
  <si>
    <t>Грозный</t>
  </si>
  <si>
    <t>01.09.2023</t>
  </si>
  <si>
    <t xml:space="preserve">Мартынова Лариса Олеговна</t>
  </si>
  <si>
    <t>10.12.1981</t>
  </si>
  <si>
    <t>martynova@yandex</t>
  </si>
  <si>
    <t>Бийск</t>
  </si>
  <si>
    <t>2023-09-15</t>
  </si>
  <si>
    <t xml:space="preserve">Одинцов Сергей Алексеевич</t>
  </si>
  <si>
    <t>22.10.1988</t>
  </si>
  <si>
    <t>odintsov@gmail</t>
  </si>
  <si>
    <t>Йошкар-Ола</t>
  </si>
  <si>
    <t>15.09.2023</t>
  </si>
  <si>
    <t xml:space="preserve">Емельянова Татьяна Николаевна</t>
  </si>
  <si>
    <t>04.08.1972</t>
  </si>
  <si>
    <t>emelyanova@mail</t>
  </si>
  <si>
    <t>Курган</t>
  </si>
  <si>
    <t>01.10.2023</t>
  </si>
  <si>
    <t xml:space="preserve">Павлов Антон Сергеевич</t>
  </si>
  <si>
    <t>19.11.1995</t>
  </si>
  <si>
    <t>pavlov@yandex</t>
  </si>
  <si>
    <t>Архангельск</t>
  </si>
  <si>
    <t>2023-10-10</t>
  </si>
  <si>
    <t xml:space="preserve">Морозова Алина Викторовна</t>
  </si>
  <si>
    <t>23.06.1983</t>
  </si>
  <si>
    <t>morozova@gmail</t>
  </si>
  <si>
    <t>Благовещенск</t>
  </si>
  <si>
    <t>10.10.2023</t>
  </si>
  <si>
    <t xml:space="preserve">Кожевникова Инна Александровна</t>
  </si>
  <si>
    <t>16.01.1978</t>
  </si>
  <si>
    <t>kozhevnikova@mail</t>
  </si>
  <si>
    <t>Майкоп</t>
  </si>
  <si>
    <t>01.11.2023</t>
  </si>
  <si>
    <t xml:space="preserve">Баранова Снежана Олеговна</t>
  </si>
  <si>
    <t>03.09.1990</t>
  </si>
  <si>
    <t>baranova@yandex</t>
  </si>
  <si>
    <t>Уссурийск</t>
  </si>
  <si>
    <t>2023-11-15</t>
  </si>
  <si>
    <t xml:space="preserve">Казакова Надежда Андреевна</t>
  </si>
  <si>
    <t>28.04.1985</t>
  </si>
  <si>
    <t>kazakova@gmail</t>
  </si>
  <si>
    <t>Миасс</t>
  </si>
  <si>
    <t>15.11.2023</t>
  </si>
  <si>
    <t xml:space="preserve">Кравцов Павел Сергеевич</t>
  </si>
  <si>
    <t>14.12.1974</t>
  </si>
  <si>
    <t>kravtsov@mail</t>
  </si>
  <si>
    <t>Кызыл</t>
  </si>
  <si>
    <t>01.12.2023</t>
  </si>
  <si>
    <t xml:space="preserve">Васина Виктория Михайловна</t>
  </si>
  <si>
    <t>21.07.1992</t>
  </si>
  <si>
    <t>vasina@yandex</t>
  </si>
  <si>
    <t>Калининград</t>
  </si>
  <si>
    <t>2023-12-10</t>
  </si>
  <si>
    <t xml:space="preserve">Петухов Анатолий Игоревич</t>
  </si>
  <si>
    <t>10.05.1981</t>
  </si>
  <si>
    <t>petuhov@gmail</t>
  </si>
  <si>
    <t>Петрозаводск</t>
  </si>
  <si>
    <t>10.12.2023</t>
  </si>
  <si>
    <t xml:space="preserve">Гаврилова Светлана Алексеевна</t>
  </si>
  <si>
    <t>29.11.1976</t>
  </si>
  <si>
    <t>gavrilova@mail</t>
  </si>
  <si>
    <t>Рубцовск</t>
  </si>
  <si>
    <t>01.01.2024</t>
  </si>
  <si>
    <t xml:space="preserve">Харламов Федор Владимирович</t>
  </si>
  <si>
    <t>12.08.1988</t>
  </si>
  <si>
    <t>harlamov@yandex</t>
  </si>
  <si>
    <t>Элиста</t>
  </si>
  <si>
    <t>2024-01-15</t>
  </si>
  <si>
    <t xml:space="preserve">Юдина Майя Евгеньевна</t>
  </si>
  <si>
    <t>07.03.1993</t>
  </si>
  <si>
    <t>yudina@gmail</t>
  </si>
  <si>
    <t>Орск</t>
  </si>
  <si>
    <t>15.01.2024</t>
  </si>
  <si>
    <t xml:space="preserve">Прохоров Вадим Александрович</t>
  </si>
  <si>
    <t>25.09.1979</t>
  </si>
  <si>
    <t>prohorov@mail</t>
  </si>
  <si>
    <t>Нижневартовск</t>
  </si>
  <si>
    <t>01.02.2024</t>
  </si>
  <si>
    <t xml:space="preserve">Краснова Жанна Петровна</t>
  </si>
  <si>
    <t>18.12.1986</t>
  </si>
  <si>
    <t>krasnova@yandex</t>
  </si>
  <si>
    <t>Новороссийск</t>
  </si>
  <si>
    <t>2024-02-10</t>
  </si>
  <si>
    <t xml:space="preserve">Савельева Таисия Сергеевна</t>
  </si>
  <si>
    <t>02.06.1994</t>
  </si>
  <si>
    <t>saveleva@gmail</t>
  </si>
  <si>
    <t>Химки</t>
  </si>
  <si>
    <t>10.02.2024</t>
  </si>
  <si>
    <t xml:space="preserve">Шестаков Никита Игоревич</t>
  </si>
  <si>
    <t>31.01.1975</t>
  </si>
  <si>
    <t>shestakov@mail</t>
  </si>
  <si>
    <t>Подольск</t>
  </si>
  <si>
    <t>01.03.2024</t>
  </si>
  <si>
    <t xml:space="preserve">Виноградов Данил Олегович</t>
  </si>
  <si>
    <t>13.10.1982</t>
  </si>
  <si>
    <t>vinogradov@yandex</t>
  </si>
  <si>
    <t>Балашиха</t>
  </si>
  <si>
    <t>2024-03-15</t>
  </si>
  <si>
    <t xml:space="preserve">Александрова Милана Викторовна</t>
  </si>
  <si>
    <t>24.08.1991</t>
  </si>
  <si>
    <t>aleksandrova@gmail</t>
  </si>
  <si>
    <t>Сургут</t>
  </si>
  <si>
    <t>15.03.2024</t>
  </si>
  <si>
    <t xml:space="preserve">Борисенко Артём Денисович</t>
  </si>
  <si>
    <t>06.04.1977</t>
  </si>
  <si>
    <t>borisenko@mail</t>
  </si>
  <si>
    <t>Армавир</t>
  </si>
  <si>
    <t>01.04.2024</t>
  </si>
  <si>
    <t xml:space="preserve">Некрасова Екатерина Николаевна</t>
  </si>
  <si>
    <t>17.12.1984</t>
  </si>
  <si>
    <t>nekrasova@yandex</t>
  </si>
  <si>
    <t>Волжский</t>
  </si>
  <si>
    <t>2024-04-10</t>
  </si>
  <si>
    <t xml:space="preserve">Агапов Борис Евгеньевич</t>
  </si>
  <si>
    <t>30.07.1989</t>
  </si>
  <si>
    <t>agapov@gmail</t>
  </si>
  <si>
    <t>Шахты</t>
  </si>
  <si>
    <t>10.04.2024</t>
  </si>
  <si>
    <t xml:space="preserve">Фролова Дарья Павловна</t>
  </si>
  <si>
    <t>09.03.1973</t>
  </si>
  <si>
    <t>frolova@mail</t>
  </si>
  <si>
    <t>Златоуст</t>
  </si>
  <si>
    <t>01.05.2024</t>
  </si>
  <si>
    <t xml:space="preserve">Мишина Татьяна Андреевна</t>
  </si>
  <si>
    <t>21.10.1980</t>
  </si>
  <si>
    <t>mishina@yandex</t>
  </si>
  <si>
    <t>Ангарск</t>
  </si>
  <si>
    <t>2024-05-15</t>
  </si>
  <si>
    <t xml:space="preserve">Ильин Евгений Сергеевич</t>
  </si>
  <si>
    <t>04.06.1995</t>
  </si>
  <si>
    <t>ilin@gmail</t>
  </si>
  <si>
    <t>Озёрск</t>
  </si>
  <si>
    <t>15.05.2024</t>
  </si>
  <si>
    <t xml:space="preserve">Горбунова Виктория Дмитриевна</t>
  </si>
  <si>
    <t>27.11.1970</t>
  </si>
  <si>
    <t>gorbunova@mail</t>
  </si>
  <si>
    <t>Орел</t>
  </si>
  <si>
    <t>01.06.2024</t>
  </si>
  <si>
    <t xml:space="preserve">Ширяев Валерий Петрович</t>
  </si>
  <si>
    <t>15.02.1983</t>
  </si>
  <si>
    <t>shiryaev@yandex</t>
  </si>
  <si>
    <t>2024-06-10</t>
  </si>
  <si>
    <t xml:space="preserve">Пчелинцева Наталья Владимировна</t>
  </si>
  <si>
    <t>08.09.1987</t>
  </si>
  <si>
    <t>pchelintseva@gmail</t>
  </si>
  <si>
    <t>10.06.2024</t>
  </si>
  <si>
    <t xml:space="preserve">Столяров Алексей Валентинович</t>
  </si>
  <si>
    <t>19.05.1976</t>
  </si>
  <si>
    <t>stolyarov@mail</t>
  </si>
  <si>
    <t>01.07.2024</t>
  </si>
  <si>
    <t xml:space="preserve">Королева Анжела Алексеевна</t>
  </si>
  <si>
    <t>01.12.1992</t>
  </si>
  <si>
    <t>koroleva@yandex</t>
  </si>
  <si>
    <t>2024-07-15</t>
  </si>
  <si>
    <t xml:space="preserve">Мальцева Алла Борисовна</t>
  </si>
  <si>
    <t>24.08.1981</t>
  </si>
  <si>
    <t>maltseva@gmail</t>
  </si>
  <si>
    <t>15.07.2024</t>
  </si>
  <si>
    <t xml:space="preserve">Тарасова Ирина Павловна</t>
  </si>
  <si>
    <t>11.10.1974</t>
  </si>
  <si>
    <t>tarasova@mail</t>
  </si>
  <si>
    <t>01.08.2024</t>
  </si>
  <si>
    <t xml:space="preserve">Беспалов Глеб Анатольевич</t>
  </si>
  <si>
    <t>26.06.1988</t>
  </si>
  <si>
    <t>bespalov@yandex</t>
  </si>
  <si>
    <t>2024-08-10</t>
  </si>
  <si>
    <t xml:space="preserve">Соколовская Ольга Михайловна</t>
  </si>
  <si>
    <t>03.03.1979</t>
  </si>
  <si>
    <t>sokolovskaya@gmail</t>
  </si>
  <si>
    <t>10.08.2024</t>
  </si>
  <si>
    <t xml:space="preserve">Ермаков Павел Владимирович</t>
  </si>
  <si>
    <t>14.12.1985</t>
  </si>
  <si>
    <t>ermakov@mail</t>
  </si>
  <si>
    <t>01.09.2024</t>
  </si>
  <si>
    <t xml:space="preserve">Герасимова Анна Юрьевна</t>
  </si>
  <si>
    <t>22.07.1993</t>
  </si>
  <si>
    <t>gerasimova@yandex</t>
  </si>
  <si>
    <t>2024-09-15</t>
  </si>
  <si>
    <t xml:space="preserve">Кузьмина Ева Евгеньевна</t>
  </si>
  <si>
    <t>09.01.1977</t>
  </si>
  <si>
    <t>kuzmina@gmail</t>
  </si>
  <si>
    <t>15.09.2024</t>
  </si>
  <si>
    <t xml:space="preserve">Литвинов Станислав Андреевич</t>
  </si>
  <si>
    <t>17.09.1984</t>
  </si>
  <si>
    <t>litvinov@mail</t>
  </si>
  <si>
    <t>01.10.2024</t>
  </si>
  <si>
    <t xml:space="preserve">Архипова Диана Валерьевна</t>
  </si>
  <si>
    <t>28.04.1991</t>
  </si>
  <si>
    <t>arhipova@yandex</t>
  </si>
  <si>
    <t>2024-10-10</t>
  </si>
  <si>
    <t xml:space="preserve">Кузьмин Андрей Сергеевич</t>
  </si>
  <si>
    <t>03.11.1972</t>
  </si>
  <si>
    <t>kuzmin@gmail</t>
  </si>
  <si>
    <t>10.10.2024</t>
  </si>
  <si>
    <t xml:space="preserve">Афанасьева Виктория Денисовна</t>
  </si>
  <si>
    <t>16.06.1986</t>
  </si>
  <si>
    <t>afanasieva@mail</t>
  </si>
  <si>
    <t>01.11.2024</t>
  </si>
  <si>
    <t xml:space="preserve">Денисов Константин Викторович</t>
  </si>
  <si>
    <t>29.01.1994</t>
  </si>
  <si>
    <t>denisov@yandex</t>
  </si>
  <si>
    <t>2024-11-15</t>
  </si>
  <si>
    <t xml:space="preserve">Серова Наталья Анатольевна</t>
  </si>
  <si>
    <t>12.08.1978</t>
  </si>
  <si>
    <t>serova@gmail</t>
  </si>
  <si>
    <t>15.11.2024</t>
  </si>
  <si>
    <t xml:space="preserve">Голубев Максим Иванович</t>
  </si>
  <si>
    <t>07.12.1983</t>
  </si>
  <si>
    <t>golubev@mail</t>
  </si>
  <si>
    <t>01.12.2024</t>
  </si>
  <si>
    <t xml:space="preserve">Панова Карина Александровна</t>
  </si>
  <si>
    <t>20.03.1990</t>
  </si>
  <si>
    <t>panova@yandex</t>
  </si>
  <si>
    <t>2024-12-10</t>
  </si>
  <si>
    <t xml:space="preserve">Шевченко Тимофей Олегович</t>
  </si>
  <si>
    <t>25.10.1975</t>
  </si>
  <si>
    <t>shevchenko@gmail</t>
  </si>
  <si>
    <t>10.12.2024</t>
  </si>
  <si>
    <t xml:space="preserve">Титова Ника Павловна</t>
  </si>
  <si>
    <t>04.09.1982</t>
  </si>
  <si>
    <t>titova@mail</t>
  </si>
  <si>
    <t>01.01.2025</t>
  </si>
  <si>
    <t xml:space="preserve">Федотов Илья Степанович</t>
  </si>
  <si>
    <t>18.06.1995</t>
  </si>
  <si>
    <t>fedotov@yandex</t>
  </si>
  <si>
    <t>2025-01-15</t>
  </si>
  <si>
    <t xml:space="preserve">Захарова Елизавета Максимовна</t>
  </si>
  <si>
    <t>27.02.1971</t>
  </si>
  <si>
    <t>zaharova@gmail</t>
  </si>
  <si>
    <t>15.01.2025</t>
  </si>
  <si>
    <t xml:space="preserve">Беляева Мария Сергеевна</t>
  </si>
  <si>
    <t>09.11.1984</t>
  </si>
  <si>
    <t>belyaeva@mail</t>
  </si>
  <si>
    <t>01.02.2025</t>
  </si>
  <si>
    <t xml:space="preserve">Новиков Петр Дмитриевич</t>
  </si>
  <si>
    <t>15.07.1992</t>
  </si>
  <si>
    <t>novikov@yandex</t>
  </si>
  <si>
    <t>2025-02-10</t>
  </si>
  <si>
    <t xml:space="preserve">Осипова Ксения Игоревна</t>
  </si>
  <si>
    <t>30.04.1977</t>
  </si>
  <si>
    <t>osipova@gmail</t>
  </si>
  <si>
    <t>10.02.2025</t>
  </si>
  <si>
    <t xml:space="preserve">Климов Алексей Сергеевич</t>
  </si>
  <si>
    <t>23.12.1989</t>
  </si>
  <si>
    <t>klimov@mail</t>
  </si>
  <si>
    <t>01.03.2025</t>
  </si>
  <si>
    <t xml:space="preserve">Шмидт Елена Викторовна</t>
  </si>
  <si>
    <t>06.08.1974</t>
  </si>
  <si>
    <t>shmidt@yandex</t>
  </si>
  <si>
    <t>2025-03-15</t>
  </si>
  <si>
    <t xml:space="preserve">Золотарева Людмила Петровна</t>
  </si>
  <si>
    <t>19.01.1986</t>
  </si>
  <si>
    <t>zolotareva@gmail</t>
  </si>
  <si>
    <t>15.03.2025</t>
  </si>
  <si>
    <t xml:space="preserve">Субботин Владислав Романович</t>
  </si>
  <si>
    <t>subbotin@mail</t>
  </si>
  <si>
    <t>01.04.2025</t>
  </si>
  <si>
    <t xml:space="preserve">Карасев Арсений Николаевич</t>
  </si>
  <si>
    <t>14.05.1981</t>
  </si>
  <si>
    <t>karasev@yandex</t>
  </si>
  <si>
    <t>2025-04-10</t>
  </si>
  <si>
    <t xml:space="preserve">Шаповалова Валерия Андреевна</t>
  </si>
  <si>
    <t>08.12.1970</t>
  </si>
  <si>
    <t>shapovalova@gmail</t>
  </si>
  <si>
    <t>10.04.2025</t>
  </si>
  <si>
    <t xml:space="preserve">Васильев Иван Петрович</t>
  </si>
  <si>
    <t>21.03.1988</t>
  </si>
  <si>
    <t>vasilev@mail</t>
  </si>
  <si>
    <t>01.05.2025</t>
  </si>
  <si>
    <t xml:space="preserve">Ковалев Сергей Владимирович</t>
  </si>
  <si>
    <t>17.09.1983</t>
  </si>
  <si>
    <t>kovalev@yandex</t>
  </si>
  <si>
    <t>2025-05-15</t>
  </si>
  <si>
    <t xml:space="preserve">Мельникова Ольга Евгеньевна</t>
  </si>
  <si>
    <t>11.07.1991</t>
  </si>
  <si>
    <t>melnikova@gmail</t>
  </si>
  <si>
    <t>15.05.2025</t>
  </si>
  <si>
    <t xml:space="preserve">Поляков Илья Анатольевич</t>
  </si>
  <si>
    <t>28.11.1976</t>
  </si>
  <si>
    <t>polyakov@mail</t>
  </si>
  <si>
    <t>01.06.2025</t>
  </si>
  <si>
    <t xml:space="preserve">Куликова Екатерина Игоревна</t>
  </si>
  <si>
    <t>04.06.1985</t>
  </si>
  <si>
    <t>kulikova@yandex</t>
  </si>
  <si>
    <t>2025-06-10</t>
  </si>
  <si>
    <t xml:space="preserve">Самойлов Денис Олегович</t>
  </si>
  <si>
    <t>22.02.1994</t>
  </si>
  <si>
    <t>samoylov@gmail</t>
  </si>
  <si>
    <t>10.06.2025</t>
  </si>
  <si>
    <t xml:space="preserve">Гущина Анастасия Павловна</t>
  </si>
  <si>
    <t>09.10.1978</t>
  </si>
  <si>
    <t>guschina@mail</t>
  </si>
  <si>
    <t>01.07.2025</t>
  </si>
  <si>
    <t xml:space="preserve">Кочетков Алексей Владиславович</t>
  </si>
  <si>
    <t>15.08.1982</t>
  </si>
  <si>
    <t>kochetkov@yandex</t>
  </si>
  <si>
    <t>2025-07-15</t>
  </si>
  <si>
    <t xml:space="preserve">Ерофеева Татьяна Дмитриевна</t>
  </si>
  <si>
    <t>03.05.1992</t>
  </si>
  <si>
    <t>erofeeva@gmail</t>
  </si>
  <si>
    <t>15.07.2025</t>
  </si>
  <si>
    <t xml:space="preserve">Антонов Максим Юрьевич</t>
  </si>
  <si>
    <t>26.12.1973</t>
  </si>
  <si>
    <t>antonov@mail</t>
  </si>
  <si>
    <t>01.08.2025</t>
  </si>
  <si>
    <t xml:space="preserve">Миронова Лариса Андреевна</t>
  </si>
  <si>
    <t>19.07.1987</t>
  </si>
  <si>
    <t>mironova@yandex</t>
  </si>
  <si>
    <t>2025-08-10</t>
  </si>
  <si>
    <t xml:space="preserve">Климова Оксана Борисовна</t>
  </si>
  <si>
    <t>31.03.1980</t>
  </si>
  <si>
    <t>klimova@gmail</t>
  </si>
  <si>
    <t>10.08.2025</t>
  </si>
  <si>
    <t xml:space="preserve">Сидоренко Артем Николаевич</t>
  </si>
  <si>
    <t>sidorenko@mail</t>
  </si>
  <si>
    <t>01.09.2025</t>
  </si>
  <si>
    <t xml:space="preserve">Горбачев Глеб Ильич</t>
  </si>
  <si>
    <t>28.06.1995</t>
  </si>
  <si>
    <t>gorbachev@yandex</t>
  </si>
  <si>
    <t>2025-09-15</t>
  </si>
  <si>
    <t xml:space="preserve">Михайлова Елена Станиславовна</t>
  </si>
  <si>
    <t>01.09.1984</t>
  </si>
  <si>
    <t>mihailova@gmail</t>
  </si>
  <si>
    <t>15.09.2025</t>
  </si>
  <si>
    <t xml:space="preserve">Сорокин Антон Викторович</t>
  </si>
  <si>
    <t>23.04.1979</t>
  </si>
  <si>
    <t>sorokin@mail</t>
  </si>
  <si>
    <t>01.10.2025</t>
  </si>
  <si>
    <t xml:space="preserve">Филиппов Юрий Игоревич</t>
  </si>
  <si>
    <t>16.12.1986</t>
  </si>
  <si>
    <t>filipov@yandex</t>
  </si>
  <si>
    <t>2025-10-10</t>
  </si>
  <si>
    <t xml:space="preserve">Буркова Надежда Валерьевна</t>
  </si>
  <si>
    <t>08.10.1993</t>
  </si>
  <si>
    <t>burkova@gmail</t>
  </si>
  <si>
    <t>10.10.2025</t>
  </si>
  <si>
    <t xml:space="preserve">Маркова Галина Петровна</t>
  </si>
  <si>
    <t>27.05.1970</t>
  </si>
  <si>
    <t>markova@mail</t>
  </si>
  <si>
    <t>01.11.2025</t>
  </si>
  <si>
    <t xml:space="preserve">Дмитриев Степан Олегович</t>
  </si>
  <si>
    <t>14.03.1988</t>
  </si>
  <si>
    <t>dmitriev@yandex</t>
  </si>
  <si>
    <t>2025-11-15</t>
  </si>
  <si>
    <t xml:space="preserve">Гришин Владислав Денисович</t>
  </si>
  <si>
    <t>20.09.1981</t>
  </si>
  <si>
    <t>grishin@gmail</t>
  </si>
  <si>
    <t>15.11.2025</t>
  </si>
  <si>
    <t xml:space="preserve">Симонова Татьяна Владимировна</t>
  </si>
  <si>
    <t>11.07.1974</t>
  </si>
  <si>
    <t>simonova@mail</t>
  </si>
  <si>
    <t>01.12.2025</t>
  </si>
  <si>
    <t xml:space="preserve">Назаров Антон Иванович</t>
  </si>
  <si>
    <t>05.02.1992</t>
  </si>
  <si>
    <t>nazarov@yandex</t>
  </si>
  <si>
    <t>2025-12-10</t>
  </si>
  <si>
    <t xml:space="preserve">Коновалова Людмила Юрьевна</t>
  </si>
  <si>
    <t>19.11.1985</t>
  </si>
  <si>
    <t>konovalova@gmail</t>
  </si>
  <si>
    <t>10.12.2025</t>
  </si>
  <si>
    <t xml:space="preserve">Панфилов Николай Евгеньевич</t>
  </si>
  <si>
    <t>26.08.1977</t>
  </si>
  <si>
    <t>panfilov@mail</t>
  </si>
  <si>
    <t>01.01.2026</t>
  </si>
  <si>
    <t xml:space="preserve">Щербакова Ирина Алексеевна</t>
  </si>
  <si>
    <t>09.04.1983</t>
  </si>
  <si>
    <t>scherbakova@yandex</t>
  </si>
  <si>
    <t>2026-01-15</t>
  </si>
  <si>
    <t xml:space="preserve">Терентьев Виталий Михайлович</t>
  </si>
  <si>
    <t>30.12.1989</t>
  </si>
  <si>
    <t>terentev@gmail</t>
  </si>
  <si>
    <t>15.01.2026</t>
  </si>
  <si>
    <t xml:space="preserve">Молчанова Ольга Сергеевна</t>
  </si>
  <si>
    <t>16.06.1976</t>
  </si>
  <si>
    <t>molchanova@mail</t>
  </si>
  <si>
    <t>01.02.2026</t>
  </si>
  <si>
    <t xml:space="preserve">Крымов Алексей Игоревич</t>
  </si>
  <si>
    <t>04.10.1984</t>
  </si>
  <si>
    <t>krymov@yandex</t>
  </si>
  <si>
    <t>2026-02-10</t>
  </si>
  <si>
    <t xml:space="preserve">Сидорова Екатерина Андреевна</t>
  </si>
  <si>
    <t>22.01.1994</t>
  </si>
  <si>
    <t>sidorova@gmail</t>
  </si>
  <si>
    <t>10.02.2026</t>
  </si>
  <si>
    <t xml:space="preserve">Павлова Диана Петровна</t>
  </si>
  <si>
    <t>07.07.1978</t>
  </si>
  <si>
    <t>pavlova@mail</t>
  </si>
  <si>
    <t>01.03.2026</t>
  </si>
  <si>
    <t xml:space="preserve">Степанова Антонина Алексеевна</t>
  </si>
  <si>
    <t>29.05.1982</t>
  </si>
  <si>
    <t>stepanova@yandex</t>
  </si>
  <si>
    <t>2026-03-15</t>
  </si>
  <si>
    <t xml:space="preserve">Моргунова Татьяна Ивановна</t>
  </si>
  <si>
    <t>15.12.1987</t>
  </si>
  <si>
    <t>morgunova@gmail</t>
  </si>
  <si>
    <t>15.03.2026</t>
  </si>
  <si>
    <t xml:space="preserve">Евдокимов Сергей Анатольевич</t>
  </si>
  <si>
    <t>18.08.1973</t>
  </si>
  <si>
    <t>evdokimov@mail</t>
  </si>
  <si>
    <t>01.04.2026</t>
  </si>
  <si>
    <t xml:space="preserve">Быкова Елизавета Николаевна</t>
  </si>
  <si>
    <t>03.11.1985</t>
  </si>
  <si>
    <t>bykova@yandex</t>
  </si>
  <si>
    <t>2026-04-10</t>
  </si>
  <si>
    <t xml:space="preserve">Тищенко Владимир Олегович</t>
  </si>
  <si>
    <t>24.03.1991</t>
  </si>
  <si>
    <t>tischenko@gmail</t>
  </si>
  <si>
    <t>10.04.2026</t>
  </si>
  <si>
    <t xml:space="preserve">Соколова Наталия Дмитриевна</t>
  </si>
  <si>
    <t>09.09.1979</t>
  </si>
  <si>
    <t>01.05.2026</t>
  </si>
  <si>
    <t xml:space="preserve">Громов Александр Валерьевич</t>
  </si>
  <si>
    <t>21.07.1986</t>
  </si>
  <si>
    <t>gromov@yandex</t>
  </si>
  <si>
    <t>2026-05-15</t>
  </si>
  <si>
    <t xml:space="preserve">Мищенко Валентина Алексеевна</t>
  </si>
  <si>
    <t>14.12.1993</t>
  </si>
  <si>
    <t>mischenko@gmail</t>
  </si>
  <si>
    <t>15.05.2026</t>
  </si>
  <si>
    <t xml:space="preserve">Лаврентьев Виталий Андреевич</t>
  </si>
  <si>
    <t>26.10.1975</t>
  </si>
  <si>
    <t>lavrentev@mail</t>
  </si>
  <si>
    <t>01.06.2026</t>
  </si>
  <si>
    <t xml:space="preserve">Костина Анастасия Вячеславовна</t>
  </si>
  <si>
    <t>02.04.1988</t>
  </si>
  <si>
    <t>kostina@yandex</t>
  </si>
  <si>
    <t>2026-06-10</t>
  </si>
  <si>
    <t xml:space="preserve">Белов Михаил Сергеевич</t>
  </si>
  <si>
    <t>08.06.1982</t>
  </si>
  <si>
    <t>belov@gmail</t>
  </si>
  <si>
    <t>10.06.2026</t>
  </si>
  <si>
    <t xml:space="preserve">Кириллов Алексей Петрович</t>
  </si>
  <si>
    <t>17.11.1974</t>
  </si>
  <si>
    <t>kirillov@mail</t>
  </si>
  <si>
    <t>01.07.2026</t>
  </si>
  <si>
    <t xml:space="preserve">Исаев Вадим Евгеньевич</t>
  </si>
  <si>
    <t>13.09.1980</t>
  </si>
  <si>
    <t>isaev@yandex</t>
  </si>
  <si>
    <t>2026-07-15</t>
  </si>
  <si>
    <t xml:space="preserve">Гриценко Мария Владимировна</t>
  </si>
  <si>
    <t>28.02.1995</t>
  </si>
  <si>
    <t>gricenko@gmail</t>
  </si>
  <si>
    <t>15.07.2026</t>
  </si>
  <si>
    <t xml:space="preserve">Шевелева Екатерина Петровна</t>
  </si>
  <si>
    <t>20.05.1989</t>
  </si>
  <si>
    <t>sheveleva@mail</t>
  </si>
  <si>
    <t>01.08.2026</t>
  </si>
  <si>
    <t xml:space="preserve">Аничкин Илья Алексеевич</t>
  </si>
  <si>
    <t>16.07.1971</t>
  </si>
  <si>
    <t>anichkin@yandex</t>
  </si>
  <si>
    <t>2026-08-10</t>
  </si>
  <si>
    <t xml:space="preserve">Рябова Ольга Павловна</t>
  </si>
  <si>
    <t>10.12.1983</t>
  </si>
  <si>
    <t>ryabova@gmail</t>
  </si>
  <si>
    <t>10.08.2026</t>
  </si>
  <si>
    <t xml:space="preserve">Гуляев Денис Николаевич</t>
  </si>
  <si>
    <t>21.03.1977</t>
  </si>
  <si>
    <t>gulyaev@mail</t>
  </si>
  <si>
    <t>01.09.2026</t>
  </si>
  <si>
    <t xml:space="preserve">Горюнова Екатерина Андреевна</t>
  </si>
  <si>
    <t>04.09.1990</t>
  </si>
  <si>
    <t>goryunova@yandex</t>
  </si>
  <si>
    <t>2026-09-15</t>
  </si>
  <si>
    <t xml:space="preserve">Константинов Максим Викторович</t>
  </si>
  <si>
    <t>19.06.1984</t>
  </si>
  <si>
    <t>konstantinov@gmail</t>
  </si>
  <si>
    <t>15.09.2026</t>
  </si>
  <si>
    <t xml:space="preserve">Пантелеева Надежда Владимировна</t>
  </si>
  <si>
    <t>23.01.1972</t>
  </si>
  <si>
    <t>panteleeva@mail</t>
  </si>
  <si>
    <t>01.10.2026</t>
  </si>
  <si>
    <t xml:space="preserve">Елисеев Андрей Сергеевич</t>
  </si>
  <si>
    <t>08.08.1986</t>
  </si>
  <si>
    <t>eliseev@yandex</t>
  </si>
  <si>
    <t>2026-10-10</t>
  </si>
  <si>
    <t xml:space="preserve">Щеголева Татьяна Ивановна</t>
  </si>
  <si>
    <t>25.11.1992</t>
  </si>
  <si>
    <t>schegoleva@gmail</t>
  </si>
  <si>
    <t>10.10.2026</t>
  </si>
  <si>
    <t xml:space="preserve">Алехин Виктор Викторович</t>
  </si>
  <si>
    <t>14.04.1978</t>
  </si>
  <si>
    <t>alehin@mail</t>
  </si>
  <si>
    <t>01.11.2026</t>
  </si>
  <si>
    <t xml:space="preserve">Зверев Артем Сергеевич</t>
  </si>
  <si>
    <t>30.09.1981</t>
  </si>
  <si>
    <t>zverev@yandex</t>
  </si>
  <si>
    <t>2026-11-15</t>
  </si>
  <si>
    <t xml:space="preserve">Исакова Мария Михайловна</t>
  </si>
  <si>
    <t>11.07.1987</t>
  </si>
  <si>
    <t>isakova@gmail</t>
  </si>
  <si>
    <t>15.11.2026</t>
  </si>
  <si>
    <t xml:space="preserve">Симаков Григорий Павлович</t>
  </si>
  <si>
    <t>03.12.1994</t>
  </si>
  <si>
    <t>simakov@mail</t>
  </si>
  <si>
    <t>01.12.2026</t>
  </si>
  <si>
    <t xml:space="preserve">Кузькина Ольга Олеговна</t>
  </si>
  <si>
    <t>16.05.1976</t>
  </si>
  <si>
    <t>kuzkina@yandex</t>
  </si>
  <si>
    <t>2026-12-10</t>
  </si>
  <si>
    <t xml:space="preserve">Лукин Дмитрий Николаевич</t>
  </si>
  <si>
    <t>01.10.1982</t>
  </si>
  <si>
    <t>lukin@gmail</t>
  </si>
  <si>
    <t>10.12.2026</t>
  </si>
  <si>
    <t xml:space="preserve">Астафьева Татьяна Борисовна</t>
  </si>
  <si>
    <t>28.02.1975</t>
  </si>
  <si>
    <t>astafieva@mail</t>
  </si>
  <si>
    <t>01.01.2027</t>
  </si>
  <si>
    <t xml:space="preserve">Григорьев Андрей Игоревич</t>
  </si>
  <si>
    <t>14.08.1991</t>
  </si>
  <si>
    <t>grigoriev@yandex</t>
  </si>
  <si>
    <t>2027-01-15</t>
  </si>
  <si>
    <t xml:space="preserve">Чернова Екатерина Алексеевна</t>
  </si>
  <si>
    <t>04.06.1983</t>
  </si>
  <si>
    <t>chernova@gmail</t>
  </si>
  <si>
    <t>15.01.2027</t>
  </si>
  <si>
    <t xml:space="preserve">Прокопенко Олег Вадимович</t>
  </si>
  <si>
    <t>27.10.1970</t>
  </si>
  <si>
    <t>prokopenko@mail</t>
  </si>
  <si>
    <t>01.02.2027</t>
  </si>
  <si>
    <t xml:space="preserve">Сафонова Ирина Александровна</t>
  </si>
  <si>
    <t>19.03.1988</t>
  </si>
  <si>
    <t>safonova@yandex</t>
  </si>
  <si>
    <t>2027-02-10</t>
  </si>
  <si>
    <t xml:space="preserve">Колесов Иван Михайлович</t>
  </si>
  <si>
    <t>05.12.1995</t>
  </si>
  <si>
    <t>kolesov@gmail</t>
  </si>
  <si>
    <t>10.02.2027</t>
  </si>
  <si>
    <t xml:space="preserve">Трофимова Майя Сергеевна</t>
  </si>
  <si>
    <t>22.07.1977</t>
  </si>
  <si>
    <t>trofimova@mail</t>
  </si>
  <si>
    <t>01.03.2027</t>
  </si>
  <si>
    <t xml:space="preserve">Василенко Константин Юрьевич</t>
  </si>
  <si>
    <t>16.05.1986</t>
  </si>
  <si>
    <t>vasilenko@yandex</t>
  </si>
  <si>
    <t>2027-03-15</t>
  </si>
  <si>
    <t xml:space="preserve">Юрченко Наталья Станиславовна</t>
  </si>
  <si>
    <t>08.01.1980</t>
  </si>
  <si>
    <t>yurchenko@gmail</t>
  </si>
  <si>
    <t>15.03.2027</t>
  </si>
  <si>
    <t xml:space="preserve">Прокофьев Евгений Владиславович</t>
  </si>
  <si>
    <t>03.09.1974</t>
  </si>
  <si>
    <t>prokofiev@mail</t>
  </si>
  <si>
    <t>01.04.2027</t>
  </si>
  <si>
    <t xml:space="preserve">Зыкова Анна Алексеевна</t>
  </si>
  <si>
    <t>25.11.1989</t>
  </si>
  <si>
    <t>zykova@yandex</t>
  </si>
  <si>
    <t>2027-04-10</t>
  </si>
  <si>
    <t xml:space="preserve">Шубин Илья Олегович</t>
  </si>
  <si>
    <t>12.04.1985</t>
  </si>
  <si>
    <t>shubin@gmail</t>
  </si>
  <si>
    <t>10.04.2027</t>
  </si>
  <si>
    <t xml:space="preserve">Жукова Елена Сергеевна</t>
  </si>
  <si>
    <t>14.10.1976</t>
  </si>
  <si>
    <t>zhukova@mail</t>
  </si>
  <si>
    <t>01.05.2027</t>
  </si>
  <si>
    <t xml:space="preserve">Баранов Андрей Владимирович</t>
  </si>
  <si>
    <t>06.06.1990</t>
  </si>
  <si>
    <t>baranov@yandex</t>
  </si>
  <si>
    <t>2027-05-15</t>
  </si>
  <si>
    <t xml:space="preserve">Гурова Инна Павловна</t>
  </si>
  <si>
    <t>21.02.1983</t>
  </si>
  <si>
    <t>gurova@gmail</t>
  </si>
  <si>
    <t>15.05.2027</t>
  </si>
  <si>
    <t xml:space="preserve">Лазарев Алексей Олегович</t>
  </si>
  <si>
    <t>17.08.1971</t>
  </si>
  <si>
    <t>lazarev@mail</t>
  </si>
  <si>
    <t>01.06.2027</t>
  </si>
  <si>
    <t xml:space="preserve">Карташова Ольга Валерьевна</t>
  </si>
  <si>
    <t>09.12.1987</t>
  </si>
  <si>
    <t>kartashova@yandex</t>
  </si>
  <si>
    <t>2027-06-10</t>
  </si>
  <si>
    <t xml:space="preserve">Олейник Светлана Николаевна</t>
  </si>
  <si>
    <t>28.05.1994</t>
  </si>
  <si>
    <t>oleynik@gmail</t>
  </si>
  <si>
    <t>10.06.2027</t>
  </si>
  <si>
    <t xml:space="preserve">Нестеров Никита Алексеевич</t>
  </si>
  <si>
    <t>03.07.1979</t>
  </si>
  <si>
    <t>nesterov@mail</t>
  </si>
  <si>
    <t>01.07.2027</t>
  </si>
  <si>
    <t xml:space="preserve">Рожков Денис Вячеславович</t>
  </si>
  <si>
    <t>19.11.1986</t>
  </si>
  <si>
    <t>rozhkov@yandex</t>
  </si>
  <si>
    <t>2027-07-15</t>
  </si>
  <si>
    <t xml:space="preserve">Кравченко Екатерина Игоревна</t>
  </si>
  <si>
    <t>22.04.1981</t>
  </si>
  <si>
    <t>kravchenko@gmail</t>
  </si>
  <si>
    <t>15.07.2027</t>
  </si>
  <si>
    <t xml:space="preserve">Иванченко Олег Сергеевич</t>
  </si>
  <si>
    <t>14.09.1975</t>
  </si>
  <si>
    <t>ivanchenko@mail</t>
  </si>
  <si>
    <t>01.08.2027</t>
  </si>
  <si>
    <t xml:space="preserve">Максимова Алина Павловна</t>
  </si>
  <si>
    <t>07.01.1992</t>
  </si>
  <si>
    <t>maksimova@yandex</t>
  </si>
  <si>
    <t>2027-08-10</t>
  </si>
  <si>
    <t xml:space="preserve">Петрова Кристина Алексеевна</t>
  </si>
  <si>
    <t>30.06.1984</t>
  </si>
  <si>
    <t>petrova@gmail</t>
  </si>
  <si>
    <t>10.08.2027</t>
  </si>
  <si>
    <t xml:space="preserve">Галкина Марина Викторовна</t>
  </si>
  <si>
    <t>13.10.1976</t>
  </si>
  <si>
    <t>galkina@mail</t>
  </si>
  <si>
    <t>01.09.2027</t>
  </si>
  <si>
    <t xml:space="preserve">Чистяков Илья Андреевич</t>
  </si>
  <si>
    <t>02.03.1993</t>
  </si>
  <si>
    <t>chistyakov@yandex</t>
  </si>
  <si>
    <t>2027-09-15</t>
  </si>
  <si>
    <t xml:space="preserve">Чернышова Лариса Николаевна</t>
  </si>
  <si>
    <t>18.08.1988</t>
  </si>
  <si>
    <t>chernyshova@gmail</t>
  </si>
  <si>
    <t>15.09.2027</t>
  </si>
  <si>
    <t xml:space="preserve">Шишков Сергей Евгеньевич</t>
  </si>
  <si>
    <t>26.12.1978</t>
  </si>
  <si>
    <t>shishkov@mail</t>
  </si>
  <si>
    <t>01.10.2027</t>
  </si>
  <si>
    <t xml:space="preserve">Субботина Елена Валерьевна</t>
  </si>
  <si>
    <t>04.05.1982</t>
  </si>
  <si>
    <t>subbotina@yandex</t>
  </si>
  <si>
    <t>2027-10-10</t>
  </si>
  <si>
    <t xml:space="preserve">Головина Татьяна Михайловна</t>
  </si>
  <si>
    <t>15.07.1974</t>
  </si>
  <si>
    <t>golovina@gmail</t>
  </si>
  <si>
    <t>10.10.2027</t>
  </si>
  <si>
    <t xml:space="preserve">Красильников Денис Павлович</t>
  </si>
  <si>
    <t>29.10.1989</t>
  </si>
  <si>
    <t>krasilnikov@mail</t>
  </si>
  <si>
    <t>01.11.2027</t>
  </si>
  <si>
    <t xml:space="preserve">Шульженко Инна Дмитриевна</t>
  </si>
  <si>
    <t>20.09.1991</t>
  </si>
  <si>
    <t>shulzhenko@yandex</t>
  </si>
  <si>
    <t>2027-11-15</t>
  </si>
  <si>
    <t xml:space="preserve">Боброва Екатерина Станиславовна</t>
  </si>
  <si>
    <t>11.02.1977</t>
  </si>
  <si>
    <t>bobrova@gmail</t>
  </si>
  <si>
    <t>15.11.2027</t>
  </si>
  <si>
    <t xml:space="preserve">Носов Алексей Игоревич</t>
  </si>
  <si>
    <t>23.11.1983</t>
  </si>
  <si>
    <t>nosov@mail</t>
  </si>
  <si>
    <t>01.12.2027</t>
  </si>
  <si>
    <t xml:space="preserve">Кузьмина Анна Борисовна</t>
  </si>
  <si>
    <t>06.08.1990</t>
  </si>
  <si>
    <t>kuzmina@yandex</t>
  </si>
  <si>
    <t>2027-12-10</t>
  </si>
  <si>
    <t xml:space="preserve">Руденко Виктор Сергеевич</t>
  </si>
  <si>
    <t>27.12.1972</t>
  </si>
  <si>
    <t>rudenko@gmail</t>
  </si>
  <si>
    <t>10.12.2027</t>
  </si>
  <si>
    <t xml:space="preserve">Степанова Алла Владимировна</t>
  </si>
  <si>
    <t>16.04.1986</t>
  </si>
  <si>
    <t>stepanova@mail</t>
  </si>
  <si>
    <t>01.01.2028</t>
  </si>
  <si>
    <t xml:space="preserve">Мазур Илья Романович</t>
  </si>
  <si>
    <t>08.09.1994</t>
  </si>
  <si>
    <t>mazur@yandex</t>
  </si>
  <si>
    <t>2028-01-15</t>
  </si>
  <si>
    <t xml:space="preserve">Касьянова Оксана Юрьевна</t>
  </si>
  <si>
    <t>25.07.1979</t>
  </si>
  <si>
    <t>kasyanova@gmail</t>
  </si>
  <si>
    <t>15.01.2028</t>
  </si>
  <si>
    <t xml:space="preserve">Масленников Денис Олегович</t>
  </si>
  <si>
    <t>maslennikov@mail</t>
  </si>
  <si>
    <t>01.02.2028</t>
  </si>
  <si>
    <t xml:space="preserve">Чумак Екатерина Алексеевна</t>
  </si>
  <si>
    <t>19.06.1981</t>
  </si>
  <si>
    <t>chumak@yandex</t>
  </si>
  <si>
    <t>2028-02-10</t>
  </si>
  <si>
    <t xml:space="preserve">Спицин Никита Павлович</t>
  </si>
  <si>
    <t>01.10.1975</t>
  </si>
  <si>
    <t>spicin@gmail</t>
  </si>
  <si>
    <t>10.02.2028</t>
  </si>
  <si>
    <t xml:space="preserve">Ткаченко Ольга Викторовна</t>
  </si>
  <si>
    <t>27.12.1984</t>
  </si>
  <si>
    <t>tkachenko@mail</t>
  </si>
  <si>
    <t>01.03.2028</t>
  </si>
  <si>
    <t xml:space="preserve">Загорский Анатолий Сергеевич</t>
  </si>
  <si>
    <t>15.08.1992</t>
  </si>
  <si>
    <t>zagorsky@yandex</t>
  </si>
  <si>
    <t>2028-03-15</t>
  </si>
  <si>
    <t xml:space="preserve">Сидорова Ольга Ивановна</t>
  </si>
  <si>
    <t>04.11.1973</t>
  </si>
  <si>
    <t>15.03.2028</t>
  </si>
  <si>
    <t xml:space="preserve">Попова Надежда Петровна</t>
  </si>
  <si>
    <t>21.03.1986</t>
  </si>
  <si>
    <t>popova@mail</t>
  </si>
  <si>
    <t>01.04.2028</t>
  </si>
  <si>
    <t xml:space="preserve">Чехов Илья Александрович</t>
  </si>
  <si>
    <t>08.06.1991</t>
  </si>
  <si>
    <t>chehov@yandex</t>
  </si>
  <si>
    <t>2028-04-10</t>
  </si>
  <si>
    <t xml:space="preserve">Курочкина Мария Андреевна</t>
  </si>
  <si>
    <t>16.12.1977</t>
  </si>
  <si>
    <t>kurochkina@gmail</t>
  </si>
  <si>
    <t>10.04.2028</t>
  </si>
  <si>
    <t xml:space="preserve">Печеневский Артем Валентинович</t>
  </si>
  <si>
    <t>02.09.1983</t>
  </si>
  <si>
    <t>pechenevsky@mail</t>
  </si>
  <si>
    <t>01.05.2028</t>
  </si>
  <si>
    <t xml:space="preserve">Смагина Елена Юрьевна</t>
  </si>
  <si>
    <t>23.05.1993</t>
  </si>
  <si>
    <t>smagina@yandex</t>
  </si>
  <si>
    <t>2028-05-15</t>
  </si>
  <si>
    <t xml:space="preserve">Гущин Илья Николаевич</t>
  </si>
  <si>
    <t>11.07.1971</t>
  </si>
  <si>
    <t>guschin@gmail</t>
  </si>
  <si>
    <t>15.05.2028</t>
  </si>
  <si>
    <t xml:space="preserve">Минаев Владислав Владимирович</t>
  </si>
  <si>
    <t>29.01.1986</t>
  </si>
  <si>
    <t>minaev@mail</t>
  </si>
  <si>
    <t>01.06.2028</t>
  </si>
  <si>
    <t xml:space="preserve">Жилинская Ольга Анатольевна</t>
  </si>
  <si>
    <t>17.10.1989</t>
  </si>
  <si>
    <t>zhilinskaya@yandex</t>
  </si>
  <si>
    <t>2028-06-10</t>
  </si>
  <si>
    <t xml:space="preserve">Булычев Роман Викторович</t>
  </si>
  <si>
    <t>14.04.1976</t>
  </si>
  <si>
    <t>bulychev@gmail</t>
  </si>
  <si>
    <t>10.06.2028</t>
  </si>
  <si>
    <t xml:space="preserve">Дубова Марина Игоревна</t>
  </si>
  <si>
    <t>08.12.1982</t>
  </si>
  <si>
    <t>dubova@mail</t>
  </si>
  <si>
    <t>01.07.2028</t>
  </si>
  <si>
    <t xml:space="preserve">Анисимов Андрей Олегович</t>
  </si>
  <si>
    <t>22.08.1994</t>
  </si>
  <si>
    <t>anisimov@yandex</t>
  </si>
  <si>
    <t>2028-07-15</t>
  </si>
  <si>
    <t xml:space="preserve">Савицкая Оксана Николаевна</t>
  </si>
  <si>
    <t>07.06.1980</t>
  </si>
  <si>
    <t>savitskaya@gmail</t>
  </si>
  <si>
    <t>15.07.2028</t>
  </si>
  <si>
    <t xml:space="preserve">Ефанов Дмитрий Алексеевич</t>
  </si>
  <si>
    <t>19.11.1974</t>
  </si>
  <si>
    <t>efanov@mail</t>
  </si>
  <si>
    <t>01.08.2028</t>
  </si>
  <si>
    <t xml:space="preserve">Яблочкова Татьяна Дмитриевна</t>
  </si>
  <si>
    <t>25.02.1987</t>
  </si>
  <si>
    <t>yablochkova@yandex</t>
  </si>
  <si>
    <t>2028-08-10</t>
  </si>
  <si>
    <t xml:space="preserve">Блинков Сергей Петрович</t>
  </si>
  <si>
    <t>blinkov@gmail</t>
  </si>
  <si>
    <t>10.08.2028</t>
  </si>
  <si>
    <t xml:space="preserve">Зубова Екатерина Сергеевна</t>
  </si>
  <si>
    <t>12.07.1978</t>
  </si>
  <si>
    <t>zubova@mail</t>
  </si>
  <si>
    <t>01.09.2028</t>
  </si>
  <si>
    <t xml:space="preserve">Латкин Андрей Владимирович</t>
  </si>
  <si>
    <t>30.01.1985</t>
  </si>
  <si>
    <t>latkin@yandex</t>
  </si>
  <si>
    <t>2028-09-15</t>
  </si>
  <si>
    <t xml:space="preserve">Копылова Ольга Павловна</t>
  </si>
  <si>
    <t>16.10.1992</t>
  </si>
  <si>
    <t>kopylova@gmail</t>
  </si>
  <si>
    <t>15.09.2028</t>
  </si>
  <si>
    <t xml:space="preserve">Селиверстов Игорь Евгеньевич</t>
  </si>
  <si>
    <t>05.12.1970</t>
  </si>
  <si>
    <t>seliverstov@mail</t>
  </si>
  <si>
    <t>01.10.2028</t>
  </si>
  <si>
    <t xml:space="preserve">Гаврикова Мария Николаевна</t>
  </si>
  <si>
    <t>24.04.1983</t>
  </si>
  <si>
    <t>gavrikova@yandex</t>
  </si>
  <si>
    <t>2028-10-10</t>
  </si>
  <si>
    <t xml:space="preserve">Таратухин Денис Павлович</t>
  </si>
  <si>
    <t>taratuhin@gmail</t>
  </si>
  <si>
    <t>10.10.2028</t>
  </si>
  <si>
    <t xml:space="preserve">Киселева Ирина Степановна</t>
  </si>
  <si>
    <t>01.06.1976</t>
  </si>
  <si>
    <t>kiseleva@mail</t>
  </si>
  <si>
    <t>01.11.2028</t>
  </si>
  <si>
    <t xml:space="preserve">Хохлов Алексей Иванович</t>
  </si>
  <si>
    <t>hohlov@yandex</t>
  </si>
  <si>
    <t>2028-11-15</t>
  </si>
  <si>
    <t xml:space="preserve">Мельник Елена Владимировна</t>
  </si>
  <si>
    <t>09.09.1993</t>
  </si>
  <si>
    <t>melnik@gmail</t>
  </si>
  <si>
    <t>15.11.2028</t>
  </si>
  <si>
    <t xml:space="preserve">Кашкаров Илья Алексеевич</t>
  </si>
  <si>
    <t>22.12.1979</t>
  </si>
  <si>
    <t>kashkarov@mail</t>
  </si>
  <si>
    <t>01.12.2028</t>
  </si>
  <si>
    <t xml:space="preserve">Любимова Анна Петровна</t>
  </si>
  <si>
    <t>26.03.1986</t>
  </si>
  <si>
    <t>lyubimova@yandex</t>
  </si>
  <si>
    <t>2028-12-10</t>
  </si>
  <si>
    <t xml:space="preserve">Грачев Александр Сергеевич</t>
  </si>
  <si>
    <t>15.07.1990</t>
  </si>
  <si>
    <t>grachev@gmail</t>
  </si>
  <si>
    <t>10.12.2028</t>
  </si>
  <si>
    <t xml:space="preserve">Корнилов Владимир Олегович</t>
  </si>
  <si>
    <t>07.09.1975</t>
  </si>
  <si>
    <t>kornilov@mail</t>
  </si>
  <si>
    <t>01.01.2029</t>
  </si>
  <si>
    <t xml:space="preserve">Филатова Наталья Игоревна</t>
  </si>
  <si>
    <t>18.04.1982</t>
  </si>
  <si>
    <t>filatova@yandex</t>
  </si>
  <si>
    <t>2029-01-15</t>
  </si>
  <si>
    <t xml:space="preserve">Бердникова Мария Владимировна</t>
  </si>
  <si>
    <t>31.10.1991</t>
  </si>
  <si>
    <t>berdnikova@gmail</t>
  </si>
  <si>
    <t>15.01.2029</t>
  </si>
  <si>
    <t xml:space="preserve">Мельниченко Андрей Павлович</t>
  </si>
  <si>
    <t>13.02.1977</t>
  </si>
  <si>
    <t>melnichenko@mail</t>
  </si>
  <si>
    <t>01.02.2029</t>
  </si>
  <si>
    <t xml:space="preserve">Воронина Ольга Владиславовна</t>
  </si>
  <si>
    <t>22.06.1985</t>
  </si>
  <si>
    <t>voronina@yandex</t>
  </si>
  <si>
    <t>2029-02-10</t>
  </si>
  <si>
    <t xml:space="preserve">Зеленов Кирилл Валерьевич</t>
  </si>
  <si>
    <t>08.12.1994</t>
  </si>
  <si>
    <t>zelenov@gmail</t>
  </si>
  <si>
    <t>10.02.2029</t>
  </si>
  <si>
    <t xml:space="preserve">Стручкова Екатерина Алексеевна</t>
  </si>
  <si>
    <t>17.08.1973</t>
  </si>
  <si>
    <t>struchkova@mail</t>
  </si>
  <si>
    <t>01.03.2029</t>
  </si>
  <si>
    <t xml:space="preserve">Шаламов Олег Игоревич</t>
  </si>
  <si>
    <t>shalamov@yandex</t>
  </si>
  <si>
    <t>2029-03-15</t>
  </si>
  <si>
    <t xml:space="preserve">Алексеев Дмитрий Петрович</t>
  </si>
  <si>
    <t>11.11.1981</t>
  </si>
  <si>
    <t>alekseev@gmail</t>
  </si>
  <si>
    <t>15.03.2029</t>
  </si>
  <si>
    <t xml:space="preserve">Сорокина Татьяна Борисовна</t>
  </si>
  <si>
    <t>05.07.1976</t>
  </si>
  <si>
    <t>sorokina@mail</t>
  </si>
  <si>
    <t>01.04.2029</t>
  </si>
  <si>
    <t xml:space="preserve">Пономарёв Сергей Александрович</t>
  </si>
  <si>
    <t>24.09.1992</t>
  </si>
  <si>
    <t>ponomarev@yandex</t>
  </si>
  <si>
    <t>2029-04-10</t>
  </si>
  <si>
    <t xml:space="preserve">Репин Илья Васильевич</t>
  </si>
  <si>
    <t>16.05.1984</t>
  </si>
  <si>
    <t>repin@gmail</t>
  </si>
  <si>
    <t>10.04.2029</t>
  </si>
  <si>
    <t xml:space="preserve">Кудрявцева Оксана Юрьевна</t>
  </si>
  <si>
    <t>30.10.1979</t>
  </si>
  <si>
    <t>kudryavtseva@mail</t>
  </si>
  <si>
    <t>01.05.2029</t>
  </si>
  <si>
    <t xml:space="preserve">Лыков Алексей Павлович</t>
  </si>
  <si>
    <t>14.01.1987</t>
  </si>
  <si>
    <t>lykov@yandex</t>
  </si>
  <si>
    <t>2029-05-15</t>
  </si>
  <si>
    <t xml:space="preserve">Туманова Наталья Владимировна</t>
  </si>
  <si>
    <t>02.04.1993</t>
  </si>
  <si>
    <t>tumanova@gmail</t>
  </si>
  <si>
    <t>15.05.2029</t>
  </si>
  <si>
    <t xml:space="preserve">Сапожников Владислав Евгеньевич</t>
  </si>
  <si>
    <t>21.07.1971</t>
  </si>
  <si>
    <t>sapozhnikov@mail</t>
  </si>
  <si>
    <t>01.06.2029</t>
  </si>
  <si>
    <t xml:space="preserve">Куницына Елена Алексеевна</t>
  </si>
  <si>
    <t>13.12.1982</t>
  </si>
  <si>
    <t>kunitsyna@yandex</t>
  </si>
  <si>
    <t>2029-06-10</t>
  </si>
  <si>
    <t xml:space="preserve">Кондратьев Михаил Олегович</t>
  </si>
  <si>
    <t>27.08.1990</t>
  </si>
  <si>
    <t>kondratiev@gmail</t>
  </si>
  <si>
    <t>10.06.2029</t>
  </si>
  <si>
    <t xml:space="preserve">Горшкова Инна Сергеевна</t>
  </si>
  <si>
    <t>06.06.1978</t>
  </si>
  <si>
    <t>gorshkova@mail</t>
  </si>
  <si>
    <t>01.07.2029</t>
  </si>
  <si>
    <t xml:space="preserve">Якушев Андрей Николаевич</t>
  </si>
  <si>
    <t>18.11.1985</t>
  </si>
  <si>
    <t>yakushev@yandex</t>
  </si>
  <si>
    <t>2029-07-15</t>
  </si>
  <si>
    <t xml:space="preserve">Ермилова Ольга Викторовна</t>
  </si>
  <si>
    <t>29.09.1980</t>
  </si>
  <si>
    <t>ermilova@gmail</t>
  </si>
  <si>
    <t>15.07.2029</t>
  </si>
  <si>
    <t xml:space="preserve">Шестопалов Евгений Сергеевич</t>
  </si>
  <si>
    <t>12.04.1974</t>
  </si>
  <si>
    <t>shestopalov@mail</t>
  </si>
  <si>
    <t>01.08.2029</t>
  </si>
  <si>
    <t xml:space="preserve">Ванюшина Мария Игоревна</t>
  </si>
  <si>
    <t>05.02.1989</t>
  </si>
  <si>
    <t>vanyushina@yandex</t>
  </si>
  <si>
    <t>2029-08-10</t>
  </si>
  <si>
    <t xml:space="preserve">Краснов Денис Александрович</t>
  </si>
  <si>
    <t>26.07.1994</t>
  </si>
  <si>
    <t>krasnov@gmail</t>
  </si>
  <si>
    <t>10.08.2029</t>
  </si>
  <si>
    <t xml:space="preserve">Мухина Татьяна Павловна</t>
  </si>
  <si>
    <t>15.10.1975</t>
  </si>
  <si>
    <t>muhina@mail</t>
  </si>
  <si>
    <t>01.09.2029</t>
  </si>
  <si>
    <t xml:space="preserve">Вакуленко Андрей Олегович</t>
  </si>
  <si>
    <t>19.12.1983</t>
  </si>
  <si>
    <t>vakulenko@yandex</t>
  </si>
  <si>
    <t>2029-09-15</t>
  </si>
  <si>
    <t xml:space="preserve">Терехова Светлана Николаевна</t>
  </si>
  <si>
    <t>03.06.1991</t>
  </si>
  <si>
    <t>terehova@gmail</t>
  </si>
  <si>
    <t>15.09.2029</t>
  </si>
  <si>
    <t xml:space="preserve">Бобков Илья Алексеевич</t>
  </si>
  <si>
    <t>22.08.1972</t>
  </si>
  <si>
    <t>bobkov@mail</t>
  </si>
  <si>
    <t>01.10.2029</t>
  </si>
  <si>
    <t xml:space="preserve">Ильина Анна Владимировна</t>
  </si>
  <si>
    <t>10.11.1986</t>
  </si>
  <si>
    <t>ilina@yandex</t>
  </si>
  <si>
    <t>2029-10-10</t>
  </si>
  <si>
    <t xml:space="preserve">Силин Олег Валериевич</t>
  </si>
  <si>
    <t>28.03.1982</t>
  </si>
  <si>
    <t>silin@gmail</t>
  </si>
  <si>
    <t>10.10.2029</t>
  </si>
  <si>
    <t xml:space="preserve">Лобова Екатерина Петровна</t>
  </si>
  <si>
    <t>14.07.1977</t>
  </si>
  <si>
    <t>lobova@mail</t>
  </si>
  <si>
    <t>01.11.2029</t>
  </si>
  <si>
    <t xml:space="preserve">Дубровин Вячеслав Николаевич</t>
  </si>
  <si>
    <t>05.01.1984</t>
  </si>
  <si>
    <t>dubrovin@yandex</t>
  </si>
  <si>
    <t>2029-11-15</t>
  </si>
  <si>
    <t xml:space="preserve">Паршина Ольга Сергеевна</t>
  </si>
  <si>
    <t>17.09.1989</t>
  </si>
  <si>
    <t>parshina@gmail</t>
  </si>
  <si>
    <t>15.11.2029</t>
  </si>
  <si>
    <t xml:space="preserve">Липатова Наталья Игоревна</t>
  </si>
  <si>
    <t>30.12.1970</t>
  </si>
  <si>
    <t>lipatova@mail</t>
  </si>
  <si>
    <t>01.12.2029</t>
  </si>
  <si>
    <t xml:space="preserve">Губанов Андрей Викторович</t>
  </si>
  <si>
    <t>08.06.1987</t>
  </si>
  <si>
    <t>gubanov@yandex</t>
  </si>
  <si>
    <t>2029-12-10</t>
  </si>
  <si>
    <t xml:space="preserve">Богомолова Мария Александровна</t>
  </si>
  <si>
    <t>21.10.1976</t>
  </si>
  <si>
    <t>bogomolova@gmail</t>
  </si>
  <si>
    <t>10.12.2029</t>
  </si>
  <si>
    <t xml:space="preserve">Харитонов Алексей Павлович</t>
  </si>
  <si>
    <t>04.04.1992</t>
  </si>
  <si>
    <t>haritonov@mail</t>
  </si>
  <si>
    <t>01.01.2030</t>
  </si>
  <si>
    <t xml:space="preserve">Ким Олег Иванович</t>
  </si>
  <si>
    <t>27.12.1981</t>
  </si>
  <si>
    <t>kim@yandex</t>
  </si>
  <si>
    <t>2030-01-15</t>
  </si>
  <si>
    <t xml:space="preserve">Лаврова Елена Викторовна</t>
  </si>
  <si>
    <t>15.08.1975</t>
  </si>
  <si>
    <t>lavrova@gmail</t>
  </si>
  <si>
    <t>15.01.2030</t>
  </si>
  <si>
    <t xml:space="preserve">Завьялов Владимир Сергеевич</t>
  </si>
  <si>
    <t>13.03.1983</t>
  </si>
  <si>
    <t>zavyalov@mail</t>
  </si>
  <si>
    <t>01.02.2030</t>
  </si>
  <si>
    <t xml:space="preserve">Костин Денис Алексеевич</t>
  </si>
  <si>
    <t>06.11.1990</t>
  </si>
  <si>
    <t>kostin@yandex</t>
  </si>
  <si>
    <t>2030-02-10</t>
  </si>
  <si>
    <t xml:space="preserve">Арсеньева Ирина Павловна</t>
  </si>
  <si>
    <t>19.09.1977</t>
  </si>
  <si>
    <t>arsenieva@gmail</t>
  </si>
  <si>
    <t>10.02.2030</t>
  </si>
  <si>
    <t xml:space="preserve">Крутиков Александр Игоревич</t>
  </si>
  <si>
    <t>22.05.1984</t>
  </si>
  <si>
    <t>krutikov@mail</t>
  </si>
  <si>
    <t>01.03.2030</t>
  </si>
  <si>
    <t xml:space="preserve">Озерова Светлана Владимировна</t>
  </si>
  <si>
    <t>14.01.1991</t>
  </si>
  <si>
    <t>ozerova@yandex</t>
  </si>
  <si>
    <t>2030-03-15</t>
  </si>
  <si>
    <t xml:space="preserve">Литвинова Ольга Николаевна</t>
  </si>
  <si>
    <t>02.07.1972</t>
  </si>
  <si>
    <t>litvinova@gmail</t>
  </si>
  <si>
    <t>15.03.2030</t>
  </si>
  <si>
    <t xml:space="preserve">Аксенов Илья Евгеньевич</t>
  </si>
  <si>
    <t>28.12.1988</t>
  </si>
  <si>
    <t>aksenov@mail</t>
  </si>
  <si>
    <t>01.04.2030</t>
  </si>
  <si>
    <t xml:space="preserve">Сычев Андрей Александрович</t>
  </si>
  <si>
    <t>17.04.1979</t>
  </si>
  <si>
    <t>sychev@yandex</t>
  </si>
  <si>
    <t>2030-04-10</t>
  </si>
  <si>
    <t xml:space="preserve">Пименова Татьяна Сергеевна</t>
  </si>
  <si>
    <t>05.08.1986</t>
  </si>
  <si>
    <t>pimenova@gmail</t>
  </si>
  <si>
    <t>10.04.2030</t>
  </si>
  <si>
    <t xml:space="preserve">Блохин Денис Викторович</t>
  </si>
  <si>
    <t>10.10.1974</t>
  </si>
  <si>
    <t>blohin@mail</t>
  </si>
  <si>
    <t>01.05.2030</t>
  </si>
  <si>
    <t xml:space="preserve">Майорова Мария Павловна</t>
  </si>
  <si>
    <t>23.06.1982</t>
  </si>
  <si>
    <t>mayorova@yandex</t>
  </si>
  <si>
    <t>2030-05-15</t>
  </si>
  <si>
    <t xml:space="preserve">Кравчук Алексей Олегович</t>
  </si>
  <si>
    <t>02.02.1990</t>
  </si>
  <si>
    <t>kravchuk@gmail</t>
  </si>
  <si>
    <t>15.05.2030</t>
  </si>
  <si>
    <t xml:space="preserve">Черкасова Наталья Игоревна</t>
  </si>
  <si>
    <t>19.11.1976</t>
  </si>
  <si>
    <t>cherkasova@mail</t>
  </si>
  <si>
    <t>01.06.2030</t>
  </si>
  <si>
    <t xml:space="preserve">Шаповалов Андрей Николаевич</t>
  </si>
  <si>
    <t>16.09.1985</t>
  </si>
  <si>
    <t>shapovalov@yandex</t>
  </si>
  <si>
    <t>2030-06-10</t>
  </si>
  <si>
    <t xml:space="preserve">Козырева Елена Станиславовна</t>
  </si>
  <si>
    <t>31.05.1981</t>
  </si>
  <si>
    <t>kozyreva@gmail</t>
  </si>
  <si>
    <t>10.06.2030</t>
  </si>
  <si>
    <t xml:space="preserve">Сысоев Игорь Викторович</t>
  </si>
  <si>
    <t>12.12.1973</t>
  </si>
  <si>
    <t>sysoev@mail</t>
  </si>
  <si>
    <t>01.07.2030</t>
  </si>
  <si>
    <t xml:space="preserve">Орешкин Олег Сергеевич</t>
  </si>
  <si>
    <t>07.03.1988</t>
  </si>
  <si>
    <t>oreshkin@yandex</t>
  </si>
  <si>
    <t>2030-07-15</t>
  </si>
  <si>
    <t xml:space="preserve">Котлярова Ольга Валерьевна</t>
  </si>
  <si>
    <t>24.08.1992</t>
  </si>
  <si>
    <t>kotlyarova@gmail</t>
  </si>
  <si>
    <t>15.07.2030</t>
  </si>
  <si>
    <t xml:space="preserve">Неклюдов Александр Петрович</t>
  </si>
  <si>
    <t>neklyudov@mail</t>
  </si>
  <si>
    <t>01.08.2030</t>
  </si>
  <si>
    <t xml:space="preserve">Савченко Екатерина Алексеевна</t>
  </si>
  <si>
    <t>27.04.1987</t>
  </si>
  <si>
    <t>savchenko@yandex</t>
  </si>
  <si>
    <t>2030-08-10</t>
  </si>
  <si>
    <t xml:space="preserve">Колесник Илья Дмитриевич</t>
  </si>
  <si>
    <t>kolesnik@gmail</t>
  </si>
  <si>
    <t>10.08.2030</t>
  </si>
  <si>
    <t xml:space="preserve">Гладкова Мария Владимировна</t>
  </si>
  <si>
    <t>22.06.1978</t>
  </si>
  <si>
    <t>gladkova@mail</t>
  </si>
  <si>
    <t>01.09.2030</t>
  </si>
  <si>
    <t xml:space="preserve">Снигирев Сергей Олегович</t>
  </si>
  <si>
    <t>14.07.1983</t>
  </si>
  <si>
    <t>snigirev@yandex</t>
  </si>
  <si>
    <t>2030-09-15</t>
  </si>
  <si>
    <t xml:space="preserve">Яшина Татьяна Николаевна</t>
  </si>
  <si>
    <t>19.02.1991</t>
  </si>
  <si>
    <t>yashina@gmail</t>
  </si>
  <si>
    <t>15.09.2030</t>
  </si>
  <si>
    <t xml:space="preserve">Суворов Алексей Александрович</t>
  </si>
  <si>
    <t>06.11.1976</t>
  </si>
  <si>
    <t>suvorov@mail</t>
  </si>
  <si>
    <t>01.10.2030</t>
  </si>
  <si>
    <t xml:space="preserve">Бабенко Инна Олеговна</t>
  </si>
  <si>
    <t>28.09.1984</t>
  </si>
  <si>
    <t>babenko@yandex</t>
  </si>
  <si>
    <t>2030-10-10</t>
  </si>
  <si>
    <t xml:space="preserve">Кислов Денис Павлович</t>
  </si>
  <si>
    <t>17.12.1970</t>
  </si>
  <si>
    <t>kislov@gmail</t>
  </si>
  <si>
    <t>10.10.2030</t>
  </si>
  <si>
    <t xml:space="preserve">Серикова Ольга Михайловна</t>
  </si>
  <si>
    <t>05.05.1988</t>
  </si>
  <si>
    <t>serikova@mail</t>
  </si>
  <si>
    <t>01.11.2030</t>
  </si>
  <si>
    <t xml:space="preserve">Мокрушин Илья Валентинович</t>
  </si>
  <si>
    <t>23.08.1993</t>
  </si>
  <si>
    <t>mokrushin@yandex</t>
  </si>
  <si>
    <t>2030-11-15</t>
  </si>
  <si>
    <t xml:space="preserve">Гуреева Елена Александровна</t>
  </si>
  <si>
    <t>13.03.1977</t>
  </si>
  <si>
    <t>gureeva@gmail</t>
  </si>
  <si>
    <t>15.11.2030</t>
  </si>
  <si>
    <t xml:space="preserve">Синицын Виталий Олегович</t>
  </si>
  <si>
    <t>20.10.1981</t>
  </si>
  <si>
    <t>sinitsin@mail</t>
  </si>
  <si>
    <t>01.12.2030</t>
  </si>
  <si>
    <t xml:space="preserve">Чернова Анна Игоревна</t>
  </si>
  <si>
    <t>18.01.1990</t>
  </si>
  <si>
    <t>chernova@yandex</t>
  </si>
  <si>
    <t>2030-12-10</t>
  </si>
  <si>
    <t xml:space="preserve">Ширяев Андрей Викторович</t>
  </si>
  <si>
    <t>07.06.1974</t>
  </si>
  <si>
    <t>shiryaev@gmail</t>
  </si>
  <si>
    <t>10.12.2030</t>
  </si>
  <si>
    <t xml:space="preserve">Казанцев Дмитрий Сергеевич</t>
  </si>
  <si>
    <t>26.09.1986</t>
  </si>
  <si>
    <t>kazantsev@mail</t>
  </si>
  <si>
    <t>01.01.2031</t>
  </si>
  <si>
    <t xml:space="preserve">Медведев Артем Павлович</t>
  </si>
  <si>
    <t>14.12.1992</t>
  </si>
  <si>
    <t>medvedev@yandex</t>
  </si>
  <si>
    <t>2031-01-15</t>
  </si>
  <si>
    <t xml:space="preserve">Широкова Светлана Николаевна</t>
  </si>
  <si>
    <t>09.04.1978</t>
  </si>
  <si>
    <t>shirokova@gmail</t>
  </si>
  <si>
    <t>15.01.2031</t>
  </si>
  <si>
    <t xml:space="preserve">Анищенко Владимир Игоревич</t>
  </si>
  <si>
    <t>23.08.1983</t>
  </si>
  <si>
    <t>anischenko@mail</t>
  </si>
  <si>
    <t>01.02.2031</t>
  </si>
  <si>
    <t xml:space="preserve">Стукалова Ольга Сергеевна</t>
  </si>
  <si>
    <t>12.11.1989</t>
  </si>
  <si>
    <t>stukalova@yandex</t>
  </si>
  <si>
    <t>2031-02-10</t>
  </si>
  <si>
    <t xml:space="preserve">Панков Андрей Владимирович</t>
  </si>
  <si>
    <t>05.02.1971</t>
  </si>
  <si>
    <t>pankov@gmail</t>
  </si>
  <si>
    <t>10.02.2031</t>
  </si>
  <si>
    <t xml:space="preserve">Коршунова Елена Петровна</t>
  </si>
  <si>
    <t>19.07.1985</t>
  </si>
  <si>
    <t>korshunova@mail</t>
  </si>
  <si>
    <t>01.03.2031</t>
  </si>
  <si>
    <t xml:space="preserve">Гордеев Сергей Александрович</t>
  </si>
  <si>
    <t>28.10.1994</t>
  </si>
  <si>
    <t>gordeev@yandex</t>
  </si>
  <si>
    <t>2031-03-15</t>
  </si>
  <si>
    <t xml:space="preserve">Новикова Татьяна Владимировна</t>
  </si>
  <si>
    <t>15.03.2031</t>
  </si>
  <si>
    <t xml:space="preserve">Меркулова Ирина Алексеевна</t>
  </si>
  <si>
    <t>03.03.1982</t>
  </si>
  <si>
    <t>merkulova@mail</t>
  </si>
  <si>
    <t>01.04.2031</t>
  </si>
  <si>
    <t xml:space="preserve">Ланской Илья Евгеньевич</t>
  </si>
  <si>
    <t>24.12.1990</t>
  </si>
  <si>
    <t>lanskoy@yandex</t>
  </si>
  <si>
    <t>2031-04-10</t>
  </si>
  <si>
    <t xml:space="preserve">Карельский Денис Олегович</t>
  </si>
  <si>
    <t>11.08.1973</t>
  </si>
  <si>
    <t>karelsky@gmail</t>
  </si>
  <si>
    <t>10.04.2031</t>
  </si>
  <si>
    <t xml:space="preserve">Шилова Оксана Викторовна</t>
  </si>
  <si>
    <t>29.05.1984</t>
  </si>
  <si>
    <t>shilova@mail</t>
  </si>
  <si>
    <t>01.05.2031</t>
  </si>
  <si>
    <t xml:space="preserve">Козырев Никита Павлович</t>
  </si>
  <si>
    <t>22.09.1991</t>
  </si>
  <si>
    <t>kozyrev@yandex</t>
  </si>
  <si>
    <t>2031-05-15</t>
  </si>
  <si>
    <t xml:space="preserve">Купреева Мария Александровна</t>
  </si>
  <si>
    <t>06.01.1979</t>
  </si>
  <si>
    <t>kupreeva@gmail</t>
  </si>
  <si>
    <t>15.05.2031</t>
  </si>
  <si>
    <t xml:space="preserve">Разумовский Олег Сергеевич</t>
  </si>
  <si>
    <t>17.11.1986</t>
  </si>
  <si>
    <t>razumovsky@mail</t>
  </si>
  <si>
    <t>01.06.2031</t>
  </si>
  <si>
    <t xml:space="preserve">Майорова Анастасия Игоревна</t>
  </si>
  <si>
    <t>15.07.1983</t>
  </si>
  <si>
    <t>2031-06-10</t>
  </si>
  <si>
    <t xml:space="preserve">Скуратов Илья Владимирович</t>
  </si>
  <si>
    <t>26.04.1975</t>
  </si>
  <si>
    <t>skuratov@gmail</t>
  </si>
  <si>
    <t>10.06.2031</t>
  </si>
  <si>
    <t xml:space="preserve">Кузовлева Елена Сергеевна</t>
  </si>
  <si>
    <t>23.10.1988</t>
  </si>
  <si>
    <t>kuzovleva@mail</t>
  </si>
  <si>
    <t>01.07.2031</t>
  </si>
  <si>
    <t xml:space="preserve">Станкевич Артем Николаевич</t>
  </si>
  <si>
    <t>14.02.1981</t>
  </si>
  <si>
    <t>stankevich@yandex</t>
  </si>
  <si>
    <t>2031-07-15</t>
  </si>
  <si>
    <t xml:space="preserve">Милютина Ольга Валерьевна</t>
  </si>
  <si>
    <t>08.06.1992</t>
  </si>
  <si>
    <t>milyutina@gmail</t>
  </si>
  <si>
    <t>15.07.2031</t>
  </si>
  <si>
    <t xml:space="preserve">Белоусов Андрей Павлович</t>
  </si>
  <si>
    <t>29.12.1977</t>
  </si>
  <si>
    <t>belousov@mail</t>
  </si>
  <si>
    <t>01.08.2031</t>
  </si>
  <si>
    <t xml:space="preserve">Рябчинская Наталья Юрьевна</t>
  </si>
  <si>
    <t>19.09.1985</t>
  </si>
  <si>
    <t>ryabchinskaya@yandex</t>
  </si>
  <si>
    <t>2031-08-10</t>
  </si>
  <si>
    <t xml:space="preserve">Толстиков Денис Алексеевич</t>
  </si>
  <si>
    <t>31.05.1980</t>
  </si>
  <si>
    <t>tolstikov@gmail</t>
  </si>
  <si>
    <t>10.08.2031</t>
  </si>
  <si>
    <t xml:space="preserve">Скворцова Мария Игоревна</t>
  </si>
  <si>
    <t>20.03.1987</t>
  </si>
  <si>
    <t>skvortsova@mail</t>
  </si>
  <si>
    <t>01.09.2031</t>
  </si>
  <si>
    <t xml:space="preserve">Данильчук Алексей Олегович</t>
  </si>
  <si>
    <t>12.11.1991</t>
  </si>
  <si>
    <t>danilchuk@yandex</t>
  </si>
  <si>
    <t>2031-09-15</t>
  </si>
  <si>
    <t xml:space="preserve">Протасова Елена Владимировна</t>
  </si>
  <si>
    <t>27.07.1974</t>
  </si>
  <si>
    <t>protasova@gmail</t>
  </si>
  <si>
    <t>15.09.2031</t>
  </si>
  <si>
    <t xml:space="preserve">Кувшинов Илья Николаевич</t>
  </si>
  <si>
    <t>16.01.1983</t>
  </si>
  <si>
    <t>kuvshinov@mail</t>
  </si>
  <si>
    <t>01.10.2031</t>
  </si>
  <si>
    <t xml:space="preserve">Шумилова Оксана Павловна</t>
  </si>
  <si>
    <t>05.10.1988</t>
  </si>
  <si>
    <t>shumilova@yandex</t>
  </si>
  <si>
    <t>2031-10-10</t>
  </si>
  <si>
    <t xml:space="preserve">Михайличенко Денис Сергеевич</t>
  </si>
  <si>
    <t>28.12.1970</t>
  </si>
  <si>
    <t>mihaylichenko@gmail</t>
  </si>
  <si>
    <t>10.10.2031</t>
  </si>
  <si>
    <t xml:space="preserve">Лысенко Татьяна Александровна</t>
  </si>
  <si>
    <t>21.06.1979</t>
  </si>
  <si>
    <t>lysenko@mail</t>
  </si>
  <si>
    <t>01.11.2031</t>
  </si>
  <si>
    <t xml:space="preserve">Назарчук Андрей Викторович</t>
  </si>
  <si>
    <t>14.09.1990</t>
  </si>
  <si>
    <t>nazarchuk@yandex</t>
  </si>
  <si>
    <t>2031-11-15</t>
  </si>
  <si>
    <t xml:space="preserve">Скачкова Мария Игоревна</t>
  </si>
  <si>
    <t>02.02.1986</t>
  </si>
  <si>
    <t>skachkova@gmail</t>
  </si>
  <si>
    <t>15.11.2031</t>
  </si>
  <si>
    <t xml:space="preserve">Чернышев Олег Павлович</t>
  </si>
  <si>
    <t>23.05.1982</t>
  </si>
  <si>
    <t>chernyshev@mail</t>
  </si>
  <si>
    <t>01.12.2031</t>
  </si>
  <si>
    <t xml:space="preserve">Покровская Елена Владимировна</t>
  </si>
  <si>
    <t>10.08.1975</t>
  </si>
  <si>
    <t>pokrovskaya@yandex</t>
  </si>
  <si>
    <t>2031-12-10</t>
  </si>
  <si>
    <t xml:space="preserve">Шабалин Илья Олегович</t>
  </si>
  <si>
    <t>19.11.1993</t>
  </si>
  <si>
    <t>shabalin@gmail</t>
  </si>
  <si>
    <t>10.12.2031</t>
  </si>
  <si>
    <t xml:space="preserve">Кубасова Наталья Алексеевна</t>
  </si>
  <si>
    <t>31.12.1978</t>
  </si>
  <si>
    <t>kubasova@mail</t>
  </si>
  <si>
    <t>01.01.2032</t>
  </si>
  <si>
    <t xml:space="preserve">Логунов Андрей Сергеевич</t>
  </si>
  <si>
    <t>16.04.1987</t>
  </si>
  <si>
    <t>logunov@yandex</t>
  </si>
  <si>
    <t>2032-01-15</t>
  </si>
  <si>
    <t xml:space="preserve">Топоркова Ольга Владимировна</t>
  </si>
  <si>
    <t>toporkova@gmail</t>
  </si>
  <si>
    <t>15.01.2032</t>
  </si>
  <si>
    <t xml:space="preserve">Кирьянов Денис Павлович</t>
  </si>
  <si>
    <t>13.02.1976</t>
  </si>
  <si>
    <t>kiryanov@mail</t>
  </si>
  <si>
    <t>01.02.2032</t>
  </si>
  <si>
    <t xml:space="preserve">Басырова Ирина Сергеевна</t>
  </si>
  <si>
    <t>24.10.1989</t>
  </si>
  <si>
    <t>basyrova@yandex</t>
  </si>
  <si>
    <t>2032-02-10</t>
  </si>
  <si>
    <t xml:space="preserve">Фокин Александр Николаевич</t>
  </si>
  <si>
    <t>06.08.1981</t>
  </si>
  <si>
    <t>fokin@gmail</t>
  </si>
  <si>
    <t>10.02.2032</t>
  </si>
  <si>
    <t xml:space="preserve">Рябинина Екатерина Алексеевна</t>
  </si>
  <si>
    <t>18.12.1972</t>
  </si>
  <si>
    <t>ryabinina@mail</t>
  </si>
  <si>
    <t>01.03.2032</t>
  </si>
  <si>
    <t xml:space="preserve">Смолин Илья Викторович</t>
  </si>
  <si>
    <t>09.06.1985</t>
  </si>
  <si>
    <t>smolin@yandex</t>
  </si>
  <si>
    <t>2032-03-15</t>
  </si>
  <si>
    <t xml:space="preserve">Труфанова Мария Сергеевна</t>
  </si>
  <si>
    <t>22.01.1991</t>
  </si>
  <si>
    <t>trufanova@gmail</t>
  </si>
  <si>
    <t>15.03.2032</t>
  </si>
  <si>
    <t xml:space="preserve">Кулиш Андрей Олегович</t>
  </si>
  <si>
    <t>14.09.1977</t>
  </si>
  <si>
    <t>kulish@mail</t>
  </si>
  <si>
    <t>01.04.2032</t>
  </si>
  <si>
    <t xml:space="preserve">Евсеева Ольга Павловна</t>
  </si>
  <si>
    <t>26.04.1988</t>
  </si>
  <si>
    <t>evseeva@yandex</t>
  </si>
  <si>
    <t>2032-04-10</t>
  </si>
  <si>
    <t xml:space="preserve">Малков Денис Александрович</t>
  </si>
  <si>
    <t>30.11.1980</t>
  </si>
  <si>
    <t>malkov@gmail</t>
  </si>
  <si>
    <t>10.04.2032</t>
  </si>
  <si>
    <t xml:space="preserve">Курепина Наталья Владимировна</t>
  </si>
  <si>
    <t>kurepina@mail</t>
  </si>
  <si>
    <t>01.05.2032</t>
  </si>
  <si>
    <t xml:space="preserve">Меркушев Илья Юрьевич</t>
  </si>
  <si>
    <t>05.03.1986</t>
  </si>
  <si>
    <t>merkushev@yandex</t>
  </si>
  <si>
    <t>2032-05-15</t>
  </si>
  <si>
    <t xml:space="preserve">Панкратова Елена Игоревна</t>
  </si>
  <si>
    <t>23.08.1992</t>
  </si>
  <si>
    <t>pankratova@gmail</t>
  </si>
  <si>
    <t>15.05.2032</t>
  </si>
  <si>
    <t xml:space="preserve">Сазонов Олег Викторович</t>
  </si>
  <si>
    <t>16.12.1975</t>
  </si>
  <si>
    <t>sazonov@mail</t>
  </si>
  <si>
    <t>01.06.2032</t>
  </si>
  <si>
    <t xml:space="preserve">Князева Светлана Николаевна</t>
  </si>
  <si>
    <t>27.10.1983</t>
  </si>
  <si>
    <t>knyazeva@yandex</t>
  </si>
  <si>
    <t>2032-06-10</t>
  </si>
  <si>
    <t xml:space="preserve">Куприенко Денис Павлович</t>
  </si>
  <si>
    <t>14.06.1990</t>
  </si>
  <si>
    <t>kuprienko@gmail</t>
  </si>
  <si>
    <t>10.06.2032</t>
  </si>
  <si>
    <t xml:space="preserve">Марчук Ольга Алексеевна</t>
  </si>
  <si>
    <t>19.02.1978</t>
  </si>
  <si>
    <t>marchuk@mail</t>
  </si>
  <si>
    <t>01.07.2032</t>
  </si>
  <si>
    <t xml:space="preserve">Золотов Александр Сергеевич</t>
  </si>
  <si>
    <t>08.09.1985</t>
  </si>
  <si>
    <t>zolotov@yandex</t>
  </si>
  <si>
    <t>2032-07-15</t>
  </si>
  <si>
    <t xml:space="preserve">Никифорова Мария Владимировна</t>
  </si>
  <si>
    <t>21.11.1994</t>
  </si>
  <si>
    <t>nikiforova@gmail</t>
  </si>
  <si>
    <t>15.07.2032</t>
  </si>
  <si>
    <t xml:space="preserve">Колосков Илья Алексеевич</t>
  </si>
  <si>
    <t>03.04.1976</t>
  </si>
  <si>
    <t>koloskov@mail</t>
  </si>
  <si>
    <t>01.08.2032</t>
  </si>
  <si>
    <t xml:space="preserve">Устинова Екатерина Олеговна</t>
  </si>
  <si>
    <t>12.07.1982</t>
  </si>
  <si>
    <t>ustinova@yandex</t>
  </si>
  <si>
    <t>2032-08-10</t>
  </si>
  <si>
    <t xml:space="preserve">Сидорчук Андрей Павлович</t>
  </si>
  <si>
    <t>31.12.1988</t>
  </si>
  <si>
    <t>sidorchuk@gmail</t>
  </si>
  <si>
    <t>10.08.2032</t>
  </si>
  <si>
    <t xml:space="preserve">Горчакова Ольга Сергеевна</t>
  </si>
  <si>
    <t>17.05.1973</t>
  </si>
  <si>
    <t>gorchakova@mail</t>
  </si>
  <si>
    <t>01.09.2032</t>
  </si>
  <si>
    <t xml:space="preserve">Васюков Денис Викторович</t>
  </si>
  <si>
    <t>28.10.1979</t>
  </si>
  <si>
    <t>vasyukov@yandex</t>
  </si>
  <si>
    <t>2032-09-15</t>
  </si>
  <si>
    <t xml:space="preserve">Кузьминова Елена Игоревна</t>
  </si>
  <si>
    <t>25.03.1986</t>
  </si>
  <si>
    <t>kuzminova@gmail</t>
  </si>
  <si>
    <t>15.09.2032</t>
  </si>
  <si>
    <t xml:space="preserve">Стрелков Илья Александрович</t>
  </si>
  <si>
    <t>strelkov@mail</t>
  </si>
  <si>
    <t>01.10.2032</t>
  </si>
  <si>
    <t xml:space="preserve">Волкова Оксана Владимировна</t>
  </si>
  <si>
    <t>06.06.1977</t>
  </si>
  <si>
    <t>volkova@yandex</t>
  </si>
  <si>
    <t>2032-10-10</t>
  </si>
  <si>
    <t xml:space="preserve">Пронин Алексей Петрович</t>
  </si>
  <si>
    <t>18.12.1984</t>
  </si>
  <si>
    <t>pronin@gmail</t>
  </si>
  <si>
    <t>10.10.2032</t>
  </si>
  <si>
    <t xml:space="preserve">Иваницкая Мария Николаевна</t>
  </si>
  <si>
    <t>22.09.1992</t>
  </si>
  <si>
    <t>ivanitskaya@mail</t>
  </si>
  <si>
    <t>01.11.2032</t>
  </si>
  <si>
    <t xml:space="preserve">Серпиков Андрей Олегович</t>
  </si>
  <si>
    <t>16.07.1975</t>
  </si>
  <si>
    <t>serpikov@yandex</t>
  </si>
  <si>
    <t>2032-11-15</t>
  </si>
  <si>
    <t xml:space="preserve">Рыбакова Елена Сергеевна</t>
  </si>
  <si>
    <t>09.11.1980</t>
  </si>
  <si>
    <t>rybakova@gmail</t>
  </si>
  <si>
    <t>15.11.2032</t>
  </si>
  <si>
    <t xml:space="preserve">Соломатин Денис Алексеевич</t>
  </si>
  <si>
    <t>27.02.1986</t>
  </si>
  <si>
    <t>solomatin@mail</t>
  </si>
  <si>
    <t>01.12.2032</t>
  </si>
  <si>
    <t xml:space="preserve">Королева Ольга Игоревна</t>
  </si>
  <si>
    <t>14.05.1990</t>
  </si>
  <si>
    <t>2032-12-10</t>
  </si>
  <si>
    <t xml:space="preserve">Симонов Илья Владимирович</t>
  </si>
  <si>
    <t>23.08.1972</t>
  </si>
  <si>
    <t>simonov@gmail</t>
  </si>
  <si>
    <t>10.12.2032</t>
  </si>
  <si>
    <t xml:space="preserve">Гонтарь Татьяна Алексеевна</t>
  </si>
  <si>
    <t>15.03.1987</t>
  </si>
  <si>
    <t>gontar@mail</t>
  </si>
  <si>
    <t>01.01.2033</t>
  </si>
  <si>
    <t xml:space="preserve">Ивановский Денис Павлович</t>
  </si>
  <si>
    <t>03.12.1993</t>
  </si>
  <si>
    <t>ivanovsky@yandex</t>
  </si>
  <si>
    <t>2033-01-15</t>
  </si>
  <si>
    <t xml:space="preserve">Савинкова Екатерина Сергеевна</t>
  </si>
  <si>
    <t>26.10.1978</t>
  </si>
  <si>
    <t>savinkova@gmail</t>
  </si>
  <si>
    <t>15.01.2033</t>
  </si>
  <si>
    <t xml:space="preserve">Бирюков Андрей Викторович</t>
  </si>
  <si>
    <t>11.06.1984</t>
  </si>
  <si>
    <t>biryukov@mail</t>
  </si>
  <si>
    <t>01.02.2033</t>
  </si>
  <si>
    <t xml:space="preserve">Шевель Ольга Павловна</t>
  </si>
  <si>
    <t>19.07.1989</t>
  </si>
  <si>
    <t>shevel@yandex</t>
  </si>
  <si>
    <t>2033-02-10</t>
  </si>
  <si>
    <t xml:space="preserve">Коновалов Илья Олегович</t>
  </si>
  <si>
    <t>04.05.1975</t>
  </si>
  <si>
    <t>konovalov@gmail</t>
  </si>
  <si>
    <t>10.02.2033</t>
  </si>
  <si>
    <t xml:space="preserve">Щербаков Виталий Николаевич</t>
  </si>
  <si>
    <t>28.12.1982</t>
  </si>
  <si>
    <t>scherbakov@mail</t>
  </si>
  <si>
    <t>01.03.2033</t>
  </si>
  <si>
    <t xml:space="preserve">Макеева Анастасия Игоревна</t>
  </si>
  <si>
    <t>17.09.1991</t>
  </si>
  <si>
    <t>makeeva@yandex</t>
  </si>
  <si>
    <t>2033-03-15</t>
  </si>
  <si>
    <t xml:space="preserve">Дорофеев Денис Александрович</t>
  </si>
  <si>
    <t>06.03.1979</t>
  </si>
  <si>
    <t>dorofeev@gmail</t>
  </si>
  <si>
    <t>15.03.2033</t>
  </si>
  <si>
    <t xml:space="preserve">Слободчикова Елена Владимировна</t>
  </si>
  <si>
    <t>24.11.1986</t>
  </si>
  <si>
    <t>slobodchikova@mail</t>
  </si>
  <si>
    <t>01.04.2033</t>
  </si>
  <si>
    <t xml:space="preserve">Толкунов Олег Сергеевич</t>
  </si>
  <si>
    <t>tolkunov@yandex</t>
  </si>
  <si>
    <t>2033-04-10</t>
  </si>
  <si>
    <t xml:space="preserve">Ушакова Ирина Павловна</t>
  </si>
  <si>
    <t>16.01.1984</t>
  </si>
  <si>
    <t>ushakova@gmail</t>
  </si>
  <si>
    <t>10.04.2033</t>
  </si>
  <si>
    <t xml:space="preserve">Краюхин Андрей Викторович</t>
  </si>
  <si>
    <t>10.08.1977</t>
  </si>
  <si>
    <t>krayuhin@mail</t>
  </si>
  <si>
    <t>01.05.2033</t>
  </si>
  <si>
    <t xml:space="preserve">Агафонова Мария Олеговна</t>
  </si>
  <si>
    <t>29.12.1990</t>
  </si>
  <si>
    <t>agafonova@yandex</t>
  </si>
  <si>
    <t>2033-05-15</t>
  </si>
  <si>
    <t xml:space="preserve">Пронский Илья Николаевич</t>
  </si>
  <si>
    <t>23.04.1985</t>
  </si>
  <si>
    <t>pronsky@gmail</t>
  </si>
  <si>
    <t>15.05.2033</t>
  </si>
  <si>
    <t xml:space="preserve">Маркин Денис Сергеевич</t>
  </si>
  <si>
    <t>05.09.1974</t>
  </si>
  <si>
    <t>markin@mail</t>
  </si>
  <si>
    <t>01.06.2033</t>
  </si>
  <si>
    <t xml:space="preserve">Булатова Ольга Владимировна</t>
  </si>
  <si>
    <t>21.11.1981</t>
  </si>
  <si>
    <t>bulatova@yandex</t>
  </si>
  <si>
    <t>2033-06-10</t>
  </si>
  <si>
    <t xml:space="preserve">Кузнецов Дмитрий Александрович</t>
  </si>
  <si>
    <t>17.07.1988</t>
  </si>
  <si>
    <t>kuznetsov@gmail</t>
  </si>
  <si>
    <t>10.06.2033</t>
  </si>
  <si>
    <t xml:space="preserve">Сизова Елена Игоревна</t>
  </si>
  <si>
    <t>30.10.1976</t>
  </si>
  <si>
    <t>sizova@mail</t>
  </si>
  <si>
    <t>01.07.2033</t>
  </si>
  <si>
    <t xml:space="preserve">Карнаухов Андрей Павлович</t>
  </si>
  <si>
    <t>12.02.1983</t>
  </si>
  <si>
    <t>karnauhov@yandex</t>
  </si>
  <si>
    <t>2033-07-15</t>
  </si>
  <si>
    <t xml:space="preserve">Кашкарова Мария Сергеевна</t>
  </si>
  <si>
    <t>kashkarova@gmail</t>
  </si>
  <si>
    <t>15.07.2033</t>
  </si>
  <si>
    <t xml:space="preserve">Лопатин Илья Алексеевич</t>
  </si>
  <si>
    <t>lopatin@mail</t>
  </si>
  <si>
    <t>01.08.2033</t>
  </si>
  <si>
    <t xml:space="preserve">Хромова Татьяна Викторовна</t>
  </si>
  <si>
    <t>25.03.1984</t>
  </si>
  <si>
    <t>hromova@yandex</t>
  </si>
  <si>
    <t>2033-08-10</t>
  </si>
  <si>
    <t xml:space="preserve">Коптев Денис Олегович</t>
  </si>
  <si>
    <t>13.12.1993</t>
  </si>
  <si>
    <t>koptiev@gmail</t>
  </si>
  <si>
    <t>10.08.2033</t>
  </si>
  <si>
    <t xml:space="preserve">Теплова Екатерина Сергеевна</t>
  </si>
  <si>
    <t>01.08.1970</t>
  </si>
  <si>
    <t>teplova@mail</t>
  </si>
  <si>
    <t>01.09.2033</t>
  </si>
  <si>
    <t xml:space="preserve">Гриднева Ольга Павловна</t>
  </si>
  <si>
    <t>gridneva@yandex</t>
  </si>
  <si>
    <t>2033-09-15</t>
  </si>
  <si>
    <t xml:space="preserve">Мордасов Андрей Владимирович</t>
  </si>
  <si>
    <t>mordasov@gmail</t>
  </si>
  <si>
    <t>15.09.2033</t>
  </si>
  <si>
    <t xml:space="preserve">Пашкова Ирина Сергеевна</t>
  </si>
  <si>
    <t>10.10.1975</t>
  </si>
  <si>
    <t>pashkova@mail</t>
  </si>
  <si>
    <t>01.10.2033</t>
  </si>
  <si>
    <t xml:space="preserve">Скрипкин Илья Олегович</t>
  </si>
  <si>
    <t>03.05.1988</t>
  </si>
  <si>
    <t>skripkin@yandex</t>
  </si>
  <si>
    <t>2033-10-10</t>
  </si>
  <si>
    <t xml:space="preserve">Кузовкина Мария Алексеевна</t>
  </si>
  <si>
    <t>22.09.1994</t>
  </si>
  <si>
    <t>kuzovkina@gmail</t>
  </si>
  <si>
    <t>10.10.2033</t>
  </si>
  <si>
    <t xml:space="preserve">Хабаров Денис Николаевич</t>
  </si>
  <si>
    <t>14.02.1976</t>
  </si>
  <si>
    <t>habarov@mail</t>
  </si>
  <si>
    <t>01.11.2033</t>
  </si>
  <si>
    <t xml:space="preserve">Фирсова Екатерина Викторовна</t>
  </si>
  <si>
    <t>19.11.1982</t>
  </si>
  <si>
    <t>firsova@yandex</t>
  </si>
  <si>
    <t>2033-11-15</t>
  </si>
  <si>
    <t xml:space="preserve">Саблин Андрей Павлович</t>
  </si>
  <si>
    <t>08.06.1990</t>
  </si>
  <si>
    <t>sablin@gmail</t>
  </si>
  <si>
    <t>15.11.2033</t>
  </si>
  <si>
    <t xml:space="preserve">Сиднева Ольга Сергеевна</t>
  </si>
  <si>
    <t>31.03.1978</t>
  </si>
  <si>
    <t>sidneva@mail</t>
  </si>
  <si>
    <t>01.12.2033</t>
  </si>
  <si>
    <t xml:space="preserve">Кочергин Илья Александрович</t>
  </si>
  <si>
    <t>17.12.1985</t>
  </si>
  <si>
    <t>kochergin@yandex</t>
  </si>
  <si>
    <t>2033-12-10</t>
  </si>
  <si>
    <t xml:space="preserve">Забелина Мария Владимировна</t>
  </si>
  <si>
    <t>26.07.1972</t>
  </si>
  <si>
    <t>zabelina@gmail</t>
  </si>
  <si>
    <t>10.12.2033</t>
  </si>
  <si>
    <t xml:space="preserve">Шипилов Денис Олегович</t>
  </si>
  <si>
    <t>04.09.1988</t>
  </si>
  <si>
    <t>shipilov@mail</t>
  </si>
  <si>
    <t>01.01.2034</t>
  </si>
  <si>
    <t xml:space="preserve">Кононова Елена Алексеевна</t>
  </si>
  <si>
    <t>19.12.1991</t>
  </si>
  <si>
    <t>kononova@yandex</t>
  </si>
  <si>
    <t>2034-01-15</t>
  </si>
  <si>
    <t xml:space="preserve">Лебедева Ольга Павловна</t>
  </si>
  <si>
    <t>23.05.1975</t>
  </si>
  <si>
    <t>lebedevа@gmail</t>
  </si>
  <si>
    <t>15.01.2034</t>
  </si>
  <si>
    <t xml:space="preserve">Мартынов Илья Викторович</t>
  </si>
  <si>
    <t>10.10.1983</t>
  </si>
  <si>
    <t>martynov@mail</t>
  </si>
  <si>
    <t>01.02.2034</t>
  </si>
  <si>
    <t xml:space="preserve">Бражникова Екатерина Сергеевна</t>
  </si>
  <si>
    <t>02.08.1986</t>
  </si>
  <si>
    <t>brazhnikova@yandex</t>
  </si>
  <si>
    <t>2034-02-10</t>
  </si>
  <si>
    <t xml:space="preserve">Сухоруков Андрей Олегович</t>
  </si>
  <si>
    <t>14.11.1979</t>
  </si>
  <si>
    <t>suhorukov@gmail</t>
  </si>
  <si>
    <t>10.02.2034</t>
  </si>
  <si>
    <t xml:space="preserve">Гапонова Мария Игоревна</t>
  </si>
  <si>
    <t>27.01.1992</t>
  </si>
  <si>
    <t>gaponova@mail</t>
  </si>
  <si>
    <t>01.03.2034</t>
  </si>
  <si>
    <t xml:space="preserve">Жигалов Денис Павлович</t>
  </si>
  <si>
    <t>15.06.1981</t>
  </si>
  <si>
    <t>zhigalov@yandex</t>
  </si>
  <si>
    <t>2034-03-15</t>
  </si>
  <si>
    <t xml:space="preserve">Курочкин Илья Александрович</t>
  </si>
  <si>
    <t>09.09.1974</t>
  </si>
  <si>
    <t>kurochkin@gmail</t>
  </si>
  <si>
    <t>15.03.2034</t>
  </si>
  <si>
    <t xml:space="preserve">Панина Ольга Владимировна</t>
  </si>
  <si>
    <t>28.04.1987</t>
  </si>
  <si>
    <t>panina@mail</t>
  </si>
  <si>
    <t>01.04.2034</t>
  </si>
  <si>
    <t xml:space="preserve">Махалов Андрей Сергеевич</t>
  </si>
  <si>
    <t>12.12.1993</t>
  </si>
  <si>
    <t>mahalov@yandex</t>
  </si>
  <si>
    <t>2034-04-10</t>
  </si>
  <si>
    <t xml:space="preserve">Федорова Екатерина Петровна</t>
  </si>
  <si>
    <t>07.03.1976</t>
  </si>
  <si>
    <t>10.04.2034</t>
  </si>
  <si>
    <t xml:space="preserve">Зарубин Илья Викторович</t>
  </si>
  <si>
    <t>21.07.1988</t>
  </si>
  <si>
    <t>zarubin@mail</t>
  </si>
  <si>
    <t>01.05.2034</t>
  </si>
  <si>
    <t xml:space="preserve">Калинина Мария Сергеевна</t>
  </si>
  <si>
    <t>16.10.1980</t>
  </si>
  <si>
    <t>kalinina@yandex</t>
  </si>
  <si>
    <t>2034-05-15</t>
  </si>
  <si>
    <t xml:space="preserve">Свиридов Денис Олегович</t>
  </si>
  <si>
    <t>05.05.1973</t>
  </si>
  <si>
    <t>sviridov@gmail</t>
  </si>
  <si>
    <t>15.05.2034</t>
  </si>
  <si>
    <t xml:space="preserve">Игнатьев Андрей Павлович</t>
  </si>
  <si>
    <t>28.08.1984</t>
  </si>
  <si>
    <t>ignatiev@mail</t>
  </si>
  <si>
    <t>01.06.2034</t>
  </si>
  <si>
    <t xml:space="preserve">Шаталова Ольга Владимировна</t>
  </si>
  <si>
    <t>12.01.1991</t>
  </si>
  <si>
    <t>shatalova@yandex</t>
  </si>
  <si>
    <t>2034-06-10</t>
  </si>
  <si>
    <t xml:space="preserve">Шумаков Илья Алексеевич</t>
  </si>
  <si>
    <t>23.07.1978</t>
  </si>
  <si>
    <t>shumakov@gmail</t>
  </si>
  <si>
    <t>10.06.2034</t>
  </si>
  <si>
    <t xml:space="preserve">Дробышева Екатерина Сергеевна</t>
  </si>
  <si>
    <t>15.12.1986</t>
  </si>
  <si>
    <t>drobysheva@mail</t>
  </si>
  <si>
    <t>01.07.2034</t>
  </si>
  <si>
    <t xml:space="preserve">Петрухин Денис Викторович</t>
  </si>
  <si>
    <t>09.04.1992</t>
  </si>
  <si>
    <t>petruhin@yandex</t>
  </si>
  <si>
    <t>2034-07-15</t>
  </si>
  <si>
    <t xml:space="preserve">Буторина Мария Олеговна</t>
  </si>
  <si>
    <t>01.11.1979</t>
  </si>
  <si>
    <t>butorina@gmail</t>
  </si>
  <si>
    <t>15.07.2034</t>
  </si>
  <si>
    <t xml:space="preserve">Кисель Андрей Александрович</t>
  </si>
  <si>
    <t>19.09.1983</t>
  </si>
  <si>
    <t>kisel@mail</t>
  </si>
  <si>
    <t>01.08.2034</t>
  </si>
  <si>
    <t xml:space="preserve">Юсупова Ольга Павловна</t>
  </si>
  <si>
    <t>27.05.1987</t>
  </si>
  <si>
    <t>yusupova@yandex</t>
  </si>
  <si>
    <t>2034-08-10</t>
  </si>
  <si>
    <t xml:space="preserve">Рудаков Илья Игоревич</t>
  </si>
  <si>
    <t>16.02.1975</t>
  </si>
  <si>
    <t>rudakov@gmail</t>
  </si>
  <si>
    <t>10.08.2034</t>
  </si>
  <si>
    <t xml:space="preserve">Мосина Елена Владимировна</t>
  </si>
  <si>
    <t>06.08.1980</t>
  </si>
  <si>
    <t>mosina@mail</t>
  </si>
  <si>
    <t>01.09.2034</t>
  </si>
  <si>
    <t xml:space="preserve">Титов Андрей Сергеевич</t>
  </si>
  <si>
    <t>25.10.1990</t>
  </si>
  <si>
    <t>titov@yandex</t>
  </si>
  <si>
    <t>2034-09-15</t>
  </si>
  <si>
    <t xml:space="preserve">Вершинина Мария Николаевна</t>
  </si>
  <si>
    <t>13.07.1985</t>
  </si>
  <si>
    <t>vershinina@gmail</t>
  </si>
  <si>
    <t>15.09.2034</t>
  </si>
  <si>
    <t xml:space="preserve">Ануфриев Илья Олегович</t>
  </si>
  <si>
    <t>02.01.1974</t>
  </si>
  <si>
    <t>anufriev@mail</t>
  </si>
  <si>
    <t>01.10.2034</t>
  </si>
  <si>
    <t xml:space="preserve">Черникова Ольга Александровна</t>
  </si>
  <si>
    <t>chernikova@yandex</t>
  </si>
  <si>
    <t>2034-10-10</t>
  </si>
  <si>
    <t xml:space="preserve">Дударев Денис Павлович</t>
  </si>
  <si>
    <t>14.09.1988</t>
  </si>
  <si>
    <t>dudarev@gmail</t>
  </si>
  <si>
    <t>10.10.2034</t>
  </si>
  <si>
    <t xml:space="preserve">Лаптева Екатерина Игоревна</t>
  </si>
  <si>
    <t>18.06.1976</t>
  </si>
  <si>
    <t>lapteva@mail</t>
  </si>
  <si>
    <t>01.11.2034</t>
  </si>
  <si>
    <t xml:space="preserve">Печников Андрей Викторович</t>
  </si>
  <si>
    <t>05.12.1983</t>
  </si>
  <si>
    <t>pechnikov@yandex</t>
  </si>
  <si>
    <t>2034-11-15</t>
  </si>
  <si>
    <t xml:space="preserve">Бобылева Мария Сергеевна</t>
  </si>
  <si>
    <t>26.03.1991</t>
  </si>
  <si>
    <t>bobyleva@gmail</t>
  </si>
  <si>
    <t>15.11.2034</t>
  </si>
  <si>
    <t xml:space="preserve">Гордеев Денис Олегович</t>
  </si>
  <si>
    <t>09.10.1972</t>
  </si>
  <si>
    <t>gordeev@mail</t>
  </si>
  <si>
    <t>01.12.2034</t>
  </si>
  <si>
    <t xml:space="preserve">Слепцова Ольга Владимировна</t>
  </si>
  <si>
    <t>22.08.1986</t>
  </si>
  <si>
    <t>sleptsova@yandex</t>
  </si>
  <si>
    <t>2034-12-10</t>
  </si>
  <si>
    <t xml:space="preserve">Пономарев Илья Александрович</t>
  </si>
  <si>
    <t>18.01.1992</t>
  </si>
  <si>
    <t>ponomarev@gmail</t>
  </si>
  <si>
    <t>10.12.2034</t>
  </si>
  <si>
    <t xml:space="preserve">Овчаренко Елена Сергеевна</t>
  </si>
  <si>
    <t>07.07.1980</t>
  </si>
  <si>
    <t>ovcharenko@mail</t>
  </si>
  <si>
    <t>01.01.2035</t>
  </si>
  <si>
    <t xml:space="preserve">Клименков Андрей Павлович</t>
  </si>
  <si>
    <t>klimenkov@yandex</t>
  </si>
  <si>
    <t>2035-01-15</t>
  </si>
  <si>
    <t xml:space="preserve">Гурьева Мария Викторовна</t>
  </si>
  <si>
    <t>19.02.1979</t>
  </si>
  <si>
    <t>gurieva@gmail</t>
  </si>
  <si>
    <t>15.01.2035</t>
  </si>
  <si>
    <t xml:space="preserve">Селезнев Денис Алексеевич</t>
  </si>
  <si>
    <t>15.04.1983</t>
  </si>
  <si>
    <t>seleznev@mail</t>
  </si>
  <si>
    <t>01.02.2035</t>
  </si>
  <si>
    <t xml:space="preserve">Стрельцова Ольга Николаевна</t>
  </si>
  <si>
    <t>28.09.1987</t>
  </si>
  <si>
    <t>streltsova@yandex</t>
  </si>
  <si>
    <t>2035-02-10</t>
  </si>
  <si>
    <t xml:space="preserve">Бондаренко Илья Игоревич</t>
  </si>
  <si>
    <t>11.12.1971</t>
  </si>
  <si>
    <t>bondarenko@gmail</t>
  </si>
  <si>
    <t>10.02.2035</t>
  </si>
  <si>
    <t xml:space="preserve">Белоусова Екатерина Сергеевна</t>
  </si>
  <si>
    <t>24.07.1993</t>
  </si>
  <si>
    <t>belousova@mail</t>
  </si>
  <si>
    <t>01.03.2035</t>
  </si>
  <si>
    <t xml:space="preserve">Бурмистров Андрей Олегович</t>
  </si>
  <si>
    <t>16.10.1982</t>
  </si>
  <si>
    <t>burmistrov@yandex</t>
  </si>
  <si>
    <t>2035-03-15</t>
  </si>
  <si>
    <t xml:space="preserve">Муратова Мария Павловна</t>
  </si>
  <si>
    <t>05.03.1977</t>
  </si>
  <si>
    <t>muratova@gmail</t>
  </si>
  <si>
    <t>15.03.2035</t>
  </si>
  <si>
    <t xml:space="preserve">Лазаренко Денис Викторович</t>
  </si>
  <si>
    <t>26.12.1988</t>
  </si>
  <si>
    <t>lazarenko@mail</t>
  </si>
  <si>
    <t>01.04.2035</t>
  </si>
  <si>
    <t xml:space="preserve">Самарская Ольга Владимировна</t>
  </si>
  <si>
    <t>14.05.1974</t>
  </si>
  <si>
    <t>samarskaya@yandex</t>
  </si>
  <si>
    <t>2035-04-10</t>
  </si>
  <si>
    <t xml:space="preserve">Никонов Илья Александрович</t>
  </si>
  <si>
    <t>08.08.1980</t>
  </si>
  <si>
    <t>nikonov@gmail</t>
  </si>
  <si>
    <t>10.04.2035</t>
  </si>
  <si>
    <t xml:space="preserve">Ермоленко Екатерина Сергеевна</t>
  </si>
  <si>
    <t>21.09.1984</t>
  </si>
  <si>
    <t>ermolenko@mail</t>
  </si>
  <si>
    <t>01.05.2035</t>
  </si>
  <si>
    <t xml:space="preserve">Пахомов Андрей Павлович</t>
  </si>
  <si>
    <t>13.01.1991</t>
  </si>
  <si>
    <t>pahomov@yandex</t>
  </si>
  <si>
    <t>2035-05-15</t>
  </si>
  <si>
    <t xml:space="preserve">Рыжова Мария Олеговна</t>
  </si>
  <si>
    <t>04.06.1976</t>
  </si>
  <si>
    <t>ryzhova@gmail</t>
  </si>
  <si>
    <t>15.05.2035</t>
  </si>
  <si>
    <t xml:space="preserve">Ситников Денис Игоревич</t>
  </si>
  <si>
    <t>27.11.1983</t>
  </si>
  <si>
    <t>sitnikov@mail</t>
  </si>
  <si>
    <t>01.06.2035</t>
  </si>
  <si>
    <t xml:space="preserve">Калмыкова Ольга Павловна</t>
  </si>
  <si>
    <t>12.04.1988</t>
  </si>
  <si>
    <t>kalmykova@yandex</t>
  </si>
  <si>
    <t>2035-06-10</t>
  </si>
  <si>
    <t xml:space="preserve">Зуев Илья Викторович</t>
  </si>
  <si>
    <t>01.07.1972</t>
  </si>
  <si>
    <t>zuev@gmail</t>
  </si>
  <si>
    <t>10.06.2035</t>
  </si>
  <si>
    <t xml:space="preserve">Прокопьева Елена Сергеевна</t>
  </si>
  <si>
    <t>18.10.1978</t>
  </si>
  <si>
    <t>prokopyeva@mail</t>
  </si>
  <si>
    <t>01.07.2035</t>
  </si>
  <si>
    <t xml:space="preserve">Сухарев Андрей Олегович</t>
  </si>
  <si>
    <t>16.02.1985</t>
  </si>
  <si>
    <t>suharev@yandex</t>
  </si>
  <si>
    <t>2035-07-15</t>
  </si>
  <si>
    <t xml:space="preserve">Меньшова Мария Владимировна</t>
  </si>
  <si>
    <t>29.08.1992</t>
  </si>
  <si>
    <t>menshova@gmail</t>
  </si>
  <si>
    <t>15.07.2035</t>
  </si>
  <si>
    <t xml:space="preserve">Пискунов Денис Сергеевич</t>
  </si>
  <si>
    <t>22.12.1977</t>
  </si>
  <si>
    <t>piskunov@mail</t>
  </si>
  <si>
    <t>01.08.2035</t>
  </si>
  <si>
    <t xml:space="preserve">Соболева Ольга Алексеевна</t>
  </si>
  <si>
    <t>09.05.1980</t>
  </si>
  <si>
    <t>soboleva@yandex</t>
  </si>
  <si>
    <t>2035-08-10</t>
  </si>
  <si>
    <t xml:space="preserve">Черкесов Илья Николаевич</t>
  </si>
  <si>
    <t>03.07.1985</t>
  </si>
  <si>
    <t>cherkesov@gmail</t>
  </si>
  <si>
    <t>10.08.2035</t>
  </si>
  <si>
    <t xml:space="preserve">Ракитина Екатерина Павловна</t>
  </si>
  <si>
    <t>17.01.1990</t>
  </si>
  <si>
    <t>rakitina@mail</t>
  </si>
  <si>
    <t>01.09.2035</t>
  </si>
  <si>
    <t>28.10.1983</t>
  </si>
  <si>
    <t>2035-09-15</t>
  </si>
  <si>
    <t xml:space="preserve">Боровкова Мария Олеговна</t>
  </si>
  <si>
    <t>25.04.1976</t>
  </si>
  <si>
    <t>borovkova@gmail</t>
  </si>
  <si>
    <t>15.09.2035</t>
  </si>
  <si>
    <t xml:space="preserve">Терехов Денис Викторович</t>
  </si>
  <si>
    <t>06.12.1981</t>
  </si>
  <si>
    <t>terehov@mail</t>
  </si>
  <si>
    <t>01.10.2035</t>
  </si>
  <si>
    <t xml:space="preserve">Курагина Ольга Сергеевна</t>
  </si>
  <si>
    <t>19.06.1986</t>
  </si>
  <si>
    <t>kuragina@yandex</t>
  </si>
  <si>
    <t>2035-10-10</t>
  </si>
  <si>
    <t xml:space="preserve">Горохов Илья Олегович</t>
  </si>
  <si>
    <t>14.03.1978</t>
  </si>
  <si>
    <t>gorohov@gmail</t>
  </si>
  <si>
    <t>10.10.2035</t>
  </si>
  <si>
    <t xml:space="preserve">Маликова Екатерина Владимировна</t>
  </si>
  <si>
    <t>02.09.1992</t>
  </si>
  <si>
    <t>malikova@mail</t>
  </si>
  <si>
    <t>01.11.2035</t>
  </si>
  <si>
    <t xml:space="preserve">Санников Андрей Павлович</t>
  </si>
  <si>
    <t>24.12.1984</t>
  </si>
  <si>
    <t>sannikov@yandex</t>
  </si>
  <si>
    <t>2035-11-15</t>
  </si>
  <si>
    <t xml:space="preserve">Крутова Мария Сергеевна</t>
  </si>
  <si>
    <t>11.07.1975</t>
  </si>
  <si>
    <t>krutova@gmail</t>
  </si>
  <si>
    <t>15.11.2035</t>
  </si>
  <si>
    <t xml:space="preserve">Фадеев Денис Алексеевич</t>
  </si>
  <si>
    <t>fadeev@mail</t>
  </si>
  <si>
    <t>01.12.2035</t>
  </si>
  <si>
    <t xml:space="preserve">Русанова Ольга Павловна</t>
  </si>
  <si>
    <t>05.06.1987</t>
  </si>
  <si>
    <t>rusanova@yandex</t>
  </si>
  <si>
    <t>2035-12-10</t>
  </si>
  <si>
    <t xml:space="preserve">Букаев Илья Викторович</t>
  </si>
  <si>
    <t>19.12.1970</t>
  </si>
  <si>
    <t>bukaev@gmail</t>
  </si>
  <si>
    <t>10.12.2035</t>
  </si>
  <si>
    <t xml:space="preserve">Мухина Екатерина Игоревна</t>
  </si>
  <si>
    <t>01.01.2036</t>
  </si>
  <si>
    <t xml:space="preserve">Зиновьев Андрей Олегович</t>
  </si>
  <si>
    <t>22.04.1991</t>
  </si>
  <si>
    <t>zinoviev@yandex</t>
  </si>
  <si>
    <t>2036-01-15</t>
  </si>
  <si>
    <t xml:space="preserve">Рябова Мария Сергеевна</t>
  </si>
  <si>
    <t>15.01.1978</t>
  </si>
  <si>
    <t>15.01.2036</t>
  </si>
  <si>
    <t xml:space="preserve">Солнцев Денис Павлович</t>
  </si>
  <si>
    <t>17.08.1982</t>
  </si>
  <si>
    <t>solntsev@mail</t>
  </si>
  <si>
    <t>01.02.2036</t>
  </si>
  <si>
    <t xml:space="preserve">Ткачева Ольга Владимировна</t>
  </si>
  <si>
    <t>30.11.1986</t>
  </si>
  <si>
    <t>tkacheva@yandex</t>
  </si>
  <si>
    <t>2036-02-10</t>
  </si>
  <si>
    <t xml:space="preserve">Цветков Илья Александрович</t>
  </si>
  <si>
    <t>13.06.1974</t>
  </si>
  <si>
    <t>tsvetkov@gmail</t>
  </si>
  <si>
    <t>10.02.2036</t>
  </si>
  <si>
    <t xml:space="preserve">Балашова Елена Сергеевна</t>
  </si>
  <si>
    <t>03.03.1983</t>
  </si>
  <si>
    <t>balashova@mail</t>
  </si>
  <si>
    <t>01.03.2036</t>
  </si>
  <si>
    <t xml:space="preserve">Осипов Андрей Викторович</t>
  </si>
  <si>
    <t>25.10.1992</t>
  </si>
  <si>
    <t>osipov@yandex</t>
  </si>
  <si>
    <t>2036-03-15</t>
  </si>
  <si>
    <t xml:space="preserve">Краснова Мария Павловна</t>
  </si>
  <si>
    <t>14.07.1976</t>
  </si>
  <si>
    <t>krasnova@gmail</t>
  </si>
  <si>
    <t>15.03.2036</t>
  </si>
  <si>
    <t xml:space="preserve">Мальков Денис Олегович</t>
  </si>
  <si>
    <t>malkov@mail</t>
  </si>
  <si>
    <t>01.04.2036</t>
  </si>
  <si>
    <t xml:space="preserve">Дьячкова Ольга Сергеевна</t>
  </si>
  <si>
    <t>04.08.1988</t>
  </si>
  <si>
    <t>dyachkova@yandex</t>
  </si>
  <si>
    <t>2036-04-10</t>
  </si>
  <si>
    <t xml:space="preserve">Кулешов Илья Игоревич</t>
  </si>
  <si>
    <t>16.05.1972</t>
  </si>
  <si>
    <t>kuleshov@gmail</t>
  </si>
  <si>
    <t>10.04.2036</t>
  </si>
  <si>
    <t xml:space="preserve">Панкратова Екатерина Владимировна</t>
  </si>
  <si>
    <t>27.09.1985</t>
  </si>
  <si>
    <t>pankratova@mail</t>
  </si>
  <si>
    <t>01.05.2036</t>
  </si>
  <si>
    <t xml:space="preserve">Доронин Андрей Павлович</t>
  </si>
  <si>
    <t>21.02.1990</t>
  </si>
  <si>
    <t>doronin@yandex</t>
  </si>
  <si>
    <t>2036-05-15</t>
  </si>
  <si>
    <t xml:space="preserve">Щукина Мария Олеговна</t>
  </si>
  <si>
    <t>12.11.1979</t>
  </si>
  <si>
    <t>schukina@gmail</t>
  </si>
  <si>
    <t>15.05.2036</t>
  </si>
  <si>
    <t xml:space="preserve">Князев Денис Сергеевич</t>
  </si>
  <si>
    <t>06.06.1984</t>
  </si>
  <si>
    <t>knyazev@mail</t>
  </si>
  <si>
    <t>01.06.2036</t>
  </si>
  <si>
    <t xml:space="preserve">Зинченко Ольга Павловна</t>
  </si>
  <si>
    <t>19.10.1991</t>
  </si>
  <si>
    <t>zinchenko@yandex</t>
  </si>
  <si>
    <t>2036-06-10</t>
  </si>
  <si>
    <t xml:space="preserve">Столяров Илья Викторович</t>
  </si>
  <si>
    <t>01.04.1973</t>
  </si>
  <si>
    <t>stolyarov@gmail</t>
  </si>
  <si>
    <t>10.06.2036</t>
  </si>
  <si>
    <t xml:space="preserve">Галкина Екатерина Сергеевна</t>
  </si>
  <si>
    <t>14.07.1986</t>
  </si>
  <si>
    <t>01.07.2036</t>
  </si>
  <si>
    <t xml:space="preserve">Коробов Андрей Олегович</t>
  </si>
  <si>
    <t>22.12.1982</t>
  </si>
  <si>
    <t>korobov@yandex</t>
  </si>
  <si>
    <t>2036-07-15</t>
  </si>
  <si>
    <t xml:space="preserve">Шапкина Мария Владимировна</t>
  </si>
  <si>
    <t>18.09.1977</t>
  </si>
  <si>
    <t>shapkina@gmail</t>
  </si>
  <si>
    <t>15.07.2036</t>
  </si>
  <si>
    <t xml:space="preserve">Винокуров Денис Алексеевич</t>
  </si>
  <si>
    <t>30.05.1993</t>
  </si>
  <si>
    <t>vinokurov@mail</t>
  </si>
  <si>
    <t>01.08.2036</t>
  </si>
  <si>
    <t xml:space="preserve">Трифонова Ольга Павловна</t>
  </si>
  <si>
    <t>23.11.1980</t>
  </si>
  <si>
    <t>trifonova@yandex</t>
  </si>
  <si>
    <t>2036-08-10</t>
  </si>
  <si>
    <t xml:space="preserve">Червяков Илья Александрович</t>
  </si>
  <si>
    <t>07.08.1985</t>
  </si>
  <si>
    <t>chervyakov@gmail</t>
  </si>
  <si>
    <t>10.08.2036</t>
  </si>
  <si>
    <t xml:space="preserve">Потапова Екатерина Сергеевна</t>
  </si>
  <si>
    <t>20.04.1978</t>
  </si>
  <si>
    <t>potapova@mail</t>
  </si>
  <si>
    <t>01.09.2036</t>
  </si>
  <si>
    <t xml:space="preserve">Рогов Андрей Викторович</t>
  </si>
  <si>
    <t>15.12.1984</t>
  </si>
  <si>
    <t>rogov@yandex</t>
  </si>
  <si>
    <t>2036-09-15</t>
  </si>
  <si>
    <t xml:space="preserve">Беспалова Мария Олеговна</t>
  </si>
  <si>
    <t>11.09.1989</t>
  </si>
  <si>
    <t>bespalova@gmail</t>
  </si>
  <si>
    <t>15.09.2036</t>
  </si>
  <si>
    <t xml:space="preserve">Окунев Денис Павлович</t>
  </si>
  <si>
    <t>03.02.1975</t>
  </si>
  <si>
    <t>okunev@mail</t>
  </si>
  <si>
    <t>01.10.2036</t>
  </si>
  <si>
    <t xml:space="preserve">Панова Ольга Владимировна</t>
  </si>
  <si>
    <t>26.10.1983</t>
  </si>
  <si>
    <t>2036-10-10</t>
  </si>
  <si>
    <t xml:space="preserve">Житков Илья Сергеевич</t>
  </si>
  <si>
    <t>17.06.1991</t>
  </si>
  <si>
    <t>zhitkov@gmail</t>
  </si>
  <si>
    <t>10.10.2036</t>
  </si>
  <si>
    <t xml:space="preserve">Кузьмичева Екатерина Алексеевна</t>
  </si>
  <si>
    <t>08.03.1979</t>
  </si>
  <si>
    <t>kuzmicheva@mail</t>
  </si>
  <si>
    <t>01.11.2036</t>
  </si>
  <si>
    <t xml:space="preserve">Филимонов Андрей Олегович</t>
  </si>
  <si>
    <t>25.08.1986</t>
  </si>
  <si>
    <t>filimonov@yandex</t>
  </si>
  <si>
    <t>2036-11-15</t>
  </si>
  <si>
    <t xml:space="preserve">Шестакова Мария Павловна</t>
  </si>
  <si>
    <t>19.12.1971</t>
  </si>
  <si>
    <t>shestakova@gmail</t>
  </si>
  <si>
    <t>15.11.2036</t>
  </si>
  <si>
    <t xml:space="preserve">Барышников Денис Викторович</t>
  </si>
  <si>
    <t>12.05.1982</t>
  </si>
  <si>
    <t>baryshnikov@mail</t>
  </si>
  <si>
    <t>01.12.2036</t>
  </si>
  <si>
    <t xml:space="preserve">Лапшина Ольга Сергеевна</t>
  </si>
  <si>
    <t>28.07.1988</t>
  </si>
  <si>
    <t>lapshina@yandex</t>
  </si>
  <si>
    <t>2036-12-10</t>
  </si>
  <si>
    <t xml:space="preserve">Сергеев Илья Николаевич</t>
  </si>
  <si>
    <t>04.10.1976</t>
  </si>
  <si>
    <t>sergeev@gmail</t>
  </si>
  <si>
    <t>10.12.2036</t>
  </si>
  <si>
    <t xml:space="preserve">Аникина Екатерина Владимировна</t>
  </si>
  <si>
    <t>23.01.1984</t>
  </si>
  <si>
    <t>anikina@mail</t>
  </si>
  <si>
    <t>01.01.2037</t>
  </si>
  <si>
    <t xml:space="preserve">Гуляев Андрей Олегович</t>
  </si>
  <si>
    <t>15.06.1990</t>
  </si>
  <si>
    <t>gulyaev@yandex</t>
  </si>
  <si>
    <t>2037-01-15</t>
  </si>
  <si>
    <t xml:space="preserve">Малышева Мария Сергеевна</t>
  </si>
  <si>
    <t>09.11.1977</t>
  </si>
  <si>
    <t>malysheva@gmail</t>
  </si>
  <si>
    <t>15.01.2037</t>
  </si>
  <si>
    <t xml:space="preserve">Снегирев Денис Павлович</t>
  </si>
  <si>
    <t>02.04.1985</t>
  </si>
  <si>
    <t>snegirev@mail</t>
  </si>
  <si>
    <t>01.02.2037</t>
  </si>
  <si>
    <t xml:space="preserve">Блохина Ольга Игоревна</t>
  </si>
  <si>
    <t>18.09.1992</t>
  </si>
  <si>
    <t>blohina@yandex</t>
  </si>
  <si>
    <t>2037-02-10</t>
  </si>
  <si>
    <t xml:space="preserve">Таранов Илья Александрович</t>
  </si>
  <si>
    <t>22.12.1973</t>
  </si>
  <si>
    <t>taranov@gmail</t>
  </si>
  <si>
    <t>10.02.2037</t>
  </si>
  <si>
    <t xml:space="preserve">Бобылева Екатерина Сергеевна</t>
  </si>
  <si>
    <t>bobyleva@mail</t>
  </si>
  <si>
    <t>01.03.2037</t>
  </si>
  <si>
    <t xml:space="preserve">Мочалов Андрей Павлович</t>
  </si>
  <si>
    <t>27.05.1988</t>
  </si>
  <si>
    <t>mochalov@yandex</t>
  </si>
  <si>
    <t>2037-03-15</t>
  </si>
  <si>
    <t xml:space="preserve">Курина Мария Владимировна</t>
  </si>
  <si>
    <t>13.10.1974</t>
  </si>
  <si>
    <t>kurina@gmail</t>
  </si>
  <si>
    <t>15.03.2037</t>
  </si>
  <si>
    <t xml:space="preserve">Клементьев Денис Олегович</t>
  </si>
  <si>
    <t>24.02.1983</t>
  </si>
  <si>
    <t>klementev@mail</t>
  </si>
  <si>
    <t>01.04.2037</t>
  </si>
  <si>
    <t xml:space="preserve">Носова Ольга Павловна</t>
  </si>
  <si>
    <t>06.09.1989</t>
  </si>
  <si>
    <t>nosova@yandex</t>
  </si>
  <si>
    <t>2037-04-10</t>
  </si>
  <si>
    <t xml:space="preserve">Ромашин Илья Викторович</t>
  </si>
  <si>
    <t>romashin@gmail</t>
  </si>
  <si>
    <t>10.04.2037</t>
  </si>
  <si>
    <t xml:space="preserve">Авдеева Екатерина Сергеевна</t>
  </si>
  <si>
    <t>12.04.1981</t>
  </si>
  <si>
    <t>avdeeva@mail</t>
  </si>
  <si>
    <t>01.05.2037</t>
  </si>
  <si>
    <t xml:space="preserve">Ларин Андрей Олегович</t>
  </si>
  <si>
    <t>28.07.1990</t>
  </si>
  <si>
    <t>larin@yandex</t>
  </si>
  <si>
    <t>2037-05-15</t>
  </si>
  <si>
    <t xml:space="preserve">Журавлева Мария Павловна</t>
  </si>
  <si>
    <t>16.12.1978</t>
  </si>
  <si>
    <t>zhuravleva@gmail</t>
  </si>
  <si>
    <t>15.05.2037</t>
  </si>
  <si>
    <t xml:space="preserve">Волков Денис Александрович</t>
  </si>
  <si>
    <t>09.03.1985</t>
  </si>
  <si>
    <t>volkov@mail</t>
  </si>
  <si>
    <t>01.06.2037</t>
  </si>
  <si>
    <t xml:space="preserve">Плотникова Ольга Владимировна</t>
  </si>
  <si>
    <t>25.06.1993</t>
  </si>
  <si>
    <t>plotnikova@yandex</t>
  </si>
  <si>
    <t>2037-06-10</t>
  </si>
  <si>
    <t xml:space="preserve">Кораблёв Илья Павлович</t>
  </si>
  <si>
    <t>01.10.1972</t>
  </si>
  <si>
    <t>korablyov@gmail</t>
  </si>
  <si>
    <t>10.06.2037</t>
  </si>
  <si>
    <t xml:space="preserve">Голубкова Екатерина Сергеевна</t>
  </si>
  <si>
    <t>14.08.1986</t>
  </si>
  <si>
    <t>golubkova@mail</t>
  </si>
  <si>
    <t>01.07.2037</t>
  </si>
  <si>
    <t xml:space="preserve">Уваров Андрей Викторович</t>
  </si>
  <si>
    <t>22.11.1981</t>
  </si>
  <si>
    <t>uvarov@yandex</t>
  </si>
  <si>
    <t>2037-07-15</t>
  </si>
  <si>
    <t xml:space="preserve">Чуприна Мария Олеговна</t>
  </si>
  <si>
    <t>18.09.1974</t>
  </si>
  <si>
    <t>chupra@gmail</t>
  </si>
  <si>
    <t>15.07.2037</t>
  </si>
  <si>
    <t xml:space="preserve">Ступин Денис Павлович</t>
  </si>
  <si>
    <t>07.05.1988</t>
  </si>
  <si>
    <t>stupin@mail</t>
  </si>
  <si>
    <t>01.08.2037</t>
  </si>
  <si>
    <t xml:space="preserve">Тимошина Ольга Сергеевна</t>
  </si>
  <si>
    <t>23.12.1991</t>
  </si>
  <si>
    <t>timoshina@yandex</t>
  </si>
  <si>
    <t>2037-08-10</t>
  </si>
  <si>
    <t xml:space="preserve">Кулаков Илья Алексеевич</t>
  </si>
  <si>
    <t>10.03.1977</t>
  </si>
  <si>
    <t>kulakov@gmail</t>
  </si>
  <si>
    <t>10.08.2037</t>
  </si>
  <si>
    <t xml:space="preserve">Казарина Екатерина Владимировна</t>
  </si>
  <si>
    <t>06.07.1983</t>
  </si>
  <si>
    <t>kazarina@mail</t>
  </si>
  <si>
    <t>01.09.2037</t>
  </si>
  <si>
    <t xml:space="preserve">Осинцев Андрей Олегович</t>
  </si>
  <si>
    <t>27.04.1990</t>
  </si>
  <si>
    <t>osintsev@yandex</t>
  </si>
  <si>
    <t>2037-09-15</t>
  </si>
  <si>
    <t xml:space="preserve">Седакова Мария Павловна</t>
  </si>
  <si>
    <t>19.11.1975</t>
  </si>
  <si>
    <t>sedakova@gmail</t>
  </si>
  <si>
    <t>15.09.2037</t>
  </si>
  <si>
    <t xml:space="preserve">Кузьмин Денис Викторович</t>
  </si>
  <si>
    <t>20.09.1984</t>
  </si>
  <si>
    <t>kuzmin@mail</t>
  </si>
  <si>
    <t>01.10.2037</t>
  </si>
  <si>
    <t xml:space="preserve">Кравцова Ольга Игоревна</t>
  </si>
  <si>
    <t>01.06.1987</t>
  </si>
  <si>
    <t>kravtsova@yandex</t>
  </si>
  <si>
    <t>2037-10-10</t>
  </si>
  <si>
    <t xml:space="preserve">Быстров Илья Александрович</t>
  </si>
  <si>
    <t>14.01.1979</t>
  </si>
  <si>
    <t>bystrov@gmail</t>
  </si>
  <si>
    <t>10.10.2037</t>
  </si>
  <si>
    <t xml:space="preserve">Сафонова Екатерина Сергеевна</t>
  </si>
  <si>
    <t>safonova@mail</t>
  </si>
  <si>
    <t>01.11.2037</t>
  </si>
  <si>
    <t xml:space="preserve">Рыбин Андрей Олегович</t>
  </si>
  <si>
    <t>16.10.1971</t>
  </si>
  <si>
    <t>rybin@yandex</t>
  </si>
  <si>
    <t>2037-11-15</t>
  </si>
  <si>
    <t xml:space="preserve">Пирогова Мария Владимировна</t>
  </si>
  <si>
    <t>15.07.1985</t>
  </si>
  <si>
    <t>pirogova@gmail</t>
  </si>
  <si>
    <t>15.11.2037</t>
  </si>
  <si>
    <t xml:space="preserve">Агафонов Денис Павлович</t>
  </si>
  <si>
    <t>08.05.1988</t>
  </si>
  <si>
    <t>agafonov@mail</t>
  </si>
  <si>
    <t>01.12.2037</t>
  </si>
  <si>
    <t xml:space="preserve">Соболева Ольга Сергеевна</t>
  </si>
  <si>
    <t>27.12.1980</t>
  </si>
  <si>
    <t>2037-12-10</t>
  </si>
  <si>
    <t xml:space="preserve">Кротов Илья Викторович</t>
  </si>
  <si>
    <t>22.02.1976</t>
  </si>
  <si>
    <t>krotov@gmail</t>
  </si>
  <si>
    <t>10.12.2037</t>
  </si>
  <si>
    <t xml:space="preserve">Судакова Екатерина Алексеевна</t>
  </si>
  <si>
    <t>12.11.1984</t>
  </si>
  <si>
    <t>sudakova@mail</t>
  </si>
  <si>
    <t>01.01.2038</t>
  </si>
  <si>
    <t xml:space="preserve">Белкин Андрей Олегович</t>
  </si>
  <si>
    <t>29.06.1990</t>
  </si>
  <si>
    <t>belkin@yandex</t>
  </si>
  <si>
    <t>2038-01-15</t>
  </si>
  <si>
    <t xml:space="preserve">Митрофанова Мария Павловна</t>
  </si>
  <si>
    <t>18.01.1973</t>
  </si>
  <si>
    <t>mitrofanova@gmail</t>
  </si>
  <si>
    <t>15.01.2038</t>
  </si>
  <si>
    <t xml:space="preserve">Лысов Денис Сергеевич</t>
  </si>
  <si>
    <t>07.09.1981</t>
  </si>
  <si>
    <t>lysov@mail</t>
  </si>
  <si>
    <t>01.02.2038</t>
  </si>
  <si>
    <t xml:space="preserve">Горбачева Ольга Владимировна</t>
  </si>
  <si>
    <t>24.07.1986</t>
  </si>
  <si>
    <t>gorbacheva@yandex</t>
  </si>
  <si>
    <t>2038-02-10</t>
  </si>
  <si>
    <t xml:space="preserve">Сыроваткин Илья Алексеевич</t>
  </si>
  <si>
    <t>01.12.1977</t>
  </si>
  <si>
    <t>syrovatkin@gmail</t>
  </si>
  <si>
    <t>10.02.2038</t>
  </si>
  <si>
    <t xml:space="preserve">Блинова Екатерина Сергеевна</t>
  </si>
  <si>
    <t>14.04.1983</t>
  </si>
  <si>
    <t>blinova@mail</t>
  </si>
  <si>
    <t>01.03.2038</t>
  </si>
  <si>
    <t xml:space="preserve">Кочнев Андрей Павлович</t>
  </si>
  <si>
    <t>21.10.1989</t>
  </si>
  <si>
    <t>kochnev@yandex</t>
  </si>
  <si>
    <t>2038-03-15</t>
  </si>
  <si>
    <t xml:space="preserve">Шаповалова Мария Олеговна</t>
  </si>
  <si>
    <t>11.03.1975</t>
  </si>
  <si>
    <t>15.03.2038</t>
  </si>
  <si>
    <t xml:space="preserve">Попов Денис Викторович</t>
  </si>
  <si>
    <t>05.08.1984</t>
  </si>
  <si>
    <t>popov@mail</t>
  </si>
  <si>
    <t>01.04.2038</t>
  </si>
  <si>
    <t xml:space="preserve">Тарасова Ольга Павловна</t>
  </si>
  <si>
    <t>26.11.1991</t>
  </si>
  <si>
    <t>tarasova@yandex</t>
  </si>
  <si>
    <t>2038-04-10</t>
  </si>
  <si>
    <t xml:space="preserve">Грибов Илья Александрович</t>
  </si>
  <si>
    <t>30.06.1972</t>
  </si>
  <si>
    <t>gribov@gmail</t>
  </si>
  <si>
    <t>10.04.2038</t>
  </si>
  <si>
    <t xml:space="preserve">Костюкова Екатерина Сергеевна</t>
  </si>
  <si>
    <t>16.09.1980</t>
  </si>
  <si>
    <t>kostyukova@mail</t>
  </si>
  <si>
    <t>01.05.2038</t>
  </si>
  <si>
    <t xml:space="preserve">Чеботарев Андрей Олегович</t>
  </si>
  <si>
    <t>22.03.1987</t>
  </si>
  <si>
    <t>chebotarev@yandex</t>
  </si>
  <si>
    <t>2038-05-15</t>
  </si>
  <si>
    <t xml:space="preserve">Зорина Мария Владимировна</t>
  </si>
  <si>
    <t>08.07.1976</t>
  </si>
  <si>
    <t>zorina@gmail</t>
  </si>
  <si>
    <t>15.05.2038</t>
  </si>
  <si>
    <t xml:space="preserve">Лопатин Денис Павлович</t>
  </si>
  <si>
    <t>01.06.2038</t>
  </si>
  <si>
    <t xml:space="preserve">Овсянникова Ольга Сергеевна</t>
  </si>
  <si>
    <t>01.05.1988</t>
  </si>
  <si>
    <t>ovsyannikova@yandex</t>
  </si>
  <si>
    <t>2038-06-10</t>
  </si>
  <si>
    <t xml:space="preserve">Руднев Илья Викторович</t>
  </si>
  <si>
    <t>17.10.1974</t>
  </si>
  <si>
    <t>rudnev@gmail</t>
  </si>
  <si>
    <t>10.06.2038</t>
  </si>
  <si>
    <t xml:space="preserve">Кулагина Екатерина Алексеевна</t>
  </si>
  <si>
    <t>25.02.1982</t>
  </si>
  <si>
    <t>kulagina@mail</t>
  </si>
  <si>
    <t>01.07.2038</t>
  </si>
  <si>
    <t xml:space="preserve">Прохоров Андрей Олегович</t>
  </si>
  <si>
    <t>prohorov@yandex</t>
  </si>
  <si>
    <t>2038-07-15</t>
  </si>
  <si>
    <t xml:space="preserve">Ермилова Мария Павловна</t>
  </si>
  <si>
    <t>15.12.1977</t>
  </si>
  <si>
    <t>15.07.2038</t>
  </si>
  <si>
    <t xml:space="preserve">Крайнов Денис Сергеевич</t>
  </si>
  <si>
    <t>29.04.1985</t>
  </si>
  <si>
    <t>kraynov@mail</t>
  </si>
  <si>
    <t>01.08.2038</t>
  </si>
  <si>
    <t xml:space="preserve">Московцева Ольга Владимировна</t>
  </si>
  <si>
    <t>03.09.1992</t>
  </si>
  <si>
    <t>moskovtseva@yandex</t>
  </si>
  <si>
    <t>2038-08-10</t>
  </si>
  <si>
    <t xml:space="preserve">Шапкин Илья Александрович</t>
  </si>
  <si>
    <t>16.11.1971</t>
  </si>
  <si>
    <t>shapkin@gmail</t>
  </si>
  <si>
    <t>10.08.2038</t>
  </si>
  <si>
    <t xml:space="preserve">Антонова Екатерина Сергеевна</t>
  </si>
  <si>
    <t>20.07.1980</t>
  </si>
  <si>
    <t>antonova@mail</t>
  </si>
  <si>
    <t>01.09.2038</t>
  </si>
  <si>
    <t xml:space="preserve">Рыжков Андрей Павлович</t>
  </si>
  <si>
    <t>08.03.1986</t>
  </si>
  <si>
    <t>ryzhkov@yandex</t>
  </si>
  <si>
    <t>2038-09-15</t>
  </si>
  <si>
    <t xml:space="preserve">Зеленина Мария Олеговна</t>
  </si>
  <si>
    <t>27.10.1975</t>
  </si>
  <si>
    <t>zelenina@gmail</t>
  </si>
  <si>
    <t>15.09.2038</t>
  </si>
  <si>
    <t xml:space="preserve">Суриков Денис Викторович</t>
  </si>
  <si>
    <t>13.05.1983</t>
  </si>
  <si>
    <t>sirikov@mail</t>
  </si>
  <si>
    <t>01.10.2038</t>
  </si>
  <si>
    <t xml:space="preserve">Петрова Ольга Павловна</t>
  </si>
  <si>
    <t>18.12.1988</t>
  </si>
  <si>
    <t>petrova@yandex</t>
  </si>
  <si>
    <t>2038-10-10</t>
  </si>
  <si>
    <t xml:space="preserve">Беляков Илья Алексеевич</t>
  </si>
  <si>
    <t>02.07.1977</t>
  </si>
  <si>
    <t>belyakov@gmail</t>
  </si>
  <si>
    <t>10.10.2038</t>
  </si>
  <si>
    <t xml:space="preserve">Фомина Екатерина Сергеевна</t>
  </si>
  <si>
    <t>22.02.1984</t>
  </si>
  <si>
    <t>fomina@mail</t>
  </si>
  <si>
    <t>01.11.2038</t>
  </si>
  <si>
    <t xml:space="preserve">Галкин Андрей Олегович</t>
  </si>
  <si>
    <t>14.09.1991</t>
  </si>
  <si>
    <t>galkin@yandex</t>
  </si>
  <si>
    <t>2038-11-15</t>
  </si>
  <si>
    <t xml:space="preserve">Чумакова Мария Владимировна</t>
  </si>
  <si>
    <t>09.04.1973</t>
  </si>
  <si>
    <t>chumakova@gmail</t>
  </si>
  <si>
    <t>15.11.2038</t>
  </si>
  <si>
    <t xml:space="preserve">Евсеев Денис Павлович</t>
  </si>
  <si>
    <t>26.11.1981</t>
  </si>
  <si>
    <t>evseev@mail</t>
  </si>
  <si>
    <t>01.12.2038</t>
  </si>
  <si>
    <t xml:space="preserve">Климова Ольга Сергеевна</t>
  </si>
  <si>
    <t>04.08.1987</t>
  </si>
  <si>
    <t>klimova@yandex</t>
  </si>
  <si>
    <t>2038-12-10</t>
  </si>
  <si>
    <t xml:space="preserve">Сазонов Илья Викторович</t>
  </si>
  <si>
    <t>18.10.1976</t>
  </si>
  <si>
    <t>sazonov@gmail</t>
  </si>
  <si>
    <t>10.12.2038</t>
  </si>
  <si>
    <t xml:space="preserve">Кузина Екатерина Алексеевна</t>
  </si>
  <si>
    <t>15.12.1980</t>
  </si>
  <si>
    <t>kuzina@mail</t>
  </si>
  <si>
    <t>01.01.2039</t>
  </si>
  <si>
    <t xml:space="preserve">Самойлов Андрей Олегович</t>
  </si>
  <si>
    <t>23.06.1985</t>
  </si>
  <si>
    <t>samoylov@yandex</t>
  </si>
  <si>
    <t>2039-01-15</t>
  </si>
  <si>
    <t xml:space="preserve">Трофимова Мария Павловна</t>
  </si>
  <si>
    <t>16.01.1979</t>
  </si>
  <si>
    <t>trofimova@gmail</t>
  </si>
  <si>
    <t>15.01.2039</t>
  </si>
  <si>
    <t xml:space="preserve">Власов Денис Сергеевич</t>
  </si>
  <si>
    <t>28.03.1984</t>
  </si>
  <si>
    <t>01.02.2039</t>
  </si>
  <si>
    <t xml:space="preserve">Андреева Ольга Владимировна</t>
  </si>
  <si>
    <t>07.07.1990</t>
  </si>
  <si>
    <t>andreeva@yandex</t>
  </si>
  <si>
    <t>2039-02-10</t>
  </si>
  <si>
    <t xml:space="preserve">Плотников Илья Александрович</t>
  </si>
  <si>
    <t>19.10.1973</t>
  </si>
  <si>
    <t>plotnikov@gmail</t>
  </si>
  <si>
    <t>10.02.2039</t>
  </si>
  <si>
    <t xml:space="preserve">Максимова Екатерина Сергеевна</t>
  </si>
  <si>
    <t>20.09.1982</t>
  </si>
  <si>
    <t>maksimova@mail</t>
  </si>
  <si>
    <t>01.03.2039</t>
  </si>
  <si>
    <t xml:space="preserve">Владимиров Андрей Павлович</t>
  </si>
  <si>
    <t>01.05.1987</t>
  </si>
  <si>
    <t>vladimirov@yandex</t>
  </si>
  <si>
    <t>2039-03-15</t>
  </si>
  <si>
    <t xml:space="preserve">Грибова Мария Олеговна</t>
  </si>
  <si>
    <t>22.12.1976</t>
  </si>
  <si>
    <t>gribova@gmail</t>
  </si>
  <si>
    <t>15.03.2039</t>
  </si>
  <si>
    <t xml:space="preserve">Курочкин Денис Викторович</t>
  </si>
  <si>
    <t>15.08.1983</t>
  </si>
  <si>
    <t>kurochkin@mail</t>
  </si>
  <si>
    <t>01.04.2039</t>
  </si>
  <si>
    <t xml:space="preserve">Соловьева Ольга Павловна</t>
  </si>
  <si>
    <t>solovieva@yandex</t>
  </si>
  <si>
    <t>2039-04-10</t>
  </si>
  <si>
    <t xml:space="preserve">Звягинцев Илья Алексеевич</t>
  </si>
  <si>
    <t>13.11.1974</t>
  </si>
  <si>
    <t>zvyagintsev@gmail</t>
  </si>
  <si>
    <t>10.04.2039</t>
  </si>
  <si>
    <t xml:space="preserve">Муромцева Екатерина Сергеевна</t>
  </si>
  <si>
    <t>09.06.1981</t>
  </si>
  <si>
    <t>muromtseva@mail</t>
  </si>
  <si>
    <t>01.05.2039</t>
  </si>
  <si>
    <t xml:space="preserve">Бакулин Андрей Олегович</t>
  </si>
  <si>
    <t>17.09.1992</t>
  </si>
  <si>
    <t>bakulin@yandex</t>
  </si>
  <si>
    <t>2039-05-15</t>
  </si>
  <si>
    <t xml:space="preserve">Корнеева Мария Владимировна</t>
  </si>
  <si>
    <t>30.01.1975</t>
  </si>
  <si>
    <t>korneeva@gmail</t>
  </si>
  <si>
    <t>15.05.2039</t>
  </si>
  <si>
    <t xml:space="preserve">Сидоров Денис Павлович</t>
  </si>
  <si>
    <t>08.07.1984</t>
  </si>
  <si>
    <t>sidorov@mail</t>
  </si>
  <si>
    <t>01.06.2039</t>
  </si>
  <si>
    <t xml:space="preserve">Бирюкова Ольга Сергеевна</t>
  </si>
  <si>
    <t>18.03.1990</t>
  </si>
  <si>
    <t>biryukova@yandex</t>
  </si>
  <si>
    <t>2039-06-10</t>
  </si>
  <si>
    <t xml:space="preserve">Елисеев Илья Викторович</t>
  </si>
  <si>
    <t>24.12.1977</t>
  </si>
  <si>
    <t>eliseev@gmail</t>
  </si>
  <si>
    <t>10.06.2039</t>
  </si>
  <si>
    <t xml:space="preserve">Демидова Екатерина Алексеевна</t>
  </si>
  <si>
    <t>21.10.1986</t>
  </si>
  <si>
    <t>demidova@mail</t>
  </si>
  <si>
    <t>01.07.2039</t>
  </si>
  <si>
    <t xml:space="preserve">Медведев Андрей Олегович</t>
  </si>
  <si>
    <t>07.08.1982</t>
  </si>
  <si>
    <t>2039-07-15</t>
  </si>
  <si>
    <t xml:space="preserve">Покровская Мария Павловна</t>
  </si>
  <si>
    <t>15.05.1973</t>
  </si>
  <si>
    <t>pokrovskaya@gmail</t>
  </si>
  <si>
    <t>15.07.2039</t>
  </si>
  <si>
    <t xml:space="preserve">Коршунов Денис Сергеевич</t>
  </si>
  <si>
    <t>03.11.1988</t>
  </si>
  <si>
    <t>korshunov@mail</t>
  </si>
  <si>
    <t>01.08.2039</t>
  </si>
  <si>
    <t xml:space="preserve">Алексеева Ольга Владимировна</t>
  </si>
  <si>
    <t>22.09.1985</t>
  </si>
  <si>
    <t>alekseeva@yandex</t>
  </si>
  <si>
    <t>2039-08-10</t>
  </si>
  <si>
    <t xml:space="preserve">Баринов Илья Александрович</t>
  </si>
  <si>
    <t>14.02.1978</t>
  </si>
  <si>
    <t>barinov@gmail</t>
  </si>
  <si>
    <t>10.08.2039</t>
  </si>
  <si>
    <t xml:space="preserve">Савельева Екатерина Сергеевна</t>
  </si>
  <si>
    <t>09.07.1991</t>
  </si>
  <si>
    <t>saveleva@mail</t>
  </si>
  <si>
    <t>01.09.2039</t>
  </si>
  <si>
    <t xml:space="preserve">Богданов Андрей Павлович</t>
  </si>
  <si>
    <t>29.01.1980</t>
  </si>
  <si>
    <t>2039-09-15</t>
  </si>
  <si>
    <t xml:space="preserve">Петрова Мария Олеговна</t>
  </si>
  <si>
    <t>18.12.1974</t>
  </si>
  <si>
    <t>15.09.2039</t>
  </si>
  <si>
    <t xml:space="preserve">Лукоянов Денис Викторович</t>
  </si>
  <si>
    <t>03.06.1983</t>
  </si>
  <si>
    <t>lukoyanov@mail</t>
  </si>
  <si>
    <t>01.10.2039</t>
  </si>
  <si>
    <t xml:space="preserve">Толмачева Ольга Павловна</t>
  </si>
  <si>
    <t>25.10.1989</t>
  </si>
  <si>
    <t>tolmacheva@yandex</t>
  </si>
  <si>
    <t>2039-10-10</t>
  </si>
  <si>
    <t xml:space="preserve">Зайцев Илья Алексеевич</t>
  </si>
  <si>
    <t>16.08.1976</t>
  </si>
  <si>
    <t>zaytsev@gmail</t>
  </si>
  <si>
    <t>10.10.2039</t>
  </si>
  <si>
    <t xml:space="preserve">Сидорова Екатерина Сергеевна</t>
  </si>
  <si>
    <t>12.05.1986</t>
  </si>
  <si>
    <t>sidorova@mail</t>
  </si>
  <si>
    <t>01.11.2039</t>
  </si>
  <si>
    <t xml:space="preserve">Соловьев Андрей Олегович</t>
  </si>
  <si>
    <t>20.02.1981</t>
  </si>
  <si>
    <t>soloviev@yandex</t>
  </si>
  <si>
    <t>2039-11-15</t>
  </si>
  <si>
    <t xml:space="preserve">Голубева Мария Владимировна</t>
  </si>
  <si>
    <t>31.07.1972</t>
  </si>
  <si>
    <t>golubeva@gmail</t>
  </si>
  <si>
    <t>15.11.2039</t>
  </si>
  <si>
    <t xml:space="preserve">Харитонов Денис Павлович</t>
  </si>
  <si>
    <t>13.10.1988</t>
  </si>
  <si>
    <t>01.12.2039</t>
  </si>
  <si>
    <t xml:space="preserve">Чернова Ольга Сергеевна</t>
  </si>
  <si>
    <t>28.12.1993</t>
  </si>
  <si>
    <t>2039-12-10</t>
  </si>
  <si>
    <t xml:space="preserve">Щербаков Илья Александрович</t>
  </si>
  <si>
    <t>16.04.1979</t>
  </si>
  <si>
    <t>scherbakov@gmail</t>
  </si>
  <si>
    <t>10.12.2039</t>
  </si>
  <si>
    <t xml:space="preserve">Колесникова Екатерина Алексеевна</t>
  </si>
  <si>
    <t>09.09.1984</t>
  </si>
  <si>
    <t>01.01.2040</t>
  </si>
  <si>
    <t xml:space="preserve">Тихонов Андрей Олегович</t>
  </si>
  <si>
    <t>21.11.1987</t>
  </si>
  <si>
    <t>2040-01-15</t>
  </si>
  <si>
    <t xml:space="preserve">Дубровина Мария Павловна</t>
  </si>
  <si>
    <t>02.07.1975</t>
  </si>
  <si>
    <t>dubrovina@gmail</t>
  </si>
  <si>
    <t>15.01.2040</t>
  </si>
  <si>
    <t xml:space="preserve">Ткаченко Денис Викторович</t>
  </si>
  <si>
    <t>11.03.1982</t>
  </si>
  <si>
    <t>01.02.2040</t>
  </si>
  <si>
    <t xml:space="preserve">Калинина Ольга Сергеевна</t>
  </si>
  <si>
    <t>2040-02-10</t>
  </si>
  <si>
    <t xml:space="preserve">Макаров Илья Алексеевич</t>
  </si>
  <si>
    <t>05.09.1973</t>
  </si>
  <si>
    <t>makarov@gmail</t>
  </si>
  <si>
    <t>10.02.2040</t>
  </si>
  <si>
    <t xml:space="preserve">Володина Екатерина Владимировна</t>
  </si>
  <si>
    <t>29.05.1986</t>
  </si>
  <si>
    <t>volodina@mail</t>
  </si>
  <si>
    <t>01.03.2040</t>
  </si>
  <si>
    <t xml:space="preserve">Понкратов Андрей Павлович</t>
  </si>
  <si>
    <t>17.01.1981</t>
  </si>
  <si>
    <t>ponkratov@yandex</t>
  </si>
  <si>
    <t>2040-03-15</t>
  </si>
  <si>
    <t xml:space="preserve">Маркина Мария Олеговна</t>
  </si>
  <si>
    <t>15.12.1978</t>
  </si>
  <si>
    <t>markina@gmail</t>
  </si>
  <si>
    <t>15.03.2040</t>
  </si>
  <si>
    <t xml:space="preserve">Гончаров Денис Сергеевич</t>
  </si>
  <si>
    <t>09.10.1985</t>
  </si>
  <si>
    <t>goncharov@mail</t>
  </si>
  <si>
    <t>01.04.2040</t>
  </si>
  <si>
    <t xml:space="preserve">Логинова Ольга Павловна</t>
  </si>
  <si>
    <t>03.06.1992</t>
  </si>
  <si>
    <t>loginova@yandex</t>
  </si>
  <si>
    <t>2040-04-10</t>
  </si>
  <si>
    <t xml:space="preserve">Ульянов Илья Викторович</t>
  </si>
  <si>
    <t>18.03.1974</t>
  </si>
  <si>
    <t>ulyanov@gmail</t>
  </si>
  <si>
    <t>10.04.2040</t>
  </si>
  <si>
    <t xml:space="preserve">Пушкарева Екатерина Сергеевна</t>
  </si>
  <si>
    <t>23.11.1982</t>
  </si>
  <si>
    <t>pushkareva@mail</t>
  </si>
  <si>
    <t>01.05.2040</t>
  </si>
  <si>
    <t xml:space="preserve">Никитин Андрей Олегович</t>
  </si>
  <si>
    <t>06.07.1989</t>
  </si>
  <si>
    <t>nikitin@yandex</t>
  </si>
  <si>
    <t>2040-05-15</t>
  </si>
  <si>
    <t xml:space="preserve">Старцева Мария Владимировна</t>
  </si>
  <si>
    <t>14.01.1976</t>
  </si>
  <si>
    <t>startseva@gmail</t>
  </si>
  <si>
    <t>15.05.2040</t>
  </si>
  <si>
    <t xml:space="preserve">Моргунов Денис Павлович</t>
  </si>
  <si>
    <t>27.09.1983</t>
  </si>
  <si>
    <t>morgunov@mail</t>
  </si>
  <si>
    <t>01.06.2040</t>
  </si>
  <si>
    <t xml:space="preserve">Астахова Ольга Сергеевна</t>
  </si>
  <si>
    <t>09.04.1988</t>
  </si>
  <si>
    <t>astahova@yandex</t>
  </si>
  <si>
    <t>2040-06-10</t>
  </si>
  <si>
    <t xml:space="preserve">Кириченко Илья Александрович</t>
  </si>
  <si>
    <t>19.08.1975</t>
  </si>
  <si>
    <t>kirichenko@gmail</t>
  </si>
  <si>
    <t>10.06.2040</t>
  </si>
  <si>
    <t xml:space="preserve">Борисова Екатерина Алексеевна</t>
  </si>
  <si>
    <t>03.11.1984</t>
  </si>
  <si>
    <t>borisova@mail</t>
  </si>
  <si>
    <t>01.07.2040</t>
  </si>
  <si>
    <t xml:space="preserve">Гусев Андрей Олегович</t>
  </si>
  <si>
    <t>16.02.1991</t>
  </si>
  <si>
    <t>gusev@yandex</t>
  </si>
  <si>
    <t>2040-07-15</t>
  </si>
  <si>
    <t xml:space="preserve">Серова Мария Павловна</t>
  </si>
  <si>
    <t>24.05.1977</t>
  </si>
  <si>
    <t>15.07.2040</t>
  </si>
  <si>
    <t xml:space="preserve">Чернов Денис Викторович</t>
  </si>
  <si>
    <t>10.08.1986</t>
  </si>
  <si>
    <t>chernov@mail</t>
  </si>
  <si>
    <t>01.08.2040</t>
  </si>
  <si>
    <t xml:space="preserve">Козлова Ольга Владимировна</t>
  </si>
  <si>
    <t>29.03.1980</t>
  </si>
  <si>
    <t>kozlova@yandex</t>
  </si>
  <si>
    <t>2040-08-10</t>
  </si>
  <si>
    <t xml:space="preserve">Орлов Илья Алексеевич</t>
  </si>
  <si>
    <t>16.12.1972</t>
  </si>
  <si>
    <t>orlov@gmail</t>
  </si>
  <si>
    <t>10.08.2040</t>
  </si>
  <si>
    <t xml:space="preserve">Панфилова Екатерина Сергеевна</t>
  </si>
  <si>
    <t>12.07.1985</t>
  </si>
  <si>
    <t>panfilova@mail</t>
  </si>
  <si>
    <t>01.09.2040</t>
  </si>
  <si>
    <t xml:space="preserve">Крутов Андрей Павлович</t>
  </si>
  <si>
    <t>21.10.1990</t>
  </si>
  <si>
    <t>krutov@yandex</t>
  </si>
  <si>
    <t>2040-09-15</t>
  </si>
  <si>
    <t xml:space="preserve">Силина Мария Олеговна</t>
  </si>
  <si>
    <t>08.06.1978</t>
  </si>
  <si>
    <t>silina@gmail</t>
  </si>
  <si>
    <t>15.09.2040</t>
  </si>
  <si>
    <t xml:space="preserve">Дорохов Денис Сергеевич</t>
  </si>
  <si>
    <t>17.01.1983</t>
  </si>
  <si>
    <t>dorohov@mail</t>
  </si>
  <si>
    <t>01.10.2040</t>
  </si>
  <si>
    <t xml:space="preserve">Семенова Ольга Павловна</t>
  </si>
  <si>
    <t>05.04.1987</t>
  </si>
  <si>
    <t>semenova@yandex</t>
  </si>
  <si>
    <t>2040-10-10</t>
  </si>
  <si>
    <t xml:space="preserve">Потапов Илья Викторович</t>
  </si>
  <si>
    <t>22.07.1974</t>
  </si>
  <si>
    <t>potapov@gmail</t>
  </si>
  <si>
    <t>10.10.2040</t>
  </si>
  <si>
    <t xml:space="preserve">Кудряшова Екатерина Алексеевна</t>
  </si>
  <si>
    <t>14.10.1982</t>
  </si>
  <si>
    <t>kudryashova@mail</t>
  </si>
  <si>
    <t>01.11.2040</t>
  </si>
  <si>
    <t xml:space="preserve">Семенюк Андрей Олегович</t>
  </si>
  <si>
    <t>08.02.1989</t>
  </si>
  <si>
    <t>semenyuk@yandex</t>
  </si>
  <si>
    <t>2040-11-15</t>
  </si>
  <si>
    <t xml:space="preserve">Устинова Мария Владимировна</t>
  </si>
  <si>
    <t>27.05.1979</t>
  </si>
  <si>
    <t>ustinova@gmail</t>
  </si>
  <si>
    <t>15.11.2040</t>
  </si>
  <si>
    <t xml:space="preserve">Баев Денис Павлович</t>
  </si>
  <si>
    <t>18.12.1985</t>
  </si>
  <si>
    <t>baev@mail</t>
  </si>
  <si>
    <t>01.12.2040</t>
  </si>
  <si>
    <t xml:space="preserve">Хрусталева Ольга Сергеевна</t>
  </si>
  <si>
    <t>01.08.1992</t>
  </si>
  <si>
    <t>hrustaleva@yandex</t>
  </si>
  <si>
    <t>2040-12-10</t>
  </si>
  <si>
    <t xml:space="preserve">Романов Илья Александрович</t>
  </si>
  <si>
    <t>23.03.1976</t>
  </si>
  <si>
    <t>romanov@gmail</t>
  </si>
  <si>
    <t>10.12.2040</t>
  </si>
  <si>
    <t xml:space="preserve">Добрынина Екатерина Владимировна</t>
  </si>
  <si>
    <t>07.11.1981</t>
  </si>
  <si>
    <t>dobrynina@mail</t>
  </si>
  <si>
    <t>01.01.2041</t>
  </si>
  <si>
    <t xml:space="preserve">Некрасов Андрей Олегович</t>
  </si>
  <si>
    <t>15.09.1988</t>
  </si>
  <si>
    <t>nekrasov@yandex</t>
  </si>
  <si>
    <t>2041-01-15</t>
  </si>
  <si>
    <t xml:space="preserve">Круглова Мария Павловна</t>
  </si>
  <si>
    <t>28.02.1973</t>
  </si>
  <si>
    <t>kruglova@gmail</t>
  </si>
  <si>
    <t>15.01.2041</t>
  </si>
  <si>
    <t xml:space="preserve">Артамонов Денис Викторович</t>
  </si>
  <si>
    <t>20.06.1985</t>
  </si>
  <si>
    <t>artamonov@mail</t>
  </si>
  <si>
    <t>01.02.2041</t>
  </si>
  <si>
    <t xml:space="preserve">Горюнова Ольга Сергеевна</t>
  </si>
  <si>
    <t>09.12.1990</t>
  </si>
  <si>
    <t>2041-02-10</t>
  </si>
  <si>
    <t xml:space="preserve">Мерзляков Илья Алексеевич</t>
  </si>
  <si>
    <t>25.04.1974</t>
  </si>
  <si>
    <t>merzlyakov@gmail</t>
  </si>
  <si>
    <t>10.02.2041</t>
  </si>
  <si>
    <t xml:space="preserve">Андрианова Екатерина Сергеевна</t>
  </si>
  <si>
    <t>16.07.1982</t>
  </si>
  <si>
    <t>andrianova@mail</t>
  </si>
  <si>
    <t>01.03.2041</t>
  </si>
  <si>
    <t xml:space="preserve">Рябов Андрей Павлович</t>
  </si>
  <si>
    <t>11.10.1989</t>
  </si>
  <si>
    <t>ryabov@yandex</t>
  </si>
  <si>
    <t>2041-03-15</t>
  </si>
  <si>
    <t xml:space="preserve">Саввина Мария Олеговна</t>
  </si>
  <si>
    <t>03.05.1975</t>
  </si>
  <si>
    <t>savvina@gmail</t>
  </si>
  <si>
    <t>15.03.2041</t>
  </si>
  <si>
    <t xml:space="preserve">Степанов Денис Викторович</t>
  </si>
  <si>
    <t>26.08.1984</t>
  </si>
  <si>
    <t>stepanov@mail</t>
  </si>
  <si>
    <t>01.04.2041</t>
  </si>
  <si>
    <t xml:space="preserve">Гаврилова Ольга Павловна</t>
  </si>
  <si>
    <t>19.01.1991</t>
  </si>
  <si>
    <t>gavrilova@yandex</t>
  </si>
  <si>
    <t>2041-04-10</t>
  </si>
  <si>
    <t xml:space="preserve">Кулешова Екатерина Алексеевна</t>
  </si>
  <si>
    <t>22.11.1978</t>
  </si>
  <si>
    <t>kuleshova@gmail</t>
  </si>
  <si>
    <t>10.04.2041</t>
  </si>
  <si>
    <t xml:space="preserve">Молчанов Илья Александрович</t>
  </si>
  <si>
    <t>14.09.1986</t>
  </si>
  <si>
    <t>molchanov@mail</t>
  </si>
  <si>
    <t>01.05.2041</t>
  </si>
  <si>
    <t xml:space="preserve">Пестова Мария Владимировна</t>
  </si>
  <si>
    <t>08.06.1983</t>
  </si>
  <si>
    <t>pestova@yandex</t>
  </si>
  <si>
    <t>2041-05-15</t>
  </si>
  <si>
    <t xml:space="preserve">Дроздов Андрей Олегович</t>
  </si>
  <si>
    <t>30.12.1977</t>
  </si>
  <si>
    <t>drozdov@gmail</t>
  </si>
  <si>
    <t>15.05.2041</t>
  </si>
  <si>
    <t xml:space="preserve">Дубинина Ольга Сергеевна</t>
  </si>
  <si>
    <t>23.03.1988</t>
  </si>
  <si>
    <t>dubinina@mail</t>
  </si>
  <si>
    <t>01.06.2041</t>
  </si>
  <si>
    <t xml:space="preserve">Корнилов Денис Павлович</t>
  </si>
  <si>
    <t>17.07.1981</t>
  </si>
  <si>
    <t>kornilov@yandex</t>
  </si>
  <si>
    <t>2041-06-10</t>
  </si>
  <si>
    <t xml:space="preserve">Соколова Екатерина Владимировна</t>
  </si>
  <si>
    <t>06.10.1976</t>
  </si>
  <si>
    <t>sokolova@gmail</t>
  </si>
  <si>
    <t>10.06.2041</t>
  </si>
  <si>
    <t xml:space="preserve">Ушаков Илья Александрович</t>
  </si>
  <si>
    <t>02.12.1984</t>
  </si>
  <si>
    <t>ushakov@mail</t>
  </si>
  <si>
    <t>01.07.2041</t>
  </si>
  <si>
    <t xml:space="preserve">Минаева Мария Павловна</t>
  </si>
  <si>
    <t>21.08.1992</t>
  </si>
  <si>
    <t>minaeva@yandex</t>
  </si>
  <si>
    <t>2041-07-15</t>
  </si>
  <si>
    <t xml:space="preserve">Герасимова Ольга Сергеевна</t>
  </si>
  <si>
    <t>14.04.1979</t>
  </si>
  <si>
    <t>gerasimova@gmail</t>
  </si>
  <si>
    <t>15.07.2041</t>
  </si>
  <si>
    <t xml:space="preserve">Печерский Денис Викторович</t>
  </si>
  <si>
    <t>28.06.1985</t>
  </si>
  <si>
    <t>pechersky@mail</t>
  </si>
  <si>
    <t>01.08.2041</t>
  </si>
  <si>
    <t xml:space="preserve">Карасева Екатерина Алексеевна</t>
  </si>
  <si>
    <t>17.12.1990</t>
  </si>
  <si>
    <t>karaseva@yandex</t>
  </si>
  <si>
    <t>2041-08-10</t>
  </si>
  <si>
    <t xml:space="preserve">Лукин Андрей Олегович</t>
  </si>
  <si>
    <t>09.02.1977</t>
  </si>
  <si>
    <t>10.08.2041</t>
  </si>
  <si>
    <t xml:space="preserve">Седова Мария Владимировна</t>
  </si>
  <si>
    <t>24.07.1983</t>
  </si>
  <si>
    <t>sedova@mail</t>
  </si>
  <si>
    <t>01.09.2041</t>
  </si>
  <si>
    <t xml:space="preserve">Новожилов Илья Алексеевич</t>
  </si>
  <si>
    <t>15.03.1988</t>
  </si>
  <si>
    <t>novozhilov@yandex</t>
  </si>
  <si>
    <t>2041-09-15</t>
  </si>
  <si>
    <t xml:space="preserve">Терентьева Ольга Павловна</t>
  </si>
  <si>
    <t>01.11.1974</t>
  </si>
  <si>
    <t>terenteva@gmail</t>
  </si>
  <si>
    <t>15.09.2041</t>
  </si>
  <si>
    <t xml:space="preserve">Горбатов Денис Сергеевич</t>
  </si>
  <si>
    <t>22.10.1982</t>
  </si>
  <si>
    <t>gorbatov@mail</t>
  </si>
  <si>
    <t>01.10.2041</t>
  </si>
  <si>
    <t xml:space="preserve">Шелестова Екатерина Сергеевна</t>
  </si>
  <si>
    <t>12.05.1989</t>
  </si>
  <si>
    <t>shelyostova@yandex</t>
  </si>
  <si>
    <t>2041-10-10</t>
  </si>
  <si>
    <t xml:space="preserve">Костин Андрей Павлович</t>
  </si>
  <si>
    <t>27.01.1976</t>
  </si>
  <si>
    <t>kostin@gmail</t>
  </si>
  <si>
    <t>10.10.2041</t>
  </si>
  <si>
    <t xml:space="preserve">Маслова Мария Олеговна</t>
  </si>
  <si>
    <t>05.09.1984</t>
  </si>
  <si>
    <t>maslova@mail</t>
  </si>
  <si>
    <t>01.11.2041</t>
  </si>
  <si>
    <t xml:space="preserve">Стекольщиков Денис Викторович</t>
  </si>
  <si>
    <t>14.12.1991</t>
  </si>
  <si>
    <t>stekolschikov@yandex</t>
  </si>
  <si>
    <t>2041-11-15</t>
  </si>
  <si>
    <t xml:space="preserve">Орехова Ольга Владимировна</t>
  </si>
  <si>
    <t>08.04.1977</t>
  </si>
  <si>
    <t>orehova@gmail</t>
  </si>
  <si>
    <t>15.11.2041</t>
  </si>
  <si>
    <t xml:space="preserve">Рябцев Илья Александрович</t>
  </si>
  <si>
    <t>29.08.1983</t>
  </si>
  <si>
    <t>ryabtsev@mail</t>
  </si>
  <si>
    <t>01.12.2041</t>
  </si>
  <si>
    <t xml:space="preserve">Клокова Екатерина Сергеевна</t>
  </si>
  <si>
    <t>19.12.1990</t>
  </si>
  <si>
    <t>klokova@yandex</t>
  </si>
  <si>
    <t>2041-12-10</t>
  </si>
  <si>
    <t xml:space="preserve">Шульгин Андрей Олегович</t>
  </si>
  <si>
    <t>02.06.1978</t>
  </si>
  <si>
    <t>shulgin@gmail</t>
  </si>
  <si>
    <t>10.12.2041</t>
  </si>
  <si>
    <t xml:space="preserve">Короткова Мария Павловна</t>
  </si>
  <si>
    <t>16.11.1985</t>
  </si>
  <si>
    <t>korotkova@mail</t>
  </si>
  <si>
    <t>01.01.2042</t>
  </si>
  <si>
    <t xml:space="preserve">Литвиненко Денис Викторович</t>
  </si>
  <si>
    <t>25.10.1982</t>
  </si>
  <si>
    <t>litvinenko@yandex</t>
  </si>
  <si>
    <t>2042-01-15</t>
  </si>
  <si>
    <t xml:space="preserve">Старкова Ольга Сергеевна</t>
  </si>
  <si>
    <t>23.07.1989</t>
  </si>
  <si>
    <t>starkova@gmail</t>
  </si>
  <si>
    <t>15.01.2042</t>
  </si>
  <si>
    <t xml:space="preserve">Паршин Илья Александрович</t>
  </si>
  <si>
    <t>parshin@mail</t>
  </si>
  <si>
    <t>01.02.2042</t>
  </si>
  <si>
    <t xml:space="preserve">Яковлева Екатерина Владимировна</t>
  </si>
  <si>
    <t>04.09.1983</t>
  </si>
  <si>
    <t>yakovleva@yandex</t>
  </si>
  <si>
    <t>2042-02-10</t>
  </si>
  <si>
    <t xml:space="preserve">Козырев Андрей Олегович</t>
  </si>
  <si>
    <t>17.05.1992</t>
  </si>
  <si>
    <t>kozyrev@gmail</t>
  </si>
  <si>
    <t>10.02.2042</t>
  </si>
  <si>
    <t xml:space="preserve">Батина Мария Павловна</t>
  </si>
  <si>
    <t>06.12.1977</t>
  </si>
  <si>
    <t>batina@mail</t>
  </si>
  <si>
    <t>01.03.2042</t>
  </si>
  <si>
    <t xml:space="preserve">Коротков Денис Сергеевич</t>
  </si>
  <si>
    <t>28.04.1986</t>
  </si>
  <si>
    <t>korotkov@yandex</t>
  </si>
  <si>
    <t>2042-03-15</t>
  </si>
  <si>
    <t xml:space="preserve">Соловьева Ольга Сергеевна</t>
  </si>
  <si>
    <t>02.08.1991</t>
  </si>
  <si>
    <t>solovieva@gmail</t>
  </si>
  <si>
    <t>15.03.2042</t>
  </si>
  <si>
    <t xml:space="preserve">Лаврентьев Илья Алексеевич</t>
  </si>
  <si>
    <t>19.06.1974</t>
  </si>
  <si>
    <t>lavrentiev@mail</t>
  </si>
  <si>
    <t>01.04.2042</t>
  </si>
  <si>
    <t xml:space="preserve">Алексахина Екатерина Сергеевна</t>
  </si>
  <si>
    <t>11.10.1980</t>
  </si>
  <si>
    <t>aleksahina@yandex</t>
  </si>
  <si>
    <t>2042-04-10</t>
  </si>
  <si>
    <t xml:space="preserve">Каменев Андрей Павлович</t>
  </si>
  <si>
    <t>30.01.1987</t>
  </si>
  <si>
    <t>kamenev@gmail</t>
  </si>
  <si>
    <t>10.04.2042</t>
  </si>
  <si>
    <t xml:space="preserve">Захарова Мария Олеговна</t>
  </si>
  <si>
    <t>22.07.1975</t>
  </si>
  <si>
    <t>zaharova@mail</t>
  </si>
  <si>
    <t>01.05.2042</t>
  </si>
  <si>
    <t xml:space="preserve">Стеклов Денис Викторович</t>
  </si>
  <si>
    <t>steklov@yandex</t>
  </si>
  <si>
    <t>2042-05-15</t>
  </si>
  <si>
    <t xml:space="preserve">Мишина Ольга Павловна</t>
  </si>
  <si>
    <t>mishina@gmail</t>
  </si>
  <si>
    <t>15.05.2042</t>
  </si>
  <si>
    <t xml:space="preserve">Шатохин Илья Александрович</t>
  </si>
  <si>
    <t>26.09.1973</t>
  </si>
  <si>
    <t>shatohin@mail</t>
  </si>
  <si>
    <t>01.06.2042</t>
  </si>
  <si>
    <t xml:space="preserve">Черепанова Екатерина Сергеевна</t>
  </si>
  <si>
    <t>14.03.1982</t>
  </si>
  <si>
    <t>cherepanova@yandex</t>
  </si>
  <si>
    <t>2042-06-10</t>
  </si>
  <si>
    <t xml:space="preserve">Пантелеев Андрей Олегович</t>
  </si>
  <si>
    <t>05.11.1990</t>
  </si>
  <si>
    <t>panteleev@gmail</t>
  </si>
  <si>
    <t>10.06.2042</t>
  </si>
  <si>
    <t xml:space="preserve">Букина Мария Владимировна</t>
  </si>
  <si>
    <t>18.06.1977</t>
  </si>
  <si>
    <t>bukina@mail</t>
  </si>
  <si>
    <t>01.07.2042</t>
  </si>
  <si>
    <t xml:space="preserve">Суворов Денис Павлович</t>
  </si>
  <si>
    <t>07.01.1985</t>
  </si>
  <si>
    <t>suvorov@yandex</t>
  </si>
  <si>
    <t>2042-07-15</t>
  </si>
  <si>
    <t xml:space="preserve">Погодина Ольга Сергеевна</t>
  </si>
  <si>
    <t>pogodina@gmail</t>
  </si>
  <si>
    <t>15.07.2042</t>
  </si>
  <si>
    <t xml:space="preserve">Карпов Илья Александрович</t>
  </si>
  <si>
    <t>karpov@mail</t>
  </si>
  <si>
    <t>01.08.2042</t>
  </si>
  <si>
    <t xml:space="preserve">Бычкова Екатерина Алексеевна</t>
  </si>
  <si>
    <t>03.10.1986</t>
  </si>
  <si>
    <t>bychkova@yandex</t>
  </si>
  <si>
    <t>2042-08-10</t>
  </si>
  <si>
    <t xml:space="preserve">Кукушкин Андрей Олегович</t>
  </si>
  <si>
    <t>29.12.1981</t>
  </si>
  <si>
    <t>kukushkin@gmail</t>
  </si>
  <si>
    <t>10.08.2042</t>
  </si>
  <si>
    <t xml:space="preserve">Старшинова Мария Павловна</t>
  </si>
  <si>
    <t>12.07.1976</t>
  </si>
  <si>
    <t>starshinova@mail</t>
  </si>
  <si>
    <t>01.09.2042</t>
  </si>
  <si>
    <t xml:space="preserve">Стрельников Денис Викторович</t>
  </si>
  <si>
    <t>23.09.1988</t>
  </si>
  <si>
    <t>strelnikov@yandex</t>
  </si>
  <si>
    <t>2042-09-15</t>
  </si>
  <si>
    <t xml:space="preserve">Березина Ольга Сергеевна</t>
  </si>
  <si>
    <t>14.02.1984</t>
  </si>
  <si>
    <t>berezina@gmail</t>
  </si>
  <si>
    <t>15.09.2042</t>
  </si>
  <si>
    <t xml:space="preserve">Сысоев Илья Алексеевич</t>
  </si>
  <si>
    <t>01.05.1973</t>
  </si>
  <si>
    <t>01.10.2042</t>
  </si>
  <si>
    <t xml:space="preserve">Жижина Екатерина Владимировна</t>
  </si>
  <si>
    <t>20.08.1980</t>
  </si>
  <si>
    <t>zhizhina@yandex</t>
  </si>
  <si>
    <t>2042-10-10</t>
  </si>
  <si>
    <t xml:space="preserve">Кривошеев Андрей Павлович</t>
  </si>
  <si>
    <t>11.12.1986</t>
  </si>
  <si>
    <t>krivosheev@gmail</t>
  </si>
  <si>
    <t>10.10.2042</t>
  </si>
  <si>
    <t xml:space="preserve">Вьюнова Мария Олеговна</t>
  </si>
  <si>
    <t>07.04.1977</t>
  </si>
  <si>
    <t>vyunova@mail</t>
  </si>
  <si>
    <t>01.11.2042</t>
  </si>
  <si>
    <t xml:space="preserve">Гладких Денис Сергеевич</t>
  </si>
  <si>
    <t>gladkih@yandex</t>
  </si>
  <si>
    <t>2042-11-15</t>
  </si>
  <si>
    <t xml:space="preserve">Емельянова Ольга Павловна</t>
  </si>
  <si>
    <t>09.10.1982</t>
  </si>
  <si>
    <t>emelyanova@gmail</t>
  </si>
  <si>
    <t>15.11.2042</t>
  </si>
  <si>
    <t xml:space="preserve">Семенчук Илья Александрович</t>
  </si>
  <si>
    <t>22.03.1974</t>
  </si>
  <si>
    <t>semenchuk@mail</t>
  </si>
  <si>
    <t>01.12.2042</t>
  </si>
  <si>
    <t xml:space="preserve">Огородникова Екатерина Сергеевна</t>
  </si>
  <si>
    <t>15.07.1989</t>
  </si>
  <si>
    <t>ogorodnikova@yandex</t>
  </si>
  <si>
    <t>2042-12-10</t>
  </si>
  <si>
    <t xml:space="preserve">Бессонов Андрей Олегович</t>
  </si>
  <si>
    <t>13.08.1985</t>
  </si>
  <si>
    <t>bessonov@gmail</t>
  </si>
  <si>
    <t>10.12.2042</t>
  </si>
  <si>
    <t xml:space="preserve">Верещагина Мария Владимировна</t>
  </si>
  <si>
    <t>18.06.1972</t>
  </si>
  <si>
    <t>vereschagina@mail</t>
  </si>
  <si>
    <t>01.01.2043</t>
  </si>
  <si>
    <t xml:space="preserve">Малинин Денис Павлович</t>
  </si>
  <si>
    <t>28.09.1983</t>
  </si>
  <si>
    <t>malinin@yandex</t>
  </si>
  <si>
    <t>2043-01-15</t>
  </si>
  <si>
    <t xml:space="preserve">Дубова Ольга Сергеевна</t>
  </si>
  <si>
    <t>04.12.1990</t>
  </si>
  <si>
    <t>dubova@gmail</t>
  </si>
  <si>
    <t>15.01.2043</t>
  </si>
  <si>
    <t xml:space="preserve">Старцев Илья Алексеевич</t>
  </si>
  <si>
    <t>25.05.1976</t>
  </si>
  <si>
    <t>startsev@mail</t>
  </si>
  <si>
    <t>01.02.2043</t>
  </si>
  <si>
    <t xml:space="preserve">Антипова Екатерина Владимировна</t>
  </si>
  <si>
    <t>30.10.1988</t>
  </si>
  <si>
    <t>antipova@yandex</t>
  </si>
  <si>
    <t>2043-02-10</t>
  </si>
  <si>
    <t xml:space="preserve">Марчук Андрей Олегович</t>
  </si>
  <si>
    <t>08.02.1981</t>
  </si>
  <si>
    <t>marchuk@gmail</t>
  </si>
  <si>
    <t>10.02.2043</t>
  </si>
  <si>
    <t xml:space="preserve">Завьялова Мария Павловна</t>
  </si>
  <si>
    <t>16.07.1979</t>
  </si>
  <si>
    <t>zavyalova@mail</t>
  </si>
  <si>
    <t>01.03.2043</t>
  </si>
  <si>
    <t xml:space="preserve">Балашов Денис Викторович</t>
  </si>
  <si>
    <t>19.09.1986</t>
  </si>
  <si>
    <t>balashov@yandex</t>
  </si>
  <si>
    <t>2043-03-15</t>
  </si>
  <si>
    <t xml:space="preserve">Борисенко Ольга Сергеевна</t>
  </si>
  <si>
    <t>01.01.1984</t>
  </si>
  <si>
    <t>borisenko@gmail</t>
  </si>
  <si>
    <t>15.03.2043</t>
  </si>
  <si>
    <t xml:space="preserve">Золотарев Илья Александрович</t>
  </si>
  <si>
    <t>17.11.1977</t>
  </si>
  <si>
    <t>zolotarev@mail</t>
  </si>
  <si>
    <t>01.04.2043</t>
  </si>
  <si>
    <t xml:space="preserve">Никольская Екатерина Алексеевна</t>
  </si>
  <si>
    <t>24.06.1992</t>
  </si>
  <si>
    <t>nikolskaya@yandex</t>
  </si>
  <si>
    <t>2043-04-10</t>
  </si>
  <si>
    <t xml:space="preserve">Шишкин Андрей Павлович</t>
  </si>
  <si>
    <t>23.12.1985</t>
  </si>
  <si>
    <t>shishkin@gmail</t>
  </si>
  <si>
    <t>10.04.2043</t>
  </si>
  <si>
    <t xml:space="preserve">Гущина Мария Олеговна</t>
  </si>
  <si>
    <t>01.05.2043</t>
  </si>
  <si>
    <t xml:space="preserve">Трушин Денис Сергеевич</t>
  </si>
  <si>
    <t>27.10.1989</t>
  </si>
  <si>
    <t>trushin@yandex</t>
  </si>
  <si>
    <t>2043-05-15</t>
  </si>
  <si>
    <t xml:space="preserve">Лаврикова Ольга Владимировна</t>
  </si>
  <si>
    <t>05.03.1982</t>
  </si>
  <si>
    <t>lavrikova@gmail</t>
  </si>
  <si>
    <t>15.05.2043</t>
  </si>
  <si>
    <t xml:space="preserve">Сластников Илья Алексеевич</t>
  </si>
  <si>
    <t>12.08.1976</t>
  </si>
  <si>
    <t>slastnikov@mail</t>
  </si>
  <si>
    <t>01.06.2043</t>
  </si>
  <si>
    <t xml:space="preserve">Кузьменко Екатерина Сергеевна</t>
  </si>
  <si>
    <t>21.04.1987</t>
  </si>
  <si>
    <t>kuzmenko@yandex</t>
  </si>
  <si>
    <t>2043-06-10</t>
  </si>
  <si>
    <t xml:space="preserve">Токаренко Андрей Олегович</t>
  </si>
  <si>
    <t>14.09.1983</t>
  </si>
  <si>
    <t>tokarenko@gmail</t>
  </si>
  <si>
    <t>10.06.2043</t>
  </si>
  <si>
    <t xml:space="preserve">Симонова Мария Павловна</t>
  </si>
  <si>
    <t>29.11.1970</t>
  </si>
  <si>
    <t>01.07.2043</t>
  </si>
  <si>
    <t xml:space="preserve">Царев Денис Викторович</t>
  </si>
  <si>
    <t>08.06.1988</t>
  </si>
  <si>
    <t>tsarev@yandex</t>
  </si>
  <si>
    <t>2043-07-15</t>
  </si>
  <si>
    <t xml:space="preserve">Крупина Ольга Сергеевна</t>
  </si>
  <si>
    <t>03.08.1978</t>
  </si>
  <si>
    <t>krupina@gmail</t>
  </si>
  <si>
    <t>15.07.2043</t>
  </si>
  <si>
    <t xml:space="preserve">Бурцев Илья Александрович</t>
  </si>
  <si>
    <t>16.10.1984</t>
  </si>
  <si>
    <t>burtsev@mail</t>
  </si>
  <si>
    <t>01.08.2043</t>
  </si>
  <si>
    <t xml:space="preserve">Илюхина Екатерина Владимировна</t>
  </si>
  <si>
    <t>ilyuhina@yandex</t>
  </si>
  <si>
    <t>2043-08-10</t>
  </si>
  <si>
    <t xml:space="preserve">Груздев Андрей Олегович</t>
  </si>
  <si>
    <t>25.05.1973</t>
  </si>
  <si>
    <t>gruzdev@gmail</t>
  </si>
  <si>
    <t>10.08.2043</t>
  </si>
  <si>
    <t xml:space="preserve">Новикова Мария Павловна</t>
  </si>
  <si>
    <t>11.07.1982</t>
  </si>
  <si>
    <t>novikova@mail</t>
  </si>
  <si>
    <t>01.09.2043</t>
  </si>
  <si>
    <t xml:space="preserve">Куликов Денис Сергеевич</t>
  </si>
  <si>
    <t>03.12.1989</t>
  </si>
  <si>
    <t>2043-09-15</t>
  </si>
  <si>
    <t xml:space="preserve">Быкова Ольга Владимировна</t>
  </si>
  <si>
    <t>07.09.1977</t>
  </si>
  <si>
    <t>bykova@gmail</t>
  </si>
  <si>
    <t>15.09.2043</t>
  </si>
  <si>
    <t xml:space="preserve">Щеглов Илья Алексеевич</t>
  </si>
  <si>
    <t>22.01.1985</t>
  </si>
  <si>
    <t>scheglov@mail</t>
  </si>
  <si>
    <t>01.10.2043</t>
  </si>
  <si>
    <t xml:space="preserve">Коровина Екатерина Сергеевна</t>
  </si>
  <si>
    <t>24.11.1992</t>
  </si>
  <si>
    <t>korovina@yandex</t>
  </si>
  <si>
    <t>2043-10-10</t>
  </si>
  <si>
    <t xml:space="preserve">Денисов Андрей Олегович</t>
  </si>
  <si>
    <t>02.06.1976</t>
  </si>
  <si>
    <t>denisov@gmail</t>
  </si>
  <si>
    <t>10.10.2043</t>
  </si>
  <si>
    <t xml:space="preserve">Ковалева Мария Павловна</t>
  </si>
  <si>
    <t>18.10.1983</t>
  </si>
  <si>
    <t>kovaleva@mail</t>
  </si>
  <si>
    <t>01.11.2043</t>
  </si>
  <si>
    <t xml:space="preserve">Сердюков Денис Викторович</t>
  </si>
  <si>
    <t>09.03.1990</t>
  </si>
  <si>
    <t>serdyukov@yandex</t>
  </si>
  <si>
    <t>2043-11-15</t>
  </si>
  <si>
    <t xml:space="preserve">Долгова Ольга Сергеевна</t>
  </si>
  <si>
    <t>14.12.1979</t>
  </si>
  <si>
    <t>dolgova@gmail</t>
  </si>
  <si>
    <t>15.11.2043</t>
  </si>
  <si>
    <t xml:space="preserve">Пирогов Илья Александрович</t>
  </si>
  <si>
    <t>pirogov@mail</t>
  </si>
  <si>
    <t>01.12.2043</t>
  </si>
  <si>
    <t xml:space="preserve">Зубкова Екатерина Владимировна</t>
  </si>
  <si>
    <t>30.08.1981</t>
  </si>
  <si>
    <t>zubkova@yandex</t>
  </si>
  <si>
    <t>2043-12-10</t>
  </si>
  <si>
    <t xml:space="preserve">Суслов Андрей Олегович</t>
  </si>
  <si>
    <t>05.11.1972</t>
  </si>
  <si>
    <t>suslov@gmail</t>
  </si>
  <si>
    <t>10.12.2043</t>
  </si>
  <si>
    <t xml:space="preserve">Куракина Мария Олеговна</t>
  </si>
  <si>
    <t>16.07.1985</t>
  </si>
  <si>
    <t>kurakina@mail</t>
  </si>
  <si>
    <t>01.01.2044</t>
  </si>
  <si>
    <t xml:space="preserve">Калашников Денис Павлович</t>
  </si>
  <si>
    <t>kalashnikov@yandex</t>
  </si>
  <si>
    <t>2044-01-15</t>
  </si>
  <si>
    <t xml:space="preserve">Гриднева Ольга Сергеевна</t>
  </si>
  <si>
    <t>02.09.1974</t>
  </si>
  <si>
    <t>gridneva@gmail</t>
  </si>
  <si>
    <t>15.01.2044</t>
  </si>
  <si>
    <t xml:space="preserve">Маслов Илья Александрович</t>
  </si>
  <si>
    <t>23.03.1983</t>
  </si>
  <si>
    <t>maslov@mail</t>
  </si>
  <si>
    <t>01.02.2044</t>
  </si>
  <si>
    <t xml:space="preserve">Александрова Екатерина Сергеевна</t>
  </si>
  <si>
    <t>10.12.1991</t>
  </si>
  <si>
    <t>aleksandrova@yandex</t>
  </si>
  <si>
    <t>2044-02-10</t>
  </si>
  <si>
    <t xml:space="preserve">Косогоров Андрей Олегович</t>
  </si>
  <si>
    <t>15.08.1977</t>
  </si>
  <si>
    <t>kosogorov@gmail</t>
  </si>
  <si>
    <t>10.02.2044</t>
  </si>
  <si>
    <t xml:space="preserve">Свиридова Мария Павловна</t>
  </si>
  <si>
    <t>29.10.1984</t>
  </si>
  <si>
    <t>sviridova@mail</t>
  </si>
  <si>
    <t>01.03.2044</t>
  </si>
  <si>
    <t xml:space="preserve">Бондарь Денис Викторович</t>
  </si>
  <si>
    <t>07.06.1990</t>
  </si>
  <si>
    <t>bondar@yandex</t>
  </si>
  <si>
    <t>2044-03-15</t>
  </si>
  <si>
    <t xml:space="preserve">Кузьмина Ольга Сергеевна</t>
  </si>
  <si>
    <t>19.01.1976</t>
  </si>
  <si>
    <t>15.03.2044</t>
  </si>
  <si>
    <t xml:space="preserve">Федосов Илья Алексеевич</t>
  </si>
  <si>
    <t>fedosov@mail</t>
  </si>
  <si>
    <t>01.04.2044</t>
  </si>
  <si>
    <t xml:space="preserve">Иващенко Екатерина Владимировна</t>
  </si>
  <si>
    <t>14.11.1988</t>
  </si>
  <si>
    <t>ivaschenko@yandex</t>
  </si>
  <si>
    <t>2044-04-10</t>
  </si>
  <si>
    <t xml:space="preserve">Поляков Андрей Олегович</t>
  </si>
  <si>
    <t>03.07.1975</t>
  </si>
  <si>
    <t>polyakov@gmail</t>
  </si>
  <si>
    <t>10.04.2044</t>
  </si>
  <si>
    <t xml:space="preserve">Павлова Мария Павловна</t>
  </si>
  <si>
    <t>21.02.1981</t>
  </si>
  <si>
    <t>01.05.2044</t>
  </si>
  <si>
    <t xml:space="preserve">Трунов Денис Сергеевич</t>
  </si>
  <si>
    <t>24.12.1986</t>
  </si>
  <si>
    <t>trunov@yandex</t>
  </si>
  <si>
    <t>2044-05-15</t>
  </si>
  <si>
    <t xml:space="preserve">Байкова Ольга Владимировна</t>
  </si>
  <si>
    <t>08.04.1973</t>
  </si>
  <si>
    <t>baykova@gmail</t>
  </si>
  <si>
    <t>15.05.2044</t>
  </si>
  <si>
    <t xml:space="preserve">Клишин Илья Александрович</t>
  </si>
  <si>
    <t>13.09.1985</t>
  </si>
  <si>
    <t>klishin@mail</t>
  </si>
  <si>
    <t>01.06.2044</t>
  </si>
  <si>
    <t xml:space="preserve">Ярцева Екатерина Сергеевна</t>
  </si>
  <si>
    <t>31.05.1992</t>
  </si>
  <si>
    <t>yartseva@yandex</t>
  </si>
  <si>
    <t>2044-06-10</t>
  </si>
  <si>
    <t xml:space="preserve">Касаткин Андрей Павлович</t>
  </si>
  <si>
    <t>02.08.1978</t>
  </si>
  <si>
    <t>kasatkin@gmail</t>
  </si>
  <si>
    <t>10.06.2044</t>
  </si>
  <si>
    <t xml:space="preserve">Мещерякова Мария Олеговна</t>
  </si>
  <si>
    <t>10.11.1984</t>
  </si>
  <si>
    <t>mescheryakovа@mail</t>
  </si>
  <si>
    <t>01.07.2044</t>
  </si>
  <si>
    <t xml:space="preserve">Жданов Денис Викторович</t>
  </si>
  <si>
    <t>17.03.1990</t>
  </si>
  <si>
    <t>zhdanov@yandex</t>
  </si>
  <si>
    <t>2044-07-15</t>
  </si>
  <si>
    <t xml:space="preserve">Куликова Ольга Павловна</t>
  </si>
  <si>
    <t>05.07.1979</t>
  </si>
  <si>
    <t>kulikova@gmail</t>
  </si>
  <si>
    <t>15.07.2044</t>
  </si>
  <si>
    <t xml:space="preserve">Леднев Илья Алексеевич</t>
  </si>
  <si>
    <t>28.12.1983</t>
  </si>
  <si>
    <t>lednev@mail</t>
  </si>
  <si>
    <t>01.08.2044</t>
  </si>
  <si>
    <t xml:space="preserve">Соколовская Екатерина Сергеевна</t>
  </si>
  <si>
    <t>15.06.1987</t>
  </si>
  <si>
    <t>sokolovskaya@yandex</t>
  </si>
  <si>
    <t>2044-08-10</t>
  </si>
  <si>
    <t xml:space="preserve">Синельников Андрей Олегович</t>
  </si>
  <si>
    <t>20.02.1976</t>
  </si>
  <si>
    <t>sinelnikov@gmail</t>
  </si>
  <si>
    <t>10.08.2044</t>
  </si>
  <si>
    <t xml:space="preserve">Калинкина Мария Владимировна</t>
  </si>
  <si>
    <t>04.10.1982</t>
  </si>
  <si>
    <t>kalinkina@mail</t>
  </si>
  <si>
    <t>01.09.2044</t>
  </si>
  <si>
    <t xml:space="preserve">Загороднев Денис Павлович</t>
  </si>
  <si>
    <t>16.05.1991</t>
  </si>
  <si>
    <t>zagorodnev@yandex</t>
  </si>
  <si>
    <t>2044-09-15</t>
  </si>
  <si>
    <t xml:space="preserve">Басова Ольга Сергеевна</t>
  </si>
  <si>
    <t>22.09.1974</t>
  </si>
  <si>
    <t>basova@gmail</t>
  </si>
  <si>
    <t>15.09.2044</t>
  </si>
  <si>
    <t xml:space="preserve">Михайлов Илья Александрович</t>
  </si>
  <si>
    <t>03.02.1986</t>
  </si>
  <si>
    <t>mihaylov@mail</t>
  </si>
  <si>
    <t>01.10.2044</t>
  </si>
  <si>
    <t xml:space="preserve">Тарасюк Екатерина Владимировна</t>
  </si>
  <si>
    <t>14.10.1992</t>
  </si>
  <si>
    <t>tarasyuk@yandex</t>
  </si>
  <si>
    <t>2044-10-10</t>
  </si>
  <si>
    <t xml:space="preserve">Ожегов Андрей Олегович</t>
  </si>
  <si>
    <t>08.12.1977</t>
  </si>
  <si>
    <t>ozhegov@gmail</t>
  </si>
  <si>
    <t>10.10.2044</t>
  </si>
  <si>
    <t xml:space="preserve">Сидоренко Мария Павловна</t>
  </si>
  <si>
    <t>25.07.1985</t>
  </si>
  <si>
    <t>01.11.2044</t>
  </si>
  <si>
    <t xml:space="preserve">Черных Денис Сергеевич</t>
  </si>
  <si>
    <t>13.11.1980</t>
  </si>
  <si>
    <t>chernyh@yandex</t>
  </si>
  <si>
    <t>2044-11-15</t>
  </si>
  <si>
    <t xml:space="preserve">Зорина Ольга Владимировна</t>
  </si>
  <si>
    <t>19.04.1975</t>
  </si>
  <si>
    <t>15.11.2044</t>
  </si>
  <si>
    <t xml:space="preserve">Трошин Илья Александрович</t>
  </si>
  <si>
    <t>21.06.1987</t>
  </si>
  <si>
    <t>troshin@mail</t>
  </si>
  <si>
    <t>01.12.2044</t>
  </si>
  <si>
    <t xml:space="preserve">Леонова Екатерина Сергеевна</t>
  </si>
  <si>
    <t>09.12.1991</t>
  </si>
  <si>
    <t>leonova@yandex</t>
  </si>
  <si>
    <t>2044-12-10</t>
  </si>
  <si>
    <t xml:space="preserve">Зубков Андрей Олегович</t>
  </si>
  <si>
    <t>27.08.1976</t>
  </si>
  <si>
    <t>zubkov@gmail</t>
  </si>
  <si>
    <t>10.12.2044</t>
  </si>
  <si>
    <t xml:space="preserve">Красикова Мария Павловна</t>
  </si>
  <si>
    <t>18.01.1983</t>
  </si>
  <si>
    <t>krasikova@mail</t>
  </si>
  <si>
    <t>01.01.2045</t>
  </si>
  <si>
    <t xml:space="preserve">Мусин Денис Викторович</t>
  </si>
  <si>
    <t>07.10.1989</t>
  </si>
  <si>
    <t>musin@yandex</t>
  </si>
  <si>
    <t>2045-01-15</t>
  </si>
  <si>
    <t xml:space="preserve">Руднева Ольга Сергеевна</t>
  </si>
  <si>
    <t>23.09.1978</t>
  </si>
  <si>
    <t>rudneva@gmail</t>
  </si>
  <si>
    <t>15.01.2045</t>
  </si>
  <si>
    <t xml:space="preserve">Кузьмин Илья Алексеевич</t>
  </si>
  <si>
    <t>15.05.1985</t>
  </si>
  <si>
    <t>01.02.2045</t>
  </si>
  <si>
    <t xml:space="preserve">Шатилова Екатерина Владимировна</t>
  </si>
  <si>
    <t>04.11.1992</t>
  </si>
  <si>
    <t>shatilova@yandex</t>
  </si>
  <si>
    <t>2045-02-10</t>
  </si>
  <si>
    <t xml:space="preserve">Петрухин Андрей Олегович</t>
  </si>
  <si>
    <t>02.07.1973</t>
  </si>
  <si>
    <t>petruhin@gmail</t>
  </si>
  <si>
    <t>10.02.2045</t>
  </si>
  <si>
    <t xml:space="preserve">Стрекалова Мария Павловна</t>
  </si>
  <si>
    <t>strekalova@mail</t>
  </si>
  <si>
    <t>01.03.2045</t>
  </si>
  <si>
    <t xml:space="preserve">Назаров Денис Сергеевич</t>
  </si>
  <si>
    <t>18.03.1986</t>
  </si>
  <si>
    <t>2045-03-15</t>
  </si>
  <si>
    <t xml:space="preserve">Иванищева Ольга Владимировна</t>
  </si>
  <si>
    <t>10.08.1974</t>
  </si>
  <si>
    <t>ivanischeva@gmail</t>
  </si>
  <si>
    <t>15.03.2045</t>
  </si>
  <si>
    <t xml:space="preserve">Спирин Илья Александрович</t>
  </si>
  <si>
    <t>spirin@mail</t>
  </si>
  <si>
    <t>01.04.2045</t>
  </si>
  <si>
    <t xml:space="preserve">Гурьева Екатерина Сергеевна</t>
  </si>
  <si>
    <t>24.04.1991</t>
  </si>
  <si>
    <t>gurieva@yandex</t>
  </si>
  <si>
    <t>2045-04-10</t>
  </si>
  <si>
    <t xml:space="preserve">Митрохин Андрей Олегович</t>
  </si>
  <si>
    <t>17.06.1979</t>
  </si>
  <si>
    <t>mitrohin@gmail</t>
  </si>
  <si>
    <t>10.04.2045</t>
  </si>
  <si>
    <t xml:space="preserve">Скоробогатова Мария Павловна</t>
  </si>
  <si>
    <t>06.11.1988</t>
  </si>
  <si>
    <t>skorobogatova@mail</t>
  </si>
  <si>
    <t>01.05.2045</t>
  </si>
  <si>
    <t xml:space="preserve">Чижов Денис Викторович</t>
  </si>
  <si>
    <t>30.07.1983</t>
  </si>
  <si>
    <t>chizhov@yandex</t>
  </si>
  <si>
    <t>2045-05-15</t>
  </si>
  <si>
    <t xml:space="preserve">Лукина Ольга Сергеевна</t>
  </si>
  <si>
    <t>21.10.1975</t>
  </si>
  <si>
    <t>lukina@gmail</t>
  </si>
  <si>
    <t>15.05.2045</t>
  </si>
  <si>
    <t xml:space="preserve">Белоус Илья Алексеевич</t>
  </si>
  <si>
    <t>19.12.1980</t>
  </si>
  <si>
    <t>belous@mail</t>
  </si>
  <si>
    <t>01.06.2045</t>
  </si>
  <si>
    <t xml:space="preserve">Алексеева Екатерина Владимировна</t>
  </si>
  <si>
    <t>08.02.1987</t>
  </si>
  <si>
    <t>2045-06-10</t>
  </si>
  <si>
    <t xml:space="preserve">Постников Андрей Олегович</t>
  </si>
  <si>
    <t>postnikov@gmail</t>
  </si>
  <si>
    <t>10.06.2045</t>
  </si>
  <si>
    <t xml:space="preserve">Кравец Мария Павловна</t>
  </si>
  <si>
    <t>03.05.1976</t>
  </si>
  <si>
    <t>kravets@mail</t>
  </si>
  <si>
    <t>01.07.2045</t>
  </si>
  <si>
    <t xml:space="preserve">Кураев Денис Сергеевич</t>
  </si>
  <si>
    <t>14.08.1985</t>
  </si>
  <si>
    <t>kuraev@yandex</t>
  </si>
  <si>
    <t>2045-07-15</t>
  </si>
  <si>
    <t xml:space="preserve">Абрамова Ольга Владимировна</t>
  </si>
  <si>
    <t>abramova@gmail</t>
  </si>
  <si>
    <t>15.07.2045</t>
  </si>
  <si>
    <t xml:space="preserve">Зайцев Илья Александрович</t>
  </si>
  <si>
    <t>09.01.1974</t>
  </si>
  <si>
    <t>zaytsev@mail</t>
  </si>
  <si>
    <t>01.08.2045</t>
  </si>
  <si>
    <t xml:space="preserve">Горюнова Екатерина Сергеевна</t>
  </si>
  <si>
    <t>2045-08-10</t>
  </si>
  <si>
    <t xml:space="preserve">Пичугин Андрей Олегович</t>
  </si>
  <si>
    <t>05.12.1989</t>
  </si>
  <si>
    <t>pichugin@gmail</t>
  </si>
  <si>
    <t>10.08.2045</t>
  </si>
  <si>
    <t xml:space="preserve">Воронова Мария Павловна</t>
  </si>
  <si>
    <t>23.04.1977</t>
  </si>
  <si>
    <t>voronova@mail</t>
  </si>
  <si>
    <t>01.09.2045</t>
  </si>
  <si>
    <t xml:space="preserve">Балабанов Денис Викторович</t>
  </si>
  <si>
    <t>15.09.1984</t>
  </si>
  <si>
    <t>balabanov@yandex</t>
  </si>
  <si>
    <t>2045-09-15</t>
  </si>
  <si>
    <t xml:space="preserve">Скачкова Ольга Сергеевна</t>
  </si>
  <si>
    <t>28.10.1990</t>
  </si>
  <si>
    <t>15.09.2045</t>
  </si>
  <si>
    <t xml:space="preserve">Лобанов Илья Александрович</t>
  </si>
  <si>
    <t>19.02.1973</t>
  </si>
  <si>
    <t>lobanov@mail</t>
  </si>
  <si>
    <t>01.10.2045</t>
  </si>
  <si>
    <t xml:space="preserve">Хомякова Екатерина Владимировна</t>
  </si>
  <si>
    <t>06.06.1986</t>
  </si>
  <si>
    <t>homyakova@yandex</t>
  </si>
  <si>
    <t>2045-10-10</t>
  </si>
  <si>
    <t xml:space="preserve">Стукалов Андрей Олегович</t>
  </si>
  <si>
    <t>25.12.1981</t>
  </si>
  <si>
    <t>stukalov@gmail</t>
  </si>
  <si>
    <t>10.10.2045</t>
  </si>
  <si>
    <t xml:space="preserve">Морозова Мария Павловна</t>
  </si>
  <si>
    <t>16.08.1975</t>
  </si>
  <si>
    <t>morozova@mail</t>
  </si>
  <si>
    <t>01.11.2045</t>
  </si>
  <si>
    <t xml:space="preserve">Кутузов Денис Сергеевич</t>
  </si>
  <si>
    <t>07.03.1992</t>
  </si>
  <si>
    <t>kutuzov@yandex</t>
  </si>
  <si>
    <t>2045-11-15</t>
  </si>
  <si>
    <t xml:space="preserve">Федотова Ольга Владимировна</t>
  </si>
  <si>
    <t>19.10.1983</t>
  </si>
  <si>
    <t>fedotova@gmail</t>
  </si>
  <si>
    <t>15.11.2045</t>
  </si>
  <si>
    <t xml:space="preserve">Воробьев Илья Александрович</t>
  </si>
  <si>
    <t>22.07.1978</t>
  </si>
  <si>
    <t>vorobyev@mail</t>
  </si>
  <si>
    <t>01.12.2045</t>
  </si>
  <si>
    <t xml:space="preserve">Селиванова Екатерина Сергеевна</t>
  </si>
  <si>
    <t>11.09.1988</t>
  </si>
  <si>
    <t>selivanova@yandex</t>
  </si>
  <si>
    <t>2045-12-10</t>
  </si>
  <si>
    <t xml:space="preserve">Третьяков Андрей Олегович</t>
  </si>
  <si>
    <t>14.05.1971</t>
  </si>
  <si>
    <t>tretyakov@gmail</t>
  </si>
  <si>
    <t>10.12.2045</t>
  </si>
  <si>
    <t xml:space="preserve">Решетникова Мария Павловна</t>
  </si>
  <si>
    <t>reshetnikova@mail</t>
  </si>
  <si>
    <t>01.01.2046</t>
  </si>
  <si>
    <t xml:space="preserve">Попков Денис Викторович</t>
  </si>
  <si>
    <t>18.06.1990</t>
  </si>
  <si>
    <t>popkov@yandex</t>
  </si>
  <si>
    <t>2046-01-15</t>
  </si>
  <si>
    <t xml:space="preserve">Шевцова Ольга Сергеевна</t>
  </si>
  <si>
    <t>24.08.1977</t>
  </si>
  <si>
    <t>shevtsova@gmail</t>
  </si>
  <si>
    <t>15.01.2046</t>
  </si>
  <si>
    <t xml:space="preserve">Казаков Илья Александрович</t>
  </si>
  <si>
    <t>09.01.1983</t>
  </si>
  <si>
    <t>kazakov@mail</t>
  </si>
  <si>
    <t>01.02.2046</t>
  </si>
  <si>
    <t xml:space="preserve">Кречетова Екатерина Владимировна</t>
  </si>
  <si>
    <t>16.11.1991</t>
  </si>
  <si>
    <t>krechetova@yandex</t>
  </si>
  <si>
    <t>2046-02-10</t>
  </si>
  <si>
    <t xml:space="preserve">Алёшин Андрей Олегович</t>
  </si>
  <si>
    <t>03.12.1972</t>
  </si>
  <si>
    <t>aleshin@gmail</t>
  </si>
  <si>
    <t>10.02.2046</t>
  </si>
  <si>
    <t xml:space="preserve">Парфёнова Мария Павловна</t>
  </si>
  <si>
    <t>27.07.1986</t>
  </si>
  <si>
    <t>parfyonova@mail</t>
  </si>
  <si>
    <t>01.03.2046</t>
  </si>
  <si>
    <t xml:space="preserve">Гаврилов Денис Сергеевич</t>
  </si>
  <si>
    <t>gavrilov@yandex</t>
  </si>
  <si>
    <t>2046-03-15</t>
  </si>
  <si>
    <t xml:space="preserve">Корчагина Ольга Владимировна</t>
  </si>
  <si>
    <t>13.10.1984</t>
  </si>
  <si>
    <t>korchagina@gmail</t>
  </si>
  <si>
    <t>15.03.2046</t>
  </si>
  <si>
    <t xml:space="preserve">Гуляева Екатерина Александровна</t>
  </si>
  <si>
    <t>21.05.1974</t>
  </si>
  <si>
    <t>gulyaeva@mail</t>
  </si>
  <si>
    <t>01.04.2046</t>
  </si>
  <si>
    <t xml:space="preserve">Бережной Илья Викторович</t>
  </si>
  <si>
    <t>08.08.1982</t>
  </si>
  <si>
    <t>berezhnoy@yandex</t>
  </si>
  <si>
    <t>2046-04-10</t>
  </si>
  <si>
    <t xml:space="preserve">Булатова Мария Олеговна</t>
  </si>
  <si>
    <t>bulatova@gmail</t>
  </si>
  <si>
    <t>10.04.2046</t>
  </si>
  <si>
    <t xml:space="preserve">Капустин Андрей Павлович</t>
  </si>
  <si>
    <t>29.09.1975</t>
  </si>
  <si>
    <t>kapustin@mail</t>
  </si>
  <si>
    <t>01.05.2046</t>
  </si>
  <si>
    <t>03.12.1981</t>
  </si>
  <si>
    <t>2046-05-15</t>
  </si>
  <si>
    <t xml:space="preserve">Барсуков Денис Викторович</t>
  </si>
  <si>
    <t>19.01.1987</t>
  </si>
  <si>
    <t>barsukov@gmail</t>
  </si>
  <si>
    <t>15.05.2046</t>
  </si>
  <si>
    <t xml:space="preserve">Мосина Екатерина Владимировна</t>
  </si>
  <si>
    <t>01.06.2046</t>
  </si>
  <si>
    <t xml:space="preserve">Вершинин Илья Александрович</t>
  </si>
  <si>
    <t>24.06.1978</t>
  </si>
  <si>
    <t>vershinin@yandex</t>
  </si>
  <si>
    <t>2046-06-10</t>
  </si>
  <si>
    <t xml:space="preserve">Волова Мария Павловна</t>
  </si>
  <si>
    <t>15.04.1984</t>
  </si>
  <si>
    <t>volova@gmail</t>
  </si>
  <si>
    <t>10.06.2046</t>
  </si>
  <si>
    <t xml:space="preserve">Мезенцев Андрей Олегович</t>
  </si>
  <si>
    <t>mezencev@mail</t>
  </si>
  <si>
    <t>01.07.2046</t>
  </si>
  <si>
    <t xml:space="preserve">Аксенова Ольга Сергеевна</t>
  </si>
  <si>
    <t>07.12.1973</t>
  </si>
  <si>
    <t>aksenova@yandex</t>
  </si>
  <si>
    <t>2046-07-15</t>
  </si>
  <si>
    <t xml:space="preserve">Смолин Денис Павлович</t>
  </si>
  <si>
    <t>19.05.1986</t>
  </si>
  <si>
    <t>smolin@gmail</t>
  </si>
  <si>
    <t>15.07.2046</t>
  </si>
  <si>
    <t xml:space="preserve">Сергиенко Екатерина Владимировна</t>
  </si>
  <si>
    <t>04.11.1990</t>
  </si>
  <si>
    <t>sergienko@mail</t>
  </si>
  <si>
    <t>01.08.2046</t>
  </si>
  <si>
    <t xml:space="preserve">Брусницын Илья Александрович</t>
  </si>
  <si>
    <t>08.10.1981</t>
  </si>
  <si>
    <t>brusnitsyn@yandex</t>
  </si>
  <si>
    <t>2046-08-10</t>
  </si>
  <si>
    <t xml:space="preserve">Виноградова Мария Павловна</t>
  </si>
  <si>
    <t>17.03.1975</t>
  </si>
  <si>
    <t>vinogradova@gmail</t>
  </si>
  <si>
    <t>10.08.2046</t>
  </si>
  <si>
    <t xml:space="preserve">Грачев Андрей Олегович</t>
  </si>
  <si>
    <t>23.07.1988</t>
  </si>
  <si>
    <t>grachev@mail</t>
  </si>
  <si>
    <t>01.09.2046</t>
  </si>
  <si>
    <t xml:space="preserve">Тимофеева Ольга Сергеевна</t>
  </si>
  <si>
    <t>21.01.1983</t>
  </si>
  <si>
    <t>timofeeva@yandex</t>
  </si>
  <si>
    <t>2046-09-15</t>
  </si>
  <si>
    <t xml:space="preserve">Смирнов Денис Викторович</t>
  </si>
  <si>
    <t>14.12.1976</t>
  </si>
  <si>
    <t>smirnov@gmail</t>
  </si>
  <si>
    <t>15.09.2046</t>
  </si>
  <si>
    <t xml:space="preserve">Ерохина Екатерина Владимировна</t>
  </si>
  <si>
    <t>03.04.1984</t>
  </si>
  <si>
    <t>erohina@mail</t>
  </si>
  <si>
    <t>01.10.2046</t>
  </si>
  <si>
    <t xml:space="preserve">Пелевин Илья Александрович</t>
  </si>
  <si>
    <t>06.08.1991</t>
  </si>
  <si>
    <t>pelevin@yandex</t>
  </si>
  <si>
    <t>2046-10-10</t>
  </si>
  <si>
    <t xml:space="preserve">Кирсанова Мария Павловна</t>
  </si>
  <si>
    <t>kirsanova@gmail</t>
  </si>
  <si>
    <t>10.10.2046</t>
  </si>
  <si>
    <t xml:space="preserve">Белозеров Андрей Олегович</t>
  </si>
  <si>
    <t>16.09.1986</t>
  </si>
  <si>
    <t>belozerov@mail</t>
  </si>
  <si>
    <t>01.11.2046</t>
  </si>
  <si>
    <t xml:space="preserve">Пучкова Ольга Сергеевна</t>
  </si>
  <si>
    <t>29.11.1992</t>
  </si>
  <si>
    <t>puchkova@yandex</t>
  </si>
  <si>
    <t>2046-11-15</t>
  </si>
  <si>
    <t xml:space="preserve">Костин Денис Павлович</t>
  </si>
  <si>
    <t>12.10.1978</t>
  </si>
  <si>
    <t>15.11.2046</t>
  </si>
  <si>
    <t xml:space="preserve">Попова Екатерина Владимировна</t>
  </si>
  <si>
    <t>24.08.1982</t>
  </si>
  <si>
    <t>01.12.2046</t>
  </si>
  <si>
    <t xml:space="preserve">Сазонов Илья Александрович</t>
  </si>
  <si>
    <t>07.12.1989</t>
  </si>
  <si>
    <t>sazonov@yandex</t>
  </si>
  <si>
    <t>2046-12-10</t>
  </si>
  <si>
    <t xml:space="preserve">Кузьменко Андрей Олегович</t>
  </si>
  <si>
    <t>05.05.1977</t>
  </si>
  <si>
    <t>kuzmenko@gmail</t>
  </si>
  <si>
    <t>10.12.2046</t>
  </si>
  <si>
    <t xml:space="preserve">Герасимов Денис Викторович</t>
  </si>
  <si>
    <t>gerasimov@mail</t>
  </si>
  <si>
    <t>01.01.2047</t>
  </si>
  <si>
    <t xml:space="preserve">Михайлова Ольга Сергеевна</t>
  </si>
  <si>
    <t>27.03.1990</t>
  </si>
  <si>
    <t>mihaylova@yandex</t>
  </si>
  <si>
    <t>2047-01-15</t>
  </si>
  <si>
    <t xml:space="preserve">Чеботарева Мария Павловна</t>
  </si>
  <si>
    <t>03.08.1974</t>
  </si>
  <si>
    <t>chebotareva@gmail</t>
  </si>
  <si>
    <t>15.01.2047</t>
  </si>
  <si>
    <t xml:space="preserve">Стрелков Андрей Олегович</t>
  </si>
  <si>
    <t>12.06.1983</t>
  </si>
  <si>
    <t>01.02.2047</t>
  </si>
  <si>
    <t xml:space="preserve">Доброва Екатерина Владимировна</t>
  </si>
  <si>
    <t>19.10.1988</t>
  </si>
  <si>
    <t>dobrova@yandex</t>
  </si>
  <si>
    <t>2047-02-10</t>
  </si>
  <si>
    <t xml:space="preserve">Калачев Илья Александрович</t>
  </si>
  <si>
    <t>04.07.1973</t>
  </si>
  <si>
    <t>kalachev@gmail</t>
  </si>
  <si>
    <t>10.02.2047</t>
  </si>
  <si>
    <t xml:space="preserve">Пахомова Мария Павловна</t>
  </si>
  <si>
    <t>23.12.1980</t>
  </si>
  <si>
    <t>pahomova@mail</t>
  </si>
  <si>
    <t>01.03.2047</t>
  </si>
  <si>
    <t xml:space="preserve">Усков Денис Сергеевич</t>
  </si>
  <si>
    <t>09.05.1986</t>
  </si>
  <si>
    <t>uskov@yandex</t>
  </si>
  <si>
    <t>2047-03-15</t>
  </si>
  <si>
    <t xml:space="preserve">Кудрявцева Ольга Владимировна</t>
  </si>
  <si>
    <t>11.09.1991</t>
  </si>
  <si>
    <t>kudryavtseva@gmail</t>
  </si>
  <si>
    <t>15.03.2047</t>
  </si>
  <si>
    <t xml:space="preserve">Миллер Андрей Олегович</t>
  </si>
  <si>
    <t>18.01.1976</t>
  </si>
  <si>
    <t>miller@mail</t>
  </si>
  <si>
    <t>01.04.2047</t>
  </si>
  <si>
    <t xml:space="preserve">Степанова Екатерина Сергеевна</t>
  </si>
  <si>
    <t>06.07.1984</t>
  </si>
  <si>
    <t>2047-04-10</t>
  </si>
  <si>
    <t xml:space="preserve">Прокопьев Илья Александрович</t>
  </si>
  <si>
    <t>01.03.1982</t>
  </si>
  <si>
    <t>prokopyev@gmail</t>
  </si>
  <si>
    <t>10.04.2047</t>
  </si>
  <si>
    <t xml:space="preserve">Игнатьева Мария Павловна</t>
  </si>
  <si>
    <t>24.08.1978</t>
  </si>
  <si>
    <t>ignatieva@mail</t>
  </si>
  <si>
    <t>01.05.2047</t>
  </si>
  <si>
    <t xml:space="preserve">Сидоров Денис Викторович</t>
  </si>
  <si>
    <t>17.12.1987</t>
  </si>
  <si>
    <t>sidorov@yandex</t>
  </si>
  <si>
    <t>2047-05-15</t>
  </si>
  <si>
    <t xml:space="preserve">Петрова Ольга Сергеевна</t>
  </si>
  <si>
    <t>28.11.1972</t>
  </si>
  <si>
    <t>15.05.2047</t>
  </si>
  <si>
    <t xml:space="preserve">Ларионов Андрей Олегович</t>
  </si>
  <si>
    <t>22.05.1983</t>
  </si>
  <si>
    <t>larionov@mail</t>
  </si>
  <si>
    <t>01.06.2047</t>
  </si>
  <si>
    <t xml:space="preserve">Зубова Екатерина Владимировна</t>
  </si>
  <si>
    <t>14.07.1990</t>
  </si>
  <si>
    <t>zubova@yandex</t>
  </si>
  <si>
    <t>2047-06-10</t>
  </si>
  <si>
    <t xml:space="preserve">Киреев Денис Сергеевич</t>
  </si>
  <si>
    <t>08.09.1975</t>
  </si>
  <si>
    <t>kireev@gmail</t>
  </si>
  <si>
    <t>10.06.2047</t>
  </si>
  <si>
    <t xml:space="preserve">Крупнова Мария Павловна</t>
  </si>
  <si>
    <t>26.03.1981</t>
  </si>
  <si>
    <t>krupnova@mail</t>
  </si>
  <si>
    <t>01.07.2047</t>
  </si>
  <si>
    <t xml:space="preserve">Масленников Илья Александрович</t>
  </si>
  <si>
    <t>30.10.1986</t>
  </si>
  <si>
    <t>maslennikov@yandex</t>
  </si>
  <si>
    <t>2047-07-15</t>
  </si>
  <si>
    <t xml:space="preserve">Широкова Ольга Сергеевна</t>
  </si>
  <si>
    <t>17.12.1991</t>
  </si>
  <si>
    <t>15.07.2047</t>
  </si>
  <si>
    <t xml:space="preserve">Рубцов Андрей Олегович</t>
  </si>
  <si>
    <t>11.08.1976</t>
  </si>
  <si>
    <t>rubtsov@mail</t>
  </si>
  <si>
    <t>01.08.2047</t>
  </si>
  <si>
    <t xml:space="preserve">Ковалева Екатерина Владимировна</t>
  </si>
  <si>
    <t>02.06.1984</t>
  </si>
  <si>
    <t>kovaleva@yandex</t>
  </si>
  <si>
    <t>2047-08-10</t>
  </si>
  <si>
    <t xml:space="preserve">Чижиков Илья Александрович</t>
  </si>
  <si>
    <t>19.11.1988</t>
  </si>
  <si>
    <t>chizhikov@gmail</t>
  </si>
  <si>
    <t>10.08.2047</t>
  </si>
  <si>
    <t xml:space="preserve">Борзова Мария Павловна</t>
  </si>
  <si>
    <t>borzova@mail</t>
  </si>
  <si>
    <t>01.09.2047</t>
  </si>
  <si>
    <t xml:space="preserve">Трофимов Денис Викторович</t>
  </si>
  <si>
    <t>27.03.1985</t>
  </si>
  <si>
    <t>trofimov@yandex</t>
  </si>
  <si>
    <t>2047-09-15</t>
  </si>
  <si>
    <t xml:space="preserve">Кузьмичева Ольга Сергеевна</t>
  </si>
  <si>
    <t>05.07.1992</t>
  </si>
  <si>
    <t>kuzmicheva@gmail</t>
  </si>
  <si>
    <t>15.09.2047</t>
  </si>
  <si>
    <t xml:space="preserve">Голованов Андрей Олегович</t>
  </si>
  <si>
    <t>24.02.1973</t>
  </si>
  <si>
    <t>golovanov@mail</t>
  </si>
  <si>
    <t>01.10.2047</t>
  </si>
  <si>
    <t xml:space="preserve">Гущин Илья Александрович</t>
  </si>
  <si>
    <t>15.12.1981</t>
  </si>
  <si>
    <t>guschin@yandex</t>
  </si>
  <si>
    <t>2047-10-10</t>
  </si>
  <si>
    <t xml:space="preserve">Кашкаева Екатерина Владимировна</t>
  </si>
  <si>
    <t>21.08.1987</t>
  </si>
  <si>
    <t>kashkaeva@gmail</t>
  </si>
  <si>
    <t>10.10.2047</t>
  </si>
  <si>
    <t xml:space="preserve">Лобачева Мария Павловна</t>
  </si>
  <si>
    <t>07.10.1977</t>
  </si>
  <si>
    <t>lobacheva@mail</t>
  </si>
  <si>
    <t>01.11.2047</t>
  </si>
  <si>
    <t xml:space="preserve">Ершов Денис Сергеевич</t>
  </si>
  <si>
    <t>30.11.1990</t>
  </si>
  <si>
    <t>ershov@yandex</t>
  </si>
  <si>
    <t>2047-11-15</t>
  </si>
  <si>
    <t xml:space="preserve">Петухова Ольга Сергеевна</t>
  </si>
  <si>
    <t>16.05.1983</t>
  </si>
  <si>
    <t>petuhova@gmail</t>
  </si>
  <si>
    <t>15.11.2047</t>
  </si>
  <si>
    <t xml:space="preserve">Козлов Андрей Олегович</t>
  </si>
  <si>
    <t>09.01.1978</t>
  </si>
  <si>
    <t>kozlov@mail</t>
  </si>
  <si>
    <t>01.12.2047</t>
  </si>
  <si>
    <t xml:space="preserve">Волкова Екатерина Владимировна</t>
  </si>
  <si>
    <t>24.07.1985</t>
  </si>
  <si>
    <t>2047-12-10</t>
  </si>
  <si>
    <t xml:space="preserve">Коробков Илья Александрович</t>
  </si>
  <si>
    <t>12.09.1992</t>
  </si>
  <si>
    <t>korobkov@gmail</t>
  </si>
  <si>
    <t>10.12.2047</t>
  </si>
  <si>
    <t xml:space="preserve">Родионова Мария Павловна</t>
  </si>
  <si>
    <t>18.12.1976</t>
  </si>
  <si>
    <t>rodionova@mail</t>
  </si>
  <si>
    <t>01.01.2048</t>
  </si>
  <si>
    <t xml:space="preserve">Кириллов Денис Викторович</t>
  </si>
  <si>
    <t>03.11.1981</t>
  </si>
  <si>
    <t>kirillov@yandex</t>
  </si>
  <si>
    <t>2048-01-15</t>
  </si>
  <si>
    <t xml:space="preserve">Жукова Ольга Сергеевна</t>
  </si>
  <si>
    <t>25.06.1989</t>
  </si>
  <si>
    <t>zhukova@gmail</t>
  </si>
  <si>
    <t>15.01.2048</t>
  </si>
  <si>
    <t xml:space="preserve">Чесноков Андрей Олегович</t>
  </si>
  <si>
    <t>15.03.1975</t>
  </si>
  <si>
    <t>chesnokov@mail</t>
  </si>
  <si>
    <t>01.02.2048</t>
  </si>
  <si>
    <t xml:space="preserve">Дьякова Екатерина Владимировна</t>
  </si>
  <si>
    <t>05.07.1982</t>
  </si>
  <si>
    <t>dyakova@yandex</t>
  </si>
  <si>
    <t>2048-02-10</t>
  </si>
  <si>
    <t xml:space="preserve">Лесин Илья Александрович</t>
  </si>
  <si>
    <t>27.10.1990</t>
  </si>
  <si>
    <t>lesin@gmail</t>
  </si>
  <si>
    <t>10.02.2048</t>
  </si>
  <si>
    <t xml:space="preserve">Матвеева Мария Павловна</t>
  </si>
  <si>
    <t>matveeva@mail</t>
  </si>
  <si>
    <t>01.03.2048</t>
  </si>
  <si>
    <t xml:space="preserve">Смирнова Ольга Сергеевна</t>
  </si>
  <si>
    <t>22.04.1973</t>
  </si>
  <si>
    <t>smirnova@yandex</t>
  </si>
  <si>
    <t>2048-03-15</t>
  </si>
  <si>
    <t xml:space="preserve">Букин Денис Викторович</t>
  </si>
  <si>
    <t>bukin@gmail</t>
  </si>
  <si>
    <t>15.03.2048</t>
  </si>
  <si>
    <t xml:space="preserve">Стрельцова Екатерина Владимировна</t>
  </si>
  <si>
    <t>02.02.1991</t>
  </si>
  <si>
    <t>streltsova@mail</t>
  </si>
  <si>
    <t>01.04.2048</t>
  </si>
  <si>
    <t xml:space="preserve">Марков Андрей Олегович</t>
  </si>
  <si>
    <t>28.05.1987</t>
  </si>
  <si>
    <t>markov@yandex</t>
  </si>
  <si>
    <t>2048-04-10</t>
  </si>
  <si>
    <t xml:space="preserve">Позднякова Мария Павловна</t>
  </si>
  <si>
    <t>19.06.1975</t>
  </si>
  <si>
    <t>pozdnyakova@gmail</t>
  </si>
  <si>
    <t>10.04.2048</t>
  </si>
  <si>
    <t xml:space="preserve">Левченко Денис Сергеевич</t>
  </si>
  <si>
    <t>levchenko@mail</t>
  </si>
  <si>
    <t>01.05.2048</t>
  </si>
  <si>
    <t>15.11.1989</t>
  </si>
  <si>
    <t>2048-05-15</t>
  </si>
  <si>
    <t xml:space="preserve">Севастьянов Илья Александрович</t>
  </si>
  <si>
    <t>22.03.1976</t>
  </si>
  <si>
    <t>sevastyanov@gmail</t>
  </si>
  <si>
    <t>15.05.2048</t>
  </si>
  <si>
    <t xml:space="preserve">Кузьмина Екатерина Сергеевна</t>
  </si>
  <si>
    <t>12.09.1984</t>
  </si>
  <si>
    <t>kuzmina@mail</t>
  </si>
  <si>
    <t>01.06.2048</t>
  </si>
  <si>
    <t xml:space="preserve">Матвеев Андрей Олегович</t>
  </si>
  <si>
    <t>27.06.1991</t>
  </si>
  <si>
    <t>matveev@yandex</t>
  </si>
  <si>
    <t>2048-06-10</t>
  </si>
  <si>
    <t xml:space="preserve">Удальцова Мария Павловна</t>
  </si>
  <si>
    <t>20.01.1977</t>
  </si>
  <si>
    <t>udaltsova@gmail</t>
  </si>
  <si>
    <t>10.06.2048</t>
  </si>
  <si>
    <t xml:space="preserve">Хабаров Денис Викторович</t>
  </si>
  <si>
    <t>16.12.1985</t>
  </si>
  <si>
    <t>01.07.2048</t>
  </si>
  <si>
    <t xml:space="preserve">Гуренкова Ольга Сергеевна</t>
  </si>
  <si>
    <t>28.05.1980</t>
  </si>
  <si>
    <t>gurenkova@yandex</t>
  </si>
  <si>
    <t>2048-07-15</t>
  </si>
  <si>
    <t xml:space="preserve">Щепин Илья Александрович</t>
  </si>
  <si>
    <t>02.10.1974</t>
  </si>
  <si>
    <t>schepin@gmail</t>
  </si>
  <si>
    <t>15.07.2048</t>
  </si>
  <si>
    <t xml:space="preserve">Ахметова Екатерина Владимировна</t>
  </si>
  <si>
    <t>11.07.1986</t>
  </si>
  <si>
    <t>ahmetova@mail</t>
  </si>
  <si>
    <t>01.08.2048</t>
  </si>
  <si>
    <t xml:space="preserve">Кузьмин Денис Павлович</t>
  </si>
  <si>
    <t>18.08.1992</t>
  </si>
  <si>
    <t>kuzmin@yandex</t>
  </si>
  <si>
    <t>2048-08-10</t>
  </si>
  <si>
    <t xml:space="preserve">Кирпичева Ольга Сергеевна</t>
  </si>
  <si>
    <t>04.03.1978</t>
  </si>
  <si>
    <t>kirpicheva@gmail</t>
  </si>
  <si>
    <t>10.08.2048</t>
  </si>
  <si>
    <t xml:space="preserve">Ефимов Андрей Олегович</t>
  </si>
  <si>
    <t>24.11.1983</t>
  </si>
  <si>
    <t>efimov@mail</t>
  </si>
  <si>
    <t>01.09.2048</t>
  </si>
  <si>
    <t xml:space="preserve">Светлова Мария Павловна</t>
  </si>
  <si>
    <t>08.12.1989</t>
  </si>
  <si>
    <t>svetlova@yandex</t>
  </si>
  <si>
    <t>2048-09-15</t>
  </si>
  <si>
    <t xml:space="preserve">Тихомиров Денис Сергеевич</t>
  </si>
  <si>
    <t>17.09.1975</t>
  </si>
  <si>
    <t>tihomirov@gmail</t>
  </si>
  <si>
    <t>15.09.2048</t>
  </si>
  <si>
    <t xml:space="preserve">Козыренко Ольга Владимировна</t>
  </si>
  <si>
    <t>28.04.1984</t>
  </si>
  <si>
    <t>kozyrenko@mail</t>
  </si>
  <si>
    <t>01.10.2048</t>
  </si>
  <si>
    <t xml:space="preserve">Чистякова Екатерина Сергеевна</t>
  </si>
  <si>
    <t>14.10.1991</t>
  </si>
  <si>
    <t>chistyakova@yandex</t>
  </si>
  <si>
    <t>2048-10-10</t>
  </si>
  <si>
    <t xml:space="preserve">Караваев Илья Александрович</t>
  </si>
  <si>
    <t>03.02.1976</t>
  </si>
  <si>
    <t>karavaev@gmail</t>
  </si>
  <si>
    <t>10.10.2048</t>
  </si>
  <si>
    <t xml:space="preserve">Бородина Мария Павловна</t>
  </si>
  <si>
    <t>25.07.1982</t>
  </si>
  <si>
    <t>borodina@mail</t>
  </si>
  <si>
    <t>01.11.2048</t>
  </si>
  <si>
    <t xml:space="preserve">Стрелков Денис Викторович</t>
  </si>
  <si>
    <t>05.01.1987</t>
  </si>
  <si>
    <t>strelkov@yandex</t>
  </si>
  <si>
    <t>2048-11-15</t>
  </si>
  <si>
    <t xml:space="preserve">Киселева Ольга Сергеевна</t>
  </si>
  <si>
    <t>12.08.1972</t>
  </si>
  <si>
    <t>15.11.2048</t>
  </si>
  <si>
    <t>09.12.1985</t>
  </si>
  <si>
    <t>gusev@mail</t>
  </si>
  <si>
    <t>01.12.2048</t>
  </si>
  <si>
    <t xml:space="preserve">Федосеева Екатерина Владимировна</t>
  </si>
  <si>
    <t>16.04.1990</t>
  </si>
  <si>
    <t>fedoseeva@yandex</t>
  </si>
  <si>
    <t>2048-12-10</t>
  </si>
  <si>
    <t xml:space="preserve">Балашов Илья Александрович</t>
  </si>
  <si>
    <t>06.06.1974</t>
  </si>
  <si>
    <t>balashov@gmail</t>
  </si>
  <si>
    <t>10.12.2048</t>
  </si>
  <si>
    <t xml:space="preserve">Панова Мария Павловна</t>
  </si>
  <si>
    <t>30.10.1981</t>
  </si>
  <si>
    <t>panova@mail</t>
  </si>
  <si>
    <t>01.01.2049</t>
  </si>
  <si>
    <t xml:space="preserve">Сафонов Денис Сергеевич</t>
  </si>
  <si>
    <t>21.09.1988</t>
  </si>
  <si>
    <t>safonov@yandex</t>
  </si>
  <si>
    <t>2049-01-15</t>
  </si>
  <si>
    <t xml:space="preserve">Кузьмина Ольга Владимировна</t>
  </si>
  <si>
    <t>15.01.2049</t>
  </si>
  <si>
    <t xml:space="preserve">Мандрыка Андрей Олегович</t>
  </si>
  <si>
    <t>09.02.1985</t>
  </si>
  <si>
    <t>mandryka@mail</t>
  </si>
  <si>
    <t>01.02.2049</t>
  </si>
  <si>
    <t xml:space="preserve">Варламова Екатерина Сергеевна</t>
  </si>
  <si>
    <t>01.05.1992</t>
  </si>
  <si>
    <t>varlamova@yandex</t>
  </si>
  <si>
    <t>2049-02-10</t>
  </si>
  <si>
    <t xml:space="preserve">Просвирнин Илья Александрович</t>
  </si>
  <si>
    <t>19.11.1973</t>
  </si>
  <si>
    <t>prosvirnin@gmail</t>
  </si>
  <si>
    <t>10.02.2049</t>
  </si>
  <si>
    <t xml:space="preserve">Анищенко Мария Павловна</t>
  </si>
  <si>
    <t>01.03.2049</t>
  </si>
  <si>
    <t xml:space="preserve">Романенко Денис Викторович</t>
  </si>
  <si>
    <t>07.03.1983</t>
  </si>
  <si>
    <t>romanenko@yandex</t>
  </si>
  <si>
    <t>2049-03-15</t>
  </si>
  <si>
    <t xml:space="preserve">Сергеева Ольга Сергеевна</t>
  </si>
  <si>
    <t>11.12.1991</t>
  </si>
  <si>
    <t>sergeeva@gmail</t>
  </si>
  <si>
    <t>15.03.2049</t>
  </si>
  <si>
    <t xml:space="preserve">Долгов Андрей Олегович</t>
  </si>
  <si>
    <t>29.04.1976</t>
  </si>
  <si>
    <t>dolgov@mail</t>
  </si>
  <si>
    <t>01.04.2049</t>
  </si>
  <si>
    <t xml:space="preserve">Костина Екатерина Владимировна</t>
  </si>
  <si>
    <t>2049-04-10</t>
  </si>
  <si>
    <t xml:space="preserve">Скворцов Илья Александрович</t>
  </si>
  <si>
    <t>08.08.1989</t>
  </si>
  <si>
    <t>skvortsov@gmail</t>
  </si>
  <si>
    <t>10.04.2049</t>
  </si>
  <si>
    <t xml:space="preserve">Копылова Мария Павловна</t>
  </si>
  <si>
    <t>24.06.1975</t>
  </si>
  <si>
    <t>kopylova@mail</t>
  </si>
  <si>
    <t>01.05.2049</t>
  </si>
  <si>
    <t xml:space="preserve">Харитонов Денис Сергеевич</t>
  </si>
  <si>
    <t>13.01.1986</t>
  </si>
  <si>
    <t>haritonov@yandex</t>
  </si>
  <si>
    <t>2049-05-15</t>
  </si>
  <si>
    <t xml:space="preserve">Александрова Ольга Владимировна</t>
  </si>
  <si>
    <t>27.05.1990</t>
  </si>
  <si>
    <t>15.05.2049</t>
  </si>
  <si>
    <t xml:space="preserve">Стрельцов Андрей Олегович</t>
  </si>
  <si>
    <t>19.09.1981</t>
  </si>
  <si>
    <t>streltsov@mail</t>
  </si>
  <si>
    <t>01.06.2049</t>
  </si>
  <si>
    <t xml:space="preserve">Бугрова Екатерина Сергеевна</t>
  </si>
  <si>
    <t>04.07.1987</t>
  </si>
  <si>
    <t>bugrova@yandex</t>
  </si>
  <si>
    <t>2049-06-10</t>
  </si>
  <si>
    <t xml:space="preserve">Чумак Илья Александрович</t>
  </si>
  <si>
    <t>12.11.1972</t>
  </si>
  <si>
    <t>chumak@gmail</t>
  </si>
  <si>
    <t>10.06.2049</t>
  </si>
  <si>
    <t>21.03.1984</t>
  </si>
  <si>
    <t>mayorova@mail</t>
  </si>
  <si>
    <t>01.07.2049</t>
  </si>
  <si>
    <t xml:space="preserve">Крылов Денис Викторович</t>
  </si>
  <si>
    <t>20.12.1992</t>
  </si>
  <si>
    <t>krylov@yandex</t>
  </si>
  <si>
    <t>2049-07-15</t>
  </si>
  <si>
    <t xml:space="preserve">Королева Ольга Сергеевна</t>
  </si>
  <si>
    <t>28.08.1978</t>
  </si>
  <si>
    <t>koroleva@gmail</t>
  </si>
  <si>
    <t>15.07.2049</t>
  </si>
  <si>
    <t xml:space="preserve">Кузьмин Андрей Олегович</t>
  </si>
  <si>
    <t>17.10.1985</t>
  </si>
  <si>
    <t>01.08.2049</t>
  </si>
  <si>
    <t xml:space="preserve">Егорова Екатерина Владимировна</t>
  </si>
  <si>
    <t>06.12.1991</t>
  </si>
  <si>
    <t>egorova@yandex</t>
  </si>
  <si>
    <t>2049-08-10</t>
  </si>
  <si>
    <t xml:space="preserve">Пешехонов Илья Александрович</t>
  </si>
  <si>
    <t>15.07.1973</t>
  </si>
  <si>
    <t>peshehonov@gmail</t>
  </si>
  <si>
    <t>10.08.2049</t>
  </si>
  <si>
    <t xml:space="preserve">Терёхина Мария Павловна</t>
  </si>
  <si>
    <t>23.04.1980</t>
  </si>
  <si>
    <t>teryohina@mail</t>
  </si>
  <si>
    <t>01.09.2049</t>
  </si>
  <si>
    <t xml:space="preserve">Белоусов Денис Сергеевич</t>
  </si>
  <si>
    <t>14.09.1989</t>
  </si>
  <si>
    <t>belousov@yandex</t>
  </si>
  <si>
    <t>2049-09-15</t>
  </si>
  <si>
    <t xml:space="preserve">Бабушкина Ольга Владимировна</t>
  </si>
  <si>
    <t>31.05.1976</t>
  </si>
  <si>
    <t>babushkina@gmail</t>
  </si>
  <si>
    <t>15.09.2049</t>
  </si>
  <si>
    <t xml:space="preserve">Толстых Андрей Олегович</t>
  </si>
  <si>
    <t>10.08.1984</t>
  </si>
  <si>
    <t>tolstyh@mail</t>
  </si>
  <si>
    <t>01.10.2049</t>
  </si>
  <si>
    <t>Возраст</t>
  </si>
  <si>
    <t>Проверка_возраста</t>
  </si>
  <si>
    <t>Исходная</t>
  </si>
  <si>
    <t>Канон</t>
  </si>
  <si>
    <t>Символ</t>
  </si>
  <si>
    <t>Курс</t>
  </si>
  <si>
    <t>$</t>
  </si>
  <si>
    <t>г.Москва</t>
  </si>
  <si>
    <t>€</t>
  </si>
  <si>
    <t>МСК</t>
  </si>
  <si>
    <t>₽</t>
  </si>
  <si>
    <t>выполнен</t>
  </si>
  <si>
    <t xml:space="preserve">г Москва</t>
  </si>
  <si>
    <t>СПб</t>
  </si>
  <si>
    <t>СПБ</t>
  </si>
  <si>
    <t>Возврат</t>
  </si>
  <si>
    <t>Файл</t>
  </si>
  <si>
    <t xml:space="preserve">Строк до</t>
  </si>
  <si>
    <t xml:space="preserve">Строк после</t>
  </si>
  <si>
    <t xml:space="preserve">Удалено дублей</t>
  </si>
  <si>
    <t>Товары</t>
  </si>
  <si>
    <t>Поставщики</t>
  </si>
  <si>
    <t>Продажи</t>
  </si>
  <si>
    <t>Клиенты</t>
  </si>
  <si>
    <t xml:space="preserve">Ошибки по типам</t>
  </si>
  <si>
    <t>Кол-во</t>
  </si>
  <si>
    <t xml:space="preserve">Ошибка ИНН</t>
  </si>
  <si>
    <t xml:space="preserve">Ошибка Email (поставщики)</t>
  </si>
  <si>
    <t xml:space="preserve">Ошибка Email (клиенты)</t>
  </si>
  <si>
    <t xml:space="preserve">Ошибка даты рождения</t>
  </si>
  <si>
    <t xml:space="preserve">Розница ниже закупки</t>
  </si>
  <si>
    <t xml:space="preserve">Дубли артикулов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</si>
</sst>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.MM.YYYY"/>
  </numFmts>
  <fonts count="5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</font>
    <font>
      <b val="0"/>
      <i val="0"/>
      <strike val="0"/>
      <u val="none"/>
      <sz val="10.000000"/>
      <name val="Liberation Sans"/>
    </font>
    <font>
      <b val="0"/>
      <i val="0"/>
      <strike val="0"/>
      <u val="none"/>
      <sz val="10.000000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quotePrefix="0" pivotButton="0"/>
    <xf fontId="0" fillId="0" borderId="0" numFmtId="0" xfId="0" applyAlignment="1" quotePrefix="0" pivotButton="0">
      <alignment wrapText="1"/>
    </xf>
    <xf fontId="1" fillId="0" borderId="0" numFmtId="0" xfId="0" applyFont="1" quotePrefix="0" pivotButton="0"/>
    <xf fontId="2" fillId="0" borderId="0" numFmtId="0" xfId="0" applyFont="1" quotePrefix="0" pivotButton="0"/>
    <xf fontId="0" fillId="0" borderId="0" numFmtId="4" xfId="0" applyNumberFormat="1" quotePrefix="0" pivotButton="0"/>
    <xf fontId="0" fillId="0" borderId="0" numFmtId="1" xfId="0" applyNumberFormat="1" quotePrefix="0" pivotButton="0"/>
    <xf fontId="3" fillId="0" borderId="0" numFmtId="0" xfId="0" applyFont="1" applyAlignment="1" quotePrefix="0" pivotButton="0">
      <alignment horizontal="left"/>
    </xf>
    <xf fontId="1" fillId="0" borderId="0" numFmtId="0" xfId="0" applyFont="1" applyAlignment="1" quotePrefix="0" pivotButton="0">
      <alignment horizontal="left"/>
    </xf>
    <xf fontId="0" fillId="0" borderId="0" numFmtId="160" xfId="0" applyNumberFormat="1" quotePrefix="0" pivotButton="0"/>
    <xf fontId="1" fillId="0" borderId="1" numFmtId="0" xfId="0" applyFont="1" applyBorder="1" quotePrefix="0" pivotButton="0"/>
    <xf fontId="0" fillId="0" borderId="1" numFmtId="0" xfId="0" applyBorder="1" quotePrefix="0" pivotButton="0"/>
    <xf fontId="2" fillId="0" borderId="1" numFmtId="0" xfId="0" applyFont="1" applyBorder="1" quotePrefix="0" pivotButton="0"/>
    <xf fontId="4" fillId="0" borderId="0" numFmtId="0" xfId="0" applyFont="1" applyAlignment="1" quotePrefix="0" pivotButton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1.xml"/><Relationship  Id="rId11" Type="http://schemas.openxmlformats.org/officeDocument/2006/relationships/worksheet" Target="worksheets/sheet9.xml"/><Relationship  Id="rId10" Type="http://schemas.openxmlformats.org/officeDocument/2006/relationships/worksheet" Target="worksheets/sheet8.xml"/><Relationship  Id="rId15" Type="http://schemas.openxmlformats.org/officeDocument/2006/relationships/sharedStrings" Target="sharedStrings.xml"/><Relationship  Id="rId9" Type="http://schemas.openxmlformats.org/officeDocument/2006/relationships/worksheet" Target="worksheets/sheet7.xml"/><Relationship  Id="rId8" Type="http://schemas.openxmlformats.org/officeDocument/2006/relationships/worksheet" Target="worksheets/sheet6.xml"/><Relationship  Id="rId7" Type="http://schemas.openxmlformats.org/officeDocument/2006/relationships/worksheet" Target="worksheets/sheet5.xml"/><Relationship  Id="rId14" Type="http://schemas.openxmlformats.org/officeDocument/2006/relationships/theme" Target="theme/theme1.xml"/><Relationship  Id="rId6" Type="http://schemas.openxmlformats.org/officeDocument/2006/relationships/worksheet" Target="worksheets/sheet4.xml"/><Relationship  Id="rId5" Type="http://schemas.openxmlformats.org/officeDocument/2006/relationships/worksheet" Target="worksheets/sheet3.xml"/><Relationship  Id="rId16" Type="http://schemas.openxmlformats.org/officeDocument/2006/relationships/styles" Target="styles.xml"/><Relationship  Id="rId4" Type="http://schemas.openxmlformats.org/officeDocument/2006/relationships/worksheet" Target="worksheets/sheet2.xml"/><Relationship  Id="rId12" Type="http://schemas.openxmlformats.org/officeDocument/2006/relationships/worksheet" Target="worksheets/sheet10.xml"/><Relationship  Id="rId3" Type="http://schemas.openxmlformats.org/officeDocument/2006/relationships/worksheet" Target="worksheets/sheet1.xml"/><Relationship  Id="rId2" Type="http://schemas.microsoft.com/office/2017/10/relationships/person" Target="persons/person.xml"/><Relationship  Id="rId1" Type="http://schemas.onlyoffice.com/userFunctions" Target="userFunctions.bin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Кол-во страниц до и после фильтрации в разных файлах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Итоговый_отчет!$B$1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Итоговый_отчет!$A$2:$A$5</c:f>
            </c:strRef>
          </c:cat>
          <c:val>
            <c:numRef>
              <c:f>Итоговый_отчет!$B$2:$B$5</c:f>
            </c:numRef>
          </c:val>
        </c:ser>
        <c:ser>
          <c:idx val="1"/>
          <c:order val="1"/>
          <c:tx>
            <c:strRef>
              <c:f>Итоговый_отчет!$C$1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Итоговый_отчет!$A$2:$A$5</c:f>
            </c:strRef>
          </c:cat>
          <c:val>
            <c:numRef>
              <c:f>Итоговый_отчет!$C$2:$C$5</c:f>
            </c:numRef>
          </c:val>
        </c:ser>
        <c:gapWidth val="182"/>
        <c:axId val="1866169489"/>
        <c:axId val="1866169490"/>
      </c:barChart>
      <c:catAx>
        <c:axId val="1866169489"/>
        <c:scaling>
          <c:orientation val="minMax"/>
        </c:scaling>
        <c:delete val="0"/>
        <c:axPos val="l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endParaRPr/>
          </a:p>
        </c:txPr>
        <c:crossAx val="1866169490"/>
        <c:crosses val="autoZero"/>
        <c:auto val="1"/>
        <c:lblAlgn val="ctr"/>
        <c:lblOffset val="100"/>
        <c:noMultiLvlLbl val="0"/>
      </c:catAx>
      <c:valAx>
        <c:axId val="186616949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endParaRPr/>
          </a:p>
        </c:txPr>
        <c:crossAx val="186616948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4778374" y="203199"/>
      <a:ext cx="6080124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Кол-во ошибок по разным типам данных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bar"/>
        <c:grouping val="stacked"/>
        <c:varyColors val="0"/>
        <c:ser>
          <c:idx val="0"/>
          <c:order val="0"/>
          <c:tx>
            <c:strRef>
              <c:f>Итоговый_отчет!$B$7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Итоговый_отчет!$A$8:$A$13</c:f>
            </c:strRef>
          </c:cat>
          <c:val>
            <c:numRef>
              <c:f>Итоговый_отчет!$B$8:$B$13</c:f>
            </c:numRef>
          </c:val>
        </c:ser>
        <c:gapWidth val="150"/>
        <c:overlap val="100"/>
        <c:axId val="1866169499"/>
        <c:axId val="1866169500"/>
      </c:barChart>
      <c:catAx>
        <c:axId val="1866169499"/>
        <c:scaling>
          <c:orientation val="minMax"/>
        </c:scaling>
        <c:delete val="0"/>
        <c:axPos val="l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endParaRPr/>
          </a:p>
        </c:txPr>
        <c:crossAx val="1866169500"/>
        <c:crosses val="autoZero"/>
        <c:auto val="1"/>
        <c:lblAlgn val="ctr"/>
        <c:lblOffset val="100"/>
        <c:noMultiLvlLbl val="0"/>
      </c:catAx>
      <c:valAx>
        <c:axId val="186616950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endParaRPr/>
          </a:p>
        </c:txPr>
        <c:crossAx val="186616949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4778374" y="3184524"/>
      <a:ext cx="6080124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3174</xdr:colOff>
      <xdr:row>1</xdr:row>
      <xdr:rowOff>25399</xdr:rowOff>
    </xdr:from>
    <xdr:to>
      <xdr:col>14</xdr:col>
      <xdr:colOff>596899</xdr:colOff>
      <xdr:row>16</xdr:row>
      <xdr:rowOff>82549</xdr:rowOff>
    </xdr:to>
    <xdr:graphicFrame>
      <xdr:nvGraphicFramePr>
        <xdr:cNvPr id="1150124308" name=""/>
        <xdr:cNvGraphicFramePr>
          <a:graphicFrameLocks xmlns:a="http://schemas.openxmlformats.org/drawingml/2006/main"/>
        </xdr:cNvGraphicFramePr>
      </xdr:nvGraphicFramePr>
      <xdr:xfrm>
        <a:off x="4778374" y="203199"/>
        <a:ext cx="6080124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5</xdr:col>
      <xdr:colOff>3174</xdr:colOff>
      <xdr:row>17</xdr:row>
      <xdr:rowOff>161924</xdr:rowOff>
    </xdr:from>
    <xdr:to>
      <xdr:col>14</xdr:col>
      <xdr:colOff>596899</xdr:colOff>
      <xdr:row>33</xdr:row>
      <xdr:rowOff>41274</xdr:rowOff>
    </xdr:to>
    <xdr:graphicFrame>
      <xdr:nvGraphicFramePr>
        <xdr:cNvPr id="1696058653" name=""/>
        <xdr:cNvGraphicFramePr>
          <a:graphicFrameLocks xmlns:a="http://schemas.openxmlformats.org/drawingml/2006/main"/>
        </xdr:cNvGraphicFramePr>
      </xdr:nvGraphicFramePr>
      <xdr:xfrm>
        <a:off x="4778374" y="3184524"/>
        <a:ext cx="6080124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uild_result" id="{BA01A765-F8C8-47DC-310E-04305F7E4B59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r="50000" b="100000"/>
          </a:path>
          <a:tileRect t="-100000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BA01A765-F8C8-47DC-310E-04305F7E4B59}" id="{006600DA-0007-4050-8C40-00A8007C00C8}" done="0">
    <text xml:space="preserve">АРТ-XXX: SUBSTITUTE+LEFT
</text>
  </threadedComment>
  <threadedComment ref="B1" personId="{BA01A765-F8C8-47DC-310E-04305F7E4B59}" id="{00F000EC-0050-4648-A94B-003E007A00E3}" done="0">
    <text xml:space="preserve">PROPER+TRIM, скобки через IFERROR(LEFT,FIND)
</text>
  </threadedComment>
  <threadedComment ref="C1" personId="{BA01A765-F8C8-47DC-310E-04305F7E4B59}" id="{00A80085-001D-474B-B324-00660039008A}" done="0">
    <text xml:space="preserve">VLOOKUP в Справочники!A:B
</text>
  </threadedComment>
  <threadedComment ref="E1" personId="{BA01A765-F8C8-47DC-310E-04305F7E4B59}" id="{00EC005B-005C-428A-B390-00B3005D005B}" done="0">
    <text xml:space="preserve">Обрабатывает '1 200,50' и '1,200.50'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personId="{BA01A765-F8C8-47DC-310E-04305F7E4B59}" id="{00B10048-00EF-4938-83A9-009E003E00BA}" done="0">
    <text xml:space="preserve">SUMPRODUCT+MID+ROW+INDIRECT: только цифры
</text>
  </threadedComment>
  <threadedComment ref="E1" personId="{BA01A765-F8C8-47DC-310E-04305F7E4B59}" id="{00FD00C9-002D-450E-945A-00020067004C}" done="0">
    <text xml:space="preserve">+7 (XXX) XXX-XX-XX
</text>
  </threadedComment>
  <threadedComment ref="H1" personId="{BA01A765-F8C8-47DC-310E-04305F7E4B59}" id="{006B007F-0060-4ECA-86E6-009E001A007C}" done="0">
    <text xml:space="preserve">Первые 6 цифр адреса — индекс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personId="{BA01A765-F8C8-47DC-310E-04305F7E4B59}" id="{00AB00B2-0046-44AB-9561-009700CB00F9}" done="0">
    <text xml:space="preserve">Дата MM/DD/YYYY -&gt; DD.MM.YYYY через DATE()
</text>
  </threadedComment>
  <threadedComment ref="D1" personId="{BA01A765-F8C8-47DC-310E-04305F7E4B59}" id="{000000C9-0090-40F7-8B34-00F300A00036}" done="0">
    <text xml:space="preserve">$=95₽, €=100₽, ₽=as-is
</text>
  </threadedComment>
  <threadedComment ref="G1" personId="{BA01A765-F8C8-47DC-310E-04305F7E4B59}" id="{00C000D3-0066-4075-8D9D-001F00F700E9}" done="0">
    <text xml:space="preserve">VLOOKUP в Справочники!G:H (статусы)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personId="{BA01A765-F8C8-47DC-310E-04305F7E4B59}" id="{00D70002-00E1-48F4-B42D-006A00E0008C}" done="0">
    <text xml:space="preserve">PROPER+TRIM: единый регистр
</text>
  </threadedComment>
  <threadedComment ref="C1" personId="{BA01A765-F8C8-47DC-310E-04305F7E4B59}" id="{0044002A-008F-4FC2-B149-0087009E00DF}" done="0">
    <text xml:space="preserve">Даты в двух форматах: DD.MM.YYYY и YYYY-MM-DD
</text>
  </threadedComment>
  <threadedComment ref="H1" personId="{BA01A765-F8C8-47DC-310E-04305F7E4B59}" id="{009A0046-00F3-4036-8AA9-000F002B0064}" done="0">
    <text xml:space="preserve">DATEDIF(...,TODAY(),"Y")
</text>
  </threadedComment>
</ThreadedComments>
</file>

<file path=xl/worksheets/_rels/sheet3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5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2.vml"/><Relationship  Id="rId2" Type="http://schemas.openxmlformats.org/officeDocument/2006/relationships/comments" Target="../comments2.xml"/><Relationship  Id="rId1" Type="http://schemas.microsoft.com/office/2017/10/relationships/threadedComment" Target="../threadedComments/threadedComment2.xml"/></Relationships>
</file>

<file path=xl/worksheets/_rels/sheet7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3.vml"/><Relationship  Id="rId2" Type="http://schemas.openxmlformats.org/officeDocument/2006/relationships/comments" Target="../comments3.xml"/><Relationship  Id="rId1" Type="http://schemas.microsoft.com/office/2017/10/relationships/threadedComment" Target="../threadedComments/threadedComment3.xml"/></Relationships>
</file>

<file path=xl/worksheets/_rels/sheet9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4.vml"/><Relationship  Id="rId2" Type="http://schemas.openxmlformats.org/officeDocument/2006/relationships/comments" Target="../comments4.xml"/><Relationship  Id="rId1" Type="http://schemas.microsoft.com/office/2017/10/relationships/threadedComment" Target="../threadedComments/threadedComment4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5"/>
  <cols>
    <col customWidth="1" min="1" max="1" width="110.00390625"/>
  </cols>
  <sheetData>
    <row r="1" ht="299.25">
      <c r="A1" s="1" t="s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8" defaultRowHeight="14.25"/>
  <cols>
    <col bestFit="1" min="1" max="1" width="12.90234375"/>
    <col bestFit="1" min="2" max="2" width="42.23046875"/>
    <col bestFit="1" min="3" max="3" width="21.09375"/>
    <col bestFit="1" min="4" max="4" width="16.140625"/>
    <col bestFit="1" min="5" max="5" width="13.28125"/>
    <col bestFit="1" min="6" max="6" width="13.953125"/>
    <col bestFit="1" min="7" max="7" width="19.472656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14</v>
      </c>
    </row>
    <row r="7">
      <c r="A7" t="s">
        <v>41</v>
      </c>
      <c r="B7" t="s">
        <v>42</v>
      </c>
      <c r="C7" t="s">
        <v>30</v>
      </c>
      <c r="D7" t="s">
        <v>31</v>
      </c>
      <c r="E7" t="s">
        <v>43</v>
      </c>
      <c r="F7" t="s">
        <v>44</v>
      </c>
      <c r="G7" t="s">
        <v>20</v>
      </c>
    </row>
    <row r="8">
      <c r="A8" t="s">
        <v>45</v>
      </c>
      <c r="B8" t="s">
        <v>46</v>
      </c>
      <c r="C8" t="s">
        <v>10</v>
      </c>
      <c r="D8" t="s">
        <v>47</v>
      </c>
      <c r="E8" t="s">
        <v>48</v>
      </c>
      <c r="F8" t="s">
        <v>49</v>
      </c>
      <c r="G8" t="s">
        <v>34</v>
      </c>
    </row>
    <row r="9">
      <c r="A9" t="s">
        <v>50</v>
      </c>
      <c r="B9" t="s">
        <v>51</v>
      </c>
      <c r="C9" t="s">
        <v>17</v>
      </c>
      <c r="D9" t="s">
        <v>52</v>
      </c>
      <c r="E9" t="s">
        <v>53</v>
      </c>
      <c r="F9" t="s">
        <v>54</v>
      </c>
      <c r="G9" t="s">
        <v>27</v>
      </c>
    </row>
    <row r="10">
      <c r="A10" t="s">
        <v>55</v>
      </c>
      <c r="B10" t="s">
        <v>56</v>
      </c>
      <c r="C10" t="s">
        <v>23</v>
      </c>
      <c r="D10" t="s">
        <v>47</v>
      </c>
      <c r="E10" t="s">
        <v>57</v>
      </c>
      <c r="F10" t="s">
        <v>58</v>
      </c>
      <c r="G10" t="s">
        <v>14</v>
      </c>
    </row>
    <row r="11">
      <c r="A11" t="s">
        <v>59</v>
      </c>
      <c r="B11" t="s">
        <v>60</v>
      </c>
      <c r="C11" t="s">
        <v>61</v>
      </c>
      <c r="D11" t="s">
        <v>11</v>
      </c>
      <c r="E11" t="s">
        <v>62</v>
      </c>
      <c r="F11" t="s">
        <v>63</v>
      </c>
      <c r="G11" t="s">
        <v>34</v>
      </c>
    </row>
    <row r="12">
      <c r="A12" t="s">
        <v>64</v>
      </c>
      <c r="B12" t="s">
        <v>65</v>
      </c>
      <c r="C12" t="s">
        <v>61</v>
      </c>
      <c r="D12" t="s">
        <v>66</v>
      </c>
      <c r="E12" t="s">
        <v>67</v>
      </c>
      <c r="F12" t="s">
        <v>68</v>
      </c>
      <c r="G12" t="s">
        <v>20</v>
      </c>
    </row>
    <row r="13">
      <c r="A13" t="s">
        <v>69</v>
      </c>
      <c r="B13" t="s">
        <v>70</v>
      </c>
      <c r="C13" t="s">
        <v>61</v>
      </c>
      <c r="D13" t="s">
        <v>11</v>
      </c>
      <c r="E13" t="s">
        <v>71</v>
      </c>
      <c r="F13" t="s">
        <v>72</v>
      </c>
      <c r="G13" t="s">
        <v>14</v>
      </c>
    </row>
    <row r="14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34</v>
      </c>
    </row>
    <row r="15">
      <c r="A15" t="s">
        <v>79</v>
      </c>
      <c r="B15" t="s">
        <v>80</v>
      </c>
      <c r="C15" t="s">
        <v>75</v>
      </c>
      <c r="D15" t="s">
        <v>81</v>
      </c>
      <c r="E15" t="s">
        <v>82</v>
      </c>
      <c r="F15" t="s">
        <v>83</v>
      </c>
      <c r="G15" t="s">
        <v>27</v>
      </c>
    </row>
    <row r="16">
      <c r="A16" t="s">
        <v>84</v>
      </c>
      <c r="B16" t="s">
        <v>85</v>
      </c>
      <c r="C16" t="s">
        <v>75</v>
      </c>
      <c r="D16" t="s">
        <v>76</v>
      </c>
      <c r="E16" t="s">
        <v>86</v>
      </c>
      <c r="F16" t="s">
        <v>87</v>
      </c>
      <c r="G16" t="s">
        <v>14</v>
      </c>
    </row>
    <row r="17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34</v>
      </c>
    </row>
    <row r="18">
      <c r="A18" t="s">
        <v>94</v>
      </c>
      <c r="B18" t="s">
        <v>95</v>
      </c>
      <c r="C18" t="s">
        <v>90</v>
      </c>
      <c r="D18" t="s">
        <v>96</v>
      </c>
      <c r="E18" t="s">
        <v>97</v>
      </c>
      <c r="F18" t="s">
        <v>98</v>
      </c>
      <c r="G18" t="s">
        <v>20</v>
      </c>
    </row>
    <row r="19">
      <c r="A19" t="s">
        <v>99</v>
      </c>
      <c r="B19" t="s">
        <v>100</v>
      </c>
      <c r="C19" t="s">
        <v>90</v>
      </c>
      <c r="D19" t="s">
        <v>91</v>
      </c>
      <c r="E19" t="s">
        <v>101</v>
      </c>
      <c r="F19" t="s">
        <v>102</v>
      </c>
      <c r="G19" t="s">
        <v>14</v>
      </c>
    </row>
    <row r="20">
      <c r="A20" t="s">
        <v>103</v>
      </c>
      <c r="B20" t="s">
        <v>104</v>
      </c>
      <c r="C20" t="s">
        <v>30</v>
      </c>
      <c r="D20" t="s">
        <v>105</v>
      </c>
      <c r="E20" t="s">
        <v>106</v>
      </c>
      <c r="F20" t="s">
        <v>107</v>
      </c>
      <c r="G20" t="s">
        <v>34</v>
      </c>
    </row>
    <row r="21">
      <c r="A21" t="s">
        <v>108</v>
      </c>
      <c r="B21" t="s">
        <v>109</v>
      </c>
      <c r="C21" t="s">
        <v>37</v>
      </c>
      <c r="D21" t="s">
        <v>110</v>
      </c>
      <c r="E21" t="s">
        <v>111</v>
      </c>
      <c r="F21" t="s">
        <v>112</v>
      </c>
      <c r="G21" t="s">
        <v>27</v>
      </c>
    </row>
    <row r="22">
      <c r="A22" t="s">
        <v>113</v>
      </c>
      <c r="B22" t="s">
        <v>114</v>
      </c>
      <c r="C22" t="s">
        <v>30</v>
      </c>
      <c r="D22" t="s">
        <v>115</v>
      </c>
      <c r="E22" t="s">
        <v>116</v>
      </c>
      <c r="F22" t="s">
        <v>117</v>
      </c>
      <c r="G22" t="s">
        <v>14</v>
      </c>
    </row>
    <row r="23">
      <c r="A23" t="s">
        <v>118</v>
      </c>
      <c r="B23" t="s">
        <v>119</v>
      </c>
      <c r="C23" t="s">
        <v>10</v>
      </c>
      <c r="D23" t="s">
        <v>120</v>
      </c>
      <c r="E23" t="s">
        <v>121</v>
      </c>
      <c r="F23" t="s">
        <v>122</v>
      </c>
      <c r="G23" t="s">
        <v>34</v>
      </c>
    </row>
    <row r="24">
      <c r="A24" t="s">
        <v>123</v>
      </c>
      <c r="B24" t="s">
        <v>124</v>
      </c>
      <c r="C24" t="s">
        <v>17</v>
      </c>
      <c r="D24" t="s">
        <v>125</v>
      </c>
      <c r="E24" t="s">
        <v>126</v>
      </c>
      <c r="F24" t="s">
        <v>127</v>
      </c>
      <c r="G24" t="s">
        <v>20</v>
      </c>
    </row>
    <row r="25">
      <c r="A25" t="s">
        <v>128</v>
      </c>
      <c r="B25" t="s">
        <v>129</v>
      </c>
      <c r="C25" t="s">
        <v>23</v>
      </c>
      <c r="D25" t="s">
        <v>130</v>
      </c>
      <c r="E25" t="s">
        <v>131</v>
      </c>
      <c r="F25" t="s">
        <v>132</v>
      </c>
      <c r="G25" t="s">
        <v>14</v>
      </c>
    </row>
    <row r="26">
      <c r="A26" t="s">
        <v>133</v>
      </c>
      <c r="B26" t="s">
        <v>134</v>
      </c>
      <c r="C26" t="s">
        <v>135</v>
      </c>
      <c r="D26" t="s">
        <v>47</v>
      </c>
      <c r="E26" t="s">
        <v>136</v>
      </c>
      <c r="F26" t="s">
        <v>137</v>
      </c>
      <c r="G26" t="s">
        <v>34</v>
      </c>
    </row>
    <row r="27">
      <c r="A27" t="s">
        <v>138</v>
      </c>
      <c r="B27" t="s">
        <v>139</v>
      </c>
      <c r="C27" t="s">
        <v>135</v>
      </c>
      <c r="D27" t="s">
        <v>140</v>
      </c>
      <c r="E27" t="s">
        <v>141</v>
      </c>
      <c r="F27" t="s">
        <v>142</v>
      </c>
      <c r="G27" t="s">
        <v>27</v>
      </c>
    </row>
    <row r="28">
      <c r="A28" t="s">
        <v>143</v>
      </c>
      <c r="B28" t="s">
        <v>144</v>
      </c>
      <c r="C28" t="s">
        <v>135</v>
      </c>
      <c r="D28" t="s">
        <v>47</v>
      </c>
      <c r="E28" t="s">
        <v>145</v>
      </c>
      <c r="F28" t="s">
        <v>146</v>
      </c>
      <c r="G28" t="s">
        <v>14</v>
      </c>
    </row>
    <row r="29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152</v>
      </c>
      <c r="G29" t="s">
        <v>34</v>
      </c>
    </row>
    <row r="30">
      <c r="A30" t="s">
        <v>153</v>
      </c>
      <c r="B30" t="s">
        <v>154</v>
      </c>
      <c r="C30" t="s">
        <v>149</v>
      </c>
      <c r="D30" t="s">
        <v>155</v>
      </c>
      <c r="E30" t="s">
        <v>156</v>
      </c>
      <c r="F30" t="s">
        <v>157</v>
      </c>
      <c r="G30" t="s">
        <v>20</v>
      </c>
    </row>
    <row r="31">
      <c r="A31" t="s">
        <v>158</v>
      </c>
      <c r="B31" t="s">
        <v>159</v>
      </c>
      <c r="C31" t="s">
        <v>149</v>
      </c>
      <c r="D31" t="s">
        <v>160</v>
      </c>
      <c r="E31" t="s">
        <v>161</v>
      </c>
      <c r="F31" t="s">
        <v>162</v>
      </c>
      <c r="G31" t="s">
        <v>14</v>
      </c>
    </row>
    <row r="32">
      <c r="A32" t="s">
        <v>163</v>
      </c>
      <c r="B32" t="s">
        <v>164</v>
      </c>
      <c r="C32" t="s">
        <v>149</v>
      </c>
      <c r="D32" t="s">
        <v>150</v>
      </c>
      <c r="E32" t="s">
        <v>165</v>
      </c>
      <c r="F32" t="s">
        <v>166</v>
      </c>
      <c r="G32" t="s">
        <v>34</v>
      </c>
    </row>
    <row r="33">
      <c r="A33" t="s">
        <v>167</v>
      </c>
      <c r="B33" t="s">
        <v>168</v>
      </c>
      <c r="C33" t="s">
        <v>149</v>
      </c>
      <c r="D33" t="s">
        <v>155</v>
      </c>
      <c r="E33" t="s">
        <v>169</v>
      </c>
      <c r="F33" t="s">
        <v>170</v>
      </c>
      <c r="G33" t="s">
        <v>27</v>
      </c>
    </row>
    <row r="34">
      <c r="A34" t="s">
        <v>171</v>
      </c>
      <c r="B34" t="s">
        <v>172</v>
      </c>
      <c r="C34" t="s">
        <v>149</v>
      </c>
      <c r="D34" t="s">
        <v>160</v>
      </c>
      <c r="E34" t="s">
        <v>173</v>
      </c>
      <c r="F34" t="s">
        <v>174</v>
      </c>
      <c r="G34" t="s">
        <v>14</v>
      </c>
    </row>
    <row r="35">
      <c r="A35" t="s">
        <v>175</v>
      </c>
      <c r="B35" t="s">
        <v>176</v>
      </c>
      <c r="C35" t="s">
        <v>61</v>
      </c>
      <c r="D35" t="s">
        <v>177</v>
      </c>
      <c r="E35" t="s">
        <v>178</v>
      </c>
      <c r="F35" t="s">
        <v>179</v>
      </c>
      <c r="G35" t="s">
        <v>34</v>
      </c>
    </row>
    <row r="36">
      <c r="A36" t="s">
        <v>180</v>
      </c>
      <c r="B36" t="s">
        <v>181</v>
      </c>
      <c r="C36" t="s">
        <v>61</v>
      </c>
      <c r="D36" t="s">
        <v>182</v>
      </c>
      <c r="E36" t="s">
        <v>183</v>
      </c>
      <c r="F36" t="s">
        <v>184</v>
      </c>
      <c r="G36" t="s">
        <v>20</v>
      </c>
    </row>
    <row r="37">
      <c r="A37" t="s">
        <v>185</v>
      </c>
      <c r="B37" t="s">
        <v>186</v>
      </c>
      <c r="C37" t="s">
        <v>61</v>
      </c>
      <c r="D37" t="s">
        <v>187</v>
      </c>
      <c r="E37" t="s">
        <v>188</v>
      </c>
      <c r="F37" t="s">
        <v>145</v>
      </c>
      <c r="G37" t="s">
        <v>14</v>
      </c>
    </row>
    <row r="38">
      <c r="A38" t="s">
        <v>189</v>
      </c>
      <c r="B38" t="s">
        <v>190</v>
      </c>
      <c r="C38" t="s">
        <v>191</v>
      </c>
      <c r="D38" t="s">
        <v>11</v>
      </c>
      <c r="E38" t="s">
        <v>192</v>
      </c>
      <c r="F38" t="s">
        <v>193</v>
      </c>
      <c r="G38" t="s">
        <v>34</v>
      </c>
    </row>
    <row r="39">
      <c r="A39" t="s">
        <v>194</v>
      </c>
      <c r="B39" t="s">
        <v>195</v>
      </c>
      <c r="C39" t="s">
        <v>191</v>
      </c>
      <c r="D39" t="s">
        <v>66</v>
      </c>
      <c r="E39" t="s">
        <v>196</v>
      </c>
      <c r="F39" t="s">
        <v>197</v>
      </c>
      <c r="G39" t="s">
        <v>27</v>
      </c>
    </row>
    <row r="40">
      <c r="A40" t="s">
        <v>198</v>
      </c>
      <c r="B40" t="s">
        <v>199</v>
      </c>
      <c r="C40" t="s">
        <v>191</v>
      </c>
      <c r="D40" t="s">
        <v>24</v>
      </c>
      <c r="E40" t="s">
        <v>200</v>
      </c>
      <c r="F40" t="s">
        <v>201</v>
      </c>
      <c r="G40" t="s">
        <v>14</v>
      </c>
    </row>
    <row r="41">
      <c r="A41" t="s">
        <v>202</v>
      </c>
      <c r="B41" t="s">
        <v>203</v>
      </c>
      <c r="C41" t="s">
        <v>30</v>
      </c>
      <c r="D41" t="s">
        <v>204</v>
      </c>
      <c r="E41" t="s">
        <v>77</v>
      </c>
      <c r="F41" t="s">
        <v>205</v>
      </c>
      <c r="G41" t="s">
        <v>34</v>
      </c>
    </row>
    <row r="42">
      <c r="A42" t="s">
        <v>206</v>
      </c>
      <c r="B42" t="s">
        <v>207</v>
      </c>
      <c r="C42" t="s">
        <v>37</v>
      </c>
      <c r="D42" t="s">
        <v>208</v>
      </c>
      <c r="E42" t="s">
        <v>82</v>
      </c>
      <c r="F42" t="s">
        <v>209</v>
      </c>
      <c r="G42" t="s">
        <v>20</v>
      </c>
    </row>
    <row r="43">
      <c r="A43" t="s">
        <v>210</v>
      </c>
      <c r="B43" t="s">
        <v>211</v>
      </c>
      <c r="C43" t="s">
        <v>30</v>
      </c>
      <c r="D43" t="s">
        <v>212</v>
      </c>
      <c r="E43" t="s">
        <v>86</v>
      </c>
      <c r="F43" t="s">
        <v>213</v>
      </c>
      <c r="G43" t="s">
        <v>14</v>
      </c>
    </row>
    <row r="44">
      <c r="A44" t="s">
        <v>214</v>
      </c>
      <c r="B44" t="s">
        <v>215</v>
      </c>
      <c r="C44" t="s">
        <v>75</v>
      </c>
      <c r="D44" t="s">
        <v>216</v>
      </c>
      <c r="E44" t="s">
        <v>217</v>
      </c>
      <c r="F44" t="s">
        <v>218</v>
      </c>
      <c r="G44" t="s">
        <v>34</v>
      </c>
    </row>
    <row r="45">
      <c r="A45" t="s">
        <v>219</v>
      </c>
      <c r="B45" t="s">
        <v>220</v>
      </c>
      <c r="C45" t="s">
        <v>75</v>
      </c>
      <c r="D45" t="s">
        <v>96</v>
      </c>
      <c r="E45" t="s">
        <v>221</v>
      </c>
      <c r="F45" t="s">
        <v>222</v>
      </c>
      <c r="G45" t="s">
        <v>27</v>
      </c>
    </row>
    <row r="46">
      <c r="A46" t="s">
        <v>223</v>
      </c>
      <c r="B46" t="s">
        <v>224</v>
      </c>
      <c r="C46" t="s">
        <v>75</v>
      </c>
      <c r="D46" t="s">
        <v>91</v>
      </c>
      <c r="E46" t="s">
        <v>225</v>
      </c>
      <c r="F46" t="s">
        <v>117</v>
      </c>
      <c r="G46" t="s">
        <v>14</v>
      </c>
    </row>
    <row r="47">
      <c r="A47" t="s">
        <v>226</v>
      </c>
      <c r="B47" t="s">
        <v>227</v>
      </c>
      <c r="C47" t="s">
        <v>90</v>
      </c>
      <c r="D47" t="s">
        <v>11</v>
      </c>
      <c r="E47" t="s">
        <v>228</v>
      </c>
      <c r="F47" t="s">
        <v>229</v>
      </c>
      <c r="G47" t="s">
        <v>34</v>
      </c>
    </row>
    <row r="48">
      <c r="A48" t="s">
        <v>230</v>
      </c>
      <c r="B48" t="s">
        <v>231</v>
      </c>
      <c r="C48" t="s">
        <v>90</v>
      </c>
      <c r="D48" t="s">
        <v>66</v>
      </c>
      <c r="E48" t="s">
        <v>232</v>
      </c>
      <c r="F48" t="s">
        <v>233</v>
      </c>
      <c r="G48" t="s">
        <v>20</v>
      </c>
    </row>
    <row r="49">
      <c r="A49" t="s">
        <v>234</v>
      </c>
      <c r="B49" t="s">
        <v>235</v>
      </c>
      <c r="C49" t="s">
        <v>90</v>
      </c>
      <c r="D49" t="s">
        <v>24</v>
      </c>
      <c r="E49" t="s">
        <v>236</v>
      </c>
      <c r="F49" t="s">
        <v>237</v>
      </c>
      <c r="G49" t="s">
        <v>14</v>
      </c>
    </row>
    <row r="50">
      <c r="A50" t="s">
        <v>238</v>
      </c>
      <c r="B50" t="s">
        <v>239</v>
      </c>
      <c r="C50" t="s">
        <v>10</v>
      </c>
      <c r="D50" t="s">
        <v>240</v>
      </c>
      <c r="E50" t="s">
        <v>241</v>
      </c>
      <c r="F50" t="s">
        <v>242</v>
      </c>
      <c r="G50" t="s">
        <v>34</v>
      </c>
    </row>
    <row r="51">
      <c r="A51" t="s">
        <v>243</v>
      </c>
      <c r="B51" t="s">
        <v>244</v>
      </c>
      <c r="C51" t="s">
        <v>17</v>
      </c>
      <c r="D51" t="s">
        <v>245</v>
      </c>
      <c r="E51" t="s">
        <v>246</v>
      </c>
      <c r="F51" t="s">
        <v>247</v>
      </c>
      <c r="G51" t="s">
        <v>27</v>
      </c>
    </row>
    <row r="52">
      <c r="A52" t="s">
        <v>248</v>
      </c>
      <c r="B52" t="s">
        <v>249</v>
      </c>
      <c r="C52" t="s">
        <v>23</v>
      </c>
      <c r="D52" t="s">
        <v>250</v>
      </c>
      <c r="E52" t="s">
        <v>251</v>
      </c>
      <c r="F52" t="s">
        <v>71</v>
      </c>
      <c r="G52" t="s">
        <v>14</v>
      </c>
    </row>
    <row r="53">
      <c r="A53" t="s">
        <v>252</v>
      </c>
      <c r="B53" t="s">
        <v>253</v>
      </c>
      <c r="C53" t="s">
        <v>135</v>
      </c>
      <c r="D53" t="s">
        <v>76</v>
      </c>
      <c r="E53" t="s">
        <v>192</v>
      </c>
      <c r="F53" t="s">
        <v>254</v>
      </c>
      <c r="G53" t="s">
        <v>34</v>
      </c>
    </row>
    <row r="54">
      <c r="A54" t="s">
        <v>255</v>
      </c>
      <c r="B54" t="s">
        <v>256</v>
      </c>
      <c r="C54" t="s">
        <v>135</v>
      </c>
      <c r="D54" t="s">
        <v>81</v>
      </c>
      <c r="E54" t="s">
        <v>196</v>
      </c>
      <c r="F54" t="s">
        <v>257</v>
      </c>
      <c r="G54" t="s">
        <v>20</v>
      </c>
    </row>
    <row r="55">
      <c r="A55" t="s">
        <v>258</v>
      </c>
      <c r="B55" t="s">
        <v>259</v>
      </c>
      <c r="C55" t="s">
        <v>135</v>
      </c>
      <c r="D55" t="s">
        <v>76</v>
      </c>
      <c r="E55" t="s">
        <v>260</v>
      </c>
      <c r="F55" t="s">
        <v>261</v>
      </c>
      <c r="G55" t="s">
        <v>14</v>
      </c>
    </row>
    <row r="56">
      <c r="A56" t="s">
        <v>262</v>
      </c>
      <c r="B56" t="s">
        <v>263</v>
      </c>
      <c r="C56" t="s">
        <v>149</v>
      </c>
      <c r="D56" t="s">
        <v>264</v>
      </c>
      <c r="E56" t="s">
        <v>265</v>
      </c>
      <c r="F56" t="s">
        <v>266</v>
      </c>
      <c r="G56" t="s">
        <v>34</v>
      </c>
    </row>
    <row r="57">
      <c r="A57" t="s">
        <v>267</v>
      </c>
      <c r="B57" t="s">
        <v>268</v>
      </c>
      <c r="C57" t="s">
        <v>149</v>
      </c>
      <c r="D57" t="s">
        <v>269</v>
      </c>
      <c r="E57" t="s">
        <v>270</v>
      </c>
      <c r="F57" t="s">
        <v>162</v>
      </c>
      <c r="G57" t="s">
        <v>27</v>
      </c>
    </row>
    <row r="58">
      <c r="A58" t="s">
        <v>271</v>
      </c>
      <c r="B58" t="s">
        <v>272</v>
      </c>
      <c r="C58" t="s">
        <v>149</v>
      </c>
      <c r="D58" t="s">
        <v>264</v>
      </c>
      <c r="E58" t="s">
        <v>273</v>
      </c>
      <c r="F58" t="s">
        <v>274</v>
      </c>
      <c r="G58" t="s">
        <v>14</v>
      </c>
    </row>
    <row r="59">
      <c r="A59" t="s">
        <v>275</v>
      </c>
      <c r="B59" t="s">
        <v>276</v>
      </c>
      <c r="C59" t="s">
        <v>61</v>
      </c>
      <c r="D59" t="s">
        <v>47</v>
      </c>
      <c r="E59" t="s">
        <v>277</v>
      </c>
      <c r="F59" t="s">
        <v>278</v>
      </c>
      <c r="G59" t="s">
        <v>34</v>
      </c>
    </row>
    <row r="60">
      <c r="A60" t="s">
        <v>279</v>
      </c>
      <c r="B60" t="s">
        <v>280</v>
      </c>
      <c r="C60" t="s">
        <v>61</v>
      </c>
      <c r="D60" t="s">
        <v>140</v>
      </c>
      <c r="E60" t="s">
        <v>188</v>
      </c>
      <c r="F60" t="s">
        <v>281</v>
      </c>
      <c r="G60" t="s">
        <v>20</v>
      </c>
    </row>
    <row r="61">
      <c r="A61" t="s">
        <v>282</v>
      </c>
      <c r="B61" t="s">
        <v>283</v>
      </c>
      <c r="C61" t="s">
        <v>61</v>
      </c>
      <c r="D61" t="s">
        <v>52</v>
      </c>
      <c r="E61" t="s">
        <v>284</v>
      </c>
      <c r="F61" t="s">
        <v>285</v>
      </c>
      <c r="G61" t="s">
        <v>14</v>
      </c>
    </row>
    <row r="62">
      <c r="A62" t="s">
        <v>286</v>
      </c>
      <c r="B62" t="s">
        <v>287</v>
      </c>
      <c r="C62" t="s">
        <v>30</v>
      </c>
      <c r="D62" t="s">
        <v>288</v>
      </c>
      <c r="E62" t="s">
        <v>289</v>
      </c>
      <c r="F62" t="s">
        <v>290</v>
      </c>
      <c r="G62" t="s">
        <v>34</v>
      </c>
    </row>
    <row r="63">
      <c r="A63" t="s">
        <v>291</v>
      </c>
      <c r="B63" t="s">
        <v>292</v>
      </c>
      <c r="C63" t="s">
        <v>37</v>
      </c>
      <c r="D63" t="s">
        <v>293</v>
      </c>
      <c r="E63" t="s">
        <v>294</v>
      </c>
      <c r="F63" t="s">
        <v>295</v>
      </c>
      <c r="G63" t="s">
        <v>27</v>
      </c>
    </row>
    <row r="64">
      <c r="A64" t="s">
        <v>296</v>
      </c>
      <c r="B64" t="s">
        <v>297</v>
      </c>
      <c r="C64" t="s">
        <v>30</v>
      </c>
      <c r="D64" t="s">
        <v>288</v>
      </c>
      <c r="E64" t="s">
        <v>298</v>
      </c>
      <c r="F64" t="s">
        <v>299</v>
      </c>
      <c r="G64" t="s">
        <v>14</v>
      </c>
    </row>
    <row r="65">
      <c r="A65" t="s">
        <v>300</v>
      </c>
      <c r="B65" t="s">
        <v>301</v>
      </c>
      <c r="C65" t="s">
        <v>10</v>
      </c>
      <c r="D65" t="s">
        <v>302</v>
      </c>
      <c r="E65" t="s">
        <v>303</v>
      </c>
      <c r="F65" t="s">
        <v>304</v>
      </c>
      <c r="G65" t="s">
        <v>34</v>
      </c>
    </row>
    <row r="66">
      <c r="A66" t="s">
        <v>305</v>
      </c>
      <c r="B66" t="s">
        <v>306</v>
      </c>
      <c r="C66" t="s">
        <v>17</v>
      </c>
      <c r="D66" t="s">
        <v>307</v>
      </c>
      <c r="E66" t="s">
        <v>308</v>
      </c>
      <c r="F66" t="s">
        <v>309</v>
      </c>
      <c r="G66" t="s">
        <v>20</v>
      </c>
    </row>
    <row r="67">
      <c r="A67" t="s">
        <v>310</v>
      </c>
      <c r="B67" t="s">
        <v>311</v>
      </c>
      <c r="C67" t="s">
        <v>23</v>
      </c>
      <c r="D67" t="s">
        <v>312</v>
      </c>
      <c r="E67" t="s">
        <v>313</v>
      </c>
      <c r="F67" t="s">
        <v>314</v>
      </c>
      <c r="G67" t="s">
        <v>14</v>
      </c>
    </row>
    <row r="68">
      <c r="A68" t="s">
        <v>315</v>
      </c>
      <c r="B68" t="s">
        <v>316</v>
      </c>
      <c r="C68" t="s">
        <v>75</v>
      </c>
      <c r="D68" t="s">
        <v>317</v>
      </c>
      <c r="E68" t="s">
        <v>318</v>
      </c>
      <c r="F68" t="s">
        <v>319</v>
      </c>
      <c r="G68" t="s">
        <v>34</v>
      </c>
    </row>
    <row r="69">
      <c r="A69" t="s">
        <v>320</v>
      </c>
      <c r="B69" t="s">
        <v>321</v>
      </c>
      <c r="C69" t="s">
        <v>75</v>
      </c>
      <c r="D69" t="s">
        <v>322</v>
      </c>
      <c r="E69" t="s">
        <v>197</v>
      </c>
      <c r="F69" t="s">
        <v>323</v>
      </c>
      <c r="G69" t="s">
        <v>27</v>
      </c>
    </row>
    <row r="70">
      <c r="A70" t="s">
        <v>324</v>
      </c>
      <c r="B70" t="s">
        <v>325</v>
      </c>
      <c r="C70" t="s">
        <v>75</v>
      </c>
      <c r="D70" t="s">
        <v>317</v>
      </c>
      <c r="E70" t="s">
        <v>261</v>
      </c>
      <c r="F70" t="s">
        <v>326</v>
      </c>
      <c r="G70" t="s">
        <v>14</v>
      </c>
    </row>
    <row r="71">
      <c r="A71" t="s">
        <v>327</v>
      </c>
      <c r="B71" t="s">
        <v>328</v>
      </c>
      <c r="C71" t="s">
        <v>90</v>
      </c>
      <c r="D71" t="s">
        <v>329</v>
      </c>
      <c r="E71" t="s">
        <v>330</v>
      </c>
      <c r="F71" t="s">
        <v>331</v>
      </c>
      <c r="G71" t="s">
        <v>34</v>
      </c>
    </row>
    <row r="72">
      <c r="A72" t="s">
        <v>332</v>
      </c>
      <c r="B72" t="s">
        <v>333</v>
      </c>
      <c r="C72" t="s">
        <v>90</v>
      </c>
      <c r="D72" t="s">
        <v>334</v>
      </c>
      <c r="E72" t="s">
        <v>335</v>
      </c>
      <c r="F72" t="s">
        <v>336</v>
      </c>
      <c r="G72" t="s">
        <v>20</v>
      </c>
    </row>
    <row r="73">
      <c r="A73" t="s">
        <v>337</v>
      </c>
      <c r="B73" t="s">
        <v>338</v>
      </c>
      <c r="C73" t="s">
        <v>90</v>
      </c>
      <c r="D73" t="s">
        <v>339</v>
      </c>
      <c r="E73" t="s">
        <v>340</v>
      </c>
      <c r="F73" t="s">
        <v>341</v>
      </c>
      <c r="G73" t="s">
        <v>14</v>
      </c>
    </row>
    <row r="74">
      <c r="A74" t="s">
        <v>342</v>
      </c>
      <c r="B74" t="s">
        <v>343</v>
      </c>
      <c r="C74" t="s">
        <v>135</v>
      </c>
      <c r="D74" t="s">
        <v>344</v>
      </c>
      <c r="E74" t="s">
        <v>345</v>
      </c>
      <c r="F74" t="s">
        <v>346</v>
      </c>
      <c r="G74" t="s">
        <v>34</v>
      </c>
    </row>
    <row r="75">
      <c r="A75" t="s">
        <v>347</v>
      </c>
      <c r="B75" t="s">
        <v>348</v>
      </c>
      <c r="C75" t="s">
        <v>135</v>
      </c>
      <c r="D75" t="s">
        <v>349</v>
      </c>
      <c r="E75" t="s">
        <v>350</v>
      </c>
      <c r="F75" t="s">
        <v>351</v>
      </c>
      <c r="G75" t="s">
        <v>27</v>
      </c>
    </row>
    <row r="76">
      <c r="A76" t="s">
        <v>352</v>
      </c>
      <c r="B76" t="s">
        <v>353</v>
      </c>
      <c r="C76" t="s">
        <v>135</v>
      </c>
      <c r="D76" t="s">
        <v>354</v>
      </c>
      <c r="E76" t="s">
        <v>247</v>
      </c>
      <c r="F76" t="s">
        <v>289</v>
      </c>
      <c r="G76" t="s">
        <v>14</v>
      </c>
    </row>
    <row r="77">
      <c r="A77" t="s">
        <v>355</v>
      </c>
      <c r="B77" t="s">
        <v>356</v>
      </c>
      <c r="C77" t="s">
        <v>149</v>
      </c>
      <c r="D77" t="s">
        <v>357</v>
      </c>
      <c r="E77" t="s">
        <v>358</v>
      </c>
      <c r="F77" t="s">
        <v>359</v>
      </c>
      <c r="G77" t="s">
        <v>34</v>
      </c>
    </row>
    <row r="78">
      <c r="A78" t="s">
        <v>360</v>
      </c>
      <c r="B78" t="s">
        <v>361</v>
      </c>
      <c r="C78" t="s">
        <v>149</v>
      </c>
      <c r="D78" t="s">
        <v>362</v>
      </c>
      <c r="E78" t="s">
        <v>363</v>
      </c>
      <c r="F78" t="s">
        <v>340</v>
      </c>
      <c r="G78" t="s">
        <v>20</v>
      </c>
    </row>
    <row r="79">
      <c r="A79" t="s">
        <v>364</v>
      </c>
      <c r="B79" t="s">
        <v>365</v>
      </c>
      <c r="C79" t="s">
        <v>149</v>
      </c>
      <c r="D79" t="s">
        <v>366</v>
      </c>
      <c r="E79" t="s">
        <v>367</v>
      </c>
      <c r="F79" t="s">
        <v>368</v>
      </c>
      <c r="G79" t="s">
        <v>14</v>
      </c>
    </row>
    <row r="80">
      <c r="A80" t="s">
        <v>369</v>
      </c>
      <c r="B80" t="s">
        <v>370</v>
      </c>
      <c r="C80" t="s">
        <v>61</v>
      </c>
      <c r="D80" t="s">
        <v>105</v>
      </c>
      <c r="E80" t="s">
        <v>371</v>
      </c>
      <c r="F80" t="s">
        <v>372</v>
      </c>
      <c r="G80" t="s">
        <v>34</v>
      </c>
    </row>
    <row r="81">
      <c r="A81" t="s">
        <v>373</v>
      </c>
      <c r="B81" t="s">
        <v>374</v>
      </c>
      <c r="C81" t="s">
        <v>61</v>
      </c>
      <c r="D81" t="s">
        <v>110</v>
      </c>
      <c r="E81" t="s">
        <v>375</v>
      </c>
      <c r="F81" t="s">
        <v>376</v>
      </c>
      <c r="G81" t="s">
        <v>27</v>
      </c>
    </row>
    <row r="82">
      <c r="A82" t="s">
        <v>377</v>
      </c>
      <c r="B82" t="s">
        <v>378</v>
      </c>
      <c r="C82" t="s">
        <v>61</v>
      </c>
      <c r="D82" t="s">
        <v>115</v>
      </c>
      <c r="E82" t="s">
        <v>379</v>
      </c>
      <c r="F82" t="s">
        <v>380</v>
      </c>
      <c r="G82" t="s">
        <v>14</v>
      </c>
    </row>
    <row r="83">
      <c r="A83" t="s">
        <v>381</v>
      </c>
      <c r="B83" t="s">
        <v>382</v>
      </c>
      <c r="C83" t="s">
        <v>191</v>
      </c>
      <c r="D83" t="s">
        <v>47</v>
      </c>
      <c r="E83" t="s">
        <v>383</v>
      </c>
      <c r="F83" t="s">
        <v>384</v>
      </c>
      <c r="G83" t="s">
        <v>34</v>
      </c>
    </row>
    <row r="84">
      <c r="A84" t="s">
        <v>385</v>
      </c>
      <c r="B84" t="s">
        <v>386</v>
      </c>
      <c r="C84" t="s">
        <v>191</v>
      </c>
      <c r="D84" t="s">
        <v>140</v>
      </c>
      <c r="E84" t="s">
        <v>387</v>
      </c>
      <c r="F84" t="s">
        <v>388</v>
      </c>
      <c r="G84" t="s">
        <v>20</v>
      </c>
    </row>
    <row r="85">
      <c r="A85" t="s">
        <v>389</v>
      </c>
      <c r="B85" t="s">
        <v>390</v>
      </c>
      <c r="C85" t="s">
        <v>191</v>
      </c>
      <c r="D85" t="s">
        <v>52</v>
      </c>
      <c r="E85" t="s">
        <v>391</v>
      </c>
      <c r="F85" t="s">
        <v>188</v>
      </c>
      <c r="G85" t="s">
        <v>14</v>
      </c>
    </row>
    <row r="86">
      <c r="A86" t="s">
        <v>392</v>
      </c>
      <c r="B86" t="s">
        <v>393</v>
      </c>
      <c r="C86" t="s">
        <v>30</v>
      </c>
      <c r="D86" t="s">
        <v>394</v>
      </c>
      <c r="E86" t="s">
        <v>395</v>
      </c>
      <c r="F86" t="s">
        <v>396</v>
      </c>
      <c r="G86" t="s">
        <v>34</v>
      </c>
    </row>
    <row r="87">
      <c r="A87" t="s">
        <v>397</v>
      </c>
      <c r="B87" t="s">
        <v>398</v>
      </c>
      <c r="C87" t="s">
        <v>37</v>
      </c>
      <c r="D87" t="s">
        <v>38</v>
      </c>
      <c r="E87" t="s">
        <v>58</v>
      </c>
      <c r="F87" t="s">
        <v>399</v>
      </c>
      <c r="G87" t="s">
        <v>27</v>
      </c>
    </row>
    <row r="88">
      <c r="A88" t="s">
        <v>400</v>
      </c>
      <c r="B88" t="s">
        <v>401</v>
      </c>
      <c r="C88" t="s">
        <v>30</v>
      </c>
      <c r="D88" t="s">
        <v>31</v>
      </c>
      <c r="E88" t="s">
        <v>402</v>
      </c>
      <c r="F88" t="s">
        <v>326</v>
      </c>
      <c r="G88" t="s">
        <v>14</v>
      </c>
    </row>
    <row r="89">
      <c r="A89" t="s">
        <v>403</v>
      </c>
      <c r="B89" t="s">
        <v>404</v>
      </c>
      <c r="C89" t="s">
        <v>75</v>
      </c>
      <c r="D89" t="s">
        <v>120</v>
      </c>
      <c r="E89" t="s">
        <v>121</v>
      </c>
      <c r="F89" t="s">
        <v>242</v>
      </c>
      <c r="G89" t="s">
        <v>34</v>
      </c>
    </row>
    <row r="90">
      <c r="A90" t="s">
        <v>405</v>
      </c>
      <c r="B90" t="s">
        <v>406</v>
      </c>
      <c r="C90" t="s">
        <v>75</v>
      </c>
      <c r="D90" t="s">
        <v>125</v>
      </c>
      <c r="E90" t="s">
        <v>407</v>
      </c>
      <c r="F90" t="s">
        <v>247</v>
      </c>
      <c r="G90" t="s">
        <v>20</v>
      </c>
    </row>
    <row r="91">
      <c r="A91" t="s">
        <v>408</v>
      </c>
      <c r="B91" t="s">
        <v>409</v>
      </c>
      <c r="C91" t="s">
        <v>75</v>
      </c>
      <c r="D91" t="s">
        <v>130</v>
      </c>
      <c r="E91" t="s">
        <v>410</v>
      </c>
      <c r="F91" t="s">
        <v>411</v>
      </c>
      <c r="G91" t="s">
        <v>14</v>
      </c>
    </row>
    <row r="92">
      <c r="A92" t="s">
        <v>412</v>
      </c>
      <c r="B92" t="s">
        <v>413</v>
      </c>
      <c r="C92" t="s">
        <v>90</v>
      </c>
      <c r="D92" t="s">
        <v>414</v>
      </c>
      <c r="E92" t="s">
        <v>415</v>
      </c>
      <c r="F92" t="s">
        <v>152</v>
      </c>
      <c r="G92" t="s">
        <v>34</v>
      </c>
    </row>
    <row r="93">
      <c r="A93" t="s">
        <v>416</v>
      </c>
      <c r="B93" t="s">
        <v>417</v>
      </c>
      <c r="C93" t="s">
        <v>90</v>
      </c>
      <c r="D93" t="s">
        <v>418</v>
      </c>
      <c r="E93" t="s">
        <v>151</v>
      </c>
      <c r="F93" t="s">
        <v>174</v>
      </c>
      <c r="G93" t="s">
        <v>27</v>
      </c>
    </row>
    <row r="94">
      <c r="A94" t="s">
        <v>419</v>
      </c>
      <c r="B94" t="s">
        <v>420</v>
      </c>
      <c r="C94" t="s">
        <v>90</v>
      </c>
      <c r="D94" t="s">
        <v>421</v>
      </c>
      <c r="E94" t="s">
        <v>265</v>
      </c>
      <c r="F94" t="s">
        <v>162</v>
      </c>
      <c r="G94" t="s">
        <v>14</v>
      </c>
    </row>
    <row r="95">
      <c r="A95" t="s">
        <v>422</v>
      </c>
      <c r="B95" t="s">
        <v>423</v>
      </c>
      <c r="C95" t="s">
        <v>135</v>
      </c>
      <c r="D95" t="s">
        <v>204</v>
      </c>
      <c r="E95" t="s">
        <v>424</v>
      </c>
      <c r="F95" t="s">
        <v>425</v>
      </c>
      <c r="G95" t="s">
        <v>34</v>
      </c>
    </row>
    <row r="96">
      <c r="A96" t="s">
        <v>426</v>
      </c>
      <c r="B96" t="s">
        <v>427</v>
      </c>
      <c r="C96" t="s">
        <v>135</v>
      </c>
      <c r="D96" t="s">
        <v>208</v>
      </c>
      <c r="E96" t="s">
        <v>428</v>
      </c>
      <c r="F96" t="s">
        <v>429</v>
      </c>
      <c r="G96" t="s">
        <v>20</v>
      </c>
    </row>
    <row r="97">
      <c r="A97" t="s">
        <v>430</v>
      </c>
      <c r="B97" t="s">
        <v>431</v>
      </c>
      <c r="C97" t="s">
        <v>135</v>
      </c>
      <c r="D97" t="s">
        <v>212</v>
      </c>
      <c r="E97" t="s">
        <v>184</v>
      </c>
      <c r="F97" t="s">
        <v>432</v>
      </c>
      <c r="G97" t="s">
        <v>14</v>
      </c>
    </row>
    <row r="98">
      <c r="A98" t="s">
        <v>433</v>
      </c>
      <c r="B98" t="s">
        <v>434</v>
      </c>
      <c r="C98" t="s">
        <v>149</v>
      </c>
      <c r="D98" t="s">
        <v>357</v>
      </c>
      <c r="E98" t="s">
        <v>435</v>
      </c>
      <c r="F98" t="s">
        <v>436</v>
      </c>
      <c r="G98" t="s">
        <v>34</v>
      </c>
    </row>
    <row r="99">
      <c r="A99" t="s">
        <v>437</v>
      </c>
      <c r="B99" t="s">
        <v>438</v>
      </c>
      <c r="C99" t="s">
        <v>149</v>
      </c>
      <c r="D99" t="s">
        <v>362</v>
      </c>
      <c r="E99" t="s">
        <v>439</v>
      </c>
      <c r="F99" t="s">
        <v>265</v>
      </c>
      <c r="G99" t="s">
        <v>27</v>
      </c>
    </row>
    <row r="100">
      <c r="A100" t="s">
        <v>440</v>
      </c>
      <c r="B100" t="s">
        <v>441</v>
      </c>
      <c r="C100" t="s">
        <v>149</v>
      </c>
      <c r="D100" t="s">
        <v>366</v>
      </c>
      <c r="E100" t="s">
        <v>442</v>
      </c>
      <c r="F100" t="s">
        <v>358</v>
      </c>
      <c r="G100" t="s">
        <v>14</v>
      </c>
    </row>
    <row r="101">
      <c r="A101" t="s">
        <v>443</v>
      </c>
      <c r="B101" t="s">
        <v>444</v>
      </c>
      <c r="C101" t="s">
        <v>61</v>
      </c>
      <c r="D101" t="s">
        <v>11</v>
      </c>
      <c r="E101" t="s">
        <v>121</v>
      </c>
      <c r="F101" t="s">
        <v>304</v>
      </c>
      <c r="G101" t="s">
        <v>34</v>
      </c>
    </row>
    <row r="102">
      <c r="A102" t="s">
        <v>445</v>
      </c>
      <c r="B102" t="s">
        <v>446</v>
      </c>
      <c r="C102" t="s">
        <v>61</v>
      </c>
      <c r="D102" t="s">
        <v>66</v>
      </c>
      <c r="E102" t="s">
        <v>407</v>
      </c>
      <c r="F102" t="s">
        <v>309</v>
      </c>
      <c r="G102" t="s">
        <v>20</v>
      </c>
    </row>
    <row r="103">
      <c r="A103" t="s">
        <v>447</v>
      </c>
      <c r="B103" t="s">
        <v>448</v>
      </c>
      <c r="C103" t="s">
        <v>61</v>
      </c>
      <c r="D103" t="s">
        <v>24</v>
      </c>
      <c r="E103" t="s">
        <v>410</v>
      </c>
      <c r="F103" t="s">
        <v>127</v>
      </c>
      <c r="G103" t="s">
        <v>14</v>
      </c>
    </row>
    <row r="104">
      <c r="A104" t="s">
        <v>449</v>
      </c>
      <c r="B104" t="s">
        <v>450</v>
      </c>
      <c r="C104" t="s">
        <v>30</v>
      </c>
      <c r="D104" t="s">
        <v>451</v>
      </c>
      <c r="E104" t="s">
        <v>142</v>
      </c>
      <c r="F104" t="s">
        <v>452</v>
      </c>
      <c r="G104" t="s">
        <v>34</v>
      </c>
    </row>
    <row r="105">
      <c r="A105" t="s">
        <v>453</v>
      </c>
      <c r="B105" t="s">
        <v>454</v>
      </c>
      <c r="C105" t="s">
        <v>37</v>
      </c>
      <c r="D105" t="s">
        <v>455</v>
      </c>
      <c r="E105" t="s">
        <v>456</v>
      </c>
      <c r="F105" t="s">
        <v>457</v>
      </c>
      <c r="G105" t="s">
        <v>27</v>
      </c>
    </row>
    <row r="106">
      <c r="A106" t="s">
        <v>458</v>
      </c>
      <c r="B106" t="s">
        <v>459</v>
      </c>
      <c r="C106" t="s">
        <v>30</v>
      </c>
      <c r="D106" t="s">
        <v>451</v>
      </c>
      <c r="E106" t="s">
        <v>460</v>
      </c>
      <c r="F106" t="s">
        <v>461</v>
      </c>
      <c r="G106" t="s">
        <v>14</v>
      </c>
    </row>
    <row r="107">
      <c r="A107" t="s">
        <v>462</v>
      </c>
      <c r="B107" t="s">
        <v>463</v>
      </c>
      <c r="C107" t="s">
        <v>10</v>
      </c>
      <c r="D107" t="s">
        <v>464</v>
      </c>
      <c r="E107" t="s">
        <v>371</v>
      </c>
      <c r="F107" t="s">
        <v>465</v>
      </c>
      <c r="G107" t="s">
        <v>34</v>
      </c>
    </row>
    <row r="108">
      <c r="A108" t="s">
        <v>466</v>
      </c>
      <c r="B108" t="s">
        <v>467</v>
      </c>
      <c r="C108" t="s">
        <v>17</v>
      </c>
      <c r="D108" t="s">
        <v>468</v>
      </c>
      <c r="E108" t="s">
        <v>375</v>
      </c>
      <c r="F108" t="s">
        <v>260</v>
      </c>
      <c r="G108" t="s">
        <v>20</v>
      </c>
    </row>
    <row r="109">
      <c r="A109" t="s">
        <v>469</v>
      </c>
      <c r="B109" t="s">
        <v>470</v>
      </c>
      <c r="C109" t="s">
        <v>23</v>
      </c>
      <c r="D109" t="s">
        <v>471</v>
      </c>
      <c r="E109" t="s">
        <v>379</v>
      </c>
      <c r="F109" t="s">
        <v>472</v>
      </c>
      <c r="G109" t="s">
        <v>14</v>
      </c>
    </row>
    <row r="110">
      <c r="A110" t="s">
        <v>473</v>
      </c>
      <c r="B110" t="s">
        <v>474</v>
      </c>
      <c r="C110" t="s">
        <v>75</v>
      </c>
      <c r="D110" t="s">
        <v>475</v>
      </c>
      <c r="E110" t="s">
        <v>476</v>
      </c>
      <c r="F110" t="s">
        <v>477</v>
      </c>
      <c r="G110" t="s">
        <v>34</v>
      </c>
    </row>
    <row r="111">
      <c r="A111" t="s">
        <v>478</v>
      </c>
      <c r="B111" t="s">
        <v>479</v>
      </c>
      <c r="C111" t="s">
        <v>75</v>
      </c>
      <c r="D111" t="s">
        <v>480</v>
      </c>
      <c r="E111" t="s">
        <v>481</v>
      </c>
      <c r="F111" t="s">
        <v>482</v>
      </c>
      <c r="G111" t="s">
        <v>27</v>
      </c>
    </row>
    <row r="112">
      <c r="A112" t="s">
        <v>483</v>
      </c>
      <c r="B112" t="s">
        <v>484</v>
      </c>
      <c r="C112" t="s">
        <v>75</v>
      </c>
      <c r="D112" t="s">
        <v>485</v>
      </c>
      <c r="E112" t="s">
        <v>486</v>
      </c>
      <c r="F112" t="s">
        <v>295</v>
      </c>
      <c r="G112" t="s">
        <v>14</v>
      </c>
    </row>
    <row r="113">
      <c r="A113" t="s">
        <v>487</v>
      </c>
      <c r="B113" t="s">
        <v>488</v>
      </c>
      <c r="C113" t="s">
        <v>90</v>
      </c>
      <c r="D113" t="s">
        <v>489</v>
      </c>
      <c r="E113" t="s">
        <v>490</v>
      </c>
      <c r="F113" t="s">
        <v>491</v>
      </c>
      <c r="G113" t="s">
        <v>34</v>
      </c>
    </row>
    <row r="114">
      <c r="A114" t="s">
        <v>492</v>
      </c>
      <c r="B114" t="s">
        <v>493</v>
      </c>
      <c r="C114" t="s">
        <v>90</v>
      </c>
      <c r="D114" t="s">
        <v>494</v>
      </c>
      <c r="E114" t="s">
        <v>495</v>
      </c>
      <c r="F114" t="s">
        <v>496</v>
      </c>
      <c r="G114" t="s">
        <v>20</v>
      </c>
    </row>
    <row r="115">
      <c r="A115" t="s">
        <v>497</v>
      </c>
      <c r="B115" t="s">
        <v>498</v>
      </c>
      <c r="C115" t="s">
        <v>90</v>
      </c>
      <c r="D115" t="s">
        <v>499</v>
      </c>
      <c r="E115" t="s">
        <v>500</v>
      </c>
      <c r="F115" t="s">
        <v>410</v>
      </c>
      <c r="G115" t="s">
        <v>14</v>
      </c>
    </row>
    <row r="116">
      <c r="A116" t="s">
        <v>501</v>
      </c>
      <c r="B116" t="s">
        <v>502</v>
      </c>
      <c r="C116" t="s">
        <v>135</v>
      </c>
      <c r="D116" t="s">
        <v>503</v>
      </c>
      <c r="E116" t="s">
        <v>504</v>
      </c>
      <c r="F116" t="s">
        <v>505</v>
      </c>
      <c r="G116" t="s">
        <v>34</v>
      </c>
    </row>
    <row r="117">
      <c r="A117" t="s">
        <v>506</v>
      </c>
      <c r="B117" t="s">
        <v>507</v>
      </c>
      <c r="C117" t="s">
        <v>135</v>
      </c>
      <c r="D117" t="s">
        <v>508</v>
      </c>
      <c r="E117" t="s">
        <v>260</v>
      </c>
      <c r="F117" t="s">
        <v>509</v>
      </c>
      <c r="G117" t="s">
        <v>27</v>
      </c>
    </row>
    <row r="118">
      <c r="A118" t="s">
        <v>510</v>
      </c>
      <c r="B118" t="s">
        <v>511</v>
      </c>
      <c r="C118" t="s">
        <v>135</v>
      </c>
      <c r="D118" t="s">
        <v>512</v>
      </c>
      <c r="E118" t="s">
        <v>472</v>
      </c>
      <c r="F118" t="s">
        <v>513</v>
      </c>
      <c r="G118" t="s">
        <v>14</v>
      </c>
    </row>
    <row r="119">
      <c r="A119" t="s">
        <v>514</v>
      </c>
      <c r="B119" t="s">
        <v>515</v>
      </c>
      <c r="C119" t="s">
        <v>149</v>
      </c>
      <c r="D119" t="s">
        <v>516</v>
      </c>
      <c r="E119" t="s">
        <v>165</v>
      </c>
      <c r="F119" t="s">
        <v>517</v>
      </c>
      <c r="G119" t="s">
        <v>34</v>
      </c>
    </row>
    <row r="120">
      <c r="A120" t="s">
        <v>518</v>
      </c>
      <c r="B120" t="s">
        <v>519</v>
      </c>
      <c r="C120" t="s">
        <v>149</v>
      </c>
      <c r="D120" t="s">
        <v>520</v>
      </c>
      <c r="E120" t="s">
        <v>169</v>
      </c>
      <c r="F120" t="s">
        <v>358</v>
      </c>
      <c r="G120" t="s">
        <v>20</v>
      </c>
    </row>
    <row r="121">
      <c r="A121" t="s">
        <v>521</v>
      </c>
      <c r="B121" t="s">
        <v>522</v>
      </c>
      <c r="C121" t="s">
        <v>149</v>
      </c>
      <c r="D121" t="s">
        <v>523</v>
      </c>
      <c r="E121" t="s">
        <v>173</v>
      </c>
      <c r="F121" t="s">
        <v>170</v>
      </c>
      <c r="G121" t="s">
        <v>14</v>
      </c>
    </row>
    <row r="122">
      <c r="A122" t="s">
        <v>524</v>
      </c>
      <c r="B122" t="s">
        <v>525</v>
      </c>
      <c r="C122" t="s">
        <v>191</v>
      </c>
      <c r="D122" t="s">
        <v>526</v>
      </c>
      <c r="E122" t="s">
        <v>62</v>
      </c>
      <c r="F122" t="s">
        <v>527</v>
      </c>
      <c r="G122" t="s">
        <v>34</v>
      </c>
    </row>
    <row r="123">
      <c r="A123" t="s">
        <v>528</v>
      </c>
      <c r="B123" t="s">
        <v>529</v>
      </c>
      <c r="C123" t="s">
        <v>191</v>
      </c>
      <c r="D123" t="s">
        <v>530</v>
      </c>
      <c r="E123" t="s">
        <v>247</v>
      </c>
      <c r="F123" t="s">
        <v>531</v>
      </c>
      <c r="G123" t="s">
        <v>27</v>
      </c>
    </row>
    <row r="124">
      <c r="A124" t="s">
        <v>532</v>
      </c>
      <c r="B124" t="s">
        <v>533</v>
      </c>
      <c r="C124" t="s">
        <v>191</v>
      </c>
      <c r="D124" t="s">
        <v>534</v>
      </c>
      <c r="E124" t="s">
        <v>411</v>
      </c>
      <c r="F124" t="s">
        <v>535</v>
      </c>
      <c r="G124" t="s">
        <v>14</v>
      </c>
    </row>
    <row r="125">
      <c r="A125" t="s">
        <v>536</v>
      </c>
      <c r="B125" t="s">
        <v>537</v>
      </c>
      <c r="C125" t="s">
        <v>30</v>
      </c>
      <c r="D125" t="s">
        <v>357</v>
      </c>
      <c r="E125" t="s">
        <v>538</v>
      </c>
      <c r="F125" t="s">
        <v>539</v>
      </c>
      <c r="G125" t="s">
        <v>34</v>
      </c>
    </row>
    <row r="126">
      <c r="A126" t="s">
        <v>540</v>
      </c>
      <c r="B126" t="s">
        <v>541</v>
      </c>
      <c r="C126" t="s">
        <v>37</v>
      </c>
      <c r="D126" t="s">
        <v>362</v>
      </c>
      <c r="E126" t="s">
        <v>542</v>
      </c>
      <c r="F126" t="s">
        <v>543</v>
      </c>
      <c r="G126" t="s">
        <v>20</v>
      </c>
    </row>
    <row r="127">
      <c r="A127" t="s">
        <v>544</v>
      </c>
      <c r="B127" t="s">
        <v>545</v>
      </c>
      <c r="C127" t="s">
        <v>30</v>
      </c>
      <c r="D127" t="s">
        <v>366</v>
      </c>
      <c r="E127" t="s">
        <v>326</v>
      </c>
      <c r="F127" t="s">
        <v>546</v>
      </c>
      <c r="G127" t="s">
        <v>14</v>
      </c>
    </row>
    <row r="128">
      <c r="A128" t="s">
        <v>547</v>
      </c>
      <c r="B128" t="s">
        <v>548</v>
      </c>
      <c r="C128" t="s">
        <v>10</v>
      </c>
      <c r="D128" t="s">
        <v>549</v>
      </c>
      <c r="E128" t="s">
        <v>550</v>
      </c>
      <c r="F128" t="s">
        <v>551</v>
      </c>
      <c r="G128" t="s">
        <v>34</v>
      </c>
    </row>
    <row r="129">
      <c r="A129" t="s">
        <v>552</v>
      </c>
      <c r="B129" t="s">
        <v>553</v>
      </c>
      <c r="C129" t="s">
        <v>17</v>
      </c>
      <c r="D129" t="s">
        <v>554</v>
      </c>
      <c r="E129" t="s">
        <v>379</v>
      </c>
      <c r="F129" t="s">
        <v>350</v>
      </c>
      <c r="G129" t="s">
        <v>27</v>
      </c>
    </row>
    <row r="130">
      <c r="A130" t="s">
        <v>555</v>
      </c>
      <c r="B130" t="s">
        <v>556</v>
      </c>
      <c r="C130" t="s">
        <v>23</v>
      </c>
      <c r="D130" t="s">
        <v>557</v>
      </c>
      <c r="E130" t="s">
        <v>558</v>
      </c>
      <c r="F130" t="s">
        <v>247</v>
      </c>
      <c r="G130" t="s">
        <v>14</v>
      </c>
    </row>
    <row r="131">
      <c r="A131" t="s">
        <v>559</v>
      </c>
      <c r="B131" t="s">
        <v>560</v>
      </c>
      <c r="C131" t="s">
        <v>61</v>
      </c>
      <c r="D131" t="s">
        <v>120</v>
      </c>
      <c r="E131" t="s">
        <v>391</v>
      </c>
      <c r="F131" t="s">
        <v>561</v>
      </c>
      <c r="G131" t="s">
        <v>34</v>
      </c>
    </row>
    <row r="132">
      <c r="A132" t="s">
        <v>562</v>
      </c>
      <c r="B132" t="s">
        <v>563</v>
      </c>
      <c r="C132" t="s">
        <v>61</v>
      </c>
      <c r="D132" t="s">
        <v>125</v>
      </c>
      <c r="E132" t="s">
        <v>383</v>
      </c>
      <c r="F132" t="s">
        <v>564</v>
      </c>
      <c r="G132" t="s">
        <v>20</v>
      </c>
    </row>
    <row r="133">
      <c r="A133" t="s">
        <v>565</v>
      </c>
      <c r="B133" t="s">
        <v>566</v>
      </c>
      <c r="C133" t="s">
        <v>61</v>
      </c>
      <c r="D133" t="s">
        <v>130</v>
      </c>
      <c r="E133" t="s">
        <v>375</v>
      </c>
      <c r="F133" t="s">
        <v>376</v>
      </c>
      <c r="G133" t="s">
        <v>14</v>
      </c>
    </row>
    <row r="134">
      <c r="A134" t="s">
        <v>567</v>
      </c>
      <c r="B134" t="s">
        <v>568</v>
      </c>
      <c r="C134" t="s">
        <v>75</v>
      </c>
      <c r="D134" t="s">
        <v>569</v>
      </c>
      <c r="E134" t="s">
        <v>289</v>
      </c>
      <c r="F134" t="s">
        <v>570</v>
      </c>
      <c r="G134" t="s">
        <v>34</v>
      </c>
    </row>
    <row r="135">
      <c r="A135" t="s">
        <v>571</v>
      </c>
      <c r="B135" t="s">
        <v>572</v>
      </c>
      <c r="C135" t="s">
        <v>75</v>
      </c>
      <c r="D135" t="s">
        <v>573</v>
      </c>
      <c r="E135" t="s">
        <v>574</v>
      </c>
      <c r="F135" t="s">
        <v>575</v>
      </c>
      <c r="G135" t="s">
        <v>27</v>
      </c>
    </row>
    <row r="136">
      <c r="A136" t="s">
        <v>576</v>
      </c>
      <c r="B136" t="s">
        <v>577</v>
      </c>
      <c r="C136" t="s">
        <v>75</v>
      </c>
      <c r="D136" t="s">
        <v>578</v>
      </c>
      <c r="E136" t="s">
        <v>298</v>
      </c>
      <c r="F136" t="s">
        <v>579</v>
      </c>
      <c r="G136" t="s">
        <v>14</v>
      </c>
    </row>
    <row r="137">
      <c r="A137" t="s">
        <v>580</v>
      </c>
      <c r="B137" t="s">
        <v>581</v>
      </c>
      <c r="C137" t="s">
        <v>90</v>
      </c>
      <c r="D137" t="s">
        <v>582</v>
      </c>
      <c r="E137" t="s">
        <v>583</v>
      </c>
      <c r="F137" t="s">
        <v>584</v>
      </c>
      <c r="G137" t="s">
        <v>34</v>
      </c>
    </row>
    <row r="138">
      <c r="A138" t="s">
        <v>585</v>
      </c>
      <c r="B138" t="s">
        <v>586</v>
      </c>
      <c r="C138" t="s">
        <v>90</v>
      </c>
      <c r="D138" t="s">
        <v>587</v>
      </c>
      <c r="E138" t="s">
        <v>368</v>
      </c>
      <c r="F138" t="s">
        <v>490</v>
      </c>
      <c r="G138" t="s">
        <v>20</v>
      </c>
    </row>
    <row r="139">
      <c r="A139" t="s">
        <v>588</v>
      </c>
      <c r="B139" t="s">
        <v>589</v>
      </c>
      <c r="C139" t="s">
        <v>90</v>
      </c>
      <c r="D139" t="s">
        <v>590</v>
      </c>
      <c r="E139" t="s">
        <v>232</v>
      </c>
      <c r="F139" t="s">
        <v>387</v>
      </c>
      <c r="G139" t="s">
        <v>14</v>
      </c>
    </row>
    <row r="140">
      <c r="A140" t="s">
        <v>591</v>
      </c>
      <c r="B140" t="s">
        <v>592</v>
      </c>
      <c r="C140" t="s">
        <v>135</v>
      </c>
      <c r="D140" t="s">
        <v>593</v>
      </c>
      <c r="E140" t="s">
        <v>594</v>
      </c>
      <c r="F140" t="s">
        <v>63</v>
      </c>
      <c r="G140" t="s">
        <v>34</v>
      </c>
    </row>
    <row r="141">
      <c r="A141" t="s">
        <v>595</v>
      </c>
      <c r="B141" t="s">
        <v>596</v>
      </c>
      <c r="C141" t="s">
        <v>135</v>
      </c>
      <c r="D141" t="s">
        <v>597</v>
      </c>
      <c r="E141" t="s">
        <v>411</v>
      </c>
      <c r="F141" t="s">
        <v>535</v>
      </c>
      <c r="G141" t="s">
        <v>27</v>
      </c>
    </row>
    <row r="142">
      <c r="A142" t="s">
        <v>598</v>
      </c>
      <c r="B142" t="s">
        <v>599</v>
      </c>
      <c r="C142" t="s">
        <v>135</v>
      </c>
      <c r="D142" t="s">
        <v>600</v>
      </c>
      <c r="E142" t="s">
        <v>601</v>
      </c>
      <c r="F142" t="s">
        <v>602</v>
      </c>
      <c r="G142" t="s">
        <v>14</v>
      </c>
    </row>
    <row r="143">
      <c r="A143" t="s">
        <v>603</v>
      </c>
      <c r="B143" t="s">
        <v>604</v>
      </c>
      <c r="C143" t="s">
        <v>149</v>
      </c>
      <c r="D143" t="s">
        <v>11</v>
      </c>
      <c r="E143" t="s">
        <v>165</v>
      </c>
      <c r="F143" t="s">
        <v>517</v>
      </c>
      <c r="G143" t="s">
        <v>34</v>
      </c>
    </row>
    <row r="144">
      <c r="A144" t="s">
        <v>605</v>
      </c>
      <c r="B144" t="s">
        <v>606</v>
      </c>
      <c r="C144" t="s">
        <v>149</v>
      </c>
      <c r="D144" t="s">
        <v>66</v>
      </c>
      <c r="E144" t="s">
        <v>169</v>
      </c>
      <c r="F144" t="s">
        <v>358</v>
      </c>
      <c r="G144" t="s">
        <v>20</v>
      </c>
    </row>
    <row r="145">
      <c r="A145" t="s">
        <v>607</v>
      </c>
      <c r="B145" t="s">
        <v>608</v>
      </c>
      <c r="C145" t="s">
        <v>149</v>
      </c>
      <c r="D145" t="s">
        <v>24</v>
      </c>
      <c r="E145" t="s">
        <v>173</v>
      </c>
      <c r="F145" t="s">
        <v>170</v>
      </c>
      <c r="G145" t="s">
        <v>14</v>
      </c>
    </row>
    <row r="146">
      <c r="A146" t="s">
        <v>609</v>
      </c>
      <c r="B146" t="s">
        <v>610</v>
      </c>
      <c r="C146" t="s">
        <v>10</v>
      </c>
      <c r="D146" t="s">
        <v>611</v>
      </c>
      <c r="E146" t="s">
        <v>375</v>
      </c>
      <c r="F146" t="s">
        <v>612</v>
      </c>
      <c r="G146" t="s">
        <v>34</v>
      </c>
    </row>
    <row r="147">
      <c r="A147" t="s">
        <v>613</v>
      </c>
      <c r="B147" t="s">
        <v>614</v>
      </c>
      <c r="C147" t="s">
        <v>17</v>
      </c>
      <c r="D147" t="s">
        <v>615</v>
      </c>
      <c r="E147" t="s">
        <v>391</v>
      </c>
      <c r="F147" t="s">
        <v>376</v>
      </c>
      <c r="G147" t="s">
        <v>27</v>
      </c>
    </row>
    <row r="148">
      <c r="A148" t="s">
        <v>616</v>
      </c>
      <c r="B148" t="s">
        <v>617</v>
      </c>
      <c r="C148" t="s">
        <v>23</v>
      </c>
      <c r="D148" t="s">
        <v>618</v>
      </c>
      <c r="E148" t="s">
        <v>371</v>
      </c>
      <c r="F148" t="s">
        <v>380</v>
      </c>
      <c r="G148" t="s">
        <v>14</v>
      </c>
    </row>
    <row r="149">
      <c r="A149" t="s">
        <v>619</v>
      </c>
      <c r="B149" t="s">
        <v>620</v>
      </c>
      <c r="C149" t="s">
        <v>30</v>
      </c>
      <c r="D149" t="s">
        <v>621</v>
      </c>
      <c r="E149" t="s">
        <v>429</v>
      </c>
      <c r="F149" t="s">
        <v>622</v>
      </c>
      <c r="G149" t="s">
        <v>34</v>
      </c>
    </row>
    <row r="150">
      <c r="A150" t="s">
        <v>623</v>
      </c>
      <c r="B150" t="s">
        <v>624</v>
      </c>
      <c r="C150" t="s">
        <v>37</v>
      </c>
      <c r="D150" t="s">
        <v>625</v>
      </c>
      <c r="E150" t="s">
        <v>106</v>
      </c>
      <c r="F150" t="s">
        <v>117</v>
      </c>
      <c r="G150" t="s">
        <v>20</v>
      </c>
    </row>
    <row r="151">
      <c r="A151" t="s">
        <v>626</v>
      </c>
      <c r="B151" t="s">
        <v>627</v>
      </c>
      <c r="C151" t="s">
        <v>30</v>
      </c>
      <c r="D151" t="s">
        <v>628</v>
      </c>
      <c r="E151" t="s">
        <v>82</v>
      </c>
      <c r="F151" t="s">
        <v>629</v>
      </c>
      <c r="G151" t="s">
        <v>14</v>
      </c>
    </row>
    <row r="152">
      <c r="A152" t="s">
        <v>630</v>
      </c>
      <c r="B152" t="s">
        <v>631</v>
      </c>
      <c r="C152" t="s">
        <v>75</v>
      </c>
      <c r="D152" t="s">
        <v>632</v>
      </c>
      <c r="E152" t="s">
        <v>633</v>
      </c>
      <c r="F152" t="s">
        <v>634</v>
      </c>
      <c r="G152" t="s">
        <v>34</v>
      </c>
    </row>
    <row r="153">
      <c r="A153" t="s">
        <v>635</v>
      </c>
      <c r="B153" t="s">
        <v>636</v>
      </c>
      <c r="C153" t="s">
        <v>75</v>
      </c>
      <c r="D153" t="s">
        <v>637</v>
      </c>
      <c r="E153" t="s">
        <v>142</v>
      </c>
      <c r="F153" t="s">
        <v>638</v>
      </c>
      <c r="G153" t="s">
        <v>27</v>
      </c>
    </row>
    <row r="154">
      <c r="A154" t="s">
        <v>639</v>
      </c>
      <c r="B154" t="s">
        <v>640</v>
      </c>
      <c r="C154" t="s">
        <v>75</v>
      </c>
      <c r="D154" t="s">
        <v>641</v>
      </c>
      <c r="E154" t="s">
        <v>642</v>
      </c>
      <c r="F154" t="s">
        <v>643</v>
      </c>
      <c r="G154" t="s">
        <v>14</v>
      </c>
    </row>
    <row r="155">
      <c r="A155" t="s">
        <v>644</v>
      </c>
      <c r="B155" t="s">
        <v>645</v>
      </c>
      <c r="C155" t="s">
        <v>90</v>
      </c>
      <c r="D155" t="s">
        <v>646</v>
      </c>
      <c r="E155" t="s">
        <v>647</v>
      </c>
      <c r="F155" t="s">
        <v>648</v>
      </c>
      <c r="G155" t="s">
        <v>34</v>
      </c>
    </row>
    <row r="156">
      <c r="A156" t="s">
        <v>649</v>
      </c>
      <c r="B156" t="s">
        <v>650</v>
      </c>
      <c r="C156" t="s">
        <v>90</v>
      </c>
      <c r="D156" t="s">
        <v>651</v>
      </c>
      <c r="E156" t="s">
        <v>157</v>
      </c>
      <c r="F156" t="s">
        <v>652</v>
      </c>
      <c r="G156" t="s">
        <v>20</v>
      </c>
    </row>
    <row r="157">
      <c r="A157" t="s">
        <v>653</v>
      </c>
      <c r="B157" t="s">
        <v>654</v>
      </c>
      <c r="C157" t="s">
        <v>90</v>
      </c>
      <c r="D157" t="s">
        <v>655</v>
      </c>
      <c r="E157" t="s">
        <v>162</v>
      </c>
      <c r="F157" t="s">
        <v>656</v>
      </c>
      <c r="G157" t="s">
        <v>14</v>
      </c>
    </row>
    <row r="158">
      <c r="A158" t="s">
        <v>657</v>
      </c>
      <c r="B158" t="s">
        <v>658</v>
      </c>
      <c r="C158" t="s">
        <v>135</v>
      </c>
      <c r="D158" t="s">
        <v>31</v>
      </c>
      <c r="E158" t="s">
        <v>659</v>
      </c>
      <c r="F158" t="s">
        <v>660</v>
      </c>
      <c r="G158" t="s">
        <v>34</v>
      </c>
    </row>
    <row r="159">
      <c r="A159" t="s">
        <v>661</v>
      </c>
      <c r="B159" t="s">
        <v>662</v>
      </c>
      <c r="C159" t="s">
        <v>135</v>
      </c>
      <c r="D159" t="s">
        <v>38</v>
      </c>
      <c r="E159" t="s">
        <v>127</v>
      </c>
      <c r="F159" t="s">
        <v>106</v>
      </c>
      <c r="G159" t="s">
        <v>27</v>
      </c>
    </row>
    <row r="160">
      <c r="A160" t="s">
        <v>663</v>
      </c>
      <c r="B160" t="s">
        <v>664</v>
      </c>
      <c r="C160" t="s">
        <v>135</v>
      </c>
      <c r="D160" t="s">
        <v>31</v>
      </c>
      <c r="E160" t="s">
        <v>665</v>
      </c>
      <c r="F160" t="s">
        <v>666</v>
      </c>
      <c r="G160" t="s">
        <v>14</v>
      </c>
    </row>
    <row r="161">
      <c r="A161" t="s">
        <v>667</v>
      </c>
      <c r="B161" t="s">
        <v>668</v>
      </c>
      <c r="C161" t="s">
        <v>149</v>
      </c>
      <c r="D161" t="s">
        <v>669</v>
      </c>
      <c r="E161" t="s">
        <v>670</v>
      </c>
      <c r="F161" t="s">
        <v>166</v>
      </c>
      <c r="G161" t="s">
        <v>34</v>
      </c>
    </row>
    <row r="162">
      <c r="A162" t="s">
        <v>671</v>
      </c>
      <c r="B162" t="s">
        <v>672</v>
      </c>
      <c r="C162" t="s">
        <v>149</v>
      </c>
      <c r="D162" t="s">
        <v>673</v>
      </c>
      <c r="E162" t="s">
        <v>674</v>
      </c>
      <c r="F162" t="s">
        <v>170</v>
      </c>
      <c r="G162" t="s">
        <v>20</v>
      </c>
    </row>
    <row r="163">
      <c r="A163" t="s">
        <v>675</v>
      </c>
      <c r="B163" t="s">
        <v>676</v>
      </c>
      <c r="C163" t="s">
        <v>149</v>
      </c>
      <c r="D163" t="s">
        <v>677</v>
      </c>
      <c r="E163" t="s">
        <v>156</v>
      </c>
      <c r="F163" t="s">
        <v>157</v>
      </c>
      <c r="G163" t="s">
        <v>14</v>
      </c>
    </row>
    <row r="164">
      <c r="A164" t="s">
        <v>678</v>
      </c>
      <c r="B164" t="s">
        <v>679</v>
      </c>
      <c r="C164" t="s">
        <v>191</v>
      </c>
      <c r="D164" t="s">
        <v>177</v>
      </c>
      <c r="E164" t="s">
        <v>92</v>
      </c>
      <c r="F164" t="s">
        <v>680</v>
      </c>
      <c r="G164" t="s">
        <v>34</v>
      </c>
    </row>
    <row r="165">
      <c r="A165" t="s">
        <v>681</v>
      </c>
      <c r="B165" t="s">
        <v>682</v>
      </c>
      <c r="C165" t="s">
        <v>191</v>
      </c>
      <c r="D165" t="s">
        <v>182</v>
      </c>
      <c r="E165" t="s">
        <v>683</v>
      </c>
      <c r="F165" t="s">
        <v>684</v>
      </c>
      <c r="G165" t="s">
        <v>27</v>
      </c>
    </row>
    <row r="166">
      <c r="A166" t="s">
        <v>685</v>
      </c>
      <c r="B166" t="s">
        <v>686</v>
      </c>
      <c r="C166" t="s">
        <v>191</v>
      </c>
      <c r="D166" t="s">
        <v>187</v>
      </c>
      <c r="E166" t="s">
        <v>336</v>
      </c>
      <c r="F166" t="s">
        <v>558</v>
      </c>
      <c r="G166" t="s">
        <v>14</v>
      </c>
    </row>
    <row r="167">
      <c r="A167" t="s">
        <v>687</v>
      </c>
      <c r="B167" t="s">
        <v>688</v>
      </c>
      <c r="C167" t="s">
        <v>61</v>
      </c>
      <c r="D167" t="s">
        <v>689</v>
      </c>
      <c r="E167" t="s">
        <v>345</v>
      </c>
      <c r="F167" t="s">
        <v>690</v>
      </c>
      <c r="G167" t="s">
        <v>34</v>
      </c>
    </row>
    <row r="168">
      <c r="A168" t="s">
        <v>691</v>
      </c>
      <c r="B168" t="s">
        <v>692</v>
      </c>
      <c r="C168" t="s">
        <v>61</v>
      </c>
      <c r="D168" t="s">
        <v>693</v>
      </c>
      <c r="E168" t="s">
        <v>694</v>
      </c>
      <c r="F168" t="s">
        <v>574</v>
      </c>
      <c r="G168" t="s">
        <v>20</v>
      </c>
    </row>
    <row r="169">
      <c r="A169" t="s">
        <v>695</v>
      </c>
      <c r="B169" t="s">
        <v>696</v>
      </c>
      <c r="C169" t="s">
        <v>61</v>
      </c>
      <c r="D169" t="s">
        <v>697</v>
      </c>
      <c r="E169" t="s">
        <v>247</v>
      </c>
      <c r="F169" t="s">
        <v>32</v>
      </c>
      <c r="G169" t="s">
        <v>14</v>
      </c>
    </row>
    <row r="170">
      <c r="A170" t="s">
        <v>698</v>
      </c>
      <c r="B170" t="s">
        <v>699</v>
      </c>
      <c r="C170" t="s">
        <v>10</v>
      </c>
      <c r="D170" t="s">
        <v>700</v>
      </c>
      <c r="E170" t="s">
        <v>407</v>
      </c>
      <c r="F170" t="s">
        <v>701</v>
      </c>
      <c r="G170" t="s">
        <v>34</v>
      </c>
    </row>
    <row r="171">
      <c r="A171" t="s">
        <v>702</v>
      </c>
      <c r="B171" t="s">
        <v>703</v>
      </c>
      <c r="C171" t="s">
        <v>17</v>
      </c>
      <c r="D171" t="s">
        <v>704</v>
      </c>
      <c r="E171" t="s">
        <v>303</v>
      </c>
      <c r="F171" t="s">
        <v>411</v>
      </c>
      <c r="G171" t="s">
        <v>27</v>
      </c>
    </row>
    <row r="172">
      <c r="A172" t="s">
        <v>705</v>
      </c>
      <c r="B172" t="s">
        <v>706</v>
      </c>
      <c r="C172" t="s">
        <v>23</v>
      </c>
      <c r="D172" t="s">
        <v>707</v>
      </c>
      <c r="E172" t="s">
        <v>121</v>
      </c>
      <c r="F172" t="s">
        <v>601</v>
      </c>
      <c r="G172" t="s">
        <v>14</v>
      </c>
    </row>
    <row r="173">
      <c r="A173" t="s">
        <v>708</v>
      </c>
      <c r="B173" t="s">
        <v>709</v>
      </c>
      <c r="C173" t="s">
        <v>30</v>
      </c>
      <c r="D173" t="s">
        <v>344</v>
      </c>
      <c r="E173" t="s">
        <v>257</v>
      </c>
      <c r="F173" t="s">
        <v>710</v>
      </c>
      <c r="G173" t="s">
        <v>34</v>
      </c>
    </row>
    <row r="174">
      <c r="A174" t="s">
        <v>711</v>
      </c>
      <c r="B174" t="s">
        <v>712</v>
      </c>
      <c r="C174" t="s">
        <v>37</v>
      </c>
      <c r="D174" t="s">
        <v>349</v>
      </c>
      <c r="E174" t="s">
        <v>281</v>
      </c>
      <c r="F174" t="s">
        <v>642</v>
      </c>
      <c r="G174" t="s">
        <v>20</v>
      </c>
    </row>
    <row r="175">
      <c r="A175" t="s">
        <v>713</v>
      </c>
      <c r="B175" t="s">
        <v>714</v>
      </c>
      <c r="C175" t="s">
        <v>30</v>
      </c>
      <c r="D175" t="s">
        <v>354</v>
      </c>
      <c r="E175" t="s">
        <v>285</v>
      </c>
      <c r="F175" t="s">
        <v>399</v>
      </c>
      <c r="G175" t="s">
        <v>14</v>
      </c>
    </row>
    <row r="176">
      <c r="A176" t="s">
        <v>715</v>
      </c>
      <c r="B176" t="s">
        <v>716</v>
      </c>
      <c r="C176" t="s">
        <v>75</v>
      </c>
      <c r="D176" t="s">
        <v>717</v>
      </c>
      <c r="E176" t="s">
        <v>136</v>
      </c>
      <c r="F176" t="s">
        <v>718</v>
      </c>
      <c r="G176" t="s">
        <v>34</v>
      </c>
    </row>
    <row r="177">
      <c r="A177" t="s">
        <v>719</v>
      </c>
      <c r="B177" t="s">
        <v>720</v>
      </c>
      <c r="C177" t="s">
        <v>75</v>
      </c>
      <c r="D177" t="s">
        <v>721</v>
      </c>
      <c r="E177" t="s">
        <v>722</v>
      </c>
      <c r="F177" t="s">
        <v>432</v>
      </c>
      <c r="G177" t="s">
        <v>27</v>
      </c>
    </row>
    <row r="178">
      <c r="A178" t="s">
        <v>723</v>
      </c>
      <c r="B178" t="s">
        <v>724</v>
      </c>
      <c r="C178" t="s">
        <v>75</v>
      </c>
      <c r="D178" t="s">
        <v>725</v>
      </c>
      <c r="E178" t="s">
        <v>145</v>
      </c>
      <c r="F178" t="s">
        <v>726</v>
      </c>
      <c r="G178" t="s">
        <v>14</v>
      </c>
    </row>
    <row r="179">
      <c r="A179" t="s">
        <v>727</v>
      </c>
      <c r="B179" t="s">
        <v>728</v>
      </c>
      <c r="C179" t="s">
        <v>90</v>
      </c>
      <c r="D179" t="s">
        <v>729</v>
      </c>
      <c r="E179" t="s">
        <v>730</v>
      </c>
      <c r="F179" t="s">
        <v>731</v>
      </c>
      <c r="G179" t="s">
        <v>34</v>
      </c>
    </row>
    <row r="180">
      <c r="A180" t="s">
        <v>732</v>
      </c>
      <c r="B180" t="s">
        <v>733</v>
      </c>
      <c r="C180" t="s">
        <v>90</v>
      </c>
      <c r="D180" t="s">
        <v>734</v>
      </c>
      <c r="E180" t="s">
        <v>358</v>
      </c>
      <c r="F180" t="s">
        <v>735</v>
      </c>
      <c r="G180" t="s">
        <v>20</v>
      </c>
    </row>
    <row r="181">
      <c r="A181" t="s">
        <v>736</v>
      </c>
      <c r="B181" t="s">
        <v>737</v>
      </c>
      <c r="C181" t="s">
        <v>90</v>
      </c>
      <c r="D181" t="s">
        <v>738</v>
      </c>
      <c r="E181" t="s">
        <v>170</v>
      </c>
      <c r="F181" t="s">
        <v>739</v>
      </c>
      <c r="G181" t="s">
        <v>14</v>
      </c>
    </row>
    <row r="182">
      <c r="A182" t="s">
        <v>740</v>
      </c>
      <c r="B182" t="s">
        <v>741</v>
      </c>
      <c r="C182" t="s">
        <v>135</v>
      </c>
      <c r="D182" t="s">
        <v>742</v>
      </c>
      <c r="E182" t="s">
        <v>538</v>
      </c>
      <c r="F182" t="s">
        <v>539</v>
      </c>
      <c r="G182" t="s">
        <v>34</v>
      </c>
    </row>
    <row r="183">
      <c r="A183" t="s">
        <v>743</v>
      </c>
      <c r="B183" t="s">
        <v>744</v>
      </c>
      <c r="C183" t="s">
        <v>135</v>
      </c>
      <c r="D183" t="s">
        <v>745</v>
      </c>
      <c r="E183" t="s">
        <v>542</v>
      </c>
      <c r="F183" t="s">
        <v>543</v>
      </c>
      <c r="G183" t="s">
        <v>27</v>
      </c>
    </row>
    <row r="184">
      <c r="A184" t="s">
        <v>746</v>
      </c>
      <c r="B184" t="s">
        <v>747</v>
      </c>
      <c r="C184" t="s">
        <v>135</v>
      </c>
      <c r="D184" t="s">
        <v>748</v>
      </c>
      <c r="E184" t="s">
        <v>326</v>
      </c>
      <c r="F184" t="s">
        <v>546</v>
      </c>
      <c r="G184" t="s">
        <v>14</v>
      </c>
    </row>
    <row r="185">
      <c r="A185" t="s">
        <v>749</v>
      </c>
      <c r="B185" t="s">
        <v>750</v>
      </c>
      <c r="C185" t="s">
        <v>149</v>
      </c>
      <c r="D185" t="s">
        <v>216</v>
      </c>
      <c r="E185" t="s">
        <v>330</v>
      </c>
      <c r="F185" t="s">
        <v>331</v>
      </c>
      <c r="G185" t="s">
        <v>34</v>
      </c>
    </row>
    <row r="186">
      <c r="A186" t="s">
        <v>751</v>
      </c>
      <c r="B186" t="s">
        <v>752</v>
      </c>
      <c r="C186" t="s">
        <v>149</v>
      </c>
      <c r="D186" t="s">
        <v>96</v>
      </c>
      <c r="E186" t="s">
        <v>335</v>
      </c>
      <c r="F186" t="s">
        <v>336</v>
      </c>
      <c r="G186" t="s">
        <v>20</v>
      </c>
    </row>
    <row r="187">
      <c r="A187" t="s">
        <v>753</v>
      </c>
      <c r="B187" t="s">
        <v>754</v>
      </c>
      <c r="C187" t="s">
        <v>149</v>
      </c>
      <c r="D187" t="s">
        <v>91</v>
      </c>
      <c r="E187" t="s">
        <v>340</v>
      </c>
      <c r="F187" t="s">
        <v>341</v>
      </c>
      <c r="G187" t="s">
        <v>14</v>
      </c>
    </row>
    <row r="188">
      <c r="A188" t="s">
        <v>755</v>
      </c>
      <c r="B188" t="s">
        <v>756</v>
      </c>
      <c r="C188" t="s">
        <v>191</v>
      </c>
      <c r="D188" t="s">
        <v>11</v>
      </c>
      <c r="E188" t="s">
        <v>550</v>
      </c>
      <c r="F188" t="s">
        <v>757</v>
      </c>
      <c r="G188" t="s">
        <v>34</v>
      </c>
    </row>
    <row r="189">
      <c r="A189" t="s">
        <v>758</v>
      </c>
      <c r="B189" t="s">
        <v>759</v>
      </c>
      <c r="C189" t="s">
        <v>191</v>
      </c>
      <c r="D189" t="s">
        <v>66</v>
      </c>
      <c r="E189" t="s">
        <v>379</v>
      </c>
      <c r="F189" t="s">
        <v>760</v>
      </c>
      <c r="G189" t="s">
        <v>27</v>
      </c>
    </row>
    <row r="190">
      <c r="A190" t="s">
        <v>761</v>
      </c>
      <c r="B190" t="s">
        <v>762</v>
      </c>
      <c r="C190" t="s">
        <v>191</v>
      </c>
      <c r="D190" t="s">
        <v>24</v>
      </c>
      <c r="E190" t="s">
        <v>558</v>
      </c>
      <c r="F190" t="s">
        <v>763</v>
      </c>
      <c r="G190" t="s">
        <v>14</v>
      </c>
    </row>
    <row r="191">
      <c r="A191" t="s">
        <v>764</v>
      </c>
      <c r="B191" t="s">
        <v>765</v>
      </c>
      <c r="C191" t="s">
        <v>61</v>
      </c>
      <c r="D191" t="s">
        <v>766</v>
      </c>
      <c r="E191" t="s">
        <v>228</v>
      </c>
      <c r="F191" t="s">
        <v>229</v>
      </c>
      <c r="G191" t="s">
        <v>34</v>
      </c>
    </row>
    <row r="192">
      <c r="A192" t="s">
        <v>767</v>
      </c>
      <c r="B192" t="s">
        <v>768</v>
      </c>
      <c r="C192" t="s">
        <v>61</v>
      </c>
      <c r="D192" t="s">
        <v>769</v>
      </c>
      <c r="E192" t="s">
        <v>583</v>
      </c>
      <c r="F192" t="s">
        <v>770</v>
      </c>
      <c r="G192" t="s">
        <v>20</v>
      </c>
    </row>
    <row r="193">
      <c r="A193" t="s">
        <v>771</v>
      </c>
      <c r="B193" t="s">
        <v>772</v>
      </c>
      <c r="C193" t="s">
        <v>61</v>
      </c>
      <c r="D193" t="s">
        <v>773</v>
      </c>
      <c r="E193" t="s">
        <v>652</v>
      </c>
      <c r="F193" t="s">
        <v>774</v>
      </c>
      <c r="G193" t="s">
        <v>14</v>
      </c>
    </row>
    <row r="194">
      <c r="A194" t="s">
        <v>775</v>
      </c>
      <c r="B194" t="s">
        <v>776</v>
      </c>
      <c r="C194" t="s">
        <v>30</v>
      </c>
      <c r="D194" t="s">
        <v>777</v>
      </c>
      <c r="E194" t="s">
        <v>32</v>
      </c>
      <c r="F194" t="s">
        <v>778</v>
      </c>
      <c r="G194" t="s">
        <v>34</v>
      </c>
    </row>
    <row r="195">
      <c r="A195" t="s">
        <v>779</v>
      </c>
      <c r="B195" t="s">
        <v>780</v>
      </c>
      <c r="C195" t="s">
        <v>37</v>
      </c>
      <c r="D195" t="s">
        <v>781</v>
      </c>
      <c r="E195" t="s">
        <v>782</v>
      </c>
      <c r="F195" t="s">
        <v>299</v>
      </c>
      <c r="G195" t="s">
        <v>27</v>
      </c>
    </row>
    <row r="196">
      <c r="A196" t="s">
        <v>783</v>
      </c>
      <c r="B196" t="s">
        <v>784</v>
      </c>
      <c r="C196" t="s">
        <v>30</v>
      </c>
      <c r="D196" t="s">
        <v>785</v>
      </c>
      <c r="E196" t="s">
        <v>221</v>
      </c>
      <c r="F196" t="s">
        <v>786</v>
      </c>
      <c r="G196" t="s">
        <v>14</v>
      </c>
    </row>
    <row r="197">
      <c r="A197" t="s">
        <v>787</v>
      </c>
      <c r="B197" t="s">
        <v>788</v>
      </c>
      <c r="C197" t="s">
        <v>10</v>
      </c>
      <c r="D197" t="s">
        <v>789</v>
      </c>
      <c r="E197" t="s">
        <v>558</v>
      </c>
      <c r="F197" t="s">
        <v>790</v>
      </c>
      <c r="G197" t="s">
        <v>34</v>
      </c>
    </row>
    <row r="198">
      <c r="A198" t="s">
        <v>791</v>
      </c>
      <c r="B198" t="s">
        <v>792</v>
      </c>
      <c r="C198" t="s">
        <v>17</v>
      </c>
      <c r="D198" t="s">
        <v>793</v>
      </c>
      <c r="E198" t="s">
        <v>550</v>
      </c>
      <c r="F198" t="s">
        <v>794</v>
      </c>
      <c r="G198" t="s">
        <v>20</v>
      </c>
    </row>
    <row r="199">
      <c r="A199" t="s">
        <v>795</v>
      </c>
      <c r="B199" t="s">
        <v>796</v>
      </c>
      <c r="C199" t="s">
        <v>23</v>
      </c>
      <c r="D199" t="s">
        <v>797</v>
      </c>
      <c r="E199" t="s">
        <v>241</v>
      </c>
      <c r="F199" t="s">
        <v>309</v>
      </c>
      <c r="G199" t="s">
        <v>14</v>
      </c>
    </row>
    <row r="200">
      <c r="A200" t="s">
        <v>798</v>
      </c>
      <c r="B200" t="s">
        <v>799</v>
      </c>
      <c r="C200" t="s">
        <v>75</v>
      </c>
      <c r="D200" t="s">
        <v>317</v>
      </c>
      <c r="E200" t="s">
        <v>424</v>
      </c>
      <c r="F200" t="s">
        <v>800</v>
      </c>
      <c r="G200" t="s">
        <v>34</v>
      </c>
    </row>
    <row r="201">
      <c r="A201" t="s">
        <v>801</v>
      </c>
      <c r="B201" t="s">
        <v>802</v>
      </c>
      <c r="C201" t="s">
        <v>75</v>
      </c>
      <c r="D201" t="s">
        <v>322</v>
      </c>
      <c r="E201" t="s">
        <v>659</v>
      </c>
      <c r="F201" t="s">
        <v>803</v>
      </c>
      <c r="G201" t="s">
        <v>27</v>
      </c>
    </row>
    <row r="202">
      <c r="A202" t="s">
        <v>804</v>
      </c>
      <c r="B202" t="s">
        <v>805</v>
      </c>
      <c r="C202" t="s">
        <v>75</v>
      </c>
      <c r="D202" t="s">
        <v>317</v>
      </c>
      <c r="E202" t="s">
        <v>184</v>
      </c>
      <c r="F202" t="s">
        <v>806</v>
      </c>
      <c r="G202" t="s">
        <v>14</v>
      </c>
    </row>
    <row r="203">
      <c r="A203" t="s">
        <v>807</v>
      </c>
      <c r="B203" t="s">
        <v>808</v>
      </c>
      <c r="C203" t="s">
        <v>90</v>
      </c>
      <c r="D203" t="s">
        <v>150</v>
      </c>
      <c r="E203" t="s">
        <v>151</v>
      </c>
      <c r="F203" t="s">
        <v>152</v>
      </c>
      <c r="G203" t="s">
        <v>34</v>
      </c>
    </row>
    <row r="204">
      <c r="A204" t="s">
        <v>809</v>
      </c>
      <c r="B204" t="s">
        <v>810</v>
      </c>
      <c r="C204" t="s">
        <v>90</v>
      </c>
      <c r="D204" t="s">
        <v>155</v>
      </c>
      <c r="E204" t="s">
        <v>670</v>
      </c>
      <c r="F204" t="s">
        <v>174</v>
      </c>
      <c r="G204" t="s">
        <v>20</v>
      </c>
    </row>
    <row r="205">
      <c r="A205" t="s">
        <v>811</v>
      </c>
      <c r="B205" t="s">
        <v>812</v>
      </c>
      <c r="C205" t="s">
        <v>90</v>
      </c>
      <c r="D205" t="s">
        <v>160</v>
      </c>
      <c r="E205" t="s">
        <v>415</v>
      </c>
      <c r="F205" t="s">
        <v>813</v>
      </c>
      <c r="G205" t="s">
        <v>14</v>
      </c>
    </row>
    <row r="206">
      <c r="A206" t="s">
        <v>814</v>
      </c>
      <c r="B206" t="s">
        <v>815</v>
      </c>
      <c r="C206" t="s">
        <v>135</v>
      </c>
      <c r="D206" t="s">
        <v>451</v>
      </c>
      <c r="E206" t="s">
        <v>188</v>
      </c>
      <c r="F206" t="s">
        <v>816</v>
      </c>
      <c r="G206" t="s">
        <v>34</v>
      </c>
    </row>
    <row r="207">
      <c r="A207" t="s">
        <v>817</v>
      </c>
      <c r="B207" t="s">
        <v>818</v>
      </c>
      <c r="C207" t="s">
        <v>135</v>
      </c>
      <c r="D207" t="s">
        <v>455</v>
      </c>
      <c r="E207" t="s">
        <v>53</v>
      </c>
      <c r="F207" t="s">
        <v>819</v>
      </c>
      <c r="G207" t="s">
        <v>27</v>
      </c>
    </row>
    <row r="208">
      <c r="A208" t="s">
        <v>820</v>
      </c>
      <c r="B208" t="s">
        <v>821</v>
      </c>
      <c r="C208" t="s">
        <v>135</v>
      </c>
      <c r="D208" t="s">
        <v>451</v>
      </c>
      <c r="E208" t="s">
        <v>822</v>
      </c>
      <c r="F208" t="s">
        <v>823</v>
      </c>
      <c r="G208" t="s">
        <v>14</v>
      </c>
    </row>
    <row r="209">
      <c r="A209" t="s">
        <v>824</v>
      </c>
      <c r="B209" t="s">
        <v>825</v>
      </c>
      <c r="C209" t="s">
        <v>149</v>
      </c>
      <c r="D209" t="s">
        <v>826</v>
      </c>
      <c r="E209" t="s">
        <v>265</v>
      </c>
      <c r="F209" t="s">
        <v>266</v>
      </c>
      <c r="G209" t="s">
        <v>34</v>
      </c>
    </row>
    <row r="210">
      <c r="A210" t="s">
        <v>827</v>
      </c>
      <c r="B210" t="s">
        <v>828</v>
      </c>
      <c r="C210" t="s">
        <v>149</v>
      </c>
      <c r="D210" t="s">
        <v>829</v>
      </c>
      <c r="E210" t="s">
        <v>415</v>
      </c>
      <c r="F210" t="s">
        <v>162</v>
      </c>
      <c r="G210" t="s">
        <v>20</v>
      </c>
    </row>
    <row r="211">
      <c r="A211" t="s">
        <v>830</v>
      </c>
      <c r="B211" t="s">
        <v>831</v>
      </c>
      <c r="C211" t="s">
        <v>149</v>
      </c>
      <c r="D211" t="s">
        <v>832</v>
      </c>
      <c r="E211" t="s">
        <v>833</v>
      </c>
      <c r="F211" t="s">
        <v>335</v>
      </c>
      <c r="G211" t="s">
        <v>14</v>
      </c>
    </row>
    <row r="212">
      <c r="A212" t="s">
        <v>834</v>
      </c>
      <c r="B212" t="s">
        <v>835</v>
      </c>
      <c r="C212" t="s">
        <v>10</v>
      </c>
      <c r="D212" t="s">
        <v>836</v>
      </c>
      <c r="E212" t="s">
        <v>410</v>
      </c>
      <c r="F212" t="s">
        <v>837</v>
      </c>
      <c r="G212" t="s">
        <v>34</v>
      </c>
    </row>
    <row r="213">
      <c r="A213" t="s">
        <v>838</v>
      </c>
      <c r="B213" t="s">
        <v>839</v>
      </c>
      <c r="C213" t="s">
        <v>17</v>
      </c>
      <c r="D213" t="s">
        <v>840</v>
      </c>
      <c r="E213" t="s">
        <v>121</v>
      </c>
      <c r="F213" t="s">
        <v>127</v>
      </c>
      <c r="G213" t="s">
        <v>27</v>
      </c>
    </row>
    <row r="214">
      <c r="A214" t="s">
        <v>841</v>
      </c>
      <c r="B214" t="s">
        <v>842</v>
      </c>
      <c r="C214" t="s">
        <v>23</v>
      </c>
      <c r="D214" t="s">
        <v>843</v>
      </c>
      <c r="E214" t="s">
        <v>844</v>
      </c>
      <c r="F214" t="s">
        <v>665</v>
      </c>
      <c r="G214" t="s">
        <v>14</v>
      </c>
    </row>
    <row r="215">
      <c r="A215" t="s">
        <v>845</v>
      </c>
      <c r="B215" t="s">
        <v>846</v>
      </c>
      <c r="C215" t="s">
        <v>61</v>
      </c>
      <c r="D215" t="s">
        <v>47</v>
      </c>
      <c r="E215" t="s">
        <v>652</v>
      </c>
      <c r="F215" t="s">
        <v>847</v>
      </c>
      <c r="G215" t="s">
        <v>34</v>
      </c>
    </row>
    <row r="216">
      <c r="A216" t="s">
        <v>848</v>
      </c>
      <c r="B216" t="s">
        <v>849</v>
      </c>
      <c r="C216" t="s">
        <v>61</v>
      </c>
      <c r="D216" t="s">
        <v>140</v>
      </c>
      <c r="E216" t="s">
        <v>228</v>
      </c>
      <c r="F216" t="s">
        <v>850</v>
      </c>
      <c r="G216" t="s">
        <v>20</v>
      </c>
    </row>
    <row r="217">
      <c r="A217" t="s">
        <v>851</v>
      </c>
      <c r="B217" t="s">
        <v>852</v>
      </c>
      <c r="C217" t="s">
        <v>61</v>
      </c>
      <c r="D217" t="s">
        <v>52</v>
      </c>
      <c r="E217" t="s">
        <v>683</v>
      </c>
      <c r="F217" t="s">
        <v>684</v>
      </c>
      <c r="G217" t="s">
        <v>14</v>
      </c>
    </row>
    <row r="218">
      <c r="A218" t="s">
        <v>853</v>
      </c>
      <c r="B218" t="s">
        <v>854</v>
      </c>
      <c r="C218" t="s">
        <v>75</v>
      </c>
      <c r="D218" t="s">
        <v>76</v>
      </c>
      <c r="E218" t="s">
        <v>192</v>
      </c>
      <c r="F218" t="s">
        <v>193</v>
      </c>
      <c r="G218" t="s">
        <v>34</v>
      </c>
    </row>
    <row r="219">
      <c r="A219" t="s">
        <v>855</v>
      </c>
      <c r="B219" t="s">
        <v>856</v>
      </c>
      <c r="C219" t="s">
        <v>75</v>
      </c>
      <c r="D219" t="s">
        <v>81</v>
      </c>
      <c r="E219" t="s">
        <v>284</v>
      </c>
      <c r="F219" t="s">
        <v>857</v>
      </c>
      <c r="G219" t="s">
        <v>27</v>
      </c>
    </row>
    <row r="220">
      <c r="A220" t="s">
        <v>858</v>
      </c>
      <c r="B220" t="s">
        <v>859</v>
      </c>
      <c r="C220" t="s">
        <v>75</v>
      </c>
      <c r="D220" t="s">
        <v>76</v>
      </c>
      <c r="E220" t="s">
        <v>260</v>
      </c>
      <c r="F220" t="s">
        <v>395</v>
      </c>
      <c r="G220" t="s">
        <v>14</v>
      </c>
    </row>
    <row r="221">
      <c r="A221" t="s">
        <v>860</v>
      </c>
      <c r="B221" t="s">
        <v>861</v>
      </c>
      <c r="C221" t="s">
        <v>90</v>
      </c>
      <c r="D221" t="s">
        <v>862</v>
      </c>
      <c r="E221" t="s">
        <v>228</v>
      </c>
      <c r="F221" t="s">
        <v>229</v>
      </c>
      <c r="G221" t="s">
        <v>34</v>
      </c>
    </row>
    <row r="222">
      <c r="A222" t="s">
        <v>863</v>
      </c>
      <c r="B222" t="s">
        <v>864</v>
      </c>
      <c r="C222" t="s">
        <v>90</v>
      </c>
      <c r="D222" t="s">
        <v>865</v>
      </c>
      <c r="E222" t="s">
        <v>232</v>
      </c>
      <c r="F222" t="s">
        <v>387</v>
      </c>
      <c r="G222" t="s">
        <v>20</v>
      </c>
    </row>
    <row r="223">
      <c r="A223" t="s">
        <v>866</v>
      </c>
      <c r="B223" t="s">
        <v>867</v>
      </c>
      <c r="C223" t="s">
        <v>90</v>
      </c>
      <c r="D223" t="s">
        <v>868</v>
      </c>
      <c r="E223" t="s">
        <v>236</v>
      </c>
      <c r="F223" t="s">
        <v>391</v>
      </c>
      <c r="G223" t="s">
        <v>14</v>
      </c>
    </row>
    <row r="224">
      <c r="A224" t="s">
        <v>869</v>
      </c>
      <c r="B224" t="s">
        <v>870</v>
      </c>
      <c r="C224" t="s">
        <v>135</v>
      </c>
      <c r="D224" t="s">
        <v>288</v>
      </c>
      <c r="E224" t="s">
        <v>121</v>
      </c>
      <c r="F224" t="s">
        <v>871</v>
      </c>
      <c r="G224" t="s">
        <v>34</v>
      </c>
    </row>
    <row r="225">
      <c r="A225" t="s">
        <v>872</v>
      </c>
      <c r="B225" t="s">
        <v>873</v>
      </c>
      <c r="C225" t="s">
        <v>135</v>
      </c>
      <c r="D225" t="s">
        <v>293</v>
      </c>
      <c r="E225" t="s">
        <v>496</v>
      </c>
      <c r="F225" t="s">
        <v>794</v>
      </c>
      <c r="G225" t="s">
        <v>27</v>
      </c>
    </row>
    <row r="226">
      <c r="A226" t="s">
        <v>874</v>
      </c>
      <c r="B226" t="s">
        <v>875</v>
      </c>
      <c r="C226" t="s">
        <v>135</v>
      </c>
      <c r="D226" t="s">
        <v>288</v>
      </c>
      <c r="E226" t="s">
        <v>876</v>
      </c>
      <c r="F226" t="s">
        <v>877</v>
      </c>
      <c r="G226" t="s">
        <v>14</v>
      </c>
    </row>
    <row r="227">
      <c r="A227" t="s">
        <v>878</v>
      </c>
      <c r="B227" t="s">
        <v>879</v>
      </c>
      <c r="C227" t="s">
        <v>149</v>
      </c>
      <c r="D227" t="s">
        <v>880</v>
      </c>
      <c r="E227" t="s">
        <v>881</v>
      </c>
      <c r="F227" t="s">
        <v>882</v>
      </c>
      <c r="G227" t="s">
        <v>34</v>
      </c>
    </row>
    <row r="228">
      <c r="A228" t="s">
        <v>883</v>
      </c>
      <c r="B228" t="s">
        <v>884</v>
      </c>
      <c r="C228" t="s">
        <v>149</v>
      </c>
      <c r="D228" t="s">
        <v>885</v>
      </c>
      <c r="E228" t="s">
        <v>886</v>
      </c>
      <c r="F228" t="s">
        <v>151</v>
      </c>
      <c r="G228" t="s">
        <v>20</v>
      </c>
    </row>
    <row r="229">
      <c r="A229" t="s">
        <v>887</v>
      </c>
      <c r="B229" t="s">
        <v>888</v>
      </c>
      <c r="C229" t="s">
        <v>149</v>
      </c>
      <c r="D229" t="s">
        <v>889</v>
      </c>
      <c r="E229" t="s">
        <v>439</v>
      </c>
      <c r="F229" t="s">
        <v>265</v>
      </c>
      <c r="G229" t="s">
        <v>14</v>
      </c>
    </row>
    <row r="230">
      <c r="A230" t="s">
        <v>890</v>
      </c>
      <c r="B230" t="s">
        <v>891</v>
      </c>
      <c r="C230" t="s">
        <v>30</v>
      </c>
      <c r="D230" t="s">
        <v>105</v>
      </c>
      <c r="E230" t="s">
        <v>476</v>
      </c>
      <c r="F230" t="s">
        <v>892</v>
      </c>
      <c r="G230" t="s">
        <v>34</v>
      </c>
    </row>
    <row r="231">
      <c r="A231" t="s">
        <v>893</v>
      </c>
      <c r="B231" t="s">
        <v>894</v>
      </c>
      <c r="C231" t="s">
        <v>37</v>
      </c>
      <c r="D231" t="s">
        <v>110</v>
      </c>
      <c r="E231" t="s">
        <v>481</v>
      </c>
      <c r="F231" t="s">
        <v>482</v>
      </c>
      <c r="G231" t="s">
        <v>27</v>
      </c>
    </row>
    <row r="232">
      <c r="A232" t="s">
        <v>895</v>
      </c>
      <c r="B232" t="s">
        <v>896</v>
      </c>
      <c r="C232" t="s">
        <v>30</v>
      </c>
      <c r="D232" t="s">
        <v>115</v>
      </c>
      <c r="E232" t="s">
        <v>486</v>
      </c>
      <c r="F232" t="s">
        <v>295</v>
      </c>
      <c r="G232" t="s">
        <v>14</v>
      </c>
    </row>
    <row r="233">
      <c r="A233" t="s">
        <v>897</v>
      </c>
      <c r="B233" t="s">
        <v>898</v>
      </c>
      <c r="C233" t="s">
        <v>10</v>
      </c>
      <c r="D233" t="s">
        <v>240</v>
      </c>
      <c r="E233" t="s">
        <v>383</v>
      </c>
      <c r="F233" t="s">
        <v>561</v>
      </c>
      <c r="G233" t="s">
        <v>34</v>
      </c>
    </row>
    <row r="234">
      <c r="A234" t="s">
        <v>899</v>
      </c>
      <c r="B234" t="s">
        <v>900</v>
      </c>
      <c r="C234" t="s">
        <v>17</v>
      </c>
      <c r="D234" t="s">
        <v>245</v>
      </c>
      <c r="E234" t="s">
        <v>387</v>
      </c>
      <c r="F234" t="s">
        <v>564</v>
      </c>
      <c r="G234" t="s">
        <v>20</v>
      </c>
    </row>
    <row r="235">
      <c r="A235" t="s">
        <v>901</v>
      </c>
      <c r="B235" t="s">
        <v>902</v>
      </c>
      <c r="C235" t="s">
        <v>23</v>
      </c>
      <c r="D235" t="s">
        <v>250</v>
      </c>
      <c r="E235" t="s">
        <v>391</v>
      </c>
      <c r="F235" t="s">
        <v>376</v>
      </c>
      <c r="G235" t="s">
        <v>14</v>
      </c>
    </row>
    <row r="236">
      <c r="A236" t="s">
        <v>903</v>
      </c>
      <c r="B236" t="s">
        <v>904</v>
      </c>
      <c r="C236" t="s">
        <v>61</v>
      </c>
      <c r="D236" t="s">
        <v>177</v>
      </c>
      <c r="E236" t="s">
        <v>905</v>
      </c>
      <c r="F236" t="s">
        <v>837</v>
      </c>
      <c r="G236" t="s">
        <v>34</v>
      </c>
    </row>
    <row r="237">
      <c r="A237" t="s">
        <v>906</v>
      </c>
      <c r="B237" t="s">
        <v>907</v>
      </c>
      <c r="C237" t="s">
        <v>61</v>
      </c>
      <c r="D237" t="s">
        <v>182</v>
      </c>
      <c r="E237" t="s">
        <v>876</v>
      </c>
      <c r="F237" t="s">
        <v>594</v>
      </c>
      <c r="G237" t="s">
        <v>27</v>
      </c>
    </row>
    <row r="238">
      <c r="A238" t="s">
        <v>908</v>
      </c>
      <c r="B238" t="s">
        <v>909</v>
      </c>
      <c r="C238" t="s">
        <v>61</v>
      </c>
      <c r="D238" t="s">
        <v>187</v>
      </c>
      <c r="E238" t="s">
        <v>53</v>
      </c>
      <c r="F238" t="s">
        <v>424</v>
      </c>
      <c r="G238" t="s">
        <v>14</v>
      </c>
    </row>
    <row r="239">
      <c r="A239" t="s">
        <v>910</v>
      </c>
      <c r="B239" t="s">
        <v>911</v>
      </c>
      <c r="C239" t="s">
        <v>75</v>
      </c>
      <c r="D239" t="s">
        <v>216</v>
      </c>
      <c r="E239" t="s">
        <v>395</v>
      </c>
      <c r="F239" t="s">
        <v>912</v>
      </c>
      <c r="G239" t="s">
        <v>34</v>
      </c>
    </row>
    <row r="240">
      <c r="A240" t="s">
        <v>913</v>
      </c>
      <c r="B240" t="s">
        <v>914</v>
      </c>
      <c r="C240" t="s">
        <v>75</v>
      </c>
      <c r="D240" t="s">
        <v>96</v>
      </c>
      <c r="E240" t="s">
        <v>318</v>
      </c>
      <c r="F240" t="s">
        <v>542</v>
      </c>
      <c r="G240" t="s">
        <v>20</v>
      </c>
    </row>
    <row r="241">
      <c r="A241" t="s">
        <v>915</v>
      </c>
      <c r="B241" t="s">
        <v>916</v>
      </c>
      <c r="C241" t="s">
        <v>75</v>
      </c>
      <c r="D241" t="s">
        <v>91</v>
      </c>
      <c r="E241" t="s">
        <v>402</v>
      </c>
      <c r="F241" t="s">
        <v>917</v>
      </c>
      <c r="G241" t="s">
        <v>14</v>
      </c>
    </row>
    <row r="242">
      <c r="A242" t="s">
        <v>918</v>
      </c>
      <c r="B242" t="s">
        <v>919</v>
      </c>
      <c r="C242" t="s">
        <v>90</v>
      </c>
      <c r="D242" t="s">
        <v>920</v>
      </c>
      <c r="E242" t="s">
        <v>905</v>
      </c>
      <c r="F242" t="s">
        <v>837</v>
      </c>
      <c r="G242" t="s">
        <v>34</v>
      </c>
    </row>
    <row r="243">
      <c r="A243" t="s">
        <v>921</v>
      </c>
      <c r="B243" t="s">
        <v>922</v>
      </c>
      <c r="C243" t="s">
        <v>90</v>
      </c>
      <c r="D243" t="s">
        <v>923</v>
      </c>
      <c r="E243" t="s">
        <v>844</v>
      </c>
      <c r="F243" t="s">
        <v>594</v>
      </c>
      <c r="G243" t="s">
        <v>27</v>
      </c>
    </row>
    <row r="244">
      <c r="A244" t="s">
        <v>924</v>
      </c>
      <c r="B244" t="s">
        <v>925</v>
      </c>
      <c r="C244" t="s">
        <v>90</v>
      </c>
      <c r="D244" t="s">
        <v>926</v>
      </c>
      <c r="E244" t="s">
        <v>183</v>
      </c>
      <c r="F244" t="s">
        <v>424</v>
      </c>
      <c r="G244" t="s">
        <v>14</v>
      </c>
    </row>
    <row r="245">
      <c r="A245" t="s">
        <v>927</v>
      </c>
      <c r="B245" t="s">
        <v>928</v>
      </c>
      <c r="C245" t="s">
        <v>135</v>
      </c>
      <c r="D245" t="s">
        <v>47</v>
      </c>
      <c r="E245" t="s">
        <v>694</v>
      </c>
      <c r="F245" t="s">
        <v>929</v>
      </c>
      <c r="G245" t="s">
        <v>34</v>
      </c>
    </row>
    <row r="246">
      <c r="A246" t="s">
        <v>930</v>
      </c>
      <c r="B246" t="s">
        <v>931</v>
      </c>
      <c r="C246" t="s">
        <v>135</v>
      </c>
      <c r="D246" t="s">
        <v>140</v>
      </c>
      <c r="E246" t="s">
        <v>504</v>
      </c>
      <c r="F246" t="s">
        <v>932</v>
      </c>
      <c r="G246" t="s">
        <v>20</v>
      </c>
    </row>
    <row r="247">
      <c r="A247" t="s">
        <v>933</v>
      </c>
      <c r="B247" t="s">
        <v>934</v>
      </c>
      <c r="C247" t="s">
        <v>135</v>
      </c>
      <c r="D247" t="s">
        <v>52</v>
      </c>
      <c r="E247" t="s">
        <v>763</v>
      </c>
      <c r="F247" t="s">
        <v>574</v>
      </c>
      <c r="G247" t="s">
        <v>14</v>
      </c>
    </row>
    <row r="248">
      <c r="A248" t="s">
        <v>935</v>
      </c>
      <c r="B248" t="s">
        <v>936</v>
      </c>
      <c r="C248" t="s">
        <v>149</v>
      </c>
      <c r="D248" t="s">
        <v>150</v>
      </c>
      <c r="E248" t="s">
        <v>415</v>
      </c>
      <c r="F248" t="s">
        <v>152</v>
      </c>
      <c r="G248" t="s">
        <v>34</v>
      </c>
    </row>
    <row r="249">
      <c r="A249" t="s">
        <v>937</v>
      </c>
      <c r="B249" t="s">
        <v>938</v>
      </c>
      <c r="C249" t="s">
        <v>149</v>
      </c>
      <c r="D249" t="s">
        <v>155</v>
      </c>
      <c r="E249" t="s">
        <v>151</v>
      </c>
      <c r="F249" t="s">
        <v>157</v>
      </c>
      <c r="G249" t="s">
        <v>27</v>
      </c>
    </row>
    <row r="250">
      <c r="A250" t="s">
        <v>939</v>
      </c>
      <c r="B250" t="s">
        <v>940</v>
      </c>
      <c r="C250" t="s">
        <v>149</v>
      </c>
      <c r="D250" t="s">
        <v>160</v>
      </c>
      <c r="E250" t="s">
        <v>265</v>
      </c>
      <c r="F250" t="s">
        <v>813</v>
      </c>
      <c r="G250" t="s">
        <v>14</v>
      </c>
    </row>
    <row r="251">
      <c r="A251" t="s">
        <v>941</v>
      </c>
      <c r="B251" t="s">
        <v>942</v>
      </c>
      <c r="C251" t="s">
        <v>191</v>
      </c>
      <c r="D251" t="s">
        <v>526</v>
      </c>
      <c r="E251" t="s">
        <v>121</v>
      </c>
      <c r="F251" t="s">
        <v>871</v>
      </c>
      <c r="G251" t="s">
        <v>34</v>
      </c>
    </row>
    <row r="252">
      <c r="A252" t="s">
        <v>943</v>
      </c>
      <c r="B252" t="s">
        <v>944</v>
      </c>
      <c r="C252" t="s">
        <v>191</v>
      </c>
      <c r="D252" t="s">
        <v>530</v>
      </c>
      <c r="E252" t="s">
        <v>407</v>
      </c>
      <c r="F252" t="s">
        <v>247</v>
      </c>
      <c r="G252" t="s">
        <v>20</v>
      </c>
    </row>
    <row r="253">
      <c r="A253" t="s">
        <v>945</v>
      </c>
      <c r="B253" t="s">
        <v>946</v>
      </c>
      <c r="C253" t="s">
        <v>191</v>
      </c>
      <c r="D253" t="s">
        <v>534</v>
      </c>
      <c r="E253" t="s">
        <v>410</v>
      </c>
      <c r="F253" t="s">
        <v>411</v>
      </c>
      <c r="G253" t="s">
        <v>14</v>
      </c>
    </row>
    <row r="254">
      <c r="A254" t="s">
        <v>947</v>
      </c>
      <c r="B254" t="s">
        <v>948</v>
      </c>
      <c r="C254" t="s">
        <v>30</v>
      </c>
      <c r="D254" t="s">
        <v>204</v>
      </c>
      <c r="E254" t="s">
        <v>949</v>
      </c>
      <c r="F254" t="s">
        <v>950</v>
      </c>
      <c r="G254" t="s">
        <v>34</v>
      </c>
    </row>
    <row r="255">
      <c r="A255" t="s">
        <v>951</v>
      </c>
      <c r="B255" t="s">
        <v>952</v>
      </c>
      <c r="C255" t="s">
        <v>37</v>
      </c>
      <c r="D255" t="s">
        <v>208</v>
      </c>
      <c r="E255" t="s">
        <v>953</v>
      </c>
      <c r="F255" t="s">
        <v>954</v>
      </c>
      <c r="G255" t="s">
        <v>27</v>
      </c>
    </row>
    <row r="256">
      <c r="A256" t="s">
        <v>955</v>
      </c>
      <c r="B256" t="s">
        <v>956</v>
      </c>
      <c r="C256" t="s">
        <v>30</v>
      </c>
      <c r="D256" t="s">
        <v>212</v>
      </c>
      <c r="E256" t="s">
        <v>323</v>
      </c>
      <c r="F256" t="s">
        <v>957</v>
      </c>
      <c r="G256" t="s">
        <v>14</v>
      </c>
    </row>
    <row r="257">
      <c r="A257" t="s">
        <v>958</v>
      </c>
      <c r="B257" t="s">
        <v>959</v>
      </c>
      <c r="C257" t="s">
        <v>10</v>
      </c>
      <c r="D257" t="s">
        <v>960</v>
      </c>
      <c r="E257" t="s">
        <v>490</v>
      </c>
      <c r="F257" t="s">
        <v>961</v>
      </c>
      <c r="G257" t="s">
        <v>34</v>
      </c>
    </row>
    <row r="258">
      <c r="A258" t="s">
        <v>962</v>
      </c>
      <c r="B258" t="s">
        <v>963</v>
      </c>
      <c r="C258" t="s">
        <v>17</v>
      </c>
      <c r="D258" t="s">
        <v>964</v>
      </c>
      <c r="E258" t="s">
        <v>495</v>
      </c>
      <c r="F258" t="s">
        <v>876</v>
      </c>
      <c r="G258" t="s">
        <v>20</v>
      </c>
    </row>
    <row r="259">
      <c r="A259" t="s">
        <v>965</v>
      </c>
      <c r="B259" t="s">
        <v>966</v>
      </c>
      <c r="C259" t="s">
        <v>23</v>
      </c>
      <c r="D259" t="s">
        <v>967</v>
      </c>
      <c r="E259" t="s">
        <v>500</v>
      </c>
      <c r="F259" t="s">
        <v>53</v>
      </c>
      <c r="G259" t="s">
        <v>14</v>
      </c>
    </row>
    <row r="260">
      <c r="A260" t="s">
        <v>968</v>
      </c>
      <c r="B260" t="s">
        <v>969</v>
      </c>
      <c r="C260" t="s">
        <v>75</v>
      </c>
      <c r="D260" t="s">
        <v>569</v>
      </c>
      <c r="E260" t="s">
        <v>659</v>
      </c>
      <c r="F260" t="s">
        <v>970</v>
      </c>
      <c r="G260" t="s">
        <v>34</v>
      </c>
    </row>
    <row r="261">
      <c r="A261" t="s">
        <v>971</v>
      </c>
      <c r="B261" t="s">
        <v>972</v>
      </c>
      <c r="C261" t="s">
        <v>75</v>
      </c>
      <c r="D261" t="s">
        <v>573</v>
      </c>
      <c r="E261" t="s">
        <v>594</v>
      </c>
      <c r="F261" t="s">
        <v>106</v>
      </c>
      <c r="G261" t="s">
        <v>27</v>
      </c>
    </row>
    <row r="262">
      <c r="A262" t="s">
        <v>973</v>
      </c>
      <c r="B262" t="s">
        <v>974</v>
      </c>
      <c r="C262" t="s">
        <v>75</v>
      </c>
      <c r="D262" t="s">
        <v>578</v>
      </c>
      <c r="E262" t="s">
        <v>665</v>
      </c>
      <c r="F262" t="s">
        <v>666</v>
      </c>
      <c r="G262" t="s">
        <v>14</v>
      </c>
    </row>
    <row r="263">
      <c r="A263" t="s">
        <v>975</v>
      </c>
      <c r="B263" t="s">
        <v>976</v>
      </c>
      <c r="C263" t="s">
        <v>90</v>
      </c>
      <c r="D263" t="s">
        <v>977</v>
      </c>
      <c r="E263" t="s">
        <v>833</v>
      </c>
      <c r="F263" t="s">
        <v>978</v>
      </c>
      <c r="G263" t="s">
        <v>34</v>
      </c>
    </row>
    <row r="264">
      <c r="A264" t="s">
        <v>979</v>
      </c>
      <c r="B264" t="s">
        <v>980</v>
      </c>
      <c r="C264" t="s">
        <v>90</v>
      </c>
      <c r="D264" t="s">
        <v>981</v>
      </c>
      <c r="E264" t="s">
        <v>265</v>
      </c>
      <c r="F264" t="s">
        <v>982</v>
      </c>
      <c r="G264" t="s">
        <v>20</v>
      </c>
    </row>
    <row r="265">
      <c r="A265" t="s">
        <v>983</v>
      </c>
      <c r="B265" t="s">
        <v>984</v>
      </c>
      <c r="C265" t="s">
        <v>90</v>
      </c>
      <c r="D265" t="s">
        <v>977</v>
      </c>
      <c r="E265" t="s">
        <v>358</v>
      </c>
      <c r="F265" t="s">
        <v>985</v>
      </c>
      <c r="G265" t="s">
        <v>14</v>
      </c>
    </row>
    <row r="266">
      <c r="A266" t="s">
        <v>986</v>
      </c>
      <c r="B266" t="s">
        <v>987</v>
      </c>
      <c r="C266" t="s">
        <v>135</v>
      </c>
      <c r="D266" t="s">
        <v>988</v>
      </c>
      <c r="E266" t="s">
        <v>196</v>
      </c>
      <c r="F266" t="s">
        <v>989</v>
      </c>
      <c r="G266" t="s">
        <v>34</v>
      </c>
    </row>
    <row r="267">
      <c r="A267" t="s">
        <v>990</v>
      </c>
      <c r="B267" t="s">
        <v>991</v>
      </c>
      <c r="C267" t="s">
        <v>135</v>
      </c>
      <c r="D267" t="s">
        <v>992</v>
      </c>
      <c r="E267" t="s">
        <v>822</v>
      </c>
      <c r="F267" t="s">
        <v>993</v>
      </c>
      <c r="G267" t="s">
        <v>27</v>
      </c>
    </row>
    <row r="268">
      <c r="A268" t="s">
        <v>994</v>
      </c>
      <c r="B268" t="s">
        <v>995</v>
      </c>
      <c r="C268" t="s">
        <v>135</v>
      </c>
      <c r="D268" t="s">
        <v>988</v>
      </c>
      <c r="E268" t="s">
        <v>996</v>
      </c>
      <c r="F268" t="s">
        <v>318</v>
      </c>
      <c r="G268" t="s">
        <v>14</v>
      </c>
    </row>
    <row r="269">
      <c r="A269" t="s">
        <v>997</v>
      </c>
      <c r="B269" t="s">
        <v>998</v>
      </c>
      <c r="C269" t="s">
        <v>149</v>
      </c>
      <c r="D269" t="s">
        <v>329</v>
      </c>
      <c r="E269" t="s">
        <v>583</v>
      </c>
      <c r="F269" t="s">
        <v>584</v>
      </c>
      <c r="G269" t="s">
        <v>34</v>
      </c>
    </row>
    <row r="270">
      <c r="A270" t="s">
        <v>999</v>
      </c>
      <c r="B270" t="s">
        <v>1000</v>
      </c>
      <c r="C270" t="s">
        <v>149</v>
      </c>
      <c r="D270" t="s">
        <v>334</v>
      </c>
      <c r="E270" t="s">
        <v>735</v>
      </c>
      <c r="F270" t="s">
        <v>1001</v>
      </c>
      <c r="G270" t="s">
        <v>20</v>
      </c>
    </row>
    <row r="271">
      <c r="A271" t="s">
        <v>1002</v>
      </c>
      <c r="B271" t="s">
        <v>1003</v>
      </c>
      <c r="C271" t="s">
        <v>149</v>
      </c>
      <c r="D271" t="s">
        <v>339</v>
      </c>
      <c r="E271" t="s">
        <v>228</v>
      </c>
      <c r="F271" t="s">
        <v>1004</v>
      </c>
      <c r="G271" t="s">
        <v>14</v>
      </c>
    </row>
    <row r="272">
      <c r="A272" t="s">
        <v>1005</v>
      </c>
      <c r="B272" t="s">
        <v>1006</v>
      </c>
      <c r="C272" t="s">
        <v>10</v>
      </c>
      <c r="D272" t="s">
        <v>1007</v>
      </c>
      <c r="E272" t="s">
        <v>391</v>
      </c>
      <c r="F272" t="s">
        <v>1008</v>
      </c>
      <c r="G272" t="s">
        <v>34</v>
      </c>
    </row>
    <row r="273">
      <c r="A273" t="s">
        <v>1009</v>
      </c>
      <c r="B273" t="s">
        <v>1010</v>
      </c>
      <c r="C273" t="s">
        <v>17</v>
      </c>
      <c r="D273" t="s">
        <v>1011</v>
      </c>
      <c r="E273" t="s">
        <v>383</v>
      </c>
      <c r="F273" t="s">
        <v>284</v>
      </c>
      <c r="G273" t="s">
        <v>27</v>
      </c>
    </row>
    <row r="274">
      <c r="A274" t="s">
        <v>1012</v>
      </c>
      <c r="B274" t="s">
        <v>1013</v>
      </c>
      <c r="C274" t="s">
        <v>23</v>
      </c>
      <c r="D274" t="s">
        <v>1007</v>
      </c>
      <c r="E274" t="s">
        <v>375</v>
      </c>
      <c r="F274" t="s">
        <v>260</v>
      </c>
      <c r="G274" t="s">
        <v>14</v>
      </c>
    </row>
    <row r="275">
      <c r="A275" t="s">
        <v>1014</v>
      </c>
      <c r="B275" t="s">
        <v>1015</v>
      </c>
      <c r="C275" t="s">
        <v>61</v>
      </c>
      <c r="D275" t="s">
        <v>105</v>
      </c>
      <c r="E275" t="s">
        <v>550</v>
      </c>
      <c r="F275" t="s">
        <v>1016</v>
      </c>
      <c r="G275" t="s">
        <v>34</v>
      </c>
    </row>
    <row r="276">
      <c r="A276" t="s">
        <v>1017</v>
      </c>
      <c r="B276" t="s">
        <v>1018</v>
      </c>
      <c r="C276" t="s">
        <v>61</v>
      </c>
      <c r="D276" t="s">
        <v>110</v>
      </c>
      <c r="E276" t="s">
        <v>684</v>
      </c>
      <c r="F276" t="s">
        <v>1019</v>
      </c>
      <c r="G276" t="s">
        <v>20</v>
      </c>
    </row>
    <row r="277">
      <c r="A277" t="s">
        <v>1020</v>
      </c>
      <c r="B277" t="s">
        <v>1021</v>
      </c>
      <c r="C277" t="s">
        <v>61</v>
      </c>
      <c r="D277" t="s">
        <v>115</v>
      </c>
      <c r="E277" t="s">
        <v>246</v>
      </c>
      <c r="F277" t="s">
        <v>350</v>
      </c>
      <c r="G277" t="s">
        <v>14</v>
      </c>
    </row>
    <row r="278">
      <c r="A278" t="s">
        <v>1022</v>
      </c>
      <c r="B278" t="s">
        <v>1023</v>
      </c>
      <c r="C278" t="s">
        <v>75</v>
      </c>
      <c r="D278" t="s">
        <v>47</v>
      </c>
      <c r="E278" t="s">
        <v>932</v>
      </c>
      <c r="F278" t="s">
        <v>1024</v>
      </c>
      <c r="G278" t="s">
        <v>34</v>
      </c>
    </row>
    <row r="279">
      <c r="A279" t="s">
        <v>1025</v>
      </c>
      <c r="B279" t="s">
        <v>1026</v>
      </c>
      <c r="C279" t="s">
        <v>75</v>
      </c>
      <c r="D279" t="s">
        <v>140</v>
      </c>
      <c r="E279" t="s">
        <v>1027</v>
      </c>
      <c r="F279" t="s">
        <v>326</v>
      </c>
      <c r="G279" t="s">
        <v>27</v>
      </c>
    </row>
    <row r="280">
      <c r="A280" t="s">
        <v>1028</v>
      </c>
      <c r="B280" t="s">
        <v>1029</v>
      </c>
      <c r="C280" t="s">
        <v>75</v>
      </c>
      <c r="D280" t="s">
        <v>52</v>
      </c>
      <c r="E280" t="s">
        <v>1030</v>
      </c>
      <c r="F280" t="s">
        <v>1031</v>
      </c>
      <c r="G280" t="s">
        <v>14</v>
      </c>
    </row>
    <row r="281">
      <c r="A281" t="s">
        <v>1032</v>
      </c>
      <c r="B281" t="s">
        <v>1033</v>
      </c>
      <c r="C281" t="s">
        <v>90</v>
      </c>
      <c r="D281" t="s">
        <v>216</v>
      </c>
      <c r="E281" t="s">
        <v>1034</v>
      </c>
      <c r="F281" t="s">
        <v>1035</v>
      </c>
      <c r="G281" t="s">
        <v>34</v>
      </c>
    </row>
    <row r="282">
      <c r="A282" t="s">
        <v>1036</v>
      </c>
      <c r="B282" t="s">
        <v>1037</v>
      </c>
      <c r="C282" t="s">
        <v>90</v>
      </c>
      <c r="D282" t="s">
        <v>96</v>
      </c>
      <c r="E282" t="s">
        <v>336</v>
      </c>
      <c r="F282" t="s">
        <v>246</v>
      </c>
      <c r="G282" t="s">
        <v>20</v>
      </c>
    </row>
    <row r="283">
      <c r="A283" t="s">
        <v>1038</v>
      </c>
      <c r="B283" t="s">
        <v>1039</v>
      </c>
      <c r="C283" t="s">
        <v>90</v>
      </c>
      <c r="D283" t="s">
        <v>91</v>
      </c>
      <c r="E283" t="s">
        <v>495</v>
      </c>
      <c r="F283" t="s">
        <v>126</v>
      </c>
      <c r="G283" t="s">
        <v>14</v>
      </c>
    </row>
    <row r="284">
      <c r="A284" t="s">
        <v>1040</v>
      </c>
      <c r="B284" t="s">
        <v>1041</v>
      </c>
      <c r="C284" t="s">
        <v>135</v>
      </c>
      <c r="D284" t="s">
        <v>76</v>
      </c>
      <c r="E284" t="s">
        <v>62</v>
      </c>
      <c r="F284" t="s">
        <v>527</v>
      </c>
      <c r="G284" t="s">
        <v>34</v>
      </c>
    </row>
    <row r="285">
      <c r="A285" t="s">
        <v>1042</v>
      </c>
      <c r="B285" t="s">
        <v>1043</v>
      </c>
      <c r="C285" t="s">
        <v>135</v>
      </c>
      <c r="D285" t="s">
        <v>81</v>
      </c>
      <c r="E285" t="s">
        <v>1044</v>
      </c>
      <c r="F285" t="s">
        <v>289</v>
      </c>
      <c r="G285" t="s">
        <v>27</v>
      </c>
    </row>
    <row r="286">
      <c r="A286" t="s">
        <v>1045</v>
      </c>
      <c r="B286" t="s">
        <v>1046</v>
      </c>
      <c r="C286" t="s">
        <v>135</v>
      </c>
      <c r="D286" t="s">
        <v>76</v>
      </c>
      <c r="E286" t="s">
        <v>411</v>
      </c>
      <c r="F286" t="s">
        <v>1047</v>
      </c>
      <c r="G286" t="s">
        <v>14</v>
      </c>
    </row>
    <row r="287">
      <c r="A287" t="s">
        <v>1048</v>
      </c>
      <c r="B287" t="s">
        <v>1049</v>
      </c>
      <c r="C287" t="s">
        <v>149</v>
      </c>
      <c r="D287" t="s">
        <v>1050</v>
      </c>
      <c r="E287" t="s">
        <v>165</v>
      </c>
      <c r="F287" t="s">
        <v>1051</v>
      </c>
      <c r="G287" t="s">
        <v>34</v>
      </c>
    </row>
    <row r="288">
      <c r="A288" t="s">
        <v>1052</v>
      </c>
      <c r="B288" t="s">
        <v>1053</v>
      </c>
      <c r="C288" t="s">
        <v>149</v>
      </c>
      <c r="D288" t="s">
        <v>1054</v>
      </c>
      <c r="E288" t="s">
        <v>169</v>
      </c>
      <c r="F288" t="s">
        <v>833</v>
      </c>
      <c r="G288" t="s">
        <v>20</v>
      </c>
    </row>
    <row r="289">
      <c r="A289" t="s">
        <v>1055</v>
      </c>
      <c r="B289" t="s">
        <v>1056</v>
      </c>
      <c r="C289" t="s">
        <v>149</v>
      </c>
      <c r="D289" t="s">
        <v>1057</v>
      </c>
      <c r="E289" t="s">
        <v>173</v>
      </c>
      <c r="F289" t="s">
        <v>730</v>
      </c>
      <c r="G289" t="s">
        <v>14</v>
      </c>
    </row>
    <row r="290">
      <c r="A290" t="s">
        <v>1058</v>
      </c>
      <c r="B290" t="s">
        <v>1059</v>
      </c>
      <c r="C290" t="s">
        <v>191</v>
      </c>
      <c r="D290" t="s">
        <v>1060</v>
      </c>
      <c r="E290" t="s">
        <v>178</v>
      </c>
      <c r="F290" t="s">
        <v>1061</v>
      </c>
      <c r="G290" t="s">
        <v>34</v>
      </c>
    </row>
    <row r="291">
      <c r="A291" t="s">
        <v>1062</v>
      </c>
      <c r="B291" t="s">
        <v>1063</v>
      </c>
      <c r="C291" t="s">
        <v>191</v>
      </c>
      <c r="D291" t="s">
        <v>1064</v>
      </c>
      <c r="E291" t="s">
        <v>388</v>
      </c>
      <c r="F291" t="s">
        <v>428</v>
      </c>
      <c r="G291" t="s">
        <v>27</v>
      </c>
    </row>
    <row r="292">
      <c r="A292" t="s">
        <v>1065</v>
      </c>
      <c r="B292" t="s">
        <v>1066</v>
      </c>
      <c r="C292" t="s">
        <v>191</v>
      </c>
      <c r="D292" t="s">
        <v>1067</v>
      </c>
      <c r="E292" t="s">
        <v>564</v>
      </c>
      <c r="F292" t="s">
        <v>136</v>
      </c>
      <c r="G292" t="s">
        <v>14</v>
      </c>
    </row>
    <row r="293">
      <c r="A293" t="s">
        <v>1068</v>
      </c>
      <c r="B293" t="s">
        <v>1069</v>
      </c>
      <c r="C293" t="s">
        <v>30</v>
      </c>
      <c r="D293" t="s">
        <v>689</v>
      </c>
      <c r="E293" t="s">
        <v>217</v>
      </c>
      <c r="F293" t="s">
        <v>218</v>
      </c>
      <c r="G293" t="s">
        <v>34</v>
      </c>
    </row>
    <row r="294">
      <c r="A294" t="s">
        <v>1070</v>
      </c>
      <c r="B294" t="s">
        <v>1071</v>
      </c>
      <c r="C294" t="s">
        <v>37</v>
      </c>
      <c r="D294" t="s">
        <v>693</v>
      </c>
      <c r="E294" t="s">
        <v>43</v>
      </c>
      <c r="F294" t="s">
        <v>222</v>
      </c>
      <c r="G294" t="s">
        <v>20</v>
      </c>
    </row>
    <row r="295">
      <c r="A295" t="s">
        <v>1072</v>
      </c>
      <c r="B295" t="s">
        <v>1073</v>
      </c>
      <c r="C295" t="s">
        <v>30</v>
      </c>
      <c r="D295" t="s">
        <v>697</v>
      </c>
      <c r="E295" t="s">
        <v>225</v>
      </c>
      <c r="F295" t="s">
        <v>1074</v>
      </c>
      <c r="G295" t="s">
        <v>14</v>
      </c>
    </row>
    <row r="296">
      <c r="A296" t="s">
        <v>1075</v>
      </c>
      <c r="B296" t="s">
        <v>1076</v>
      </c>
      <c r="C296" t="s">
        <v>10</v>
      </c>
      <c r="D296" t="s">
        <v>1077</v>
      </c>
      <c r="E296" t="s">
        <v>1034</v>
      </c>
      <c r="F296" t="s">
        <v>491</v>
      </c>
      <c r="G296" t="s">
        <v>34</v>
      </c>
    </row>
    <row r="297">
      <c r="A297" t="s">
        <v>1078</v>
      </c>
      <c r="B297" t="s">
        <v>1079</v>
      </c>
      <c r="C297" t="s">
        <v>17</v>
      </c>
      <c r="D297" t="s">
        <v>1080</v>
      </c>
      <c r="E297" t="s">
        <v>336</v>
      </c>
      <c r="F297" t="s">
        <v>496</v>
      </c>
      <c r="G297" t="s">
        <v>27</v>
      </c>
    </row>
    <row r="298">
      <c r="A298" t="s">
        <v>1081</v>
      </c>
      <c r="B298" t="s">
        <v>1082</v>
      </c>
      <c r="C298" t="s">
        <v>23</v>
      </c>
      <c r="D298" t="s">
        <v>1083</v>
      </c>
      <c r="E298" t="s">
        <v>495</v>
      </c>
      <c r="F298" t="s">
        <v>876</v>
      </c>
      <c r="G298" t="s">
        <v>14</v>
      </c>
    </row>
    <row r="299">
      <c r="A299" t="s">
        <v>1084</v>
      </c>
      <c r="B299" t="s">
        <v>1085</v>
      </c>
      <c r="C299" t="s">
        <v>75</v>
      </c>
      <c r="D299" t="s">
        <v>475</v>
      </c>
      <c r="E299" t="s">
        <v>277</v>
      </c>
      <c r="F299" t="s">
        <v>1086</v>
      </c>
      <c r="G299" t="s">
        <v>34</v>
      </c>
    </row>
    <row r="300">
      <c r="A300" t="s">
        <v>1087</v>
      </c>
      <c r="B300" t="s">
        <v>1088</v>
      </c>
      <c r="C300" t="s">
        <v>75</v>
      </c>
      <c r="D300" t="s">
        <v>480</v>
      </c>
      <c r="E300" t="s">
        <v>1089</v>
      </c>
      <c r="F300" t="s">
        <v>184</v>
      </c>
      <c r="G300" t="s">
        <v>20</v>
      </c>
    </row>
    <row r="301">
      <c r="A301" t="s">
        <v>1090</v>
      </c>
      <c r="B301" t="s">
        <v>1091</v>
      </c>
      <c r="C301" t="s">
        <v>75</v>
      </c>
      <c r="D301" t="s">
        <v>485</v>
      </c>
      <c r="E301" t="s">
        <v>284</v>
      </c>
      <c r="F301" t="s">
        <v>257</v>
      </c>
      <c r="G301" t="s">
        <v>14</v>
      </c>
    </row>
    <row r="302">
      <c r="A302" t="s">
        <v>1092</v>
      </c>
      <c r="B302" t="s">
        <v>1093</v>
      </c>
      <c r="C302" t="s">
        <v>90</v>
      </c>
      <c r="D302" t="s">
        <v>1094</v>
      </c>
      <c r="E302" t="s">
        <v>165</v>
      </c>
      <c r="F302" t="s">
        <v>517</v>
      </c>
      <c r="G302" t="s">
        <v>34</v>
      </c>
    </row>
    <row r="303">
      <c r="A303" t="s">
        <v>1095</v>
      </c>
      <c r="B303" t="s">
        <v>1096</v>
      </c>
      <c r="C303" t="s">
        <v>90</v>
      </c>
      <c r="D303" t="s">
        <v>1097</v>
      </c>
      <c r="E303" t="s">
        <v>1098</v>
      </c>
      <c r="F303" t="s">
        <v>358</v>
      </c>
      <c r="G303" t="s">
        <v>27</v>
      </c>
    </row>
    <row r="304">
      <c r="A304" t="s">
        <v>1099</v>
      </c>
      <c r="B304" t="s">
        <v>1100</v>
      </c>
      <c r="C304" t="s">
        <v>90</v>
      </c>
      <c r="D304" t="s">
        <v>1101</v>
      </c>
      <c r="E304" t="s">
        <v>670</v>
      </c>
      <c r="F304" t="s">
        <v>1102</v>
      </c>
      <c r="G304" t="s">
        <v>14</v>
      </c>
    </row>
    <row r="305">
      <c r="A305" t="s">
        <v>1103</v>
      </c>
      <c r="B305" t="s">
        <v>1104</v>
      </c>
      <c r="C305" t="s">
        <v>135</v>
      </c>
      <c r="D305" t="s">
        <v>344</v>
      </c>
      <c r="E305" t="s">
        <v>905</v>
      </c>
      <c r="F305" t="s">
        <v>837</v>
      </c>
      <c r="G305" t="s">
        <v>34</v>
      </c>
    </row>
    <row r="306">
      <c r="A306" t="s">
        <v>1105</v>
      </c>
      <c r="B306" t="s">
        <v>1106</v>
      </c>
      <c r="C306" t="s">
        <v>135</v>
      </c>
      <c r="D306" t="s">
        <v>349</v>
      </c>
      <c r="E306" t="s">
        <v>876</v>
      </c>
      <c r="F306" t="s">
        <v>1107</v>
      </c>
      <c r="G306" t="s">
        <v>20</v>
      </c>
    </row>
    <row r="307">
      <c r="A307" t="s">
        <v>1108</v>
      </c>
      <c r="B307" t="s">
        <v>1109</v>
      </c>
      <c r="C307" t="s">
        <v>135</v>
      </c>
      <c r="D307" t="s">
        <v>354</v>
      </c>
      <c r="E307" t="s">
        <v>53</v>
      </c>
      <c r="F307" t="s">
        <v>424</v>
      </c>
      <c r="G307" t="s">
        <v>14</v>
      </c>
    </row>
    <row r="308">
      <c r="A308" t="s">
        <v>1110</v>
      </c>
      <c r="B308" t="s">
        <v>1111</v>
      </c>
      <c r="C308" t="s">
        <v>149</v>
      </c>
      <c r="D308" t="s">
        <v>357</v>
      </c>
      <c r="E308" t="s">
        <v>670</v>
      </c>
      <c r="F308" t="s">
        <v>166</v>
      </c>
      <c r="G308" t="s">
        <v>34</v>
      </c>
    </row>
    <row r="309">
      <c r="A309" t="s">
        <v>1112</v>
      </c>
      <c r="B309" t="s">
        <v>1113</v>
      </c>
      <c r="C309" t="s">
        <v>149</v>
      </c>
      <c r="D309" t="s">
        <v>362</v>
      </c>
      <c r="E309" t="s">
        <v>165</v>
      </c>
      <c r="F309" t="s">
        <v>170</v>
      </c>
      <c r="G309" t="s">
        <v>27</v>
      </c>
    </row>
    <row r="310">
      <c r="A310" t="s">
        <v>1114</v>
      </c>
      <c r="B310" t="s">
        <v>1115</v>
      </c>
      <c r="C310" t="s">
        <v>149</v>
      </c>
      <c r="D310" t="s">
        <v>366</v>
      </c>
      <c r="E310" t="s">
        <v>151</v>
      </c>
      <c r="F310" t="s">
        <v>1116</v>
      </c>
      <c r="G310" t="s">
        <v>14</v>
      </c>
    </row>
    <row r="311">
      <c r="A311" t="s">
        <v>1117</v>
      </c>
      <c r="B311" t="s">
        <v>1118</v>
      </c>
      <c r="C311" t="s">
        <v>61</v>
      </c>
      <c r="D311" t="s">
        <v>47</v>
      </c>
      <c r="E311" t="s">
        <v>178</v>
      </c>
      <c r="F311" t="s">
        <v>816</v>
      </c>
      <c r="G311" t="s">
        <v>34</v>
      </c>
    </row>
    <row r="312">
      <c r="A312" t="s">
        <v>1119</v>
      </c>
      <c r="B312" t="s">
        <v>1120</v>
      </c>
      <c r="C312" t="s">
        <v>61</v>
      </c>
      <c r="D312" t="s">
        <v>140</v>
      </c>
      <c r="E312" t="s">
        <v>388</v>
      </c>
      <c r="F312" t="s">
        <v>819</v>
      </c>
      <c r="G312" t="s">
        <v>20</v>
      </c>
    </row>
    <row r="313">
      <c r="A313" t="s">
        <v>1121</v>
      </c>
      <c r="B313" t="s">
        <v>1122</v>
      </c>
      <c r="C313" t="s">
        <v>61</v>
      </c>
      <c r="D313" t="s">
        <v>52</v>
      </c>
      <c r="E313" t="s">
        <v>564</v>
      </c>
      <c r="F313" t="s">
        <v>823</v>
      </c>
      <c r="G313" t="s">
        <v>14</v>
      </c>
    </row>
    <row r="314">
      <c r="A314" t="s">
        <v>1123</v>
      </c>
      <c r="B314" t="s">
        <v>1124</v>
      </c>
      <c r="C314" t="s">
        <v>10</v>
      </c>
      <c r="D314" t="s">
        <v>11</v>
      </c>
      <c r="E314" t="s">
        <v>277</v>
      </c>
      <c r="F314" t="s">
        <v>193</v>
      </c>
      <c r="G314" t="s">
        <v>34</v>
      </c>
    </row>
    <row r="315">
      <c r="A315" t="s">
        <v>1125</v>
      </c>
      <c r="B315" t="s">
        <v>1126</v>
      </c>
      <c r="C315" t="s">
        <v>17</v>
      </c>
      <c r="D315" t="s">
        <v>66</v>
      </c>
      <c r="E315" t="s">
        <v>1089</v>
      </c>
      <c r="F315" t="s">
        <v>857</v>
      </c>
      <c r="G315" t="s">
        <v>27</v>
      </c>
    </row>
    <row r="316">
      <c r="A316" t="s">
        <v>1127</v>
      </c>
      <c r="B316" t="s">
        <v>1128</v>
      </c>
      <c r="C316" t="s">
        <v>23</v>
      </c>
      <c r="D316" t="s">
        <v>24</v>
      </c>
      <c r="E316" t="s">
        <v>284</v>
      </c>
      <c r="F316" t="s">
        <v>395</v>
      </c>
      <c r="G316" t="s">
        <v>14</v>
      </c>
    </row>
    <row r="317">
      <c r="A317" t="s">
        <v>1129</v>
      </c>
      <c r="B317" t="s">
        <v>1130</v>
      </c>
      <c r="C317" t="s">
        <v>30</v>
      </c>
      <c r="D317" t="s">
        <v>31</v>
      </c>
      <c r="E317" t="s">
        <v>318</v>
      </c>
      <c r="F317" t="s">
        <v>396</v>
      </c>
      <c r="G317" t="s">
        <v>34</v>
      </c>
    </row>
    <row r="318">
      <c r="A318" t="s">
        <v>1131</v>
      </c>
      <c r="B318" t="s">
        <v>1132</v>
      </c>
      <c r="C318" t="s">
        <v>37</v>
      </c>
      <c r="D318" t="s">
        <v>38</v>
      </c>
      <c r="E318" t="s">
        <v>257</v>
      </c>
      <c r="F318" t="s">
        <v>323</v>
      </c>
      <c r="G318" t="s">
        <v>20</v>
      </c>
    </row>
    <row r="319">
      <c r="A319" t="s">
        <v>1133</v>
      </c>
      <c r="B319" t="s">
        <v>1134</v>
      </c>
      <c r="C319" t="s">
        <v>30</v>
      </c>
      <c r="D319" t="s">
        <v>31</v>
      </c>
      <c r="E319" t="s">
        <v>261</v>
      </c>
      <c r="F319" t="s">
        <v>1135</v>
      </c>
      <c r="G319" t="s">
        <v>14</v>
      </c>
    </row>
    <row r="320">
      <c r="A320" t="s">
        <v>1136</v>
      </c>
      <c r="B320" t="s">
        <v>1137</v>
      </c>
      <c r="C320" t="s">
        <v>75</v>
      </c>
      <c r="D320" t="s">
        <v>317</v>
      </c>
      <c r="E320" t="s">
        <v>1138</v>
      </c>
      <c r="F320" t="s">
        <v>1139</v>
      </c>
      <c r="G320" t="s">
        <v>34</v>
      </c>
    </row>
    <row r="321">
      <c r="A321" t="s">
        <v>1140</v>
      </c>
      <c r="B321" t="s">
        <v>1141</v>
      </c>
      <c r="C321" t="s">
        <v>75</v>
      </c>
      <c r="D321" t="s">
        <v>322</v>
      </c>
      <c r="E321" t="s">
        <v>1142</v>
      </c>
      <c r="F321" t="s">
        <v>1143</v>
      </c>
      <c r="G321" t="s">
        <v>27</v>
      </c>
    </row>
    <row r="322">
      <c r="A322" t="s">
        <v>1144</v>
      </c>
      <c r="B322" t="s">
        <v>1145</v>
      </c>
      <c r="C322" t="s">
        <v>75</v>
      </c>
      <c r="D322" t="s">
        <v>317</v>
      </c>
      <c r="E322" t="s">
        <v>1146</v>
      </c>
      <c r="F322" t="s">
        <v>1147</v>
      </c>
      <c r="G322" t="s">
        <v>14</v>
      </c>
    </row>
    <row r="323">
      <c r="A323" t="s">
        <v>1148</v>
      </c>
      <c r="B323" t="s">
        <v>1149</v>
      </c>
      <c r="C323" t="s">
        <v>90</v>
      </c>
      <c r="D323" t="s">
        <v>216</v>
      </c>
      <c r="E323" t="s">
        <v>730</v>
      </c>
      <c r="F323" t="s">
        <v>359</v>
      </c>
      <c r="G323" t="s">
        <v>34</v>
      </c>
    </row>
    <row r="324">
      <c r="A324" t="s">
        <v>1150</v>
      </c>
      <c r="B324" t="s">
        <v>1151</v>
      </c>
      <c r="C324" t="s">
        <v>90</v>
      </c>
      <c r="D324" t="s">
        <v>96</v>
      </c>
      <c r="E324" t="s">
        <v>358</v>
      </c>
      <c r="F324" t="s">
        <v>340</v>
      </c>
      <c r="G324" t="s">
        <v>20</v>
      </c>
    </row>
    <row r="325">
      <c r="A325" t="s">
        <v>1152</v>
      </c>
      <c r="B325" t="s">
        <v>1153</v>
      </c>
      <c r="C325" t="s">
        <v>90</v>
      </c>
      <c r="D325" t="s">
        <v>91</v>
      </c>
      <c r="E325" t="s">
        <v>170</v>
      </c>
      <c r="F325" t="s">
        <v>1154</v>
      </c>
      <c r="G325" t="s">
        <v>14</v>
      </c>
    </row>
    <row r="326">
      <c r="A326" t="s">
        <v>1155</v>
      </c>
      <c r="B326" t="s">
        <v>1156</v>
      </c>
      <c r="C326" t="s">
        <v>135</v>
      </c>
      <c r="D326" t="s">
        <v>76</v>
      </c>
      <c r="E326" t="s">
        <v>1157</v>
      </c>
      <c r="F326" t="s">
        <v>1158</v>
      </c>
      <c r="G326" t="s">
        <v>34</v>
      </c>
    </row>
    <row r="327">
      <c r="A327" t="s">
        <v>1159</v>
      </c>
      <c r="B327" t="s">
        <v>1160</v>
      </c>
      <c r="C327" t="s">
        <v>135</v>
      </c>
      <c r="D327" t="s">
        <v>81</v>
      </c>
      <c r="E327" t="s">
        <v>564</v>
      </c>
      <c r="F327" t="s">
        <v>1161</v>
      </c>
      <c r="G327" t="s">
        <v>27</v>
      </c>
    </row>
    <row r="328">
      <c r="A328" t="s">
        <v>1162</v>
      </c>
      <c r="B328" t="s">
        <v>1163</v>
      </c>
      <c r="C328" t="s">
        <v>135</v>
      </c>
      <c r="D328" t="s">
        <v>76</v>
      </c>
      <c r="E328" t="s">
        <v>376</v>
      </c>
      <c r="F328" t="s">
        <v>1164</v>
      </c>
      <c r="G328" t="s">
        <v>14</v>
      </c>
    </row>
    <row r="329">
      <c r="A329" t="s">
        <v>1165</v>
      </c>
      <c r="B329" t="s">
        <v>1166</v>
      </c>
      <c r="C329" t="s">
        <v>149</v>
      </c>
      <c r="D329" t="s">
        <v>516</v>
      </c>
      <c r="E329" t="s">
        <v>833</v>
      </c>
      <c r="F329" t="s">
        <v>978</v>
      </c>
      <c r="G329" t="s">
        <v>34</v>
      </c>
    </row>
    <row r="330">
      <c r="A330" t="s">
        <v>1167</v>
      </c>
      <c r="B330" t="s">
        <v>1168</v>
      </c>
      <c r="C330" t="s">
        <v>149</v>
      </c>
      <c r="D330" t="s">
        <v>520</v>
      </c>
      <c r="E330" t="s">
        <v>265</v>
      </c>
      <c r="F330" t="s">
        <v>335</v>
      </c>
      <c r="G330" t="s">
        <v>20</v>
      </c>
    </row>
    <row r="331">
      <c r="A331" t="s">
        <v>1169</v>
      </c>
      <c r="B331" t="s">
        <v>1170</v>
      </c>
      <c r="C331" t="s">
        <v>149</v>
      </c>
      <c r="D331" t="s">
        <v>523</v>
      </c>
      <c r="E331" t="s">
        <v>358</v>
      </c>
      <c r="F331" t="s">
        <v>985</v>
      </c>
      <c r="G331" t="s">
        <v>14</v>
      </c>
    </row>
    <row r="332">
      <c r="A332" t="s">
        <v>1171</v>
      </c>
      <c r="B332" t="s">
        <v>1172</v>
      </c>
      <c r="C332" t="s">
        <v>191</v>
      </c>
      <c r="D332" t="s">
        <v>1173</v>
      </c>
      <c r="E332" t="s">
        <v>192</v>
      </c>
      <c r="F332" t="s">
        <v>193</v>
      </c>
      <c r="G332" t="s">
        <v>34</v>
      </c>
    </row>
    <row r="333">
      <c r="A333" t="s">
        <v>1174</v>
      </c>
      <c r="B333" t="s">
        <v>1175</v>
      </c>
      <c r="C333" t="s">
        <v>191</v>
      </c>
      <c r="D333" t="s">
        <v>1176</v>
      </c>
      <c r="E333" t="s">
        <v>284</v>
      </c>
      <c r="F333" t="s">
        <v>857</v>
      </c>
      <c r="G333" t="s">
        <v>27</v>
      </c>
    </row>
    <row r="334">
      <c r="A334" t="s">
        <v>1177</v>
      </c>
      <c r="B334" t="s">
        <v>1178</v>
      </c>
      <c r="C334" t="s">
        <v>191</v>
      </c>
      <c r="D334" t="s">
        <v>1179</v>
      </c>
      <c r="E334" t="s">
        <v>260</v>
      </c>
      <c r="F334" t="s">
        <v>395</v>
      </c>
      <c r="G334" t="s">
        <v>14</v>
      </c>
    </row>
    <row r="335">
      <c r="A335" t="s">
        <v>1180</v>
      </c>
      <c r="B335" t="s">
        <v>1181</v>
      </c>
      <c r="C335" t="s">
        <v>61</v>
      </c>
      <c r="D335" t="s">
        <v>302</v>
      </c>
      <c r="E335" t="s">
        <v>550</v>
      </c>
      <c r="F335" t="s">
        <v>1016</v>
      </c>
      <c r="G335" t="s">
        <v>34</v>
      </c>
    </row>
    <row r="336">
      <c r="A336" t="s">
        <v>1182</v>
      </c>
      <c r="B336" t="s">
        <v>1183</v>
      </c>
      <c r="C336" t="s">
        <v>61</v>
      </c>
      <c r="D336" t="s">
        <v>307</v>
      </c>
      <c r="E336" t="s">
        <v>684</v>
      </c>
      <c r="F336" t="s">
        <v>1019</v>
      </c>
      <c r="G336" t="s">
        <v>20</v>
      </c>
    </row>
    <row r="337">
      <c r="A337" t="s">
        <v>1184</v>
      </c>
      <c r="B337" t="s">
        <v>1185</v>
      </c>
      <c r="C337" t="s">
        <v>61</v>
      </c>
      <c r="D337" t="s">
        <v>312</v>
      </c>
      <c r="E337" t="s">
        <v>246</v>
      </c>
      <c r="F337" t="s">
        <v>350</v>
      </c>
      <c r="G337" t="s">
        <v>14</v>
      </c>
    </row>
    <row r="338">
      <c r="A338" t="s">
        <v>1186</v>
      </c>
      <c r="B338" t="s">
        <v>1187</v>
      </c>
      <c r="C338" t="s">
        <v>10</v>
      </c>
      <c r="D338" t="s">
        <v>611</v>
      </c>
      <c r="E338" t="s">
        <v>178</v>
      </c>
      <c r="F338" t="s">
        <v>816</v>
      </c>
      <c r="G338" t="s">
        <v>34</v>
      </c>
    </row>
    <row r="339">
      <c r="A339" t="s">
        <v>1188</v>
      </c>
      <c r="B339" t="s">
        <v>1189</v>
      </c>
      <c r="C339" t="s">
        <v>17</v>
      </c>
      <c r="D339" t="s">
        <v>615</v>
      </c>
      <c r="E339" t="s">
        <v>388</v>
      </c>
      <c r="F339" t="s">
        <v>819</v>
      </c>
      <c r="G339" t="s">
        <v>27</v>
      </c>
    </row>
    <row r="340">
      <c r="A340" t="s">
        <v>1190</v>
      </c>
      <c r="B340" t="s">
        <v>1191</v>
      </c>
      <c r="C340" t="s">
        <v>23</v>
      </c>
      <c r="D340" t="s">
        <v>618</v>
      </c>
      <c r="E340" t="s">
        <v>564</v>
      </c>
      <c r="F340" t="s">
        <v>823</v>
      </c>
      <c r="G340" t="s">
        <v>14</v>
      </c>
    </row>
    <row r="341">
      <c r="A341" t="s">
        <v>1192</v>
      </c>
      <c r="B341" t="s">
        <v>1193</v>
      </c>
      <c r="C341" t="s">
        <v>30</v>
      </c>
      <c r="D341" t="s">
        <v>621</v>
      </c>
      <c r="E341" t="s">
        <v>217</v>
      </c>
      <c r="F341" t="s">
        <v>218</v>
      </c>
      <c r="G341" t="s">
        <v>34</v>
      </c>
    </row>
    <row r="342">
      <c r="A342" t="s">
        <v>1194</v>
      </c>
      <c r="B342" t="s">
        <v>1195</v>
      </c>
      <c r="C342" t="s">
        <v>37</v>
      </c>
      <c r="D342" t="s">
        <v>625</v>
      </c>
      <c r="E342" t="s">
        <v>43</v>
      </c>
      <c r="F342" t="s">
        <v>222</v>
      </c>
      <c r="G342" t="s">
        <v>20</v>
      </c>
    </row>
    <row r="343">
      <c r="A343" t="s">
        <v>1196</v>
      </c>
      <c r="B343" t="s">
        <v>1197</v>
      </c>
      <c r="C343" t="s">
        <v>30</v>
      </c>
      <c r="D343" t="s">
        <v>628</v>
      </c>
      <c r="E343" t="s">
        <v>225</v>
      </c>
      <c r="F343" t="s">
        <v>1074</v>
      </c>
      <c r="G343" t="s">
        <v>14</v>
      </c>
    </row>
    <row r="344">
      <c r="A344" t="s">
        <v>1198</v>
      </c>
      <c r="B344" t="s">
        <v>1199</v>
      </c>
      <c r="C344" t="s">
        <v>75</v>
      </c>
      <c r="D344" t="s">
        <v>47</v>
      </c>
      <c r="E344" t="s">
        <v>62</v>
      </c>
      <c r="F344" t="s">
        <v>527</v>
      </c>
      <c r="G344" t="s">
        <v>34</v>
      </c>
    </row>
    <row r="345">
      <c r="A345" t="s">
        <v>1200</v>
      </c>
      <c r="B345" t="s">
        <v>1201</v>
      </c>
      <c r="C345" t="s">
        <v>75</v>
      </c>
      <c r="D345" t="s">
        <v>140</v>
      </c>
      <c r="E345" t="s">
        <v>1044</v>
      </c>
      <c r="F345" t="s">
        <v>289</v>
      </c>
      <c r="G345" t="s">
        <v>27</v>
      </c>
    </row>
    <row r="346">
      <c r="A346" t="s">
        <v>1202</v>
      </c>
      <c r="B346" t="s">
        <v>1203</v>
      </c>
      <c r="C346" t="s">
        <v>75</v>
      </c>
      <c r="D346" t="s">
        <v>52</v>
      </c>
      <c r="E346" t="s">
        <v>411</v>
      </c>
      <c r="F346" t="s">
        <v>1047</v>
      </c>
      <c r="G346" t="s">
        <v>14</v>
      </c>
    </row>
    <row r="347">
      <c r="A347" t="s">
        <v>1204</v>
      </c>
      <c r="B347" t="s">
        <v>1205</v>
      </c>
      <c r="C347" t="s">
        <v>90</v>
      </c>
      <c r="D347" t="s">
        <v>646</v>
      </c>
      <c r="E347" t="s">
        <v>330</v>
      </c>
      <c r="F347" t="s">
        <v>331</v>
      </c>
      <c r="G347" t="s">
        <v>34</v>
      </c>
    </row>
    <row r="348">
      <c r="A348" t="s">
        <v>1206</v>
      </c>
      <c r="B348" t="s">
        <v>1207</v>
      </c>
      <c r="C348" t="s">
        <v>90</v>
      </c>
      <c r="D348" t="s">
        <v>651</v>
      </c>
      <c r="E348" t="s">
        <v>335</v>
      </c>
      <c r="F348" t="s">
        <v>336</v>
      </c>
      <c r="G348" t="s">
        <v>20</v>
      </c>
    </row>
    <row r="349">
      <c r="A349" t="s">
        <v>1208</v>
      </c>
      <c r="B349" t="s">
        <v>1209</v>
      </c>
      <c r="C349" t="s">
        <v>90</v>
      </c>
      <c r="D349" t="s">
        <v>655</v>
      </c>
      <c r="E349" t="s">
        <v>340</v>
      </c>
      <c r="F349" t="s">
        <v>341</v>
      </c>
      <c r="G349" t="s">
        <v>14</v>
      </c>
    </row>
    <row r="350">
      <c r="A350" t="s">
        <v>1210</v>
      </c>
      <c r="B350" t="s">
        <v>1211</v>
      </c>
      <c r="C350" t="s">
        <v>135</v>
      </c>
      <c r="D350" t="s">
        <v>204</v>
      </c>
      <c r="E350" t="s">
        <v>121</v>
      </c>
      <c r="F350" t="s">
        <v>871</v>
      </c>
      <c r="G350" t="s">
        <v>34</v>
      </c>
    </row>
    <row r="351">
      <c r="A351" t="s">
        <v>1212</v>
      </c>
      <c r="B351" t="s">
        <v>1213</v>
      </c>
      <c r="C351" t="s">
        <v>135</v>
      </c>
      <c r="D351" t="s">
        <v>208</v>
      </c>
      <c r="E351" t="s">
        <v>496</v>
      </c>
      <c r="F351" t="s">
        <v>794</v>
      </c>
      <c r="G351" t="s">
        <v>27</v>
      </c>
    </row>
    <row r="352">
      <c r="A352" t="s">
        <v>1214</v>
      </c>
      <c r="B352" t="s">
        <v>1215</v>
      </c>
      <c r="C352" t="s">
        <v>135</v>
      </c>
      <c r="D352" t="s">
        <v>212</v>
      </c>
      <c r="E352" t="s">
        <v>876</v>
      </c>
      <c r="F352" t="s">
        <v>877</v>
      </c>
      <c r="G352" t="s">
        <v>14</v>
      </c>
    </row>
    <row r="353">
      <c r="A353" t="s">
        <v>1216</v>
      </c>
      <c r="B353" t="s">
        <v>1217</v>
      </c>
      <c r="C353" t="s">
        <v>149</v>
      </c>
      <c r="D353" t="s">
        <v>264</v>
      </c>
      <c r="E353" t="s">
        <v>1098</v>
      </c>
      <c r="F353" t="s">
        <v>436</v>
      </c>
      <c r="G353" t="s">
        <v>34</v>
      </c>
    </row>
    <row r="354">
      <c r="A354" t="s">
        <v>1218</v>
      </c>
      <c r="B354" t="s">
        <v>1219</v>
      </c>
      <c r="C354" t="s">
        <v>149</v>
      </c>
      <c r="D354" t="s">
        <v>269</v>
      </c>
      <c r="E354" t="s">
        <v>435</v>
      </c>
      <c r="F354" t="s">
        <v>265</v>
      </c>
      <c r="G354" t="s">
        <v>20</v>
      </c>
    </row>
    <row r="355">
      <c r="A355" t="s">
        <v>1220</v>
      </c>
      <c r="B355" t="s">
        <v>1221</v>
      </c>
      <c r="C355" t="s">
        <v>149</v>
      </c>
      <c r="D355" t="s">
        <v>264</v>
      </c>
      <c r="E355" t="s">
        <v>165</v>
      </c>
      <c r="F355" t="s">
        <v>367</v>
      </c>
      <c r="G355" t="s">
        <v>14</v>
      </c>
    </row>
    <row r="356">
      <c r="A356" t="s">
        <v>1222</v>
      </c>
      <c r="B356" t="s">
        <v>1223</v>
      </c>
      <c r="C356" t="s">
        <v>10</v>
      </c>
      <c r="D356" t="s">
        <v>177</v>
      </c>
      <c r="E356" t="s">
        <v>62</v>
      </c>
      <c r="F356" t="s">
        <v>1224</v>
      </c>
      <c r="G356" t="s">
        <v>34</v>
      </c>
    </row>
    <row r="357">
      <c r="A357" t="s">
        <v>1225</v>
      </c>
      <c r="B357" t="s">
        <v>1226</v>
      </c>
      <c r="C357" t="s">
        <v>17</v>
      </c>
      <c r="D357" t="s">
        <v>182</v>
      </c>
      <c r="E357" t="s">
        <v>1044</v>
      </c>
      <c r="F357" t="s">
        <v>782</v>
      </c>
      <c r="G357" t="s">
        <v>27</v>
      </c>
    </row>
    <row r="358">
      <c r="A358" t="s">
        <v>1227</v>
      </c>
      <c r="B358" t="s">
        <v>1228</v>
      </c>
      <c r="C358" t="s">
        <v>23</v>
      </c>
      <c r="D358" t="s">
        <v>187</v>
      </c>
      <c r="E358" t="s">
        <v>411</v>
      </c>
      <c r="F358" t="s">
        <v>217</v>
      </c>
      <c r="G358" t="s">
        <v>14</v>
      </c>
    </row>
    <row r="359">
      <c r="A359" t="s">
        <v>1229</v>
      </c>
      <c r="B359" t="s">
        <v>1230</v>
      </c>
      <c r="C359" t="s">
        <v>61</v>
      </c>
      <c r="D359" t="s">
        <v>11</v>
      </c>
      <c r="E359" t="s">
        <v>905</v>
      </c>
      <c r="F359" t="s">
        <v>837</v>
      </c>
      <c r="G359" t="s">
        <v>34</v>
      </c>
    </row>
    <row r="360">
      <c r="A360" t="s">
        <v>1231</v>
      </c>
      <c r="B360" t="s">
        <v>1232</v>
      </c>
      <c r="C360" t="s">
        <v>61</v>
      </c>
      <c r="D360" t="s">
        <v>66</v>
      </c>
      <c r="E360" t="s">
        <v>876</v>
      </c>
      <c r="F360" t="s">
        <v>594</v>
      </c>
      <c r="G360" t="s">
        <v>20</v>
      </c>
    </row>
    <row r="361">
      <c r="A361" t="s">
        <v>1233</v>
      </c>
      <c r="B361" t="s">
        <v>1234</v>
      </c>
      <c r="C361" t="s">
        <v>61</v>
      </c>
      <c r="D361" t="s">
        <v>24</v>
      </c>
      <c r="E361" t="s">
        <v>53</v>
      </c>
      <c r="F361" t="s">
        <v>424</v>
      </c>
      <c r="G361" t="s">
        <v>14</v>
      </c>
    </row>
    <row r="362">
      <c r="A362" t="s">
        <v>1235</v>
      </c>
      <c r="B362" t="s">
        <v>1236</v>
      </c>
      <c r="C362" t="s">
        <v>30</v>
      </c>
      <c r="D362" t="s">
        <v>451</v>
      </c>
      <c r="E362" t="s">
        <v>77</v>
      </c>
      <c r="F362" t="s">
        <v>1237</v>
      </c>
      <c r="G362" t="s">
        <v>34</v>
      </c>
    </row>
    <row r="363">
      <c r="A363" t="s">
        <v>1238</v>
      </c>
      <c r="B363" t="s">
        <v>1239</v>
      </c>
      <c r="C363" t="s">
        <v>37</v>
      </c>
      <c r="D363" t="s">
        <v>455</v>
      </c>
      <c r="E363" t="s">
        <v>803</v>
      </c>
      <c r="F363" t="s">
        <v>629</v>
      </c>
      <c r="G363" t="s">
        <v>27</v>
      </c>
    </row>
    <row r="364">
      <c r="A364" t="s">
        <v>1240</v>
      </c>
      <c r="B364" t="s">
        <v>1241</v>
      </c>
      <c r="C364" t="s">
        <v>30</v>
      </c>
      <c r="D364" t="s">
        <v>451</v>
      </c>
      <c r="E364" t="s">
        <v>86</v>
      </c>
      <c r="F364" t="s">
        <v>1242</v>
      </c>
      <c r="G364" t="s">
        <v>14</v>
      </c>
    </row>
    <row r="365">
      <c r="A365" t="s">
        <v>1243</v>
      </c>
      <c r="B365" t="s">
        <v>1244</v>
      </c>
      <c r="C365" t="s">
        <v>75</v>
      </c>
      <c r="D365" t="s">
        <v>216</v>
      </c>
      <c r="E365" t="s">
        <v>106</v>
      </c>
      <c r="F365" t="s">
        <v>622</v>
      </c>
      <c r="G365" t="s">
        <v>34</v>
      </c>
    </row>
    <row r="366">
      <c r="A366" t="s">
        <v>1245</v>
      </c>
      <c r="B366" t="s">
        <v>1246</v>
      </c>
      <c r="C366" t="s">
        <v>75</v>
      </c>
      <c r="D366" t="s">
        <v>96</v>
      </c>
      <c r="E366" t="s">
        <v>217</v>
      </c>
      <c r="F366" t="s">
        <v>117</v>
      </c>
      <c r="G366" t="s">
        <v>20</v>
      </c>
    </row>
    <row r="367">
      <c r="A367" t="s">
        <v>1247</v>
      </c>
      <c r="B367" t="s">
        <v>1248</v>
      </c>
      <c r="C367" t="s">
        <v>75</v>
      </c>
      <c r="D367" t="s">
        <v>91</v>
      </c>
      <c r="E367" t="s">
        <v>116</v>
      </c>
      <c r="F367" t="s">
        <v>629</v>
      </c>
      <c r="G367" t="s">
        <v>14</v>
      </c>
    </row>
    <row r="368">
      <c r="A368" t="s">
        <v>1249</v>
      </c>
      <c r="B368" t="s">
        <v>1250</v>
      </c>
      <c r="C368" t="s">
        <v>90</v>
      </c>
      <c r="D368" t="s">
        <v>862</v>
      </c>
      <c r="E368" t="s">
        <v>330</v>
      </c>
      <c r="F368" t="s">
        <v>331</v>
      </c>
      <c r="G368" t="s">
        <v>34</v>
      </c>
    </row>
    <row r="369">
      <c r="A369" t="s">
        <v>1251</v>
      </c>
      <c r="B369" t="s">
        <v>1252</v>
      </c>
      <c r="C369" t="s">
        <v>90</v>
      </c>
      <c r="D369" t="s">
        <v>865</v>
      </c>
      <c r="E369" t="s">
        <v>335</v>
      </c>
      <c r="F369" t="s">
        <v>336</v>
      </c>
      <c r="G369" t="s">
        <v>27</v>
      </c>
    </row>
    <row r="370">
      <c r="A370" t="s">
        <v>1253</v>
      </c>
      <c r="B370" t="s">
        <v>1254</v>
      </c>
      <c r="C370" t="s">
        <v>90</v>
      </c>
      <c r="D370" t="s">
        <v>868</v>
      </c>
      <c r="E370" t="s">
        <v>340</v>
      </c>
      <c r="F370" t="s">
        <v>341</v>
      </c>
      <c r="G370" t="s">
        <v>14</v>
      </c>
    </row>
    <row r="371">
      <c r="A371" t="s">
        <v>1255</v>
      </c>
      <c r="B371" t="s">
        <v>1256</v>
      </c>
      <c r="C371" t="s">
        <v>135</v>
      </c>
      <c r="D371" t="s">
        <v>31</v>
      </c>
      <c r="E371" t="s">
        <v>241</v>
      </c>
      <c r="F371" t="s">
        <v>757</v>
      </c>
      <c r="G371" t="s">
        <v>34</v>
      </c>
    </row>
    <row r="372">
      <c r="A372" t="s">
        <v>1257</v>
      </c>
      <c r="B372" t="s">
        <v>1258</v>
      </c>
      <c r="C372" t="s">
        <v>135</v>
      </c>
      <c r="D372" t="s">
        <v>38</v>
      </c>
      <c r="E372" t="s">
        <v>102</v>
      </c>
      <c r="F372" t="s">
        <v>504</v>
      </c>
      <c r="G372" t="s">
        <v>20</v>
      </c>
    </row>
    <row r="373">
      <c r="A373" t="s">
        <v>1259</v>
      </c>
      <c r="B373" t="s">
        <v>1260</v>
      </c>
      <c r="C373" t="s">
        <v>135</v>
      </c>
      <c r="D373" t="s">
        <v>31</v>
      </c>
      <c r="E373" t="s">
        <v>496</v>
      </c>
      <c r="F373" t="s">
        <v>345</v>
      </c>
      <c r="G373" t="s">
        <v>14</v>
      </c>
    </row>
    <row r="374">
      <c r="A374" t="s">
        <v>1261</v>
      </c>
      <c r="B374" t="s">
        <v>1262</v>
      </c>
      <c r="C374" t="s">
        <v>149</v>
      </c>
      <c r="D374" t="s">
        <v>357</v>
      </c>
      <c r="E374" t="s">
        <v>170</v>
      </c>
      <c r="F374" t="s">
        <v>731</v>
      </c>
      <c r="G374" t="s">
        <v>34</v>
      </c>
    </row>
    <row r="375">
      <c r="A375" t="s">
        <v>1263</v>
      </c>
      <c r="B375" t="s">
        <v>1264</v>
      </c>
      <c r="C375" t="s">
        <v>149</v>
      </c>
      <c r="D375" t="s">
        <v>362</v>
      </c>
      <c r="E375" t="s">
        <v>730</v>
      </c>
      <c r="F375" t="s">
        <v>368</v>
      </c>
      <c r="G375" t="s">
        <v>27</v>
      </c>
    </row>
    <row r="376">
      <c r="A376" t="s">
        <v>1265</v>
      </c>
      <c r="B376" t="s">
        <v>1266</v>
      </c>
      <c r="C376" t="s">
        <v>149</v>
      </c>
      <c r="D376" t="s">
        <v>366</v>
      </c>
      <c r="E376" t="s">
        <v>1267</v>
      </c>
      <c r="F376" t="s">
        <v>739</v>
      </c>
      <c r="G376" t="s">
        <v>14</v>
      </c>
    </row>
    <row r="377">
      <c r="A377" t="s">
        <v>1268</v>
      </c>
      <c r="B377" t="s">
        <v>1269</v>
      </c>
      <c r="C377" t="s">
        <v>191</v>
      </c>
      <c r="D377" t="s">
        <v>120</v>
      </c>
      <c r="E377" t="s">
        <v>228</v>
      </c>
      <c r="F377" t="s">
        <v>229</v>
      </c>
      <c r="G377" t="s">
        <v>34</v>
      </c>
    </row>
    <row r="378">
      <c r="A378" t="s">
        <v>1270</v>
      </c>
      <c r="B378" t="s">
        <v>1271</v>
      </c>
      <c r="C378" t="s">
        <v>191</v>
      </c>
      <c r="D378" t="s">
        <v>125</v>
      </c>
      <c r="E378" t="s">
        <v>583</v>
      </c>
      <c r="F378" t="s">
        <v>770</v>
      </c>
      <c r="G378" t="s">
        <v>20</v>
      </c>
    </row>
    <row r="379">
      <c r="A379" t="s">
        <v>1272</v>
      </c>
      <c r="B379" t="s">
        <v>1273</v>
      </c>
      <c r="C379" t="s">
        <v>191</v>
      </c>
      <c r="D379" t="s">
        <v>130</v>
      </c>
      <c r="E379" t="s">
        <v>652</v>
      </c>
      <c r="F379" t="s">
        <v>774</v>
      </c>
      <c r="G379" t="s">
        <v>14</v>
      </c>
    </row>
    <row r="380">
      <c r="A380" t="s">
        <v>1274</v>
      </c>
      <c r="B380" t="s">
        <v>1275</v>
      </c>
      <c r="C380" t="s">
        <v>61</v>
      </c>
      <c r="D380" t="s">
        <v>47</v>
      </c>
      <c r="E380" t="s">
        <v>490</v>
      </c>
      <c r="F380" t="s">
        <v>1276</v>
      </c>
      <c r="G380" t="s">
        <v>34</v>
      </c>
    </row>
    <row r="381">
      <c r="A381" t="s">
        <v>1277</v>
      </c>
      <c r="B381" t="s">
        <v>1278</v>
      </c>
      <c r="C381" t="s">
        <v>61</v>
      </c>
      <c r="D381" t="s">
        <v>140</v>
      </c>
      <c r="E381" t="s">
        <v>495</v>
      </c>
      <c r="F381" t="s">
        <v>1279</v>
      </c>
      <c r="G381" t="s">
        <v>27</v>
      </c>
    </row>
    <row r="382">
      <c r="A382" t="s">
        <v>1280</v>
      </c>
      <c r="B382" t="s">
        <v>1281</v>
      </c>
      <c r="C382" t="s">
        <v>61</v>
      </c>
      <c r="D382" t="s">
        <v>52</v>
      </c>
      <c r="E382" t="s">
        <v>500</v>
      </c>
      <c r="F382" t="s">
        <v>388</v>
      </c>
      <c r="G382" t="s">
        <v>14</v>
      </c>
    </row>
    <row r="383">
      <c r="A383" t="s">
        <v>1282</v>
      </c>
      <c r="B383" t="s">
        <v>1283</v>
      </c>
      <c r="C383" t="s">
        <v>10</v>
      </c>
      <c r="D383" t="s">
        <v>302</v>
      </c>
      <c r="E383" t="s">
        <v>383</v>
      </c>
      <c r="F383" t="s">
        <v>561</v>
      </c>
      <c r="G383" t="s">
        <v>34</v>
      </c>
    </row>
    <row r="384">
      <c r="A384" t="s">
        <v>1284</v>
      </c>
      <c r="B384" t="s">
        <v>1285</v>
      </c>
      <c r="C384" t="s">
        <v>17</v>
      </c>
      <c r="D384" t="s">
        <v>307</v>
      </c>
      <c r="E384" t="s">
        <v>387</v>
      </c>
      <c r="F384" t="s">
        <v>564</v>
      </c>
      <c r="G384" t="s">
        <v>20</v>
      </c>
    </row>
    <row r="385">
      <c r="A385" t="s">
        <v>1286</v>
      </c>
      <c r="B385" t="s">
        <v>1287</v>
      </c>
      <c r="C385" t="s">
        <v>23</v>
      </c>
      <c r="D385" t="s">
        <v>312</v>
      </c>
      <c r="E385" t="s">
        <v>391</v>
      </c>
      <c r="F385" t="s">
        <v>376</v>
      </c>
      <c r="G385" t="s">
        <v>14</v>
      </c>
    </row>
    <row r="386">
      <c r="A386" t="s">
        <v>1288</v>
      </c>
      <c r="B386" t="s">
        <v>1289</v>
      </c>
      <c r="C386" t="s">
        <v>30</v>
      </c>
      <c r="D386" t="s">
        <v>288</v>
      </c>
      <c r="E386" t="s">
        <v>481</v>
      </c>
      <c r="F386" t="s">
        <v>1290</v>
      </c>
      <c r="G386" t="s">
        <v>34</v>
      </c>
    </row>
    <row r="387">
      <c r="A387" t="s">
        <v>1291</v>
      </c>
      <c r="B387" t="s">
        <v>1292</v>
      </c>
      <c r="C387" t="s">
        <v>37</v>
      </c>
      <c r="D387" t="s">
        <v>293</v>
      </c>
      <c r="E387" t="s">
        <v>1293</v>
      </c>
      <c r="F387" t="s">
        <v>1294</v>
      </c>
      <c r="G387" t="s">
        <v>27</v>
      </c>
    </row>
    <row r="388">
      <c r="A388" t="s">
        <v>1295</v>
      </c>
      <c r="B388" t="s">
        <v>1296</v>
      </c>
      <c r="C388" t="s">
        <v>30</v>
      </c>
      <c r="D388" t="s">
        <v>288</v>
      </c>
      <c r="E388" t="s">
        <v>351</v>
      </c>
      <c r="F388" t="s">
        <v>1297</v>
      </c>
      <c r="G388" t="s">
        <v>14</v>
      </c>
    </row>
    <row r="389">
      <c r="A389" t="s">
        <v>1298</v>
      </c>
      <c r="B389" t="s">
        <v>1299</v>
      </c>
      <c r="C389" t="s">
        <v>75</v>
      </c>
      <c r="D389" t="s">
        <v>632</v>
      </c>
      <c r="E389" t="s">
        <v>694</v>
      </c>
      <c r="F389" t="s">
        <v>929</v>
      </c>
      <c r="G389" t="s">
        <v>34</v>
      </c>
    </row>
    <row r="390">
      <c r="A390" t="s">
        <v>1300</v>
      </c>
      <c r="B390" t="s">
        <v>1301</v>
      </c>
      <c r="C390" t="s">
        <v>75</v>
      </c>
      <c r="D390" t="s">
        <v>637</v>
      </c>
      <c r="E390" t="s">
        <v>504</v>
      </c>
      <c r="F390" t="s">
        <v>932</v>
      </c>
      <c r="G390" t="s">
        <v>20</v>
      </c>
    </row>
    <row r="391">
      <c r="A391" t="s">
        <v>1302</v>
      </c>
      <c r="B391" t="s">
        <v>1303</v>
      </c>
      <c r="C391" t="s">
        <v>75</v>
      </c>
      <c r="D391" t="s">
        <v>641</v>
      </c>
      <c r="E391" t="s">
        <v>763</v>
      </c>
      <c r="F391" t="s">
        <v>574</v>
      </c>
      <c r="G391" t="s">
        <v>14</v>
      </c>
    </row>
    <row r="392">
      <c r="A392" t="s">
        <v>1304</v>
      </c>
      <c r="B392" t="s">
        <v>1305</v>
      </c>
      <c r="C392" t="s">
        <v>90</v>
      </c>
      <c r="D392" t="s">
        <v>216</v>
      </c>
      <c r="E392" t="s">
        <v>982</v>
      </c>
      <c r="F392" t="s">
        <v>1306</v>
      </c>
      <c r="G392" t="s">
        <v>34</v>
      </c>
    </row>
    <row r="393">
      <c r="A393" t="s">
        <v>1307</v>
      </c>
      <c r="B393" t="s">
        <v>1308</v>
      </c>
      <c r="C393" t="s">
        <v>90</v>
      </c>
      <c r="D393" t="s">
        <v>96</v>
      </c>
      <c r="E393" t="s">
        <v>162</v>
      </c>
      <c r="F393" t="s">
        <v>92</v>
      </c>
      <c r="G393" t="s">
        <v>27</v>
      </c>
    </row>
    <row r="394">
      <c r="A394" t="s">
        <v>1309</v>
      </c>
      <c r="B394" t="s">
        <v>1310</v>
      </c>
      <c r="C394" t="s">
        <v>90</v>
      </c>
      <c r="D394" t="s">
        <v>91</v>
      </c>
      <c r="E394" t="s">
        <v>335</v>
      </c>
      <c r="F394" t="s">
        <v>1311</v>
      </c>
      <c r="G394" t="s">
        <v>14</v>
      </c>
    </row>
    <row r="395">
      <c r="A395" t="s">
        <v>1312</v>
      </c>
      <c r="B395" t="s">
        <v>1313</v>
      </c>
      <c r="C395" t="s">
        <v>135</v>
      </c>
      <c r="D395" t="s">
        <v>593</v>
      </c>
      <c r="E395" t="s">
        <v>277</v>
      </c>
      <c r="F395" t="s">
        <v>816</v>
      </c>
      <c r="G395" t="s">
        <v>34</v>
      </c>
    </row>
    <row r="396">
      <c r="A396" t="s">
        <v>1314</v>
      </c>
      <c r="B396" t="s">
        <v>1315</v>
      </c>
      <c r="C396" t="s">
        <v>135</v>
      </c>
      <c r="D396" t="s">
        <v>597</v>
      </c>
      <c r="E396" t="s">
        <v>1089</v>
      </c>
      <c r="F396" t="s">
        <v>819</v>
      </c>
      <c r="G396" t="s">
        <v>20</v>
      </c>
    </row>
    <row r="397">
      <c r="A397" t="s">
        <v>1316</v>
      </c>
      <c r="B397" t="s">
        <v>1317</v>
      </c>
      <c r="C397" t="s">
        <v>135</v>
      </c>
      <c r="D397" t="s">
        <v>600</v>
      </c>
      <c r="E397" t="s">
        <v>284</v>
      </c>
      <c r="F397" t="s">
        <v>823</v>
      </c>
      <c r="G397" t="s">
        <v>14</v>
      </c>
    </row>
    <row r="398">
      <c r="A398" t="s">
        <v>1318</v>
      </c>
      <c r="B398" t="s">
        <v>1319</v>
      </c>
      <c r="C398" t="s">
        <v>149</v>
      </c>
      <c r="D398" t="s">
        <v>150</v>
      </c>
      <c r="E398" t="s">
        <v>165</v>
      </c>
      <c r="F398" t="s">
        <v>517</v>
      </c>
      <c r="G398" t="s">
        <v>34</v>
      </c>
    </row>
    <row r="399">
      <c r="A399" t="s">
        <v>1320</v>
      </c>
      <c r="B399" t="s">
        <v>1321</v>
      </c>
      <c r="C399" t="s">
        <v>149</v>
      </c>
      <c r="D399" t="s">
        <v>155</v>
      </c>
      <c r="E399" t="s">
        <v>1098</v>
      </c>
      <c r="F399" t="s">
        <v>358</v>
      </c>
      <c r="G399" t="s">
        <v>27</v>
      </c>
    </row>
    <row r="400">
      <c r="A400" t="s">
        <v>1322</v>
      </c>
      <c r="B400" t="s">
        <v>1323</v>
      </c>
      <c r="C400" t="s">
        <v>149</v>
      </c>
      <c r="D400" t="s">
        <v>160</v>
      </c>
      <c r="E400" t="s">
        <v>670</v>
      </c>
      <c r="F400" t="s">
        <v>1102</v>
      </c>
      <c r="G400" t="s">
        <v>14</v>
      </c>
    </row>
    <row r="401">
      <c r="A401" t="s">
        <v>1324</v>
      </c>
      <c r="B401" t="s">
        <v>1325</v>
      </c>
      <c r="C401" t="s">
        <v>10</v>
      </c>
      <c r="D401" t="s">
        <v>464</v>
      </c>
      <c r="E401" t="s">
        <v>330</v>
      </c>
      <c r="F401" t="s">
        <v>331</v>
      </c>
      <c r="G401" t="s">
        <v>34</v>
      </c>
    </row>
    <row r="402">
      <c r="A402" t="s">
        <v>1326</v>
      </c>
      <c r="B402" t="s">
        <v>1327</v>
      </c>
      <c r="C402" t="s">
        <v>17</v>
      </c>
      <c r="D402" t="s">
        <v>468</v>
      </c>
      <c r="E402" t="s">
        <v>982</v>
      </c>
      <c r="F402" t="s">
        <v>336</v>
      </c>
      <c r="G402" t="s">
        <v>20</v>
      </c>
    </row>
    <row r="403">
      <c r="A403" t="s">
        <v>1328</v>
      </c>
      <c r="B403" t="s">
        <v>1329</v>
      </c>
      <c r="C403" t="s">
        <v>23</v>
      </c>
      <c r="D403" t="s">
        <v>471</v>
      </c>
      <c r="E403" t="s">
        <v>735</v>
      </c>
      <c r="F403" t="s">
        <v>495</v>
      </c>
      <c r="G403" t="s">
        <v>14</v>
      </c>
    </row>
    <row r="404">
      <c r="A404" t="s">
        <v>1330</v>
      </c>
      <c r="B404" t="s">
        <v>1331</v>
      </c>
      <c r="C404" t="s">
        <v>61</v>
      </c>
      <c r="D404" t="s">
        <v>105</v>
      </c>
      <c r="E404" t="s">
        <v>330</v>
      </c>
      <c r="F404" t="s">
        <v>331</v>
      </c>
      <c r="G404" t="s">
        <v>34</v>
      </c>
    </row>
    <row r="405">
      <c r="A405" t="s">
        <v>1332</v>
      </c>
      <c r="B405" t="s">
        <v>1333</v>
      </c>
      <c r="C405" t="s">
        <v>61</v>
      </c>
      <c r="D405" t="s">
        <v>110</v>
      </c>
      <c r="E405" t="s">
        <v>982</v>
      </c>
      <c r="F405" t="s">
        <v>336</v>
      </c>
      <c r="G405" t="s">
        <v>27</v>
      </c>
    </row>
    <row r="406">
      <c r="A406" t="s">
        <v>1334</v>
      </c>
      <c r="B406" t="s">
        <v>1335</v>
      </c>
      <c r="C406" t="s">
        <v>61</v>
      </c>
      <c r="D406" t="s">
        <v>115</v>
      </c>
      <c r="E406" t="s">
        <v>735</v>
      </c>
      <c r="F406" t="s">
        <v>495</v>
      </c>
      <c r="G406" t="s">
        <v>14</v>
      </c>
    </row>
    <row r="407">
      <c r="A407" t="s">
        <v>1336</v>
      </c>
      <c r="B407" t="s">
        <v>1337</v>
      </c>
      <c r="C407" t="s">
        <v>75</v>
      </c>
      <c r="D407" t="s">
        <v>76</v>
      </c>
      <c r="E407" t="s">
        <v>257</v>
      </c>
      <c r="F407" t="s">
        <v>710</v>
      </c>
      <c r="G407" t="s">
        <v>34</v>
      </c>
    </row>
    <row r="408">
      <c r="A408" t="s">
        <v>1338</v>
      </c>
      <c r="B408" t="s">
        <v>1339</v>
      </c>
      <c r="C408" t="s">
        <v>75</v>
      </c>
      <c r="D408" t="s">
        <v>81</v>
      </c>
      <c r="E408" t="s">
        <v>281</v>
      </c>
      <c r="F408" t="s">
        <v>642</v>
      </c>
      <c r="G408" t="s">
        <v>20</v>
      </c>
    </row>
    <row r="409">
      <c r="A409" t="s">
        <v>1340</v>
      </c>
      <c r="B409" t="s">
        <v>1341</v>
      </c>
      <c r="C409" t="s">
        <v>75</v>
      </c>
      <c r="D409" t="s">
        <v>76</v>
      </c>
      <c r="E409" t="s">
        <v>285</v>
      </c>
      <c r="F409" t="s">
        <v>399</v>
      </c>
      <c r="G409" t="s">
        <v>14</v>
      </c>
    </row>
    <row r="410">
      <c r="A410" t="s">
        <v>1342</v>
      </c>
      <c r="B410" t="s">
        <v>1343</v>
      </c>
      <c r="C410" t="s">
        <v>90</v>
      </c>
      <c r="D410" t="s">
        <v>489</v>
      </c>
      <c r="E410" t="s">
        <v>383</v>
      </c>
      <c r="F410" t="s">
        <v>384</v>
      </c>
      <c r="G410" t="s">
        <v>34</v>
      </c>
    </row>
    <row r="411">
      <c r="A411" t="s">
        <v>1344</v>
      </c>
      <c r="B411" t="s">
        <v>1345</v>
      </c>
      <c r="C411" t="s">
        <v>90</v>
      </c>
      <c r="D411" t="s">
        <v>494</v>
      </c>
      <c r="E411" t="s">
        <v>387</v>
      </c>
      <c r="F411" t="s">
        <v>388</v>
      </c>
      <c r="G411" t="s">
        <v>27</v>
      </c>
    </row>
    <row r="412">
      <c r="A412" t="s">
        <v>1346</v>
      </c>
      <c r="B412" t="s">
        <v>1347</v>
      </c>
      <c r="C412" t="s">
        <v>90</v>
      </c>
      <c r="D412" t="s">
        <v>499</v>
      </c>
      <c r="E412" t="s">
        <v>391</v>
      </c>
      <c r="F412" t="s">
        <v>564</v>
      </c>
      <c r="G412" t="s">
        <v>14</v>
      </c>
    </row>
    <row r="413">
      <c r="A413" t="s">
        <v>1348</v>
      </c>
      <c r="B413" t="s">
        <v>1349</v>
      </c>
      <c r="C413" t="s">
        <v>135</v>
      </c>
      <c r="D413" t="s">
        <v>503</v>
      </c>
      <c r="E413" t="s">
        <v>121</v>
      </c>
      <c r="F413" t="s">
        <v>871</v>
      </c>
      <c r="G413" t="s">
        <v>34</v>
      </c>
    </row>
    <row r="414">
      <c r="A414" t="s">
        <v>1350</v>
      </c>
      <c r="B414" t="s">
        <v>1351</v>
      </c>
      <c r="C414" t="s">
        <v>135</v>
      </c>
      <c r="D414" t="s">
        <v>508</v>
      </c>
      <c r="E414" t="s">
        <v>496</v>
      </c>
      <c r="F414" t="s">
        <v>794</v>
      </c>
      <c r="G414" t="s">
        <v>20</v>
      </c>
    </row>
    <row r="415">
      <c r="A415" t="s">
        <v>1352</v>
      </c>
      <c r="B415" t="s">
        <v>1353</v>
      </c>
      <c r="C415" t="s">
        <v>135</v>
      </c>
      <c r="D415" t="s">
        <v>512</v>
      </c>
      <c r="E415" t="s">
        <v>876</v>
      </c>
      <c r="F415" t="s">
        <v>877</v>
      </c>
      <c r="G415" t="s">
        <v>14</v>
      </c>
    </row>
    <row r="416">
      <c r="A416" t="s">
        <v>1354</v>
      </c>
      <c r="B416" t="s">
        <v>1355</v>
      </c>
      <c r="C416" t="s">
        <v>149</v>
      </c>
      <c r="D416" t="s">
        <v>826</v>
      </c>
      <c r="E416" t="s">
        <v>1267</v>
      </c>
      <c r="F416" t="s">
        <v>1356</v>
      </c>
      <c r="G416" t="s">
        <v>34</v>
      </c>
    </row>
    <row r="417">
      <c r="A417" t="s">
        <v>1357</v>
      </c>
      <c r="B417" t="s">
        <v>1358</v>
      </c>
      <c r="C417" t="s">
        <v>149</v>
      </c>
      <c r="D417" t="s">
        <v>829</v>
      </c>
      <c r="E417" t="s">
        <v>170</v>
      </c>
      <c r="F417" t="s">
        <v>583</v>
      </c>
      <c r="G417" t="s">
        <v>27</v>
      </c>
    </row>
    <row r="418">
      <c r="A418" t="s">
        <v>1359</v>
      </c>
      <c r="B418" t="s">
        <v>1360</v>
      </c>
      <c r="C418" t="s">
        <v>149</v>
      </c>
      <c r="D418" t="s">
        <v>832</v>
      </c>
      <c r="E418" t="s">
        <v>157</v>
      </c>
      <c r="F418" t="s">
        <v>236</v>
      </c>
      <c r="G418" t="s">
        <v>14</v>
      </c>
    </row>
    <row r="419">
      <c r="A419" t="s">
        <v>1361</v>
      </c>
      <c r="B419" t="s">
        <v>1362</v>
      </c>
      <c r="C419" t="s">
        <v>191</v>
      </c>
      <c r="D419" t="s">
        <v>1363</v>
      </c>
      <c r="E419" t="s">
        <v>92</v>
      </c>
      <c r="F419" t="s">
        <v>680</v>
      </c>
      <c r="G419" t="s">
        <v>34</v>
      </c>
    </row>
    <row r="420">
      <c r="A420" t="s">
        <v>1364</v>
      </c>
      <c r="B420" t="s">
        <v>1365</v>
      </c>
      <c r="C420" t="s">
        <v>191</v>
      </c>
      <c r="D420" t="s">
        <v>1366</v>
      </c>
      <c r="E420" t="s">
        <v>683</v>
      </c>
      <c r="F420" t="s">
        <v>684</v>
      </c>
      <c r="G420" t="s">
        <v>20</v>
      </c>
    </row>
    <row r="421">
      <c r="A421" t="s">
        <v>1367</v>
      </c>
      <c r="B421" t="s">
        <v>1368</v>
      </c>
      <c r="C421" t="s">
        <v>191</v>
      </c>
      <c r="D421" t="s">
        <v>1369</v>
      </c>
      <c r="E421" t="s">
        <v>336</v>
      </c>
      <c r="F421" t="s">
        <v>246</v>
      </c>
      <c r="G421" t="s">
        <v>14</v>
      </c>
    </row>
    <row r="422">
      <c r="A422" t="s">
        <v>1370</v>
      </c>
      <c r="B422" t="s">
        <v>1371</v>
      </c>
      <c r="C422" t="s">
        <v>30</v>
      </c>
      <c r="D422" t="s">
        <v>344</v>
      </c>
      <c r="E422" t="s">
        <v>289</v>
      </c>
      <c r="F422" t="s">
        <v>570</v>
      </c>
      <c r="G422" t="s">
        <v>34</v>
      </c>
    </row>
    <row r="423">
      <c r="A423" t="s">
        <v>1372</v>
      </c>
      <c r="B423" t="s">
        <v>1373</v>
      </c>
      <c r="C423" t="s">
        <v>37</v>
      </c>
      <c r="D423" t="s">
        <v>349</v>
      </c>
      <c r="E423" t="s">
        <v>574</v>
      </c>
      <c r="F423" t="s">
        <v>575</v>
      </c>
      <c r="G423" t="s">
        <v>27</v>
      </c>
    </row>
    <row r="424">
      <c r="A424" t="s">
        <v>1374</v>
      </c>
      <c r="B424" t="s">
        <v>1375</v>
      </c>
      <c r="C424" t="s">
        <v>30</v>
      </c>
      <c r="D424" t="s">
        <v>354</v>
      </c>
      <c r="E424" t="s">
        <v>298</v>
      </c>
      <c r="F424" t="s">
        <v>579</v>
      </c>
      <c r="G424" t="s">
        <v>14</v>
      </c>
    </row>
    <row r="425">
      <c r="A425" t="s">
        <v>1376</v>
      </c>
      <c r="B425" t="s">
        <v>1377</v>
      </c>
      <c r="C425" t="s">
        <v>10</v>
      </c>
      <c r="D425" t="s">
        <v>700</v>
      </c>
      <c r="E425" t="s">
        <v>379</v>
      </c>
      <c r="F425" t="s">
        <v>1016</v>
      </c>
      <c r="G425" t="s">
        <v>34</v>
      </c>
    </row>
    <row r="426">
      <c r="A426" t="s">
        <v>1378</v>
      </c>
      <c r="B426" t="s">
        <v>1379</v>
      </c>
      <c r="C426" t="s">
        <v>17</v>
      </c>
      <c r="D426" t="s">
        <v>704</v>
      </c>
      <c r="E426" t="s">
        <v>371</v>
      </c>
      <c r="F426" t="s">
        <v>380</v>
      </c>
      <c r="G426" t="s">
        <v>20</v>
      </c>
    </row>
    <row r="427">
      <c r="A427" t="s">
        <v>1380</v>
      </c>
      <c r="B427" t="s">
        <v>1381</v>
      </c>
      <c r="C427" t="s">
        <v>23</v>
      </c>
      <c r="D427" t="s">
        <v>707</v>
      </c>
      <c r="E427" t="s">
        <v>550</v>
      </c>
      <c r="F427" t="s">
        <v>350</v>
      </c>
      <c r="G427" t="s">
        <v>14</v>
      </c>
    </row>
    <row r="428">
      <c r="A428" t="s">
        <v>1382</v>
      </c>
      <c r="B428" t="s">
        <v>1383</v>
      </c>
      <c r="C428" t="s">
        <v>75</v>
      </c>
      <c r="D428" t="s">
        <v>120</v>
      </c>
      <c r="E428" t="s">
        <v>241</v>
      </c>
      <c r="F428" t="s">
        <v>757</v>
      </c>
      <c r="G428" t="s">
        <v>34</v>
      </c>
    </row>
    <row r="429">
      <c r="A429" t="s">
        <v>1384</v>
      </c>
      <c r="B429" t="s">
        <v>1385</v>
      </c>
      <c r="C429" t="s">
        <v>75</v>
      </c>
      <c r="D429" t="s">
        <v>125</v>
      </c>
      <c r="E429" t="s">
        <v>102</v>
      </c>
      <c r="F429" t="s">
        <v>504</v>
      </c>
      <c r="G429" t="s">
        <v>27</v>
      </c>
    </row>
    <row r="430">
      <c r="A430" t="s">
        <v>1386</v>
      </c>
      <c r="B430" t="s">
        <v>1387</v>
      </c>
      <c r="C430" t="s">
        <v>75</v>
      </c>
      <c r="D430" t="s">
        <v>130</v>
      </c>
      <c r="E430" t="s">
        <v>496</v>
      </c>
      <c r="F430" t="s">
        <v>345</v>
      </c>
      <c r="G430" t="s">
        <v>14</v>
      </c>
    </row>
    <row r="431">
      <c r="A431" t="s">
        <v>1388</v>
      </c>
      <c r="B431" t="s">
        <v>1389</v>
      </c>
      <c r="C431" t="s">
        <v>90</v>
      </c>
      <c r="D431" t="s">
        <v>329</v>
      </c>
      <c r="E431" t="s">
        <v>1267</v>
      </c>
      <c r="F431" t="s">
        <v>1356</v>
      </c>
      <c r="G431" t="s">
        <v>34</v>
      </c>
    </row>
    <row r="432">
      <c r="A432" t="s">
        <v>1390</v>
      </c>
      <c r="B432" t="s">
        <v>1391</v>
      </c>
      <c r="C432" t="s">
        <v>90</v>
      </c>
      <c r="D432" t="s">
        <v>334</v>
      </c>
      <c r="E432" t="s">
        <v>170</v>
      </c>
      <c r="F432" t="s">
        <v>583</v>
      </c>
      <c r="G432" t="s">
        <v>20</v>
      </c>
    </row>
    <row r="433">
      <c r="A433" t="s">
        <v>1392</v>
      </c>
      <c r="B433" t="s">
        <v>1393</v>
      </c>
      <c r="C433" t="s">
        <v>90</v>
      </c>
      <c r="D433" t="s">
        <v>339</v>
      </c>
      <c r="E433" t="s">
        <v>157</v>
      </c>
      <c r="F433" t="s">
        <v>236</v>
      </c>
      <c r="G433" t="s">
        <v>14</v>
      </c>
    </row>
    <row r="434">
      <c r="A434" t="s">
        <v>1394</v>
      </c>
      <c r="B434" t="s">
        <v>1395</v>
      </c>
      <c r="C434" t="s">
        <v>135</v>
      </c>
      <c r="D434" t="s">
        <v>451</v>
      </c>
      <c r="E434" t="s">
        <v>371</v>
      </c>
      <c r="F434" t="s">
        <v>1396</v>
      </c>
      <c r="G434" t="s">
        <v>34</v>
      </c>
    </row>
    <row r="435">
      <c r="A435" t="s">
        <v>1397</v>
      </c>
      <c r="B435" t="s">
        <v>1398</v>
      </c>
      <c r="C435" t="s">
        <v>135</v>
      </c>
      <c r="D435" t="s">
        <v>455</v>
      </c>
      <c r="E435" t="s">
        <v>774</v>
      </c>
      <c r="F435" t="s">
        <v>277</v>
      </c>
      <c r="G435" t="s">
        <v>27</v>
      </c>
    </row>
    <row r="436">
      <c r="A436" t="s">
        <v>1399</v>
      </c>
      <c r="B436" t="s">
        <v>1400</v>
      </c>
      <c r="C436" t="s">
        <v>135</v>
      </c>
      <c r="D436" t="s">
        <v>451</v>
      </c>
      <c r="E436" t="s">
        <v>1401</v>
      </c>
      <c r="F436" t="s">
        <v>996</v>
      </c>
      <c r="G436" t="s">
        <v>14</v>
      </c>
    </row>
    <row r="437">
      <c r="A437" t="s">
        <v>1402</v>
      </c>
      <c r="B437" t="s">
        <v>1403</v>
      </c>
      <c r="C437" t="s">
        <v>149</v>
      </c>
      <c r="D437" t="s">
        <v>216</v>
      </c>
      <c r="E437" t="s">
        <v>435</v>
      </c>
      <c r="F437" t="s">
        <v>882</v>
      </c>
      <c r="G437" t="s">
        <v>34</v>
      </c>
    </row>
    <row r="438">
      <c r="A438" t="s">
        <v>1404</v>
      </c>
      <c r="B438" t="s">
        <v>1405</v>
      </c>
      <c r="C438" t="s">
        <v>149</v>
      </c>
      <c r="D438" t="s">
        <v>96</v>
      </c>
      <c r="E438" t="s">
        <v>881</v>
      </c>
      <c r="F438" t="s">
        <v>151</v>
      </c>
      <c r="G438" t="s">
        <v>20</v>
      </c>
    </row>
    <row r="439">
      <c r="A439" t="s">
        <v>1406</v>
      </c>
      <c r="B439" t="s">
        <v>1407</v>
      </c>
      <c r="C439" t="s">
        <v>149</v>
      </c>
      <c r="D439" t="s">
        <v>91</v>
      </c>
      <c r="E439" t="s">
        <v>1098</v>
      </c>
      <c r="F439" t="s">
        <v>273</v>
      </c>
      <c r="G439" t="s">
        <v>14</v>
      </c>
    </row>
    <row r="440">
      <c r="A440" t="s">
        <v>1408</v>
      </c>
      <c r="B440" t="s">
        <v>1409</v>
      </c>
      <c r="C440" t="s">
        <v>61</v>
      </c>
      <c r="D440" t="s">
        <v>836</v>
      </c>
      <c r="E440" t="s">
        <v>92</v>
      </c>
      <c r="F440" t="s">
        <v>680</v>
      </c>
      <c r="G440" t="s">
        <v>34</v>
      </c>
    </row>
    <row r="441">
      <c r="A441" t="s">
        <v>1410</v>
      </c>
      <c r="B441" t="s">
        <v>1411</v>
      </c>
      <c r="C441" t="s">
        <v>61</v>
      </c>
      <c r="D441" t="s">
        <v>840</v>
      </c>
      <c r="E441" t="s">
        <v>683</v>
      </c>
      <c r="F441" t="s">
        <v>684</v>
      </c>
      <c r="G441" t="s">
        <v>27</v>
      </c>
    </row>
    <row r="442">
      <c r="A442" t="s">
        <v>1412</v>
      </c>
      <c r="B442" t="s">
        <v>1413</v>
      </c>
      <c r="C442" t="s">
        <v>61</v>
      </c>
      <c r="D442" t="s">
        <v>843</v>
      </c>
      <c r="E442" t="s">
        <v>336</v>
      </c>
      <c r="F442" t="s">
        <v>246</v>
      </c>
      <c r="G442" t="s">
        <v>14</v>
      </c>
    </row>
    <row r="443">
      <c r="A443" t="s">
        <v>1414</v>
      </c>
      <c r="B443" t="s">
        <v>1415</v>
      </c>
      <c r="C443" t="s">
        <v>10</v>
      </c>
      <c r="D443" t="s">
        <v>789</v>
      </c>
      <c r="E443" t="s">
        <v>228</v>
      </c>
      <c r="F443" t="s">
        <v>229</v>
      </c>
      <c r="G443" t="s">
        <v>34</v>
      </c>
    </row>
    <row r="444">
      <c r="A444" t="s">
        <v>1416</v>
      </c>
      <c r="B444" t="s">
        <v>1417</v>
      </c>
      <c r="C444" t="s">
        <v>17</v>
      </c>
      <c r="D444" t="s">
        <v>793</v>
      </c>
      <c r="E444" t="s">
        <v>583</v>
      </c>
      <c r="F444" t="s">
        <v>770</v>
      </c>
      <c r="G444" t="s">
        <v>20</v>
      </c>
    </row>
    <row r="445">
      <c r="A445" t="s">
        <v>1418</v>
      </c>
      <c r="B445" t="s">
        <v>1419</v>
      </c>
      <c r="C445" t="s">
        <v>23</v>
      </c>
      <c r="D445" t="s">
        <v>797</v>
      </c>
      <c r="E445" t="s">
        <v>652</v>
      </c>
      <c r="F445" t="s">
        <v>774</v>
      </c>
      <c r="G445" t="s">
        <v>14</v>
      </c>
    </row>
    <row r="446">
      <c r="A446" t="s">
        <v>1420</v>
      </c>
      <c r="B446" t="s">
        <v>1421</v>
      </c>
      <c r="C446" t="s">
        <v>30</v>
      </c>
      <c r="D446" t="s">
        <v>777</v>
      </c>
      <c r="E446" t="s">
        <v>429</v>
      </c>
      <c r="F446" t="s">
        <v>1422</v>
      </c>
      <c r="G446" t="s">
        <v>34</v>
      </c>
    </row>
    <row r="447">
      <c r="A447" t="s">
        <v>1423</v>
      </c>
      <c r="B447" t="s">
        <v>1424</v>
      </c>
      <c r="C447" t="s">
        <v>37</v>
      </c>
      <c r="D447" t="s">
        <v>781</v>
      </c>
      <c r="E447" t="s">
        <v>106</v>
      </c>
      <c r="F447" t="s">
        <v>1425</v>
      </c>
      <c r="G447" t="s">
        <v>27</v>
      </c>
    </row>
    <row r="448">
      <c r="A448" t="s">
        <v>1426</v>
      </c>
      <c r="B448" t="s">
        <v>1427</v>
      </c>
      <c r="C448" t="s">
        <v>30</v>
      </c>
      <c r="D448" t="s">
        <v>785</v>
      </c>
      <c r="E448" t="s">
        <v>82</v>
      </c>
      <c r="F448" t="s">
        <v>1428</v>
      </c>
      <c r="G448" t="s">
        <v>14</v>
      </c>
    </row>
    <row r="449">
      <c r="A449" t="s">
        <v>1429</v>
      </c>
      <c r="B449" t="s">
        <v>1430</v>
      </c>
      <c r="C449" t="s">
        <v>75</v>
      </c>
      <c r="D449" t="s">
        <v>569</v>
      </c>
      <c r="E449" t="s">
        <v>504</v>
      </c>
      <c r="F449" t="s">
        <v>1431</v>
      </c>
      <c r="G449" t="s">
        <v>34</v>
      </c>
    </row>
    <row r="450">
      <c r="A450" t="s">
        <v>1432</v>
      </c>
      <c r="B450" t="s">
        <v>1433</v>
      </c>
      <c r="C450" t="s">
        <v>75</v>
      </c>
      <c r="D450" t="s">
        <v>573</v>
      </c>
      <c r="E450" t="s">
        <v>260</v>
      </c>
      <c r="F450" t="s">
        <v>261</v>
      </c>
      <c r="G450" t="s">
        <v>20</v>
      </c>
    </row>
    <row r="451">
      <c r="A451" t="s">
        <v>1434</v>
      </c>
      <c r="B451" t="s">
        <v>1435</v>
      </c>
      <c r="C451" t="s">
        <v>75</v>
      </c>
      <c r="D451" t="s">
        <v>578</v>
      </c>
      <c r="E451" t="s">
        <v>472</v>
      </c>
      <c r="F451" t="s">
        <v>1030</v>
      </c>
      <c r="G451" t="s">
        <v>14</v>
      </c>
    </row>
    <row r="452">
      <c r="A452" t="s">
        <v>1436</v>
      </c>
      <c r="B452" t="s">
        <v>1437</v>
      </c>
      <c r="C452" t="s">
        <v>90</v>
      </c>
      <c r="D452" t="s">
        <v>11</v>
      </c>
      <c r="E452" t="s">
        <v>383</v>
      </c>
      <c r="F452" t="s">
        <v>384</v>
      </c>
      <c r="G452" t="s">
        <v>34</v>
      </c>
    </row>
    <row r="453">
      <c r="A453" t="s">
        <v>1438</v>
      </c>
      <c r="B453" t="s">
        <v>1439</v>
      </c>
      <c r="C453" t="s">
        <v>90</v>
      </c>
      <c r="D453" t="s">
        <v>66</v>
      </c>
      <c r="E453" t="s">
        <v>387</v>
      </c>
      <c r="F453" t="s">
        <v>388</v>
      </c>
      <c r="G453" t="s">
        <v>27</v>
      </c>
    </row>
    <row r="454">
      <c r="A454" t="s">
        <v>1440</v>
      </c>
      <c r="B454" t="s">
        <v>1441</v>
      </c>
      <c r="C454" t="s">
        <v>90</v>
      </c>
      <c r="D454" t="s">
        <v>24</v>
      </c>
      <c r="E454" t="s">
        <v>391</v>
      </c>
      <c r="F454" t="s">
        <v>564</v>
      </c>
      <c r="G454" t="s">
        <v>14</v>
      </c>
    </row>
    <row r="455">
      <c r="A455" t="s">
        <v>1442</v>
      </c>
      <c r="B455" t="s">
        <v>1443</v>
      </c>
      <c r="C455" t="s">
        <v>135</v>
      </c>
      <c r="D455" t="s">
        <v>47</v>
      </c>
      <c r="E455" t="s">
        <v>504</v>
      </c>
      <c r="F455" t="s">
        <v>1444</v>
      </c>
      <c r="G455" t="s">
        <v>34</v>
      </c>
    </row>
    <row r="456">
      <c r="A456" t="s">
        <v>1445</v>
      </c>
      <c r="B456" t="s">
        <v>1446</v>
      </c>
      <c r="C456" t="s">
        <v>135</v>
      </c>
      <c r="D456" t="s">
        <v>140</v>
      </c>
      <c r="E456" t="s">
        <v>260</v>
      </c>
      <c r="F456" t="s">
        <v>395</v>
      </c>
      <c r="G456" t="s">
        <v>20</v>
      </c>
    </row>
    <row r="457">
      <c r="A457" t="s">
        <v>1447</v>
      </c>
      <c r="B457" t="s">
        <v>1448</v>
      </c>
      <c r="C457" t="s">
        <v>135</v>
      </c>
      <c r="D457" t="s">
        <v>52</v>
      </c>
      <c r="E457" t="s">
        <v>472</v>
      </c>
      <c r="F457" t="s">
        <v>351</v>
      </c>
      <c r="G457" t="s">
        <v>14</v>
      </c>
    </row>
    <row r="458">
      <c r="A458" t="s">
        <v>1449</v>
      </c>
      <c r="B458" t="s">
        <v>1450</v>
      </c>
      <c r="C458" t="s">
        <v>149</v>
      </c>
      <c r="D458" t="s">
        <v>669</v>
      </c>
      <c r="E458" t="s">
        <v>1098</v>
      </c>
      <c r="F458" t="s">
        <v>436</v>
      </c>
      <c r="G458" t="s">
        <v>34</v>
      </c>
    </row>
    <row r="459">
      <c r="A459" t="s">
        <v>1451</v>
      </c>
      <c r="B459" t="s">
        <v>1452</v>
      </c>
      <c r="C459" t="s">
        <v>149</v>
      </c>
      <c r="D459" t="s">
        <v>673</v>
      </c>
      <c r="E459" t="s">
        <v>435</v>
      </c>
      <c r="F459" t="s">
        <v>265</v>
      </c>
      <c r="G459" t="s">
        <v>27</v>
      </c>
    </row>
    <row r="460">
      <c r="A460" t="s">
        <v>1453</v>
      </c>
      <c r="B460" t="s">
        <v>1454</v>
      </c>
      <c r="C460" t="s">
        <v>149</v>
      </c>
      <c r="D460" t="s">
        <v>677</v>
      </c>
      <c r="E460" t="s">
        <v>165</v>
      </c>
      <c r="F460" t="s">
        <v>367</v>
      </c>
      <c r="G460" t="s">
        <v>14</v>
      </c>
    </row>
    <row r="461">
      <c r="A461" t="s">
        <v>1455</v>
      </c>
      <c r="B461" t="s">
        <v>1456</v>
      </c>
      <c r="C461" t="s">
        <v>191</v>
      </c>
      <c r="D461" t="s">
        <v>526</v>
      </c>
      <c r="E461" t="s">
        <v>550</v>
      </c>
      <c r="F461" t="s">
        <v>465</v>
      </c>
      <c r="G461" t="s">
        <v>34</v>
      </c>
    </row>
    <row r="462">
      <c r="A462" t="s">
        <v>1457</v>
      </c>
      <c r="B462" t="s">
        <v>1458</v>
      </c>
      <c r="C462" t="s">
        <v>191</v>
      </c>
      <c r="D462" t="s">
        <v>530</v>
      </c>
      <c r="E462" t="s">
        <v>684</v>
      </c>
      <c r="F462" t="s">
        <v>200</v>
      </c>
      <c r="G462" t="s">
        <v>20</v>
      </c>
    </row>
    <row r="463">
      <c r="A463" t="s">
        <v>1459</v>
      </c>
      <c r="B463" t="s">
        <v>1460</v>
      </c>
      <c r="C463" t="s">
        <v>191</v>
      </c>
      <c r="D463" t="s">
        <v>534</v>
      </c>
      <c r="E463" t="s">
        <v>246</v>
      </c>
      <c r="F463" t="s">
        <v>472</v>
      </c>
      <c r="G463" t="s">
        <v>14</v>
      </c>
    </row>
    <row r="464">
      <c r="A464" t="s">
        <v>1461</v>
      </c>
      <c r="B464" t="s">
        <v>1462</v>
      </c>
      <c r="C464" t="s">
        <v>61</v>
      </c>
      <c r="D464" t="s">
        <v>766</v>
      </c>
      <c r="E464" t="s">
        <v>92</v>
      </c>
      <c r="F464" t="s">
        <v>680</v>
      </c>
      <c r="G464" t="s">
        <v>34</v>
      </c>
    </row>
    <row r="465">
      <c r="A465" t="s">
        <v>1463</v>
      </c>
      <c r="B465" t="s">
        <v>1464</v>
      </c>
      <c r="C465" t="s">
        <v>61</v>
      </c>
      <c r="D465" t="s">
        <v>769</v>
      </c>
      <c r="E465" t="s">
        <v>683</v>
      </c>
      <c r="F465" t="s">
        <v>684</v>
      </c>
      <c r="G465" t="s">
        <v>27</v>
      </c>
    </row>
    <row r="466">
      <c r="A466" t="s">
        <v>1465</v>
      </c>
      <c r="B466" t="s">
        <v>1466</v>
      </c>
      <c r="C466" t="s">
        <v>61</v>
      </c>
      <c r="D466" t="s">
        <v>773</v>
      </c>
      <c r="E466" t="s">
        <v>336</v>
      </c>
      <c r="F466" t="s">
        <v>246</v>
      </c>
      <c r="G466" t="s">
        <v>14</v>
      </c>
    </row>
    <row r="467">
      <c r="A467" t="s">
        <v>1467</v>
      </c>
      <c r="B467" t="s">
        <v>1468</v>
      </c>
      <c r="C467" t="s">
        <v>10</v>
      </c>
      <c r="D467" t="s">
        <v>960</v>
      </c>
      <c r="E467" t="s">
        <v>583</v>
      </c>
      <c r="F467" t="s">
        <v>584</v>
      </c>
      <c r="G467" t="s">
        <v>34</v>
      </c>
    </row>
    <row r="468">
      <c r="A468" t="s">
        <v>1469</v>
      </c>
      <c r="B468" t="s">
        <v>1470</v>
      </c>
      <c r="C468" t="s">
        <v>17</v>
      </c>
      <c r="D468" t="s">
        <v>964</v>
      </c>
      <c r="E468" t="s">
        <v>735</v>
      </c>
      <c r="F468" t="s">
        <v>1001</v>
      </c>
      <c r="G468" t="s">
        <v>20</v>
      </c>
    </row>
    <row r="469">
      <c r="A469" t="s">
        <v>1471</v>
      </c>
      <c r="B469" t="s">
        <v>1472</v>
      </c>
      <c r="C469" t="s">
        <v>23</v>
      </c>
      <c r="D469" t="s">
        <v>967</v>
      </c>
      <c r="E469" t="s">
        <v>228</v>
      </c>
      <c r="F469" t="s">
        <v>1004</v>
      </c>
      <c r="G469" t="s">
        <v>14</v>
      </c>
    </row>
    <row r="470">
      <c r="A470" t="s">
        <v>1473</v>
      </c>
      <c r="B470" t="s">
        <v>1474</v>
      </c>
      <c r="C470" t="s">
        <v>75</v>
      </c>
      <c r="D470" t="s">
        <v>475</v>
      </c>
      <c r="E470" t="s">
        <v>905</v>
      </c>
      <c r="F470" t="s">
        <v>1475</v>
      </c>
      <c r="G470" t="s">
        <v>34</v>
      </c>
    </row>
    <row r="471">
      <c r="A471" t="s">
        <v>1476</v>
      </c>
      <c r="B471" t="s">
        <v>1477</v>
      </c>
      <c r="C471" t="s">
        <v>75</v>
      </c>
      <c r="D471" t="s">
        <v>480</v>
      </c>
      <c r="E471" t="s">
        <v>876</v>
      </c>
      <c r="F471" t="s">
        <v>411</v>
      </c>
      <c r="G471" t="s">
        <v>27</v>
      </c>
    </row>
    <row r="472">
      <c r="A472" t="s">
        <v>1478</v>
      </c>
      <c r="B472" t="s">
        <v>1479</v>
      </c>
      <c r="C472" t="s">
        <v>75</v>
      </c>
      <c r="D472" t="s">
        <v>485</v>
      </c>
      <c r="E472" t="s">
        <v>53</v>
      </c>
      <c r="F472" t="s">
        <v>1480</v>
      </c>
      <c r="G472" t="s">
        <v>14</v>
      </c>
    </row>
    <row r="473">
      <c r="A473" t="s">
        <v>1481</v>
      </c>
      <c r="B473" t="s">
        <v>1482</v>
      </c>
      <c r="C473" t="s">
        <v>90</v>
      </c>
      <c r="D473" t="s">
        <v>216</v>
      </c>
      <c r="E473" t="s">
        <v>670</v>
      </c>
      <c r="F473" t="s">
        <v>166</v>
      </c>
      <c r="G473" t="s">
        <v>34</v>
      </c>
    </row>
    <row r="474">
      <c r="A474" t="s">
        <v>1483</v>
      </c>
      <c r="B474" t="s">
        <v>1484</v>
      </c>
      <c r="C474" t="s">
        <v>90</v>
      </c>
      <c r="D474" t="s">
        <v>96</v>
      </c>
      <c r="E474" t="s">
        <v>165</v>
      </c>
      <c r="F474" t="s">
        <v>170</v>
      </c>
      <c r="G474" t="s">
        <v>20</v>
      </c>
    </row>
    <row r="475">
      <c r="A475" t="s">
        <v>1485</v>
      </c>
      <c r="B475" t="s">
        <v>1486</v>
      </c>
      <c r="C475" t="s">
        <v>90</v>
      </c>
      <c r="D475" t="s">
        <v>91</v>
      </c>
      <c r="E475" t="s">
        <v>151</v>
      </c>
      <c r="F475" t="s">
        <v>1116</v>
      </c>
      <c r="G475" t="s">
        <v>14</v>
      </c>
    </row>
    <row r="476">
      <c r="A476" t="s">
        <v>1487</v>
      </c>
      <c r="B476" t="s">
        <v>1488</v>
      </c>
      <c r="C476" t="s">
        <v>135</v>
      </c>
      <c r="D476" t="s">
        <v>76</v>
      </c>
      <c r="E476" t="s">
        <v>407</v>
      </c>
      <c r="F476" t="s">
        <v>1489</v>
      </c>
      <c r="G476" t="s">
        <v>34</v>
      </c>
    </row>
    <row r="477">
      <c r="A477" t="s">
        <v>1490</v>
      </c>
      <c r="B477" t="s">
        <v>1491</v>
      </c>
      <c r="C477" t="s">
        <v>135</v>
      </c>
      <c r="D477" t="s">
        <v>81</v>
      </c>
      <c r="E477" t="s">
        <v>308</v>
      </c>
      <c r="F477" t="s">
        <v>350</v>
      </c>
      <c r="G477" t="s">
        <v>27</v>
      </c>
    </row>
    <row r="478">
      <c r="A478" t="s">
        <v>1492</v>
      </c>
      <c r="B478" t="s">
        <v>1493</v>
      </c>
      <c r="C478" t="s">
        <v>135</v>
      </c>
      <c r="D478" t="s">
        <v>76</v>
      </c>
      <c r="E478" t="s">
        <v>1279</v>
      </c>
      <c r="F478" t="s">
        <v>62</v>
      </c>
      <c r="G478" t="s">
        <v>14</v>
      </c>
    </row>
    <row r="479">
      <c r="A479" t="s">
        <v>1494</v>
      </c>
      <c r="B479" t="s">
        <v>1495</v>
      </c>
      <c r="C479" t="s">
        <v>149</v>
      </c>
      <c r="D479" t="s">
        <v>329</v>
      </c>
      <c r="E479" t="s">
        <v>730</v>
      </c>
      <c r="F479" t="s">
        <v>359</v>
      </c>
      <c r="G479" t="s">
        <v>34</v>
      </c>
    </row>
    <row r="480">
      <c r="A480" t="s">
        <v>1496</v>
      </c>
      <c r="B480" t="s">
        <v>1497</v>
      </c>
      <c r="C480" t="s">
        <v>149</v>
      </c>
      <c r="D480" t="s">
        <v>334</v>
      </c>
      <c r="E480" t="s">
        <v>358</v>
      </c>
      <c r="F480" t="s">
        <v>340</v>
      </c>
      <c r="G480" t="s">
        <v>20</v>
      </c>
    </row>
    <row r="481">
      <c r="A481" t="s">
        <v>1498</v>
      </c>
      <c r="B481" t="s">
        <v>1499</v>
      </c>
      <c r="C481" t="s">
        <v>149</v>
      </c>
      <c r="D481" t="s">
        <v>339</v>
      </c>
      <c r="E481" t="s">
        <v>170</v>
      </c>
      <c r="F481" t="s">
        <v>1154</v>
      </c>
      <c r="G481" t="s">
        <v>14</v>
      </c>
    </row>
    <row r="482">
      <c r="A482" t="s">
        <v>1500</v>
      </c>
      <c r="B482" t="s">
        <v>1501</v>
      </c>
      <c r="C482" t="s">
        <v>61</v>
      </c>
      <c r="D482" t="s">
        <v>177</v>
      </c>
      <c r="E482" t="s">
        <v>383</v>
      </c>
      <c r="F482" t="s">
        <v>384</v>
      </c>
      <c r="G482" t="s">
        <v>34</v>
      </c>
    </row>
    <row r="483">
      <c r="A483" t="s">
        <v>1502</v>
      </c>
      <c r="B483" t="s">
        <v>1503</v>
      </c>
      <c r="C483" t="s">
        <v>61</v>
      </c>
      <c r="D483" t="s">
        <v>182</v>
      </c>
      <c r="E483" t="s">
        <v>387</v>
      </c>
      <c r="F483" t="s">
        <v>388</v>
      </c>
      <c r="G483" t="s">
        <v>27</v>
      </c>
    </row>
    <row r="484">
      <c r="A484" t="s">
        <v>1504</v>
      </c>
      <c r="B484" t="s">
        <v>1505</v>
      </c>
      <c r="C484" t="s">
        <v>61</v>
      </c>
      <c r="D484" t="s">
        <v>187</v>
      </c>
      <c r="E484" t="s">
        <v>391</v>
      </c>
      <c r="F484" t="s">
        <v>564</v>
      </c>
      <c r="G484" t="s">
        <v>14</v>
      </c>
    </row>
    <row r="485">
      <c r="A485" t="s">
        <v>1506</v>
      </c>
      <c r="B485" t="s">
        <v>1507</v>
      </c>
      <c r="C485" t="s">
        <v>10</v>
      </c>
      <c r="D485" t="s">
        <v>240</v>
      </c>
      <c r="E485" t="s">
        <v>1034</v>
      </c>
      <c r="F485" t="s">
        <v>1508</v>
      </c>
      <c r="G485" t="s">
        <v>34</v>
      </c>
    </row>
    <row r="486">
      <c r="A486" t="s">
        <v>1509</v>
      </c>
      <c r="B486" t="s">
        <v>1510</v>
      </c>
      <c r="C486" t="s">
        <v>17</v>
      </c>
      <c r="D486" t="s">
        <v>245</v>
      </c>
      <c r="E486" t="s">
        <v>336</v>
      </c>
      <c r="F486" t="s">
        <v>308</v>
      </c>
      <c r="G486" t="s">
        <v>20</v>
      </c>
    </row>
    <row r="487">
      <c r="A487" t="s">
        <v>1511</v>
      </c>
      <c r="B487" t="s">
        <v>1512</v>
      </c>
      <c r="C487" t="s">
        <v>23</v>
      </c>
      <c r="D487" t="s">
        <v>250</v>
      </c>
      <c r="E487" t="s">
        <v>495</v>
      </c>
      <c r="F487" t="s">
        <v>1279</v>
      </c>
      <c r="G487" t="s">
        <v>14</v>
      </c>
    </row>
    <row r="488">
      <c r="A488" t="s">
        <v>1513</v>
      </c>
      <c r="B488" t="s">
        <v>1514</v>
      </c>
      <c r="C488" t="s">
        <v>30</v>
      </c>
      <c r="D488" t="s">
        <v>204</v>
      </c>
      <c r="E488" t="s">
        <v>395</v>
      </c>
      <c r="F488" t="s">
        <v>912</v>
      </c>
      <c r="G488" t="s">
        <v>34</v>
      </c>
    </row>
    <row r="489">
      <c r="A489" t="s">
        <v>1515</v>
      </c>
      <c r="B489" t="s">
        <v>1516</v>
      </c>
      <c r="C489" t="s">
        <v>37</v>
      </c>
      <c r="D489" t="s">
        <v>208</v>
      </c>
      <c r="E489" t="s">
        <v>318</v>
      </c>
      <c r="F489" t="s">
        <v>542</v>
      </c>
      <c r="G489" t="s">
        <v>27</v>
      </c>
    </row>
    <row r="490">
      <c r="A490" t="s">
        <v>1517</v>
      </c>
      <c r="B490" t="s">
        <v>1518</v>
      </c>
      <c r="C490" t="s">
        <v>30</v>
      </c>
      <c r="D490" t="s">
        <v>212</v>
      </c>
      <c r="E490" t="s">
        <v>402</v>
      </c>
      <c r="F490" t="s">
        <v>917</v>
      </c>
      <c r="G490" t="s">
        <v>14</v>
      </c>
    </row>
    <row r="491">
      <c r="A491" t="s">
        <v>1519</v>
      </c>
      <c r="B491" t="s">
        <v>1520</v>
      </c>
      <c r="C491" t="s">
        <v>75</v>
      </c>
      <c r="D491" t="s">
        <v>216</v>
      </c>
      <c r="E491" t="s">
        <v>178</v>
      </c>
      <c r="F491" t="s">
        <v>1521</v>
      </c>
      <c r="G491" t="s">
        <v>34</v>
      </c>
    </row>
    <row r="492">
      <c r="A492" t="s">
        <v>1522</v>
      </c>
      <c r="B492" t="s">
        <v>1523</v>
      </c>
      <c r="C492" t="s">
        <v>75</v>
      </c>
      <c r="D492" t="s">
        <v>96</v>
      </c>
      <c r="E492" t="s">
        <v>388</v>
      </c>
      <c r="F492" t="s">
        <v>601</v>
      </c>
      <c r="G492" t="s">
        <v>20</v>
      </c>
    </row>
    <row r="493">
      <c r="A493" t="s">
        <v>1524</v>
      </c>
      <c r="B493" t="s">
        <v>1525</v>
      </c>
      <c r="C493" t="s">
        <v>75</v>
      </c>
      <c r="D493" t="s">
        <v>91</v>
      </c>
      <c r="E493" t="s">
        <v>564</v>
      </c>
      <c r="F493" t="s">
        <v>141</v>
      </c>
      <c r="G493" t="s">
        <v>14</v>
      </c>
    </row>
    <row r="494">
      <c r="A494" t="s">
        <v>1526</v>
      </c>
      <c r="B494" t="s">
        <v>1527</v>
      </c>
      <c r="C494" t="s">
        <v>90</v>
      </c>
      <c r="D494" t="s">
        <v>489</v>
      </c>
      <c r="E494" t="s">
        <v>1267</v>
      </c>
      <c r="F494" t="s">
        <v>1356</v>
      </c>
      <c r="G494" t="s">
        <v>34</v>
      </c>
    </row>
    <row r="495">
      <c r="A495" t="s">
        <v>1528</v>
      </c>
      <c r="B495" t="s">
        <v>1529</v>
      </c>
      <c r="C495" t="s">
        <v>90</v>
      </c>
      <c r="D495" t="s">
        <v>494</v>
      </c>
      <c r="E495" t="s">
        <v>170</v>
      </c>
      <c r="F495" t="s">
        <v>583</v>
      </c>
      <c r="G495" t="s">
        <v>27</v>
      </c>
    </row>
    <row r="496">
      <c r="A496" t="s">
        <v>1530</v>
      </c>
      <c r="B496" t="s">
        <v>1531</v>
      </c>
      <c r="C496" t="s">
        <v>90</v>
      </c>
      <c r="D496" t="s">
        <v>499</v>
      </c>
      <c r="E496" t="s">
        <v>157</v>
      </c>
      <c r="F496" t="s">
        <v>236</v>
      </c>
      <c r="G496" t="s">
        <v>14</v>
      </c>
    </row>
    <row r="497">
      <c r="A497" t="s">
        <v>1532</v>
      </c>
      <c r="B497" t="s">
        <v>1533</v>
      </c>
      <c r="C497" t="s">
        <v>135</v>
      </c>
      <c r="D497" t="s">
        <v>31</v>
      </c>
      <c r="E497" t="s">
        <v>905</v>
      </c>
      <c r="F497" t="s">
        <v>837</v>
      </c>
      <c r="G497" t="s">
        <v>34</v>
      </c>
    </row>
    <row r="498">
      <c r="A498" t="s">
        <v>1534</v>
      </c>
      <c r="B498" t="s">
        <v>1535</v>
      </c>
      <c r="C498" t="s">
        <v>135</v>
      </c>
      <c r="D498" t="s">
        <v>38</v>
      </c>
      <c r="E498" t="s">
        <v>876</v>
      </c>
      <c r="F498" t="s">
        <v>1107</v>
      </c>
      <c r="G498" t="s">
        <v>20</v>
      </c>
    </row>
    <row r="499">
      <c r="A499" t="s">
        <v>1536</v>
      </c>
      <c r="B499" t="s">
        <v>1537</v>
      </c>
      <c r="C499" t="s">
        <v>135</v>
      </c>
      <c r="D499" t="s">
        <v>31</v>
      </c>
      <c r="E499" t="s">
        <v>53</v>
      </c>
      <c r="F499" t="s">
        <v>424</v>
      </c>
      <c r="G499" t="s">
        <v>14</v>
      </c>
    </row>
    <row r="500">
      <c r="A500" t="s">
        <v>1538</v>
      </c>
      <c r="B500" t="s">
        <v>1539</v>
      </c>
      <c r="C500" t="s">
        <v>149</v>
      </c>
      <c r="D500" t="s">
        <v>150</v>
      </c>
      <c r="E500" t="s">
        <v>435</v>
      </c>
      <c r="F500" t="s">
        <v>882</v>
      </c>
      <c r="G500" t="s">
        <v>34</v>
      </c>
    </row>
    <row r="501">
      <c r="A501" t="s">
        <v>1540</v>
      </c>
      <c r="B501" t="s">
        <v>1541</v>
      </c>
      <c r="C501" t="s">
        <v>149</v>
      </c>
      <c r="D501" t="s">
        <v>155</v>
      </c>
      <c r="E501" t="s">
        <v>881</v>
      </c>
      <c r="F501" t="s">
        <v>151</v>
      </c>
      <c r="G501" t="s">
        <v>27</v>
      </c>
    </row>
    <row r="502">
      <c r="A502" t="s">
        <v>1542</v>
      </c>
      <c r="B502" t="s">
        <v>1543</v>
      </c>
      <c r="C502" t="s">
        <v>149</v>
      </c>
      <c r="D502" t="s">
        <v>160</v>
      </c>
      <c r="E502" t="s">
        <v>1098</v>
      </c>
      <c r="F502" t="s">
        <v>273</v>
      </c>
      <c r="G502" t="s">
        <v>14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8" defaultRowHeight="14.25"/>
  <cols>
    <col bestFit="1" min="1" max="1" width="8.23046875"/>
    <col bestFit="1" min="2" max="2" width="33.953125"/>
    <col bestFit="1" min="3" max="3" width="11.6640625"/>
    <col bestFit="1" min="4" max="4" width="15.00390625"/>
    <col bestFit="1" min="5" max="5" width="13.57421875"/>
    <col bestFit="1" min="6" max="6" width="13.953125"/>
    <col bestFit="1" min="7" max="7" width="19.76171875"/>
    <col bestFit="1" min="8" max="8" width="20.90234375"/>
    <col bestFit="1" min="9" max="9" width="23.3828125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1544</v>
      </c>
      <c r="I1" s="3" t="s">
        <v>1545</v>
      </c>
    </row>
    <row r="2">
      <c r="A2" t="str">
        <f>"АРТ-"&amp;LEFT(SUBSTITUTE(SUBSTITUTE(SUBSTITUTE(SUBSTITUTE('Товары_исходные'!A2,"№",""),"АРТ-",""),"АРТ_",""),"/","-"),3)</f>
        <v>АРТ-001</v>
      </c>
      <c r="B2" t="str">
        <f>PROPER(TRIM(IFERROR(LEFT('Товары_исходные'!B2,FIND("(",'Товары_исходные'!B2)-1),'Товары_исходные'!B2)))</f>
        <v xml:space="preserve">Смартфон Apple Iphone 15</v>
      </c>
      <c r="C2" t="str">
        <f>IFERROR(VLOOKUP('Товары_исходные'!C2,Справочники!$A$2:$B$50,2,FALSE),'Товары_исходные'!C2)</f>
        <v>Смартфоны</v>
      </c>
      <c r="D2" t="str">
        <f>PROPER(TRIM('Товары_исходные'!D2))</f>
        <v>Apple</v>
      </c>
      <c r="E2" s="4">
        <f>IFERROR(VALUE(IF(AND(ISNUMBER(FIND(",",'Товары_исходные'!E2)),ISNUMBER(FIND(".",'Товары_исходные'!E2))),SUBSTITUTE(SUBSTITUTE(SUBSTITUTE(SUBSTITUTE('Товары_исходные'!E2," ",""),"руб.",""),"руб",""),",",""),SUBSTITUTE(SUBSTITUTE(SUBSTITUTE(SUBSTITUTE('Товары_исходные'!E2," ",""),"руб.",""),"руб",""),",","."))),0)</f>
        <v>45000.5</v>
      </c>
      <c r="F2" s="4">
        <f>IFERROR(VALUE(IF(AND(ISNUMBER(FIND(",",'Товары_исходные'!F2)),ISNUMBER(FIND(".",'Товары_исходные'!F2))),SUBSTITUTE(SUBSTITUTE(SUBSTITUTE(SUBSTITUTE('Товары_исходные'!F2," ",""),"руб.",""),"руб",""),",",""),SUBSTITUTE(SUBSTITUTE(SUBSTITUTE(SUBSTITUTE('Товары_исходные'!F2," ",""),"руб.",""),"руб",""),",","."))),0)</f>
        <v>79990</v>
      </c>
      <c r="G2" t="str">
        <f>IFERROR(VLOOKUP('Товары_исходные'!G2,Справочники!$D$2:$E$50,2,FALSE),"шт.")</f>
        <v>шт.</v>
      </c>
      <c r="H2" t="str">
        <f t="shared" ref="H2:H9" si="0">IF(F2&gt;=E2,"OK","Розница ниже закупки")</f>
        <v>OK</v>
      </c>
      <c r="I2" t="str">
        <f t="shared" ref="I2:I9" si="1">IF(COUNTIF($A$2:$A$502,A2)=1,"OK","Дубликат")</f>
        <v>OK</v>
      </c>
    </row>
    <row r="3">
      <c r="A3" t="str">
        <f>"АРТ-"&amp;LEFT(SUBSTITUTE(SUBSTITUTE(SUBSTITUTE(SUBSTITUTE(Товары_исходные!A3,"№",""),"АРТ-",""),"АРТ_",""),"/","-"),3)</f>
        <v>АРТ-002</v>
      </c>
      <c r="B3" t="str">
        <f>PROPER(TRIM(IFERROR(LEFT(Товары_исходные!B3,FIND("(",Товары_исходные!B3)-1),Товары_исходные!B3)))</f>
        <v xml:space="preserve">Смартфон Apple Iphone 15</v>
      </c>
      <c r="C3" t="str">
        <f>IFERROR(VLOOKUP(Товары_исходные!C3,Справочники!$A$2:$B$50,2,FALSE),Товары_исходные!C3)</f>
        <v>Смартфоны</v>
      </c>
      <c r="D3" t="str">
        <f>PROPER(TRIM(Товары_исходные!D3))</f>
        <v>Apple</v>
      </c>
      <c r="E3" s="4">
        <f>IFERROR(VALUE(IF(AND(ISNUMBER(FIND(",",Товары_исходные!E3)),ISNUMBER(FIND(".",Товары_исходные!E3))),SUBSTITUTE(SUBSTITUTE(SUBSTITUTE(SUBSTITUTE(Товары_исходные!E3," ",""),"руб.",""),"руб",""),",",""),SUBSTITUTE(SUBSTITUTE(SUBSTITUTE(SUBSTITUTE(Товары_исходные!E3," ",""),"руб.",""),"руб",""),",","."))),0)</f>
        <v>44500</v>
      </c>
      <c r="F3" s="4">
        <f>IFERROR(VALUE(IF(AND(ISNUMBER(FIND(",",Товары_исходные!F3)),ISNUMBER(FIND(".",Товары_исходные!F3))),SUBSTITUTE(SUBSTITUTE(SUBSTITUTE(SUBSTITUTE(Товары_исходные!F3," ",""),"руб.",""),"руб",""),",",""),SUBSTITUTE(SUBSTITUTE(SUBSTITUTE(SUBSTITUTE(Товары_исходные!F3," ",""),"руб.",""),"руб",""),",","."))),0)</f>
        <v>78500</v>
      </c>
      <c r="G3" t="str">
        <f>IFERROR(VLOOKUP(Товары_исходные!G3,Справочники!$D$2:$E$50,2,FALSE),"шт.")</f>
        <v>шт.</v>
      </c>
      <c r="H3" t="str">
        <f t="shared" si="0"/>
        <v>OK</v>
      </c>
      <c r="I3" t="str">
        <f t="shared" si="1"/>
        <v>OK</v>
      </c>
    </row>
    <row r="4">
      <c r="A4" t="str">
        <f>"АРТ-"&amp;LEFT(SUBSTITUTE(SUBSTITUTE(SUBSTITUTE(SUBSTITUTE(Товары_исходные!A4,"№",""),"АРТ-",""),"АРТ_",""),"/","-"),3)</f>
        <v>АРТ-003</v>
      </c>
      <c r="B4" t="str">
        <f>PROPER(TRIM(IFERROR(LEFT(Товары_исходные!B4,FIND("(",Товары_исходные!B4)-1),Товары_исходные!B4)))</f>
        <v xml:space="preserve">Смартфон Apple Iphone 15</v>
      </c>
      <c r="C4" t="str">
        <f>IFERROR(VLOOKUP(Товары_исходные!C4,Справочники!$A$2:$B$50,2,FALSE),Товары_исходные!C4)</f>
        <v>Смартфоны</v>
      </c>
      <c r="D4" t="str">
        <f>PROPER(TRIM(Товары_исходные!D4))</f>
        <v>Apple</v>
      </c>
      <c r="E4" s="4">
        <f>IFERROR(VALUE(IF(AND(ISNUMBER(FIND(",",Товары_исходные!E4)),ISNUMBER(FIND(".",Товары_исходные!E4))),SUBSTITUTE(SUBSTITUTE(SUBSTITUTE(SUBSTITUTE(Товары_исходные!E4," ",""),"руб.",""),"руб",""),",",""),SUBSTITUTE(SUBSTITUTE(SUBSTITUTE(SUBSTITUTE(Товары_исходные!E4," ",""),"руб.",""),"руб",""),",","."))),0)</f>
        <v>43800</v>
      </c>
      <c r="F4" s="4">
        <f>IFERROR(VALUE(IF(AND(ISNUMBER(FIND(",",Товары_исходные!F4)),ISNUMBER(FIND(".",Товары_исходные!F4))),SUBSTITUTE(SUBSTITUTE(SUBSTITUTE(SUBSTITUTE(Товары_исходные!F4," ",""),"руб.",""),"руб",""),",",""),SUBSTITUTE(SUBSTITUTE(SUBSTITUTE(SUBSTITUTE(Товары_исходные!F4," ",""),"руб.",""),"руб",""),",","."))),0)</f>
        <v>77700</v>
      </c>
      <c r="G4" t="str">
        <f>IFERROR(VLOOKUP(Товары_исходные!G4,Справочники!$D$2:$E$50,2,FALSE),"шт.")</f>
        <v>шт.</v>
      </c>
      <c r="H4" t="str">
        <f t="shared" si="0"/>
        <v>OK</v>
      </c>
      <c r="I4" t="str">
        <f t="shared" si="1"/>
        <v>OK</v>
      </c>
    </row>
    <row r="5">
      <c r="A5" t="str">
        <f>"АРТ-"&amp;LEFT(SUBSTITUTE(SUBSTITUTE(SUBSTITUTE(SUBSTITUTE(Товары_исходные!A5,"№",""),"АРТ-",""),"АРТ_",""),"/","-"),3)</f>
        <v>АРТ-004</v>
      </c>
      <c r="B5" t="str">
        <f>PROPER(TRIM(IFERROR(LEFT(Товары_исходные!B5,FIND("(",Товары_исходные!B5)-1),Товары_исходные!B5)))</f>
        <v xml:space="preserve">Ноутбук Asus Rog Zephyrus</v>
      </c>
      <c r="C5" t="str">
        <f>IFERROR(VLOOKUP(Товары_исходные!C5,Справочники!$A$2:$B$50,2,FALSE),Товары_исходные!C5)</f>
        <v>Ноутбуки</v>
      </c>
      <c r="D5" t="str">
        <f>PROPER(TRIM(Товары_исходные!D5))</f>
        <v>Asus</v>
      </c>
      <c r="E5" s="4">
        <f>IFERROR(VALUE(IF(AND(ISNUMBER(FIND(",",Товары_исходные!E5)),ISNUMBER(FIND(".",Товары_исходные!E5))),SUBSTITUTE(SUBSTITUTE(SUBSTITUTE(SUBSTITUTE(Товары_исходные!E5," ",""),"руб.",""),"руб",""),",",""),SUBSTITUTE(SUBSTITUTE(SUBSTITUTE(SUBSTITUTE(Товары_исходные!E5," ",""),"руб.",""),"руб",""),",","."))),0)</f>
        <v>85000</v>
      </c>
      <c r="F5" s="4">
        <f>IFERROR(VALUE(IF(AND(ISNUMBER(FIND(",",Товары_исходные!F5)),ISNUMBER(FIND(".",Товары_исходные!F5))),SUBSTITUTE(SUBSTITUTE(SUBSTITUTE(SUBSTITUTE(Товары_исходные!F5," ",""),"руб.",""),"руб",""),",",""),SUBSTITUTE(SUBSTITUTE(SUBSTITUTE(SUBSTITUTE(Товары_исходные!F5," ",""),"руб.",""),"руб",""),",","."))),0)</f>
        <v>129999.99000000001</v>
      </c>
      <c r="G5" t="str">
        <f>IFERROR(VLOOKUP(Товары_исходные!G5,Справочники!$D$2:$E$50,2,FALSE),"шт.")</f>
        <v>шт.</v>
      </c>
      <c r="H5" t="str">
        <f t="shared" si="0"/>
        <v>OK</v>
      </c>
      <c r="I5" t="str">
        <f t="shared" si="1"/>
        <v>OK</v>
      </c>
    </row>
    <row r="6">
      <c r="A6" t="str">
        <f>"АРТ-"&amp;LEFT(SUBSTITUTE(SUBSTITUTE(SUBSTITUTE(SUBSTITUTE(Товары_исходные!A6,"№",""),"АРТ-",""),"АРТ_",""),"/","-"),3)</f>
        <v>АРТ-005</v>
      </c>
      <c r="B6" t="str">
        <f>PROPER(TRIM(IFERROR(LEFT(Товары_исходные!B6,FIND("(",Товары_исходные!B6)-1),Товары_исходные!B6)))</f>
        <v xml:space="preserve">Ноутбук Asus Rog Zephyrus</v>
      </c>
      <c r="C6" t="str">
        <f>IFERROR(VLOOKUP(Товары_исходные!C6,Справочники!$A$2:$B$50,2,FALSE),Товары_исходные!C6)</f>
        <v>Ноутбуки</v>
      </c>
      <c r="D6" t="str">
        <f>PROPER(TRIM(Товары_исходные!D6))</f>
        <v>Asus</v>
      </c>
      <c r="E6" s="4">
        <f>IFERROR(VALUE(IF(AND(ISNUMBER(FIND(",",Товары_исходные!E6)),ISNUMBER(FIND(".",Товары_исходные!E6))),SUBSTITUTE(SUBSTITUTE(SUBSTITUTE(SUBSTITUTE(Товары_исходные!E6," ",""),"руб.",""),"руб",""),",",""),SUBSTITUTE(SUBSTITUTE(SUBSTITUTE(SUBSTITUTE(Товары_исходные!E6," ",""),"руб.",""),"руб",""),",","."))),0)</f>
        <v>84500.5</v>
      </c>
      <c r="F6" s="4">
        <f>IFERROR(VALUE(IF(AND(ISNUMBER(FIND(",",Товары_исходные!F6)),ISNUMBER(FIND(".",Товары_исходные!F6))),SUBSTITUTE(SUBSTITUTE(SUBSTITUTE(SUBSTITUTE(Товары_исходные!F6," ",""),"руб.",""),"руб",""),",",""),SUBSTITUTE(SUBSTITUTE(SUBSTITUTE(SUBSTITUTE(Товары_исходные!F6," ",""),"руб.",""),"руб",""),",","."))),0)</f>
        <v>128500</v>
      </c>
      <c r="G6" t="str">
        <f>IFERROR(VLOOKUP(Товары_исходные!G6,Справочники!$D$2:$E$50,2,FALSE),"шт.")</f>
        <v>шт.</v>
      </c>
      <c r="H6" t="str">
        <f t="shared" si="0"/>
        <v>OK</v>
      </c>
      <c r="I6" t="str">
        <f t="shared" si="1"/>
        <v>OK</v>
      </c>
    </row>
    <row r="7">
      <c r="A7" t="str">
        <f>"АРТ-"&amp;LEFT(SUBSTITUTE(SUBSTITUTE(SUBSTITUTE(SUBSTITUTE(Товары_исходные!A7,"№",""),"АРТ-",""),"АРТ_",""),"/","-"),3)</f>
        <v>АРТ-006</v>
      </c>
      <c r="B7" t="str">
        <f>PROPER(TRIM(IFERROR(LEFT(Товары_исходные!B7,FIND("(",Товары_исходные!B7)-1),Товары_исходные!B7)))</f>
        <v xml:space="preserve">Ноутбук Asus Rog Zephyrus</v>
      </c>
      <c r="C7" t="str">
        <f>IFERROR(VLOOKUP(Товары_исходные!C7,Справочники!$A$2:$B$50,2,FALSE),Товары_исходные!C7)</f>
        <v>Ноутбуки</v>
      </c>
      <c r="D7" t="str">
        <f>PROPER(TRIM(Товары_исходные!D7))</f>
        <v>Asus</v>
      </c>
      <c r="E7" s="4">
        <f>IFERROR(VALUE(IF(AND(ISNUMBER(FIND(",",Товары_исходные!E7)),ISNUMBER(FIND(".",Товары_исходные!E7))),SUBSTITUTE(SUBSTITUTE(SUBSTITUTE(SUBSTITUTE(Товары_исходные!E7," ",""),"руб.",""),"руб",""),",",""),SUBSTITUTE(SUBSTITUTE(SUBSTITUTE(SUBSTITUTE(Товары_исходные!E7," ",""),"руб.",""),"руб",""),",","."))),0)</f>
        <v>86000</v>
      </c>
      <c r="F7" s="4">
        <f>IFERROR(VALUE(IF(AND(ISNUMBER(FIND(",",Товары_исходные!F7)),ISNUMBER(FIND(".",Товары_исходные!F7))),SUBSTITUTE(SUBSTITUTE(SUBSTITUTE(SUBSTITUTE(Товары_исходные!F7," ",""),"руб.",""),"руб",""),",",""),SUBSTITUTE(SUBSTITUTE(SUBSTITUTE(SUBSTITUTE(Товары_исходные!F7," ",""),"руб.",""),"руб",""),",","."))),0)</f>
        <v>131000</v>
      </c>
      <c r="G7" t="str">
        <f>IFERROR(VLOOKUP(Товары_исходные!G7,Справочники!$D$2:$E$50,2,FALSE),"шт.")</f>
        <v>шт.</v>
      </c>
      <c r="H7" t="str">
        <f t="shared" si="0"/>
        <v>OK</v>
      </c>
      <c r="I7" t="str">
        <f t="shared" si="1"/>
        <v>OK</v>
      </c>
    </row>
    <row r="8">
      <c r="A8" t="str">
        <f>"АРТ-"&amp;LEFT(SUBSTITUTE(SUBSTITUTE(SUBSTITUTE(SUBSTITUTE(Товары_исходные!A8,"№",""),"АРТ-",""),"АРТ_",""),"/","-"),3)</f>
        <v>АРТ-007</v>
      </c>
      <c r="B8" t="str">
        <f>PROPER(TRIM(IFERROR(LEFT(Товары_исходные!B8,FIND("(",Товары_исходные!B8)-1),Товары_исходные!B8)))</f>
        <v xml:space="preserve">Смартфон Samsung Galaxy S24</v>
      </c>
      <c r="C8" t="str">
        <f>IFERROR(VLOOKUP(Товары_исходные!C8,Справочники!$A$2:$B$50,2,FALSE),Товары_исходные!C8)</f>
        <v>Смартфоны</v>
      </c>
      <c r="D8" t="str">
        <f>PROPER(TRIM(Товары_исходные!D8))</f>
        <v>Samsung</v>
      </c>
      <c r="E8" s="4">
        <f>IFERROR(VALUE(IF(AND(ISNUMBER(FIND(",",Товары_исходные!E8)),ISNUMBER(FIND(".",Товары_исходные!E8))),SUBSTITUTE(SUBSTITUTE(SUBSTITUTE(SUBSTITUTE(Товары_исходные!E8," ",""),"руб.",""),"руб",""),",",""),SUBSTITUTE(SUBSTITUTE(SUBSTITUTE(SUBSTITUTE(Товары_исходные!E8," ",""),"руб.",""),"руб",""),",","."))),0)</f>
        <v>39999.989999999998</v>
      </c>
      <c r="F8" s="4">
        <f>IFERROR(VALUE(IF(AND(ISNUMBER(FIND(",",Товары_исходные!F8)),ISNUMBER(FIND(".",Товары_исходные!F8))),SUBSTITUTE(SUBSTITUTE(SUBSTITUTE(SUBSTITUTE(Товары_исходные!F8," ",""),"руб.",""),"руб",""),",",""),SUBSTITUTE(SUBSTITUTE(SUBSTITUTE(SUBSTITUTE(Товары_исходные!F8," ",""),"руб.",""),"руб",""),",","."))),0)</f>
        <v>69999</v>
      </c>
      <c r="G8" t="str">
        <f>IFERROR(VLOOKUP(Товары_исходные!G8,Справочники!$D$2:$E$50,2,FALSE),"шт.")</f>
        <v>шт.</v>
      </c>
      <c r="H8" t="str">
        <f t="shared" si="0"/>
        <v>OK</v>
      </c>
      <c r="I8" t="str">
        <f t="shared" si="1"/>
        <v>OK</v>
      </c>
    </row>
    <row r="9">
      <c r="A9" t="str">
        <f>"АРТ-"&amp;LEFT(SUBSTITUTE(SUBSTITUTE(SUBSTITUTE(SUBSTITUTE(Товары_исходные!A9,"№",""),"АРТ-",""),"АРТ_",""),"/","-"),3)</f>
        <v>АРТ-008</v>
      </c>
      <c r="B9" t="str">
        <f>PROPER(TRIM(IFERROR(LEFT(Товары_исходные!B9,FIND("(",Товары_исходные!B9)-1),Товары_исходные!B9)))</f>
        <v xml:space="preserve">Смартфон Samsung Galaxy S24</v>
      </c>
      <c r="C9" t="str">
        <f>IFERROR(VLOOKUP(Товары_исходные!C9,Справочники!$A$2:$B$50,2,FALSE),Товары_исходные!C9)</f>
        <v>Смартфоны</v>
      </c>
      <c r="D9" t="str">
        <f>PROPER(TRIM(Товары_исходные!D9))</f>
        <v>Samsung</v>
      </c>
      <c r="E9" s="4">
        <f>IFERROR(VALUE(IF(AND(ISNUMBER(FIND(",",Товары_исходные!E9)),ISNUMBER(FIND(".",Товары_исходные!E9))),SUBSTITUTE(SUBSTITUTE(SUBSTITUTE(SUBSTITUTE(Товары_исходные!E9," ",""),"руб.",""),"руб",""),",",""),SUBSTITUTE(SUBSTITUTE(SUBSTITUTE(SUBSTITUTE(Товары_исходные!E9," ",""),"руб.",""),"руб",""),",","."))),0)</f>
        <v>39500</v>
      </c>
      <c r="F9" s="4">
        <f>IFERROR(VALUE(IF(AND(ISNUMBER(FIND(",",Товары_исходные!F9)),ISNUMBER(FIND(".",Товары_исходные!F9))),SUBSTITUTE(SUBSTITUTE(SUBSTITUTE(SUBSTITUTE(Товары_исходные!F9," ",""),"руб.",""),"руб",""),",",""),SUBSTITUTE(SUBSTITUTE(SUBSTITUTE(SUBSTITUTE(Товары_исходные!F9," ",""),"руб.",""),"руб",""),",","."))),0)</f>
        <v>68900</v>
      </c>
      <c r="G9" t="str">
        <f>IFERROR(VLOOKUP(Товары_исходные!G9,Справочники!$D$2:$E$50,2,FALSE),"шт.")</f>
        <v>шт.</v>
      </c>
      <c r="H9" t="str">
        <f t="shared" si="0"/>
        <v>OK</v>
      </c>
      <c r="I9" t="str">
        <f t="shared" si="1"/>
        <v>OK</v>
      </c>
    </row>
    <row r="10">
      <c r="A10" t="str">
        <f>"АРТ-"&amp;LEFT(SUBSTITUTE(SUBSTITUTE(SUBSTITUTE(SUBSTITUTE('Товары_исходные'!A10,"№",""),"АРТ-",""),"АРТ_",""),"/","-"),3)</f>
        <v>АРТ-009</v>
      </c>
      <c r="B10" t="str">
        <f>PROPER(TRIM(IFERROR(LEFT('Товары_исходные'!B10,FIND("(",'Товары_исходные'!B10)-1),'Товары_исходные'!B10)))</f>
        <v xml:space="preserve">Смартфон Samsung Galaxy S24</v>
      </c>
      <c r="C10" t="str">
        <f>IFERROR(VLOOKUP('Товары_исходные'!C10,Справочники!$A$2:$B$50,2,FALSE),'Товары_исходные'!C10)</f>
        <v>Смартфоны</v>
      </c>
      <c r="D10" t="str">
        <f>PROPER(TRIM('Товары_исходные'!D10))</f>
        <v>Samsung</v>
      </c>
      <c r="E10" s="4">
        <f>IFERROR(VALUE(IF(AND(ISNUMBER(FIND(",",'Товары_исходные'!E10)),ISNUMBER(FIND(".",'Товары_исходные'!E10))),SUBSTITUTE(SUBSTITUTE(SUBSTITUTE(SUBSTITUTE('Товары_исходные'!E10," ",""),"руб.",""),"руб",""),",",""),SUBSTITUTE(SUBSTITUTE(SUBSTITUTE(SUBSTITUTE('Товары_исходные'!E10," ",""),"руб.",""),"руб",""),",","."))),0)</f>
        <v>40200</v>
      </c>
      <c r="F10" s="4">
        <f>IFERROR(VALUE(IF(AND(ISNUMBER(FIND(",",'Товары_исходные'!F10)),ISNUMBER(FIND(".",'Товары_исходные'!F10))),SUBSTITUTE(SUBSTITUTE(SUBSTITUTE(SUBSTITUTE('Товары_исходные'!F10," ",""),"руб.",""),"руб",""),",",""),SUBSTITUTE(SUBSTITUTE(SUBSTITUTE(SUBSTITUTE('Товары_исходные'!F10," ",""),"руб.",""),"руб",""),",","."))),0)</f>
        <v>70500</v>
      </c>
      <c r="G10" t="str">
        <f>IFERROR(VLOOKUP('Товары_исходные'!G10,Справочники!$D$2:$E$50,2,FALSE),"шт.")</f>
        <v>шт.</v>
      </c>
      <c r="H10" t="str">
        <f t="shared" ref="H10:H73" si="2">IF(F10&gt;=E10,"OK","Розница ниже закупки")</f>
        <v>OK</v>
      </c>
      <c r="I10" t="str">
        <f t="shared" ref="I10:I73" si="3">IF(COUNTIF($A$2:$A$502,A10)=1,"OK","Дубликат")</f>
        <v>OK</v>
      </c>
    </row>
    <row r="11">
      <c r="A11" t="str">
        <f>"АРТ-"&amp;LEFT(SUBSTITUTE(SUBSTITUTE(SUBSTITUTE(SUBSTITUTE(Товары_исходные!A11,"№",""),"АРТ-",""),"АРТ_",""),"/","-"),3)</f>
        <v>АРТ-010</v>
      </c>
      <c r="B11" t="str">
        <f>PROPER(TRIM(IFERROR(LEFT(Товары_исходные!B11,FIND("(",Товары_исходные!B11)-1),Товары_исходные!B11)))</f>
        <v xml:space="preserve">Планшет Ipad Pro 12.9</v>
      </c>
      <c r="C11" t="str">
        <f>IFERROR(VLOOKUP(Товары_исходные!C11,Справочники!$A$2:$B$50,2,FALSE),Товары_исходные!C11)</f>
        <v>Планшеты</v>
      </c>
      <c r="D11" t="str">
        <f>PROPER(TRIM(Товары_исходные!D11))</f>
        <v>Apple</v>
      </c>
      <c r="E11" s="4">
        <f>IFERROR(VALUE(IF(AND(ISNUMBER(FIND(",",Товары_исходные!E11)),ISNUMBER(FIND(".",Товары_исходные!E11))),SUBSTITUTE(SUBSTITUTE(SUBSTITUTE(SUBSTITUTE(Товары_исходные!E11," ",""),"руб.",""),"руб",""),",",""),SUBSTITUTE(SUBSTITUTE(SUBSTITUTE(SUBSTITUTE(Товары_исходные!E11," ",""),"руб.",""),"руб",""),",","."))),0)</f>
        <v>55000</v>
      </c>
      <c r="F11" s="4">
        <f>IFERROR(VALUE(IF(AND(ISNUMBER(FIND(",",Товары_исходные!F11)),ISNUMBER(FIND(".",Товары_исходные!F11))),SUBSTITUTE(SUBSTITUTE(SUBSTITUTE(SUBSTITUTE(Товары_исходные!F11," ",""),"руб.",""),"руб",""),",",""),SUBSTITUTE(SUBSTITUTE(SUBSTITUTE(SUBSTITUTE(Товары_исходные!F11," ",""),"руб.",""),"руб",""),",","."))),0)</f>
        <v>89900</v>
      </c>
      <c r="G11" t="str">
        <f>IFERROR(VLOOKUP(Товары_исходные!G11,Справочники!$D$2:$E$50,2,FALSE),"шт.")</f>
        <v>шт.</v>
      </c>
      <c r="H11" t="str">
        <f t="shared" si="2"/>
        <v>OK</v>
      </c>
      <c r="I11" t="str">
        <f t="shared" si="3"/>
        <v>OK</v>
      </c>
    </row>
    <row r="12">
      <c r="A12" t="str">
        <f>"АРТ-"&amp;LEFT(SUBSTITUTE(SUBSTITUTE(SUBSTITUTE(SUBSTITUTE(Товары_исходные!A12,"№",""),"АРТ-",""),"АРТ_",""),"/","-"),3)</f>
        <v>АРТ-011</v>
      </c>
      <c r="B12" t="str">
        <f>PROPER(TRIM(IFERROR(LEFT(Товары_исходные!B12,FIND("(",Товары_исходные!B12)-1),Товары_исходные!B12)))</f>
        <v xml:space="preserve">Планшет Apple Ipad Pro 12.9</v>
      </c>
      <c r="C12" t="str">
        <f>IFERROR(VLOOKUP(Товары_исходные!C12,Справочники!$A$2:$B$50,2,FALSE),Товары_исходные!C12)</f>
        <v>Планшеты</v>
      </c>
      <c r="D12" t="str">
        <f>PROPER(TRIM(Товары_исходные!D12))</f>
        <v>Apple</v>
      </c>
      <c r="E12" s="4">
        <f>IFERROR(VALUE(IF(AND(ISNUMBER(FIND(",",Товары_исходные!E12)),ISNUMBER(FIND(".",Товары_исходные!E12))),SUBSTITUTE(SUBSTITUTE(SUBSTITUTE(SUBSTITUTE(Товары_исходные!E12," ",""),"руб.",""),"руб",""),",",""),SUBSTITUTE(SUBSTITUTE(SUBSTITUTE(SUBSTITUTE(Товары_исходные!E12," ",""),"руб.",""),"руб",""),",","."))),0)</f>
        <v>54500</v>
      </c>
      <c r="F12" s="4">
        <f>IFERROR(VALUE(IF(AND(ISNUMBER(FIND(",",Товары_исходные!F12)),ISNUMBER(FIND(".",Товары_исходные!F12))),SUBSTITUTE(SUBSTITUTE(SUBSTITUTE(SUBSTITUTE(Товары_исходные!F12," ",""),"руб.",""),"руб",""),",",""),SUBSTITUTE(SUBSTITUTE(SUBSTITUTE(SUBSTITUTE(Товары_исходные!F12," ",""),"руб.",""),"руб",""),",","."))),0)</f>
        <v>88500</v>
      </c>
      <c r="G12" t="str">
        <f>IFERROR(VLOOKUP(Товары_исходные!G12,Справочники!$D$2:$E$50,2,FALSE),"шт.")</f>
        <v>шт.</v>
      </c>
      <c r="H12" t="str">
        <f t="shared" si="2"/>
        <v>OK</v>
      </c>
      <c r="I12" t="str">
        <f t="shared" si="3"/>
        <v>OK</v>
      </c>
    </row>
    <row r="13">
      <c r="A13" t="str">
        <f>"АРТ-"&amp;LEFT(SUBSTITUTE(SUBSTITUTE(SUBSTITUTE(SUBSTITUTE(Товары_исходные!A13,"№",""),"АРТ-",""),"АРТ_",""),"/","-"),3)</f>
        <v>АРТ-012</v>
      </c>
      <c r="B13" t="str">
        <f>PROPER(TRIM(IFERROR(LEFT(Товары_исходные!B13,FIND("(",Товары_исходные!B13)-1),Товары_исходные!B13)))</f>
        <v xml:space="preserve">Планшет Apple Ipad Pro 12.9</v>
      </c>
      <c r="C13" t="str">
        <f>IFERROR(VLOOKUP(Товары_исходные!C13,Справочники!$A$2:$B$50,2,FALSE),Товары_исходные!C13)</f>
        <v>Планшеты</v>
      </c>
      <c r="D13" t="str">
        <f>PROPER(TRIM(Товары_исходные!D13))</f>
        <v>Apple</v>
      </c>
      <c r="E13" s="4">
        <f>IFERROR(VALUE(IF(AND(ISNUMBER(FIND(",",Товары_исходные!E13)),ISNUMBER(FIND(".",Товары_исходные!E13))),SUBSTITUTE(SUBSTITUTE(SUBSTITUTE(SUBSTITUTE(Товары_исходные!E13," ",""),"руб.",""),"руб",""),",",""),SUBSTITUTE(SUBSTITUTE(SUBSTITUTE(SUBSTITUTE(Товары_исходные!E13," ",""),"руб.",""),"руб",""),",","."))),0)</f>
        <v>56000</v>
      </c>
      <c r="F13" s="4">
        <f>IFERROR(VALUE(IF(AND(ISNUMBER(FIND(",",Товары_исходные!F13)),ISNUMBER(FIND(".",Товары_исходные!F13))),SUBSTITUTE(SUBSTITUTE(SUBSTITUTE(SUBSTITUTE(Товары_исходные!F13," ",""),"руб.",""),"руб",""),",",""),SUBSTITUTE(SUBSTITUTE(SUBSTITUTE(SUBSTITUTE(Товары_исходные!F13," ",""),"руб.",""),"руб",""),",","."))),0)</f>
        <v>91000</v>
      </c>
      <c r="G13" t="str">
        <f>IFERROR(VLOOKUP(Товары_исходные!G13,Справочники!$D$2:$E$50,2,FALSE),"шт.")</f>
        <v>шт.</v>
      </c>
      <c r="H13" t="str">
        <f t="shared" si="2"/>
        <v>OK</v>
      </c>
      <c r="I13" t="str">
        <f t="shared" si="3"/>
        <v>OK</v>
      </c>
    </row>
    <row r="14">
      <c r="A14" t="str">
        <f>"АРТ-"&amp;LEFT(SUBSTITUTE(SUBSTITUTE(SUBSTITUTE(SUBSTITUTE(Товары_исходные!A14,"№",""),"АРТ-",""),"АРТ_",""),"/","-"),3)</f>
        <v>АРТ-013</v>
      </c>
      <c r="B14" t="str">
        <f>PROPER(TRIM(IFERROR(LEFT(Товары_исходные!B14,FIND("(",Товары_исходные!B14)-1),Товары_исходные!B14)))</f>
        <v xml:space="preserve">Телевизор Lg Oled65C3</v>
      </c>
      <c r="C14" t="str">
        <f>IFERROR(VLOOKUP(Товары_исходные!C14,Справочники!$A$2:$B$50,2,FALSE),Товары_исходные!C14)</f>
        <v>Телевизоры</v>
      </c>
      <c r="D14" t="str">
        <f>PROPER(TRIM(Товары_исходные!D14))</f>
        <v>Lg</v>
      </c>
      <c r="E14" s="4">
        <f>IFERROR(VALUE(IF(AND(ISNUMBER(FIND(",",Товары_исходные!E14)),ISNUMBER(FIND(".",Товары_исходные!E14))),SUBSTITUTE(SUBSTITUTE(SUBSTITUTE(SUBSTITUTE(Товары_исходные!E14," ",""),"руб.",""),"руб",""),",",""),SUBSTITUTE(SUBSTITUTE(SUBSTITUTE(SUBSTITUTE(Товары_исходные!E14," ",""),"руб.",""),"руб",""),",","."))),0)</f>
        <v>95000</v>
      </c>
      <c r="F14" s="4">
        <f>IFERROR(VALUE(IF(AND(ISNUMBER(FIND(",",Товары_исходные!F14)),ISNUMBER(FIND(".",Товары_исходные!F14))),SUBSTITUTE(SUBSTITUTE(SUBSTITUTE(SUBSTITUTE(Товары_исходные!F14," ",""),"руб.",""),"руб",""),",",""),SUBSTITUTE(SUBSTITUTE(SUBSTITUTE(SUBSTITUTE(Товары_исходные!F14," ",""),"руб.",""),"руб",""),",","."))),0)</f>
        <v>149999</v>
      </c>
      <c r="G14" t="str">
        <f>IFERROR(VLOOKUP(Товары_исходные!G14,Справочники!$D$2:$E$50,2,FALSE),"шт.")</f>
        <v>шт.</v>
      </c>
      <c r="H14" t="str">
        <f t="shared" si="2"/>
        <v>OK</v>
      </c>
      <c r="I14" t="str">
        <f t="shared" si="3"/>
        <v>OK</v>
      </c>
    </row>
    <row r="15">
      <c r="A15" t="str">
        <f>"АРТ-"&amp;LEFT(SUBSTITUTE(SUBSTITUTE(SUBSTITUTE(SUBSTITUTE(Товары_исходные!A15,"№",""),"АРТ-",""),"АРТ_",""),"/","-"),3)</f>
        <v>АРТ-014</v>
      </c>
      <c r="B15" t="str">
        <f>PROPER(TRIM(IFERROR(LEFT(Товары_исходные!B15,FIND("(",Товары_исходные!B15)-1),Товары_исходные!B15)))</f>
        <v xml:space="preserve">Телевизор Lg Oled65C3</v>
      </c>
      <c r="C15" t="str">
        <f>IFERROR(VLOOKUP(Товары_исходные!C15,Справочники!$A$2:$B$50,2,FALSE),Товары_исходные!C15)</f>
        <v>Телевизоры</v>
      </c>
      <c r="D15" t="str">
        <f>PROPER(TRIM(Товары_исходные!D15))</f>
        <v>Lg</v>
      </c>
      <c r="E15" s="4">
        <f>IFERROR(VALUE(IF(AND(ISNUMBER(FIND(",",Товары_исходные!E15)),ISNUMBER(FIND(".",Товары_исходные!E15))),SUBSTITUTE(SUBSTITUTE(SUBSTITUTE(SUBSTITUTE(Товары_исходные!E15," ",""),"руб.",""),"руб",""),",",""),SUBSTITUTE(SUBSTITUTE(SUBSTITUTE(SUBSTITUTE(Товары_исходные!E15," ",""),"руб.",""),"руб",""),",","."))),0)</f>
        <v>93500</v>
      </c>
      <c r="F15" s="4">
        <f>IFERROR(VALUE(IF(AND(ISNUMBER(FIND(",",Товары_исходные!F15)),ISNUMBER(FIND(".",Товары_исходные!F15))),SUBSTITUTE(SUBSTITUTE(SUBSTITUTE(SUBSTITUTE(Товары_исходные!F15," ",""),"руб.",""),"руб",""),",",""),SUBSTITUTE(SUBSTITUTE(SUBSTITUTE(SUBSTITUTE(Товары_исходные!F15," ",""),"руб.",""),"руб",""),",","."))),0)</f>
        <v>147500</v>
      </c>
      <c r="G15" t="str">
        <f>IFERROR(VLOOKUP(Товары_исходные!G15,Справочники!$D$2:$E$50,2,FALSE),"шт.")</f>
        <v>шт.</v>
      </c>
      <c r="H15" t="str">
        <f t="shared" si="2"/>
        <v>OK</v>
      </c>
      <c r="I15" t="str">
        <f t="shared" si="3"/>
        <v>OK</v>
      </c>
    </row>
    <row r="16">
      <c r="A16" t="str">
        <f>"АРТ-"&amp;LEFT(SUBSTITUTE(SUBSTITUTE(SUBSTITUTE(SUBSTITUTE(Товары_исходные!A16,"№",""),"АРТ-",""),"АРТ_",""),"/","-"),3)</f>
        <v>АРТ-015</v>
      </c>
      <c r="B16" t="str">
        <f>PROPER(TRIM(IFERROR(LEFT(Товары_исходные!B16,FIND("(",Товары_исходные!B16)-1),Товары_исходные!B16)))</f>
        <v xml:space="preserve">Телевизор Lg Oled65C3</v>
      </c>
      <c r="C16" t="str">
        <f>IFERROR(VLOOKUP(Товары_исходные!C16,Справочники!$A$2:$B$50,2,FALSE),Товары_исходные!C16)</f>
        <v>Телевизоры</v>
      </c>
      <c r="D16" t="str">
        <f>PROPER(TRIM(Товары_исходные!D16))</f>
        <v>Lg</v>
      </c>
      <c r="E16" s="4">
        <f>IFERROR(VALUE(IF(AND(ISNUMBER(FIND(",",Товары_исходные!E16)),ISNUMBER(FIND(".",Товары_исходные!E16))),SUBSTITUTE(SUBSTITUTE(SUBSTITUTE(SUBSTITUTE(Товары_исходные!E16," ",""),"руб.",""),"руб",""),",",""),SUBSTITUTE(SUBSTITUTE(SUBSTITUTE(SUBSTITUTE(Товары_исходные!E16," ",""),"руб.",""),"руб",""),",","."))),0)</f>
        <v>96500</v>
      </c>
      <c r="F16" s="4">
        <f>IFERROR(VALUE(IF(AND(ISNUMBER(FIND(",",Товары_исходные!F16)),ISNUMBER(FIND(".",Товары_исходные!F16))),SUBSTITUTE(SUBSTITUTE(SUBSTITUTE(SUBSTITUTE(Товары_исходные!F16," ",""),"руб.",""),"руб",""),",",""),SUBSTITUTE(SUBSTITUTE(SUBSTITUTE(SUBSTITUTE(Товары_исходные!F16," ",""),"руб.",""),"руб",""),",","."))),0)</f>
        <v>151000</v>
      </c>
      <c r="G16" t="str">
        <f>IFERROR(VLOOKUP(Товары_исходные!G16,Справочники!$D$2:$E$50,2,FALSE),"шт.")</f>
        <v>шт.</v>
      </c>
      <c r="H16" t="str">
        <f t="shared" si="2"/>
        <v>OK</v>
      </c>
      <c r="I16" t="str">
        <f t="shared" si="3"/>
        <v>OK</v>
      </c>
    </row>
    <row r="17">
      <c r="A17" t="str">
        <f>"АРТ-"&amp;LEFT(SUBSTITUTE(SUBSTITUTE(SUBSTITUTE(SUBSTITUTE(Товары_исходные!A17,"№",""),"АРТ-",""),"АРТ_",""),"/","-"),3)</f>
        <v>АРТ-016</v>
      </c>
      <c r="B17" t="str">
        <f>PROPER(TRIM(IFERROR(LEFT(Товары_исходные!B17,FIND("(",Товары_исходные!B17)-1),Товары_исходные!B17)))</f>
        <v xml:space="preserve">Наушники Sony Wh-1000Xm5</v>
      </c>
      <c r="C17" t="str">
        <f>IFERROR(VLOOKUP(Товары_исходные!C17,Справочники!$A$2:$B$50,2,FALSE),Товары_исходные!C17)</f>
        <v>Наушники</v>
      </c>
      <c r="D17" t="str">
        <f>PROPER(TRIM(Товары_исходные!D17))</f>
        <v>Sony</v>
      </c>
      <c r="E17" s="4">
        <f>IFERROR(VALUE(IF(AND(ISNUMBER(FIND(",",Товары_исходные!E17)),ISNUMBER(FIND(".",Товары_исходные!E17))),SUBSTITUTE(SUBSTITUTE(SUBSTITUTE(SUBSTITUTE(Товары_исходные!E17," ",""),"руб.",""),"руб",""),",",""),SUBSTITUTE(SUBSTITUTE(SUBSTITUTE(SUBSTITUTE(Товары_исходные!E17," ",""),"руб.",""),"руб",""),",","."))),0)</f>
        <v>18000</v>
      </c>
      <c r="F17" s="4">
        <f>IFERROR(VALUE(IF(AND(ISNUMBER(FIND(",",Товары_исходные!F17)),ISNUMBER(FIND(".",Товары_исходные!F17))),SUBSTITUTE(SUBSTITUTE(SUBSTITUTE(SUBSTITUTE(Товары_исходные!F17," ",""),"руб.",""),"руб",""),",",""),SUBSTITUTE(SUBSTITUTE(SUBSTITUTE(SUBSTITUTE(Товары_исходные!F17," ",""),"руб.",""),"руб",""),",","."))),0)</f>
        <v>29990</v>
      </c>
      <c r="G17" t="str">
        <f>IFERROR(VLOOKUP(Товары_исходные!G17,Справочники!$D$2:$E$50,2,FALSE),"шт.")</f>
        <v>шт.</v>
      </c>
      <c r="H17" t="str">
        <f t="shared" si="2"/>
        <v>OK</v>
      </c>
      <c r="I17" t="str">
        <f t="shared" si="3"/>
        <v>OK</v>
      </c>
    </row>
    <row r="18">
      <c r="A18" t="str">
        <f>"АРТ-"&amp;LEFT(SUBSTITUTE(SUBSTITUTE(SUBSTITUTE(SUBSTITUTE(Товары_исходные!A18,"№",""),"АРТ-",""),"АРТ_",""),"/","-"),3)</f>
        <v>АРТ-017</v>
      </c>
      <c r="B18" t="str">
        <f>PROPER(TRIM(IFERROR(LEFT(Товары_исходные!B18,FIND("(",Товары_исходные!B18)-1),Товары_исходные!B18)))</f>
        <v xml:space="preserve">Наушники Sony Wh-1000Xm5</v>
      </c>
      <c r="C18" t="str">
        <f>IFERROR(VLOOKUP(Товары_исходные!C18,Справочники!$A$2:$B$50,2,FALSE),Товары_исходные!C18)</f>
        <v>Наушники</v>
      </c>
      <c r="D18" t="str">
        <f>PROPER(TRIM(Товары_исходные!D18))</f>
        <v>Sony</v>
      </c>
      <c r="E18" s="4">
        <f>IFERROR(VALUE(IF(AND(ISNUMBER(FIND(",",Товары_исходные!E18)),ISNUMBER(FIND(".",Товары_исходные!E18))),SUBSTITUTE(SUBSTITUTE(SUBSTITUTE(SUBSTITUTE(Товары_исходные!E18," ",""),"руб.",""),"руб",""),",",""),SUBSTITUTE(SUBSTITUTE(SUBSTITUTE(SUBSTITUTE(Товары_исходные!E18," ",""),"руб.",""),"руб",""),",","."))),0)</f>
        <v>17500</v>
      </c>
      <c r="F18" s="4">
        <f>IFERROR(VALUE(IF(AND(ISNUMBER(FIND(",",Товары_исходные!F18)),ISNUMBER(FIND(".",Товары_исходные!F18))),SUBSTITUTE(SUBSTITUTE(SUBSTITUTE(SUBSTITUTE(Товары_исходные!F18," ",""),"руб.",""),"руб",""),",",""),SUBSTITUTE(SUBSTITUTE(SUBSTITUTE(SUBSTITUTE(Товары_исходные!F18," ",""),"руб.",""),"руб",""),",","."))),0)</f>
        <v>28900</v>
      </c>
      <c r="G18" t="str">
        <f>IFERROR(VLOOKUP(Товары_исходные!G18,Справочники!$D$2:$E$50,2,FALSE),"шт.")</f>
        <v>шт.</v>
      </c>
      <c r="H18" t="str">
        <f t="shared" si="2"/>
        <v>OK</v>
      </c>
      <c r="I18" t="str">
        <f t="shared" si="3"/>
        <v>OK</v>
      </c>
    </row>
    <row r="19">
      <c r="A19" t="str">
        <f>"АРТ-"&amp;LEFT(SUBSTITUTE(SUBSTITUTE(SUBSTITUTE(SUBSTITUTE(Товары_исходные!A19,"№",""),"АРТ-",""),"АРТ_",""),"/","-"),3)</f>
        <v>АРТ-018</v>
      </c>
      <c r="B19" t="str">
        <f>PROPER(TRIM(IFERROR(LEFT(Товары_исходные!B19,FIND("(",Товары_исходные!B19)-1),Товары_исходные!B19)))</f>
        <v xml:space="preserve">Наушники Sony Wh-1000Xm5</v>
      </c>
      <c r="C19" t="str">
        <f>IFERROR(VLOOKUP(Товары_исходные!C19,Справочники!$A$2:$B$50,2,FALSE),Товары_исходные!C19)</f>
        <v>Наушники</v>
      </c>
      <c r="D19" t="str">
        <f>PROPER(TRIM(Товары_исходные!D19))</f>
        <v>Sony</v>
      </c>
      <c r="E19" s="4">
        <f>IFERROR(VALUE(IF(AND(ISNUMBER(FIND(",",Товары_исходные!E19)),ISNUMBER(FIND(".",Товары_исходные!E19))),SUBSTITUTE(SUBSTITUTE(SUBSTITUTE(SUBSTITUTE(Товары_исходные!E19," ",""),"руб.",""),"руб",""),",",""),SUBSTITUTE(SUBSTITUTE(SUBSTITUTE(SUBSTITUTE(Товары_исходные!E19," ",""),"руб.",""),"руб",""),",","."))),0)</f>
        <v>18500</v>
      </c>
      <c r="F19" s="4">
        <f>IFERROR(VALUE(IF(AND(ISNUMBER(FIND(",",Товары_исходные!F19)),ISNUMBER(FIND(".",Товары_исходные!F19))),SUBSTITUTE(SUBSTITUTE(SUBSTITUTE(SUBSTITUTE(Товары_исходные!F19," ",""),"руб.",""),"руб",""),",",""),SUBSTITUTE(SUBSTITUTE(SUBSTITUTE(SUBSTITUTE(Товары_исходные!F19," ",""),"руб.",""),"руб",""),",","."))),0)</f>
        <v>30500</v>
      </c>
      <c r="G19" t="str">
        <f>IFERROR(VLOOKUP(Товары_исходные!G19,Справочники!$D$2:$E$50,2,FALSE),"шт.")</f>
        <v>шт.</v>
      </c>
      <c r="H19" t="str">
        <f t="shared" si="2"/>
        <v>OK</v>
      </c>
      <c r="I19" t="str">
        <f t="shared" si="3"/>
        <v>OK</v>
      </c>
    </row>
    <row r="20">
      <c r="A20" t="str">
        <f>"АРТ-"&amp;LEFT(SUBSTITUTE(SUBSTITUTE(SUBSTITUTE(SUBSTITUTE(Товары_исходные!A20,"№",""),"АРТ-",""),"АРТ_",""),"/","-"),3)</f>
        <v>АРТ-019</v>
      </c>
      <c r="B20" t="str">
        <f>PROPER(TRIM(IFERROR(LEFT(Товары_исходные!B20,FIND("(",Товары_исходные!B20)-1),Товары_исходные!B20)))</f>
        <v xml:space="preserve">Ноутбук Lenovo Thinkpad X1</v>
      </c>
      <c r="C20" t="str">
        <f>IFERROR(VLOOKUP(Товары_исходные!C20,Справочники!$A$2:$B$50,2,FALSE),Товары_исходные!C20)</f>
        <v>Ноутбуки</v>
      </c>
      <c r="D20" t="str">
        <f>PROPER(TRIM(Товары_исходные!D20))</f>
        <v>Lenovo</v>
      </c>
      <c r="E20" s="4">
        <f>IFERROR(VALUE(IF(AND(ISNUMBER(FIND(",",Товары_исходные!E20)),ISNUMBER(FIND(".",Товары_исходные!E20))),SUBSTITUTE(SUBSTITUTE(SUBSTITUTE(SUBSTITUTE(Товары_исходные!E20," ",""),"руб.",""),"руб",""),",",""),SUBSTITUTE(SUBSTITUTE(SUBSTITUTE(SUBSTITUTE(Товары_исходные!E20," ",""),"руб.",""),"руб",""),",","."))),0)</f>
        <v>90000</v>
      </c>
      <c r="F20" s="4">
        <f>IFERROR(VALUE(IF(AND(ISNUMBER(FIND(",",Товары_исходные!F20)),ISNUMBER(FIND(".",Товары_исходные!F20))),SUBSTITUTE(SUBSTITUTE(SUBSTITUTE(SUBSTITUTE(Товары_исходные!F20," ",""),"руб.",""),"руб",""),",",""),SUBSTITUTE(SUBSTITUTE(SUBSTITUTE(SUBSTITUTE(Товары_исходные!F20," ",""),"руб.",""),"руб",""),",","."))),0)</f>
        <v>135000</v>
      </c>
      <c r="G20" t="str">
        <f>IFERROR(VLOOKUP(Товары_исходные!G20,Справочники!$D$2:$E$50,2,FALSE),"шт.")</f>
        <v>шт.</v>
      </c>
      <c r="H20" t="str">
        <f t="shared" si="2"/>
        <v>OK</v>
      </c>
      <c r="I20" t="str">
        <f t="shared" si="3"/>
        <v>OK</v>
      </c>
    </row>
    <row r="21">
      <c r="A21" t="str">
        <f>"АРТ-"&amp;LEFT(SUBSTITUTE(SUBSTITUTE(SUBSTITUTE(SUBSTITUTE(Товары_исходные!A21,"№",""),"АРТ-",""),"АРТ_",""),"/","-"),3)</f>
        <v>АРТ-020</v>
      </c>
      <c r="B21" t="str">
        <f>PROPER(TRIM(IFERROR(LEFT(Товары_исходные!B21,FIND("(",Товары_исходные!B21)-1),Товары_исходные!B21)))</f>
        <v xml:space="preserve">Ноутбук Lenovo Thinkpad X1</v>
      </c>
      <c r="C21" t="str">
        <f>IFERROR(VLOOKUP(Товары_исходные!C21,Справочники!$A$2:$B$50,2,FALSE),Товары_исходные!C21)</f>
        <v>Ноутбуки</v>
      </c>
      <c r="D21" t="str">
        <f>PROPER(TRIM(Товары_исходные!D21))</f>
        <v>Lenovo</v>
      </c>
      <c r="E21" s="4">
        <f>IFERROR(VALUE(IF(AND(ISNUMBER(FIND(",",Товары_исходные!E21)),ISNUMBER(FIND(".",Товары_исходные!E21))),SUBSTITUTE(SUBSTITUTE(SUBSTITUTE(SUBSTITUTE(Товары_исходные!E21," ",""),"руб.",""),"руб",""),",",""),SUBSTITUTE(SUBSTITUTE(SUBSTITUTE(SUBSTITUTE(Товары_исходные!E21," ",""),"руб.",""),"руб",""),",","."))),0)</f>
        <v>89000</v>
      </c>
      <c r="F21" s="4">
        <f>IFERROR(VALUE(IF(AND(ISNUMBER(FIND(",",Товары_исходные!F21)),ISNUMBER(FIND(".",Товары_исходные!F21))),SUBSTITUTE(SUBSTITUTE(SUBSTITUTE(SUBSTITUTE(Товары_исходные!F21," ",""),"руб.",""),"руб",""),",",""),SUBSTITUTE(SUBSTITUTE(SUBSTITUTE(SUBSTITUTE(Товары_исходные!F21," ",""),"руб.",""),"руб",""),",","."))),0)</f>
        <v>133500</v>
      </c>
      <c r="G21" t="str">
        <f>IFERROR(VLOOKUP(Товары_исходные!G21,Справочники!$D$2:$E$50,2,FALSE),"шт.")</f>
        <v>шт.</v>
      </c>
      <c r="H21" t="str">
        <f t="shared" si="2"/>
        <v>OK</v>
      </c>
      <c r="I21" t="str">
        <f t="shared" si="3"/>
        <v>OK</v>
      </c>
    </row>
    <row r="22">
      <c r="A22" t="str">
        <f>"АРТ-"&amp;LEFT(SUBSTITUTE(SUBSTITUTE(SUBSTITUTE(SUBSTITUTE(Товары_исходные!A22,"№",""),"АРТ-",""),"АРТ_",""),"/","-"),3)</f>
        <v>АРТ-021</v>
      </c>
      <c r="B22" t="str">
        <f>PROPER(TRIM(IFERROR(LEFT(Товары_исходные!B22,FIND("(",Товары_исходные!B22)-1),Товары_исходные!B22)))</f>
        <v xml:space="preserve">Ноутбук Lenovo Thinkpad X1</v>
      </c>
      <c r="C22" t="str">
        <f>IFERROR(VLOOKUP(Товары_исходные!C22,Справочники!$A$2:$B$50,2,FALSE),Товары_исходные!C22)</f>
        <v>Ноутбуки</v>
      </c>
      <c r="D22" t="str">
        <f>PROPER(TRIM(Товары_исходные!D22))</f>
        <v>Lenovo</v>
      </c>
      <c r="E22" s="4">
        <f>IFERROR(VALUE(IF(AND(ISNUMBER(FIND(",",Товары_исходные!E22)),ISNUMBER(FIND(".",Товары_исходные!E22))),SUBSTITUTE(SUBSTITUTE(SUBSTITUTE(SUBSTITUTE(Товары_исходные!E22," ",""),"руб.",""),"руб",""),",",""),SUBSTITUTE(SUBSTITUTE(SUBSTITUTE(SUBSTITUTE(Товары_исходные!E22," ",""),"руб.",""),"руб",""),",","."))),0)</f>
        <v>91500</v>
      </c>
      <c r="F22" s="4">
        <f>IFERROR(VALUE(IF(AND(ISNUMBER(FIND(",",Товары_исходные!F22)),ISNUMBER(FIND(".",Товары_исходные!F22))),SUBSTITUTE(SUBSTITUTE(SUBSTITUTE(SUBSTITUTE(Товары_исходные!F22," ",""),"руб.",""),"руб",""),",",""),SUBSTITUTE(SUBSTITUTE(SUBSTITUTE(SUBSTITUTE(Товары_исходные!F22," ",""),"руб.",""),"руб",""),",","."))),0)</f>
        <v>137000</v>
      </c>
      <c r="G22" t="str">
        <f>IFERROR(VLOOKUP(Товары_исходные!G22,Справочники!$D$2:$E$50,2,FALSE),"шт.")</f>
        <v>шт.</v>
      </c>
      <c r="H22" t="str">
        <f t="shared" si="2"/>
        <v>OK</v>
      </c>
      <c r="I22" t="str">
        <f t="shared" si="3"/>
        <v>OK</v>
      </c>
    </row>
    <row r="23">
      <c r="A23" t="str">
        <f>"АРТ-"&amp;LEFT(SUBSTITUTE(SUBSTITUTE(SUBSTITUTE(SUBSTITUTE(Товары_исходные!A23,"№",""),"АРТ-",""),"АРТ_",""),"/","-"),3)</f>
        <v>АРТ-022</v>
      </c>
      <c r="B23" t="str">
        <f>PROPER(TRIM(IFERROR(LEFT(Товары_исходные!B23,FIND("(",Товары_исходные!B23)-1),Товары_исходные!B23)))</f>
        <v xml:space="preserve">Смартфон Xiaomi 14 Pro</v>
      </c>
      <c r="C23" t="str">
        <f>IFERROR(VLOOKUP(Товары_исходные!C23,Справочники!$A$2:$B$50,2,FALSE),Товары_исходные!C23)</f>
        <v>Смартфоны</v>
      </c>
      <c r="D23" t="str">
        <f>PROPER(TRIM(Товары_исходные!D23))</f>
        <v>Xiaomi</v>
      </c>
      <c r="E23" s="4">
        <f>IFERROR(VALUE(IF(AND(ISNUMBER(FIND(",",Товары_исходные!E23)),ISNUMBER(FIND(".",Товары_исходные!E23))),SUBSTITUTE(SUBSTITUTE(SUBSTITUTE(SUBSTITUTE(Товары_исходные!E23," ",""),"руб.",""),"руб",""),",",""),SUBSTITUTE(SUBSTITUTE(SUBSTITUTE(SUBSTITUTE(Товары_исходные!E23," ",""),"руб.",""),"руб",""),",","."))),0)</f>
        <v>35000</v>
      </c>
      <c r="F23" s="4">
        <f>IFERROR(VALUE(IF(AND(ISNUMBER(FIND(",",Товары_исходные!F23)),ISNUMBER(FIND(".",Товары_исходные!F23))),SUBSTITUTE(SUBSTITUTE(SUBSTITUTE(SUBSTITUTE(Товары_исходные!F23," ",""),"руб.",""),"руб",""),",",""),SUBSTITUTE(SUBSTITUTE(SUBSTITUTE(SUBSTITUTE(Товары_исходные!F23," ",""),"руб.",""),"руб",""),",","."))),0)</f>
        <v>59999</v>
      </c>
      <c r="G23" t="str">
        <f>IFERROR(VLOOKUP(Товары_исходные!G23,Справочники!$D$2:$E$50,2,FALSE),"шт.")</f>
        <v>шт.</v>
      </c>
      <c r="H23" t="str">
        <f t="shared" si="2"/>
        <v>OK</v>
      </c>
      <c r="I23" t="str">
        <f t="shared" si="3"/>
        <v>OK</v>
      </c>
    </row>
    <row r="24">
      <c r="A24" t="str">
        <f>"АРТ-"&amp;LEFT(SUBSTITUTE(SUBSTITUTE(SUBSTITUTE(SUBSTITUTE(Товары_исходные!A24,"№",""),"АРТ-",""),"АРТ_",""),"/","-"),3)</f>
        <v>АРТ-023</v>
      </c>
      <c r="B24" t="str">
        <f>PROPER(TRIM(IFERROR(LEFT(Товары_исходные!B24,FIND("(",Товары_исходные!B24)-1),Товары_исходные!B24)))</f>
        <v xml:space="preserve">Смартфон Xiaomi 14 Pro</v>
      </c>
      <c r="C24" t="str">
        <f>IFERROR(VLOOKUP(Товары_исходные!C24,Справочники!$A$2:$B$50,2,FALSE),Товары_исходные!C24)</f>
        <v>Смартфоны</v>
      </c>
      <c r="D24" t="str">
        <f>PROPER(TRIM(Товары_исходные!D24))</f>
        <v>Xiaomi</v>
      </c>
      <c r="E24" s="4">
        <f>IFERROR(VALUE(IF(AND(ISNUMBER(FIND(",",Товары_исходные!E24)),ISNUMBER(FIND(".",Товары_исходные!E24))),SUBSTITUTE(SUBSTITUTE(SUBSTITUTE(SUBSTITUTE(Товары_исходные!E24," ",""),"руб.",""),"руб",""),",",""),SUBSTITUTE(SUBSTITUTE(SUBSTITUTE(SUBSTITUTE(Товары_исходные!E24," ",""),"руб.",""),"руб",""),",","."))),0)</f>
        <v>34500</v>
      </c>
      <c r="F24" s="4">
        <f>IFERROR(VALUE(IF(AND(ISNUMBER(FIND(",",Товары_исходные!F24)),ISNUMBER(FIND(".",Товары_исходные!F24))),SUBSTITUTE(SUBSTITUTE(SUBSTITUTE(SUBSTITUTE(Товары_исходные!F24," ",""),"руб.",""),"руб",""),",",""),SUBSTITUTE(SUBSTITUTE(SUBSTITUTE(SUBSTITUTE(Товары_исходные!F24," ",""),"руб.",""),"руб",""),",","."))),0)</f>
        <v>58500</v>
      </c>
      <c r="G24" t="str">
        <f>IFERROR(VLOOKUP(Товары_исходные!G24,Справочники!$D$2:$E$50,2,FALSE),"шт.")</f>
        <v>шт.</v>
      </c>
      <c r="H24" t="str">
        <f t="shared" si="2"/>
        <v>OK</v>
      </c>
      <c r="I24" t="str">
        <f t="shared" si="3"/>
        <v>OK</v>
      </c>
    </row>
    <row r="25">
      <c r="A25" t="str">
        <f>"АРТ-"&amp;LEFT(SUBSTITUTE(SUBSTITUTE(SUBSTITUTE(SUBSTITUTE(Товары_исходные!A25,"№",""),"АРТ-",""),"АРТ_",""),"/","-"),3)</f>
        <v>АРТ-024</v>
      </c>
      <c r="B25" t="str">
        <f>PROPER(TRIM(IFERROR(LEFT(Товары_исходные!B25,FIND("(",Товары_исходные!B25)-1),Товары_исходные!B25)))</f>
        <v xml:space="preserve">Смартфон Xiaomi 14 Pro</v>
      </c>
      <c r="C25" t="str">
        <f>IFERROR(VLOOKUP(Товары_исходные!C25,Справочники!$A$2:$B$50,2,FALSE),Товары_исходные!C25)</f>
        <v>Смартфоны</v>
      </c>
      <c r="D25" t="str">
        <f>PROPER(TRIM(Товары_исходные!D25))</f>
        <v>Xiaomi</v>
      </c>
      <c r="E25" s="4">
        <f>IFERROR(VALUE(IF(AND(ISNUMBER(FIND(",",Товары_исходные!E25)),ISNUMBER(FIND(".",Товары_исходные!E25))),SUBSTITUTE(SUBSTITUTE(SUBSTITUTE(SUBSTITUTE(Товары_исходные!E25," ",""),"руб.",""),"руб",""),",",""),SUBSTITUTE(SUBSTITUTE(SUBSTITUTE(SUBSTITUTE(Товары_исходные!E25," ",""),"руб.",""),"руб",""),",","."))),0)</f>
        <v>35800</v>
      </c>
      <c r="F25" s="4">
        <f>IFERROR(VALUE(IF(AND(ISNUMBER(FIND(",",Товары_исходные!F25)),ISNUMBER(FIND(".",Товары_исходные!F25))),SUBSTITUTE(SUBSTITUTE(SUBSTITUTE(SUBSTITUTE(Товары_исходные!F25," ",""),"руб.",""),"руб",""),",",""),SUBSTITUTE(SUBSTITUTE(SUBSTITUTE(SUBSTITUTE(Товары_исходные!F25," ",""),"руб.",""),"руб",""),",","."))),0)</f>
        <v>60800</v>
      </c>
      <c r="G25" t="str">
        <f>IFERROR(VLOOKUP(Товары_исходные!G25,Справочники!$D$2:$E$50,2,FALSE),"шт.")</f>
        <v>шт.</v>
      </c>
      <c r="H25" t="str">
        <f t="shared" si="2"/>
        <v>OK</v>
      </c>
      <c r="I25" t="str">
        <f t="shared" si="3"/>
        <v>OK</v>
      </c>
    </row>
    <row r="26">
      <c r="A26" t="str">
        <f>"АРТ-"&amp;LEFT(SUBSTITUTE(SUBSTITUTE(SUBSTITUTE(SUBSTITUTE(Товары_исходные!A26,"№",""),"АРТ-",""),"АРТ_",""),"/","-"),3)</f>
        <v>АРТ-025</v>
      </c>
      <c r="B26" t="str">
        <f>PROPER(TRIM(IFERROR(LEFT(Товары_исходные!B26,FIND("(",Товары_исходные!B26)-1),Товары_исходные!B26)))</f>
        <v xml:space="preserve">Монитор Samsung Odyssey G9</v>
      </c>
      <c r="C26" t="str">
        <f>IFERROR(VLOOKUP(Товары_исходные!C26,Справочники!$A$2:$B$50,2,FALSE),Товары_исходные!C26)</f>
        <v>Мониторы</v>
      </c>
      <c r="D26" t="str">
        <f>PROPER(TRIM(Товары_исходные!D26))</f>
        <v>Samsung</v>
      </c>
      <c r="E26" s="4">
        <f>IFERROR(VALUE(IF(AND(ISNUMBER(FIND(",",Товары_исходные!E26)),ISNUMBER(FIND(".",Товары_исходные!E26))),SUBSTITUTE(SUBSTITUTE(SUBSTITUTE(SUBSTITUTE(Товары_исходные!E26," ",""),"руб.",""),"руб",""),",",""),SUBSTITUTE(SUBSTITUTE(SUBSTITUTE(SUBSTITUTE(Товары_исходные!E26," ",""),"руб.",""),"руб",""),",","."))),0)</f>
        <v>65000</v>
      </c>
      <c r="F26" s="4">
        <f>IFERROR(VALUE(IF(AND(ISNUMBER(FIND(",",Товары_исходные!F26)),ISNUMBER(FIND(".",Товары_исходные!F26))),SUBSTITUTE(SUBSTITUTE(SUBSTITUTE(SUBSTITUTE(Товары_исходные!F26," ",""),"руб.",""),"руб",""),",",""),SUBSTITUTE(SUBSTITUTE(SUBSTITUTE(SUBSTITUTE(Товары_исходные!F26," ",""),"руб.",""),"руб",""),",","."))),0)</f>
        <v>99900</v>
      </c>
      <c r="G26" t="str">
        <f>IFERROR(VLOOKUP(Товары_исходные!G26,Справочники!$D$2:$E$50,2,FALSE),"шт.")</f>
        <v>шт.</v>
      </c>
      <c r="H26" t="str">
        <f t="shared" si="2"/>
        <v>OK</v>
      </c>
      <c r="I26" t="str">
        <f t="shared" si="3"/>
        <v>OK</v>
      </c>
    </row>
    <row r="27">
      <c r="A27" t="str">
        <f>"АРТ-"&amp;LEFT(SUBSTITUTE(SUBSTITUTE(SUBSTITUTE(SUBSTITUTE(Товары_исходные!A27,"№",""),"АРТ-",""),"АРТ_",""),"/","-"),3)</f>
        <v>АРТ-026</v>
      </c>
      <c r="B27" t="str">
        <f>PROPER(TRIM(IFERROR(LEFT(Товары_исходные!B27,FIND("(",Товары_исходные!B27)-1),Товары_исходные!B27)))</f>
        <v xml:space="preserve">Монитор Samsung Odyssey G9</v>
      </c>
      <c r="C27" t="str">
        <f>IFERROR(VLOOKUP(Товары_исходные!C27,Справочники!$A$2:$B$50,2,FALSE),Товары_исходные!C27)</f>
        <v>Мониторы</v>
      </c>
      <c r="D27" t="str">
        <f>PROPER(TRIM(Товары_исходные!D27))</f>
        <v>Samsung</v>
      </c>
      <c r="E27" s="4">
        <f>IFERROR(VALUE(IF(AND(ISNUMBER(FIND(",",Товары_исходные!E27)),ISNUMBER(FIND(".",Товары_исходные!E27))),SUBSTITUTE(SUBSTITUTE(SUBSTITUTE(SUBSTITUTE(Товары_исходные!E27," ",""),"руб.",""),"руб",""),",",""),SUBSTITUTE(SUBSTITUTE(SUBSTITUTE(SUBSTITUTE(Товары_исходные!E27," ",""),"руб.",""),"руб",""),",","."))),0)</f>
        <v>64000</v>
      </c>
      <c r="F27" s="4">
        <f>IFERROR(VALUE(IF(AND(ISNUMBER(FIND(",",Товары_исходные!F27)),ISNUMBER(FIND(".",Товары_исходные!F27))),SUBSTITUTE(SUBSTITUTE(SUBSTITUTE(SUBSTITUTE(Товары_исходные!F27," ",""),"руб.",""),"руб",""),",",""),SUBSTITUTE(SUBSTITUTE(SUBSTITUTE(SUBSTITUTE(Товары_исходные!F27," ",""),"руб.",""),"руб",""),",","."))),0)</f>
        <v>98000</v>
      </c>
      <c r="G27" t="str">
        <f>IFERROR(VLOOKUP(Товары_исходные!G27,Справочники!$D$2:$E$50,2,FALSE),"шт.")</f>
        <v>шт.</v>
      </c>
      <c r="H27" t="str">
        <f t="shared" si="2"/>
        <v>OK</v>
      </c>
      <c r="I27" t="str">
        <f t="shared" si="3"/>
        <v>OK</v>
      </c>
    </row>
    <row r="28">
      <c r="A28" t="str">
        <f>"АРТ-"&amp;LEFT(SUBSTITUTE(SUBSTITUTE(SUBSTITUTE(SUBSTITUTE(Товары_исходные!A28,"№",""),"АРТ-",""),"АРТ_",""),"/","-"),3)</f>
        <v>АРТ-027</v>
      </c>
      <c r="B28" t="str">
        <f>PROPER(TRIM(IFERROR(LEFT(Товары_исходные!B28,FIND("(",Товары_исходные!B28)-1),Товары_исходные!B28)))</f>
        <v xml:space="preserve">Монитор Samsung Odyssey G9</v>
      </c>
      <c r="C28" t="str">
        <f>IFERROR(VLOOKUP(Товары_исходные!C28,Справочники!$A$2:$B$50,2,FALSE),Товары_исходные!C28)</f>
        <v>Мониторы</v>
      </c>
      <c r="D28" t="str">
        <f>PROPER(TRIM(Товары_исходные!D28))</f>
        <v>Samsung</v>
      </c>
      <c r="E28" s="4">
        <f>IFERROR(VALUE(IF(AND(ISNUMBER(FIND(",",Товары_исходные!E28)),ISNUMBER(FIND(".",Товары_исходные!E28))),SUBSTITUTE(SUBSTITUTE(SUBSTITUTE(SUBSTITUTE(Товары_исходные!E28," ",""),"руб.",""),"руб",""),",",""),SUBSTITUTE(SUBSTITUTE(SUBSTITUTE(SUBSTITUTE(Товары_исходные!E28," ",""),"руб.",""),"руб",""),",","."))),0)</f>
        <v>66500</v>
      </c>
      <c r="F28" s="4">
        <f>IFERROR(VALUE(IF(AND(ISNUMBER(FIND(",",Товары_исходные!F28)),ISNUMBER(FIND(".",Товары_исходные!F28))),SUBSTITUTE(SUBSTITUTE(SUBSTITUTE(SUBSTITUTE(Товары_исходные!F28," ",""),"руб.",""),"руб",""),",",""),SUBSTITUTE(SUBSTITUTE(SUBSTITUTE(SUBSTITUTE(Товары_исходные!F28," ",""),"руб.",""),"руб",""),",","."))),0)</f>
        <v>101500</v>
      </c>
      <c r="G28" t="str">
        <f>IFERROR(VLOOKUP(Товары_исходные!G28,Справочники!$D$2:$E$50,2,FALSE),"шт.")</f>
        <v>шт.</v>
      </c>
      <c r="H28" t="str">
        <f t="shared" si="2"/>
        <v>OK</v>
      </c>
      <c r="I28" t="str">
        <f t="shared" si="3"/>
        <v>OK</v>
      </c>
    </row>
    <row r="29">
      <c r="A29" t="str">
        <f>"АРТ-"&amp;LEFT(SUBSTITUTE(SUBSTITUTE(SUBSTITUTE(SUBSTITUTE(Товары_исходные!A29,"№",""),"АРТ-",""),"АРТ_",""),"/","-"),3)</f>
        <v>АРТ-028</v>
      </c>
      <c r="B29" t="str">
        <f>PROPER(TRIM(IFERROR(LEFT(Товары_исходные!B29,FIND("(",Товары_исходные!B29)-1),Товары_исходные!B29)))</f>
        <v xml:space="preserve">Клавиатура Logitech Mx Keys</v>
      </c>
      <c r="C29" t="str">
        <f>IFERROR(VLOOKUP(Товары_исходные!C29,Справочники!$A$2:$B$50,2,FALSE),Товары_исходные!C29)</f>
        <v>Аксессуары</v>
      </c>
      <c r="D29" t="str">
        <f>PROPER(TRIM(Товары_исходные!D29))</f>
        <v>Logitech</v>
      </c>
      <c r="E29" s="4">
        <f>IFERROR(VALUE(IF(AND(ISNUMBER(FIND(",",Товары_исходные!E29)),ISNUMBER(FIND(".",Товары_исходные!E29))),SUBSTITUTE(SUBSTITUTE(SUBSTITUTE(SUBSTITUTE(Товары_исходные!E29," ",""),"руб.",""),"руб",""),",",""),SUBSTITUTE(SUBSTITUTE(SUBSTITUTE(SUBSTITUTE(Товары_исходные!E29," ",""),"руб.",""),"руб",""),",","."))),0)</f>
        <v>5500</v>
      </c>
      <c r="F29" s="4">
        <f>IFERROR(VALUE(IF(AND(ISNUMBER(FIND(",",Товары_исходные!F29)),ISNUMBER(FIND(".",Товары_исходные!F29))),SUBSTITUTE(SUBSTITUTE(SUBSTITUTE(SUBSTITUTE(Товары_исходные!F29," ",""),"руб.",""),"руб",""),",",""),SUBSTITUTE(SUBSTITUTE(SUBSTITUTE(SUBSTITUTE(Товары_исходные!F29," ",""),"руб.",""),"руб",""),",","."))),0)</f>
        <v>9990</v>
      </c>
      <c r="G29" t="str">
        <f>IFERROR(VLOOKUP(Товары_исходные!G29,Справочники!$D$2:$E$50,2,FALSE),"шт.")</f>
        <v>шт.</v>
      </c>
      <c r="H29" t="str">
        <f t="shared" si="2"/>
        <v>OK</v>
      </c>
      <c r="I29" t="str">
        <f t="shared" si="3"/>
        <v>OK</v>
      </c>
    </row>
    <row r="30">
      <c r="A30" t="str">
        <f>"АРТ-"&amp;LEFT(SUBSTITUTE(SUBSTITUTE(SUBSTITUTE(SUBSTITUTE(Товары_исходные!A30,"№",""),"АРТ-",""),"АРТ_",""),"/","-"),3)</f>
        <v>АРТ-029</v>
      </c>
      <c r="B30" t="str">
        <f>PROPER(TRIM(IFERROR(LEFT(Товары_исходные!B30,FIND("(",Товары_исходные!B30)-1),Товары_исходные!B30)))</f>
        <v xml:space="preserve">Клавиатура Logitech Mx Keys</v>
      </c>
      <c r="C30" t="str">
        <f>IFERROR(VLOOKUP(Товары_исходные!C30,Справочники!$A$2:$B$50,2,FALSE),Товары_исходные!C30)</f>
        <v>Аксессуары</v>
      </c>
      <c r="D30" t="str">
        <f>PROPER(TRIM(Товары_исходные!D30))</f>
        <v>Logitech</v>
      </c>
      <c r="E30" s="4">
        <f>IFERROR(VALUE(IF(AND(ISNUMBER(FIND(",",Товары_исходные!E30)),ISNUMBER(FIND(".",Товары_исходные!E30))),SUBSTITUTE(SUBSTITUTE(SUBSTITUTE(SUBSTITUTE(Товары_исходные!E30," ",""),"руб.",""),"руб",""),",",""),SUBSTITUTE(SUBSTITUTE(SUBSTITUTE(SUBSTITUTE(Товары_исходные!E30," ",""),"руб.",""),"руб",""),",","."))),0)</f>
        <v>5200</v>
      </c>
      <c r="F30" s="4">
        <f>IFERROR(VALUE(IF(AND(ISNUMBER(FIND(",",Товары_исходные!F30)),ISNUMBER(FIND(".",Товары_исходные!F30))),SUBSTITUTE(SUBSTITUTE(SUBSTITUTE(SUBSTITUTE(Товары_исходные!F30," ",""),"руб.",""),"руб",""),",",""),SUBSTITUTE(SUBSTITUTE(SUBSTITUTE(SUBSTITUTE(Товары_исходные!F30," ",""),"руб.",""),"руб",""),",","."))),0)</f>
        <v>9500</v>
      </c>
      <c r="G30" t="str">
        <f>IFERROR(VLOOKUP(Товары_исходные!G30,Справочники!$D$2:$E$50,2,FALSE),"шт.")</f>
        <v>шт.</v>
      </c>
      <c r="H30" t="str">
        <f t="shared" si="2"/>
        <v>OK</v>
      </c>
      <c r="I30" t="str">
        <f t="shared" si="3"/>
        <v>OK</v>
      </c>
    </row>
    <row r="31">
      <c r="A31" t="str">
        <f>"АРТ-"&amp;LEFT(SUBSTITUTE(SUBSTITUTE(SUBSTITUTE(SUBSTITUTE(Товары_исходные!A31,"№",""),"АРТ-",""),"АРТ_",""),"/","-"),3)</f>
        <v>АРТ-030</v>
      </c>
      <c r="B31" t="str">
        <f>PROPER(TRIM(IFERROR(LEFT(Товары_исходные!B31,FIND("(",Товары_исходные!B31)-1),Товары_исходные!B31)))</f>
        <v xml:space="preserve">Клавиатура Logitech Mx Keys</v>
      </c>
      <c r="C31" t="str">
        <f>IFERROR(VLOOKUP(Товары_исходные!C31,Справочники!$A$2:$B$50,2,FALSE),Товары_исходные!C31)</f>
        <v>Аксессуары</v>
      </c>
      <c r="D31" t="str">
        <f>PROPER(TRIM(Товары_исходные!D31))</f>
        <v>Logitech</v>
      </c>
      <c r="E31" s="4">
        <f>IFERROR(VALUE(IF(AND(ISNUMBER(FIND(",",Товары_исходные!E31)),ISNUMBER(FIND(".",Товары_исходные!E31))),SUBSTITUTE(SUBSTITUTE(SUBSTITUTE(SUBSTITUTE(Товары_исходные!E31," ",""),"руб.",""),"руб",""),",",""),SUBSTITUTE(SUBSTITUTE(SUBSTITUTE(SUBSTITUTE(Товары_исходные!E31," ",""),"руб.",""),"руб",""),",","."))),0)</f>
        <v>5800</v>
      </c>
      <c r="F31" s="4">
        <f>IFERROR(VALUE(IF(AND(ISNUMBER(FIND(",",Товары_исходные!F31)),ISNUMBER(FIND(".",Товары_исходные!F31))),SUBSTITUTE(SUBSTITUTE(SUBSTITUTE(SUBSTITUTE(Товары_исходные!F31," ",""),"руб.",""),"руб",""),",",""),SUBSTITUTE(SUBSTITUTE(SUBSTITUTE(SUBSTITUTE(Товары_исходные!F31," ",""),"руб.",""),"руб",""),",","."))),0)</f>
        <v>10500</v>
      </c>
      <c r="G31" t="str">
        <f>IFERROR(VLOOKUP(Товары_исходные!G31,Справочники!$D$2:$E$50,2,FALSE),"шт.")</f>
        <v>шт.</v>
      </c>
      <c r="H31" t="str">
        <f t="shared" si="2"/>
        <v>OK</v>
      </c>
      <c r="I31" t="str">
        <f t="shared" si="3"/>
        <v>OK</v>
      </c>
    </row>
    <row r="32">
      <c r="A32" t="str">
        <f>"АРТ-"&amp;LEFT(SUBSTITUTE(SUBSTITUTE(SUBSTITUTE(SUBSTITUTE(Товары_исходные!A32,"№",""),"АРТ-",""),"АРТ_",""),"/","-"),3)</f>
        <v>АРТ-031</v>
      </c>
      <c r="B32" t="str">
        <f>PROPER(TRIM(IFERROR(LEFT(Товары_исходные!B32,FIND("(",Товары_исходные!B32)-1),Товары_исходные!B32)))</f>
        <v xml:space="preserve">Мышь Logitech Mx Master 3S</v>
      </c>
      <c r="C32" t="str">
        <f>IFERROR(VLOOKUP(Товары_исходные!C32,Справочники!$A$2:$B$50,2,FALSE),Товары_исходные!C32)</f>
        <v>Аксессуары</v>
      </c>
      <c r="D32" t="str">
        <f>PROPER(TRIM(Товары_исходные!D32))</f>
        <v>Logitech</v>
      </c>
      <c r="E32" s="4">
        <f>IFERROR(VALUE(IF(AND(ISNUMBER(FIND(",",Товары_исходные!E32)),ISNUMBER(FIND(".",Товары_исходные!E32))),SUBSTITUTE(SUBSTITUTE(SUBSTITUTE(SUBSTITUTE(Товары_исходные!E32," ",""),"руб.",""),"руб",""),",",""),SUBSTITUTE(SUBSTITUTE(SUBSTITUTE(SUBSTITUTE(Товары_исходные!E32," ",""),"руб.",""),"руб",""),",","."))),0)</f>
        <v>4500</v>
      </c>
      <c r="F32" s="4">
        <f>IFERROR(VALUE(IF(AND(ISNUMBER(FIND(",",Товары_исходные!F32)),ISNUMBER(FIND(".",Товары_исходные!F32))),SUBSTITUTE(SUBSTITUTE(SUBSTITUTE(SUBSTITUTE(Товары_исходные!F32," ",""),"руб.",""),"руб",""),",",""),SUBSTITUTE(SUBSTITUTE(SUBSTITUTE(SUBSTITUTE(Товары_исходные!F32," ",""),"руб.",""),"руб",""),",","."))),0)</f>
        <v>8990</v>
      </c>
      <c r="G32" t="str">
        <f>IFERROR(VLOOKUP(Товары_исходные!G32,Справочники!$D$2:$E$50,2,FALSE),"шт.")</f>
        <v>шт.</v>
      </c>
      <c r="H32" t="str">
        <f t="shared" si="2"/>
        <v>OK</v>
      </c>
      <c r="I32" t="str">
        <f t="shared" si="3"/>
        <v>OK</v>
      </c>
    </row>
    <row r="33">
      <c r="A33" t="str">
        <f>"АРТ-"&amp;LEFT(SUBSTITUTE(SUBSTITUTE(SUBSTITUTE(SUBSTITUTE(Товары_исходные!A33,"№",""),"АРТ-",""),"АРТ_",""),"/","-"),3)</f>
        <v>АРТ-032</v>
      </c>
      <c r="B33" t="str">
        <f>PROPER(TRIM(IFERROR(LEFT(Товары_исходные!B33,FIND("(",Товары_исходные!B33)-1),Товары_исходные!B33)))</f>
        <v xml:space="preserve">Мышь Logitech Mx Master 3S</v>
      </c>
      <c r="C33" t="str">
        <f>IFERROR(VLOOKUP(Товары_исходные!C33,Справочники!$A$2:$B$50,2,FALSE),Товары_исходные!C33)</f>
        <v>Аксессуары</v>
      </c>
      <c r="D33" t="str">
        <f>PROPER(TRIM(Товары_исходные!D33))</f>
        <v>Logitech</v>
      </c>
      <c r="E33" s="4">
        <f>IFERROR(VALUE(IF(AND(ISNUMBER(FIND(",",Товары_исходные!E33)),ISNUMBER(FIND(".",Товары_исходные!E33))),SUBSTITUTE(SUBSTITUTE(SUBSTITUTE(SUBSTITUTE(Товары_исходные!E33," ",""),"руб.",""),"руб",""),",",""),SUBSTITUTE(SUBSTITUTE(SUBSTITUTE(SUBSTITUTE(Товары_исходные!E33," ",""),"руб.",""),"руб",""),",","."))),0)</f>
        <v>4200</v>
      </c>
      <c r="F33" s="4">
        <f>IFERROR(VALUE(IF(AND(ISNUMBER(FIND(",",Товары_исходные!F33)),ISNUMBER(FIND(".",Товары_исходные!F33))),SUBSTITUTE(SUBSTITUTE(SUBSTITUTE(SUBSTITUTE(Товары_исходные!F33," ",""),"руб.",""),"руб",""),",",""),SUBSTITUTE(SUBSTITUTE(SUBSTITUTE(SUBSTITUTE(Товары_исходные!F33," ",""),"руб.",""),"руб",""),",","."))),0)</f>
        <v>8500</v>
      </c>
      <c r="G33" t="str">
        <f>IFERROR(VLOOKUP(Товары_исходные!G33,Справочники!$D$2:$E$50,2,FALSE),"шт.")</f>
        <v>шт.</v>
      </c>
      <c r="H33" t="str">
        <f t="shared" si="2"/>
        <v>OK</v>
      </c>
      <c r="I33" t="str">
        <f t="shared" si="3"/>
        <v>OK</v>
      </c>
    </row>
    <row r="34">
      <c r="A34" t="str">
        <f>"АРТ-"&amp;LEFT(SUBSTITUTE(SUBSTITUTE(SUBSTITUTE(SUBSTITUTE(Товары_исходные!A34,"№",""),"АРТ-",""),"АРТ_",""),"/","-"),3)</f>
        <v>АРТ-033</v>
      </c>
      <c r="B34" t="str">
        <f>PROPER(TRIM(IFERROR(LEFT(Товары_исходные!B34,FIND("(",Товары_исходные!B34)-1),Товары_исходные!B34)))</f>
        <v xml:space="preserve">Мышь Logitech Mx Master 3S</v>
      </c>
      <c r="C34" t="str">
        <f>IFERROR(VLOOKUP(Товары_исходные!C34,Справочники!$A$2:$B$50,2,FALSE),Товары_исходные!C34)</f>
        <v>Аксессуары</v>
      </c>
      <c r="D34" t="str">
        <f>PROPER(TRIM(Товары_исходные!D34))</f>
        <v>Logitech</v>
      </c>
      <c r="E34" s="4">
        <f>IFERROR(VALUE(IF(AND(ISNUMBER(FIND(",",Товары_исходные!E34)),ISNUMBER(FIND(".",Товары_исходные!E34))),SUBSTITUTE(SUBSTITUTE(SUBSTITUTE(SUBSTITUTE(Товары_исходные!E34," ",""),"руб.",""),"руб",""),",",""),SUBSTITUTE(SUBSTITUTE(SUBSTITUTE(SUBSTITUTE(Товары_исходные!E34," ",""),"руб.",""),"руб",""),",","."))),0)</f>
        <v>4800</v>
      </c>
      <c r="F34" s="4">
        <f>IFERROR(VALUE(IF(AND(ISNUMBER(FIND(",",Товары_исходные!F34)),ISNUMBER(FIND(".",Товары_исходные!F34))),SUBSTITUTE(SUBSTITUTE(SUBSTITUTE(SUBSTITUTE(Товары_исходные!F34," ",""),"руб.",""),"руб",""),",",""),SUBSTITUTE(SUBSTITUTE(SUBSTITUTE(SUBSTITUTE(Товары_исходные!F34," ",""),"руб.",""),"руб",""),",","."))),0)</f>
        <v>9200</v>
      </c>
      <c r="G34" t="str">
        <f>IFERROR(VLOOKUP(Товары_исходные!G34,Справочники!$D$2:$E$50,2,FALSE),"шт.")</f>
        <v>шт.</v>
      </c>
      <c r="H34" t="str">
        <f t="shared" si="2"/>
        <v>OK</v>
      </c>
      <c r="I34" t="str">
        <f t="shared" si="3"/>
        <v>OK</v>
      </c>
    </row>
    <row r="35">
      <c r="A35" t="str">
        <f>"АРТ-"&amp;LEFT(SUBSTITUTE(SUBSTITUTE(SUBSTITUTE(SUBSTITUTE(Товары_исходные!A35,"№",""),"АРТ-",""),"АРТ_",""),"/","-"),3)</f>
        <v>АРТ-034</v>
      </c>
      <c r="B35" t="str">
        <f>PROPER(TRIM(IFERROR(LEFT(Товары_исходные!B35,FIND("(",Товары_исходные!B35)-1),Товары_исходные!B35)))</f>
        <v xml:space="preserve">Планшет Huawei Matepad Pro</v>
      </c>
      <c r="C35" t="str">
        <f>IFERROR(VLOOKUP(Товары_исходные!C35,Справочники!$A$2:$B$50,2,FALSE),Товары_исходные!C35)</f>
        <v>Планшеты</v>
      </c>
      <c r="D35" t="str">
        <f>PROPER(TRIM(Товары_исходные!D35))</f>
        <v>Huawei</v>
      </c>
      <c r="E35" s="4">
        <f>IFERROR(VALUE(IF(AND(ISNUMBER(FIND(",",Товары_исходные!E35)),ISNUMBER(FIND(".",Товары_исходные!E35))),SUBSTITUTE(SUBSTITUTE(SUBSTITUTE(SUBSTITUTE(Товары_исходные!E35," ",""),"руб.",""),"руб",""),",",""),SUBSTITUTE(SUBSTITUTE(SUBSTITUTE(SUBSTITUTE(Товары_исходные!E35," ",""),"руб.",""),"руб",""),",","."))),0)</f>
        <v>40000</v>
      </c>
      <c r="F35" s="4">
        <f>IFERROR(VALUE(IF(AND(ISNUMBER(FIND(",",Товары_исходные!F35)),ISNUMBER(FIND(".",Товары_исходные!F35))),SUBSTITUTE(SUBSTITUTE(SUBSTITUTE(SUBSTITUTE(Товары_исходные!F35," ",""),"руб.",""),"руб",""),",",""),SUBSTITUTE(SUBSTITUTE(SUBSTITUTE(SUBSTITUTE(Товары_исходные!F35," ",""),"руб.",""),"руб",""),",","."))),0)</f>
        <v>64999</v>
      </c>
      <c r="G35" t="str">
        <f>IFERROR(VLOOKUP(Товары_исходные!G35,Справочники!$D$2:$E$50,2,FALSE),"шт.")</f>
        <v>шт.</v>
      </c>
      <c r="H35" t="str">
        <f t="shared" si="2"/>
        <v>OK</v>
      </c>
      <c r="I35" t="str">
        <f t="shared" si="3"/>
        <v>OK</v>
      </c>
    </row>
    <row r="36">
      <c r="A36" t="str">
        <f>"АРТ-"&amp;LEFT(SUBSTITUTE(SUBSTITUTE(SUBSTITUTE(SUBSTITUTE(Товары_исходные!A36,"№",""),"АРТ-",""),"АРТ_",""),"/","-"),3)</f>
        <v>АРТ-035</v>
      </c>
      <c r="B36" t="str">
        <f>PROPER(TRIM(IFERROR(LEFT(Товары_исходные!B36,FIND("(",Товары_исходные!B36)-1),Товары_исходные!B36)))</f>
        <v xml:space="preserve">Планшет Huawei Matepad Pro</v>
      </c>
      <c r="C36" t="str">
        <f>IFERROR(VLOOKUP(Товары_исходные!C36,Справочники!$A$2:$B$50,2,FALSE),Товары_исходные!C36)</f>
        <v>Планшеты</v>
      </c>
      <c r="D36" t="str">
        <f>PROPER(TRIM(Товары_исходные!D36))</f>
        <v>Huawei</v>
      </c>
      <c r="E36" s="4">
        <f>IFERROR(VALUE(IF(AND(ISNUMBER(FIND(",",Товары_исходные!E36)),ISNUMBER(FIND(".",Товары_исходные!E36))),SUBSTITUTE(SUBSTITUTE(SUBSTITUTE(SUBSTITUTE(Товары_исходные!E36," ",""),"руб.",""),"руб",""),",",""),SUBSTITUTE(SUBSTITUTE(SUBSTITUTE(SUBSTITUTE(Товары_исходные!E36," ",""),"руб.",""),"руб",""),",","."))),0)</f>
        <v>39000</v>
      </c>
      <c r="F36" s="4">
        <f>IFERROR(VALUE(IF(AND(ISNUMBER(FIND(",",Товары_исходные!F36)),ISNUMBER(FIND(".",Товары_исходные!F36))),SUBSTITUTE(SUBSTITUTE(SUBSTITUTE(SUBSTITUTE(Товары_исходные!F36," ",""),"руб.",""),"руб",""),",",""),SUBSTITUTE(SUBSTITUTE(SUBSTITUTE(SUBSTITUTE(Товары_исходные!F36," ",""),"руб.",""),"руб",""),",","."))),0)</f>
        <v>63500</v>
      </c>
      <c r="G36" t="str">
        <f>IFERROR(VLOOKUP(Товары_исходные!G36,Справочники!$D$2:$E$50,2,FALSE),"шт.")</f>
        <v>шт.</v>
      </c>
      <c r="H36" t="str">
        <f t="shared" si="2"/>
        <v>OK</v>
      </c>
      <c r="I36" t="str">
        <f t="shared" si="3"/>
        <v>OK</v>
      </c>
    </row>
    <row r="37">
      <c r="A37" t="str">
        <f>"АРТ-"&amp;LEFT(SUBSTITUTE(SUBSTITUTE(SUBSTITUTE(SUBSTITUTE(Товары_исходные!A37,"№",""),"АРТ-",""),"АРТ_",""),"/","-"),3)</f>
        <v>АРТ-036</v>
      </c>
      <c r="B37" t="str">
        <f>PROPER(TRIM(IFERROR(LEFT(Товары_исходные!B37,FIND("(",Товары_исходные!B37)-1),Товары_исходные!B37)))</f>
        <v xml:space="preserve">Планшет Huawei Matepad Pro</v>
      </c>
      <c r="C37" t="str">
        <f>IFERROR(VLOOKUP(Товары_исходные!C37,Справочники!$A$2:$B$50,2,FALSE),Товары_исходные!C37)</f>
        <v>Планшеты</v>
      </c>
      <c r="D37" t="str">
        <f>PROPER(TRIM(Товары_исходные!D37))</f>
        <v>Huawei</v>
      </c>
      <c r="E37" s="4">
        <f>IFERROR(VALUE(IF(AND(ISNUMBER(FIND(",",Товары_исходные!E37)),ISNUMBER(FIND(".",Товары_исходные!E37))),SUBSTITUTE(SUBSTITUTE(SUBSTITUTE(SUBSTITUTE(Товары_исходные!E37," ",""),"руб.",""),"руб",""),",",""),SUBSTITUTE(SUBSTITUTE(SUBSTITUTE(SUBSTITUTE(Товары_исходные!E37," ",""),"руб.",""),"руб",""),",","."))),0)</f>
        <v>41000</v>
      </c>
      <c r="F37" s="4">
        <f>IFERROR(VALUE(IF(AND(ISNUMBER(FIND(",",Товары_исходные!F37)),ISNUMBER(FIND(".",Товары_исходные!F37))),SUBSTITUTE(SUBSTITUTE(SUBSTITUTE(SUBSTITUTE(Товары_исходные!F37," ",""),"руб.",""),"руб",""),",",""),SUBSTITUTE(SUBSTITUTE(SUBSTITUTE(SUBSTITUTE(Товары_исходные!F37," ",""),"руб.",""),"руб",""),",","."))),0)</f>
        <v>66500</v>
      </c>
      <c r="G37" t="str">
        <f>IFERROR(VLOOKUP(Товары_исходные!G37,Справочники!$D$2:$E$50,2,FALSE),"шт.")</f>
        <v>шт.</v>
      </c>
      <c r="H37" t="str">
        <f t="shared" si="2"/>
        <v>OK</v>
      </c>
      <c r="I37" t="str">
        <f t="shared" si="3"/>
        <v>OK</v>
      </c>
    </row>
    <row r="38">
      <c r="A38" t="str">
        <f>"АРТ-"&amp;LEFT(SUBSTITUTE(SUBSTITUTE(SUBSTITUTE(SUBSTITUTE(Товары_исходные!A38,"№",""),"АРТ-",""),"АРТ_",""),"/","-"),3)</f>
        <v>АРТ-037</v>
      </c>
      <c r="B38" t="str">
        <f>PROPER(TRIM(IFERROR(LEFT(Товары_исходные!B38,FIND("(",Товары_исходные!B38)-1),Товары_исходные!B38)))</f>
        <v xml:space="preserve">Смарт-Часы Apple Watch Ultra</v>
      </c>
      <c r="C38" t="str">
        <f>IFERROR(VLOOKUP(Товары_исходные!C38,Справочники!$A$2:$B$50,2,FALSE),Товары_исходные!C38)</f>
        <v>Часы</v>
      </c>
      <c r="D38" t="str">
        <f>PROPER(TRIM(Товары_исходные!D38))</f>
        <v>Apple</v>
      </c>
      <c r="E38" s="4">
        <f>IFERROR(VALUE(IF(AND(ISNUMBER(FIND(",",Товары_исходные!E38)),ISNUMBER(FIND(".",Товары_исходные!E38))),SUBSTITUTE(SUBSTITUTE(SUBSTITUTE(SUBSTITUTE(Товары_исходные!E38," ",""),"руб.",""),"руб",""),",",""),SUBSTITUTE(SUBSTITUTE(SUBSTITUTE(SUBSTITUTE(Товары_исходные!E38," ",""),"руб.",""),"руб",""),",","."))),0)</f>
        <v>45000</v>
      </c>
      <c r="F38" s="4">
        <f>IFERROR(VALUE(IF(AND(ISNUMBER(FIND(",",Товары_исходные!F38)),ISNUMBER(FIND(".",Товары_исходные!F38))),SUBSTITUTE(SUBSTITUTE(SUBSTITUTE(SUBSTITUTE(Товары_исходные!F38," ",""),"руб.",""),"руб",""),",",""),SUBSTITUTE(SUBSTITUTE(SUBSTITUTE(SUBSTITUTE(Товары_исходные!F38," ",""),"руб.",""),"руб",""),",","."))),0)</f>
        <v>69990</v>
      </c>
      <c r="G38" t="str">
        <f>IFERROR(VLOOKUP(Товары_исходные!G38,Справочники!$D$2:$E$50,2,FALSE),"шт.")</f>
        <v>шт.</v>
      </c>
      <c r="H38" t="str">
        <f t="shared" si="2"/>
        <v>OK</v>
      </c>
      <c r="I38" t="str">
        <f t="shared" si="3"/>
        <v>OK</v>
      </c>
    </row>
    <row r="39">
      <c r="A39" t="str">
        <f>"АРТ-"&amp;LEFT(SUBSTITUTE(SUBSTITUTE(SUBSTITUTE(SUBSTITUTE(Товары_исходные!A39,"№",""),"АРТ-",""),"АРТ_",""),"/","-"),3)</f>
        <v>АРТ-038</v>
      </c>
      <c r="B39" t="str">
        <f>PROPER(TRIM(IFERROR(LEFT(Товары_исходные!B39,FIND("(",Товары_исходные!B39)-1),Товары_исходные!B39)))</f>
        <v xml:space="preserve">Смарт-Часы Apple Watch Ultra</v>
      </c>
      <c r="C39" t="str">
        <f>IFERROR(VLOOKUP(Товары_исходные!C39,Справочники!$A$2:$B$50,2,FALSE),Товары_исходные!C39)</f>
        <v>Часы</v>
      </c>
      <c r="D39" t="str">
        <f>PROPER(TRIM(Товары_исходные!D39))</f>
        <v>Apple</v>
      </c>
      <c r="E39" s="4">
        <f>IFERROR(VALUE(IF(AND(ISNUMBER(FIND(",",Товары_исходные!E39)),ISNUMBER(FIND(".",Товары_исходные!E39))),SUBSTITUTE(SUBSTITUTE(SUBSTITUTE(SUBSTITUTE(Товары_исходные!E39," ",""),"руб.",""),"руб",""),",",""),SUBSTITUTE(SUBSTITUTE(SUBSTITUTE(SUBSTITUTE(Товары_исходные!E39," ",""),"руб.",""),"руб",""),",","."))),0)</f>
        <v>44000</v>
      </c>
      <c r="F39" s="4">
        <f>IFERROR(VALUE(IF(AND(ISNUMBER(FIND(",",Товары_исходные!F39)),ISNUMBER(FIND(".",Товары_исходные!F39))),SUBSTITUTE(SUBSTITUTE(SUBSTITUTE(SUBSTITUTE(Товары_исходные!F39," ",""),"руб.",""),"руб",""),",",""),SUBSTITUTE(SUBSTITUTE(SUBSTITUTE(SUBSTITUTE(Товары_исходные!F39," ",""),"руб.",""),"руб",""),",","."))),0)</f>
        <v>68500</v>
      </c>
      <c r="G39" t="str">
        <f>IFERROR(VLOOKUP(Товары_исходные!G39,Справочники!$D$2:$E$50,2,FALSE),"шт.")</f>
        <v>шт.</v>
      </c>
      <c r="H39" t="str">
        <f t="shared" si="2"/>
        <v>OK</v>
      </c>
      <c r="I39" t="str">
        <f t="shared" si="3"/>
        <v>OK</v>
      </c>
    </row>
    <row r="40">
      <c r="A40" t="str">
        <f>"АРТ-"&amp;LEFT(SUBSTITUTE(SUBSTITUTE(SUBSTITUTE(SUBSTITUTE(Товары_исходные!A40,"№",""),"АРТ-",""),"АРТ_",""),"/","-"),3)</f>
        <v>АРТ-039</v>
      </c>
      <c r="B40" t="str">
        <f>PROPER(TRIM(IFERROR(LEFT(Товары_исходные!B40,FIND("(",Товары_исходные!B40)-1),Товары_исходные!B40)))</f>
        <v xml:space="preserve">Смарт-Часы Apple Watch Ultra</v>
      </c>
      <c r="C40" t="str">
        <f>IFERROR(VLOOKUP(Товары_исходные!C40,Справочники!$A$2:$B$50,2,FALSE),Товары_исходные!C40)</f>
        <v>Часы</v>
      </c>
      <c r="D40" t="str">
        <f>PROPER(TRIM(Товары_исходные!D40))</f>
        <v>Apple</v>
      </c>
      <c r="E40" s="4">
        <f>IFERROR(VALUE(IF(AND(ISNUMBER(FIND(",",Товары_исходные!E40)),ISNUMBER(FIND(".",Товары_исходные!E40))),SUBSTITUTE(SUBSTITUTE(SUBSTITUTE(SUBSTITUTE(Товары_исходные!E40," ",""),"руб.",""),"руб",""),",",""),SUBSTITUTE(SUBSTITUTE(SUBSTITUTE(SUBSTITUTE(Товары_исходные!E40," ",""),"руб.",""),"руб",""),",","."))),0)</f>
        <v>46000</v>
      </c>
      <c r="F40" s="4">
        <f>IFERROR(VALUE(IF(AND(ISNUMBER(FIND(",",Товары_исходные!F40)),ISNUMBER(FIND(".",Товары_исходные!F40))),SUBSTITUTE(SUBSTITUTE(SUBSTITUTE(SUBSTITUTE(Товары_исходные!F40," ",""),"руб.",""),"руб",""),",",""),SUBSTITUTE(SUBSTITUTE(SUBSTITUTE(SUBSTITUTE(Товары_исходные!F40," ",""),"руб.",""),"руб",""),",","."))),0)</f>
        <v>71000</v>
      </c>
      <c r="G40" t="str">
        <f>IFERROR(VLOOKUP(Товары_исходные!G40,Справочники!$D$2:$E$50,2,FALSE),"шт.")</f>
        <v>шт.</v>
      </c>
      <c r="H40" t="str">
        <f t="shared" si="2"/>
        <v>OK</v>
      </c>
      <c r="I40" t="str">
        <f t="shared" si="3"/>
        <v>OK</v>
      </c>
    </row>
    <row r="41">
      <c r="A41" t="str">
        <f>"АРТ-"&amp;LEFT(SUBSTITUTE(SUBSTITUTE(SUBSTITUTE(SUBSTITUTE(Товары_исходные!A41,"№",""),"АРТ-",""),"АРТ_",""),"/","-"),3)</f>
        <v>АРТ-040</v>
      </c>
      <c r="B41" t="str">
        <f>PROPER(TRIM(IFERROR(LEFT(Товары_исходные!B41,FIND("(",Товары_исходные!B41)-1),Товары_исходные!B41)))</f>
        <v xml:space="preserve">Ноутбук Dell Xps 15</v>
      </c>
      <c r="C41" t="str">
        <f>IFERROR(VLOOKUP(Товары_исходные!C41,Справочники!$A$2:$B$50,2,FALSE),Товары_исходные!C41)</f>
        <v>Ноутбуки</v>
      </c>
      <c r="D41" t="str">
        <f>PROPER(TRIM(Товары_исходные!D41))</f>
        <v>Dell</v>
      </c>
      <c r="E41" s="4">
        <f>IFERROR(VALUE(IF(AND(ISNUMBER(FIND(",",Товары_исходные!E41)),ISNUMBER(FIND(".",Товары_исходные!E41))),SUBSTITUTE(SUBSTITUTE(SUBSTITUTE(SUBSTITUTE(Товары_исходные!E41," ",""),"руб.",""),"руб",""),",",""),SUBSTITUTE(SUBSTITUTE(SUBSTITUTE(SUBSTITUTE(Товары_исходные!E41," ",""),"руб.",""),"руб",""),",","."))),0)</f>
        <v>95000</v>
      </c>
      <c r="F41" s="4">
        <f>IFERROR(VALUE(IF(AND(ISNUMBER(FIND(",",Товары_исходные!F41)),ISNUMBER(FIND(".",Товары_исходные!F41))),SUBSTITUTE(SUBSTITUTE(SUBSTITUTE(SUBSTITUTE(Товары_исходные!F41," ",""),"руб.",""),"руб",""),",",""),SUBSTITUTE(SUBSTITUTE(SUBSTITUTE(SUBSTITUTE(Товары_исходные!F41," ",""),"руб.",""),"руб",""),",","."))),0)</f>
        <v>142000</v>
      </c>
      <c r="G41" t="str">
        <f>IFERROR(VLOOKUP(Товары_исходные!G41,Справочники!$D$2:$E$50,2,FALSE),"шт.")</f>
        <v>шт.</v>
      </c>
      <c r="H41" t="str">
        <f t="shared" si="2"/>
        <v>OK</v>
      </c>
      <c r="I41" t="str">
        <f t="shared" si="3"/>
        <v>OK</v>
      </c>
    </row>
    <row r="42">
      <c r="A42" t="str">
        <f>"АРТ-"&amp;LEFT(SUBSTITUTE(SUBSTITUTE(SUBSTITUTE(SUBSTITUTE(Товары_исходные!A42,"№",""),"АРТ-",""),"АРТ_",""),"/","-"),3)</f>
        <v>АРТ-041</v>
      </c>
      <c r="B42" t="str">
        <f>PROPER(TRIM(IFERROR(LEFT(Товары_исходные!B42,FIND("(",Товары_исходные!B42)-1),Товары_исходные!B42)))</f>
        <v xml:space="preserve">Ноутбук Dell Xps 15</v>
      </c>
      <c r="C42" t="str">
        <f>IFERROR(VLOOKUP(Товары_исходные!C42,Справочники!$A$2:$B$50,2,FALSE),Товары_исходные!C42)</f>
        <v>Ноутбуки</v>
      </c>
      <c r="D42" t="str">
        <f>PROPER(TRIM(Товары_исходные!D42))</f>
        <v>Dell</v>
      </c>
      <c r="E42" s="4">
        <f>IFERROR(VALUE(IF(AND(ISNUMBER(FIND(",",Товары_исходные!E42)),ISNUMBER(FIND(".",Товары_исходные!E42))),SUBSTITUTE(SUBSTITUTE(SUBSTITUTE(SUBSTITUTE(Товары_исходные!E42," ",""),"руб.",""),"руб",""),",",""),SUBSTITUTE(SUBSTITUTE(SUBSTITUTE(SUBSTITUTE(Товары_исходные!E42," ",""),"руб.",""),"руб",""),",","."))),0)</f>
        <v>93500</v>
      </c>
      <c r="F42" s="4">
        <f>IFERROR(VALUE(IF(AND(ISNUMBER(FIND(",",Товары_исходные!F42)),ISNUMBER(FIND(".",Товары_исходные!F42))),SUBSTITUTE(SUBSTITUTE(SUBSTITUTE(SUBSTITUTE(Товары_исходные!F42," ",""),"руб.",""),"руб",""),",",""),SUBSTITUTE(SUBSTITUTE(SUBSTITUTE(SUBSTITUTE(Товары_исходные!F42," ",""),"руб.",""),"руб",""),",","."))),0)</f>
        <v>140500</v>
      </c>
      <c r="G42" t="str">
        <f>IFERROR(VLOOKUP(Товары_исходные!G42,Справочники!$D$2:$E$50,2,FALSE),"шт.")</f>
        <v>шт.</v>
      </c>
      <c r="H42" t="str">
        <f t="shared" si="2"/>
        <v>OK</v>
      </c>
      <c r="I42" t="str">
        <f t="shared" si="3"/>
        <v>OK</v>
      </c>
    </row>
    <row r="43">
      <c r="A43" t="str">
        <f>"АРТ-"&amp;LEFT(SUBSTITUTE(SUBSTITUTE(SUBSTITUTE(SUBSTITUTE(Товары_исходные!A43,"№",""),"АРТ-",""),"АРТ_",""),"/","-"),3)</f>
        <v>АРТ-042</v>
      </c>
      <c r="B43" t="str">
        <f>PROPER(TRIM(IFERROR(LEFT(Товары_исходные!B43,FIND("(",Товары_исходные!B43)-1),Товары_исходные!B43)))</f>
        <v xml:space="preserve">Ноутбук Dell Xps 15</v>
      </c>
      <c r="C43" t="str">
        <f>IFERROR(VLOOKUP(Товары_исходные!C43,Справочники!$A$2:$B$50,2,FALSE),Товары_исходные!C43)</f>
        <v>Ноутбуки</v>
      </c>
      <c r="D43" t="str">
        <f>PROPER(TRIM(Товары_исходные!D43))</f>
        <v>Dell</v>
      </c>
      <c r="E43" s="4">
        <f>IFERROR(VALUE(IF(AND(ISNUMBER(FIND(",",Товары_исходные!E43)),ISNUMBER(FIND(".",Товары_исходные!E43))),SUBSTITUTE(SUBSTITUTE(SUBSTITUTE(SUBSTITUTE(Товары_исходные!E43," ",""),"руб.",""),"руб",""),",",""),SUBSTITUTE(SUBSTITUTE(SUBSTITUTE(SUBSTITUTE(Товары_исходные!E43," ",""),"руб.",""),"руб",""),",","."))),0)</f>
        <v>96500</v>
      </c>
      <c r="F43" s="4">
        <f>IFERROR(VALUE(IF(AND(ISNUMBER(FIND(",",Товары_исходные!F43)),ISNUMBER(FIND(".",Товары_исходные!F43))),SUBSTITUTE(SUBSTITUTE(SUBSTITUTE(SUBSTITUTE(Товары_исходные!F43," ",""),"руб.",""),"руб",""),",",""),SUBSTITUTE(SUBSTITUTE(SUBSTITUTE(SUBSTITUTE(Товары_исходные!F43," ",""),"руб.",""),"руб",""),",","."))),0)</f>
        <v>144000</v>
      </c>
      <c r="G43" t="str">
        <f>IFERROR(VLOOKUP(Товары_исходные!G43,Справочники!$D$2:$E$50,2,FALSE),"шт.")</f>
        <v>шт.</v>
      </c>
      <c r="H43" t="str">
        <f t="shared" si="2"/>
        <v>OK</v>
      </c>
      <c r="I43" t="str">
        <f t="shared" si="3"/>
        <v>OK</v>
      </c>
    </row>
    <row r="44">
      <c r="A44" t="str">
        <f>"АРТ-"&amp;LEFT(SUBSTITUTE(SUBSTITUTE(SUBSTITUTE(SUBSTITUTE(Товары_исходные!A44,"№",""),"АРТ-",""),"АРТ_",""),"/","-"),3)</f>
        <v>АРТ-043</v>
      </c>
      <c r="B44" t="str">
        <f>PROPER(TRIM(IFERROR(LEFT(Товары_исходные!B44,FIND("(",Товары_исходные!B44)-1),Товары_исходные!B44)))</f>
        <v xml:space="preserve">Телевизор Sony Bravia Xr</v>
      </c>
      <c r="C44" t="str">
        <f>IFERROR(VLOOKUP(Товары_исходные!C44,Справочники!$A$2:$B$50,2,FALSE),Товары_исходные!C44)</f>
        <v>Телевизоры</v>
      </c>
      <c r="D44" t="str">
        <f>PROPER(TRIM(Товары_исходные!D44))</f>
        <v>Sony</v>
      </c>
      <c r="E44" s="4">
        <f>IFERROR(VALUE(IF(AND(ISNUMBER(FIND(",",Товары_исходные!E44)),ISNUMBER(FIND(".",Товары_исходные!E44))),SUBSTITUTE(SUBSTITUTE(SUBSTITUTE(SUBSTITUTE(Товары_исходные!E44," ",""),"руб.",""),"руб",""),",",""),SUBSTITUTE(SUBSTITUTE(SUBSTITUTE(SUBSTITUTE(Товары_исходные!E44," ",""),"руб.",""),"руб",""),",","."))),0)</f>
        <v>88000</v>
      </c>
      <c r="F44" s="4">
        <f>IFERROR(VALUE(IF(AND(ISNUMBER(FIND(",",Товары_исходные!F44)),ISNUMBER(FIND(".",Товары_исходные!F44))),SUBSTITUTE(SUBSTITUTE(SUBSTITUTE(SUBSTITUTE(Товары_исходные!F44," ",""),"руб.",""),"руб",""),",",""),SUBSTITUTE(SUBSTITUTE(SUBSTITUTE(SUBSTITUTE(Товары_исходные!F44," ",""),"руб.",""),"руб",""),",","."))),0)</f>
        <v>134990</v>
      </c>
      <c r="G44" t="str">
        <f>IFERROR(VLOOKUP(Товары_исходные!G44,Справочники!$D$2:$E$50,2,FALSE),"шт.")</f>
        <v>шт.</v>
      </c>
      <c r="H44" t="str">
        <f t="shared" si="2"/>
        <v>OK</v>
      </c>
      <c r="I44" t="str">
        <f t="shared" si="3"/>
        <v>OK</v>
      </c>
    </row>
    <row r="45">
      <c r="A45" t="str">
        <f>"АРТ-"&amp;LEFT(SUBSTITUTE(SUBSTITUTE(SUBSTITUTE(SUBSTITUTE(Товары_исходные!A45,"№",""),"АРТ-",""),"АРТ_",""),"/","-"),3)</f>
        <v>АРТ-044</v>
      </c>
      <c r="B45" t="str">
        <f>PROPER(TRIM(IFERROR(LEFT(Товары_исходные!B45,FIND("(",Товары_исходные!B45)-1),Товары_исходные!B45)))</f>
        <v xml:space="preserve">Телевизор Sony Bravia Xr</v>
      </c>
      <c r="C45" t="str">
        <f>IFERROR(VLOOKUP(Товары_исходные!C45,Справочники!$A$2:$B$50,2,FALSE),Товары_исходные!C45)</f>
        <v>Телевизоры</v>
      </c>
      <c r="D45" t="str">
        <f>PROPER(TRIM(Товары_исходные!D45))</f>
        <v>Sony</v>
      </c>
      <c r="E45" s="4">
        <f>IFERROR(VALUE(IF(AND(ISNUMBER(FIND(",",Товары_исходные!E45)),ISNUMBER(FIND(".",Товары_исходные!E45))),SUBSTITUTE(SUBSTITUTE(SUBSTITUTE(SUBSTITUTE(Товары_исходные!E45," ",""),"руб.",""),"руб",""),",",""),SUBSTITUTE(SUBSTITUTE(SUBSTITUTE(SUBSTITUTE(Товары_исходные!E45," ",""),"руб.",""),"руб",""),",","."))),0)</f>
        <v>86500</v>
      </c>
      <c r="F45" s="4">
        <f>IFERROR(VALUE(IF(AND(ISNUMBER(FIND(",",Товары_исходные!F45)),ISNUMBER(FIND(".",Товары_исходные!F45))),SUBSTITUTE(SUBSTITUTE(SUBSTITUTE(SUBSTITUTE(Товары_исходные!F45," ",""),"руб.",""),"руб",""),",",""),SUBSTITUTE(SUBSTITUTE(SUBSTITUTE(SUBSTITUTE(Товары_исходные!F45," ",""),"руб.",""),"руб",""),",","."))),0)</f>
        <v>132000</v>
      </c>
      <c r="G45" t="str">
        <f>IFERROR(VLOOKUP(Товары_исходные!G45,Справочники!$D$2:$E$50,2,FALSE),"шт.")</f>
        <v>шт.</v>
      </c>
      <c r="H45" t="str">
        <f t="shared" si="2"/>
        <v>OK</v>
      </c>
      <c r="I45" t="str">
        <f t="shared" si="3"/>
        <v>OK</v>
      </c>
    </row>
    <row r="46">
      <c r="A46" t="str">
        <f>"АРТ-"&amp;LEFT(SUBSTITUTE(SUBSTITUTE(SUBSTITUTE(SUBSTITUTE(Товары_исходные!A46,"№",""),"АРТ-",""),"АРТ_",""),"/","-"),3)</f>
        <v>АРТ-045</v>
      </c>
      <c r="B46" t="str">
        <f>PROPER(TRIM(IFERROR(LEFT(Товары_исходные!B46,FIND("(",Товары_исходные!B46)-1),Товары_исходные!B46)))</f>
        <v xml:space="preserve">Телевизор Sony Bravia Xr</v>
      </c>
      <c r="C46" t="str">
        <f>IFERROR(VLOOKUP(Товары_исходные!C46,Справочники!$A$2:$B$50,2,FALSE),Товары_исходные!C46)</f>
        <v>Телевизоры</v>
      </c>
      <c r="D46" t="str">
        <f>PROPER(TRIM(Товары_исходные!D46))</f>
        <v>Sony</v>
      </c>
      <c r="E46" s="4">
        <f>IFERROR(VALUE(IF(AND(ISNUMBER(FIND(",",Товары_исходные!E46)),ISNUMBER(FIND(".",Товары_исходные!E46))),SUBSTITUTE(SUBSTITUTE(SUBSTITUTE(SUBSTITUTE(Товары_исходные!E46," ",""),"руб.",""),"руб",""),",",""),SUBSTITUTE(SUBSTITUTE(SUBSTITUTE(SUBSTITUTE(Товары_исходные!E46," ",""),"руб.",""),"руб",""),",","."))),0)</f>
        <v>89500</v>
      </c>
      <c r="F46" s="4">
        <f>IFERROR(VALUE(IF(AND(ISNUMBER(FIND(",",Товары_исходные!F46)),ISNUMBER(FIND(".",Товары_исходные!F46))),SUBSTITUTE(SUBSTITUTE(SUBSTITUTE(SUBSTITUTE(Товары_исходные!F46," ",""),"руб.",""),"руб",""),",",""),SUBSTITUTE(SUBSTITUTE(SUBSTITUTE(SUBSTITUTE(Товары_исходные!F46," ",""),"руб.",""),"руб",""),",","."))),0)</f>
        <v>137000</v>
      </c>
      <c r="G46" t="str">
        <f>IFERROR(VLOOKUP(Товары_исходные!G46,Справочники!$D$2:$E$50,2,FALSE),"шт.")</f>
        <v>шт.</v>
      </c>
      <c r="H46" t="str">
        <f t="shared" si="2"/>
        <v>OK</v>
      </c>
      <c r="I46" t="str">
        <f t="shared" si="3"/>
        <v>OK</v>
      </c>
    </row>
    <row r="47">
      <c r="A47" t="str">
        <f>"АРТ-"&amp;LEFT(SUBSTITUTE(SUBSTITUTE(SUBSTITUTE(SUBSTITUTE(Товары_исходные!A47,"№",""),"АРТ-",""),"АРТ_",""),"/","-"),3)</f>
        <v>АРТ-046</v>
      </c>
      <c r="B47" t="str">
        <f>PROPER(TRIM(IFERROR(LEFT(Товары_исходные!B47,FIND("(",Товары_исходные!B47)-1),Товары_исходные!B47)))</f>
        <v xml:space="preserve">Наушники Apple Airpods Pro</v>
      </c>
      <c r="C47" t="str">
        <f>IFERROR(VLOOKUP(Товары_исходные!C47,Справочники!$A$2:$B$50,2,FALSE),Товары_исходные!C47)</f>
        <v>Наушники</v>
      </c>
      <c r="D47" t="str">
        <f>PROPER(TRIM(Товары_исходные!D47))</f>
        <v>Apple</v>
      </c>
      <c r="E47" s="4">
        <f>IFERROR(VALUE(IF(AND(ISNUMBER(FIND(",",Товары_исходные!E47)),ISNUMBER(FIND(".",Товары_исходные!E47))),SUBSTITUTE(SUBSTITUTE(SUBSTITUTE(SUBSTITUTE(Товары_исходные!E47," ",""),"руб.",""),"руб",""),",",""),SUBSTITUTE(SUBSTITUTE(SUBSTITUTE(SUBSTITUTE(Товары_исходные!E47," ",""),"руб.",""),"руб",""),",","."))),0)</f>
        <v>15000</v>
      </c>
      <c r="F47" s="4">
        <f>IFERROR(VALUE(IF(AND(ISNUMBER(FIND(",",Товары_исходные!F47)),ISNUMBER(FIND(".",Товары_исходные!F47))),SUBSTITUTE(SUBSTITUTE(SUBSTITUTE(SUBSTITUTE(Товары_исходные!F47," ",""),"руб.",""),"руб",""),",",""),SUBSTITUTE(SUBSTITUTE(SUBSTITUTE(SUBSTITUTE(Товары_исходные!F47," ",""),"руб.",""),"руб",""),",","."))),0)</f>
        <v>24990</v>
      </c>
      <c r="G47" t="str">
        <f>IFERROR(VLOOKUP(Товары_исходные!G47,Справочники!$D$2:$E$50,2,FALSE),"шт.")</f>
        <v>шт.</v>
      </c>
      <c r="H47" t="str">
        <f t="shared" si="2"/>
        <v>OK</v>
      </c>
      <c r="I47" t="str">
        <f t="shared" si="3"/>
        <v>OK</v>
      </c>
    </row>
    <row r="48">
      <c r="A48" t="str">
        <f>"АРТ-"&amp;LEFT(SUBSTITUTE(SUBSTITUTE(SUBSTITUTE(SUBSTITUTE(Товары_исходные!A48,"№",""),"АРТ-",""),"АРТ_",""),"/","-"),3)</f>
        <v>АРТ-047</v>
      </c>
      <c r="B48" t="str">
        <f>PROPER(TRIM(IFERROR(LEFT(Товары_исходные!B48,FIND("(",Товары_исходные!B48)-1),Товары_исходные!B48)))</f>
        <v xml:space="preserve">Наушники Apple Airpods Pro</v>
      </c>
      <c r="C48" t="str">
        <f>IFERROR(VLOOKUP(Товары_исходные!C48,Справочники!$A$2:$B$50,2,FALSE),Товары_исходные!C48)</f>
        <v>Наушники</v>
      </c>
      <c r="D48" t="str">
        <f>PROPER(TRIM(Товары_исходные!D48))</f>
        <v>Apple</v>
      </c>
      <c r="E48" s="4">
        <f>IFERROR(VALUE(IF(AND(ISNUMBER(FIND(",",Товары_исходные!E48)),ISNUMBER(FIND(".",Товары_исходные!E48))),SUBSTITUTE(SUBSTITUTE(SUBSTITUTE(SUBSTITUTE(Товары_исходные!E48," ",""),"руб.",""),"руб",""),",",""),SUBSTITUTE(SUBSTITUTE(SUBSTITUTE(SUBSTITUTE(Товары_исходные!E48," ",""),"руб.",""),"руб",""),",","."))),0)</f>
        <v>14500</v>
      </c>
      <c r="F48" s="4">
        <f>IFERROR(VALUE(IF(AND(ISNUMBER(FIND(",",Товары_исходные!F48)),ISNUMBER(FIND(".",Товары_исходные!F48))),SUBSTITUTE(SUBSTITUTE(SUBSTITUTE(SUBSTITUTE(Товары_исходные!F48," ",""),"руб.",""),"руб",""),",",""),SUBSTITUTE(SUBSTITUTE(SUBSTITUTE(SUBSTITUTE(Товары_исходные!F48," ",""),"руб.",""),"руб",""),",","."))),0)</f>
        <v>23900</v>
      </c>
      <c r="G48" t="str">
        <f>IFERROR(VLOOKUP(Товары_исходные!G48,Справочники!$D$2:$E$50,2,FALSE),"шт.")</f>
        <v>шт.</v>
      </c>
      <c r="H48" t="str">
        <f t="shared" si="2"/>
        <v>OK</v>
      </c>
      <c r="I48" t="str">
        <f t="shared" si="3"/>
        <v>OK</v>
      </c>
    </row>
    <row r="49">
      <c r="A49" t="str">
        <f>"АРТ-"&amp;LEFT(SUBSTITUTE(SUBSTITUTE(SUBSTITUTE(SUBSTITUTE(Товары_исходные!A49,"№",""),"АРТ-",""),"АРТ_",""),"/","-"),3)</f>
        <v>АРТ-048</v>
      </c>
      <c r="B49" t="str">
        <f>PROPER(TRIM(IFERROR(LEFT(Товары_исходные!B49,FIND("(",Товары_исходные!B49)-1),Товары_исходные!B49)))</f>
        <v xml:space="preserve">Наушники Apple Airpods Pro</v>
      </c>
      <c r="C49" t="str">
        <f>IFERROR(VLOOKUP(Товары_исходные!C49,Справочники!$A$2:$B$50,2,FALSE),Товары_исходные!C49)</f>
        <v>Наушники</v>
      </c>
      <c r="D49" t="str">
        <f>PROPER(TRIM(Товары_исходные!D49))</f>
        <v>Apple</v>
      </c>
      <c r="E49" s="4">
        <f>IFERROR(VALUE(IF(AND(ISNUMBER(FIND(",",Товары_исходные!E49)),ISNUMBER(FIND(".",Товары_исходные!E49))),SUBSTITUTE(SUBSTITUTE(SUBSTITUTE(SUBSTITUTE(Товары_исходные!E49," ",""),"руб.",""),"руб",""),",",""),SUBSTITUTE(SUBSTITUTE(SUBSTITUTE(SUBSTITUTE(Товары_исходные!E49," ",""),"руб.",""),"руб",""),",","."))),0)</f>
        <v>15800</v>
      </c>
      <c r="F49" s="4">
        <f>IFERROR(VALUE(IF(AND(ISNUMBER(FIND(",",Товары_исходные!F49)),ISNUMBER(FIND(".",Товары_исходные!F49))),SUBSTITUTE(SUBSTITUTE(SUBSTITUTE(SUBSTITUTE(Товары_исходные!F49," ",""),"руб.",""),"руб",""),",",""),SUBSTITUTE(SUBSTITUTE(SUBSTITUTE(SUBSTITUTE(Товары_исходные!F49," ",""),"руб.",""),"руб",""),",","."))),0)</f>
        <v>25800</v>
      </c>
      <c r="G49" t="str">
        <f>IFERROR(VLOOKUP(Товары_исходные!G49,Справочники!$D$2:$E$50,2,FALSE),"шт.")</f>
        <v>шт.</v>
      </c>
      <c r="H49" t="str">
        <f t="shared" si="2"/>
        <v>OK</v>
      </c>
      <c r="I49" t="str">
        <f t="shared" si="3"/>
        <v>OK</v>
      </c>
    </row>
    <row r="50">
      <c r="A50" t="str">
        <f>"АРТ-"&amp;LEFT(SUBSTITUTE(SUBSTITUTE(SUBSTITUTE(SUBSTITUTE(Товары_исходные!A50,"№",""),"АРТ-",""),"АРТ_",""),"/","-"),3)</f>
        <v>АРТ-049</v>
      </c>
      <c r="B50" t="str">
        <f>PROPER(TRIM(IFERROR(LEFT(Товары_исходные!B50,FIND("(",Товары_исходные!B50)-1),Товары_исходные!B50)))</f>
        <v xml:space="preserve">Смартфон Google Pixel 8</v>
      </c>
      <c r="C50" t="str">
        <f>IFERROR(VLOOKUP(Товары_исходные!C50,Справочники!$A$2:$B$50,2,FALSE),Товары_исходные!C50)</f>
        <v>Смартфоны</v>
      </c>
      <c r="D50" t="str">
        <f>PROPER(TRIM(Товары_исходные!D50))</f>
        <v>Google</v>
      </c>
      <c r="E50" s="4">
        <f>IFERROR(VALUE(IF(AND(ISNUMBER(FIND(",",Товары_исходные!E50)),ISNUMBER(FIND(".",Товары_исходные!E50))),SUBSTITUTE(SUBSTITUTE(SUBSTITUTE(SUBSTITUTE(Товары_исходные!E50," ",""),"руб.",""),"руб",""),",",""),SUBSTITUTE(SUBSTITUTE(SUBSTITUTE(SUBSTITUTE(Товары_исходные!E50," ",""),"руб.",""),"руб",""),",","."))),0)</f>
        <v>32000</v>
      </c>
      <c r="F50" s="4">
        <f>IFERROR(VALUE(IF(AND(ISNUMBER(FIND(",",Товары_исходные!F50)),ISNUMBER(FIND(".",Товары_исходные!F50))),SUBSTITUTE(SUBSTITUTE(SUBSTITUTE(SUBSTITUTE(Товары_исходные!F50," ",""),"руб.",""),"руб",""),",",""),SUBSTITUTE(SUBSTITUTE(SUBSTITUTE(SUBSTITUTE(Товары_исходные!F50," ",""),"руб.",""),"руб",""),",","."))),0)</f>
        <v>54999</v>
      </c>
      <c r="G50" t="str">
        <f>IFERROR(VLOOKUP(Товары_исходные!G50,Справочники!$D$2:$E$50,2,FALSE),"шт.")</f>
        <v>шт.</v>
      </c>
      <c r="H50" t="str">
        <f t="shared" si="2"/>
        <v>OK</v>
      </c>
      <c r="I50" t="str">
        <f t="shared" si="3"/>
        <v>OK</v>
      </c>
    </row>
    <row r="51">
      <c r="A51" t="str">
        <f>"АРТ-"&amp;LEFT(SUBSTITUTE(SUBSTITUTE(SUBSTITUTE(SUBSTITUTE(Товары_исходные!A51,"№",""),"АРТ-",""),"АРТ_",""),"/","-"),3)</f>
        <v>АРТ-050</v>
      </c>
      <c r="B51" t="str">
        <f>PROPER(TRIM(IFERROR(LEFT(Товары_исходные!B51,FIND("(",Товары_исходные!B51)-1),Товары_исходные!B51)))</f>
        <v xml:space="preserve">Смартфон Google Pixel 8</v>
      </c>
      <c r="C51" t="str">
        <f>IFERROR(VLOOKUP(Товары_исходные!C51,Справочники!$A$2:$B$50,2,FALSE),Товары_исходные!C51)</f>
        <v>Смартфоны</v>
      </c>
      <c r="D51" t="str">
        <f>PROPER(TRIM(Товары_исходные!D51))</f>
        <v>Google</v>
      </c>
      <c r="E51" s="4">
        <f>IFERROR(VALUE(IF(AND(ISNUMBER(FIND(",",Товары_исходные!E51)),ISNUMBER(FIND(".",Товары_исходные!E51))),SUBSTITUTE(SUBSTITUTE(SUBSTITUTE(SUBSTITUTE(Товары_исходные!E51," ",""),"руб.",""),"руб",""),",",""),SUBSTITUTE(SUBSTITUTE(SUBSTITUTE(SUBSTITUTE(Товары_исходные!E51," ",""),"руб.",""),"руб",""),",","."))),0)</f>
        <v>31500</v>
      </c>
      <c r="F51" s="4">
        <f>IFERROR(VALUE(IF(AND(ISNUMBER(FIND(",",Товары_исходные!F51)),ISNUMBER(FIND(".",Товары_исходные!F51))),SUBSTITUTE(SUBSTITUTE(SUBSTITUTE(SUBSTITUTE(Товары_исходные!F51," ",""),"руб.",""),"руб",""),",",""),SUBSTITUTE(SUBSTITUTE(SUBSTITUTE(SUBSTITUTE(Товары_исходные!F51," ",""),"руб.",""),"руб",""),",","."))),0)</f>
        <v>53500</v>
      </c>
      <c r="G51" t="str">
        <f>IFERROR(VLOOKUP(Товары_исходные!G51,Справочники!$D$2:$E$50,2,FALSE),"шт.")</f>
        <v>шт.</v>
      </c>
      <c r="H51" t="str">
        <f t="shared" si="2"/>
        <v>OK</v>
      </c>
      <c r="I51" t="str">
        <f t="shared" si="3"/>
        <v>OK</v>
      </c>
    </row>
    <row r="52">
      <c r="A52" t="str">
        <f>"АРТ-"&amp;LEFT(SUBSTITUTE(SUBSTITUTE(SUBSTITUTE(SUBSTITUTE(Товары_исходные!A52,"№",""),"АРТ-",""),"АРТ_",""),"/","-"),3)</f>
        <v>АРТ-051</v>
      </c>
      <c r="B52" t="str">
        <f>PROPER(TRIM(IFERROR(LEFT(Товары_исходные!B52,FIND("(",Товары_исходные!B52)-1),Товары_исходные!B52)))</f>
        <v xml:space="preserve">Смартфон Google Pixel 8</v>
      </c>
      <c r="C52" t="str">
        <f>IFERROR(VLOOKUP(Товары_исходные!C52,Справочники!$A$2:$B$50,2,FALSE),Товары_исходные!C52)</f>
        <v>Смартфоны</v>
      </c>
      <c r="D52" t="str">
        <f>PROPER(TRIM(Товары_исходные!D52))</f>
        <v>Google</v>
      </c>
      <c r="E52" s="4">
        <f>IFERROR(VALUE(IF(AND(ISNUMBER(FIND(",",Товары_исходные!E52)),ISNUMBER(FIND(".",Товары_исходные!E52))),SUBSTITUTE(SUBSTITUTE(SUBSTITUTE(SUBSTITUTE(Товары_исходные!E52," ",""),"руб.",""),"руб",""),",",""),SUBSTITUTE(SUBSTITUTE(SUBSTITUTE(SUBSTITUTE(Товары_исходные!E52," ",""),"руб.",""),"руб",""),",","."))),0)</f>
        <v>32800</v>
      </c>
      <c r="F52" s="4">
        <f>IFERROR(VALUE(IF(AND(ISNUMBER(FIND(",",Товары_исходные!F52)),ISNUMBER(FIND(".",Товары_исходные!F52))),SUBSTITUTE(SUBSTITUTE(SUBSTITUTE(SUBSTITUTE(Товары_исходные!F52," ",""),"руб.",""),"руб",""),",",""),SUBSTITUTE(SUBSTITUTE(SUBSTITUTE(SUBSTITUTE(Товары_исходные!F52," ",""),"руб.",""),"руб",""),",","."))),0)</f>
        <v>56000</v>
      </c>
      <c r="G52" t="str">
        <f>IFERROR(VLOOKUP(Товары_исходные!G52,Справочники!$D$2:$E$50,2,FALSE),"шт.")</f>
        <v>шт.</v>
      </c>
      <c r="H52" t="str">
        <f t="shared" si="2"/>
        <v>OK</v>
      </c>
      <c r="I52" t="str">
        <f t="shared" si="3"/>
        <v>OK</v>
      </c>
    </row>
    <row r="53">
      <c r="A53" t="str">
        <f>"АРТ-"&amp;LEFT(SUBSTITUTE(SUBSTITUTE(SUBSTITUTE(SUBSTITUTE(Товары_исходные!A53,"№",""),"АРТ-",""),"АРТ_",""),"/","-"),3)</f>
        <v>АРТ-052</v>
      </c>
      <c r="B53" t="str">
        <f>PROPER(TRIM(IFERROR(LEFT(Товары_исходные!B53,FIND("(",Товары_исходные!B53)-1),Товары_исходные!B53)))</f>
        <v xml:space="preserve">Монитор Lg Ultragear 27Gp950</v>
      </c>
      <c r="C53" t="str">
        <f>IFERROR(VLOOKUP(Товары_исходные!C53,Справочники!$A$2:$B$50,2,FALSE),Товары_исходные!C53)</f>
        <v>Мониторы</v>
      </c>
      <c r="D53" t="str">
        <f>PROPER(TRIM(Товары_исходные!D53))</f>
        <v>Lg</v>
      </c>
      <c r="E53" s="4">
        <f>IFERROR(VALUE(IF(AND(ISNUMBER(FIND(",",Товары_исходные!E53)),ISNUMBER(FIND(".",Товары_исходные!E53))),SUBSTITUTE(SUBSTITUTE(SUBSTITUTE(SUBSTITUTE(Товары_исходные!E53," ",""),"руб.",""),"руб",""),",",""),SUBSTITUTE(SUBSTITUTE(SUBSTITUTE(SUBSTITUTE(Товары_исходные!E53," ",""),"руб.",""),"руб",""),",","."))),0)</f>
        <v>45000</v>
      </c>
      <c r="F53" s="4">
        <f>IFERROR(VALUE(IF(AND(ISNUMBER(FIND(",",Товары_исходные!F53)),ISNUMBER(FIND(".",Товары_исходные!F53))),SUBSTITUTE(SUBSTITUTE(SUBSTITUTE(SUBSTITUTE(Товары_исходные!F53," ",""),"руб.",""),"руб",""),",",""),SUBSTITUTE(SUBSTITUTE(SUBSTITUTE(SUBSTITUTE(Товары_исходные!F53," ",""),"руб.",""),"руб",""),",","."))),0)</f>
        <v>69900</v>
      </c>
      <c r="G53" t="str">
        <f>IFERROR(VLOOKUP(Товары_исходные!G53,Справочники!$D$2:$E$50,2,FALSE),"шт.")</f>
        <v>шт.</v>
      </c>
      <c r="H53" t="str">
        <f t="shared" si="2"/>
        <v>OK</v>
      </c>
      <c r="I53" t="str">
        <f t="shared" si="3"/>
        <v>OK</v>
      </c>
    </row>
    <row r="54">
      <c r="A54" t="str">
        <f>"АРТ-"&amp;LEFT(SUBSTITUTE(SUBSTITUTE(SUBSTITUTE(SUBSTITUTE(Товары_исходные!A54,"№",""),"АРТ-",""),"АРТ_",""),"/","-"),3)</f>
        <v>АРТ-053</v>
      </c>
      <c r="B54" t="str">
        <f>PROPER(TRIM(IFERROR(LEFT(Товары_исходные!B54,FIND("(",Товары_исходные!B54)-1),Товары_исходные!B54)))</f>
        <v xml:space="preserve">Монитор Lg Ultra Gear 27Gp950</v>
      </c>
      <c r="C54" t="str">
        <f>IFERROR(VLOOKUP(Товары_исходные!C54,Справочники!$A$2:$B$50,2,FALSE),Товары_исходные!C54)</f>
        <v>Мониторы</v>
      </c>
      <c r="D54" t="str">
        <f>PROPER(TRIM(Товары_исходные!D54))</f>
        <v>Lg</v>
      </c>
      <c r="E54" s="4">
        <f>IFERROR(VALUE(IF(AND(ISNUMBER(FIND(",",Товары_исходные!E54)),ISNUMBER(FIND(".",Товары_исходные!E54))),SUBSTITUTE(SUBSTITUTE(SUBSTITUTE(SUBSTITUTE(Товары_исходные!E54," ",""),"руб.",""),"руб",""),",",""),SUBSTITUTE(SUBSTITUTE(SUBSTITUTE(SUBSTITUTE(Товары_исходные!E54," ",""),"руб.",""),"руб",""),",","."))),0)</f>
        <v>44000</v>
      </c>
      <c r="F54" s="4">
        <f>IFERROR(VALUE(IF(AND(ISNUMBER(FIND(",",Товары_исходные!F54)),ISNUMBER(FIND(".",Товары_исходные!F54))),SUBSTITUTE(SUBSTITUTE(SUBSTITUTE(SUBSTITUTE(Товары_исходные!F54," ",""),"руб.",""),"руб",""),",",""),SUBSTITUTE(SUBSTITUTE(SUBSTITUTE(SUBSTITUTE(Товары_исходные!F54," ",""),"руб.",""),"руб",""),",","."))),0)</f>
        <v>68000</v>
      </c>
      <c r="G54" t="str">
        <f>IFERROR(VLOOKUP(Товары_исходные!G54,Справочники!$D$2:$E$50,2,FALSE),"шт.")</f>
        <v>шт.</v>
      </c>
      <c r="H54" t="str">
        <f t="shared" si="2"/>
        <v>OK</v>
      </c>
      <c r="I54" t="str">
        <f t="shared" si="3"/>
        <v>OK</v>
      </c>
    </row>
    <row r="55">
      <c r="A55" t="str">
        <f>"АРТ-"&amp;LEFT(SUBSTITUTE(SUBSTITUTE(SUBSTITUTE(SUBSTITUTE(Товары_исходные!A55,"№",""),"АРТ-",""),"АРТ_",""),"/","-"),3)</f>
        <v>АРТ-054</v>
      </c>
      <c r="B55" t="str">
        <f>PROPER(TRIM(IFERROR(LEFT(Товары_исходные!B55,FIND("(",Товары_исходные!B55)-1),Товары_исходные!B55)))</f>
        <v xml:space="preserve">Монитор Lg Ultragear 27Gp950</v>
      </c>
      <c r="C55" t="str">
        <f>IFERROR(VLOOKUP(Товары_исходные!C55,Справочники!$A$2:$B$50,2,FALSE),Товары_исходные!C55)</f>
        <v>Мониторы</v>
      </c>
      <c r="D55" t="str">
        <f>PROPER(TRIM(Товары_исходные!D55))</f>
        <v>Lg</v>
      </c>
      <c r="E55" s="4">
        <f>IFERROR(VALUE(IF(AND(ISNUMBER(FIND(",",Товары_исходные!E55)),ISNUMBER(FIND(".",Товары_исходные!E55))),SUBSTITUTE(SUBSTITUTE(SUBSTITUTE(SUBSTITUTE(Товары_исходные!E55," ",""),"руб.",""),"руб",""),",",""),SUBSTITUTE(SUBSTITUTE(SUBSTITUTE(SUBSTITUTE(Товары_исходные!E55," ",""),"руб.",""),"руб",""),",","."))),0)</f>
        <v>46500</v>
      </c>
      <c r="F55" s="4">
        <f>IFERROR(VALUE(IF(AND(ISNUMBER(FIND(",",Товары_исходные!F55)),ISNUMBER(FIND(".",Товары_исходные!F55))),SUBSTITUTE(SUBSTITUTE(SUBSTITUTE(SUBSTITUTE(Товары_исходные!F55," ",""),"руб.",""),"руб",""),",",""),SUBSTITUTE(SUBSTITUTE(SUBSTITUTE(SUBSTITUTE(Товары_исходные!F55," ",""),"руб.",""),"руб",""),",","."))),0)</f>
        <v>71500</v>
      </c>
      <c r="G55" t="str">
        <f>IFERROR(VLOOKUP(Товары_исходные!G55,Справочники!$D$2:$E$50,2,FALSE),"шт.")</f>
        <v>шт.</v>
      </c>
      <c r="H55" t="str">
        <f t="shared" si="2"/>
        <v>OK</v>
      </c>
      <c r="I55" t="str">
        <f t="shared" si="3"/>
        <v>OK</v>
      </c>
    </row>
    <row r="56">
      <c r="A56" t="str">
        <f>"АРТ-"&amp;LEFT(SUBSTITUTE(SUBSTITUTE(SUBSTITUTE(SUBSTITUTE(Товары_исходные!A56,"№",""),"АРТ-",""),"АРТ_",""),"/","-"),3)</f>
        <v>АРТ-055</v>
      </c>
      <c r="B56" t="str">
        <f>PROPER(TRIM(IFERROR(LEFT(Товары_исходные!B56,FIND("(",Товары_исходные!B56)-1),Товары_исходные!B56)))</f>
        <v xml:space="preserve">Колонка Jbl Charge 5</v>
      </c>
      <c r="C56" t="str">
        <f>IFERROR(VLOOKUP(Товары_исходные!C56,Справочники!$A$2:$B$50,2,FALSE),Товары_исходные!C56)</f>
        <v>Аксессуары</v>
      </c>
      <c r="D56" t="str">
        <f>PROPER(TRIM(Товары_исходные!D56))</f>
        <v>Jbl</v>
      </c>
      <c r="E56" s="4">
        <f>IFERROR(VALUE(IF(AND(ISNUMBER(FIND(",",Товары_исходные!E56)),ISNUMBER(FIND(".",Товары_исходные!E56))),SUBSTITUTE(SUBSTITUTE(SUBSTITUTE(SUBSTITUTE(Товары_исходные!E56," ",""),"руб.",""),"руб",""),",",""),SUBSTITUTE(SUBSTITUTE(SUBSTITUTE(SUBSTITUTE(Товары_исходные!E56," ",""),"руб.",""),"руб",""),",","."))),0)</f>
        <v>6500</v>
      </c>
      <c r="F56" s="4">
        <f>IFERROR(VALUE(IF(AND(ISNUMBER(FIND(",",Товары_исходные!F56)),ISNUMBER(FIND(".",Товары_исходные!F56))),SUBSTITUTE(SUBSTITUTE(SUBSTITUTE(SUBSTITUTE(Товары_исходные!F56," ",""),"руб.",""),"руб",""),",",""),SUBSTITUTE(SUBSTITUTE(SUBSTITUTE(SUBSTITUTE(Товары_исходные!F56," ",""),"руб.",""),"руб",""),",","."))),0)</f>
        <v>10990</v>
      </c>
      <c r="G56" t="str">
        <f>IFERROR(VLOOKUP(Товары_исходные!G56,Справочники!$D$2:$E$50,2,FALSE),"шт.")</f>
        <v>шт.</v>
      </c>
      <c r="H56" t="str">
        <f t="shared" si="2"/>
        <v>OK</v>
      </c>
      <c r="I56" t="str">
        <f t="shared" si="3"/>
        <v>OK</v>
      </c>
    </row>
    <row r="57">
      <c r="A57" t="str">
        <f>"АРТ-"&amp;LEFT(SUBSTITUTE(SUBSTITUTE(SUBSTITUTE(SUBSTITUTE(Товары_исходные!A57,"№",""),"АРТ-",""),"АРТ_",""),"/","-"),3)</f>
        <v>АРТ-056</v>
      </c>
      <c r="B57" t="str">
        <f>PROPER(TRIM(IFERROR(LEFT(Товары_исходные!B57,FIND("(",Товары_исходные!B57)-1),Товары_исходные!B57)))</f>
        <v xml:space="preserve">Колонка Jbl Charge 5</v>
      </c>
      <c r="C57" t="str">
        <f>IFERROR(VLOOKUP(Товары_исходные!C57,Справочники!$A$2:$B$50,2,FALSE),Товары_исходные!C57)</f>
        <v>Аксессуары</v>
      </c>
      <c r="D57" t="str">
        <f>PROPER(TRIM(Товары_исходные!D57))</f>
        <v>Jbl</v>
      </c>
      <c r="E57" s="4">
        <f>IFERROR(VALUE(IF(AND(ISNUMBER(FIND(",",Товары_исходные!E57)),ISNUMBER(FIND(".",Товары_исходные!E57))),SUBSTITUTE(SUBSTITUTE(SUBSTITUTE(SUBSTITUTE(Товары_исходные!E57," ",""),"руб.",""),"руб",""),",",""),SUBSTITUTE(SUBSTITUTE(SUBSTITUTE(SUBSTITUTE(Товары_исходные!E57," ",""),"руб.",""),"руб",""),",","."))),0)</f>
        <v>6200</v>
      </c>
      <c r="F57" s="4">
        <f>IFERROR(VALUE(IF(AND(ISNUMBER(FIND(",",Товары_исходные!F57)),ISNUMBER(FIND(".",Товары_исходные!F57))),SUBSTITUTE(SUBSTITUTE(SUBSTITUTE(SUBSTITUTE(Товары_исходные!F57," ",""),"руб.",""),"руб",""),",",""),SUBSTITUTE(SUBSTITUTE(SUBSTITUTE(SUBSTITUTE(Товары_исходные!F57," ",""),"руб.",""),"руб",""),",","."))),0)</f>
        <v>10500</v>
      </c>
      <c r="G57" t="str">
        <f>IFERROR(VLOOKUP(Товары_исходные!G57,Справочники!$D$2:$E$50,2,FALSE),"шт.")</f>
        <v>шт.</v>
      </c>
      <c r="H57" t="str">
        <f t="shared" si="2"/>
        <v>OK</v>
      </c>
      <c r="I57" t="str">
        <f t="shared" si="3"/>
        <v>OK</v>
      </c>
    </row>
    <row r="58">
      <c r="A58" t="str">
        <f>"АРТ-"&amp;LEFT(SUBSTITUTE(SUBSTITUTE(SUBSTITUTE(SUBSTITUTE(Товары_исходные!A58,"№",""),"АРТ-",""),"АРТ_",""),"/","-"),3)</f>
        <v>АРТ-057</v>
      </c>
      <c r="B58" t="str">
        <f>PROPER(TRIM(IFERROR(LEFT(Товары_исходные!B58,FIND("(",Товары_исходные!B58)-1),Товары_исходные!B58)))</f>
        <v xml:space="preserve">Колонка Jbl Charge 5</v>
      </c>
      <c r="C58" t="str">
        <f>IFERROR(VLOOKUP(Товары_исходные!C58,Справочники!$A$2:$B$50,2,FALSE),Товары_исходные!C58)</f>
        <v>Аксессуары</v>
      </c>
      <c r="D58" t="str">
        <f>PROPER(TRIM(Товары_исходные!D58))</f>
        <v>Jbl</v>
      </c>
      <c r="E58" s="4">
        <f>IFERROR(VALUE(IF(AND(ISNUMBER(FIND(",",Товары_исходные!E58)),ISNUMBER(FIND(".",Товары_исходные!E58))),SUBSTITUTE(SUBSTITUTE(SUBSTITUTE(SUBSTITUTE(Товары_исходные!E58," ",""),"руб.",""),"руб",""),",",""),SUBSTITUTE(SUBSTITUTE(SUBSTITUTE(SUBSTITUTE(Товары_исходные!E58," ",""),"руб.",""),"руб",""),",","."))),0)</f>
        <v>6800</v>
      </c>
      <c r="F58" s="4">
        <f>IFERROR(VALUE(IF(AND(ISNUMBER(FIND(",",Товары_исходные!F58)),ISNUMBER(FIND(".",Товары_исходные!F58))),SUBSTITUTE(SUBSTITUTE(SUBSTITUTE(SUBSTITUTE(Товары_исходные!F58," ",""),"руб.",""),"руб",""),",",""),SUBSTITUTE(SUBSTITUTE(SUBSTITUTE(SUBSTITUTE(Товары_исходные!F58," ",""),"руб.",""),"руб",""),",","."))),0)</f>
        <v>11200</v>
      </c>
      <c r="G58" t="str">
        <f>IFERROR(VLOOKUP(Товары_исходные!G58,Справочники!$D$2:$E$50,2,FALSE),"шт.")</f>
        <v>шт.</v>
      </c>
      <c r="H58" t="str">
        <f t="shared" si="2"/>
        <v>OK</v>
      </c>
      <c r="I58" t="str">
        <f t="shared" si="3"/>
        <v>OK</v>
      </c>
    </row>
    <row r="59">
      <c r="A59" t="str">
        <f>"АРТ-"&amp;LEFT(SUBSTITUTE(SUBSTITUTE(SUBSTITUTE(SUBSTITUTE(Товары_исходные!A59,"№",""),"АРТ-",""),"АРТ_",""),"/","-"),3)</f>
        <v>АРТ-058</v>
      </c>
      <c r="B59" t="str">
        <f>PROPER(TRIM(IFERROR(LEFT(Товары_исходные!B59,FIND("(",Товары_исходные!B59)-1),Товары_исходные!B59)))</f>
        <v xml:space="preserve">Планшет Samsung Galaxy Tab S9</v>
      </c>
      <c r="C59" t="str">
        <f>IFERROR(VLOOKUP(Товары_исходные!C59,Справочники!$A$2:$B$50,2,FALSE),Товары_исходные!C59)</f>
        <v>Планшеты</v>
      </c>
      <c r="D59" t="str">
        <f>PROPER(TRIM(Товары_исходные!D59))</f>
        <v>Samsung</v>
      </c>
      <c r="E59" s="4">
        <f>IFERROR(VALUE(IF(AND(ISNUMBER(FIND(",",Товары_исходные!E59)),ISNUMBER(FIND(".",Товары_исходные!E59))),SUBSTITUTE(SUBSTITUTE(SUBSTITUTE(SUBSTITUTE(Товары_исходные!E59," ",""),"руб.",""),"руб",""),",",""),SUBSTITUTE(SUBSTITUTE(SUBSTITUTE(SUBSTITUTE(Товары_исходные!E59," ",""),"руб.",""),"руб",""),",","."))),0)</f>
        <v>42000</v>
      </c>
      <c r="F59" s="4">
        <f>IFERROR(VALUE(IF(AND(ISNUMBER(FIND(",",Товары_исходные!F59)),ISNUMBER(FIND(".",Товары_исходные!F59))),SUBSTITUTE(SUBSTITUTE(SUBSTITUTE(SUBSTITUTE(Товары_исходные!F59," ",""),"руб.",""),"руб",""),",",""),SUBSTITUTE(SUBSTITUTE(SUBSTITUTE(SUBSTITUTE(Товары_исходные!F59," ",""),"руб.",""),"руб",""),",","."))),0)</f>
        <v>67900</v>
      </c>
      <c r="G59" t="str">
        <f>IFERROR(VLOOKUP(Товары_исходные!G59,Справочники!$D$2:$E$50,2,FALSE),"шт.")</f>
        <v>шт.</v>
      </c>
      <c r="H59" t="str">
        <f t="shared" si="2"/>
        <v>OK</v>
      </c>
      <c r="I59" t="str">
        <f t="shared" si="3"/>
        <v>OK</v>
      </c>
    </row>
    <row r="60">
      <c r="A60" t="str">
        <f>"АРТ-"&amp;LEFT(SUBSTITUTE(SUBSTITUTE(SUBSTITUTE(SUBSTITUTE(Товары_исходные!A60,"№",""),"АРТ-",""),"АРТ_",""),"/","-"),3)</f>
        <v>АРТ-059</v>
      </c>
      <c r="B60" t="str">
        <f>PROPER(TRIM(IFERROR(LEFT(Товары_исходные!B60,FIND("(",Товары_исходные!B60)-1),Товары_исходные!B60)))</f>
        <v xml:space="preserve">Планшет Samsung Galaxy Tab S9</v>
      </c>
      <c r="C60" t="str">
        <f>IFERROR(VLOOKUP(Товары_исходные!C60,Справочники!$A$2:$B$50,2,FALSE),Товары_исходные!C60)</f>
        <v>Планшеты</v>
      </c>
      <c r="D60" t="str">
        <f>PROPER(TRIM(Товары_исходные!D60))</f>
        <v>Samsung</v>
      </c>
      <c r="E60" s="4">
        <f>IFERROR(VALUE(IF(AND(ISNUMBER(FIND(",",Товары_исходные!E60)),ISNUMBER(FIND(".",Товары_исходные!E60))),SUBSTITUTE(SUBSTITUTE(SUBSTITUTE(SUBSTITUTE(Товары_исходные!E60," ",""),"руб.",""),"руб",""),",",""),SUBSTITUTE(SUBSTITUTE(SUBSTITUTE(SUBSTITUTE(Товары_исходные!E60," ",""),"руб.",""),"руб",""),",","."))),0)</f>
        <v>41000</v>
      </c>
      <c r="F60" s="4">
        <f>IFERROR(VALUE(IF(AND(ISNUMBER(FIND(",",Товары_исходные!F60)),ISNUMBER(FIND(".",Товары_исходные!F60))),SUBSTITUTE(SUBSTITUTE(SUBSTITUTE(SUBSTITUTE(Товары_исходные!F60," ",""),"руб.",""),"руб",""),",",""),SUBSTITUTE(SUBSTITUTE(SUBSTITUTE(SUBSTITUTE(Товары_исходные!F60," ",""),"руб.",""),"руб",""),",","."))),0)</f>
        <v>66000</v>
      </c>
      <c r="G60" t="str">
        <f>IFERROR(VLOOKUP(Товары_исходные!G60,Справочники!$D$2:$E$50,2,FALSE),"шт.")</f>
        <v>шт.</v>
      </c>
      <c r="H60" t="str">
        <f t="shared" si="2"/>
        <v>OK</v>
      </c>
      <c r="I60" t="str">
        <f t="shared" si="3"/>
        <v>OK</v>
      </c>
    </row>
    <row r="61">
      <c r="A61" t="str">
        <f>"АРТ-"&amp;LEFT(SUBSTITUTE(SUBSTITUTE(SUBSTITUTE(SUBSTITUTE(Товары_исходные!A61,"№",""),"АРТ-",""),"АРТ_",""),"/","-"),3)</f>
        <v>АРТ-060</v>
      </c>
      <c r="B61" t="str">
        <f>PROPER(TRIM(IFERROR(LEFT(Товары_исходные!B61,FIND("(",Товары_исходные!B61)-1),Товары_исходные!B61)))</f>
        <v xml:space="preserve">Планшет Samsung Galaxy Tab S9</v>
      </c>
      <c r="C61" t="str">
        <f>IFERROR(VLOOKUP(Товары_исходные!C61,Справочники!$A$2:$B$50,2,FALSE),Товары_исходные!C61)</f>
        <v>Планшеты</v>
      </c>
      <c r="D61" t="str">
        <f>PROPER(TRIM(Товары_исходные!D61))</f>
        <v>Samsung</v>
      </c>
      <c r="E61" s="4">
        <f>IFERROR(VALUE(IF(AND(ISNUMBER(FIND(",",Товары_исходные!E61)),ISNUMBER(FIND(".",Товары_исходные!E61))),SUBSTITUTE(SUBSTITUTE(SUBSTITUTE(SUBSTITUTE(Товары_исходные!E61," ",""),"руб.",""),"руб",""),",",""),SUBSTITUTE(SUBSTITUTE(SUBSTITUTE(SUBSTITUTE(Товары_исходные!E61," ",""),"руб.",""),"руб",""),",","."))),0)</f>
        <v>43500</v>
      </c>
      <c r="F61" s="4">
        <f>IFERROR(VALUE(IF(AND(ISNUMBER(FIND(",",Товары_исходные!F61)),ISNUMBER(FIND(".",Товары_исходные!F61))),SUBSTITUTE(SUBSTITUTE(SUBSTITUTE(SUBSTITUTE(Товары_исходные!F61," ",""),"руб.",""),"руб",""),",",""),SUBSTITUTE(SUBSTITUTE(SUBSTITUTE(SUBSTITUTE(Товары_исходные!F61," ",""),"руб.",""),"руб",""),",","."))),0)</f>
        <v>69500</v>
      </c>
      <c r="G61" t="str">
        <f>IFERROR(VLOOKUP(Товары_исходные!G61,Справочники!$D$2:$E$50,2,FALSE),"шт.")</f>
        <v>шт.</v>
      </c>
      <c r="H61" t="str">
        <f t="shared" si="2"/>
        <v>OK</v>
      </c>
      <c r="I61" t="str">
        <f t="shared" si="3"/>
        <v>OK</v>
      </c>
    </row>
    <row r="62">
      <c r="A62" t="str">
        <f>"АРТ-"&amp;LEFT(SUBSTITUTE(SUBSTITUTE(SUBSTITUTE(SUBSTITUTE(Товары_исходные!A62,"№",""),"АРТ-",""),"АРТ_",""),"/","-"),3)</f>
        <v>АРТ-061</v>
      </c>
      <c r="B62" t="str">
        <f>PROPER(TRIM(IFERROR(LEFT(Товары_исходные!B62,FIND("(",Товары_исходные!B62)-1),Товары_исходные!B62)))</f>
        <v xml:space="preserve">Ноутбук Hp Spectre X360</v>
      </c>
      <c r="C62" t="str">
        <f>IFERROR(VLOOKUP(Товары_исходные!C62,Справочники!$A$2:$B$50,2,FALSE),Товары_исходные!C62)</f>
        <v>Ноутбуки</v>
      </c>
      <c r="D62" t="str">
        <f>PROPER(TRIM(Товары_исходные!D62))</f>
        <v>Hp</v>
      </c>
      <c r="E62" s="4">
        <f>IFERROR(VALUE(IF(AND(ISNUMBER(FIND(",",Товары_исходные!E62)),ISNUMBER(FIND(".",Товары_исходные!E62))),SUBSTITUTE(SUBSTITUTE(SUBSTITUTE(SUBSTITUTE(Товары_исходные!E62," ",""),"руб.",""),"руб",""),",",""),SUBSTITUTE(SUBSTITUTE(SUBSTITUTE(SUBSTITUTE(Товары_исходные!E62," ",""),"руб.",""),"руб",""),",","."))),0)</f>
        <v>82000</v>
      </c>
      <c r="F62" s="4">
        <f>IFERROR(VALUE(IF(AND(ISNUMBER(FIND(",",Товары_исходные!F62)),ISNUMBER(FIND(".",Товары_исходные!F62))),SUBSTITUTE(SUBSTITUTE(SUBSTITUTE(SUBSTITUTE(Товары_исходные!F62," ",""),"руб.",""),"руб",""),",",""),SUBSTITUTE(SUBSTITUTE(SUBSTITUTE(SUBSTITUTE(Товары_исходные!F62," ",""),"руб.",""),"руб",""),",","."))),0)</f>
        <v>124999</v>
      </c>
      <c r="G62" t="str">
        <f>IFERROR(VLOOKUP(Товары_исходные!G62,Справочники!$D$2:$E$50,2,FALSE),"шт.")</f>
        <v>шт.</v>
      </c>
      <c r="H62" t="str">
        <f t="shared" si="2"/>
        <v>OK</v>
      </c>
      <c r="I62" t="str">
        <f t="shared" si="3"/>
        <v>OK</v>
      </c>
    </row>
    <row r="63">
      <c r="A63" t="str">
        <f>"АРТ-"&amp;LEFT(SUBSTITUTE(SUBSTITUTE(SUBSTITUTE(SUBSTITUTE(Товары_исходные!A63,"№",""),"АРТ-",""),"АРТ_",""),"/","-"),3)</f>
        <v>АРТ-062</v>
      </c>
      <c r="B63" t="str">
        <f>PROPER(TRIM(IFERROR(LEFT(Товары_исходные!B63,FIND("(",Товары_исходные!B63)-1),Товары_исходные!B63)))</f>
        <v xml:space="preserve">Ноутбук Hp Spectre X360</v>
      </c>
      <c r="C63" t="str">
        <f>IFERROR(VLOOKUP(Товары_исходные!C63,Справочники!$A$2:$B$50,2,FALSE),Товары_исходные!C63)</f>
        <v>Ноутбуки</v>
      </c>
      <c r="D63" t="str">
        <f>PROPER(TRIM(Товары_исходные!D63))</f>
        <v>Hp</v>
      </c>
      <c r="E63" s="4">
        <f>IFERROR(VALUE(IF(AND(ISNUMBER(FIND(",",Товары_исходные!E63)),ISNUMBER(FIND(".",Товары_исходные!E63))),SUBSTITUTE(SUBSTITUTE(SUBSTITUTE(SUBSTITUTE(Товары_исходные!E63," ",""),"руб.",""),"руб",""),",",""),SUBSTITUTE(SUBSTITUTE(SUBSTITUTE(SUBSTITUTE(Товары_исходные!E63," ",""),"руб.",""),"руб",""),",","."))),0)</f>
        <v>80500</v>
      </c>
      <c r="F63" s="4">
        <f>IFERROR(VALUE(IF(AND(ISNUMBER(FIND(",",Товары_исходные!F63)),ISNUMBER(FIND(".",Товары_исходные!F63))),SUBSTITUTE(SUBSTITUTE(SUBSTITUTE(SUBSTITUTE(Товары_исходные!F63," ",""),"руб.",""),"руб",""),",",""),SUBSTITUTE(SUBSTITUTE(SUBSTITUTE(SUBSTITUTE(Товары_исходные!F63," ",""),"руб.",""),"руб",""),",","."))),0)</f>
        <v>122500</v>
      </c>
      <c r="G63" t="str">
        <f>IFERROR(VLOOKUP(Товары_исходные!G63,Справочники!$D$2:$E$50,2,FALSE),"шт.")</f>
        <v>шт.</v>
      </c>
      <c r="H63" t="str">
        <f t="shared" si="2"/>
        <v>OK</v>
      </c>
      <c r="I63" t="str">
        <f t="shared" si="3"/>
        <v>OK</v>
      </c>
    </row>
    <row r="64">
      <c r="A64" t="str">
        <f>"АРТ-"&amp;LEFT(SUBSTITUTE(SUBSTITUTE(SUBSTITUTE(SUBSTITUTE(Товары_исходные!A64,"№",""),"АРТ-",""),"АРТ_",""),"/","-"),3)</f>
        <v>АРТ-063</v>
      </c>
      <c r="B64" t="str">
        <f>PROPER(TRIM(IFERROR(LEFT(Товары_исходные!B64,FIND("(",Товары_исходные!B64)-1),Товары_исходные!B64)))</f>
        <v xml:space="preserve">Ноутбук Hp Spectre X360</v>
      </c>
      <c r="C64" t="str">
        <f>IFERROR(VLOOKUP(Товары_исходные!C64,Справочники!$A$2:$B$50,2,FALSE),Товары_исходные!C64)</f>
        <v>Ноутбуки</v>
      </c>
      <c r="D64" t="str">
        <f>PROPER(TRIM(Товары_исходные!D64))</f>
        <v>Hp</v>
      </c>
      <c r="E64" s="4">
        <f>IFERROR(VALUE(IF(AND(ISNUMBER(FIND(",",Товары_исходные!E64)),ISNUMBER(FIND(".",Товары_исходные!E64))),SUBSTITUTE(SUBSTITUTE(SUBSTITUTE(SUBSTITUTE(Товары_исходные!E64," ",""),"руб.",""),"руб",""),",",""),SUBSTITUTE(SUBSTITUTE(SUBSTITUTE(SUBSTITUTE(Товары_исходные!E64," ",""),"руб.",""),"руб",""),",","."))),0)</f>
        <v>83500</v>
      </c>
      <c r="F64" s="4">
        <f>IFERROR(VALUE(IF(AND(ISNUMBER(FIND(",",Товары_исходные!F64)),ISNUMBER(FIND(".",Товары_исходные!F64))),SUBSTITUTE(SUBSTITUTE(SUBSTITUTE(SUBSTITUTE(Товары_исходные!F64," ",""),"руб.",""),"руб",""),",",""),SUBSTITUTE(SUBSTITUTE(SUBSTITUTE(SUBSTITUTE(Товары_исходные!F64," ",""),"руб.",""),"руб",""),",","."))),0)</f>
        <v>127000</v>
      </c>
      <c r="G64" t="str">
        <f>IFERROR(VLOOKUP(Товары_исходные!G64,Справочники!$D$2:$E$50,2,FALSE),"шт.")</f>
        <v>шт.</v>
      </c>
      <c r="H64" t="str">
        <f t="shared" si="2"/>
        <v>OK</v>
      </c>
      <c r="I64" t="str">
        <f t="shared" si="3"/>
        <v>OK</v>
      </c>
    </row>
    <row r="65">
      <c r="A65" t="str">
        <f>"АРТ-"&amp;LEFT(SUBSTITUTE(SUBSTITUTE(SUBSTITUTE(SUBSTITUTE(Товары_исходные!A65,"№",""),"АРТ-",""),"АРТ_",""),"/","-"),3)</f>
        <v>АРТ-064</v>
      </c>
      <c r="B65" t="str">
        <f>PROPER(TRIM(IFERROR(LEFT(Товары_исходные!B65,FIND("(",Товары_исходные!B65)-1),Товары_исходные!B65)))</f>
        <v xml:space="preserve">Смартфон Oneplus 12</v>
      </c>
      <c r="C65" t="str">
        <f>IFERROR(VLOOKUP(Товары_исходные!C65,Справочники!$A$2:$B$50,2,FALSE),Товары_исходные!C65)</f>
        <v>Смартфоны</v>
      </c>
      <c r="D65" t="str">
        <f>PROPER(TRIM(Товары_исходные!D65))</f>
        <v>Oneplus</v>
      </c>
      <c r="E65" s="4">
        <f>IFERROR(VALUE(IF(AND(ISNUMBER(FIND(",",Товары_исходные!E65)),ISNUMBER(FIND(".",Товары_исходные!E65))),SUBSTITUTE(SUBSTITUTE(SUBSTITUTE(SUBSTITUTE(Товары_исходные!E65," ",""),"руб.",""),"руб",""),",",""),SUBSTITUTE(SUBSTITUTE(SUBSTITUTE(SUBSTITUTE(Товары_исходные!E65," ",""),"руб.",""),"руб",""),",","."))),0)</f>
        <v>33000</v>
      </c>
      <c r="F65" s="4">
        <f>IFERROR(VALUE(IF(AND(ISNUMBER(FIND(",",Товары_исходные!F65)),ISNUMBER(FIND(".",Товары_исходные!F65))),SUBSTITUTE(SUBSTITUTE(SUBSTITUTE(SUBSTITUTE(Товары_исходные!F65," ",""),"руб.",""),"руб",""),",",""),SUBSTITUTE(SUBSTITUTE(SUBSTITUTE(SUBSTITUTE(Товары_исходные!F65," ",""),"руб.",""),"руб",""),",","."))),0)</f>
        <v>56990</v>
      </c>
      <c r="G65" t="str">
        <f>IFERROR(VLOOKUP(Товары_исходные!G65,Справочники!$D$2:$E$50,2,FALSE),"шт.")</f>
        <v>шт.</v>
      </c>
      <c r="H65" t="str">
        <f t="shared" si="2"/>
        <v>OK</v>
      </c>
      <c r="I65" t="str">
        <f t="shared" si="3"/>
        <v>OK</v>
      </c>
    </row>
    <row r="66">
      <c r="A66" t="str">
        <f>"АРТ-"&amp;LEFT(SUBSTITUTE(SUBSTITUTE(SUBSTITUTE(SUBSTITUTE(Товары_исходные!A66,"№",""),"АРТ-",""),"АРТ_",""),"/","-"),3)</f>
        <v>АРТ-065</v>
      </c>
      <c r="B66" t="str">
        <f>PROPER(TRIM(IFERROR(LEFT(Товары_исходные!B66,FIND("(",Товары_исходные!B66)-1),Товары_исходные!B66)))</f>
        <v xml:space="preserve">Смартфон Oneplus 12</v>
      </c>
      <c r="C66" t="str">
        <f>IFERROR(VLOOKUP(Товары_исходные!C66,Справочники!$A$2:$B$50,2,FALSE),Товары_исходные!C66)</f>
        <v>Смартфоны</v>
      </c>
      <c r="D66" t="str">
        <f>PROPER(TRIM(Товары_исходные!D66))</f>
        <v>Oneplus</v>
      </c>
      <c r="E66" s="4">
        <f>IFERROR(VALUE(IF(AND(ISNUMBER(FIND(",",Товары_исходные!E66)),ISNUMBER(FIND(".",Товары_исходные!E66))),SUBSTITUTE(SUBSTITUTE(SUBSTITUTE(SUBSTITUTE(Товары_исходные!E66," ",""),"руб.",""),"руб",""),",",""),SUBSTITUTE(SUBSTITUTE(SUBSTITUTE(SUBSTITUTE(Товары_исходные!E66," ",""),"руб.",""),"руб",""),",","."))),0)</f>
        <v>32500</v>
      </c>
      <c r="F66" s="4">
        <f>IFERROR(VALUE(IF(AND(ISNUMBER(FIND(",",Товары_исходные!F66)),ISNUMBER(FIND(".",Товары_исходные!F66))),SUBSTITUTE(SUBSTITUTE(SUBSTITUTE(SUBSTITUTE(Товары_исходные!F66," ",""),"руб.",""),"руб",""),",",""),SUBSTITUTE(SUBSTITUTE(SUBSTITUTE(SUBSTITUTE(Товары_исходные!F66," ",""),"руб.",""),"руб",""),",","."))),0)</f>
        <v>55500</v>
      </c>
      <c r="G66" t="str">
        <f>IFERROR(VLOOKUP(Товары_исходные!G66,Справочники!$D$2:$E$50,2,FALSE),"шт.")</f>
        <v>шт.</v>
      </c>
      <c r="H66" t="str">
        <f t="shared" si="2"/>
        <v>OK</v>
      </c>
      <c r="I66" t="str">
        <f t="shared" si="3"/>
        <v>OK</v>
      </c>
    </row>
    <row r="67">
      <c r="A67" t="str">
        <f>"АРТ-"&amp;LEFT(SUBSTITUTE(SUBSTITUTE(SUBSTITUTE(SUBSTITUTE(Товары_исходные!A67,"№",""),"АРТ-",""),"АРТ_",""),"/","-"),3)</f>
        <v>АРТ-066</v>
      </c>
      <c r="B67" t="str">
        <f>PROPER(TRIM(IFERROR(LEFT(Товары_исходные!B67,FIND("(",Товары_исходные!B67)-1),Товары_исходные!B67)))</f>
        <v xml:space="preserve">Смартфон Oneplus 12</v>
      </c>
      <c r="C67" t="str">
        <f>IFERROR(VLOOKUP(Товары_исходные!C67,Справочники!$A$2:$B$50,2,FALSE),Товары_исходные!C67)</f>
        <v>Смартфоны</v>
      </c>
      <c r="D67" t="str">
        <f>PROPER(TRIM(Товары_исходные!D67))</f>
        <v>Oneplus</v>
      </c>
      <c r="E67" s="4">
        <f>IFERROR(VALUE(IF(AND(ISNUMBER(FIND(",",Товары_исходные!E67)),ISNUMBER(FIND(".",Товары_исходные!E67))),SUBSTITUTE(SUBSTITUTE(SUBSTITUTE(SUBSTITUTE(Товары_исходные!E67," ",""),"руб.",""),"руб",""),",",""),SUBSTITUTE(SUBSTITUTE(SUBSTITUTE(SUBSTITUTE(Товары_исходные!E67," ",""),"руб.",""),"руб",""),",","."))),0)</f>
        <v>33800</v>
      </c>
      <c r="F67" s="4">
        <f>IFERROR(VALUE(IF(AND(ISNUMBER(FIND(",",Товары_исходные!F67)),ISNUMBER(FIND(".",Товары_исходные!F67))),SUBSTITUTE(SUBSTITUTE(SUBSTITUTE(SUBSTITUTE(Товары_исходные!F67," ",""),"руб.",""),"руб",""),",",""),SUBSTITUTE(SUBSTITUTE(SUBSTITUTE(SUBSTITUTE(Товары_исходные!F67," ",""),"руб.",""),"руб",""),",","."))),0)</f>
        <v>57800</v>
      </c>
      <c r="G67" t="str">
        <f>IFERROR(VLOOKUP(Товары_исходные!G67,Справочники!$D$2:$E$50,2,FALSE),"шт.")</f>
        <v>шт.</v>
      </c>
      <c r="H67" t="str">
        <f t="shared" si="2"/>
        <v>OK</v>
      </c>
      <c r="I67" t="str">
        <f t="shared" si="3"/>
        <v>OK</v>
      </c>
    </row>
    <row r="68">
      <c r="A68" t="str">
        <f>"АРТ-"&amp;LEFT(SUBSTITUTE(SUBSTITUTE(SUBSTITUTE(SUBSTITUTE(Товары_исходные!A68,"№",""),"АРТ-",""),"АРТ_",""),"/","-"),3)</f>
        <v>АРТ-067</v>
      </c>
      <c r="B68" t="str">
        <f>PROPER(TRIM(IFERROR(LEFT(Товары_исходные!B68,FIND("(",Товары_исходные!B68)-1),Товары_исходные!B68)))</f>
        <v xml:space="preserve">Телевизор Tcl 65C745</v>
      </c>
      <c r="C68" t="str">
        <f>IFERROR(VLOOKUP(Товары_исходные!C68,Справочники!$A$2:$B$50,2,FALSE),Товары_исходные!C68)</f>
        <v>Телевизоры</v>
      </c>
      <c r="D68" t="str">
        <f>PROPER(TRIM(Товары_исходные!D68))</f>
        <v>Tcl</v>
      </c>
      <c r="E68" s="4">
        <f>IFERROR(VALUE(IF(AND(ISNUMBER(FIND(",",Товары_исходные!E68)),ISNUMBER(FIND(".",Товары_исходные!E68))),SUBSTITUTE(SUBSTITUTE(SUBSTITUTE(SUBSTITUTE(Товары_исходные!E68," ",""),"руб.",""),"руб",""),",",""),SUBSTITUTE(SUBSTITUTE(SUBSTITUTE(SUBSTITUTE(Товары_исходные!E68," ",""),"руб.",""),"руб",""),",","."))),0)</f>
        <v>70000</v>
      </c>
      <c r="F68" s="4">
        <f>IFERROR(VALUE(IF(AND(ISNUMBER(FIND(",",Товары_исходные!F68)),ISNUMBER(FIND(".",Товары_исходные!F68))),SUBSTITUTE(SUBSTITUTE(SUBSTITUTE(SUBSTITUTE(Товары_исходные!F68," ",""),"руб.",""),"руб",""),",",""),SUBSTITUTE(SUBSTITUTE(SUBSTITUTE(SUBSTITUTE(Товары_исходные!F68," ",""),"руб.",""),"руб",""),",","."))),0)</f>
        <v>109999</v>
      </c>
      <c r="G68" t="str">
        <f>IFERROR(VLOOKUP(Товары_исходные!G68,Справочники!$D$2:$E$50,2,FALSE),"шт.")</f>
        <v>шт.</v>
      </c>
      <c r="H68" t="str">
        <f t="shared" si="2"/>
        <v>OK</v>
      </c>
      <c r="I68" t="str">
        <f t="shared" si="3"/>
        <v>OK</v>
      </c>
    </row>
    <row r="69">
      <c r="A69" t="str">
        <f>"АРТ-"&amp;LEFT(SUBSTITUTE(SUBSTITUTE(SUBSTITUTE(SUBSTITUTE(Товары_исходные!A69,"№",""),"АРТ-",""),"АРТ_",""),"/","-"),3)</f>
        <v>АРТ-068</v>
      </c>
      <c r="B69" t="str">
        <f>PROPER(TRIM(IFERROR(LEFT(Товары_исходные!B69,FIND("(",Товары_исходные!B69)-1),Товары_исходные!B69)))</f>
        <v xml:space="preserve">Телевизор Tcl 65C745</v>
      </c>
      <c r="C69" t="str">
        <f>IFERROR(VLOOKUP(Товары_исходные!C69,Справочники!$A$2:$B$50,2,FALSE),Товары_исходные!C69)</f>
        <v>Телевизоры</v>
      </c>
      <c r="D69" t="str">
        <f>PROPER(TRIM(Товары_исходные!D69))</f>
        <v>Tcl</v>
      </c>
      <c r="E69" s="4">
        <f>IFERROR(VALUE(IF(AND(ISNUMBER(FIND(",",Товары_исходные!E69)),ISNUMBER(FIND(".",Товары_исходные!E69))),SUBSTITUTE(SUBSTITUTE(SUBSTITUTE(SUBSTITUTE(Товары_исходные!E69," ",""),"руб.",""),"руб",""),",",""),SUBSTITUTE(SUBSTITUTE(SUBSTITUTE(SUBSTITUTE(Товары_исходные!E69," ",""),"руб.",""),"руб",""),",","."))),0)</f>
        <v>68500</v>
      </c>
      <c r="F69" s="4">
        <f>IFERROR(VALUE(IF(AND(ISNUMBER(FIND(",",Товары_исходные!F69)),ISNUMBER(FIND(".",Товары_исходные!F69))),SUBSTITUTE(SUBSTITUTE(SUBSTITUTE(SUBSTITUTE(Товары_исходные!F69," ",""),"руб.",""),"руб",""),",",""),SUBSTITUTE(SUBSTITUTE(SUBSTITUTE(SUBSTITUTE(Товары_исходные!F69," ",""),"руб.",""),"руб",""),",","."))),0)</f>
        <v>107000</v>
      </c>
      <c r="G69" t="str">
        <f>IFERROR(VLOOKUP(Товары_исходные!G69,Справочники!$D$2:$E$50,2,FALSE),"шт.")</f>
        <v>шт.</v>
      </c>
      <c r="H69" t="str">
        <f t="shared" si="2"/>
        <v>OK</v>
      </c>
      <c r="I69" t="str">
        <f t="shared" si="3"/>
        <v>OK</v>
      </c>
    </row>
    <row r="70">
      <c r="A70" t="str">
        <f>"АРТ-"&amp;LEFT(SUBSTITUTE(SUBSTITUTE(SUBSTITUTE(SUBSTITUTE(Товары_исходные!A70,"№",""),"АРТ-",""),"АРТ_",""),"/","-"),3)</f>
        <v>АРТ-069</v>
      </c>
      <c r="B70" t="str">
        <f>PROPER(TRIM(IFERROR(LEFT(Товары_исходные!B70,FIND("(",Товары_исходные!B70)-1),Товары_исходные!B70)))</f>
        <v xml:space="preserve">Телевизор Tcl 65C745</v>
      </c>
      <c r="C70" t="str">
        <f>IFERROR(VLOOKUP(Товары_исходные!C70,Справочники!$A$2:$B$50,2,FALSE),Товары_исходные!C70)</f>
        <v>Телевизоры</v>
      </c>
      <c r="D70" t="str">
        <f>PROPER(TRIM(Товары_исходные!D70))</f>
        <v>Tcl</v>
      </c>
      <c r="E70" s="4">
        <f>IFERROR(VALUE(IF(AND(ISNUMBER(FIND(",",Товары_исходные!E70)),ISNUMBER(FIND(".",Товары_исходные!E70))),SUBSTITUTE(SUBSTITUTE(SUBSTITUTE(SUBSTITUTE(Товары_исходные!E70," ",""),"руб.",""),"руб",""),",",""),SUBSTITUTE(SUBSTITUTE(SUBSTITUTE(SUBSTITUTE(Товары_исходные!E70," ",""),"руб.",""),"руб",""),",","."))),0)</f>
        <v>71500</v>
      </c>
      <c r="F70" s="4">
        <f>IFERROR(VALUE(IF(AND(ISNUMBER(FIND(",",Товары_исходные!F70)),ISNUMBER(FIND(".",Товары_исходные!F70))),SUBSTITUTE(SUBSTITUTE(SUBSTITUTE(SUBSTITUTE(Товары_исходные!F70," ",""),"руб.",""),"руб",""),",",""),SUBSTITUTE(SUBSTITUTE(SUBSTITUTE(SUBSTITUTE(Товары_исходные!F70," ",""),"руб.",""),"руб",""),",","."))),0)</f>
        <v>112000</v>
      </c>
      <c r="G70" t="str">
        <f>IFERROR(VLOOKUP(Товары_исходные!G70,Справочники!$D$2:$E$50,2,FALSE),"шт.")</f>
        <v>шт.</v>
      </c>
      <c r="H70" t="str">
        <f t="shared" si="2"/>
        <v>OK</v>
      </c>
      <c r="I70" t="str">
        <f t="shared" si="3"/>
        <v>OK</v>
      </c>
    </row>
    <row r="71">
      <c r="A71" t="str">
        <f>"АРТ-"&amp;LEFT(SUBSTITUTE(SUBSTITUTE(SUBSTITUTE(SUBSTITUTE(Товары_исходные!A71,"№",""),"АРТ-",""),"АРТ_",""),"/","-"),3)</f>
        <v>АРТ-070</v>
      </c>
      <c r="B71" t="str">
        <f>PROPER(TRIM(IFERROR(LEFT(Товары_исходные!B71,FIND("(",Товары_исходные!B71)-1),Товары_исходные!B71)))</f>
        <v xml:space="preserve">Наушники Marshall Major Iv</v>
      </c>
      <c r="C71" t="str">
        <f>IFERROR(VLOOKUP(Товары_исходные!C71,Справочники!$A$2:$B$50,2,FALSE),Товары_исходные!C71)</f>
        <v>Наушники</v>
      </c>
      <c r="D71" t="str">
        <f>PROPER(TRIM(Товары_исходные!D71))</f>
        <v>Marshall</v>
      </c>
      <c r="E71" s="4">
        <f>IFERROR(VALUE(IF(AND(ISNUMBER(FIND(",",Товары_исходные!E71)),ISNUMBER(FIND(".",Товары_исходные!E71))),SUBSTITUTE(SUBSTITUTE(SUBSTITUTE(SUBSTITUTE(Товары_исходные!E71," ",""),"руб.",""),"руб",""),",",""),SUBSTITUTE(SUBSTITUTE(SUBSTITUTE(SUBSTITUTE(Товары_исходные!E71," ",""),"руб.",""),"руб",""),",","."))),0)</f>
        <v>12000</v>
      </c>
      <c r="F71" s="4">
        <f>IFERROR(VALUE(IF(AND(ISNUMBER(FIND(",",Товары_исходные!F71)),ISNUMBER(FIND(".",Товары_исходные!F71))),SUBSTITUTE(SUBSTITUTE(SUBSTITUTE(SUBSTITUTE(Товары_исходные!F71," ",""),"руб.",""),"руб",""),",",""),SUBSTITUTE(SUBSTITUTE(SUBSTITUTE(SUBSTITUTE(Товары_исходные!F71," ",""),"руб.",""),"руб",""),",","."))),0)</f>
        <v>19990</v>
      </c>
      <c r="G71" t="str">
        <f>IFERROR(VLOOKUP(Товары_исходные!G71,Справочники!$D$2:$E$50,2,FALSE),"шт.")</f>
        <v>шт.</v>
      </c>
      <c r="H71" t="str">
        <f t="shared" si="2"/>
        <v>OK</v>
      </c>
      <c r="I71" t="str">
        <f t="shared" si="3"/>
        <v>OK</v>
      </c>
    </row>
    <row r="72">
      <c r="A72" t="str">
        <f>"АРТ-"&amp;LEFT(SUBSTITUTE(SUBSTITUTE(SUBSTITUTE(SUBSTITUTE(Товары_исходные!A72,"№",""),"АРТ-",""),"АРТ_",""),"/","-"),3)</f>
        <v>АРТ-071</v>
      </c>
      <c r="B72" t="str">
        <f>PROPER(TRIM(IFERROR(LEFT(Товары_исходные!B72,FIND("(",Товары_исходные!B72)-1),Товары_исходные!B72)))</f>
        <v xml:space="preserve">Наушники Marshall Major Iv</v>
      </c>
      <c r="C72" t="str">
        <f>IFERROR(VLOOKUP(Товары_исходные!C72,Справочники!$A$2:$B$50,2,FALSE),Товары_исходные!C72)</f>
        <v>Наушники</v>
      </c>
      <c r="D72" t="str">
        <f>PROPER(TRIM(Товары_исходные!D72))</f>
        <v>Marshall</v>
      </c>
      <c r="E72" s="4">
        <f>IFERROR(VALUE(IF(AND(ISNUMBER(FIND(",",Товары_исходные!E72)),ISNUMBER(FIND(".",Товары_исходные!E72))),SUBSTITUTE(SUBSTITUTE(SUBSTITUTE(SUBSTITUTE(Товары_исходные!E72," ",""),"руб.",""),"руб",""),",",""),SUBSTITUTE(SUBSTITUTE(SUBSTITUTE(SUBSTITUTE(Товары_исходные!E72," ",""),"руб.",""),"руб",""),",","."))),0)</f>
        <v>11500</v>
      </c>
      <c r="F72" s="4">
        <f>IFERROR(VALUE(IF(AND(ISNUMBER(FIND(",",Товары_исходные!F72)),ISNUMBER(FIND(".",Товары_исходные!F72))),SUBSTITUTE(SUBSTITUTE(SUBSTITUTE(SUBSTITUTE(Товары_исходные!F72," ",""),"руб.",""),"руб",""),",",""),SUBSTITUTE(SUBSTITUTE(SUBSTITUTE(SUBSTITUTE(Товары_исходные!F72," ",""),"руб.",""),"руб",""),",","."))),0)</f>
        <v>19000</v>
      </c>
      <c r="G72" t="str">
        <f>IFERROR(VLOOKUP(Товары_исходные!G72,Справочники!$D$2:$E$50,2,FALSE),"шт.")</f>
        <v>шт.</v>
      </c>
      <c r="H72" t="str">
        <f t="shared" si="2"/>
        <v>OK</v>
      </c>
      <c r="I72" t="str">
        <f t="shared" si="3"/>
        <v>OK</v>
      </c>
    </row>
    <row r="73">
      <c r="A73" t="str">
        <f>"АРТ-"&amp;LEFT(SUBSTITUTE(SUBSTITUTE(SUBSTITUTE(SUBSTITUTE(Товары_исходные!A73,"№",""),"АРТ-",""),"АРТ_",""),"/","-"),3)</f>
        <v>АРТ-072</v>
      </c>
      <c r="B73" t="str">
        <f>PROPER(TRIM(IFERROR(LEFT(Товары_исходные!B73,FIND("(",Товары_исходные!B73)-1),Товары_исходные!B73)))</f>
        <v xml:space="preserve">Наушники Marshall Major Iv</v>
      </c>
      <c r="C73" t="str">
        <f>IFERROR(VLOOKUP(Товары_исходные!C73,Справочники!$A$2:$B$50,2,FALSE),Товары_исходные!C73)</f>
        <v>Наушники</v>
      </c>
      <c r="D73" t="str">
        <f>PROPER(TRIM(Товары_исходные!D73))</f>
        <v>Marshall</v>
      </c>
      <c r="E73" s="4">
        <f>IFERROR(VALUE(IF(AND(ISNUMBER(FIND(",",Товары_исходные!E73)),ISNUMBER(FIND(".",Товары_исходные!E73))),SUBSTITUTE(SUBSTITUTE(SUBSTITUTE(SUBSTITUTE(Товары_исходные!E73," ",""),"руб.",""),"руб",""),",",""),SUBSTITUTE(SUBSTITUTE(SUBSTITUTE(SUBSTITUTE(Товары_исходные!E73," ",""),"руб.",""),"руб",""),",","."))),0)</f>
        <v>12500</v>
      </c>
      <c r="F73" s="4">
        <f>IFERROR(VALUE(IF(AND(ISNUMBER(FIND(",",Товары_исходные!F73)),ISNUMBER(FIND(".",Товары_исходные!F73))),SUBSTITUTE(SUBSTITUTE(SUBSTITUTE(SUBSTITUTE(Товары_исходные!F73," ",""),"руб.",""),"руб",""),",",""),SUBSTITUTE(SUBSTITUTE(SUBSTITUTE(SUBSTITUTE(Товары_исходные!F73," ",""),"руб.",""),"руб",""),",","."))),0)</f>
        <v>20800</v>
      </c>
      <c r="G73" t="str">
        <f>IFERROR(VLOOKUP(Товары_исходные!G73,Справочники!$D$2:$E$50,2,FALSE),"шт.")</f>
        <v>шт.</v>
      </c>
      <c r="H73" t="str">
        <f t="shared" si="2"/>
        <v>OK</v>
      </c>
      <c r="I73" t="str">
        <f t="shared" si="3"/>
        <v>OK</v>
      </c>
    </row>
    <row r="74">
      <c r="A74" t="str">
        <f>"АРТ-"&amp;LEFT(SUBSTITUTE(SUBSTITUTE(SUBSTITUTE(SUBSTITUTE(Товары_исходные!A74,"№",""),"АРТ-",""),"АРТ_",""),"/","-"),3)</f>
        <v>АРТ-073</v>
      </c>
      <c r="B74" t="str">
        <f>PROPER(TRIM(IFERROR(LEFT(Товары_исходные!B74,FIND("(",Товары_исходные!B74)-1),Товары_исходные!B74)))</f>
        <v xml:space="preserve">Монитор Acer Predator X27</v>
      </c>
      <c r="C74" t="str">
        <f>IFERROR(VLOOKUP(Товары_исходные!C74,Справочники!$A$2:$B$50,2,FALSE),Товары_исходные!C74)</f>
        <v>Мониторы</v>
      </c>
      <c r="D74" t="str">
        <f>PROPER(TRIM(Товары_исходные!D74))</f>
        <v>Acer</v>
      </c>
      <c r="E74" s="4">
        <f>IFERROR(VALUE(IF(AND(ISNUMBER(FIND(",",Товары_исходные!E74)),ISNUMBER(FIND(".",Товары_исходные!E74))),SUBSTITUTE(SUBSTITUTE(SUBSTITUTE(SUBSTITUTE(Товары_исходные!E74," ",""),"руб.",""),"руб",""),",",""),SUBSTITUTE(SUBSTITUTE(SUBSTITUTE(SUBSTITUTE(Товары_исходные!E74," ",""),"руб.",""),"руб",""),",","."))),0)</f>
        <v>52000</v>
      </c>
      <c r="F74" s="4">
        <f>IFERROR(VALUE(IF(AND(ISNUMBER(FIND(",",Товары_исходные!F74)),ISNUMBER(FIND(".",Товары_исходные!F74))),SUBSTITUTE(SUBSTITUTE(SUBSTITUTE(SUBSTITUTE(Товары_исходные!F74," ",""),"руб.",""),"руб",""),",",""),SUBSTITUTE(SUBSTITUTE(SUBSTITUTE(SUBSTITUTE(Товары_исходные!F74," ",""),"руб.",""),"руб",""),",","."))),0)</f>
        <v>79900</v>
      </c>
      <c r="G74" t="str">
        <f>IFERROR(VLOOKUP(Товары_исходные!G74,Справочники!$D$2:$E$50,2,FALSE),"шт.")</f>
        <v>шт.</v>
      </c>
      <c r="H74" t="str">
        <f t="shared" ref="H74:H99" si="4">IF(F74&gt;=E74,"OK","Розница ниже закупки")</f>
        <v>OK</v>
      </c>
      <c r="I74" t="str">
        <f t="shared" ref="I74:I99" si="5">IF(COUNTIF($A$2:$A$502,A74)=1,"OK","Дубликат")</f>
        <v>OK</v>
      </c>
    </row>
    <row r="75">
      <c r="A75" t="str">
        <f>"АРТ-"&amp;LEFT(SUBSTITUTE(SUBSTITUTE(SUBSTITUTE(SUBSTITUTE(Товары_исходные!A75,"№",""),"АРТ-",""),"АРТ_",""),"/","-"),3)</f>
        <v>АРТ-074</v>
      </c>
      <c r="B75" t="str">
        <f>PROPER(TRIM(IFERROR(LEFT(Товары_исходные!B75,FIND("(",Товары_исходные!B75)-1),Товары_исходные!B75)))</f>
        <v xml:space="preserve">Монитор Acer Predator X27</v>
      </c>
      <c r="C75" t="str">
        <f>IFERROR(VLOOKUP(Товары_исходные!C75,Справочники!$A$2:$B$50,2,FALSE),Товары_исходные!C75)</f>
        <v>Мониторы</v>
      </c>
      <c r="D75" t="str">
        <f>PROPER(TRIM(Товары_исходные!D75))</f>
        <v>Acer</v>
      </c>
      <c r="E75" s="4">
        <f>IFERROR(VALUE(IF(AND(ISNUMBER(FIND(",",Товары_исходные!E75)),ISNUMBER(FIND(".",Товары_исходные!E75))),SUBSTITUTE(SUBSTITUTE(SUBSTITUTE(SUBSTITUTE(Товары_исходные!E75," ",""),"руб.",""),"руб",""),",",""),SUBSTITUTE(SUBSTITUTE(SUBSTITUTE(SUBSTITUTE(Товары_исходные!E75," ",""),"руб.",""),"руб",""),",","."))),0)</f>
        <v>50500</v>
      </c>
      <c r="F75" s="4">
        <f>IFERROR(VALUE(IF(AND(ISNUMBER(FIND(",",Товары_исходные!F75)),ISNUMBER(FIND(".",Товары_исходные!F75))),SUBSTITUTE(SUBSTITUTE(SUBSTITUTE(SUBSTITUTE(Товары_исходные!F75," ",""),"руб.",""),"руб",""),",",""),SUBSTITUTE(SUBSTITUTE(SUBSTITUTE(SUBSTITUTE(Товары_исходные!F75," ",""),"руб.",""),"руб",""),",","."))),0)</f>
        <v>77500</v>
      </c>
      <c r="G75" t="str">
        <f>IFERROR(VLOOKUP(Товары_исходные!G75,Справочники!$D$2:$E$50,2,FALSE),"шт.")</f>
        <v>шт.</v>
      </c>
      <c r="H75" t="str">
        <f t="shared" si="4"/>
        <v>OK</v>
      </c>
      <c r="I75" t="str">
        <f t="shared" si="5"/>
        <v>OK</v>
      </c>
    </row>
    <row r="76">
      <c r="A76" t="str">
        <f>"АРТ-"&amp;LEFT(SUBSTITUTE(SUBSTITUTE(SUBSTITUTE(SUBSTITUTE(Товары_исходные!A76,"№",""),"АРТ-",""),"АРТ_",""),"/","-"),3)</f>
        <v>АРТ-075</v>
      </c>
      <c r="B76" t="str">
        <f>PROPER(TRIM(IFERROR(LEFT(Товары_исходные!B76,FIND("(",Товары_исходные!B76)-1),Товары_исходные!B76)))</f>
        <v xml:space="preserve">Монитор Acer Predator X27</v>
      </c>
      <c r="C76" t="str">
        <f>IFERROR(VLOOKUP(Товары_исходные!C76,Справочники!$A$2:$B$50,2,FALSE),Товары_исходные!C76)</f>
        <v>Мониторы</v>
      </c>
      <c r="D76" t="str">
        <f>PROPER(TRIM(Товары_исходные!D76))</f>
        <v>Acer</v>
      </c>
      <c r="E76" s="4">
        <f>IFERROR(VALUE(IF(AND(ISNUMBER(FIND(",",Товары_исходные!E76)),ISNUMBER(FIND(".",Товары_исходные!E76))),SUBSTITUTE(SUBSTITUTE(SUBSTITUTE(SUBSTITUTE(Товары_исходные!E76," ",""),"руб.",""),"руб",""),",",""),SUBSTITUTE(SUBSTITUTE(SUBSTITUTE(SUBSTITUTE(Товары_исходные!E76," ",""),"руб.",""),"руб",""),",","."))),0)</f>
        <v>53500</v>
      </c>
      <c r="F76" s="4">
        <f>IFERROR(VALUE(IF(AND(ISNUMBER(FIND(",",Товары_исходные!F76)),ISNUMBER(FIND(".",Товары_исходные!F76))),SUBSTITUTE(SUBSTITUTE(SUBSTITUTE(SUBSTITUTE(Товары_исходные!F76," ",""),"руб.",""),"руб",""),",",""),SUBSTITUTE(SUBSTITUTE(SUBSTITUTE(SUBSTITUTE(Товары_исходные!F76," ",""),"руб.",""),"руб",""),",","."))),0)</f>
        <v>82000</v>
      </c>
      <c r="G76" t="str">
        <f>IFERROR(VLOOKUP(Товары_исходные!G76,Справочники!$D$2:$E$50,2,FALSE),"шт.")</f>
        <v>шт.</v>
      </c>
      <c r="H76" t="str">
        <f t="shared" si="4"/>
        <v>OK</v>
      </c>
      <c r="I76" t="str">
        <f t="shared" si="5"/>
        <v>OK</v>
      </c>
    </row>
    <row r="77">
      <c r="A77" t="str">
        <f>"АРТ-"&amp;LEFT(SUBSTITUTE(SUBSTITUTE(SUBSTITUTE(SUBSTITUTE(Товары_исходные!A77,"№",""),"АРТ-",""),"АРТ_",""),"/","-"),3)</f>
        <v>АРТ-076</v>
      </c>
      <c r="B77" t="str">
        <f>PROPER(TRIM(IFERROR(LEFT(Товары_исходные!B77,FIND("(",Товары_исходные!B77)-1),Товары_исходные!B77)))</f>
        <v xml:space="preserve">Клавиатура Razer Blackwidow V4</v>
      </c>
      <c r="C77" t="str">
        <f>IFERROR(VLOOKUP(Товары_исходные!C77,Справочники!$A$2:$B$50,2,FALSE),Товары_исходные!C77)</f>
        <v>Аксессуары</v>
      </c>
      <c r="D77" t="str">
        <f>PROPER(TRIM(Товары_исходные!D77))</f>
        <v>Razer</v>
      </c>
      <c r="E77" s="4">
        <f>IFERROR(VALUE(IF(AND(ISNUMBER(FIND(",",Товары_исходные!E77)),ISNUMBER(FIND(".",Товары_исходные!E77))),SUBSTITUTE(SUBSTITUTE(SUBSTITUTE(SUBSTITUTE(Товары_исходные!E77," ",""),"руб.",""),"руб",""),",",""),SUBSTITUTE(SUBSTITUTE(SUBSTITUTE(SUBSTITUTE(Товары_исходные!E77," ",""),"руб.",""),"руб",""),",","."))),0)</f>
        <v>7500</v>
      </c>
      <c r="F77" s="4">
        <f>IFERROR(VALUE(IF(AND(ISNUMBER(FIND(",",Товары_исходные!F77)),ISNUMBER(FIND(".",Товары_исходные!F77))),SUBSTITUTE(SUBSTITUTE(SUBSTITUTE(SUBSTITUTE(Товары_исходные!F77," ",""),"руб.",""),"руб",""),",",""),SUBSTITUTE(SUBSTITUTE(SUBSTITUTE(SUBSTITUTE(Товары_исходные!F77," ",""),"руб.",""),"руб",""),",","."))),0)</f>
        <v>12990</v>
      </c>
      <c r="G77" t="str">
        <f>IFERROR(VLOOKUP(Товары_исходные!G77,Справочники!$D$2:$E$50,2,FALSE),"шт.")</f>
        <v>шт.</v>
      </c>
      <c r="H77" t="str">
        <f t="shared" si="4"/>
        <v>OK</v>
      </c>
      <c r="I77" t="str">
        <f t="shared" si="5"/>
        <v>OK</v>
      </c>
    </row>
    <row r="78">
      <c r="A78" t="str">
        <f>"АРТ-"&amp;LEFT(SUBSTITUTE(SUBSTITUTE(SUBSTITUTE(SUBSTITUTE(Товары_исходные!A78,"№",""),"АРТ-",""),"АРТ_",""),"/","-"),3)</f>
        <v>АРТ-077</v>
      </c>
      <c r="B78" t="str">
        <f>PROPER(TRIM(IFERROR(LEFT(Товары_исходные!B78,FIND("(",Товары_исходные!B78)-1),Товары_исходные!B78)))</f>
        <v xml:space="preserve">Клавиатура Razer Blackwidow V4</v>
      </c>
      <c r="C78" t="str">
        <f>IFERROR(VLOOKUP(Товары_исходные!C78,Справочники!$A$2:$B$50,2,FALSE),Товары_исходные!C78)</f>
        <v>Аксессуары</v>
      </c>
      <c r="D78" t="str">
        <f>PROPER(TRIM(Товары_исходные!D78))</f>
        <v>Razer</v>
      </c>
      <c r="E78" s="4">
        <f>IFERROR(VALUE(IF(AND(ISNUMBER(FIND(",",Товары_исходные!E78)),ISNUMBER(FIND(".",Товары_исходные!E78))),SUBSTITUTE(SUBSTITUTE(SUBSTITUTE(SUBSTITUTE(Товары_исходные!E78," ",""),"руб.",""),"руб",""),",",""),SUBSTITUTE(SUBSTITUTE(SUBSTITUTE(SUBSTITUTE(Товары_исходные!E78," ",""),"руб.",""),"руб",""),",","."))),0)</f>
        <v>7200</v>
      </c>
      <c r="F78" s="4">
        <f>IFERROR(VALUE(IF(AND(ISNUMBER(FIND(",",Товары_исходные!F78)),ISNUMBER(FIND(".",Товары_исходные!F78))),SUBSTITUTE(SUBSTITUTE(SUBSTITUTE(SUBSTITUTE(Товары_исходные!F78," ",""),"руб.",""),"руб",""),",",""),SUBSTITUTE(SUBSTITUTE(SUBSTITUTE(SUBSTITUTE(Товары_исходные!F78," ",""),"руб.",""),"руб",""),",","."))),0)</f>
        <v>12500</v>
      </c>
      <c r="G78" t="str">
        <f>IFERROR(VLOOKUP(Товары_исходные!G78,Справочники!$D$2:$E$50,2,FALSE),"шт.")</f>
        <v>шт.</v>
      </c>
      <c r="H78" t="str">
        <f t="shared" si="4"/>
        <v>OK</v>
      </c>
      <c r="I78" t="str">
        <f t="shared" si="5"/>
        <v>OK</v>
      </c>
    </row>
    <row r="79">
      <c r="A79" t="str">
        <f>"АРТ-"&amp;LEFT(SUBSTITUTE(SUBSTITUTE(SUBSTITUTE(SUBSTITUTE(Товары_исходные!A79,"№",""),"АРТ-",""),"АРТ_",""),"/","-"),3)</f>
        <v>АРТ-078</v>
      </c>
      <c r="B79" t="str">
        <f>PROPER(TRIM(IFERROR(LEFT(Товары_исходные!B79,FIND("(",Товары_исходные!B79)-1),Товары_исходные!B79)))</f>
        <v xml:space="preserve">Клавиатура Razer Blackwidow V4</v>
      </c>
      <c r="C79" t="str">
        <f>IFERROR(VLOOKUP(Товары_исходные!C79,Справочники!$A$2:$B$50,2,FALSE),Товары_исходные!C79)</f>
        <v>Аксессуары</v>
      </c>
      <c r="D79" t="str">
        <f>PROPER(TRIM(Товары_исходные!D79))</f>
        <v>Razer</v>
      </c>
      <c r="E79" s="4">
        <f>IFERROR(VALUE(IF(AND(ISNUMBER(FIND(",",Товары_исходные!E79)),ISNUMBER(FIND(".",Товары_исходные!E79))),SUBSTITUTE(SUBSTITUTE(SUBSTITUTE(SUBSTITUTE(Товары_исходные!E79," ",""),"руб.",""),"руб",""),",",""),SUBSTITUTE(SUBSTITUTE(SUBSTITUTE(SUBSTITUTE(Товары_исходные!E79," ",""),"руб.",""),"руб",""),",","."))),0)</f>
        <v>7800</v>
      </c>
      <c r="F79" s="4">
        <f>IFERROR(VALUE(IF(AND(ISNUMBER(FIND(",",Товары_исходные!F79)),ISNUMBER(FIND(".",Товары_исходные!F79))),SUBSTITUTE(SUBSTITUTE(SUBSTITUTE(SUBSTITUTE(Товары_исходные!F79," ",""),"руб.",""),"руб",""),",",""),SUBSTITUTE(SUBSTITUTE(SUBSTITUTE(SUBSTITUTE(Товары_исходные!F79," ",""),"руб.",""),"руб",""),",","."))),0)</f>
        <v>13500</v>
      </c>
      <c r="G79" t="str">
        <f>IFERROR(VLOOKUP(Товары_исходные!G79,Справочники!$D$2:$E$50,2,FALSE),"шт.")</f>
        <v>шт.</v>
      </c>
      <c r="H79" t="str">
        <f t="shared" si="4"/>
        <v>OK</v>
      </c>
      <c r="I79" t="str">
        <f t="shared" si="5"/>
        <v>OK</v>
      </c>
    </row>
    <row r="80">
      <c r="A80" t="str">
        <f>"АРТ-"&amp;LEFT(SUBSTITUTE(SUBSTITUTE(SUBSTITUTE(SUBSTITUTE(Товары_исходные!A80,"№",""),"АРТ-",""),"АРТ_",""),"/","-"),3)</f>
        <v>АРТ-079</v>
      </c>
      <c r="B80" t="str">
        <f>PROPER(TRIM(IFERROR(LEFT(Товары_исходные!B80,FIND("(",Товары_исходные!B80)-1),Товары_исходные!B80)))</f>
        <v xml:space="preserve">Планшет Lenovo Tab P12</v>
      </c>
      <c r="C80" t="str">
        <f>IFERROR(VLOOKUP(Товары_исходные!C80,Справочники!$A$2:$B$50,2,FALSE),Товары_исходные!C80)</f>
        <v>Планшеты</v>
      </c>
      <c r="D80" t="str">
        <f>PROPER(TRIM(Товары_исходные!D80))</f>
        <v>Lenovo</v>
      </c>
      <c r="E80" s="4">
        <f>IFERROR(VALUE(IF(AND(ISNUMBER(FIND(",",Товары_исходные!E80)),ISNUMBER(FIND(".",Товары_исходные!E80))),SUBSTITUTE(SUBSTITUTE(SUBSTITUTE(SUBSTITUTE(Товары_исходные!E80," ",""),"руб.",""),"руб",""),",",""),SUBSTITUTE(SUBSTITUTE(SUBSTITUTE(SUBSTITUTE(Товары_исходные!E80," ",""),"руб.",""),"руб",""),",","."))),0)</f>
        <v>28000</v>
      </c>
      <c r="F80" s="4">
        <f>IFERROR(VALUE(IF(AND(ISNUMBER(FIND(",",Товары_исходные!F80)),ISNUMBER(FIND(".",Товары_исходные!F80))),SUBSTITUTE(SUBSTITUTE(SUBSTITUTE(SUBSTITUTE(Товары_исходные!F80," ",""),"руб.",""),"руб",""),",",""),SUBSTITUTE(SUBSTITUTE(SUBSTITUTE(SUBSTITUTE(Товары_исходные!F80," ",""),"руб.",""),"руб",""),",","."))),0)</f>
        <v>45999</v>
      </c>
      <c r="G80" t="str">
        <f>IFERROR(VLOOKUP(Товары_исходные!G80,Справочники!$D$2:$E$50,2,FALSE),"шт.")</f>
        <v>шт.</v>
      </c>
      <c r="H80" t="str">
        <f t="shared" si="4"/>
        <v>OK</v>
      </c>
      <c r="I80" t="str">
        <f t="shared" si="5"/>
        <v>OK</v>
      </c>
    </row>
    <row r="81">
      <c r="A81" t="str">
        <f>"АРТ-"&amp;LEFT(SUBSTITUTE(SUBSTITUTE(SUBSTITUTE(SUBSTITUTE(Товары_исходные!A81,"№",""),"АРТ-",""),"АРТ_",""),"/","-"),3)</f>
        <v>АРТ-080</v>
      </c>
      <c r="B81" t="str">
        <f>PROPER(TRIM(IFERROR(LEFT(Товары_исходные!B81,FIND("(",Товары_исходные!B81)-1),Товары_исходные!B81)))</f>
        <v xml:space="preserve">Планшет Lenovo Tab P12</v>
      </c>
      <c r="C81" t="str">
        <f>IFERROR(VLOOKUP(Товары_исходные!C81,Справочники!$A$2:$B$50,2,FALSE),Товары_исходные!C81)</f>
        <v>Планшеты</v>
      </c>
      <c r="D81" t="str">
        <f>PROPER(TRIM(Товары_исходные!D81))</f>
        <v>Lenovo</v>
      </c>
      <c r="E81" s="4">
        <f>IFERROR(VALUE(IF(AND(ISNUMBER(FIND(",",Товары_исходные!E81)),ISNUMBER(FIND(".",Товары_исходные!E81))),SUBSTITUTE(SUBSTITUTE(SUBSTITUTE(SUBSTITUTE(Товары_исходные!E81," ",""),"руб.",""),"руб",""),",",""),SUBSTITUTE(SUBSTITUTE(SUBSTITUTE(SUBSTITUTE(Товары_исходные!E81," ",""),"руб.",""),"руб",""),",","."))),0)</f>
        <v>27000</v>
      </c>
      <c r="F81" s="4">
        <f>IFERROR(VALUE(IF(AND(ISNUMBER(FIND(",",Товары_исходные!F81)),ISNUMBER(FIND(".",Товары_исходные!F81))),SUBSTITUTE(SUBSTITUTE(SUBSTITUTE(SUBSTITUTE(Товары_исходные!F81," ",""),"руб.",""),"руб",""),",",""),SUBSTITUTE(SUBSTITUTE(SUBSTITUTE(SUBSTITUTE(Товары_исходные!F81," ",""),"руб.",""),"руб",""),",","."))),0)</f>
        <v>44500</v>
      </c>
      <c r="G81" t="str">
        <f>IFERROR(VLOOKUP(Товары_исходные!G81,Справочники!$D$2:$E$50,2,FALSE),"шт.")</f>
        <v>шт.</v>
      </c>
      <c r="H81" t="str">
        <f t="shared" si="4"/>
        <v>OK</v>
      </c>
      <c r="I81" t="str">
        <f t="shared" si="5"/>
        <v>OK</v>
      </c>
    </row>
    <row r="82">
      <c r="A82" t="str">
        <f>"АРТ-"&amp;LEFT(SUBSTITUTE(SUBSTITUTE(SUBSTITUTE(SUBSTITUTE(Товары_исходные!A82,"№",""),"АРТ-",""),"АРТ_",""),"/","-"),3)</f>
        <v>АРТ-081</v>
      </c>
      <c r="B82" t="str">
        <f>PROPER(TRIM(IFERROR(LEFT(Товары_исходные!B82,FIND("(",Товары_исходные!B82)-1),Товары_исходные!B82)))</f>
        <v xml:space="preserve">Планшет Lenovo Tab P12</v>
      </c>
      <c r="C82" t="str">
        <f>IFERROR(VLOOKUP(Товары_исходные!C82,Справочники!$A$2:$B$50,2,FALSE),Товары_исходные!C82)</f>
        <v>Планшеты</v>
      </c>
      <c r="D82" t="str">
        <f>PROPER(TRIM(Товары_исходные!D82))</f>
        <v>Lenovo</v>
      </c>
      <c r="E82" s="4">
        <f>IFERROR(VALUE(IF(AND(ISNUMBER(FIND(",",Товары_исходные!E82)),ISNUMBER(FIND(".",Товары_исходные!E82))),SUBSTITUTE(SUBSTITUTE(SUBSTITUTE(SUBSTITUTE(Товары_исходные!E82," ",""),"руб.",""),"руб",""),",",""),SUBSTITUTE(SUBSTITUTE(SUBSTITUTE(SUBSTITUTE(Товары_исходные!E82," ",""),"руб.",""),"руб",""),",","."))),0)</f>
        <v>29000</v>
      </c>
      <c r="F82" s="4">
        <f>IFERROR(VALUE(IF(AND(ISNUMBER(FIND(",",Товары_исходные!F82)),ISNUMBER(FIND(".",Товары_исходные!F82))),SUBSTITUTE(SUBSTITUTE(SUBSTITUTE(SUBSTITUTE(Товары_исходные!F82," ",""),"руб.",""),"руб",""),",",""),SUBSTITUTE(SUBSTITUTE(SUBSTITUTE(SUBSTITUTE(Товары_исходные!F82," ",""),"руб.",""),"руб",""),",","."))),0)</f>
        <v>47500</v>
      </c>
      <c r="G82" t="str">
        <f>IFERROR(VLOOKUP(Товары_исходные!G82,Справочники!$D$2:$E$50,2,FALSE),"шт.")</f>
        <v>шт.</v>
      </c>
      <c r="H82" t="str">
        <f t="shared" si="4"/>
        <v>OK</v>
      </c>
      <c r="I82" t="str">
        <f t="shared" si="5"/>
        <v>OK</v>
      </c>
    </row>
    <row r="83">
      <c r="A83" t="str">
        <f>"АРТ-"&amp;LEFT(SUBSTITUTE(SUBSTITUTE(SUBSTITUTE(SUBSTITUTE(Товары_исходные!A83,"№",""),"АРТ-",""),"АРТ_",""),"/","-"),3)</f>
        <v>АРТ-082</v>
      </c>
      <c r="B83" t="str">
        <f>PROPER(TRIM(IFERROR(LEFT(Товары_исходные!B83,FIND("(",Товары_исходные!B83)-1),Товары_исходные!B83)))</f>
        <v xml:space="preserve">Смарт-Часы Samsung Galaxy Watch6</v>
      </c>
      <c r="C83" t="str">
        <f>IFERROR(VLOOKUP(Товары_исходные!C83,Справочники!$A$2:$B$50,2,FALSE),Товары_исходные!C83)</f>
        <v>Часы</v>
      </c>
      <c r="D83" t="str">
        <f>PROPER(TRIM(Товары_исходные!D83))</f>
        <v>Samsung</v>
      </c>
      <c r="E83" s="4">
        <f>IFERROR(VALUE(IF(AND(ISNUMBER(FIND(",",Товары_исходные!E83)),ISNUMBER(FIND(".",Товары_исходные!E83))),SUBSTITUTE(SUBSTITUTE(SUBSTITUTE(SUBSTITUTE(Товары_исходные!E83," ",""),"руб.",""),"руб",""),",",""),SUBSTITUTE(SUBSTITUTE(SUBSTITUTE(SUBSTITUTE(Товары_исходные!E83," ",""),"руб.",""),"руб",""),",","."))),0)</f>
        <v>25000</v>
      </c>
      <c r="F83" s="4">
        <f>IFERROR(VALUE(IF(AND(ISNUMBER(FIND(",",Товары_исходные!F83)),ISNUMBER(FIND(".",Товары_исходные!F83))),SUBSTITUTE(SUBSTITUTE(SUBSTITUTE(SUBSTITUTE(Товары_исходные!F83," ",""),"руб.",""),"руб",""),",",""),SUBSTITUTE(SUBSTITUTE(SUBSTITUTE(SUBSTITUTE(Товары_исходные!F83," ",""),"руб.",""),"руб",""),",","."))),0)</f>
        <v>39990</v>
      </c>
      <c r="G83" t="str">
        <f>IFERROR(VLOOKUP(Товары_исходные!G83,Справочники!$D$2:$E$50,2,FALSE),"шт.")</f>
        <v>шт.</v>
      </c>
      <c r="H83" t="str">
        <f t="shared" si="4"/>
        <v>OK</v>
      </c>
      <c r="I83" t="str">
        <f t="shared" si="5"/>
        <v>OK</v>
      </c>
    </row>
    <row r="84">
      <c r="A84" t="str">
        <f>"АРТ-"&amp;LEFT(SUBSTITUTE(SUBSTITUTE(SUBSTITUTE(SUBSTITUTE(Товары_исходные!A84,"№",""),"АРТ-",""),"АРТ_",""),"/","-"),3)</f>
        <v>АРТ-083</v>
      </c>
      <c r="B84" t="str">
        <f>PROPER(TRIM(IFERROR(LEFT(Товары_исходные!B84,FIND("(",Товары_исходные!B84)-1),Товары_исходные!B84)))</f>
        <v xml:space="preserve">Смарт-Часы Samsung Galaxy Watch6</v>
      </c>
      <c r="C84" t="str">
        <f>IFERROR(VLOOKUP(Товары_исходные!C84,Справочники!$A$2:$B$50,2,FALSE),Товары_исходные!C84)</f>
        <v>Часы</v>
      </c>
      <c r="D84" t="str">
        <f>PROPER(TRIM(Товары_исходные!D84))</f>
        <v>Samsung</v>
      </c>
      <c r="E84" s="4">
        <f>IFERROR(VALUE(IF(AND(ISNUMBER(FIND(",",Товары_исходные!E84)),ISNUMBER(FIND(".",Товары_исходные!E84))),SUBSTITUTE(SUBSTITUTE(SUBSTITUTE(SUBSTITUTE(Товары_исходные!E84," ",""),"руб.",""),"руб",""),",",""),SUBSTITUTE(SUBSTITUTE(SUBSTITUTE(SUBSTITUTE(Товары_исходные!E84," ",""),"руб.",""),"руб",""),",","."))),0)</f>
        <v>24000</v>
      </c>
      <c r="F84" s="4">
        <f>IFERROR(VALUE(IF(AND(ISNUMBER(FIND(",",Товары_исходные!F84)),ISNUMBER(FIND(".",Товары_исходные!F84))),SUBSTITUTE(SUBSTITUTE(SUBSTITUTE(SUBSTITUTE(Товары_исходные!F84," ",""),"руб.",""),"руб",""),",",""),SUBSTITUTE(SUBSTITUTE(SUBSTITUTE(SUBSTITUTE(Товары_исходные!F84," ",""),"руб.",""),"руб",""),",","."))),0)</f>
        <v>38500</v>
      </c>
      <c r="G84" t="str">
        <f>IFERROR(VLOOKUP(Товары_исходные!G84,Справочники!$D$2:$E$50,2,FALSE),"шт.")</f>
        <v>шт.</v>
      </c>
      <c r="H84" t="str">
        <f t="shared" si="4"/>
        <v>OK</v>
      </c>
      <c r="I84" t="str">
        <f t="shared" si="5"/>
        <v>OK</v>
      </c>
    </row>
    <row r="85">
      <c r="A85" t="str">
        <f>"АРТ-"&amp;LEFT(SUBSTITUTE(SUBSTITUTE(SUBSTITUTE(SUBSTITUTE(Товары_исходные!A85,"№",""),"АРТ-",""),"АРТ_",""),"/","-"),3)</f>
        <v>АРТ-084</v>
      </c>
      <c r="B85" t="str">
        <f>PROPER(TRIM(IFERROR(LEFT(Товары_исходные!B85,FIND("(",Товары_исходные!B85)-1),Товары_исходные!B85)))</f>
        <v xml:space="preserve">Смарт-Часы Samsung Galaxy Watch6</v>
      </c>
      <c r="C85" t="str">
        <f>IFERROR(VLOOKUP(Товары_исходные!C85,Справочники!$A$2:$B$50,2,FALSE),Товары_исходные!C85)</f>
        <v>Часы</v>
      </c>
      <c r="D85" t="str">
        <f>PROPER(TRIM(Товары_исходные!D85))</f>
        <v>Samsung</v>
      </c>
      <c r="E85" s="4">
        <f>IFERROR(VALUE(IF(AND(ISNUMBER(FIND(",",Товары_исходные!E85)),ISNUMBER(FIND(".",Товары_исходные!E85))),SUBSTITUTE(SUBSTITUTE(SUBSTITUTE(SUBSTITUTE(Товары_исходные!E85," ",""),"руб.",""),"руб",""),",",""),SUBSTITUTE(SUBSTITUTE(SUBSTITUTE(SUBSTITUTE(Товары_исходные!E85," ",""),"руб.",""),"руб",""),",","."))),0)</f>
        <v>26000</v>
      </c>
      <c r="F85" s="4">
        <f>IFERROR(VALUE(IF(AND(ISNUMBER(FIND(",",Товары_исходные!F85)),ISNUMBER(FIND(".",Товары_исходные!F85))),SUBSTITUTE(SUBSTITUTE(SUBSTITUTE(SUBSTITUTE(Товары_исходные!F85," ",""),"руб.",""),"руб",""),",",""),SUBSTITUTE(SUBSTITUTE(SUBSTITUTE(SUBSTITUTE(Товары_исходные!F85," ",""),"руб.",""),"руб",""),",","."))),0)</f>
        <v>41000</v>
      </c>
      <c r="G85" t="str">
        <f>IFERROR(VLOOKUP(Товары_исходные!G85,Справочники!$D$2:$E$50,2,FALSE),"шт.")</f>
        <v>шт.</v>
      </c>
      <c r="H85" t="str">
        <f t="shared" si="4"/>
        <v>OK</v>
      </c>
      <c r="I85" t="str">
        <f t="shared" si="5"/>
        <v>OK</v>
      </c>
    </row>
    <row r="86">
      <c r="A86" t="str">
        <f>"АРТ-"&amp;LEFT(SUBSTITUTE(SUBSTITUTE(SUBSTITUTE(SUBSTITUTE(Товары_исходные!A86,"№",""),"АРТ-",""),"АРТ_",""),"/","-"),3)</f>
        <v>АРТ-085</v>
      </c>
      <c r="B86" t="str">
        <f>PROPER(TRIM(IFERROR(LEFT(Товары_исходные!B86,FIND("(",Товары_исходные!B86)-1),Товары_исходные!B86)))</f>
        <v xml:space="preserve">Ноутбук Asus Zenbook 14</v>
      </c>
      <c r="C86" t="str">
        <f>IFERROR(VLOOKUP(Товары_исходные!C86,Справочники!$A$2:$B$50,2,FALSE),Товары_исходные!C86)</f>
        <v>Ноутбуки</v>
      </c>
      <c r="D86" t="str">
        <f>PROPER(TRIM(Товары_исходные!D86))</f>
        <v>Asus</v>
      </c>
      <c r="E86" s="4">
        <f>IFERROR(VALUE(IF(AND(ISNUMBER(FIND(",",Товары_исходные!E86)),ISNUMBER(FIND(".",Товары_исходные!E86))),SUBSTITUTE(SUBSTITUTE(SUBSTITUTE(SUBSTITUTE(Товары_исходные!E86," ",""),"руб.",""),"руб",""),",",""),SUBSTITUTE(SUBSTITUTE(SUBSTITUTE(SUBSTITUTE(Товары_исходные!E86," ",""),"руб.",""),"руб",""),",","."))),0)</f>
        <v>72000</v>
      </c>
      <c r="F86" s="4">
        <f>IFERROR(VALUE(IF(AND(ISNUMBER(FIND(",",Товары_исходные!F86)),ISNUMBER(FIND(".",Товары_исходные!F86))),SUBSTITUTE(SUBSTITUTE(SUBSTITUTE(SUBSTITUTE(Товары_исходные!F86," ",""),"руб.",""),"руб",""),",",""),SUBSTITUTE(SUBSTITUTE(SUBSTITUTE(SUBSTITUTE(Товары_исходные!F86," ",""),"руб.",""),"руб",""),",","."))),0)</f>
        <v>109990</v>
      </c>
      <c r="G86" t="str">
        <f>IFERROR(VLOOKUP(Товары_исходные!G86,Справочники!$D$2:$E$50,2,FALSE),"шт.")</f>
        <v>шт.</v>
      </c>
      <c r="H86" t="str">
        <f t="shared" si="4"/>
        <v>OK</v>
      </c>
      <c r="I86" t="str">
        <f t="shared" si="5"/>
        <v>OK</v>
      </c>
    </row>
    <row r="87">
      <c r="A87" t="str">
        <f>"АРТ-"&amp;LEFT(SUBSTITUTE(SUBSTITUTE(SUBSTITUTE(SUBSTITUTE(Товары_исходные!A87,"№",""),"АРТ-",""),"АРТ_",""),"/","-"),3)</f>
        <v>АРТ-086</v>
      </c>
      <c r="B87" t="str">
        <f>PROPER(TRIM(IFERROR(LEFT(Товары_исходные!B87,FIND("(",Товары_исходные!B87)-1),Товары_исходные!B87)))</f>
        <v xml:space="preserve">Ноутбук Asus Zenbook 14</v>
      </c>
      <c r="C87" t="str">
        <f>IFERROR(VLOOKUP(Товары_исходные!C87,Справочники!$A$2:$B$50,2,FALSE),Товары_исходные!C87)</f>
        <v>Ноутбуки</v>
      </c>
      <c r="D87" t="str">
        <f>PROPER(TRIM(Товары_исходные!D87))</f>
        <v>Asus</v>
      </c>
      <c r="E87" s="4">
        <f>IFERROR(VALUE(IF(AND(ISNUMBER(FIND(",",Товары_исходные!E87)),ISNUMBER(FIND(".",Товары_исходные!E87))),SUBSTITUTE(SUBSTITUTE(SUBSTITUTE(SUBSTITUTE(Товары_исходные!E87," ",""),"руб.",""),"руб",""),",",""),SUBSTITUTE(SUBSTITUTE(SUBSTITUTE(SUBSTITUTE(Товары_исходные!E87," ",""),"руб.",""),"руб",""),",","."))),0)</f>
        <v>70500</v>
      </c>
      <c r="F87" s="4">
        <f>IFERROR(VALUE(IF(AND(ISNUMBER(FIND(",",Товары_исходные!F87)),ISNUMBER(FIND(".",Товары_исходные!F87))),SUBSTITUTE(SUBSTITUTE(SUBSTITUTE(SUBSTITUTE(Товары_исходные!F87," ",""),"руб.",""),"руб",""),",",""),SUBSTITUTE(SUBSTITUTE(SUBSTITUTE(SUBSTITUTE(Товары_исходные!F87," ",""),"руб.",""),"руб",""),",","."))),0)</f>
        <v>107500</v>
      </c>
      <c r="G87" t="str">
        <f>IFERROR(VLOOKUP(Товары_исходные!G87,Справочники!$D$2:$E$50,2,FALSE),"шт.")</f>
        <v>шт.</v>
      </c>
      <c r="H87" t="str">
        <f t="shared" si="4"/>
        <v>OK</v>
      </c>
      <c r="I87" t="str">
        <f t="shared" si="5"/>
        <v>OK</v>
      </c>
    </row>
    <row r="88">
      <c r="A88" t="str">
        <f>"АРТ-"&amp;LEFT(SUBSTITUTE(SUBSTITUTE(SUBSTITUTE(SUBSTITUTE(Товары_исходные!A88,"№",""),"АРТ-",""),"АРТ_",""),"/","-"),3)</f>
        <v>АРТ-087</v>
      </c>
      <c r="B88" t="str">
        <f>PROPER(TRIM(IFERROR(LEFT(Товары_исходные!B88,FIND("(",Товары_исходные!B88)-1),Товары_исходные!B88)))</f>
        <v xml:space="preserve">Ноутбук Asus Zenbook 14</v>
      </c>
      <c r="C88" t="str">
        <f>IFERROR(VLOOKUP(Товары_исходные!C88,Справочники!$A$2:$B$50,2,FALSE),Товары_исходные!C88)</f>
        <v>Ноутбуки</v>
      </c>
      <c r="D88" t="str">
        <f>PROPER(TRIM(Товары_исходные!D88))</f>
        <v>Asus</v>
      </c>
      <c r="E88" s="4">
        <f>IFERROR(VALUE(IF(AND(ISNUMBER(FIND(",",Товары_исходные!E88)),ISNUMBER(FIND(".",Товары_исходные!E88))),SUBSTITUTE(SUBSTITUTE(SUBSTITUTE(SUBSTITUTE(Товары_исходные!E88," ",""),"руб.",""),"руб",""),",",""),SUBSTITUTE(SUBSTITUTE(SUBSTITUTE(SUBSTITUTE(Товары_исходные!E88," ",""),"руб.",""),"руб",""),",","."))),0)</f>
        <v>73500</v>
      </c>
      <c r="F88" s="4">
        <f>IFERROR(VALUE(IF(AND(ISNUMBER(FIND(",",Товары_исходные!F88)),ISNUMBER(FIND(".",Товары_исходные!F88))),SUBSTITUTE(SUBSTITUTE(SUBSTITUTE(SUBSTITUTE(Товары_исходные!F88," ",""),"руб.",""),"руб",""),",",""),SUBSTITUTE(SUBSTITUTE(SUBSTITUTE(SUBSTITUTE(Товары_исходные!F88," ",""),"руб.",""),"руб",""),",","."))),0)</f>
        <v>112000</v>
      </c>
      <c r="G88" t="str">
        <f>IFERROR(VLOOKUP(Товары_исходные!G88,Справочники!$D$2:$E$50,2,FALSE),"шт.")</f>
        <v>шт.</v>
      </c>
      <c r="H88" t="str">
        <f t="shared" si="4"/>
        <v>OK</v>
      </c>
      <c r="I88" t="str">
        <f t="shared" si="5"/>
        <v>OK</v>
      </c>
    </row>
    <row r="89">
      <c r="A89" t="str">
        <f>"АРТ-"&amp;LEFT(SUBSTITUTE(SUBSTITUTE(SUBSTITUTE(SUBSTITUTE(Товары_исходные!A89,"№",""),"АРТ-",""),"АРТ_",""),"/","-"),3)</f>
        <v>АРТ-088</v>
      </c>
      <c r="B89" t="str">
        <f>PROPER(TRIM(IFERROR(LEFT(Товары_исходные!B89,FIND("(",Товары_исходные!B89)-1),Товары_исходные!B89)))</f>
        <v xml:space="preserve">Телевизор Xiaomi Tv A2</v>
      </c>
      <c r="C89" t="str">
        <f>IFERROR(VLOOKUP(Товары_исходные!C89,Справочники!$A$2:$B$50,2,FALSE),Товары_исходные!C89)</f>
        <v>Телевизоры</v>
      </c>
      <c r="D89" t="str">
        <f>PROPER(TRIM(Товары_исходные!D89))</f>
        <v>Xiaomi</v>
      </c>
      <c r="E89" s="4">
        <f>IFERROR(VALUE(IF(AND(ISNUMBER(FIND(",",Товары_исходные!E89)),ISNUMBER(FIND(".",Товары_исходные!E89))),SUBSTITUTE(SUBSTITUTE(SUBSTITUTE(SUBSTITUTE(Товары_исходные!E89," ",""),"руб.",""),"руб",""),",",""),SUBSTITUTE(SUBSTITUTE(SUBSTITUTE(SUBSTITUTE(Товары_исходные!E89," ",""),"руб.",""),"руб",""),",","."))),0)</f>
        <v>35000</v>
      </c>
      <c r="F89" s="4">
        <f>IFERROR(VALUE(IF(AND(ISNUMBER(FIND(",",Товары_исходные!F89)),ISNUMBER(FIND(".",Товары_исходные!F89))),SUBSTITUTE(SUBSTITUTE(SUBSTITUTE(SUBSTITUTE(Товары_исходные!F89," ",""),"руб.",""),"руб",""),",",""),SUBSTITUTE(SUBSTITUTE(SUBSTITUTE(SUBSTITUTE(Товары_исходные!F89," ",""),"руб.",""),"руб",""),",","."))),0)</f>
        <v>54999</v>
      </c>
      <c r="G89" t="str">
        <f>IFERROR(VLOOKUP(Товары_исходные!G89,Справочники!$D$2:$E$50,2,FALSE),"шт.")</f>
        <v>шт.</v>
      </c>
      <c r="H89" t="str">
        <f t="shared" si="4"/>
        <v>OK</v>
      </c>
      <c r="I89" t="str">
        <f t="shared" si="5"/>
        <v>OK</v>
      </c>
    </row>
    <row r="90">
      <c r="A90" t="str">
        <f>"АРТ-"&amp;LEFT(SUBSTITUTE(SUBSTITUTE(SUBSTITUTE(SUBSTITUTE(Товары_исходные!A90,"№",""),"АРТ-",""),"АРТ_",""),"/","-"),3)</f>
        <v>АРТ-089</v>
      </c>
      <c r="B90" t="str">
        <f>PROPER(TRIM(IFERROR(LEFT(Товары_исходные!B90,FIND("(",Товары_исходные!B90)-1),Товары_исходные!B90)))</f>
        <v xml:space="preserve">Телевизор Xiaomi Tv A2</v>
      </c>
      <c r="C90" t="str">
        <f>IFERROR(VLOOKUP(Товары_исходные!C90,Справочники!$A$2:$B$50,2,FALSE),Товары_исходные!C90)</f>
        <v>Телевизоры</v>
      </c>
      <c r="D90" t="str">
        <f>PROPER(TRIM(Товары_исходные!D90))</f>
        <v>Xiaomi</v>
      </c>
      <c r="E90" s="4">
        <f>IFERROR(VALUE(IF(AND(ISNUMBER(FIND(",",Товары_исходные!E90)),ISNUMBER(FIND(".",Товары_исходные!E90))),SUBSTITUTE(SUBSTITUTE(SUBSTITUTE(SUBSTITUTE(Товары_исходные!E90," ",""),"руб.",""),"руб",""),",",""),SUBSTITUTE(SUBSTITUTE(SUBSTITUTE(SUBSTITUTE(Товары_исходные!E90," ",""),"руб.",""),"руб",""),",","."))),0)</f>
        <v>34000</v>
      </c>
      <c r="F90" s="4">
        <f>IFERROR(VALUE(IF(AND(ISNUMBER(FIND(",",Товары_исходные!F90)),ISNUMBER(FIND(".",Товары_исходные!F90))),SUBSTITUTE(SUBSTITUTE(SUBSTITUTE(SUBSTITUTE(Товары_исходные!F90," ",""),"руб.",""),"руб",""),",",""),SUBSTITUTE(SUBSTITUTE(SUBSTITUTE(SUBSTITUTE(Товары_исходные!F90," ",""),"руб.",""),"руб",""),",","."))),0)</f>
        <v>53500</v>
      </c>
      <c r="G90" t="str">
        <f>IFERROR(VLOOKUP(Товары_исходные!G90,Справочники!$D$2:$E$50,2,FALSE),"шт.")</f>
        <v>шт.</v>
      </c>
      <c r="H90" t="str">
        <f t="shared" si="4"/>
        <v>OK</v>
      </c>
      <c r="I90" t="str">
        <f t="shared" si="5"/>
        <v>OK</v>
      </c>
    </row>
    <row r="91">
      <c r="A91" t="str">
        <f>"АРТ-"&amp;LEFT(SUBSTITUTE(SUBSTITUTE(SUBSTITUTE(SUBSTITUTE(Товары_исходные!A91,"№",""),"АРТ-",""),"АРТ_",""),"/","-"),3)</f>
        <v>АРТ-090</v>
      </c>
      <c r="B91" t="str">
        <f>PROPER(TRIM(IFERROR(LEFT(Товары_исходные!B91,FIND("(",Товары_исходные!B91)-1),Товары_исходные!B91)))</f>
        <v xml:space="preserve">Телевизор Xiaomi Tv A2</v>
      </c>
      <c r="C91" t="str">
        <f>IFERROR(VLOOKUP(Товары_исходные!C91,Справочники!$A$2:$B$50,2,FALSE),Товары_исходные!C91)</f>
        <v>Телевизоры</v>
      </c>
      <c r="D91" t="str">
        <f>PROPER(TRIM(Товары_исходные!D91))</f>
        <v>Xiaomi</v>
      </c>
      <c r="E91" s="4">
        <f>IFERROR(VALUE(IF(AND(ISNUMBER(FIND(",",Товары_исходные!E91)),ISNUMBER(FIND(".",Товары_исходные!E91))),SUBSTITUTE(SUBSTITUTE(SUBSTITUTE(SUBSTITUTE(Товары_исходные!E91," ",""),"руб.",""),"руб",""),",",""),SUBSTITUTE(SUBSTITUTE(SUBSTITUTE(SUBSTITUTE(Товары_исходные!E91," ",""),"руб.",""),"руб",""),",","."))),0)</f>
        <v>36000</v>
      </c>
      <c r="F91" s="4">
        <f>IFERROR(VALUE(IF(AND(ISNUMBER(FIND(",",Товары_исходные!F91)),ISNUMBER(FIND(".",Товары_исходные!F91))),SUBSTITUTE(SUBSTITUTE(SUBSTITUTE(SUBSTITUTE(Товары_исходные!F91," ",""),"руб.",""),"руб",""),",",""),SUBSTITUTE(SUBSTITUTE(SUBSTITUTE(SUBSTITUTE(Товары_исходные!F91," ",""),"руб.",""),"руб",""),",","."))),0)</f>
        <v>56500</v>
      </c>
      <c r="G91" t="str">
        <f>IFERROR(VLOOKUP(Товары_исходные!G91,Справочники!$D$2:$E$50,2,FALSE),"шт.")</f>
        <v>шт.</v>
      </c>
      <c r="H91" t="str">
        <f t="shared" si="4"/>
        <v>OK</v>
      </c>
      <c r="I91" t="str">
        <f t="shared" si="5"/>
        <v>OK</v>
      </c>
    </row>
    <row r="92">
      <c r="A92" t="str">
        <f>"АРТ-"&amp;LEFT(SUBSTITUTE(SUBSTITUTE(SUBSTITUTE(SUBSTITUTE(Товары_исходные!A92,"№",""),"АРТ-",""),"АРТ_",""),"/","-"),3)</f>
        <v>АРТ-091</v>
      </c>
      <c r="B92" t="str">
        <f>PROPER(TRIM(IFERROR(LEFT(Товары_исходные!B92,FIND("(",Товары_исходные!B92)-1),Товары_исходные!B92)))</f>
        <v xml:space="preserve">Наушники Anker Soundcore Q45</v>
      </c>
      <c r="C92" t="str">
        <f>IFERROR(VLOOKUP(Товары_исходные!C92,Справочники!$A$2:$B$50,2,FALSE),Товары_исходные!C92)</f>
        <v>Наушники</v>
      </c>
      <c r="D92" t="str">
        <f>PROPER(TRIM(Товары_исходные!D92))</f>
        <v>Anker</v>
      </c>
      <c r="E92" s="4">
        <f>IFERROR(VALUE(IF(AND(ISNUMBER(FIND(",",Товары_исходные!E92)),ISNUMBER(FIND(".",Товары_исходные!E92))),SUBSTITUTE(SUBSTITUTE(SUBSTITUTE(SUBSTITUTE(Товары_исходные!E92," ",""),"руб.",""),"руб",""),",",""),SUBSTITUTE(SUBSTITUTE(SUBSTITUTE(SUBSTITUTE(Товары_исходные!E92," ",""),"руб.",""),"руб",""),",","."))),0)</f>
        <v>6000</v>
      </c>
      <c r="F92" s="4">
        <f>IFERROR(VALUE(IF(AND(ISNUMBER(FIND(",",Товары_исходные!F92)),ISNUMBER(FIND(".",Товары_исходные!F92))),SUBSTITUTE(SUBSTITUTE(SUBSTITUTE(SUBSTITUTE(Товары_исходные!F92," ",""),"руб.",""),"руб",""),",",""),SUBSTITUTE(SUBSTITUTE(SUBSTITUTE(SUBSTITUTE(Товары_исходные!F92," ",""),"руб.",""),"руб",""),",","."))),0)</f>
        <v>9990</v>
      </c>
      <c r="G92" t="str">
        <f>IFERROR(VLOOKUP(Товары_исходные!G92,Справочники!$D$2:$E$50,2,FALSE),"шт.")</f>
        <v>шт.</v>
      </c>
      <c r="H92" t="str">
        <f t="shared" si="4"/>
        <v>OK</v>
      </c>
      <c r="I92" t="str">
        <f t="shared" si="5"/>
        <v>OK</v>
      </c>
    </row>
    <row r="93">
      <c r="A93" t="str">
        <f>"АРТ-"&amp;LEFT(SUBSTITUTE(SUBSTITUTE(SUBSTITUTE(SUBSTITUTE(Товары_исходные!A93,"№",""),"АРТ-",""),"АРТ_",""),"/","-"),3)</f>
        <v>АРТ-092</v>
      </c>
      <c r="B93" t="str">
        <f>PROPER(TRIM(IFERROR(LEFT(Товары_исходные!B93,FIND("(",Товары_исходные!B93)-1),Товары_исходные!B93)))</f>
        <v xml:space="preserve">Наушники Anker Soundcore Q45</v>
      </c>
      <c r="C93" t="str">
        <f>IFERROR(VLOOKUP(Товары_исходные!C93,Справочники!$A$2:$B$50,2,FALSE),Товары_исходные!C93)</f>
        <v>Наушники</v>
      </c>
      <c r="D93" t="str">
        <f>PROPER(TRIM(Товары_исходные!D93))</f>
        <v>Anker</v>
      </c>
      <c r="E93" s="4">
        <f>IFERROR(VALUE(IF(AND(ISNUMBER(FIND(",",Товары_исходные!E93)),ISNUMBER(FIND(".",Товары_исходные!E93))),SUBSTITUTE(SUBSTITUTE(SUBSTITUTE(SUBSTITUTE(Товары_исходные!E93," ",""),"руб.",""),"руб",""),",",""),SUBSTITUTE(SUBSTITUTE(SUBSTITUTE(SUBSTITUTE(Товары_исходные!E93," ",""),"руб.",""),"руб",""),",","."))),0)</f>
        <v>5500</v>
      </c>
      <c r="F93" s="4">
        <f>IFERROR(VALUE(IF(AND(ISNUMBER(FIND(",",Товары_исходные!F93)),ISNUMBER(FIND(".",Товары_исходные!F93))),SUBSTITUTE(SUBSTITUTE(SUBSTITUTE(SUBSTITUTE(Товары_исходные!F93," ",""),"руб.",""),"руб",""),",",""),SUBSTITUTE(SUBSTITUTE(SUBSTITUTE(SUBSTITUTE(Товары_исходные!F93," ",""),"руб.",""),"руб",""),",","."))),0)</f>
        <v>9200</v>
      </c>
      <c r="G93" t="str">
        <f>IFERROR(VLOOKUP(Товары_исходные!G93,Справочники!$D$2:$E$50,2,FALSE),"шт.")</f>
        <v>шт.</v>
      </c>
      <c r="H93" t="str">
        <f t="shared" si="4"/>
        <v>OK</v>
      </c>
      <c r="I93" t="str">
        <f t="shared" si="5"/>
        <v>OK</v>
      </c>
    </row>
    <row r="94">
      <c r="A94" t="str">
        <f>"АРТ-"&amp;LEFT(SUBSTITUTE(SUBSTITUTE(SUBSTITUTE(SUBSTITUTE(Товары_исходные!A94,"№",""),"АРТ-",""),"АРТ_",""),"/","-"),3)</f>
        <v>АРТ-093</v>
      </c>
      <c r="B94" t="str">
        <f>PROPER(TRIM(IFERROR(LEFT(Товары_исходные!B94,FIND("(",Товары_исходные!B94)-1),Товары_исходные!B94)))</f>
        <v xml:space="preserve">Наушники Anker Soundcore Q45</v>
      </c>
      <c r="C94" t="str">
        <f>IFERROR(VLOOKUP(Товары_исходные!C94,Справочники!$A$2:$B$50,2,FALSE),Товары_исходные!C94)</f>
        <v>Наушники</v>
      </c>
      <c r="D94" t="str">
        <f>PROPER(TRIM(Товары_исходные!D94))</f>
        <v>Anker</v>
      </c>
      <c r="E94" s="4">
        <f>IFERROR(VALUE(IF(AND(ISNUMBER(FIND(",",Товары_исходные!E94)),ISNUMBER(FIND(".",Товары_исходные!E94))),SUBSTITUTE(SUBSTITUTE(SUBSTITUTE(SUBSTITUTE(Товары_исходные!E94," ",""),"руб.",""),"руб",""),",",""),SUBSTITUTE(SUBSTITUTE(SUBSTITUTE(SUBSTITUTE(Товары_исходные!E94," ",""),"руб.",""),"руб",""),",","."))),0)</f>
        <v>6500</v>
      </c>
      <c r="F94" s="4">
        <f>IFERROR(VALUE(IF(AND(ISNUMBER(FIND(",",Товары_исходные!F94)),ISNUMBER(FIND(".",Товары_исходные!F94))),SUBSTITUTE(SUBSTITUTE(SUBSTITUTE(SUBSTITUTE(Товары_исходные!F94," ",""),"руб.",""),"руб",""),",",""),SUBSTITUTE(SUBSTITUTE(SUBSTITUTE(SUBSTITUTE(Товары_исходные!F94," ",""),"руб.",""),"руб",""),",","."))),0)</f>
        <v>10500</v>
      </c>
      <c r="G94" t="str">
        <f>IFERROR(VLOOKUP(Товары_исходные!G94,Справочники!$D$2:$E$50,2,FALSE),"шт.")</f>
        <v>шт.</v>
      </c>
      <c r="H94" t="str">
        <f t="shared" si="4"/>
        <v>OK</v>
      </c>
      <c r="I94" t="str">
        <f t="shared" si="5"/>
        <v>OK</v>
      </c>
    </row>
    <row r="95">
      <c r="A95" t="str">
        <f>"АРТ-"&amp;LEFT(SUBSTITUTE(SUBSTITUTE(SUBSTITUTE(SUBSTITUTE(Товары_исходные!A95,"№",""),"АРТ-",""),"АРТ_",""),"/","-"),3)</f>
        <v>АРТ-094</v>
      </c>
      <c r="B95" t="str">
        <f>PROPER(TRIM(IFERROR(LEFT(Товары_исходные!B95,FIND("(",Товары_исходные!B95)-1),Товары_исходные!B95)))</f>
        <v xml:space="preserve">Монитор Dell Ultrasharp U3223Qe</v>
      </c>
      <c r="C95" t="str">
        <f>IFERROR(VLOOKUP(Товары_исходные!C95,Справочники!$A$2:$B$50,2,FALSE),Товары_исходные!C95)</f>
        <v>Мониторы</v>
      </c>
      <c r="D95" t="str">
        <f>PROPER(TRIM(Товары_исходные!D95))</f>
        <v>Dell</v>
      </c>
      <c r="E95" s="4">
        <f>IFERROR(VALUE(IF(AND(ISNUMBER(FIND(",",Товары_исходные!E95)),ISNUMBER(FIND(".",Товары_исходные!E95))),SUBSTITUTE(SUBSTITUTE(SUBSTITUTE(SUBSTITUTE(Товары_исходные!E95," ",""),"руб.",""),"руб",""),",",""),SUBSTITUTE(SUBSTITUTE(SUBSTITUTE(SUBSTITUTE(Товары_исходные!E95," ",""),"руб.",""),"руб",""),",","."))),0)</f>
        <v>62000</v>
      </c>
      <c r="F95" s="4">
        <f>IFERROR(VALUE(IF(AND(ISNUMBER(FIND(",",Товары_исходные!F95)),ISNUMBER(FIND(".",Товары_исходные!F95))),SUBSTITUTE(SUBSTITUTE(SUBSTITUTE(SUBSTITUTE(Товары_исходные!F95," ",""),"руб.",""),"руб",""),",",""),SUBSTITUTE(SUBSTITUTE(SUBSTITUTE(SUBSTITUTE(Товары_исходные!F95," ",""),"руб.",""),"руб",""),",","."))),0)</f>
        <v>94900</v>
      </c>
      <c r="G95" t="str">
        <f>IFERROR(VLOOKUP(Товары_исходные!G95,Справочники!$D$2:$E$50,2,FALSE),"шт.")</f>
        <v>шт.</v>
      </c>
      <c r="H95" t="str">
        <f t="shared" si="4"/>
        <v>OK</v>
      </c>
      <c r="I95" t="str">
        <f t="shared" si="5"/>
        <v>OK</v>
      </c>
    </row>
    <row r="96">
      <c r="A96" t="str">
        <f>"АРТ-"&amp;LEFT(SUBSTITUTE(SUBSTITUTE(SUBSTITUTE(SUBSTITUTE(Товары_исходные!A96,"№",""),"АРТ-",""),"АРТ_",""),"/","-"),3)</f>
        <v>АРТ-095</v>
      </c>
      <c r="B96" t="str">
        <f>PROPER(TRIM(IFERROR(LEFT(Товары_исходные!B96,FIND("(",Товары_исходные!B96)-1),Товары_исходные!B96)))</f>
        <v xml:space="preserve">Монитор Dell Ultrasharp U3223Qe</v>
      </c>
      <c r="C96" t="str">
        <f>IFERROR(VLOOKUP(Товары_исходные!C96,Справочники!$A$2:$B$50,2,FALSE),Товары_исходные!C96)</f>
        <v>Мониторы</v>
      </c>
      <c r="D96" t="str">
        <f>PROPER(TRIM(Товары_исходные!D96))</f>
        <v>Dell</v>
      </c>
      <c r="E96" s="4">
        <f>IFERROR(VALUE(IF(AND(ISNUMBER(FIND(",",Товары_исходные!E96)),ISNUMBER(FIND(".",Товары_исходные!E96))),SUBSTITUTE(SUBSTITUTE(SUBSTITUTE(SUBSTITUTE(Товары_исходные!E96," ",""),"руб.",""),"руб",""),",",""),SUBSTITUTE(SUBSTITUTE(SUBSTITUTE(SUBSTITUTE(Товары_исходные!E96," ",""),"руб.",""),"руб",""),",","."))),0)</f>
        <v>60500</v>
      </c>
      <c r="F96" s="4">
        <f>IFERROR(VALUE(IF(AND(ISNUMBER(FIND(",",Товары_исходные!F96)),ISNUMBER(FIND(".",Товары_исходные!F96))),SUBSTITUTE(SUBSTITUTE(SUBSTITUTE(SUBSTITUTE(Товары_исходные!F96," ",""),"руб.",""),"руб",""),",",""),SUBSTITUTE(SUBSTITUTE(SUBSTITUTE(SUBSTITUTE(Товары_исходные!F96," ",""),"руб.",""),"руб",""),",","."))),0)</f>
        <v>92000</v>
      </c>
      <c r="G96" t="str">
        <f>IFERROR(VLOOKUP(Товары_исходные!G96,Справочники!$D$2:$E$50,2,FALSE),"шт.")</f>
        <v>шт.</v>
      </c>
      <c r="H96" t="str">
        <f t="shared" si="4"/>
        <v>OK</v>
      </c>
      <c r="I96" t="str">
        <f t="shared" si="5"/>
        <v>OK</v>
      </c>
    </row>
    <row r="97">
      <c r="A97" t="str">
        <f>"АРТ-"&amp;LEFT(SUBSTITUTE(SUBSTITUTE(SUBSTITUTE(SUBSTITUTE(Товары_исходные!A97,"№",""),"АРТ-",""),"АРТ_",""),"/","-"),3)</f>
        <v>АРТ-096</v>
      </c>
      <c r="B97" t="str">
        <f>PROPER(TRIM(IFERROR(LEFT(Товары_исходные!B97,FIND("(",Товары_исходные!B97)-1),Товары_исходные!B97)))</f>
        <v xml:space="preserve">Монитор Dell Ultrasharp U3223Qe</v>
      </c>
      <c r="C97" t="str">
        <f>IFERROR(VLOOKUP(Товары_исходные!C97,Справочники!$A$2:$B$50,2,FALSE),Товары_исходные!C97)</f>
        <v>Мониторы</v>
      </c>
      <c r="D97" t="str">
        <f>PROPER(TRIM(Товары_исходные!D97))</f>
        <v>Dell</v>
      </c>
      <c r="E97" s="4">
        <f>IFERROR(VALUE(IF(AND(ISNUMBER(FIND(",",Товары_исходные!E97)),ISNUMBER(FIND(".",Товары_исходные!E97))),SUBSTITUTE(SUBSTITUTE(SUBSTITUTE(SUBSTITUTE(Товары_исходные!E97," ",""),"руб.",""),"руб",""),",",""),SUBSTITUTE(SUBSTITUTE(SUBSTITUTE(SUBSTITUTE(Товары_исходные!E97," ",""),"руб.",""),"руб",""),",","."))),0)</f>
        <v>63500</v>
      </c>
      <c r="F97" s="4">
        <f>IFERROR(VALUE(IF(AND(ISNUMBER(FIND(",",Товары_исходные!F97)),ISNUMBER(FIND(".",Товары_исходные!F97))),SUBSTITUTE(SUBSTITUTE(SUBSTITUTE(SUBSTITUTE(Товары_исходные!F97," ",""),"руб.",""),"руб",""),",",""),SUBSTITUTE(SUBSTITUTE(SUBSTITUTE(SUBSTITUTE(Товары_исходные!F97," ",""),"руб.",""),"руб",""),",","."))),0)</f>
        <v>97000</v>
      </c>
      <c r="G97" t="str">
        <f>IFERROR(VLOOKUP(Товары_исходные!G97,Справочники!$D$2:$E$50,2,FALSE),"шт.")</f>
        <v>шт.</v>
      </c>
      <c r="H97" t="str">
        <f t="shared" si="4"/>
        <v>OK</v>
      </c>
      <c r="I97" t="str">
        <f t="shared" si="5"/>
        <v>OK</v>
      </c>
    </row>
    <row r="98">
      <c r="A98" t="str">
        <f>"АРТ-"&amp;LEFT(SUBSTITUTE(SUBSTITUTE(SUBSTITUTE(SUBSTITUTE(Товары_исходные!A98,"№",""),"АРТ-",""),"АРТ_",""),"/","-"),3)</f>
        <v>АРТ-097</v>
      </c>
      <c r="B98" t="str">
        <f>PROPER(TRIM(IFERROR(LEFT(Товары_исходные!B98,FIND("(",Товары_исходные!B98)-1),Товары_исходные!B98)))</f>
        <v xml:space="preserve">Мышь Razer Deathadder V3</v>
      </c>
      <c r="C98" t="str">
        <f>IFERROR(VLOOKUP(Товары_исходные!C98,Справочники!$A$2:$B$50,2,FALSE),Товары_исходные!C98)</f>
        <v>Аксессуары</v>
      </c>
      <c r="D98" t="str">
        <f>PROPER(TRIM(Товары_исходные!D98))</f>
        <v>Razer</v>
      </c>
      <c r="E98" s="4">
        <f>IFERROR(VALUE(IF(AND(ISNUMBER(FIND(",",Товары_исходные!E98)),ISNUMBER(FIND(".",Товары_исходные!E98))),SUBSTITUTE(SUBSTITUTE(SUBSTITUTE(SUBSTITUTE(Товары_исходные!E98," ",""),"руб.",""),"руб",""),",",""),SUBSTITUTE(SUBSTITUTE(SUBSTITUTE(SUBSTITUTE(Товары_исходные!E98," ",""),"руб.",""),"руб",""),",","."))),0)</f>
        <v>3500</v>
      </c>
      <c r="F98" s="4">
        <f>IFERROR(VALUE(IF(AND(ISNUMBER(FIND(",",Товары_исходные!F98)),ISNUMBER(FIND(".",Товары_исходные!F98))),SUBSTITUTE(SUBSTITUTE(SUBSTITUTE(SUBSTITUTE(Товары_исходные!F98," ",""),"руб.",""),"руб",""),",",""),SUBSTITUTE(SUBSTITUTE(SUBSTITUTE(SUBSTITUTE(Товары_исходные!F98," ",""),"руб.",""),"руб",""),",","."))),0)</f>
        <v>6990</v>
      </c>
      <c r="G98" t="str">
        <f>IFERROR(VLOOKUP(Товары_исходные!G98,Справочники!$D$2:$E$50,2,FALSE),"шт.")</f>
        <v>шт.</v>
      </c>
      <c r="H98" t="str">
        <f t="shared" si="4"/>
        <v>OK</v>
      </c>
      <c r="I98" t="str">
        <f t="shared" si="5"/>
        <v>OK</v>
      </c>
    </row>
    <row r="99">
      <c r="A99" t="str">
        <f>"АРТ-"&amp;LEFT(SUBSTITUTE(SUBSTITUTE(SUBSTITUTE(SUBSTITUTE(Товары_исходные!A99,"№",""),"АРТ-",""),"АРТ_",""),"/","-"),3)</f>
        <v>АРТ-098</v>
      </c>
      <c r="B99" t="str">
        <f>PROPER(TRIM(IFERROR(LEFT(Товары_исходные!B99,FIND("(",Товары_исходные!B99)-1),Товары_исходные!B99)))</f>
        <v xml:space="preserve">Мышь Razer Deathadder V3</v>
      </c>
      <c r="C99" t="str">
        <f>IFERROR(VLOOKUP(Товары_исходные!C99,Справочники!$A$2:$B$50,2,FALSE),Товары_исходные!C99)</f>
        <v>Аксессуары</v>
      </c>
      <c r="D99" t="str">
        <f>PROPER(TRIM(Товары_исходные!D99))</f>
        <v>Razer</v>
      </c>
      <c r="E99" s="4">
        <f>IFERROR(VALUE(IF(AND(ISNUMBER(FIND(",",Товары_исходные!E99)),ISNUMBER(FIND(".",Товары_исходные!E99))),SUBSTITUTE(SUBSTITUTE(SUBSTITUTE(SUBSTITUTE(Товары_исходные!E99," ",""),"руб.",""),"руб",""),",",""),SUBSTITUTE(SUBSTITUTE(SUBSTITUTE(SUBSTITUTE(Товары_исходные!E99," ",""),"руб.",""),"руб",""),",","."))),0)</f>
        <v>3200</v>
      </c>
      <c r="F99" s="4">
        <f>IFERROR(VALUE(IF(AND(ISNUMBER(FIND(",",Товары_исходные!F99)),ISNUMBER(FIND(".",Товары_исходные!F99))),SUBSTITUTE(SUBSTITUTE(SUBSTITUTE(SUBSTITUTE(Товары_исходные!F99," ",""),"руб.",""),"руб",""),",",""),SUBSTITUTE(SUBSTITUTE(SUBSTITUTE(SUBSTITUTE(Товары_исходные!F99," ",""),"руб.",""),"руб",""),",","."))),0)</f>
        <v>6500</v>
      </c>
      <c r="G99" t="str">
        <f>IFERROR(VLOOKUP(Товары_исходные!G99,Справочники!$D$2:$E$50,2,FALSE),"шт.")</f>
        <v>шт.</v>
      </c>
      <c r="H99" t="str">
        <f t="shared" si="4"/>
        <v>OK</v>
      </c>
      <c r="I99" t="str">
        <f t="shared" si="5"/>
        <v>OK</v>
      </c>
    </row>
    <row r="100">
      <c r="A100" t="str">
        <f>"АРТ-"&amp;LEFT(SUBSTITUTE(SUBSTITUTE(SUBSTITUTE(SUBSTITUTE('Товары_исходные'!A100,"№",""),"АРТ-",""),"АРТ_",""),"/","-"),3)</f>
        <v>АРТ-099</v>
      </c>
      <c r="B100" t="str">
        <f>PROPER(TRIM(IFERROR(LEFT('Товары_исходные'!B100,FIND("(",'Товары_исходные'!B100)-1),'Товары_исходные'!B100)))</f>
        <v xml:space="preserve">Мышь Razer Deathadder V3</v>
      </c>
      <c r="C100" t="str">
        <f>IFERROR(VLOOKUP('Товары_исходные'!C100,Справочники!$A$2:$B$50,2,FALSE),'Товары_исходные'!C100)</f>
        <v>Аксессуары</v>
      </c>
      <c r="D100" t="str">
        <f>PROPER(TRIM('Товары_исходные'!D100))</f>
        <v>Razer</v>
      </c>
      <c r="E100" s="4">
        <f>IFERROR(VALUE(IF(AND(ISNUMBER(FIND(",",'Товары_исходные'!E100)),ISNUMBER(FIND(".",'Товары_исходные'!E100))),SUBSTITUTE(SUBSTITUTE(SUBSTITUTE(SUBSTITUTE('Товары_исходные'!E100," ",""),"руб.",""),"руб",""),",",""),SUBSTITUTE(SUBSTITUTE(SUBSTITUTE(SUBSTITUTE('Товары_исходные'!E100," ",""),"руб.",""),"руб",""),",","."))),0)</f>
        <v>3800</v>
      </c>
      <c r="F100" s="4">
        <f>IFERROR(VALUE(IF(AND(ISNUMBER(FIND(",",'Товары_исходные'!F100)),ISNUMBER(FIND(".",'Товары_исходные'!F100))),SUBSTITUTE(SUBSTITUTE(SUBSTITUTE(SUBSTITUTE('Товары_исходные'!F100," ",""),"руб.",""),"руб",""),",",""),SUBSTITUTE(SUBSTITUTE(SUBSTITUTE(SUBSTITUTE('Товары_исходные'!F100," ",""),"руб.",""),"руб",""),",","."))),0)</f>
        <v>7500</v>
      </c>
      <c r="G100" t="str">
        <f>IFERROR(VLOOKUP('Товары_исходные'!G100,Справочники!$D$2:$E$50,2,FALSE),"шт.")</f>
        <v>шт.</v>
      </c>
      <c r="H100" t="str">
        <f t="shared" ref="H100:H163" si="6">IF(F100&gt;=E100,"OK","Розница ниже закупки")</f>
        <v>OK</v>
      </c>
      <c r="I100" t="str">
        <f t="shared" ref="I100:I163" si="7">IF(COUNTIF($A$2:$A$502,A100)=1,"OK","Дубликат")</f>
        <v>OK</v>
      </c>
    </row>
    <row r="101">
      <c r="A101" t="str">
        <f>"АРТ-"&amp;LEFT(SUBSTITUTE(SUBSTITUTE(SUBSTITUTE(SUBSTITUTE(Товары_исходные!A101,"№",""),"АРТ-",""),"АРТ_",""),"/","-"),3)</f>
        <v>АРТ-100</v>
      </c>
      <c r="B101" t="str">
        <f>PROPER(TRIM(IFERROR(LEFT(Товары_исходные!B101,FIND("(",Товары_исходные!B101)-1),Товары_исходные!B101)))</f>
        <v xml:space="preserve">Планшет Apple Ipad Mini</v>
      </c>
      <c r="C101" t="str">
        <f>IFERROR(VLOOKUP(Товары_исходные!C101,Справочники!$A$2:$B$50,2,FALSE),Товары_исходные!C101)</f>
        <v>Планшеты</v>
      </c>
      <c r="D101" t="str">
        <f>PROPER(TRIM(Товары_исходные!D101))</f>
        <v>Apple</v>
      </c>
      <c r="E101" s="4">
        <f>IFERROR(VALUE(IF(AND(ISNUMBER(FIND(",",Товары_исходные!E101)),ISNUMBER(FIND(".",Товары_исходные!E101))),SUBSTITUTE(SUBSTITUTE(SUBSTITUTE(SUBSTITUTE(Товары_исходные!E101," ",""),"руб.",""),"руб",""),",",""),SUBSTITUTE(SUBSTITUTE(SUBSTITUTE(SUBSTITUTE(Товары_исходные!E101," ",""),"руб.",""),"руб",""),",","."))),0)</f>
        <v>35000</v>
      </c>
      <c r="F101" s="4">
        <f>IFERROR(VALUE(IF(AND(ISNUMBER(FIND(",",Товары_исходные!F101)),ISNUMBER(FIND(".",Товары_исходные!F101))),SUBSTITUTE(SUBSTITUTE(SUBSTITUTE(SUBSTITUTE(Товары_исходные!F101," ",""),"руб.",""),"руб",""),",",""),SUBSTITUTE(SUBSTITUTE(SUBSTITUTE(SUBSTITUTE(Товары_исходные!F101," ",""),"руб.",""),"руб",""),",","."))),0)</f>
        <v>56990</v>
      </c>
      <c r="G101" t="str">
        <f>IFERROR(VLOOKUP(Товары_исходные!G101,Справочники!$D$2:$E$50,2,FALSE),"шт.")</f>
        <v>шт.</v>
      </c>
      <c r="H101" t="str">
        <f t="shared" si="6"/>
        <v>OK</v>
      </c>
      <c r="I101" t="str">
        <f t="shared" si="7"/>
        <v>OK</v>
      </c>
    </row>
    <row r="102">
      <c r="A102" t="str">
        <f>"АРТ-"&amp;LEFT(SUBSTITUTE(SUBSTITUTE(SUBSTITUTE(SUBSTITUTE(Товары_исходные!A102,"№",""),"АРТ-",""),"АРТ_",""),"/","-"),3)</f>
        <v>АРТ-101</v>
      </c>
      <c r="B102" t="str">
        <f>PROPER(TRIM(IFERROR(LEFT(Товары_исходные!B102,FIND("(",Товары_исходные!B102)-1),Товары_исходные!B102)))</f>
        <v xml:space="preserve">Планшет Apple Ipad Mini</v>
      </c>
      <c r="C102" t="str">
        <f>IFERROR(VLOOKUP(Товары_исходные!C102,Справочники!$A$2:$B$50,2,FALSE),Товары_исходные!C102)</f>
        <v>Планшеты</v>
      </c>
      <c r="D102" t="str">
        <f>PROPER(TRIM(Товары_исходные!D102))</f>
        <v>Apple</v>
      </c>
      <c r="E102" s="4">
        <f>IFERROR(VALUE(IF(AND(ISNUMBER(FIND(",",Товары_исходные!E102)),ISNUMBER(FIND(".",Товары_исходные!E102))),SUBSTITUTE(SUBSTITUTE(SUBSTITUTE(SUBSTITUTE(Товары_исходные!E102," ",""),"руб.",""),"руб",""),",",""),SUBSTITUTE(SUBSTITUTE(SUBSTITUTE(SUBSTITUTE(Товары_исходные!E102," ",""),"руб.",""),"руб",""),",","."))),0)</f>
        <v>34000</v>
      </c>
      <c r="F102" s="4">
        <f>IFERROR(VALUE(IF(AND(ISNUMBER(FIND(",",Товары_исходные!F102)),ISNUMBER(FIND(".",Товары_исходные!F102))),SUBSTITUTE(SUBSTITUTE(SUBSTITUTE(SUBSTITUTE(Товары_исходные!F102," ",""),"руб.",""),"руб",""),",",""),SUBSTITUTE(SUBSTITUTE(SUBSTITUTE(SUBSTITUTE(Товары_исходные!F102," ",""),"руб.",""),"руб",""),",","."))),0)</f>
        <v>55500</v>
      </c>
      <c r="G102" t="str">
        <f>IFERROR(VLOOKUP(Товары_исходные!G102,Справочники!$D$2:$E$50,2,FALSE),"шт.")</f>
        <v>шт.</v>
      </c>
      <c r="H102" t="str">
        <f t="shared" si="6"/>
        <v>OK</v>
      </c>
      <c r="I102" t="str">
        <f t="shared" si="7"/>
        <v>OK</v>
      </c>
    </row>
    <row r="103">
      <c r="A103" t="str">
        <f>"АРТ-"&amp;LEFT(SUBSTITUTE(SUBSTITUTE(SUBSTITUTE(SUBSTITUTE(Товары_исходные!A103,"№",""),"АРТ-",""),"АРТ_",""),"/","-"),3)</f>
        <v>АРТ-102</v>
      </c>
      <c r="B103" t="str">
        <f>PROPER(TRIM(IFERROR(LEFT(Товары_исходные!B103,FIND("(",Товары_исходные!B103)-1),Товары_исходные!B103)))</f>
        <v xml:space="preserve">Планшет Apple Ipad Mini</v>
      </c>
      <c r="C103" t="str">
        <f>IFERROR(VLOOKUP(Товары_исходные!C103,Справочники!$A$2:$B$50,2,FALSE),Товары_исходные!C103)</f>
        <v>Планшеты</v>
      </c>
      <c r="D103" t="str">
        <f>PROPER(TRIM(Товары_исходные!D103))</f>
        <v>Apple</v>
      </c>
      <c r="E103" s="4">
        <f>IFERROR(VALUE(IF(AND(ISNUMBER(FIND(",",Товары_исходные!E103)),ISNUMBER(FIND(".",Товары_исходные!E103))),SUBSTITUTE(SUBSTITUTE(SUBSTITUTE(SUBSTITUTE(Товары_исходные!E103," ",""),"руб.",""),"руб",""),",",""),SUBSTITUTE(SUBSTITUTE(SUBSTITUTE(SUBSTITUTE(Товары_исходные!E103," ",""),"руб.",""),"руб",""),",","."))),0)</f>
        <v>36000</v>
      </c>
      <c r="F103" s="4">
        <f>IFERROR(VALUE(IF(AND(ISNUMBER(FIND(",",Товары_исходные!F103)),ISNUMBER(FIND(".",Товары_исходные!F103))),SUBSTITUTE(SUBSTITUTE(SUBSTITUTE(SUBSTITUTE(Товары_исходные!F103," ",""),"руб.",""),"руб",""),",",""),SUBSTITUTE(SUBSTITUTE(SUBSTITUTE(SUBSTITUTE(Товары_исходные!F103," ",""),"руб.",""),"руб",""),",","."))),0)</f>
        <v>58500</v>
      </c>
      <c r="G103" t="str">
        <f>IFERROR(VLOOKUP(Товары_исходные!G103,Справочники!$D$2:$E$50,2,FALSE),"шт.")</f>
        <v>шт.</v>
      </c>
      <c r="H103" t="str">
        <f t="shared" si="6"/>
        <v>OK</v>
      </c>
      <c r="I103" t="str">
        <f t="shared" si="7"/>
        <v>OK</v>
      </c>
    </row>
    <row r="104">
      <c r="A104" t="str">
        <f>"АРТ-"&amp;LEFT(SUBSTITUTE(SUBSTITUTE(SUBSTITUTE(SUBSTITUTE(Товары_исходные!A104,"№",""),"АРТ-",""),"АРТ_",""),"/","-"),3)</f>
        <v>АРТ-103</v>
      </c>
      <c r="B104" t="str">
        <f>PROPER(TRIM(IFERROR(LEFT(Товары_исходные!B104,FIND("(",Товары_исходные!B104)-1),Товары_исходные!B104)))</f>
        <v xml:space="preserve">Ноутбук Msi Stealth 16</v>
      </c>
      <c r="C104" t="str">
        <f>IFERROR(VLOOKUP(Товары_исходные!C104,Справочники!$A$2:$B$50,2,FALSE),Товары_исходные!C104)</f>
        <v>Ноутбуки</v>
      </c>
      <c r="D104" t="str">
        <f>PROPER(TRIM(Товары_исходные!D104))</f>
        <v>Msi</v>
      </c>
      <c r="E104" s="4">
        <f>IFERROR(VALUE(IF(AND(ISNUMBER(FIND(",",Товары_исходные!E104)),ISNUMBER(FIND(".",Товары_исходные!E104))),SUBSTITUTE(SUBSTITUTE(SUBSTITUTE(SUBSTITUTE(Товары_исходные!E104," ",""),"руб.",""),"руб",""),",",""),SUBSTITUTE(SUBSTITUTE(SUBSTITUTE(SUBSTITUTE(Товары_исходные!E104," ",""),"руб.",""),"руб",""),",","."))),0)</f>
        <v>98000</v>
      </c>
      <c r="F104" s="4">
        <f>IFERROR(VALUE(IF(AND(ISNUMBER(FIND(",",Товары_исходные!F104)),ISNUMBER(FIND(".",Товары_исходные!F104))),SUBSTITUTE(SUBSTITUTE(SUBSTITUTE(SUBSTITUTE(Товары_исходные!F104," ",""),"руб.",""),"руб",""),",",""),SUBSTITUTE(SUBSTITUTE(SUBSTITUTE(SUBSTITUTE(Товары_исходные!F104," ",""),"руб.",""),"руб",""),",","."))),0)</f>
        <v>149990</v>
      </c>
      <c r="G104" t="str">
        <f>IFERROR(VLOOKUP(Товары_исходные!G104,Справочники!$D$2:$E$50,2,FALSE),"шт.")</f>
        <v>шт.</v>
      </c>
      <c r="H104" t="str">
        <f t="shared" si="6"/>
        <v>OK</v>
      </c>
      <c r="I104" t="str">
        <f t="shared" si="7"/>
        <v>OK</v>
      </c>
    </row>
    <row r="105">
      <c r="A105" t="str">
        <f>"АРТ-"&amp;LEFT(SUBSTITUTE(SUBSTITUTE(SUBSTITUTE(SUBSTITUTE(Товары_исходные!A105,"№",""),"АРТ-",""),"АРТ_",""),"/","-"),3)</f>
        <v>АРТ-104</v>
      </c>
      <c r="B105" t="str">
        <f>PROPER(TRIM(IFERROR(LEFT(Товары_исходные!B105,FIND("(",Товары_исходные!B105)-1),Товары_исходные!B105)))</f>
        <v xml:space="preserve">Ноутбук Msi Stealth 16</v>
      </c>
      <c r="C105" t="str">
        <f>IFERROR(VLOOKUP(Товары_исходные!C105,Справочники!$A$2:$B$50,2,FALSE),Товары_исходные!C105)</f>
        <v>Ноутбуки</v>
      </c>
      <c r="D105" t="str">
        <f>PROPER(TRIM(Товары_исходные!D105))</f>
        <v>Msi</v>
      </c>
      <c r="E105" s="4">
        <f>IFERROR(VALUE(IF(AND(ISNUMBER(FIND(",",Товары_исходные!E105)),ISNUMBER(FIND(".",Товары_исходные!E105))),SUBSTITUTE(SUBSTITUTE(SUBSTITUTE(SUBSTITUTE(Товары_исходные!E105," ",""),"руб.",""),"руб",""),",",""),SUBSTITUTE(SUBSTITUTE(SUBSTITUTE(SUBSTITUTE(Товары_исходные!E105," ",""),"руб.",""),"руб",""),",","."))),0)</f>
        <v>96000</v>
      </c>
      <c r="F105" s="4">
        <f>IFERROR(VALUE(IF(AND(ISNUMBER(FIND(",",Товары_исходные!F105)),ISNUMBER(FIND(".",Товары_исходные!F105))),SUBSTITUTE(SUBSTITUTE(SUBSTITUTE(SUBSTITUTE(Товары_исходные!F105," ",""),"руб.",""),"руб",""),",",""),SUBSTITUTE(SUBSTITUTE(SUBSTITUTE(SUBSTITUTE(Товары_исходные!F105," ",""),"руб.",""),"руб",""),",","."))),0)</f>
        <v>147000</v>
      </c>
      <c r="G105" t="str">
        <f>IFERROR(VLOOKUP(Товары_исходные!G105,Справочники!$D$2:$E$50,2,FALSE),"шт.")</f>
        <v>шт.</v>
      </c>
      <c r="H105" t="str">
        <f t="shared" si="6"/>
        <v>OK</v>
      </c>
      <c r="I105" t="str">
        <f t="shared" si="7"/>
        <v>OK</v>
      </c>
    </row>
    <row r="106">
      <c r="A106" t="str">
        <f>"АРТ-"&amp;LEFT(SUBSTITUTE(SUBSTITUTE(SUBSTITUTE(SUBSTITUTE(Товары_исходные!A106,"№",""),"АРТ-",""),"АРТ_",""),"/","-"),3)</f>
        <v>АРТ-105</v>
      </c>
      <c r="B106" t="str">
        <f>PROPER(TRIM(IFERROR(LEFT(Товары_исходные!B106,FIND("(",Товары_исходные!B106)-1),Товары_исходные!B106)))</f>
        <v xml:space="preserve">Ноутбук Msi Stealth 16</v>
      </c>
      <c r="C106" t="str">
        <f>IFERROR(VLOOKUP(Товары_исходные!C106,Справочники!$A$2:$B$50,2,FALSE),Товары_исходные!C106)</f>
        <v>Ноутбуки</v>
      </c>
      <c r="D106" t="str">
        <f>PROPER(TRIM(Товары_исходные!D106))</f>
        <v>Msi</v>
      </c>
      <c r="E106" s="4">
        <f>IFERROR(VALUE(IF(AND(ISNUMBER(FIND(",",Товары_исходные!E106)),ISNUMBER(FIND(".",Товары_исходные!E106))),SUBSTITUTE(SUBSTITUTE(SUBSTITUTE(SUBSTITUTE(Товары_исходные!E106," ",""),"руб.",""),"руб",""),",",""),SUBSTITUTE(SUBSTITUTE(SUBSTITUTE(SUBSTITUTE(Товары_исходные!E106," ",""),"руб.",""),"руб",""),",","."))),0)</f>
        <v>99500</v>
      </c>
      <c r="F106" s="4">
        <f>IFERROR(VALUE(IF(AND(ISNUMBER(FIND(",",Товары_исходные!F106)),ISNUMBER(FIND(".",Товары_исходные!F106))),SUBSTITUTE(SUBSTITUTE(SUBSTITUTE(SUBSTITUTE(Товары_исходные!F106," ",""),"руб.",""),"руб",""),",",""),SUBSTITUTE(SUBSTITUTE(SUBSTITUTE(SUBSTITUTE(Товары_исходные!F106," ",""),"руб.",""),"руб",""),",","."))),0)</f>
        <v>152000</v>
      </c>
      <c r="G106" t="str">
        <f>IFERROR(VLOOKUP(Товары_исходные!G106,Справочники!$D$2:$E$50,2,FALSE),"шт.")</f>
        <v>шт.</v>
      </c>
      <c r="H106" t="str">
        <f t="shared" si="6"/>
        <v>OK</v>
      </c>
      <c r="I106" t="str">
        <f t="shared" si="7"/>
        <v>OK</v>
      </c>
    </row>
    <row r="107">
      <c r="A107" t="str">
        <f>"АРТ-"&amp;LEFT(SUBSTITUTE(SUBSTITUTE(SUBSTITUTE(SUBSTITUTE(Товары_исходные!A107,"№",""),"АРТ-",""),"АРТ_",""),"/","-"),3)</f>
        <v>АРТ-106</v>
      </c>
      <c r="B107" t="str">
        <f>PROPER(TRIM(IFERROR(LEFT(Товары_исходные!B107,FIND("(",Товары_исходные!B107)-1),Товары_исходные!B107)))</f>
        <v xml:space="preserve">Смартфон Realme Gt 3</v>
      </c>
      <c r="C107" t="str">
        <f>IFERROR(VLOOKUP(Товары_исходные!C107,Справочники!$A$2:$B$50,2,FALSE),Товары_исходные!C107)</f>
        <v>Смартфоны</v>
      </c>
      <c r="D107" t="str">
        <f>PROPER(TRIM(Товары_исходные!D107))</f>
        <v>Realme</v>
      </c>
      <c r="E107" s="4">
        <f>IFERROR(VALUE(IF(AND(ISNUMBER(FIND(",",Товары_исходные!E107)),ISNUMBER(FIND(".",Товары_исходные!E107))),SUBSTITUTE(SUBSTITUTE(SUBSTITUTE(SUBSTITUTE(Товары_исходные!E107," ",""),"руб.",""),"руб",""),",",""),SUBSTITUTE(SUBSTITUTE(SUBSTITUTE(SUBSTITUTE(Товары_исходные!E107," ",""),"руб.",""),"руб",""),",","."))),0)</f>
        <v>28000</v>
      </c>
      <c r="F107" s="4">
        <f>IFERROR(VALUE(IF(AND(ISNUMBER(FIND(",",Товары_исходные!F107)),ISNUMBER(FIND(".",Товары_исходные!F107))),SUBSTITUTE(SUBSTITUTE(SUBSTITUTE(SUBSTITUTE(Товары_исходные!F107," ",""),"руб.",""),"руб",""),",",""),SUBSTITUTE(SUBSTITUTE(SUBSTITUTE(SUBSTITUTE(Товары_исходные!F107," ",""),"руб.",""),"руб",""),",","."))),0)</f>
        <v>47990</v>
      </c>
      <c r="G107" t="str">
        <f>IFERROR(VLOOKUP(Товары_исходные!G107,Справочники!$D$2:$E$50,2,FALSE),"шт.")</f>
        <v>шт.</v>
      </c>
      <c r="H107" t="str">
        <f t="shared" si="6"/>
        <v>OK</v>
      </c>
      <c r="I107" t="str">
        <f t="shared" si="7"/>
        <v>OK</v>
      </c>
    </row>
    <row r="108">
      <c r="A108" t="str">
        <f>"АРТ-"&amp;LEFT(SUBSTITUTE(SUBSTITUTE(SUBSTITUTE(SUBSTITUTE(Товары_исходные!A108,"№",""),"АРТ-",""),"АРТ_",""),"/","-"),3)</f>
        <v>АРТ-107</v>
      </c>
      <c r="B108" t="str">
        <f>PROPER(TRIM(IFERROR(LEFT(Товары_исходные!B108,FIND("(",Товары_исходные!B108)-1),Товары_исходные!B108)))</f>
        <v xml:space="preserve">Смартфон Realme Gt 3</v>
      </c>
      <c r="C108" t="str">
        <f>IFERROR(VLOOKUP(Товары_исходные!C108,Справочники!$A$2:$B$50,2,FALSE),Товары_исходные!C108)</f>
        <v>Смартфоны</v>
      </c>
      <c r="D108" t="str">
        <f>PROPER(TRIM(Товары_исходные!D108))</f>
        <v>Realme</v>
      </c>
      <c r="E108" s="4">
        <f>IFERROR(VALUE(IF(AND(ISNUMBER(FIND(",",Товары_исходные!E108)),ISNUMBER(FIND(".",Товары_исходные!E108))),SUBSTITUTE(SUBSTITUTE(SUBSTITUTE(SUBSTITUTE(Товары_исходные!E108," ",""),"руб.",""),"руб",""),",",""),SUBSTITUTE(SUBSTITUTE(SUBSTITUTE(SUBSTITUTE(Товары_исходные!E108," ",""),"руб.",""),"руб",""),",","."))),0)</f>
        <v>27000</v>
      </c>
      <c r="F108" s="4">
        <f>IFERROR(VALUE(IF(AND(ISNUMBER(FIND(",",Товары_исходные!F108)),ISNUMBER(FIND(".",Товары_исходные!F108))),SUBSTITUTE(SUBSTITUTE(SUBSTITUTE(SUBSTITUTE(Товары_исходные!F108," ",""),"руб.",""),"руб",""),",",""),SUBSTITUTE(SUBSTITUTE(SUBSTITUTE(SUBSTITUTE(Товары_исходные!F108," ",""),"руб.",""),"руб",""),",","."))),0)</f>
        <v>46500</v>
      </c>
      <c r="G108" t="str">
        <f>IFERROR(VLOOKUP(Товары_исходные!G108,Справочники!$D$2:$E$50,2,FALSE),"шт.")</f>
        <v>шт.</v>
      </c>
      <c r="H108" t="str">
        <f t="shared" si="6"/>
        <v>OK</v>
      </c>
      <c r="I108" t="str">
        <f t="shared" si="7"/>
        <v>OK</v>
      </c>
    </row>
    <row r="109">
      <c r="A109" t="str">
        <f>"АРТ-"&amp;LEFT(SUBSTITUTE(SUBSTITUTE(SUBSTITUTE(SUBSTITUTE(Товары_исходные!A109,"№",""),"АРТ-",""),"АРТ_",""),"/","-"),3)</f>
        <v>АРТ-108</v>
      </c>
      <c r="B109" t="str">
        <f>PROPER(TRIM(IFERROR(LEFT(Товары_исходные!B109,FIND("(",Товары_исходные!B109)-1),Товары_исходные!B109)))</f>
        <v xml:space="preserve">Смартфон Realme Gt 3</v>
      </c>
      <c r="C109" t="str">
        <f>IFERROR(VLOOKUP(Товары_исходные!C109,Справочники!$A$2:$B$50,2,FALSE),Товары_исходные!C109)</f>
        <v>Смартфоны</v>
      </c>
      <c r="D109" t="str">
        <f>PROPER(TRIM(Товары_исходные!D109))</f>
        <v>Realme</v>
      </c>
      <c r="E109" s="4">
        <f>IFERROR(VALUE(IF(AND(ISNUMBER(FIND(",",Товары_исходные!E109)),ISNUMBER(FIND(".",Товары_исходные!E109))),SUBSTITUTE(SUBSTITUTE(SUBSTITUTE(SUBSTITUTE(Товары_исходные!E109," ",""),"руб.",""),"руб",""),",",""),SUBSTITUTE(SUBSTITUTE(SUBSTITUTE(SUBSTITUTE(Товары_исходные!E109," ",""),"руб.",""),"руб",""),",","."))),0)</f>
        <v>29000</v>
      </c>
      <c r="F109" s="4">
        <f>IFERROR(VALUE(IF(AND(ISNUMBER(FIND(",",Товары_исходные!F109)),ISNUMBER(FIND(".",Товары_исходные!F109))),SUBSTITUTE(SUBSTITUTE(SUBSTITUTE(SUBSTITUTE(Товары_исходные!F109," ",""),"руб.",""),"руб",""),",",""),SUBSTITUTE(SUBSTITUTE(SUBSTITUTE(SUBSTITUTE(Товары_исходные!F109," ",""),"руб.",""),"руб",""),",","."))),0)</f>
        <v>49500</v>
      </c>
      <c r="G109" t="str">
        <f>IFERROR(VLOOKUP(Товары_исходные!G109,Справочники!$D$2:$E$50,2,FALSE),"шт.")</f>
        <v>шт.</v>
      </c>
      <c r="H109" t="str">
        <f t="shared" si="6"/>
        <v>OK</v>
      </c>
      <c r="I109" t="str">
        <f t="shared" si="7"/>
        <v>OK</v>
      </c>
    </row>
    <row r="110">
      <c r="A110" t="str">
        <f>"АРТ-"&amp;LEFT(SUBSTITUTE(SUBSTITUTE(SUBSTITUTE(SUBSTITUTE(Товары_исходные!A110,"№",""),"АРТ-",""),"АРТ_",""),"/","-"),3)</f>
        <v>АРТ-109</v>
      </c>
      <c r="B110" t="str">
        <f>PROPER(TRIM(IFERROR(LEFT(Товары_исходные!B110,FIND("(",Товары_исходные!B110)-1),Товары_исходные!B110)))</f>
        <v xml:space="preserve">Телевизор Hisense U8K</v>
      </c>
      <c r="C110" t="str">
        <f>IFERROR(VLOOKUP(Товары_исходные!C110,Справочники!$A$2:$B$50,2,FALSE),Товары_исходные!C110)</f>
        <v>Телевизоры</v>
      </c>
      <c r="D110" t="str">
        <f>PROPER(TRIM(Товары_исходные!D110))</f>
        <v>Hisense</v>
      </c>
      <c r="E110" s="4">
        <f>IFERROR(VALUE(IF(AND(ISNUMBER(FIND(",",Товары_исходные!E110)),ISNUMBER(FIND(".",Товары_исходные!E110))),SUBSTITUTE(SUBSTITUTE(SUBSTITUTE(SUBSTITUTE(Товары_исходные!E110," ",""),"руб.",""),"руб",""),",",""),SUBSTITUTE(SUBSTITUTE(SUBSTITUTE(SUBSTITUTE(Товары_исходные!E110," ",""),"руб.",""),"руб",""),",","."))),0)</f>
        <v>78000</v>
      </c>
      <c r="F110" s="4">
        <f>IFERROR(VALUE(IF(AND(ISNUMBER(FIND(",",Товары_исходные!F110)),ISNUMBER(FIND(".",Товары_исходные!F110))),SUBSTITUTE(SUBSTITUTE(SUBSTITUTE(SUBSTITUTE(Товары_исходные!F110," ",""),"руб.",""),"руб",""),",",""),SUBSTITUTE(SUBSTITUTE(SUBSTITUTE(SUBSTITUTE(Товары_исходные!F110," ",""),"руб.",""),"руб",""),",","."))),0)</f>
        <v>119999</v>
      </c>
      <c r="G110" t="str">
        <f>IFERROR(VLOOKUP(Товары_исходные!G110,Справочники!$D$2:$E$50,2,FALSE),"шт.")</f>
        <v>шт.</v>
      </c>
      <c r="H110" t="str">
        <f t="shared" si="6"/>
        <v>OK</v>
      </c>
      <c r="I110" t="str">
        <f t="shared" si="7"/>
        <v>OK</v>
      </c>
    </row>
    <row r="111">
      <c r="A111" t="str">
        <f>"АРТ-"&amp;LEFT(SUBSTITUTE(SUBSTITUTE(SUBSTITUTE(SUBSTITUTE(Товары_исходные!A111,"№",""),"АРТ-",""),"АРТ_",""),"/","-"),3)</f>
        <v>АРТ-110</v>
      </c>
      <c r="B111" t="str">
        <f>PROPER(TRIM(IFERROR(LEFT(Товары_исходные!B111,FIND("(",Товары_исходные!B111)-1),Товары_исходные!B111)))</f>
        <v xml:space="preserve">Телевизор Hisense U8K</v>
      </c>
      <c r="C111" t="str">
        <f>IFERROR(VLOOKUP(Товары_исходные!C111,Справочники!$A$2:$B$50,2,FALSE),Товары_исходные!C111)</f>
        <v>Телевизоры</v>
      </c>
      <c r="D111" t="str">
        <f>PROPER(TRIM(Товары_исходные!D111))</f>
        <v>Hisense</v>
      </c>
      <c r="E111" s="4">
        <f>IFERROR(VALUE(IF(AND(ISNUMBER(FIND(",",Товары_исходные!E111)),ISNUMBER(FIND(".",Товары_исходные!E111))),SUBSTITUTE(SUBSTITUTE(SUBSTITUTE(SUBSTITUTE(Товары_исходные!E111," ",""),"руб.",""),"руб",""),",",""),SUBSTITUTE(SUBSTITUTE(SUBSTITUTE(SUBSTITUTE(Товары_исходные!E111," ",""),"руб.",""),"руб",""),",","."))),0)</f>
        <v>76000</v>
      </c>
      <c r="F111" s="4">
        <f>IFERROR(VALUE(IF(AND(ISNUMBER(FIND(",",Товары_исходные!F111)),ISNUMBER(FIND(".",Товары_исходные!F111))),SUBSTITUTE(SUBSTITUTE(SUBSTITUTE(SUBSTITUTE(Товары_исходные!F111," ",""),"руб.",""),"руб",""),",",""),SUBSTITUTE(SUBSTITUTE(SUBSTITUTE(SUBSTITUTE(Товары_исходные!F111," ",""),"руб.",""),"руб",""),",","."))),0)</f>
        <v>117000</v>
      </c>
      <c r="G111" t="str">
        <f>IFERROR(VLOOKUP(Товары_исходные!G111,Справочники!$D$2:$E$50,2,FALSE),"шт.")</f>
        <v>шт.</v>
      </c>
      <c r="H111" t="str">
        <f t="shared" si="6"/>
        <v>OK</v>
      </c>
      <c r="I111" t="str">
        <f t="shared" si="7"/>
        <v>OK</v>
      </c>
    </row>
    <row r="112">
      <c r="A112" t="str">
        <f>"АРТ-"&amp;LEFT(SUBSTITUTE(SUBSTITUTE(SUBSTITUTE(SUBSTITUTE(Товары_исходные!A112,"№",""),"АРТ-",""),"АРТ_",""),"/","-"),3)</f>
        <v>АРТ-111</v>
      </c>
      <c r="B112" t="str">
        <f>PROPER(TRIM(IFERROR(LEFT(Товары_исходные!B112,FIND("(",Товары_исходные!B112)-1),Товары_исходные!B112)))</f>
        <v xml:space="preserve">Телевизор Hisense U8K</v>
      </c>
      <c r="C112" t="str">
        <f>IFERROR(VLOOKUP(Товары_исходные!C112,Справочники!$A$2:$B$50,2,FALSE),Товары_исходные!C112)</f>
        <v>Телевизоры</v>
      </c>
      <c r="D112" t="str">
        <f>PROPER(TRIM(Товары_исходные!D112))</f>
        <v>Hisense</v>
      </c>
      <c r="E112" s="4">
        <f>IFERROR(VALUE(IF(AND(ISNUMBER(FIND(",",Товары_исходные!E112)),ISNUMBER(FIND(".",Товары_исходные!E112))),SUBSTITUTE(SUBSTITUTE(SUBSTITUTE(SUBSTITUTE(Товары_исходные!E112," ",""),"руб.",""),"руб",""),",",""),SUBSTITUTE(SUBSTITUTE(SUBSTITUTE(SUBSTITUTE(Товары_исходные!E112," ",""),"руб.",""),"руб",""),",","."))),0)</f>
        <v>79500</v>
      </c>
      <c r="F112" s="4">
        <f>IFERROR(VALUE(IF(AND(ISNUMBER(FIND(",",Товары_исходные!F112)),ISNUMBER(FIND(".",Товары_исходные!F112))),SUBSTITUTE(SUBSTITUTE(SUBSTITUTE(SUBSTITUTE(Товары_исходные!F112," ",""),"руб.",""),"руб",""),",",""),SUBSTITUTE(SUBSTITUTE(SUBSTITUTE(SUBSTITUTE(Товары_исходные!F112," ",""),"руб.",""),"руб",""),",","."))),0)</f>
        <v>122500</v>
      </c>
      <c r="G112" t="str">
        <f>IFERROR(VLOOKUP(Товары_исходные!G112,Справочники!$D$2:$E$50,2,FALSE),"шт.")</f>
        <v>шт.</v>
      </c>
      <c r="H112" t="str">
        <f t="shared" si="6"/>
        <v>OK</v>
      </c>
      <c r="I112" t="str">
        <f t="shared" si="7"/>
        <v>OK</v>
      </c>
    </row>
    <row r="113">
      <c r="A113" t="str">
        <f>"АРТ-"&amp;LEFT(SUBSTITUTE(SUBSTITUTE(SUBSTITUTE(SUBSTITUTE(Товары_исходные!A113,"№",""),"АРТ-",""),"АРТ_",""),"/","-"),3)</f>
        <v>АРТ-112</v>
      </c>
      <c r="B113" t="str">
        <f>PROPER(TRIM(IFERROR(LEFT(Товары_исходные!B113,FIND("(",Товары_исходные!B113)-1),Товары_исходные!B113)))</f>
        <v xml:space="preserve">Наушники Sennheiser Hd 660S</v>
      </c>
      <c r="C113" t="str">
        <f>IFERROR(VLOOKUP(Товары_исходные!C113,Справочники!$A$2:$B$50,2,FALSE),Товары_исходные!C113)</f>
        <v>Наушники</v>
      </c>
      <c r="D113" t="str">
        <f>PROPER(TRIM(Товары_исходные!D113))</f>
        <v>Sennheiser</v>
      </c>
      <c r="E113" s="4">
        <f>IFERROR(VALUE(IF(AND(ISNUMBER(FIND(",",Товары_исходные!E113)),ISNUMBER(FIND(".",Товары_исходные!E113))),SUBSTITUTE(SUBSTITUTE(SUBSTITUTE(SUBSTITUTE(Товары_исходные!E113," ",""),"руб.",""),"руб",""),",",""),SUBSTITUTE(SUBSTITUTE(SUBSTITUTE(SUBSTITUTE(Товары_исходные!E113," ",""),"руб.",""),"руб",""),",","."))),0)</f>
        <v>22000</v>
      </c>
      <c r="F113" s="4">
        <f>IFERROR(VALUE(IF(AND(ISNUMBER(FIND(",",Товары_исходные!F113)),ISNUMBER(FIND(".",Товары_исходные!F113))),SUBSTITUTE(SUBSTITUTE(SUBSTITUTE(SUBSTITUTE(Товары_исходные!F113," ",""),"руб.",""),"руб",""),",",""),SUBSTITUTE(SUBSTITUTE(SUBSTITUTE(SUBSTITUTE(Товары_исходные!F113," ",""),"руб.",""),"руб",""),",","."))),0)</f>
        <v>34990</v>
      </c>
      <c r="G113" t="str">
        <f>IFERROR(VLOOKUP(Товары_исходные!G113,Справочники!$D$2:$E$50,2,FALSE),"шт.")</f>
        <v>шт.</v>
      </c>
      <c r="H113" t="str">
        <f t="shared" si="6"/>
        <v>OK</v>
      </c>
      <c r="I113" t="str">
        <f t="shared" si="7"/>
        <v>OK</v>
      </c>
    </row>
    <row r="114">
      <c r="A114" t="str">
        <f>"АРТ-"&amp;LEFT(SUBSTITUTE(SUBSTITUTE(SUBSTITUTE(SUBSTITUTE(Товары_исходные!A114,"№",""),"АРТ-",""),"АРТ_",""),"/","-"),3)</f>
        <v>АРТ-113</v>
      </c>
      <c r="B114" t="str">
        <f>PROPER(TRIM(IFERROR(LEFT(Товары_исходные!B114,FIND("(",Товары_исходные!B114)-1),Товары_исходные!B114)))</f>
        <v xml:space="preserve">Наушники Sennheiser Hd 660S</v>
      </c>
      <c r="C114" t="str">
        <f>IFERROR(VLOOKUP(Товары_исходные!C114,Справочники!$A$2:$B$50,2,FALSE),Товары_исходные!C114)</f>
        <v>Наушники</v>
      </c>
      <c r="D114" t="str">
        <f>PROPER(TRIM(Товары_исходные!D114))</f>
        <v>Sennheiser</v>
      </c>
      <c r="E114" s="4">
        <f>IFERROR(VALUE(IF(AND(ISNUMBER(FIND(",",Товары_исходные!E114)),ISNUMBER(FIND(".",Товары_исходные!E114))),SUBSTITUTE(SUBSTITUTE(SUBSTITUTE(SUBSTITUTE(Товары_исходные!E114," ",""),"руб.",""),"руб",""),",",""),SUBSTITUTE(SUBSTITUTE(SUBSTITUTE(SUBSTITUTE(Товары_исходные!E114," ",""),"руб.",""),"руб",""),",","."))),0)</f>
        <v>21000</v>
      </c>
      <c r="F114" s="4">
        <f>IFERROR(VALUE(IF(AND(ISNUMBER(FIND(",",Товары_исходные!F114)),ISNUMBER(FIND(".",Товары_исходные!F114))),SUBSTITUTE(SUBSTITUTE(SUBSTITUTE(SUBSTITUTE(Товары_исходные!F114," ",""),"руб.",""),"руб",""),",",""),SUBSTITUTE(SUBSTITUTE(SUBSTITUTE(SUBSTITUTE(Товары_исходные!F114," ",""),"руб.",""),"руб",""),",","."))),0)</f>
        <v>33500</v>
      </c>
      <c r="G114" t="str">
        <f>IFERROR(VLOOKUP(Товары_исходные!G114,Справочники!$D$2:$E$50,2,FALSE),"шт.")</f>
        <v>шт.</v>
      </c>
      <c r="H114" t="str">
        <f t="shared" si="6"/>
        <v>OK</v>
      </c>
      <c r="I114" t="str">
        <f t="shared" si="7"/>
        <v>OK</v>
      </c>
    </row>
    <row r="115">
      <c r="A115" t="str">
        <f>"АРТ-"&amp;LEFT(SUBSTITUTE(SUBSTITUTE(SUBSTITUTE(SUBSTITUTE(Товары_исходные!A115,"№",""),"АРТ-",""),"АРТ_",""),"/","-"),3)</f>
        <v>АРТ-114</v>
      </c>
      <c r="B115" t="str">
        <f>PROPER(TRIM(IFERROR(LEFT(Товары_исходные!B115,FIND("(",Товары_исходные!B115)-1),Товары_исходные!B115)))</f>
        <v xml:space="preserve">Наушники Sennheiser Hd 660S</v>
      </c>
      <c r="C115" t="str">
        <f>IFERROR(VLOOKUP(Товары_исходные!C115,Справочники!$A$2:$B$50,2,FALSE),Товары_исходные!C115)</f>
        <v>Наушники</v>
      </c>
      <c r="D115" t="str">
        <f>PROPER(TRIM(Товары_исходные!D115))</f>
        <v>Sennheiser</v>
      </c>
      <c r="E115" s="4">
        <f>IFERROR(VALUE(IF(AND(ISNUMBER(FIND(",",Товары_исходные!E115)),ISNUMBER(FIND(".",Товары_исходные!E115))),SUBSTITUTE(SUBSTITUTE(SUBSTITUTE(SUBSTITUTE(Товары_исходные!E115," ",""),"руб.",""),"руб",""),",",""),SUBSTITUTE(SUBSTITUTE(SUBSTITUTE(SUBSTITUTE(Товары_исходные!E115," ",""),"руб.",""),"руб",""),",","."))),0)</f>
        <v>23000</v>
      </c>
      <c r="F115" s="4">
        <f>IFERROR(VALUE(IF(AND(ISNUMBER(FIND(",",Товары_исходные!F115)),ISNUMBER(FIND(".",Товары_исходные!F115))),SUBSTITUTE(SUBSTITUTE(SUBSTITUTE(SUBSTITUTE(Товары_исходные!F115," ",""),"руб.",""),"руб",""),",",""),SUBSTITUTE(SUBSTITUTE(SUBSTITUTE(SUBSTITUTE(Товары_исходные!F115," ",""),"руб.",""),"руб",""),",","."))),0)</f>
        <v>36000</v>
      </c>
      <c r="G115" t="str">
        <f>IFERROR(VLOOKUP(Товары_исходные!G115,Справочники!$D$2:$E$50,2,FALSE),"шт.")</f>
        <v>шт.</v>
      </c>
      <c r="H115" t="str">
        <f t="shared" si="6"/>
        <v>OK</v>
      </c>
      <c r="I115" t="str">
        <f t="shared" si="7"/>
        <v>OK</v>
      </c>
    </row>
    <row r="116">
      <c r="A116" t="str">
        <f>"АРТ-"&amp;LEFT(SUBSTITUTE(SUBSTITUTE(SUBSTITUTE(SUBSTITUTE(Товары_исходные!A116,"№",""),"АРТ-",""),"АРТ_",""),"/","-"),3)</f>
        <v>АРТ-115</v>
      </c>
      <c r="B116" t="str">
        <f>PROPER(TRIM(IFERROR(LEFT(Товары_исходные!B116,FIND("(",Товары_исходные!B116)-1),Товары_исходные!B116)))</f>
        <v xml:space="preserve">Монитор Viewsonic Vp2780</v>
      </c>
      <c r="C116" t="str">
        <f>IFERROR(VLOOKUP(Товары_исходные!C116,Справочники!$A$2:$B$50,2,FALSE),Товары_исходные!C116)</f>
        <v>Мониторы</v>
      </c>
      <c r="D116" t="str">
        <f>PROPER(TRIM(Товары_исходные!D116))</f>
        <v>Viewsonic</v>
      </c>
      <c r="E116" s="4">
        <f>IFERROR(VALUE(IF(AND(ISNUMBER(FIND(",",Товары_исходные!E116)),ISNUMBER(FIND(".",Товары_исходные!E116))),SUBSTITUTE(SUBSTITUTE(SUBSTITUTE(SUBSTITUTE(Товары_исходные!E116," ",""),"руб.",""),"руб",""),",",""),SUBSTITUTE(SUBSTITUTE(SUBSTITUTE(SUBSTITUTE(Товары_исходные!E116," ",""),"руб.",""),"руб",""),",","."))),0)</f>
        <v>48000</v>
      </c>
      <c r="F116" s="4">
        <f>IFERROR(VALUE(IF(AND(ISNUMBER(FIND(",",Товары_исходные!F116)),ISNUMBER(FIND(".",Товары_исходные!F116))),SUBSTITUTE(SUBSTITUTE(SUBSTITUTE(SUBSTITUTE(Товары_исходные!F116," ",""),"руб.",""),"руб",""),",",""),SUBSTITUTE(SUBSTITUTE(SUBSTITUTE(SUBSTITUTE(Товары_исходные!F116," ",""),"руб.",""),"руб",""),",","."))),0)</f>
        <v>74900</v>
      </c>
      <c r="G116" t="str">
        <f>IFERROR(VLOOKUP(Товары_исходные!G116,Справочники!$D$2:$E$50,2,FALSE),"шт.")</f>
        <v>шт.</v>
      </c>
      <c r="H116" t="str">
        <f t="shared" si="6"/>
        <v>OK</v>
      </c>
      <c r="I116" t="str">
        <f t="shared" si="7"/>
        <v>OK</v>
      </c>
    </row>
    <row r="117">
      <c r="A117" t="str">
        <f>"АРТ-"&amp;LEFT(SUBSTITUTE(SUBSTITUTE(SUBSTITUTE(SUBSTITUTE(Товары_исходные!A117,"№",""),"АРТ-",""),"АРТ_",""),"/","-"),3)</f>
        <v>АРТ-116</v>
      </c>
      <c r="B117" t="str">
        <f>PROPER(TRIM(IFERROR(LEFT(Товары_исходные!B117,FIND("(",Товары_исходные!B117)-1),Товары_исходные!B117)))</f>
        <v xml:space="preserve">Монитор Viewsonic Vp2780</v>
      </c>
      <c r="C117" t="str">
        <f>IFERROR(VLOOKUP(Товары_исходные!C117,Справочники!$A$2:$B$50,2,FALSE),Товары_исходные!C117)</f>
        <v>Мониторы</v>
      </c>
      <c r="D117" t="str">
        <f>PROPER(TRIM(Товары_исходные!D117))</f>
        <v>Viewsonic</v>
      </c>
      <c r="E117" s="4">
        <f>IFERROR(VALUE(IF(AND(ISNUMBER(FIND(",",Товары_исходные!E117)),ISNUMBER(FIND(".",Товары_исходные!E117))),SUBSTITUTE(SUBSTITUTE(SUBSTITUTE(SUBSTITUTE(Товары_исходные!E117," ",""),"руб.",""),"руб",""),",",""),SUBSTITUTE(SUBSTITUTE(SUBSTITUTE(SUBSTITUTE(Товары_исходные!E117," ",""),"руб.",""),"руб",""),",","."))),0)</f>
        <v>46500</v>
      </c>
      <c r="F117" s="4">
        <f>IFERROR(VALUE(IF(AND(ISNUMBER(FIND(",",Товары_исходные!F117)),ISNUMBER(FIND(".",Товары_исходные!F117))),SUBSTITUTE(SUBSTITUTE(SUBSTITUTE(SUBSTITUTE(Товары_исходные!F117," ",""),"руб.",""),"руб",""),",",""),SUBSTITUTE(SUBSTITUTE(SUBSTITUTE(SUBSTITUTE(Товары_исходные!F117," ",""),"руб.",""),"руб",""),",","."))),0)</f>
        <v>72500</v>
      </c>
      <c r="G117" t="str">
        <f>IFERROR(VLOOKUP(Товары_исходные!G117,Справочники!$D$2:$E$50,2,FALSE),"шт.")</f>
        <v>шт.</v>
      </c>
      <c r="H117" t="str">
        <f t="shared" si="6"/>
        <v>OK</v>
      </c>
      <c r="I117" t="str">
        <f t="shared" si="7"/>
        <v>OK</v>
      </c>
    </row>
    <row r="118">
      <c r="A118" t="str">
        <f>"АРТ-"&amp;LEFT(SUBSTITUTE(SUBSTITUTE(SUBSTITUTE(SUBSTITUTE(Товары_исходные!A118,"№",""),"АРТ-",""),"АРТ_",""),"/","-"),3)</f>
        <v>АРТ-117</v>
      </c>
      <c r="B118" t="str">
        <f>PROPER(TRIM(IFERROR(LEFT(Товары_исходные!B118,FIND("(",Товары_исходные!B118)-1),Товары_исходные!B118)))</f>
        <v xml:space="preserve">Монитор Viewsonic Vp2780</v>
      </c>
      <c r="C118" t="str">
        <f>IFERROR(VLOOKUP(Товары_исходные!C118,Справочники!$A$2:$B$50,2,FALSE),Товары_исходные!C118)</f>
        <v>Мониторы</v>
      </c>
      <c r="D118" t="str">
        <f>PROPER(TRIM(Товары_исходные!D118))</f>
        <v>Viewsonic</v>
      </c>
      <c r="E118" s="4">
        <f>IFERROR(VALUE(IF(AND(ISNUMBER(FIND(",",Товары_исходные!E118)),ISNUMBER(FIND(".",Товары_исходные!E118))),SUBSTITUTE(SUBSTITUTE(SUBSTITUTE(SUBSTITUTE(Товары_исходные!E118," ",""),"руб.",""),"руб",""),",",""),SUBSTITUTE(SUBSTITUTE(SUBSTITUTE(SUBSTITUTE(Товары_исходные!E118," ",""),"руб.",""),"руб",""),",","."))),0)</f>
        <v>49500</v>
      </c>
      <c r="F118" s="4">
        <f>IFERROR(VALUE(IF(AND(ISNUMBER(FIND(",",Товары_исходные!F118)),ISNUMBER(FIND(".",Товары_исходные!F118))),SUBSTITUTE(SUBSTITUTE(SUBSTITUTE(SUBSTITUTE(Товары_исходные!F118," ",""),"руб.",""),"руб",""),",",""),SUBSTITUTE(SUBSTITUTE(SUBSTITUTE(SUBSTITUTE(Товары_исходные!F118," ",""),"руб.",""),"руб",""),",","."))),0)</f>
        <v>77000</v>
      </c>
      <c r="G118" t="str">
        <f>IFERROR(VLOOKUP(Товары_исходные!G118,Справочники!$D$2:$E$50,2,FALSE),"шт.")</f>
        <v>шт.</v>
      </c>
      <c r="H118" t="str">
        <f t="shared" si="6"/>
        <v>OK</v>
      </c>
      <c r="I118" t="str">
        <f t="shared" si="7"/>
        <v>OK</v>
      </c>
    </row>
    <row r="119">
      <c r="A119" t="str">
        <f>"АРТ-"&amp;LEFT(SUBSTITUTE(SUBSTITUTE(SUBSTITUTE(SUBSTITUTE(Товары_исходные!A119,"№",""),"АРТ-",""),"АРТ_",""),"/","-"),3)</f>
        <v>АРТ-118</v>
      </c>
      <c r="B119" t="str">
        <f>PROPER(TRIM(IFERROR(LEFT(Товары_исходные!B119,FIND("(",Товары_исходные!B119)-1),Товары_исходные!B119)))</f>
        <v xml:space="preserve">Клавиатура Keychron K8 Pro</v>
      </c>
      <c r="C119" t="str">
        <f>IFERROR(VLOOKUP(Товары_исходные!C119,Справочники!$A$2:$B$50,2,FALSE),Товары_исходные!C119)</f>
        <v>Аксессуары</v>
      </c>
      <c r="D119" t="str">
        <f>PROPER(TRIM(Товары_исходные!D119))</f>
        <v>Keychron</v>
      </c>
      <c r="E119" s="4">
        <f>IFERROR(VALUE(IF(AND(ISNUMBER(FIND(",",Товары_исходные!E119)),ISNUMBER(FIND(".",Товары_исходные!E119))),SUBSTITUTE(SUBSTITUTE(SUBSTITUTE(SUBSTITUTE(Товары_исходные!E119," ",""),"руб.",""),"руб",""),",",""),SUBSTITUTE(SUBSTITUTE(SUBSTITUTE(SUBSTITUTE(Товары_исходные!E119," ",""),"руб.",""),"руб",""),",","."))),0)</f>
        <v>4500</v>
      </c>
      <c r="F119" s="4">
        <f>IFERROR(VALUE(IF(AND(ISNUMBER(FIND(",",Товары_исходные!F119)),ISNUMBER(FIND(".",Товары_исходные!F119))),SUBSTITUTE(SUBSTITUTE(SUBSTITUTE(SUBSTITUTE(Товары_исходные!F119," ",""),"руб.",""),"руб",""),",",""),SUBSTITUTE(SUBSTITUTE(SUBSTITUTE(SUBSTITUTE(Товары_исходные!F119," ",""),"руб.",""),"руб",""),",","."))),0)</f>
        <v>7990</v>
      </c>
      <c r="G119" t="str">
        <f>IFERROR(VLOOKUP(Товары_исходные!G119,Справочники!$D$2:$E$50,2,FALSE),"шт.")</f>
        <v>шт.</v>
      </c>
      <c r="H119" t="str">
        <f t="shared" si="6"/>
        <v>OK</v>
      </c>
      <c r="I119" t="str">
        <f t="shared" si="7"/>
        <v>OK</v>
      </c>
    </row>
    <row r="120">
      <c r="A120" t="str">
        <f>"АРТ-"&amp;LEFT(SUBSTITUTE(SUBSTITUTE(SUBSTITUTE(SUBSTITUTE(Товары_исходные!A120,"№",""),"АРТ-",""),"АРТ_",""),"/","-"),3)</f>
        <v>АРТ-119</v>
      </c>
      <c r="B120" t="str">
        <f>PROPER(TRIM(IFERROR(LEFT(Товары_исходные!B120,FIND("(",Товары_исходные!B120)-1),Товары_исходные!B120)))</f>
        <v xml:space="preserve">Клавиатура Keychron K8 Pro</v>
      </c>
      <c r="C120" t="str">
        <f>IFERROR(VLOOKUP(Товары_исходные!C120,Справочники!$A$2:$B$50,2,FALSE),Товары_исходные!C120)</f>
        <v>Аксессуары</v>
      </c>
      <c r="D120" t="str">
        <f>PROPER(TRIM(Товары_исходные!D120))</f>
        <v>Keychron</v>
      </c>
      <c r="E120" s="4">
        <f>IFERROR(VALUE(IF(AND(ISNUMBER(FIND(",",Товары_исходные!E120)),ISNUMBER(FIND(".",Товары_исходные!E120))),SUBSTITUTE(SUBSTITUTE(SUBSTITUTE(SUBSTITUTE(Товары_исходные!E120," ",""),"руб.",""),"руб",""),",",""),SUBSTITUTE(SUBSTITUTE(SUBSTITUTE(SUBSTITUTE(Товары_исходные!E120," ",""),"руб.",""),"руб",""),",","."))),0)</f>
        <v>4200</v>
      </c>
      <c r="F120" s="4">
        <f>IFERROR(VALUE(IF(AND(ISNUMBER(FIND(",",Товары_исходные!F120)),ISNUMBER(FIND(".",Товары_исходные!F120))),SUBSTITUTE(SUBSTITUTE(SUBSTITUTE(SUBSTITUTE(Товары_исходные!F120," ",""),"руб.",""),"руб",""),",",""),SUBSTITUTE(SUBSTITUTE(SUBSTITUTE(SUBSTITUTE(Товары_исходные!F120," ",""),"руб.",""),"руб",""),",","."))),0)</f>
        <v>7500</v>
      </c>
      <c r="G120" t="str">
        <f>IFERROR(VLOOKUP(Товары_исходные!G120,Справочники!$D$2:$E$50,2,FALSE),"шт.")</f>
        <v>шт.</v>
      </c>
      <c r="H120" t="str">
        <f t="shared" si="6"/>
        <v>OK</v>
      </c>
      <c r="I120" t="str">
        <f t="shared" si="7"/>
        <v>OK</v>
      </c>
    </row>
    <row r="121">
      <c r="A121" t="str">
        <f>"АРТ-"&amp;LEFT(SUBSTITUTE(SUBSTITUTE(SUBSTITUTE(SUBSTITUTE(Товары_исходные!A121,"№",""),"АРТ-",""),"АРТ_",""),"/","-"),3)</f>
        <v>АРТ-120</v>
      </c>
      <c r="B121" t="str">
        <f>PROPER(TRIM(IFERROR(LEFT(Товары_исходные!B121,FIND("(",Товары_исходные!B121)-1),Товары_исходные!B121)))</f>
        <v xml:space="preserve">Клавиатура Keychron K8 Pro</v>
      </c>
      <c r="C121" t="str">
        <f>IFERROR(VLOOKUP(Товары_исходные!C121,Справочники!$A$2:$B$50,2,FALSE),Товары_исходные!C121)</f>
        <v>Аксессуары</v>
      </c>
      <c r="D121" t="str">
        <f>PROPER(TRIM(Товары_исходные!D121))</f>
        <v>Keychron</v>
      </c>
      <c r="E121" s="4">
        <f>IFERROR(VALUE(IF(AND(ISNUMBER(FIND(",",Товары_исходные!E121)),ISNUMBER(FIND(".",Товары_исходные!E121))),SUBSTITUTE(SUBSTITUTE(SUBSTITUTE(SUBSTITUTE(Товары_исходные!E121," ",""),"руб.",""),"руб",""),",",""),SUBSTITUTE(SUBSTITUTE(SUBSTITUTE(SUBSTITUTE(Товары_исходные!E121," ",""),"руб.",""),"руб",""),",","."))),0)</f>
        <v>4800</v>
      </c>
      <c r="F121" s="4">
        <f>IFERROR(VALUE(IF(AND(ISNUMBER(FIND(",",Товары_исходные!F121)),ISNUMBER(FIND(".",Товары_исходные!F121))),SUBSTITUTE(SUBSTITUTE(SUBSTITUTE(SUBSTITUTE(Товары_исходные!F121," ",""),"руб.",""),"руб",""),",",""),SUBSTITUTE(SUBSTITUTE(SUBSTITUTE(SUBSTITUTE(Товары_исходные!F121," ",""),"руб.",""),"руб",""),",","."))),0)</f>
        <v>8500</v>
      </c>
      <c r="G121" t="str">
        <f>IFERROR(VLOOKUP(Товары_исходные!G121,Справочники!$D$2:$E$50,2,FALSE),"шт.")</f>
        <v>шт.</v>
      </c>
      <c r="H121" t="str">
        <f t="shared" si="6"/>
        <v>OK</v>
      </c>
      <c r="I121" t="str">
        <f t="shared" si="7"/>
        <v>OK</v>
      </c>
    </row>
    <row r="122">
      <c r="A122" t="str">
        <f>"АРТ-"&amp;LEFT(SUBSTITUTE(SUBSTITUTE(SUBSTITUTE(SUBSTITUTE(Товары_исходные!A122,"№",""),"АРТ-",""),"АРТ_",""),"/","-"),3)</f>
        <v>АРТ-121</v>
      </c>
      <c r="B122" t="str">
        <f>PROPER(TRIM(IFERROR(LEFT(Товары_исходные!B122,FIND("(",Товары_исходные!B122)-1),Товары_исходные!B122)))</f>
        <v xml:space="preserve">Смарт-Часы Garmin Fenix 7</v>
      </c>
      <c r="C122" t="str">
        <f>IFERROR(VLOOKUP(Товары_исходные!C122,Справочники!$A$2:$B$50,2,FALSE),Товары_исходные!C122)</f>
        <v>Часы</v>
      </c>
      <c r="D122" t="str">
        <f>PROPER(TRIM(Товары_исходные!D122))</f>
        <v>Garmin</v>
      </c>
      <c r="E122" s="4">
        <f>IFERROR(VALUE(IF(AND(ISNUMBER(FIND(",",Товары_исходные!E122)),ISNUMBER(FIND(".",Товары_исходные!E122))),SUBSTITUTE(SUBSTITUTE(SUBSTITUTE(SUBSTITUTE(Товары_исходные!E122," ",""),"руб.",""),"руб",""),",",""),SUBSTITUTE(SUBSTITUTE(SUBSTITUTE(SUBSTITUTE(Товары_исходные!E122," ",""),"руб.",""),"руб",""),",","."))),0)</f>
        <v>55000</v>
      </c>
      <c r="F122" s="4">
        <f>IFERROR(VALUE(IF(AND(ISNUMBER(FIND(",",Товары_исходные!F122)),ISNUMBER(FIND(".",Товары_исходные!F122))),SUBSTITUTE(SUBSTITUTE(SUBSTITUTE(SUBSTITUTE(Товары_исходные!F122," ",""),"руб.",""),"руб",""),",",""),SUBSTITUTE(SUBSTITUTE(SUBSTITUTE(SUBSTITUTE(Товары_исходные!F122," ",""),"руб.",""),"руб",""),",","."))),0)</f>
        <v>84990</v>
      </c>
      <c r="G122" t="str">
        <f>IFERROR(VLOOKUP(Товары_исходные!G122,Справочники!$D$2:$E$50,2,FALSE),"шт.")</f>
        <v>шт.</v>
      </c>
      <c r="H122" t="str">
        <f t="shared" si="6"/>
        <v>OK</v>
      </c>
      <c r="I122" t="str">
        <f t="shared" si="7"/>
        <v>OK</v>
      </c>
    </row>
    <row r="123">
      <c r="A123" t="str">
        <f>"АРТ-"&amp;LEFT(SUBSTITUTE(SUBSTITUTE(SUBSTITUTE(SUBSTITUTE(Товары_исходные!A123,"№",""),"АРТ-",""),"АРТ_",""),"/","-"),3)</f>
        <v>АРТ-122</v>
      </c>
      <c r="B123" t="str">
        <f>PROPER(TRIM(IFERROR(LEFT(Товары_исходные!B123,FIND("(",Товары_исходные!B123)-1),Товары_исходные!B123)))</f>
        <v xml:space="preserve">Смарт-Часы Garmin Fenix 7</v>
      </c>
      <c r="C123" t="str">
        <f>IFERROR(VLOOKUP(Товары_исходные!C123,Справочники!$A$2:$B$50,2,FALSE),Товары_исходные!C123)</f>
        <v>Часы</v>
      </c>
      <c r="D123" t="str">
        <f>PROPER(TRIM(Товары_исходные!D123))</f>
        <v>Garmin</v>
      </c>
      <c r="E123" s="4">
        <f>IFERROR(VALUE(IF(AND(ISNUMBER(FIND(",",Товары_исходные!E123)),ISNUMBER(FIND(".",Товары_исходные!E123))),SUBSTITUTE(SUBSTITUTE(SUBSTITUTE(SUBSTITUTE(Товары_исходные!E123," ",""),"руб.",""),"руб",""),",",""),SUBSTITUTE(SUBSTITUTE(SUBSTITUTE(SUBSTITUTE(Товары_исходные!E123," ",""),"руб.",""),"руб",""),",","."))),0)</f>
        <v>53500</v>
      </c>
      <c r="F123" s="4">
        <f>IFERROR(VALUE(IF(AND(ISNUMBER(FIND(",",Товары_исходные!F123)),ISNUMBER(FIND(".",Товары_исходные!F123))),SUBSTITUTE(SUBSTITUTE(SUBSTITUTE(SUBSTITUTE(Товары_исходные!F123," ",""),"руб.",""),"руб",""),",",""),SUBSTITUTE(SUBSTITUTE(SUBSTITUTE(SUBSTITUTE(Товары_исходные!F123," ",""),"руб.",""),"руб",""),",","."))),0)</f>
        <v>82500</v>
      </c>
      <c r="G123" t="str">
        <f>IFERROR(VLOOKUP(Товары_исходные!G123,Справочники!$D$2:$E$50,2,FALSE),"шт.")</f>
        <v>шт.</v>
      </c>
      <c r="H123" t="str">
        <f t="shared" si="6"/>
        <v>OK</v>
      </c>
      <c r="I123" t="str">
        <f t="shared" si="7"/>
        <v>OK</v>
      </c>
    </row>
    <row r="124">
      <c r="A124" t="str">
        <f>"АРТ-"&amp;LEFT(SUBSTITUTE(SUBSTITUTE(SUBSTITUTE(SUBSTITUTE(Товары_исходные!A124,"№",""),"АРТ-",""),"АРТ_",""),"/","-"),3)</f>
        <v>АРТ-123</v>
      </c>
      <c r="B124" t="str">
        <f>PROPER(TRIM(IFERROR(LEFT(Товары_исходные!B124,FIND("(",Товары_исходные!B124)-1),Товары_исходные!B124)))</f>
        <v xml:space="preserve">Смарт-Часы Garmin Fenix 7</v>
      </c>
      <c r="C124" t="str">
        <f>IFERROR(VLOOKUP(Товары_исходные!C124,Справочники!$A$2:$B$50,2,FALSE),Товары_исходные!C124)</f>
        <v>Часы</v>
      </c>
      <c r="D124" t="str">
        <f>PROPER(TRIM(Товары_исходные!D124))</f>
        <v>Garmin</v>
      </c>
      <c r="E124" s="4">
        <f>IFERROR(VALUE(IF(AND(ISNUMBER(FIND(",",Товары_исходные!E124)),ISNUMBER(FIND(".",Товары_исходные!E124))),SUBSTITUTE(SUBSTITUTE(SUBSTITUTE(SUBSTITUTE(Товары_исходные!E124," ",""),"руб.",""),"руб",""),",",""),SUBSTITUTE(SUBSTITUTE(SUBSTITUTE(SUBSTITUTE(Товары_исходные!E124," ",""),"руб.",""),"руб",""),",","."))),0)</f>
        <v>56500</v>
      </c>
      <c r="F124" s="4">
        <f>IFERROR(VALUE(IF(AND(ISNUMBER(FIND(",",Товары_исходные!F124)),ISNUMBER(FIND(".",Товары_исходные!F124))),SUBSTITUTE(SUBSTITUTE(SUBSTITUTE(SUBSTITUTE(Товары_исходные!F124," ",""),"руб.",""),"руб",""),",",""),SUBSTITUTE(SUBSTITUTE(SUBSTITUTE(SUBSTITUTE(Товары_исходные!F124," ",""),"руб.",""),"руб",""),",","."))),0)</f>
        <v>87000</v>
      </c>
      <c r="G124" t="str">
        <f>IFERROR(VLOOKUP(Товары_исходные!G124,Справочники!$D$2:$E$50,2,FALSE),"шт.")</f>
        <v>шт.</v>
      </c>
      <c r="H124" t="str">
        <f t="shared" si="6"/>
        <v>OK</v>
      </c>
      <c r="I124" t="str">
        <f t="shared" si="7"/>
        <v>OK</v>
      </c>
    </row>
    <row r="125">
      <c r="A125" t="str">
        <f>"АРТ-"&amp;LEFT(SUBSTITUTE(SUBSTITUTE(SUBSTITUTE(SUBSTITUTE(Товары_исходные!A125,"№",""),"АРТ-",""),"АРТ_",""),"/","-"),3)</f>
        <v>АРТ-124</v>
      </c>
      <c r="B125" t="str">
        <f>PROPER(TRIM(IFERROR(LEFT(Товары_исходные!B125,FIND("(",Товары_исходные!B125)-1),Товары_исходные!B125)))</f>
        <v xml:space="preserve">Ноутбук Razer Blade 18</v>
      </c>
      <c r="C125" t="str">
        <f>IFERROR(VLOOKUP(Товары_исходные!C125,Справочники!$A$2:$B$50,2,FALSE),Товары_исходные!C125)</f>
        <v>Ноутбуки</v>
      </c>
      <c r="D125" t="str">
        <f>PROPER(TRIM(Товары_исходные!D125))</f>
        <v>Razer</v>
      </c>
      <c r="E125" s="4">
        <f>IFERROR(VALUE(IF(AND(ISNUMBER(FIND(",",Товары_исходные!E125)),ISNUMBER(FIND(".",Товары_исходные!E125))),SUBSTITUTE(SUBSTITUTE(SUBSTITUTE(SUBSTITUTE(Товары_исходные!E125," ",""),"руб.",""),"руб",""),",",""),SUBSTITUTE(SUBSTITUTE(SUBSTITUTE(SUBSTITUTE(Товары_исходные!E125," ",""),"руб.",""),"руб",""),",","."))),0)</f>
        <v>110000</v>
      </c>
      <c r="F125" s="4">
        <f>IFERROR(VALUE(IF(AND(ISNUMBER(FIND(",",Товары_исходные!F125)),ISNUMBER(FIND(".",Товары_исходные!F125))),SUBSTITUTE(SUBSTITUTE(SUBSTITUTE(SUBSTITUTE(Товары_исходные!F125," ",""),"руб.",""),"руб",""),",",""),SUBSTITUTE(SUBSTITUTE(SUBSTITUTE(SUBSTITUTE(Товары_исходные!F125," ",""),"руб.",""),"руб",""),",","."))),0)</f>
        <v>169990</v>
      </c>
      <c r="G125" t="str">
        <f>IFERROR(VLOOKUP(Товары_исходные!G125,Справочники!$D$2:$E$50,2,FALSE),"шт.")</f>
        <v>шт.</v>
      </c>
      <c r="H125" t="str">
        <f t="shared" si="6"/>
        <v>OK</v>
      </c>
      <c r="I125" t="str">
        <f t="shared" si="7"/>
        <v>OK</v>
      </c>
    </row>
    <row r="126">
      <c r="A126" t="str">
        <f>"АРТ-"&amp;LEFT(SUBSTITUTE(SUBSTITUTE(SUBSTITUTE(SUBSTITUTE(Товары_исходные!A126,"№",""),"АРТ-",""),"АРТ_",""),"/","-"),3)</f>
        <v>АРТ-125</v>
      </c>
      <c r="B126" t="str">
        <f>PROPER(TRIM(IFERROR(LEFT(Товары_исходные!B126,FIND("(",Товары_исходные!B126)-1),Товары_исходные!B126)))</f>
        <v xml:space="preserve">Ноутбук Razer Blade 18</v>
      </c>
      <c r="C126" t="str">
        <f>IFERROR(VLOOKUP(Товары_исходные!C126,Справочники!$A$2:$B$50,2,FALSE),Товары_исходные!C126)</f>
        <v>Ноутбуки</v>
      </c>
      <c r="D126" t="str">
        <f>PROPER(TRIM(Товары_исходные!D126))</f>
        <v>Razer</v>
      </c>
      <c r="E126" s="4">
        <f>IFERROR(VALUE(IF(AND(ISNUMBER(FIND(",",Товары_исходные!E126)),ISNUMBER(FIND(".",Товары_исходные!E126))),SUBSTITUTE(SUBSTITUTE(SUBSTITUTE(SUBSTITUTE(Товары_исходные!E126," ",""),"руб.",""),"руб",""),",",""),SUBSTITUTE(SUBSTITUTE(SUBSTITUTE(SUBSTITUTE(Товары_исходные!E126," ",""),"руб.",""),"руб",""),",","."))),0)</f>
        <v>108000</v>
      </c>
      <c r="F126" s="4">
        <f>IFERROR(VALUE(IF(AND(ISNUMBER(FIND(",",Товары_исходные!F126)),ISNUMBER(FIND(".",Товары_исходные!F126))),SUBSTITUTE(SUBSTITUTE(SUBSTITUTE(SUBSTITUTE(Товары_исходные!F126," ",""),"руб.",""),"руб",""),",",""),SUBSTITUTE(SUBSTITUTE(SUBSTITUTE(SUBSTITUTE(Товары_исходные!F126," ",""),"руб.",""),"руб",""),",","."))),0)</f>
        <v>166500</v>
      </c>
      <c r="G126" t="str">
        <f>IFERROR(VLOOKUP(Товары_исходные!G126,Справочники!$D$2:$E$50,2,FALSE),"шт.")</f>
        <v>шт.</v>
      </c>
      <c r="H126" t="str">
        <f t="shared" si="6"/>
        <v>OK</v>
      </c>
      <c r="I126" t="str">
        <f t="shared" si="7"/>
        <v>OK</v>
      </c>
    </row>
    <row r="127">
      <c r="A127" t="str">
        <f>"АРТ-"&amp;LEFT(SUBSTITUTE(SUBSTITUTE(SUBSTITUTE(SUBSTITUTE(Товары_исходные!A127,"№",""),"АРТ-",""),"АРТ_",""),"/","-"),3)</f>
        <v>АРТ-126</v>
      </c>
      <c r="B127" t="str">
        <f>PROPER(TRIM(IFERROR(LEFT(Товары_исходные!B127,FIND("(",Товары_исходные!B127)-1),Товары_исходные!B127)))</f>
        <v xml:space="preserve">Ноутбук Razer Blade 18</v>
      </c>
      <c r="C127" t="str">
        <f>IFERROR(VLOOKUP(Товары_исходные!C127,Справочники!$A$2:$B$50,2,FALSE),Товары_исходные!C127)</f>
        <v>Ноутбуки</v>
      </c>
      <c r="D127" t="str">
        <f>PROPER(TRIM(Товары_исходные!D127))</f>
        <v>Razer</v>
      </c>
      <c r="E127" s="4">
        <f>IFERROR(VALUE(IF(AND(ISNUMBER(FIND(",",Товары_исходные!E127)),ISNUMBER(FIND(".",Товары_исходные!E127))),SUBSTITUTE(SUBSTITUTE(SUBSTITUTE(SUBSTITUTE(Товары_исходные!E127," ",""),"руб.",""),"руб",""),",",""),SUBSTITUTE(SUBSTITUTE(SUBSTITUTE(SUBSTITUTE(Товары_исходные!E127," ",""),"руб.",""),"руб",""),",","."))),0)</f>
        <v>112000</v>
      </c>
      <c r="F127" s="4">
        <f>IFERROR(VALUE(IF(AND(ISNUMBER(FIND(",",Товары_исходные!F127)),ISNUMBER(FIND(".",Товары_исходные!F127))),SUBSTITUTE(SUBSTITUTE(SUBSTITUTE(SUBSTITUTE(Товары_исходные!F127," ",""),"руб.",""),"руб",""),",",""),SUBSTITUTE(SUBSTITUTE(SUBSTITUTE(SUBSTITUTE(Товары_исходные!F127," ",""),"руб.",""),"руб",""),",","."))),0)</f>
        <v>173000</v>
      </c>
      <c r="G127" t="str">
        <f>IFERROR(VLOOKUP(Товары_исходные!G127,Справочники!$D$2:$E$50,2,FALSE),"шт.")</f>
        <v>шт.</v>
      </c>
      <c r="H127" t="str">
        <f t="shared" si="6"/>
        <v>OK</v>
      </c>
      <c r="I127" t="str">
        <f t="shared" si="7"/>
        <v>OK</v>
      </c>
    </row>
    <row r="128">
      <c r="A128" t="str">
        <f>"АРТ-"&amp;LEFT(SUBSTITUTE(SUBSTITUTE(SUBSTITUTE(SUBSTITUTE(Товары_исходные!A128,"№",""),"АРТ-",""),"АРТ_",""),"/","-"),3)</f>
        <v>АРТ-127</v>
      </c>
      <c r="B128" t="str">
        <f>PROPER(TRIM(IFERROR(LEFT(Товары_исходные!B128,FIND("(",Товары_исходные!B128)-1),Товары_исходные!B128)))</f>
        <v xml:space="preserve">Смартфон Nothing Phone 2</v>
      </c>
      <c r="C128" t="str">
        <f>IFERROR(VLOOKUP(Товары_исходные!C128,Справочники!$A$2:$B$50,2,FALSE),Товары_исходные!C128)</f>
        <v>Смартфоны</v>
      </c>
      <c r="D128" t="str">
        <f>PROPER(TRIM(Товары_исходные!D128))</f>
        <v>Nothing</v>
      </c>
      <c r="E128" s="4">
        <f>IFERROR(VALUE(IF(AND(ISNUMBER(FIND(",",Товары_исходные!E128)),ISNUMBER(FIND(".",Товары_исходные!E128))),SUBSTITUTE(SUBSTITUTE(SUBSTITUTE(SUBSTITUTE(Товары_исходные!E128," ",""),"руб.",""),"руб",""),",",""),SUBSTITUTE(SUBSTITUTE(SUBSTITUTE(SUBSTITUTE(Товары_исходные!E128," ",""),"руб.",""),"руб",""),",","."))),0)</f>
        <v>30000</v>
      </c>
      <c r="F128" s="4">
        <f>IFERROR(VALUE(IF(AND(ISNUMBER(FIND(",",Товары_исходные!F128)),ISNUMBER(FIND(".",Товары_исходные!F128))),SUBSTITUTE(SUBSTITUTE(SUBSTITUTE(SUBSTITUTE(Товары_исходные!F128," ",""),"руб.",""),"руб",""),",",""),SUBSTITUTE(SUBSTITUTE(SUBSTITUTE(SUBSTITUTE(Товары_исходные!F128," ",""),"руб.",""),"руб",""),",","."))),0)</f>
        <v>51990</v>
      </c>
      <c r="G128" t="str">
        <f>IFERROR(VLOOKUP(Товары_исходные!G128,Справочники!$D$2:$E$50,2,FALSE),"шт.")</f>
        <v>шт.</v>
      </c>
      <c r="H128" t="str">
        <f t="shared" si="6"/>
        <v>OK</v>
      </c>
      <c r="I128" t="str">
        <f t="shared" si="7"/>
        <v>OK</v>
      </c>
    </row>
    <row r="129">
      <c r="A129" t="str">
        <f>"АРТ-"&amp;LEFT(SUBSTITUTE(SUBSTITUTE(SUBSTITUTE(SUBSTITUTE(Товары_исходные!A129,"№",""),"АРТ-",""),"АРТ_",""),"/","-"),3)</f>
        <v>АРТ-128</v>
      </c>
      <c r="B129" t="str">
        <f>PROPER(TRIM(IFERROR(LEFT(Товары_исходные!B129,FIND("(",Товары_исходные!B129)-1),Товары_исходные!B129)))</f>
        <v xml:space="preserve">Смартфон Nothing Phone 2</v>
      </c>
      <c r="C129" t="str">
        <f>IFERROR(VLOOKUP(Товары_исходные!C129,Справочники!$A$2:$B$50,2,FALSE),Товары_исходные!C129)</f>
        <v>Смартфоны</v>
      </c>
      <c r="D129" t="str">
        <f>PROPER(TRIM(Товары_исходные!D129))</f>
        <v>Nothing</v>
      </c>
      <c r="E129" s="4">
        <f>IFERROR(VALUE(IF(AND(ISNUMBER(FIND(",",Товары_исходные!E129)),ISNUMBER(FIND(".",Товары_исходные!E129))),SUBSTITUTE(SUBSTITUTE(SUBSTITUTE(SUBSTITUTE(Товары_исходные!E129," ",""),"руб.",""),"руб",""),",",""),SUBSTITUTE(SUBSTITUTE(SUBSTITUTE(SUBSTITUTE(Товары_исходные!E129," ",""),"руб.",""),"руб",""),",","."))),0)</f>
        <v>29000</v>
      </c>
      <c r="F129" s="4">
        <f>IFERROR(VALUE(IF(AND(ISNUMBER(FIND(",",Товары_исходные!F129)),ISNUMBER(FIND(".",Товары_исходные!F129))),SUBSTITUTE(SUBSTITUTE(SUBSTITUTE(SUBSTITUTE(Товары_исходные!F129," ",""),"руб.",""),"руб",""),",",""),SUBSTITUTE(SUBSTITUTE(SUBSTITUTE(SUBSTITUTE(Товары_исходные!F129," ",""),"руб.",""),"руб",""),",","."))),0)</f>
        <v>50500</v>
      </c>
      <c r="G129" t="str">
        <f>IFERROR(VLOOKUP(Товары_исходные!G129,Справочники!$D$2:$E$50,2,FALSE),"шт.")</f>
        <v>шт.</v>
      </c>
      <c r="H129" t="str">
        <f t="shared" si="6"/>
        <v>OK</v>
      </c>
      <c r="I129" t="str">
        <f t="shared" si="7"/>
        <v>OK</v>
      </c>
    </row>
    <row r="130">
      <c r="A130" t="str">
        <f>"АРТ-"&amp;LEFT(SUBSTITUTE(SUBSTITUTE(SUBSTITUTE(SUBSTITUTE(Товары_исходные!A130,"№",""),"АРТ-",""),"АРТ_",""),"/","-"),3)</f>
        <v>АРТ-129</v>
      </c>
      <c r="B130" t="str">
        <f>PROPER(TRIM(IFERROR(LEFT(Товары_исходные!B130,FIND("(",Товары_исходные!B130)-1),Товары_исходные!B130)))</f>
        <v xml:space="preserve">Смартфон Nothing Phone 2</v>
      </c>
      <c r="C130" t="str">
        <f>IFERROR(VLOOKUP(Товары_исходные!C130,Справочники!$A$2:$B$50,2,FALSE),Товары_исходные!C130)</f>
        <v>Смартфоны</v>
      </c>
      <c r="D130" t="str">
        <f>PROPER(TRIM(Товары_исходные!D130))</f>
        <v>Nothing</v>
      </c>
      <c r="E130" s="4">
        <f>IFERROR(VALUE(IF(AND(ISNUMBER(FIND(",",Товары_исходные!E130)),ISNUMBER(FIND(".",Товары_исходные!E130))),SUBSTITUTE(SUBSTITUTE(SUBSTITUTE(SUBSTITUTE(Товары_исходные!E130," ",""),"руб.",""),"руб",""),",",""),SUBSTITUTE(SUBSTITUTE(SUBSTITUTE(SUBSTITUTE(Товары_исходные!E130," ",""),"руб.",""),"руб",""),",","."))),0)</f>
        <v>31000</v>
      </c>
      <c r="F130" s="4">
        <f>IFERROR(VALUE(IF(AND(ISNUMBER(FIND(",",Товары_исходные!F130)),ISNUMBER(FIND(".",Товары_исходные!F130))),SUBSTITUTE(SUBSTITUTE(SUBSTITUTE(SUBSTITUTE(Товары_исходные!F130," ",""),"руб.",""),"руб",""),",",""),SUBSTITUTE(SUBSTITUTE(SUBSTITUTE(SUBSTITUTE(Товары_исходные!F130," ",""),"руб.",""),"руб",""),",","."))),0)</f>
        <v>53500</v>
      </c>
      <c r="G130" t="str">
        <f>IFERROR(VLOOKUP(Товары_исходные!G130,Справочники!$D$2:$E$50,2,FALSE),"шт.")</f>
        <v>шт.</v>
      </c>
      <c r="H130" t="str">
        <f t="shared" si="6"/>
        <v>OK</v>
      </c>
      <c r="I130" t="str">
        <f t="shared" si="7"/>
        <v>OK</v>
      </c>
    </row>
    <row r="131">
      <c r="A131" t="str">
        <f>"АРТ-"&amp;LEFT(SUBSTITUTE(SUBSTITUTE(SUBSTITUTE(SUBSTITUTE(Товары_исходные!A131,"№",""),"АРТ-",""),"АРТ_",""),"/","-"),3)</f>
        <v>АРТ-130</v>
      </c>
      <c r="B131" t="str">
        <f>PROPER(TRIM(IFERROR(LEFT(Товары_исходные!B131,FIND("(",Товары_исходные!B131)-1),Товары_исходные!B131)))</f>
        <v xml:space="preserve">Планшет Xiaomi Pad 6</v>
      </c>
      <c r="C131" t="str">
        <f>IFERROR(VLOOKUP(Товары_исходные!C131,Справочники!$A$2:$B$50,2,FALSE),Товары_исходные!C131)</f>
        <v>Планшеты</v>
      </c>
      <c r="D131" t="str">
        <f>PROPER(TRIM(Товары_исходные!D131))</f>
        <v>Xiaomi</v>
      </c>
      <c r="E131" s="4">
        <f>IFERROR(VALUE(IF(AND(ISNUMBER(FIND(",",Товары_исходные!E131)),ISNUMBER(FIND(".",Товары_исходные!E131))),SUBSTITUTE(SUBSTITUTE(SUBSTITUTE(SUBSTITUTE(Товары_исходные!E131," ",""),"руб.",""),"руб",""),",",""),SUBSTITUTE(SUBSTITUTE(SUBSTITUTE(SUBSTITUTE(Товары_исходные!E131," ",""),"руб.",""),"руб",""),",","."))),0)</f>
        <v>26000</v>
      </c>
      <c r="F131" s="4">
        <f>IFERROR(VALUE(IF(AND(ISNUMBER(FIND(",",Товары_исходные!F131)),ISNUMBER(FIND(".",Товары_исходные!F131))),SUBSTITUTE(SUBSTITUTE(SUBSTITUTE(SUBSTITUTE(Товары_исходные!F131," ",""),"руб.",""),"руб",""),",",""),SUBSTITUTE(SUBSTITUTE(SUBSTITUTE(SUBSTITUTE(Товары_исходные!F131," ",""),"руб.",""),"руб",""),",","."))),0)</f>
        <v>42990</v>
      </c>
      <c r="G131" t="str">
        <f>IFERROR(VLOOKUP(Товары_исходные!G131,Справочники!$D$2:$E$50,2,FALSE),"шт.")</f>
        <v>шт.</v>
      </c>
      <c r="H131" t="str">
        <f t="shared" si="6"/>
        <v>OK</v>
      </c>
      <c r="I131" t="str">
        <f t="shared" si="7"/>
        <v>OK</v>
      </c>
    </row>
    <row r="132">
      <c r="A132" t="str">
        <f>"АРТ-"&amp;LEFT(SUBSTITUTE(SUBSTITUTE(SUBSTITUTE(SUBSTITUTE(Товары_исходные!A132,"№",""),"АРТ-",""),"АРТ_",""),"/","-"),3)</f>
        <v>АРТ-131</v>
      </c>
      <c r="B132" t="str">
        <f>PROPER(TRIM(IFERROR(LEFT(Товары_исходные!B132,FIND("(",Товары_исходные!B132)-1),Товары_исходные!B132)))</f>
        <v xml:space="preserve">Планшет Xiaomi Pad 6</v>
      </c>
      <c r="C132" t="str">
        <f>IFERROR(VLOOKUP(Товары_исходные!C132,Справочники!$A$2:$B$50,2,FALSE),Товары_исходные!C132)</f>
        <v>Планшеты</v>
      </c>
      <c r="D132" t="str">
        <f>PROPER(TRIM(Товары_исходные!D132))</f>
        <v>Xiaomi</v>
      </c>
      <c r="E132" s="4">
        <f>IFERROR(VALUE(IF(AND(ISNUMBER(FIND(",",Товары_исходные!E132)),ISNUMBER(FIND(".",Товары_исходные!E132))),SUBSTITUTE(SUBSTITUTE(SUBSTITUTE(SUBSTITUTE(Товары_исходные!E132," ",""),"руб.",""),"руб",""),",",""),SUBSTITUTE(SUBSTITUTE(SUBSTITUTE(SUBSTITUTE(Товары_исходные!E132," ",""),"руб.",""),"руб",""),",","."))),0)</f>
        <v>25000</v>
      </c>
      <c r="F132" s="4">
        <f>IFERROR(VALUE(IF(AND(ISNUMBER(FIND(",",Товары_исходные!F132)),ISNUMBER(FIND(".",Товары_исходные!F132))),SUBSTITUTE(SUBSTITUTE(SUBSTITUTE(SUBSTITUTE(Товары_исходные!F132," ",""),"руб.",""),"руб",""),",",""),SUBSTITUTE(SUBSTITUTE(SUBSTITUTE(SUBSTITUTE(Товары_исходные!F132," ",""),"руб.",""),"руб",""),",","."))),0)</f>
        <v>41500</v>
      </c>
      <c r="G132" t="str">
        <f>IFERROR(VLOOKUP(Товары_исходные!G132,Справочники!$D$2:$E$50,2,FALSE),"шт.")</f>
        <v>шт.</v>
      </c>
      <c r="H132" t="str">
        <f t="shared" si="6"/>
        <v>OK</v>
      </c>
      <c r="I132" t="str">
        <f t="shared" si="7"/>
        <v>OK</v>
      </c>
    </row>
    <row r="133">
      <c r="A133" t="str">
        <f>"АРТ-"&amp;LEFT(SUBSTITUTE(SUBSTITUTE(SUBSTITUTE(SUBSTITUTE(Товары_исходные!A133,"№",""),"АРТ-",""),"АРТ_",""),"/","-"),3)</f>
        <v>АРТ-132</v>
      </c>
      <c r="B133" t="str">
        <f>PROPER(TRIM(IFERROR(LEFT(Товары_исходные!B133,FIND("(",Товары_исходные!B133)-1),Товары_исходные!B133)))</f>
        <v xml:space="preserve">Планшет Xiaomi Pad 6</v>
      </c>
      <c r="C133" t="str">
        <f>IFERROR(VLOOKUP(Товары_исходные!C133,Справочники!$A$2:$B$50,2,FALSE),Товары_исходные!C133)</f>
        <v>Планшеты</v>
      </c>
      <c r="D133" t="str">
        <f>PROPER(TRIM(Товары_исходные!D133))</f>
        <v>Xiaomi</v>
      </c>
      <c r="E133" s="4">
        <f>IFERROR(VALUE(IF(AND(ISNUMBER(FIND(",",Товары_исходные!E133)),ISNUMBER(FIND(".",Товары_исходные!E133))),SUBSTITUTE(SUBSTITUTE(SUBSTITUTE(SUBSTITUTE(Товары_исходные!E133," ",""),"руб.",""),"руб",""),",",""),SUBSTITUTE(SUBSTITUTE(SUBSTITUTE(SUBSTITUTE(Товары_исходные!E133," ",""),"руб.",""),"руб",""),",","."))),0)</f>
        <v>27000</v>
      </c>
      <c r="F133" s="4">
        <f>IFERROR(VALUE(IF(AND(ISNUMBER(FIND(",",Товары_исходные!F133)),ISNUMBER(FIND(".",Товары_исходные!F133))),SUBSTITUTE(SUBSTITUTE(SUBSTITUTE(SUBSTITUTE(Товары_исходные!F133," ",""),"руб.",""),"руб",""),",",""),SUBSTITUTE(SUBSTITUTE(SUBSTITUTE(SUBSTITUTE(Товары_исходные!F133," ",""),"руб.",""),"руб",""),",","."))),0)</f>
        <v>44500</v>
      </c>
      <c r="G133" t="str">
        <f>IFERROR(VLOOKUP(Товары_исходные!G133,Справочники!$D$2:$E$50,2,FALSE),"шт.")</f>
        <v>шт.</v>
      </c>
      <c r="H133" t="str">
        <f t="shared" si="6"/>
        <v>OK</v>
      </c>
      <c r="I133" t="str">
        <f t="shared" si="7"/>
        <v>OK</v>
      </c>
    </row>
    <row r="134">
      <c r="A134" t="str">
        <f>"АРТ-"&amp;LEFT(SUBSTITUTE(SUBSTITUTE(SUBSTITUTE(SUBSTITUTE(Товары_исходные!A134,"№",""),"АРТ-",""),"АРТ_",""),"/","-"),3)</f>
        <v>АРТ-133</v>
      </c>
      <c r="B134" t="str">
        <f>PROPER(TRIM(IFERROR(LEFT(Товары_исходные!B134,FIND("(",Товары_исходные!B134)-1),Товары_исходные!B134)))</f>
        <v xml:space="preserve">Телевизор Philips Ambilight 65</v>
      </c>
      <c r="C134" t="str">
        <f>IFERROR(VLOOKUP(Товары_исходные!C134,Справочники!$A$2:$B$50,2,FALSE),Товары_исходные!C134)</f>
        <v>Телевизоры</v>
      </c>
      <c r="D134" t="str">
        <f>PROPER(TRIM(Товары_исходные!D134))</f>
        <v>Philips</v>
      </c>
      <c r="E134" s="4">
        <f>IFERROR(VALUE(IF(AND(ISNUMBER(FIND(",",Товары_исходные!E134)),ISNUMBER(FIND(".",Товары_исходные!E134))),SUBSTITUTE(SUBSTITUTE(SUBSTITUTE(SUBSTITUTE(Товары_исходные!E134," ",""),"руб.",""),"руб",""),",",""),SUBSTITUTE(SUBSTITUTE(SUBSTITUTE(SUBSTITUTE(Товары_исходные!E134," ",""),"руб.",""),"руб",""),",","."))),0)</f>
        <v>82000</v>
      </c>
      <c r="F134" s="4">
        <f>IFERROR(VALUE(IF(AND(ISNUMBER(FIND(",",Товары_исходные!F134)),ISNUMBER(FIND(".",Товары_исходные!F134))),SUBSTITUTE(SUBSTITUTE(SUBSTITUTE(SUBSTITUTE(Товары_исходные!F134," ",""),"руб.",""),"руб",""),",",""),SUBSTITUTE(SUBSTITUTE(SUBSTITUTE(SUBSTITUTE(Товары_исходные!F134," ",""),"руб.",""),"руб",""),",","."))),0)</f>
        <v>126990</v>
      </c>
      <c r="G134" t="str">
        <f>IFERROR(VLOOKUP(Товары_исходные!G134,Справочники!$D$2:$E$50,2,FALSE),"шт.")</f>
        <v>шт.</v>
      </c>
      <c r="H134" t="str">
        <f t="shared" si="6"/>
        <v>OK</v>
      </c>
      <c r="I134" t="str">
        <f t="shared" si="7"/>
        <v>OK</v>
      </c>
    </row>
    <row r="135">
      <c r="A135" t="str">
        <f>"АРТ-"&amp;LEFT(SUBSTITUTE(SUBSTITUTE(SUBSTITUTE(SUBSTITUTE(Товары_исходные!A135,"№",""),"АРТ-",""),"АРТ_",""),"/","-"),3)</f>
        <v>АРТ-134</v>
      </c>
      <c r="B135" t="str">
        <f>PROPER(TRIM(IFERROR(LEFT(Товары_исходные!B135,FIND("(",Товары_исходные!B135)-1),Товары_исходные!B135)))</f>
        <v xml:space="preserve">Телевизор Philips Ambilight 65</v>
      </c>
      <c r="C135" t="str">
        <f>IFERROR(VLOOKUP(Товары_исходные!C135,Справочники!$A$2:$B$50,2,FALSE),Товары_исходные!C135)</f>
        <v>Телевизоры</v>
      </c>
      <c r="D135" t="str">
        <f>PROPER(TRIM(Товары_исходные!D135))</f>
        <v>Philips</v>
      </c>
      <c r="E135" s="4">
        <f>IFERROR(VALUE(IF(AND(ISNUMBER(FIND(",",Товары_исходные!E135)),ISNUMBER(FIND(".",Товары_исходные!E135))),SUBSTITUTE(SUBSTITUTE(SUBSTITUTE(SUBSTITUTE(Товары_исходные!E135," ",""),"руб.",""),"руб",""),",",""),SUBSTITUTE(SUBSTITUTE(SUBSTITUTE(SUBSTITUTE(Товары_исходные!E135," ",""),"руб.",""),"руб",""),",","."))),0)</f>
        <v>80000</v>
      </c>
      <c r="F135" s="4">
        <f>IFERROR(VALUE(IF(AND(ISNUMBER(FIND(",",Товары_исходные!F135)),ISNUMBER(FIND(".",Товары_исходные!F135))),SUBSTITUTE(SUBSTITUTE(SUBSTITUTE(SUBSTITUTE(Товары_исходные!F135," ",""),"руб.",""),"руб",""),",",""),SUBSTITUTE(SUBSTITUTE(SUBSTITUTE(SUBSTITUTE(Товары_исходные!F135," ",""),"руб.",""),"руб",""),",","."))),0)</f>
        <v>124000</v>
      </c>
      <c r="G135" t="str">
        <f>IFERROR(VLOOKUP(Товары_исходные!G135,Справочники!$D$2:$E$50,2,FALSE),"шт.")</f>
        <v>шт.</v>
      </c>
      <c r="H135" t="str">
        <f t="shared" si="6"/>
        <v>OK</v>
      </c>
      <c r="I135" t="str">
        <f t="shared" si="7"/>
        <v>OK</v>
      </c>
    </row>
    <row r="136">
      <c r="A136" t="str">
        <f>"АРТ-"&amp;LEFT(SUBSTITUTE(SUBSTITUTE(SUBSTITUTE(SUBSTITUTE(Товары_исходные!A136,"№",""),"АРТ-",""),"АРТ_",""),"/","-"),3)</f>
        <v>АРТ-135</v>
      </c>
      <c r="B136" t="str">
        <f>PROPER(TRIM(IFERROR(LEFT(Товары_исходные!B136,FIND("(",Товары_исходные!B136)-1),Товары_исходные!B136)))</f>
        <v xml:space="preserve">Телевизор Philips Ambilight 65</v>
      </c>
      <c r="C136" t="str">
        <f>IFERROR(VLOOKUP(Товары_исходные!C136,Справочники!$A$2:$B$50,2,FALSE),Товары_исходные!C136)</f>
        <v>Телевизоры</v>
      </c>
      <c r="D136" t="str">
        <f>PROPER(TRIM(Товары_исходные!D136))</f>
        <v>Philips</v>
      </c>
      <c r="E136" s="4">
        <f>IFERROR(VALUE(IF(AND(ISNUMBER(FIND(",",Товары_исходные!E136)),ISNUMBER(FIND(".",Товары_исходные!E136))),SUBSTITUTE(SUBSTITUTE(SUBSTITUTE(SUBSTITUTE(Товары_исходные!E136," ",""),"руб.",""),"руб",""),",",""),SUBSTITUTE(SUBSTITUTE(SUBSTITUTE(SUBSTITUTE(Товары_исходные!E136," ",""),"руб.",""),"руб",""),",","."))),0)</f>
        <v>83500</v>
      </c>
      <c r="F136" s="4">
        <f>IFERROR(VALUE(IF(AND(ISNUMBER(FIND(",",Товары_исходные!F136)),ISNUMBER(FIND(".",Товары_исходные!F136))),SUBSTITUTE(SUBSTITUTE(SUBSTITUTE(SUBSTITUTE(Товары_исходные!F136," ",""),"руб.",""),"руб",""),",",""),SUBSTITUTE(SUBSTITUTE(SUBSTITUTE(SUBSTITUTE(Товары_исходные!F136," ",""),"руб.",""),"руб",""),",","."))),0)</f>
        <v>129500</v>
      </c>
      <c r="G136" t="str">
        <f>IFERROR(VLOOKUP(Товары_исходные!G136,Справочники!$D$2:$E$50,2,FALSE),"шт.")</f>
        <v>шт.</v>
      </c>
      <c r="H136" t="str">
        <f t="shared" si="6"/>
        <v>OK</v>
      </c>
      <c r="I136" t="str">
        <f t="shared" si="7"/>
        <v>OK</v>
      </c>
    </row>
    <row r="137">
      <c r="A137" t="str">
        <f>"АРТ-"&amp;LEFT(SUBSTITUTE(SUBSTITUTE(SUBSTITUTE(SUBSTITUTE(Товары_исходные!A137,"№",""),"АРТ-",""),"АРТ_",""),"/","-"),3)</f>
        <v>АРТ-136</v>
      </c>
      <c r="B137" t="str">
        <f>PROPER(TRIM(IFERROR(LEFT(Товары_исходные!B137,FIND("(",Товары_исходные!B137)-1),Товары_исходные!B137)))</f>
        <v xml:space="preserve">Наушники Bose Qc45</v>
      </c>
      <c r="C137" t="str">
        <f>IFERROR(VLOOKUP(Товары_исходные!C137,Справочники!$A$2:$B$50,2,FALSE),Товары_исходные!C137)</f>
        <v>Наушники</v>
      </c>
      <c r="D137" t="str">
        <f>PROPER(TRIM(Товары_исходные!D137))</f>
        <v>Bose</v>
      </c>
      <c r="E137" s="4">
        <f>IFERROR(VALUE(IF(AND(ISNUMBER(FIND(",",Товары_исходные!E137)),ISNUMBER(FIND(".",Товары_исходные!E137))),SUBSTITUTE(SUBSTITUTE(SUBSTITUTE(SUBSTITUTE(Товары_исходные!E137," ",""),"руб.",""),"руб",""),",",""),SUBSTITUTE(SUBSTITUTE(SUBSTITUTE(SUBSTITUTE(Товары_исходные!E137," ",""),"руб.",""),"руб",""),",","."))),0)</f>
        <v>14000</v>
      </c>
      <c r="F137" s="4">
        <f>IFERROR(VALUE(IF(AND(ISNUMBER(FIND(",",Товары_исходные!F137)),ISNUMBER(FIND(".",Товары_исходные!F137))),SUBSTITUTE(SUBSTITUTE(SUBSTITUTE(SUBSTITUTE(Товары_исходные!F137," ",""),"руб.",""),"руб",""),",",""),SUBSTITUTE(SUBSTITUTE(SUBSTITUTE(SUBSTITUTE(Товары_исходные!F137," ",""),"руб.",""),"руб",""),",","."))),0)</f>
        <v>22990</v>
      </c>
      <c r="G137" t="str">
        <f>IFERROR(VLOOKUP(Товары_исходные!G137,Справочники!$D$2:$E$50,2,FALSE),"шт.")</f>
        <v>шт.</v>
      </c>
      <c r="H137" t="str">
        <f t="shared" si="6"/>
        <v>OK</v>
      </c>
      <c r="I137" t="str">
        <f t="shared" si="7"/>
        <v>OK</v>
      </c>
    </row>
    <row r="138">
      <c r="A138" t="str">
        <f>"АРТ-"&amp;LEFT(SUBSTITUTE(SUBSTITUTE(SUBSTITUTE(SUBSTITUTE(Товары_исходные!A138,"№",""),"АРТ-",""),"АРТ_",""),"/","-"),3)</f>
        <v>АРТ-137</v>
      </c>
      <c r="B138" t="str">
        <f>PROPER(TRIM(IFERROR(LEFT(Товары_исходные!B138,FIND("(",Товары_исходные!B138)-1),Товары_исходные!B138)))</f>
        <v xml:space="preserve">Наушники Bose Qc45</v>
      </c>
      <c r="C138" t="str">
        <f>IFERROR(VLOOKUP(Товары_исходные!C138,Справочники!$A$2:$B$50,2,FALSE),Товары_исходные!C138)</f>
        <v>Наушники</v>
      </c>
      <c r="D138" t="str">
        <f>PROPER(TRIM(Товары_исходные!D138))</f>
        <v>Bose</v>
      </c>
      <c r="E138" s="4">
        <f>IFERROR(VALUE(IF(AND(ISNUMBER(FIND(",",Товары_исходные!E138)),ISNUMBER(FIND(".",Товары_исходные!E138))),SUBSTITUTE(SUBSTITUTE(SUBSTITUTE(SUBSTITUTE(Товары_исходные!E138," ",""),"руб.",""),"руб",""),",",""),SUBSTITUTE(SUBSTITUTE(SUBSTITUTE(SUBSTITUTE(Товары_исходные!E138," ",""),"руб.",""),"руб",""),",","."))),0)</f>
        <v>13500</v>
      </c>
      <c r="F138" s="4">
        <f>IFERROR(VALUE(IF(AND(ISNUMBER(FIND(",",Товары_исходные!F138)),ISNUMBER(FIND(".",Товары_исходные!F138))),SUBSTITUTE(SUBSTITUTE(SUBSTITUTE(SUBSTITUTE(Товары_исходные!F138," ",""),"руб.",""),"руб",""),",",""),SUBSTITUTE(SUBSTITUTE(SUBSTITUTE(SUBSTITUTE(Товары_исходные!F138," ",""),"руб.",""),"руб",""),",","."))),0)</f>
        <v>22000</v>
      </c>
      <c r="G138" t="str">
        <f>IFERROR(VLOOKUP(Товары_исходные!G138,Справочники!$D$2:$E$50,2,FALSE),"шт.")</f>
        <v>шт.</v>
      </c>
      <c r="H138" t="str">
        <f t="shared" si="6"/>
        <v>OK</v>
      </c>
      <c r="I138" t="str">
        <f t="shared" si="7"/>
        <v>OK</v>
      </c>
    </row>
    <row r="139">
      <c r="A139" t="str">
        <f>"АРТ-"&amp;LEFT(SUBSTITUTE(SUBSTITUTE(SUBSTITUTE(SUBSTITUTE(Товары_исходные!A139,"№",""),"АРТ-",""),"АРТ_",""),"/","-"),3)</f>
        <v>АРТ-138</v>
      </c>
      <c r="B139" t="str">
        <f>PROPER(TRIM(IFERROR(LEFT(Товары_исходные!B139,FIND("(",Товары_исходные!B139)-1),Товары_исходные!B139)))</f>
        <v xml:space="preserve">Наушники Bose Qc45</v>
      </c>
      <c r="C139" t="str">
        <f>IFERROR(VLOOKUP(Товары_исходные!C139,Справочники!$A$2:$B$50,2,FALSE),Товары_исходные!C139)</f>
        <v>Наушники</v>
      </c>
      <c r="D139" t="str">
        <f>PROPER(TRIM(Товары_исходные!D139))</f>
        <v>Bose</v>
      </c>
      <c r="E139" s="4">
        <f>IFERROR(VALUE(IF(AND(ISNUMBER(FIND(",",Товары_исходные!E139)),ISNUMBER(FIND(".",Товары_исходные!E139))),SUBSTITUTE(SUBSTITUTE(SUBSTITUTE(SUBSTITUTE(Товары_исходные!E139," ",""),"руб.",""),"руб",""),",",""),SUBSTITUTE(SUBSTITUTE(SUBSTITUTE(SUBSTITUTE(Товары_исходные!E139," ",""),"руб.",""),"руб",""),",","."))),0)</f>
        <v>14500</v>
      </c>
      <c r="F139" s="4">
        <f>IFERROR(VALUE(IF(AND(ISNUMBER(FIND(",",Товары_исходные!F139)),ISNUMBER(FIND(".",Товары_исходные!F139))),SUBSTITUTE(SUBSTITUTE(SUBSTITUTE(SUBSTITUTE(Товары_исходные!F139," ",""),"руб.",""),"руб",""),",",""),SUBSTITUTE(SUBSTITUTE(SUBSTITUTE(SUBSTITUTE(Товары_исходные!F139," ",""),"руб.",""),"руб",""),",","."))),0)</f>
        <v>24000</v>
      </c>
      <c r="G139" t="str">
        <f>IFERROR(VLOOKUP(Товары_исходные!G139,Справочники!$D$2:$E$50,2,FALSE),"шт.")</f>
        <v>шт.</v>
      </c>
      <c r="H139" t="str">
        <f t="shared" si="6"/>
        <v>OK</v>
      </c>
      <c r="I139" t="str">
        <f t="shared" si="7"/>
        <v>OK</v>
      </c>
    </row>
    <row r="140">
      <c r="A140" t="str">
        <f>"АРТ-"&amp;LEFT(SUBSTITUTE(SUBSTITUTE(SUBSTITUTE(SUBSTITUTE(Товары_исходные!A140,"№",""),"АРТ-",""),"АРТ_",""),"/","-"),3)</f>
        <v>АРТ-139</v>
      </c>
      <c r="B140" t="str">
        <f>PROPER(TRIM(IFERROR(LEFT(Товары_исходные!B140,FIND("(",Товары_исходные!B140)-1),Товары_исходные!B140)))</f>
        <v xml:space="preserve">Монитор Benq Pd3220U</v>
      </c>
      <c r="C140" t="str">
        <f>IFERROR(VLOOKUP(Товары_исходные!C140,Справочники!$A$2:$B$50,2,FALSE),Товары_исходные!C140)</f>
        <v>Мониторы</v>
      </c>
      <c r="D140" t="str">
        <f>PROPER(TRIM(Товары_исходные!D140))</f>
        <v>Benq</v>
      </c>
      <c r="E140" s="4">
        <f>IFERROR(VALUE(IF(AND(ISNUMBER(FIND(",",Товары_исходные!E140)),ISNUMBER(FIND(".",Товары_исходные!E140))),SUBSTITUTE(SUBSTITUTE(SUBSTITUTE(SUBSTITUTE(Товары_исходные!E140," ",""),"руб.",""),"руб",""),",",""),SUBSTITUTE(SUBSTITUTE(SUBSTITUTE(SUBSTITUTE(Товары_исходные!E140," ",""),"руб.",""),"руб",""),",","."))),0)</f>
        <v>58000</v>
      </c>
      <c r="F140" s="4">
        <f>IFERROR(VALUE(IF(AND(ISNUMBER(FIND(",",Товары_исходные!F140)),ISNUMBER(FIND(".",Товары_исходные!F140))),SUBSTITUTE(SUBSTITUTE(SUBSTITUTE(SUBSTITUTE(Товары_исходные!F140," ",""),"руб.",""),"руб",""),",",""),SUBSTITUTE(SUBSTITUTE(SUBSTITUTE(SUBSTITUTE(Товары_исходные!F140," ",""),"руб.",""),"руб",""),",","."))),0)</f>
        <v>89900</v>
      </c>
      <c r="G140" t="str">
        <f>IFERROR(VLOOKUP(Товары_исходные!G140,Справочники!$D$2:$E$50,2,FALSE),"шт.")</f>
        <v>шт.</v>
      </c>
      <c r="H140" t="str">
        <f t="shared" si="6"/>
        <v>OK</v>
      </c>
      <c r="I140" t="str">
        <f t="shared" si="7"/>
        <v>OK</v>
      </c>
    </row>
    <row r="141">
      <c r="A141" t="str">
        <f>"АРТ-"&amp;LEFT(SUBSTITUTE(SUBSTITUTE(SUBSTITUTE(SUBSTITUTE(Товары_исходные!A141,"№",""),"АРТ-",""),"АРТ_",""),"/","-"),3)</f>
        <v>АРТ-140</v>
      </c>
      <c r="B141" t="str">
        <f>PROPER(TRIM(IFERROR(LEFT(Товары_исходные!B141,FIND("(",Товары_исходные!B141)-1),Товары_исходные!B141)))</f>
        <v xml:space="preserve">Монитор Benq Pd3220U</v>
      </c>
      <c r="C141" t="str">
        <f>IFERROR(VLOOKUP(Товары_исходные!C141,Справочники!$A$2:$B$50,2,FALSE),Товары_исходные!C141)</f>
        <v>Мониторы</v>
      </c>
      <c r="D141" t="str">
        <f>PROPER(TRIM(Товары_исходные!D141))</f>
        <v>Benq</v>
      </c>
      <c r="E141" s="4">
        <f>IFERROR(VALUE(IF(AND(ISNUMBER(FIND(",",Товары_исходные!E141)),ISNUMBER(FIND(".",Товары_исходные!E141))),SUBSTITUTE(SUBSTITUTE(SUBSTITUTE(SUBSTITUTE(Товары_исходные!E141," ",""),"руб.",""),"руб",""),",",""),SUBSTITUTE(SUBSTITUTE(SUBSTITUTE(SUBSTITUTE(Товары_исходные!E141," ",""),"руб.",""),"руб",""),",","."))),0)</f>
        <v>56500</v>
      </c>
      <c r="F141" s="4">
        <f>IFERROR(VALUE(IF(AND(ISNUMBER(FIND(",",Товары_исходные!F141)),ISNUMBER(FIND(".",Товары_исходные!F141))),SUBSTITUTE(SUBSTITUTE(SUBSTITUTE(SUBSTITUTE(Товары_исходные!F141," ",""),"руб.",""),"руб",""),",",""),SUBSTITUTE(SUBSTITUTE(SUBSTITUTE(SUBSTITUTE(Товары_исходные!F141," ",""),"руб.",""),"руб",""),",","."))),0)</f>
        <v>87000</v>
      </c>
      <c r="G141" t="str">
        <f>IFERROR(VLOOKUP(Товары_исходные!G141,Справочники!$D$2:$E$50,2,FALSE),"шт.")</f>
        <v>шт.</v>
      </c>
      <c r="H141" t="str">
        <f t="shared" si="6"/>
        <v>OK</v>
      </c>
      <c r="I141" t="str">
        <f t="shared" si="7"/>
        <v>OK</v>
      </c>
    </row>
    <row r="142">
      <c r="A142" t="str">
        <f>"АРТ-"&amp;LEFT(SUBSTITUTE(SUBSTITUTE(SUBSTITUTE(SUBSTITUTE(Товары_исходные!A142,"№",""),"АРТ-",""),"АРТ_",""),"/","-"),3)</f>
        <v>АРТ-141</v>
      </c>
      <c r="B142" t="str">
        <f>PROPER(TRIM(IFERROR(LEFT(Товары_исходные!B142,FIND("(",Товары_исходные!B142)-1),Товары_исходные!B142)))</f>
        <v xml:space="preserve">Монитор Benq Pd3220U</v>
      </c>
      <c r="C142" t="str">
        <f>IFERROR(VLOOKUP(Товары_исходные!C142,Справочники!$A$2:$B$50,2,FALSE),Товары_исходные!C142)</f>
        <v>Мониторы</v>
      </c>
      <c r="D142" t="str">
        <f>PROPER(TRIM(Товары_исходные!D142))</f>
        <v>Benq</v>
      </c>
      <c r="E142" s="4">
        <f>IFERROR(VALUE(IF(AND(ISNUMBER(FIND(",",Товары_исходные!E142)),ISNUMBER(FIND(".",Товары_исходные!E142))),SUBSTITUTE(SUBSTITUTE(SUBSTITUTE(SUBSTITUTE(Товары_исходные!E142," ",""),"руб.",""),"руб",""),",",""),SUBSTITUTE(SUBSTITUTE(SUBSTITUTE(SUBSTITUTE(Товары_исходные!E142," ",""),"руб.",""),"руб",""),",","."))),0)</f>
        <v>59500</v>
      </c>
      <c r="F142" s="4">
        <f>IFERROR(VALUE(IF(AND(ISNUMBER(FIND(",",Товары_исходные!F142)),ISNUMBER(FIND(".",Товары_исходные!F142))),SUBSTITUTE(SUBSTITUTE(SUBSTITUTE(SUBSTITUTE(Товары_исходные!F142," ",""),"руб.",""),"руб",""),",",""),SUBSTITUTE(SUBSTITUTE(SUBSTITUTE(SUBSTITUTE(Товары_исходные!F142," ",""),"руб.",""),"руб",""),",","."))),0)</f>
        <v>92500</v>
      </c>
      <c r="G142" t="str">
        <f>IFERROR(VLOOKUP(Товары_исходные!G142,Справочники!$D$2:$E$50,2,FALSE),"шт.")</f>
        <v>шт.</v>
      </c>
      <c r="H142" t="str">
        <f t="shared" si="6"/>
        <v>OK</v>
      </c>
      <c r="I142" t="str">
        <f t="shared" si="7"/>
        <v>OK</v>
      </c>
    </row>
    <row r="143">
      <c r="A143" t="str">
        <f>"АРТ-"&amp;LEFT(SUBSTITUTE(SUBSTITUTE(SUBSTITUTE(SUBSTITUTE(Товары_исходные!A143,"№",""),"АРТ-",""),"АРТ_",""),"/","-"),3)</f>
        <v>АРТ-142</v>
      </c>
      <c r="B143" t="str">
        <f>PROPER(TRIM(IFERROR(LEFT(Товары_исходные!B143,FIND("(",Товары_исходные!B143)-1),Товары_исходные!B143)))</f>
        <v xml:space="preserve">Мышь Apple Magic Mouse</v>
      </c>
      <c r="C143" t="str">
        <f>IFERROR(VLOOKUP(Товары_исходные!C143,Справочники!$A$2:$B$50,2,FALSE),Товары_исходные!C143)</f>
        <v>Аксессуары</v>
      </c>
      <c r="D143" t="str">
        <f>PROPER(TRIM(Товары_исходные!D143))</f>
        <v>Apple</v>
      </c>
      <c r="E143" s="4">
        <f>IFERROR(VALUE(IF(AND(ISNUMBER(FIND(",",Товары_исходные!E143)),ISNUMBER(FIND(".",Товары_исходные!E143))),SUBSTITUTE(SUBSTITUTE(SUBSTITUTE(SUBSTITUTE(Товары_исходные!E143," ",""),"руб.",""),"руб",""),",",""),SUBSTITUTE(SUBSTITUTE(SUBSTITUTE(SUBSTITUTE(Товары_исходные!E143," ",""),"руб.",""),"руб",""),",","."))),0)</f>
        <v>4500</v>
      </c>
      <c r="F143" s="4">
        <f>IFERROR(VALUE(IF(AND(ISNUMBER(FIND(",",Товары_исходные!F143)),ISNUMBER(FIND(".",Товары_исходные!F143))),SUBSTITUTE(SUBSTITUTE(SUBSTITUTE(SUBSTITUTE(Товары_исходные!F143," ",""),"руб.",""),"руб",""),",",""),SUBSTITUTE(SUBSTITUTE(SUBSTITUTE(SUBSTITUTE(Товары_исходные!F143," ",""),"руб.",""),"руб",""),",","."))),0)</f>
        <v>7990</v>
      </c>
      <c r="G143" t="str">
        <f>IFERROR(VLOOKUP(Товары_исходные!G143,Справочники!$D$2:$E$50,2,FALSE),"шт.")</f>
        <v>шт.</v>
      </c>
      <c r="H143" t="str">
        <f t="shared" si="6"/>
        <v>OK</v>
      </c>
      <c r="I143" t="str">
        <f t="shared" si="7"/>
        <v>OK</v>
      </c>
    </row>
    <row r="144">
      <c r="A144" t="str">
        <f>"АРТ-"&amp;LEFT(SUBSTITUTE(SUBSTITUTE(SUBSTITUTE(SUBSTITUTE(Товары_исходные!A144,"№",""),"АРТ-",""),"АРТ_",""),"/","-"),3)</f>
        <v>АРТ-143</v>
      </c>
      <c r="B144" t="str">
        <f>PROPER(TRIM(IFERROR(LEFT(Товары_исходные!B144,FIND("(",Товары_исходные!B144)-1),Товары_исходные!B144)))</f>
        <v xml:space="preserve">Мышь Apple Magic Mouse</v>
      </c>
      <c r="C144" t="str">
        <f>IFERROR(VLOOKUP(Товары_исходные!C144,Справочники!$A$2:$B$50,2,FALSE),Товары_исходные!C144)</f>
        <v>Аксессуары</v>
      </c>
      <c r="D144" t="str">
        <f>PROPER(TRIM(Товары_исходные!D144))</f>
        <v>Apple</v>
      </c>
      <c r="E144" s="4">
        <f>IFERROR(VALUE(IF(AND(ISNUMBER(FIND(",",Товары_исходные!E144)),ISNUMBER(FIND(".",Товары_исходные!E144))),SUBSTITUTE(SUBSTITUTE(SUBSTITUTE(SUBSTITUTE(Товары_исходные!E144," ",""),"руб.",""),"руб",""),",",""),SUBSTITUTE(SUBSTITUTE(SUBSTITUTE(SUBSTITUTE(Товары_исходные!E144," ",""),"руб.",""),"руб",""),",","."))),0)</f>
        <v>4200</v>
      </c>
      <c r="F144" s="4">
        <f>IFERROR(VALUE(IF(AND(ISNUMBER(FIND(",",Товары_исходные!F144)),ISNUMBER(FIND(".",Товары_исходные!F144))),SUBSTITUTE(SUBSTITUTE(SUBSTITUTE(SUBSTITUTE(Товары_исходные!F144," ",""),"руб.",""),"руб",""),",",""),SUBSTITUTE(SUBSTITUTE(SUBSTITUTE(SUBSTITUTE(Товары_исходные!F144," ",""),"руб.",""),"руб",""),",","."))),0)</f>
        <v>7500</v>
      </c>
      <c r="G144" t="str">
        <f>IFERROR(VLOOKUP(Товары_исходные!G144,Справочники!$D$2:$E$50,2,FALSE),"шт.")</f>
        <v>шт.</v>
      </c>
      <c r="H144" t="str">
        <f t="shared" si="6"/>
        <v>OK</v>
      </c>
      <c r="I144" t="str">
        <f t="shared" si="7"/>
        <v>OK</v>
      </c>
    </row>
    <row r="145">
      <c r="A145" t="str">
        <f>"АРТ-"&amp;LEFT(SUBSTITUTE(SUBSTITUTE(SUBSTITUTE(SUBSTITUTE(Товары_исходные!A145,"№",""),"АРТ-",""),"АРТ_",""),"/","-"),3)</f>
        <v>АРТ-144</v>
      </c>
      <c r="B145" t="str">
        <f>PROPER(TRIM(IFERROR(LEFT(Товары_исходные!B145,FIND("(",Товары_исходные!B145)-1),Товары_исходные!B145)))</f>
        <v xml:space="preserve">Мышь Apple Magic Mouse</v>
      </c>
      <c r="C145" t="str">
        <f>IFERROR(VLOOKUP(Товары_исходные!C145,Справочники!$A$2:$B$50,2,FALSE),Товары_исходные!C145)</f>
        <v>Аксессуары</v>
      </c>
      <c r="D145" t="str">
        <f>PROPER(TRIM(Товары_исходные!D145))</f>
        <v>Apple</v>
      </c>
      <c r="E145" s="4">
        <f>IFERROR(VALUE(IF(AND(ISNUMBER(FIND(",",Товары_исходные!E145)),ISNUMBER(FIND(".",Товары_исходные!E145))),SUBSTITUTE(SUBSTITUTE(SUBSTITUTE(SUBSTITUTE(Товары_исходные!E145," ",""),"руб.",""),"руб",""),",",""),SUBSTITUTE(SUBSTITUTE(SUBSTITUTE(SUBSTITUTE(Товары_исходные!E145," ",""),"руб.",""),"руб",""),",","."))),0)</f>
        <v>4800</v>
      </c>
      <c r="F145" s="4">
        <f>IFERROR(VALUE(IF(AND(ISNUMBER(FIND(",",Товары_исходные!F145)),ISNUMBER(FIND(".",Товары_исходные!F145))),SUBSTITUTE(SUBSTITUTE(SUBSTITUTE(SUBSTITUTE(Товары_исходные!F145," ",""),"руб.",""),"руб",""),",",""),SUBSTITUTE(SUBSTITUTE(SUBSTITUTE(SUBSTITUTE(Товары_исходные!F145," ",""),"руб.",""),"руб",""),",","."))),0)</f>
        <v>8500</v>
      </c>
      <c r="G145" t="str">
        <f>IFERROR(VLOOKUP(Товары_исходные!G145,Справочники!$D$2:$E$50,2,FALSE),"шт.")</f>
        <v>шт.</v>
      </c>
      <c r="H145" t="str">
        <f t="shared" si="6"/>
        <v>OK</v>
      </c>
      <c r="I145" t="str">
        <f t="shared" si="7"/>
        <v>OK</v>
      </c>
    </row>
    <row r="146">
      <c r="A146" t="str">
        <f>"АРТ-"&amp;LEFT(SUBSTITUTE(SUBSTITUTE(SUBSTITUTE(SUBSTITUTE(Товары_исходные!A146,"№",""),"АРТ-",""),"АРТ_",""),"/","-"),3)</f>
        <v>АРТ-145</v>
      </c>
      <c r="B146" t="str">
        <f>PROPER(TRIM(IFERROR(LEFT(Товары_исходные!B146,FIND("(",Товары_исходные!B146)-1),Товары_исходные!B146)))</f>
        <v xml:space="preserve">Смартфон Motorola Edge 40</v>
      </c>
      <c r="C146" t="str">
        <f>IFERROR(VLOOKUP(Товары_исходные!C146,Справочники!$A$2:$B$50,2,FALSE),Товары_исходные!C146)</f>
        <v>Смартфоны</v>
      </c>
      <c r="D146" t="str">
        <f>PROPER(TRIM(Товары_исходные!D146))</f>
        <v>Motorola</v>
      </c>
      <c r="E146" s="4">
        <f>IFERROR(VALUE(IF(AND(ISNUMBER(FIND(",",Товары_исходные!E146)),ISNUMBER(FIND(".",Товары_исходные!E146))),SUBSTITUTE(SUBSTITUTE(SUBSTITUTE(SUBSTITUTE(Товары_исходные!E146," ",""),"руб.",""),"руб",""),",",""),SUBSTITUTE(SUBSTITUTE(SUBSTITUTE(SUBSTITUTE(Товары_исходные!E146," ",""),"руб.",""),"руб",""),",","."))),0)</f>
        <v>27000</v>
      </c>
      <c r="F146" s="4">
        <f>IFERROR(VALUE(IF(AND(ISNUMBER(FIND(",",Товары_исходные!F146)),ISNUMBER(FIND(".",Товары_исходные!F146))),SUBSTITUTE(SUBSTITUTE(SUBSTITUTE(SUBSTITUTE(Товары_исходные!F146," ",""),"руб.",""),"руб",""),",",""),SUBSTITUTE(SUBSTITUTE(SUBSTITUTE(SUBSTITUTE(Товары_исходные!F146," ",""),"руб.",""),"руб",""),",","."))),0)</f>
        <v>45990</v>
      </c>
      <c r="G146" t="str">
        <f>IFERROR(VLOOKUP(Товары_исходные!G146,Справочники!$D$2:$E$50,2,FALSE),"шт.")</f>
        <v>шт.</v>
      </c>
      <c r="H146" t="str">
        <f t="shared" si="6"/>
        <v>OK</v>
      </c>
      <c r="I146" t="str">
        <f t="shared" si="7"/>
        <v>OK</v>
      </c>
    </row>
    <row r="147">
      <c r="A147" t="str">
        <f>"АРТ-"&amp;LEFT(SUBSTITUTE(SUBSTITUTE(SUBSTITUTE(SUBSTITUTE(Товары_исходные!A147,"№",""),"АРТ-",""),"АРТ_",""),"/","-"),3)</f>
        <v>АРТ-146</v>
      </c>
      <c r="B147" t="str">
        <f>PROPER(TRIM(IFERROR(LEFT(Товары_исходные!B147,FIND("(",Товары_исходные!B147)-1),Товары_исходные!B147)))</f>
        <v xml:space="preserve">Смартфон Motorola Edge 40</v>
      </c>
      <c r="C147" t="str">
        <f>IFERROR(VLOOKUP(Товары_исходные!C147,Справочники!$A$2:$B$50,2,FALSE),Товары_исходные!C147)</f>
        <v>Смартфоны</v>
      </c>
      <c r="D147" t="str">
        <f>PROPER(TRIM(Товары_исходные!D147))</f>
        <v>Motorola</v>
      </c>
      <c r="E147" s="4">
        <f>IFERROR(VALUE(IF(AND(ISNUMBER(FIND(",",Товары_исходные!E147)),ISNUMBER(FIND(".",Товары_исходные!E147))),SUBSTITUTE(SUBSTITUTE(SUBSTITUTE(SUBSTITUTE(Товары_исходные!E147," ",""),"руб.",""),"руб",""),",",""),SUBSTITUTE(SUBSTITUTE(SUBSTITUTE(SUBSTITUTE(Товары_исходные!E147," ",""),"руб.",""),"руб",""),",","."))),0)</f>
        <v>26000</v>
      </c>
      <c r="F147" s="4">
        <f>IFERROR(VALUE(IF(AND(ISNUMBER(FIND(",",Товары_исходные!F147)),ISNUMBER(FIND(".",Товары_исходные!F147))),SUBSTITUTE(SUBSTITUTE(SUBSTITUTE(SUBSTITUTE(Товары_исходные!F147," ",""),"руб.",""),"руб",""),",",""),SUBSTITUTE(SUBSTITUTE(SUBSTITUTE(SUBSTITUTE(Товары_исходные!F147," ",""),"руб.",""),"руб",""),",","."))),0)</f>
        <v>44500</v>
      </c>
      <c r="G147" t="str">
        <f>IFERROR(VLOOKUP(Товары_исходные!G147,Справочники!$D$2:$E$50,2,FALSE),"шт.")</f>
        <v>шт.</v>
      </c>
      <c r="H147" t="str">
        <f t="shared" si="6"/>
        <v>OK</v>
      </c>
      <c r="I147" t="str">
        <f t="shared" si="7"/>
        <v>OK</v>
      </c>
    </row>
    <row r="148">
      <c r="A148" t="str">
        <f>"АРТ-"&amp;LEFT(SUBSTITUTE(SUBSTITUTE(SUBSTITUTE(SUBSTITUTE(Товары_исходные!A148,"№",""),"АРТ-",""),"АРТ_",""),"/","-"),3)</f>
        <v>АРТ-147</v>
      </c>
      <c r="B148" t="str">
        <f>PROPER(TRIM(IFERROR(LEFT(Товары_исходные!B148,FIND("(",Товары_исходные!B148)-1),Товары_исходные!B148)))</f>
        <v xml:space="preserve">Смартфон Motorola Edge 40</v>
      </c>
      <c r="C148" t="str">
        <f>IFERROR(VLOOKUP(Товары_исходные!C148,Справочники!$A$2:$B$50,2,FALSE),Товары_исходные!C148)</f>
        <v>Смартфоны</v>
      </c>
      <c r="D148" t="str">
        <f>PROPER(TRIM(Товары_исходные!D148))</f>
        <v>Motorola</v>
      </c>
      <c r="E148" s="4">
        <f>IFERROR(VALUE(IF(AND(ISNUMBER(FIND(",",Товары_исходные!E148)),ISNUMBER(FIND(".",Товары_исходные!E148))),SUBSTITUTE(SUBSTITUTE(SUBSTITUTE(SUBSTITUTE(Товары_исходные!E148," ",""),"руб.",""),"руб",""),",",""),SUBSTITUTE(SUBSTITUTE(SUBSTITUTE(SUBSTITUTE(Товары_исходные!E148," ",""),"руб.",""),"руб",""),",","."))),0)</f>
        <v>28000</v>
      </c>
      <c r="F148" s="4">
        <f>IFERROR(VALUE(IF(AND(ISNUMBER(FIND(",",Товары_исходные!F148)),ISNUMBER(FIND(".",Товары_исходные!F148))),SUBSTITUTE(SUBSTITUTE(SUBSTITUTE(SUBSTITUTE(Товары_исходные!F148," ",""),"руб.",""),"руб",""),",",""),SUBSTITUTE(SUBSTITUTE(SUBSTITUTE(SUBSTITUTE(Товары_исходные!F148," ",""),"руб.",""),"руб",""),",","."))),0)</f>
        <v>47500</v>
      </c>
      <c r="G148" t="str">
        <f>IFERROR(VLOOKUP(Товары_исходные!G148,Справочники!$D$2:$E$50,2,FALSE),"шт.")</f>
        <v>шт.</v>
      </c>
      <c r="H148" t="str">
        <f t="shared" si="6"/>
        <v>OK</v>
      </c>
      <c r="I148" t="str">
        <f t="shared" si="7"/>
        <v>OK</v>
      </c>
    </row>
    <row r="149">
      <c r="A149" t="str">
        <f>"АРТ-"&amp;LEFT(SUBSTITUTE(SUBSTITUTE(SUBSTITUTE(SUBSTITUTE(Товары_исходные!A149,"№",""),"АРТ-",""),"АРТ_",""),"/","-"),3)</f>
        <v>АРТ-148</v>
      </c>
      <c r="B149" t="str">
        <f>PROPER(TRIM(IFERROR(LEFT(Товары_исходные!B149,FIND("(",Товары_исходные!B149)-1),Товары_исходные!B149)))</f>
        <v xml:space="preserve">Ноутбук Gigabyte Aorus 17</v>
      </c>
      <c r="C149" t="str">
        <f>IFERROR(VLOOKUP(Товары_исходные!C149,Справочники!$A$2:$B$50,2,FALSE),Товары_исходные!C149)</f>
        <v>Ноутбуки</v>
      </c>
      <c r="D149" t="str">
        <f>PROPER(TRIM(Товары_исходные!D149))</f>
        <v>Gigabyte</v>
      </c>
      <c r="E149" s="4">
        <f>IFERROR(VALUE(IF(AND(ISNUMBER(FIND(",",Товары_исходные!E149)),ISNUMBER(FIND(".",Товары_исходные!E149))),SUBSTITUTE(SUBSTITUTE(SUBSTITUTE(SUBSTITUTE(Товары_исходные!E149," ",""),"руб.",""),"руб",""),",",""),SUBSTITUTE(SUBSTITUTE(SUBSTITUTE(SUBSTITUTE(Товары_исходные!E149," ",""),"руб.",""),"руб",""),",","."))),0)</f>
        <v>92000</v>
      </c>
      <c r="F149" s="4">
        <f>IFERROR(VALUE(IF(AND(ISNUMBER(FIND(",",Товары_исходные!F149)),ISNUMBER(FIND(".",Товары_исходные!F149))),SUBSTITUTE(SUBSTITUTE(SUBSTITUTE(SUBSTITUTE(Товары_исходные!F149," ",""),"руб.",""),"руб",""),",",""),SUBSTITUTE(SUBSTITUTE(SUBSTITUTE(SUBSTITUTE(Товары_исходные!F149," ",""),"руб.",""),"руб",""),",","."))),0)</f>
        <v>139990</v>
      </c>
      <c r="G149" t="str">
        <f>IFERROR(VLOOKUP(Товары_исходные!G149,Справочники!$D$2:$E$50,2,FALSE),"шт.")</f>
        <v>шт.</v>
      </c>
      <c r="H149" t="str">
        <f t="shared" si="6"/>
        <v>OK</v>
      </c>
      <c r="I149" t="str">
        <f t="shared" si="7"/>
        <v>OK</v>
      </c>
    </row>
    <row r="150">
      <c r="A150" t="str">
        <f>"АРТ-"&amp;LEFT(SUBSTITUTE(SUBSTITUTE(SUBSTITUTE(SUBSTITUTE(Товары_исходные!A150,"№",""),"АРТ-",""),"АРТ_",""),"/","-"),3)</f>
        <v>АРТ-149</v>
      </c>
      <c r="B150" t="str">
        <f>PROPER(TRIM(IFERROR(LEFT(Товары_исходные!B150,FIND("(",Товары_исходные!B150)-1),Товары_исходные!B150)))</f>
        <v xml:space="preserve">Ноутбук Gigabyte Aorus 17</v>
      </c>
      <c r="C150" t="str">
        <f>IFERROR(VLOOKUP(Товары_исходные!C150,Справочники!$A$2:$B$50,2,FALSE),Товары_исходные!C150)</f>
        <v>Ноутбуки</v>
      </c>
      <c r="D150" t="str">
        <f>PROPER(TRIM(Товары_исходные!D150))</f>
        <v>Gigabyte</v>
      </c>
      <c r="E150" s="4">
        <f>IFERROR(VALUE(IF(AND(ISNUMBER(FIND(",",Товары_исходные!E150)),ISNUMBER(FIND(".",Товары_исходные!E150))),SUBSTITUTE(SUBSTITUTE(SUBSTITUTE(SUBSTITUTE(Товары_исходные!E150," ",""),"руб.",""),"руб",""),",",""),SUBSTITUTE(SUBSTITUTE(SUBSTITUTE(SUBSTITUTE(Товары_исходные!E150," ",""),"руб.",""),"руб",""),",","."))),0)</f>
        <v>90000</v>
      </c>
      <c r="F150" s="4">
        <f>IFERROR(VALUE(IF(AND(ISNUMBER(FIND(",",Товары_исходные!F150)),ISNUMBER(FIND(".",Товары_исходные!F150))),SUBSTITUTE(SUBSTITUTE(SUBSTITUTE(SUBSTITUTE(Товары_исходные!F150," ",""),"руб.",""),"руб",""),",",""),SUBSTITUTE(SUBSTITUTE(SUBSTITUTE(SUBSTITUTE(Товары_исходные!F150," ",""),"руб.",""),"руб",""),",","."))),0)</f>
        <v>137000</v>
      </c>
      <c r="G150" t="str">
        <f>IFERROR(VLOOKUP(Товары_исходные!G150,Справочники!$D$2:$E$50,2,FALSE),"шт.")</f>
        <v>шт.</v>
      </c>
      <c r="H150" t="str">
        <f t="shared" si="6"/>
        <v>OK</v>
      </c>
      <c r="I150" t="str">
        <f t="shared" si="7"/>
        <v>OK</v>
      </c>
    </row>
    <row r="151">
      <c r="A151" t="str">
        <f>"АРТ-"&amp;LEFT(SUBSTITUTE(SUBSTITUTE(SUBSTITUTE(SUBSTITUTE(Товары_исходные!A151,"№",""),"АРТ-",""),"АРТ_",""),"/","-"),3)</f>
        <v>АРТ-150</v>
      </c>
      <c r="B151" t="str">
        <f>PROPER(TRIM(IFERROR(LEFT(Товары_исходные!B151,FIND("(",Товары_исходные!B151)-1),Товары_исходные!B151)))</f>
        <v xml:space="preserve">Ноутбук Gigabyte Aorus 17</v>
      </c>
      <c r="C151" t="str">
        <f>IFERROR(VLOOKUP(Товары_исходные!C151,Справочники!$A$2:$B$50,2,FALSE),Товары_исходные!C151)</f>
        <v>Ноутбуки</v>
      </c>
      <c r="D151" t="str">
        <f>PROPER(TRIM(Товары_исходные!D151))</f>
        <v>Gigabyte</v>
      </c>
      <c r="E151" s="4">
        <f>IFERROR(VALUE(IF(AND(ISNUMBER(FIND(",",Товары_исходные!E151)),ISNUMBER(FIND(".",Товары_исходные!E151))),SUBSTITUTE(SUBSTITUTE(SUBSTITUTE(SUBSTITUTE(Товары_исходные!E151," ",""),"руб.",""),"руб",""),",",""),SUBSTITUTE(SUBSTITUTE(SUBSTITUTE(SUBSTITUTE(Товары_исходные!E151," ",""),"руб.",""),"руб",""),",","."))),0)</f>
        <v>93500</v>
      </c>
      <c r="F151" s="4">
        <f>IFERROR(VALUE(IF(AND(ISNUMBER(FIND(",",Товары_исходные!F151)),ISNUMBER(FIND(".",Товары_исходные!F151))),SUBSTITUTE(SUBSTITUTE(SUBSTITUTE(SUBSTITUTE(Товары_исходные!F151," ",""),"руб.",""),"руб",""),",",""),SUBSTITUTE(SUBSTITUTE(SUBSTITUTE(SUBSTITUTE(Товары_исходные!F151," ",""),"руб.",""),"руб",""),",","."))),0)</f>
        <v>142500</v>
      </c>
      <c r="G151" t="str">
        <f>IFERROR(VLOOKUP(Товары_исходные!G151,Справочники!$D$2:$E$50,2,FALSE),"шт.")</f>
        <v>шт.</v>
      </c>
      <c r="H151" t="str">
        <f t="shared" si="6"/>
        <v>OK</v>
      </c>
      <c r="I151" t="str">
        <f t="shared" si="7"/>
        <v>OK</v>
      </c>
    </row>
    <row r="152">
      <c r="A152" t="str">
        <f>"АРТ-"&amp;LEFT(SUBSTITUTE(SUBSTITUTE(SUBSTITUTE(SUBSTITUTE(Товары_исходные!A152,"№",""),"АРТ-",""),"АРТ_",""),"/","-"),3)</f>
        <v>АРТ-151</v>
      </c>
      <c r="B152" t="str">
        <f>PROPER(TRIM(IFERROR(LEFT(Товары_исходные!B152,FIND("(",Товары_исходные!B152)-1),Товары_исходные!B152)))</f>
        <v xml:space="preserve">Телевизор Panasonic Hz2000</v>
      </c>
      <c r="C152" t="str">
        <f>IFERROR(VLOOKUP(Товары_исходные!C152,Справочники!$A$2:$B$50,2,FALSE),Товары_исходные!C152)</f>
        <v>Телевизоры</v>
      </c>
      <c r="D152" t="str">
        <f>PROPER(TRIM(Товары_исходные!D152))</f>
        <v>Panasonic</v>
      </c>
      <c r="E152" s="4">
        <f>IFERROR(VALUE(IF(AND(ISNUMBER(FIND(",",Товары_исходные!E152)),ISNUMBER(FIND(".",Товары_исходные!E152))),SUBSTITUTE(SUBSTITUTE(SUBSTITUTE(SUBSTITUTE(Товары_исходные!E152," ",""),"руб.",""),"руб",""),",",""),SUBSTITUTE(SUBSTITUTE(SUBSTITUTE(SUBSTITUTE(Товары_исходные!E152," ",""),"руб.",""),"руб",""),",","."))),0)</f>
        <v>100000</v>
      </c>
      <c r="F152" s="4">
        <f>IFERROR(VALUE(IF(AND(ISNUMBER(FIND(",",Товары_исходные!F152)),ISNUMBER(FIND(".",Товары_исходные!F152))),SUBSTITUTE(SUBSTITUTE(SUBSTITUTE(SUBSTITUTE(Товары_исходные!F152," ",""),"руб.",""),"руб",""),",",""),SUBSTITUTE(SUBSTITUTE(SUBSTITUTE(SUBSTITUTE(Товары_исходные!F152," ",""),"руб.",""),"руб",""),",","."))),0)</f>
        <v>154990</v>
      </c>
      <c r="G152" t="str">
        <f>IFERROR(VLOOKUP(Товары_исходные!G152,Справочники!$D$2:$E$50,2,FALSE),"шт.")</f>
        <v>шт.</v>
      </c>
      <c r="H152" t="str">
        <f t="shared" si="6"/>
        <v>OK</v>
      </c>
      <c r="I152" t="str">
        <f t="shared" si="7"/>
        <v>OK</v>
      </c>
    </row>
    <row r="153">
      <c r="A153" t="str">
        <f>"АРТ-"&amp;LEFT(SUBSTITUTE(SUBSTITUTE(SUBSTITUTE(SUBSTITUTE(Товары_исходные!A153,"№",""),"АРТ-",""),"АРТ_",""),"/","-"),3)</f>
        <v>АРТ-152</v>
      </c>
      <c r="B153" t="str">
        <f>PROPER(TRIM(IFERROR(LEFT(Товары_исходные!B153,FIND("(",Товары_исходные!B153)-1),Товары_исходные!B153)))</f>
        <v xml:space="preserve">Телевизор Panasonic Hz2000</v>
      </c>
      <c r="C153" t="str">
        <f>IFERROR(VLOOKUP(Товары_исходные!C153,Справочники!$A$2:$B$50,2,FALSE),Товары_исходные!C153)</f>
        <v>Телевизоры</v>
      </c>
      <c r="D153" t="str">
        <f>PROPER(TRIM(Товары_исходные!D153))</f>
        <v>Panasonic</v>
      </c>
      <c r="E153" s="4">
        <f>IFERROR(VALUE(IF(AND(ISNUMBER(FIND(",",Товары_исходные!E153)),ISNUMBER(FIND(".",Товары_исходные!E153))),SUBSTITUTE(SUBSTITUTE(SUBSTITUTE(SUBSTITUTE(Товары_исходные!E153," ",""),"руб.",""),"руб",""),",",""),SUBSTITUTE(SUBSTITUTE(SUBSTITUTE(SUBSTITUTE(Товары_исходные!E153," ",""),"руб.",""),"руб",""),",","."))),0)</f>
        <v>98000</v>
      </c>
      <c r="F153" s="4">
        <f>IFERROR(VALUE(IF(AND(ISNUMBER(FIND(",",Товары_исходные!F153)),ISNUMBER(FIND(".",Товары_исходные!F153))),SUBSTITUTE(SUBSTITUTE(SUBSTITUTE(SUBSTITUTE(Товары_исходные!F153," ",""),"руб.",""),"руб",""),",",""),SUBSTITUTE(SUBSTITUTE(SUBSTITUTE(SUBSTITUTE(Товары_исходные!F153," ",""),"руб.",""),"руб",""),",","."))),0)</f>
        <v>151500</v>
      </c>
      <c r="G153" t="str">
        <f>IFERROR(VLOOKUP(Товары_исходные!G153,Справочники!$D$2:$E$50,2,FALSE),"шт.")</f>
        <v>шт.</v>
      </c>
      <c r="H153" t="str">
        <f t="shared" si="6"/>
        <v>OK</v>
      </c>
      <c r="I153" t="str">
        <f t="shared" si="7"/>
        <v>OK</v>
      </c>
    </row>
    <row r="154">
      <c r="A154" t="str">
        <f>"АРТ-"&amp;LEFT(SUBSTITUTE(SUBSTITUTE(SUBSTITUTE(SUBSTITUTE(Товары_исходные!A154,"№",""),"АРТ-",""),"АРТ_",""),"/","-"),3)</f>
        <v>АРТ-153</v>
      </c>
      <c r="B154" t="str">
        <f>PROPER(TRIM(IFERROR(LEFT(Товары_исходные!B154,FIND("(",Товары_исходные!B154)-1),Товары_исходные!B154)))</f>
        <v xml:space="preserve">Телевизор Panasonic Hz2000</v>
      </c>
      <c r="C154" t="str">
        <f>IFERROR(VLOOKUP(Товары_исходные!C154,Справочники!$A$2:$B$50,2,FALSE),Товары_исходные!C154)</f>
        <v>Телевизоры</v>
      </c>
      <c r="D154" t="str">
        <f>PROPER(TRIM(Товары_исходные!D154))</f>
        <v>Panasonic</v>
      </c>
      <c r="E154" s="4">
        <f>IFERROR(VALUE(IF(AND(ISNUMBER(FIND(",",Товары_исходные!E154)),ISNUMBER(FIND(".",Товары_исходные!E154))),SUBSTITUTE(SUBSTITUTE(SUBSTITUTE(SUBSTITUTE(Товары_исходные!E154," ",""),"руб.",""),"руб",""),",",""),SUBSTITUTE(SUBSTITUTE(SUBSTITUTE(SUBSTITUTE(Товары_исходные!E154," ",""),"руб.",""),"руб",""),",","."))),0)</f>
        <v>102000</v>
      </c>
      <c r="F154" s="4">
        <f>IFERROR(VALUE(IF(AND(ISNUMBER(FIND(",",Товары_исходные!F154)),ISNUMBER(FIND(".",Товары_исходные!F154))),SUBSTITUTE(SUBSTITUTE(SUBSTITUTE(SUBSTITUTE(Товары_исходные!F154," ",""),"руб.",""),"руб",""),",",""),SUBSTITUTE(SUBSTITUTE(SUBSTITUTE(SUBSTITUTE(Товары_исходные!F154," ",""),"руб.",""),"руб",""),",","."))),0)</f>
        <v>158000</v>
      </c>
      <c r="G154" t="str">
        <f>IFERROR(VLOOKUP(Товары_исходные!G154,Справочники!$D$2:$E$50,2,FALSE),"шт.")</f>
        <v>шт.</v>
      </c>
      <c r="H154" t="str">
        <f t="shared" si="6"/>
        <v>OK</v>
      </c>
      <c r="I154" t="str">
        <f t="shared" si="7"/>
        <v>OK</v>
      </c>
    </row>
    <row r="155">
      <c r="A155" t="str">
        <f>"АРТ-"&amp;LEFT(SUBSTITUTE(SUBSTITUTE(SUBSTITUTE(SUBSTITUTE(Товары_исходные!A155,"№",""),"АРТ-",""),"АРТ_",""),"/","-"),3)</f>
        <v>АРТ-154</v>
      </c>
      <c r="B155" t="str">
        <f>PROPER(TRIM(IFERROR(LEFT(Товары_исходные!B155,FIND("(",Товары_исходные!B155)-1),Товары_исходные!B155)))</f>
        <v xml:space="preserve">Наушники Audio-Technica Ath-M50X</v>
      </c>
      <c r="C155" t="str">
        <f>IFERROR(VLOOKUP(Товары_исходные!C155,Справочники!$A$2:$B$50,2,FALSE),Товары_исходные!C155)</f>
        <v>Наушники</v>
      </c>
      <c r="D155" t="str">
        <f>PROPER(TRIM(Товары_исходные!D155))</f>
        <v>Audio-Technica</v>
      </c>
      <c r="E155" s="4">
        <f>IFERROR(VALUE(IF(AND(ISNUMBER(FIND(",",Товары_исходные!E155)),ISNUMBER(FIND(".",Товары_исходные!E155))),SUBSTITUTE(SUBSTITUTE(SUBSTITUTE(SUBSTITUTE(Товары_исходные!E155," ",""),"руб.",""),"руб",""),",",""),SUBSTITUTE(SUBSTITUTE(SUBSTITUTE(SUBSTITUTE(Товары_исходные!E155," ",""),"руб.",""),"руб",""),",","."))),0)</f>
        <v>10000</v>
      </c>
      <c r="F155" s="4">
        <f>IFERROR(VALUE(IF(AND(ISNUMBER(FIND(",",Товары_исходные!F155)),ISNUMBER(FIND(".",Товары_исходные!F155))),SUBSTITUTE(SUBSTITUTE(SUBSTITUTE(SUBSTITUTE(Товары_исходные!F155," ",""),"руб.",""),"руб",""),",",""),SUBSTITUTE(SUBSTITUTE(SUBSTITUTE(SUBSTITUTE(Товары_исходные!F155," ",""),"руб.",""),"руб",""),",","."))),0)</f>
        <v>16990</v>
      </c>
      <c r="G155" t="str">
        <f>IFERROR(VLOOKUP(Товары_исходные!G155,Справочники!$D$2:$E$50,2,FALSE),"шт.")</f>
        <v>шт.</v>
      </c>
      <c r="H155" t="str">
        <f t="shared" si="6"/>
        <v>OK</v>
      </c>
      <c r="I155" t="str">
        <f t="shared" si="7"/>
        <v>OK</v>
      </c>
    </row>
    <row r="156">
      <c r="A156" t="str">
        <f>"АРТ-"&amp;LEFT(SUBSTITUTE(SUBSTITUTE(SUBSTITUTE(SUBSTITUTE(Товары_исходные!A156,"№",""),"АРТ-",""),"АРТ_",""),"/","-"),3)</f>
        <v>АРТ-155</v>
      </c>
      <c r="B156" t="str">
        <f>PROPER(TRIM(IFERROR(LEFT(Товары_исходные!B156,FIND("(",Товары_исходные!B156)-1),Товары_исходные!B156)))</f>
        <v xml:space="preserve">Наушники Audio-Technica Ath-M50X</v>
      </c>
      <c r="C156" t="str">
        <f>IFERROR(VLOOKUP(Товары_исходные!C156,Справочники!$A$2:$B$50,2,FALSE),Товары_исходные!C156)</f>
        <v>Наушники</v>
      </c>
      <c r="D156" t="str">
        <f>PROPER(TRIM(Товары_исходные!D156))</f>
        <v>Audio-Technica</v>
      </c>
      <c r="E156" s="4">
        <f>IFERROR(VALUE(IF(AND(ISNUMBER(FIND(",",Товары_исходные!E156)),ISNUMBER(FIND(".",Товары_исходные!E156))),SUBSTITUTE(SUBSTITUTE(SUBSTITUTE(SUBSTITUTE(Товары_исходные!E156," ",""),"руб.",""),"руб",""),",",""),SUBSTITUTE(SUBSTITUTE(SUBSTITUTE(SUBSTITUTE(Товары_исходные!E156," ",""),"руб.",""),"руб",""),",","."))),0)</f>
        <v>9500</v>
      </c>
      <c r="F156" s="4">
        <f>IFERROR(VALUE(IF(AND(ISNUMBER(FIND(",",Товары_исходные!F156)),ISNUMBER(FIND(".",Товары_исходные!F156))),SUBSTITUTE(SUBSTITUTE(SUBSTITUTE(SUBSTITUTE(Товары_исходные!F156," ",""),"руб.",""),"руб",""),",",""),SUBSTITUTE(SUBSTITUTE(SUBSTITUTE(SUBSTITUTE(Товары_исходные!F156," ",""),"руб.",""),"руб",""),",","."))),0)</f>
        <v>16000</v>
      </c>
      <c r="G156" t="str">
        <f>IFERROR(VLOOKUP(Товары_исходные!G156,Справочники!$D$2:$E$50,2,FALSE),"шт.")</f>
        <v>шт.</v>
      </c>
      <c r="H156" t="str">
        <f t="shared" si="6"/>
        <v>OK</v>
      </c>
      <c r="I156" t="str">
        <f t="shared" si="7"/>
        <v>OK</v>
      </c>
    </row>
    <row r="157">
      <c r="A157" t="str">
        <f>"АРТ-"&amp;LEFT(SUBSTITUTE(SUBSTITUTE(SUBSTITUTE(SUBSTITUTE(Товары_исходные!A157,"№",""),"АРТ-",""),"АРТ_",""),"/","-"),3)</f>
        <v>АРТ-156</v>
      </c>
      <c r="B157" t="str">
        <f>PROPER(TRIM(IFERROR(LEFT(Товары_исходные!B157,FIND("(",Товары_исходные!B157)-1),Товары_исходные!B157)))</f>
        <v xml:space="preserve">Наушники Audio-Technica Ath-M50X</v>
      </c>
      <c r="C157" t="str">
        <f>IFERROR(VLOOKUP(Товары_исходные!C157,Справочники!$A$2:$B$50,2,FALSE),Товары_исходные!C157)</f>
        <v>Наушники</v>
      </c>
      <c r="D157" t="str">
        <f>PROPER(TRIM(Товары_исходные!D157))</f>
        <v>Audio-Technica</v>
      </c>
      <c r="E157" s="4">
        <f>IFERROR(VALUE(IF(AND(ISNUMBER(FIND(",",Товары_исходные!E157)),ISNUMBER(FIND(".",Товары_исходные!E157))),SUBSTITUTE(SUBSTITUTE(SUBSTITUTE(SUBSTITUTE(Товары_исходные!E157," ",""),"руб.",""),"руб",""),",",""),SUBSTITUTE(SUBSTITUTE(SUBSTITUTE(SUBSTITUTE(Товары_исходные!E157," ",""),"руб.",""),"руб",""),",","."))),0)</f>
        <v>10500</v>
      </c>
      <c r="F157" s="4">
        <f>IFERROR(VALUE(IF(AND(ISNUMBER(FIND(",",Товары_исходные!F157)),ISNUMBER(FIND(".",Товары_исходные!F157))),SUBSTITUTE(SUBSTITUTE(SUBSTITUTE(SUBSTITUTE(Товары_исходные!F157," ",""),"руб.",""),"руб",""),",",""),SUBSTITUTE(SUBSTITUTE(SUBSTITUTE(SUBSTITUTE(Товары_исходные!F157," ",""),"руб.",""),"руб",""),",","."))),0)</f>
        <v>17800</v>
      </c>
      <c r="G157" t="str">
        <f>IFERROR(VLOOKUP(Товары_исходные!G157,Справочники!$D$2:$E$50,2,FALSE),"шт.")</f>
        <v>шт.</v>
      </c>
      <c r="H157" t="str">
        <f t="shared" si="6"/>
        <v>OK</v>
      </c>
      <c r="I157" t="str">
        <f t="shared" si="7"/>
        <v>OK</v>
      </c>
    </row>
    <row r="158">
      <c r="A158" t="str">
        <f>"АРТ-"&amp;LEFT(SUBSTITUTE(SUBSTITUTE(SUBSTITUTE(SUBSTITUTE(Товары_исходные!A158,"№",""),"АРТ-",""),"АРТ_",""),"/","-"),3)</f>
        <v>АРТ-157</v>
      </c>
      <c r="B158" t="str">
        <f>PROPER(TRIM(IFERROR(LEFT(Товары_исходные!B158,FIND("(",Товары_исходные!B158)-1),Товары_исходные!B158)))</f>
        <v xml:space="preserve">Монитор Asus Proart Pa329Cv</v>
      </c>
      <c r="C158" t="str">
        <f>IFERROR(VLOOKUP(Товары_исходные!C158,Справочники!$A$2:$B$50,2,FALSE),Товары_исходные!C158)</f>
        <v>Мониторы</v>
      </c>
      <c r="D158" t="str">
        <f>PROPER(TRIM(Товары_исходные!D158))</f>
        <v>Asus</v>
      </c>
      <c r="E158" s="4">
        <f>IFERROR(VALUE(IF(AND(ISNUMBER(FIND(",",Товары_исходные!E158)),ISNUMBER(FIND(".",Товары_исходные!E158))),SUBSTITUTE(SUBSTITUTE(SUBSTITUTE(SUBSTITUTE(Товары_исходные!E158," ",""),"руб.",""),"руб",""),",",""),SUBSTITUTE(SUBSTITUTE(SUBSTITUTE(SUBSTITUTE(Товары_исходные!E158," ",""),"руб.",""),"руб",""),",","."))),0)</f>
        <v>60000</v>
      </c>
      <c r="F158" s="4">
        <f>IFERROR(VALUE(IF(AND(ISNUMBER(FIND(",",Товары_исходные!F158)),ISNUMBER(FIND(".",Товары_исходные!F158))),SUBSTITUTE(SUBSTITUTE(SUBSTITUTE(SUBSTITUTE(Товары_исходные!F158," ",""),"руб.",""),"руб",""),",",""),SUBSTITUTE(SUBSTITUTE(SUBSTITUTE(SUBSTITUTE(Товары_исходные!F158," ",""),"руб.",""),"руб",""),",","."))),0)</f>
        <v>92900</v>
      </c>
      <c r="G158" t="str">
        <f>IFERROR(VLOOKUP(Товары_исходные!G158,Справочники!$D$2:$E$50,2,FALSE),"шт.")</f>
        <v>шт.</v>
      </c>
      <c r="H158" t="str">
        <f t="shared" si="6"/>
        <v>OK</v>
      </c>
      <c r="I158" t="str">
        <f t="shared" si="7"/>
        <v>OK</v>
      </c>
    </row>
    <row r="159">
      <c r="A159" t="str">
        <f>"АРТ-"&amp;LEFT(SUBSTITUTE(SUBSTITUTE(SUBSTITUTE(SUBSTITUTE(Товары_исходные!A159,"№",""),"АРТ-",""),"АРТ_",""),"/","-"),3)</f>
        <v>АРТ-158</v>
      </c>
      <c r="B159" t="str">
        <f>PROPER(TRIM(IFERROR(LEFT(Товары_исходные!B159,FIND("(",Товары_исходные!B159)-1),Товары_исходные!B159)))</f>
        <v xml:space="preserve">Монитор Asus Proart Pa329Cv</v>
      </c>
      <c r="C159" t="str">
        <f>IFERROR(VLOOKUP(Товары_исходные!C159,Справочники!$A$2:$B$50,2,FALSE),Товары_исходные!C159)</f>
        <v>Мониторы</v>
      </c>
      <c r="D159" t="str">
        <f>PROPER(TRIM(Товары_исходные!D159))</f>
        <v>Asus</v>
      </c>
      <c r="E159" s="4">
        <f>IFERROR(VALUE(IF(AND(ISNUMBER(FIND(",",Товары_исходные!E159)),ISNUMBER(FIND(".",Товары_исходные!E159))),SUBSTITUTE(SUBSTITUTE(SUBSTITUTE(SUBSTITUTE(Товары_исходные!E159," ",""),"руб.",""),"руб",""),",",""),SUBSTITUTE(SUBSTITUTE(SUBSTITUTE(SUBSTITUTE(Товары_исходные!E159," ",""),"руб.",""),"руб",""),",","."))),0)</f>
        <v>58500</v>
      </c>
      <c r="F159" s="4">
        <f>IFERROR(VALUE(IF(AND(ISNUMBER(FIND(",",Товары_исходные!F159)),ISNUMBER(FIND(".",Товары_исходные!F159))),SUBSTITUTE(SUBSTITUTE(SUBSTITUTE(SUBSTITUTE(Товары_исходные!F159," ",""),"руб.",""),"руб",""),",",""),SUBSTITUTE(SUBSTITUTE(SUBSTITUTE(SUBSTITUTE(Товары_исходные!F159," ",""),"руб.",""),"руб",""),",","."))),0)</f>
        <v>90000</v>
      </c>
      <c r="G159" t="str">
        <f>IFERROR(VLOOKUP(Товары_исходные!G159,Справочники!$D$2:$E$50,2,FALSE),"шт.")</f>
        <v>шт.</v>
      </c>
      <c r="H159" t="str">
        <f t="shared" si="6"/>
        <v>OK</v>
      </c>
      <c r="I159" t="str">
        <f t="shared" si="7"/>
        <v>OK</v>
      </c>
    </row>
    <row r="160">
      <c r="A160" t="str">
        <f>"АРТ-"&amp;LEFT(SUBSTITUTE(SUBSTITUTE(SUBSTITUTE(SUBSTITUTE(Товары_исходные!A160,"№",""),"АРТ-",""),"АРТ_",""),"/","-"),3)</f>
        <v>АРТ-159</v>
      </c>
      <c r="B160" t="str">
        <f>PROPER(TRIM(IFERROR(LEFT(Товары_исходные!B160,FIND("(",Товары_исходные!B160)-1),Товары_исходные!B160)))</f>
        <v xml:space="preserve">Монитор Asus Proart Pa329Cv</v>
      </c>
      <c r="C160" t="str">
        <f>IFERROR(VLOOKUP(Товары_исходные!C160,Справочники!$A$2:$B$50,2,FALSE),Товары_исходные!C160)</f>
        <v>Мониторы</v>
      </c>
      <c r="D160" t="str">
        <f>PROPER(TRIM(Товары_исходные!D160))</f>
        <v>Asus</v>
      </c>
      <c r="E160" s="4">
        <f>IFERROR(VALUE(IF(AND(ISNUMBER(FIND(",",Товары_исходные!E160)),ISNUMBER(FIND(".",Товары_исходные!E160))),SUBSTITUTE(SUBSTITUTE(SUBSTITUTE(SUBSTITUTE(Товары_исходные!E160," ",""),"руб.",""),"руб",""),",",""),SUBSTITUTE(SUBSTITUTE(SUBSTITUTE(SUBSTITUTE(Товары_исходные!E160," ",""),"руб.",""),"руб",""),",","."))),0)</f>
        <v>61500</v>
      </c>
      <c r="F160" s="4">
        <f>IFERROR(VALUE(IF(AND(ISNUMBER(FIND(",",Товары_исходные!F160)),ISNUMBER(FIND(".",Товары_исходные!F160))),SUBSTITUTE(SUBSTITUTE(SUBSTITUTE(SUBSTITUTE(Товары_исходные!F160," ",""),"руб.",""),"руб",""),",",""),SUBSTITUTE(SUBSTITUTE(SUBSTITUTE(SUBSTITUTE(Товары_исходные!F160," ",""),"руб.",""),"руб",""),",","."))),0)</f>
        <v>95500</v>
      </c>
      <c r="G160" t="str">
        <f>IFERROR(VLOOKUP(Товары_исходные!G160,Справочники!$D$2:$E$50,2,FALSE),"шт.")</f>
        <v>шт.</v>
      </c>
      <c r="H160" t="str">
        <f t="shared" si="6"/>
        <v>OK</v>
      </c>
      <c r="I160" t="str">
        <f t="shared" si="7"/>
        <v>OK</v>
      </c>
    </row>
    <row r="161">
      <c r="A161" t="str">
        <f>"АРТ-"&amp;LEFT(SUBSTITUTE(SUBSTITUTE(SUBSTITUTE(SUBSTITUTE(Товары_исходные!A161,"№",""),"АРТ-",""),"АРТ_",""),"/","-"),3)</f>
        <v>АРТ-160</v>
      </c>
      <c r="B161" t="str">
        <f>PROPER(TRIM(IFERROR(LEFT(Товары_исходные!B161,FIND("(",Товары_исходные!B161)-1),Товары_исходные!B161)))</f>
        <v xml:space="preserve">Клавиатура Ducky One 3 Mini</v>
      </c>
      <c r="C161" t="str">
        <f>IFERROR(VLOOKUP(Товары_исходные!C161,Справочники!$A$2:$B$50,2,FALSE),Товары_исходные!C161)</f>
        <v>Аксессуары</v>
      </c>
      <c r="D161" t="str">
        <f>PROPER(TRIM(Товары_исходные!D161))</f>
        <v>Ducky</v>
      </c>
      <c r="E161" s="4">
        <f>IFERROR(VALUE(IF(AND(ISNUMBER(FIND(",",Товары_исходные!E161)),ISNUMBER(FIND(".",Товары_исходные!E161))),SUBSTITUTE(SUBSTITUTE(SUBSTITUTE(SUBSTITUTE(Товары_исходные!E161," ",""),"руб.",""),"руб",""),",",""),SUBSTITUTE(SUBSTITUTE(SUBSTITUTE(SUBSTITUTE(Товары_исходные!E161," ",""),"руб.",""),"руб",""),",","."))),0)</f>
        <v>5000</v>
      </c>
      <c r="F161" s="4">
        <f>IFERROR(VALUE(IF(AND(ISNUMBER(FIND(",",Товары_исходные!F161)),ISNUMBER(FIND(".",Товары_исходные!F161))),SUBSTITUTE(SUBSTITUTE(SUBSTITUTE(SUBSTITUTE(Товары_исходные!F161," ",""),"руб.",""),"руб",""),",",""),SUBSTITUTE(SUBSTITUTE(SUBSTITUTE(SUBSTITUTE(Товары_исходные!F161," ",""),"руб.",""),"руб",""),",","."))),0)</f>
        <v>8990</v>
      </c>
      <c r="G161" t="str">
        <f>IFERROR(VLOOKUP(Товары_исходные!G161,Справочники!$D$2:$E$50,2,FALSE),"шт.")</f>
        <v>шт.</v>
      </c>
      <c r="H161" t="str">
        <f t="shared" si="6"/>
        <v>OK</v>
      </c>
      <c r="I161" t="str">
        <f t="shared" si="7"/>
        <v>OK</v>
      </c>
    </row>
    <row r="162">
      <c r="A162" t="str">
        <f>"АРТ-"&amp;LEFT(SUBSTITUTE(SUBSTITUTE(SUBSTITUTE(SUBSTITUTE(Товары_исходные!A162,"№",""),"АРТ-",""),"АРТ_",""),"/","-"),3)</f>
        <v>АРТ-161</v>
      </c>
      <c r="B162" t="str">
        <f>PROPER(TRIM(IFERROR(LEFT(Товары_исходные!B162,FIND("(",Товары_исходные!B162)-1),Товары_исходные!B162)))</f>
        <v xml:space="preserve">Клавиатура Ducky One 3 Mini</v>
      </c>
      <c r="C162" t="str">
        <f>IFERROR(VLOOKUP(Товары_исходные!C162,Справочники!$A$2:$B$50,2,FALSE),Товары_исходные!C162)</f>
        <v>Аксессуары</v>
      </c>
      <c r="D162" t="str">
        <f>PROPER(TRIM(Товары_исходные!D162))</f>
        <v>Ducky</v>
      </c>
      <c r="E162" s="4">
        <f>IFERROR(VALUE(IF(AND(ISNUMBER(FIND(",",Товары_исходные!E162)),ISNUMBER(FIND(".",Товары_исходные!E162))),SUBSTITUTE(SUBSTITUTE(SUBSTITUTE(SUBSTITUTE(Товары_исходные!E162," ",""),"руб.",""),"руб",""),",",""),SUBSTITUTE(SUBSTITUTE(SUBSTITUTE(SUBSTITUTE(Товары_исходные!E162," ",""),"руб.",""),"руб",""),",","."))),0)</f>
        <v>4700</v>
      </c>
      <c r="F162" s="4">
        <f>IFERROR(VALUE(IF(AND(ISNUMBER(FIND(",",Товары_исходные!F162)),ISNUMBER(FIND(".",Товары_исходные!F162))),SUBSTITUTE(SUBSTITUTE(SUBSTITUTE(SUBSTITUTE(Товары_исходные!F162," ",""),"руб.",""),"руб",""),",",""),SUBSTITUTE(SUBSTITUTE(SUBSTITUTE(SUBSTITUTE(Товары_исходные!F162," ",""),"руб.",""),"руб",""),",","."))),0)</f>
        <v>8500</v>
      </c>
      <c r="G162" t="str">
        <f>IFERROR(VLOOKUP(Товары_исходные!G162,Справочники!$D$2:$E$50,2,FALSE),"шт.")</f>
        <v>шт.</v>
      </c>
      <c r="H162" t="str">
        <f t="shared" si="6"/>
        <v>OK</v>
      </c>
      <c r="I162" t="str">
        <f t="shared" si="7"/>
        <v>OK</v>
      </c>
    </row>
    <row r="163">
      <c r="A163" t="str">
        <f>"АРТ-"&amp;LEFT(SUBSTITUTE(SUBSTITUTE(SUBSTITUTE(SUBSTITUTE(Товары_исходные!A163,"№",""),"АРТ-",""),"АРТ_",""),"/","-"),3)</f>
        <v>АРТ-162</v>
      </c>
      <c r="B163" t="str">
        <f>PROPER(TRIM(IFERROR(LEFT(Товары_исходные!B163,FIND("(",Товары_исходные!B163)-1),Товары_исходные!B163)))</f>
        <v xml:space="preserve">Клавиатура Ducky One 3 Mini</v>
      </c>
      <c r="C163" t="str">
        <f>IFERROR(VLOOKUP(Товары_исходные!C163,Справочники!$A$2:$B$50,2,FALSE),Товары_исходные!C163)</f>
        <v>Аксессуары</v>
      </c>
      <c r="D163" t="str">
        <f>PROPER(TRIM(Товары_исходные!D163))</f>
        <v>Ducky</v>
      </c>
      <c r="E163" s="4">
        <f>IFERROR(VALUE(IF(AND(ISNUMBER(FIND(",",Товары_исходные!E163)),ISNUMBER(FIND(".",Товары_исходные!E163))),SUBSTITUTE(SUBSTITUTE(SUBSTITUTE(SUBSTITUTE(Товары_исходные!E163," ",""),"руб.",""),"руб",""),",",""),SUBSTITUTE(SUBSTITUTE(SUBSTITUTE(SUBSTITUTE(Товары_исходные!E163," ",""),"руб.",""),"руб",""),",","."))),0)</f>
        <v>5200</v>
      </c>
      <c r="F163" s="4">
        <f>IFERROR(VALUE(IF(AND(ISNUMBER(FIND(",",Товары_исходные!F163)),ISNUMBER(FIND(".",Товары_исходные!F163))),SUBSTITUTE(SUBSTITUTE(SUBSTITUTE(SUBSTITUTE(Товары_исходные!F163," ",""),"руб.",""),"руб",""),",",""),SUBSTITUTE(SUBSTITUTE(SUBSTITUTE(SUBSTITUTE(Товары_исходные!F163," ",""),"руб.",""),"руб",""),",","."))),0)</f>
        <v>9500</v>
      </c>
      <c r="G163" t="str">
        <f>IFERROR(VLOOKUP(Товары_исходные!G163,Справочники!$D$2:$E$50,2,FALSE),"шт.")</f>
        <v>шт.</v>
      </c>
      <c r="H163" t="str">
        <f t="shared" si="6"/>
        <v>OK</v>
      </c>
      <c r="I163" t="str">
        <f t="shared" si="7"/>
        <v>OK</v>
      </c>
    </row>
    <row r="164">
      <c r="A164" t="str">
        <f>"АРТ-"&amp;LEFT(SUBSTITUTE(SUBSTITUTE(SUBSTITUTE(SUBSTITUTE(Товары_исходные!A164,"№",""),"АРТ-",""),"АРТ_",""),"/","-"),3)</f>
        <v>АРТ-163</v>
      </c>
      <c r="B164" t="str">
        <f>PROPER(TRIM(IFERROR(LEFT(Товары_исходные!B164,FIND("(",Товары_исходные!B164)-1),Товары_исходные!B164)))</f>
        <v xml:space="preserve">Смарт-Часы Huawei Watch Gt4</v>
      </c>
      <c r="C164" t="str">
        <f>IFERROR(VLOOKUP(Товары_исходные!C164,Справочники!$A$2:$B$50,2,FALSE),Товары_исходные!C164)</f>
        <v>Часы</v>
      </c>
      <c r="D164" t="str">
        <f>PROPER(TRIM(Товары_исходные!D164))</f>
        <v>Huawei</v>
      </c>
      <c r="E164" s="4">
        <f>IFERROR(VALUE(IF(AND(ISNUMBER(FIND(",",Товары_исходные!E164)),ISNUMBER(FIND(".",Товары_исходные!E164))),SUBSTITUTE(SUBSTITUTE(SUBSTITUTE(SUBSTITUTE(Товары_исходные!E164," ",""),"руб.",""),"руб",""),",",""),SUBSTITUTE(SUBSTITUTE(SUBSTITUTE(SUBSTITUTE(Товары_исходные!E164," ",""),"руб.",""),"руб",""),",","."))),0)</f>
        <v>18000</v>
      </c>
      <c r="F164" s="4">
        <f>IFERROR(VALUE(IF(AND(ISNUMBER(FIND(",",Товары_исходные!F164)),ISNUMBER(FIND(".",Товары_исходные!F164))),SUBSTITUTE(SUBSTITUTE(SUBSTITUTE(SUBSTITUTE(Товары_исходные!F164," ",""),"руб.",""),"руб",""),",",""),SUBSTITUTE(SUBSTITUTE(SUBSTITUTE(SUBSTITUTE(Товары_исходные!F164," ",""),"руб.",""),"руб",""),",","."))),0)</f>
        <v>29990</v>
      </c>
      <c r="G164" t="str">
        <f>IFERROR(VLOOKUP(Товары_исходные!G164,Справочники!$D$2:$E$50,2,FALSE),"шт.")</f>
        <v>шт.</v>
      </c>
      <c r="H164" t="str">
        <f t="shared" ref="H164:H227" si="8">IF(F164&gt;=E164,"OK","Розница ниже закупки")</f>
        <v>OK</v>
      </c>
      <c r="I164" t="str">
        <f t="shared" ref="I164:I227" si="9">IF(COUNTIF($A$2:$A$502,A164)=1,"OK","Дубликат")</f>
        <v>OK</v>
      </c>
    </row>
    <row r="165">
      <c r="A165" t="str">
        <f>"АРТ-"&amp;LEFT(SUBSTITUTE(SUBSTITUTE(SUBSTITUTE(SUBSTITUTE(Товары_исходные!A165,"№",""),"АРТ-",""),"АРТ_",""),"/","-"),3)</f>
        <v>АРТ-164</v>
      </c>
      <c r="B165" t="str">
        <f>PROPER(TRIM(IFERROR(LEFT(Товары_исходные!B165,FIND("(",Товары_исходные!B165)-1),Товары_исходные!B165)))</f>
        <v xml:space="preserve">Смарт-Часы Huawei Watch Gt4</v>
      </c>
      <c r="C165" t="str">
        <f>IFERROR(VLOOKUP(Товары_исходные!C165,Справочники!$A$2:$B$50,2,FALSE),Товары_исходные!C165)</f>
        <v>Часы</v>
      </c>
      <c r="D165" t="str">
        <f>PROPER(TRIM(Товары_исходные!D165))</f>
        <v>Huawei</v>
      </c>
      <c r="E165" s="4">
        <f>IFERROR(VALUE(IF(AND(ISNUMBER(FIND(",",Товары_исходные!E165)),ISNUMBER(FIND(".",Товары_исходные!E165))),SUBSTITUTE(SUBSTITUTE(SUBSTITUTE(SUBSTITUTE(Товары_исходные!E165," ",""),"руб.",""),"руб",""),",",""),SUBSTITUTE(SUBSTITUTE(SUBSTITUTE(SUBSTITUTE(Товары_исходные!E165," ",""),"руб.",""),"руб",""),",","."))),0)</f>
        <v>17000</v>
      </c>
      <c r="F165" s="4">
        <f>IFERROR(VALUE(IF(AND(ISNUMBER(FIND(",",Товары_исходные!F165)),ISNUMBER(FIND(".",Товары_исходные!F165))),SUBSTITUTE(SUBSTITUTE(SUBSTITUTE(SUBSTITUTE(Товары_исходные!F165," ",""),"руб.",""),"руб",""),",",""),SUBSTITUTE(SUBSTITUTE(SUBSTITUTE(SUBSTITUTE(Товары_исходные!F165," ",""),"руб.",""),"руб",""),",","."))),0)</f>
        <v>28500</v>
      </c>
      <c r="G165" t="str">
        <f>IFERROR(VLOOKUP(Товары_исходные!G165,Справочники!$D$2:$E$50,2,FALSE),"шт.")</f>
        <v>шт.</v>
      </c>
      <c r="H165" t="str">
        <f t="shared" si="8"/>
        <v>OK</v>
      </c>
      <c r="I165" t="str">
        <f t="shared" si="9"/>
        <v>OK</v>
      </c>
    </row>
    <row r="166">
      <c r="A166" t="str">
        <f>"АРТ-"&amp;LEFT(SUBSTITUTE(SUBSTITUTE(SUBSTITUTE(SUBSTITUTE(Товары_исходные!A166,"№",""),"АРТ-",""),"АРТ_",""),"/","-"),3)</f>
        <v>АРТ-165</v>
      </c>
      <c r="B166" t="str">
        <f>PROPER(TRIM(IFERROR(LEFT(Товары_исходные!B166,FIND("(",Товары_исходные!B166)-1),Товары_исходные!B166)))</f>
        <v xml:space="preserve">Смарт-Часы Huawei Watch Gt4</v>
      </c>
      <c r="C166" t="str">
        <f>IFERROR(VLOOKUP(Товары_исходные!C166,Справочники!$A$2:$B$50,2,FALSE),Товары_исходные!C166)</f>
        <v>Часы</v>
      </c>
      <c r="D166" t="str">
        <f>PROPER(TRIM(Товары_исходные!D166))</f>
        <v>Huawei</v>
      </c>
      <c r="E166" s="4">
        <f>IFERROR(VALUE(IF(AND(ISNUMBER(FIND(",",Товары_исходные!E166)),ISNUMBER(FIND(".",Товары_исходные!E166))),SUBSTITUTE(SUBSTITUTE(SUBSTITUTE(SUBSTITUTE(Товары_исходные!E166," ",""),"руб.",""),"руб",""),",",""),SUBSTITUTE(SUBSTITUTE(SUBSTITUTE(SUBSTITUTE(Товары_исходные!E166," ",""),"руб.",""),"руб",""),",","."))),0)</f>
        <v>19000</v>
      </c>
      <c r="F166" s="4">
        <f>IFERROR(VALUE(IF(AND(ISNUMBER(FIND(",",Товары_исходные!F166)),ISNUMBER(FIND(".",Товары_исходные!F166))),SUBSTITUTE(SUBSTITUTE(SUBSTITUTE(SUBSTITUTE(Товары_исходные!F166," ",""),"руб.",""),"руб",""),",",""),SUBSTITUTE(SUBSTITUTE(SUBSTITUTE(SUBSTITUTE(Товары_исходные!F166," ",""),"руб.",""),"руб",""),",","."))),0)</f>
        <v>31000</v>
      </c>
      <c r="G166" t="str">
        <f>IFERROR(VLOOKUP(Товары_исходные!G166,Справочники!$D$2:$E$50,2,FALSE),"шт.")</f>
        <v>шт.</v>
      </c>
      <c r="H166" t="str">
        <f t="shared" si="8"/>
        <v>OK</v>
      </c>
      <c r="I166" t="str">
        <f t="shared" si="9"/>
        <v>OK</v>
      </c>
    </row>
    <row r="167">
      <c r="A167" t="str">
        <f>"АРТ-"&amp;LEFT(SUBSTITUTE(SUBSTITUTE(SUBSTITUTE(SUBSTITUTE(Товары_исходные!A167,"№",""),"АРТ-",""),"АРТ_",""),"/","-"),3)</f>
        <v>АРТ-166</v>
      </c>
      <c r="B167" t="str">
        <f>PROPER(TRIM(IFERROR(LEFT(Товары_исходные!B167,FIND("(",Товары_исходные!B167)-1),Товары_исходные!B167)))</f>
        <v xml:space="preserve">Планшет Microsoft Surface Pro 9</v>
      </c>
      <c r="C167" t="str">
        <f>IFERROR(VLOOKUP(Товары_исходные!C167,Справочники!$A$2:$B$50,2,FALSE),Товары_исходные!C167)</f>
        <v>Планшеты</v>
      </c>
      <c r="D167" t="str">
        <f>PROPER(TRIM(Товары_исходные!D167))</f>
        <v>Microsoft</v>
      </c>
      <c r="E167" s="4">
        <f>IFERROR(VALUE(IF(AND(ISNUMBER(FIND(",",Товары_исходные!E167)),ISNUMBER(FIND(".",Товары_исходные!E167))),SUBSTITUTE(SUBSTITUTE(SUBSTITUTE(SUBSTITUTE(Товары_исходные!E167," ",""),"руб.",""),"руб",""),",",""),SUBSTITUTE(SUBSTITUTE(SUBSTITUTE(SUBSTITUTE(Товары_исходные!E167," ",""),"руб.",""),"руб",""),",","."))),0)</f>
        <v>52000</v>
      </c>
      <c r="F167" s="4">
        <f>IFERROR(VALUE(IF(AND(ISNUMBER(FIND(",",Товары_исходные!F167)),ISNUMBER(FIND(".",Товары_исходные!F167))),SUBSTITUTE(SUBSTITUTE(SUBSTITUTE(SUBSTITUTE(Товары_исходные!F167," ",""),"руб.",""),"руб",""),",",""),SUBSTITUTE(SUBSTITUTE(SUBSTITUTE(SUBSTITUTE(Товары_исходные!F167," ",""),"руб.",""),"руб",""),",","."))),0)</f>
        <v>82990</v>
      </c>
      <c r="G167" t="str">
        <f>IFERROR(VLOOKUP(Товары_исходные!G167,Справочники!$D$2:$E$50,2,FALSE),"шт.")</f>
        <v>шт.</v>
      </c>
      <c r="H167" t="str">
        <f t="shared" si="8"/>
        <v>OK</v>
      </c>
      <c r="I167" t="str">
        <f t="shared" si="9"/>
        <v>OK</v>
      </c>
    </row>
    <row r="168">
      <c r="A168" t="str">
        <f>"АРТ-"&amp;LEFT(SUBSTITUTE(SUBSTITUTE(SUBSTITUTE(SUBSTITUTE(Товары_исходные!A168,"№",""),"АРТ-",""),"АРТ_",""),"/","-"),3)</f>
        <v>АРТ-167</v>
      </c>
      <c r="B168" t="str">
        <f>PROPER(TRIM(IFERROR(LEFT(Товары_исходные!B168,FIND("(",Товары_исходные!B168)-1),Товары_исходные!B168)))</f>
        <v xml:space="preserve">Планшет Microsoft Surface Pro 9</v>
      </c>
      <c r="C168" t="str">
        <f>IFERROR(VLOOKUP(Товары_исходные!C168,Справочники!$A$2:$B$50,2,FALSE),Товары_исходные!C168)</f>
        <v>Планшеты</v>
      </c>
      <c r="D168" t="str">
        <f>PROPER(TRIM(Товары_исходные!D168))</f>
        <v>Microsoft</v>
      </c>
      <c r="E168" s="4">
        <f>IFERROR(VALUE(IF(AND(ISNUMBER(FIND(",",Товары_исходные!E168)),ISNUMBER(FIND(".",Товары_исходные!E168))),SUBSTITUTE(SUBSTITUTE(SUBSTITUTE(SUBSTITUTE(Товары_исходные!E168," ",""),"руб.",""),"руб",""),",",""),SUBSTITUTE(SUBSTITUTE(SUBSTITUTE(SUBSTITUTE(Товары_исходные!E168," ",""),"руб.",""),"руб",""),",","."))),0)</f>
        <v>50000</v>
      </c>
      <c r="F168" s="4">
        <f>IFERROR(VALUE(IF(AND(ISNUMBER(FIND(",",Товары_исходные!F168)),ISNUMBER(FIND(".",Товары_исходные!F168))),SUBSTITUTE(SUBSTITUTE(SUBSTITUTE(SUBSTITUTE(Товары_исходные!F168," ",""),"руб.",""),"руб",""),",",""),SUBSTITUTE(SUBSTITUTE(SUBSTITUTE(SUBSTITUTE(Товары_исходные!F168," ",""),"руб.",""),"руб",""),",","."))),0)</f>
        <v>80000</v>
      </c>
      <c r="G168" t="str">
        <f>IFERROR(VLOOKUP(Товары_исходные!G168,Справочники!$D$2:$E$50,2,FALSE),"шт.")</f>
        <v>шт.</v>
      </c>
      <c r="H168" t="str">
        <f t="shared" si="8"/>
        <v>OK</v>
      </c>
      <c r="I168" t="str">
        <f t="shared" si="9"/>
        <v>OK</v>
      </c>
    </row>
    <row r="169">
      <c r="A169" t="str">
        <f>"АРТ-"&amp;LEFT(SUBSTITUTE(SUBSTITUTE(SUBSTITUTE(SUBSTITUTE(Товары_исходные!A169,"№",""),"АРТ-",""),"АРТ_",""),"/","-"),3)</f>
        <v>АРТ-168</v>
      </c>
      <c r="B169" t="str">
        <f>PROPER(TRIM(IFERROR(LEFT(Товары_исходные!B169,FIND("(",Товары_исходные!B169)-1),Товары_исходные!B169)))</f>
        <v xml:space="preserve">Планшет Microsoft Surface Pro 9</v>
      </c>
      <c r="C169" t="str">
        <f>IFERROR(VLOOKUP(Товары_исходные!C169,Справочники!$A$2:$B$50,2,FALSE),Товары_исходные!C169)</f>
        <v>Планшеты</v>
      </c>
      <c r="D169" t="str">
        <f>PROPER(TRIM(Товары_исходные!D169))</f>
        <v>Microsoft</v>
      </c>
      <c r="E169" s="4">
        <f>IFERROR(VALUE(IF(AND(ISNUMBER(FIND(",",Товары_исходные!E169)),ISNUMBER(FIND(".",Товары_исходные!E169))),SUBSTITUTE(SUBSTITUTE(SUBSTITUTE(SUBSTITUTE(Товары_исходные!E169," ",""),"руб.",""),"руб",""),",",""),SUBSTITUTE(SUBSTITUTE(SUBSTITUTE(SUBSTITUTE(Товары_исходные!E169," ",""),"руб.",""),"руб",""),",","."))),0)</f>
        <v>53500</v>
      </c>
      <c r="F169" s="4">
        <f>IFERROR(VALUE(IF(AND(ISNUMBER(FIND(",",Товары_исходные!F169)),ISNUMBER(FIND(".",Товары_исходные!F169))),SUBSTITUTE(SUBSTITUTE(SUBSTITUTE(SUBSTITUTE(Товары_исходные!F169," ",""),"руб.",""),"руб",""),",",""),SUBSTITUTE(SUBSTITUTE(SUBSTITUTE(SUBSTITUTE(Товары_исходные!F169," ",""),"руб.",""),"руб",""),",","."))),0)</f>
        <v>85000</v>
      </c>
      <c r="G169" t="str">
        <f>IFERROR(VLOOKUP(Товары_исходные!G169,Справочники!$D$2:$E$50,2,FALSE),"шт.")</f>
        <v>шт.</v>
      </c>
      <c r="H169" t="str">
        <f t="shared" si="8"/>
        <v>OK</v>
      </c>
      <c r="I169" t="str">
        <f t="shared" si="9"/>
        <v>OK</v>
      </c>
    </row>
    <row r="170">
      <c r="A170" t="str">
        <f>"АРТ-"&amp;LEFT(SUBSTITUTE(SUBSTITUTE(SUBSTITUTE(SUBSTITUTE(Товары_исходные!A170,"№",""),"АРТ-",""),"АРТ_",""),"/","-"),3)</f>
        <v>АРТ-169</v>
      </c>
      <c r="B170" t="str">
        <f>PROPER(TRIM(IFERROR(LEFT(Товары_исходные!B170,FIND("(",Товары_исходные!B170)-1),Товары_исходные!B170)))</f>
        <v xml:space="preserve">Смартфон Oppo Find X6</v>
      </c>
      <c r="C170" t="str">
        <f>IFERROR(VLOOKUP(Товары_исходные!C170,Справочники!$A$2:$B$50,2,FALSE),Товары_исходные!C170)</f>
        <v>Смартфоны</v>
      </c>
      <c r="D170" t="str">
        <f>PROPER(TRIM(Товары_исходные!D170))</f>
        <v>Oppo</v>
      </c>
      <c r="E170" s="4">
        <f>IFERROR(VALUE(IF(AND(ISNUMBER(FIND(",",Товары_исходные!E170)),ISNUMBER(FIND(".",Товары_исходные!E170))),SUBSTITUTE(SUBSTITUTE(SUBSTITUTE(SUBSTITUTE(Товары_исходные!E170," ",""),"руб.",""),"руб",""),",",""),SUBSTITUTE(SUBSTITUTE(SUBSTITUTE(SUBSTITUTE(Товары_исходные!E170," ",""),"руб.",""),"руб",""),",","."))),0)</f>
        <v>34000</v>
      </c>
      <c r="F170" s="4">
        <f>IFERROR(VALUE(IF(AND(ISNUMBER(FIND(",",Товары_исходные!F170)),ISNUMBER(FIND(".",Товары_исходные!F170))),SUBSTITUTE(SUBSTITUTE(SUBSTITUTE(SUBSTITUTE(Товары_исходные!F170," ",""),"руб.",""),"руб",""),",",""),SUBSTITUTE(SUBSTITUTE(SUBSTITUTE(SUBSTITUTE(Товары_исходные!F170," ",""),"руб.",""),"руб",""),",","."))),0)</f>
        <v>57990</v>
      </c>
      <c r="G170" t="str">
        <f>IFERROR(VLOOKUP(Товары_исходные!G170,Справочники!$D$2:$E$50,2,FALSE),"шт.")</f>
        <v>шт.</v>
      </c>
      <c r="H170" t="str">
        <f t="shared" si="8"/>
        <v>OK</v>
      </c>
      <c r="I170" t="str">
        <f t="shared" si="9"/>
        <v>OK</v>
      </c>
    </row>
    <row r="171">
      <c r="A171" t="str">
        <f>"АРТ-"&amp;LEFT(SUBSTITUTE(SUBSTITUTE(SUBSTITUTE(SUBSTITUTE(Товары_исходные!A171,"№",""),"АРТ-",""),"АРТ_",""),"/","-"),3)</f>
        <v>АРТ-170</v>
      </c>
      <c r="B171" t="str">
        <f>PROPER(TRIM(IFERROR(LEFT(Товары_исходные!B171,FIND("(",Товары_исходные!B171)-1),Товары_исходные!B171)))</f>
        <v xml:space="preserve">Смартфон Oppo Find X6</v>
      </c>
      <c r="C171" t="str">
        <f>IFERROR(VLOOKUP(Товары_исходные!C171,Справочники!$A$2:$B$50,2,FALSE),Товары_исходные!C171)</f>
        <v>Смартфоны</v>
      </c>
      <c r="D171" t="str">
        <f>PROPER(TRIM(Товары_исходные!D171))</f>
        <v>Oppo</v>
      </c>
      <c r="E171" s="4">
        <f>IFERROR(VALUE(IF(AND(ISNUMBER(FIND(",",Товары_исходные!E171)),ISNUMBER(FIND(".",Товары_исходные!E171))),SUBSTITUTE(SUBSTITUTE(SUBSTITUTE(SUBSTITUTE(Товары_исходные!E171," ",""),"руб.",""),"руб",""),",",""),SUBSTITUTE(SUBSTITUTE(SUBSTITUTE(SUBSTITUTE(Товары_исходные!E171," ",""),"руб.",""),"руб",""),",","."))),0)</f>
        <v>33000</v>
      </c>
      <c r="F171" s="4">
        <f>IFERROR(VALUE(IF(AND(ISNUMBER(FIND(",",Товары_исходные!F171)),ISNUMBER(FIND(".",Товары_исходные!F171))),SUBSTITUTE(SUBSTITUTE(SUBSTITUTE(SUBSTITUTE(Товары_исходные!F171," ",""),"руб.",""),"руб",""),",",""),SUBSTITUTE(SUBSTITUTE(SUBSTITUTE(SUBSTITUTE(Товары_исходные!F171," ",""),"руб.",""),"руб",""),",","."))),0)</f>
        <v>56500</v>
      </c>
      <c r="G171" t="str">
        <f>IFERROR(VLOOKUP(Товары_исходные!G171,Справочники!$D$2:$E$50,2,FALSE),"шт.")</f>
        <v>шт.</v>
      </c>
      <c r="H171" t="str">
        <f t="shared" si="8"/>
        <v>OK</v>
      </c>
      <c r="I171" t="str">
        <f t="shared" si="9"/>
        <v>OK</v>
      </c>
    </row>
    <row r="172">
      <c r="A172" t="str">
        <f>"АРТ-"&amp;LEFT(SUBSTITUTE(SUBSTITUTE(SUBSTITUTE(SUBSTITUTE(Товары_исходные!A172,"№",""),"АРТ-",""),"АРТ_",""),"/","-"),3)</f>
        <v>АРТ-171</v>
      </c>
      <c r="B172" t="str">
        <f>PROPER(TRIM(IFERROR(LEFT(Товары_исходные!B172,FIND("(",Товары_исходные!B172)-1),Товары_исходные!B172)))</f>
        <v xml:space="preserve">Смартфон Oppo Find X6</v>
      </c>
      <c r="C172" t="str">
        <f>IFERROR(VLOOKUP(Товары_исходные!C172,Справочники!$A$2:$B$50,2,FALSE),Товары_исходные!C172)</f>
        <v>Смартфоны</v>
      </c>
      <c r="D172" t="str">
        <f>PROPER(TRIM(Товары_исходные!D172))</f>
        <v>Oppo</v>
      </c>
      <c r="E172" s="4">
        <f>IFERROR(VALUE(IF(AND(ISNUMBER(FIND(",",Товары_исходные!E172)),ISNUMBER(FIND(".",Товары_исходные!E172))),SUBSTITUTE(SUBSTITUTE(SUBSTITUTE(SUBSTITUTE(Товары_исходные!E172," ",""),"руб.",""),"руб",""),",",""),SUBSTITUTE(SUBSTITUTE(SUBSTITUTE(SUBSTITUTE(Товары_исходные!E172," ",""),"руб.",""),"руб",""),",","."))),0)</f>
        <v>35000</v>
      </c>
      <c r="F172" s="4">
        <f>IFERROR(VALUE(IF(AND(ISNUMBER(FIND(",",Товары_исходные!F172)),ISNUMBER(FIND(".",Товары_исходные!F172))),SUBSTITUTE(SUBSTITUTE(SUBSTITUTE(SUBSTITUTE(Товары_исходные!F172," ",""),"руб.",""),"руб",""),",",""),SUBSTITUTE(SUBSTITUTE(SUBSTITUTE(SUBSTITUTE(Товары_исходные!F172," ",""),"руб.",""),"руб",""),",","."))),0)</f>
        <v>59500</v>
      </c>
      <c r="G172" t="str">
        <f>IFERROR(VLOOKUP(Товары_исходные!G172,Справочники!$D$2:$E$50,2,FALSE),"шт.")</f>
        <v>шт.</v>
      </c>
      <c r="H172" t="str">
        <f t="shared" si="8"/>
        <v>OK</v>
      </c>
      <c r="I172" t="str">
        <f t="shared" si="9"/>
        <v>OK</v>
      </c>
    </row>
    <row r="173">
      <c r="A173" t="str">
        <f>"АРТ-"&amp;LEFT(SUBSTITUTE(SUBSTITUTE(SUBSTITUTE(SUBSTITUTE(Товары_исходные!A173,"№",""),"АРТ-",""),"АРТ_",""),"/","-"),3)</f>
        <v>АРТ-172</v>
      </c>
      <c r="B173" t="str">
        <f>PROPER(TRIM(IFERROR(LEFT(Товары_исходные!B173,FIND("(",Товары_исходные!B173)-1),Товары_исходные!B173)))</f>
        <v xml:space="preserve">Ноутбук Acer Swift 5</v>
      </c>
      <c r="C173" t="str">
        <f>IFERROR(VLOOKUP(Товары_исходные!C173,Справочники!$A$2:$B$50,2,FALSE),Товары_исходные!C173)</f>
        <v>Ноутбуки</v>
      </c>
      <c r="D173" t="str">
        <f>PROPER(TRIM(Товары_исходные!D173))</f>
        <v>Acer</v>
      </c>
      <c r="E173" s="4">
        <f>IFERROR(VALUE(IF(AND(ISNUMBER(FIND(",",Товары_исходные!E173)),ISNUMBER(FIND(".",Товары_исходные!E173))),SUBSTITUTE(SUBSTITUTE(SUBSTITUTE(SUBSTITUTE(Товары_исходные!E173," ",""),"руб.",""),"руб",""),",",""),SUBSTITUTE(SUBSTITUTE(SUBSTITUTE(SUBSTITUTE(Товары_исходные!E173," ",""),"руб.",""),"руб",""),",","."))),0)</f>
        <v>68000</v>
      </c>
      <c r="F173" s="4">
        <f>IFERROR(VALUE(IF(AND(ISNUMBER(FIND(",",Товары_исходные!F173)),ISNUMBER(FIND(".",Товары_исходные!F173))),SUBSTITUTE(SUBSTITUTE(SUBSTITUTE(SUBSTITUTE(Товары_исходные!F173," ",""),"руб.",""),"руб",""),",",""),SUBSTITUTE(SUBSTITUTE(SUBSTITUTE(SUBSTITUTE(Товары_исходные!F173," ",""),"руб.",""),"руб",""),",","."))),0)</f>
        <v>104990</v>
      </c>
      <c r="G173" t="str">
        <f>IFERROR(VLOOKUP(Товары_исходные!G173,Справочники!$D$2:$E$50,2,FALSE),"шт.")</f>
        <v>шт.</v>
      </c>
      <c r="H173" t="str">
        <f t="shared" si="8"/>
        <v>OK</v>
      </c>
      <c r="I173" t="str">
        <f t="shared" si="9"/>
        <v>OK</v>
      </c>
    </row>
    <row r="174">
      <c r="A174" t="str">
        <f>"АРТ-"&amp;LEFT(SUBSTITUTE(SUBSTITUTE(SUBSTITUTE(SUBSTITUTE(Товары_исходные!A174,"№",""),"АРТ-",""),"АРТ_",""),"/","-"),3)</f>
        <v>АРТ-173</v>
      </c>
      <c r="B174" t="str">
        <f>PROPER(TRIM(IFERROR(LEFT(Товары_исходные!B174,FIND("(",Товары_исходные!B174)-1),Товары_исходные!B174)))</f>
        <v xml:space="preserve">Ноутбук Acer Swift 5</v>
      </c>
      <c r="C174" t="str">
        <f>IFERROR(VLOOKUP(Товары_исходные!C174,Справочники!$A$2:$B$50,2,FALSE),Товары_исходные!C174)</f>
        <v>Ноутбуки</v>
      </c>
      <c r="D174" t="str">
        <f>PROPER(TRIM(Товары_исходные!D174))</f>
        <v>Acer</v>
      </c>
      <c r="E174" s="4">
        <f>IFERROR(VALUE(IF(AND(ISNUMBER(FIND(",",Товары_исходные!E174)),ISNUMBER(FIND(".",Товары_исходные!E174))),SUBSTITUTE(SUBSTITUTE(SUBSTITUTE(SUBSTITUTE(Товары_исходные!E174," ",""),"руб.",""),"руб",""),",",""),SUBSTITUTE(SUBSTITUTE(SUBSTITUTE(SUBSTITUTE(Товары_исходные!E174," ",""),"руб.",""),"руб",""),",","."))),0)</f>
        <v>66000</v>
      </c>
      <c r="F174" s="4">
        <f>IFERROR(VALUE(IF(AND(ISNUMBER(FIND(",",Товары_исходные!F174)),ISNUMBER(FIND(".",Товары_исходные!F174))),SUBSTITUTE(SUBSTITUTE(SUBSTITUTE(SUBSTITUTE(Товары_исходные!F174," ",""),"руб.",""),"руб",""),",",""),SUBSTITUTE(SUBSTITUTE(SUBSTITUTE(SUBSTITUTE(Товары_исходные!F174," ",""),"руб.",""),"руб",""),",","."))),0)</f>
        <v>102000</v>
      </c>
      <c r="G174" t="str">
        <f>IFERROR(VLOOKUP(Товары_исходные!G174,Справочники!$D$2:$E$50,2,FALSE),"шт.")</f>
        <v>шт.</v>
      </c>
      <c r="H174" t="str">
        <f t="shared" si="8"/>
        <v>OK</v>
      </c>
      <c r="I174" t="str">
        <f t="shared" si="9"/>
        <v>OK</v>
      </c>
    </row>
    <row r="175">
      <c r="A175" t="str">
        <f>"АРТ-"&amp;LEFT(SUBSTITUTE(SUBSTITUTE(SUBSTITUTE(SUBSTITUTE(Товары_исходные!A175,"№",""),"АРТ-",""),"АРТ_",""),"/","-"),3)</f>
        <v>АРТ-174</v>
      </c>
      <c r="B175" t="str">
        <f>PROPER(TRIM(IFERROR(LEFT(Товары_исходные!B175,FIND("(",Товары_исходные!B175)-1),Товары_исходные!B175)))</f>
        <v xml:space="preserve">Ноутбук Acer Swift 5</v>
      </c>
      <c r="C175" t="str">
        <f>IFERROR(VLOOKUP(Товары_исходные!C175,Справочники!$A$2:$B$50,2,FALSE),Товары_исходные!C175)</f>
        <v>Ноутбуки</v>
      </c>
      <c r="D175" t="str">
        <f>PROPER(TRIM(Товары_исходные!D175))</f>
        <v>Acer</v>
      </c>
      <c r="E175" s="4">
        <f>IFERROR(VALUE(IF(AND(ISNUMBER(FIND(",",Товары_исходные!E175)),ISNUMBER(FIND(".",Товары_исходные!E175))),SUBSTITUTE(SUBSTITUTE(SUBSTITUTE(SUBSTITUTE(Товары_исходные!E175," ",""),"руб.",""),"руб",""),",",""),SUBSTITUTE(SUBSTITUTE(SUBSTITUTE(SUBSTITUTE(Товары_исходные!E175," ",""),"руб.",""),"руб",""),",","."))),0)</f>
        <v>69500</v>
      </c>
      <c r="F175" s="4">
        <f>IFERROR(VALUE(IF(AND(ISNUMBER(FIND(",",Товары_исходные!F175)),ISNUMBER(FIND(".",Товары_исходные!F175))),SUBSTITUTE(SUBSTITUTE(SUBSTITUTE(SUBSTITUTE(Товары_исходные!F175," ",""),"руб.",""),"руб",""),",",""),SUBSTITUTE(SUBSTITUTE(SUBSTITUTE(SUBSTITUTE(Товары_исходные!F175," ",""),"руб.",""),"руб",""),",","."))),0)</f>
        <v>107500</v>
      </c>
      <c r="G175" t="str">
        <f>IFERROR(VLOOKUP(Товары_исходные!G175,Справочники!$D$2:$E$50,2,FALSE),"шт.")</f>
        <v>шт.</v>
      </c>
      <c r="H175" t="str">
        <f t="shared" si="8"/>
        <v>OK</v>
      </c>
      <c r="I175" t="str">
        <f t="shared" si="9"/>
        <v>OK</v>
      </c>
    </row>
    <row r="176">
      <c r="A176" t="str">
        <f>"АРТ-"&amp;LEFT(SUBSTITUTE(SUBSTITUTE(SUBSTITUTE(SUBSTITUTE(Товары_исходные!A176,"№",""),"АРТ-",""),"АРТ_",""),"/","-"),3)</f>
        <v>АРТ-175</v>
      </c>
      <c r="B176" t="str">
        <f>PROPER(TRIM(IFERROR(LEFT(Товары_исходные!B176,FIND("(",Товары_исходные!B176)-1),Товары_исходные!B176)))</f>
        <v xml:space="preserve">Телевизор Vizio M-Series 65</v>
      </c>
      <c r="C176" t="str">
        <f>IFERROR(VLOOKUP(Товары_исходные!C176,Справочники!$A$2:$B$50,2,FALSE),Товары_исходные!C176)</f>
        <v>Телевизоры</v>
      </c>
      <c r="D176" t="str">
        <f>PROPER(TRIM(Товары_исходные!D176))</f>
        <v>Vizio</v>
      </c>
      <c r="E176" s="4">
        <f>IFERROR(VALUE(IF(AND(ISNUMBER(FIND(",",Товары_исходные!E176)),ISNUMBER(FIND(".",Товары_исходные!E176))),SUBSTITUTE(SUBSTITUTE(SUBSTITUTE(SUBSTITUTE(Товары_исходные!E176," ",""),"руб.",""),"руб",""),",",""),SUBSTITUTE(SUBSTITUTE(SUBSTITUTE(SUBSTITUTE(Товары_исходные!E176," ",""),"руб.",""),"руб",""),",","."))),0)</f>
        <v>65000</v>
      </c>
      <c r="F176" s="4">
        <f>IFERROR(VALUE(IF(AND(ISNUMBER(FIND(",",Товары_исходные!F176)),ISNUMBER(FIND(".",Товары_исходные!F176))),SUBSTITUTE(SUBSTITUTE(SUBSTITUTE(SUBSTITUTE(Товары_исходные!F176," ",""),"руб.",""),"руб",""),",",""),SUBSTITUTE(SUBSTITUTE(SUBSTITUTE(SUBSTITUTE(Товары_исходные!F176," ",""),"руб.",""),"руб",""),",","."))),0)</f>
        <v>99990</v>
      </c>
      <c r="G176" t="str">
        <f>IFERROR(VLOOKUP(Товары_исходные!G176,Справочники!$D$2:$E$50,2,FALSE),"шт.")</f>
        <v>шт.</v>
      </c>
      <c r="H176" t="str">
        <f t="shared" si="8"/>
        <v>OK</v>
      </c>
      <c r="I176" t="str">
        <f t="shared" si="9"/>
        <v>OK</v>
      </c>
    </row>
    <row r="177">
      <c r="A177" t="str">
        <f>"АРТ-"&amp;LEFT(SUBSTITUTE(SUBSTITUTE(SUBSTITUTE(SUBSTITUTE(Товары_исходные!A177,"№",""),"АРТ-",""),"АРТ_",""),"/","-"),3)</f>
        <v>АРТ-176</v>
      </c>
      <c r="B177" t="str">
        <f>PROPER(TRIM(IFERROR(LEFT(Товары_исходные!B177,FIND("(",Товары_исходные!B177)-1),Товары_исходные!B177)))</f>
        <v xml:space="preserve">Телевизор Vizio M-Series 65</v>
      </c>
      <c r="C177" t="str">
        <f>IFERROR(VLOOKUP(Товары_исходные!C177,Справочники!$A$2:$B$50,2,FALSE),Товары_исходные!C177)</f>
        <v>Телевизоры</v>
      </c>
      <c r="D177" t="str">
        <f>PROPER(TRIM(Товары_исходные!D177))</f>
        <v>Vizio</v>
      </c>
      <c r="E177" s="4">
        <f>IFERROR(VALUE(IF(AND(ISNUMBER(FIND(",",Товары_исходные!E177)),ISNUMBER(FIND(".",Товары_исходные!E177))),SUBSTITUTE(SUBSTITUTE(SUBSTITUTE(SUBSTITUTE(Товары_исходные!E177," ",""),"руб.",""),"руб",""),",",""),SUBSTITUTE(SUBSTITUTE(SUBSTITUTE(SUBSTITUTE(Товары_исходные!E177," ",""),"руб.",""),"руб",""),",","."))),0)</f>
        <v>63000</v>
      </c>
      <c r="F177" s="4">
        <f>IFERROR(VALUE(IF(AND(ISNUMBER(FIND(",",Товары_исходные!F177)),ISNUMBER(FIND(".",Товары_исходные!F177))),SUBSTITUTE(SUBSTITUTE(SUBSTITUTE(SUBSTITUTE(Товары_исходные!F177," ",""),"руб.",""),"руб",""),",",""),SUBSTITUTE(SUBSTITUTE(SUBSTITUTE(SUBSTITUTE(Товары_исходные!F177," ",""),"руб.",""),"руб",""),",","."))),0)</f>
        <v>97000</v>
      </c>
      <c r="G177" t="str">
        <f>IFERROR(VLOOKUP(Товары_исходные!G177,Справочники!$D$2:$E$50,2,FALSE),"шт.")</f>
        <v>шт.</v>
      </c>
      <c r="H177" t="str">
        <f t="shared" si="8"/>
        <v>OK</v>
      </c>
      <c r="I177" t="str">
        <f t="shared" si="9"/>
        <v>OK</v>
      </c>
    </row>
    <row r="178">
      <c r="A178" t="str">
        <f>"АРТ-"&amp;LEFT(SUBSTITUTE(SUBSTITUTE(SUBSTITUTE(SUBSTITUTE(Товары_исходные!A178,"№",""),"АРТ-",""),"АРТ_",""),"/","-"),3)</f>
        <v>АРТ-177</v>
      </c>
      <c r="B178" t="str">
        <f>PROPER(TRIM(IFERROR(LEFT(Товары_исходные!B178,FIND("(",Товары_исходные!B178)-1),Товары_исходные!B178)))</f>
        <v xml:space="preserve">Телевизор Vizio M-Series 65</v>
      </c>
      <c r="C178" t="str">
        <f>IFERROR(VLOOKUP(Товары_исходные!C178,Справочники!$A$2:$B$50,2,FALSE),Товары_исходные!C178)</f>
        <v>Телевизоры</v>
      </c>
      <c r="D178" t="str">
        <f>PROPER(TRIM(Товары_исходные!D178))</f>
        <v>Vizio</v>
      </c>
      <c r="E178" s="4">
        <f>IFERROR(VALUE(IF(AND(ISNUMBER(FIND(",",Товары_исходные!E178)),ISNUMBER(FIND(".",Товары_исходные!E178))),SUBSTITUTE(SUBSTITUTE(SUBSTITUTE(SUBSTITUTE(Товары_исходные!E178," ",""),"руб.",""),"руб",""),",",""),SUBSTITUTE(SUBSTITUTE(SUBSTITUTE(SUBSTITUTE(Товары_исходные!E178," ",""),"руб.",""),"руб",""),",","."))),0)</f>
        <v>66500</v>
      </c>
      <c r="F178" s="4">
        <f>IFERROR(VALUE(IF(AND(ISNUMBER(FIND(",",Товары_исходные!F178)),ISNUMBER(FIND(".",Товары_исходные!F178))),SUBSTITUTE(SUBSTITUTE(SUBSTITUTE(SUBSTITUTE(Товары_исходные!F178," ",""),"руб.",""),"руб",""),",",""),SUBSTITUTE(SUBSTITUTE(SUBSTITUTE(SUBSTITUTE(Товары_исходные!F178," ",""),"руб.",""),"руб",""),",","."))),0)</f>
        <v>102500</v>
      </c>
      <c r="G178" t="str">
        <f>IFERROR(VLOOKUP(Товары_исходные!G178,Справочники!$D$2:$E$50,2,FALSE),"шт.")</f>
        <v>шт.</v>
      </c>
      <c r="H178" t="str">
        <f t="shared" si="8"/>
        <v>OK</v>
      </c>
      <c r="I178" t="str">
        <f t="shared" si="9"/>
        <v>OK</v>
      </c>
    </row>
    <row r="179">
      <c r="A179" t="str">
        <f>"АРТ-"&amp;LEFT(SUBSTITUTE(SUBSTITUTE(SUBSTITUTE(SUBSTITUTE(Товары_исходные!A179,"№",""),"АРТ-",""),"АРТ_",""),"/","-"),3)</f>
        <v>АРТ-178</v>
      </c>
      <c r="B179" t="str">
        <f>PROPER(TRIM(IFERROR(LEFT(Товары_исходные!B179,FIND("(",Товары_исходные!B179)-1),Товары_исходные!B179)))</f>
        <v xml:space="preserve">Наушники Jabra Elite 85H</v>
      </c>
      <c r="C179" t="str">
        <f>IFERROR(VLOOKUP(Товары_исходные!C179,Справочники!$A$2:$B$50,2,FALSE),Товары_исходные!C179)</f>
        <v>Наушники</v>
      </c>
      <c r="D179" t="str">
        <f>PROPER(TRIM(Товары_исходные!D179))</f>
        <v>Jabra</v>
      </c>
      <c r="E179" s="4">
        <f>IFERROR(VALUE(IF(AND(ISNUMBER(FIND(",",Товары_исходные!E179)),ISNUMBER(FIND(".",Товары_исходные!E179))),SUBSTITUTE(SUBSTITUTE(SUBSTITUTE(SUBSTITUTE(Товары_исходные!E179," ",""),"руб.",""),"руб",""),",",""),SUBSTITUTE(SUBSTITUTE(SUBSTITUTE(SUBSTITUTE(Товары_исходные!E179," ",""),"руб.",""),"руб",""),",","."))),0)</f>
        <v>8000</v>
      </c>
      <c r="F179" s="4">
        <f>IFERROR(VALUE(IF(AND(ISNUMBER(FIND(",",Товары_исходные!F179)),ISNUMBER(FIND(".",Товары_исходные!F179))),SUBSTITUTE(SUBSTITUTE(SUBSTITUTE(SUBSTITUTE(Товары_исходные!F179," ",""),"руб.",""),"руб",""),",",""),SUBSTITUTE(SUBSTITUTE(SUBSTITUTE(SUBSTITUTE(Товары_исходные!F179," ",""),"руб.",""),"руб",""),",","."))),0)</f>
        <v>13990</v>
      </c>
      <c r="G179" t="str">
        <f>IFERROR(VLOOKUP(Товары_исходные!G179,Справочники!$D$2:$E$50,2,FALSE),"шт.")</f>
        <v>шт.</v>
      </c>
      <c r="H179" t="str">
        <f t="shared" si="8"/>
        <v>OK</v>
      </c>
      <c r="I179" t="str">
        <f t="shared" si="9"/>
        <v>OK</v>
      </c>
    </row>
    <row r="180">
      <c r="A180" t="str">
        <f>"АРТ-"&amp;LEFT(SUBSTITUTE(SUBSTITUTE(SUBSTITUTE(SUBSTITUTE(Товары_исходные!A180,"№",""),"АРТ-",""),"АРТ_",""),"/","-"),3)</f>
        <v>АРТ-179</v>
      </c>
      <c r="B180" t="str">
        <f>PROPER(TRIM(IFERROR(LEFT(Товары_исходные!B180,FIND("(",Товары_исходные!B180)-1),Товары_исходные!B180)))</f>
        <v xml:space="preserve">Наушники Jabra Elite 85H</v>
      </c>
      <c r="C180" t="str">
        <f>IFERROR(VLOOKUP(Товары_исходные!C180,Справочники!$A$2:$B$50,2,FALSE),Товары_исходные!C180)</f>
        <v>Наушники</v>
      </c>
      <c r="D180" t="str">
        <f>PROPER(TRIM(Товары_исходные!D180))</f>
        <v>Jabra</v>
      </c>
      <c r="E180" s="4">
        <f>IFERROR(VALUE(IF(AND(ISNUMBER(FIND(",",Товары_исходные!E180)),ISNUMBER(FIND(".",Товары_исходные!E180))),SUBSTITUTE(SUBSTITUTE(SUBSTITUTE(SUBSTITUTE(Товары_исходные!E180," ",""),"руб.",""),"руб",""),",",""),SUBSTITUTE(SUBSTITUTE(SUBSTITUTE(SUBSTITUTE(Товары_исходные!E180," ",""),"руб.",""),"руб",""),",","."))),0)</f>
        <v>7500</v>
      </c>
      <c r="F180" s="4">
        <f>IFERROR(VALUE(IF(AND(ISNUMBER(FIND(",",Товары_исходные!F180)),ISNUMBER(FIND(".",Товары_исходные!F180))),SUBSTITUTE(SUBSTITUTE(SUBSTITUTE(SUBSTITUTE(Товары_исходные!F180," ",""),"руб.",""),"руб",""),",",""),SUBSTITUTE(SUBSTITUTE(SUBSTITUTE(SUBSTITUTE(Товары_исходные!F180," ",""),"руб.",""),"руб",""),",","."))),0)</f>
        <v>13000</v>
      </c>
      <c r="G180" t="str">
        <f>IFERROR(VLOOKUP(Товары_исходные!G180,Справочники!$D$2:$E$50,2,FALSE),"шт.")</f>
        <v>шт.</v>
      </c>
      <c r="H180" t="str">
        <f t="shared" si="8"/>
        <v>OK</v>
      </c>
      <c r="I180" t="str">
        <f t="shared" si="9"/>
        <v>OK</v>
      </c>
    </row>
    <row r="181">
      <c r="A181" t="str">
        <f>"АРТ-"&amp;LEFT(SUBSTITUTE(SUBSTITUTE(SUBSTITUTE(SUBSTITUTE(Товары_исходные!A181,"№",""),"АРТ-",""),"АРТ_",""),"/","-"),3)</f>
        <v>АРТ-180</v>
      </c>
      <c r="B181" t="str">
        <f>PROPER(TRIM(IFERROR(LEFT(Товары_исходные!B181,FIND("(",Товары_исходные!B181)-1),Товары_исходные!B181)))</f>
        <v xml:space="preserve">Наушники Jabra Elite 85H</v>
      </c>
      <c r="C181" t="str">
        <f>IFERROR(VLOOKUP(Товары_исходные!C181,Справочники!$A$2:$B$50,2,FALSE),Товары_исходные!C181)</f>
        <v>Наушники</v>
      </c>
      <c r="D181" t="str">
        <f>PROPER(TRIM(Товары_исходные!D181))</f>
        <v>Jabra</v>
      </c>
      <c r="E181" s="4">
        <f>IFERROR(VALUE(IF(AND(ISNUMBER(FIND(",",Товары_исходные!E181)),ISNUMBER(FIND(".",Товары_исходные!E181))),SUBSTITUTE(SUBSTITUTE(SUBSTITUTE(SUBSTITUTE(Товары_исходные!E181," ",""),"руб.",""),"руб",""),",",""),SUBSTITUTE(SUBSTITUTE(SUBSTITUTE(SUBSTITUTE(Товары_исходные!E181," ",""),"руб.",""),"руб",""),",","."))),0)</f>
        <v>8500</v>
      </c>
      <c r="F181" s="4">
        <f>IFERROR(VALUE(IF(AND(ISNUMBER(FIND(",",Товары_исходные!F181)),ISNUMBER(FIND(".",Товары_исходные!F181))),SUBSTITUTE(SUBSTITUTE(SUBSTITUTE(SUBSTITUTE(Товары_исходные!F181," ",""),"руб.",""),"руб",""),",",""),SUBSTITUTE(SUBSTITUTE(SUBSTITUTE(SUBSTITUTE(Товары_исходные!F181," ",""),"руб.",""),"руб",""),",","."))),0)</f>
        <v>14800</v>
      </c>
      <c r="G181" t="str">
        <f>IFERROR(VLOOKUP(Товары_исходные!G181,Справочники!$D$2:$E$50,2,FALSE),"шт.")</f>
        <v>шт.</v>
      </c>
      <c r="H181" t="str">
        <f t="shared" si="8"/>
        <v>OK</v>
      </c>
      <c r="I181" t="str">
        <f t="shared" si="9"/>
        <v>OK</v>
      </c>
    </row>
    <row r="182">
      <c r="A182" t="str">
        <f>"АРТ-"&amp;LEFT(SUBSTITUTE(SUBSTITUTE(SUBSTITUTE(SUBSTITUTE(Товары_исходные!A182,"№",""),"АРТ-",""),"АРТ_",""),"/","-"),3)</f>
        <v>АРТ-181</v>
      </c>
      <c r="B182" t="str">
        <f>PROPER(TRIM(IFERROR(LEFT(Товары_исходные!B182,FIND("(",Товары_исходные!B182)-1),Товары_исходные!B182)))</f>
        <v xml:space="preserve">Монитор Eizo Coloredge Cs2740</v>
      </c>
      <c r="C182" t="str">
        <f>IFERROR(VLOOKUP(Товары_исходные!C182,Справочники!$A$2:$B$50,2,FALSE),Товары_исходные!C182)</f>
        <v>Мониторы</v>
      </c>
      <c r="D182" t="str">
        <f>PROPER(TRIM(Товары_исходные!D182))</f>
        <v>Eizo</v>
      </c>
      <c r="E182" s="4">
        <f>IFERROR(VALUE(IF(AND(ISNUMBER(FIND(",",Товары_исходные!E182)),ISNUMBER(FIND(".",Товары_исходные!E182))),SUBSTITUTE(SUBSTITUTE(SUBSTITUTE(SUBSTITUTE(Товары_исходные!E182," ",""),"руб.",""),"руб",""),",",""),SUBSTITUTE(SUBSTITUTE(SUBSTITUTE(SUBSTITUTE(Товары_исходные!E182," ",""),"руб.",""),"руб",""),",","."))),0)</f>
        <v>110000</v>
      </c>
      <c r="F182" s="4">
        <f>IFERROR(VALUE(IF(AND(ISNUMBER(FIND(",",Товары_исходные!F182)),ISNUMBER(FIND(".",Товары_исходные!F182))),SUBSTITUTE(SUBSTITUTE(SUBSTITUTE(SUBSTITUTE(Товары_исходные!F182," ",""),"руб.",""),"руб",""),",",""),SUBSTITUTE(SUBSTITUTE(SUBSTITUTE(SUBSTITUTE(Товары_исходные!F182," ",""),"руб.",""),"руб",""),",","."))),0)</f>
        <v>169990</v>
      </c>
      <c r="G182" t="str">
        <f>IFERROR(VLOOKUP(Товары_исходные!G182,Справочники!$D$2:$E$50,2,FALSE),"шт.")</f>
        <v>шт.</v>
      </c>
      <c r="H182" t="str">
        <f t="shared" si="8"/>
        <v>OK</v>
      </c>
      <c r="I182" t="str">
        <f t="shared" si="9"/>
        <v>OK</v>
      </c>
    </row>
    <row r="183">
      <c r="A183" t="str">
        <f>"АРТ-"&amp;LEFT(SUBSTITUTE(SUBSTITUTE(SUBSTITUTE(SUBSTITUTE(Товары_исходные!A183,"№",""),"АРТ-",""),"АРТ_",""),"/","-"),3)</f>
        <v>АРТ-182</v>
      </c>
      <c r="B183" t="str">
        <f>PROPER(TRIM(IFERROR(LEFT(Товары_исходные!B183,FIND("(",Товары_исходные!B183)-1),Товары_исходные!B183)))</f>
        <v xml:space="preserve">Монитор Eizo Coloredge Cs2740</v>
      </c>
      <c r="C183" t="str">
        <f>IFERROR(VLOOKUP(Товары_исходные!C183,Справочники!$A$2:$B$50,2,FALSE),Товары_исходные!C183)</f>
        <v>Мониторы</v>
      </c>
      <c r="D183" t="str">
        <f>PROPER(TRIM(Товары_исходные!D183))</f>
        <v>Eizo</v>
      </c>
      <c r="E183" s="4">
        <f>IFERROR(VALUE(IF(AND(ISNUMBER(FIND(",",Товары_исходные!E183)),ISNUMBER(FIND(".",Товары_исходные!E183))),SUBSTITUTE(SUBSTITUTE(SUBSTITUTE(SUBSTITUTE(Товары_исходные!E183," ",""),"руб.",""),"руб",""),",",""),SUBSTITUTE(SUBSTITUTE(SUBSTITUTE(SUBSTITUTE(Товары_исходные!E183," ",""),"руб.",""),"руб",""),",","."))),0)</f>
        <v>108000</v>
      </c>
      <c r="F183" s="4">
        <f>IFERROR(VALUE(IF(AND(ISNUMBER(FIND(",",Товары_исходные!F183)),ISNUMBER(FIND(".",Товары_исходные!F183))),SUBSTITUTE(SUBSTITUTE(SUBSTITUTE(SUBSTITUTE(Товары_исходные!F183," ",""),"руб.",""),"руб",""),",",""),SUBSTITUTE(SUBSTITUTE(SUBSTITUTE(SUBSTITUTE(Товары_исходные!F183," ",""),"руб.",""),"руб",""),",","."))),0)</f>
        <v>166500</v>
      </c>
      <c r="G183" t="str">
        <f>IFERROR(VLOOKUP(Товары_исходные!G183,Справочники!$D$2:$E$50,2,FALSE),"шт.")</f>
        <v>шт.</v>
      </c>
      <c r="H183" t="str">
        <f t="shared" si="8"/>
        <v>OK</v>
      </c>
      <c r="I183" t="str">
        <f t="shared" si="9"/>
        <v>OK</v>
      </c>
    </row>
    <row r="184">
      <c r="A184" t="str">
        <f>"АРТ-"&amp;LEFT(SUBSTITUTE(SUBSTITUTE(SUBSTITUTE(SUBSTITUTE(Товары_исходные!A184,"№",""),"АРТ-",""),"АРТ_",""),"/","-"),3)</f>
        <v>АРТ-183</v>
      </c>
      <c r="B184" t="str">
        <f>PROPER(TRIM(IFERROR(LEFT(Товары_исходные!B184,FIND("(",Товары_исходные!B184)-1),Товары_исходные!B184)))</f>
        <v xml:space="preserve">Монитор Eizo Coloredge Cs2740</v>
      </c>
      <c r="C184" t="str">
        <f>IFERROR(VLOOKUP(Товары_исходные!C184,Справочники!$A$2:$B$50,2,FALSE),Товары_исходные!C184)</f>
        <v>Мониторы</v>
      </c>
      <c r="D184" t="str">
        <f>PROPER(TRIM(Товары_исходные!D184))</f>
        <v>Eizo</v>
      </c>
      <c r="E184" s="4">
        <f>IFERROR(VALUE(IF(AND(ISNUMBER(FIND(",",Товары_исходные!E184)),ISNUMBER(FIND(".",Товары_исходные!E184))),SUBSTITUTE(SUBSTITUTE(SUBSTITUTE(SUBSTITUTE(Товары_исходные!E184," ",""),"руб.",""),"руб",""),",",""),SUBSTITUTE(SUBSTITUTE(SUBSTITUTE(SUBSTITUTE(Товары_исходные!E184," ",""),"руб.",""),"руб",""),",","."))),0)</f>
        <v>112000</v>
      </c>
      <c r="F184" s="4">
        <f>IFERROR(VALUE(IF(AND(ISNUMBER(FIND(",",Товары_исходные!F184)),ISNUMBER(FIND(".",Товары_исходные!F184))),SUBSTITUTE(SUBSTITUTE(SUBSTITUTE(SUBSTITUTE(Товары_исходные!F184," ",""),"руб.",""),"руб",""),",",""),SUBSTITUTE(SUBSTITUTE(SUBSTITUTE(SUBSTITUTE(Товары_исходные!F184," ",""),"руб.",""),"руб",""),",","."))),0)</f>
        <v>173000</v>
      </c>
      <c r="G184" t="str">
        <f>IFERROR(VLOOKUP(Товары_исходные!G184,Справочники!$D$2:$E$50,2,FALSE),"шт.")</f>
        <v>шт.</v>
      </c>
      <c r="H184" t="str">
        <f t="shared" si="8"/>
        <v>OK</v>
      </c>
      <c r="I184" t="str">
        <f t="shared" si="9"/>
        <v>OK</v>
      </c>
    </row>
    <row r="185">
      <c r="A185" t="str">
        <f>"АРТ-"&amp;LEFT(SUBSTITUTE(SUBSTITUTE(SUBSTITUTE(SUBSTITUTE(Товары_исходные!A185,"№",""),"АРТ-",""),"АРТ_",""),"/","-"),3)</f>
        <v>АРТ-184</v>
      </c>
      <c r="B185" t="str">
        <f>PROPER(TRIM(IFERROR(LEFT(Товары_исходные!B185,FIND("(",Товары_исходные!B185)-1),Товары_исходные!B185)))</f>
        <v xml:space="preserve">Колонка Sony Srs-Xg300</v>
      </c>
      <c r="C185" t="str">
        <f>IFERROR(VLOOKUP(Товары_исходные!C185,Справочники!$A$2:$B$50,2,FALSE),Товары_исходные!C185)</f>
        <v>Аксессуары</v>
      </c>
      <c r="D185" t="str">
        <f>PROPER(TRIM(Товары_исходные!D185))</f>
        <v>Sony</v>
      </c>
      <c r="E185" s="4">
        <f>IFERROR(VALUE(IF(AND(ISNUMBER(FIND(",",Товары_исходные!E185)),ISNUMBER(FIND(".",Товары_исходные!E185))),SUBSTITUTE(SUBSTITUTE(SUBSTITUTE(SUBSTITUTE(Товары_исходные!E185," ",""),"руб.",""),"руб",""),",",""),SUBSTITUTE(SUBSTITUTE(SUBSTITUTE(SUBSTITUTE(Товары_исходные!E185," ",""),"руб.",""),"руб",""),",","."))),0)</f>
        <v>12000</v>
      </c>
      <c r="F185" s="4">
        <f>IFERROR(VALUE(IF(AND(ISNUMBER(FIND(",",Товары_исходные!F185)),ISNUMBER(FIND(".",Товары_исходные!F185))),SUBSTITUTE(SUBSTITUTE(SUBSTITUTE(SUBSTITUTE(Товары_исходные!F185," ",""),"руб.",""),"руб",""),",",""),SUBSTITUTE(SUBSTITUTE(SUBSTITUTE(SUBSTITUTE(Товары_исходные!F185," ",""),"руб.",""),"руб",""),",","."))),0)</f>
        <v>19990</v>
      </c>
      <c r="G185" t="str">
        <f>IFERROR(VLOOKUP(Товары_исходные!G185,Справочники!$D$2:$E$50,2,FALSE),"шт.")</f>
        <v>шт.</v>
      </c>
      <c r="H185" t="str">
        <f t="shared" si="8"/>
        <v>OK</v>
      </c>
      <c r="I185" t="str">
        <f t="shared" si="9"/>
        <v>OK</v>
      </c>
    </row>
    <row r="186">
      <c r="A186" t="str">
        <f>"АРТ-"&amp;LEFT(SUBSTITUTE(SUBSTITUTE(SUBSTITUTE(SUBSTITUTE(Товары_исходные!A186,"№",""),"АРТ-",""),"АРТ_",""),"/","-"),3)</f>
        <v>АРТ-185</v>
      </c>
      <c r="B186" t="str">
        <f>PROPER(TRIM(IFERROR(LEFT(Товары_исходные!B186,FIND("(",Товары_исходные!B186)-1),Товары_исходные!B186)))</f>
        <v xml:space="preserve">Колонка Sony Srs-Xg300</v>
      </c>
      <c r="C186" t="str">
        <f>IFERROR(VLOOKUP(Товары_исходные!C186,Справочники!$A$2:$B$50,2,FALSE),Товары_исходные!C186)</f>
        <v>Аксессуары</v>
      </c>
      <c r="D186" t="str">
        <f>PROPER(TRIM(Товары_исходные!D186))</f>
        <v>Sony</v>
      </c>
      <c r="E186" s="4">
        <f>IFERROR(VALUE(IF(AND(ISNUMBER(FIND(",",Товары_исходные!E186)),ISNUMBER(FIND(".",Товары_исходные!E186))),SUBSTITUTE(SUBSTITUTE(SUBSTITUTE(SUBSTITUTE(Товары_исходные!E186," ",""),"руб.",""),"руб",""),",",""),SUBSTITUTE(SUBSTITUTE(SUBSTITUTE(SUBSTITUTE(Товары_исходные!E186," ",""),"руб.",""),"руб",""),",","."))),0)</f>
        <v>11500</v>
      </c>
      <c r="F186" s="4">
        <f>IFERROR(VALUE(IF(AND(ISNUMBER(FIND(",",Товары_исходные!F186)),ISNUMBER(FIND(".",Товары_исходные!F186))),SUBSTITUTE(SUBSTITUTE(SUBSTITUTE(SUBSTITUTE(Товары_исходные!F186," ",""),"руб.",""),"руб",""),",",""),SUBSTITUTE(SUBSTITUTE(SUBSTITUTE(SUBSTITUTE(Товары_исходные!F186," ",""),"руб.",""),"руб",""),",","."))),0)</f>
        <v>19000</v>
      </c>
      <c r="G186" t="str">
        <f>IFERROR(VLOOKUP(Товары_исходные!G186,Справочники!$D$2:$E$50,2,FALSE),"шт.")</f>
        <v>шт.</v>
      </c>
      <c r="H186" t="str">
        <f t="shared" si="8"/>
        <v>OK</v>
      </c>
      <c r="I186" t="str">
        <f t="shared" si="9"/>
        <v>OK</v>
      </c>
    </row>
    <row r="187">
      <c r="A187" t="str">
        <f>"АРТ-"&amp;LEFT(SUBSTITUTE(SUBSTITUTE(SUBSTITUTE(SUBSTITUTE(Товары_исходные!A187,"№",""),"АРТ-",""),"АРТ_",""),"/","-"),3)</f>
        <v>АРТ-186</v>
      </c>
      <c r="B187" t="str">
        <f>PROPER(TRIM(IFERROR(LEFT(Товары_исходные!B187,FIND("(",Товары_исходные!B187)-1),Товары_исходные!B187)))</f>
        <v xml:space="preserve">Колонка Sony Srs-Xg300</v>
      </c>
      <c r="C187" t="str">
        <f>IFERROR(VLOOKUP(Товары_исходные!C187,Справочники!$A$2:$B$50,2,FALSE),Товары_исходные!C187)</f>
        <v>Аксессуары</v>
      </c>
      <c r="D187" t="str">
        <f>PROPER(TRIM(Товары_исходные!D187))</f>
        <v>Sony</v>
      </c>
      <c r="E187" s="4">
        <f>IFERROR(VALUE(IF(AND(ISNUMBER(FIND(",",Товары_исходные!E187)),ISNUMBER(FIND(".",Товары_исходные!E187))),SUBSTITUTE(SUBSTITUTE(SUBSTITUTE(SUBSTITUTE(Товары_исходные!E187," ",""),"руб.",""),"руб",""),",",""),SUBSTITUTE(SUBSTITUTE(SUBSTITUTE(SUBSTITUTE(Товары_исходные!E187," ",""),"руб.",""),"руб",""),",","."))),0)</f>
        <v>12500</v>
      </c>
      <c r="F187" s="4">
        <f>IFERROR(VALUE(IF(AND(ISNUMBER(FIND(",",Товары_исходные!F187)),ISNUMBER(FIND(".",Товары_исходные!F187))),SUBSTITUTE(SUBSTITUTE(SUBSTITUTE(SUBSTITUTE(Товары_исходные!F187," ",""),"руб.",""),"руб",""),",",""),SUBSTITUTE(SUBSTITUTE(SUBSTITUTE(SUBSTITUTE(Товары_исходные!F187," ",""),"руб.",""),"руб",""),",","."))),0)</f>
        <v>20800</v>
      </c>
      <c r="G187" t="str">
        <f>IFERROR(VLOOKUP(Товары_исходные!G187,Справочники!$D$2:$E$50,2,FALSE),"шт.")</f>
        <v>шт.</v>
      </c>
      <c r="H187" t="str">
        <f t="shared" si="8"/>
        <v>OK</v>
      </c>
      <c r="I187" t="str">
        <f t="shared" si="9"/>
        <v>OK</v>
      </c>
    </row>
    <row r="188">
      <c r="A188" t="str">
        <f>"АРТ-"&amp;LEFT(SUBSTITUTE(SUBSTITUTE(SUBSTITUTE(SUBSTITUTE(Товары_исходные!A188,"№",""),"АРТ-",""),"АРТ_",""),"/","-"),3)</f>
        <v>АРТ-187</v>
      </c>
      <c r="B188" t="str">
        <f>PROPER(TRIM(IFERROR(LEFT(Товары_исходные!B188,FIND("(",Товары_исходные!B188)-1),Товары_исходные!B188)))</f>
        <v xml:space="preserve">Смарт-Часы Apple Watch Series 9</v>
      </c>
      <c r="C188" t="str">
        <f>IFERROR(VLOOKUP(Товары_исходные!C188,Справочники!$A$2:$B$50,2,FALSE),Товары_исходные!C188)</f>
        <v>Часы</v>
      </c>
      <c r="D188" t="str">
        <f>PROPER(TRIM(Товары_исходные!D188))</f>
        <v>Apple</v>
      </c>
      <c r="E188" s="4">
        <f>IFERROR(VALUE(IF(AND(ISNUMBER(FIND(",",Товары_исходные!E188)),ISNUMBER(FIND(".",Товары_исходные!E188))),SUBSTITUTE(SUBSTITUTE(SUBSTITUTE(SUBSTITUTE(Товары_исходные!E188," ",""),"руб.",""),"руб",""),",",""),SUBSTITUTE(SUBSTITUTE(SUBSTITUTE(SUBSTITUTE(Товары_исходные!E188," ",""),"руб.",""),"руб",""),",","."))),0)</f>
        <v>30000</v>
      </c>
      <c r="F188" s="4">
        <f>IFERROR(VALUE(IF(AND(ISNUMBER(FIND(",",Товары_исходные!F188)),ISNUMBER(FIND(".",Товары_исходные!F188))),SUBSTITUTE(SUBSTITUTE(SUBSTITUTE(SUBSTITUTE(Товары_исходные!F188," ",""),"руб.",""),"руб",""),",",""),SUBSTITUTE(SUBSTITUTE(SUBSTITUTE(SUBSTITUTE(Товары_исходные!F188," ",""),"руб.",""),"руб",""),",","."))),0)</f>
        <v>49990</v>
      </c>
      <c r="G188" t="str">
        <f>IFERROR(VLOOKUP(Товары_исходные!G188,Справочники!$D$2:$E$50,2,FALSE),"шт.")</f>
        <v>шт.</v>
      </c>
      <c r="H188" t="str">
        <f t="shared" si="8"/>
        <v>OK</v>
      </c>
      <c r="I188" t="str">
        <f t="shared" si="9"/>
        <v>OK</v>
      </c>
    </row>
    <row r="189">
      <c r="A189" t="str">
        <f>"АРТ-"&amp;LEFT(SUBSTITUTE(SUBSTITUTE(SUBSTITUTE(SUBSTITUTE(Товары_исходные!A189,"№",""),"АРТ-",""),"АРТ_",""),"/","-"),3)</f>
        <v>АРТ-188</v>
      </c>
      <c r="B189" t="str">
        <f>PROPER(TRIM(IFERROR(LEFT(Товары_исходные!B189,FIND("(",Товары_исходные!B189)-1),Товары_исходные!B189)))</f>
        <v xml:space="preserve">Смарт-Часы Apple Watch Series 9</v>
      </c>
      <c r="C189" t="str">
        <f>IFERROR(VLOOKUP(Товары_исходные!C189,Справочники!$A$2:$B$50,2,FALSE),Товары_исходные!C189)</f>
        <v>Часы</v>
      </c>
      <c r="D189" t="str">
        <f>PROPER(TRIM(Товары_исходные!D189))</f>
        <v>Apple</v>
      </c>
      <c r="E189" s="4">
        <f>IFERROR(VALUE(IF(AND(ISNUMBER(FIND(",",Товары_исходные!E189)),ISNUMBER(FIND(".",Товары_исходные!E189))),SUBSTITUTE(SUBSTITUTE(SUBSTITUTE(SUBSTITUTE(Товары_исходные!E189," ",""),"руб.",""),"руб",""),",",""),SUBSTITUTE(SUBSTITUTE(SUBSTITUTE(SUBSTITUTE(Товары_исходные!E189," ",""),"руб.",""),"руб",""),",","."))),0)</f>
        <v>29000</v>
      </c>
      <c r="F189" s="4">
        <f>IFERROR(VALUE(IF(AND(ISNUMBER(FIND(",",Товары_исходные!F189)),ISNUMBER(FIND(".",Товары_исходные!F189))),SUBSTITUTE(SUBSTITUTE(SUBSTITUTE(SUBSTITUTE(Товары_исходные!F189," ",""),"руб.",""),"руб",""),",",""),SUBSTITUTE(SUBSTITUTE(SUBSTITUTE(SUBSTITUTE(Товары_исходные!F189," ",""),"руб.",""),"руб",""),",","."))),0)</f>
        <v>48500</v>
      </c>
      <c r="G189" t="str">
        <f>IFERROR(VLOOKUP(Товары_исходные!G189,Справочники!$D$2:$E$50,2,FALSE),"шт.")</f>
        <v>шт.</v>
      </c>
      <c r="H189" t="str">
        <f t="shared" si="8"/>
        <v>OK</v>
      </c>
      <c r="I189" t="str">
        <f t="shared" si="9"/>
        <v>OK</v>
      </c>
    </row>
    <row r="190">
      <c r="A190" t="str">
        <f>"АРТ-"&amp;LEFT(SUBSTITUTE(SUBSTITUTE(SUBSTITUTE(SUBSTITUTE(Товары_исходные!A190,"№",""),"АРТ-",""),"АРТ_",""),"/","-"),3)</f>
        <v>АРТ-189</v>
      </c>
      <c r="B190" t="str">
        <f>PROPER(TRIM(IFERROR(LEFT(Товары_исходные!B190,FIND("(",Товары_исходные!B190)-1),Товары_исходные!B190)))</f>
        <v xml:space="preserve">Смарт-Часы Apple Watch Series 9</v>
      </c>
      <c r="C190" t="str">
        <f>IFERROR(VLOOKUP(Товары_исходные!C190,Справочники!$A$2:$B$50,2,FALSE),Товары_исходные!C190)</f>
        <v>Часы</v>
      </c>
      <c r="D190" t="str">
        <f>PROPER(TRIM(Товары_исходные!D190))</f>
        <v>Apple</v>
      </c>
      <c r="E190" s="4">
        <f>IFERROR(VALUE(IF(AND(ISNUMBER(FIND(",",Товары_исходные!E190)),ISNUMBER(FIND(".",Товары_исходные!E190))),SUBSTITUTE(SUBSTITUTE(SUBSTITUTE(SUBSTITUTE(Товары_исходные!E190," ",""),"руб.",""),"руб",""),",",""),SUBSTITUTE(SUBSTITUTE(SUBSTITUTE(SUBSTITUTE(Товары_исходные!E190," ",""),"руб.",""),"руб",""),",","."))),0)</f>
        <v>31000</v>
      </c>
      <c r="F190" s="4">
        <f>IFERROR(VALUE(IF(AND(ISNUMBER(FIND(",",Товары_исходные!F190)),ISNUMBER(FIND(".",Товары_исходные!F190))),SUBSTITUTE(SUBSTITUTE(SUBSTITUTE(SUBSTITUTE(Товары_исходные!F190," ",""),"руб.",""),"руб",""),",",""),SUBSTITUTE(SUBSTITUTE(SUBSTITUTE(SUBSTITUTE(Товары_исходные!F190," ",""),"руб.",""),"руб",""),",","."))),0)</f>
        <v>51500</v>
      </c>
      <c r="G190" t="str">
        <f>IFERROR(VLOOKUP(Товары_исходные!G190,Справочники!$D$2:$E$50,2,FALSE),"шт.")</f>
        <v>шт.</v>
      </c>
      <c r="H190" t="str">
        <f t="shared" si="8"/>
        <v>OK</v>
      </c>
      <c r="I190" t="str">
        <f t="shared" si="9"/>
        <v>OK</v>
      </c>
    </row>
    <row r="191">
      <c r="A191" t="str">
        <f>"АРТ-"&amp;LEFT(SUBSTITUTE(SUBSTITUTE(SUBSTITUTE(SUBSTITUTE(Товары_исходные!A191,"№",""),"АРТ-",""),"АРТ_",""),"/","-"),3)</f>
        <v>АРТ-190</v>
      </c>
      <c r="B191" t="str">
        <f>PROPER(TRIM(IFERROR(LEFT(Товары_исходные!B191,FIND("(",Товары_исходные!B191)-1),Товары_исходные!B191)))</f>
        <v xml:space="preserve">Планшет Amazon Fire Hd 10</v>
      </c>
      <c r="C191" t="str">
        <f>IFERROR(VLOOKUP(Товары_исходные!C191,Справочники!$A$2:$B$50,2,FALSE),Товары_исходные!C191)</f>
        <v>Планшеты</v>
      </c>
      <c r="D191" t="str">
        <f>PROPER(TRIM(Товары_исходные!D191))</f>
        <v>Amazon</v>
      </c>
      <c r="E191" s="4">
        <f>IFERROR(VALUE(IF(AND(ISNUMBER(FIND(",",Товары_исходные!E191)),ISNUMBER(FIND(".",Товары_исходные!E191))),SUBSTITUTE(SUBSTITUTE(SUBSTITUTE(SUBSTITUTE(Товары_исходные!E191," ",""),"руб.",""),"руб",""),",",""),SUBSTITUTE(SUBSTITUTE(SUBSTITUTE(SUBSTITUTE(Товары_исходные!E191," ",""),"руб.",""),"руб",""),",","."))),0)</f>
        <v>15000</v>
      </c>
      <c r="F191" s="4">
        <f>IFERROR(VALUE(IF(AND(ISNUMBER(FIND(",",Товары_исходные!F191)),ISNUMBER(FIND(".",Товары_исходные!F191))),SUBSTITUTE(SUBSTITUTE(SUBSTITUTE(SUBSTITUTE(Товары_исходные!F191," ",""),"руб.",""),"руб",""),",",""),SUBSTITUTE(SUBSTITUTE(SUBSTITUTE(SUBSTITUTE(Товары_исходные!F191," ",""),"руб.",""),"руб",""),",","."))),0)</f>
        <v>24990</v>
      </c>
      <c r="G191" t="str">
        <f>IFERROR(VLOOKUP(Товары_исходные!G191,Справочники!$D$2:$E$50,2,FALSE),"шт.")</f>
        <v>шт.</v>
      </c>
      <c r="H191" t="str">
        <f t="shared" si="8"/>
        <v>OK</v>
      </c>
      <c r="I191" t="str">
        <f t="shared" si="9"/>
        <v>OK</v>
      </c>
    </row>
    <row r="192">
      <c r="A192" t="str">
        <f>"АРТ-"&amp;LEFT(SUBSTITUTE(SUBSTITUTE(SUBSTITUTE(SUBSTITUTE(Товары_исходные!A192,"№",""),"АРТ-",""),"АРТ_",""),"/","-"),3)</f>
        <v>АРТ-191</v>
      </c>
      <c r="B192" t="str">
        <f>PROPER(TRIM(IFERROR(LEFT(Товары_исходные!B192,FIND("(",Товары_исходные!B192)-1),Товары_исходные!B192)))</f>
        <v xml:space="preserve">Планшет Amazon Fire Hd 10</v>
      </c>
      <c r="C192" t="str">
        <f>IFERROR(VLOOKUP(Товары_исходные!C192,Справочники!$A$2:$B$50,2,FALSE),Товары_исходные!C192)</f>
        <v>Планшеты</v>
      </c>
      <c r="D192" t="str">
        <f>PROPER(TRIM(Товары_исходные!D192))</f>
        <v>Amazon</v>
      </c>
      <c r="E192" s="4">
        <f>IFERROR(VALUE(IF(AND(ISNUMBER(FIND(",",Товары_исходные!E192)),ISNUMBER(FIND(".",Товары_исходные!E192))),SUBSTITUTE(SUBSTITUTE(SUBSTITUTE(SUBSTITUTE(Товары_исходные!E192," ",""),"руб.",""),"руб",""),",",""),SUBSTITUTE(SUBSTITUTE(SUBSTITUTE(SUBSTITUTE(Товары_исходные!E192," ",""),"руб.",""),"руб",""),",","."))),0)</f>
        <v>14000</v>
      </c>
      <c r="F192" s="4">
        <f>IFERROR(VALUE(IF(AND(ISNUMBER(FIND(",",Товары_исходные!F192)),ISNUMBER(FIND(".",Товары_исходные!F192))),SUBSTITUTE(SUBSTITUTE(SUBSTITUTE(SUBSTITUTE(Товары_исходные!F192," ",""),"руб.",""),"руб",""),",",""),SUBSTITUTE(SUBSTITUTE(SUBSTITUTE(SUBSTITUTE(Товары_исходные!F192," ",""),"руб.",""),"руб",""),",","."))),0)</f>
        <v>23500</v>
      </c>
      <c r="G192" t="str">
        <f>IFERROR(VLOOKUP(Товары_исходные!G192,Справочники!$D$2:$E$50,2,FALSE),"шт.")</f>
        <v>шт.</v>
      </c>
      <c r="H192" t="str">
        <f t="shared" si="8"/>
        <v>OK</v>
      </c>
      <c r="I192" t="str">
        <f t="shared" si="9"/>
        <v>OK</v>
      </c>
    </row>
    <row r="193">
      <c r="A193" t="str">
        <f>"АРТ-"&amp;LEFT(SUBSTITUTE(SUBSTITUTE(SUBSTITUTE(SUBSTITUTE(Товары_исходные!A193,"№",""),"АРТ-",""),"АРТ_",""),"/","-"),3)</f>
        <v>АРТ-192</v>
      </c>
      <c r="B193" t="str">
        <f>PROPER(TRIM(IFERROR(LEFT(Товары_исходные!B193,FIND("(",Товары_исходные!B193)-1),Товары_исходные!B193)))</f>
        <v xml:space="preserve">Планшет Amazon Fire Hd 10</v>
      </c>
      <c r="C193" t="str">
        <f>IFERROR(VLOOKUP(Товары_исходные!C193,Справочники!$A$2:$B$50,2,FALSE),Товары_исходные!C193)</f>
        <v>Планшеты</v>
      </c>
      <c r="D193" t="str">
        <f>PROPER(TRIM(Товары_исходные!D193))</f>
        <v>Amazon</v>
      </c>
      <c r="E193" s="4">
        <f>IFERROR(VALUE(IF(AND(ISNUMBER(FIND(",",Товары_исходные!E193)),ISNUMBER(FIND(".",Товары_исходные!E193))),SUBSTITUTE(SUBSTITUTE(SUBSTITUTE(SUBSTITUTE(Товары_исходные!E193," ",""),"руб.",""),"руб",""),",",""),SUBSTITUTE(SUBSTITUTE(SUBSTITUTE(SUBSTITUTE(Товары_исходные!E193," ",""),"руб.",""),"руб",""),",","."))),0)</f>
        <v>16000</v>
      </c>
      <c r="F193" s="4">
        <f>IFERROR(VALUE(IF(AND(ISNUMBER(FIND(",",Товары_исходные!F193)),ISNUMBER(FIND(".",Товары_исходные!F193))),SUBSTITUTE(SUBSTITUTE(SUBSTITUTE(SUBSTITUTE(Товары_исходные!F193," ",""),"руб.",""),"руб",""),",",""),SUBSTITUTE(SUBSTITUTE(SUBSTITUTE(SUBSTITUTE(Товары_исходные!F193," ",""),"руб.",""),"руб",""),",","."))),0)</f>
        <v>26500</v>
      </c>
      <c r="G193" t="str">
        <f>IFERROR(VLOOKUP(Товары_исходные!G193,Справочники!$D$2:$E$50,2,FALSE),"шт.")</f>
        <v>шт.</v>
      </c>
      <c r="H193" t="str">
        <f t="shared" si="8"/>
        <v>OK</v>
      </c>
      <c r="I193" t="str">
        <f t="shared" si="9"/>
        <v>OK</v>
      </c>
    </row>
    <row r="194">
      <c r="A194" t="str">
        <f>"АРТ-"&amp;LEFT(SUBSTITUTE(SUBSTITUTE(SUBSTITUTE(SUBSTITUTE(Товары_исходные!A194,"№",""),"АРТ-",""),"АРТ_",""),"/","-"),3)</f>
        <v>АРТ-193</v>
      </c>
      <c r="B194" t="str">
        <f>PROPER(TRIM(IFERROR(LEFT(Товары_исходные!B194,FIND("(",Товары_исходные!B194)-1),Товары_исходные!B194)))</f>
        <v xml:space="preserve">Ноутбук Framework Laptop 13</v>
      </c>
      <c r="C194" t="str">
        <f>IFERROR(VLOOKUP(Товары_исходные!C194,Справочники!$A$2:$B$50,2,FALSE),Товары_исходные!C194)</f>
        <v>Ноутбуки</v>
      </c>
      <c r="D194" t="str">
        <f>PROPER(TRIM(Товары_исходные!D194))</f>
        <v>Framework</v>
      </c>
      <c r="E194" s="4">
        <f>IFERROR(VALUE(IF(AND(ISNUMBER(FIND(",",Товары_исходные!E194)),ISNUMBER(FIND(".",Товары_исходные!E194))),SUBSTITUTE(SUBSTITUTE(SUBSTITUTE(SUBSTITUTE(Товары_исходные!E194," ",""),"руб.",""),"руб",""),",",""),SUBSTITUTE(SUBSTITUTE(SUBSTITUTE(SUBSTITUTE(Товары_исходные!E194," ",""),"руб.",""),"руб",""),",","."))),0)</f>
        <v>85000</v>
      </c>
      <c r="F194" s="4">
        <f>IFERROR(VALUE(IF(AND(ISNUMBER(FIND(",",Товары_исходные!F194)),ISNUMBER(FIND(".",Товары_исходные!F194))),SUBSTITUTE(SUBSTITUTE(SUBSTITUTE(SUBSTITUTE(Товары_исходные!F194," ",""),"руб.",""),"руб",""),",",""),SUBSTITUTE(SUBSTITUTE(SUBSTITUTE(SUBSTITUTE(Товары_исходные!F194," ",""),"руб.",""),"руб",""),",","."))),0)</f>
        <v>129990</v>
      </c>
      <c r="G194" t="str">
        <f>IFERROR(VLOOKUP(Товары_исходные!G194,Справочники!$D$2:$E$50,2,FALSE),"шт.")</f>
        <v>шт.</v>
      </c>
      <c r="H194" t="str">
        <f t="shared" si="8"/>
        <v>OK</v>
      </c>
      <c r="I194" t="str">
        <f t="shared" si="9"/>
        <v>OK</v>
      </c>
    </row>
    <row r="195">
      <c r="A195" t="str">
        <f>"АРТ-"&amp;LEFT(SUBSTITUTE(SUBSTITUTE(SUBSTITUTE(SUBSTITUTE(Товары_исходные!A195,"№",""),"АРТ-",""),"АРТ_",""),"/","-"),3)</f>
        <v>АРТ-194</v>
      </c>
      <c r="B195" t="str">
        <f>PROPER(TRIM(IFERROR(LEFT(Товары_исходные!B195,FIND("(",Товары_исходные!B195)-1),Товары_исходные!B195)))</f>
        <v xml:space="preserve">Ноутбук Framework Laptop 13</v>
      </c>
      <c r="C195" t="str">
        <f>IFERROR(VLOOKUP(Товары_исходные!C195,Справочники!$A$2:$B$50,2,FALSE),Товары_исходные!C195)</f>
        <v>Ноутбуки</v>
      </c>
      <c r="D195" t="str">
        <f>PROPER(TRIM(Товары_исходные!D195))</f>
        <v>Framework</v>
      </c>
      <c r="E195" s="4">
        <f>IFERROR(VALUE(IF(AND(ISNUMBER(FIND(",",Товары_исходные!E195)),ISNUMBER(FIND(".",Товары_исходные!E195))),SUBSTITUTE(SUBSTITUTE(SUBSTITUTE(SUBSTITUTE(Товары_исходные!E195," ",""),"руб.",""),"руб",""),",",""),SUBSTITUTE(SUBSTITUTE(SUBSTITUTE(SUBSTITUTE(Товары_исходные!E195," ",""),"руб.",""),"руб",""),",","."))),0)</f>
        <v>83000</v>
      </c>
      <c r="F195" s="4">
        <f>IFERROR(VALUE(IF(AND(ISNUMBER(FIND(",",Товары_исходные!F195)),ISNUMBER(FIND(".",Товары_исходные!F195))),SUBSTITUTE(SUBSTITUTE(SUBSTITUTE(SUBSTITUTE(Товары_исходные!F195," ",""),"руб.",""),"руб",""),",",""),SUBSTITUTE(SUBSTITUTE(SUBSTITUTE(SUBSTITUTE(Товары_исходные!F195," ",""),"руб.",""),"руб",""),",","."))),0)</f>
        <v>127000</v>
      </c>
      <c r="G195" t="str">
        <f>IFERROR(VLOOKUP(Товары_исходные!G195,Справочники!$D$2:$E$50,2,FALSE),"шт.")</f>
        <v>шт.</v>
      </c>
      <c r="H195" t="str">
        <f t="shared" si="8"/>
        <v>OK</v>
      </c>
      <c r="I195" t="str">
        <f t="shared" si="9"/>
        <v>OK</v>
      </c>
    </row>
    <row r="196">
      <c r="A196" t="str">
        <f>"АРТ-"&amp;LEFT(SUBSTITUTE(SUBSTITUTE(SUBSTITUTE(SUBSTITUTE(Товары_исходные!A196,"№",""),"АРТ-",""),"АРТ_",""),"/","-"),3)</f>
        <v>АРТ-195</v>
      </c>
      <c r="B196" t="str">
        <f>PROPER(TRIM(IFERROR(LEFT(Товары_исходные!B196,FIND("(",Товары_исходные!B196)-1),Товары_исходные!B196)))</f>
        <v xml:space="preserve">Ноутбук Framework Laptop 13</v>
      </c>
      <c r="C196" t="str">
        <f>IFERROR(VLOOKUP(Товары_исходные!C196,Справочники!$A$2:$B$50,2,FALSE),Товары_исходные!C196)</f>
        <v>Ноутбуки</v>
      </c>
      <c r="D196" t="str">
        <f>PROPER(TRIM(Товары_исходные!D196))</f>
        <v>Framework</v>
      </c>
      <c r="E196" s="4">
        <f>IFERROR(VALUE(IF(AND(ISNUMBER(FIND(",",Товары_исходные!E196)),ISNUMBER(FIND(".",Товары_исходные!E196))),SUBSTITUTE(SUBSTITUTE(SUBSTITUTE(SUBSTITUTE(Товары_исходные!E196," ",""),"руб.",""),"руб",""),",",""),SUBSTITUTE(SUBSTITUTE(SUBSTITUTE(SUBSTITUTE(Товары_исходные!E196," ",""),"руб.",""),"руб",""),",","."))),0)</f>
        <v>86500</v>
      </c>
      <c r="F196" s="4">
        <f>IFERROR(VALUE(IF(AND(ISNUMBER(FIND(",",Товары_исходные!F196)),ISNUMBER(FIND(".",Товары_исходные!F196))),SUBSTITUTE(SUBSTITUTE(SUBSTITUTE(SUBSTITUTE(Товары_исходные!F196," ",""),"руб.",""),"руб",""),",",""),SUBSTITUTE(SUBSTITUTE(SUBSTITUTE(SUBSTITUTE(Товары_исходные!F196," ",""),"руб.",""),"руб",""),",","."))),0)</f>
        <v>132500</v>
      </c>
      <c r="G196" t="str">
        <f>IFERROR(VLOOKUP(Товары_исходные!G196,Справочники!$D$2:$E$50,2,FALSE),"шт.")</f>
        <v>шт.</v>
      </c>
      <c r="H196" t="str">
        <f t="shared" si="8"/>
        <v>OK</v>
      </c>
      <c r="I196" t="str">
        <f t="shared" si="9"/>
        <v>OK</v>
      </c>
    </row>
    <row r="197">
      <c r="A197" t="str">
        <f>"АРТ-"&amp;LEFT(SUBSTITUTE(SUBSTITUTE(SUBSTITUTE(SUBSTITUTE(Товары_исходные!A197,"№",""),"АРТ-",""),"АРТ_",""),"/","-"),3)</f>
        <v>АРТ-196</v>
      </c>
      <c r="B197" t="str">
        <f>PROPER(TRIM(IFERROR(LEFT(Товары_исходные!B197,FIND("(",Товары_исходные!B197)-1),Товары_исходные!B197)))</f>
        <v xml:space="preserve">Смартфон Vivo X90</v>
      </c>
      <c r="C197" t="str">
        <f>IFERROR(VLOOKUP(Товары_исходные!C197,Справочники!$A$2:$B$50,2,FALSE),Товары_исходные!C197)</f>
        <v>Смартфоны</v>
      </c>
      <c r="D197" t="str">
        <f>PROPER(TRIM(Товары_исходные!D197))</f>
        <v>Vivo</v>
      </c>
      <c r="E197" s="4">
        <f>IFERROR(VALUE(IF(AND(ISNUMBER(FIND(",",Товары_исходные!E197)),ISNUMBER(FIND(".",Товары_исходные!E197))),SUBSTITUTE(SUBSTITUTE(SUBSTITUTE(SUBSTITUTE(Товары_исходные!E197," ",""),"руб.",""),"руб",""),",",""),SUBSTITUTE(SUBSTITUTE(SUBSTITUTE(SUBSTITUTE(Товары_исходные!E197," ",""),"руб.",""),"руб",""),",","."))),0)</f>
        <v>31000</v>
      </c>
      <c r="F197" s="4">
        <f>IFERROR(VALUE(IF(AND(ISNUMBER(FIND(",",Товары_исходные!F197)),ISNUMBER(FIND(".",Товары_исходные!F197))),SUBSTITUTE(SUBSTITUTE(SUBSTITUTE(SUBSTITUTE(Товары_исходные!F197," ",""),"руб.",""),"руб",""),",",""),SUBSTITUTE(SUBSTITUTE(SUBSTITUTE(SUBSTITUTE(Товары_исходные!F197," ",""),"руб.",""),"руб",""),",","."))),0)</f>
        <v>53990</v>
      </c>
      <c r="G197" t="str">
        <f>IFERROR(VLOOKUP(Товары_исходные!G197,Справочники!$D$2:$E$50,2,FALSE),"шт.")</f>
        <v>шт.</v>
      </c>
      <c r="H197" t="str">
        <f t="shared" si="8"/>
        <v>OK</v>
      </c>
      <c r="I197" t="str">
        <f t="shared" si="9"/>
        <v>OK</v>
      </c>
    </row>
    <row r="198">
      <c r="A198" t="str">
        <f>"АРТ-"&amp;LEFT(SUBSTITUTE(SUBSTITUTE(SUBSTITUTE(SUBSTITUTE(Товары_исходные!A198,"№",""),"АРТ-",""),"АРТ_",""),"/","-"),3)</f>
        <v>АРТ-197</v>
      </c>
      <c r="B198" t="str">
        <f>PROPER(TRIM(IFERROR(LEFT(Товары_исходные!B198,FIND("(",Товары_исходные!B198)-1),Товары_исходные!B198)))</f>
        <v xml:space="preserve">Смартфон Vivo X90</v>
      </c>
      <c r="C198" t="str">
        <f>IFERROR(VLOOKUP(Товары_исходные!C198,Справочники!$A$2:$B$50,2,FALSE),Товары_исходные!C198)</f>
        <v>Смартфоны</v>
      </c>
      <c r="D198" t="str">
        <f>PROPER(TRIM(Товары_исходные!D198))</f>
        <v>Vivo</v>
      </c>
      <c r="E198" s="4">
        <f>IFERROR(VALUE(IF(AND(ISNUMBER(FIND(",",Товары_исходные!E198)),ISNUMBER(FIND(".",Товары_исходные!E198))),SUBSTITUTE(SUBSTITUTE(SUBSTITUTE(SUBSTITUTE(Товары_исходные!E198," ",""),"руб.",""),"руб",""),",",""),SUBSTITUTE(SUBSTITUTE(SUBSTITUTE(SUBSTITUTE(Товары_исходные!E198," ",""),"руб.",""),"руб",""),",","."))),0)</f>
        <v>30000</v>
      </c>
      <c r="F198" s="4">
        <f>IFERROR(VALUE(IF(AND(ISNUMBER(FIND(",",Товары_исходные!F198)),ISNUMBER(FIND(".",Товары_исходные!F198))),SUBSTITUTE(SUBSTITUTE(SUBSTITUTE(SUBSTITUTE(Товары_исходные!F198," ",""),"руб.",""),"руб",""),",",""),SUBSTITUTE(SUBSTITUTE(SUBSTITUTE(SUBSTITUTE(Товары_исходные!F198," ",""),"руб.",""),"руб",""),",","."))),0)</f>
        <v>52500</v>
      </c>
      <c r="G198" t="str">
        <f>IFERROR(VLOOKUP(Товары_исходные!G198,Справочники!$D$2:$E$50,2,FALSE),"шт.")</f>
        <v>шт.</v>
      </c>
      <c r="H198" t="str">
        <f t="shared" si="8"/>
        <v>OK</v>
      </c>
      <c r="I198" t="str">
        <f t="shared" si="9"/>
        <v>OK</v>
      </c>
    </row>
    <row r="199">
      <c r="A199" t="str">
        <f>"АРТ-"&amp;LEFT(SUBSTITUTE(SUBSTITUTE(SUBSTITUTE(SUBSTITUTE(Товары_исходные!A199,"№",""),"АРТ-",""),"АРТ_",""),"/","-"),3)</f>
        <v>АРТ-198</v>
      </c>
      <c r="B199" t="str">
        <f>PROPER(TRIM(IFERROR(LEFT(Товары_исходные!B199,FIND("(",Товары_исходные!B199)-1),Товары_исходные!B199)))</f>
        <v xml:space="preserve">Смартфон Vivo X90</v>
      </c>
      <c r="C199" t="str">
        <f>IFERROR(VLOOKUP(Товары_исходные!C199,Справочники!$A$2:$B$50,2,FALSE),Товары_исходные!C199)</f>
        <v>Смартфоны</v>
      </c>
      <c r="D199" t="str">
        <f>PROPER(TRIM(Товары_исходные!D199))</f>
        <v>Vivo</v>
      </c>
      <c r="E199" s="4">
        <f>IFERROR(VALUE(IF(AND(ISNUMBER(FIND(",",Товары_исходные!E199)),ISNUMBER(FIND(".",Товары_исходные!E199))),SUBSTITUTE(SUBSTITUTE(SUBSTITUTE(SUBSTITUTE(Товары_исходные!E199," ",""),"руб.",""),"руб",""),",",""),SUBSTITUTE(SUBSTITUTE(SUBSTITUTE(SUBSTITUTE(Товары_исходные!E199," ",""),"руб.",""),"руб",""),",","."))),0)</f>
        <v>32000</v>
      </c>
      <c r="F199" s="4">
        <f>IFERROR(VALUE(IF(AND(ISNUMBER(FIND(",",Товары_исходные!F199)),ISNUMBER(FIND(".",Товары_исходные!F199))),SUBSTITUTE(SUBSTITUTE(SUBSTITUTE(SUBSTITUTE(Товары_исходные!F199," ",""),"руб.",""),"руб",""),",",""),SUBSTITUTE(SUBSTITUTE(SUBSTITUTE(SUBSTITUTE(Товары_исходные!F199," ",""),"руб.",""),"руб",""),",","."))),0)</f>
        <v>55500</v>
      </c>
      <c r="G199" t="str">
        <f>IFERROR(VLOOKUP(Товары_исходные!G199,Справочники!$D$2:$E$50,2,FALSE),"шт.")</f>
        <v>шт.</v>
      </c>
      <c r="H199" t="str">
        <f t="shared" si="8"/>
        <v>OK</v>
      </c>
      <c r="I199" t="str">
        <f t="shared" si="9"/>
        <v>OK</v>
      </c>
    </row>
    <row r="200">
      <c r="A200" t="str">
        <f>"АРТ-"&amp;LEFT(SUBSTITUTE(SUBSTITUTE(SUBSTITUTE(SUBSTITUTE(Товары_исходные!A200,"№",""),"АРТ-",""),"АРТ_",""),"/","-"),3)</f>
        <v>АРТ-199</v>
      </c>
      <c r="B200" t="str">
        <f>PROPER(TRIM(IFERROR(LEFT(Товары_исходные!B200,FIND("(",Товары_исходные!B200)-1),Товары_исходные!B200)))</f>
        <v xml:space="preserve">Телевизор Tcl 55C835</v>
      </c>
      <c r="C200" t="str">
        <f>IFERROR(VLOOKUP(Товары_исходные!C200,Справочники!$A$2:$B$50,2,FALSE),Товары_исходные!C200)</f>
        <v>Телевизоры</v>
      </c>
      <c r="D200" t="str">
        <f>PROPER(TRIM(Товары_исходные!D200))</f>
        <v>Tcl</v>
      </c>
      <c r="E200" s="4">
        <f>IFERROR(VALUE(IF(AND(ISNUMBER(FIND(",",Товары_исходные!E200)),ISNUMBER(FIND(".",Товары_исходные!E200))),SUBSTITUTE(SUBSTITUTE(SUBSTITUTE(SUBSTITUTE(Товары_исходные!E200," ",""),"руб.",""),"руб",""),",",""),SUBSTITUTE(SUBSTITUTE(SUBSTITUTE(SUBSTITUTE(Товары_исходные!E200," ",""),"руб.",""),"руб",""),",","."))),0)</f>
        <v>62000</v>
      </c>
      <c r="F200" s="4">
        <f>IFERROR(VALUE(IF(AND(ISNUMBER(FIND(",",Товары_исходные!F200)),ISNUMBER(FIND(".",Товары_исходные!F200))),SUBSTITUTE(SUBSTITUTE(SUBSTITUTE(SUBSTITUTE(Товары_исходные!F200," ",""),"руб.",""),"руб",""),",",""),SUBSTITUTE(SUBSTITUTE(SUBSTITUTE(SUBSTITUTE(Товары_исходные!F200," ",""),"руб.",""),"руб",""),",","."))),0)</f>
        <v>95990</v>
      </c>
      <c r="G200" t="str">
        <f>IFERROR(VLOOKUP(Товары_исходные!G200,Справочники!$D$2:$E$50,2,FALSE),"шт.")</f>
        <v>шт.</v>
      </c>
      <c r="H200" t="str">
        <f t="shared" si="8"/>
        <v>OK</v>
      </c>
      <c r="I200" t="str">
        <f t="shared" si="9"/>
        <v>OK</v>
      </c>
    </row>
    <row r="201">
      <c r="A201" t="str">
        <f>"АРТ-"&amp;LEFT(SUBSTITUTE(SUBSTITUTE(SUBSTITUTE(SUBSTITUTE(Товары_исходные!A201,"№",""),"АРТ-",""),"АРТ_",""),"/","-"),3)</f>
        <v>АРТ-200</v>
      </c>
      <c r="B201" t="str">
        <f>PROPER(TRIM(IFERROR(LEFT(Товары_исходные!B201,FIND("(",Товары_исходные!B201)-1),Товары_исходные!B201)))</f>
        <v xml:space="preserve">Телевизор Tcl 55C835</v>
      </c>
      <c r="C201" t="str">
        <f>IFERROR(VLOOKUP(Товары_исходные!C201,Справочники!$A$2:$B$50,2,FALSE),Товары_исходные!C201)</f>
        <v>Телевизоры</v>
      </c>
      <c r="D201" t="str">
        <f>PROPER(TRIM(Товары_исходные!D201))</f>
        <v>Tcl</v>
      </c>
      <c r="E201" s="4">
        <f>IFERROR(VALUE(IF(AND(ISNUMBER(FIND(",",Товары_исходные!E201)),ISNUMBER(FIND(".",Товары_исходные!E201))),SUBSTITUTE(SUBSTITUTE(SUBSTITUTE(SUBSTITUTE(Товары_исходные!E201," ",""),"руб.",""),"руб",""),",",""),SUBSTITUTE(SUBSTITUTE(SUBSTITUTE(SUBSTITUTE(Товары_исходные!E201," ",""),"руб.",""),"руб",""),",","."))),0)</f>
        <v>60000</v>
      </c>
      <c r="F201" s="4">
        <f>IFERROR(VALUE(IF(AND(ISNUMBER(FIND(",",Товары_исходные!F201)),ISNUMBER(FIND(".",Товары_исходные!F201))),SUBSTITUTE(SUBSTITUTE(SUBSTITUTE(SUBSTITUTE(Товары_исходные!F201," ",""),"руб.",""),"руб",""),",",""),SUBSTITUTE(SUBSTITUTE(SUBSTITUTE(SUBSTITUTE(Товары_исходные!F201," ",""),"руб.",""),"руб",""),",","."))),0)</f>
        <v>93000</v>
      </c>
      <c r="G201" t="str">
        <f>IFERROR(VLOOKUP(Товары_исходные!G201,Справочники!$D$2:$E$50,2,FALSE),"шт.")</f>
        <v>шт.</v>
      </c>
      <c r="H201" t="str">
        <f t="shared" si="8"/>
        <v>OK</v>
      </c>
      <c r="I201" t="str">
        <f t="shared" si="9"/>
        <v>OK</v>
      </c>
    </row>
    <row r="202">
      <c r="A202" t="str">
        <f>"АРТ-"&amp;LEFT(SUBSTITUTE(SUBSTITUTE(SUBSTITUTE(SUBSTITUTE(Товары_исходные!A202,"№",""),"АРТ-",""),"АРТ_",""),"/","-"),3)</f>
        <v>АРТ-201</v>
      </c>
      <c r="B202" t="str">
        <f>PROPER(TRIM(IFERROR(LEFT(Товары_исходные!B202,FIND("(",Товары_исходные!B202)-1),Товары_исходные!B202)))</f>
        <v xml:space="preserve">Телевизор Tcl 55C835</v>
      </c>
      <c r="C202" t="str">
        <f>IFERROR(VLOOKUP(Товары_исходные!C202,Справочники!$A$2:$B$50,2,FALSE),Товары_исходные!C202)</f>
        <v>Телевизоры</v>
      </c>
      <c r="D202" t="str">
        <f>PROPER(TRIM(Товары_исходные!D202))</f>
        <v>Tcl</v>
      </c>
      <c r="E202" s="4">
        <f>IFERROR(VALUE(IF(AND(ISNUMBER(FIND(",",Товары_исходные!E202)),ISNUMBER(FIND(".",Товары_исходные!E202))),SUBSTITUTE(SUBSTITUTE(SUBSTITUTE(SUBSTITUTE(Товары_исходные!E202," ",""),"руб.",""),"руб",""),",",""),SUBSTITUTE(SUBSTITUTE(SUBSTITUTE(SUBSTITUTE(Товары_исходные!E202," ",""),"руб.",""),"руб",""),",","."))),0)</f>
        <v>63500</v>
      </c>
      <c r="F202" s="4">
        <f>IFERROR(VALUE(IF(AND(ISNUMBER(FIND(",",Товары_исходные!F202)),ISNUMBER(FIND(".",Товары_исходные!F202))),SUBSTITUTE(SUBSTITUTE(SUBSTITUTE(SUBSTITUTE(Товары_исходные!F202," ",""),"руб.",""),"руб",""),",",""),SUBSTITUTE(SUBSTITUTE(SUBSTITUTE(SUBSTITUTE(Товары_исходные!F202," ",""),"руб.",""),"руб",""),",","."))),0)</f>
        <v>98500</v>
      </c>
      <c r="G202" t="str">
        <f>IFERROR(VLOOKUP(Товары_исходные!G202,Справочники!$D$2:$E$50,2,FALSE),"шт.")</f>
        <v>шт.</v>
      </c>
      <c r="H202" t="str">
        <f t="shared" si="8"/>
        <v>OK</v>
      </c>
      <c r="I202" t="str">
        <f t="shared" si="9"/>
        <v>OK</v>
      </c>
    </row>
    <row r="203">
      <c r="A203" t="str">
        <f>"АРТ-"&amp;LEFT(SUBSTITUTE(SUBSTITUTE(SUBSTITUTE(SUBSTITUTE(Товары_исходные!A203,"№",""),"АРТ-",""),"АРТ_",""),"/","-"),3)</f>
        <v>АРТ-202</v>
      </c>
      <c r="B203" t="str">
        <f>PROPER(TRIM(IFERROR(LEFT(Товары_исходные!B203,FIND("(",Товары_исходные!B203)-1),Товары_исходные!B203)))</f>
        <v xml:space="preserve">Наушники Logitech G435</v>
      </c>
      <c r="C203" t="str">
        <f>IFERROR(VLOOKUP(Товары_исходные!C203,Справочники!$A$2:$B$50,2,FALSE),Товары_исходные!C203)</f>
        <v>Наушники</v>
      </c>
      <c r="D203" t="str">
        <f>PROPER(TRIM(Товары_исходные!D203))</f>
        <v>Logitech</v>
      </c>
      <c r="E203" s="4">
        <f>IFERROR(VALUE(IF(AND(ISNUMBER(FIND(",",Товары_исходные!E203)),ISNUMBER(FIND(".",Товары_исходные!E203))),SUBSTITUTE(SUBSTITUTE(SUBSTITUTE(SUBSTITUTE(Товары_исходные!E203," ",""),"руб.",""),"руб",""),",",""),SUBSTITUTE(SUBSTITUTE(SUBSTITUTE(SUBSTITUTE(Товары_исходные!E203," ",""),"руб.",""),"руб",""),",","."))),0)</f>
        <v>5500</v>
      </c>
      <c r="F203" s="4">
        <f>IFERROR(VALUE(IF(AND(ISNUMBER(FIND(",",Товары_исходные!F203)),ISNUMBER(FIND(".",Товары_исходные!F203))),SUBSTITUTE(SUBSTITUTE(SUBSTITUTE(SUBSTITUTE(Товары_исходные!F203," ",""),"руб.",""),"руб",""),",",""),SUBSTITUTE(SUBSTITUTE(SUBSTITUTE(SUBSTITUTE(Товары_исходные!F203," ",""),"руб.",""),"руб",""),",","."))),0)</f>
        <v>9990</v>
      </c>
      <c r="G203" t="str">
        <f>IFERROR(VLOOKUP(Товары_исходные!G203,Справочники!$D$2:$E$50,2,FALSE),"шт.")</f>
        <v>шт.</v>
      </c>
      <c r="H203" t="str">
        <f t="shared" si="8"/>
        <v>OK</v>
      </c>
      <c r="I203" t="str">
        <f t="shared" si="9"/>
        <v>OK</v>
      </c>
    </row>
    <row r="204">
      <c r="A204" t="str">
        <f>"АРТ-"&amp;LEFT(SUBSTITUTE(SUBSTITUTE(SUBSTITUTE(SUBSTITUTE(Товары_исходные!A204,"№",""),"АРТ-",""),"АРТ_",""),"/","-"),3)</f>
        <v>АРТ-203</v>
      </c>
      <c r="B204" t="str">
        <f>PROPER(TRIM(IFERROR(LEFT(Товары_исходные!B204,FIND("(",Товары_исходные!B204)-1),Товары_исходные!B204)))</f>
        <v xml:space="preserve">Наушники Logitech G435</v>
      </c>
      <c r="C204" t="str">
        <f>IFERROR(VLOOKUP(Товары_исходные!C204,Справочники!$A$2:$B$50,2,FALSE),Товары_исходные!C204)</f>
        <v>Наушники</v>
      </c>
      <c r="D204" t="str">
        <f>PROPER(TRIM(Товары_исходные!D204))</f>
        <v>Logitech</v>
      </c>
      <c r="E204" s="4">
        <f>IFERROR(VALUE(IF(AND(ISNUMBER(FIND(",",Товары_исходные!E204)),ISNUMBER(FIND(".",Товары_исходные!E204))),SUBSTITUTE(SUBSTITUTE(SUBSTITUTE(SUBSTITUTE(Товары_исходные!E204," ",""),"руб.",""),"руб",""),",",""),SUBSTITUTE(SUBSTITUTE(SUBSTITUTE(SUBSTITUTE(Товары_исходные!E204," ",""),"руб.",""),"руб",""),",","."))),0)</f>
        <v>5000</v>
      </c>
      <c r="F204" s="4">
        <f>IFERROR(VALUE(IF(AND(ISNUMBER(FIND(",",Товары_исходные!F204)),ISNUMBER(FIND(".",Товары_исходные!F204))),SUBSTITUTE(SUBSTITUTE(SUBSTITUTE(SUBSTITUTE(Товары_исходные!F204," ",""),"руб.",""),"руб",""),",",""),SUBSTITUTE(SUBSTITUTE(SUBSTITUTE(SUBSTITUTE(Товары_исходные!F204," ",""),"руб.",""),"руб",""),",","."))),0)</f>
        <v>9200</v>
      </c>
      <c r="G204" t="str">
        <f>IFERROR(VLOOKUP(Товары_исходные!G204,Справочники!$D$2:$E$50,2,FALSE),"шт.")</f>
        <v>шт.</v>
      </c>
      <c r="H204" t="str">
        <f t="shared" si="8"/>
        <v>OK</v>
      </c>
      <c r="I204" t="str">
        <f t="shared" si="9"/>
        <v>OK</v>
      </c>
    </row>
    <row r="205">
      <c r="A205" t="str">
        <f>"АРТ-"&amp;LEFT(SUBSTITUTE(SUBSTITUTE(SUBSTITUTE(SUBSTITUTE(Товары_исходные!A205,"№",""),"АРТ-",""),"АРТ_",""),"/","-"),3)</f>
        <v>АРТ-204</v>
      </c>
      <c r="B205" t="str">
        <f>PROPER(TRIM(IFERROR(LEFT(Товары_исходные!B205,FIND("(",Товары_исходные!B205)-1),Товары_исходные!B205)))</f>
        <v xml:space="preserve">Наушники Logitech G435</v>
      </c>
      <c r="C205" t="str">
        <f>IFERROR(VLOOKUP(Товары_исходные!C205,Справочники!$A$2:$B$50,2,FALSE),Товары_исходные!C205)</f>
        <v>Наушники</v>
      </c>
      <c r="D205" t="str">
        <f>PROPER(TRIM(Товары_исходные!D205))</f>
        <v>Logitech</v>
      </c>
      <c r="E205" s="4">
        <f>IFERROR(VALUE(IF(AND(ISNUMBER(FIND(",",Товары_исходные!E205)),ISNUMBER(FIND(".",Товары_исходные!E205))),SUBSTITUTE(SUBSTITUTE(SUBSTITUTE(SUBSTITUTE(Товары_исходные!E205," ",""),"руб.",""),"руб",""),",",""),SUBSTITUTE(SUBSTITUTE(SUBSTITUTE(SUBSTITUTE(Товары_исходные!E205," ",""),"руб.",""),"руб",""),",","."))),0)</f>
        <v>6000</v>
      </c>
      <c r="F205" s="4">
        <f>IFERROR(VALUE(IF(AND(ISNUMBER(FIND(",",Товары_исходные!F205)),ISNUMBER(FIND(".",Товары_исходные!F205))),SUBSTITUTE(SUBSTITUTE(SUBSTITUTE(SUBSTITUTE(Товары_исходные!F205," ",""),"руб.",""),"руб",""),",",""),SUBSTITUTE(SUBSTITUTE(SUBSTITUTE(SUBSTITUTE(Товары_исходные!F205," ",""),"руб.",""),"руб",""),",","."))),0)</f>
        <v>10800</v>
      </c>
      <c r="G205" t="str">
        <f>IFERROR(VLOOKUP(Товары_исходные!G205,Справочники!$D$2:$E$50,2,FALSE),"шт.")</f>
        <v>шт.</v>
      </c>
      <c r="H205" t="str">
        <f t="shared" si="8"/>
        <v>OK</v>
      </c>
      <c r="I205" t="str">
        <f t="shared" si="9"/>
        <v>OK</v>
      </c>
    </row>
    <row r="206">
      <c r="A206" t="str">
        <f>"АРТ-"&amp;LEFT(SUBSTITUTE(SUBSTITUTE(SUBSTITUTE(SUBSTITUTE(Товары_исходные!A206,"№",""),"АРТ-",""),"АРТ_",""),"/","-"),3)</f>
        <v>АРТ-205</v>
      </c>
      <c r="B206" t="str">
        <f>PROPER(TRIM(IFERROR(LEFT(Товары_исходные!B206,FIND("(",Товары_исходные!B206)-1),Товары_исходные!B206)))</f>
        <v xml:space="preserve">Монитор Msi Optix Mag274Qrf</v>
      </c>
      <c r="C206" t="str">
        <f>IFERROR(VLOOKUP(Товары_исходные!C206,Справочники!$A$2:$B$50,2,FALSE),Товары_исходные!C206)</f>
        <v>Мониторы</v>
      </c>
      <c r="D206" t="str">
        <f>PROPER(TRIM(Товары_исходные!D206))</f>
        <v>Msi</v>
      </c>
      <c r="E206" s="4">
        <f>IFERROR(VALUE(IF(AND(ISNUMBER(FIND(",",Товары_исходные!E206)),ISNUMBER(FIND(".",Товары_исходные!E206))),SUBSTITUTE(SUBSTITUTE(SUBSTITUTE(SUBSTITUTE(Товары_исходные!E206," ",""),"руб.",""),"руб",""),",",""),SUBSTITUTE(SUBSTITUTE(SUBSTITUTE(SUBSTITUTE(Товары_исходные!E206," ",""),"руб.",""),"руб",""),",","."))),0)</f>
        <v>41000</v>
      </c>
      <c r="F206" s="4">
        <f>IFERROR(VALUE(IF(AND(ISNUMBER(FIND(",",Товары_исходные!F206)),ISNUMBER(FIND(".",Товары_исходные!F206))),SUBSTITUTE(SUBSTITUTE(SUBSTITUTE(SUBSTITUTE(Товары_исходные!F206," ",""),"руб.",""),"руб",""),",",""),SUBSTITUTE(SUBSTITUTE(SUBSTITUTE(SUBSTITUTE(Товары_исходные!F206," ",""),"руб.",""),"руб",""),",","."))),0)</f>
        <v>64990</v>
      </c>
      <c r="G206" t="str">
        <f>IFERROR(VLOOKUP(Товары_исходные!G206,Справочники!$D$2:$E$50,2,FALSE),"шт.")</f>
        <v>шт.</v>
      </c>
      <c r="H206" t="str">
        <f t="shared" si="8"/>
        <v>OK</v>
      </c>
      <c r="I206" t="str">
        <f t="shared" si="9"/>
        <v>OK</v>
      </c>
    </row>
    <row r="207">
      <c r="A207" t="str">
        <f>"АРТ-"&amp;LEFT(SUBSTITUTE(SUBSTITUTE(SUBSTITUTE(SUBSTITUTE(Товары_исходные!A207,"№",""),"АРТ-",""),"АРТ_",""),"/","-"),3)</f>
        <v>АРТ-206</v>
      </c>
      <c r="B207" t="str">
        <f>PROPER(TRIM(IFERROR(LEFT(Товары_исходные!B207,FIND("(",Товары_исходные!B207)-1),Товары_исходные!B207)))</f>
        <v xml:space="preserve">Монитор Msi Optix Mag274Qrf</v>
      </c>
      <c r="C207" t="str">
        <f>IFERROR(VLOOKUP(Товары_исходные!C207,Справочники!$A$2:$B$50,2,FALSE),Товары_исходные!C207)</f>
        <v>Мониторы</v>
      </c>
      <c r="D207" t="str">
        <f>PROPER(TRIM(Товары_исходные!D207))</f>
        <v>Msi</v>
      </c>
      <c r="E207" s="4">
        <f>IFERROR(VALUE(IF(AND(ISNUMBER(FIND(",",Товары_исходные!E207)),ISNUMBER(FIND(".",Товары_исходные!E207))),SUBSTITUTE(SUBSTITUTE(SUBSTITUTE(SUBSTITUTE(Товары_исходные!E207," ",""),"руб.",""),"руб",""),",",""),SUBSTITUTE(SUBSTITUTE(SUBSTITUTE(SUBSTITUTE(Товары_исходные!E207," ",""),"руб.",""),"руб",""),",","."))),0)</f>
        <v>39500</v>
      </c>
      <c r="F207" s="4">
        <f>IFERROR(VALUE(IF(AND(ISNUMBER(FIND(",",Товары_исходные!F207)),ISNUMBER(FIND(".",Товары_исходные!F207))),SUBSTITUTE(SUBSTITUTE(SUBSTITUTE(SUBSTITUTE(Товары_исходные!F207," ",""),"руб.",""),"руб",""),",",""),SUBSTITUTE(SUBSTITUTE(SUBSTITUTE(SUBSTITUTE(Товары_исходные!F207," ",""),"руб.",""),"руб",""),",","."))),0)</f>
        <v>62500</v>
      </c>
      <c r="G207" t="str">
        <f>IFERROR(VLOOKUP(Товары_исходные!G207,Справочники!$D$2:$E$50,2,FALSE),"шт.")</f>
        <v>шт.</v>
      </c>
      <c r="H207" t="str">
        <f t="shared" si="8"/>
        <v>OK</v>
      </c>
      <c r="I207" t="str">
        <f t="shared" si="9"/>
        <v>OK</v>
      </c>
    </row>
    <row r="208">
      <c r="A208" t="str">
        <f>"АРТ-"&amp;LEFT(SUBSTITUTE(SUBSTITUTE(SUBSTITUTE(SUBSTITUTE(Товары_исходные!A208,"№",""),"АРТ-",""),"АРТ_",""),"/","-"),3)</f>
        <v>АРТ-207</v>
      </c>
      <c r="B208" t="str">
        <f>PROPER(TRIM(IFERROR(LEFT(Товары_исходные!B208,FIND("(",Товары_исходные!B208)-1),Товары_исходные!B208)))</f>
        <v xml:space="preserve">Монитор Msi Optix Mag274Qrf</v>
      </c>
      <c r="C208" t="str">
        <f>IFERROR(VLOOKUP(Товары_исходные!C208,Справочники!$A$2:$B$50,2,FALSE),Товары_исходные!C208)</f>
        <v>Мониторы</v>
      </c>
      <c r="D208" t="str">
        <f>PROPER(TRIM(Товары_исходные!D208))</f>
        <v>Msi</v>
      </c>
      <c r="E208" s="4">
        <f>IFERROR(VALUE(IF(AND(ISNUMBER(FIND(",",Товары_исходные!E208)),ISNUMBER(FIND(".",Товары_исходные!E208))),SUBSTITUTE(SUBSTITUTE(SUBSTITUTE(SUBSTITUTE(Товары_исходные!E208," ",""),"руб.",""),"руб",""),",",""),SUBSTITUTE(SUBSTITUTE(SUBSTITUTE(SUBSTITUTE(Товары_исходные!E208," ",""),"руб.",""),"руб",""),",","."))),0)</f>
        <v>42500</v>
      </c>
      <c r="F208" s="4">
        <f>IFERROR(VALUE(IF(AND(ISNUMBER(FIND(",",Товары_исходные!F208)),ISNUMBER(FIND(".",Товары_исходные!F208))),SUBSTITUTE(SUBSTITUTE(SUBSTITUTE(SUBSTITUTE(Товары_исходные!F208," ",""),"руб.",""),"руб",""),",",""),SUBSTITUTE(SUBSTITUTE(SUBSTITUTE(SUBSTITUTE(Товары_исходные!F208," ",""),"руб.",""),"руб",""),",","."))),0)</f>
        <v>67000</v>
      </c>
      <c r="G208" t="str">
        <f>IFERROR(VLOOKUP(Товары_исходные!G208,Справочники!$D$2:$E$50,2,FALSE),"шт.")</f>
        <v>шт.</v>
      </c>
      <c r="H208" t="str">
        <f t="shared" si="8"/>
        <v>OK</v>
      </c>
      <c r="I208" t="str">
        <f t="shared" si="9"/>
        <v>OK</v>
      </c>
    </row>
    <row r="209">
      <c r="A209" t="str">
        <f>"АРТ-"&amp;LEFT(SUBSTITUTE(SUBSTITUTE(SUBSTITUTE(SUBSTITUTE(Товары_исходные!A209,"№",""),"АРТ-",""),"АРТ_",""),"/","-"),3)</f>
        <v>АРТ-208</v>
      </c>
      <c r="B209" t="str">
        <f>PROPER(TRIM(IFERROR(LEFT(Товары_исходные!B209,FIND("(",Товары_исходные!B209)-1),Товары_исходные!B209)))</f>
        <v xml:space="preserve">Клавиатура Corsair K70 Rgb</v>
      </c>
      <c r="C209" t="str">
        <f>IFERROR(VLOOKUP(Товары_исходные!C209,Справочники!$A$2:$B$50,2,FALSE),Товары_исходные!C209)</f>
        <v>Аксессуары</v>
      </c>
      <c r="D209" t="str">
        <f>PROPER(TRIM(Товары_исходные!D209))</f>
        <v>Corsair</v>
      </c>
      <c r="E209" s="4">
        <f>IFERROR(VALUE(IF(AND(ISNUMBER(FIND(",",Товары_исходные!E209)),ISNUMBER(FIND(".",Товары_исходные!E209))),SUBSTITUTE(SUBSTITUTE(SUBSTITUTE(SUBSTITUTE(Товары_исходные!E209," ",""),"руб.",""),"руб",""),",",""),SUBSTITUTE(SUBSTITUTE(SUBSTITUTE(SUBSTITUTE(Товары_исходные!E209," ",""),"руб.",""),"руб",""),",","."))),0)</f>
        <v>6500</v>
      </c>
      <c r="F209" s="4">
        <f>IFERROR(VALUE(IF(AND(ISNUMBER(FIND(",",Товары_исходные!F209)),ISNUMBER(FIND(".",Товары_исходные!F209))),SUBSTITUTE(SUBSTITUTE(SUBSTITUTE(SUBSTITUTE(Товары_исходные!F209," ",""),"руб.",""),"руб",""),",",""),SUBSTITUTE(SUBSTITUTE(SUBSTITUTE(SUBSTITUTE(Товары_исходные!F209," ",""),"руб.",""),"руб",""),",","."))),0)</f>
        <v>10990</v>
      </c>
      <c r="G209" t="str">
        <f>IFERROR(VLOOKUP(Товары_исходные!G209,Справочники!$D$2:$E$50,2,FALSE),"шт.")</f>
        <v>шт.</v>
      </c>
      <c r="H209" t="str">
        <f t="shared" si="8"/>
        <v>OK</v>
      </c>
      <c r="I209" t="str">
        <f t="shared" si="9"/>
        <v>OK</v>
      </c>
    </row>
    <row r="210">
      <c r="A210" t="str">
        <f>"АРТ-"&amp;LEFT(SUBSTITUTE(SUBSTITUTE(SUBSTITUTE(SUBSTITUTE(Товары_исходные!A210,"№",""),"АРТ-",""),"АРТ_",""),"/","-"),3)</f>
        <v>АРТ-209</v>
      </c>
      <c r="B210" t="str">
        <f>PROPER(TRIM(IFERROR(LEFT(Товары_исходные!B210,FIND("(",Товары_исходные!B210)-1),Товары_исходные!B210)))</f>
        <v xml:space="preserve">Клавиатура Corsair K70 Rgb</v>
      </c>
      <c r="C210" t="str">
        <f>IFERROR(VLOOKUP(Товары_исходные!C210,Справочники!$A$2:$B$50,2,FALSE),Товары_исходные!C210)</f>
        <v>Аксессуары</v>
      </c>
      <c r="D210" t="str">
        <f>PROPER(TRIM(Товары_исходные!D210))</f>
        <v>Corsair</v>
      </c>
      <c r="E210" s="4">
        <f>IFERROR(VALUE(IF(AND(ISNUMBER(FIND(",",Товары_исходные!E210)),ISNUMBER(FIND(".",Товары_исходные!E210))),SUBSTITUTE(SUBSTITUTE(SUBSTITUTE(SUBSTITUTE(Товары_исходные!E210," ",""),"руб.",""),"руб",""),",",""),SUBSTITUTE(SUBSTITUTE(SUBSTITUTE(SUBSTITUTE(Товары_исходные!E210," ",""),"руб.",""),"руб",""),",","."))),0)</f>
        <v>6000</v>
      </c>
      <c r="F210" s="4">
        <f>IFERROR(VALUE(IF(AND(ISNUMBER(FIND(",",Товары_исходные!F210)),ISNUMBER(FIND(".",Товары_исходные!F210))),SUBSTITUTE(SUBSTITUTE(SUBSTITUTE(SUBSTITUTE(Товары_исходные!F210," ",""),"руб.",""),"руб",""),",",""),SUBSTITUTE(SUBSTITUTE(SUBSTITUTE(SUBSTITUTE(Товары_исходные!F210," ",""),"руб.",""),"руб",""),",","."))),0)</f>
        <v>10500</v>
      </c>
      <c r="G210" t="str">
        <f>IFERROR(VLOOKUP(Товары_исходные!G210,Справочники!$D$2:$E$50,2,FALSE),"шт.")</f>
        <v>шт.</v>
      </c>
      <c r="H210" t="str">
        <f t="shared" si="8"/>
        <v>OK</v>
      </c>
      <c r="I210" t="str">
        <f t="shared" si="9"/>
        <v>OK</v>
      </c>
    </row>
    <row r="211">
      <c r="A211" t="str">
        <f>"АРТ-"&amp;LEFT(SUBSTITUTE(SUBSTITUTE(SUBSTITUTE(SUBSTITUTE(Товары_исходные!A211,"№",""),"АРТ-",""),"АРТ_",""),"/","-"),3)</f>
        <v>АРТ-210</v>
      </c>
      <c r="B211" t="str">
        <f>PROPER(TRIM(IFERROR(LEFT(Товары_исходные!B211,FIND("(",Товары_исходные!B211)-1),Товары_исходные!B211)))</f>
        <v xml:space="preserve">Клавиатура Corsair K70 Rgb</v>
      </c>
      <c r="C211" t="str">
        <f>IFERROR(VLOOKUP(Товары_исходные!C211,Справочники!$A$2:$B$50,2,FALSE),Товары_исходные!C211)</f>
        <v>Аксессуары</v>
      </c>
      <c r="D211" t="str">
        <f>PROPER(TRIM(Товары_исходные!D211))</f>
        <v>Corsair</v>
      </c>
      <c r="E211" s="4">
        <f>IFERROR(VALUE(IF(AND(ISNUMBER(FIND(",",Товары_исходные!E211)),ISNUMBER(FIND(".",Товары_исходные!E211))),SUBSTITUTE(SUBSTITUTE(SUBSTITUTE(SUBSTITUTE(Товары_исходные!E211," ",""),"руб.",""),"руб",""),",",""),SUBSTITUTE(SUBSTITUTE(SUBSTITUTE(SUBSTITUTE(Товары_исходные!E211," ",""),"руб.",""),"руб",""),",","."))),0)</f>
        <v>7000</v>
      </c>
      <c r="F211" s="4">
        <f>IFERROR(VALUE(IF(AND(ISNUMBER(FIND(",",Товары_исходные!F211)),ISNUMBER(FIND(".",Товары_исходные!F211))),SUBSTITUTE(SUBSTITUTE(SUBSTITUTE(SUBSTITUTE(Товары_исходные!F211," ",""),"руб.",""),"руб",""),",",""),SUBSTITUTE(SUBSTITUTE(SUBSTITUTE(SUBSTITUTE(Товары_исходные!F211," ",""),"руб.",""),"руб",""),",","."))),0)</f>
        <v>11500</v>
      </c>
      <c r="G211" t="str">
        <f>IFERROR(VLOOKUP(Товары_исходные!G211,Справочники!$D$2:$E$50,2,FALSE),"шт.")</f>
        <v>шт.</v>
      </c>
      <c r="H211" t="str">
        <f t="shared" si="8"/>
        <v>OK</v>
      </c>
      <c r="I211" t="str">
        <f t="shared" si="9"/>
        <v>OK</v>
      </c>
    </row>
    <row r="212">
      <c r="A212" t="str">
        <f>"АРТ-"&amp;LEFT(SUBSTITUTE(SUBSTITUTE(SUBSTITUTE(SUBSTITUTE(Товары_исходные!A212,"№",""),"АРТ-",""),"АРТ_",""),"/","-"),3)</f>
        <v>АРТ-211</v>
      </c>
      <c r="B212" t="str">
        <f>PROPER(TRIM(IFERROR(LEFT(Товары_исходные!B212,FIND("(",Товары_исходные!B212)-1),Товары_исходные!B212)))</f>
        <v xml:space="preserve">Смартфон Honor Magic 5</v>
      </c>
      <c r="C212" t="str">
        <f>IFERROR(VLOOKUP(Товары_исходные!C212,Справочники!$A$2:$B$50,2,FALSE),Товары_исходные!C212)</f>
        <v>Смартфоны</v>
      </c>
      <c r="D212" t="str">
        <f>PROPER(TRIM(Товары_исходные!D212))</f>
        <v>Honor</v>
      </c>
      <c r="E212" s="4">
        <f>IFERROR(VALUE(IF(AND(ISNUMBER(FIND(",",Товары_исходные!E212)),ISNUMBER(FIND(".",Товары_исходные!E212))),SUBSTITUTE(SUBSTITUTE(SUBSTITUTE(SUBSTITUTE(Товары_исходные!E212," ",""),"руб.",""),"руб",""),",",""),SUBSTITUTE(SUBSTITUTE(SUBSTITUTE(SUBSTITUTE(Товары_исходные!E212," ",""),"руб.",""),"руб",""),",","."))),0)</f>
        <v>36000</v>
      </c>
      <c r="F212" s="4">
        <f>IFERROR(VALUE(IF(AND(ISNUMBER(FIND(",",Товары_исходные!F212)),ISNUMBER(FIND(".",Товары_исходные!F212))),SUBSTITUTE(SUBSTITUTE(SUBSTITUTE(SUBSTITUTE(Товары_исходные!F212," ",""),"руб.",""),"руб",""),",",""),SUBSTITUTE(SUBSTITUTE(SUBSTITUTE(SUBSTITUTE(Товары_исходные!F212," ",""),"руб.",""),"руб",""),",","."))),0)</f>
        <v>59990</v>
      </c>
      <c r="G212" t="str">
        <f>IFERROR(VLOOKUP(Товары_исходные!G212,Справочники!$D$2:$E$50,2,FALSE),"шт.")</f>
        <v>шт.</v>
      </c>
      <c r="H212" t="str">
        <f t="shared" si="8"/>
        <v>OK</v>
      </c>
      <c r="I212" t="str">
        <f t="shared" si="9"/>
        <v>OK</v>
      </c>
    </row>
    <row r="213">
      <c r="A213" t="str">
        <f>"АРТ-"&amp;LEFT(SUBSTITUTE(SUBSTITUTE(SUBSTITUTE(SUBSTITUTE(Товары_исходные!A213,"№",""),"АРТ-",""),"АРТ_",""),"/","-"),3)</f>
        <v>АРТ-212</v>
      </c>
      <c r="B213" t="str">
        <f>PROPER(TRIM(IFERROR(LEFT(Товары_исходные!B213,FIND("(",Товары_исходные!B213)-1),Товары_исходные!B213)))</f>
        <v xml:space="preserve">Смартфон Honor Magic 5</v>
      </c>
      <c r="C213" t="str">
        <f>IFERROR(VLOOKUP(Товары_исходные!C213,Справочники!$A$2:$B$50,2,FALSE),Товары_исходные!C213)</f>
        <v>Смартфоны</v>
      </c>
      <c r="D213" t="str">
        <f>PROPER(TRIM(Товары_исходные!D213))</f>
        <v>Honor</v>
      </c>
      <c r="E213" s="4">
        <f>IFERROR(VALUE(IF(AND(ISNUMBER(FIND(",",Товары_исходные!E213)),ISNUMBER(FIND(".",Товары_исходные!E213))),SUBSTITUTE(SUBSTITUTE(SUBSTITUTE(SUBSTITUTE(Товары_исходные!E213," ",""),"руб.",""),"руб",""),",",""),SUBSTITUTE(SUBSTITUTE(SUBSTITUTE(SUBSTITUTE(Товары_исходные!E213," ",""),"руб.",""),"руб",""),",","."))),0)</f>
        <v>35000</v>
      </c>
      <c r="F213" s="4">
        <f>IFERROR(VALUE(IF(AND(ISNUMBER(FIND(",",Товары_исходные!F213)),ISNUMBER(FIND(".",Товары_исходные!F213))),SUBSTITUTE(SUBSTITUTE(SUBSTITUTE(SUBSTITUTE(Товары_исходные!F213," ",""),"руб.",""),"руб",""),",",""),SUBSTITUTE(SUBSTITUTE(SUBSTITUTE(SUBSTITUTE(Товары_исходные!F213," ",""),"руб.",""),"руб",""),",","."))),0)</f>
        <v>58500</v>
      </c>
      <c r="G213" t="str">
        <f>IFERROR(VLOOKUP(Товары_исходные!G213,Справочники!$D$2:$E$50,2,FALSE),"шт.")</f>
        <v>шт.</v>
      </c>
      <c r="H213" t="str">
        <f t="shared" si="8"/>
        <v>OK</v>
      </c>
      <c r="I213" t="str">
        <f t="shared" si="9"/>
        <v>OK</v>
      </c>
    </row>
    <row r="214">
      <c r="A214" t="str">
        <f>"АРТ-"&amp;LEFT(SUBSTITUTE(SUBSTITUTE(SUBSTITUTE(SUBSTITUTE(Товары_исходные!A214,"№",""),"АРТ-",""),"АРТ_",""),"/","-"),3)</f>
        <v>АРТ-213</v>
      </c>
      <c r="B214" t="str">
        <f>PROPER(TRIM(IFERROR(LEFT(Товары_исходные!B214,FIND("(",Товары_исходные!B214)-1),Товары_исходные!B214)))</f>
        <v xml:space="preserve">Смартфон Honor Magic 5</v>
      </c>
      <c r="C214" t="str">
        <f>IFERROR(VLOOKUP(Товары_исходные!C214,Справочники!$A$2:$B$50,2,FALSE),Товары_исходные!C214)</f>
        <v>Смартфоны</v>
      </c>
      <c r="D214" t="str">
        <f>PROPER(TRIM(Товары_исходные!D214))</f>
        <v>Honor</v>
      </c>
      <c r="E214" s="4">
        <f>IFERROR(VALUE(IF(AND(ISNUMBER(FIND(",",Товары_исходные!E214)),ISNUMBER(FIND(".",Товары_исходные!E214))),SUBSTITUTE(SUBSTITUTE(SUBSTITUTE(SUBSTITUTE(Товары_исходные!E214," ",""),"руб.",""),"руб",""),",",""),SUBSTITUTE(SUBSTITUTE(SUBSTITUTE(SUBSTITUTE(Товары_исходные!E214," ",""),"руб.",""),"руб",""),",","."))),0)</f>
        <v>37000</v>
      </c>
      <c r="F214" s="4">
        <f>IFERROR(VALUE(IF(AND(ISNUMBER(FIND(",",Товары_исходные!F214)),ISNUMBER(FIND(".",Товары_исходные!F214))),SUBSTITUTE(SUBSTITUTE(SUBSTITUTE(SUBSTITUTE(Товары_исходные!F214," ",""),"руб.",""),"руб",""),",",""),SUBSTITUTE(SUBSTITUTE(SUBSTITUTE(SUBSTITUTE(Товары_исходные!F214," ",""),"руб.",""),"руб",""),",","."))),0)</f>
        <v>61500</v>
      </c>
      <c r="G214" t="str">
        <f>IFERROR(VLOOKUP(Товары_исходные!G214,Справочники!$D$2:$E$50,2,FALSE),"шт.")</f>
        <v>шт.</v>
      </c>
      <c r="H214" t="str">
        <f t="shared" si="8"/>
        <v>OK</v>
      </c>
      <c r="I214" t="str">
        <f t="shared" si="9"/>
        <v>OK</v>
      </c>
    </row>
    <row r="215">
      <c r="A215" t="str">
        <f>"АРТ-"&amp;LEFT(SUBSTITUTE(SUBSTITUTE(SUBSTITUTE(SUBSTITUTE(Товары_исходные!A215,"№",""),"АРТ-",""),"АРТ_",""),"/","-"),3)</f>
        <v>АРТ-214</v>
      </c>
      <c r="B215" t="str">
        <f>PROPER(TRIM(IFERROR(LEFT(Товары_исходные!B215,FIND("(",Товары_исходные!B215)-1),Товары_исходные!B215)))</f>
        <v xml:space="preserve">Планшет Samsung Galaxy A8</v>
      </c>
      <c r="C215" t="str">
        <f>IFERROR(VLOOKUP(Товары_исходные!C215,Справочники!$A$2:$B$50,2,FALSE),Товары_исходные!C215)</f>
        <v>Планшеты</v>
      </c>
      <c r="D215" t="str">
        <f>PROPER(TRIM(Товары_исходные!D215))</f>
        <v>Samsung</v>
      </c>
      <c r="E215" s="4">
        <f>IFERROR(VALUE(IF(AND(ISNUMBER(FIND(",",Товары_исходные!E215)),ISNUMBER(FIND(".",Товары_исходные!E215))),SUBSTITUTE(SUBSTITUTE(SUBSTITUTE(SUBSTITUTE(Товары_исходные!E215," ",""),"руб.",""),"руб",""),",",""),SUBSTITUTE(SUBSTITUTE(SUBSTITUTE(SUBSTITUTE(Товары_исходные!E215," ",""),"руб.",""),"руб",""),",","."))),0)</f>
        <v>16000</v>
      </c>
      <c r="F215" s="4">
        <f>IFERROR(VALUE(IF(AND(ISNUMBER(FIND(",",Товары_исходные!F215)),ISNUMBER(FIND(".",Товары_исходные!F215))),SUBSTITUTE(SUBSTITUTE(SUBSTITUTE(SUBSTITUTE(Товары_исходные!F215," ",""),"руб.",""),"руб",""),",",""),SUBSTITUTE(SUBSTITUTE(SUBSTITUTE(SUBSTITUTE(Товары_исходные!F215," ",""),"руб.",""),"руб",""),",","."))),0)</f>
        <v>26990</v>
      </c>
      <c r="G215" t="str">
        <f>IFERROR(VLOOKUP(Товары_исходные!G215,Справочники!$D$2:$E$50,2,FALSE),"шт.")</f>
        <v>шт.</v>
      </c>
      <c r="H215" t="str">
        <f t="shared" si="8"/>
        <v>OK</v>
      </c>
      <c r="I215" t="str">
        <f t="shared" si="9"/>
        <v>OK</v>
      </c>
    </row>
    <row r="216">
      <c r="A216" t="str">
        <f>"АРТ-"&amp;LEFT(SUBSTITUTE(SUBSTITUTE(SUBSTITUTE(SUBSTITUTE(Товары_исходные!A216,"№",""),"АРТ-",""),"АРТ_",""),"/","-"),3)</f>
        <v>АРТ-215</v>
      </c>
      <c r="B216" t="str">
        <f>PROPER(TRIM(IFERROR(LEFT(Товары_исходные!B216,FIND("(",Товары_исходные!B216)-1),Товары_исходные!B216)))</f>
        <v xml:space="preserve">Планшет Samsung Galaxy A8</v>
      </c>
      <c r="C216" t="str">
        <f>IFERROR(VLOOKUP(Товары_исходные!C216,Справочники!$A$2:$B$50,2,FALSE),Товары_исходные!C216)</f>
        <v>Планшеты</v>
      </c>
      <c r="D216" t="str">
        <f>PROPER(TRIM(Товары_исходные!D216))</f>
        <v>Samsung</v>
      </c>
      <c r="E216" s="4">
        <f>IFERROR(VALUE(IF(AND(ISNUMBER(FIND(",",Товары_исходные!E216)),ISNUMBER(FIND(".",Товары_исходные!E216))),SUBSTITUTE(SUBSTITUTE(SUBSTITUTE(SUBSTITUTE(Товары_исходные!E216," ",""),"руб.",""),"руб",""),",",""),SUBSTITUTE(SUBSTITUTE(SUBSTITUTE(SUBSTITUTE(Товары_исходные!E216," ",""),"руб.",""),"руб",""),",","."))),0)</f>
        <v>15000</v>
      </c>
      <c r="F216" s="4">
        <f>IFERROR(VALUE(IF(AND(ISNUMBER(FIND(",",Товары_исходные!F216)),ISNUMBER(FIND(".",Товары_исходные!F216))),SUBSTITUTE(SUBSTITUTE(SUBSTITUTE(SUBSTITUTE(Товары_исходные!F216," ",""),"руб.",""),"руб",""),",",""),SUBSTITUTE(SUBSTITUTE(SUBSTITUTE(SUBSTITUTE(Товары_исходные!F216," ",""),"руб.",""),"руб",""),",","."))),0)</f>
        <v>25500</v>
      </c>
      <c r="G216" t="str">
        <f>IFERROR(VLOOKUP(Товары_исходные!G216,Справочники!$D$2:$E$50,2,FALSE),"шт.")</f>
        <v>шт.</v>
      </c>
      <c r="H216" t="str">
        <f t="shared" si="8"/>
        <v>OK</v>
      </c>
      <c r="I216" t="str">
        <f t="shared" si="9"/>
        <v>OK</v>
      </c>
    </row>
    <row r="217">
      <c r="A217" t="str">
        <f>"АРТ-"&amp;LEFT(SUBSTITUTE(SUBSTITUTE(SUBSTITUTE(SUBSTITUTE(Товары_исходные!A217,"№",""),"АРТ-",""),"АРТ_",""),"/","-"),3)</f>
        <v>АРТ-216</v>
      </c>
      <c r="B217" t="str">
        <f>PROPER(TRIM(IFERROR(LEFT(Товары_исходные!B217,FIND("(",Товары_исходные!B217)-1),Товары_исходные!B217)))</f>
        <v xml:space="preserve">Планшет Samsung Galaxy A8</v>
      </c>
      <c r="C217" t="str">
        <f>IFERROR(VLOOKUP(Товары_исходные!C217,Справочники!$A$2:$B$50,2,FALSE),Товары_исходные!C217)</f>
        <v>Планшеты</v>
      </c>
      <c r="D217" t="str">
        <f>PROPER(TRIM(Товары_исходные!D217))</f>
        <v>Samsung</v>
      </c>
      <c r="E217" s="4">
        <f>IFERROR(VALUE(IF(AND(ISNUMBER(FIND(",",Товары_исходные!E217)),ISNUMBER(FIND(".",Товары_исходные!E217))),SUBSTITUTE(SUBSTITUTE(SUBSTITUTE(SUBSTITUTE(Товары_исходные!E217," ",""),"руб.",""),"руб",""),",",""),SUBSTITUTE(SUBSTITUTE(SUBSTITUTE(SUBSTITUTE(Товары_исходные!E217," ",""),"руб.",""),"руб",""),",","."))),0)</f>
        <v>17000</v>
      </c>
      <c r="F217" s="4">
        <f>IFERROR(VALUE(IF(AND(ISNUMBER(FIND(",",Товары_исходные!F217)),ISNUMBER(FIND(".",Товары_исходные!F217))),SUBSTITUTE(SUBSTITUTE(SUBSTITUTE(SUBSTITUTE(Товары_исходные!F217," ",""),"руб.",""),"руб",""),",",""),SUBSTITUTE(SUBSTITUTE(SUBSTITUTE(SUBSTITUTE(Товары_исходные!F217," ",""),"руб.",""),"руб",""),",","."))),0)</f>
        <v>28500</v>
      </c>
      <c r="G217" t="str">
        <f>IFERROR(VLOOKUP(Товары_исходные!G217,Справочники!$D$2:$E$50,2,FALSE),"шт.")</f>
        <v>шт.</v>
      </c>
      <c r="H217" t="str">
        <f t="shared" si="8"/>
        <v>OK</v>
      </c>
      <c r="I217" t="str">
        <f t="shared" si="9"/>
        <v>OK</v>
      </c>
    </row>
    <row r="218">
      <c r="A218" t="str">
        <f>"АРТ-"&amp;LEFT(SUBSTITUTE(SUBSTITUTE(SUBSTITUTE(SUBSTITUTE(Товары_исходные!A218,"№",""),"АРТ-",""),"АРТ_",""),"/","-"),3)</f>
        <v>АРТ-217</v>
      </c>
      <c r="B218" t="str">
        <f>PROPER(TRIM(IFERROR(LEFT(Товары_исходные!B218,FIND("(",Товары_исходные!B218)-1),Товары_исходные!B218)))</f>
        <v xml:space="preserve">Телевизор Lg Uq8000</v>
      </c>
      <c r="C218" t="str">
        <f>IFERROR(VLOOKUP(Товары_исходные!C218,Справочники!$A$2:$B$50,2,FALSE),Товары_исходные!C218)</f>
        <v>Телевизоры</v>
      </c>
      <c r="D218" t="str">
        <f>PROPER(TRIM(Товары_исходные!D218))</f>
        <v>Lg</v>
      </c>
      <c r="E218" s="4">
        <f>IFERROR(VALUE(IF(AND(ISNUMBER(FIND(",",Товары_исходные!E218)),ISNUMBER(FIND(".",Товары_исходные!E218))),SUBSTITUTE(SUBSTITUTE(SUBSTITUTE(SUBSTITUTE(Товары_исходные!E218," ",""),"руб.",""),"руб",""),",",""),SUBSTITUTE(SUBSTITUTE(SUBSTITUTE(SUBSTITUTE(Товары_исходные!E218," ",""),"руб.",""),"руб",""),",","."))),0)</f>
        <v>45000</v>
      </c>
      <c r="F218" s="4">
        <f>IFERROR(VALUE(IF(AND(ISNUMBER(FIND(",",Товары_исходные!F218)),ISNUMBER(FIND(".",Товары_исходные!F218))),SUBSTITUTE(SUBSTITUTE(SUBSTITUTE(SUBSTITUTE(Товары_исходные!F218," ",""),"руб.",""),"руб",""),",",""),SUBSTITUTE(SUBSTITUTE(SUBSTITUTE(SUBSTITUTE(Товары_исходные!F218," ",""),"руб.",""),"руб",""),",","."))),0)</f>
        <v>69990</v>
      </c>
      <c r="G218" t="str">
        <f>IFERROR(VLOOKUP(Товары_исходные!G218,Справочники!$D$2:$E$50,2,FALSE),"шт.")</f>
        <v>шт.</v>
      </c>
      <c r="H218" t="str">
        <f t="shared" si="8"/>
        <v>OK</v>
      </c>
      <c r="I218" t="str">
        <f t="shared" si="9"/>
        <v>OK</v>
      </c>
    </row>
    <row r="219">
      <c r="A219" t="str">
        <f>"АРТ-"&amp;LEFT(SUBSTITUTE(SUBSTITUTE(SUBSTITUTE(SUBSTITUTE(Товары_исходные!A219,"№",""),"АРТ-",""),"АРТ_",""),"/","-"),3)</f>
        <v>АРТ-218</v>
      </c>
      <c r="B219" t="str">
        <f>PROPER(TRIM(IFERROR(LEFT(Товары_исходные!B219,FIND("(",Товары_исходные!B219)-1),Товары_исходные!B219)))</f>
        <v xml:space="preserve">Телевизор Lg Uq8000</v>
      </c>
      <c r="C219" t="str">
        <f>IFERROR(VLOOKUP(Товары_исходные!C219,Справочники!$A$2:$B$50,2,FALSE),Товары_исходные!C219)</f>
        <v>Телевизоры</v>
      </c>
      <c r="D219" t="str">
        <f>PROPER(TRIM(Товары_исходные!D219))</f>
        <v>Lg</v>
      </c>
      <c r="E219" s="4">
        <f>IFERROR(VALUE(IF(AND(ISNUMBER(FIND(",",Товары_исходные!E219)),ISNUMBER(FIND(".",Товары_исходные!E219))),SUBSTITUTE(SUBSTITUTE(SUBSTITUTE(SUBSTITUTE(Товары_исходные!E219," ",""),"руб.",""),"руб",""),",",""),SUBSTITUTE(SUBSTITUTE(SUBSTITUTE(SUBSTITUTE(Товары_исходные!E219," ",""),"руб.",""),"руб",""),",","."))),0)</f>
        <v>43500</v>
      </c>
      <c r="F219" s="4">
        <f>IFERROR(VALUE(IF(AND(ISNUMBER(FIND(",",Товары_исходные!F219)),ISNUMBER(FIND(".",Товары_исходные!F219))),SUBSTITUTE(SUBSTITUTE(SUBSTITUTE(SUBSTITUTE(Товары_исходные!F219," ",""),"руб.",""),"руб",""),",",""),SUBSTITUTE(SUBSTITUTE(SUBSTITUTE(SUBSTITUTE(Товары_исходные!F219," ",""),"руб.",""),"руб",""),",","."))),0)</f>
        <v>67500</v>
      </c>
      <c r="G219" t="str">
        <f>IFERROR(VLOOKUP(Товары_исходные!G219,Справочники!$D$2:$E$50,2,FALSE),"шт.")</f>
        <v>шт.</v>
      </c>
      <c r="H219" t="str">
        <f t="shared" si="8"/>
        <v>OK</v>
      </c>
      <c r="I219" t="str">
        <f t="shared" si="9"/>
        <v>OK</v>
      </c>
    </row>
    <row r="220">
      <c r="A220" t="str">
        <f>"АРТ-"&amp;LEFT(SUBSTITUTE(SUBSTITUTE(SUBSTITUTE(SUBSTITUTE(Товары_исходные!A220,"№",""),"АРТ-",""),"АРТ_",""),"/","-"),3)</f>
        <v>АРТ-219</v>
      </c>
      <c r="B220" t="str">
        <f>PROPER(TRIM(IFERROR(LEFT(Товары_исходные!B220,FIND("(",Товары_исходные!B220)-1),Товары_исходные!B220)))</f>
        <v xml:space="preserve">Телевизор Lg Uq8000</v>
      </c>
      <c r="C220" t="str">
        <f>IFERROR(VLOOKUP(Товары_исходные!C220,Справочники!$A$2:$B$50,2,FALSE),Товары_исходные!C220)</f>
        <v>Телевизоры</v>
      </c>
      <c r="D220" t="str">
        <f>PROPER(TRIM(Товары_исходные!D220))</f>
        <v>Lg</v>
      </c>
      <c r="E220" s="4">
        <f>IFERROR(VALUE(IF(AND(ISNUMBER(FIND(",",Товары_исходные!E220)),ISNUMBER(FIND(".",Товары_исходные!E220))),SUBSTITUTE(SUBSTITUTE(SUBSTITUTE(SUBSTITUTE(Товары_исходные!E220," ",""),"руб.",""),"руб",""),",",""),SUBSTITUTE(SUBSTITUTE(SUBSTITUTE(SUBSTITUTE(Товары_исходные!E220," ",""),"руб.",""),"руб",""),",","."))),0)</f>
        <v>46500</v>
      </c>
      <c r="F220" s="4">
        <f>IFERROR(VALUE(IF(AND(ISNUMBER(FIND(",",Товары_исходные!F220)),ISNUMBER(FIND(".",Товары_исходные!F220))),SUBSTITUTE(SUBSTITUTE(SUBSTITUTE(SUBSTITUTE(Товары_исходные!F220," ",""),"руб.",""),"руб",""),",",""),SUBSTITUTE(SUBSTITUTE(SUBSTITUTE(SUBSTITUTE(Товары_исходные!F220," ",""),"руб.",""),"руб",""),",","."))),0)</f>
        <v>72000</v>
      </c>
      <c r="G220" t="str">
        <f>IFERROR(VLOOKUP(Товары_исходные!G220,Справочники!$D$2:$E$50,2,FALSE),"шт.")</f>
        <v>шт.</v>
      </c>
      <c r="H220" t="str">
        <f t="shared" si="8"/>
        <v>OK</v>
      </c>
      <c r="I220" t="str">
        <f t="shared" si="9"/>
        <v>OK</v>
      </c>
    </row>
    <row r="221">
      <c r="A221" t="str">
        <f>"АРТ-"&amp;LEFT(SUBSTITUTE(SUBSTITUTE(SUBSTITUTE(SUBSTITUTE(Товары_исходные!A221,"№",""),"АРТ-",""),"АРТ_",""),"/","-"),3)</f>
        <v>АРТ-220</v>
      </c>
      <c r="B221" t="str">
        <f>PROPER(TRIM(IFERROR(LEFT(Товары_исходные!B221,FIND("(",Товары_исходные!B221)-1),Товары_исходные!B221)))</f>
        <v xml:space="preserve">Наушники Beats Studio Pro</v>
      </c>
      <c r="C221" t="str">
        <f>IFERROR(VLOOKUP(Товары_исходные!C221,Справочники!$A$2:$B$50,2,FALSE),Товары_исходные!C221)</f>
        <v>Наушники</v>
      </c>
      <c r="D221" t="str">
        <f>PROPER(TRIM(Товары_исходные!D221))</f>
        <v>Beats</v>
      </c>
      <c r="E221" s="4">
        <f>IFERROR(VALUE(IF(AND(ISNUMBER(FIND(",",Товары_исходные!E221)),ISNUMBER(FIND(".",Товары_исходные!E221))),SUBSTITUTE(SUBSTITUTE(SUBSTITUTE(SUBSTITUTE(Товары_исходные!E221," ",""),"руб.",""),"руб",""),",",""),SUBSTITUTE(SUBSTITUTE(SUBSTITUTE(SUBSTITUTE(Товары_исходные!E221," ",""),"руб.",""),"руб",""),",","."))),0)</f>
        <v>15000</v>
      </c>
      <c r="F221" s="4">
        <f>IFERROR(VALUE(IF(AND(ISNUMBER(FIND(",",Товары_исходные!F221)),ISNUMBER(FIND(".",Товары_исходные!F221))),SUBSTITUTE(SUBSTITUTE(SUBSTITUTE(SUBSTITUTE(Товары_исходные!F221," ",""),"руб.",""),"руб",""),",",""),SUBSTITUTE(SUBSTITUTE(SUBSTITUTE(SUBSTITUTE(Товары_исходные!F221," ",""),"руб.",""),"руб",""),",","."))),0)</f>
        <v>24990</v>
      </c>
      <c r="G221" t="str">
        <f>IFERROR(VLOOKUP(Товары_исходные!G221,Справочники!$D$2:$E$50,2,FALSE),"шт.")</f>
        <v>шт.</v>
      </c>
      <c r="H221" t="str">
        <f t="shared" si="8"/>
        <v>OK</v>
      </c>
      <c r="I221" t="str">
        <f t="shared" si="9"/>
        <v>OK</v>
      </c>
    </row>
    <row r="222">
      <c r="A222" t="str">
        <f>"АРТ-"&amp;LEFT(SUBSTITUTE(SUBSTITUTE(SUBSTITUTE(SUBSTITUTE(Товары_исходные!A222,"№",""),"АРТ-",""),"АРТ_",""),"/","-"),3)</f>
        <v>АРТ-221</v>
      </c>
      <c r="B222" t="str">
        <f>PROPER(TRIM(IFERROR(LEFT(Товары_исходные!B222,FIND("(",Товары_исходные!B222)-1),Товары_исходные!B222)))</f>
        <v xml:space="preserve">Наушники Beats Studio Pro</v>
      </c>
      <c r="C222" t="str">
        <f>IFERROR(VLOOKUP(Товары_исходные!C222,Справочники!$A$2:$B$50,2,FALSE),Товары_исходные!C222)</f>
        <v>Наушники</v>
      </c>
      <c r="D222" t="str">
        <f>PROPER(TRIM(Товары_исходные!D222))</f>
        <v>Beats</v>
      </c>
      <c r="E222" s="4">
        <f>IFERROR(VALUE(IF(AND(ISNUMBER(FIND(",",Товары_исходные!E222)),ISNUMBER(FIND(".",Товары_исходные!E222))),SUBSTITUTE(SUBSTITUTE(SUBSTITUTE(SUBSTITUTE(Товары_исходные!E222," ",""),"руб.",""),"руб",""),",",""),SUBSTITUTE(SUBSTITUTE(SUBSTITUTE(SUBSTITUTE(Товары_исходные!E222," ",""),"руб.",""),"руб",""),",","."))),0)</f>
        <v>14500</v>
      </c>
      <c r="F222" s="4">
        <f>IFERROR(VALUE(IF(AND(ISNUMBER(FIND(",",Товары_исходные!F222)),ISNUMBER(FIND(".",Товары_исходные!F222))),SUBSTITUTE(SUBSTITUTE(SUBSTITUTE(SUBSTITUTE(Товары_исходные!F222," ",""),"руб.",""),"руб",""),",",""),SUBSTITUTE(SUBSTITUTE(SUBSTITUTE(SUBSTITUTE(Товары_исходные!F222," ",""),"руб.",""),"руб",""),",","."))),0)</f>
        <v>24000</v>
      </c>
      <c r="G222" t="str">
        <f>IFERROR(VLOOKUP(Товары_исходные!G222,Справочники!$D$2:$E$50,2,FALSE),"шт.")</f>
        <v>шт.</v>
      </c>
      <c r="H222" t="str">
        <f t="shared" si="8"/>
        <v>OK</v>
      </c>
      <c r="I222" t="str">
        <f t="shared" si="9"/>
        <v>OK</v>
      </c>
    </row>
    <row r="223">
      <c r="A223" t="str">
        <f>"АРТ-"&amp;LEFT(SUBSTITUTE(SUBSTITUTE(SUBSTITUTE(SUBSTITUTE(Товары_исходные!A223,"№",""),"АРТ-",""),"АРТ_",""),"/","-"),3)</f>
        <v>АРТ-222</v>
      </c>
      <c r="B223" t="str">
        <f>PROPER(TRIM(IFERROR(LEFT(Товары_исходные!B223,FIND("(",Товары_исходные!B223)-1),Товары_исходные!B223)))</f>
        <v xml:space="preserve">Наушники Beats Studio Pro</v>
      </c>
      <c r="C223" t="str">
        <f>IFERROR(VLOOKUP(Товары_исходные!C223,Справочники!$A$2:$B$50,2,FALSE),Товары_исходные!C223)</f>
        <v>Наушники</v>
      </c>
      <c r="D223" t="str">
        <f>PROPER(TRIM(Товары_исходные!D223))</f>
        <v>Beats</v>
      </c>
      <c r="E223" s="4">
        <f>IFERROR(VALUE(IF(AND(ISNUMBER(FIND(",",Товары_исходные!E223)),ISNUMBER(FIND(".",Товары_исходные!E223))),SUBSTITUTE(SUBSTITUTE(SUBSTITUTE(SUBSTITUTE(Товары_исходные!E223," ",""),"руб.",""),"руб",""),",",""),SUBSTITUTE(SUBSTITUTE(SUBSTITUTE(SUBSTITUTE(Товары_исходные!E223," ",""),"руб.",""),"руб",""),",","."))),0)</f>
        <v>15800</v>
      </c>
      <c r="F223" s="4">
        <f>IFERROR(VALUE(IF(AND(ISNUMBER(FIND(",",Товары_исходные!F223)),ISNUMBER(FIND(".",Товары_исходные!F223))),SUBSTITUTE(SUBSTITUTE(SUBSTITUTE(SUBSTITUTE(Товары_исходные!F223," ",""),"руб.",""),"руб",""),",",""),SUBSTITUTE(SUBSTITUTE(SUBSTITUTE(SUBSTITUTE(Товары_исходные!F223," ",""),"руб.",""),"руб",""),",","."))),0)</f>
        <v>26000</v>
      </c>
      <c r="G223" t="str">
        <f>IFERROR(VLOOKUP(Товары_исходные!G223,Справочники!$D$2:$E$50,2,FALSE),"шт.")</f>
        <v>шт.</v>
      </c>
      <c r="H223" t="str">
        <f t="shared" si="8"/>
        <v>OK</v>
      </c>
      <c r="I223" t="str">
        <f t="shared" si="9"/>
        <v>OK</v>
      </c>
    </row>
    <row r="224">
      <c r="A224" t="str">
        <f>"АРТ-"&amp;LEFT(SUBSTITUTE(SUBSTITUTE(SUBSTITUTE(SUBSTITUTE(Товары_исходные!A224,"№",""),"АРТ-",""),"АРТ_",""),"/","-"),3)</f>
        <v>АРТ-223</v>
      </c>
      <c r="B224" t="str">
        <f>PROPER(TRIM(IFERROR(LEFT(Товары_исходные!B224,FIND("(",Товары_исходные!B224)-1),Товары_исходные!B224)))</f>
        <v xml:space="preserve">Монитор Hp E27M G4</v>
      </c>
      <c r="C224" t="str">
        <f>IFERROR(VLOOKUP(Товары_исходные!C224,Справочники!$A$2:$B$50,2,FALSE),Товары_исходные!C224)</f>
        <v>Мониторы</v>
      </c>
      <c r="D224" t="str">
        <f>PROPER(TRIM(Товары_исходные!D224))</f>
        <v>Hp</v>
      </c>
      <c r="E224" s="4">
        <f>IFERROR(VALUE(IF(AND(ISNUMBER(FIND(",",Товары_исходные!E224)),ISNUMBER(FIND(".",Товары_исходные!E224))),SUBSTITUTE(SUBSTITUTE(SUBSTITUTE(SUBSTITUTE(Товары_исходные!E224," ",""),"руб.",""),"руб",""),",",""),SUBSTITUTE(SUBSTITUTE(SUBSTITUTE(SUBSTITUTE(Товары_исходные!E224," ",""),"руб.",""),"руб",""),",","."))),0)</f>
        <v>35000</v>
      </c>
      <c r="F224" s="4">
        <f>IFERROR(VALUE(IF(AND(ISNUMBER(FIND(",",Товары_исходные!F224)),ISNUMBER(FIND(".",Товары_исходные!F224))),SUBSTITUTE(SUBSTITUTE(SUBSTITUTE(SUBSTITUTE(Товары_исходные!F224," ",""),"руб.",""),"руб",""),",",""),SUBSTITUTE(SUBSTITUTE(SUBSTITUTE(SUBSTITUTE(Товары_исходные!F224," ",""),"руб.",""),"руб",""),",","."))),0)</f>
        <v>54990</v>
      </c>
      <c r="G224" t="str">
        <f>IFERROR(VLOOKUP(Товары_исходные!G224,Справочники!$D$2:$E$50,2,FALSE),"шт.")</f>
        <v>шт.</v>
      </c>
      <c r="H224" t="str">
        <f t="shared" si="8"/>
        <v>OK</v>
      </c>
      <c r="I224" t="str">
        <f t="shared" si="9"/>
        <v>OK</v>
      </c>
    </row>
    <row r="225">
      <c r="A225" t="str">
        <f>"АРТ-"&amp;LEFT(SUBSTITUTE(SUBSTITUTE(SUBSTITUTE(SUBSTITUTE(Товары_исходные!A225,"№",""),"АРТ-",""),"АРТ_",""),"/","-"),3)</f>
        <v>АРТ-224</v>
      </c>
      <c r="B225" t="str">
        <f>PROPER(TRIM(IFERROR(LEFT(Товары_исходные!B225,FIND("(",Товары_исходные!B225)-1),Товары_исходные!B225)))</f>
        <v xml:space="preserve">Монитор Hp E27M G4</v>
      </c>
      <c r="C225" t="str">
        <f>IFERROR(VLOOKUP(Товары_исходные!C225,Справочники!$A$2:$B$50,2,FALSE),Товары_исходные!C225)</f>
        <v>Мониторы</v>
      </c>
      <c r="D225" t="str">
        <f>PROPER(TRIM(Товары_исходные!D225))</f>
        <v>Hp</v>
      </c>
      <c r="E225" s="4">
        <f>IFERROR(VALUE(IF(AND(ISNUMBER(FIND(",",Товары_исходные!E225)),ISNUMBER(FIND(".",Товары_исходные!E225))),SUBSTITUTE(SUBSTITUTE(SUBSTITUTE(SUBSTITUTE(Товары_исходные!E225," ",""),"руб.",""),"руб",""),",",""),SUBSTITUTE(SUBSTITUTE(SUBSTITUTE(SUBSTITUTE(Товары_исходные!E225," ",""),"руб.",""),"руб",""),",","."))),0)</f>
        <v>33500</v>
      </c>
      <c r="F225" s="4">
        <f>IFERROR(VALUE(IF(AND(ISNUMBER(FIND(",",Товары_исходные!F225)),ISNUMBER(FIND(".",Товары_исходные!F225))),SUBSTITUTE(SUBSTITUTE(SUBSTITUTE(SUBSTITUTE(Товары_исходные!F225," ",""),"руб.",""),"руб",""),",",""),SUBSTITUTE(SUBSTITUTE(SUBSTITUTE(SUBSTITUTE(Товары_исходные!F225," ",""),"руб.",""),"руб",""),",","."))),0)</f>
        <v>52500</v>
      </c>
      <c r="G225" t="str">
        <f>IFERROR(VLOOKUP(Товары_исходные!G225,Справочники!$D$2:$E$50,2,FALSE),"шт.")</f>
        <v>шт.</v>
      </c>
      <c r="H225" t="str">
        <f t="shared" si="8"/>
        <v>OK</v>
      </c>
      <c r="I225" t="str">
        <f t="shared" si="9"/>
        <v>OK</v>
      </c>
    </row>
    <row r="226">
      <c r="A226" t="str">
        <f>"АРТ-"&amp;LEFT(SUBSTITUTE(SUBSTITUTE(SUBSTITUTE(SUBSTITUTE(Товары_исходные!A226,"№",""),"АРТ-",""),"АРТ_",""),"/","-"),3)</f>
        <v>АРТ-225</v>
      </c>
      <c r="B226" t="str">
        <f>PROPER(TRIM(IFERROR(LEFT(Товары_исходные!B226,FIND("(",Товары_исходные!B226)-1),Товары_исходные!B226)))</f>
        <v xml:space="preserve">Монитор Hp E27M G4</v>
      </c>
      <c r="C226" t="str">
        <f>IFERROR(VLOOKUP(Товары_исходные!C226,Справочники!$A$2:$B$50,2,FALSE),Товары_исходные!C226)</f>
        <v>Мониторы</v>
      </c>
      <c r="D226" t="str">
        <f>PROPER(TRIM(Товары_исходные!D226))</f>
        <v>Hp</v>
      </c>
      <c r="E226" s="4">
        <f>IFERROR(VALUE(IF(AND(ISNUMBER(FIND(",",Товары_исходные!E226)),ISNUMBER(FIND(".",Товары_исходные!E226))),SUBSTITUTE(SUBSTITUTE(SUBSTITUTE(SUBSTITUTE(Товары_исходные!E226," ",""),"руб.",""),"руб",""),",",""),SUBSTITUTE(SUBSTITUTE(SUBSTITUTE(SUBSTITUTE(Товары_исходные!E226," ",""),"руб.",""),"руб",""),",","."))),0)</f>
        <v>36500</v>
      </c>
      <c r="F226" s="4">
        <f>IFERROR(VALUE(IF(AND(ISNUMBER(FIND(",",Товары_исходные!F226)),ISNUMBER(FIND(".",Товары_исходные!F226))),SUBSTITUTE(SUBSTITUTE(SUBSTITUTE(SUBSTITUTE(Товары_исходные!F226," ",""),"руб.",""),"руб",""),",",""),SUBSTITUTE(SUBSTITUTE(SUBSTITUTE(SUBSTITUTE(Товары_исходные!F226," ",""),"руб.",""),"руб",""),",","."))),0)</f>
        <v>57000</v>
      </c>
      <c r="G226" t="str">
        <f>IFERROR(VLOOKUP(Товары_исходные!G226,Справочники!$D$2:$E$50,2,FALSE),"шт.")</f>
        <v>шт.</v>
      </c>
      <c r="H226" t="str">
        <f t="shared" si="8"/>
        <v>OK</v>
      </c>
      <c r="I226" t="str">
        <f t="shared" si="9"/>
        <v>OK</v>
      </c>
    </row>
    <row r="227">
      <c r="A227" t="str">
        <f>"АРТ-"&amp;LEFT(SUBSTITUTE(SUBSTITUTE(SUBSTITUTE(SUBSTITUTE(Товары_исходные!A227,"№",""),"АРТ-",""),"АРТ_",""),"/","-"),3)</f>
        <v>АРТ-226</v>
      </c>
      <c r="B227" t="str">
        <f>PROPER(TRIM(IFERROR(LEFT(Товары_исходные!B227,FIND("(",Товары_исходные!B227)-1),Товары_исходные!B227)))</f>
        <v xml:space="preserve">Мышь Steelseries Aerox 3</v>
      </c>
      <c r="C227" t="str">
        <f>IFERROR(VLOOKUP(Товары_исходные!C227,Справочники!$A$2:$B$50,2,FALSE),Товары_исходные!C227)</f>
        <v>Аксессуары</v>
      </c>
      <c r="D227" t="str">
        <f>PROPER(TRIM(Товары_исходные!D227))</f>
        <v>Steelseries</v>
      </c>
      <c r="E227" s="4">
        <f>IFERROR(VALUE(IF(AND(ISNUMBER(FIND(",",Товары_исходные!E227)),ISNUMBER(FIND(".",Товары_исходные!E227))),SUBSTITUTE(SUBSTITUTE(SUBSTITUTE(SUBSTITUTE(Товары_исходные!E227," ",""),"руб.",""),"руб",""),",",""),SUBSTITUTE(SUBSTITUTE(SUBSTITUTE(SUBSTITUTE(Товары_исходные!E227," ",""),"руб.",""),"руб",""),",","."))),0)</f>
        <v>3000</v>
      </c>
      <c r="F227" s="4">
        <f>IFERROR(VALUE(IF(AND(ISNUMBER(FIND(",",Товары_исходные!F227)),ISNUMBER(FIND(".",Товары_исходные!F227))),SUBSTITUTE(SUBSTITUTE(SUBSTITUTE(SUBSTITUTE(Товары_исходные!F227," ",""),"руб.",""),"руб",""),",",""),SUBSTITUTE(SUBSTITUTE(SUBSTITUTE(SUBSTITUTE(Товары_исходные!F227," ",""),"руб.",""),"руб",""),",","."))),0)</f>
        <v>5990</v>
      </c>
      <c r="G227" t="str">
        <f>IFERROR(VLOOKUP(Товары_исходные!G227,Справочники!$D$2:$E$50,2,FALSE),"шт.")</f>
        <v>шт.</v>
      </c>
      <c r="H227" t="str">
        <f t="shared" si="8"/>
        <v>OK</v>
      </c>
      <c r="I227" t="str">
        <f t="shared" si="9"/>
        <v>OK</v>
      </c>
    </row>
    <row r="228">
      <c r="A228" t="str">
        <f>"АРТ-"&amp;LEFT(SUBSTITUTE(SUBSTITUTE(SUBSTITUTE(SUBSTITUTE(Товары_исходные!A228,"№",""),"АРТ-",""),"АРТ_",""),"/","-"),3)</f>
        <v>АРТ-227</v>
      </c>
      <c r="B228" t="str">
        <f>PROPER(TRIM(IFERROR(LEFT(Товары_исходные!B228,FIND("(",Товары_исходные!B228)-1),Товары_исходные!B228)))</f>
        <v xml:space="preserve">Мышь Steelseries Aerox 3</v>
      </c>
      <c r="C228" t="str">
        <f>IFERROR(VLOOKUP(Товары_исходные!C228,Справочники!$A$2:$B$50,2,FALSE),Товары_исходные!C228)</f>
        <v>Аксессуары</v>
      </c>
      <c r="D228" t="str">
        <f>PROPER(TRIM(Товары_исходные!D228))</f>
        <v>Steelseries</v>
      </c>
      <c r="E228" s="4">
        <f>IFERROR(VALUE(IF(AND(ISNUMBER(FIND(",",Товары_исходные!E228)),ISNUMBER(FIND(".",Товары_исходные!E228))),SUBSTITUTE(SUBSTITUTE(SUBSTITUTE(SUBSTITUTE(Товары_исходные!E228," ",""),"руб.",""),"руб",""),",",""),SUBSTITUTE(SUBSTITUTE(SUBSTITUTE(SUBSTITUTE(Товары_исходные!E228," ",""),"руб.",""),"руб",""),",","."))),0)</f>
        <v>2800</v>
      </c>
      <c r="F228" s="4">
        <f>IFERROR(VALUE(IF(AND(ISNUMBER(FIND(",",Товары_исходные!F228)),ISNUMBER(FIND(".",Товары_исходные!F228))),SUBSTITUTE(SUBSTITUTE(SUBSTITUTE(SUBSTITUTE(Товары_исходные!F228," ",""),"руб.",""),"руб",""),",",""),SUBSTITUTE(SUBSTITUTE(SUBSTITUTE(SUBSTITUTE(Товары_исходные!F228," ",""),"руб.",""),"руб",""),",","."))),0)</f>
        <v>5500</v>
      </c>
      <c r="G228" t="str">
        <f>IFERROR(VLOOKUP(Товары_исходные!G228,Справочники!$D$2:$E$50,2,FALSE),"шт.")</f>
        <v>шт.</v>
      </c>
      <c r="H228" t="str">
        <f t="shared" ref="H228:H291" si="10">IF(F228&gt;=E228,"OK","Розница ниже закупки")</f>
        <v>OK</v>
      </c>
      <c r="I228" t="str">
        <f t="shared" ref="I228:I291" si="11">IF(COUNTIF($A$2:$A$502,A228)=1,"OK","Дубликат")</f>
        <v>OK</v>
      </c>
    </row>
    <row r="229">
      <c r="A229" t="str">
        <f>"АРТ-"&amp;LEFT(SUBSTITUTE(SUBSTITUTE(SUBSTITUTE(SUBSTITUTE(Товары_исходные!A229,"№",""),"АРТ-",""),"АРТ_",""),"/","-"),3)</f>
        <v>АРТ-228</v>
      </c>
      <c r="B229" t="str">
        <f>PROPER(TRIM(IFERROR(LEFT(Товары_исходные!B229,FIND("(",Товары_исходные!B229)-1),Товары_исходные!B229)))</f>
        <v xml:space="preserve">Мышь Steelseries Aerox 3</v>
      </c>
      <c r="C229" t="str">
        <f>IFERROR(VLOOKUP(Товары_исходные!C229,Справочники!$A$2:$B$50,2,FALSE),Товары_исходные!C229)</f>
        <v>Аксессуары</v>
      </c>
      <c r="D229" t="str">
        <f>PROPER(TRIM(Товары_исходные!D229))</f>
        <v>Steelseries</v>
      </c>
      <c r="E229" s="4">
        <f>IFERROR(VALUE(IF(AND(ISNUMBER(FIND(",",Товары_исходные!E229)),ISNUMBER(FIND(".",Товары_исходные!E229))),SUBSTITUTE(SUBSTITUTE(SUBSTITUTE(SUBSTITUTE(Товары_исходные!E229," ",""),"руб.",""),"руб",""),",",""),SUBSTITUTE(SUBSTITUTE(SUBSTITUTE(SUBSTITUTE(Товары_исходные!E229," ",""),"руб.",""),"руб",""),",","."))),0)</f>
        <v>3200</v>
      </c>
      <c r="F229" s="4">
        <f>IFERROR(VALUE(IF(AND(ISNUMBER(FIND(",",Товары_исходные!F229)),ISNUMBER(FIND(".",Товары_исходные!F229))),SUBSTITUTE(SUBSTITUTE(SUBSTITUTE(SUBSTITUTE(Товары_исходные!F229," ",""),"руб.",""),"руб",""),",",""),SUBSTITUTE(SUBSTITUTE(SUBSTITUTE(SUBSTITUTE(Товары_исходные!F229," ",""),"руб.",""),"руб",""),",","."))),0)</f>
        <v>6500</v>
      </c>
      <c r="G229" t="str">
        <f>IFERROR(VLOOKUP(Товары_исходные!G229,Справочники!$D$2:$E$50,2,FALSE),"шт.")</f>
        <v>шт.</v>
      </c>
      <c r="H229" t="str">
        <f t="shared" si="10"/>
        <v>OK</v>
      </c>
      <c r="I229" t="str">
        <f t="shared" si="11"/>
        <v>OK</v>
      </c>
    </row>
    <row r="230">
      <c r="A230" t="str">
        <f>"АРТ-"&amp;LEFT(SUBSTITUTE(SUBSTITUTE(SUBSTITUTE(SUBSTITUTE(Товары_исходные!A230,"№",""),"АРТ-",""),"АРТ_",""),"/","-"),3)</f>
        <v>АРТ-229</v>
      </c>
      <c r="B230" t="str">
        <f>PROPER(TRIM(IFERROR(LEFT(Товары_исходные!B230,FIND("(",Товары_исходные!B230)-1),Товары_исходные!B230)))</f>
        <v xml:space="preserve">Ноутбук Lenovo Yoga 9I</v>
      </c>
      <c r="C230" t="str">
        <f>IFERROR(VLOOKUP(Товары_исходные!C230,Справочники!$A$2:$B$50,2,FALSE),Товары_исходные!C230)</f>
        <v>Ноутбуки</v>
      </c>
      <c r="D230" t="str">
        <f>PROPER(TRIM(Товары_исходные!D230))</f>
        <v>Lenovo</v>
      </c>
      <c r="E230" s="4">
        <f>IFERROR(VALUE(IF(AND(ISNUMBER(FIND(",",Товары_исходные!E230)),ISNUMBER(FIND(".",Товары_исходные!E230))),SUBSTITUTE(SUBSTITUTE(SUBSTITUTE(SUBSTITUTE(Товары_исходные!E230," ",""),"руб.",""),"руб",""),",",""),SUBSTITUTE(SUBSTITUTE(SUBSTITUTE(SUBSTITUTE(Товары_исходные!E230," ",""),"руб.",""),"руб",""),",","."))),0)</f>
        <v>78000</v>
      </c>
      <c r="F230" s="4">
        <f>IFERROR(VALUE(IF(AND(ISNUMBER(FIND(",",Товары_исходные!F230)),ISNUMBER(FIND(".",Товары_исходные!F230))),SUBSTITUTE(SUBSTITUTE(SUBSTITUTE(SUBSTITUTE(Товары_исходные!F230," ",""),"руб.",""),"руб",""),",",""),SUBSTITUTE(SUBSTITUTE(SUBSTITUTE(SUBSTITUTE(Товары_исходные!F230," ",""),"руб.",""),"руб",""),",","."))),0)</f>
        <v>119990</v>
      </c>
      <c r="G230" t="str">
        <f>IFERROR(VLOOKUP(Товары_исходные!G230,Справочники!$D$2:$E$50,2,FALSE),"шт.")</f>
        <v>шт.</v>
      </c>
      <c r="H230" t="str">
        <f t="shared" si="10"/>
        <v>OK</v>
      </c>
      <c r="I230" t="str">
        <f t="shared" si="11"/>
        <v>OK</v>
      </c>
    </row>
    <row r="231">
      <c r="A231" t="str">
        <f>"АРТ-"&amp;LEFT(SUBSTITUTE(SUBSTITUTE(SUBSTITUTE(SUBSTITUTE(Товары_исходные!A231,"№",""),"АРТ-",""),"АРТ_",""),"/","-"),3)</f>
        <v>АРТ-230</v>
      </c>
      <c r="B231" t="str">
        <f>PROPER(TRIM(IFERROR(LEFT(Товары_исходные!B231,FIND("(",Товары_исходные!B231)-1),Товары_исходные!B231)))</f>
        <v xml:space="preserve">Ноутбук Lenovo Yoga 9I</v>
      </c>
      <c r="C231" t="str">
        <f>IFERROR(VLOOKUP(Товары_исходные!C231,Справочники!$A$2:$B$50,2,FALSE),Товары_исходные!C231)</f>
        <v>Ноутбуки</v>
      </c>
      <c r="D231" t="str">
        <f>PROPER(TRIM(Товары_исходные!D231))</f>
        <v>Lenovo</v>
      </c>
      <c r="E231" s="4">
        <f>IFERROR(VALUE(IF(AND(ISNUMBER(FIND(",",Товары_исходные!E231)),ISNUMBER(FIND(".",Товары_исходные!E231))),SUBSTITUTE(SUBSTITUTE(SUBSTITUTE(SUBSTITUTE(Товары_исходные!E231," ",""),"руб.",""),"руб",""),",",""),SUBSTITUTE(SUBSTITUTE(SUBSTITUTE(SUBSTITUTE(Товары_исходные!E231," ",""),"руб.",""),"руб",""),",","."))),0)</f>
        <v>76000</v>
      </c>
      <c r="F231" s="4">
        <f>IFERROR(VALUE(IF(AND(ISNUMBER(FIND(",",Товары_исходные!F231)),ISNUMBER(FIND(".",Товары_исходные!F231))),SUBSTITUTE(SUBSTITUTE(SUBSTITUTE(SUBSTITUTE(Товары_исходные!F231," ",""),"руб.",""),"руб",""),",",""),SUBSTITUTE(SUBSTITUTE(SUBSTITUTE(SUBSTITUTE(Товары_исходные!F231," ",""),"руб.",""),"руб",""),",","."))),0)</f>
        <v>117000</v>
      </c>
      <c r="G231" t="str">
        <f>IFERROR(VLOOKUP(Товары_исходные!G231,Справочники!$D$2:$E$50,2,FALSE),"шт.")</f>
        <v>шт.</v>
      </c>
      <c r="H231" t="str">
        <f t="shared" si="10"/>
        <v>OK</v>
      </c>
      <c r="I231" t="str">
        <f t="shared" si="11"/>
        <v>OK</v>
      </c>
    </row>
    <row r="232">
      <c r="A232" t="str">
        <f>"АРТ-"&amp;LEFT(SUBSTITUTE(SUBSTITUTE(SUBSTITUTE(SUBSTITUTE(Товары_исходные!A232,"№",""),"АРТ-",""),"АРТ_",""),"/","-"),3)</f>
        <v>АРТ-231</v>
      </c>
      <c r="B232" t="str">
        <f>PROPER(TRIM(IFERROR(LEFT(Товары_исходные!B232,FIND("(",Товары_исходные!B232)-1),Товары_исходные!B232)))</f>
        <v xml:space="preserve">Ноутбук Lenovo Yoga 9I</v>
      </c>
      <c r="C232" t="str">
        <f>IFERROR(VLOOKUP(Товары_исходные!C232,Справочники!$A$2:$B$50,2,FALSE),Товары_исходные!C232)</f>
        <v>Ноутбуки</v>
      </c>
      <c r="D232" t="str">
        <f>PROPER(TRIM(Товары_исходные!D232))</f>
        <v>Lenovo</v>
      </c>
      <c r="E232" s="4">
        <f>IFERROR(VALUE(IF(AND(ISNUMBER(FIND(",",Товары_исходные!E232)),ISNUMBER(FIND(".",Товары_исходные!E232))),SUBSTITUTE(SUBSTITUTE(SUBSTITUTE(SUBSTITUTE(Товары_исходные!E232," ",""),"руб.",""),"руб",""),",",""),SUBSTITUTE(SUBSTITUTE(SUBSTITUTE(SUBSTITUTE(Товары_исходные!E232," ",""),"руб.",""),"руб",""),",","."))),0)</f>
        <v>79500</v>
      </c>
      <c r="F232" s="4">
        <f>IFERROR(VALUE(IF(AND(ISNUMBER(FIND(",",Товары_исходные!F232)),ISNUMBER(FIND(".",Товары_исходные!F232))),SUBSTITUTE(SUBSTITUTE(SUBSTITUTE(SUBSTITUTE(Товары_исходные!F232," ",""),"руб.",""),"руб",""),",",""),SUBSTITUTE(SUBSTITUTE(SUBSTITUTE(SUBSTITUTE(Товары_исходные!F232," ",""),"руб.",""),"руб",""),",","."))),0)</f>
        <v>122500</v>
      </c>
      <c r="G232" t="str">
        <f>IFERROR(VLOOKUP(Товары_исходные!G232,Справочники!$D$2:$E$50,2,FALSE),"шт.")</f>
        <v>шт.</v>
      </c>
      <c r="H232" t="str">
        <f t="shared" si="10"/>
        <v>OK</v>
      </c>
      <c r="I232" t="str">
        <f t="shared" si="11"/>
        <v>OK</v>
      </c>
    </row>
    <row r="233">
      <c r="A233" t="str">
        <f>"АРТ-"&amp;LEFT(SUBSTITUTE(SUBSTITUTE(SUBSTITUTE(SUBSTITUTE(Товары_исходные!A233,"№",""),"АРТ-",""),"АРТ_",""),"/","-"),3)</f>
        <v>АРТ-232</v>
      </c>
      <c r="B233" t="str">
        <f>PROPER(TRIM(IFERROR(LEFT(Товары_исходные!B233,FIND("(",Товары_исходные!B233)-1),Товары_исходные!B233)))</f>
        <v xml:space="preserve">Смартфон Google Pixel 7A</v>
      </c>
      <c r="C233" t="str">
        <f>IFERROR(VLOOKUP(Товары_исходные!C233,Справочники!$A$2:$B$50,2,FALSE),Товары_исходные!C233)</f>
        <v>Смартфоны</v>
      </c>
      <c r="D233" t="str">
        <f>PROPER(TRIM(Товары_исходные!D233))</f>
        <v>Google</v>
      </c>
      <c r="E233" s="4">
        <f>IFERROR(VALUE(IF(AND(ISNUMBER(FIND(",",Товары_исходные!E233)),ISNUMBER(FIND(".",Товары_исходные!E233))),SUBSTITUTE(SUBSTITUTE(SUBSTITUTE(SUBSTITUTE(Товары_исходные!E233," ",""),"руб.",""),"руб",""),",",""),SUBSTITUTE(SUBSTITUTE(SUBSTITUTE(SUBSTITUTE(Товары_исходные!E233," ",""),"руб.",""),"руб",""),",","."))),0)</f>
        <v>25000</v>
      </c>
      <c r="F233" s="4">
        <f>IFERROR(VALUE(IF(AND(ISNUMBER(FIND(",",Товары_исходные!F233)),ISNUMBER(FIND(".",Товары_исходные!F233))),SUBSTITUTE(SUBSTITUTE(SUBSTITUTE(SUBSTITUTE(Товары_исходные!F233," ",""),"руб.",""),"руб",""),",",""),SUBSTITUTE(SUBSTITUTE(SUBSTITUTE(SUBSTITUTE(Товары_исходные!F233," ",""),"руб.",""),"руб",""),",","."))),0)</f>
        <v>42990</v>
      </c>
      <c r="G233" t="str">
        <f>IFERROR(VLOOKUP(Товары_исходные!G233,Справочники!$D$2:$E$50,2,FALSE),"шт.")</f>
        <v>шт.</v>
      </c>
      <c r="H233" t="str">
        <f t="shared" si="10"/>
        <v>OK</v>
      </c>
      <c r="I233" t="str">
        <f t="shared" si="11"/>
        <v>OK</v>
      </c>
    </row>
    <row r="234">
      <c r="A234" t="str">
        <f>"АРТ-"&amp;LEFT(SUBSTITUTE(SUBSTITUTE(SUBSTITUTE(SUBSTITUTE(Товары_исходные!A234,"№",""),"АРТ-",""),"АРТ_",""),"/","-"),3)</f>
        <v>АРТ-233</v>
      </c>
      <c r="B234" t="str">
        <f>PROPER(TRIM(IFERROR(LEFT(Товары_исходные!B234,FIND("(",Товары_исходные!B234)-1),Товары_исходные!B234)))</f>
        <v xml:space="preserve">Смартфон Google Pixel 7A</v>
      </c>
      <c r="C234" t="str">
        <f>IFERROR(VLOOKUP(Товары_исходные!C234,Справочники!$A$2:$B$50,2,FALSE),Товары_исходные!C234)</f>
        <v>Смартфоны</v>
      </c>
      <c r="D234" t="str">
        <f>PROPER(TRIM(Товары_исходные!D234))</f>
        <v>Google</v>
      </c>
      <c r="E234" s="4">
        <f>IFERROR(VALUE(IF(AND(ISNUMBER(FIND(",",Товары_исходные!E234)),ISNUMBER(FIND(".",Товары_исходные!E234))),SUBSTITUTE(SUBSTITUTE(SUBSTITUTE(SUBSTITUTE(Товары_исходные!E234," ",""),"руб.",""),"руб",""),",",""),SUBSTITUTE(SUBSTITUTE(SUBSTITUTE(SUBSTITUTE(Товары_исходные!E234," ",""),"руб.",""),"руб",""),",","."))),0)</f>
        <v>24000</v>
      </c>
      <c r="F234" s="4">
        <f>IFERROR(VALUE(IF(AND(ISNUMBER(FIND(",",Товары_исходные!F234)),ISNUMBER(FIND(".",Товары_исходные!F234))),SUBSTITUTE(SUBSTITUTE(SUBSTITUTE(SUBSTITUTE(Товары_исходные!F234," ",""),"руб.",""),"руб",""),",",""),SUBSTITUTE(SUBSTITUTE(SUBSTITUTE(SUBSTITUTE(Товары_исходные!F234," ",""),"руб.",""),"руб",""),",","."))),0)</f>
        <v>41500</v>
      </c>
      <c r="G234" t="str">
        <f>IFERROR(VLOOKUP(Товары_исходные!G234,Справочники!$D$2:$E$50,2,FALSE),"шт.")</f>
        <v>шт.</v>
      </c>
      <c r="H234" t="str">
        <f t="shared" si="10"/>
        <v>OK</v>
      </c>
      <c r="I234" t="str">
        <f t="shared" si="11"/>
        <v>OK</v>
      </c>
    </row>
    <row r="235">
      <c r="A235" t="str">
        <f>"АРТ-"&amp;LEFT(SUBSTITUTE(SUBSTITUTE(SUBSTITUTE(SUBSTITUTE(Товары_исходные!A235,"№",""),"АРТ-",""),"АРТ_",""),"/","-"),3)</f>
        <v>АРТ-234</v>
      </c>
      <c r="B235" t="str">
        <f>PROPER(TRIM(IFERROR(LEFT(Товары_исходные!B235,FIND("(",Товары_исходные!B235)-1),Товары_исходные!B235)))</f>
        <v xml:space="preserve">Смартфон Google Pixel 7A</v>
      </c>
      <c r="C235" t="str">
        <f>IFERROR(VLOOKUP(Товары_исходные!C235,Справочники!$A$2:$B$50,2,FALSE),Товары_исходные!C235)</f>
        <v>Смартфоны</v>
      </c>
      <c r="D235" t="str">
        <f>PROPER(TRIM(Товары_исходные!D235))</f>
        <v>Google</v>
      </c>
      <c r="E235" s="4">
        <f>IFERROR(VALUE(IF(AND(ISNUMBER(FIND(",",Товары_исходные!E235)),ISNUMBER(FIND(".",Товары_исходные!E235))),SUBSTITUTE(SUBSTITUTE(SUBSTITUTE(SUBSTITUTE(Товары_исходные!E235," ",""),"руб.",""),"руб",""),",",""),SUBSTITUTE(SUBSTITUTE(SUBSTITUTE(SUBSTITUTE(Товары_исходные!E235," ",""),"руб.",""),"руб",""),",","."))),0)</f>
        <v>26000</v>
      </c>
      <c r="F235" s="4">
        <f>IFERROR(VALUE(IF(AND(ISNUMBER(FIND(",",Товары_исходные!F235)),ISNUMBER(FIND(".",Товары_исходные!F235))),SUBSTITUTE(SUBSTITUTE(SUBSTITUTE(SUBSTITUTE(Товары_исходные!F235," ",""),"руб.",""),"руб",""),",",""),SUBSTITUTE(SUBSTITUTE(SUBSTITUTE(SUBSTITUTE(Товары_исходные!F235," ",""),"руб.",""),"руб",""),",","."))),0)</f>
        <v>44500</v>
      </c>
      <c r="G235" t="str">
        <f>IFERROR(VLOOKUP(Товары_исходные!G235,Справочники!$D$2:$E$50,2,FALSE),"шт.")</f>
        <v>шт.</v>
      </c>
      <c r="H235" t="str">
        <f t="shared" si="10"/>
        <v>OK</v>
      </c>
      <c r="I235" t="str">
        <f t="shared" si="11"/>
        <v>OK</v>
      </c>
    </row>
    <row r="236">
      <c r="A236" t="str">
        <f>"АРТ-"&amp;LEFT(SUBSTITUTE(SUBSTITUTE(SUBSTITUTE(SUBSTITUTE(Товары_исходные!A236,"№",""),"АРТ-",""),"АРТ_",""),"/","-"),3)</f>
        <v>АРТ-235</v>
      </c>
      <c r="B236" t="str">
        <f>PROPER(TRIM(IFERROR(LEFT(Товары_исходные!B236,FIND("(",Товары_исходные!B236)-1),Товары_исходные!B236)))</f>
        <v xml:space="preserve">Планшет Huawei Matebook E</v>
      </c>
      <c r="C236" t="str">
        <f>IFERROR(VLOOKUP(Товары_исходные!C236,Справочники!$A$2:$B$50,2,FALSE),Товары_исходные!C236)</f>
        <v>Планшеты</v>
      </c>
      <c r="D236" t="str">
        <f>PROPER(TRIM(Товары_исходные!D236))</f>
        <v>Huawei</v>
      </c>
      <c r="E236" s="4">
        <f>IFERROR(VALUE(IF(AND(ISNUMBER(FIND(",",Товары_исходные!E236)),ISNUMBER(FIND(".",Товары_исходные!E236))),SUBSTITUTE(SUBSTITUTE(SUBSTITUTE(SUBSTITUTE(Товары_исходные!E236," ",""),"руб.",""),"руб",""),",",""),SUBSTITUTE(SUBSTITUTE(SUBSTITUTE(SUBSTITUTE(Товары_исходные!E236," ",""),"руб.",""),"руб",""),",","."))),0)</f>
        <v>38000</v>
      </c>
      <c r="F236" s="4">
        <f>IFERROR(VALUE(IF(AND(ISNUMBER(FIND(",",Товары_исходные!F236)),ISNUMBER(FIND(".",Товары_исходные!F236))),SUBSTITUTE(SUBSTITUTE(SUBSTITUTE(SUBSTITUTE(Товары_исходные!F236," ",""),"руб.",""),"руб",""),",",""),SUBSTITUTE(SUBSTITUTE(SUBSTITUTE(SUBSTITUTE(Товары_исходные!F236," ",""),"руб.",""),"руб",""),",","."))),0)</f>
        <v>59990</v>
      </c>
      <c r="G236" t="str">
        <f>IFERROR(VLOOKUP(Товары_исходные!G236,Справочники!$D$2:$E$50,2,FALSE),"шт.")</f>
        <v>шт.</v>
      </c>
      <c r="H236" t="str">
        <f t="shared" si="10"/>
        <v>OK</v>
      </c>
      <c r="I236" t="str">
        <f t="shared" si="11"/>
        <v>OK</v>
      </c>
    </row>
    <row r="237">
      <c r="A237" t="str">
        <f>"АРТ-"&amp;LEFT(SUBSTITUTE(SUBSTITUTE(SUBSTITUTE(SUBSTITUTE(Товары_исходные!A237,"№",""),"АРТ-",""),"АРТ_",""),"/","-"),3)</f>
        <v>АРТ-236</v>
      </c>
      <c r="B237" t="str">
        <f>PROPER(TRIM(IFERROR(LEFT(Товары_исходные!B237,FIND("(",Товары_исходные!B237)-1),Товары_исходные!B237)))</f>
        <v xml:space="preserve">Планшет Huawei Matebook E</v>
      </c>
      <c r="C237" t="str">
        <f>IFERROR(VLOOKUP(Товары_исходные!C237,Справочники!$A$2:$B$50,2,FALSE),Товары_исходные!C237)</f>
        <v>Планшеты</v>
      </c>
      <c r="D237" t="str">
        <f>PROPER(TRIM(Товары_исходные!D237))</f>
        <v>Huawei</v>
      </c>
      <c r="E237" s="4">
        <f>IFERROR(VALUE(IF(AND(ISNUMBER(FIND(",",Товары_исходные!E237)),ISNUMBER(FIND(".",Товары_исходные!E237))),SUBSTITUTE(SUBSTITUTE(SUBSTITUTE(SUBSTITUTE(Товары_исходные!E237," ",""),"руб.",""),"руб",""),",",""),SUBSTITUTE(SUBSTITUTE(SUBSTITUTE(SUBSTITUTE(Товары_исходные!E237," ",""),"руб.",""),"руб",""),",","."))),0)</f>
        <v>36500</v>
      </c>
      <c r="F237" s="4">
        <f>IFERROR(VALUE(IF(AND(ISNUMBER(FIND(",",Товары_исходные!F237)),ISNUMBER(FIND(".",Товары_исходные!F237))),SUBSTITUTE(SUBSTITUTE(SUBSTITUTE(SUBSTITUTE(Товары_исходные!F237," ",""),"руб.",""),"руб",""),",",""),SUBSTITUTE(SUBSTITUTE(SUBSTITUTE(SUBSTITUTE(Товары_исходные!F237," ",""),"руб.",""),"руб",""),",","."))),0)</f>
        <v>58000</v>
      </c>
      <c r="G237" t="str">
        <f>IFERROR(VLOOKUP(Товары_исходные!G237,Справочники!$D$2:$E$50,2,FALSE),"шт.")</f>
        <v>шт.</v>
      </c>
      <c r="H237" t="str">
        <f t="shared" si="10"/>
        <v>OK</v>
      </c>
      <c r="I237" t="str">
        <f t="shared" si="11"/>
        <v>OK</v>
      </c>
    </row>
    <row r="238">
      <c r="A238" t="str">
        <f>"АРТ-"&amp;LEFT(SUBSTITUTE(SUBSTITUTE(SUBSTITUTE(SUBSTITUTE(Товары_исходные!A238,"№",""),"АРТ-",""),"АРТ_",""),"/","-"),3)</f>
        <v>АРТ-237</v>
      </c>
      <c r="B238" t="str">
        <f>PROPER(TRIM(IFERROR(LEFT(Товары_исходные!B238,FIND("(",Товары_исходные!B238)-1),Товары_исходные!B238)))</f>
        <v xml:space="preserve">Планшет Huawei Matebook E</v>
      </c>
      <c r="C238" t="str">
        <f>IFERROR(VLOOKUP(Товары_исходные!C238,Справочники!$A$2:$B$50,2,FALSE),Товары_исходные!C238)</f>
        <v>Планшеты</v>
      </c>
      <c r="D238" t="str">
        <f>PROPER(TRIM(Товары_исходные!D238))</f>
        <v>Huawei</v>
      </c>
      <c r="E238" s="4">
        <f>IFERROR(VALUE(IF(AND(ISNUMBER(FIND(",",Товары_исходные!E238)),ISNUMBER(FIND(".",Товары_исходные!E238))),SUBSTITUTE(SUBSTITUTE(SUBSTITUTE(SUBSTITUTE(Товары_исходные!E238," ",""),"руб.",""),"руб",""),",",""),SUBSTITUTE(SUBSTITUTE(SUBSTITUTE(SUBSTITUTE(Товары_исходные!E238," ",""),"руб.",""),"руб",""),",","."))),0)</f>
        <v>39500</v>
      </c>
      <c r="F238" s="4">
        <f>IFERROR(VALUE(IF(AND(ISNUMBER(FIND(",",Товары_исходные!F238)),ISNUMBER(FIND(".",Товары_исходные!F238))),SUBSTITUTE(SUBSTITUTE(SUBSTITUTE(SUBSTITUTE(Товары_исходные!F238," ",""),"руб.",""),"руб",""),",",""),SUBSTITUTE(SUBSTITUTE(SUBSTITUTE(SUBSTITUTE(Товары_исходные!F238," ",""),"руб.",""),"руб",""),",","."))),0)</f>
        <v>62000</v>
      </c>
      <c r="G238" t="str">
        <f>IFERROR(VLOOKUP(Товары_исходные!G238,Справочники!$D$2:$E$50,2,FALSE),"шт.")</f>
        <v>шт.</v>
      </c>
      <c r="H238" t="str">
        <f t="shared" si="10"/>
        <v>OK</v>
      </c>
      <c r="I238" t="str">
        <f t="shared" si="11"/>
        <v>OK</v>
      </c>
    </row>
    <row r="239">
      <c r="A239" t="str">
        <f>"АРТ-"&amp;LEFT(SUBSTITUTE(SUBSTITUTE(SUBSTITUTE(SUBSTITUTE(Товары_исходные!A239,"№",""),"АРТ-",""),"АРТ_",""),"/","-"),3)</f>
        <v>АРТ-238</v>
      </c>
      <c r="B239" t="str">
        <f>PROPER(TRIM(IFERROR(LEFT(Товары_исходные!B239,FIND("(",Товары_исходные!B239)-1),Товары_исходные!B239)))</f>
        <v xml:space="preserve">Телевизор Sony X90L</v>
      </c>
      <c r="C239" t="str">
        <f>IFERROR(VLOOKUP(Товары_исходные!C239,Справочники!$A$2:$B$50,2,FALSE),Товары_исходные!C239)</f>
        <v>Телевизоры</v>
      </c>
      <c r="D239" t="str">
        <f>PROPER(TRIM(Товары_исходные!D239))</f>
        <v>Sony</v>
      </c>
      <c r="E239" s="4">
        <f>IFERROR(VALUE(IF(AND(ISNUMBER(FIND(",",Товары_исходные!E239)),ISNUMBER(FIND(".",Товары_исходные!E239))),SUBSTITUTE(SUBSTITUTE(SUBSTITUTE(SUBSTITUTE(Товары_исходные!E239," ",""),"руб.",""),"руб",""),",",""),SUBSTITUTE(SUBSTITUTE(SUBSTITUTE(SUBSTITUTE(Товары_исходные!E239," ",""),"руб.",""),"руб",""),",","."))),0)</f>
        <v>72000</v>
      </c>
      <c r="F239" s="4">
        <f>IFERROR(VALUE(IF(AND(ISNUMBER(FIND(",",Товары_исходные!F239)),ISNUMBER(FIND(".",Товары_исходные!F239))),SUBSTITUTE(SUBSTITUTE(SUBSTITUTE(SUBSTITUTE(Товары_исходные!F239," ",""),"руб.",""),"руб",""),",",""),SUBSTITUTE(SUBSTITUTE(SUBSTITUTE(SUBSTITUTE(Товары_исходные!F239," ",""),"руб.",""),"руб",""),",","."))),0)</f>
        <v>110990</v>
      </c>
      <c r="G239" t="str">
        <f>IFERROR(VLOOKUP(Товары_исходные!G239,Справочники!$D$2:$E$50,2,FALSE),"шт.")</f>
        <v>шт.</v>
      </c>
      <c r="H239" t="str">
        <f t="shared" si="10"/>
        <v>OK</v>
      </c>
      <c r="I239" t="str">
        <f t="shared" si="11"/>
        <v>OK</v>
      </c>
    </row>
    <row r="240">
      <c r="A240" t="str">
        <f>"АРТ-"&amp;LEFT(SUBSTITUTE(SUBSTITUTE(SUBSTITUTE(SUBSTITUTE(Товары_исходные!A240,"№",""),"АРТ-",""),"АРТ_",""),"/","-"),3)</f>
        <v>АРТ-239</v>
      </c>
      <c r="B240" t="str">
        <f>PROPER(TRIM(IFERROR(LEFT(Товары_исходные!B240,FIND("(",Товары_исходные!B240)-1),Товары_исходные!B240)))</f>
        <v xml:space="preserve">Телевизор Sony X90L</v>
      </c>
      <c r="C240" t="str">
        <f>IFERROR(VLOOKUP(Товары_исходные!C240,Справочники!$A$2:$B$50,2,FALSE),Товары_исходные!C240)</f>
        <v>Телевизоры</v>
      </c>
      <c r="D240" t="str">
        <f>PROPER(TRIM(Товары_исходные!D240))</f>
        <v>Sony</v>
      </c>
      <c r="E240" s="4">
        <f>IFERROR(VALUE(IF(AND(ISNUMBER(FIND(",",Товары_исходные!E240)),ISNUMBER(FIND(".",Товары_исходные!E240))),SUBSTITUTE(SUBSTITUTE(SUBSTITUTE(SUBSTITUTE(Товары_исходные!E240," ",""),"руб.",""),"руб",""),",",""),SUBSTITUTE(SUBSTITUTE(SUBSTITUTE(SUBSTITUTE(Товары_исходные!E240," ",""),"руб.",""),"руб",""),",","."))),0)</f>
        <v>70000</v>
      </c>
      <c r="F240" s="4">
        <f>IFERROR(VALUE(IF(AND(ISNUMBER(FIND(",",Товары_исходные!F240)),ISNUMBER(FIND(".",Товары_исходные!F240))),SUBSTITUTE(SUBSTITUTE(SUBSTITUTE(SUBSTITUTE(Товары_исходные!F240," ",""),"руб.",""),"руб",""),",",""),SUBSTITUTE(SUBSTITUTE(SUBSTITUTE(SUBSTITUTE(Товары_исходные!F240," ",""),"руб.",""),"руб",""),",","."))),0)</f>
        <v>108000</v>
      </c>
      <c r="G240" t="str">
        <f>IFERROR(VLOOKUP(Товары_исходные!G240,Справочники!$D$2:$E$50,2,FALSE),"шт.")</f>
        <v>шт.</v>
      </c>
      <c r="H240" t="str">
        <f t="shared" si="10"/>
        <v>OK</v>
      </c>
      <c r="I240" t="str">
        <f t="shared" si="11"/>
        <v>OK</v>
      </c>
    </row>
    <row r="241">
      <c r="A241" t="str">
        <f>"АРТ-"&amp;LEFT(SUBSTITUTE(SUBSTITUTE(SUBSTITUTE(SUBSTITUTE(Товары_исходные!A241,"№",""),"АРТ-",""),"АРТ_",""),"/","-"),3)</f>
        <v>АРТ-240</v>
      </c>
      <c r="B241" t="str">
        <f>PROPER(TRIM(IFERROR(LEFT(Товары_исходные!B241,FIND("(",Товары_исходные!B241)-1),Товары_исходные!B241)))</f>
        <v xml:space="preserve">Телевизор Sony X90L</v>
      </c>
      <c r="C241" t="str">
        <f>IFERROR(VLOOKUP(Товары_исходные!C241,Справочники!$A$2:$B$50,2,FALSE),Товары_исходные!C241)</f>
        <v>Телевизоры</v>
      </c>
      <c r="D241" t="str">
        <f>PROPER(TRIM(Товары_исходные!D241))</f>
        <v>Sony</v>
      </c>
      <c r="E241" s="4">
        <f>IFERROR(VALUE(IF(AND(ISNUMBER(FIND(",",Товары_исходные!E241)),ISNUMBER(FIND(".",Товары_исходные!E241))),SUBSTITUTE(SUBSTITUTE(SUBSTITUTE(SUBSTITUTE(Товары_исходные!E241," ",""),"руб.",""),"руб",""),",",""),SUBSTITUTE(SUBSTITUTE(SUBSTITUTE(SUBSTITUTE(Товары_исходные!E241," ",""),"руб.",""),"руб",""),",","."))),0)</f>
        <v>73500</v>
      </c>
      <c r="F241" s="4">
        <f>IFERROR(VALUE(IF(AND(ISNUMBER(FIND(",",Товары_исходные!F241)),ISNUMBER(FIND(".",Товары_исходные!F241))),SUBSTITUTE(SUBSTITUTE(SUBSTITUTE(SUBSTITUTE(Товары_исходные!F241," ",""),"руб.",""),"руб",""),",",""),SUBSTITUTE(SUBSTITUTE(SUBSTITUTE(SUBSTITUTE(Товары_исходные!F241," ",""),"руб.",""),"руб",""),",","."))),0)</f>
        <v>113500</v>
      </c>
      <c r="G241" t="str">
        <f>IFERROR(VLOOKUP(Товары_исходные!G241,Справочники!$D$2:$E$50,2,FALSE),"шт.")</f>
        <v>шт.</v>
      </c>
      <c r="H241" t="str">
        <f t="shared" si="10"/>
        <v>OK</v>
      </c>
      <c r="I241" t="str">
        <f t="shared" si="11"/>
        <v>OK</v>
      </c>
    </row>
    <row r="242">
      <c r="A242" t="str">
        <f>"АРТ-"&amp;LEFT(SUBSTITUTE(SUBSTITUTE(SUBSTITUTE(SUBSTITUTE(Товары_исходные!A242,"№",""),"АРТ-",""),"АРТ_",""),"/","-"),3)</f>
        <v>АРТ-241</v>
      </c>
      <c r="B242" t="str">
        <f>PROPER(TRIM(IFERROR(LEFT(Товары_исходные!B242,FIND("(",Товары_исходные!B242)-1),Товары_исходные!B242)))</f>
        <v xml:space="preserve">Наушники Focal Bathys</v>
      </c>
      <c r="C242" t="str">
        <f>IFERROR(VLOOKUP(Товары_исходные!C242,Справочники!$A$2:$B$50,2,FALSE),Товары_исходные!C242)</f>
        <v>Наушники</v>
      </c>
      <c r="D242" t="str">
        <f>PROPER(TRIM(Товары_исходные!D242))</f>
        <v>Focal</v>
      </c>
      <c r="E242" s="4">
        <f>IFERROR(VALUE(IF(AND(ISNUMBER(FIND(",",Товары_исходные!E242)),ISNUMBER(FIND(".",Товары_исходные!E242))),SUBSTITUTE(SUBSTITUTE(SUBSTITUTE(SUBSTITUTE(Товары_исходные!E242," ",""),"руб.",""),"руб",""),",",""),SUBSTITUTE(SUBSTITUTE(SUBSTITUTE(SUBSTITUTE(Товары_исходные!E242," ",""),"руб.",""),"руб",""),",","."))),0)</f>
        <v>38000</v>
      </c>
      <c r="F242" s="4">
        <f>IFERROR(VALUE(IF(AND(ISNUMBER(FIND(",",Товары_исходные!F242)),ISNUMBER(FIND(".",Товары_исходные!F242))),SUBSTITUTE(SUBSTITUTE(SUBSTITUTE(SUBSTITUTE(Товары_исходные!F242," ",""),"руб.",""),"руб",""),",",""),SUBSTITUTE(SUBSTITUTE(SUBSTITUTE(SUBSTITUTE(Товары_исходные!F242," ",""),"руб.",""),"руб",""),",","."))),0)</f>
        <v>59990</v>
      </c>
      <c r="G242" t="str">
        <f>IFERROR(VLOOKUP(Товары_исходные!G242,Справочники!$D$2:$E$50,2,FALSE),"шт.")</f>
        <v>шт.</v>
      </c>
      <c r="H242" t="str">
        <f t="shared" si="10"/>
        <v>OK</v>
      </c>
      <c r="I242" t="str">
        <f t="shared" si="11"/>
        <v>OK</v>
      </c>
    </row>
    <row r="243">
      <c r="A243" t="str">
        <f>"АРТ-"&amp;LEFT(SUBSTITUTE(SUBSTITUTE(SUBSTITUTE(SUBSTITUTE(Товары_исходные!A243,"№",""),"АРТ-",""),"АРТ_",""),"/","-"),3)</f>
        <v>АРТ-242</v>
      </c>
      <c r="B243" t="str">
        <f>PROPER(TRIM(IFERROR(LEFT(Товары_исходные!B243,FIND("(",Товары_исходные!B243)-1),Товары_исходные!B243)))</f>
        <v xml:space="preserve">Наушники Focal Bathys</v>
      </c>
      <c r="C243" t="str">
        <f>IFERROR(VLOOKUP(Товары_исходные!C243,Справочники!$A$2:$B$50,2,FALSE),Товары_исходные!C243)</f>
        <v>Наушники</v>
      </c>
      <c r="D243" t="str">
        <f>PROPER(TRIM(Товары_исходные!D243))</f>
        <v>Focal</v>
      </c>
      <c r="E243" s="4">
        <f>IFERROR(VALUE(IF(AND(ISNUMBER(FIND(",",Товары_исходные!E243)),ISNUMBER(FIND(".",Товары_исходные!E243))),SUBSTITUTE(SUBSTITUTE(SUBSTITUTE(SUBSTITUTE(Товары_исходные!E243," ",""),"руб.",""),"руб",""),",",""),SUBSTITUTE(SUBSTITUTE(SUBSTITUTE(SUBSTITUTE(Товары_исходные!E243," ",""),"руб.",""),"руб",""),",","."))),0)</f>
        <v>37000</v>
      </c>
      <c r="F243" s="4">
        <f>IFERROR(VALUE(IF(AND(ISNUMBER(FIND(",",Товары_исходные!F243)),ISNUMBER(FIND(".",Товары_исходные!F243))),SUBSTITUTE(SUBSTITUTE(SUBSTITUTE(SUBSTITUTE(Товары_исходные!F243," ",""),"руб.",""),"руб",""),",",""),SUBSTITUTE(SUBSTITUTE(SUBSTITUTE(SUBSTITUTE(Товары_исходные!F243," ",""),"руб.",""),"руб",""),",","."))),0)</f>
        <v>58000</v>
      </c>
      <c r="G243" t="str">
        <f>IFERROR(VLOOKUP(Товары_исходные!G243,Справочники!$D$2:$E$50,2,FALSE),"шт.")</f>
        <v>шт.</v>
      </c>
      <c r="H243" t="str">
        <f t="shared" si="10"/>
        <v>OK</v>
      </c>
      <c r="I243" t="str">
        <f t="shared" si="11"/>
        <v>OK</v>
      </c>
    </row>
    <row r="244">
      <c r="A244" t="str">
        <f>"АРТ-"&amp;LEFT(SUBSTITUTE(SUBSTITUTE(SUBSTITUTE(SUBSTITUTE(Товары_исходные!A244,"№",""),"АРТ-",""),"АРТ_",""),"/","-"),3)</f>
        <v>АРТ-243</v>
      </c>
      <c r="B244" t="str">
        <f>PROPER(TRIM(IFERROR(LEFT(Товары_исходные!B244,FIND("(",Товары_исходные!B244)-1),Товары_исходные!B244)))</f>
        <v xml:space="preserve">Наушники Focal Bathys</v>
      </c>
      <c r="C244" t="str">
        <f>IFERROR(VLOOKUP(Товары_исходные!C244,Справочники!$A$2:$B$50,2,FALSE),Товары_исходные!C244)</f>
        <v>Наушники</v>
      </c>
      <c r="D244" t="str">
        <f>PROPER(TRIM(Товары_исходные!D244))</f>
        <v>Focal</v>
      </c>
      <c r="E244" s="4">
        <f>IFERROR(VALUE(IF(AND(ISNUMBER(FIND(",",Товары_исходные!E244)),ISNUMBER(FIND(".",Товары_исходные!E244))),SUBSTITUTE(SUBSTITUTE(SUBSTITUTE(SUBSTITUTE(Товары_исходные!E244," ",""),"руб.",""),"руб",""),",",""),SUBSTITUTE(SUBSTITUTE(SUBSTITUTE(SUBSTITUTE(Товары_исходные!E244," ",""),"руб.",""),"руб",""),",","."))),0)</f>
        <v>39000</v>
      </c>
      <c r="F244" s="4">
        <f>IFERROR(VALUE(IF(AND(ISNUMBER(FIND(",",Товары_исходные!F244)),ISNUMBER(FIND(".",Товары_исходные!F244))),SUBSTITUTE(SUBSTITUTE(SUBSTITUTE(SUBSTITUTE(Товары_исходные!F244," ",""),"руб.",""),"руб",""),",",""),SUBSTITUTE(SUBSTITUTE(SUBSTITUTE(SUBSTITUTE(Товары_исходные!F244," ",""),"руб.",""),"руб",""),",","."))),0)</f>
        <v>62000</v>
      </c>
      <c r="G244" t="str">
        <f>IFERROR(VLOOKUP(Товары_исходные!G244,Справочники!$D$2:$E$50,2,FALSE),"шт.")</f>
        <v>шт.</v>
      </c>
      <c r="H244" t="str">
        <f t="shared" si="10"/>
        <v>OK</v>
      </c>
      <c r="I244" t="str">
        <f t="shared" si="11"/>
        <v>OK</v>
      </c>
    </row>
    <row r="245">
      <c r="A245" t="str">
        <f>"АРТ-"&amp;LEFT(SUBSTITUTE(SUBSTITUTE(SUBSTITUTE(SUBSTITUTE(Товары_исходные!A245,"№",""),"АРТ-",""),"АРТ_",""),"/","-"),3)</f>
        <v>АРТ-244</v>
      </c>
      <c r="B245" t="str">
        <f>PROPER(TRIM(IFERROR(LEFT(Товары_исходные!B245,FIND("(",Товары_исходные!B245)-1),Товары_исходные!B245)))</f>
        <v xml:space="preserve">Монитор Samsung Smart Monitor M8</v>
      </c>
      <c r="C245" t="str">
        <f>IFERROR(VLOOKUP(Товары_исходные!C245,Справочники!$A$2:$B$50,2,FALSE),Товары_исходные!C245)</f>
        <v>Мониторы</v>
      </c>
      <c r="D245" t="str">
        <f>PROPER(TRIM(Товары_исходные!D245))</f>
        <v>Samsung</v>
      </c>
      <c r="E245" s="4">
        <f>IFERROR(VALUE(IF(AND(ISNUMBER(FIND(",",Товары_исходные!E245)),ISNUMBER(FIND(".",Товары_исходные!E245))),SUBSTITUTE(SUBSTITUTE(SUBSTITUTE(SUBSTITUTE(Товары_исходные!E245," ",""),"руб.",""),"руб",""),",",""),SUBSTITUTE(SUBSTITUTE(SUBSTITUTE(SUBSTITUTE(Товары_исходные!E245," ",""),"руб.",""),"руб",""),",","."))),0)</f>
        <v>50000</v>
      </c>
      <c r="F245" s="4">
        <f>IFERROR(VALUE(IF(AND(ISNUMBER(FIND(",",Товары_исходные!F245)),ISNUMBER(FIND(".",Товары_исходные!F245))),SUBSTITUTE(SUBSTITUTE(SUBSTITUTE(SUBSTITUTE(Товары_исходные!F245," ",""),"руб.",""),"руб",""),",",""),SUBSTITUTE(SUBSTITUTE(SUBSTITUTE(SUBSTITUTE(Товары_исходные!F245," ",""),"руб.",""),"руб",""),",","."))),0)</f>
        <v>77990</v>
      </c>
      <c r="G245" t="str">
        <f>IFERROR(VLOOKUP(Товары_исходные!G245,Справочники!$D$2:$E$50,2,FALSE),"шт.")</f>
        <v>шт.</v>
      </c>
      <c r="H245" t="str">
        <f t="shared" si="10"/>
        <v>OK</v>
      </c>
      <c r="I245" t="str">
        <f t="shared" si="11"/>
        <v>OK</v>
      </c>
    </row>
    <row r="246">
      <c r="A246" t="str">
        <f>"АРТ-"&amp;LEFT(SUBSTITUTE(SUBSTITUTE(SUBSTITUTE(SUBSTITUTE(Товары_исходные!A246,"№",""),"АРТ-",""),"АРТ_",""),"/","-"),3)</f>
        <v>АРТ-245</v>
      </c>
      <c r="B246" t="str">
        <f>PROPER(TRIM(IFERROR(LEFT(Товары_исходные!B246,FIND("(",Товары_исходные!B246)-1),Товары_исходные!B246)))</f>
        <v xml:space="preserve">Монитор Samsung Smart Monitor M8</v>
      </c>
      <c r="C246" t="str">
        <f>IFERROR(VLOOKUP(Товары_исходные!C246,Справочники!$A$2:$B$50,2,FALSE),Товары_исходные!C246)</f>
        <v>Мониторы</v>
      </c>
      <c r="D246" t="str">
        <f>PROPER(TRIM(Товары_исходные!D246))</f>
        <v>Samsung</v>
      </c>
      <c r="E246" s="4">
        <f>IFERROR(VALUE(IF(AND(ISNUMBER(FIND(",",Товары_исходные!E246)),ISNUMBER(FIND(".",Товары_исходные!E246))),SUBSTITUTE(SUBSTITUTE(SUBSTITUTE(SUBSTITUTE(Товары_исходные!E246," ",""),"руб.",""),"руб",""),",",""),SUBSTITUTE(SUBSTITUTE(SUBSTITUTE(SUBSTITUTE(Товары_исходные!E246," ",""),"руб.",""),"руб",""),",","."))),0)</f>
        <v>48000</v>
      </c>
      <c r="F246" s="4">
        <f>IFERROR(VALUE(IF(AND(ISNUMBER(FIND(",",Товары_исходные!F246)),ISNUMBER(FIND(".",Товары_исходные!F246))),SUBSTITUTE(SUBSTITUTE(SUBSTITUTE(SUBSTITUTE(Товары_исходные!F246," ",""),"руб.",""),"руб",""),",",""),SUBSTITUTE(SUBSTITUTE(SUBSTITUTE(SUBSTITUTE(Товары_исходные!F246," ",""),"руб.",""),"руб",""),",","."))),0)</f>
        <v>75000</v>
      </c>
      <c r="G246" t="str">
        <f>IFERROR(VLOOKUP(Товары_исходные!G246,Справочники!$D$2:$E$50,2,FALSE),"шт.")</f>
        <v>шт.</v>
      </c>
      <c r="H246" t="str">
        <f t="shared" si="10"/>
        <v>OK</v>
      </c>
      <c r="I246" t="str">
        <f t="shared" si="11"/>
        <v>OK</v>
      </c>
    </row>
    <row r="247">
      <c r="A247" t="str">
        <f>"АРТ-"&amp;LEFT(SUBSTITUTE(SUBSTITUTE(SUBSTITUTE(SUBSTITUTE(Товары_исходные!A247,"№",""),"АРТ-",""),"АРТ_",""),"/","-"),3)</f>
        <v>АРТ-246</v>
      </c>
      <c r="B247" t="str">
        <f>PROPER(TRIM(IFERROR(LEFT(Товары_исходные!B247,FIND("(",Товары_исходные!B247)-1),Товары_исходные!B247)))</f>
        <v xml:space="preserve">Монитор Samsung Smart Monitor M8</v>
      </c>
      <c r="C247" t="str">
        <f>IFERROR(VLOOKUP(Товары_исходные!C247,Справочники!$A$2:$B$50,2,FALSE),Товары_исходные!C247)</f>
        <v>Мониторы</v>
      </c>
      <c r="D247" t="str">
        <f>PROPER(TRIM(Товары_исходные!D247))</f>
        <v>Samsung</v>
      </c>
      <c r="E247" s="4">
        <f>IFERROR(VALUE(IF(AND(ISNUMBER(FIND(",",Товары_исходные!E247)),ISNUMBER(FIND(".",Товары_исходные!E247))),SUBSTITUTE(SUBSTITUTE(SUBSTITUTE(SUBSTITUTE(Товары_исходные!E247," ",""),"руб.",""),"руб",""),",",""),SUBSTITUTE(SUBSTITUTE(SUBSTITUTE(SUBSTITUTE(Товары_исходные!E247," ",""),"руб.",""),"руб",""),",","."))),0)</f>
        <v>51500</v>
      </c>
      <c r="F247" s="4">
        <f>IFERROR(VALUE(IF(AND(ISNUMBER(FIND(",",Товары_исходные!F247)),ISNUMBER(FIND(".",Товары_исходные!F247))),SUBSTITUTE(SUBSTITUTE(SUBSTITUTE(SUBSTITUTE(Товары_исходные!F247," ",""),"руб.",""),"руб",""),",",""),SUBSTITUTE(SUBSTITUTE(SUBSTITUTE(SUBSTITUTE(Товары_исходные!F247," ",""),"руб.",""),"руб",""),",","."))),0)</f>
        <v>80000</v>
      </c>
      <c r="G247" t="str">
        <f>IFERROR(VLOOKUP(Товары_исходные!G247,Справочники!$D$2:$E$50,2,FALSE),"шт.")</f>
        <v>шт.</v>
      </c>
      <c r="H247" t="str">
        <f t="shared" si="10"/>
        <v>OK</v>
      </c>
      <c r="I247" t="str">
        <f t="shared" si="11"/>
        <v>OK</v>
      </c>
    </row>
    <row r="248">
      <c r="A248" t="str">
        <f>"АРТ-"&amp;LEFT(SUBSTITUTE(SUBSTITUTE(SUBSTITUTE(SUBSTITUTE(Товары_исходные!A248,"№",""),"АРТ-",""),"АРТ_",""),"/","-"),3)</f>
        <v>АРТ-247</v>
      </c>
      <c r="B248" t="str">
        <f>PROPER(TRIM(IFERROR(LEFT(Товары_исходные!B248,FIND("(",Товары_исходные!B248)-1),Товары_исходные!B248)))</f>
        <v xml:space="preserve">Клавиатура Logitech G Pro X</v>
      </c>
      <c r="C248" t="str">
        <f>IFERROR(VLOOKUP(Товары_исходные!C248,Справочники!$A$2:$B$50,2,FALSE),Товары_исходные!C248)</f>
        <v>Аксессуары</v>
      </c>
      <c r="D248" t="str">
        <f>PROPER(TRIM(Товары_исходные!D248))</f>
        <v>Logitech</v>
      </c>
      <c r="E248" s="4">
        <f>IFERROR(VALUE(IF(AND(ISNUMBER(FIND(",",Товары_исходные!E248)),ISNUMBER(FIND(".",Товары_исходные!E248))),SUBSTITUTE(SUBSTITUTE(SUBSTITUTE(SUBSTITUTE(Товары_исходные!E248," ",""),"руб.",""),"руб",""),",",""),SUBSTITUTE(SUBSTITUTE(SUBSTITUTE(SUBSTITUTE(Товары_исходные!E248," ",""),"руб.",""),"руб",""),",","."))),0)</f>
        <v>6000</v>
      </c>
      <c r="F248" s="4">
        <f>IFERROR(VALUE(IF(AND(ISNUMBER(FIND(",",Товары_исходные!F248)),ISNUMBER(FIND(".",Товары_исходные!F248))),SUBSTITUTE(SUBSTITUTE(SUBSTITUTE(SUBSTITUTE(Товары_исходные!F248," ",""),"руб.",""),"руб",""),",",""),SUBSTITUTE(SUBSTITUTE(SUBSTITUTE(SUBSTITUTE(Товары_исходные!F248," ",""),"руб.",""),"руб",""),",","."))),0)</f>
        <v>9990</v>
      </c>
      <c r="G248" t="str">
        <f>IFERROR(VLOOKUP(Товары_исходные!G248,Справочники!$D$2:$E$50,2,FALSE),"шт.")</f>
        <v>шт.</v>
      </c>
      <c r="H248" t="str">
        <f t="shared" si="10"/>
        <v>OK</v>
      </c>
      <c r="I248" t="str">
        <f t="shared" si="11"/>
        <v>OK</v>
      </c>
    </row>
    <row r="249">
      <c r="A249" t="str">
        <f>"АРТ-"&amp;LEFT(SUBSTITUTE(SUBSTITUTE(SUBSTITUTE(SUBSTITUTE(Товары_исходные!A249,"№",""),"АРТ-",""),"АРТ_",""),"/","-"),3)</f>
        <v>АРТ-248</v>
      </c>
      <c r="B249" t="str">
        <f>PROPER(TRIM(IFERROR(LEFT(Товары_исходные!B249,FIND("(",Товары_исходные!B249)-1),Товары_исходные!B249)))</f>
        <v xml:space="preserve">Клавиатура Logitech G Pro X</v>
      </c>
      <c r="C249" t="str">
        <f>IFERROR(VLOOKUP(Товары_исходные!C249,Справочники!$A$2:$B$50,2,FALSE),Товары_исходные!C249)</f>
        <v>Аксессуары</v>
      </c>
      <c r="D249" t="str">
        <f>PROPER(TRIM(Товары_исходные!D249))</f>
        <v>Logitech</v>
      </c>
      <c r="E249" s="4">
        <f>IFERROR(VALUE(IF(AND(ISNUMBER(FIND(",",Товары_исходные!E249)),ISNUMBER(FIND(".",Товары_исходные!E249))),SUBSTITUTE(SUBSTITUTE(SUBSTITUTE(SUBSTITUTE(Товары_исходные!E249," ",""),"руб.",""),"руб",""),",",""),SUBSTITUTE(SUBSTITUTE(SUBSTITUTE(SUBSTITUTE(Товары_исходные!E249," ",""),"руб.",""),"руб",""),",","."))),0)</f>
        <v>5500</v>
      </c>
      <c r="F249" s="4">
        <f>IFERROR(VALUE(IF(AND(ISNUMBER(FIND(",",Товары_исходные!F249)),ISNUMBER(FIND(".",Товары_исходные!F249))),SUBSTITUTE(SUBSTITUTE(SUBSTITUTE(SUBSTITUTE(Товары_исходные!F249," ",""),"руб.",""),"руб",""),",",""),SUBSTITUTE(SUBSTITUTE(SUBSTITUTE(SUBSTITUTE(Товары_исходные!F249," ",""),"руб.",""),"руб",""),",","."))),0)</f>
        <v>9500</v>
      </c>
      <c r="G249" t="str">
        <f>IFERROR(VLOOKUP(Товары_исходные!G249,Справочники!$D$2:$E$50,2,FALSE),"шт.")</f>
        <v>шт.</v>
      </c>
      <c r="H249" t="str">
        <f t="shared" si="10"/>
        <v>OK</v>
      </c>
      <c r="I249" t="str">
        <f t="shared" si="11"/>
        <v>OK</v>
      </c>
    </row>
    <row r="250">
      <c r="A250" t="str">
        <f>"АРТ-"&amp;LEFT(SUBSTITUTE(SUBSTITUTE(SUBSTITUTE(SUBSTITUTE(Товары_исходные!A250,"№",""),"АРТ-",""),"АРТ_",""),"/","-"),3)</f>
        <v>АРТ-249</v>
      </c>
      <c r="B250" t="str">
        <f>PROPER(TRIM(IFERROR(LEFT(Товары_исходные!B250,FIND("(",Товары_исходные!B250)-1),Товары_исходные!B250)))</f>
        <v xml:space="preserve">Клавиатура Logitech G Pro X</v>
      </c>
      <c r="C250" t="str">
        <f>IFERROR(VLOOKUP(Товары_исходные!C250,Справочники!$A$2:$B$50,2,FALSE),Товары_исходные!C250)</f>
        <v>Аксессуары</v>
      </c>
      <c r="D250" t="str">
        <f>PROPER(TRIM(Товары_исходные!D250))</f>
        <v>Logitech</v>
      </c>
      <c r="E250" s="4">
        <f>IFERROR(VALUE(IF(AND(ISNUMBER(FIND(",",Товары_исходные!E250)),ISNUMBER(FIND(".",Товары_исходные!E250))),SUBSTITUTE(SUBSTITUTE(SUBSTITUTE(SUBSTITUTE(Товары_исходные!E250," ",""),"руб.",""),"руб",""),",",""),SUBSTITUTE(SUBSTITUTE(SUBSTITUTE(SUBSTITUTE(Товары_исходные!E250," ",""),"руб.",""),"руб",""),",","."))),0)</f>
        <v>6500</v>
      </c>
      <c r="F250" s="4">
        <f>IFERROR(VALUE(IF(AND(ISNUMBER(FIND(",",Товары_исходные!F250)),ISNUMBER(FIND(".",Товары_исходные!F250))),SUBSTITUTE(SUBSTITUTE(SUBSTITUTE(SUBSTITUTE(Товары_исходные!F250," ",""),"руб.",""),"руб",""),",",""),SUBSTITUTE(SUBSTITUTE(SUBSTITUTE(SUBSTITUTE(Товары_исходные!F250," ",""),"руб.",""),"руб",""),",","."))),0)</f>
        <v>10800</v>
      </c>
      <c r="G250" t="str">
        <f>IFERROR(VLOOKUP(Товары_исходные!G250,Справочники!$D$2:$E$50,2,FALSE),"шт.")</f>
        <v>шт.</v>
      </c>
      <c r="H250" t="str">
        <f t="shared" si="10"/>
        <v>OK</v>
      </c>
      <c r="I250" t="str">
        <f t="shared" si="11"/>
        <v>OK</v>
      </c>
    </row>
    <row r="251">
      <c r="A251" t="str">
        <f>"АРТ-"&amp;LEFT(SUBSTITUTE(SUBSTITUTE(SUBSTITUTE(SUBSTITUTE(Товары_исходные!A251,"№",""),"АРТ-",""),"АРТ_",""),"/","-"),3)</f>
        <v>АРТ-250</v>
      </c>
      <c r="B251" t="str">
        <f>PROPER(TRIM(IFERROR(LEFT(Товары_исходные!B251,FIND("(",Товары_исходные!B251)-1),Товары_исходные!B251)))</f>
        <v xml:space="preserve">Смарт-Часы Garmin Venu 3</v>
      </c>
      <c r="C251" t="str">
        <f>IFERROR(VLOOKUP(Товары_исходные!C251,Справочники!$A$2:$B$50,2,FALSE),Товары_исходные!C251)</f>
        <v>Часы</v>
      </c>
      <c r="D251" t="str">
        <f>PROPER(TRIM(Товары_исходные!D251))</f>
        <v>Garmin</v>
      </c>
      <c r="E251" s="4">
        <f>IFERROR(VALUE(IF(AND(ISNUMBER(FIND(",",Товары_исходные!E251)),ISNUMBER(FIND(".",Товары_исходные!E251))),SUBSTITUTE(SUBSTITUTE(SUBSTITUTE(SUBSTITUTE(Товары_исходные!E251," ",""),"руб.",""),"руб",""),",",""),SUBSTITUTE(SUBSTITUTE(SUBSTITUTE(SUBSTITUTE(Товары_исходные!E251," ",""),"руб.",""),"руб",""),",","."))),0)</f>
        <v>35000</v>
      </c>
      <c r="F251" s="4">
        <f>IFERROR(VALUE(IF(AND(ISNUMBER(FIND(",",Товары_исходные!F251)),ISNUMBER(FIND(".",Товары_исходные!F251))),SUBSTITUTE(SUBSTITUTE(SUBSTITUTE(SUBSTITUTE(Товары_исходные!F251," ",""),"руб.",""),"руб",""),",",""),SUBSTITUTE(SUBSTITUTE(SUBSTITUTE(SUBSTITUTE(Товары_исходные!F251," ",""),"руб.",""),"руб",""),",","."))),0)</f>
        <v>54990</v>
      </c>
      <c r="G251" t="str">
        <f>IFERROR(VLOOKUP(Товары_исходные!G251,Справочники!$D$2:$E$50,2,FALSE),"шт.")</f>
        <v>шт.</v>
      </c>
      <c r="H251" t="str">
        <f t="shared" si="10"/>
        <v>OK</v>
      </c>
      <c r="I251" t="str">
        <f t="shared" si="11"/>
        <v>OK</v>
      </c>
    </row>
    <row r="252">
      <c r="A252" t="str">
        <f>"АРТ-"&amp;LEFT(SUBSTITUTE(SUBSTITUTE(SUBSTITUTE(SUBSTITUTE(Товары_исходные!A252,"№",""),"АРТ-",""),"АРТ_",""),"/","-"),3)</f>
        <v>АРТ-251</v>
      </c>
      <c r="B252" t="str">
        <f>PROPER(TRIM(IFERROR(LEFT(Товары_исходные!B252,FIND("(",Товары_исходные!B252)-1),Товары_исходные!B252)))</f>
        <v xml:space="preserve">Смарт-Часы Garmin Venu 3</v>
      </c>
      <c r="C252" t="str">
        <f>IFERROR(VLOOKUP(Товары_исходные!C252,Справочники!$A$2:$B$50,2,FALSE),Товары_исходные!C252)</f>
        <v>Часы</v>
      </c>
      <c r="D252" t="str">
        <f>PROPER(TRIM(Товары_исходные!D252))</f>
        <v>Garmin</v>
      </c>
      <c r="E252" s="4">
        <f>IFERROR(VALUE(IF(AND(ISNUMBER(FIND(",",Товары_исходные!E252)),ISNUMBER(FIND(".",Товары_исходные!E252))),SUBSTITUTE(SUBSTITUTE(SUBSTITUTE(SUBSTITUTE(Товары_исходные!E252," ",""),"руб.",""),"руб",""),",",""),SUBSTITUTE(SUBSTITUTE(SUBSTITUTE(SUBSTITUTE(Товары_исходные!E252," ",""),"руб.",""),"руб",""),",","."))),0)</f>
        <v>34000</v>
      </c>
      <c r="F252" s="4">
        <f>IFERROR(VALUE(IF(AND(ISNUMBER(FIND(",",Товары_исходные!F252)),ISNUMBER(FIND(".",Товары_исходные!F252))),SUBSTITUTE(SUBSTITUTE(SUBSTITUTE(SUBSTITUTE(Товары_исходные!F252," ",""),"руб.",""),"руб",""),",",""),SUBSTITUTE(SUBSTITUTE(SUBSTITUTE(SUBSTITUTE(Товары_исходные!F252," ",""),"руб.",""),"руб",""),",","."))),0)</f>
        <v>53500</v>
      </c>
      <c r="G252" t="str">
        <f>IFERROR(VLOOKUP(Товары_исходные!G252,Справочники!$D$2:$E$50,2,FALSE),"шт.")</f>
        <v>шт.</v>
      </c>
      <c r="H252" t="str">
        <f t="shared" si="10"/>
        <v>OK</v>
      </c>
      <c r="I252" t="str">
        <f t="shared" si="11"/>
        <v>OK</v>
      </c>
    </row>
    <row r="253">
      <c r="A253" t="str">
        <f>"АРТ-"&amp;LEFT(SUBSTITUTE(SUBSTITUTE(SUBSTITUTE(SUBSTITUTE(Товары_исходные!A253,"№",""),"АРТ-",""),"АРТ_",""),"/","-"),3)</f>
        <v>АРТ-252</v>
      </c>
      <c r="B253" t="str">
        <f>PROPER(TRIM(IFERROR(LEFT(Товары_исходные!B253,FIND("(",Товары_исходные!B253)-1),Товары_исходные!B253)))</f>
        <v xml:space="preserve">Смарт-Часы Garmin Venu 3</v>
      </c>
      <c r="C253" t="str">
        <f>IFERROR(VLOOKUP(Товары_исходные!C253,Справочники!$A$2:$B$50,2,FALSE),Товары_исходные!C253)</f>
        <v>Часы</v>
      </c>
      <c r="D253" t="str">
        <f>PROPER(TRIM(Товары_исходные!D253))</f>
        <v>Garmin</v>
      </c>
      <c r="E253" s="4">
        <f>IFERROR(VALUE(IF(AND(ISNUMBER(FIND(",",Товары_исходные!E253)),ISNUMBER(FIND(".",Товары_исходные!E253))),SUBSTITUTE(SUBSTITUTE(SUBSTITUTE(SUBSTITUTE(Товары_исходные!E253," ",""),"руб.",""),"руб",""),",",""),SUBSTITUTE(SUBSTITUTE(SUBSTITUTE(SUBSTITUTE(Товары_исходные!E253," ",""),"руб.",""),"руб",""),",","."))),0)</f>
        <v>36000</v>
      </c>
      <c r="F253" s="4">
        <f>IFERROR(VALUE(IF(AND(ISNUMBER(FIND(",",Товары_исходные!F253)),ISNUMBER(FIND(".",Товары_исходные!F253))),SUBSTITUTE(SUBSTITUTE(SUBSTITUTE(SUBSTITUTE(Товары_исходные!F253," ",""),"руб.",""),"руб",""),",",""),SUBSTITUTE(SUBSTITUTE(SUBSTITUTE(SUBSTITUTE(Товары_исходные!F253," ",""),"руб.",""),"руб",""),",","."))),0)</f>
        <v>56500</v>
      </c>
      <c r="G253" t="str">
        <f>IFERROR(VLOOKUP(Товары_исходные!G253,Справочники!$D$2:$E$50,2,FALSE),"шт.")</f>
        <v>шт.</v>
      </c>
      <c r="H253" t="str">
        <f t="shared" si="10"/>
        <v>OK</v>
      </c>
      <c r="I253" t="str">
        <f t="shared" si="11"/>
        <v>OK</v>
      </c>
    </row>
    <row r="254">
      <c r="A254" t="str">
        <f>"АРТ-"&amp;LEFT(SUBSTITUTE(SUBSTITUTE(SUBSTITUTE(SUBSTITUTE(Товары_исходные!A254,"№",""),"АРТ-",""),"АРТ_",""),"/","-"),3)</f>
        <v>АРТ-253</v>
      </c>
      <c r="B254" t="str">
        <f>PROPER(TRIM(IFERROR(LEFT(Товары_исходные!B254,FIND("(",Товары_исходные!B254)-1),Товары_исходные!B254)))</f>
        <v xml:space="preserve">Ноутбук Dell Alienware M18</v>
      </c>
      <c r="C254" t="str">
        <f>IFERROR(VLOOKUP(Товары_исходные!C254,Справочники!$A$2:$B$50,2,FALSE),Товары_исходные!C254)</f>
        <v>Ноутбуки</v>
      </c>
      <c r="D254" t="str">
        <f>PROPER(TRIM(Товары_исходные!D254))</f>
        <v>Dell</v>
      </c>
      <c r="E254" s="4">
        <f>IFERROR(VALUE(IF(AND(ISNUMBER(FIND(",",Товары_исходные!E254)),ISNUMBER(FIND(".",Товары_исходные!E254))),SUBSTITUTE(SUBSTITUTE(SUBSTITUTE(SUBSTITUTE(Товары_исходные!E254," ",""),"руб.",""),"руб",""),",",""),SUBSTITUTE(SUBSTITUTE(SUBSTITUTE(SUBSTITUTE(Товары_исходные!E254," ",""),"руб.",""),"руб",""),",","."))),0)</f>
        <v>105000</v>
      </c>
      <c r="F254" s="4">
        <f>IFERROR(VALUE(IF(AND(ISNUMBER(FIND(",",Товары_исходные!F254)),ISNUMBER(FIND(".",Товары_исходные!F254))),SUBSTITUTE(SUBSTITUTE(SUBSTITUTE(SUBSTITUTE(Товары_исходные!F254," ",""),"руб.",""),"руб",""),",",""),SUBSTITUTE(SUBSTITUTE(SUBSTITUTE(SUBSTITUTE(Товары_исходные!F254," ",""),"руб.",""),"руб",""),",","."))),0)</f>
        <v>159990</v>
      </c>
      <c r="G254" t="str">
        <f>IFERROR(VLOOKUP(Товары_исходные!G254,Справочники!$D$2:$E$50,2,FALSE),"шт.")</f>
        <v>шт.</v>
      </c>
      <c r="H254" t="str">
        <f t="shared" si="10"/>
        <v>OK</v>
      </c>
      <c r="I254" t="str">
        <f t="shared" si="11"/>
        <v>OK</v>
      </c>
    </row>
    <row r="255">
      <c r="A255" t="str">
        <f>"АРТ-"&amp;LEFT(SUBSTITUTE(SUBSTITUTE(SUBSTITUTE(SUBSTITUTE(Товары_исходные!A255,"№",""),"АРТ-",""),"АРТ_",""),"/","-"),3)</f>
        <v>АРТ-254</v>
      </c>
      <c r="B255" t="str">
        <f>PROPER(TRIM(IFERROR(LEFT(Товары_исходные!B255,FIND("(",Товары_исходные!B255)-1),Товары_исходные!B255)))</f>
        <v xml:space="preserve">Ноутбук Dell Alienware M18</v>
      </c>
      <c r="C255" t="str">
        <f>IFERROR(VLOOKUP(Товары_исходные!C255,Справочники!$A$2:$B$50,2,FALSE),Товары_исходные!C255)</f>
        <v>Ноутбуки</v>
      </c>
      <c r="D255" t="str">
        <f>PROPER(TRIM(Товары_исходные!D255))</f>
        <v>Dell</v>
      </c>
      <c r="E255" s="4">
        <f>IFERROR(VALUE(IF(AND(ISNUMBER(FIND(",",Товары_исходные!E255)),ISNUMBER(FIND(".",Товары_исходные!E255))),SUBSTITUTE(SUBSTITUTE(SUBSTITUTE(SUBSTITUTE(Товары_исходные!E255," ",""),"руб.",""),"руб",""),",",""),SUBSTITUTE(SUBSTITUTE(SUBSTITUTE(SUBSTITUTE(Товары_исходные!E255," ",""),"руб.",""),"руб",""),",","."))),0)</f>
        <v>103000</v>
      </c>
      <c r="F255" s="4">
        <f>IFERROR(VALUE(IF(AND(ISNUMBER(FIND(",",Товары_исходные!F255)),ISNUMBER(FIND(".",Товары_исходные!F255))),SUBSTITUTE(SUBSTITUTE(SUBSTITUTE(SUBSTITUTE(Товары_исходные!F255," ",""),"руб.",""),"руб",""),",",""),SUBSTITUTE(SUBSTITUTE(SUBSTITUTE(SUBSTITUTE(Товары_исходные!F255," ",""),"руб.",""),"руб",""),",","."))),0)</f>
        <v>157000</v>
      </c>
      <c r="G255" t="str">
        <f>IFERROR(VLOOKUP(Товары_исходные!G255,Справочники!$D$2:$E$50,2,FALSE),"шт.")</f>
        <v>шт.</v>
      </c>
      <c r="H255" t="str">
        <f t="shared" si="10"/>
        <v>OK</v>
      </c>
      <c r="I255" t="str">
        <f t="shared" si="11"/>
        <v>OK</v>
      </c>
    </row>
    <row r="256">
      <c r="A256" t="str">
        <f>"АРТ-"&amp;LEFT(SUBSTITUTE(SUBSTITUTE(SUBSTITUTE(SUBSTITUTE(Товары_исходные!A256,"№",""),"АРТ-",""),"АРТ_",""),"/","-"),3)</f>
        <v>АРТ-255</v>
      </c>
      <c r="B256" t="str">
        <f>PROPER(TRIM(IFERROR(LEFT(Товары_исходные!B256,FIND("(",Товары_исходные!B256)-1),Товары_исходные!B256)))</f>
        <v xml:space="preserve">Ноутбук Dell Alienware M18</v>
      </c>
      <c r="C256" t="str">
        <f>IFERROR(VLOOKUP(Товары_исходные!C256,Справочники!$A$2:$B$50,2,FALSE),Товары_исходные!C256)</f>
        <v>Ноутбуки</v>
      </c>
      <c r="D256" t="str">
        <f>PROPER(TRIM(Товары_исходные!D256))</f>
        <v>Dell</v>
      </c>
      <c r="E256" s="4">
        <f>IFERROR(VALUE(IF(AND(ISNUMBER(FIND(",",Товары_исходные!E256)),ISNUMBER(FIND(".",Товары_исходные!E256))),SUBSTITUTE(SUBSTITUTE(SUBSTITUTE(SUBSTITUTE(Товары_исходные!E256," ",""),"руб.",""),"руб",""),",",""),SUBSTITUTE(SUBSTITUTE(SUBSTITUTE(SUBSTITUTE(Товары_исходные!E256," ",""),"руб.",""),"руб",""),",","."))),0)</f>
        <v>107000</v>
      </c>
      <c r="F256" s="4">
        <f>IFERROR(VALUE(IF(AND(ISNUMBER(FIND(",",Товары_исходные!F256)),ISNUMBER(FIND(".",Товары_исходные!F256))),SUBSTITUTE(SUBSTITUTE(SUBSTITUTE(SUBSTITUTE(Товары_исходные!F256," ",""),"руб.",""),"руб",""),",",""),SUBSTITUTE(SUBSTITUTE(SUBSTITUTE(SUBSTITUTE(Товары_исходные!F256," ",""),"руб.",""),"руб",""),",","."))),0)</f>
        <v>163000</v>
      </c>
      <c r="G256" t="str">
        <f>IFERROR(VLOOKUP(Товары_исходные!G256,Справочники!$D$2:$E$50,2,FALSE),"шт.")</f>
        <v>шт.</v>
      </c>
      <c r="H256" t="str">
        <f t="shared" si="10"/>
        <v>OK</v>
      </c>
      <c r="I256" t="str">
        <f t="shared" si="11"/>
        <v>OK</v>
      </c>
    </row>
    <row r="257">
      <c r="A257" t="str">
        <f>"АРТ-"&amp;LEFT(SUBSTITUTE(SUBSTITUTE(SUBSTITUTE(SUBSTITUTE(Товары_исходные!A257,"№",""),"АРТ-",""),"АРТ_",""),"/","-"),3)</f>
        <v>АРТ-256</v>
      </c>
      <c r="B257" t="str">
        <f>PROPER(TRIM(IFERROR(LEFT(Товары_исходные!B257,FIND("(",Товары_исходные!B257)-1),Товары_исходные!B257)))</f>
        <v xml:space="preserve">Смартфон Nokia Xr21</v>
      </c>
      <c r="C257" t="str">
        <f>IFERROR(VLOOKUP(Товары_исходные!C257,Справочники!$A$2:$B$50,2,FALSE),Товары_исходные!C257)</f>
        <v>Смартфоны</v>
      </c>
      <c r="D257" t="str">
        <f>PROPER(TRIM(Товары_исходные!D257))</f>
        <v>Nokia</v>
      </c>
      <c r="E257" s="4">
        <f>IFERROR(VALUE(IF(AND(ISNUMBER(FIND(",",Товары_исходные!E257)),ISNUMBER(FIND(".",Товары_исходные!E257))),SUBSTITUTE(SUBSTITUTE(SUBSTITUTE(SUBSTITUTE(Товары_исходные!E257," ",""),"руб.",""),"руб",""),",",""),SUBSTITUTE(SUBSTITUTE(SUBSTITUTE(SUBSTITUTE(Товары_исходные!E257," ",""),"руб.",""),"руб",""),",","."))),0)</f>
        <v>22000</v>
      </c>
      <c r="F257" s="4">
        <f>IFERROR(VALUE(IF(AND(ISNUMBER(FIND(",",Товары_исходные!F257)),ISNUMBER(FIND(".",Товары_исходные!F257))),SUBSTITUTE(SUBSTITUTE(SUBSTITUTE(SUBSTITUTE(Товары_исходные!F257," ",""),"руб.",""),"руб",""),",",""),SUBSTITUTE(SUBSTITUTE(SUBSTITUTE(SUBSTITUTE(Товары_исходные!F257," ",""),"руб.",""),"руб",""),",","."))),0)</f>
        <v>37990</v>
      </c>
      <c r="G257" t="str">
        <f>IFERROR(VLOOKUP(Товары_исходные!G257,Справочники!$D$2:$E$50,2,FALSE),"шт.")</f>
        <v>шт.</v>
      </c>
      <c r="H257" t="str">
        <f t="shared" si="10"/>
        <v>OK</v>
      </c>
      <c r="I257" t="str">
        <f t="shared" si="11"/>
        <v>OK</v>
      </c>
    </row>
    <row r="258">
      <c r="A258" t="str">
        <f>"АРТ-"&amp;LEFT(SUBSTITUTE(SUBSTITUTE(SUBSTITUTE(SUBSTITUTE(Товары_исходные!A258,"№",""),"АРТ-",""),"АРТ_",""),"/","-"),3)</f>
        <v>АРТ-257</v>
      </c>
      <c r="B258" t="str">
        <f>PROPER(TRIM(IFERROR(LEFT(Товары_исходные!B258,FIND("(",Товары_исходные!B258)-1),Товары_исходные!B258)))</f>
        <v xml:space="preserve">Смартфон Nokia Xr21</v>
      </c>
      <c r="C258" t="str">
        <f>IFERROR(VLOOKUP(Товары_исходные!C258,Справочники!$A$2:$B$50,2,FALSE),Товары_исходные!C258)</f>
        <v>Смартфоны</v>
      </c>
      <c r="D258" t="str">
        <f>PROPER(TRIM(Товары_исходные!D258))</f>
        <v>Nokia</v>
      </c>
      <c r="E258" s="4">
        <f>IFERROR(VALUE(IF(AND(ISNUMBER(FIND(",",Товары_исходные!E258)),ISNUMBER(FIND(".",Товары_исходные!E258))),SUBSTITUTE(SUBSTITUTE(SUBSTITUTE(SUBSTITUTE(Товары_исходные!E258," ",""),"руб.",""),"руб",""),",",""),SUBSTITUTE(SUBSTITUTE(SUBSTITUTE(SUBSTITUTE(Товары_исходные!E258," ",""),"руб.",""),"руб",""),",","."))),0)</f>
        <v>21000</v>
      </c>
      <c r="F258" s="4">
        <f>IFERROR(VALUE(IF(AND(ISNUMBER(FIND(",",Товары_исходные!F258)),ISNUMBER(FIND(".",Товары_исходные!F258))),SUBSTITUTE(SUBSTITUTE(SUBSTITUTE(SUBSTITUTE(Товары_исходные!F258," ",""),"руб.",""),"руб",""),",",""),SUBSTITUTE(SUBSTITUTE(SUBSTITUTE(SUBSTITUTE(Товары_исходные!F258," ",""),"руб.",""),"руб",""),",","."))),0)</f>
        <v>36500</v>
      </c>
      <c r="G258" t="str">
        <f>IFERROR(VLOOKUP(Товары_исходные!G258,Справочники!$D$2:$E$50,2,FALSE),"шт.")</f>
        <v>шт.</v>
      </c>
      <c r="H258" t="str">
        <f t="shared" si="10"/>
        <v>OK</v>
      </c>
      <c r="I258" t="str">
        <f t="shared" si="11"/>
        <v>OK</v>
      </c>
    </row>
    <row r="259">
      <c r="A259" t="str">
        <f>"АРТ-"&amp;LEFT(SUBSTITUTE(SUBSTITUTE(SUBSTITUTE(SUBSTITUTE(Товары_исходные!A259,"№",""),"АРТ-",""),"АРТ_",""),"/","-"),3)</f>
        <v>АРТ-258</v>
      </c>
      <c r="B259" t="str">
        <f>PROPER(TRIM(IFERROR(LEFT(Товары_исходные!B259,FIND("(",Товары_исходные!B259)-1),Товары_исходные!B259)))</f>
        <v xml:space="preserve">Смартфон Nokia Xr21</v>
      </c>
      <c r="C259" t="str">
        <f>IFERROR(VLOOKUP(Товары_исходные!C259,Справочники!$A$2:$B$50,2,FALSE),Товары_исходные!C259)</f>
        <v>Смартфоны</v>
      </c>
      <c r="D259" t="str">
        <f>PROPER(TRIM(Товары_исходные!D259))</f>
        <v>Nokia</v>
      </c>
      <c r="E259" s="4">
        <f>IFERROR(VALUE(IF(AND(ISNUMBER(FIND(",",Товары_исходные!E259)),ISNUMBER(FIND(".",Товары_исходные!E259))),SUBSTITUTE(SUBSTITUTE(SUBSTITUTE(SUBSTITUTE(Товары_исходные!E259," ",""),"руб.",""),"руб",""),",",""),SUBSTITUTE(SUBSTITUTE(SUBSTITUTE(SUBSTITUTE(Товары_исходные!E259," ",""),"руб.",""),"руб",""),",","."))),0)</f>
        <v>23000</v>
      </c>
      <c r="F259" s="4">
        <f>IFERROR(VALUE(IF(AND(ISNUMBER(FIND(",",Товары_исходные!F259)),ISNUMBER(FIND(".",Товары_исходные!F259))),SUBSTITUTE(SUBSTITUTE(SUBSTITUTE(SUBSTITUTE(Товары_исходные!F259," ",""),"руб.",""),"руб",""),",",""),SUBSTITUTE(SUBSTITUTE(SUBSTITUTE(SUBSTITUTE(Товары_исходные!F259," ",""),"руб.",""),"руб",""),",","."))),0)</f>
        <v>39500</v>
      </c>
      <c r="G259" t="str">
        <f>IFERROR(VLOOKUP(Товары_исходные!G259,Справочники!$D$2:$E$50,2,FALSE),"шт.")</f>
        <v>шт.</v>
      </c>
      <c r="H259" t="str">
        <f t="shared" si="10"/>
        <v>OK</v>
      </c>
      <c r="I259" t="str">
        <f t="shared" si="11"/>
        <v>OK</v>
      </c>
    </row>
    <row r="260">
      <c r="A260" t="str">
        <f>"АРТ-"&amp;LEFT(SUBSTITUTE(SUBSTITUTE(SUBSTITUTE(SUBSTITUTE(Товары_исходные!A260,"№",""),"АРТ-",""),"АРТ_",""),"/","-"),3)</f>
        <v>АРТ-259</v>
      </c>
      <c r="B260" t="str">
        <f>PROPER(TRIM(IFERROR(LEFT(Товары_исходные!B260,FIND("(",Товары_исходные!B260)-1),Товары_исходные!B260)))</f>
        <v xml:space="preserve">Телевизор Philips 55Pus8888</v>
      </c>
      <c r="C260" t="str">
        <f>IFERROR(VLOOKUP(Товары_исходные!C260,Справочники!$A$2:$B$50,2,FALSE),Товары_исходные!C260)</f>
        <v>Телевизоры</v>
      </c>
      <c r="D260" t="str">
        <f>PROPER(TRIM(Товары_исходные!D260))</f>
        <v>Philips</v>
      </c>
      <c r="E260" s="4">
        <f>IFERROR(VALUE(IF(AND(ISNUMBER(FIND(",",Товары_исходные!E260)),ISNUMBER(FIND(".",Товары_исходные!E260))),SUBSTITUTE(SUBSTITUTE(SUBSTITUTE(SUBSTITUTE(Товары_исходные!E260," ",""),"руб.",""),"руб",""),",",""),SUBSTITUTE(SUBSTITUTE(SUBSTITUTE(SUBSTITUTE(Товары_исходные!E260," ",""),"руб.",""),"руб",""),",","."))),0)</f>
        <v>60000</v>
      </c>
      <c r="F260" s="4">
        <f>IFERROR(VALUE(IF(AND(ISNUMBER(FIND(",",Товары_исходные!F260)),ISNUMBER(FIND(".",Товары_исходные!F260))),SUBSTITUTE(SUBSTITUTE(SUBSTITUTE(SUBSTITUTE(Товары_исходные!F260," ",""),"руб.",""),"руб",""),",",""),SUBSTITUTE(SUBSTITUTE(SUBSTITUTE(SUBSTITUTE(Товары_исходные!F260," ",""),"руб.",""),"руб",""),",","."))),0)</f>
        <v>92990</v>
      </c>
      <c r="G260" t="str">
        <f>IFERROR(VLOOKUP(Товары_исходные!G260,Справочники!$D$2:$E$50,2,FALSE),"шт.")</f>
        <v>шт.</v>
      </c>
      <c r="H260" t="str">
        <f t="shared" si="10"/>
        <v>OK</v>
      </c>
      <c r="I260" t="str">
        <f t="shared" si="11"/>
        <v>OK</v>
      </c>
    </row>
    <row r="261">
      <c r="A261" t="str">
        <f>"АРТ-"&amp;LEFT(SUBSTITUTE(SUBSTITUTE(SUBSTITUTE(SUBSTITUTE(Товары_исходные!A261,"№",""),"АРТ-",""),"АРТ_",""),"/","-"),3)</f>
        <v>АРТ-260</v>
      </c>
      <c r="B261" t="str">
        <f>PROPER(TRIM(IFERROR(LEFT(Товары_исходные!B261,FIND("(",Товары_исходные!B261)-1),Товары_исходные!B261)))</f>
        <v xml:space="preserve">Телевизор Philips 55Pus8888</v>
      </c>
      <c r="C261" t="str">
        <f>IFERROR(VLOOKUP(Товары_исходные!C261,Справочники!$A$2:$B$50,2,FALSE),Товары_исходные!C261)</f>
        <v>Телевизоры</v>
      </c>
      <c r="D261" t="str">
        <f>PROPER(TRIM(Товары_исходные!D261))</f>
        <v>Philips</v>
      </c>
      <c r="E261" s="4">
        <f>IFERROR(VALUE(IF(AND(ISNUMBER(FIND(",",Товары_исходные!E261)),ISNUMBER(FIND(".",Товары_исходные!E261))),SUBSTITUTE(SUBSTITUTE(SUBSTITUTE(SUBSTITUTE(Товары_исходные!E261," ",""),"руб.",""),"руб",""),",",""),SUBSTITUTE(SUBSTITUTE(SUBSTITUTE(SUBSTITUTE(Товары_исходные!E261," ",""),"руб.",""),"руб",""),",","."))),0)</f>
        <v>58000</v>
      </c>
      <c r="F261" s="4">
        <f>IFERROR(VALUE(IF(AND(ISNUMBER(FIND(",",Товары_исходные!F261)),ISNUMBER(FIND(".",Товары_исходные!F261))),SUBSTITUTE(SUBSTITUTE(SUBSTITUTE(SUBSTITUTE(Товары_исходные!F261," ",""),"руб.",""),"руб",""),",",""),SUBSTITUTE(SUBSTITUTE(SUBSTITUTE(SUBSTITUTE(Товары_исходные!F261," ",""),"руб.",""),"руб",""),",","."))),0)</f>
        <v>90000</v>
      </c>
      <c r="G261" t="str">
        <f>IFERROR(VLOOKUP(Товары_исходные!G261,Справочники!$D$2:$E$50,2,FALSE),"шт.")</f>
        <v>шт.</v>
      </c>
      <c r="H261" t="str">
        <f t="shared" si="10"/>
        <v>OK</v>
      </c>
      <c r="I261" t="str">
        <f t="shared" si="11"/>
        <v>OK</v>
      </c>
    </row>
    <row r="262">
      <c r="A262" t="str">
        <f>"АРТ-"&amp;LEFT(SUBSTITUTE(SUBSTITUTE(SUBSTITUTE(SUBSTITUTE(Товары_исходные!A262,"№",""),"АРТ-",""),"АРТ_",""),"/","-"),3)</f>
        <v>АРТ-261</v>
      </c>
      <c r="B262" t="str">
        <f>PROPER(TRIM(IFERROR(LEFT(Товары_исходные!B262,FIND("(",Товары_исходные!B262)-1),Товары_исходные!B262)))</f>
        <v xml:space="preserve">Телевизор Philips 55Pus8888</v>
      </c>
      <c r="C262" t="str">
        <f>IFERROR(VLOOKUP(Товары_исходные!C262,Справочники!$A$2:$B$50,2,FALSE),Товары_исходные!C262)</f>
        <v>Телевизоры</v>
      </c>
      <c r="D262" t="str">
        <f>PROPER(TRIM(Товары_исходные!D262))</f>
        <v>Philips</v>
      </c>
      <c r="E262" s="4">
        <f>IFERROR(VALUE(IF(AND(ISNUMBER(FIND(",",Товары_исходные!E262)),ISNUMBER(FIND(".",Товары_исходные!E262))),SUBSTITUTE(SUBSTITUTE(SUBSTITUTE(SUBSTITUTE(Товары_исходные!E262," ",""),"руб.",""),"руб",""),",",""),SUBSTITUTE(SUBSTITUTE(SUBSTITUTE(SUBSTITUTE(Товары_исходные!E262," ",""),"руб.",""),"руб",""),",","."))),0)</f>
        <v>61500</v>
      </c>
      <c r="F262" s="4">
        <f>IFERROR(VALUE(IF(AND(ISNUMBER(FIND(",",Товары_исходные!F262)),ISNUMBER(FIND(".",Товары_исходные!F262))),SUBSTITUTE(SUBSTITUTE(SUBSTITUTE(SUBSTITUTE(Товары_исходные!F262," ",""),"руб.",""),"руб",""),",",""),SUBSTITUTE(SUBSTITUTE(SUBSTITUTE(SUBSTITUTE(Товары_исходные!F262," ",""),"руб.",""),"руб",""),",","."))),0)</f>
        <v>95500</v>
      </c>
      <c r="G262" t="str">
        <f>IFERROR(VLOOKUP(Товары_исходные!G262,Справочники!$D$2:$E$50,2,FALSE),"шт.")</f>
        <v>шт.</v>
      </c>
      <c r="H262" t="str">
        <f t="shared" si="10"/>
        <v>OK</v>
      </c>
      <c r="I262" t="str">
        <f t="shared" si="11"/>
        <v>OK</v>
      </c>
    </row>
    <row r="263">
      <c r="A263" t="str">
        <f>"АРТ-"&amp;LEFT(SUBSTITUTE(SUBSTITUTE(SUBSTITUTE(SUBSTITUTE(Товары_исходные!A263,"№",""),"АРТ-",""),"АРТ_",""),"/","-"),3)</f>
        <v>АРТ-262</v>
      </c>
      <c r="B263" t="str">
        <f>PROPER(TRIM(IFERROR(LEFT(Товары_исходные!B263,FIND("(",Товары_исходные!B263)-1),Товары_исходные!B263)))</f>
        <v xml:space="preserve">Наушники Akg K371</v>
      </c>
      <c r="C263" t="str">
        <f>IFERROR(VLOOKUP(Товары_исходные!C263,Справочники!$A$2:$B$50,2,FALSE),Товары_исходные!C263)</f>
        <v>Наушники</v>
      </c>
      <c r="D263" t="str">
        <f>PROPER(TRIM(Товары_исходные!D263))</f>
        <v>Akg</v>
      </c>
      <c r="E263" s="4">
        <f>IFERROR(VALUE(IF(AND(ISNUMBER(FIND(",",Товары_исходные!E263)),ISNUMBER(FIND(".",Товары_исходные!E263))),SUBSTITUTE(SUBSTITUTE(SUBSTITUTE(SUBSTITUTE(Товары_исходные!E263," ",""),"руб.",""),"руб",""),",",""),SUBSTITUTE(SUBSTITUTE(SUBSTITUTE(SUBSTITUTE(Товары_исходные!E263," ",""),"руб.",""),"руб",""),",","."))),0)</f>
        <v>7000</v>
      </c>
      <c r="F263" s="4">
        <f>IFERROR(VALUE(IF(AND(ISNUMBER(FIND(",",Товары_исходные!F263)),ISNUMBER(FIND(".",Товары_исходные!F263))),SUBSTITUTE(SUBSTITUTE(SUBSTITUTE(SUBSTITUTE(Товары_исходные!F263," ",""),"руб.",""),"руб",""),",",""),SUBSTITUTE(SUBSTITUTE(SUBSTITUTE(SUBSTITUTE(Товары_исходные!F263," ",""),"руб.",""),"руб",""),",","."))),0)</f>
        <v>11990</v>
      </c>
      <c r="G263" t="str">
        <f>IFERROR(VLOOKUP(Товары_исходные!G263,Справочники!$D$2:$E$50,2,FALSE),"шт.")</f>
        <v>шт.</v>
      </c>
      <c r="H263" t="str">
        <f t="shared" si="10"/>
        <v>OK</v>
      </c>
      <c r="I263" t="str">
        <f t="shared" si="11"/>
        <v>OK</v>
      </c>
    </row>
    <row r="264">
      <c r="A264" t="str">
        <f>"АРТ-"&amp;LEFT(SUBSTITUTE(SUBSTITUTE(SUBSTITUTE(SUBSTITUTE(Товары_исходные!A264,"№",""),"АРТ-",""),"АРТ_",""),"/","-"),3)</f>
        <v>АРТ-263</v>
      </c>
      <c r="B264" t="str">
        <f>PROPER(TRIM(IFERROR(LEFT(Товары_исходные!B264,FIND("(",Товары_исходные!B264)-1),Товары_исходные!B264)))</f>
        <v xml:space="preserve">Наушники Akg K371</v>
      </c>
      <c r="C264" t="str">
        <f>IFERROR(VLOOKUP(Товары_исходные!C264,Справочники!$A$2:$B$50,2,FALSE),Товары_исходные!C264)</f>
        <v>Наушники</v>
      </c>
      <c r="D264" t="str">
        <f>PROPER(TRIM(Товары_исходные!D264))</f>
        <v>Akg</v>
      </c>
      <c r="E264" s="4">
        <f>IFERROR(VALUE(IF(AND(ISNUMBER(FIND(",",Товары_исходные!E264)),ISNUMBER(FIND(".",Товары_исходные!E264))),SUBSTITUTE(SUBSTITUTE(SUBSTITUTE(SUBSTITUTE(Товары_исходные!E264," ",""),"руб.",""),"руб",""),",",""),SUBSTITUTE(SUBSTITUTE(SUBSTITUTE(SUBSTITUTE(Товары_исходные!E264," ",""),"руб.",""),"руб",""),",","."))),0)</f>
        <v>6500</v>
      </c>
      <c r="F264" s="4">
        <f>IFERROR(VALUE(IF(AND(ISNUMBER(FIND(",",Товары_исходные!F264)),ISNUMBER(FIND(".",Товары_исходные!F264))),SUBSTITUTE(SUBSTITUTE(SUBSTITUTE(SUBSTITUTE(Товары_исходные!F264," ",""),"руб.",""),"руб",""),",",""),SUBSTITUTE(SUBSTITUTE(SUBSTITUTE(SUBSTITUTE(Товары_исходные!F264," ",""),"руб.",""),"руб",""),",","."))),0)</f>
        <v>11000</v>
      </c>
      <c r="G264" t="str">
        <f>IFERROR(VLOOKUP(Товары_исходные!G264,Справочники!$D$2:$E$50,2,FALSE),"шт.")</f>
        <v>шт.</v>
      </c>
      <c r="H264" t="str">
        <f t="shared" si="10"/>
        <v>OK</v>
      </c>
      <c r="I264" t="str">
        <f t="shared" si="11"/>
        <v>OK</v>
      </c>
    </row>
    <row r="265">
      <c r="A265" t="str">
        <f>"АРТ-"&amp;LEFT(SUBSTITUTE(SUBSTITUTE(SUBSTITUTE(SUBSTITUTE(Товары_исходные!A265,"№",""),"АРТ-",""),"АРТ_",""),"/","-"),3)</f>
        <v>АРТ-264</v>
      </c>
      <c r="B265" t="str">
        <f>PROPER(TRIM(IFERROR(LEFT(Товары_исходные!B265,FIND("(",Товары_исходные!B265)-1),Товары_исходные!B265)))</f>
        <v xml:space="preserve">Наушники Akg K371</v>
      </c>
      <c r="C265" t="str">
        <f>IFERROR(VLOOKUP(Товары_исходные!C265,Справочники!$A$2:$B$50,2,FALSE),Товары_исходные!C265)</f>
        <v>Наушники</v>
      </c>
      <c r="D265" t="str">
        <f>PROPER(TRIM(Товары_исходные!D265))</f>
        <v>Akg</v>
      </c>
      <c r="E265" s="4">
        <f>IFERROR(VALUE(IF(AND(ISNUMBER(FIND(",",Товары_исходные!E265)),ISNUMBER(FIND(".",Товары_исходные!E265))),SUBSTITUTE(SUBSTITUTE(SUBSTITUTE(SUBSTITUTE(Товары_исходные!E265," ",""),"руб.",""),"руб",""),",",""),SUBSTITUTE(SUBSTITUTE(SUBSTITUTE(SUBSTITUTE(Товары_исходные!E265," ",""),"руб.",""),"руб",""),",","."))),0)</f>
        <v>7500</v>
      </c>
      <c r="F265" s="4">
        <f>IFERROR(VALUE(IF(AND(ISNUMBER(FIND(",",Товары_исходные!F265)),ISNUMBER(FIND(".",Товары_исходные!F265))),SUBSTITUTE(SUBSTITUTE(SUBSTITUTE(SUBSTITUTE(Товары_исходные!F265," ",""),"руб.",""),"руб",""),",",""),SUBSTITUTE(SUBSTITUTE(SUBSTITUTE(SUBSTITUTE(Товары_исходные!F265," ",""),"руб.",""),"руб",""),",","."))),0)</f>
        <v>12800</v>
      </c>
      <c r="G265" t="str">
        <f>IFERROR(VLOOKUP(Товары_исходные!G265,Справочники!$D$2:$E$50,2,FALSE),"шт.")</f>
        <v>шт.</v>
      </c>
      <c r="H265" t="str">
        <f t="shared" si="10"/>
        <v>OK</v>
      </c>
      <c r="I265" t="str">
        <f t="shared" si="11"/>
        <v>OK</v>
      </c>
    </row>
    <row r="266">
      <c r="A266" t="str">
        <f>"АРТ-"&amp;LEFT(SUBSTITUTE(SUBSTITUTE(SUBSTITUTE(SUBSTITUTE(Товары_исходные!A266,"№",""),"АРТ-",""),"АРТ_",""),"/","-"),3)</f>
        <v>АРТ-265</v>
      </c>
      <c r="B266" t="str">
        <f>PROPER(TRIM(IFERROR(LEFT(Товары_исходные!B266,FIND("(",Товары_исходные!B266)-1),Товары_исходные!B266)))</f>
        <v xml:space="preserve">Монитор Aoc U32U1</v>
      </c>
      <c r="C266" t="str">
        <f>IFERROR(VLOOKUP(Товары_исходные!C266,Справочники!$A$2:$B$50,2,FALSE),Товары_исходные!C266)</f>
        <v>Мониторы</v>
      </c>
      <c r="D266" t="str">
        <f>PROPER(TRIM(Товары_исходные!D266))</f>
        <v>Aoc</v>
      </c>
      <c r="E266" s="4">
        <f>IFERROR(VALUE(IF(AND(ISNUMBER(FIND(",",Товары_исходные!E266)),ISNUMBER(FIND(".",Товары_исходные!E266))),SUBSTITUTE(SUBSTITUTE(SUBSTITUTE(SUBSTITUTE(Товары_исходные!E266," ",""),"руб.",""),"руб",""),",",""),SUBSTITUTE(SUBSTITUTE(SUBSTITUTE(SUBSTITUTE(Товары_исходные!E266," ",""),"руб.",""),"руб",""),",","."))),0)</f>
        <v>44000</v>
      </c>
      <c r="F266" s="4">
        <f>IFERROR(VALUE(IF(AND(ISNUMBER(FIND(",",Товары_исходные!F266)),ISNUMBER(FIND(".",Товары_исходные!F266))),SUBSTITUTE(SUBSTITUTE(SUBSTITUTE(SUBSTITUTE(Товары_исходные!F266," ",""),"руб.",""),"руб",""),",",""),SUBSTITUTE(SUBSTITUTE(SUBSTITUTE(SUBSTITUTE(Товары_исходные!F266," ",""),"руб.",""),"руб",""),",","."))),0)</f>
        <v>67990</v>
      </c>
      <c r="G266" t="str">
        <f>IFERROR(VLOOKUP(Товары_исходные!G266,Справочники!$D$2:$E$50,2,FALSE),"шт.")</f>
        <v>шт.</v>
      </c>
      <c r="H266" t="str">
        <f t="shared" si="10"/>
        <v>OK</v>
      </c>
      <c r="I266" t="str">
        <f t="shared" si="11"/>
        <v>OK</v>
      </c>
    </row>
    <row r="267">
      <c r="A267" t="str">
        <f>"АРТ-"&amp;LEFT(SUBSTITUTE(SUBSTITUTE(SUBSTITUTE(SUBSTITUTE(Товары_исходные!A267,"№",""),"АРТ-",""),"АРТ_",""),"/","-"),3)</f>
        <v>АРТ-266</v>
      </c>
      <c r="B267" t="str">
        <f>PROPER(TRIM(IFERROR(LEFT(Товары_исходные!B267,FIND("(",Товары_исходные!B267)-1),Товары_исходные!B267)))</f>
        <v xml:space="preserve">Монитор Aoc U32U1</v>
      </c>
      <c r="C267" t="str">
        <f>IFERROR(VLOOKUP(Товары_исходные!C267,Справочники!$A$2:$B$50,2,FALSE),Товары_исходные!C267)</f>
        <v>Мониторы</v>
      </c>
      <c r="D267" t="str">
        <f>PROPER(TRIM(Товары_исходные!D267))</f>
        <v>Aoc</v>
      </c>
      <c r="E267" s="4">
        <f>IFERROR(VALUE(IF(AND(ISNUMBER(FIND(",",Товары_исходные!E267)),ISNUMBER(FIND(".",Товары_исходные!E267))),SUBSTITUTE(SUBSTITUTE(SUBSTITUTE(SUBSTITUTE(Товары_исходные!E267," ",""),"руб.",""),"руб",""),",",""),SUBSTITUTE(SUBSTITUTE(SUBSTITUTE(SUBSTITUTE(Товары_исходные!E267," ",""),"руб.",""),"руб",""),",","."))),0)</f>
        <v>42500</v>
      </c>
      <c r="F267" s="4">
        <f>IFERROR(VALUE(IF(AND(ISNUMBER(FIND(",",Товары_исходные!F267)),ISNUMBER(FIND(".",Товары_исходные!F267))),SUBSTITUTE(SUBSTITUTE(SUBSTITUTE(SUBSTITUTE(Товары_исходные!F267," ",""),"руб.",""),"руб",""),",",""),SUBSTITUTE(SUBSTITUTE(SUBSTITUTE(SUBSTITUTE(Товары_исходные!F267," ",""),"руб.",""),"руб",""),",","."))),0)</f>
        <v>65500</v>
      </c>
      <c r="G267" t="str">
        <f>IFERROR(VLOOKUP(Товары_исходные!G267,Справочники!$D$2:$E$50,2,FALSE),"шт.")</f>
        <v>шт.</v>
      </c>
      <c r="H267" t="str">
        <f t="shared" si="10"/>
        <v>OK</v>
      </c>
      <c r="I267" t="str">
        <f t="shared" si="11"/>
        <v>OK</v>
      </c>
    </row>
    <row r="268">
      <c r="A268" t="str">
        <f>"АРТ-"&amp;LEFT(SUBSTITUTE(SUBSTITUTE(SUBSTITUTE(SUBSTITUTE(Товары_исходные!A268,"№",""),"АРТ-",""),"АРТ_",""),"/","-"),3)</f>
        <v>АРТ-267</v>
      </c>
      <c r="B268" t="str">
        <f>PROPER(TRIM(IFERROR(LEFT(Товары_исходные!B268,FIND("(",Товары_исходные!B268)-1),Товары_исходные!B268)))</f>
        <v xml:space="preserve">Монитор Aoc U32U1</v>
      </c>
      <c r="C268" t="str">
        <f>IFERROR(VLOOKUP(Товары_исходные!C268,Справочники!$A$2:$B$50,2,FALSE),Товары_исходные!C268)</f>
        <v>Мониторы</v>
      </c>
      <c r="D268" t="str">
        <f>PROPER(TRIM(Товары_исходные!D268))</f>
        <v>Aoc</v>
      </c>
      <c r="E268" s="4">
        <f>IFERROR(VALUE(IF(AND(ISNUMBER(FIND(",",Товары_исходные!E268)),ISNUMBER(FIND(".",Товары_исходные!E268))),SUBSTITUTE(SUBSTITUTE(SUBSTITUTE(SUBSTITUTE(Товары_исходные!E268," ",""),"руб.",""),"руб",""),",",""),SUBSTITUTE(SUBSTITUTE(SUBSTITUTE(SUBSTITUTE(Товары_исходные!E268," ",""),"руб.",""),"руб",""),",","."))),0)</f>
        <v>45500</v>
      </c>
      <c r="F268" s="4">
        <f>IFERROR(VALUE(IF(AND(ISNUMBER(FIND(",",Товары_исходные!F268)),ISNUMBER(FIND(".",Товары_исходные!F268))),SUBSTITUTE(SUBSTITUTE(SUBSTITUTE(SUBSTITUTE(Товары_исходные!F268," ",""),"руб.",""),"руб",""),",",""),SUBSTITUTE(SUBSTITUTE(SUBSTITUTE(SUBSTITUTE(Товары_исходные!F268," ",""),"руб.",""),"руб",""),",","."))),0)</f>
        <v>70000</v>
      </c>
      <c r="G268" t="str">
        <f>IFERROR(VLOOKUP(Товары_исходные!G268,Справочники!$D$2:$E$50,2,FALSE),"шт.")</f>
        <v>шт.</v>
      </c>
      <c r="H268" t="str">
        <f t="shared" si="10"/>
        <v>OK</v>
      </c>
      <c r="I268" t="str">
        <f t="shared" si="11"/>
        <v>OK</v>
      </c>
    </row>
    <row r="269">
      <c r="A269" t="str">
        <f>"АРТ-"&amp;LEFT(SUBSTITUTE(SUBSTITUTE(SUBSTITUTE(SUBSTITUTE(Товары_исходные!A269,"№",""),"АРТ-",""),"АРТ_",""),"/","-"),3)</f>
        <v>АРТ-268</v>
      </c>
      <c r="B269" t="str">
        <f>PROPER(TRIM(IFERROR(LEFT(Товары_исходные!B269,FIND("(",Товары_исходные!B269)-1),Товары_исходные!B269)))</f>
        <v xml:space="preserve">Колонка Marshall Stanmore Ii</v>
      </c>
      <c r="C269" t="str">
        <f>IFERROR(VLOOKUP(Товары_исходные!C269,Справочники!$A$2:$B$50,2,FALSE),Товары_исходные!C269)</f>
        <v>Аксессуары</v>
      </c>
      <c r="D269" t="str">
        <f>PROPER(TRIM(Товары_исходные!D269))</f>
        <v>Marshall</v>
      </c>
      <c r="E269" s="4">
        <f>IFERROR(VALUE(IF(AND(ISNUMBER(FIND(",",Товары_исходные!E269)),ISNUMBER(FIND(".",Товары_исходные!E269))),SUBSTITUTE(SUBSTITUTE(SUBSTITUTE(SUBSTITUTE(Товары_исходные!E269," ",""),"руб.",""),"руб",""),",",""),SUBSTITUTE(SUBSTITUTE(SUBSTITUTE(SUBSTITUTE(Товары_исходные!E269," ",""),"руб.",""),"руб",""),",","."))),0)</f>
        <v>14000</v>
      </c>
      <c r="F269" s="4">
        <f>IFERROR(VALUE(IF(AND(ISNUMBER(FIND(",",Товары_исходные!F269)),ISNUMBER(FIND(".",Товары_исходные!F269))),SUBSTITUTE(SUBSTITUTE(SUBSTITUTE(SUBSTITUTE(Товары_исходные!F269," ",""),"руб.",""),"руб",""),",",""),SUBSTITUTE(SUBSTITUTE(SUBSTITUTE(SUBSTITUTE(Товары_исходные!F269," ",""),"руб.",""),"руб",""),",","."))),0)</f>
        <v>22990</v>
      </c>
      <c r="G269" t="str">
        <f>IFERROR(VLOOKUP(Товары_исходные!G269,Справочники!$D$2:$E$50,2,FALSE),"шт.")</f>
        <v>шт.</v>
      </c>
      <c r="H269" t="str">
        <f t="shared" si="10"/>
        <v>OK</v>
      </c>
      <c r="I269" t="str">
        <f t="shared" si="11"/>
        <v>OK</v>
      </c>
    </row>
    <row r="270">
      <c r="A270" t="str">
        <f>"АРТ-"&amp;LEFT(SUBSTITUTE(SUBSTITUTE(SUBSTITUTE(SUBSTITUTE(Товары_исходные!A270,"№",""),"АРТ-",""),"АРТ_",""),"/","-"),3)</f>
        <v>АРТ-269</v>
      </c>
      <c r="B270" t="str">
        <f>PROPER(TRIM(IFERROR(LEFT(Товары_исходные!B270,FIND("(",Товары_исходные!B270)-1),Товары_исходные!B270)))</f>
        <v xml:space="preserve">Колонка Marshall Stanmore Ii</v>
      </c>
      <c r="C270" t="str">
        <f>IFERROR(VLOOKUP(Товары_исходные!C270,Справочники!$A$2:$B$50,2,FALSE),Товары_исходные!C270)</f>
        <v>Аксессуары</v>
      </c>
      <c r="D270" t="str">
        <f>PROPER(TRIM(Товары_исходные!D270))</f>
        <v>Marshall</v>
      </c>
      <c r="E270" s="4">
        <f>IFERROR(VALUE(IF(AND(ISNUMBER(FIND(",",Товары_исходные!E270)),ISNUMBER(FIND(".",Товары_исходные!E270))),SUBSTITUTE(SUBSTITUTE(SUBSTITUTE(SUBSTITUTE(Товары_исходные!E270," ",""),"руб.",""),"руб",""),",",""),SUBSTITUTE(SUBSTITUTE(SUBSTITUTE(SUBSTITUTE(Товары_исходные!E270," ",""),"руб.",""),"руб",""),",","."))),0)</f>
        <v>13000</v>
      </c>
      <c r="F270" s="4">
        <f>IFERROR(VALUE(IF(AND(ISNUMBER(FIND(",",Товары_исходные!F270)),ISNUMBER(FIND(".",Товары_исходные!F270))),SUBSTITUTE(SUBSTITUTE(SUBSTITUTE(SUBSTITUTE(Товары_исходные!F270," ",""),"руб.",""),"руб",""),",",""),SUBSTITUTE(SUBSTITUTE(SUBSTITUTE(SUBSTITUTE(Товары_исходные!F270," ",""),"руб.",""),"руб",""),",","."))),0)</f>
        <v>21500</v>
      </c>
      <c r="G270" t="str">
        <f>IFERROR(VLOOKUP(Товары_исходные!G270,Справочники!$D$2:$E$50,2,FALSE),"шт.")</f>
        <v>шт.</v>
      </c>
      <c r="H270" t="str">
        <f t="shared" si="10"/>
        <v>OK</v>
      </c>
      <c r="I270" t="str">
        <f t="shared" si="11"/>
        <v>OK</v>
      </c>
    </row>
    <row r="271">
      <c r="A271" t="str">
        <f>"АРТ-"&amp;LEFT(SUBSTITUTE(SUBSTITUTE(SUBSTITUTE(SUBSTITUTE(Товары_исходные!A271,"№",""),"АРТ-",""),"АРТ_",""),"/","-"),3)</f>
        <v>АРТ-270</v>
      </c>
      <c r="B271" t="str">
        <f>PROPER(TRIM(IFERROR(LEFT(Товары_исходные!B271,FIND("(",Товары_исходные!B271)-1),Товары_исходные!B271)))</f>
        <v xml:space="preserve">Колонка Marshall Stanmore Ii</v>
      </c>
      <c r="C271" t="str">
        <f>IFERROR(VLOOKUP(Товары_исходные!C271,Справочники!$A$2:$B$50,2,FALSE),Товары_исходные!C271)</f>
        <v>Аксессуары</v>
      </c>
      <c r="D271" t="str">
        <f>PROPER(TRIM(Товары_исходные!D271))</f>
        <v>Marshall</v>
      </c>
      <c r="E271" s="4">
        <f>IFERROR(VALUE(IF(AND(ISNUMBER(FIND(",",Товары_исходные!E271)),ISNUMBER(FIND(".",Товары_исходные!E271))),SUBSTITUTE(SUBSTITUTE(SUBSTITUTE(SUBSTITUTE(Товары_исходные!E271," ",""),"руб.",""),"руб",""),",",""),SUBSTITUTE(SUBSTITUTE(SUBSTITUTE(SUBSTITUTE(Товары_исходные!E271," ",""),"руб.",""),"руб",""),",","."))),0)</f>
        <v>15000</v>
      </c>
      <c r="F271" s="4">
        <f>IFERROR(VALUE(IF(AND(ISNUMBER(FIND(",",Товары_исходные!F271)),ISNUMBER(FIND(".",Товары_исходные!F271))),SUBSTITUTE(SUBSTITUTE(SUBSTITUTE(SUBSTITUTE(Товары_исходные!F271," ",""),"руб.",""),"руб",""),",",""),SUBSTITUTE(SUBSTITUTE(SUBSTITUTE(SUBSTITUTE(Товары_исходные!F271," ",""),"руб.",""),"руб",""),",","."))),0)</f>
        <v>24500</v>
      </c>
      <c r="G271" t="str">
        <f>IFERROR(VLOOKUP(Товары_исходные!G271,Справочники!$D$2:$E$50,2,FALSE),"шт.")</f>
        <v>шт.</v>
      </c>
      <c r="H271" t="str">
        <f t="shared" si="10"/>
        <v>OK</v>
      </c>
      <c r="I271" t="str">
        <f t="shared" si="11"/>
        <v>OK</v>
      </c>
    </row>
    <row r="272">
      <c r="A272" t="str">
        <f>"АРТ-"&amp;LEFT(SUBSTITUTE(SUBSTITUTE(SUBSTITUTE(SUBSTITUTE(Товары_исходные!A272,"№",""),"АРТ-",""),"АРТ_",""),"/","-"),3)</f>
        <v>АРТ-271</v>
      </c>
      <c r="B272" t="str">
        <f>PROPER(TRIM(IFERROR(LEFT(Товары_исходные!B272,FIND("(",Товары_исходные!B272)-1),Товары_исходные!B272)))</f>
        <v xml:space="preserve">Смартфон Zte Axon 40</v>
      </c>
      <c r="C272" t="str">
        <f>IFERROR(VLOOKUP(Товары_исходные!C272,Справочники!$A$2:$B$50,2,FALSE),Товары_исходные!C272)</f>
        <v>Смартфоны</v>
      </c>
      <c r="D272" t="str">
        <f>PROPER(TRIM(Товары_исходные!D272))</f>
        <v>Zte</v>
      </c>
      <c r="E272" s="4">
        <f>IFERROR(VALUE(IF(AND(ISNUMBER(FIND(",",Товары_исходные!E272)),ISNUMBER(FIND(".",Товары_исходные!E272))),SUBSTITUTE(SUBSTITUTE(SUBSTITUTE(SUBSTITUTE(Товары_исходные!E272," ",""),"руб.",""),"руб",""),",",""),SUBSTITUTE(SUBSTITUTE(SUBSTITUTE(SUBSTITUTE(Товары_исходные!E272," ",""),"руб.",""),"руб",""),",","."))),0)</f>
        <v>26000</v>
      </c>
      <c r="F272" s="4">
        <f>IFERROR(VALUE(IF(AND(ISNUMBER(FIND(",",Товары_исходные!F272)),ISNUMBER(FIND(".",Товары_исходные!F272))),SUBSTITUTE(SUBSTITUTE(SUBSTITUTE(SUBSTITUTE(Товары_исходные!F272," ",""),"руб.",""),"руб",""),",",""),SUBSTITUTE(SUBSTITUTE(SUBSTITUTE(SUBSTITUTE(Товары_исходные!F272," ",""),"руб.",""),"руб",""),",","."))),0)</f>
        <v>44990</v>
      </c>
      <c r="G272" t="str">
        <f>IFERROR(VLOOKUP(Товары_исходные!G272,Справочники!$D$2:$E$50,2,FALSE),"шт.")</f>
        <v>шт.</v>
      </c>
      <c r="H272" t="str">
        <f t="shared" si="10"/>
        <v>OK</v>
      </c>
      <c r="I272" t="str">
        <f t="shared" si="11"/>
        <v>OK</v>
      </c>
    </row>
    <row r="273">
      <c r="A273" t="str">
        <f>"АРТ-"&amp;LEFT(SUBSTITUTE(SUBSTITUTE(SUBSTITUTE(SUBSTITUTE(Товары_исходные!A273,"№",""),"АРТ-",""),"АРТ_",""),"/","-"),3)</f>
        <v>АРТ-272</v>
      </c>
      <c r="B273" t="str">
        <f>PROPER(TRIM(IFERROR(LEFT(Товары_исходные!B273,FIND("(",Товары_исходные!B273)-1),Товары_исходные!B273)))</f>
        <v xml:space="preserve">Смартфон Zte Axon 40</v>
      </c>
      <c r="C273" t="str">
        <f>IFERROR(VLOOKUP(Товары_исходные!C273,Справочники!$A$2:$B$50,2,FALSE),Товары_исходные!C273)</f>
        <v>Смартфоны</v>
      </c>
      <c r="D273" t="str">
        <f>PROPER(TRIM(Товары_исходные!D273))</f>
        <v>Zte</v>
      </c>
      <c r="E273" s="4">
        <f>IFERROR(VALUE(IF(AND(ISNUMBER(FIND(",",Товары_исходные!E273)),ISNUMBER(FIND(".",Товары_исходные!E273))),SUBSTITUTE(SUBSTITUTE(SUBSTITUTE(SUBSTITUTE(Товары_исходные!E273," ",""),"руб.",""),"руб",""),",",""),SUBSTITUTE(SUBSTITUTE(SUBSTITUTE(SUBSTITUTE(Товары_исходные!E273," ",""),"руб.",""),"руб",""),",","."))),0)</f>
        <v>25000</v>
      </c>
      <c r="F273" s="4">
        <f>IFERROR(VALUE(IF(AND(ISNUMBER(FIND(",",Товары_исходные!F273)),ISNUMBER(FIND(".",Товары_исходные!F273))),SUBSTITUTE(SUBSTITUTE(SUBSTITUTE(SUBSTITUTE(Товары_исходные!F273," ",""),"руб.",""),"руб",""),",",""),SUBSTITUTE(SUBSTITUTE(SUBSTITUTE(SUBSTITUTE(Товары_исходные!F273," ",""),"руб.",""),"руб",""),",","."))),0)</f>
        <v>43500</v>
      </c>
      <c r="G273" t="str">
        <f>IFERROR(VLOOKUP(Товары_исходные!G273,Справочники!$D$2:$E$50,2,FALSE),"шт.")</f>
        <v>шт.</v>
      </c>
      <c r="H273" t="str">
        <f t="shared" si="10"/>
        <v>OK</v>
      </c>
      <c r="I273" t="str">
        <f t="shared" si="11"/>
        <v>OK</v>
      </c>
    </row>
    <row r="274">
      <c r="A274" t="str">
        <f>"АРТ-"&amp;LEFT(SUBSTITUTE(SUBSTITUTE(SUBSTITUTE(SUBSTITUTE(Товары_исходные!A274,"№",""),"АРТ-",""),"АРТ_",""),"/","-"),3)</f>
        <v>АРТ-273</v>
      </c>
      <c r="B274" t="str">
        <f>PROPER(TRIM(IFERROR(LEFT(Товары_исходные!B274,FIND("(",Товары_исходные!B274)-1),Товары_исходные!B274)))</f>
        <v xml:space="preserve">Смартфон Zte Axon 40</v>
      </c>
      <c r="C274" t="str">
        <f>IFERROR(VLOOKUP(Товары_исходные!C274,Справочники!$A$2:$B$50,2,FALSE),Товары_исходные!C274)</f>
        <v>Смартфоны</v>
      </c>
      <c r="D274" t="str">
        <f>PROPER(TRIM(Товары_исходные!D274))</f>
        <v>Zte</v>
      </c>
      <c r="E274" s="4">
        <f>IFERROR(VALUE(IF(AND(ISNUMBER(FIND(",",Товары_исходные!E274)),ISNUMBER(FIND(".",Товары_исходные!E274))),SUBSTITUTE(SUBSTITUTE(SUBSTITUTE(SUBSTITUTE(Товары_исходные!E274," ",""),"руб.",""),"руб",""),",",""),SUBSTITUTE(SUBSTITUTE(SUBSTITUTE(SUBSTITUTE(Товары_исходные!E274," ",""),"руб.",""),"руб",""),",","."))),0)</f>
        <v>27000</v>
      </c>
      <c r="F274" s="4">
        <f>IFERROR(VALUE(IF(AND(ISNUMBER(FIND(",",Товары_исходные!F274)),ISNUMBER(FIND(".",Товары_исходные!F274))),SUBSTITUTE(SUBSTITUTE(SUBSTITUTE(SUBSTITUTE(Товары_исходные!F274," ",""),"руб.",""),"руб",""),",",""),SUBSTITUTE(SUBSTITUTE(SUBSTITUTE(SUBSTITUTE(Товары_исходные!F274," ",""),"руб.",""),"руб",""),",","."))),0)</f>
        <v>46500</v>
      </c>
      <c r="G274" t="str">
        <f>IFERROR(VLOOKUP(Товары_исходные!G274,Справочники!$D$2:$E$50,2,FALSE),"шт.")</f>
        <v>шт.</v>
      </c>
      <c r="H274" t="str">
        <f t="shared" si="10"/>
        <v>OK</v>
      </c>
      <c r="I274" t="str">
        <f t="shared" si="11"/>
        <v>OK</v>
      </c>
    </row>
    <row r="275">
      <c r="A275" t="str">
        <f>"АРТ-"&amp;LEFT(SUBSTITUTE(SUBSTITUTE(SUBSTITUTE(SUBSTITUTE(Товары_исходные!A275,"№",""),"АРТ-",""),"АРТ_",""),"/","-"),3)</f>
        <v>АРТ-274</v>
      </c>
      <c r="B275" t="str">
        <f>PROPER(TRIM(IFERROR(LEFT(Товары_исходные!B275,FIND("(",Товары_исходные!B275)-1),Товары_исходные!B275)))</f>
        <v xml:space="preserve">Планшет Lenovo Yoga Tab 13</v>
      </c>
      <c r="C275" t="str">
        <f>IFERROR(VLOOKUP(Товары_исходные!C275,Справочники!$A$2:$B$50,2,FALSE),Товары_исходные!C275)</f>
        <v>Планшеты</v>
      </c>
      <c r="D275" t="str">
        <f>PROPER(TRIM(Товары_исходные!D275))</f>
        <v>Lenovo</v>
      </c>
      <c r="E275" s="4">
        <f>IFERROR(VALUE(IF(AND(ISNUMBER(FIND(",",Товары_исходные!E275)),ISNUMBER(FIND(".",Товары_исходные!E275))),SUBSTITUTE(SUBSTITUTE(SUBSTITUTE(SUBSTITUTE(Товары_исходные!E275," ",""),"руб.",""),"руб",""),",",""),SUBSTITUTE(SUBSTITUTE(SUBSTITUTE(SUBSTITUTE(Товары_исходные!E275," ",""),"руб.",""),"руб",""),",","."))),0)</f>
        <v>30000</v>
      </c>
      <c r="F275" s="4">
        <f>IFERROR(VALUE(IF(AND(ISNUMBER(FIND(",",Товары_исходные!F275)),ISNUMBER(FIND(".",Товары_исходные!F275))),SUBSTITUTE(SUBSTITUTE(SUBSTITUTE(SUBSTITUTE(Товары_исходные!F275," ",""),"руб.",""),"руб",""),",",""),SUBSTITUTE(SUBSTITUTE(SUBSTITUTE(SUBSTITUTE(Товары_исходные!F275," ",""),"руб.",""),"руб",""),",","."))),0)</f>
        <v>48990</v>
      </c>
      <c r="G275" t="str">
        <f>IFERROR(VLOOKUP(Товары_исходные!G275,Справочники!$D$2:$E$50,2,FALSE),"шт.")</f>
        <v>шт.</v>
      </c>
      <c r="H275" t="str">
        <f t="shared" si="10"/>
        <v>OK</v>
      </c>
      <c r="I275" t="str">
        <f t="shared" si="11"/>
        <v>OK</v>
      </c>
    </row>
    <row r="276">
      <c r="A276" t="str">
        <f>"АРТ-"&amp;LEFT(SUBSTITUTE(SUBSTITUTE(SUBSTITUTE(SUBSTITUTE(Товары_исходные!A276,"№",""),"АРТ-",""),"АРТ_",""),"/","-"),3)</f>
        <v>АРТ-275</v>
      </c>
      <c r="B276" t="str">
        <f>PROPER(TRIM(IFERROR(LEFT(Товары_исходные!B276,FIND("(",Товары_исходные!B276)-1),Товары_исходные!B276)))</f>
        <v xml:space="preserve">Планшет Lenovo Yoga Tab 13</v>
      </c>
      <c r="C276" t="str">
        <f>IFERROR(VLOOKUP(Товары_исходные!C276,Справочники!$A$2:$B$50,2,FALSE),Товары_исходные!C276)</f>
        <v>Планшеты</v>
      </c>
      <c r="D276" t="str">
        <f>PROPER(TRIM(Товары_исходные!D276))</f>
        <v>Lenovo</v>
      </c>
      <c r="E276" s="4">
        <f>IFERROR(VALUE(IF(AND(ISNUMBER(FIND(",",Товары_исходные!E276)),ISNUMBER(FIND(".",Товары_исходные!E276))),SUBSTITUTE(SUBSTITUTE(SUBSTITUTE(SUBSTITUTE(Товары_исходные!E276," ",""),"руб.",""),"руб",""),",",""),SUBSTITUTE(SUBSTITUTE(SUBSTITUTE(SUBSTITUTE(Товары_исходные!E276," ",""),"руб.",""),"руб",""),",","."))),0)</f>
        <v>28500</v>
      </c>
      <c r="F276" s="4">
        <f>IFERROR(VALUE(IF(AND(ISNUMBER(FIND(",",Товары_исходные!F276)),ISNUMBER(FIND(".",Товары_исходные!F276))),SUBSTITUTE(SUBSTITUTE(SUBSTITUTE(SUBSTITUTE(Товары_исходные!F276," ",""),"руб.",""),"руб",""),",",""),SUBSTITUTE(SUBSTITUTE(SUBSTITUTE(SUBSTITUTE(Товары_исходные!F276," ",""),"руб.",""),"руб",""),",","."))),0)</f>
        <v>47000</v>
      </c>
      <c r="G276" t="str">
        <f>IFERROR(VLOOKUP(Товары_исходные!G276,Справочники!$D$2:$E$50,2,FALSE),"шт.")</f>
        <v>шт.</v>
      </c>
      <c r="H276" t="str">
        <f t="shared" si="10"/>
        <v>OK</v>
      </c>
      <c r="I276" t="str">
        <f t="shared" si="11"/>
        <v>OK</v>
      </c>
    </row>
    <row r="277">
      <c r="A277" t="str">
        <f>"АРТ-"&amp;LEFT(SUBSTITUTE(SUBSTITUTE(SUBSTITUTE(SUBSTITUTE(Товары_исходные!A277,"№",""),"АРТ-",""),"АРТ_",""),"/","-"),3)</f>
        <v>АРТ-276</v>
      </c>
      <c r="B277" t="str">
        <f>PROPER(TRIM(IFERROR(LEFT(Товары_исходные!B277,FIND("(",Товары_исходные!B277)-1),Товары_исходные!B277)))</f>
        <v xml:space="preserve">Планшет Lenovo Yoga Tab 13</v>
      </c>
      <c r="C277" t="str">
        <f>IFERROR(VLOOKUP(Товары_исходные!C277,Справочники!$A$2:$B$50,2,FALSE),Товары_исходные!C277)</f>
        <v>Планшеты</v>
      </c>
      <c r="D277" t="str">
        <f>PROPER(TRIM(Товары_исходные!D277))</f>
        <v>Lenovo</v>
      </c>
      <c r="E277" s="4">
        <f>IFERROR(VALUE(IF(AND(ISNUMBER(FIND(",",Товары_исходные!E277)),ISNUMBER(FIND(".",Товары_исходные!E277))),SUBSTITUTE(SUBSTITUTE(SUBSTITUTE(SUBSTITUTE(Товары_исходные!E277," ",""),"руб.",""),"руб",""),",",""),SUBSTITUTE(SUBSTITUTE(SUBSTITUTE(SUBSTITUTE(Товары_исходные!E277," ",""),"руб.",""),"руб",""),",","."))),0)</f>
        <v>31500</v>
      </c>
      <c r="F277" s="4">
        <f>IFERROR(VALUE(IF(AND(ISNUMBER(FIND(",",Товары_исходные!F277)),ISNUMBER(FIND(".",Товары_исходные!F277))),SUBSTITUTE(SUBSTITUTE(SUBSTITUTE(SUBSTITUTE(Товары_исходные!F277," ",""),"руб.",""),"руб",""),",",""),SUBSTITUTE(SUBSTITUTE(SUBSTITUTE(SUBSTITUTE(Товары_исходные!F277," ",""),"руб.",""),"руб",""),",","."))),0)</f>
        <v>50500</v>
      </c>
      <c r="G277" t="str">
        <f>IFERROR(VLOOKUP(Товары_исходные!G277,Справочники!$D$2:$E$50,2,FALSE),"шт.")</f>
        <v>шт.</v>
      </c>
      <c r="H277" t="str">
        <f t="shared" si="10"/>
        <v>OK</v>
      </c>
      <c r="I277" t="str">
        <f t="shared" si="11"/>
        <v>OK</v>
      </c>
    </row>
    <row r="278">
      <c r="A278" t="str">
        <f>"АРТ-"&amp;LEFT(SUBSTITUTE(SUBSTITUTE(SUBSTITUTE(SUBSTITUTE(Товары_исходные!A278,"№",""),"АРТ-",""),"АРТ_",""),"/","-"),3)</f>
        <v>АРТ-277</v>
      </c>
      <c r="B278" t="str">
        <f>PROPER(TRIM(IFERROR(LEFT(Товары_исходные!B278,FIND("(",Товары_исходные!B278)-1),Товары_исходные!B278)))</f>
        <v xml:space="preserve">Телевизор Samsung Qled Q80B</v>
      </c>
      <c r="C278" t="str">
        <f>IFERROR(VLOOKUP(Товары_исходные!C278,Справочники!$A$2:$B$50,2,FALSE),Товары_исходные!C278)</f>
        <v>Телевизоры</v>
      </c>
      <c r="D278" t="str">
        <f>PROPER(TRIM(Товары_исходные!D278))</f>
        <v>Samsung</v>
      </c>
      <c r="E278" s="4">
        <f>IFERROR(VALUE(IF(AND(ISNUMBER(FIND(",",Товары_исходные!E278)),ISNUMBER(FIND(".",Товары_исходные!E278))),SUBSTITUTE(SUBSTITUTE(SUBSTITUTE(SUBSTITUTE(Товары_исходные!E278," ",""),"руб.",""),"руб",""),",",""),SUBSTITUTE(SUBSTITUTE(SUBSTITUTE(SUBSTITUTE(Товары_исходные!E278," ",""),"руб.",""),"руб",""),",","."))),0)</f>
        <v>75000</v>
      </c>
      <c r="F278" s="4">
        <f>IFERROR(VALUE(IF(AND(ISNUMBER(FIND(",",Товары_исходные!F278)),ISNUMBER(FIND(".",Товары_исходные!F278))),SUBSTITUTE(SUBSTITUTE(SUBSTITUTE(SUBSTITUTE(Товары_исходные!F278," ",""),"руб.",""),"руб",""),",",""),SUBSTITUTE(SUBSTITUTE(SUBSTITUTE(SUBSTITUTE(Товары_исходные!F278," ",""),"руб.",""),"руб",""),",","."))),0)</f>
        <v>114990</v>
      </c>
      <c r="G278" t="str">
        <f>IFERROR(VLOOKUP(Товары_исходные!G278,Справочники!$D$2:$E$50,2,FALSE),"шт.")</f>
        <v>шт.</v>
      </c>
      <c r="H278" t="str">
        <f t="shared" si="10"/>
        <v>OK</v>
      </c>
      <c r="I278" t="str">
        <f t="shared" si="11"/>
        <v>OK</v>
      </c>
    </row>
    <row r="279">
      <c r="A279" t="str">
        <f>"АРТ-"&amp;LEFT(SUBSTITUTE(SUBSTITUTE(SUBSTITUTE(SUBSTITUTE(Товары_исходные!A279,"№",""),"АРТ-",""),"АРТ_",""),"/","-"),3)</f>
        <v>АРТ-278</v>
      </c>
      <c r="B279" t="str">
        <f>PROPER(TRIM(IFERROR(LEFT(Товары_исходные!B279,FIND("(",Товары_исходные!B279)-1),Товары_исходные!B279)))</f>
        <v xml:space="preserve">Телевизор Samsung Qled Q80B</v>
      </c>
      <c r="C279" t="str">
        <f>IFERROR(VLOOKUP(Товары_исходные!C279,Справочники!$A$2:$B$50,2,FALSE),Товары_исходные!C279)</f>
        <v>Телевизоры</v>
      </c>
      <c r="D279" t="str">
        <f>PROPER(TRIM(Товары_исходные!D279))</f>
        <v>Samsung</v>
      </c>
      <c r="E279" s="4">
        <f>IFERROR(VALUE(IF(AND(ISNUMBER(FIND(",",Товары_исходные!E279)),ISNUMBER(FIND(".",Товары_исходные!E279))),SUBSTITUTE(SUBSTITUTE(SUBSTITUTE(SUBSTITUTE(Товары_исходные!E279," ",""),"руб.",""),"руб",""),",",""),SUBSTITUTE(SUBSTITUTE(SUBSTITUTE(SUBSTITUTE(Товары_исходные!E279," ",""),"руб.",""),"руб",""),",","."))),0)</f>
        <v>73000</v>
      </c>
      <c r="F279" s="4">
        <f>IFERROR(VALUE(IF(AND(ISNUMBER(FIND(",",Товары_исходные!F279)),ISNUMBER(FIND(".",Товары_исходные!F279))),SUBSTITUTE(SUBSTITUTE(SUBSTITUTE(SUBSTITUTE(Товары_исходные!F279," ",""),"руб.",""),"руб",""),",",""),SUBSTITUTE(SUBSTITUTE(SUBSTITUTE(SUBSTITUTE(Товары_исходные!F279," ",""),"руб.",""),"руб",""),",","."))),0)</f>
        <v>112000</v>
      </c>
      <c r="G279" t="str">
        <f>IFERROR(VLOOKUP(Товары_исходные!G279,Справочники!$D$2:$E$50,2,FALSE),"шт.")</f>
        <v>шт.</v>
      </c>
      <c r="H279" t="str">
        <f t="shared" si="10"/>
        <v>OK</v>
      </c>
      <c r="I279" t="str">
        <f t="shared" si="11"/>
        <v>OK</v>
      </c>
    </row>
    <row r="280">
      <c r="A280" t="str">
        <f>"АРТ-"&amp;LEFT(SUBSTITUTE(SUBSTITUTE(SUBSTITUTE(SUBSTITUTE(Товары_исходные!A280,"№",""),"АРТ-",""),"АРТ_",""),"/","-"),3)</f>
        <v>АРТ-279</v>
      </c>
      <c r="B280" t="str">
        <f>PROPER(TRIM(IFERROR(LEFT(Товары_исходные!B280,FIND("(",Товары_исходные!B280)-1),Товары_исходные!B280)))</f>
        <v xml:space="preserve">Телевизор Samsung Qled Q80B</v>
      </c>
      <c r="C280" t="str">
        <f>IFERROR(VLOOKUP(Товары_исходные!C280,Справочники!$A$2:$B$50,2,FALSE),Товары_исходные!C280)</f>
        <v>Телевизоры</v>
      </c>
      <c r="D280" t="str">
        <f>PROPER(TRIM(Товары_исходные!D280))</f>
        <v>Samsung</v>
      </c>
      <c r="E280" s="4">
        <f>IFERROR(VALUE(IF(AND(ISNUMBER(FIND(",",Товары_исходные!E280)),ISNUMBER(FIND(".",Товары_исходные!E280))),SUBSTITUTE(SUBSTITUTE(SUBSTITUTE(SUBSTITUTE(Товары_исходные!E280," ",""),"руб.",""),"руб",""),",",""),SUBSTITUTE(SUBSTITUTE(SUBSTITUTE(SUBSTITUTE(Товары_исходные!E280," ",""),"руб.",""),"руб",""),",","."))),0)</f>
        <v>76500</v>
      </c>
      <c r="F280" s="4">
        <f>IFERROR(VALUE(IF(AND(ISNUMBER(FIND(",",Товары_исходные!F280)),ISNUMBER(FIND(".",Товары_исходные!F280))),SUBSTITUTE(SUBSTITUTE(SUBSTITUTE(SUBSTITUTE(Товары_исходные!F280," ",""),"руб.",""),"руб",""),",",""),SUBSTITUTE(SUBSTITUTE(SUBSTITUTE(SUBSTITUTE(Товары_исходные!F280," ",""),"руб.",""),"руб",""),",","."))),0)</f>
        <v>117500</v>
      </c>
      <c r="G280" t="str">
        <f>IFERROR(VLOOKUP(Товары_исходные!G280,Справочники!$D$2:$E$50,2,FALSE),"шт.")</f>
        <v>шт.</v>
      </c>
      <c r="H280" t="str">
        <f t="shared" si="10"/>
        <v>OK</v>
      </c>
      <c r="I280" t="str">
        <f t="shared" si="11"/>
        <v>OK</v>
      </c>
    </row>
    <row r="281">
      <c r="A281" t="str">
        <f>"АРТ-"&amp;LEFT(SUBSTITUTE(SUBSTITUTE(SUBSTITUTE(SUBSTITUTE(Товары_исходные!A281,"№",""),"АРТ-",""),"АРТ_",""),"/","-"),3)</f>
        <v>АРТ-280</v>
      </c>
      <c r="B281" t="str">
        <f>PROPER(TRIM(IFERROR(LEFT(Товары_исходные!B281,FIND("(",Товары_исходные!B281)-1),Товары_исходные!B281)))</f>
        <v xml:space="preserve">Наушники Sony Wf-1000Xm5</v>
      </c>
      <c r="C281" t="str">
        <f>IFERROR(VLOOKUP(Товары_исходные!C281,Справочники!$A$2:$B$50,2,FALSE),Товары_исходные!C281)</f>
        <v>Наушники</v>
      </c>
      <c r="D281" t="str">
        <f>PROPER(TRIM(Товары_исходные!D281))</f>
        <v>Sony</v>
      </c>
      <c r="E281" s="4">
        <f>IFERROR(VALUE(IF(AND(ISNUMBER(FIND(",",Товары_исходные!E281)),ISNUMBER(FIND(".",Товары_исходные!E281))),SUBSTITUTE(SUBSTITUTE(SUBSTITUTE(SUBSTITUTE(Товары_исходные!E281," ",""),"руб.",""),"руб",""),",",""),SUBSTITUTE(SUBSTITUTE(SUBSTITUTE(SUBSTITUTE(Товары_исходные!E281," ",""),"руб.",""),"руб",""),",","."))),0)</f>
        <v>20000</v>
      </c>
      <c r="F281" s="4">
        <f>IFERROR(VALUE(IF(AND(ISNUMBER(FIND(",",Товары_исходные!F281)),ISNUMBER(FIND(".",Товары_исходные!F281))),SUBSTITUTE(SUBSTITUTE(SUBSTITUTE(SUBSTITUTE(Товары_исходные!F281," ",""),"руб.",""),"руб",""),",",""),SUBSTITUTE(SUBSTITUTE(SUBSTITUTE(SUBSTITUTE(Товары_исходные!F281," ",""),"руб.",""),"руб",""),",","."))),0)</f>
        <v>32990</v>
      </c>
      <c r="G281" t="str">
        <f>IFERROR(VLOOKUP(Товары_исходные!G281,Справочники!$D$2:$E$50,2,FALSE),"шт.")</f>
        <v>шт.</v>
      </c>
      <c r="H281" t="str">
        <f t="shared" si="10"/>
        <v>OK</v>
      </c>
      <c r="I281" t="str">
        <f t="shared" si="11"/>
        <v>OK</v>
      </c>
    </row>
    <row r="282">
      <c r="A282" t="str">
        <f>"АРТ-"&amp;LEFT(SUBSTITUTE(SUBSTITUTE(SUBSTITUTE(SUBSTITUTE(Товары_исходные!A282,"№",""),"АРТ-",""),"АРТ_",""),"/","-"),3)</f>
        <v>АРТ-281</v>
      </c>
      <c r="B282" t="str">
        <f>PROPER(TRIM(IFERROR(LEFT(Товары_исходные!B282,FIND("(",Товары_исходные!B282)-1),Товары_исходные!B282)))</f>
        <v xml:space="preserve">Наушники Sony Wf-1000Xm5</v>
      </c>
      <c r="C282" t="str">
        <f>IFERROR(VLOOKUP(Товары_исходные!C282,Справочники!$A$2:$B$50,2,FALSE),Товары_исходные!C282)</f>
        <v>Наушники</v>
      </c>
      <c r="D282" t="str">
        <f>PROPER(TRIM(Товары_исходные!D282))</f>
        <v>Sony</v>
      </c>
      <c r="E282" s="4">
        <f>IFERROR(VALUE(IF(AND(ISNUMBER(FIND(",",Товары_исходные!E282)),ISNUMBER(FIND(".",Товары_исходные!E282))),SUBSTITUTE(SUBSTITUTE(SUBSTITUTE(SUBSTITUTE(Товары_исходные!E282," ",""),"руб.",""),"руб",""),",",""),SUBSTITUTE(SUBSTITUTE(SUBSTITUTE(SUBSTITUTE(Товары_исходные!E282," ",""),"руб.",""),"руб",""),",","."))),0)</f>
        <v>19000</v>
      </c>
      <c r="F282" s="4">
        <f>IFERROR(VALUE(IF(AND(ISNUMBER(FIND(",",Товары_исходные!F282)),ISNUMBER(FIND(".",Товары_исходные!F282))),SUBSTITUTE(SUBSTITUTE(SUBSTITUTE(SUBSTITUTE(Товары_исходные!F282," ",""),"руб.",""),"руб",""),",",""),SUBSTITUTE(SUBSTITUTE(SUBSTITUTE(SUBSTITUTE(Товары_исходные!F282," ",""),"руб.",""),"руб",""),",","."))),0)</f>
        <v>31500</v>
      </c>
      <c r="G282" t="str">
        <f>IFERROR(VLOOKUP(Товары_исходные!G282,Справочники!$D$2:$E$50,2,FALSE),"шт.")</f>
        <v>шт.</v>
      </c>
      <c r="H282" t="str">
        <f t="shared" si="10"/>
        <v>OK</v>
      </c>
      <c r="I282" t="str">
        <f t="shared" si="11"/>
        <v>OK</v>
      </c>
    </row>
    <row r="283">
      <c r="A283" t="str">
        <f>"АРТ-"&amp;LEFT(SUBSTITUTE(SUBSTITUTE(SUBSTITUTE(SUBSTITUTE(Товары_исходные!A283,"№",""),"АРТ-",""),"АРТ_",""),"/","-"),3)</f>
        <v>АРТ-282</v>
      </c>
      <c r="B283" t="str">
        <f>PROPER(TRIM(IFERROR(LEFT(Товары_исходные!B283,FIND("(",Товары_исходные!B283)-1),Товары_исходные!B283)))</f>
        <v xml:space="preserve">Наушники Sony Wf-1000Xm5</v>
      </c>
      <c r="C283" t="str">
        <f>IFERROR(VLOOKUP(Товары_исходные!C283,Справочники!$A$2:$B$50,2,FALSE),Товары_исходные!C283)</f>
        <v>Наушники</v>
      </c>
      <c r="D283" t="str">
        <f>PROPER(TRIM(Товары_исходные!D283))</f>
        <v>Sony</v>
      </c>
      <c r="E283" s="4">
        <f>IFERROR(VALUE(IF(AND(ISNUMBER(FIND(",",Товары_исходные!E283)),ISNUMBER(FIND(".",Товары_исходные!E283))),SUBSTITUTE(SUBSTITUTE(SUBSTITUTE(SUBSTITUTE(Товары_исходные!E283," ",""),"руб.",""),"руб",""),",",""),SUBSTITUTE(SUBSTITUTE(SUBSTITUTE(SUBSTITUTE(Товары_исходные!E283," ",""),"руб.",""),"руб",""),",","."))),0)</f>
        <v>21000</v>
      </c>
      <c r="F283" s="4">
        <f>IFERROR(VALUE(IF(AND(ISNUMBER(FIND(",",Товары_исходные!F283)),ISNUMBER(FIND(".",Товары_исходные!F283))),SUBSTITUTE(SUBSTITUTE(SUBSTITUTE(SUBSTITUTE(Товары_исходные!F283," ",""),"руб.",""),"руб",""),",",""),SUBSTITUTE(SUBSTITUTE(SUBSTITUTE(SUBSTITUTE(Товары_исходные!F283," ",""),"руб.",""),"руб",""),",","."))),0)</f>
        <v>34500</v>
      </c>
      <c r="G283" t="str">
        <f>IFERROR(VLOOKUP(Товары_исходные!G283,Справочники!$D$2:$E$50,2,FALSE),"шт.")</f>
        <v>шт.</v>
      </c>
      <c r="H283" t="str">
        <f t="shared" si="10"/>
        <v>OK</v>
      </c>
      <c r="I283" t="str">
        <f t="shared" si="11"/>
        <v>OK</v>
      </c>
    </row>
    <row r="284">
      <c r="A284" t="str">
        <f>"АРТ-"&amp;LEFT(SUBSTITUTE(SUBSTITUTE(SUBSTITUTE(SUBSTITUTE(Товары_исходные!A284,"№",""),"АРТ-",""),"АРТ_",""),"/","-"),3)</f>
        <v>АРТ-283</v>
      </c>
      <c r="B284" t="str">
        <f>PROPER(TRIM(IFERROR(LEFT(Товары_исходные!B284,FIND("(",Товары_исходные!B284)-1),Товары_исходные!B284)))</f>
        <v xml:space="preserve">Монитор Lg 34Wp88C</v>
      </c>
      <c r="C284" t="str">
        <f>IFERROR(VLOOKUP(Товары_исходные!C284,Справочники!$A$2:$B$50,2,FALSE),Товары_исходные!C284)</f>
        <v>Мониторы</v>
      </c>
      <c r="D284" t="str">
        <f>PROPER(TRIM(Товары_исходные!D284))</f>
        <v>Lg</v>
      </c>
      <c r="E284" s="4">
        <f>IFERROR(VALUE(IF(AND(ISNUMBER(FIND(",",Товары_исходные!E284)),ISNUMBER(FIND(".",Товары_исходные!E284))),SUBSTITUTE(SUBSTITUTE(SUBSTITUTE(SUBSTITUTE(Товары_исходные!E284," ",""),"руб.",""),"руб",""),",",""),SUBSTITUTE(SUBSTITUTE(SUBSTITUTE(SUBSTITUTE(Товары_исходные!E284," ",""),"руб.",""),"руб",""),",","."))),0)</f>
        <v>55000</v>
      </c>
      <c r="F284" s="4">
        <f>IFERROR(VALUE(IF(AND(ISNUMBER(FIND(",",Товары_исходные!F284)),ISNUMBER(FIND(".",Товары_исходные!F284))),SUBSTITUTE(SUBSTITUTE(SUBSTITUTE(SUBSTITUTE(Товары_исходные!F284," ",""),"руб.",""),"руб",""),",",""),SUBSTITUTE(SUBSTITUTE(SUBSTITUTE(SUBSTITUTE(Товары_исходные!F284," ",""),"руб.",""),"руб",""),",","."))),0)</f>
        <v>84990</v>
      </c>
      <c r="G284" t="str">
        <f>IFERROR(VLOOKUP(Товары_исходные!G284,Справочники!$D$2:$E$50,2,FALSE),"шт.")</f>
        <v>шт.</v>
      </c>
      <c r="H284" t="str">
        <f t="shared" si="10"/>
        <v>OK</v>
      </c>
      <c r="I284" t="str">
        <f t="shared" si="11"/>
        <v>OK</v>
      </c>
    </row>
    <row r="285">
      <c r="A285" t="str">
        <f>"АРТ-"&amp;LEFT(SUBSTITUTE(SUBSTITUTE(SUBSTITUTE(SUBSTITUTE(Товары_исходные!A285,"№",""),"АРТ-",""),"АРТ_",""),"/","-"),3)</f>
        <v>АРТ-284</v>
      </c>
      <c r="B285" t="str">
        <f>PROPER(TRIM(IFERROR(LEFT(Товары_исходные!B285,FIND("(",Товары_исходные!B285)-1),Товары_исходные!B285)))</f>
        <v xml:space="preserve">Монитор Lg 34Wp88C</v>
      </c>
      <c r="C285" t="str">
        <f>IFERROR(VLOOKUP(Товары_исходные!C285,Справочники!$A$2:$B$50,2,FALSE),Товары_исходные!C285)</f>
        <v>Мониторы</v>
      </c>
      <c r="D285" t="str">
        <f>PROPER(TRIM(Товары_исходные!D285))</f>
        <v>Lg</v>
      </c>
      <c r="E285" s="4">
        <f>IFERROR(VALUE(IF(AND(ISNUMBER(FIND(",",Товары_исходные!E285)),ISNUMBER(FIND(".",Товары_исходные!E285))),SUBSTITUTE(SUBSTITUTE(SUBSTITUTE(SUBSTITUTE(Товары_исходные!E285," ",""),"руб.",""),"руб",""),",",""),SUBSTITUTE(SUBSTITUTE(SUBSTITUTE(SUBSTITUTE(Товары_исходные!E285," ",""),"руб.",""),"руб",""),",","."))),0)</f>
        <v>53000</v>
      </c>
      <c r="F285" s="4">
        <f>IFERROR(VALUE(IF(AND(ISNUMBER(FIND(",",Товары_исходные!F285)),ISNUMBER(FIND(".",Товары_исходные!F285))),SUBSTITUTE(SUBSTITUTE(SUBSTITUTE(SUBSTITUTE(Товары_исходные!F285," ",""),"руб.",""),"руб",""),",",""),SUBSTITUTE(SUBSTITUTE(SUBSTITUTE(SUBSTITUTE(Товары_исходные!F285," ",""),"руб.",""),"руб",""),",","."))),0)</f>
        <v>82000</v>
      </c>
      <c r="G285" t="str">
        <f>IFERROR(VLOOKUP(Товары_исходные!G285,Справочники!$D$2:$E$50,2,FALSE),"шт.")</f>
        <v>шт.</v>
      </c>
      <c r="H285" t="str">
        <f t="shared" si="10"/>
        <v>OK</v>
      </c>
      <c r="I285" t="str">
        <f t="shared" si="11"/>
        <v>OK</v>
      </c>
    </row>
    <row r="286">
      <c r="A286" t="str">
        <f>"АРТ-"&amp;LEFT(SUBSTITUTE(SUBSTITUTE(SUBSTITUTE(SUBSTITUTE(Товары_исходные!A286,"№",""),"АРТ-",""),"АРТ_",""),"/","-"),3)</f>
        <v>АРТ-285</v>
      </c>
      <c r="B286" t="str">
        <f>PROPER(TRIM(IFERROR(LEFT(Товары_исходные!B286,FIND("(",Товары_исходные!B286)-1),Товары_исходные!B286)))</f>
        <v xml:space="preserve">Монитор Lg 34Wp88C</v>
      </c>
      <c r="C286" t="str">
        <f>IFERROR(VLOOKUP(Товары_исходные!C286,Справочники!$A$2:$B$50,2,FALSE),Товары_исходные!C286)</f>
        <v>Мониторы</v>
      </c>
      <c r="D286" t="str">
        <f>PROPER(TRIM(Товары_исходные!D286))</f>
        <v>Lg</v>
      </c>
      <c r="E286" s="4">
        <f>IFERROR(VALUE(IF(AND(ISNUMBER(FIND(",",Товары_исходные!E286)),ISNUMBER(FIND(".",Товары_исходные!E286))),SUBSTITUTE(SUBSTITUTE(SUBSTITUTE(SUBSTITUTE(Товары_исходные!E286," ",""),"руб.",""),"руб",""),",",""),SUBSTITUTE(SUBSTITUTE(SUBSTITUTE(SUBSTITUTE(Товары_исходные!E286," ",""),"руб.",""),"руб",""),",","."))),0)</f>
        <v>56500</v>
      </c>
      <c r="F286" s="4">
        <f>IFERROR(VALUE(IF(AND(ISNUMBER(FIND(",",Товары_исходные!F286)),ISNUMBER(FIND(".",Товары_исходные!F286))),SUBSTITUTE(SUBSTITUTE(SUBSTITUTE(SUBSTITUTE(Товары_исходные!F286," ",""),"руб.",""),"руб",""),",",""),SUBSTITUTE(SUBSTITUTE(SUBSTITUTE(SUBSTITUTE(Товары_исходные!F286," ",""),"руб.",""),"руб",""),",","."))),0)</f>
        <v>87500</v>
      </c>
      <c r="G286" t="str">
        <f>IFERROR(VLOOKUP(Товары_исходные!G286,Справочники!$D$2:$E$50,2,FALSE),"шт.")</f>
        <v>шт.</v>
      </c>
      <c r="H286" t="str">
        <f t="shared" si="10"/>
        <v>OK</v>
      </c>
      <c r="I286" t="str">
        <f t="shared" si="11"/>
        <v>OK</v>
      </c>
    </row>
    <row r="287">
      <c r="A287" t="str">
        <f>"АРТ-"&amp;LEFT(SUBSTITUTE(SUBSTITUTE(SUBSTITUTE(SUBSTITUTE(Товары_исходные!A287,"№",""),"АРТ-",""),"АРТ_",""),"/","-"),3)</f>
        <v>АРТ-286</v>
      </c>
      <c r="B287" t="str">
        <f>PROPER(TRIM(IFERROR(LEFT(Товары_исходные!B287,FIND("(",Товары_исходные!B287)-1),Товары_исходные!B287)))</f>
        <v xml:space="preserve">Клавиатура Nuphy Air75</v>
      </c>
      <c r="C287" t="str">
        <f>IFERROR(VLOOKUP(Товары_исходные!C287,Справочники!$A$2:$B$50,2,FALSE),Товары_исходные!C287)</f>
        <v>Аксессуары</v>
      </c>
      <c r="D287" t="str">
        <f>PROPER(TRIM(Товары_исходные!D287))</f>
        <v>Nuphy</v>
      </c>
      <c r="E287" s="4">
        <f>IFERROR(VALUE(IF(AND(ISNUMBER(FIND(",",Товары_исходные!E287)),ISNUMBER(FIND(".",Товары_исходные!E287))),SUBSTITUTE(SUBSTITUTE(SUBSTITUTE(SUBSTITUTE(Товары_исходные!E287," ",""),"руб.",""),"руб",""),",",""),SUBSTITUTE(SUBSTITUTE(SUBSTITUTE(SUBSTITUTE(Товары_исходные!E287," ",""),"руб.",""),"руб",""),",","."))),0)</f>
        <v>4500</v>
      </c>
      <c r="F287" s="4">
        <f>IFERROR(VALUE(IF(AND(ISNUMBER(FIND(",",Товары_исходные!F287)),ISNUMBER(FIND(".",Товары_исходные!F287))),SUBSTITUTE(SUBSTITUTE(SUBSTITUTE(SUBSTITUTE(Товары_исходные!F287," ",""),"руб.",""),"руб",""),",",""),SUBSTITUTE(SUBSTITUTE(SUBSTITUTE(SUBSTITUTE(Товары_исходные!F287," ",""),"руб.",""),"руб",""),",","."))),0)</f>
        <v>7490</v>
      </c>
      <c r="G287" t="str">
        <f>IFERROR(VLOOKUP(Товары_исходные!G287,Справочники!$D$2:$E$50,2,FALSE),"шт.")</f>
        <v>шт.</v>
      </c>
      <c r="H287" t="str">
        <f t="shared" si="10"/>
        <v>OK</v>
      </c>
      <c r="I287" t="str">
        <f t="shared" si="11"/>
        <v>OK</v>
      </c>
    </row>
    <row r="288">
      <c r="A288" t="str">
        <f>"АРТ-"&amp;LEFT(SUBSTITUTE(SUBSTITUTE(SUBSTITUTE(SUBSTITUTE(Товары_исходные!A288,"№",""),"АРТ-",""),"АРТ_",""),"/","-"),3)</f>
        <v>АРТ-287</v>
      </c>
      <c r="B288" t="str">
        <f>PROPER(TRIM(IFERROR(LEFT(Товары_исходные!B288,FIND("(",Товары_исходные!B288)-1),Товары_исходные!B288)))</f>
        <v xml:space="preserve">Клавиатура Nuphy Air75</v>
      </c>
      <c r="C288" t="str">
        <f>IFERROR(VLOOKUP(Товары_исходные!C288,Справочники!$A$2:$B$50,2,FALSE),Товары_исходные!C288)</f>
        <v>Аксессуары</v>
      </c>
      <c r="D288" t="str">
        <f>PROPER(TRIM(Товары_исходные!D288))</f>
        <v>Nuphy</v>
      </c>
      <c r="E288" s="4">
        <f>IFERROR(VALUE(IF(AND(ISNUMBER(FIND(",",Товары_исходные!E288)),ISNUMBER(FIND(".",Товары_исходные!E288))),SUBSTITUTE(SUBSTITUTE(SUBSTITUTE(SUBSTITUTE(Товары_исходные!E288," ",""),"руб.",""),"руб",""),",",""),SUBSTITUTE(SUBSTITUTE(SUBSTITUTE(SUBSTITUTE(Товары_исходные!E288," ",""),"руб.",""),"руб",""),",","."))),0)</f>
        <v>4200</v>
      </c>
      <c r="F288" s="4">
        <f>IFERROR(VALUE(IF(AND(ISNUMBER(FIND(",",Товары_исходные!F288)),ISNUMBER(FIND(".",Товары_исходные!F288))),SUBSTITUTE(SUBSTITUTE(SUBSTITUTE(SUBSTITUTE(Товары_исходные!F288," ",""),"руб.",""),"руб",""),",",""),SUBSTITUTE(SUBSTITUTE(SUBSTITUTE(SUBSTITUTE(Товары_исходные!F288," ",""),"руб.",""),"руб",""),",","."))),0)</f>
        <v>7000</v>
      </c>
      <c r="G288" t="str">
        <f>IFERROR(VLOOKUP(Товары_исходные!G288,Справочники!$D$2:$E$50,2,FALSE),"шт.")</f>
        <v>шт.</v>
      </c>
      <c r="H288" t="str">
        <f t="shared" si="10"/>
        <v>OK</v>
      </c>
      <c r="I288" t="str">
        <f t="shared" si="11"/>
        <v>OK</v>
      </c>
    </row>
    <row r="289">
      <c r="A289" t="str">
        <f>"АРТ-"&amp;LEFT(SUBSTITUTE(SUBSTITUTE(SUBSTITUTE(SUBSTITUTE(Товары_исходные!A289,"№",""),"АРТ-",""),"АРТ_",""),"/","-"),3)</f>
        <v>АРТ-288</v>
      </c>
      <c r="B289" t="str">
        <f>PROPER(TRIM(IFERROR(LEFT(Товары_исходные!B289,FIND("(",Товары_исходные!B289)-1),Товары_исходные!B289)))</f>
        <v xml:space="preserve">Клавиатура Nuphy Air75</v>
      </c>
      <c r="C289" t="str">
        <f>IFERROR(VLOOKUP(Товары_исходные!C289,Справочники!$A$2:$B$50,2,FALSE),Товары_исходные!C289)</f>
        <v>Аксессуары</v>
      </c>
      <c r="D289" t="str">
        <f>PROPER(TRIM(Товары_исходные!D289))</f>
        <v>Nuphy</v>
      </c>
      <c r="E289" s="4">
        <f>IFERROR(VALUE(IF(AND(ISNUMBER(FIND(",",Товары_исходные!E289)),ISNUMBER(FIND(".",Товары_исходные!E289))),SUBSTITUTE(SUBSTITUTE(SUBSTITUTE(SUBSTITUTE(Товары_исходные!E289," ",""),"руб.",""),"руб",""),",",""),SUBSTITUTE(SUBSTITUTE(SUBSTITUTE(SUBSTITUTE(Товары_исходные!E289," ",""),"руб.",""),"руб",""),",","."))),0)</f>
        <v>4800</v>
      </c>
      <c r="F289" s="4">
        <f>IFERROR(VALUE(IF(AND(ISNUMBER(FIND(",",Товары_исходные!F289)),ISNUMBER(FIND(".",Товары_исходные!F289))),SUBSTITUTE(SUBSTITUTE(SUBSTITUTE(SUBSTITUTE(Товары_исходные!F289," ",""),"руб.",""),"руб",""),",",""),SUBSTITUTE(SUBSTITUTE(SUBSTITUTE(SUBSTITUTE(Товары_исходные!F289," ",""),"руб.",""),"руб",""),",","."))),0)</f>
        <v>8000</v>
      </c>
      <c r="G289" t="str">
        <f>IFERROR(VLOOKUP(Товары_исходные!G289,Справочники!$D$2:$E$50,2,FALSE),"шт.")</f>
        <v>шт.</v>
      </c>
      <c r="H289" t="str">
        <f t="shared" si="10"/>
        <v>OK</v>
      </c>
      <c r="I289" t="str">
        <f t="shared" si="11"/>
        <v>OK</v>
      </c>
    </row>
    <row r="290">
      <c r="A290" t="str">
        <f>"АРТ-"&amp;LEFT(SUBSTITUTE(SUBSTITUTE(SUBSTITUTE(SUBSTITUTE(Товары_исходные!A290,"№",""),"АРТ-",""),"АРТ_",""),"/","-"),3)</f>
        <v>АРТ-289</v>
      </c>
      <c r="B290" t="str">
        <f>PROPER(TRIM(IFERROR(LEFT(Товары_исходные!B290,FIND("(",Товары_исходные!B290)-1),Товары_исходные!B290)))</f>
        <v xml:space="preserve">Смарт-Часы Polar Vantage V3</v>
      </c>
      <c r="C290" t="str">
        <f>IFERROR(VLOOKUP(Товары_исходные!C290,Справочники!$A$2:$B$50,2,FALSE),Товары_исходные!C290)</f>
        <v>Часы</v>
      </c>
      <c r="D290" t="str">
        <f>PROPER(TRIM(Товары_исходные!D290))</f>
        <v>Polar</v>
      </c>
      <c r="E290" s="4">
        <f>IFERROR(VALUE(IF(AND(ISNUMBER(FIND(",",Товары_исходные!E290)),ISNUMBER(FIND(".",Товары_исходные!E290))),SUBSTITUTE(SUBSTITUTE(SUBSTITUTE(SUBSTITUTE(Товары_исходные!E290," ",""),"руб.",""),"руб",""),",",""),SUBSTITUTE(SUBSTITUTE(SUBSTITUTE(SUBSTITUTE(Товары_исходные!E290," ",""),"руб.",""),"руб",""),",","."))),0)</f>
        <v>40000</v>
      </c>
      <c r="F290" s="4">
        <f>IFERROR(VALUE(IF(AND(ISNUMBER(FIND(",",Товары_исходные!F290)),ISNUMBER(FIND(".",Товары_исходные!F290))),SUBSTITUTE(SUBSTITUTE(SUBSTITUTE(SUBSTITUTE(Товары_исходные!F290," ",""),"руб.",""),"руб",""),",",""),SUBSTITUTE(SUBSTITUTE(SUBSTITUTE(SUBSTITUTE(Товары_исходные!F290," ",""),"руб.",""),"руб",""),",","."))),0)</f>
        <v>62990</v>
      </c>
      <c r="G290" t="str">
        <f>IFERROR(VLOOKUP(Товары_исходные!G290,Справочники!$D$2:$E$50,2,FALSE),"шт.")</f>
        <v>шт.</v>
      </c>
      <c r="H290" t="str">
        <f t="shared" si="10"/>
        <v>OK</v>
      </c>
      <c r="I290" t="str">
        <f t="shared" si="11"/>
        <v>OK</v>
      </c>
    </row>
    <row r="291">
      <c r="A291" t="str">
        <f>"АРТ-"&amp;LEFT(SUBSTITUTE(SUBSTITUTE(SUBSTITUTE(SUBSTITUTE(Товары_исходные!A291,"№",""),"АРТ-",""),"АРТ_",""),"/","-"),3)</f>
        <v>АРТ-290</v>
      </c>
      <c r="B291" t="str">
        <f>PROPER(TRIM(IFERROR(LEFT(Товары_исходные!B291,FIND("(",Товары_исходные!B291)-1),Товары_исходные!B291)))</f>
        <v xml:space="preserve">Смарт-Часы Polar Vantage V3</v>
      </c>
      <c r="C291" t="str">
        <f>IFERROR(VLOOKUP(Товары_исходные!C291,Справочники!$A$2:$B$50,2,FALSE),Товары_исходные!C291)</f>
        <v>Часы</v>
      </c>
      <c r="D291" t="str">
        <f>PROPER(TRIM(Товары_исходные!D291))</f>
        <v>Polar</v>
      </c>
      <c r="E291" s="4">
        <f>IFERROR(VALUE(IF(AND(ISNUMBER(FIND(",",Товары_исходные!E291)),ISNUMBER(FIND(".",Товары_исходные!E291))),SUBSTITUTE(SUBSTITUTE(SUBSTITUTE(SUBSTITUTE(Товары_исходные!E291," ",""),"руб.",""),"руб",""),",",""),SUBSTITUTE(SUBSTITUTE(SUBSTITUTE(SUBSTITUTE(Товары_исходные!E291," ",""),"руб.",""),"руб",""),",","."))),0)</f>
        <v>38500</v>
      </c>
      <c r="F291" s="4">
        <f>IFERROR(VALUE(IF(AND(ISNUMBER(FIND(",",Товары_исходные!F291)),ISNUMBER(FIND(".",Товары_исходные!F291))),SUBSTITUTE(SUBSTITUTE(SUBSTITUTE(SUBSTITUTE(Товары_исходные!F291," ",""),"руб.",""),"руб",""),",",""),SUBSTITUTE(SUBSTITUTE(SUBSTITUTE(SUBSTITUTE(Товары_исходные!F291," ",""),"руб.",""),"руб",""),",","."))),0)</f>
        <v>60500</v>
      </c>
      <c r="G291" t="str">
        <f>IFERROR(VLOOKUP(Товары_исходные!G291,Справочники!$D$2:$E$50,2,FALSE),"шт.")</f>
        <v>шт.</v>
      </c>
      <c r="H291" t="str">
        <f t="shared" si="10"/>
        <v>OK</v>
      </c>
      <c r="I291" t="str">
        <f t="shared" si="11"/>
        <v>OK</v>
      </c>
    </row>
    <row r="292">
      <c r="A292" t="str">
        <f>"АРТ-"&amp;LEFT(SUBSTITUTE(SUBSTITUTE(SUBSTITUTE(SUBSTITUTE(Товары_исходные!A292,"№",""),"АРТ-",""),"АРТ_",""),"/","-"),3)</f>
        <v>АРТ-291</v>
      </c>
      <c r="B292" t="str">
        <f>PROPER(TRIM(IFERROR(LEFT(Товары_исходные!B292,FIND("(",Товары_исходные!B292)-1),Товары_исходные!B292)))</f>
        <v xml:space="preserve">Смарт-Часы Polar Vantage V3</v>
      </c>
      <c r="C292" t="str">
        <f>IFERROR(VLOOKUP(Товары_исходные!C292,Справочники!$A$2:$B$50,2,FALSE),Товары_исходные!C292)</f>
        <v>Часы</v>
      </c>
      <c r="D292" t="str">
        <f>PROPER(TRIM(Товары_исходные!D292))</f>
        <v>Polar</v>
      </c>
      <c r="E292" s="4">
        <f>IFERROR(VALUE(IF(AND(ISNUMBER(FIND(",",Товары_исходные!E292)),ISNUMBER(FIND(".",Товары_исходные!E292))),SUBSTITUTE(SUBSTITUTE(SUBSTITUTE(SUBSTITUTE(Товары_исходные!E292," ",""),"руб.",""),"руб",""),",",""),SUBSTITUTE(SUBSTITUTE(SUBSTITUTE(SUBSTITUTE(Товары_исходные!E292," ",""),"руб.",""),"руб",""),",","."))),0)</f>
        <v>41500</v>
      </c>
      <c r="F292" s="4">
        <f>IFERROR(VALUE(IF(AND(ISNUMBER(FIND(",",Товары_исходные!F292)),ISNUMBER(FIND(".",Товары_исходные!F292))),SUBSTITUTE(SUBSTITUTE(SUBSTITUTE(SUBSTITUTE(Товары_исходные!F292," ",""),"руб.",""),"руб",""),",",""),SUBSTITUTE(SUBSTITUTE(SUBSTITUTE(SUBSTITUTE(Товары_исходные!F292," ",""),"руб.",""),"руб",""),",","."))),0)</f>
        <v>65000</v>
      </c>
      <c r="G292" t="str">
        <f>IFERROR(VLOOKUP(Товары_исходные!G292,Справочники!$D$2:$E$50,2,FALSE),"шт.")</f>
        <v>шт.</v>
      </c>
      <c r="H292" t="str">
        <f t="shared" ref="H292:H355" si="12">IF(F292&gt;=E292,"OK","Розница ниже закупки")</f>
        <v>OK</v>
      </c>
      <c r="I292" t="str">
        <f t="shared" ref="I292:I355" si="13">IF(COUNTIF($A$2:$A$502,A292)=1,"OK","Дубликат")</f>
        <v>OK</v>
      </c>
    </row>
    <row r="293">
      <c r="A293" t="str">
        <f>"АРТ-"&amp;LEFT(SUBSTITUTE(SUBSTITUTE(SUBSTITUTE(SUBSTITUTE(Товары_исходные!A293,"№",""),"АРТ-",""),"АРТ_",""),"/","-"),3)</f>
        <v>АРТ-292</v>
      </c>
      <c r="B293" t="str">
        <f>PROPER(TRIM(IFERROR(LEFT(Товары_исходные!B293,FIND("(",Товары_исходные!B293)-1),Товары_исходные!B293)))</f>
        <v xml:space="preserve">Ноутбук Microsoft Surface Laptop 5</v>
      </c>
      <c r="C293" t="str">
        <f>IFERROR(VLOOKUP(Товары_исходные!C293,Справочники!$A$2:$B$50,2,FALSE),Товары_исходные!C293)</f>
        <v>Ноутбуки</v>
      </c>
      <c r="D293" t="str">
        <f>PROPER(TRIM(Товары_исходные!D293))</f>
        <v>Microsoft</v>
      </c>
      <c r="E293" s="4">
        <f>IFERROR(VALUE(IF(AND(ISNUMBER(FIND(",",Товары_исходные!E293)),ISNUMBER(FIND(".",Товары_исходные!E293))),SUBSTITUTE(SUBSTITUTE(SUBSTITUTE(SUBSTITUTE(Товары_исходные!E293," ",""),"руб.",""),"руб",""),",",""),SUBSTITUTE(SUBSTITUTE(SUBSTITUTE(SUBSTITUTE(Товары_исходные!E293," ",""),"руб.",""),"руб",""),",","."))),0)</f>
        <v>88000</v>
      </c>
      <c r="F293" s="4">
        <f>IFERROR(VALUE(IF(AND(ISNUMBER(FIND(",",Товары_исходные!F293)),ISNUMBER(FIND(".",Товары_исходные!F293))),SUBSTITUTE(SUBSTITUTE(SUBSTITUTE(SUBSTITUTE(Товары_исходные!F293," ",""),"руб.",""),"руб",""),",",""),SUBSTITUTE(SUBSTITUTE(SUBSTITUTE(SUBSTITUTE(Товары_исходные!F293," ",""),"руб.",""),"руб",""),",","."))),0)</f>
        <v>134990</v>
      </c>
      <c r="G293" t="str">
        <f>IFERROR(VLOOKUP(Товары_исходные!G293,Справочники!$D$2:$E$50,2,FALSE),"шт.")</f>
        <v>шт.</v>
      </c>
      <c r="H293" t="str">
        <f t="shared" si="12"/>
        <v>OK</v>
      </c>
      <c r="I293" t="str">
        <f t="shared" si="13"/>
        <v>OK</v>
      </c>
    </row>
    <row r="294">
      <c r="A294" t="str">
        <f>"АРТ-"&amp;LEFT(SUBSTITUTE(SUBSTITUTE(SUBSTITUTE(SUBSTITUTE(Товары_исходные!A294,"№",""),"АРТ-",""),"АРТ_",""),"/","-"),3)</f>
        <v>АРТ-293</v>
      </c>
      <c r="B294" t="str">
        <f>PROPER(TRIM(IFERROR(LEFT(Товары_исходные!B294,FIND("(",Товары_исходные!B294)-1),Товары_исходные!B294)))</f>
        <v xml:space="preserve">Ноутбук Microsoft Surface Laptop 5</v>
      </c>
      <c r="C294" t="str">
        <f>IFERROR(VLOOKUP(Товары_исходные!C294,Справочники!$A$2:$B$50,2,FALSE),Товары_исходные!C294)</f>
        <v>Ноутбуки</v>
      </c>
      <c r="D294" t="str">
        <f>PROPER(TRIM(Товары_исходные!D294))</f>
        <v>Microsoft</v>
      </c>
      <c r="E294" s="4">
        <f>IFERROR(VALUE(IF(AND(ISNUMBER(FIND(",",Товары_исходные!E294)),ISNUMBER(FIND(".",Товары_исходные!E294))),SUBSTITUTE(SUBSTITUTE(SUBSTITUTE(SUBSTITUTE(Товары_исходные!E294," ",""),"руб.",""),"руб",""),",",""),SUBSTITUTE(SUBSTITUTE(SUBSTITUTE(SUBSTITUTE(Товары_исходные!E294," ",""),"руб.",""),"руб",""),",","."))),0)</f>
        <v>86000</v>
      </c>
      <c r="F294" s="4">
        <f>IFERROR(VALUE(IF(AND(ISNUMBER(FIND(",",Товары_исходные!F294)),ISNUMBER(FIND(".",Товары_исходные!F294))),SUBSTITUTE(SUBSTITUTE(SUBSTITUTE(SUBSTITUTE(Товары_исходные!F294," ",""),"руб.",""),"руб",""),",",""),SUBSTITUTE(SUBSTITUTE(SUBSTITUTE(SUBSTITUTE(Товары_исходные!F294," ",""),"руб.",""),"руб",""),",","."))),0)</f>
        <v>132000</v>
      </c>
      <c r="G294" t="str">
        <f>IFERROR(VLOOKUP(Товары_исходные!G294,Справочники!$D$2:$E$50,2,FALSE),"шт.")</f>
        <v>шт.</v>
      </c>
      <c r="H294" t="str">
        <f t="shared" si="12"/>
        <v>OK</v>
      </c>
      <c r="I294" t="str">
        <f t="shared" si="13"/>
        <v>OK</v>
      </c>
    </row>
    <row r="295">
      <c r="A295" t="str">
        <f>"АРТ-"&amp;LEFT(SUBSTITUTE(SUBSTITUTE(SUBSTITUTE(SUBSTITUTE(Товары_исходные!A295,"№",""),"АРТ-",""),"АРТ_",""),"/","-"),3)</f>
        <v>АРТ-294</v>
      </c>
      <c r="B295" t="str">
        <f>PROPER(TRIM(IFERROR(LEFT(Товары_исходные!B295,FIND("(",Товары_исходные!B295)-1),Товары_исходные!B295)))</f>
        <v xml:space="preserve">Ноутбук Microsoft Surface Laptop 5</v>
      </c>
      <c r="C295" t="str">
        <f>IFERROR(VLOOKUP(Товары_исходные!C295,Справочники!$A$2:$B$50,2,FALSE),Товары_исходные!C295)</f>
        <v>Ноутбуки</v>
      </c>
      <c r="D295" t="str">
        <f>PROPER(TRIM(Товары_исходные!D295))</f>
        <v>Microsoft</v>
      </c>
      <c r="E295" s="4">
        <f>IFERROR(VALUE(IF(AND(ISNUMBER(FIND(",",Товары_исходные!E295)),ISNUMBER(FIND(".",Товары_исходные!E295))),SUBSTITUTE(SUBSTITUTE(SUBSTITUTE(SUBSTITUTE(Товары_исходные!E295," ",""),"руб.",""),"руб",""),",",""),SUBSTITUTE(SUBSTITUTE(SUBSTITUTE(SUBSTITUTE(Товары_исходные!E295," ",""),"руб.",""),"руб",""),",","."))),0)</f>
        <v>89500</v>
      </c>
      <c r="F295" s="4">
        <f>IFERROR(VALUE(IF(AND(ISNUMBER(FIND(",",Товары_исходные!F295)),ISNUMBER(FIND(".",Товары_исходные!F295))),SUBSTITUTE(SUBSTITUTE(SUBSTITUTE(SUBSTITUTE(Товары_исходные!F295," ",""),"руб.",""),"руб",""),",",""),SUBSTITUTE(SUBSTITUTE(SUBSTITUTE(SUBSTITUTE(Товары_исходные!F295," ",""),"руб.",""),"руб",""),",","."))),0)</f>
        <v>137500</v>
      </c>
      <c r="G295" t="str">
        <f>IFERROR(VLOOKUP(Товары_исходные!G295,Справочники!$D$2:$E$50,2,FALSE),"шт.")</f>
        <v>шт.</v>
      </c>
      <c r="H295" t="str">
        <f t="shared" si="12"/>
        <v>OK</v>
      </c>
      <c r="I295" t="str">
        <f t="shared" si="13"/>
        <v>OK</v>
      </c>
    </row>
    <row r="296">
      <c r="A296" t="str">
        <f>"АРТ-"&amp;LEFT(SUBSTITUTE(SUBSTITUTE(SUBSTITUTE(SUBSTITUTE(Товары_исходные!A296,"№",""),"АРТ-",""),"АРТ_",""),"/","-"),3)</f>
        <v>АРТ-295</v>
      </c>
      <c r="B296" t="str">
        <f>PROPER(TRIM(IFERROR(LEFT(Товары_исходные!B296,FIND("(",Товары_исходные!B296)-1),Товары_исходные!B296)))</f>
        <v xml:space="preserve">Смартфон Infinix Zero 30</v>
      </c>
      <c r="C296" t="str">
        <f>IFERROR(VLOOKUP(Товары_исходные!C296,Справочники!$A$2:$B$50,2,FALSE),Товары_исходные!C296)</f>
        <v>Смартфоны</v>
      </c>
      <c r="D296" t="str">
        <f>PROPER(TRIM(Товары_исходные!D296))</f>
        <v>Infinix</v>
      </c>
      <c r="E296" s="4">
        <f>IFERROR(VALUE(IF(AND(ISNUMBER(FIND(",",Товары_исходные!E296)),ISNUMBER(FIND(".",Товары_исходные!E296))),SUBSTITUTE(SUBSTITUTE(SUBSTITUTE(SUBSTITUTE(Товары_исходные!E296," ",""),"руб.",""),"руб",""),",",""),SUBSTITUTE(SUBSTITUTE(SUBSTITUTE(SUBSTITUTE(Товары_исходные!E296," ",""),"руб.",""),"руб",""),",","."))),0)</f>
        <v>20000</v>
      </c>
      <c r="F296" s="4">
        <f>IFERROR(VALUE(IF(AND(ISNUMBER(FIND(",",Товары_исходные!F296)),ISNUMBER(FIND(".",Товары_исходные!F296))),SUBSTITUTE(SUBSTITUTE(SUBSTITUTE(SUBSTITUTE(Товары_исходные!F296," ",""),"руб.",""),"руб",""),",",""),SUBSTITUTE(SUBSTITUTE(SUBSTITUTE(SUBSTITUTE(Товары_исходные!F296," ",""),"руб.",""),"руб",""),",","."))),0)</f>
        <v>34990</v>
      </c>
      <c r="G296" t="str">
        <f>IFERROR(VLOOKUP(Товары_исходные!G296,Справочники!$D$2:$E$50,2,FALSE),"шт.")</f>
        <v>шт.</v>
      </c>
      <c r="H296" t="str">
        <f t="shared" si="12"/>
        <v>OK</v>
      </c>
      <c r="I296" t="str">
        <f t="shared" si="13"/>
        <v>OK</v>
      </c>
    </row>
    <row r="297">
      <c r="A297" t="str">
        <f>"АРТ-"&amp;LEFT(SUBSTITUTE(SUBSTITUTE(SUBSTITUTE(SUBSTITUTE(Товары_исходные!A297,"№",""),"АРТ-",""),"АРТ_",""),"/","-"),3)</f>
        <v>АРТ-296</v>
      </c>
      <c r="B297" t="str">
        <f>PROPER(TRIM(IFERROR(LEFT(Товары_исходные!B297,FIND("(",Товары_исходные!B297)-1),Товары_исходные!B297)))</f>
        <v xml:space="preserve">Смартфон Infinix Zero 30</v>
      </c>
      <c r="C297" t="str">
        <f>IFERROR(VLOOKUP(Товары_исходные!C297,Справочники!$A$2:$B$50,2,FALSE),Товары_исходные!C297)</f>
        <v>Смартфоны</v>
      </c>
      <c r="D297" t="str">
        <f>PROPER(TRIM(Товары_исходные!D297))</f>
        <v>Infinix</v>
      </c>
      <c r="E297" s="4">
        <f>IFERROR(VALUE(IF(AND(ISNUMBER(FIND(",",Товары_исходные!E297)),ISNUMBER(FIND(".",Товары_исходные!E297))),SUBSTITUTE(SUBSTITUTE(SUBSTITUTE(SUBSTITUTE(Товары_исходные!E297," ",""),"руб.",""),"руб",""),",",""),SUBSTITUTE(SUBSTITUTE(SUBSTITUTE(SUBSTITUTE(Товары_исходные!E297," ",""),"руб.",""),"руб",""),",","."))),0)</f>
        <v>19000</v>
      </c>
      <c r="F297" s="4">
        <f>IFERROR(VALUE(IF(AND(ISNUMBER(FIND(",",Товары_исходные!F297)),ISNUMBER(FIND(".",Товары_исходные!F297))),SUBSTITUTE(SUBSTITUTE(SUBSTITUTE(SUBSTITUTE(Товары_исходные!F297," ",""),"руб.",""),"руб",""),",",""),SUBSTITUTE(SUBSTITUTE(SUBSTITUTE(SUBSTITUTE(Товары_исходные!F297," ",""),"руб.",""),"руб",""),",","."))),0)</f>
        <v>33500</v>
      </c>
      <c r="G297" t="str">
        <f>IFERROR(VLOOKUP(Товары_исходные!G297,Справочники!$D$2:$E$50,2,FALSE),"шт.")</f>
        <v>шт.</v>
      </c>
      <c r="H297" t="str">
        <f t="shared" si="12"/>
        <v>OK</v>
      </c>
      <c r="I297" t="str">
        <f t="shared" si="13"/>
        <v>OK</v>
      </c>
    </row>
    <row r="298">
      <c r="A298" t="str">
        <f>"АРТ-"&amp;LEFT(SUBSTITUTE(SUBSTITUTE(SUBSTITUTE(SUBSTITUTE(Товары_исходные!A298,"№",""),"АРТ-",""),"АРТ_",""),"/","-"),3)</f>
        <v>АРТ-297</v>
      </c>
      <c r="B298" t="str">
        <f>PROPER(TRIM(IFERROR(LEFT(Товары_исходные!B298,FIND("(",Товары_исходные!B298)-1),Товары_исходные!B298)))</f>
        <v xml:space="preserve">Смартфон Infinix Zero 30</v>
      </c>
      <c r="C298" t="str">
        <f>IFERROR(VLOOKUP(Товары_исходные!C298,Справочники!$A$2:$B$50,2,FALSE),Товары_исходные!C298)</f>
        <v>Смартфоны</v>
      </c>
      <c r="D298" t="str">
        <f>PROPER(TRIM(Товары_исходные!D298))</f>
        <v>Infinix</v>
      </c>
      <c r="E298" s="4">
        <f>IFERROR(VALUE(IF(AND(ISNUMBER(FIND(",",Товары_исходные!E298)),ISNUMBER(FIND(".",Товары_исходные!E298))),SUBSTITUTE(SUBSTITUTE(SUBSTITUTE(SUBSTITUTE(Товары_исходные!E298," ",""),"руб.",""),"руб",""),",",""),SUBSTITUTE(SUBSTITUTE(SUBSTITUTE(SUBSTITUTE(Товары_исходные!E298," ",""),"руб.",""),"руб",""),",","."))),0)</f>
        <v>21000</v>
      </c>
      <c r="F298" s="4">
        <f>IFERROR(VALUE(IF(AND(ISNUMBER(FIND(",",Товары_исходные!F298)),ISNUMBER(FIND(".",Товары_исходные!F298))),SUBSTITUTE(SUBSTITUTE(SUBSTITUTE(SUBSTITUTE(Товары_исходные!F298," ",""),"руб.",""),"руб",""),",",""),SUBSTITUTE(SUBSTITUTE(SUBSTITUTE(SUBSTITUTE(Товары_исходные!F298," ",""),"руб.",""),"руб",""),",","."))),0)</f>
        <v>36500</v>
      </c>
      <c r="G298" t="str">
        <f>IFERROR(VLOOKUP(Товары_исходные!G298,Справочники!$D$2:$E$50,2,FALSE),"шт.")</f>
        <v>шт.</v>
      </c>
      <c r="H298" t="str">
        <f t="shared" si="12"/>
        <v>OK</v>
      </c>
      <c r="I298" t="str">
        <f t="shared" si="13"/>
        <v>OK</v>
      </c>
    </row>
    <row r="299">
      <c r="A299" t="str">
        <f>"АРТ-"&amp;LEFT(SUBSTITUTE(SUBSTITUTE(SUBSTITUTE(SUBSTITUTE(Товары_исходные!A299,"№",""),"АРТ-",""),"АРТ_",""),"/","-"),3)</f>
        <v>АРТ-298</v>
      </c>
      <c r="B299" t="str">
        <f>PROPER(TRIM(IFERROR(LEFT(Товары_исходные!B299,FIND("(",Товары_исходные!B299)-1),Товары_исходные!B299)))</f>
        <v xml:space="preserve">Телевизор Hisense A6K</v>
      </c>
      <c r="C299" t="str">
        <f>IFERROR(VLOOKUP(Товары_исходные!C299,Справочники!$A$2:$B$50,2,FALSE),Товары_исходные!C299)</f>
        <v>Телевизоры</v>
      </c>
      <c r="D299" t="str">
        <f>PROPER(TRIM(Товары_исходные!D299))</f>
        <v>Hisense</v>
      </c>
      <c r="E299" s="4">
        <f>IFERROR(VALUE(IF(AND(ISNUMBER(FIND(",",Товары_исходные!E299)),ISNUMBER(FIND(".",Товары_исходные!E299))),SUBSTITUTE(SUBSTITUTE(SUBSTITUTE(SUBSTITUTE(Товары_исходные!E299," ",""),"руб.",""),"руб",""),",",""),SUBSTITUTE(SUBSTITUTE(SUBSTITUTE(SUBSTITUTE(Товары_исходные!E299," ",""),"руб.",""),"руб",""),",","."))),0)</f>
        <v>42000</v>
      </c>
      <c r="F299" s="4">
        <f>IFERROR(VALUE(IF(AND(ISNUMBER(FIND(",",Товары_исходные!F299)),ISNUMBER(FIND(".",Товары_исходные!F299))),SUBSTITUTE(SUBSTITUTE(SUBSTITUTE(SUBSTITUTE(Товары_исходные!F299," ",""),"руб.",""),"руб",""),",",""),SUBSTITUTE(SUBSTITUTE(SUBSTITUTE(SUBSTITUTE(Товары_исходные!F299," ",""),"руб.",""),"руб",""),",","."))),0)</f>
        <v>65990</v>
      </c>
      <c r="G299" t="str">
        <f>IFERROR(VLOOKUP(Товары_исходные!G299,Справочники!$D$2:$E$50,2,FALSE),"шт.")</f>
        <v>шт.</v>
      </c>
      <c r="H299" t="str">
        <f t="shared" si="12"/>
        <v>OK</v>
      </c>
      <c r="I299" t="str">
        <f t="shared" si="13"/>
        <v>OK</v>
      </c>
    </row>
    <row r="300">
      <c r="A300" t="str">
        <f>"АРТ-"&amp;LEFT(SUBSTITUTE(SUBSTITUTE(SUBSTITUTE(SUBSTITUTE(Товары_исходные!A300,"№",""),"АРТ-",""),"АРТ_",""),"/","-"),3)</f>
        <v>АРТ-299</v>
      </c>
      <c r="B300" t="str">
        <f>PROPER(TRIM(IFERROR(LEFT(Товары_исходные!B300,FIND("(",Товары_исходные!B300)-1),Товары_исходные!B300)))</f>
        <v xml:space="preserve">Телевизор Hisense A6K</v>
      </c>
      <c r="C300" t="str">
        <f>IFERROR(VLOOKUP(Товары_исходные!C300,Справочники!$A$2:$B$50,2,FALSE),Товары_исходные!C300)</f>
        <v>Телевизоры</v>
      </c>
      <c r="D300" t="str">
        <f>PROPER(TRIM(Товары_исходные!D300))</f>
        <v>Hisense</v>
      </c>
      <c r="E300" s="4">
        <f>IFERROR(VALUE(IF(AND(ISNUMBER(FIND(",",Товары_исходные!E300)),ISNUMBER(FIND(".",Товары_исходные!E300))),SUBSTITUTE(SUBSTITUTE(SUBSTITUTE(SUBSTITUTE(Товары_исходные!E300," ",""),"руб.",""),"руб",""),",",""),SUBSTITUTE(SUBSTITUTE(SUBSTITUTE(SUBSTITUTE(Товары_исходные!E300," ",""),"руб.",""),"руб",""),",","."))),0)</f>
        <v>40500</v>
      </c>
      <c r="F300" s="4">
        <f>IFERROR(VALUE(IF(AND(ISNUMBER(FIND(",",Товары_исходные!F300)),ISNUMBER(FIND(".",Товары_исходные!F300))),SUBSTITUTE(SUBSTITUTE(SUBSTITUTE(SUBSTITUTE(Товары_исходные!F300," ",""),"руб.",""),"руб",""),",",""),SUBSTITUTE(SUBSTITUTE(SUBSTITUTE(SUBSTITUTE(Товары_исходные!F300," ",""),"руб.",""),"руб",""),",","."))),0)</f>
        <v>63500</v>
      </c>
      <c r="G300" t="str">
        <f>IFERROR(VLOOKUP(Товары_исходные!G300,Справочники!$D$2:$E$50,2,FALSE),"шт.")</f>
        <v>шт.</v>
      </c>
      <c r="H300" t="str">
        <f t="shared" si="12"/>
        <v>OK</v>
      </c>
      <c r="I300" t="str">
        <f t="shared" si="13"/>
        <v>OK</v>
      </c>
    </row>
    <row r="301">
      <c r="A301" t="str">
        <f>"АРТ-"&amp;LEFT(SUBSTITUTE(SUBSTITUTE(SUBSTITUTE(SUBSTITUTE(Товары_исходные!A301,"№",""),"АРТ-",""),"АРТ_",""),"/","-"),3)</f>
        <v>АРТ-300</v>
      </c>
      <c r="B301" t="str">
        <f>PROPER(TRIM(IFERROR(LEFT(Товары_исходные!B301,FIND("(",Товары_исходные!B301)-1),Товары_исходные!B301)))</f>
        <v xml:space="preserve">Телевизор Hisense A6K</v>
      </c>
      <c r="C301" t="str">
        <f>IFERROR(VLOOKUP(Товары_исходные!C301,Справочники!$A$2:$B$50,2,FALSE),Товары_исходные!C301)</f>
        <v>Телевизоры</v>
      </c>
      <c r="D301" t="str">
        <f>PROPER(TRIM(Товары_исходные!D301))</f>
        <v>Hisense</v>
      </c>
      <c r="E301" s="4">
        <f>IFERROR(VALUE(IF(AND(ISNUMBER(FIND(",",Товары_исходные!E301)),ISNUMBER(FIND(".",Товары_исходные!E301))),SUBSTITUTE(SUBSTITUTE(SUBSTITUTE(SUBSTITUTE(Товары_исходные!E301," ",""),"руб.",""),"руб",""),",",""),SUBSTITUTE(SUBSTITUTE(SUBSTITUTE(SUBSTITUTE(Товары_исходные!E301," ",""),"руб.",""),"руб",""),",","."))),0)</f>
        <v>43500</v>
      </c>
      <c r="F301" s="4">
        <f>IFERROR(VALUE(IF(AND(ISNUMBER(FIND(",",Товары_исходные!F301)),ISNUMBER(FIND(".",Товары_исходные!F301))),SUBSTITUTE(SUBSTITUTE(SUBSTITUTE(SUBSTITUTE(Товары_исходные!F301," ",""),"руб.",""),"руб",""),",",""),SUBSTITUTE(SUBSTITUTE(SUBSTITUTE(SUBSTITUTE(Товары_исходные!F301," ",""),"руб.",""),"руб",""),",","."))),0)</f>
        <v>68000</v>
      </c>
      <c r="G301" t="str">
        <f>IFERROR(VLOOKUP(Товары_исходные!G301,Справочники!$D$2:$E$50,2,FALSE),"шт.")</f>
        <v>шт.</v>
      </c>
      <c r="H301" t="str">
        <f t="shared" si="12"/>
        <v>OK</v>
      </c>
      <c r="I301" t="str">
        <f t="shared" si="13"/>
        <v>OK</v>
      </c>
    </row>
    <row r="302">
      <c r="A302" t="str">
        <f>"АРТ-"&amp;LEFT(SUBSTITUTE(SUBSTITUTE(SUBSTITUTE(SUBSTITUTE(Товары_исходные!A302,"№",""),"АРТ-",""),"АРТ_",""),"/","-"),3)</f>
        <v>АРТ-301</v>
      </c>
      <c r="B302" t="str">
        <f>PROPER(TRIM(IFERROR(LEFT(Товары_исходные!B302,FIND("(",Товары_исходные!B302)-1),Товары_исходные!B302)))</f>
        <v xml:space="preserve">Наушники Edifier W820Nb</v>
      </c>
      <c r="C302" t="str">
        <f>IFERROR(VLOOKUP(Товары_исходные!C302,Справочники!$A$2:$B$50,2,FALSE),Товары_исходные!C302)</f>
        <v>Наушники</v>
      </c>
      <c r="D302" t="str">
        <f>PROPER(TRIM(Товары_исходные!D302))</f>
        <v>Edifier</v>
      </c>
      <c r="E302" s="4">
        <f>IFERROR(VALUE(IF(AND(ISNUMBER(FIND(",",Товары_исходные!E302)),ISNUMBER(FIND(".",Товары_исходные!E302))),SUBSTITUTE(SUBSTITUTE(SUBSTITUTE(SUBSTITUTE(Товары_исходные!E302," ",""),"руб.",""),"руб",""),",",""),SUBSTITUTE(SUBSTITUTE(SUBSTITUTE(SUBSTITUTE(Товары_исходные!E302," ",""),"руб.",""),"руб",""),",","."))),0)</f>
        <v>4500</v>
      </c>
      <c r="F302" s="4">
        <f>IFERROR(VALUE(IF(AND(ISNUMBER(FIND(",",Товары_исходные!F302)),ISNUMBER(FIND(".",Товары_исходные!F302))),SUBSTITUTE(SUBSTITUTE(SUBSTITUTE(SUBSTITUTE(Товары_исходные!F302," ",""),"руб.",""),"руб",""),",",""),SUBSTITUTE(SUBSTITUTE(SUBSTITUTE(SUBSTITUTE(Товары_исходные!F302," ",""),"руб.",""),"руб",""),",","."))),0)</f>
        <v>7990</v>
      </c>
      <c r="G302" t="str">
        <f>IFERROR(VLOOKUP(Товары_исходные!G302,Справочники!$D$2:$E$50,2,FALSE),"шт.")</f>
        <v>шт.</v>
      </c>
      <c r="H302" t="str">
        <f t="shared" si="12"/>
        <v>OK</v>
      </c>
      <c r="I302" t="str">
        <f t="shared" si="13"/>
        <v>OK</v>
      </c>
    </row>
    <row r="303">
      <c r="A303" t="str">
        <f>"АРТ-"&amp;LEFT(SUBSTITUTE(SUBSTITUTE(SUBSTITUTE(SUBSTITUTE(Товары_исходные!A303,"№",""),"АРТ-",""),"АРТ_",""),"/","-"),3)</f>
        <v>АРТ-302</v>
      </c>
      <c r="B303" t="str">
        <f>PROPER(TRIM(IFERROR(LEFT(Товары_исходные!B303,FIND("(",Товары_исходные!B303)-1),Товары_исходные!B303)))</f>
        <v xml:space="preserve">Наушники Edifier W820Nb</v>
      </c>
      <c r="C303" t="str">
        <f>IFERROR(VLOOKUP(Товары_исходные!C303,Справочники!$A$2:$B$50,2,FALSE),Товары_исходные!C303)</f>
        <v>Наушники</v>
      </c>
      <c r="D303" t="str">
        <f>PROPER(TRIM(Товары_исходные!D303))</f>
        <v>Edifier</v>
      </c>
      <c r="E303" s="4">
        <f>IFERROR(VALUE(IF(AND(ISNUMBER(FIND(",",Товары_исходные!E303)),ISNUMBER(FIND(".",Товары_исходные!E303))),SUBSTITUTE(SUBSTITUTE(SUBSTITUTE(SUBSTITUTE(Товары_исходные!E303," ",""),"руб.",""),"руб",""),",",""),SUBSTITUTE(SUBSTITUTE(SUBSTITUTE(SUBSTITUTE(Товары_исходные!E303," ",""),"руб.",""),"руб",""),",","."))),0)</f>
        <v>4000</v>
      </c>
      <c r="F303" s="4">
        <f>IFERROR(VALUE(IF(AND(ISNUMBER(FIND(",",Товары_исходные!F303)),ISNUMBER(FIND(".",Товары_исходные!F303))),SUBSTITUTE(SUBSTITUTE(SUBSTITUTE(SUBSTITUTE(Товары_исходные!F303," ",""),"руб.",""),"руб",""),",",""),SUBSTITUTE(SUBSTITUTE(SUBSTITUTE(SUBSTITUTE(Товары_исходные!F303," ",""),"руб.",""),"руб",""),",","."))),0)</f>
        <v>7500</v>
      </c>
      <c r="G303" t="str">
        <f>IFERROR(VLOOKUP(Товары_исходные!G303,Справочники!$D$2:$E$50,2,FALSE),"шт.")</f>
        <v>шт.</v>
      </c>
      <c r="H303" t="str">
        <f t="shared" si="12"/>
        <v>OK</v>
      </c>
      <c r="I303" t="str">
        <f t="shared" si="13"/>
        <v>OK</v>
      </c>
    </row>
    <row r="304">
      <c r="A304" t="str">
        <f>"АРТ-"&amp;LEFT(SUBSTITUTE(SUBSTITUTE(SUBSTITUTE(SUBSTITUTE(Товары_исходные!A304,"№",""),"АРТ-",""),"АРТ_",""),"/","-"),3)</f>
        <v>АРТ-303</v>
      </c>
      <c r="B304" t="str">
        <f>PROPER(TRIM(IFERROR(LEFT(Товары_исходные!B304,FIND("(",Товары_исходные!B304)-1),Товары_исходные!B304)))</f>
        <v xml:space="preserve">Наушники Edifier W820Nb</v>
      </c>
      <c r="C304" t="str">
        <f>IFERROR(VLOOKUP(Товары_исходные!C304,Справочники!$A$2:$B$50,2,FALSE),Товары_исходные!C304)</f>
        <v>Наушники</v>
      </c>
      <c r="D304" t="str">
        <f>PROPER(TRIM(Товары_исходные!D304))</f>
        <v>Edifier</v>
      </c>
      <c r="E304" s="4">
        <f>IFERROR(VALUE(IF(AND(ISNUMBER(FIND(",",Товары_исходные!E304)),ISNUMBER(FIND(".",Товары_исходные!E304))),SUBSTITUTE(SUBSTITUTE(SUBSTITUTE(SUBSTITUTE(Товары_исходные!E304," ",""),"руб.",""),"руб",""),",",""),SUBSTITUTE(SUBSTITUTE(SUBSTITUTE(SUBSTITUTE(Товары_исходные!E304," ",""),"руб.",""),"руб",""),",","."))),0)</f>
        <v>5000</v>
      </c>
      <c r="F304" s="4">
        <f>IFERROR(VALUE(IF(AND(ISNUMBER(FIND(",",Товары_исходные!F304)),ISNUMBER(FIND(".",Товары_исходные!F304))),SUBSTITUTE(SUBSTITUTE(SUBSTITUTE(SUBSTITUTE(Товары_исходные!F304," ",""),"руб.",""),"руб",""),",",""),SUBSTITUTE(SUBSTITUTE(SUBSTITUTE(SUBSTITUTE(Товары_исходные!F304," ",""),"руб.",""),"руб",""),",","."))),0)</f>
        <v>8800</v>
      </c>
      <c r="G304" t="str">
        <f>IFERROR(VLOOKUP(Товары_исходные!G304,Справочники!$D$2:$E$50,2,FALSE),"шт.")</f>
        <v>шт.</v>
      </c>
      <c r="H304" t="str">
        <f t="shared" si="12"/>
        <v>OK</v>
      </c>
      <c r="I304" t="str">
        <f t="shared" si="13"/>
        <v>OK</v>
      </c>
    </row>
    <row r="305">
      <c r="A305" t="str">
        <f>"АРТ-"&amp;LEFT(SUBSTITUTE(SUBSTITUTE(SUBSTITUTE(SUBSTITUTE(Товары_исходные!A305,"№",""),"АРТ-",""),"АРТ_",""),"/","-"),3)</f>
        <v>АРТ-304</v>
      </c>
      <c r="B305" t="str">
        <f>PROPER(TRIM(IFERROR(LEFT(Товары_исходные!B305,FIND("(",Товары_исходные!B305)-1),Товары_исходные!B305)))</f>
        <v xml:space="preserve">Монитор Acer Nitro Xv282K</v>
      </c>
      <c r="C305" t="str">
        <f>IFERROR(VLOOKUP(Товары_исходные!C305,Справочники!$A$2:$B$50,2,FALSE),Товары_исходные!C305)</f>
        <v>Мониторы</v>
      </c>
      <c r="D305" t="str">
        <f>PROPER(TRIM(Товары_исходные!D305))</f>
        <v>Acer</v>
      </c>
      <c r="E305" s="4">
        <f>IFERROR(VALUE(IF(AND(ISNUMBER(FIND(",",Товары_исходные!E305)),ISNUMBER(FIND(".",Товары_исходные!E305))),SUBSTITUTE(SUBSTITUTE(SUBSTITUTE(SUBSTITUTE(Товары_исходные!E305," ",""),"руб.",""),"руб",""),",",""),SUBSTITUTE(SUBSTITUTE(SUBSTITUTE(SUBSTITUTE(Товары_исходные!E305," ",""),"руб.",""),"руб",""),",","."))),0)</f>
        <v>38000</v>
      </c>
      <c r="F305" s="4">
        <f>IFERROR(VALUE(IF(AND(ISNUMBER(FIND(",",Товары_исходные!F305)),ISNUMBER(FIND(".",Товары_исходные!F305))),SUBSTITUTE(SUBSTITUTE(SUBSTITUTE(SUBSTITUTE(Товары_исходные!F305," ",""),"руб.",""),"руб",""),",",""),SUBSTITUTE(SUBSTITUTE(SUBSTITUTE(SUBSTITUTE(Товары_исходные!F305," ",""),"руб.",""),"руб",""),",","."))),0)</f>
        <v>59990</v>
      </c>
      <c r="G305" t="str">
        <f>IFERROR(VLOOKUP(Товары_исходные!G305,Справочники!$D$2:$E$50,2,FALSE),"шт.")</f>
        <v>шт.</v>
      </c>
      <c r="H305" t="str">
        <f t="shared" si="12"/>
        <v>OK</v>
      </c>
      <c r="I305" t="str">
        <f t="shared" si="13"/>
        <v>OK</v>
      </c>
    </row>
    <row r="306">
      <c r="A306" t="str">
        <f>"АРТ-"&amp;LEFT(SUBSTITUTE(SUBSTITUTE(SUBSTITUTE(SUBSTITUTE(Товары_исходные!A306,"№",""),"АРТ-",""),"АРТ_",""),"/","-"),3)</f>
        <v>АРТ-305</v>
      </c>
      <c r="B306" t="str">
        <f>PROPER(TRIM(IFERROR(LEFT(Товары_исходные!B306,FIND("(",Товары_исходные!B306)-1),Товары_исходные!B306)))</f>
        <v xml:space="preserve">Монитор Acer Nitro Xv282K</v>
      </c>
      <c r="C306" t="str">
        <f>IFERROR(VLOOKUP(Товары_исходные!C306,Справочники!$A$2:$B$50,2,FALSE),Товары_исходные!C306)</f>
        <v>Мониторы</v>
      </c>
      <c r="D306" t="str">
        <f>PROPER(TRIM(Товары_исходные!D306))</f>
        <v>Acer</v>
      </c>
      <c r="E306" s="4">
        <f>IFERROR(VALUE(IF(AND(ISNUMBER(FIND(",",Товары_исходные!E306)),ISNUMBER(FIND(".",Товары_исходные!E306))),SUBSTITUTE(SUBSTITUTE(SUBSTITUTE(SUBSTITUTE(Товары_исходные!E306," ",""),"руб.",""),"руб",""),",",""),SUBSTITUTE(SUBSTITUTE(SUBSTITUTE(SUBSTITUTE(Товары_исходные!E306," ",""),"руб.",""),"руб",""),",","."))),0)</f>
        <v>36500</v>
      </c>
      <c r="F306" s="4">
        <f>IFERROR(VALUE(IF(AND(ISNUMBER(FIND(",",Товары_исходные!F306)),ISNUMBER(FIND(".",Товары_исходные!F306))),SUBSTITUTE(SUBSTITUTE(SUBSTITUTE(SUBSTITUTE(Товары_исходные!F306," ",""),"руб.",""),"руб",""),",",""),SUBSTITUTE(SUBSTITUTE(SUBSTITUTE(SUBSTITUTE(Товары_исходные!F306," ",""),"руб.",""),"руб",""),",","."))),0)</f>
        <v>57500</v>
      </c>
      <c r="G306" t="str">
        <f>IFERROR(VLOOKUP(Товары_исходные!G306,Справочники!$D$2:$E$50,2,FALSE),"шт.")</f>
        <v>шт.</v>
      </c>
      <c r="H306" t="str">
        <f t="shared" si="12"/>
        <v>OK</v>
      </c>
      <c r="I306" t="str">
        <f t="shared" si="13"/>
        <v>OK</v>
      </c>
    </row>
    <row r="307">
      <c r="A307" t="str">
        <f>"АРТ-"&amp;LEFT(SUBSTITUTE(SUBSTITUTE(SUBSTITUTE(SUBSTITUTE(Товары_исходные!A307,"№",""),"АРТ-",""),"АРТ_",""),"/","-"),3)</f>
        <v>АРТ-306</v>
      </c>
      <c r="B307" t="str">
        <f>PROPER(TRIM(IFERROR(LEFT(Товары_исходные!B307,FIND("(",Товары_исходные!B307)-1),Товары_исходные!B307)))</f>
        <v xml:space="preserve">Монитор Acer Nitro Xv282K</v>
      </c>
      <c r="C307" t="str">
        <f>IFERROR(VLOOKUP(Товары_исходные!C307,Справочники!$A$2:$B$50,2,FALSE),Товары_исходные!C307)</f>
        <v>Мониторы</v>
      </c>
      <c r="D307" t="str">
        <f>PROPER(TRIM(Товары_исходные!D307))</f>
        <v>Acer</v>
      </c>
      <c r="E307" s="4">
        <f>IFERROR(VALUE(IF(AND(ISNUMBER(FIND(",",Товары_исходные!E307)),ISNUMBER(FIND(".",Товары_исходные!E307))),SUBSTITUTE(SUBSTITUTE(SUBSTITUTE(SUBSTITUTE(Товары_исходные!E307," ",""),"руб.",""),"руб",""),",",""),SUBSTITUTE(SUBSTITUTE(SUBSTITUTE(SUBSTITUTE(Товары_исходные!E307," ",""),"руб.",""),"руб",""),",","."))),0)</f>
        <v>39500</v>
      </c>
      <c r="F307" s="4">
        <f>IFERROR(VALUE(IF(AND(ISNUMBER(FIND(",",Товары_исходные!F307)),ISNUMBER(FIND(".",Товары_исходные!F307))),SUBSTITUTE(SUBSTITUTE(SUBSTITUTE(SUBSTITUTE(Товары_исходные!F307," ",""),"руб.",""),"руб",""),",",""),SUBSTITUTE(SUBSTITUTE(SUBSTITUTE(SUBSTITUTE(Товары_исходные!F307," ",""),"руб.",""),"руб",""),",","."))),0)</f>
        <v>62000</v>
      </c>
      <c r="G307" t="str">
        <f>IFERROR(VLOOKUP(Товары_исходные!G307,Справочники!$D$2:$E$50,2,FALSE),"шт.")</f>
        <v>шт.</v>
      </c>
      <c r="H307" t="str">
        <f t="shared" si="12"/>
        <v>OK</v>
      </c>
      <c r="I307" t="str">
        <f t="shared" si="13"/>
        <v>OK</v>
      </c>
    </row>
    <row r="308">
      <c r="A308" t="str">
        <f>"АРТ-"&amp;LEFT(SUBSTITUTE(SUBSTITUTE(SUBSTITUTE(SUBSTITUTE(Товары_исходные!A308,"№",""),"АРТ-",""),"АРТ_",""),"/","-"),3)</f>
        <v>АРТ-307</v>
      </c>
      <c r="B308" t="str">
        <f>PROPER(TRIM(IFERROR(LEFT(Товары_исходные!B308,FIND("(",Товары_исходные!B308)-1),Товары_исходные!B308)))</f>
        <v xml:space="preserve">Мышь Razer Viper V2 Pro</v>
      </c>
      <c r="C308" t="str">
        <f>IFERROR(VLOOKUP(Товары_исходные!C308,Справочники!$A$2:$B$50,2,FALSE),Товары_исходные!C308)</f>
        <v>Аксессуары</v>
      </c>
      <c r="D308" t="str">
        <f>PROPER(TRIM(Товары_исходные!D308))</f>
        <v>Razer</v>
      </c>
      <c r="E308" s="4">
        <f>IFERROR(VALUE(IF(AND(ISNUMBER(FIND(",",Товары_исходные!E308)),ISNUMBER(FIND(".",Товары_исходные!E308))),SUBSTITUTE(SUBSTITUTE(SUBSTITUTE(SUBSTITUTE(Товары_исходные!E308," ",""),"руб.",""),"руб",""),",",""),SUBSTITUTE(SUBSTITUTE(SUBSTITUTE(SUBSTITUTE(Товары_исходные!E308," ",""),"руб.",""),"руб",""),",","."))),0)</f>
        <v>5000</v>
      </c>
      <c r="F308" s="4">
        <f>IFERROR(VALUE(IF(AND(ISNUMBER(FIND(",",Товары_исходные!F308)),ISNUMBER(FIND(".",Товары_исходные!F308))),SUBSTITUTE(SUBSTITUTE(SUBSTITUTE(SUBSTITUTE(Товары_исходные!F308," ",""),"руб.",""),"руб",""),",",""),SUBSTITUTE(SUBSTITUTE(SUBSTITUTE(SUBSTITUTE(Товары_исходные!F308," ",""),"руб.",""),"руб",""),",","."))),0)</f>
        <v>8990</v>
      </c>
      <c r="G308" t="str">
        <f>IFERROR(VLOOKUP(Товары_исходные!G308,Справочники!$D$2:$E$50,2,FALSE),"шт.")</f>
        <v>шт.</v>
      </c>
      <c r="H308" t="str">
        <f t="shared" si="12"/>
        <v>OK</v>
      </c>
      <c r="I308" t="str">
        <f t="shared" si="13"/>
        <v>OK</v>
      </c>
    </row>
    <row r="309">
      <c r="A309" t="str">
        <f>"АРТ-"&amp;LEFT(SUBSTITUTE(SUBSTITUTE(SUBSTITUTE(SUBSTITUTE(Товары_исходные!A309,"№",""),"АРТ-",""),"АРТ_",""),"/","-"),3)</f>
        <v>АРТ-308</v>
      </c>
      <c r="B309" t="str">
        <f>PROPER(TRIM(IFERROR(LEFT(Товары_исходные!B309,FIND("(",Товары_исходные!B309)-1),Товары_исходные!B309)))</f>
        <v xml:space="preserve">Мышь Razer Viper V2 Pro</v>
      </c>
      <c r="C309" t="str">
        <f>IFERROR(VLOOKUP(Товары_исходные!C309,Справочники!$A$2:$B$50,2,FALSE),Товары_исходные!C309)</f>
        <v>Аксессуары</v>
      </c>
      <c r="D309" t="str">
        <f>PROPER(TRIM(Товары_исходные!D309))</f>
        <v>Razer</v>
      </c>
      <c r="E309" s="4">
        <f>IFERROR(VALUE(IF(AND(ISNUMBER(FIND(",",Товары_исходные!E309)),ISNUMBER(FIND(".",Товары_исходные!E309))),SUBSTITUTE(SUBSTITUTE(SUBSTITUTE(SUBSTITUTE(Товары_исходные!E309," ",""),"руб.",""),"руб",""),",",""),SUBSTITUTE(SUBSTITUTE(SUBSTITUTE(SUBSTITUTE(Товары_исходные!E309," ",""),"руб.",""),"руб",""),",","."))),0)</f>
        <v>4500</v>
      </c>
      <c r="F309" s="4">
        <f>IFERROR(VALUE(IF(AND(ISNUMBER(FIND(",",Товары_исходные!F309)),ISNUMBER(FIND(".",Товары_исходные!F309))),SUBSTITUTE(SUBSTITUTE(SUBSTITUTE(SUBSTITUTE(Товары_исходные!F309," ",""),"руб.",""),"руб",""),",",""),SUBSTITUTE(SUBSTITUTE(SUBSTITUTE(SUBSTITUTE(Товары_исходные!F309," ",""),"руб.",""),"руб",""),",","."))),0)</f>
        <v>8500</v>
      </c>
      <c r="G309" t="str">
        <f>IFERROR(VLOOKUP(Товары_исходные!G309,Справочники!$D$2:$E$50,2,FALSE),"шт.")</f>
        <v>шт.</v>
      </c>
      <c r="H309" t="str">
        <f t="shared" si="12"/>
        <v>OK</v>
      </c>
      <c r="I309" t="str">
        <f t="shared" si="13"/>
        <v>OK</v>
      </c>
    </row>
    <row r="310">
      <c r="A310" t="str">
        <f>"АРТ-"&amp;LEFT(SUBSTITUTE(SUBSTITUTE(SUBSTITUTE(SUBSTITUTE(Товары_исходные!A310,"№",""),"АРТ-",""),"АРТ_",""),"/","-"),3)</f>
        <v>АРТ-309</v>
      </c>
      <c r="B310" t="str">
        <f>PROPER(TRIM(IFERROR(LEFT(Товары_исходные!B310,FIND("(",Товары_исходные!B310)-1),Товары_исходные!B310)))</f>
        <v xml:space="preserve">Мышь Razer Viper V2 Pro</v>
      </c>
      <c r="C310" t="str">
        <f>IFERROR(VLOOKUP(Товары_исходные!C310,Справочники!$A$2:$B$50,2,FALSE),Товары_исходные!C310)</f>
        <v>Аксессуары</v>
      </c>
      <c r="D310" t="str">
        <f>PROPER(TRIM(Товары_исходные!D310))</f>
        <v>Razer</v>
      </c>
      <c r="E310" s="4">
        <f>IFERROR(VALUE(IF(AND(ISNUMBER(FIND(",",Товары_исходные!E310)),ISNUMBER(FIND(".",Товары_исходные!E310))),SUBSTITUTE(SUBSTITUTE(SUBSTITUTE(SUBSTITUTE(Товары_исходные!E310," ",""),"руб.",""),"руб",""),",",""),SUBSTITUTE(SUBSTITUTE(SUBSTITUTE(SUBSTITUTE(Товары_исходные!E310," ",""),"руб.",""),"руб",""),",","."))),0)</f>
        <v>5500</v>
      </c>
      <c r="F310" s="4">
        <f>IFERROR(VALUE(IF(AND(ISNUMBER(FIND(",",Товары_исходные!F310)),ISNUMBER(FIND(".",Товары_исходные!F310))),SUBSTITUTE(SUBSTITUTE(SUBSTITUTE(SUBSTITUTE(Товары_исходные!F310," ",""),"руб.",""),"руб",""),",",""),SUBSTITUTE(SUBSTITUTE(SUBSTITUTE(SUBSTITUTE(Товары_исходные!F310," ",""),"руб.",""),"руб",""),",","."))),0)</f>
        <v>9800</v>
      </c>
      <c r="G310" t="str">
        <f>IFERROR(VLOOKUP(Товары_исходные!G310,Справочники!$D$2:$E$50,2,FALSE),"шт.")</f>
        <v>шт.</v>
      </c>
      <c r="H310" t="str">
        <f t="shared" si="12"/>
        <v>OK</v>
      </c>
      <c r="I310" t="str">
        <f t="shared" si="13"/>
        <v>OK</v>
      </c>
    </row>
    <row r="311">
      <c r="A311" t="str">
        <f>"АРТ-"&amp;LEFT(SUBSTITUTE(SUBSTITUTE(SUBSTITUTE(SUBSTITUTE(Товары_исходные!A311,"№",""),"АРТ-",""),"АРТ_",""),"/","-"),3)</f>
        <v>АРТ-310</v>
      </c>
      <c r="B311" t="str">
        <f>PROPER(TRIM(IFERROR(LEFT(Товары_исходные!B311,FIND("(",Товары_исходные!B311)-1),Товары_исходные!B311)))</f>
        <v xml:space="preserve">Планшет Samsung Galaxy Tab S8</v>
      </c>
      <c r="C311" t="str">
        <f>IFERROR(VLOOKUP(Товары_исходные!C311,Справочники!$A$2:$B$50,2,FALSE),Товары_исходные!C311)</f>
        <v>Планшеты</v>
      </c>
      <c r="D311" t="str">
        <f>PROPER(TRIM(Товары_исходные!D311))</f>
        <v>Samsung</v>
      </c>
      <c r="E311" s="4">
        <f>IFERROR(VALUE(IF(AND(ISNUMBER(FIND(",",Товары_исходные!E311)),ISNUMBER(FIND(".",Товары_исходные!E311))),SUBSTITUTE(SUBSTITUTE(SUBSTITUTE(SUBSTITUTE(Товары_исходные!E311," ",""),"руб.",""),"руб",""),",",""),SUBSTITUTE(SUBSTITUTE(SUBSTITUTE(SUBSTITUTE(Товары_исходные!E311," ",""),"руб.",""),"руб",""),",","."))),0)</f>
        <v>40000</v>
      </c>
      <c r="F311" s="4">
        <f>IFERROR(VALUE(IF(AND(ISNUMBER(FIND(",",Товары_исходные!F311)),ISNUMBER(FIND(".",Товары_исходные!F311))),SUBSTITUTE(SUBSTITUTE(SUBSTITUTE(SUBSTITUTE(Товары_исходные!F311," ",""),"руб.",""),"руб",""),",",""),SUBSTITUTE(SUBSTITUTE(SUBSTITUTE(SUBSTITUTE(Товары_исходные!F311," ",""),"руб.",""),"руб",""),",","."))),0)</f>
        <v>64990</v>
      </c>
      <c r="G311" t="str">
        <f>IFERROR(VLOOKUP(Товары_исходные!G311,Справочники!$D$2:$E$50,2,FALSE),"шт.")</f>
        <v>шт.</v>
      </c>
      <c r="H311" t="str">
        <f t="shared" si="12"/>
        <v>OK</v>
      </c>
      <c r="I311" t="str">
        <f t="shared" si="13"/>
        <v>OK</v>
      </c>
    </row>
    <row r="312">
      <c r="A312" t="str">
        <f>"АРТ-"&amp;LEFT(SUBSTITUTE(SUBSTITUTE(SUBSTITUTE(SUBSTITUTE(Товары_исходные!A312,"№",""),"АРТ-",""),"АРТ_",""),"/","-"),3)</f>
        <v>АРТ-311</v>
      </c>
      <c r="B312" t="str">
        <f>PROPER(TRIM(IFERROR(LEFT(Товары_исходные!B312,FIND("(",Товары_исходные!B312)-1),Товары_исходные!B312)))</f>
        <v xml:space="preserve">Планшет Samsung Galaxy Tab S8</v>
      </c>
      <c r="C312" t="str">
        <f>IFERROR(VLOOKUP(Товары_исходные!C312,Справочники!$A$2:$B$50,2,FALSE),Товары_исходные!C312)</f>
        <v>Планшеты</v>
      </c>
      <c r="D312" t="str">
        <f>PROPER(TRIM(Товары_исходные!D312))</f>
        <v>Samsung</v>
      </c>
      <c r="E312" s="4">
        <f>IFERROR(VALUE(IF(AND(ISNUMBER(FIND(",",Товары_исходные!E312)),ISNUMBER(FIND(".",Товары_исходные!E312))),SUBSTITUTE(SUBSTITUTE(SUBSTITUTE(SUBSTITUTE(Товары_исходные!E312," ",""),"руб.",""),"руб",""),",",""),SUBSTITUTE(SUBSTITUTE(SUBSTITUTE(SUBSTITUTE(Товары_исходные!E312," ",""),"руб.",""),"руб",""),",","."))),0)</f>
        <v>38500</v>
      </c>
      <c r="F312" s="4">
        <f>IFERROR(VALUE(IF(AND(ISNUMBER(FIND(",",Товары_исходные!F312)),ISNUMBER(FIND(".",Товары_исходные!F312))),SUBSTITUTE(SUBSTITUTE(SUBSTITUTE(SUBSTITUTE(Товары_исходные!F312," ",""),"руб.",""),"руб",""),",",""),SUBSTITUTE(SUBSTITUTE(SUBSTITUTE(SUBSTITUTE(Товары_исходные!F312," ",""),"руб.",""),"руб",""),",","."))),0)</f>
        <v>62500</v>
      </c>
      <c r="G312" t="str">
        <f>IFERROR(VLOOKUP(Товары_исходные!G312,Справочники!$D$2:$E$50,2,FALSE),"шт.")</f>
        <v>шт.</v>
      </c>
      <c r="H312" t="str">
        <f t="shared" si="12"/>
        <v>OK</v>
      </c>
      <c r="I312" t="str">
        <f t="shared" si="13"/>
        <v>OK</v>
      </c>
    </row>
    <row r="313">
      <c r="A313" t="str">
        <f>"АРТ-"&amp;LEFT(SUBSTITUTE(SUBSTITUTE(SUBSTITUTE(SUBSTITUTE(Товары_исходные!A313,"№",""),"АРТ-",""),"АРТ_",""),"/","-"),3)</f>
        <v>АРТ-312</v>
      </c>
      <c r="B313" t="str">
        <f>PROPER(TRIM(IFERROR(LEFT(Товары_исходные!B313,FIND("(",Товары_исходные!B313)-1),Товары_исходные!B313)))</f>
        <v xml:space="preserve">Планшет Samsung Galaxy Tab S8</v>
      </c>
      <c r="C313" t="str">
        <f>IFERROR(VLOOKUP(Товары_исходные!C313,Справочники!$A$2:$B$50,2,FALSE),Товары_исходные!C313)</f>
        <v>Планшеты</v>
      </c>
      <c r="D313" t="str">
        <f>PROPER(TRIM(Товары_исходные!D313))</f>
        <v>Samsung</v>
      </c>
      <c r="E313" s="4">
        <f>IFERROR(VALUE(IF(AND(ISNUMBER(FIND(",",Товары_исходные!E313)),ISNUMBER(FIND(".",Товары_исходные!E313))),SUBSTITUTE(SUBSTITUTE(SUBSTITUTE(SUBSTITUTE(Товары_исходные!E313," ",""),"руб.",""),"руб",""),",",""),SUBSTITUTE(SUBSTITUTE(SUBSTITUTE(SUBSTITUTE(Товары_исходные!E313," ",""),"руб.",""),"руб",""),",","."))),0)</f>
        <v>41500</v>
      </c>
      <c r="F313" s="4">
        <f>IFERROR(VALUE(IF(AND(ISNUMBER(FIND(",",Товары_исходные!F313)),ISNUMBER(FIND(".",Товары_исходные!F313))),SUBSTITUTE(SUBSTITUTE(SUBSTITUTE(SUBSTITUTE(Товары_исходные!F313," ",""),"руб.",""),"руб",""),",",""),SUBSTITUTE(SUBSTITUTE(SUBSTITUTE(SUBSTITUTE(Товары_исходные!F313," ",""),"руб.",""),"руб",""),",","."))),0)</f>
        <v>67000</v>
      </c>
      <c r="G313" t="str">
        <f>IFERROR(VLOOKUP(Товары_исходные!G313,Справочники!$D$2:$E$50,2,FALSE),"шт.")</f>
        <v>шт.</v>
      </c>
      <c r="H313" t="str">
        <f t="shared" si="12"/>
        <v>OK</v>
      </c>
      <c r="I313" t="str">
        <f t="shared" si="13"/>
        <v>OK</v>
      </c>
    </row>
    <row r="314">
      <c r="A314" t="str">
        <f>"АРТ-"&amp;LEFT(SUBSTITUTE(SUBSTITUTE(SUBSTITUTE(SUBSTITUTE(Товары_исходные!A314,"№",""),"АРТ-",""),"АРТ_",""),"/","-"),3)</f>
        <v>АРТ-313</v>
      </c>
      <c r="B314" t="str">
        <f>PROPER(TRIM(IFERROR(LEFT(Товары_исходные!B314,FIND("(",Товары_исходные!B314)-1),Товары_исходные!B314)))</f>
        <v xml:space="preserve">Смартфон Apple Iphone 14</v>
      </c>
      <c r="C314" t="str">
        <f>IFERROR(VLOOKUP(Товары_исходные!C314,Справочники!$A$2:$B$50,2,FALSE),Товары_исходные!C314)</f>
        <v>Смартфоны</v>
      </c>
      <c r="D314" t="str">
        <f>PROPER(TRIM(Товары_исходные!D314))</f>
        <v>Apple</v>
      </c>
      <c r="E314" s="4">
        <f>IFERROR(VALUE(IF(AND(ISNUMBER(FIND(",",Товары_исходные!E314)),ISNUMBER(FIND(".",Товары_исходные!E314))),SUBSTITUTE(SUBSTITUTE(SUBSTITUTE(SUBSTITUTE(Товары_исходные!E314," ",""),"руб.",""),"руб",""),",",""),SUBSTITUTE(SUBSTITUTE(SUBSTITUTE(SUBSTITUTE(Товары_исходные!E314," ",""),"руб.",""),"руб",""),",","."))),0)</f>
        <v>42000</v>
      </c>
      <c r="F314" s="4">
        <f>IFERROR(VALUE(IF(AND(ISNUMBER(FIND(",",Товары_исходные!F314)),ISNUMBER(FIND(".",Товары_исходные!F314))),SUBSTITUTE(SUBSTITUTE(SUBSTITUTE(SUBSTITUTE(Товары_исходные!F314," ",""),"руб.",""),"руб",""),",",""),SUBSTITUTE(SUBSTITUTE(SUBSTITUTE(SUBSTITUTE(Товары_исходные!F314," ",""),"руб.",""),"руб",""),",","."))),0)</f>
        <v>69990</v>
      </c>
      <c r="G314" t="str">
        <f>IFERROR(VLOOKUP(Товары_исходные!G314,Справочники!$D$2:$E$50,2,FALSE),"шт.")</f>
        <v>шт.</v>
      </c>
      <c r="H314" t="str">
        <f t="shared" si="12"/>
        <v>OK</v>
      </c>
      <c r="I314" t="str">
        <f t="shared" si="13"/>
        <v>OK</v>
      </c>
    </row>
    <row r="315">
      <c r="A315" t="str">
        <f>"АРТ-"&amp;LEFT(SUBSTITUTE(SUBSTITUTE(SUBSTITUTE(SUBSTITUTE(Товары_исходные!A315,"№",""),"АРТ-",""),"АРТ_",""),"/","-"),3)</f>
        <v>АРТ-314</v>
      </c>
      <c r="B315" t="str">
        <f>PROPER(TRIM(IFERROR(LEFT(Товары_исходные!B315,FIND("(",Товары_исходные!B315)-1),Товары_исходные!B315)))</f>
        <v xml:space="preserve">Смартфон Apple Iphone 14</v>
      </c>
      <c r="C315" t="str">
        <f>IFERROR(VLOOKUP(Товары_исходные!C315,Справочники!$A$2:$B$50,2,FALSE),Товары_исходные!C315)</f>
        <v>Смартфоны</v>
      </c>
      <c r="D315" t="str">
        <f>PROPER(TRIM(Товары_исходные!D315))</f>
        <v>Apple</v>
      </c>
      <c r="E315" s="4">
        <f>IFERROR(VALUE(IF(AND(ISNUMBER(FIND(",",Товары_исходные!E315)),ISNUMBER(FIND(".",Товары_исходные!E315))),SUBSTITUTE(SUBSTITUTE(SUBSTITUTE(SUBSTITUTE(Товары_исходные!E315," ",""),"руб.",""),"руб",""),",",""),SUBSTITUTE(SUBSTITUTE(SUBSTITUTE(SUBSTITUTE(Товары_исходные!E315," ",""),"руб.",""),"руб",""),",","."))),0)</f>
        <v>40500</v>
      </c>
      <c r="F315" s="4">
        <f>IFERROR(VALUE(IF(AND(ISNUMBER(FIND(",",Товары_исходные!F315)),ISNUMBER(FIND(".",Товары_исходные!F315))),SUBSTITUTE(SUBSTITUTE(SUBSTITUTE(SUBSTITUTE(Товары_исходные!F315," ",""),"руб.",""),"руб",""),",",""),SUBSTITUTE(SUBSTITUTE(SUBSTITUTE(SUBSTITUTE(Товары_исходные!F315," ",""),"руб.",""),"руб",""),",","."))),0)</f>
        <v>67500</v>
      </c>
      <c r="G315" t="str">
        <f>IFERROR(VLOOKUP(Товары_исходные!G315,Справочники!$D$2:$E$50,2,FALSE),"шт.")</f>
        <v>шт.</v>
      </c>
      <c r="H315" t="str">
        <f t="shared" si="12"/>
        <v>OK</v>
      </c>
      <c r="I315" t="str">
        <f t="shared" si="13"/>
        <v>OK</v>
      </c>
    </row>
    <row r="316">
      <c r="A316" t="str">
        <f>"АРТ-"&amp;LEFT(SUBSTITUTE(SUBSTITUTE(SUBSTITUTE(SUBSTITUTE(Товары_исходные!A316,"№",""),"АРТ-",""),"АРТ_",""),"/","-"),3)</f>
        <v>АРТ-315</v>
      </c>
      <c r="B316" t="str">
        <f>PROPER(TRIM(IFERROR(LEFT(Товары_исходные!B316,FIND("(",Товары_исходные!B316)-1),Товары_исходные!B316)))</f>
        <v xml:space="preserve">Смартфон Apple Iphone 14</v>
      </c>
      <c r="C316" t="str">
        <f>IFERROR(VLOOKUP(Товары_исходные!C316,Справочники!$A$2:$B$50,2,FALSE),Товары_исходные!C316)</f>
        <v>Смартфоны</v>
      </c>
      <c r="D316" t="str">
        <f>PROPER(TRIM(Товары_исходные!D316))</f>
        <v>Apple</v>
      </c>
      <c r="E316" s="4">
        <f>IFERROR(VALUE(IF(AND(ISNUMBER(FIND(",",Товары_исходные!E316)),ISNUMBER(FIND(".",Товары_исходные!E316))),SUBSTITUTE(SUBSTITUTE(SUBSTITUTE(SUBSTITUTE(Товары_исходные!E316," ",""),"руб.",""),"руб",""),",",""),SUBSTITUTE(SUBSTITUTE(SUBSTITUTE(SUBSTITUTE(Товары_исходные!E316," ",""),"руб.",""),"руб",""),",","."))),0)</f>
        <v>43500</v>
      </c>
      <c r="F316" s="4">
        <f>IFERROR(VALUE(IF(AND(ISNUMBER(FIND(",",Товары_исходные!F316)),ISNUMBER(FIND(".",Товары_исходные!F316))),SUBSTITUTE(SUBSTITUTE(SUBSTITUTE(SUBSTITUTE(Товары_исходные!F316," ",""),"руб.",""),"руб",""),",",""),SUBSTITUTE(SUBSTITUTE(SUBSTITUTE(SUBSTITUTE(Товары_исходные!F316," ",""),"руб.",""),"руб",""),",","."))),0)</f>
        <v>72000</v>
      </c>
      <c r="G316" t="str">
        <f>IFERROR(VLOOKUP(Товары_исходные!G316,Справочники!$D$2:$E$50,2,FALSE),"шт.")</f>
        <v>шт.</v>
      </c>
      <c r="H316" t="str">
        <f t="shared" si="12"/>
        <v>OK</v>
      </c>
      <c r="I316" t="str">
        <f t="shared" si="13"/>
        <v>OK</v>
      </c>
    </row>
    <row r="317">
      <c r="A317" t="str">
        <f>"АРТ-"&amp;LEFT(SUBSTITUTE(SUBSTITUTE(SUBSTITUTE(SUBSTITUTE(Товары_исходные!A317,"№",""),"АРТ-",""),"АРТ_",""),"/","-"),3)</f>
        <v>АРТ-316</v>
      </c>
      <c r="B317" t="str">
        <f>PROPER(TRIM(IFERROR(LEFT(Товары_исходные!B317,FIND("(",Товары_исходные!B317)-1),Товары_исходные!B317)))</f>
        <v xml:space="preserve">Ноутбук Asus Tuf Gaming F15</v>
      </c>
      <c r="C317" t="str">
        <f>IFERROR(VLOOKUP(Товары_исходные!C317,Справочники!$A$2:$B$50,2,FALSE),Товары_исходные!C317)</f>
        <v>Ноутбуки</v>
      </c>
      <c r="D317" t="str">
        <f>PROPER(TRIM(Товары_исходные!D317))</f>
        <v>Asus</v>
      </c>
      <c r="E317" s="4">
        <f>IFERROR(VALUE(IF(AND(ISNUMBER(FIND(",",Товары_исходные!E317)),ISNUMBER(FIND(".",Товары_исходные!E317))),SUBSTITUTE(SUBSTITUTE(SUBSTITUTE(SUBSTITUTE(Товары_исходные!E317," ",""),"руб.",""),"руб",""),",",""),SUBSTITUTE(SUBSTITUTE(SUBSTITUTE(SUBSTITUTE(Товары_исходные!E317," ",""),"руб.",""),"руб",""),",","."))),0)</f>
        <v>70000</v>
      </c>
      <c r="F317" s="4">
        <f>IFERROR(VALUE(IF(AND(ISNUMBER(FIND(",",Товары_исходные!F317)),ISNUMBER(FIND(".",Товары_исходные!F317))),SUBSTITUTE(SUBSTITUTE(SUBSTITUTE(SUBSTITUTE(Товары_исходные!F317," ",""),"руб.",""),"руб",""),",",""),SUBSTITUTE(SUBSTITUTE(SUBSTITUTE(SUBSTITUTE(Товары_исходные!F317," ",""),"руб.",""),"руб",""),",","."))),0)</f>
        <v>109990</v>
      </c>
      <c r="G317" t="str">
        <f>IFERROR(VLOOKUP(Товары_исходные!G317,Справочники!$D$2:$E$50,2,FALSE),"шт.")</f>
        <v>шт.</v>
      </c>
      <c r="H317" t="str">
        <f t="shared" si="12"/>
        <v>OK</v>
      </c>
      <c r="I317" t="str">
        <f t="shared" si="13"/>
        <v>OK</v>
      </c>
    </row>
    <row r="318">
      <c r="A318" t="str">
        <f>"АРТ-"&amp;LEFT(SUBSTITUTE(SUBSTITUTE(SUBSTITUTE(SUBSTITUTE(Товары_исходные!A318,"№",""),"АРТ-",""),"АРТ_",""),"/","-"),3)</f>
        <v>АРТ-317</v>
      </c>
      <c r="B318" t="str">
        <f>PROPER(TRIM(IFERROR(LEFT(Товары_исходные!B318,FIND("(",Товары_исходные!B318)-1),Товары_исходные!B318)))</f>
        <v xml:space="preserve">Ноутбук Asus Tuf Gaming F15</v>
      </c>
      <c r="C318" t="str">
        <f>IFERROR(VLOOKUP(Товары_исходные!C318,Справочники!$A$2:$B$50,2,FALSE),Товары_исходные!C318)</f>
        <v>Ноутбуки</v>
      </c>
      <c r="D318" t="str">
        <f>PROPER(TRIM(Товары_исходные!D318))</f>
        <v>Asus</v>
      </c>
      <c r="E318" s="4">
        <f>IFERROR(VALUE(IF(AND(ISNUMBER(FIND(",",Товары_исходные!E318)),ISNUMBER(FIND(".",Товары_исходные!E318))),SUBSTITUTE(SUBSTITUTE(SUBSTITUTE(SUBSTITUTE(Товары_исходные!E318," ",""),"руб.",""),"руб",""),",",""),SUBSTITUTE(SUBSTITUTE(SUBSTITUTE(SUBSTITUTE(Товары_исходные!E318," ",""),"руб.",""),"руб",""),",","."))),0)</f>
        <v>68000</v>
      </c>
      <c r="F318" s="4">
        <f>IFERROR(VALUE(IF(AND(ISNUMBER(FIND(",",Товары_исходные!F318)),ISNUMBER(FIND(".",Товары_исходные!F318))),SUBSTITUTE(SUBSTITUTE(SUBSTITUTE(SUBSTITUTE(Товары_исходные!F318," ",""),"руб.",""),"руб",""),",",""),SUBSTITUTE(SUBSTITUTE(SUBSTITUTE(SUBSTITUTE(Товары_исходные!F318," ",""),"руб.",""),"руб",""),",","."))),0)</f>
        <v>107000</v>
      </c>
      <c r="G318" t="str">
        <f>IFERROR(VLOOKUP(Товары_исходные!G318,Справочники!$D$2:$E$50,2,FALSE),"шт.")</f>
        <v>шт.</v>
      </c>
      <c r="H318" t="str">
        <f t="shared" si="12"/>
        <v>OK</v>
      </c>
      <c r="I318" t="str">
        <f t="shared" si="13"/>
        <v>OK</v>
      </c>
    </row>
    <row r="319">
      <c r="A319" t="str">
        <f>"АРТ-"&amp;LEFT(SUBSTITUTE(SUBSTITUTE(SUBSTITUTE(SUBSTITUTE(Товары_исходные!A319,"№",""),"АРТ-",""),"АРТ_",""),"/","-"),3)</f>
        <v>АРТ-318</v>
      </c>
      <c r="B319" t="str">
        <f>PROPER(TRIM(IFERROR(LEFT(Товары_исходные!B319,FIND("(",Товары_исходные!B319)-1),Товары_исходные!B319)))</f>
        <v xml:space="preserve">Ноутбук Asus Tuf Gaming F15</v>
      </c>
      <c r="C319" t="str">
        <f>IFERROR(VLOOKUP(Товары_исходные!C319,Справочники!$A$2:$B$50,2,FALSE),Товары_исходные!C319)</f>
        <v>Ноутбуки</v>
      </c>
      <c r="D319" t="str">
        <f>PROPER(TRIM(Товары_исходные!D319))</f>
        <v>Asus</v>
      </c>
      <c r="E319" s="4">
        <f>IFERROR(VALUE(IF(AND(ISNUMBER(FIND(",",Товары_исходные!E319)),ISNUMBER(FIND(".",Товары_исходные!E319))),SUBSTITUTE(SUBSTITUTE(SUBSTITUTE(SUBSTITUTE(Товары_исходные!E319," ",""),"руб.",""),"руб",""),",",""),SUBSTITUTE(SUBSTITUTE(SUBSTITUTE(SUBSTITUTE(Товары_исходные!E319," ",""),"руб.",""),"руб",""),",","."))),0)</f>
        <v>71500</v>
      </c>
      <c r="F319" s="4">
        <f>IFERROR(VALUE(IF(AND(ISNUMBER(FIND(",",Товары_исходные!F319)),ISNUMBER(FIND(".",Товары_исходные!F319))),SUBSTITUTE(SUBSTITUTE(SUBSTITUTE(SUBSTITUTE(Товары_исходные!F319," ",""),"руб.",""),"руб",""),",",""),SUBSTITUTE(SUBSTITUTE(SUBSTITUTE(SUBSTITUTE(Товары_исходные!F319," ",""),"руб.",""),"руб",""),",","."))),0)</f>
        <v>112500</v>
      </c>
      <c r="G319" t="str">
        <f>IFERROR(VLOOKUP(Товары_исходные!G319,Справочники!$D$2:$E$50,2,FALSE),"шт.")</f>
        <v>шт.</v>
      </c>
      <c r="H319" t="str">
        <f t="shared" si="12"/>
        <v>OK</v>
      </c>
      <c r="I319" t="str">
        <f t="shared" si="13"/>
        <v>OK</v>
      </c>
    </row>
    <row r="320">
      <c r="A320" t="str">
        <f>"АРТ-"&amp;LEFT(SUBSTITUTE(SUBSTITUTE(SUBSTITUTE(SUBSTITUTE(Товары_исходные!A320,"№",""),"АРТ-",""),"АРТ_",""),"/","-"),3)</f>
        <v>АРТ-319</v>
      </c>
      <c r="B320" t="str">
        <f>PROPER(TRIM(IFERROR(LEFT(Товары_исходные!B320,FIND("(",Товары_исходные!B320)-1),Товары_исходные!B320)))</f>
        <v xml:space="preserve">Телевизор Tcl 98C735</v>
      </c>
      <c r="C320" t="str">
        <f>IFERROR(VLOOKUP(Товары_исходные!C320,Справочники!$A$2:$B$50,2,FALSE),Товары_исходные!C320)</f>
        <v>Телевизоры</v>
      </c>
      <c r="D320" t="str">
        <f>PROPER(TRIM(Товары_исходные!D320))</f>
        <v>Tcl</v>
      </c>
      <c r="E320" s="4">
        <f>IFERROR(VALUE(IF(AND(ISNUMBER(FIND(",",Товары_исходные!E320)),ISNUMBER(FIND(".",Товары_исходные!E320))),SUBSTITUTE(SUBSTITUTE(SUBSTITUTE(SUBSTITUTE(Товары_исходные!E320," ",""),"руб.",""),"руб",""),",",""),SUBSTITUTE(SUBSTITUTE(SUBSTITUTE(SUBSTITUTE(Товары_исходные!E320," ",""),"руб.",""),"руб",""),",","."))),0)</f>
        <v>120000</v>
      </c>
      <c r="F320" s="4">
        <f>IFERROR(VALUE(IF(AND(ISNUMBER(FIND(",",Товары_исходные!F320)),ISNUMBER(FIND(".",Товары_исходные!F320))),SUBSTITUTE(SUBSTITUTE(SUBSTITUTE(SUBSTITUTE(Товары_исходные!F320," ",""),"руб.",""),"руб",""),",",""),SUBSTITUTE(SUBSTITUTE(SUBSTITUTE(SUBSTITUTE(Товары_исходные!F320," ",""),"руб.",""),"руб",""),",","."))),0)</f>
        <v>184990</v>
      </c>
      <c r="G320" t="str">
        <f>IFERROR(VLOOKUP(Товары_исходные!G320,Справочники!$D$2:$E$50,2,FALSE),"шт.")</f>
        <v>шт.</v>
      </c>
      <c r="H320" t="str">
        <f t="shared" si="12"/>
        <v>OK</v>
      </c>
      <c r="I320" t="str">
        <f t="shared" si="13"/>
        <v>OK</v>
      </c>
    </row>
    <row r="321">
      <c r="A321" t="str">
        <f>"АРТ-"&amp;LEFT(SUBSTITUTE(SUBSTITUTE(SUBSTITUTE(SUBSTITUTE(Товары_исходные!A321,"№",""),"АРТ-",""),"АРТ_",""),"/","-"),3)</f>
        <v>АРТ-320</v>
      </c>
      <c r="B321" t="str">
        <f>PROPER(TRIM(IFERROR(LEFT(Товары_исходные!B321,FIND("(",Товары_исходные!B321)-1),Товары_исходные!B321)))</f>
        <v xml:space="preserve">Телевизор Tcl 98C735</v>
      </c>
      <c r="C321" t="str">
        <f>IFERROR(VLOOKUP(Товары_исходные!C321,Справочники!$A$2:$B$50,2,FALSE),Товары_исходные!C321)</f>
        <v>Телевизоры</v>
      </c>
      <c r="D321" t="str">
        <f>PROPER(TRIM(Товары_исходные!D321))</f>
        <v>Tcl</v>
      </c>
      <c r="E321" s="4">
        <f>IFERROR(VALUE(IF(AND(ISNUMBER(FIND(",",Товары_исходные!E321)),ISNUMBER(FIND(".",Товары_исходные!E321))),SUBSTITUTE(SUBSTITUTE(SUBSTITUTE(SUBSTITUTE(Товары_исходные!E321," ",""),"руб.",""),"руб",""),",",""),SUBSTITUTE(SUBSTITUTE(SUBSTITUTE(SUBSTITUTE(Товары_исходные!E321," ",""),"руб.",""),"руб",""),",","."))),0)</f>
        <v>118000</v>
      </c>
      <c r="F321" s="4">
        <f>IFERROR(VALUE(IF(AND(ISNUMBER(FIND(",",Товары_исходные!F321)),ISNUMBER(FIND(".",Товары_исходные!F321))),SUBSTITUTE(SUBSTITUTE(SUBSTITUTE(SUBSTITUTE(Товары_исходные!F321," ",""),"руб.",""),"руб",""),",",""),SUBSTITUTE(SUBSTITUTE(SUBSTITUTE(SUBSTITUTE(Товары_исходные!F321," ",""),"руб.",""),"руб",""),",","."))),0)</f>
        <v>181500</v>
      </c>
      <c r="G321" t="str">
        <f>IFERROR(VLOOKUP(Товары_исходные!G321,Справочники!$D$2:$E$50,2,FALSE),"шт.")</f>
        <v>шт.</v>
      </c>
      <c r="H321" t="str">
        <f t="shared" si="12"/>
        <v>OK</v>
      </c>
      <c r="I321" t="str">
        <f t="shared" si="13"/>
        <v>OK</v>
      </c>
    </row>
    <row r="322">
      <c r="A322" t="str">
        <f>"АРТ-"&amp;LEFT(SUBSTITUTE(SUBSTITUTE(SUBSTITUTE(SUBSTITUTE(Товары_исходные!A322,"№",""),"АРТ-",""),"АРТ_",""),"/","-"),3)</f>
        <v>АРТ-321</v>
      </c>
      <c r="B322" t="str">
        <f>PROPER(TRIM(IFERROR(LEFT(Товары_исходные!B322,FIND("(",Товары_исходные!B322)-1),Товары_исходные!B322)))</f>
        <v xml:space="preserve">Телевизор Tcl 98C735</v>
      </c>
      <c r="C322" t="str">
        <f>IFERROR(VLOOKUP(Товары_исходные!C322,Справочники!$A$2:$B$50,2,FALSE),Товары_исходные!C322)</f>
        <v>Телевизоры</v>
      </c>
      <c r="D322" t="str">
        <f>PROPER(TRIM(Товары_исходные!D322))</f>
        <v>Tcl</v>
      </c>
      <c r="E322" s="4">
        <f>IFERROR(VALUE(IF(AND(ISNUMBER(FIND(",",Товары_исходные!E322)),ISNUMBER(FIND(".",Товары_исходные!E322))),SUBSTITUTE(SUBSTITUTE(SUBSTITUTE(SUBSTITUTE(Товары_исходные!E322," ",""),"руб.",""),"руб",""),",",""),SUBSTITUTE(SUBSTITUTE(SUBSTITUTE(SUBSTITUTE(Товары_исходные!E322," ",""),"руб.",""),"руб",""),",","."))),0)</f>
        <v>122000</v>
      </c>
      <c r="F322" s="4">
        <f>IFERROR(VALUE(IF(AND(ISNUMBER(FIND(",",Товары_исходные!F322)),ISNUMBER(FIND(".",Товары_исходные!F322))),SUBSTITUTE(SUBSTITUTE(SUBSTITUTE(SUBSTITUTE(Товары_исходные!F322," ",""),"руб.",""),"руб",""),",",""),SUBSTITUTE(SUBSTITUTE(SUBSTITUTE(SUBSTITUTE(Товары_исходные!F322," ",""),"руб.",""),"руб",""),",","."))),0)</f>
        <v>188000</v>
      </c>
      <c r="G322" t="str">
        <f>IFERROR(VLOOKUP(Товары_исходные!G322,Справочники!$D$2:$E$50,2,FALSE),"шт.")</f>
        <v>шт.</v>
      </c>
      <c r="H322" t="str">
        <f t="shared" si="12"/>
        <v>OK</v>
      </c>
      <c r="I322" t="str">
        <f t="shared" si="13"/>
        <v>OK</v>
      </c>
    </row>
    <row r="323">
      <c r="A323" t="str">
        <f>"АРТ-"&amp;LEFT(SUBSTITUTE(SUBSTITUTE(SUBSTITUTE(SUBSTITUTE(Товары_исходные!A323,"№",""),"АРТ-",""),"АРТ_",""),"/","-"),3)</f>
        <v>АРТ-322</v>
      </c>
      <c r="B323" t="str">
        <f>PROPER(TRIM(IFERROR(LEFT(Товары_исходные!B323,FIND("(",Товары_исходные!B323)-1),Товары_исходные!B323)))</f>
        <v xml:space="preserve">Наушники Sony Wh-Ch720N</v>
      </c>
      <c r="C323" t="str">
        <f>IFERROR(VLOOKUP(Товары_исходные!C323,Справочники!$A$2:$B$50,2,FALSE),Товары_исходные!C323)</f>
        <v>Наушники</v>
      </c>
      <c r="D323" t="str">
        <f>PROPER(TRIM(Товары_исходные!D323))</f>
        <v>Sony</v>
      </c>
      <c r="E323" s="4">
        <f>IFERROR(VALUE(IF(AND(ISNUMBER(FIND(",",Товары_исходные!E323)),ISNUMBER(FIND(".",Товары_исходные!E323))),SUBSTITUTE(SUBSTITUTE(SUBSTITUTE(SUBSTITUTE(Товары_исходные!E323," ",""),"руб.",""),"руб",""),",",""),SUBSTITUTE(SUBSTITUTE(SUBSTITUTE(SUBSTITUTE(Товары_исходные!E323," ",""),"руб.",""),"руб",""),",","."))),0)</f>
        <v>8000</v>
      </c>
      <c r="F323" s="4">
        <f>IFERROR(VALUE(IF(AND(ISNUMBER(FIND(",",Товары_исходные!F323)),ISNUMBER(FIND(".",Товары_исходные!F323))),SUBSTITUTE(SUBSTITUTE(SUBSTITUTE(SUBSTITUTE(Товары_исходные!F323," ",""),"руб.",""),"руб",""),",",""),SUBSTITUTE(SUBSTITUTE(SUBSTITUTE(SUBSTITUTE(Товары_исходные!F323," ",""),"руб.",""),"руб",""),",","."))),0)</f>
        <v>12990</v>
      </c>
      <c r="G323" t="str">
        <f>IFERROR(VLOOKUP(Товары_исходные!G323,Справочники!$D$2:$E$50,2,FALSE),"шт.")</f>
        <v>шт.</v>
      </c>
      <c r="H323" t="str">
        <f t="shared" si="12"/>
        <v>OK</v>
      </c>
      <c r="I323" t="str">
        <f t="shared" si="13"/>
        <v>OK</v>
      </c>
    </row>
    <row r="324">
      <c r="A324" t="str">
        <f>"АРТ-"&amp;LEFT(SUBSTITUTE(SUBSTITUTE(SUBSTITUTE(SUBSTITUTE(Товары_исходные!A324,"№",""),"АРТ-",""),"АРТ_",""),"/","-"),3)</f>
        <v>АРТ-323</v>
      </c>
      <c r="B324" t="str">
        <f>PROPER(TRIM(IFERROR(LEFT(Товары_исходные!B324,FIND("(",Товары_исходные!B324)-1),Товары_исходные!B324)))</f>
        <v xml:space="preserve">Наушники Sony Wh-Ch720N</v>
      </c>
      <c r="C324" t="str">
        <f>IFERROR(VLOOKUP(Товары_исходные!C324,Справочники!$A$2:$B$50,2,FALSE),Товары_исходные!C324)</f>
        <v>Наушники</v>
      </c>
      <c r="D324" t="str">
        <f>PROPER(TRIM(Товары_исходные!D324))</f>
        <v>Sony</v>
      </c>
      <c r="E324" s="4">
        <f>IFERROR(VALUE(IF(AND(ISNUMBER(FIND(",",Товары_исходные!E324)),ISNUMBER(FIND(".",Товары_исходные!E324))),SUBSTITUTE(SUBSTITUTE(SUBSTITUTE(SUBSTITUTE(Товары_исходные!E324," ",""),"руб.",""),"руб",""),",",""),SUBSTITUTE(SUBSTITUTE(SUBSTITUTE(SUBSTITUTE(Товары_исходные!E324," ",""),"руб.",""),"руб",""),",","."))),0)</f>
        <v>7500</v>
      </c>
      <c r="F324" s="4">
        <f>IFERROR(VALUE(IF(AND(ISNUMBER(FIND(",",Товары_исходные!F324)),ISNUMBER(FIND(".",Товары_исходные!F324))),SUBSTITUTE(SUBSTITUTE(SUBSTITUTE(SUBSTITUTE(Товары_исходные!F324," ",""),"руб.",""),"руб",""),",",""),SUBSTITUTE(SUBSTITUTE(SUBSTITUTE(SUBSTITUTE(Товары_исходные!F324," ",""),"руб.",""),"руб",""),",","."))),0)</f>
        <v>12500</v>
      </c>
      <c r="G324" t="str">
        <f>IFERROR(VLOOKUP(Товары_исходные!G324,Справочники!$D$2:$E$50,2,FALSE),"шт.")</f>
        <v>шт.</v>
      </c>
      <c r="H324" t="str">
        <f t="shared" si="12"/>
        <v>OK</v>
      </c>
      <c r="I324" t="str">
        <f t="shared" si="13"/>
        <v>OK</v>
      </c>
    </row>
    <row r="325">
      <c r="A325" t="str">
        <f>"АРТ-"&amp;LEFT(SUBSTITUTE(SUBSTITUTE(SUBSTITUTE(SUBSTITUTE(Товары_исходные!A325,"№",""),"АРТ-",""),"АРТ_",""),"/","-"),3)</f>
        <v>АРТ-324</v>
      </c>
      <c r="B325" t="str">
        <f>PROPER(TRIM(IFERROR(LEFT(Товары_исходные!B325,FIND("(",Товары_исходные!B325)-1),Товары_исходные!B325)))</f>
        <v xml:space="preserve">Наушники Sony Wh-Ch720N</v>
      </c>
      <c r="C325" t="str">
        <f>IFERROR(VLOOKUP(Товары_исходные!C325,Справочники!$A$2:$B$50,2,FALSE),Товары_исходные!C325)</f>
        <v>Наушники</v>
      </c>
      <c r="D325" t="str">
        <f>PROPER(TRIM(Товары_исходные!D325))</f>
        <v>Sony</v>
      </c>
      <c r="E325" s="4">
        <f>IFERROR(VALUE(IF(AND(ISNUMBER(FIND(",",Товары_исходные!E325)),ISNUMBER(FIND(".",Товары_исходные!E325))),SUBSTITUTE(SUBSTITUTE(SUBSTITUTE(SUBSTITUTE(Товары_исходные!E325," ",""),"руб.",""),"руб",""),",",""),SUBSTITUTE(SUBSTITUTE(SUBSTITUTE(SUBSTITUTE(Товары_исходные!E325," ",""),"руб.",""),"руб",""),",","."))),0)</f>
        <v>8500</v>
      </c>
      <c r="F325" s="4">
        <f>IFERROR(VALUE(IF(AND(ISNUMBER(FIND(",",Товары_исходные!F325)),ISNUMBER(FIND(".",Товары_исходные!F325))),SUBSTITUTE(SUBSTITUTE(SUBSTITUTE(SUBSTITUTE(Товары_исходные!F325," ",""),"руб.",""),"руб",""),",",""),SUBSTITUTE(SUBSTITUTE(SUBSTITUTE(SUBSTITUTE(Товары_исходные!F325," ",""),"руб.",""),"руб",""),",","."))),0)</f>
        <v>13800</v>
      </c>
      <c r="G325" t="str">
        <f>IFERROR(VLOOKUP(Товары_исходные!G325,Справочники!$D$2:$E$50,2,FALSE),"шт.")</f>
        <v>шт.</v>
      </c>
      <c r="H325" t="str">
        <f t="shared" si="12"/>
        <v>OK</v>
      </c>
      <c r="I325" t="str">
        <f t="shared" si="13"/>
        <v>OK</v>
      </c>
    </row>
    <row r="326">
      <c r="A326" t="str">
        <f>"АРТ-"&amp;LEFT(SUBSTITUTE(SUBSTITUTE(SUBSTITUTE(SUBSTITUTE(Товары_исходные!A326,"№",""),"АРТ-",""),"АРТ_",""),"/","-"),3)</f>
        <v>АРТ-325</v>
      </c>
      <c r="B326" t="str">
        <f>PROPER(TRIM(IFERROR(LEFT(Товары_исходные!B326,FIND("(",Товары_исходные!B326)-1),Товары_исходные!B326)))</f>
        <v xml:space="preserve">Монитор Lg 27Up850N</v>
      </c>
      <c r="C326" t="str">
        <f>IFERROR(VLOOKUP(Товары_исходные!C326,Справочники!$A$2:$B$50,2,FALSE),Товары_исходные!C326)</f>
        <v>Мониторы</v>
      </c>
      <c r="D326" t="str">
        <f>PROPER(TRIM(Товары_исходные!D326))</f>
        <v>Lg</v>
      </c>
      <c r="E326" s="4">
        <f>IFERROR(VALUE(IF(AND(ISNUMBER(FIND(",",Товары_исходные!E326)),ISNUMBER(FIND(".",Товары_исходные!E326))),SUBSTITUTE(SUBSTITUTE(SUBSTITUTE(SUBSTITUTE(Товары_исходные!E326," ",""),"руб.",""),"руб",""),",",""),SUBSTITUTE(SUBSTITUTE(SUBSTITUTE(SUBSTITUTE(Товары_исходные!E326," ",""),"руб.",""),"руб",""),",","."))),0)</f>
        <v>43000</v>
      </c>
      <c r="F326" s="4">
        <f>IFERROR(VALUE(IF(AND(ISNUMBER(FIND(",",Товары_исходные!F326)),ISNUMBER(FIND(".",Товары_исходные!F326))),SUBSTITUTE(SUBSTITUTE(SUBSTITUTE(SUBSTITUTE(Товары_исходные!F326," ",""),"руб.",""),"руб",""),",",""),SUBSTITUTE(SUBSTITUTE(SUBSTITUTE(SUBSTITUTE(Товары_исходные!F326," ",""),"руб.",""),"руб",""),",","."))),0)</f>
        <v>66990</v>
      </c>
      <c r="G326" t="str">
        <f>IFERROR(VLOOKUP(Товары_исходные!G326,Справочники!$D$2:$E$50,2,FALSE),"шт.")</f>
        <v>шт.</v>
      </c>
      <c r="H326" t="str">
        <f t="shared" si="12"/>
        <v>OK</v>
      </c>
      <c r="I326" t="str">
        <f t="shared" si="13"/>
        <v>OK</v>
      </c>
    </row>
    <row r="327">
      <c r="A327" t="str">
        <f>"АРТ-"&amp;LEFT(SUBSTITUTE(SUBSTITUTE(SUBSTITUTE(SUBSTITUTE(Товары_исходные!A327,"№",""),"АРТ-",""),"АРТ_",""),"/","-"),3)</f>
        <v>АРТ-326</v>
      </c>
      <c r="B327" t="str">
        <f>PROPER(TRIM(IFERROR(LEFT(Товары_исходные!B327,FIND("(",Товары_исходные!B327)-1),Товары_исходные!B327)))</f>
        <v xml:space="preserve">Монитор Lg 27Up850N</v>
      </c>
      <c r="C327" t="str">
        <f>IFERROR(VLOOKUP(Товары_исходные!C327,Справочники!$A$2:$B$50,2,FALSE),Товары_исходные!C327)</f>
        <v>Мониторы</v>
      </c>
      <c r="D327" t="str">
        <f>PROPER(TRIM(Товары_исходные!D327))</f>
        <v>Lg</v>
      </c>
      <c r="E327" s="4">
        <f>IFERROR(VALUE(IF(AND(ISNUMBER(FIND(",",Товары_исходные!E327)),ISNUMBER(FIND(".",Товары_исходные!E327))),SUBSTITUTE(SUBSTITUTE(SUBSTITUTE(SUBSTITUTE(Товары_исходные!E327," ",""),"руб.",""),"руб",""),",",""),SUBSTITUTE(SUBSTITUTE(SUBSTITUTE(SUBSTITUTE(Товары_исходные!E327," ",""),"руб.",""),"руб",""),",","."))),0)</f>
        <v>41500</v>
      </c>
      <c r="F327" s="4">
        <f>IFERROR(VALUE(IF(AND(ISNUMBER(FIND(",",Товары_исходные!F327)),ISNUMBER(FIND(".",Товары_исходные!F327))),SUBSTITUTE(SUBSTITUTE(SUBSTITUTE(SUBSTITUTE(Товары_исходные!F327," ",""),"руб.",""),"руб",""),",",""),SUBSTITUTE(SUBSTITUTE(SUBSTITUTE(SUBSTITUTE(Товары_исходные!F327," ",""),"руб.",""),"руб",""),",","."))),0)</f>
        <v>64500</v>
      </c>
      <c r="G327" t="str">
        <f>IFERROR(VLOOKUP(Товары_исходные!G327,Справочники!$D$2:$E$50,2,FALSE),"шт.")</f>
        <v>шт.</v>
      </c>
      <c r="H327" t="str">
        <f t="shared" si="12"/>
        <v>OK</v>
      </c>
      <c r="I327" t="str">
        <f t="shared" si="13"/>
        <v>OK</v>
      </c>
    </row>
    <row r="328">
      <c r="A328" t="str">
        <f>"АРТ-"&amp;LEFT(SUBSTITUTE(SUBSTITUTE(SUBSTITUTE(SUBSTITUTE(Товары_исходные!A328,"№",""),"АРТ-",""),"АРТ_",""),"/","-"),3)</f>
        <v>АРТ-327</v>
      </c>
      <c r="B328" t="str">
        <f>PROPER(TRIM(IFERROR(LEFT(Товары_исходные!B328,FIND("(",Товары_исходные!B328)-1),Товары_исходные!B328)))</f>
        <v xml:space="preserve">Монитор Lg 27Up850N</v>
      </c>
      <c r="C328" t="str">
        <f>IFERROR(VLOOKUP(Товары_исходные!C328,Справочники!$A$2:$B$50,2,FALSE),Товары_исходные!C328)</f>
        <v>Мониторы</v>
      </c>
      <c r="D328" t="str">
        <f>PROPER(TRIM(Товары_исходные!D328))</f>
        <v>Lg</v>
      </c>
      <c r="E328" s="4">
        <f>IFERROR(VALUE(IF(AND(ISNUMBER(FIND(",",Товары_исходные!E328)),ISNUMBER(FIND(".",Товары_исходные!E328))),SUBSTITUTE(SUBSTITUTE(SUBSTITUTE(SUBSTITUTE(Товары_исходные!E328," ",""),"руб.",""),"руб",""),",",""),SUBSTITUTE(SUBSTITUTE(SUBSTITUTE(SUBSTITUTE(Товары_исходные!E328," ",""),"руб.",""),"руб",""),",","."))),0)</f>
        <v>44500</v>
      </c>
      <c r="F328" s="4">
        <f>IFERROR(VALUE(IF(AND(ISNUMBER(FIND(",",Товары_исходные!F328)),ISNUMBER(FIND(".",Товары_исходные!F328))),SUBSTITUTE(SUBSTITUTE(SUBSTITUTE(SUBSTITUTE(Товары_исходные!F328," ",""),"руб.",""),"руб",""),",",""),SUBSTITUTE(SUBSTITUTE(SUBSTITUTE(SUBSTITUTE(Товары_исходные!F328," ",""),"руб.",""),"руб",""),",","."))),0)</f>
        <v>69000</v>
      </c>
      <c r="G328" t="str">
        <f>IFERROR(VLOOKUP(Товары_исходные!G328,Справочники!$D$2:$E$50,2,FALSE),"шт.")</f>
        <v>шт.</v>
      </c>
      <c r="H328" t="str">
        <f t="shared" si="12"/>
        <v>OK</v>
      </c>
      <c r="I328" t="str">
        <f t="shared" si="13"/>
        <v>OK</v>
      </c>
    </row>
    <row r="329">
      <c r="A329" t="str">
        <f>"АРТ-"&amp;LEFT(SUBSTITUTE(SUBSTITUTE(SUBSTITUTE(SUBSTITUTE(Товары_исходные!A329,"№",""),"АРТ-",""),"АРТ_",""),"/","-"),3)</f>
        <v>АРТ-328</v>
      </c>
      <c r="B329" t="str">
        <f>PROPER(TRIM(IFERROR(LEFT(Товары_исходные!B329,FIND("(",Товары_исходные!B329)-1),Товары_исходные!B329)))</f>
        <v xml:space="preserve">Клавиатура Keychron Q1 Pro</v>
      </c>
      <c r="C329" t="str">
        <f>IFERROR(VLOOKUP(Товары_исходные!C329,Справочники!$A$2:$B$50,2,FALSE),Товары_исходные!C329)</f>
        <v>Аксессуары</v>
      </c>
      <c r="D329" t="str">
        <f>PROPER(TRIM(Товары_исходные!D329))</f>
        <v>Keychron</v>
      </c>
      <c r="E329" s="4">
        <f>IFERROR(VALUE(IF(AND(ISNUMBER(FIND(",",Товары_исходные!E329)),ISNUMBER(FIND(".",Товары_исходные!E329))),SUBSTITUTE(SUBSTITUTE(SUBSTITUTE(SUBSTITUTE(Товары_исходные!E329," ",""),"руб.",""),"руб",""),",",""),SUBSTITUTE(SUBSTITUTE(SUBSTITUTE(SUBSTITUTE(Товары_исходные!E329," ",""),"руб.",""),"руб",""),",","."))),0)</f>
        <v>7000</v>
      </c>
      <c r="F329" s="4">
        <f>IFERROR(VALUE(IF(AND(ISNUMBER(FIND(",",Товары_исходные!F329)),ISNUMBER(FIND(".",Товары_исходные!F329))),SUBSTITUTE(SUBSTITUTE(SUBSTITUTE(SUBSTITUTE(Товары_исходные!F329," ",""),"руб.",""),"руб",""),",",""),SUBSTITUTE(SUBSTITUTE(SUBSTITUTE(SUBSTITUTE(Товары_исходные!F329," ",""),"руб.",""),"руб",""),",","."))),0)</f>
        <v>11990</v>
      </c>
      <c r="G329" t="str">
        <f>IFERROR(VLOOKUP(Товары_исходные!G329,Справочники!$D$2:$E$50,2,FALSE),"шт.")</f>
        <v>шт.</v>
      </c>
      <c r="H329" t="str">
        <f t="shared" si="12"/>
        <v>OK</v>
      </c>
      <c r="I329" t="str">
        <f t="shared" si="13"/>
        <v>OK</v>
      </c>
    </row>
    <row r="330">
      <c r="A330" t="str">
        <f>"АРТ-"&amp;LEFT(SUBSTITUTE(SUBSTITUTE(SUBSTITUTE(SUBSTITUTE(Товары_исходные!A330,"№",""),"АРТ-",""),"АРТ_",""),"/","-"),3)</f>
        <v>АРТ-329</v>
      </c>
      <c r="B330" t="str">
        <f>PROPER(TRIM(IFERROR(LEFT(Товары_исходные!B330,FIND("(",Товары_исходные!B330)-1),Товары_исходные!B330)))</f>
        <v xml:space="preserve">Клавиатура Keychron Q1 Pro</v>
      </c>
      <c r="C330" t="str">
        <f>IFERROR(VLOOKUP(Товары_исходные!C330,Справочники!$A$2:$B$50,2,FALSE),Товары_исходные!C330)</f>
        <v>Аксессуары</v>
      </c>
      <c r="D330" t="str">
        <f>PROPER(TRIM(Товары_исходные!D330))</f>
        <v>Keychron</v>
      </c>
      <c r="E330" s="4">
        <f>IFERROR(VALUE(IF(AND(ISNUMBER(FIND(",",Товары_исходные!E330)),ISNUMBER(FIND(".",Товары_исходные!E330))),SUBSTITUTE(SUBSTITUTE(SUBSTITUTE(SUBSTITUTE(Товары_исходные!E330," ",""),"руб.",""),"руб",""),",",""),SUBSTITUTE(SUBSTITUTE(SUBSTITUTE(SUBSTITUTE(Товары_исходные!E330," ",""),"руб.",""),"руб",""),",","."))),0)</f>
        <v>6500</v>
      </c>
      <c r="F330" s="4">
        <f>IFERROR(VALUE(IF(AND(ISNUMBER(FIND(",",Товары_исходные!F330)),ISNUMBER(FIND(".",Товары_исходные!F330))),SUBSTITUTE(SUBSTITUTE(SUBSTITUTE(SUBSTITUTE(Товары_исходные!F330," ",""),"руб.",""),"руб",""),",",""),SUBSTITUTE(SUBSTITUTE(SUBSTITUTE(SUBSTITUTE(Товары_исходные!F330," ",""),"руб.",""),"руб",""),",","."))),0)</f>
        <v>11500</v>
      </c>
      <c r="G330" t="str">
        <f>IFERROR(VLOOKUP(Товары_исходные!G330,Справочники!$D$2:$E$50,2,FALSE),"шт.")</f>
        <v>шт.</v>
      </c>
      <c r="H330" t="str">
        <f t="shared" si="12"/>
        <v>OK</v>
      </c>
      <c r="I330" t="str">
        <f t="shared" si="13"/>
        <v>OK</v>
      </c>
    </row>
    <row r="331">
      <c r="A331" t="str">
        <f>"АРТ-"&amp;LEFT(SUBSTITUTE(SUBSTITUTE(SUBSTITUTE(SUBSTITUTE(Товары_исходные!A331,"№",""),"АРТ-",""),"АРТ_",""),"/","-"),3)</f>
        <v>АРТ-330</v>
      </c>
      <c r="B331" t="str">
        <f>PROPER(TRIM(IFERROR(LEFT(Товары_исходные!B331,FIND("(",Товары_исходные!B331)-1),Товары_исходные!B331)))</f>
        <v xml:space="preserve">Клавиатура Keychron Q1 Pro</v>
      </c>
      <c r="C331" t="str">
        <f>IFERROR(VLOOKUP(Товары_исходные!C331,Справочники!$A$2:$B$50,2,FALSE),Товары_исходные!C331)</f>
        <v>Аксессуары</v>
      </c>
      <c r="D331" t="str">
        <f>PROPER(TRIM(Товары_исходные!D331))</f>
        <v>Keychron</v>
      </c>
      <c r="E331" s="4">
        <f>IFERROR(VALUE(IF(AND(ISNUMBER(FIND(",",Товары_исходные!E331)),ISNUMBER(FIND(".",Товары_исходные!E331))),SUBSTITUTE(SUBSTITUTE(SUBSTITUTE(SUBSTITUTE(Товары_исходные!E331," ",""),"руб.",""),"руб",""),",",""),SUBSTITUTE(SUBSTITUTE(SUBSTITUTE(SUBSTITUTE(Товары_исходные!E331," ",""),"руб.",""),"руб",""),",","."))),0)</f>
        <v>7500</v>
      </c>
      <c r="F331" s="4">
        <f>IFERROR(VALUE(IF(AND(ISNUMBER(FIND(",",Товары_исходные!F331)),ISNUMBER(FIND(".",Товары_исходные!F331))),SUBSTITUTE(SUBSTITUTE(SUBSTITUTE(SUBSTITUTE(Товары_исходные!F331," ",""),"руб.",""),"руб",""),",",""),SUBSTITUTE(SUBSTITUTE(SUBSTITUTE(SUBSTITUTE(Товары_исходные!F331," ",""),"руб.",""),"руб",""),",","."))),0)</f>
        <v>12800</v>
      </c>
      <c r="G331" t="str">
        <f>IFERROR(VLOOKUP(Товары_исходные!G331,Справочники!$D$2:$E$50,2,FALSE),"шт.")</f>
        <v>шт.</v>
      </c>
      <c r="H331" t="str">
        <f t="shared" si="12"/>
        <v>OK</v>
      </c>
      <c r="I331" t="str">
        <f t="shared" si="13"/>
        <v>OK</v>
      </c>
    </row>
    <row r="332">
      <c r="A332" t="str">
        <f>"АРТ-"&amp;LEFT(SUBSTITUTE(SUBSTITUTE(SUBSTITUTE(SUBSTITUTE(Товары_исходные!A332,"№",""),"АРТ-",""),"АРТ_",""),"/","-"),3)</f>
        <v>АРТ-331</v>
      </c>
      <c r="B332" t="str">
        <f>PROPER(TRIM(IFERROR(LEFT(Товары_исходные!B332,FIND("(",Товары_исходные!B332)-1),Товары_исходные!B332)))</f>
        <v xml:space="preserve">Смарт-Часы Suunto 9 Peak</v>
      </c>
      <c r="C332" t="str">
        <f>IFERROR(VLOOKUP(Товары_исходные!C332,Справочники!$A$2:$B$50,2,FALSE),Товары_исходные!C332)</f>
        <v>Часы</v>
      </c>
      <c r="D332" t="str">
        <f>PROPER(TRIM(Товары_исходные!D332))</f>
        <v>Suunto</v>
      </c>
      <c r="E332" s="4">
        <f>IFERROR(VALUE(IF(AND(ISNUMBER(FIND(",",Товары_исходные!E332)),ISNUMBER(FIND(".",Товары_исходные!E332))),SUBSTITUTE(SUBSTITUTE(SUBSTITUTE(SUBSTITUTE(Товары_исходные!E332," ",""),"руб.",""),"руб",""),",",""),SUBSTITUTE(SUBSTITUTE(SUBSTITUTE(SUBSTITUTE(Товары_исходные!E332," ",""),"руб.",""),"руб",""),",","."))),0)</f>
        <v>45000</v>
      </c>
      <c r="F332" s="4">
        <f>IFERROR(VALUE(IF(AND(ISNUMBER(FIND(",",Товары_исходные!F332)),ISNUMBER(FIND(".",Товары_исходные!F332))),SUBSTITUTE(SUBSTITUTE(SUBSTITUTE(SUBSTITUTE(Товары_исходные!F332," ",""),"руб.",""),"руб",""),",",""),SUBSTITUTE(SUBSTITUTE(SUBSTITUTE(SUBSTITUTE(Товары_исходные!F332," ",""),"руб.",""),"руб",""),",","."))),0)</f>
        <v>69990</v>
      </c>
      <c r="G332" t="str">
        <f>IFERROR(VLOOKUP(Товары_исходные!G332,Справочники!$D$2:$E$50,2,FALSE),"шт.")</f>
        <v>шт.</v>
      </c>
      <c r="H332" t="str">
        <f t="shared" si="12"/>
        <v>OK</v>
      </c>
      <c r="I332" t="str">
        <f t="shared" si="13"/>
        <v>OK</v>
      </c>
    </row>
    <row r="333">
      <c r="A333" t="str">
        <f>"АРТ-"&amp;LEFT(SUBSTITUTE(SUBSTITUTE(SUBSTITUTE(SUBSTITUTE(Товары_исходные!A333,"№",""),"АРТ-",""),"АРТ_",""),"/","-"),3)</f>
        <v>АРТ-332</v>
      </c>
      <c r="B333" t="str">
        <f>PROPER(TRIM(IFERROR(LEFT(Товары_исходные!B333,FIND("(",Товары_исходные!B333)-1),Товары_исходные!B333)))</f>
        <v xml:space="preserve">Смарт-Часы Suunto 9 Peak</v>
      </c>
      <c r="C333" t="str">
        <f>IFERROR(VLOOKUP(Товары_исходные!C333,Справочники!$A$2:$B$50,2,FALSE),Товары_исходные!C333)</f>
        <v>Часы</v>
      </c>
      <c r="D333" t="str">
        <f>PROPER(TRIM(Товары_исходные!D333))</f>
        <v>Suunto</v>
      </c>
      <c r="E333" s="4">
        <f>IFERROR(VALUE(IF(AND(ISNUMBER(FIND(",",Товары_исходные!E333)),ISNUMBER(FIND(".",Товары_исходные!E333))),SUBSTITUTE(SUBSTITUTE(SUBSTITUTE(SUBSTITUTE(Товары_исходные!E333," ",""),"руб.",""),"руб",""),",",""),SUBSTITUTE(SUBSTITUTE(SUBSTITUTE(SUBSTITUTE(Товары_исходные!E333," ",""),"руб.",""),"руб",""),",","."))),0)</f>
        <v>43500</v>
      </c>
      <c r="F333" s="4">
        <f>IFERROR(VALUE(IF(AND(ISNUMBER(FIND(",",Товары_исходные!F333)),ISNUMBER(FIND(".",Товары_исходные!F333))),SUBSTITUTE(SUBSTITUTE(SUBSTITUTE(SUBSTITUTE(Товары_исходные!F333," ",""),"руб.",""),"руб",""),",",""),SUBSTITUTE(SUBSTITUTE(SUBSTITUTE(SUBSTITUTE(Товары_исходные!F333," ",""),"руб.",""),"руб",""),",","."))),0)</f>
        <v>67500</v>
      </c>
      <c r="G333" t="str">
        <f>IFERROR(VLOOKUP(Товары_исходные!G333,Справочники!$D$2:$E$50,2,FALSE),"шт.")</f>
        <v>шт.</v>
      </c>
      <c r="H333" t="str">
        <f t="shared" si="12"/>
        <v>OK</v>
      </c>
      <c r="I333" t="str">
        <f t="shared" si="13"/>
        <v>OK</v>
      </c>
    </row>
    <row r="334">
      <c r="A334" t="str">
        <f>"АРТ-"&amp;LEFT(SUBSTITUTE(SUBSTITUTE(SUBSTITUTE(SUBSTITUTE(Товары_исходные!A334,"№",""),"АРТ-",""),"АРТ_",""),"/","-"),3)</f>
        <v>АРТ-333</v>
      </c>
      <c r="B334" t="str">
        <f>PROPER(TRIM(IFERROR(LEFT(Товары_исходные!B334,FIND("(",Товары_исходные!B334)-1),Товары_исходные!B334)))</f>
        <v xml:space="preserve">Смарт-Часы Suunto 9 Peak</v>
      </c>
      <c r="C334" t="str">
        <f>IFERROR(VLOOKUP(Товары_исходные!C334,Справочники!$A$2:$B$50,2,FALSE),Товары_исходные!C334)</f>
        <v>Часы</v>
      </c>
      <c r="D334" t="str">
        <f>PROPER(TRIM(Товары_исходные!D334))</f>
        <v>Suunto</v>
      </c>
      <c r="E334" s="4">
        <f>IFERROR(VALUE(IF(AND(ISNUMBER(FIND(",",Товары_исходные!E334)),ISNUMBER(FIND(".",Товары_исходные!E334))),SUBSTITUTE(SUBSTITUTE(SUBSTITUTE(SUBSTITUTE(Товары_исходные!E334," ",""),"руб.",""),"руб",""),",",""),SUBSTITUTE(SUBSTITUTE(SUBSTITUTE(SUBSTITUTE(Товары_исходные!E334," ",""),"руб.",""),"руб",""),",","."))),0)</f>
        <v>46500</v>
      </c>
      <c r="F334" s="4">
        <f>IFERROR(VALUE(IF(AND(ISNUMBER(FIND(",",Товары_исходные!F334)),ISNUMBER(FIND(".",Товары_исходные!F334))),SUBSTITUTE(SUBSTITUTE(SUBSTITUTE(SUBSTITUTE(Товары_исходные!F334," ",""),"руб.",""),"руб",""),",",""),SUBSTITUTE(SUBSTITUTE(SUBSTITUTE(SUBSTITUTE(Товары_исходные!F334," ",""),"руб.",""),"руб",""),",","."))),0)</f>
        <v>72000</v>
      </c>
      <c r="G334" t="str">
        <f>IFERROR(VLOOKUP(Товары_исходные!G334,Справочники!$D$2:$E$50,2,FALSE),"шт.")</f>
        <v>шт.</v>
      </c>
      <c r="H334" t="str">
        <f t="shared" si="12"/>
        <v>OK</v>
      </c>
      <c r="I334" t="str">
        <f t="shared" si="13"/>
        <v>OK</v>
      </c>
    </row>
    <row r="335">
      <c r="A335" t="str">
        <f>"АРТ-"&amp;LEFT(SUBSTITUTE(SUBSTITUTE(SUBSTITUTE(SUBSTITUTE(Товары_исходные!A335,"№",""),"АРТ-",""),"АРТ_",""),"/","-"),3)</f>
        <v>АРТ-334</v>
      </c>
      <c r="B335" t="str">
        <f>PROPER(TRIM(IFERROR(LEFT(Товары_исходные!B335,FIND("(",Товары_исходные!B335)-1),Товары_исходные!B335)))</f>
        <v xml:space="preserve">Планшет Oneplus Pad</v>
      </c>
      <c r="C335" t="str">
        <f>IFERROR(VLOOKUP(Товары_исходные!C335,Справочники!$A$2:$B$50,2,FALSE),Товары_исходные!C335)</f>
        <v>Планшеты</v>
      </c>
      <c r="D335" t="str">
        <f>PROPER(TRIM(Товары_исходные!D335))</f>
        <v>Oneplus</v>
      </c>
      <c r="E335" s="4">
        <f>IFERROR(VALUE(IF(AND(ISNUMBER(FIND(",",Товары_исходные!E335)),ISNUMBER(FIND(".",Товары_исходные!E335))),SUBSTITUTE(SUBSTITUTE(SUBSTITUTE(SUBSTITUTE(Товары_исходные!E335," ",""),"руб.",""),"руб",""),",",""),SUBSTITUTE(SUBSTITUTE(SUBSTITUTE(SUBSTITUTE(Товары_исходные!E335," ",""),"руб.",""),"руб",""),",","."))),0)</f>
        <v>30000</v>
      </c>
      <c r="F335" s="4">
        <f>IFERROR(VALUE(IF(AND(ISNUMBER(FIND(",",Товары_исходные!F335)),ISNUMBER(FIND(".",Товары_исходные!F335))),SUBSTITUTE(SUBSTITUTE(SUBSTITUTE(SUBSTITUTE(Товары_исходные!F335," ",""),"руб.",""),"руб",""),",",""),SUBSTITUTE(SUBSTITUTE(SUBSTITUTE(SUBSTITUTE(Товары_исходные!F335," ",""),"руб.",""),"руб",""),",","."))),0)</f>
        <v>48990</v>
      </c>
      <c r="G335" t="str">
        <f>IFERROR(VLOOKUP(Товары_исходные!G335,Справочники!$D$2:$E$50,2,FALSE),"шт.")</f>
        <v>шт.</v>
      </c>
      <c r="H335" t="str">
        <f t="shared" si="12"/>
        <v>OK</v>
      </c>
      <c r="I335" t="str">
        <f t="shared" si="13"/>
        <v>OK</v>
      </c>
    </row>
    <row r="336">
      <c r="A336" t="str">
        <f>"АРТ-"&amp;LEFT(SUBSTITUTE(SUBSTITUTE(SUBSTITUTE(SUBSTITUTE(Товары_исходные!A336,"№",""),"АРТ-",""),"АРТ_",""),"/","-"),3)</f>
        <v>АРТ-335</v>
      </c>
      <c r="B336" t="str">
        <f>PROPER(TRIM(IFERROR(LEFT(Товары_исходные!B336,FIND("(",Товары_исходные!B336)-1),Товары_исходные!B336)))</f>
        <v xml:space="preserve">Планшет Oneplus Pad</v>
      </c>
      <c r="C336" t="str">
        <f>IFERROR(VLOOKUP(Товары_исходные!C336,Справочники!$A$2:$B$50,2,FALSE),Товары_исходные!C336)</f>
        <v>Планшеты</v>
      </c>
      <c r="D336" t="str">
        <f>PROPER(TRIM(Товары_исходные!D336))</f>
        <v>Oneplus</v>
      </c>
      <c r="E336" s="4">
        <f>IFERROR(VALUE(IF(AND(ISNUMBER(FIND(",",Товары_исходные!E336)),ISNUMBER(FIND(".",Товары_исходные!E336))),SUBSTITUTE(SUBSTITUTE(SUBSTITUTE(SUBSTITUTE(Товары_исходные!E336," ",""),"руб.",""),"руб",""),",",""),SUBSTITUTE(SUBSTITUTE(SUBSTITUTE(SUBSTITUTE(Товары_исходные!E336," ",""),"руб.",""),"руб",""),",","."))),0)</f>
        <v>28500</v>
      </c>
      <c r="F336" s="4">
        <f>IFERROR(VALUE(IF(AND(ISNUMBER(FIND(",",Товары_исходные!F336)),ISNUMBER(FIND(".",Товары_исходные!F336))),SUBSTITUTE(SUBSTITUTE(SUBSTITUTE(SUBSTITUTE(Товары_исходные!F336," ",""),"руб.",""),"руб",""),",",""),SUBSTITUTE(SUBSTITUTE(SUBSTITUTE(SUBSTITUTE(Товары_исходные!F336," ",""),"руб.",""),"руб",""),",","."))),0)</f>
        <v>47000</v>
      </c>
      <c r="G336" t="str">
        <f>IFERROR(VLOOKUP(Товары_исходные!G336,Справочники!$D$2:$E$50,2,FALSE),"шт.")</f>
        <v>шт.</v>
      </c>
      <c r="H336" t="str">
        <f t="shared" si="12"/>
        <v>OK</v>
      </c>
      <c r="I336" t="str">
        <f t="shared" si="13"/>
        <v>OK</v>
      </c>
    </row>
    <row r="337">
      <c r="A337" t="str">
        <f>"АРТ-"&amp;LEFT(SUBSTITUTE(SUBSTITUTE(SUBSTITUTE(SUBSTITUTE(Товары_исходные!A337,"№",""),"АРТ-",""),"АРТ_",""),"/","-"),3)</f>
        <v>АРТ-336</v>
      </c>
      <c r="B337" t="str">
        <f>PROPER(TRIM(IFERROR(LEFT(Товары_исходные!B337,FIND("(",Товары_исходные!B337)-1),Товары_исходные!B337)))</f>
        <v xml:space="preserve">Планшет Oneplus Pad</v>
      </c>
      <c r="C337" t="str">
        <f>IFERROR(VLOOKUP(Товары_исходные!C337,Справочники!$A$2:$B$50,2,FALSE),Товары_исходные!C337)</f>
        <v>Планшеты</v>
      </c>
      <c r="D337" t="str">
        <f>PROPER(TRIM(Товары_исходные!D337))</f>
        <v>Oneplus</v>
      </c>
      <c r="E337" s="4">
        <f>IFERROR(VALUE(IF(AND(ISNUMBER(FIND(",",Товары_исходные!E337)),ISNUMBER(FIND(".",Товары_исходные!E337))),SUBSTITUTE(SUBSTITUTE(SUBSTITUTE(SUBSTITUTE(Товары_исходные!E337," ",""),"руб.",""),"руб",""),",",""),SUBSTITUTE(SUBSTITUTE(SUBSTITUTE(SUBSTITUTE(Товары_исходные!E337," ",""),"руб.",""),"руб",""),",","."))),0)</f>
        <v>31500</v>
      </c>
      <c r="F337" s="4">
        <f>IFERROR(VALUE(IF(AND(ISNUMBER(FIND(",",Товары_исходные!F337)),ISNUMBER(FIND(".",Товары_исходные!F337))),SUBSTITUTE(SUBSTITUTE(SUBSTITUTE(SUBSTITUTE(Товары_исходные!F337," ",""),"руб.",""),"руб",""),",",""),SUBSTITUTE(SUBSTITUTE(SUBSTITUTE(SUBSTITUTE(Товары_исходные!F337," ",""),"руб.",""),"руб",""),",","."))),0)</f>
        <v>50500</v>
      </c>
      <c r="G337" t="str">
        <f>IFERROR(VLOOKUP(Товары_исходные!G337,Справочники!$D$2:$E$50,2,FALSE),"шт.")</f>
        <v>шт.</v>
      </c>
      <c r="H337" t="str">
        <f t="shared" si="12"/>
        <v>OK</v>
      </c>
      <c r="I337" t="str">
        <f t="shared" si="13"/>
        <v>OK</v>
      </c>
    </row>
    <row r="338">
      <c r="A338" t="str">
        <f>"АРТ-"&amp;LEFT(SUBSTITUTE(SUBSTITUTE(SUBSTITUTE(SUBSTITUTE(Товары_исходные!A338,"№",""),"АРТ-",""),"АРТ_",""),"/","-"),3)</f>
        <v>АРТ-337</v>
      </c>
      <c r="B338" t="str">
        <f>PROPER(TRIM(IFERROR(LEFT(Товары_исходные!B338,FIND("(",Товары_исходные!B338)-1),Товары_исходные!B338)))</f>
        <v xml:space="preserve">Смартфон Motorola Razr 40</v>
      </c>
      <c r="C338" t="str">
        <f>IFERROR(VLOOKUP(Товары_исходные!C338,Справочники!$A$2:$B$50,2,FALSE),Товары_исходные!C338)</f>
        <v>Смартфоны</v>
      </c>
      <c r="D338" t="str">
        <f>PROPER(TRIM(Товары_исходные!D338))</f>
        <v>Motorola</v>
      </c>
      <c r="E338" s="4">
        <f>IFERROR(VALUE(IF(AND(ISNUMBER(FIND(",",Товары_исходные!E338)),ISNUMBER(FIND(".",Товары_исходные!E338))),SUBSTITUTE(SUBSTITUTE(SUBSTITUTE(SUBSTITUTE(Товары_исходные!E338," ",""),"руб.",""),"руб",""),",",""),SUBSTITUTE(SUBSTITUTE(SUBSTITUTE(SUBSTITUTE(Товары_исходные!E338," ",""),"руб.",""),"руб",""),",","."))),0)</f>
        <v>40000</v>
      </c>
      <c r="F338" s="4">
        <f>IFERROR(VALUE(IF(AND(ISNUMBER(FIND(",",Товары_исходные!F338)),ISNUMBER(FIND(".",Товары_исходные!F338))),SUBSTITUTE(SUBSTITUTE(SUBSTITUTE(SUBSTITUTE(Товары_исходные!F338," ",""),"руб.",""),"руб",""),",",""),SUBSTITUTE(SUBSTITUTE(SUBSTITUTE(SUBSTITUTE(Товары_исходные!F338," ",""),"руб.",""),"руб",""),",","."))),0)</f>
        <v>64990</v>
      </c>
      <c r="G338" t="str">
        <f>IFERROR(VLOOKUP(Товары_исходные!G338,Справочники!$D$2:$E$50,2,FALSE),"шт.")</f>
        <v>шт.</v>
      </c>
      <c r="H338" t="str">
        <f t="shared" si="12"/>
        <v>OK</v>
      </c>
      <c r="I338" t="str">
        <f t="shared" si="13"/>
        <v>OK</v>
      </c>
    </row>
    <row r="339">
      <c r="A339" t="str">
        <f>"АРТ-"&amp;LEFT(SUBSTITUTE(SUBSTITUTE(SUBSTITUTE(SUBSTITUTE(Товары_исходные!A339,"№",""),"АРТ-",""),"АРТ_",""),"/","-"),3)</f>
        <v>АРТ-338</v>
      </c>
      <c r="B339" t="str">
        <f>PROPER(TRIM(IFERROR(LEFT(Товары_исходные!B339,FIND("(",Товары_исходные!B339)-1),Товары_исходные!B339)))</f>
        <v xml:space="preserve">Смартфон Motorola Razr 40</v>
      </c>
      <c r="C339" t="str">
        <f>IFERROR(VLOOKUP(Товары_исходные!C339,Справочники!$A$2:$B$50,2,FALSE),Товары_исходные!C339)</f>
        <v>Смартфоны</v>
      </c>
      <c r="D339" t="str">
        <f>PROPER(TRIM(Товары_исходные!D339))</f>
        <v>Motorola</v>
      </c>
      <c r="E339" s="4">
        <f>IFERROR(VALUE(IF(AND(ISNUMBER(FIND(",",Товары_исходные!E339)),ISNUMBER(FIND(".",Товары_исходные!E339))),SUBSTITUTE(SUBSTITUTE(SUBSTITUTE(SUBSTITUTE(Товары_исходные!E339," ",""),"руб.",""),"руб",""),",",""),SUBSTITUTE(SUBSTITUTE(SUBSTITUTE(SUBSTITUTE(Товары_исходные!E339," ",""),"руб.",""),"руб",""),",","."))),0)</f>
        <v>38500</v>
      </c>
      <c r="F339" s="4">
        <f>IFERROR(VALUE(IF(AND(ISNUMBER(FIND(",",Товары_исходные!F339)),ISNUMBER(FIND(".",Товары_исходные!F339))),SUBSTITUTE(SUBSTITUTE(SUBSTITUTE(SUBSTITUTE(Товары_исходные!F339," ",""),"руб.",""),"руб",""),",",""),SUBSTITUTE(SUBSTITUTE(SUBSTITUTE(SUBSTITUTE(Товары_исходные!F339," ",""),"руб.",""),"руб",""),",","."))),0)</f>
        <v>62500</v>
      </c>
      <c r="G339" t="str">
        <f>IFERROR(VLOOKUP(Товары_исходные!G339,Справочники!$D$2:$E$50,2,FALSE),"шт.")</f>
        <v>шт.</v>
      </c>
      <c r="H339" t="str">
        <f t="shared" si="12"/>
        <v>OK</v>
      </c>
      <c r="I339" t="str">
        <f t="shared" si="13"/>
        <v>OK</v>
      </c>
    </row>
    <row r="340">
      <c r="A340" t="str">
        <f>"АРТ-"&amp;LEFT(SUBSTITUTE(SUBSTITUTE(SUBSTITUTE(SUBSTITUTE(Товары_исходные!A340,"№",""),"АРТ-",""),"АРТ_",""),"/","-"),3)</f>
        <v>АРТ-339</v>
      </c>
      <c r="B340" t="str">
        <f>PROPER(TRIM(IFERROR(LEFT(Товары_исходные!B340,FIND("(",Товары_исходные!B340)-1),Товары_исходные!B340)))</f>
        <v xml:space="preserve">Смартфон Motorola Razr 40</v>
      </c>
      <c r="C340" t="str">
        <f>IFERROR(VLOOKUP(Товары_исходные!C340,Справочники!$A$2:$B$50,2,FALSE),Товары_исходные!C340)</f>
        <v>Смартфоны</v>
      </c>
      <c r="D340" t="str">
        <f>PROPER(TRIM(Товары_исходные!D340))</f>
        <v>Motorola</v>
      </c>
      <c r="E340" s="4">
        <f>IFERROR(VALUE(IF(AND(ISNUMBER(FIND(",",Товары_исходные!E340)),ISNUMBER(FIND(".",Товары_исходные!E340))),SUBSTITUTE(SUBSTITUTE(SUBSTITUTE(SUBSTITUTE(Товары_исходные!E340," ",""),"руб.",""),"руб",""),",",""),SUBSTITUTE(SUBSTITUTE(SUBSTITUTE(SUBSTITUTE(Товары_исходные!E340," ",""),"руб.",""),"руб",""),",","."))),0)</f>
        <v>41500</v>
      </c>
      <c r="F340" s="4">
        <f>IFERROR(VALUE(IF(AND(ISNUMBER(FIND(",",Товары_исходные!F340)),ISNUMBER(FIND(".",Товары_исходные!F340))),SUBSTITUTE(SUBSTITUTE(SUBSTITUTE(SUBSTITUTE(Товары_исходные!F340," ",""),"руб.",""),"руб",""),",",""),SUBSTITUTE(SUBSTITUTE(SUBSTITUTE(SUBSTITUTE(Товары_исходные!F340," ",""),"руб.",""),"руб",""),",","."))),0)</f>
        <v>67000</v>
      </c>
      <c r="G340" t="str">
        <f>IFERROR(VLOOKUP(Товары_исходные!G340,Справочники!$D$2:$E$50,2,FALSE),"шт.")</f>
        <v>шт.</v>
      </c>
      <c r="H340" t="str">
        <f t="shared" si="12"/>
        <v>OK</v>
      </c>
      <c r="I340" t="str">
        <f t="shared" si="13"/>
        <v>OK</v>
      </c>
    </row>
    <row r="341">
      <c r="A341" t="str">
        <f>"АРТ-"&amp;LEFT(SUBSTITUTE(SUBSTITUTE(SUBSTITUTE(SUBSTITUTE(Товары_исходные!A341,"№",""),"АРТ-",""),"АРТ_",""),"/","-"),3)</f>
        <v>АРТ-340</v>
      </c>
      <c r="B341" t="str">
        <f>PROPER(TRIM(IFERROR(LEFT(Товары_исходные!B341,FIND("(",Товары_исходные!B341)-1),Товары_исходные!B341)))</f>
        <v xml:space="preserve">Ноутбук Gigabyte Aero 16</v>
      </c>
      <c r="C341" t="str">
        <f>IFERROR(VLOOKUP(Товары_исходные!C341,Справочники!$A$2:$B$50,2,FALSE),Товары_исходные!C341)</f>
        <v>Ноутбуки</v>
      </c>
      <c r="D341" t="str">
        <f>PROPER(TRIM(Товары_исходные!D341))</f>
        <v>Gigabyte</v>
      </c>
      <c r="E341" s="4">
        <f>IFERROR(VALUE(IF(AND(ISNUMBER(FIND(",",Товары_исходные!E341)),ISNUMBER(FIND(".",Товары_исходные!E341))),SUBSTITUTE(SUBSTITUTE(SUBSTITUTE(SUBSTITUTE(Товары_исходные!E341," ",""),"руб.",""),"руб",""),",",""),SUBSTITUTE(SUBSTITUTE(SUBSTITUTE(SUBSTITUTE(Товары_исходные!E341," ",""),"руб.",""),"руб",""),",","."))),0)</f>
        <v>88000</v>
      </c>
      <c r="F341" s="4">
        <f>IFERROR(VALUE(IF(AND(ISNUMBER(FIND(",",Товары_исходные!F341)),ISNUMBER(FIND(".",Товары_исходные!F341))),SUBSTITUTE(SUBSTITUTE(SUBSTITUTE(SUBSTITUTE(Товары_исходные!F341," ",""),"руб.",""),"руб",""),",",""),SUBSTITUTE(SUBSTITUTE(SUBSTITUTE(SUBSTITUTE(Товары_исходные!F341," ",""),"руб.",""),"руб",""),",","."))),0)</f>
        <v>134990</v>
      </c>
      <c r="G341" t="str">
        <f>IFERROR(VLOOKUP(Товары_исходные!G341,Справочники!$D$2:$E$50,2,FALSE),"шт.")</f>
        <v>шт.</v>
      </c>
      <c r="H341" t="str">
        <f t="shared" si="12"/>
        <v>OK</v>
      </c>
      <c r="I341" t="str">
        <f t="shared" si="13"/>
        <v>OK</v>
      </c>
    </row>
    <row r="342">
      <c r="A342" t="str">
        <f>"АРТ-"&amp;LEFT(SUBSTITUTE(SUBSTITUTE(SUBSTITUTE(SUBSTITUTE(Товары_исходные!A342,"№",""),"АРТ-",""),"АРТ_",""),"/","-"),3)</f>
        <v>АРТ-341</v>
      </c>
      <c r="B342" t="str">
        <f>PROPER(TRIM(IFERROR(LEFT(Товары_исходные!B342,FIND("(",Товары_исходные!B342)-1),Товары_исходные!B342)))</f>
        <v xml:space="preserve">Ноутбук Gigabyte Aero 16</v>
      </c>
      <c r="C342" t="str">
        <f>IFERROR(VLOOKUP(Товары_исходные!C342,Справочники!$A$2:$B$50,2,FALSE),Товары_исходные!C342)</f>
        <v>Ноутбуки</v>
      </c>
      <c r="D342" t="str">
        <f>PROPER(TRIM(Товары_исходные!D342))</f>
        <v>Gigabyte</v>
      </c>
      <c r="E342" s="4">
        <f>IFERROR(VALUE(IF(AND(ISNUMBER(FIND(",",Товары_исходные!E342)),ISNUMBER(FIND(".",Товары_исходные!E342))),SUBSTITUTE(SUBSTITUTE(SUBSTITUTE(SUBSTITUTE(Товары_исходные!E342," ",""),"руб.",""),"руб",""),",",""),SUBSTITUTE(SUBSTITUTE(SUBSTITUTE(SUBSTITUTE(Товары_исходные!E342," ",""),"руб.",""),"руб",""),",","."))),0)</f>
        <v>86000</v>
      </c>
      <c r="F342" s="4">
        <f>IFERROR(VALUE(IF(AND(ISNUMBER(FIND(",",Товары_исходные!F342)),ISNUMBER(FIND(".",Товары_исходные!F342))),SUBSTITUTE(SUBSTITUTE(SUBSTITUTE(SUBSTITUTE(Товары_исходные!F342," ",""),"руб.",""),"руб",""),",",""),SUBSTITUTE(SUBSTITUTE(SUBSTITUTE(SUBSTITUTE(Товары_исходные!F342," ",""),"руб.",""),"руб",""),",","."))),0)</f>
        <v>132000</v>
      </c>
      <c r="G342" t="str">
        <f>IFERROR(VLOOKUP(Товары_исходные!G342,Справочники!$D$2:$E$50,2,FALSE),"шт.")</f>
        <v>шт.</v>
      </c>
      <c r="H342" t="str">
        <f t="shared" si="12"/>
        <v>OK</v>
      </c>
      <c r="I342" t="str">
        <f t="shared" si="13"/>
        <v>OK</v>
      </c>
    </row>
    <row r="343">
      <c r="A343" t="str">
        <f>"АРТ-"&amp;LEFT(SUBSTITUTE(SUBSTITUTE(SUBSTITUTE(SUBSTITUTE(Товары_исходные!A343,"№",""),"АРТ-",""),"АРТ_",""),"/","-"),3)</f>
        <v>АРТ-342</v>
      </c>
      <c r="B343" t="str">
        <f>PROPER(TRIM(IFERROR(LEFT(Товары_исходные!B343,FIND("(",Товары_исходные!B343)-1),Товары_исходные!B343)))</f>
        <v xml:space="preserve">Ноутбук Gigabyte Aero 16</v>
      </c>
      <c r="C343" t="str">
        <f>IFERROR(VLOOKUP(Товары_исходные!C343,Справочники!$A$2:$B$50,2,FALSE),Товары_исходные!C343)</f>
        <v>Ноутбуки</v>
      </c>
      <c r="D343" t="str">
        <f>PROPER(TRIM(Товары_исходные!D343))</f>
        <v>Gigabyte</v>
      </c>
      <c r="E343" s="4">
        <f>IFERROR(VALUE(IF(AND(ISNUMBER(FIND(",",Товары_исходные!E343)),ISNUMBER(FIND(".",Товары_исходные!E343))),SUBSTITUTE(SUBSTITUTE(SUBSTITUTE(SUBSTITUTE(Товары_исходные!E343," ",""),"руб.",""),"руб",""),",",""),SUBSTITUTE(SUBSTITUTE(SUBSTITUTE(SUBSTITUTE(Товары_исходные!E343," ",""),"руб.",""),"руб",""),",","."))),0)</f>
        <v>89500</v>
      </c>
      <c r="F343" s="4">
        <f>IFERROR(VALUE(IF(AND(ISNUMBER(FIND(",",Товары_исходные!F343)),ISNUMBER(FIND(".",Товары_исходные!F343))),SUBSTITUTE(SUBSTITUTE(SUBSTITUTE(SUBSTITUTE(Товары_исходные!F343," ",""),"руб.",""),"руб",""),",",""),SUBSTITUTE(SUBSTITUTE(SUBSTITUTE(SUBSTITUTE(Товары_исходные!F343," ",""),"руб.",""),"руб",""),",","."))),0)</f>
        <v>137500</v>
      </c>
      <c r="G343" t="str">
        <f>IFERROR(VLOOKUP(Товары_исходные!G343,Справочники!$D$2:$E$50,2,FALSE),"шт.")</f>
        <v>шт.</v>
      </c>
      <c r="H343" t="str">
        <f t="shared" si="12"/>
        <v>OK</v>
      </c>
      <c r="I343" t="str">
        <f t="shared" si="13"/>
        <v>OK</v>
      </c>
    </row>
    <row r="344">
      <c r="A344" t="str">
        <f>"АРТ-"&amp;LEFT(SUBSTITUTE(SUBSTITUTE(SUBSTITUTE(SUBSTITUTE(Товары_исходные!A344,"№",""),"АРТ-",""),"АРТ_",""),"/","-"),3)</f>
        <v>АРТ-343</v>
      </c>
      <c r="B344" t="str">
        <f>PROPER(TRIM(IFERROR(LEFT(Товары_исходные!B344,FIND("(",Товары_исходные!B344)-1),Товары_исходные!B344)))</f>
        <v xml:space="preserve">Телевизор Samsung Crystal Uhd</v>
      </c>
      <c r="C344" t="str">
        <f>IFERROR(VLOOKUP(Товары_исходные!C344,Справочники!$A$2:$B$50,2,FALSE),Товары_исходные!C344)</f>
        <v>Телевизоры</v>
      </c>
      <c r="D344" t="str">
        <f>PROPER(TRIM(Товары_исходные!D344))</f>
        <v>Samsung</v>
      </c>
      <c r="E344" s="4">
        <f>IFERROR(VALUE(IF(AND(ISNUMBER(FIND(",",Товары_исходные!E344)),ISNUMBER(FIND(".",Товары_исходные!E344))),SUBSTITUTE(SUBSTITUTE(SUBSTITUTE(SUBSTITUTE(Товары_исходные!E344," ",""),"руб.",""),"руб",""),",",""),SUBSTITUTE(SUBSTITUTE(SUBSTITUTE(SUBSTITUTE(Товары_исходные!E344," ",""),"руб.",""),"руб",""),",","."))),0)</f>
        <v>55000</v>
      </c>
      <c r="F344" s="4">
        <f>IFERROR(VALUE(IF(AND(ISNUMBER(FIND(",",Товары_исходные!F344)),ISNUMBER(FIND(".",Товары_исходные!F344))),SUBSTITUTE(SUBSTITUTE(SUBSTITUTE(SUBSTITUTE(Товары_исходные!F344," ",""),"руб.",""),"руб",""),",",""),SUBSTITUTE(SUBSTITUTE(SUBSTITUTE(SUBSTITUTE(Товары_исходные!F344," ",""),"руб.",""),"руб",""),",","."))),0)</f>
        <v>84990</v>
      </c>
      <c r="G344" t="str">
        <f>IFERROR(VLOOKUP(Товары_исходные!G344,Справочники!$D$2:$E$50,2,FALSE),"шт.")</f>
        <v>шт.</v>
      </c>
      <c r="H344" t="str">
        <f t="shared" si="12"/>
        <v>OK</v>
      </c>
      <c r="I344" t="str">
        <f t="shared" si="13"/>
        <v>OK</v>
      </c>
    </row>
    <row r="345">
      <c r="A345" t="str">
        <f>"АРТ-"&amp;LEFT(SUBSTITUTE(SUBSTITUTE(SUBSTITUTE(SUBSTITUTE(Товары_исходные!A345,"№",""),"АРТ-",""),"АРТ_",""),"/","-"),3)</f>
        <v>АРТ-344</v>
      </c>
      <c r="B345" t="str">
        <f>PROPER(TRIM(IFERROR(LEFT(Товары_исходные!B345,FIND("(",Товары_исходные!B345)-1),Товары_исходные!B345)))</f>
        <v xml:space="preserve">Телевизор Samsung Crystal Uhd</v>
      </c>
      <c r="C345" t="str">
        <f>IFERROR(VLOOKUP(Товары_исходные!C345,Справочники!$A$2:$B$50,2,FALSE),Товары_исходные!C345)</f>
        <v>Телевизоры</v>
      </c>
      <c r="D345" t="str">
        <f>PROPER(TRIM(Товары_исходные!D345))</f>
        <v>Samsung</v>
      </c>
      <c r="E345" s="4">
        <f>IFERROR(VALUE(IF(AND(ISNUMBER(FIND(",",Товары_исходные!E345)),ISNUMBER(FIND(".",Товары_исходные!E345))),SUBSTITUTE(SUBSTITUTE(SUBSTITUTE(SUBSTITUTE(Товары_исходные!E345," ",""),"руб.",""),"руб",""),",",""),SUBSTITUTE(SUBSTITUTE(SUBSTITUTE(SUBSTITUTE(Товары_исходные!E345," ",""),"руб.",""),"руб",""),",","."))),0)</f>
        <v>53000</v>
      </c>
      <c r="F345" s="4">
        <f>IFERROR(VALUE(IF(AND(ISNUMBER(FIND(",",Товары_исходные!F345)),ISNUMBER(FIND(".",Товары_исходные!F345))),SUBSTITUTE(SUBSTITUTE(SUBSTITUTE(SUBSTITUTE(Товары_исходные!F345," ",""),"руб.",""),"руб",""),",",""),SUBSTITUTE(SUBSTITUTE(SUBSTITUTE(SUBSTITUTE(Товары_исходные!F345," ",""),"руб.",""),"руб",""),",","."))),0)</f>
        <v>82000</v>
      </c>
      <c r="G345" t="str">
        <f>IFERROR(VLOOKUP(Товары_исходные!G345,Справочники!$D$2:$E$50,2,FALSE),"шт.")</f>
        <v>шт.</v>
      </c>
      <c r="H345" t="str">
        <f t="shared" si="12"/>
        <v>OK</v>
      </c>
      <c r="I345" t="str">
        <f t="shared" si="13"/>
        <v>OK</v>
      </c>
    </row>
    <row r="346">
      <c r="A346" t="str">
        <f>"АРТ-"&amp;LEFT(SUBSTITUTE(SUBSTITUTE(SUBSTITUTE(SUBSTITUTE(Товары_исходные!A346,"№",""),"АРТ-",""),"АРТ_",""),"/","-"),3)</f>
        <v>АРТ-345</v>
      </c>
      <c r="B346" t="str">
        <f>PROPER(TRIM(IFERROR(LEFT(Товары_исходные!B346,FIND("(",Товары_исходные!B346)-1),Товары_исходные!B346)))</f>
        <v xml:space="preserve">Телевизор Samsung Crystal Uhd</v>
      </c>
      <c r="C346" t="str">
        <f>IFERROR(VLOOKUP(Товары_исходные!C346,Справочники!$A$2:$B$50,2,FALSE),Товары_исходные!C346)</f>
        <v>Телевизоры</v>
      </c>
      <c r="D346" t="str">
        <f>PROPER(TRIM(Товары_исходные!D346))</f>
        <v>Samsung</v>
      </c>
      <c r="E346" s="4">
        <f>IFERROR(VALUE(IF(AND(ISNUMBER(FIND(",",Товары_исходные!E346)),ISNUMBER(FIND(".",Товары_исходные!E346))),SUBSTITUTE(SUBSTITUTE(SUBSTITUTE(SUBSTITUTE(Товары_исходные!E346," ",""),"руб.",""),"руб",""),",",""),SUBSTITUTE(SUBSTITUTE(SUBSTITUTE(SUBSTITUTE(Товары_исходные!E346," ",""),"руб.",""),"руб",""),",","."))),0)</f>
        <v>56500</v>
      </c>
      <c r="F346" s="4">
        <f>IFERROR(VALUE(IF(AND(ISNUMBER(FIND(",",Товары_исходные!F346)),ISNUMBER(FIND(".",Товары_исходные!F346))),SUBSTITUTE(SUBSTITUTE(SUBSTITUTE(SUBSTITUTE(Товары_исходные!F346," ",""),"руб.",""),"руб",""),",",""),SUBSTITUTE(SUBSTITUTE(SUBSTITUTE(SUBSTITUTE(Товары_исходные!F346," ",""),"руб.",""),"руб",""),",","."))),0)</f>
        <v>87500</v>
      </c>
      <c r="G346" t="str">
        <f>IFERROR(VLOOKUP(Товары_исходные!G346,Справочники!$D$2:$E$50,2,FALSE),"шт.")</f>
        <v>шт.</v>
      </c>
      <c r="H346" t="str">
        <f t="shared" si="12"/>
        <v>OK</v>
      </c>
      <c r="I346" t="str">
        <f t="shared" si="13"/>
        <v>OK</v>
      </c>
    </row>
    <row r="347">
      <c r="A347" t="str">
        <f>"АРТ-"&amp;LEFT(SUBSTITUTE(SUBSTITUTE(SUBSTITUTE(SUBSTITUTE(Товары_исходные!A347,"№",""),"АРТ-",""),"АРТ_",""),"/","-"),3)</f>
        <v>АРТ-346</v>
      </c>
      <c r="B347" t="str">
        <f>PROPER(TRIM(IFERROR(LEFT(Товары_исходные!B347,FIND("(",Товары_исходные!B347)-1),Товары_исходные!B347)))</f>
        <v xml:space="preserve">Наушники Audio-Technica Ath-Twx9</v>
      </c>
      <c r="C347" t="str">
        <f>IFERROR(VLOOKUP(Товары_исходные!C347,Справочники!$A$2:$B$50,2,FALSE),Товары_исходные!C347)</f>
        <v>Наушники</v>
      </c>
      <c r="D347" t="str">
        <f>PROPER(TRIM(Товары_исходные!D347))</f>
        <v>Audio-Technica</v>
      </c>
      <c r="E347" s="4">
        <f>IFERROR(VALUE(IF(AND(ISNUMBER(FIND(",",Товары_исходные!E347)),ISNUMBER(FIND(".",Товары_исходные!E347))),SUBSTITUTE(SUBSTITUTE(SUBSTITUTE(SUBSTITUTE(Товары_исходные!E347," ",""),"руб.",""),"руб",""),",",""),SUBSTITUTE(SUBSTITUTE(SUBSTITUTE(SUBSTITUTE(Товары_исходные!E347," ",""),"руб.",""),"руб",""),",","."))),0)</f>
        <v>12000</v>
      </c>
      <c r="F347" s="4">
        <f>IFERROR(VALUE(IF(AND(ISNUMBER(FIND(",",Товары_исходные!F347)),ISNUMBER(FIND(".",Товары_исходные!F347))),SUBSTITUTE(SUBSTITUTE(SUBSTITUTE(SUBSTITUTE(Товары_исходные!F347," ",""),"руб.",""),"руб",""),",",""),SUBSTITUTE(SUBSTITUTE(SUBSTITUTE(SUBSTITUTE(Товары_исходные!F347," ",""),"руб.",""),"руб",""),",","."))),0)</f>
        <v>19990</v>
      </c>
      <c r="G347" t="str">
        <f>IFERROR(VLOOKUP(Товары_исходные!G347,Справочники!$D$2:$E$50,2,FALSE),"шт.")</f>
        <v>шт.</v>
      </c>
      <c r="H347" t="str">
        <f t="shared" si="12"/>
        <v>OK</v>
      </c>
      <c r="I347" t="str">
        <f t="shared" si="13"/>
        <v>OK</v>
      </c>
    </row>
    <row r="348">
      <c r="A348" t="str">
        <f>"АРТ-"&amp;LEFT(SUBSTITUTE(SUBSTITUTE(SUBSTITUTE(SUBSTITUTE(Товары_исходные!A348,"№",""),"АРТ-",""),"АРТ_",""),"/","-"),3)</f>
        <v>АРТ-347</v>
      </c>
      <c r="B348" t="str">
        <f>PROPER(TRIM(IFERROR(LEFT(Товары_исходные!B348,FIND("(",Товары_исходные!B348)-1),Товары_исходные!B348)))</f>
        <v xml:space="preserve">Наушники Audio-Technica Ath-Twx9</v>
      </c>
      <c r="C348" t="str">
        <f>IFERROR(VLOOKUP(Товары_исходные!C348,Справочники!$A$2:$B$50,2,FALSE),Товары_исходные!C348)</f>
        <v>Наушники</v>
      </c>
      <c r="D348" t="str">
        <f>PROPER(TRIM(Товары_исходные!D348))</f>
        <v>Audio-Technica</v>
      </c>
      <c r="E348" s="4">
        <f>IFERROR(VALUE(IF(AND(ISNUMBER(FIND(",",Товары_исходные!E348)),ISNUMBER(FIND(".",Товары_исходные!E348))),SUBSTITUTE(SUBSTITUTE(SUBSTITUTE(SUBSTITUTE(Товары_исходные!E348," ",""),"руб.",""),"руб",""),",",""),SUBSTITUTE(SUBSTITUTE(SUBSTITUTE(SUBSTITUTE(Товары_исходные!E348," ",""),"руб.",""),"руб",""),",","."))),0)</f>
        <v>11500</v>
      </c>
      <c r="F348" s="4">
        <f>IFERROR(VALUE(IF(AND(ISNUMBER(FIND(",",Товары_исходные!F348)),ISNUMBER(FIND(".",Товары_исходные!F348))),SUBSTITUTE(SUBSTITUTE(SUBSTITUTE(SUBSTITUTE(Товары_исходные!F348," ",""),"руб.",""),"руб",""),",",""),SUBSTITUTE(SUBSTITUTE(SUBSTITUTE(SUBSTITUTE(Товары_исходные!F348," ",""),"руб.",""),"руб",""),",","."))),0)</f>
        <v>19000</v>
      </c>
      <c r="G348" t="str">
        <f>IFERROR(VLOOKUP(Товары_исходные!G348,Справочники!$D$2:$E$50,2,FALSE),"шт.")</f>
        <v>шт.</v>
      </c>
      <c r="H348" t="str">
        <f t="shared" si="12"/>
        <v>OK</v>
      </c>
      <c r="I348" t="str">
        <f t="shared" si="13"/>
        <v>OK</v>
      </c>
    </row>
    <row r="349">
      <c r="A349" t="str">
        <f>"АРТ-"&amp;LEFT(SUBSTITUTE(SUBSTITUTE(SUBSTITUTE(SUBSTITUTE(Товары_исходные!A349,"№",""),"АРТ-",""),"АРТ_",""),"/","-"),3)</f>
        <v>АРТ-348</v>
      </c>
      <c r="B349" t="str">
        <f>PROPER(TRIM(IFERROR(LEFT(Товары_исходные!B349,FIND("(",Товары_исходные!B349)-1),Товары_исходные!B349)))</f>
        <v xml:space="preserve">Наушники Audio-Technica Ath-Twx9</v>
      </c>
      <c r="C349" t="str">
        <f>IFERROR(VLOOKUP(Товары_исходные!C349,Справочники!$A$2:$B$50,2,FALSE),Товары_исходные!C349)</f>
        <v>Наушники</v>
      </c>
      <c r="D349" t="str">
        <f>PROPER(TRIM(Товары_исходные!D349))</f>
        <v>Audio-Technica</v>
      </c>
      <c r="E349" s="4">
        <f>IFERROR(VALUE(IF(AND(ISNUMBER(FIND(",",Товары_исходные!E349)),ISNUMBER(FIND(".",Товары_исходные!E349))),SUBSTITUTE(SUBSTITUTE(SUBSTITUTE(SUBSTITUTE(Товары_исходные!E349," ",""),"руб.",""),"руб",""),",",""),SUBSTITUTE(SUBSTITUTE(SUBSTITUTE(SUBSTITUTE(Товары_исходные!E349," ",""),"руб.",""),"руб",""),",","."))),0)</f>
        <v>12500</v>
      </c>
      <c r="F349" s="4">
        <f>IFERROR(VALUE(IF(AND(ISNUMBER(FIND(",",Товары_исходные!F349)),ISNUMBER(FIND(".",Товары_исходные!F349))),SUBSTITUTE(SUBSTITUTE(SUBSTITUTE(SUBSTITUTE(Товары_исходные!F349," ",""),"руб.",""),"руб",""),",",""),SUBSTITUTE(SUBSTITUTE(SUBSTITUTE(SUBSTITUTE(Товары_исходные!F349," ",""),"руб.",""),"руб",""),",","."))),0)</f>
        <v>20800</v>
      </c>
      <c r="G349" t="str">
        <f>IFERROR(VLOOKUP(Товары_исходные!G349,Справочники!$D$2:$E$50,2,FALSE),"шт.")</f>
        <v>шт.</v>
      </c>
      <c r="H349" t="str">
        <f t="shared" si="12"/>
        <v>OK</v>
      </c>
      <c r="I349" t="str">
        <f t="shared" si="13"/>
        <v>OK</v>
      </c>
    </row>
    <row r="350">
      <c r="A350" t="str">
        <f>"АРТ-"&amp;LEFT(SUBSTITUTE(SUBSTITUTE(SUBSTITUTE(SUBSTITUTE(Товары_исходные!A350,"№",""),"АРТ-",""),"АРТ_",""),"/","-"),3)</f>
        <v>АРТ-349</v>
      </c>
      <c r="B350" t="str">
        <f>PROPER(TRIM(IFERROR(LEFT(Товары_исходные!B350,FIND("(",Товары_исходные!B350)-1),Товары_исходные!B350)))</f>
        <v xml:space="preserve">Монитор Dell S2721Qs</v>
      </c>
      <c r="C350" t="str">
        <f>IFERROR(VLOOKUP(Товары_исходные!C350,Справочники!$A$2:$B$50,2,FALSE),Товары_исходные!C350)</f>
        <v>Мониторы</v>
      </c>
      <c r="D350" t="str">
        <f>PROPER(TRIM(Товары_исходные!D350))</f>
        <v>Dell</v>
      </c>
      <c r="E350" s="4">
        <f>IFERROR(VALUE(IF(AND(ISNUMBER(FIND(",",Товары_исходные!E350)),ISNUMBER(FIND(".",Товары_исходные!E350))),SUBSTITUTE(SUBSTITUTE(SUBSTITUTE(SUBSTITUTE(Товары_исходные!E350," ",""),"руб.",""),"руб",""),",",""),SUBSTITUTE(SUBSTITUTE(SUBSTITUTE(SUBSTITUTE(Товары_исходные!E350," ",""),"руб.",""),"руб",""),",","."))),0)</f>
        <v>35000</v>
      </c>
      <c r="F350" s="4">
        <f>IFERROR(VALUE(IF(AND(ISNUMBER(FIND(",",Товары_исходные!F350)),ISNUMBER(FIND(".",Товары_исходные!F350))),SUBSTITUTE(SUBSTITUTE(SUBSTITUTE(SUBSTITUTE(Товары_исходные!F350," ",""),"руб.",""),"руб",""),",",""),SUBSTITUTE(SUBSTITUTE(SUBSTITUTE(SUBSTITUTE(Товары_исходные!F350," ",""),"руб.",""),"руб",""),",","."))),0)</f>
        <v>54990</v>
      </c>
      <c r="G350" t="str">
        <f>IFERROR(VLOOKUP(Товары_исходные!G350,Справочники!$D$2:$E$50,2,FALSE),"шт.")</f>
        <v>шт.</v>
      </c>
      <c r="H350" t="str">
        <f t="shared" si="12"/>
        <v>OK</v>
      </c>
      <c r="I350" t="str">
        <f t="shared" si="13"/>
        <v>OK</v>
      </c>
    </row>
    <row r="351">
      <c r="A351" t="str">
        <f>"АРТ-"&amp;LEFT(SUBSTITUTE(SUBSTITUTE(SUBSTITUTE(SUBSTITUTE(Товары_исходные!A351,"№",""),"АРТ-",""),"АРТ_",""),"/","-"),3)</f>
        <v>АРТ-350</v>
      </c>
      <c r="B351" t="str">
        <f>PROPER(TRIM(IFERROR(LEFT(Товары_исходные!B351,FIND("(",Товары_исходные!B351)-1),Товары_исходные!B351)))</f>
        <v xml:space="preserve">Монитор Dell S2721Qs</v>
      </c>
      <c r="C351" t="str">
        <f>IFERROR(VLOOKUP(Товары_исходные!C351,Справочники!$A$2:$B$50,2,FALSE),Товары_исходные!C351)</f>
        <v>Мониторы</v>
      </c>
      <c r="D351" t="str">
        <f>PROPER(TRIM(Товары_исходные!D351))</f>
        <v>Dell</v>
      </c>
      <c r="E351" s="4">
        <f>IFERROR(VALUE(IF(AND(ISNUMBER(FIND(",",Товары_исходные!E351)),ISNUMBER(FIND(".",Товары_исходные!E351))),SUBSTITUTE(SUBSTITUTE(SUBSTITUTE(SUBSTITUTE(Товары_исходные!E351," ",""),"руб.",""),"руб",""),",",""),SUBSTITUTE(SUBSTITUTE(SUBSTITUTE(SUBSTITUTE(Товары_исходные!E351," ",""),"руб.",""),"руб",""),",","."))),0)</f>
        <v>33500</v>
      </c>
      <c r="F351" s="4">
        <f>IFERROR(VALUE(IF(AND(ISNUMBER(FIND(",",Товары_исходные!F351)),ISNUMBER(FIND(".",Товары_исходные!F351))),SUBSTITUTE(SUBSTITUTE(SUBSTITUTE(SUBSTITUTE(Товары_исходные!F351," ",""),"руб.",""),"руб",""),",",""),SUBSTITUTE(SUBSTITUTE(SUBSTITUTE(SUBSTITUTE(Товары_исходные!F351," ",""),"руб.",""),"руб",""),",","."))),0)</f>
        <v>52500</v>
      </c>
      <c r="G351" t="str">
        <f>IFERROR(VLOOKUP(Товары_исходные!G351,Справочники!$D$2:$E$50,2,FALSE),"шт.")</f>
        <v>шт.</v>
      </c>
      <c r="H351" t="str">
        <f t="shared" si="12"/>
        <v>OK</v>
      </c>
      <c r="I351" t="str">
        <f t="shared" si="13"/>
        <v>OK</v>
      </c>
    </row>
    <row r="352">
      <c r="A352" t="str">
        <f>"АРТ-"&amp;LEFT(SUBSTITUTE(SUBSTITUTE(SUBSTITUTE(SUBSTITUTE(Товары_исходные!A352,"№",""),"АРТ-",""),"АРТ_",""),"/","-"),3)</f>
        <v>АРТ-351</v>
      </c>
      <c r="B352" t="str">
        <f>PROPER(TRIM(IFERROR(LEFT(Товары_исходные!B352,FIND("(",Товары_исходные!B352)-1),Товары_исходные!B352)))</f>
        <v xml:space="preserve">Монитор Dell S2721Qs</v>
      </c>
      <c r="C352" t="str">
        <f>IFERROR(VLOOKUP(Товары_исходные!C352,Справочники!$A$2:$B$50,2,FALSE),Товары_исходные!C352)</f>
        <v>Мониторы</v>
      </c>
      <c r="D352" t="str">
        <f>PROPER(TRIM(Товары_исходные!D352))</f>
        <v>Dell</v>
      </c>
      <c r="E352" s="4">
        <f>IFERROR(VALUE(IF(AND(ISNUMBER(FIND(",",Товары_исходные!E352)),ISNUMBER(FIND(".",Товары_исходные!E352))),SUBSTITUTE(SUBSTITUTE(SUBSTITUTE(SUBSTITUTE(Товары_исходные!E352," ",""),"руб.",""),"руб",""),",",""),SUBSTITUTE(SUBSTITUTE(SUBSTITUTE(SUBSTITUTE(Товары_исходные!E352," ",""),"руб.",""),"руб",""),",","."))),0)</f>
        <v>36500</v>
      </c>
      <c r="F352" s="4">
        <f>IFERROR(VALUE(IF(AND(ISNUMBER(FIND(",",Товары_исходные!F352)),ISNUMBER(FIND(".",Товары_исходные!F352))),SUBSTITUTE(SUBSTITUTE(SUBSTITUTE(SUBSTITUTE(Товары_исходные!F352," ",""),"руб.",""),"руб",""),",",""),SUBSTITUTE(SUBSTITUTE(SUBSTITUTE(SUBSTITUTE(Товары_исходные!F352," ",""),"руб.",""),"руб",""),",","."))),0)</f>
        <v>57000</v>
      </c>
      <c r="G352" t="str">
        <f>IFERROR(VLOOKUP(Товары_исходные!G352,Справочники!$D$2:$E$50,2,FALSE),"шт.")</f>
        <v>шт.</v>
      </c>
      <c r="H352" t="str">
        <f t="shared" si="12"/>
        <v>OK</v>
      </c>
      <c r="I352" t="str">
        <f t="shared" si="13"/>
        <v>OK</v>
      </c>
    </row>
    <row r="353">
      <c r="A353" t="str">
        <f>"АРТ-"&amp;LEFT(SUBSTITUTE(SUBSTITUTE(SUBSTITUTE(SUBSTITUTE(Товары_исходные!A353,"№",""),"АРТ-",""),"АРТ_",""),"/","-"),3)</f>
        <v>АРТ-352</v>
      </c>
      <c r="B353" t="str">
        <f>PROPER(TRIM(IFERROR(LEFT(Товары_исходные!B353,FIND("(",Товары_исходные!B353)-1),Товары_исходные!B353)))</f>
        <v xml:space="preserve">Колонка Jbl Flip 6</v>
      </c>
      <c r="C353" t="str">
        <f>IFERROR(VLOOKUP(Товары_исходные!C353,Справочники!$A$2:$B$50,2,FALSE),Товары_исходные!C353)</f>
        <v>Аксессуары</v>
      </c>
      <c r="D353" t="str">
        <f>PROPER(TRIM(Товары_исходные!D353))</f>
        <v>Jbl</v>
      </c>
      <c r="E353" s="4">
        <f>IFERROR(VALUE(IF(AND(ISNUMBER(FIND(",",Товары_исходные!E353)),ISNUMBER(FIND(".",Товары_исходные!E353))),SUBSTITUTE(SUBSTITUTE(SUBSTITUTE(SUBSTITUTE(Товары_исходные!E353," ",""),"руб.",""),"руб",""),",",""),SUBSTITUTE(SUBSTITUTE(SUBSTITUTE(SUBSTITUTE(Товары_исходные!E353," ",""),"руб.",""),"руб",""),",","."))),0)</f>
        <v>4000</v>
      </c>
      <c r="F353" s="4">
        <f>IFERROR(VALUE(IF(AND(ISNUMBER(FIND(",",Товары_исходные!F353)),ISNUMBER(FIND(".",Товары_исходные!F353))),SUBSTITUTE(SUBSTITUTE(SUBSTITUTE(SUBSTITUTE(Товары_исходные!F353," ",""),"руб.",""),"руб",""),",",""),SUBSTITUTE(SUBSTITUTE(SUBSTITUTE(SUBSTITUTE(Товары_исходные!F353," ",""),"руб.",""),"руб",""),",","."))),0)</f>
        <v>6990</v>
      </c>
      <c r="G353" t="str">
        <f>IFERROR(VLOOKUP(Товары_исходные!G353,Справочники!$D$2:$E$50,2,FALSE),"шт.")</f>
        <v>шт.</v>
      </c>
      <c r="H353" t="str">
        <f t="shared" si="12"/>
        <v>OK</v>
      </c>
      <c r="I353" t="str">
        <f t="shared" si="13"/>
        <v>OK</v>
      </c>
    </row>
    <row r="354">
      <c r="A354" t="str">
        <f>"АРТ-"&amp;LEFT(SUBSTITUTE(SUBSTITUTE(SUBSTITUTE(SUBSTITUTE(Товары_исходные!A354,"№",""),"АРТ-",""),"АРТ_",""),"/","-"),3)</f>
        <v>АРТ-353</v>
      </c>
      <c r="B354" t="str">
        <f>PROPER(TRIM(IFERROR(LEFT(Товары_исходные!B354,FIND("(",Товары_исходные!B354)-1),Товары_исходные!B354)))</f>
        <v xml:space="preserve">Колонка Jbl Flip 6</v>
      </c>
      <c r="C354" t="str">
        <f>IFERROR(VLOOKUP(Товары_исходные!C354,Справочники!$A$2:$B$50,2,FALSE),Товары_исходные!C354)</f>
        <v>Аксессуары</v>
      </c>
      <c r="D354" t="str">
        <f>PROPER(TRIM(Товары_исходные!D354))</f>
        <v>Jbl</v>
      </c>
      <c r="E354" s="4">
        <f>IFERROR(VALUE(IF(AND(ISNUMBER(FIND(",",Товары_исходные!E354)),ISNUMBER(FIND(".",Товары_исходные!E354))),SUBSTITUTE(SUBSTITUTE(SUBSTITUTE(SUBSTITUTE(Товары_исходные!E354," ",""),"руб.",""),"руб",""),",",""),SUBSTITUTE(SUBSTITUTE(SUBSTITUTE(SUBSTITUTE(Товары_исходные!E354," ",""),"руб.",""),"руб",""),",","."))),0)</f>
        <v>3500</v>
      </c>
      <c r="F354" s="4">
        <f>IFERROR(VALUE(IF(AND(ISNUMBER(FIND(",",Товары_исходные!F354)),ISNUMBER(FIND(".",Товары_исходные!F354))),SUBSTITUTE(SUBSTITUTE(SUBSTITUTE(SUBSTITUTE(Товары_исходные!F354," ",""),"руб.",""),"руб",""),",",""),SUBSTITUTE(SUBSTITUTE(SUBSTITUTE(SUBSTITUTE(Товары_исходные!F354," ",""),"руб.",""),"руб",""),",","."))),0)</f>
        <v>6500</v>
      </c>
      <c r="G354" t="str">
        <f>IFERROR(VLOOKUP(Товары_исходные!G354,Справочники!$D$2:$E$50,2,FALSE),"шт.")</f>
        <v>шт.</v>
      </c>
      <c r="H354" t="str">
        <f t="shared" si="12"/>
        <v>OK</v>
      </c>
      <c r="I354" t="str">
        <f t="shared" si="13"/>
        <v>OK</v>
      </c>
    </row>
    <row r="355">
      <c r="A355" t="str">
        <f>"АРТ-"&amp;LEFT(SUBSTITUTE(SUBSTITUTE(SUBSTITUTE(SUBSTITUTE(Товары_исходные!A355,"№",""),"АРТ-",""),"АРТ_",""),"/","-"),3)</f>
        <v>АРТ-354</v>
      </c>
      <c r="B355" t="str">
        <f>PROPER(TRIM(IFERROR(LEFT(Товары_исходные!B355,FIND("(",Товары_исходные!B355)-1),Товары_исходные!B355)))</f>
        <v xml:space="preserve">Колонка Jbl Flip 6</v>
      </c>
      <c r="C355" t="str">
        <f>IFERROR(VLOOKUP(Товары_исходные!C355,Справочники!$A$2:$B$50,2,FALSE),Товары_исходные!C355)</f>
        <v>Аксессуары</v>
      </c>
      <c r="D355" t="str">
        <f>PROPER(TRIM(Товары_исходные!D355))</f>
        <v>Jbl</v>
      </c>
      <c r="E355" s="4">
        <f>IFERROR(VALUE(IF(AND(ISNUMBER(FIND(",",Товары_исходные!E355)),ISNUMBER(FIND(".",Товары_исходные!E355))),SUBSTITUTE(SUBSTITUTE(SUBSTITUTE(SUBSTITUTE(Товары_исходные!E355," ",""),"руб.",""),"руб",""),",",""),SUBSTITUTE(SUBSTITUTE(SUBSTITUTE(SUBSTITUTE(Товары_исходные!E355," ",""),"руб.",""),"руб",""),",","."))),0)</f>
        <v>4500</v>
      </c>
      <c r="F355" s="4">
        <f>IFERROR(VALUE(IF(AND(ISNUMBER(FIND(",",Товары_исходные!F355)),ISNUMBER(FIND(".",Товары_исходные!F355))),SUBSTITUTE(SUBSTITUTE(SUBSTITUTE(SUBSTITUTE(Товары_исходные!F355," ",""),"руб.",""),"руб",""),",",""),SUBSTITUTE(SUBSTITUTE(SUBSTITUTE(SUBSTITUTE(Товары_исходные!F355," ",""),"руб.",""),"руб",""),",","."))),0)</f>
        <v>7800</v>
      </c>
      <c r="G355" t="str">
        <f>IFERROR(VLOOKUP(Товары_исходные!G355,Справочники!$D$2:$E$50,2,FALSE),"шт.")</f>
        <v>шт.</v>
      </c>
      <c r="H355" t="str">
        <f t="shared" si="12"/>
        <v>OK</v>
      </c>
      <c r="I355" t="str">
        <f t="shared" si="13"/>
        <v>OK</v>
      </c>
    </row>
    <row r="356">
      <c r="A356" t="str">
        <f>"АРТ-"&amp;LEFT(SUBSTITUTE(SUBSTITUTE(SUBSTITUTE(SUBSTITUTE(Товары_исходные!A356,"№",""),"АРТ-",""),"АРТ_",""),"/","-"),3)</f>
        <v>АРТ-355</v>
      </c>
      <c r="B356" t="str">
        <f>PROPER(TRIM(IFERROR(LEFT(Товары_исходные!B356,FIND("(",Товары_исходные!B356)-1),Товары_исходные!B356)))</f>
        <v xml:space="preserve">Смартфон Huawei P60 Pro</v>
      </c>
      <c r="C356" t="str">
        <f>IFERROR(VLOOKUP(Товары_исходные!C356,Справочники!$A$2:$B$50,2,FALSE),Товары_исходные!C356)</f>
        <v>Смартфоны</v>
      </c>
      <c r="D356" t="str">
        <f>PROPER(TRIM(Товары_исходные!D356))</f>
        <v>Huawei</v>
      </c>
      <c r="E356" s="4">
        <f>IFERROR(VALUE(IF(AND(ISNUMBER(FIND(",",Товары_исходные!E356)),ISNUMBER(FIND(".",Товары_исходные!E356))),SUBSTITUTE(SUBSTITUTE(SUBSTITUTE(SUBSTITUTE(Товары_исходные!E356," ",""),"руб.",""),"руб",""),",",""),SUBSTITUTE(SUBSTITUTE(SUBSTITUTE(SUBSTITUTE(Товары_исходные!E356," ",""),"руб.",""),"руб",""),",","."))),0)</f>
        <v>55000</v>
      </c>
      <c r="F356" s="4">
        <f>IFERROR(VALUE(IF(AND(ISNUMBER(FIND(",",Товары_исходные!F356)),ISNUMBER(FIND(".",Товары_исходные!F356))),SUBSTITUTE(SUBSTITUTE(SUBSTITUTE(SUBSTITUTE(Товары_исходные!F356," ",""),"руб.",""),"руб",""),",",""),SUBSTITUTE(SUBSTITUTE(SUBSTITUTE(SUBSTITUTE(Товары_исходные!F356," ",""),"руб.",""),"руб",""),",","."))),0)</f>
        <v>85990</v>
      </c>
      <c r="G356" t="str">
        <f>IFERROR(VLOOKUP(Товары_исходные!G356,Справочники!$D$2:$E$50,2,FALSE),"шт.")</f>
        <v>шт.</v>
      </c>
      <c r="H356" t="str">
        <f t="shared" ref="H356:H419" si="14">IF(F356&gt;=E356,"OK","Розница ниже закупки")</f>
        <v>OK</v>
      </c>
      <c r="I356" t="str">
        <f t="shared" ref="I356:I419" si="15">IF(COUNTIF($A$2:$A$502,A356)=1,"OK","Дубликат")</f>
        <v>OK</v>
      </c>
    </row>
    <row r="357">
      <c r="A357" t="str">
        <f>"АРТ-"&amp;LEFT(SUBSTITUTE(SUBSTITUTE(SUBSTITUTE(SUBSTITUTE(Товары_исходные!A357,"№",""),"АРТ-",""),"АРТ_",""),"/","-"),3)</f>
        <v>АРТ-356</v>
      </c>
      <c r="B357" t="str">
        <f>PROPER(TRIM(IFERROR(LEFT(Товары_исходные!B357,FIND("(",Товары_исходные!B357)-1),Товары_исходные!B357)))</f>
        <v xml:space="preserve">Смартфон Huawei P60 Pro</v>
      </c>
      <c r="C357" t="str">
        <f>IFERROR(VLOOKUP(Товары_исходные!C357,Справочники!$A$2:$B$50,2,FALSE),Товары_исходные!C357)</f>
        <v>Смартфоны</v>
      </c>
      <c r="D357" t="str">
        <f>PROPER(TRIM(Товары_исходные!D357))</f>
        <v>Huawei</v>
      </c>
      <c r="E357" s="4">
        <f>IFERROR(VALUE(IF(AND(ISNUMBER(FIND(",",Товары_исходные!E357)),ISNUMBER(FIND(".",Товары_исходные!E357))),SUBSTITUTE(SUBSTITUTE(SUBSTITUTE(SUBSTITUTE(Товары_исходные!E357," ",""),"руб.",""),"руб",""),",",""),SUBSTITUTE(SUBSTITUTE(SUBSTITUTE(SUBSTITUTE(Товары_исходные!E357," ",""),"руб.",""),"руб",""),",","."))),0)</f>
        <v>53000</v>
      </c>
      <c r="F357" s="4">
        <f>IFERROR(VALUE(IF(AND(ISNUMBER(FIND(",",Товары_исходные!F357)),ISNUMBER(FIND(".",Товары_исходные!F357))),SUBSTITUTE(SUBSTITUTE(SUBSTITUTE(SUBSTITUTE(Товары_исходные!F357," ",""),"руб.",""),"руб",""),",",""),SUBSTITUTE(SUBSTITUTE(SUBSTITUTE(SUBSTITUTE(Товары_исходные!F357," ",""),"руб.",""),"руб",""),",","."))),0)</f>
        <v>83000</v>
      </c>
      <c r="G357" t="str">
        <f>IFERROR(VLOOKUP(Товары_исходные!G357,Справочники!$D$2:$E$50,2,FALSE),"шт.")</f>
        <v>шт.</v>
      </c>
      <c r="H357" t="str">
        <f t="shared" si="14"/>
        <v>OK</v>
      </c>
      <c r="I357" t="str">
        <f t="shared" si="15"/>
        <v>OK</v>
      </c>
    </row>
    <row r="358">
      <c r="A358" t="str">
        <f>"АРТ-"&amp;LEFT(SUBSTITUTE(SUBSTITUTE(SUBSTITUTE(SUBSTITUTE(Товары_исходные!A358,"№",""),"АРТ-",""),"АРТ_",""),"/","-"),3)</f>
        <v>АРТ-357</v>
      </c>
      <c r="B358" t="str">
        <f>PROPER(TRIM(IFERROR(LEFT(Товары_исходные!B358,FIND("(",Товары_исходные!B358)-1),Товары_исходные!B358)))</f>
        <v xml:space="preserve">Смартфон Huawei P60 Pro</v>
      </c>
      <c r="C358" t="str">
        <f>IFERROR(VLOOKUP(Товары_исходные!C358,Справочники!$A$2:$B$50,2,FALSE),Товары_исходные!C358)</f>
        <v>Смартфоны</v>
      </c>
      <c r="D358" t="str">
        <f>PROPER(TRIM(Товары_исходные!D358))</f>
        <v>Huawei</v>
      </c>
      <c r="E358" s="4">
        <f>IFERROR(VALUE(IF(AND(ISNUMBER(FIND(",",Товары_исходные!E358)),ISNUMBER(FIND(".",Товары_исходные!E358))),SUBSTITUTE(SUBSTITUTE(SUBSTITUTE(SUBSTITUTE(Товары_исходные!E358," ",""),"руб.",""),"руб",""),",",""),SUBSTITUTE(SUBSTITUTE(SUBSTITUTE(SUBSTITUTE(Товары_исходные!E358," ",""),"руб.",""),"руб",""),",","."))),0)</f>
        <v>56500</v>
      </c>
      <c r="F358" s="4">
        <f>IFERROR(VALUE(IF(AND(ISNUMBER(FIND(",",Товары_исходные!F358)),ISNUMBER(FIND(".",Товары_исходные!F358))),SUBSTITUTE(SUBSTITUTE(SUBSTITUTE(SUBSTITUTE(Товары_исходные!F358," ",""),"руб.",""),"руб",""),",",""),SUBSTITUTE(SUBSTITUTE(SUBSTITUTE(SUBSTITUTE(Товары_исходные!F358," ",""),"руб.",""),"руб",""),",","."))),0)</f>
        <v>88000</v>
      </c>
      <c r="G358" t="str">
        <f>IFERROR(VLOOKUP(Товары_исходные!G358,Справочники!$D$2:$E$50,2,FALSE),"шт.")</f>
        <v>шт.</v>
      </c>
      <c r="H358" t="str">
        <f t="shared" si="14"/>
        <v>OK</v>
      </c>
      <c r="I358" t="str">
        <f t="shared" si="15"/>
        <v>OK</v>
      </c>
    </row>
    <row r="359">
      <c r="A359" t="str">
        <f>"АРТ-"&amp;LEFT(SUBSTITUTE(SUBSTITUTE(SUBSTITUTE(SUBSTITUTE(Товары_исходные!A359,"№",""),"АРТ-",""),"АРТ_",""),"/","-"),3)</f>
        <v>АРТ-358</v>
      </c>
      <c r="B359" t="str">
        <f>PROPER(TRIM(IFERROR(LEFT(Товары_исходные!B359,FIND("(",Товары_исходные!B359)-1),Товары_исходные!B359)))</f>
        <v xml:space="preserve">Планшет Apple Ipad Air</v>
      </c>
      <c r="C359" t="str">
        <f>IFERROR(VLOOKUP(Товары_исходные!C359,Справочники!$A$2:$B$50,2,FALSE),Товары_исходные!C359)</f>
        <v>Планшеты</v>
      </c>
      <c r="D359" t="str">
        <f>PROPER(TRIM(Товары_исходные!D359))</f>
        <v>Apple</v>
      </c>
      <c r="E359" s="4">
        <f>IFERROR(VALUE(IF(AND(ISNUMBER(FIND(",",Товары_исходные!E359)),ISNUMBER(FIND(".",Товары_исходные!E359))),SUBSTITUTE(SUBSTITUTE(SUBSTITUTE(SUBSTITUTE(Товары_исходные!E359," ",""),"руб.",""),"руб",""),",",""),SUBSTITUTE(SUBSTITUTE(SUBSTITUTE(SUBSTITUTE(Товары_исходные!E359," ",""),"руб.",""),"руб",""),",","."))),0)</f>
        <v>38000</v>
      </c>
      <c r="F359" s="4">
        <f>IFERROR(VALUE(IF(AND(ISNUMBER(FIND(",",Товары_исходные!F359)),ISNUMBER(FIND(".",Товары_исходные!F359))),SUBSTITUTE(SUBSTITUTE(SUBSTITUTE(SUBSTITUTE(Товары_исходные!F359," ",""),"руб.",""),"руб",""),",",""),SUBSTITUTE(SUBSTITUTE(SUBSTITUTE(SUBSTITUTE(Товары_исходные!F359," ",""),"руб.",""),"руб",""),",","."))),0)</f>
        <v>59990</v>
      </c>
      <c r="G359" t="str">
        <f>IFERROR(VLOOKUP(Товары_исходные!G359,Справочники!$D$2:$E$50,2,FALSE),"шт.")</f>
        <v>шт.</v>
      </c>
      <c r="H359" t="str">
        <f t="shared" si="14"/>
        <v>OK</v>
      </c>
      <c r="I359" t="str">
        <f t="shared" si="15"/>
        <v>OK</v>
      </c>
    </row>
    <row r="360">
      <c r="A360" t="str">
        <f>"АРТ-"&amp;LEFT(SUBSTITUTE(SUBSTITUTE(SUBSTITUTE(SUBSTITUTE(Товары_исходные!A360,"№",""),"АРТ-",""),"АРТ_",""),"/","-"),3)</f>
        <v>АРТ-359</v>
      </c>
      <c r="B360" t="str">
        <f>PROPER(TRIM(IFERROR(LEFT(Товары_исходные!B360,FIND("(",Товары_исходные!B360)-1),Товары_исходные!B360)))</f>
        <v xml:space="preserve">Планшет Apple Ipad Air</v>
      </c>
      <c r="C360" t="str">
        <f>IFERROR(VLOOKUP(Товары_исходные!C360,Справочники!$A$2:$B$50,2,FALSE),Товары_исходные!C360)</f>
        <v>Планшеты</v>
      </c>
      <c r="D360" t="str">
        <f>PROPER(TRIM(Товары_исходные!D360))</f>
        <v>Apple</v>
      </c>
      <c r="E360" s="4">
        <f>IFERROR(VALUE(IF(AND(ISNUMBER(FIND(",",Товары_исходные!E360)),ISNUMBER(FIND(".",Товары_исходные!E360))),SUBSTITUTE(SUBSTITUTE(SUBSTITUTE(SUBSTITUTE(Товары_исходные!E360," ",""),"руб.",""),"руб",""),",",""),SUBSTITUTE(SUBSTITUTE(SUBSTITUTE(SUBSTITUTE(Товары_исходные!E360," ",""),"руб.",""),"руб",""),",","."))),0)</f>
        <v>36500</v>
      </c>
      <c r="F360" s="4">
        <f>IFERROR(VALUE(IF(AND(ISNUMBER(FIND(",",Товары_исходные!F360)),ISNUMBER(FIND(".",Товары_исходные!F360))),SUBSTITUTE(SUBSTITUTE(SUBSTITUTE(SUBSTITUTE(Товары_исходные!F360," ",""),"руб.",""),"руб",""),",",""),SUBSTITUTE(SUBSTITUTE(SUBSTITUTE(SUBSTITUTE(Товары_исходные!F360," ",""),"руб.",""),"руб",""),",","."))),0)</f>
        <v>58000</v>
      </c>
      <c r="G360" t="str">
        <f>IFERROR(VLOOKUP(Товары_исходные!G360,Справочники!$D$2:$E$50,2,FALSE),"шт.")</f>
        <v>шт.</v>
      </c>
      <c r="H360" t="str">
        <f t="shared" si="14"/>
        <v>OK</v>
      </c>
      <c r="I360" t="str">
        <f t="shared" si="15"/>
        <v>OK</v>
      </c>
    </row>
    <row r="361">
      <c r="A361" t="str">
        <f>"АРТ-"&amp;LEFT(SUBSTITUTE(SUBSTITUTE(SUBSTITUTE(SUBSTITUTE(Товары_исходные!A361,"№",""),"АРТ-",""),"АРТ_",""),"/","-"),3)</f>
        <v>АРТ-360</v>
      </c>
      <c r="B361" t="str">
        <f>PROPER(TRIM(IFERROR(LEFT(Товары_исходные!B361,FIND("(",Товары_исходные!B361)-1),Товары_исходные!B361)))</f>
        <v xml:space="preserve">Планшет Apple Ipad Air</v>
      </c>
      <c r="C361" t="str">
        <f>IFERROR(VLOOKUP(Товары_исходные!C361,Справочники!$A$2:$B$50,2,FALSE),Товары_исходные!C361)</f>
        <v>Планшеты</v>
      </c>
      <c r="D361" t="str">
        <f>PROPER(TRIM(Товары_исходные!D361))</f>
        <v>Apple</v>
      </c>
      <c r="E361" s="4">
        <f>IFERROR(VALUE(IF(AND(ISNUMBER(FIND(",",Товары_исходные!E361)),ISNUMBER(FIND(".",Товары_исходные!E361))),SUBSTITUTE(SUBSTITUTE(SUBSTITUTE(SUBSTITUTE(Товары_исходные!E361," ",""),"руб.",""),"руб",""),",",""),SUBSTITUTE(SUBSTITUTE(SUBSTITUTE(SUBSTITUTE(Товары_исходные!E361," ",""),"руб.",""),"руб",""),",","."))),0)</f>
        <v>39500</v>
      </c>
      <c r="F361" s="4">
        <f>IFERROR(VALUE(IF(AND(ISNUMBER(FIND(",",Товары_исходные!F361)),ISNUMBER(FIND(".",Товары_исходные!F361))),SUBSTITUTE(SUBSTITUTE(SUBSTITUTE(SUBSTITUTE(Товары_исходные!F361," ",""),"руб.",""),"руб",""),",",""),SUBSTITUTE(SUBSTITUTE(SUBSTITUTE(SUBSTITUTE(Товары_исходные!F361," ",""),"руб.",""),"руб",""),",","."))),0)</f>
        <v>62000</v>
      </c>
      <c r="G361" t="str">
        <f>IFERROR(VLOOKUP(Товары_исходные!G361,Справочники!$D$2:$E$50,2,FALSE),"шт.")</f>
        <v>шт.</v>
      </c>
      <c r="H361" t="str">
        <f t="shared" si="14"/>
        <v>OK</v>
      </c>
      <c r="I361" t="str">
        <f t="shared" si="15"/>
        <v>OK</v>
      </c>
    </row>
    <row r="362">
      <c r="A362" t="str">
        <f>"АРТ-"&amp;LEFT(SUBSTITUTE(SUBSTITUTE(SUBSTITUTE(SUBSTITUTE(Товары_исходные!A362,"№",""),"АРТ-",""),"АРТ_",""),"/","-"),3)</f>
        <v>АРТ-361</v>
      </c>
      <c r="B362" t="str">
        <f>PROPER(TRIM(IFERROR(LEFT(Товары_исходные!B362,FIND("(",Товары_исходные!B362)-1),Товары_исходные!B362)))</f>
        <v xml:space="preserve">Ноутбук Msi Creator Z17</v>
      </c>
      <c r="C362" t="str">
        <f>IFERROR(VLOOKUP(Товары_исходные!C362,Справочники!$A$2:$B$50,2,FALSE),Товары_исходные!C362)</f>
        <v>Ноутбуки</v>
      </c>
      <c r="D362" t="str">
        <f>PROPER(TRIM(Товары_исходные!D362))</f>
        <v>Msi</v>
      </c>
      <c r="E362" s="4">
        <f>IFERROR(VALUE(IF(AND(ISNUMBER(FIND(",",Товары_исходные!E362)),ISNUMBER(FIND(".",Товары_исходные!E362))),SUBSTITUTE(SUBSTITUTE(SUBSTITUTE(SUBSTITUTE(Товары_исходные!E362," ",""),"руб.",""),"руб",""),",",""),SUBSTITUTE(SUBSTITUTE(SUBSTITUTE(SUBSTITUTE(Товары_исходные!E362," ",""),"руб.",""),"руб",""),",","."))),0)</f>
        <v>95000</v>
      </c>
      <c r="F362" s="4">
        <f>IFERROR(VALUE(IF(AND(ISNUMBER(FIND(",",Товары_исходные!F362)),ISNUMBER(FIND(".",Товары_исходные!F362))),SUBSTITUTE(SUBSTITUTE(SUBSTITUTE(SUBSTITUTE(Товары_исходные!F362," ",""),"руб.",""),"руб",""),",",""),SUBSTITUTE(SUBSTITUTE(SUBSTITUTE(SUBSTITUTE(Товары_исходные!F362," ",""),"руб.",""),"руб",""),",","."))),0)</f>
        <v>145990</v>
      </c>
      <c r="G362" t="str">
        <f>IFERROR(VLOOKUP(Товары_исходные!G362,Справочники!$D$2:$E$50,2,FALSE),"шт.")</f>
        <v>шт.</v>
      </c>
      <c r="H362" t="str">
        <f t="shared" si="14"/>
        <v>OK</v>
      </c>
      <c r="I362" t="str">
        <f t="shared" si="15"/>
        <v>OK</v>
      </c>
    </row>
    <row r="363">
      <c r="A363" t="str">
        <f>"АРТ-"&amp;LEFT(SUBSTITUTE(SUBSTITUTE(SUBSTITUTE(SUBSTITUTE(Товары_исходные!A363,"№",""),"АРТ-",""),"АРТ_",""),"/","-"),3)</f>
        <v>АРТ-362</v>
      </c>
      <c r="B363" t="str">
        <f>PROPER(TRIM(IFERROR(LEFT(Товары_исходные!B363,FIND("(",Товары_исходные!B363)-1),Товары_исходные!B363)))</f>
        <v xml:space="preserve">Ноутбук Msi Creator Z17</v>
      </c>
      <c r="C363" t="str">
        <f>IFERROR(VLOOKUP(Товары_исходные!C363,Справочники!$A$2:$B$50,2,FALSE),Товары_исходные!C363)</f>
        <v>Ноутбуки</v>
      </c>
      <c r="D363" t="str">
        <f>PROPER(TRIM(Товары_исходные!D363))</f>
        <v>Msi</v>
      </c>
      <c r="E363" s="4">
        <f>IFERROR(VALUE(IF(AND(ISNUMBER(FIND(",",Товары_исходные!E363)),ISNUMBER(FIND(".",Товары_исходные!E363))),SUBSTITUTE(SUBSTITUTE(SUBSTITUTE(SUBSTITUTE(Товары_исходные!E363," ",""),"руб.",""),"руб",""),",",""),SUBSTITUTE(SUBSTITUTE(SUBSTITUTE(SUBSTITUTE(Товары_исходные!E363," ",""),"руб.",""),"руб",""),",","."))),0)</f>
        <v>93000</v>
      </c>
      <c r="F363" s="4">
        <f>IFERROR(VALUE(IF(AND(ISNUMBER(FIND(",",Товары_исходные!F363)),ISNUMBER(FIND(".",Товары_исходные!F363))),SUBSTITUTE(SUBSTITUTE(SUBSTITUTE(SUBSTITUTE(Товары_исходные!F363," ",""),"руб.",""),"руб",""),",",""),SUBSTITUTE(SUBSTITUTE(SUBSTITUTE(SUBSTITUTE(Товары_исходные!F363," ",""),"руб.",""),"руб",""),",","."))),0)</f>
        <v>142500</v>
      </c>
      <c r="G363" t="str">
        <f>IFERROR(VLOOKUP(Товары_исходные!G363,Справочники!$D$2:$E$50,2,FALSE),"шт.")</f>
        <v>шт.</v>
      </c>
      <c r="H363" t="str">
        <f t="shared" si="14"/>
        <v>OK</v>
      </c>
      <c r="I363" t="str">
        <f t="shared" si="15"/>
        <v>OK</v>
      </c>
    </row>
    <row r="364">
      <c r="A364" t="str">
        <f>"АРТ-"&amp;LEFT(SUBSTITUTE(SUBSTITUTE(SUBSTITUTE(SUBSTITUTE(Товары_исходные!A364,"№",""),"АРТ-",""),"АРТ_",""),"/","-"),3)</f>
        <v>АРТ-363</v>
      </c>
      <c r="B364" t="str">
        <f>PROPER(TRIM(IFERROR(LEFT(Товары_исходные!B364,FIND("(",Товары_исходные!B364)-1),Товары_исходные!B364)))</f>
        <v xml:space="preserve">Ноутбук Msi Creator Z17</v>
      </c>
      <c r="C364" t="str">
        <f>IFERROR(VLOOKUP(Товары_исходные!C364,Справочники!$A$2:$B$50,2,FALSE),Товары_исходные!C364)</f>
        <v>Ноутбуки</v>
      </c>
      <c r="D364" t="str">
        <f>PROPER(TRIM(Товары_исходные!D364))</f>
        <v>Msi</v>
      </c>
      <c r="E364" s="4">
        <f>IFERROR(VALUE(IF(AND(ISNUMBER(FIND(",",Товары_исходные!E364)),ISNUMBER(FIND(".",Товары_исходные!E364))),SUBSTITUTE(SUBSTITUTE(SUBSTITUTE(SUBSTITUTE(Товары_исходные!E364," ",""),"руб.",""),"руб",""),",",""),SUBSTITUTE(SUBSTITUTE(SUBSTITUTE(SUBSTITUTE(Товары_исходные!E364," ",""),"руб.",""),"руб",""),",","."))),0)</f>
        <v>96500</v>
      </c>
      <c r="F364" s="4">
        <f>IFERROR(VALUE(IF(AND(ISNUMBER(FIND(",",Товары_исходные!F364)),ISNUMBER(FIND(".",Товары_исходные!F364))),SUBSTITUTE(SUBSTITUTE(SUBSTITUTE(SUBSTITUTE(Товары_исходные!F364," ",""),"руб.",""),"руб",""),",",""),SUBSTITUTE(SUBSTITUTE(SUBSTITUTE(SUBSTITUTE(Товары_исходные!F364," ",""),"руб.",""),"руб",""),",","."))),0)</f>
        <v>149000</v>
      </c>
      <c r="G364" t="str">
        <f>IFERROR(VLOOKUP(Товары_исходные!G364,Справочники!$D$2:$E$50,2,FALSE),"шт.")</f>
        <v>шт.</v>
      </c>
      <c r="H364" t="str">
        <f t="shared" si="14"/>
        <v>OK</v>
      </c>
      <c r="I364" t="str">
        <f t="shared" si="15"/>
        <v>OK</v>
      </c>
    </row>
    <row r="365">
      <c r="A365" t="str">
        <f>"АРТ-"&amp;LEFT(SUBSTITUTE(SUBSTITUTE(SUBSTITUTE(SUBSTITUTE(Товары_исходные!A365,"№",""),"АРТ-",""),"АРТ_",""),"/","-"),3)</f>
        <v>АРТ-364</v>
      </c>
      <c r="B365" t="str">
        <f>PROPER(TRIM(IFERROR(LEFT(Товары_исходные!B365,FIND("(",Товары_исходные!B365)-1),Товары_исходные!B365)))</f>
        <v xml:space="preserve">Телевизор Sony A80L</v>
      </c>
      <c r="C365" t="str">
        <f>IFERROR(VLOOKUP(Товары_исходные!C365,Справочники!$A$2:$B$50,2,FALSE),Товары_исходные!C365)</f>
        <v>Телевизоры</v>
      </c>
      <c r="D365" t="str">
        <f>PROPER(TRIM(Товары_исходные!D365))</f>
        <v>Sony</v>
      </c>
      <c r="E365" s="4">
        <f>IFERROR(VALUE(IF(AND(ISNUMBER(FIND(",",Товары_исходные!E365)),ISNUMBER(FIND(".",Товары_исходные!E365))),SUBSTITUTE(SUBSTITUTE(SUBSTITUTE(SUBSTITUTE(Товары_исходные!E365," ",""),"руб.",""),"руб",""),",",""),SUBSTITUTE(SUBSTITUTE(SUBSTITUTE(SUBSTITUTE(Товары_исходные!E365," ",""),"руб.",""),"руб",""),",","."))),0)</f>
        <v>90000</v>
      </c>
      <c r="F365" s="4">
        <f>IFERROR(VALUE(IF(AND(ISNUMBER(FIND(",",Товары_исходные!F365)),ISNUMBER(FIND(".",Товары_исходные!F365))),SUBSTITUTE(SUBSTITUTE(SUBSTITUTE(SUBSTITUTE(Товары_исходные!F365," ",""),"руб.",""),"руб",""),",",""),SUBSTITUTE(SUBSTITUTE(SUBSTITUTE(SUBSTITUTE(Товары_исходные!F365," ",""),"руб.",""),"руб",""),",","."))),0)</f>
        <v>139990</v>
      </c>
      <c r="G365" t="str">
        <f>IFERROR(VLOOKUP(Товары_исходные!G365,Справочники!$D$2:$E$50,2,FALSE),"шт.")</f>
        <v>шт.</v>
      </c>
      <c r="H365" t="str">
        <f t="shared" si="14"/>
        <v>OK</v>
      </c>
      <c r="I365" t="str">
        <f t="shared" si="15"/>
        <v>OK</v>
      </c>
    </row>
    <row r="366">
      <c r="A366" t="str">
        <f>"АРТ-"&amp;LEFT(SUBSTITUTE(SUBSTITUTE(SUBSTITUTE(SUBSTITUTE(Товары_исходные!A366,"№",""),"АРТ-",""),"АРТ_",""),"/","-"),3)</f>
        <v>АРТ-365</v>
      </c>
      <c r="B366" t="str">
        <f>PROPER(TRIM(IFERROR(LEFT(Товары_исходные!B366,FIND("(",Товары_исходные!B366)-1),Товары_исходные!B366)))</f>
        <v xml:space="preserve">Телевизор Sony A80L</v>
      </c>
      <c r="C366" t="str">
        <f>IFERROR(VLOOKUP(Товары_исходные!C366,Справочники!$A$2:$B$50,2,FALSE),Товары_исходные!C366)</f>
        <v>Телевизоры</v>
      </c>
      <c r="D366" t="str">
        <f>PROPER(TRIM(Товары_исходные!D366))</f>
        <v>Sony</v>
      </c>
      <c r="E366" s="4">
        <f>IFERROR(VALUE(IF(AND(ISNUMBER(FIND(",",Товары_исходные!E366)),ISNUMBER(FIND(".",Товары_исходные!E366))),SUBSTITUTE(SUBSTITUTE(SUBSTITUTE(SUBSTITUTE(Товары_исходные!E366," ",""),"руб.",""),"руб",""),",",""),SUBSTITUTE(SUBSTITUTE(SUBSTITUTE(SUBSTITUTE(Товары_исходные!E366," ",""),"руб.",""),"руб",""),",","."))),0)</f>
        <v>88000</v>
      </c>
      <c r="F366" s="4">
        <f>IFERROR(VALUE(IF(AND(ISNUMBER(FIND(",",Товары_исходные!F366)),ISNUMBER(FIND(".",Товары_исходные!F366))),SUBSTITUTE(SUBSTITUTE(SUBSTITUTE(SUBSTITUTE(Товары_исходные!F366," ",""),"руб.",""),"руб",""),",",""),SUBSTITUTE(SUBSTITUTE(SUBSTITUTE(SUBSTITUTE(Товары_исходные!F366," ",""),"руб.",""),"руб",""),",","."))),0)</f>
        <v>137000</v>
      </c>
      <c r="G366" t="str">
        <f>IFERROR(VLOOKUP(Товары_исходные!G366,Справочники!$D$2:$E$50,2,FALSE),"шт.")</f>
        <v>шт.</v>
      </c>
      <c r="H366" t="str">
        <f t="shared" si="14"/>
        <v>OK</v>
      </c>
      <c r="I366" t="str">
        <f t="shared" si="15"/>
        <v>OK</v>
      </c>
    </row>
    <row r="367">
      <c r="A367" t="str">
        <f>"АРТ-"&amp;LEFT(SUBSTITUTE(SUBSTITUTE(SUBSTITUTE(SUBSTITUTE(Товары_исходные!A367,"№",""),"АРТ-",""),"АРТ_",""),"/","-"),3)</f>
        <v>АРТ-366</v>
      </c>
      <c r="B367" t="str">
        <f>PROPER(TRIM(IFERROR(LEFT(Товары_исходные!B367,FIND("(",Товары_исходные!B367)-1),Товары_исходные!B367)))</f>
        <v xml:space="preserve">Телевизор Sony A80L</v>
      </c>
      <c r="C367" t="str">
        <f>IFERROR(VLOOKUP(Товары_исходные!C367,Справочники!$A$2:$B$50,2,FALSE),Товары_исходные!C367)</f>
        <v>Телевизоры</v>
      </c>
      <c r="D367" t="str">
        <f>PROPER(TRIM(Товары_исходные!D367))</f>
        <v>Sony</v>
      </c>
      <c r="E367" s="4">
        <f>IFERROR(VALUE(IF(AND(ISNUMBER(FIND(",",Товары_исходные!E367)),ISNUMBER(FIND(".",Товары_исходные!E367))),SUBSTITUTE(SUBSTITUTE(SUBSTITUTE(SUBSTITUTE(Товары_исходные!E367," ",""),"руб.",""),"руб",""),",",""),SUBSTITUTE(SUBSTITUTE(SUBSTITUTE(SUBSTITUTE(Товары_исходные!E367," ",""),"руб.",""),"руб",""),",","."))),0)</f>
        <v>91500</v>
      </c>
      <c r="F367" s="4">
        <f>IFERROR(VALUE(IF(AND(ISNUMBER(FIND(",",Товары_исходные!F367)),ISNUMBER(FIND(".",Товары_исходные!F367))),SUBSTITUTE(SUBSTITUTE(SUBSTITUTE(SUBSTITUTE(Товары_исходные!F367," ",""),"руб.",""),"руб",""),",",""),SUBSTITUTE(SUBSTITUTE(SUBSTITUTE(SUBSTITUTE(Товары_исходные!F367," ",""),"руб.",""),"руб",""),",","."))),0)</f>
        <v>142500</v>
      </c>
      <c r="G367" t="str">
        <f>IFERROR(VLOOKUP(Товары_исходные!G367,Справочники!$D$2:$E$50,2,FALSE),"шт.")</f>
        <v>шт.</v>
      </c>
      <c r="H367" t="str">
        <f t="shared" si="14"/>
        <v>OK</v>
      </c>
      <c r="I367" t="str">
        <f t="shared" si="15"/>
        <v>OK</v>
      </c>
    </row>
    <row r="368">
      <c r="A368" t="str">
        <f>"АРТ-"&amp;LEFT(SUBSTITUTE(SUBSTITUTE(SUBSTITUTE(SUBSTITUTE(Товары_исходные!A368,"№",""),"АРТ-",""),"АРТ_",""),"/","-"),3)</f>
        <v>АРТ-367</v>
      </c>
      <c r="B368" t="str">
        <f>PROPER(TRIM(IFERROR(LEFT(Товары_исходные!B368,FIND("(",Товары_исходные!B368)-1),Товары_исходные!B368)))</f>
        <v xml:space="preserve">Наушники Beats Fit Pro</v>
      </c>
      <c r="C368" t="str">
        <f>IFERROR(VLOOKUP(Товары_исходные!C368,Справочники!$A$2:$B$50,2,FALSE),Товары_исходные!C368)</f>
        <v>Наушники</v>
      </c>
      <c r="D368" t="str">
        <f>PROPER(TRIM(Товары_исходные!D368))</f>
        <v>Beats</v>
      </c>
      <c r="E368" s="4">
        <f>IFERROR(VALUE(IF(AND(ISNUMBER(FIND(",",Товары_исходные!E368)),ISNUMBER(FIND(".",Товары_исходные!E368))),SUBSTITUTE(SUBSTITUTE(SUBSTITUTE(SUBSTITUTE(Товары_исходные!E368," ",""),"руб.",""),"руб",""),",",""),SUBSTITUTE(SUBSTITUTE(SUBSTITUTE(SUBSTITUTE(Товары_исходные!E368," ",""),"руб.",""),"руб",""),",","."))),0)</f>
        <v>12000</v>
      </c>
      <c r="F368" s="4">
        <f>IFERROR(VALUE(IF(AND(ISNUMBER(FIND(",",Товары_исходные!F368)),ISNUMBER(FIND(".",Товары_исходные!F368))),SUBSTITUTE(SUBSTITUTE(SUBSTITUTE(SUBSTITUTE(Товары_исходные!F368," ",""),"руб.",""),"руб",""),",",""),SUBSTITUTE(SUBSTITUTE(SUBSTITUTE(SUBSTITUTE(Товары_исходные!F368," ",""),"руб.",""),"руб",""),",","."))),0)</f>
        <v>19990</v>
      </c>
      <c r="G368" t="str">
        <f>IFERROR(VLOOKUP(Товары_исходные!G368,Справочники!$D$2:$E$50,2,FALSE),"шт.")</f>
        <v>шт.</v>
      </c>
      <c r="H368" t="str">
        <f t="shared" si="14"/>
        <v>OK</v>
      </c>
      <c r="I368" t="str">
        <f t="shared" si="15"/>
        <v>OK</v>
      </c>
    </row>
    <row r="369">
      <c r="A369" t="str">
        <f>"АРТ-"&amp;LEFT(SUBSTITUTE(SUBSTITUTE(SUBSTITUTE(SUBSTITUTE(Товары_исходные!A369,"№",""),"АРТ-",""),"АРТ_",""),"/","-"),3)</f>
        <v>АРТ-368</v>
      </c>
      <c r="B369" t="str">
        <f>PROPER(TRIM(IFERROR(LEFT(Товары_исходные!B369,FIND("(",Товары_исходные!B369)-1),Товары_исходные!B369)))</f>
        <v xml:space="preserve">Наушники Beats Fit Pro</v>
      </c>
      <c r="C369" t="str">
        <f>IFERROR(VLOOKUP(Товары_исходные!C369,Справочники!$A$2:$B$50,2,FALSE),Товары_исходные!C369)</f>
        <v>Наушники</v>
      </c>
      <c r="D369" t="str">
        <f>PROPER(TRIM(Товары_исходные!D369))</f>
        <v>Beats</v>
      </c>
      <c r="E369" s="4">
        <f>IFERROR(VALUE(IF(AND(ISNUMBER(FIND(",",Товары_исходные!E369)),ISNUMBER(FIND(".",Товары_исходные!E369))),SUBSTITUTE(SUBSTITUTE(SUBSTITUTE(SUBSTITUTE(Товары_исходные!E369," ",""),"руб.",""),"руб",""),",",""),SUBSTITUTE(SUBSTITUTE(SUBSTITUTE(SUBSTITUTE(Товары_исходные!E369," ",""),"руб.",""),"руб",""),",","."))),0)</f>
        <v>11500</v>
      </c>
      <c r="F369" s="4">
        <f>IFERROR(VALUE(IF(AND(ISNUMBER(FIND(",",Товары_исходные!F369)),ISNUMBER(FIND(".",Товары_исходные!F369))),SUBSTITUTE(SUBSTITUTE(SUBSTITUTE(SUBSTITUTE(Товары_исходные!F369," ",""),"руб.",""),"руб",""),",",""),SUBSTITUTE(SUBSTITUTE(SUBSTITUTE(SUBSTITUTE(Товары_исходные!F369," ",""),"руб.",""),"руб",""),",","."))),0)</f>
        <v>19000</v>
      </c>
      <c r="G369" t="str">
        <f>IFERROR(VLOOKUP(Товары_исходные!G369,Справочники!$D$2:$E$50,2,FALSE),"шт.")</f>
        <v>шт.</v>
      </c>
      <c r="H369" t="str">
        <f t="shared" si="14"/>
        <v>OK</v>
      </c>
      <c r="I369" t="str">
        <f t="shared" si="15"/>
        <v>OK</v>
      </c>
    </row>
    <row r="370">
      <c r="A370" t="str">
        <f>"АРТ-"&amp;LEFT(SUBSTITUTE(SUBSTITUTE(SUBSTITUTE(SUBSTITUTE(Товары_исходные!A370,"№",""),"АРТ-",""),"АРТ_",""),"/","-"),3)</f>
        <v>АРТ-369</v>
      </c>
      <c r="B370" t="str">
        <f>PROPER(TRIM(IFERROR(LEFT(Товары_исходные!B370,FIND("(",Товары_исходные!B370)-1),Товары_исходные!B370)))</f>
        <v xml:space="preserve">Наушники Beats Fit Pro</v>
      </c>
      <c r="C370" t="str">
        <f>IFERROR(VLOOKUP(Товары_исходные!C370,Справочники!$A$2:$B$50,2,FALSE),Товары_исходные!C370)</f>
        <v>Наушники</v>
      </c>
      <c r="D370" t="str">
        <f>PROPER(TRIM(Товары_исходные!D370))</f>
        <v>Beats</v>
      </c>
      <c r="E370" s="4">
        <f>IFERROR(VALUE(IF(AND(ISNUMBER(FIND(",",Товары_исходные!E370)),ISNUMBER(FIND(".",Товары_исходные!E370))),SUBSTITUTE(SUBSTITUTE(SUBSTITUTE(SUBSTITUTE(Товары_исходные!E370," ",""),"руб.",""),"руб",""),",",""),SUBSTITUTE(SUBSTITUTE(SUBSTITUTE(SUBSTITUTE(Товары_исходные!E370," ",""),"руб.",""),"руб",""),",","."))),0)</f>
        <v>12500</v>
      </c>
      <c r="F370" s="4">
        <f>IFERROR(VALUE(IF(AND(ISNUMBER(FIND(",",Товары_исходные!F370)),ISNUMBER(FIND(".",Товары_исходные!F370))),SUBSTITUTE(SUBSTITUTE(SUBSTITUTE(SUBSTITUTE(Товары_исходные!F370," ",""),"руб.",""),"руб",""),",",""),SUBSTITUTE(SUBSTITUTE(SUBSTITUTE(SUBSTITUTE(Товары_исходные!F370," ",""),"руб.",""),"руб",""),",","."))),0)</f>
        <v>20800</v>
      </c>
      <c r="G370" t="str">
        <f>IFERROR(VLOOKUP(Товары_исходные!G370,Справочники!$D$2:$E$50,2,FALSE),"шт.")</f>
        <v>шт.</v>
      </c>
      <c r="H370" t="str">
        <f t="shared" si="14"/>
        <v>OK</v>
      </c>
      <c r="I370" t="str">
        <f t="shared" si="15"/>
        <v>OK</v>
      </c>
    </row>
    <row r="371">
      <c r="A371" t="str">
        <f>"АРТ-"&amp;LEFT(SUBSTITUTE(SUBSTITUTE(SUBSTITUTE(SUBSTITUTE(Товары_исходные!A371,"№",""),"АРТ-",""),"АРТ_",""),"/","-"),3)</f>
        <v>АРТ-370</v>
      </c>
      <c r="B371" t="str">
        <f>PROPER(TRIM(IFERROR(LEFT(Товары_исходные!B371,FIND("(",Товары_исходные!B371)-1),Товары_исходные!B371)))</f>
        <v xml:space="preserve">Монитор Asus Vg27Aq</v>
      </c>
      <c r="C371" t="str">
        <f>IFERROR(VLOOKUP(Товары_исходные!C371,Справочники!$A$2:$B$50,2,FALSE),Товары_исходные!C371)</f>
        <v>Мониторы</v>
      </c>
      <c r="D371" t="str">
        <f>PROPER(TRIM(Товары_исходные!D371))</f>
        <v>Asus</v>
      </c>
      <c r="E371" s="4">
        <f>IFERROR(VALUE(IF(AND(ISNUMBER(FIND(",",Товары_исходные!E371)),ISNUMBER(FIND(".",Товары_исходные!E371))),SUBSTITUTE(SUBSTITUTE(SUBSTITUTE(SUBSTITUTE(Товары_исходные!E371," ",""),"руб.",""),"руб",""),",",""),SUBSTITUTE(SUBSTITUTE(SUBSTITUTE(SUBSTITUTE(Товары_исходные!E371," ",""),"руб.",""),"руб",""),",","."))),0)</f>
        <v>32000</v>
      </c>
      <c r="F371" s="4">
        <f>IFERROR(VALUE(IF(AND(ISNUMBER(FIND(",",Товары_исходные!F371)),ISNUMBER(FIND(".",Товары_исходные!F371))),SUBSTITUTE(SUBSTITUTE(SUBSTITUTE(SUBSTITUTE(Товары_исходные!F371," ",""),"руб.",""),"руб",""),",",""),SUBSTITUTE(SUBSTITUTE(SUBSTITUTE(SUBSTITUTE(Товары_исходные!F371," ",""),"руб.",""),"руб",""),",","."))),0)</f>
        <v>49990</v>
      </c>
      <c r="G371" t="str">
        <f>IFERROR(VLOOKUP(Товары_исходные!G371,Справочники!$D$2:$E$50,2,FALSE),"шт.")</f>
        <v>шт.</v>
      </c>
      <c r="H371" t="str">
        <f t="shared" si="14"/>
        <v>OK</v>
      </c>
      <c r="I371" t="str">
        <f t="shared" si="15"/>
        <v>OK</v>
      </c>
    </row>
    <row r="372">
      <c r="A372" t="str">
        <f>"АРТ-"&amp;LEFT(SUBSTITUTE(SUBSTITUTE(SUBSTITUTE(SUBSTITUTE(Товары_исходные!A372,"№",""),"АРТ-",""),"АРТ_",""),"/","-"),3)</f>
        <v>АРТ-371</v>
      </c>
      <c r="B372" t="str">
        <f>PROPER(TRIM(IFERROR(LEFT(Товары_исходные!B372,FIND("(",Товары_исходные!B372)-1),Товары_исходные!B372)))</f>
        <v xml:space="preserve">Монитор Asus Vg27Aq</v>
      </c>
      <c r="C372" t="str">
        <f>IFERROR(VLOOKUP(Товары_исходные!C372,Справочники!$A$2:$B$50,2,FALSE),Товары_исходные!C372)</f>
        <v>Мониторы</v>
      </c>
      <c r="D372" t="str">
        <f>PROPER(TRIM(Товары_исходные!D372))</f>
        <v>Asus</v>
      </c>
      <c r="E372" s="4">
        <f>IFERROR(VALUE(IF(AND(ISNUMBER(FIND(",",Товары_исходные!E372)),ISNUMBER(FIND(".",Товары_исходные!E372))),SUBSTITUTE(SUBSTITUTE(SUBSTITUTE(SUBSTITUTE(Товары_исходные!E372," ",""),"руб.",""),"руб",""),",",""),SUBSTITUTE(SUBSTITUTE(SUBSTITUTE(SUBSTITUTE(Товары_исходные!E372," ",""),"руб.",""),"руб",""),",","."))),0)</f>
        <v>30500</v>
      </c>
      <c r="F372" s="4">
        <f>IFERROR(VALUE(IF(AND(ISNUMBER(FIND(",",Товары_исходные!F372)),ISNUMBER(FIND(".",Товары_исходные!F372))),SUBSTITUTE(SUBSTITUTE(SUBSTITUTE(SUBSTITUTE(Товары_исходные!F372," ",""),"руб.",""),"руб",""),",",""),SUBSTITUTE(SUBSTITUTE(SUBSTITUTE(SUBSTITUTE(Товары_исходные!F372," ",""),"руб.",""),"руб",""),",","."))),0)</f>
        <v>48000</v>
      </c>
      <c r="G372" t="str">
        <f>IFERROR(VLOOKUP(Товары_исходные!G372,Справочники!$D$2:$E$50,2,FALSE),"шт.")</f>
        <v>шт.</v>
      </c>
      <c r="H372" t="str">
        <f t="shared" si="14"/>
        <v>OK</v>
      </c>
      <c r="I372" t="str">
        <f t="shared" si="15"/>
        <v>OK</v>
      </c>
    </row>
    <row r="373">
      <c r="A373" t="str">
        <f>"АРТ-"&amp;LEFT(SUBSTITUTE(SUBSTITUTE(SUBSTITUTE(SUBSTITUTE(Товары_исходные!A373,"№",""),"АРТ-",""),"АРТ_",""),"/","-"),3)</f>
        <v>АРТ-372</v>
      </c>
      <c r="B373" t="str">
        <f>PROPER(TRIM(IFERROR(LEFT(Товары_исходные!B373,FIND("(",Товары_исходные!B373)-1),Товары_исходные!B373)))</f>
        <v xml:space="preserve">Монитор Asus Vg27Aq</v>
      </c>
      <c r="C373" t="str">
        <f>IFERROR(VLOOKUP(Товары_исходные!C373,Справочники!$A$2:$B$50,2,FALSE),Товары_исходные!C373)</f>
        <v>Мониторы</v>
      </c>
      <c r="D373" t="str">
        <f>PROPER(TRIM(Товары_исходные!D373))</f>
        <v>Asus</v>
      </c>
      <c r="E373" s="4">
        <f>IFERROR(VALUE(IF(AND(ISNUMBER(FIND(",",Товары_исходные!E373)),ISNUMBER(FIND(".",Товары_исходные!E373))),SUBSTITUTE(SUBSTITUTE(SUBSTITUTE(SUBSTITUTE(Товары_исходные!E373," ",""),"руб.",""),"руб",""),",",""),SUBSTITUTE(SUBSTITUTE(SUBSTITUTE(SUBSTITUTE(Товары_исходные!E373," ",""),"руб.",""),"руб",""),",","."))),0)</f>
        <v>33500</v>
      </c>
      <c r="F373" s="4">
        <f>IFERROR(VALUE(IF(AND(ISNUMBER(FIND(",",Товары_исходные!F373)),ISNUMBER(FIND(".",Товары_исходные!F373))),SUBSTITUTE(SUBSTITUTE(SUBSTITUTE(SUBSTITUTE(Товары_исходные!F373," ",""),"руб.",""),"руб",""),",",""),SUBSTITUTE(SUBSTITUTE(SUBSTITUTE(SUBSTITUTE(Товары_исходные!F373," ",""),"руб.",""),"руб",""),",","."))),0)</f>
        <v>52000</v>
      </c>
      <c r="G373" t="str">
        <f>IFERROR(VLOOKUP(Товары_исходные!G373,Справочники!$D$2:$E$50,2,FALSE),"шт.")</f>
        <v>шт.</v>
      </c>
      <c r="H373" t="str">
        <f t="shared" si="14"/>
        <v>OK</v>
      </c>
      <c r="I373" t="str">
        <f t="shared" si="15"/>
        <v>OK</v>
      </c>
    </row>
    <row r="374">
      <c r="A374" t="str">
        <f>"АРТ-"&amp;LEFT(SUBSTITUTE(SUBSTITUTE(SUBSTITUTE(SUBSTITUTE(Товары_исходные!A374,"№",""),"АРТ-",""),"АРТ_",""),"/","-"),3)</f>
        <v>АРТ-373</v>
      </c>
      <c r="B374" t="str">
        <f>PROPER(TRIM(IFERROR(LEFT(Товары_исходные!B374,FIND("(",Товары_исходные!B374)-1),Товары_исходные!B374)))</f>
        <v xml:space="preserve">Клавиатура Razer Huntsman V2</v>
      </c>
      <c r="C374" t="str">
        <f>IFERROR(VLOOKUP(Товары_исходные!C374,Справочники!$A$2:$B$50,2,FALSE),Товары_исходные!C374)</f>
        <v>Аксессуары</v>
      </c>
      <c r="D374" t="str">
        <f>PROPER(TRIM(Товары_исходные!D374))</f>
        <v>Razer</v>
      </c>
      <c r="E374" s="4">
        <f>IFERROR(VALUE(IF(AND(ISNUMBER(FIND(",",Товары_исходные!E374)),ISNUMBER(FIND(".",Товары_исходные!E374))),SUBSTITUTE(SUBSTITUTE(SUBSTITUTE(SUBSTITUTE(Товары_исходные!E374," ",""),"руб.",""),"руб",""),",",""),SUBSTITUTE(SUBSTITUTE(SUBSTITUTE(SUBSTITUTE(Товары_исходные!E374," ",""),"руб.",""),"руб",""),",","."))),0)</f>
        <v>8500</v>
      </c>
      <c r="F374" s="4">
        <f>IFERROR(VALUE(IF(AND(ISNUMBER(FIND(",",Товары_исходные!F374)),ISNUMBER(FIND(".",Товары_исходные!F374))),SUBSTITUTE(SUBSTITUTE(SUBSTITUTE(SUBSTITUTE(Товары_исходные!F374," ",""),"руб.",""),"руб",""),",",""),SUBSTITUTE(SUBSTITUTE(SUBSTITUTE(SUBSTITUTE(Товары_исходные!F374," ",""),"руб.",""),"руб",""),",","."))),0)</f>
        <v>13990</v>
      </c>
      <c r="G374" t="str">
        <f>IFERROR(VLOOKUP(Товары_исходные!G374,Справочники!$D$2:$E$50,2,FALSE),"шт.")</f>
        <v>шт.</v>
      </c>
      <c r="H374" t="str">
        <f t="shared" si="14"/>
        <v>OK</v>
      </c>
      <c r="I374" t="str">
        <f t="shared" si="15"/>
        <v>OK</v>
      </c>
    </row>
    <row r="375">
      <c r="A375" t="str">
        <f>"АРТ-"&amp;LEFT(SUBSTITUTE(SUBSTITUTE(SUBSTITUTE(SUBSTITUTE(Товары_исходные!A375,"№",""),"АРТ-",""),"АРТ_",""),"/","-"),3)</f>
        <v>АРТ-374</v>
      </c>
      <c r="B375" t="str">
        <f>PROPER(TRIM(IFERROR(LEFT(Товары_исходные!B375,FIND("(",Товары_исходные!B375)-1),Товары_исходные!B375)))</f>
        <v xml:space="preserve">Клавиатура Razer Huntsman V2</v>
      </c>
      <c r="C375" t="str">
        <f>IFERROR(VLOOKUP(Товары_исходные!C375,Справочники!$A$2:$B$50,2,FALSE),Товары_исходные!C375)</f>
        <v>Аксессуары</v>
      </c>
      <c r="D375" t="str">
        <f>PROPER(TRIM(Товары_исходные!D375))</f>
        <v>Razer</v>
      </c>
      <c r="E375" s="4">
        <f>IFERROR(VALUE(IF(AND(ISNUMBER(FIND(",",Товары_исходные!E375)),ISNUMBER(FIND(".",Товары_исходные!E375))),SUBSTITUTE(SUBSTITUTE(SUBSTITUTE(SUBSTITUTE(Товары_исходные!E375," ",""),"руб.",""),"руб",""),",",""),SUBSTITUTE(SUBSTITUTE(SUBSTITUTE(SUBSTITUTE(Товары_исходные!E375," ",""),"руб.",""),"руб",""),",","."))),0)</f>
        <v>8000</v>
      </c>
      <c r="F375" s="4">
        <f>IFERROR(VALUE(IF(AND(ISNUMBER(FIND(",",Товары_исходные!F375)),ISNUMBER(FIND(".",Товары_исходные!F375))),SUBSTITUTE(SUBSTITUTE(SUBSTITUTE(SUBSTITUTE(Товары_исходные!F375," ",""),"руб.",""),"руб",""),",",""),SUBSTITUTE(SUBSTITUTE(SUBSTITUTE(SUBSTITUTE(Товары_исходные!F375," ",""),"руб.",""),"руб",""),",","."))),0)</f>
        <v>13500</v>
      </c>
      <c r="G375" t="str">
        <f>IFERROR(VLOOKUP(Товары_исходные!G375,Справочники!$D$2:$E$50,2,FALSE),"шт.")</f>
        <v>шт.</v>
      </c>
      <c r="H375" t="str">
        <f t="shared" si="14"/>
        <v>OK</v>
      </c>
      <c r="I375" t="str">
        <f t="shared" si="15"/>
        <v>OK</v>
      </c>
    </row>
    <row r="376">
      <c r="A376" t="str">
        <f>"АРТ-"&amp;LEFT(SUBSTITUTE(SUBSTITUTE(SUBSTITUTE(SUBSTITUTE(Товары_исходные!A376,"№",""),"АРТ-",""),"АРТ_",""),"/","-"),3)</f>
        <v>АРТ-375</v>
      </c>
      <c r="B376" t="str">
        <f>PROPER(TRIM(IFERROR(LEFT(Товары_исходные!B376,FIND("(",Товары_исходные!B376)-1),Товары_исходные!B376)))</f>
        <v xml:space="preserve">Клавиатура Razer Huntsman V2</v>
      </c>
      <c r="C376" t="str">
        <f>IFERROR(VLOOKUP(Товары_исходные!C376,Справочники!$A$2:$B$50,2,FALSE),Товары_исходные!C376)</f>
        <v>Аксессуары</v>
      </c>
      <c r="D376" t="str">
        <f>PROPER(TRIM(Товары_исходные!D376))</f>
        <v>Razer</v>
      </c>
      <c r="E376" s="4">
        <f>IFERROR(VALUE(IF(AND(ISNUMBER(FIND(",",Товары_исходные!E376)),ISNUMBER(FIND(".",Товары_исходные!E376))),SUBSTITUTE(SUBSTITUTE(SUBSTITUTE(SUBSTITUTE(Товары_исходные!E376," ",""),"руб.",""),"руб",""),",",""),SUBSTITUTE(SUBSTITUTE(SUBSTITUTE(SUBSTITUTE(Товары_исходные!E376," ",""),"руб.",""),"руб",""),",","."))),0)</f>
        <v>9000</v>
      </c>
      <c r="F376" s="4">
        <f>IFERROR(VALUE(IF(AND(ISNUMBER(FIND(",",Товары_исходные!F376)),ISNUMBER(FIND(".",Товары_исходные!F376))),SUBSTITUTE(SUBSTITUTE(SUBSTITUTE(SUBSTITUTE(Товары_исходные!F376," ",""),"руб.",""),"руб",""),",",""),SUBSTITUTE(SUBSTITUTE(SUBSTITUTE(SUBSTITUTE(Товары_исходные!F376," ",""),"руб.",""),"руб",""),",","."))),0)</f>
        <v>14800</v>
      </c>
      <c r="G376" t="str">
        <f>IFERROR(VLOOKUP(Товары_исходные!G376,Справочники!$D$2:$E$50,2,FALSE),"шт.")</f>
        <v>шт.</v>
      </c>
      <c r="H376" t="str">
        <f t="shared" si="14"/>
        <v>OK</v>
      </c>
      <c r="I376" t="str">
        <f t="shared" si="15"/>
        <v>OK</v>
      </c>
    </row>
    <row r="377">
      <c r="A377" t="str">
        <f>"АРТ-"&amp;LEFT(SUBSTITUTE(SUBSTITUTE(SUBSTITUTE(SUBSTITUTE(Товары_исходные!A377,"№",""),"АРТ-",""),"АРТ_",""),"/","-"),3)</f>
        <v>АРТ-376</v>
      </c>
      <c r="B377" t="str">
        <f>PROPER(TRIM(IFERROR(LEFT(Товары_исходные!B377,FIND("(",Товары_исходные!B377)-1),Товары_исходные!B377)))</f>
        <v xml:space="preserve">Смарт-Часы Xiaomi Watch S1</v>
      </c>
      <c r="C377" t="str">
        <f>IFERROR(VLOOKUP(Товары_исходные!C377,Справочники!$A$2:$B$50,2,FALSE),Товары_исходные!C377)</f>
        <v>Часы</v>
      </c>
      <c r="D377" t="str">
        <f>PROPER(TRIM(Товары_исходные!D377))</f>
        <v>Xiaomi</v>
      </c>
      <c r="E377" s="4">
        <f>IFERROR(VALUE(IF(AND(ISNUMBER(FIND(",",Товары_исходные!E377)),ISNUMBER(FIND(".",Товары_исходные!E377))),SUBSTITUTE(SUBSTITUTE(SUBSTITUTE(SUBSTITUTE(Товары_исходные!E377," ",""),"руб.",""),"руб",""),",",""),SUBSTITUTE(SUBSTITUTE(SUBSTITUTE(SUBSTITUTE(Товары_исходные!E377," ",""),"руб.",""),"руб",""),",","."))),0)</f>
        <v>15000</v>
      </c>
      <c r="F377" s="4">
        <f>IFERROR(VALUE(IF(AND(ISNUMBER(FIND(",",Товары_исходные!F377)),ISNUMBER(FIND(".",Товары_исходные!F377))),SUBSTITUTE(SUBSTITUTE(SUBSTITUTE(SUBSTITUTE(Товары_исходные!F377," ",""),"руб.",""),"руб",""),",",""),SUBSTITUTE(SUBSTITUTE(SUBSTITUTE(SUBSTITUTE(Товары_исходные!F377," ",""),"руб.",""),"руб",""),",","."))),0)</f>
        <v>24990</v>
      </c>
      <c r="G377" t="str">
        <f>IFERROR(VLOOKUP(Товары_исходные!G377,Справочники!$D$2:$E$50,2,FALSE),"шт.")</f>
        <v>шт.</v>
      </c>
      <c r="H377" t="str">
        <f t="shared" si="14"/>
        <v>OK</v>
      </c>
      <c r="I377" t="str">
        <f t="shared" si="15"/>
        <v>OK</v>
      </c>
    </row>
    <row r="378">
      <c r="A378" t="str">
        <f>"АРТ-"&amp;LEFT(SUBSTITUTE(SUBSTITUTE(SUBSTITUTE(SUBSTITUTE(Товары_исходные!A378,"№",""),"АРТ-",""),"АРТ_",""),"/","-"),3)</f>
        <v>АРТ-377</v>
      </c>
      <c r="B378" t="str">
        <f>PROPER(TRIM(IFERROR(LEFT(Товары_исходные!B378,FIND("(",Товары_исходные!B378)-1),Товары_исходные!B378)))</f>
        <v xml:space="preserve">Смарт-Часы Xiaomi Watch S1</v>
      </c>
      <c r="C378" t="str">
        <f>IFERROR(VLOOKUP(Товары_исходные!C378,Справочники!$A$2:$B$50,2,FALSE),Товары_исходные!C378)</f>
        <v>Часы</v>
      </c>
      <c r="D378" t="str">
        <f>PROPER(TRIM(Товары_исходные!D378))</f>
        <v>Xiaomi</v>
      </c>
      <c r="E378" s="4">
        <f>IFERROR(VALUE(IF(AND(ISNUMBER(FIND(",",Товары_исходные!E378)),ISNUMBER(FIND(".",Товары_исходные!E378))),SUBSTITUTE(SUBSTITUTE(SUBSTITUTE(SUBSTITUTE(Товары_исходные!E378," ",""),"руб.",""),"руб",""),",",""),SUBSTITUTE(SUBSTITUTE(SUBSTITUTE(SUBSTITUTE(Товары_исходные!E378," ",""),"руб.",""),"руб",""),",","."))),0)</f>
        <v>14000</v>
      </c>
      <c r="F378" s="4">
        <f>IFERROR(VALUE(IF(AND(ISNUMBER(FIND(",",Товары_исходные!F378)),ISNUMBER(FIND(".",Товары_исходные!F378))),SUBSTITUTE(SUBSTITUTE(SUBSTITUTE(SUBSTITUTE(Товары_исходные!F378," ",""),"руб.",""),"руб",""),",",""),SUBSTITUTE(SUBSTITUTE(SUBSTITUTE(SUBSTITUTE(Товары_исходные!F378," ",""),"руб.",""),"руб",""),",","."))),0)</f>
        <v>23500</v>
      </c>
      <c r="G378" t="str">
        <f>IFERROR(VLOOKUP(Товары_исходные!G378,Справочники!$D$2:$E$50,2,FALSE),"шт.")</f>
        <v>шт.</v>
      </c>
      <c r="H378" t="str">
        <f t="shared" si="14"/>
        <v>OK</v>
      </c>
      <c r="I378" t="str">
        <f t="shared" si="15"/>
        <v>OK</v>
      </c>
    </row>
    <row r="379">
      <c r="A379" t="str">
        <f>"АРТ-"&amp;LEFT(SUBSTITUTE(SUBSTITUTE(SUBSTITUTE(SUBSTITUTE(Товары_исходные!A379,"№",""),"АРТ-",""),"АРТ_",""),"/","-"),3)</f>
        <v>АРТ-378</v>
      </c>
      <c r="B379" t="str">
        <f>PROPER(TRIM(IFERROR(LEFT(Товары_исходные!B379,FIND("(",Товары_исходные!B379)-1),Товары_исходные!B379)))</f>
        <v xml:space="preserve">Смарт-Часы Xiaomi Watch S1</v>
      </c>
      <c r="C379" t="str">
        <f>IFERROR(VLOOKUP(Товары_исходные!C379,Справочники!$A$2:$B$50,2,FALSE),Товары_исходные!C379)</f>
        <v>Часы</v>
      </c>
      <c r="D379" t="str">
        <f>PROPER(TRIM(Товары_исходные!D379))</f>
        <v>Xiaomi</v>
      </c>
      <c r="E379" s="4">
        <f>IFERROR(VALUE(IF(AND(ISNUMBER(FIND(",",Товары_исходные!E379)),ISNUMBER(FIND(".",Товары_исходные!E379))),SUBSTITUTE(SUBSTITUTE(SUBSTITUTE(SUBSTITUTE(Товары_исходные!E379," ",""),"руб.",""),"руб",""),",",""),SUBSTITUTE(SUBSTITUTE(SUBSTITUTE(SUBSTITUTE(Товары_исходные!E379," ",""),"руб.",""),"руб",""),",","."))),0)</f>
        <v>16000</v>
      </c>
      <c r="F379" s="4">
        <f>IFERROR(VALUE(IF(AND(ISNUMBER(FIND(",",Товары_исходные!F379)),ISNUMBER(FIND(".",Товары_исходные!F379))),SUBSTITUTE(SUBSTITUTE(SUBSTITUTE(SUBSTITUTE(Товары_исходные!F379," ",""),"руб.",""),"руб",""),",",""),SUBSTITUTE(SUBSTITUTE(SUBSTITUTE(SUBSTITUTE(Товары_исходные!F379," ",""),"руб.",""),"руб",""),",","."))),0)</f>
        <v>26500</v>
      </c>
      <c r="G379" t="str">
        <f>IFERROR(VLOOKUP(Товары_исходные!G379,Справочники!$D$2:$E$50,2,FALSE),"шт.")</f>
        <v>шт.</v>
      </c>
      <c r="H379" t="str">
        <f t="shared" si="14"/>
        <v>OK</v>
      </c>
      <c r="I379" t="str">
        <f t="shared" si="15"/>
        <v>OK</v>
      </c>
    </row>
    <row r="380">
      <c r="A380" t="str">
        <f>"АРТ-"&amp;LEFT(SUBSTITUTE(SUBSTITUTE(SUBSTITUTE(SUBSTITUTE(Товары_исходные!A380,"№",""),"АРТ-",""),"АРТ_",""),"/","-"),3)</f>
        <v>АРТ-379</v>
      </c>
      <c r="B380" t="str">
        <f>PROPER(TRIM(IFERROR(LEFT(Товары_исходные!B380,FIND("(",Товары_исходные!B380)-1),Товары_исходные!B380)))</f>
        <v xml:space="preserve">Планшет Samsung Galaxy Tab S6</v>
      </c>
      <c r="C380" t="str">
        <f>IFERROR(VLOOKUP(Товары_исходные!C380,Справочники!$A$2:$B$50,2,FALSE),Товары_исходные!C380)</f>
        <v>Планшеты</v>
      </c>
      <c r="D380" t="str">
        <f>PROPER(TRIM(Товары_исходные!D380))</f>
        <v>Samsung</v>
      </c>
      <c r="E380" s="4">
        <f>IFERROR(VALUE(IF(AND(ISNUMBER(FIND(",",Товары_исходные!E380)),ISNUMBER(FIND(".",Товары_исходные!E380))),SUBSTITUTE(SUBSTITUTE(SUBSTITUTE(SUBSTITUTE(Товары_исходные!E380," ",""),"руб.",""),"руб",""),",",""),SUBSTITUTE(SUBSTITUTE(SUBSTITUTE(SUBSTITUTE(Товары_исходные!E380," ",""),"руб.",""),"руб",""),",","."))),0)</f>
        <v>22000</v>
      </c>
      <c r="F380" s="4">
        <f>IFERROR(VALUE(IF(AND(ISNUMBER(FIND(",",Товары_исходные!F380)),ISNUMBER(FIND(".",Товары_исходные!F380))),SUBSTITUTE(SUBSTITUTE(SUBSTITUTE(SUBSTITUTE(Товары_исходные!F380," ",""),"руб.",""),"руб",""),",",""),SUBSTITUTE(SUBSTITUTE(SUBSTITUTE(SUBSTITUTE(Товары_исходные!F380," ",""),"руб.",""),"руб",""),",","."))),0)</f>
        <v>36990</v>
      </c>
      <c r="G380" t="str">
        <f>IFERROR(VLOOKUP(Товары_исходные!G380,Справочники!$D$2:$E$50,2,FALSE),"шт.")</f>
        <v>шт.</v>
      </c>
      <c r="H380" t="str">
        <f t="shared" si="14"/>
        <v>OK</v>
      </c>
      <c r="I380" t="str">
        <f t="shared" si="15"/>
        <v>OK</v>
      </c>
    </row>
    <row r="381">
      <c r="A381" t="str">
        <f>"АРТ-"&amp;LEFT(SUBSTITUTE(SUBSTITUTE(SUBSTITUTE(SUBSTITUTE(Товары_исходные!A381,"№",""),"АРТ-",""),"АРТ_",""),"/","-"),3)</f>
        <v>АРТ-380</v>
      </c>
      <c r="B381" t="str">
        <f>PROPER(TRIM(IFERROR(LEFT(Товары_исходные!B381,FIND("(",Товары_исходные!B381)-1),Товары_исходные!B381)))</f>
        <v xml:space="preserve">Планшет Samsung Galaxy Tab S6</v>
      </c>
      <c r="C381" t="str">
        <f>IFERROR(VLOOKUP(Товары_исходные!C381,Справочники!$A$2:$B$50,2,FALSE),Товары_исходные!C381)</f>
        <v>Планшеты</v>
      </c>
      <c r="D381" t="str">
        <f>PROPER(TRIM(Товары_исходные!D381))</f>
        <v>Samsung</v>
      </c>
      <c r="E381" s="4">
        <f>IFERROR(VALUE(IF(AND(ISNUMBER(FIND(",",Товары_исходные!E381)),ISNUMBER(FIND(".",Товары_исходные!E381))),SUBSTITUTE(SUBSTITUTE(SUBSTITUTE(SUBSTITUTE(Товары_исходные!E381," ",""),"руб.",""),"руб",""),",",""),SUBSTITUTE(SUBSTITUTE(SUBSTITUTE(SUBSTITUTE(Товары_исходные!E381," ",""),"руб.",""),"руб",""),",","."))),0)</f>
        <v>21000</v>
      </c>
      <c r="F381" s="4">
        <f>IFERROR(VALUE(IF(AND(ISNUMBER(FIND(",",Товары_исходные!F381)),ISNUMBER(FIND(".",Товары_исходные!F381))),SUBSTITUTE(SUBSTITUTE(SUBSTITUTE(SUBSTITUTE(Товары_исходные!F381," ",""),"руб.",""),"руб",""),",",""),SUBSTITUTE(SUBSTITUTE(SUBSTITUTE(SUBSTITUTE(Товары_исходные!F381," ",""),"руб.",""),"руб",""),",","."))),0)</f>
        <v>35500</v>
      </c>
      <c r="G381" t="str">
        <f>IFERROR(VLOOKUP(Товары_исходные!G381,Справочники!$D$2:$E$50,2,FALSE),"шт.")</f>
        <v>шт.</v>
      </c>
      <c r="H381" t="str">
        <f t="shared" si="14"/>
        <v>OK</v>
      </c>
      <c r="I381" t="str">
        <f t="shared" si="15"/>
        <v>OK</v>
      </c>
    </row>
    <row r="382">
      <c r="A382" t="str">
        <f>"АРТ-"&amp;LEFT(SUBSTITUTE(SUBSTITUTE(SUBSTITUTE(SUBSTITUTE(Товары_исходные!A382,"№",""),"АРТ-",""),"АРТ_",""),"/","-"),3)</f>
        <v>АРТ-381</v>
      </c>
      <c r="B382" t="str">
        <f>PROPER(TRIM(IFERROR(LEFT(Товары_исходные!B382,FIND("(",Товары_исходные!B382)-1),Товары_исходные!B382)))</f>
        <v xml:space="preserve">Планшет Samsung Galaxy Tab S6</v>
      </c>
      <c r="C382" t="str">
        <f>IFERROR(VLOOKUP(Товары_исходные!C382,Справочники!$A$2:$B$50,2,FALSE),Товары_исходные!C382)</f>
        <v>Планшеты</v>
      </c>
      <c r="D382" t="str">
        <f>PROPER(TRIM(Товары_исходные!D382))</f>
        <v>Samsung</v>
      </c>
      <c r="E382" s="4">
        <f>IFERROR(VALUE(IF(AND(ISNUMBER(FIND(",",Товары_исходные!E382)),ISNUMBER(FIND(".",Товары_исходные!E382))),SUBSTITUTE(SUBSTITUTE(SUBSTITUTE(SUBSTITUTE(Товары_исходные!E382," ",""),"руб.",""),"руб",""),",",""),SUBSTITUTE(SUBSTITUTE(SUBSTITUTE(SUBSTITUTE(Товары_исходные!E382," ",""),"руб.",""),"руб",""),",","."))),0)</f>
        <v>23000</v>
      </c>
      <c r="F382" s="4">
        <f>IFERROR(VALUE(IF(AND(ISNUMBER(FIND(",",Товары_исходные!F382)),ISNUMBER(FIND(".",Товары_исходные!F382))),SUBSTITUTE(SUBSTITUTE(SUBSTITUTE(SUBSTITUTE(Товары_исходные!F382," ",""),"руб.",""),"руб",""),",",""),SUBSTITUTE(SUBSTITUTE(SUBSTITUTE(SUBSTITUTE(Товары_исходные!F382," ",""),"руб.",""),"руб",""),",","."))),0)</f>
        <v>38500</v>
      </c>
      <c r="G382" t="str">
        <f>IFERROR(VLOOKUP(Товары_исходные!G382,Справочники!$D$2:$E$50,2,FALSE),"шт.")</f>
        <v>шт.</v>
      </c>
      <c r="H382" t="str">
        <f t="shared" si="14"/>
        <v>OK</v>
      </c>
      <c r="I382" t="str">
        <f t="shared" si="15"/>
        <v>OK</v>
      </c>
    </row>
    <row r="383">
      <c r="A383" t="str">
        <f>"АРТ-"&amp;LEFT(SUBSTITUTE(SUBSTITUTE(SUBSTITUTE(SUBSTITUTE(Товары_исходные!A383,"№",""),"АРТ-",""),"АРТ_",""),"/","-"),3)</f>
        <v>АРТ-382</v>
      </c>
      <c r="B383" t="str">
        <f>PROPER(TRIM(IFERROR(LEFT(Товары_исходные!B383,FIND("(",Товары_исходные!B383)-1),Товары_исходные!B383)))</f>
        <v xml:space="preserve">Смартфон Oneplus Nord 3</v>
      </c>
      <c r="C383" t="str">
        <f>IFERROR(VLOOKUP(Товары_исходные!C383,Справочники!$A$2:$B$50,2,FALSE),Товары_исходные!C383)</f>
        <v>Смартфоны</v>
      </c>
      <c r="D383" t="str">
        <f>PROPER(TRIM(Товары_исходные!D383))</f>
        <v>Oneplus</v>
      </c>
      <c r="E383" s="4">
        <f>IFERROR(VALUE(IF(AND(ISNUMBER(FIND(",",Товары_исходные!E383)),ISNUMBER(FIND(".",Товары_исходные!E383))),SUBSTITUTE(SUBSTITUTE(SUBSTITUTE(SUBSTITUTE(Товары_исходные!E383," ",""),"руб.",""),"руб",""),",",""),SUBSTITUTE(SUBSTITUTE(SUBSTITUTE(SUBSTITUTE(Товары_исходные!E383," ",""),"руб.",""),"руб",""),",","."))),0)</f>
        <v>25000</v>
      </c>
      <c r="F383" s="4">
        <f>IFERROR(VALUE(IF(AND(ISNUMBER(FIND(",",Товары_исходные!F383)),ISNUMBER(FIND(".",Товары_исходные!F383))),SUBSTITUTE(SUBSTITUTE(SUBSTITUTE(SUBSTITUTE(Товары_исходные!F383," ",""),"руб.",""),"руб",""),",",""),SUBSTITUTE(SUBSTITUTE(SUBSTITUTE(SUBSTITUTE(Товары_исходные!F383," ",""),"руб.",""),"руб",""),",","."))),0)</f>
        <v>42990</v>
      </c>
      <c r="G383" t="str">
        <f>IFERROR(VLOOKUP(Товары_исходные!G383,Справочники!$D$2:$E$50,2,FALSE),"шт.")</f>
        <v>шт.</v>
      </c>
      <c r="H383" t="str">
        <f t="shared" si="14"/>
        <v>OK</v>
      </c>
      <c r="I383" t="str">
        <f t="shared" si="15"/>
        <v>OK</v>
      </c>
    </row>
    <row r="384">
      <c r="A384" t="str">
        <f>"АРТ-"&amp;LEFT(SUBSTITUTE(SUBSTITUTE(SUBSTITUTE(SUBSTITUTE(Товары_исходные!A384,"№",""),"АРТ-",""),"АРТ_",""),"/","-"),3)</f>
        <v>АРТ-383</v>
      </c>
      <c r="B384" t="str">
        <f>PROPER(TRIM(IFERROR(LEFT(Товары_исходные!B384,FIND("(",Товары_исходные!B384)-1),Товары_исходные!B384)))</f>
        <v xml:space="preserve">Смартфон Oneplus Nord 3</v>
      </c>
      <c r="C384" t="str">
        <f>IFERROR(VLOOKUP(Товары_исходные!C384,Справочники!$A$2:$B$50,2,FALSE),Товары_исходные!C384)</f>
        <v>Смартфоны</v>
      </c>
      <c r="D384" t="str">
        <f>PROPER(TRIM(Товары_исходные!D384))</f>
        <v>Oneplus</v>
      </c>
      <c r="E384" s="4">
        <f>IFERROR(VALUE(IF(AND(ISNUMBER(FIND(",",Товары_исходные!E384)),ISNUMBER(FIND(".",Товары_исходные!E384))),SUBSTITUTE(SUBSTITUTE(SUBSTITUTE(SUBSTITUTE(Товары_исходные!E384," ",""),"руб.",""),"руб",""),",",""),SUBSTITUTE(SUBSTITUTE(SUBSTITUTE(SUBSTITUTE(Товары_исходные!E384," ",""),"руб.",""),"руб",""),",","."))),0)</f>
        <v>24000</v>
      </c>
      <c r="F384" s="4">
        <f>IFERROR(VALUE(IF(AND(ISNUMBER(FIND(",",Товары_исходные!F384)),ISNUMBER(FIND(".",Товары_исходные!F384))),SUBSTITUTE(SUBSTITUTE(SUBSTITUTE(SUBSTITUTE(Товары_исходные!F384," ",""),"руб.",""),"руб",""),",",""),SUBSTITUTE(SUBSTITUTE(SUBSTITUTE(SUBSTITUTE(Товары_исходные!F384," ",""),"руб.",""),"руб",""),",","."))),0)</f>
        <v>41500</v>
      </c>
      <c r="G384" t="str">
        <f>IFERROR(VLOOKUP(Товары_исходные!G384,Справочники!$D$2:$E$50,2,FALSE),"шт.")</f>
        <v>шт.</v>
      </c>
      <c r="H384" t="str">
        <f t="shared" si="14"/>
        <v>OK</v>
      </c>
      <c r="I384" t="str">
        <f t="shared" si="15"/>
        <v>OK</v>
      </c>
    </row>
    <row r="385">
      <c r="A385" t="str">
        <f>"АРТ-"&amp;LEFT(SUBSTITUTE(SUBSTITUTE(SUBSTITUTE(SUBSTITUTE(Товары_исходные!A385,"№",""),"АРТ-",""),"АРТ_",""),"/","-"),3)</f>
        <v>АРТ-384</v>
      </c>
      <c r="B385" t="str">
        <f>PROPER(TRIM(IFERROR(LEFT(Товары_исходные!B385,FIND("(",Товары_исходные!B385)-1),Товары_исходные!B385)))</f>
        <v xml:space="preserve">Смартфон Oneplus Nord 3</v>
      </c>
      <c r="C385" t="str">
        <f>IFERROR(VLOOKUP(Товары_исходные!C385,Справочники!$A$2:$B$50,2,FALSE),Товары_исходные!C385)</f>
        <v>Смартфоны</v>
      </c>
      <c r="D385" t="str">
        <f>PROPER(TRIM(Товары_исходные!D385))</f>
        <v>Oneplus</v>
      </c>
      <c r="E385" s="4">
        <f>IFERROR(VALUE(IF(AND(ISNUMBER(FIND(",",Товары_исходные!E385)),ISNUMBER(FIND(".",Товары_исходные!E385))),SUBSTITUTE(SUBSTITUTE(SUBSTITUTE(SUBSTITUTE(Товары_исходные!E385," ",""),"руб.",""),"руб",""),",",""),SUBSTITUTE(SUBSTITUTE(SUBSTITUTE(SUBSTITUTE(Товары_исходные!E385," ",""),"руб.",""),"руб",""),",","."))),0)</f>
        <v>26000</v>
      </c>
      <c r="F385" s="4">
        <f>IFERROR(VALUE(IF(AND(ISNUMBER(FIND(",",Товары_исходные!F385)),ISNUMBER(FIND(".",Товары_исходные!F385))),SUBSTITUTE(SUBSTITUTE(SUBSTITUTE(SUBSTITUTE(Товары_исходные!F385," ",""),"руб.",""),"руб",""),",",""),SUBSTITUTE(SUBSTITUTE(SUBSTITUTE(SUBSTITUTE(Товары_исходные!F385," ",""),"руб.",""),"руб",""),",","."))),0)</f>
        <v>44500</v>
      </c>
      <c r="G385" t="str">
        <f>IFERROR(VLOOKUP(Товары_исходные!G385,Справочники!$D$2:$E$50,2,FALSE),"шт.")</f>
        <v>шт.</v>
      </c>
      <c r="H385" t="str">
        <f t="shared" si="14"/>
        <v>OK</v>
      </c>
      <c r="I385" t="str">
        <f t="shared" si="15"/>
        <v>OK</v>
      </c>
    </row>
    <row r="386">
      <c r="A386" t="str">
        <f>"АРТ-"&amp;LEFT(SUBSTITUTE(SUBSTITUTE(SUBSTITUTE(SUBSTITUTE(Товары_исходные!A386,"№",""),"АРТ-",""),"АРТ_",""),"/","-"),3)</f>
        <v>АРТ-385</v>
      </c>
      <c r="B386" t="str">
        <f>PROPER(TRIM(IFERROR(LEFT(Товары_исходные!B386,FIND("(",Товары_исходные!B386)-1),Товары_исходные!B386)))</f>
        <v xml:space="preserve">Ноутбук Hp Omen 16</v>
      </c>
      <c r="C386" t="str">
        <f>IFERROR(VLOOKUP(Товары_исходные!C386,Справочники!$A$2:$B$50,2,FALSE),Товары_исходные!C386)</f>
        <v>Ноутбуки</v>
      </c>
      <c r="D386" t="str">
        <f>PROPER(TRIM(Товары_исходные!D386))</f>
        <v>Hp</v>
      </c>
      <c r="E386" s="4">
        <f>IFERROR(VALUE(IF(AND(ISNUMBER(FIND(",",Товары_исходные!E386)),ISNUMBER(FIND(".",Товары_исходные!E386))),SUBSTITUTE(SUBSTITUTE(SUBSTITUTE(SUBSTITUTE(Товары_исходные!E386," ",""),"руб.",""),"руб",""),",",""),SUBSTITUTE(SUBSTITUTE(SUBSTITUTE(SUBSTITUTE(Товары_исходные!E386," ",""),"руб.",""),"руб",""),",","."))),0)</f>
        <v>76000</v>
      </c>
      <c r="F386" s="4">
        <f>IFERROR(VALUE(IF(AND(ISNUMBER(FIND(",",Товары_исходные!F386)),ISNUMBER(FIND(".",Товары_исходные!F386))),SUBSTITUTE(SUBSTITUTE(SUBSTITUTE(SUBSTITUTE(Товары_исходные!F386," ",""),"руб.",""),"руб",""),",",""),SUBSTITUTE(SUBSTITUTE(SUBSTITUTE(SUBSTITUTE(Товары_исходные!F386," ",""),"руб.",""),"руб",""),",","."))),0)</f>
        <v>116990</v>
      </c>
      <c r="G386" t="str">
        <f>IFERROR(VLOOKUP(Товары_исходные!G386,Справочники!$D$2:$E$50,2,FALSE),"шт.")</f>
        <v>шт.</v>
      </c>
      <c r="H386" t="str">
        <f t="shared" si="14"/>
        <v>OK</v>
      </c>
      <c r="I386" t="str">
        <f t="shared" si="15"/>
        <v>OK</v>
      </c>
    </row>
    <row r="387">
      <c r="A387" t="str">
        <f>"АРТ-"&amp;LEFT(SUBSTITUTE(SUBSTITUTE(SUBSTITUTE(SUBSTITUTE(Товары_исходные!A387,"№",""),"АРТ-",""),"АРТ_",""),"/","-"),3)</f>
        <v>АРТ-386</v>
      </c>
      <c r="B387" t="str">
        <f>PROPER(TRIM(IFERROR(LEFT(Товары_исходные!B387,FIND("(",Товары_исходные!B387)-1),Товары_исходные!B387)))</f>
        <v xml:space="preserve">Ноутбук Hp Omen 16</v>
      </c>
      <c r="C387" t="str">
        <f>IFERROR(VLOOKUP(Товары_исходные!C387,Справочники!$A$2:$B$50,2,FALSE),Товары_исходные!C387)</f>
        <v>Ноутбуки</v>
      </c>
      <c r="D387" t="str">
        <f>PROPER(TRIM(Товары_исходные!D387))</f>
        <v>Hp</v>
      </c>
      <c r="E387" s="4">
        <f>IFERROR(VALUE(IF(AND(ISNUMBER(FIND(",",Товары_исходные!E387)),ISNUMBER(FIND(".",Товары_исходные!E387))),SUBSTITUTE(SUBSTITUTE(SUBSTITUTE(SUBSTITUTE(Товары_исходные!E387," ",""),"руб.",""),"руб",""),",",""),SUBSTITUTE(SUBSTITUTE(SUBSTITUTE(SUBSTITUTE(Товары_исходные!E387," ",""),"руб.",""),"руб",""),",","."))),0)</f>
        <v>74000</v>
      </c>
      <c r="F387" s="4">
        <f>IFERROR(VALUE(IF(AND(ISNUMBER(FIND(",",Товары_исходные!F387)),ISNUMBER(FIND(".",Товары_исходные!F387))),SUBSTITUTE(SUBSTITUTE(SUBSTITUTE(SUBSTITUTE(Товары_исходные!F387," ",""),"руб.",""),"руб",""),",",""),SUBSTITUTE(SUBSTITUTE(SUBSTITUTE(SUBSTITUTE(Товары_исходные!F387," ",""),"руб.",""),"руб",""),",","."))),0)</f>
        <v>114000</v>
      </c>
      <c r="G387" t="str">
        <f>IFERROR(VLOOKUP(Товары_исходные!G387,Справочники!$D$2:$E$50,2,FALSE),"шт.")</f>
        <v>шт.</v>
      </c>
      <c r="H387" t="str">
        <f t="shared" si="14"/>
        <v>OK</v>
      </c>
      <c r="I387" t="str">
        <f t="shared" si="15"/>
        <v>OK</v>
      </c>
    </row>
    <row r="388">
      <c r="A388" t="str">
        <f>"АРТ-"&amp;LEFT(SUBSTITUTE(SUBSTITUTE(SUBSTITUTE(SUBSTITUTE(Товары_исходные!A388,"№",""),"АРТ-",""),"АРТ_",""),"/","-"),3)</f>
        <v>АРТ-387</v>
      </c>
      <c r="B388" t="str">
        <f>PROPER(TRIM(IFERROR(LEFT(Товары_исходные!B388,FIND("(",Товары_исходные!B388)-1),Товары_исходные!B388)))</f>
        <v xml:space="preserve">Ноутбук Hp Omen 16</v>
      </c>
      <c r="C388" t="str">
        <f>IFERROR(VLOOKUP(Товары_исходные!C388,Справочники!$A$2:$B$50,2,FALSE),Товары_исходные!C388)</f>
        <v>Ноутбуки</v>
      </c>
      <c r="D388" t="str">
        <f>PROPER(TRIM(Товары_исходные!D388))</f>
        <v>Hp</v>
      </c>
      <c r="E388" s="4">
        <f>IFERROR(VALUE(IF(AND(ISNUMBER(FIND(",",Товары_исходные!E388)),ISNUMBER(FIND(".",Товары_исходные!E388))),SUBSTITUTE(SUBSTITUTE(SUBSTITUTE(SUBSTITUTE(Товары_исходные!E388," ",""),"руб.",""),"руб",""),",",""),SUBSTITUTE(SUBSTITUTE(SUBSTITUTE(SUBSTITUTE(Товары_исходные!E388," ",""),"руб.",""),"руб",""),",","."))),0)</f>
        <v>77500</v>
      </c>
      <c r="F388" s="4">
        <f>IFERROR(VALUE(IF(AND(ISNUMBER(FIND(",",Товары_исходные!F388)),ISNUMBER(FIND(".",Товары_исходные!F388))),SUBSTITUTE(SUBSTITUTE(SUBSTITUTE(SUBSTITUTE(Товары_исходные!F388," ",""),"руб.",""),"руб",""),",",""),SUBSTITUTE(SUBSTITUTE(SUBSTITUTE(SUBSTITUTE(Товары_исходные!F388," ",""),"руб.",""),"руб",""),",","."))),0)</f>
        <v>119500</v>
      </c>
      <c r="G388" t="str">
        <f>IFERROR(VLOOKUP(Товары_исходные!G388,Справочники!$D$2:$E$50,2,FALSE),"шт.")</f>
        <v>шт.</v>
      </c>
      <c r="H388" t="str">
        <f t="shared" si="14"/>
        <v>OK</v>
      </c>
      <c r="I388" t="str">
        <f t="shared" si="15"/>
        <v>OK</v>
      </c>
    </row>
    <row r="389">
      <c r="A389" t="str">
        <f>"АРТ-"&amp;LEFT(SUBSTITUTE(SUBSTITUTE(SUBSTITUTE(SUBSTITUTE(Товары_исходные!A389,"№",""),"АРТ-",""),"АРТ_",""),"/","-"),3)</f>
        <v>АРТ-388</v>
      </c>
      <c r="B389" t="str">
        <f>PROPER(TRIM(IFERROR(LEFT(Товары_исходные!B389,FIND("(",Товары_исходные!B389)-1),Товары_исходные!B389)))</f>
        <v xml:space="preserve">Телевизор Panasonic Lx800</v>
      </c>
      <c r="C389" t="str">
        <f>IFERROR(VLOOKUP(Товары_исходные!C389,Справочники!$A$2:$B$50,2,FALSE),Товары_исходные!C389)</f>
        <v>Телевизоры</v>
      </c>
      <c r="D389" t="str">
        <f>PROPER(TRIM(Товары_исходные!D389))</f>
        <v>Panasonic</v>
      </c>
      <c r="E389" s="4">
        <f>IFERROR(VALUE(IF(AND(ISNUMBER(FIND(",",Товары_исходные!E389)),ISNUMBER(FIND(".",Товары_исходные!E389))),SUBSTITUTE(SUBSTITUTE(SUBSTITUTE(SUBSTITUTE(Товары_исходные!E389," ",""),"руб.",""),"руб",""),",",""),SUBSTITUTE(SUBSTITUTE(SUBSTITUTE(SUBSTITUTE(Товары_исходные!E389," ",""),"руб.",""),"руб",""),",","."))),0)</f>
        <v>50000</v>
      </c>
      <c r="F389" s="4">
        <f>IFERROR(VALUE(IF(AND(ISNUMBER(FIND(",",Товары_исходные!F389)),ISNUMBER(FIND(".",Товары_исходные!F389))),SUBSTITUTE(SUBSTITUTE(SUBSTITUTE(SUBSTITUTE(Товары_исходные!F389," ",""),"руб.",""),"руб",""),",",""),SUBSTITUTE(SUBSTITUTE(SUBSTITUTE(SUBSTITUTE(Товары_исходные!F389," ",""),"руб.",""),"руб",""),",","."))),0)</f>
        <v>77990</v>
      </c>
      <c r="G389" t="str">
        <f>IFERROR(VLOOKUP(Товары_исходные!G389,Справочники!$D$2:$E$50,2,FALSE),"шт.")</f>
        <v>шт.</v>
      </c>
      <c r="H389" t="str">
        <f t="shared" si="14"/>
        <v>OK</v>
      </c>
      <c r="I389" t="str">
        <f t="shared" si="15"/>
        <v>OK</v>
      </c>
    </row>
    <row r="390">
      <c r="A390" t="str">
        <f>"АРТ-"&amp;LEFT(SUBSTITUTE(SUBSTITUTE(SUBSTITUTE(SUBSTITUTE(Товары_исходные!A390,"№",""),"АРТ-",""),"АРТ_",""),"/","-"),3)</f>
        <v>АРТ-389</v>
      </c>
      <c r="B390" t="str">
        <f>PROPER(TRIM(IFERROR(LEFT(Товары_исходные!B390,FIND("(",Товары_исходные!B390)-1),Товары_исходные!B390)))</f>
        <v xml:space="preserve">Телевизор Panasonic Lx800</v>
      </c>
      <c r="C390" t="str">
        <f>IFERROR(VLOOKUP(Товары_исходные!C390,Справочники!$A$2:$B$50,2,FALSE),Товары_исходные!C390)</f>
        <v>Телевизоры</v>
      </c>
      <c r="D390" t="str">
        <f>PROPER(TRIM(Товары_исходные!D390))</f>
        <v>Panasonic</v>
      </c>
      <c r="E390" s="4">
        <f>IFERROR(VALUE(IF(AND(ISNUMBER(FIND(",",Товары_исходные!E390)),ISNUMBER(FIND(".",Товары_исходные!E390))),SUBSTITUTE(SUBSTITUTE(SUBSTITUTE(SUBSTITUTE(Товары_исходные!E390," ",""),"руб.",""),"руб",""),",",""),SUBSTITUTE(SUBSTITUTE(SUBSTITUTE(SUBSTITUTE(Товары_исходные!E390," ",""),"руб.",""),"руб",""),",","."))),0)</f>
        <v>48000</v>
      </c>
      <c r="F390" s="4">
        <f>IFERROR(VALUE(IF(AND(ISNUMBER(FIND(",",Товары_исходные!F390)),ISNUMBER(FIND(".",Товары_исходные!F390))),SUBSTITUTE(SUBSTITUTE(SUBSTITUTE(SUBSTITUTE(Товары_исходные!F390," ",""),"руб.",""),"руб",""),",",""),SUBSTITUTE(SUBSTITUTE(SUBSTITUTE(SUBSTITUTE(Товары_исходные!F390," ",""),"руб.",""),"руб",""),",","."))),0)</f>
        <v>75000</v>
      </c>
      <c r="G390" t="str">
        <f>IFERROR(VLOOKUP(Товары_исходные!G390,Справочники!$D$2:$E$50,2,FALSE),"шт.")</f>
        <v>шт.</v>
      </c>
      <c r="H390" t="str">
        <f t="shared" si="14"/>
        <v>OK</v>
      </c>
      <c r="I390" t="str">
        <f t="shared" si="15"/>
        <v>OK</v>
      </c>
    </row>
    <row r="391">
      <c r="A391" t="str">
        <f>"АРТ-"&amp;LEFT(SUBSTITUTE(SUBSTITUTE(SUBSTITUTE(SUBSTITUTE(Товары_исходные!A391,"№",""),"АРТ-",""),"АРТ_",""),"/","-"),3)</f>
        <v>АРТ-390</v>
      </c>
      <c r="B391" t="str">
        <f>PROPER(TRIM(IFERROR(LEFT(Товары_исходные!B391,FIND("(",Товары_исходные!B391)-1),Товары_исходные!B391)))</f>
        <v xml:space="preserve">Телевизор Panasonic Lx800</v>
      </c>
      <c r="C391" t="str">
        <f>IFERROR(VLOOKUP(Товары_исходные!C391,Справочники!$A$2:$B$50,2,FALSE),Товары_исходные!C391)</f>
        <v>Телевизоры</v>
      </c>
      <c r="D391" t="str">
        <f>PROPER(TRIM(Товары_исходные!D391))</f>
        <v>Panasonic</v>
      </c>
      <c r="E391" s="4">
        <f>IFERROR(VALUE(IF(AND(ISNUMBER(FIND(",",Товары_исходные!E391)),ISNUMBER(FIND(".",Товары_исходные!E391))),SUBSTITUTE(SUBSTITUTE(SUBSTITUTE(SUBSTITUTE(Товары_исходные!E391," ",""),"руб.",""),"руб",""),",",""),SUBSTITUTE(SUBSTITUTE(SUBSTITUTE(SUBSTITUTE(Товары_исходные!E391," ",""),"руб.",""),"руб",""),",","."))),0)</f>
        <v>51500</v>
      </c>
      <c r="F391" s="4">
        <f>IFERROR(VALUE(IF(AND(ISNUMBER(FIND(",",Товары_исходные!F391)),ISNUMBER(FIND(".",Товары_исходные!F391))),SUBSTITUTE(SUBSTITUTE(SUBSTITUTE(SUBSTITUTE(Товары_исходные!F391," ",""),"руб.",""),"руб",""),",",""),SUBSTITUTE(SUBSTITUTE(SUBSTITUTE(SUBSTITUTE(Товары_исходные!F391," ",""),"руб.",""),"руб",""),",","."))),0)</f>
        <v>80000</v>
      </c>
      <c r="G391" t="str">
        <f>IFERROR(VLOOKUP(Товары_исходные!G391,Справочники!$D$2:$E$50,2,FALSE),"шт.")</f>
        <v>шт.</v>
      </c>
      <c r="H391" t="str">
        <f t="shared" si="14"/>
        <v>OK</v>
      </c>
      <c r="I391" t="str">
        <f t="shared" si="15"/>
        <v>OK</v>
      </c>
    </row>
    <row r="392">
      <c r="A392" t="str">
        <f>"АРТ-"&amp;LEFT(SUBSTITUTE(SUBSTITUTE(SUBSTITUTE(SUBSTITUTE(Товары_исходные!A392,"№",""),"АРТ-",""),"АРТ_",""),"/","-"),3)</f>
        <v>АРТ-391</v>
      </c>
      <c r="B392" t="str">
        <f>PROPER(TRIM(IFERROR(LEFT(Товары_исходные!B392,FIND("(",Товары_исходные!B392)-1),Товары_исходные!B392)))</f>
        <v xml:space="preserve">Наушники Sony Linkbuds S</v>
      </c>
      <c r="C392" t="str">
        <f>IFERROR(VLOOKUP(Товары_исходные!C392,Справочники!$A$2:$B$50,2,FALSE),Товары_исходные!C392)</f>
        <v>Наушники</v>
      </c>
      <c r="D392" t="str">
        <f>PROPER(TRIM(Товары_исходные!D392))</f>
        <v>Sony</v>
      </c>
      <c r="E392" s="4">
        <f>IFERROR(VALUE(IF(AND(ISNUMBER(FIND(",",Товары_исходные!E392)),ISNUMBER(FIND(".",Товары_исходные!E392))),SUBSTITUTE(SUBSTITUTE(SUBSTITUTE(SUBSTITUTE(Товары_исходные!E392," ",""),"руб.",""),"руб",""),",",""),SUBSTITUTE(SUBSTITUTE(SUBSTITUTE(SUBSTITUTE(Товары_исходные!E392," ",""),"руб.",""),"руб",""),",","."))),0)</f>
        <v>11000</v>
      </c>
      <c r="F392" s="4">
        <f>IFERROR(VALUE(IF(AND(ISNUMBER(FIND(",",Товары_исходные!F392)),ISNUMBER(FIND(".",Товары_исходные!F392))),SUBSTITUTE(SUBSTITUTE(SUBSTITUTE(SUBSTITUTE(Товары_исходные!F392," ",""),"руб.",""),"руб",""),",",""),SUBSTITUTE(SUBSTITUTE(SUBSTITUTE(SUBSTITUTE(Товары_исходные!F392," ",""),"руб.",""),"руб",""),",","."))),0)</f>
        <v>18990</v>
      </c>
      <c r="G392" t="str">
        <f>IFERROR(VLOOKUP(Товары_исходные!G392,Справочники!$D$2:$E$50,2,FALSE),"шт.")</f>
        <v>шт.</v>
      </c>
      <c r="H392" t="str">
        <f t="shared" si="14"/>
        <v>OK</v>
      </c>
      <c r="I392" t="str">
        <f t="shared" si="15"/>
        <v>OK</v>
      </c>
    </row>
    <row r="393">
      <c r="A393" t="str">
        <f>"АРТ-"&amp;LEFT(SUBSTITUTE(SUBSTITUTE(SUBSTITUTE(SUBSTITUTE(Товары_исходные!A393,"№",""),"АРТ-",""),"АРТ_",""),"/","-"),3)</f>
        <v>АРТ-392</v>
      </c>
      <c r="B393" t="str">
        <f>PROPER(TRIM(IFERROR(LEFT(Товары_исходные!B393,FIND("(",Товары_исходные!B393)-1),Товары_исходные!B393)))</f>
        <v xml:space="preserve">Наушники Sony Linkbuds S</v>
      </c>
      <c r="C393" t="str">
        <f>IFERROR(VLOOKUP(Товары_исходные!C393,Справочники!$A$2:$B$50,2,FALSE),Товары_исходные!C393)</f>
        <v>Наушники</v>
      </c>
      <c r="D393" t="str">
        <f>PROPER(TRIM(Товары_исходные!D393))</f>
        <v>Sony</v>
      </c>
      <c r="E393" s="4">
        <f>IFERROR(VALUE(IF(AND(ISNUMBER(FIND(",",Товары_исходные!E393)),ISNUMBER(FIND(".",Товары_исходные!E393))),SUBSTITUTE(SUBSTITUTE(SUBSTITUTE(SUBSTITUTE(Товары_исходные!E393," ",""),"руб.",""),"руб",""),",",""),SUBSTITUTE(SUBSTITUTE(SUBSTITUTE(SUBSTITUTE(Товары_исходные!E393," ",""),"руб.",""),"руб",""),",","."))),0)</f>
        <v>10500</v>
      </c>
      <c r="F393" s="4">
        <f>IFERROR(VALUE(IF(AND(ISNUMBER(FIND(",",Товары_исходные!F393)),ISNUMBER(FIND(".",Товары_исходные!F393))),SUBSTITUTE(SUBSTITUTE(SUBSTITUTE(SUBSTITUTE(Товары_исходные!F393," ",""),"руб.",""),"руб",""),",",""),SUBSTITUTE(SUBSTITUTE(SUBSTITUTE(SUBSTITUTE(Товары_исходные!F393," ",""),"руб.",""),"руб",""),",","."))),0)</f>
        <v>18000</v>
      </c>
      <c r="G393" t="str">
        <f>IFERROR(VLOOKUP(Товары_исходные!G393,Справочники!$D$2:$E$50,2,FALSE),"шт.")</f>
        <v>шт.</v>
      </c>
      <c r="H393" t="str">
        <f t="shared" si="14"/>
        <v>OK</v>
      </c>
      <c r="I393" t="str">
        <f t="shared" si="15"/>
        <v>OK</v>
      </c>
    </row>
    <row r="394">
      <c r="A394" t="str">
        <f>"АРТ-"&amp;LEFT(SUBSTITUTE(SUBSTITUTE(SUBSTITUTE(SUBSTITUTE(Товары_исходные!A394,"№",""),"АРТ-",""),"АРТ_",""),"/","-"),3)</f>
        <v>АРТ-393</v>
      </c>
      <c r="B394" t="str">
        <f>PROPER(TRIM(IFERROR(LEFT(Товары_исходные!B394,FIND("(",Товары_исходные!B394)-1),Товары_исходные!B394)))</f>
        <v xml:space="preserve">Наушники Sony Linkbuds S</v>
      </c>
      <c r="C394" t="str">
        <f>IFERROR(VLOOKUP(Товары_исходные!C394,Справочники!$A$2:$B$50,2,FALSE),Товары_исходные!C394)</f>
        <v>Наушники</v>
      </c>
      <c r="D394" t="str">
        <f>PROPER(TRIM(Товары_исходные!D394))</f>
        <v>Sony</v>
      </c>
      <c r="E394" s="4">
        <f>IFERROR(VALUE(IF(AND(ISNUMBER(FIND(",",Товары_исходные!E394)),ISNUMBER(FIND(".",Товары_исходные!E394))),SUBSTITUTE(SUBSTITUTE(SUBSTITUTE(SUBSTITUTE(Товары_исходные!E394," ",""),"руб.",""),"руб",""),",",""),SUBSTITUTE(SUBSTITUTE(SUBSTITUTE(SUBSTITUTE(Товары_исходные!E394," ",""),"руб.",""),"руб",""),",","."))),0)</f>
        <v>11500</v>
      </c>
      <c r="F394" s="4">
        <f>IFERROR(VALUE(IF(AND(ISNUMBER(FIND(",",Товары_исходные!F394)),ISNUMBER(FIND(".",Товары_исходные!F394))),SUBSTITUTE(SUBSTITUTE(SUBSTITUTE(SUBSTITUTE(Товары_исходные!F394," ",""),"руб.",""),"руб",""),",",""),SUBSTITUTE(SUBSTITUTE(SUBSTITUTE(SUBSTITUTE(Товары_исходные!F394," ",""),"руб.",""),"руб",""),",","."))),0)</f>
        <v>19800</v>
      </c>
      <c r="G394" t="str">
        <f>IFERROR(VLOOKUP(Товары_исходные!G394,Справочники!$D$2:$E$50,2,FALSE),"шт.")</f>
        <v>шт.</v>
      </c>
      <c r="H394" t="str">
        <f t="shared" si="14"/>
        <v>OK</v>
      </c>
      <c r="I394" t="str">
        <f t="shared" si="15"/>
        <v>OK</v>
      </c>
    </row>
    <row r="395">
      <c r="A395" t="str">
        <f>"АРТ-"&amp;LEFT(SUBSTITUTE(SUBSTITUTE(SUBSTITUTE(SUBSTITUTE(Товары_исходные!A395,"№",""),"АРТ-",""),"АРТ_",""),"/","-"),3)</f>
        <v>АРТ-394</v>
      </c>
      <c r="B395" t="str">
        <f>PROPER(TRIM(IFERROR(LEFT(Товары_исходные!B395,FIND("(",Товары_исходные!B395)-1),Товары_исходные!B395)))</f>
        <v xml:space="preserve">Монитор Benq Ew3270U</v>
      </c>
      <c r="C395" t="str">
        <f>IFERROR(VLOOKUP(Товары_исходные!C395,Справочники!$A$2:$B$50,2,FALSE),Товары_исходные!C395)</f>
        <v>Мониторы</v>
      </c>
      <c r="D395" t="str">
        <f>PROPER(TRIM(Товары_исходные!D395))</f>
        <v>Benq</v>
      </c>
      <c r="E395" s="4">
        <f>IFERROR(VALUE(IF(AND(ISNUMBER(FIND(",",Товары_исходные!E395)),ISNUMBER(FIND(".",Товары_исходные!E395))),SUBSTITUTE(SUBSTITUTE(SUBSTITUTE(SUBSTITUTE(Товары_исходные!E395," ",""),"руб.",""),"руб",""),",",""),SUBSTITUTE(SUBSTITUTE(SUBSTITUTE(SUBSTITUTE(Товары_исходные!E395," ",""),"руб.",""),"руб",""),",","."))),0)</f>
        <v>42000</v>
      </c>
      <c r="F395" s="4">
        <f>IFERROR(VALUE(IF(AND(ISNUMBER(FIND(",",Товары_исходные!F395)),ISNUMBER(FIND(".",Товары_исходные!F395))),SUBSTITUTE(SUBSTITUTE(SUBSTITUTE(SUBSTITUTE(Товары_исходные!F395," ",""),"руб.",""),"руб",""),",",""),SUBSTITUTE(SUBSTITUTE(SUBSTITUTE(SUBSTITUTE(Товары_исходные!F395," ",""),"руб.",""),"руб",""),",","."))),0)</f>
        <v>64990</v>
      </c>
      <c r="G395" t="str">
        <f>IFERROR(VLOOKUP(Товары_исходные!G395,Справочники!$D$2:$E$50,2,FALSE),"шт.")</f>
        <v>шт.</v>
      </c>
      <c r="H395" t="str">
        <f t="shared" si="14"/>
        <v>OK</v>
      </c>
      <c r="I395" t="str">
        <f t="shared" si="15"/>
        <v>OK</v>
      </c>
    </row>
    <row r="396">
      <c r="A396" t="str">
        <f>"АРТ-"&amp;LEFT(SUBSTITUTE(SUBSTITUTE(SUBSTITUTE(SUBSTITUTE(Товары_исходные!A396,"№",""),"АРТ-",""),"АРТ_",""),"/","-"),3)</f>
        <v>АРТ-395</v>
      </c>
      <c r="B396" t="str">
        <f>PROPER(TRIM(IFERROR(LEFT(Товары_исходные!B396,FIND("(",Товары_исходные!B396)-1),Товары_исходные!B396)))</f>
        <v xml:space="preserve">Монитор Benq Ew3270U</v>
      </c>
      <c r="C396" t="str">
        <f>IFERROR(VLOOKUP(Товары_исходные!C396,Справочники!$A$2:$B$50,2,FALSE),Товары_исходные!C396)</f>
        <v>Мониторы</v>
      </c>
      <c r="D396" t="str">
        <f>PROPER(TRIM(Товары_исходные!D396))</f>
        <v>Benq</v>
      </c>
      <c r="E396" s="4">
        <f>IFERROR(VALUE(IF(AND(ISNUMBER(FIND(",",Товары_исходные!E396)),ISNUMBER(FIND(".",Товары_исходные!E396))),SUBSTITUTE(SUBSTITUTE(SUBSTITUTE(SUBSTITUTE(Товары_исходные!E396," ",""),"руб.",""),"руб",""),",",""),SUBSTITUTE(SUBSTITUTE(SUBSTITUTE(SUBSTITUTE(Товары_исходные!E396," ",""),"руб.",""),"руб",""),",","."))),0)</f>
        <v>40500</v>
      </c>
      <c r="F396" s="4">
        <f>IFERROR(VALUE(IF(AND(ISNUMBER(FIND(",",Товары_исходные!F396)),ISNUMBER(FIND(".",Товары_исходные!F396))),SUBSTITUTE(SUBSTITUTE(SUBSTITUTE(SUBSTITUTE(Товары_исходные!F396," ",""),"руб.",""),"руб",""),",",""),SUBSTITUTE(SUBSTITUTE(SUBSTITUTE(SUBSTITUTE(Товары_исходные!F396," ",""),"руб.",""),"руб",""),",","."))),0)</f>
        <v>62500</v>
      </c>
      <c r="G396" t="str">
        <f>IFERROR(VLOOKUP(Товары_исходные!G396,Справочники!$D$2:$E$50,2,FALSE),"шт.")</f>
        <v>шт.</v>
      </c>
      <c r="H396" t="str">
        <f t="shared" si="14"/>
        <v>OK</v>
      </c>
      <c r="I396" t="str">
        <f t="shared" si="15"/>
        <v>OK</v>
      </c>
    </row>
    <row r="397">
      <c r="A397" t="str">
        <f>"АРТ-"&amp;LEFT(SUBSTITUTE(SUBSTITUTE(SUBSTITUTE(SUBSTITUTE(Товары_исходные!A397,"№",""),"АРТ-",""),"АРТ_",""),"/","-"),3)</f>
        <v>АРТ-396</v>
      </c>
      <c r="B397" t="str">
        <f>PROPER(TRIM(IFERROR(LEFT(Товары_исходные!B397,FIND("(",Товары_исходные!B397)-1),Товары_исходные!B397)))</f>
        <v xml:space="preserve">Монитор Benq Ew3270U</v>
      </c>
      <c r="C397" t="str">
        <f>IFERROR(VLOOKUP(Товары_исходные!C397,Справочники!$A$2:$B$50,2,FALSE),Товары_исходные!C397)</f>
        <v>Мониторы</v>
      </c>
      <c r="D397" t="str">
        <f>PROPER(TRIM(Товары_исходные!D397))</f>
        <v>Benq</v>
      </c>
      <c r="E397" s="4">
        <f>IFERROR(VALUE(IF(AND(ISNUMBER(FIND(",",Товары_исходные!E397)),ISNUMBER(FIND(".",Товары_исходные!E397))),SUBSTITUTE(SUBSTITUTE(SUBSTITUTE(SUBSTITUTE(Товары_исходные!E397," ",""),"руб.",""),"руб",""),",",""),SUBSTITUTE(SUBSTITUTE(SUBSTITUTE(SUBSTITUTE(Товары_исходные!E397," ",""),"руб.",""),"руб",""),",","."))),0)</f>
        <v>43500</v>
      </c>
      <c r="F397" s="4">
        <f>IFERROR(VALUE(IF(AND(ISNUMBER(FIND(",",Товары_исходные!F397)),ISNUMBER(FIND(".",Товары_исходные!F397))),SUBSTITUTE(SUBSTITUTE(SUBSTITUTE(SUBSTITUTE(Товары_исходные!F397," ",""),"руб.",""),"руб",""),",",""),SUBSTITUTE(SUBSTITUTE(SUBSTITUTE(SUBSTITUTE(Товары_исходные!F397," ",""),"руб.",""),"руб",""),",","."))),0)</f>
        <v>67000</v>
      </c>
      <c r="G397" t="str">
        <f>IFERROR(VLOOKUP(Товары_исходные!G397,Справочники!$D$2:$E$50,2,FALSE),"шт.")</f>
        <v>шт.</v>
      </c>
      <c r="H397" t="str">
        <f t="shared" si="14"/>
        <v>OK</v>
      </c>
      <c r="I397" t="str">
        <f t="shared" si="15"/>
        <v>OK</v>
      </c>
    </row>
    <row r="398">
      <c r="A398" t="str">
        <f>"АРТ-"&amp;LEFT(SUBSTITUTE(SUBSTITUTE(SUBSTITUTE(SUBSTITUTE(Товары_исходные!A398,"№",""),"АРТ-",""),"АРТ_",""),"/","-"),3)</f>
        <v>АРТ-397</v>
      </c>
      <c r="B398" t="str">
        <f>PROPER(TRIM(IFERROR(LEFT(Товары_исходные!B398,FIND("(",Товары_исходные!B398)-1),Товары_исходные!B398)))</f>
        <v xml:space="preserve">Мышь Logitech G502 X</v>
      </c>
      <c r="C398" t="str">
        <f>IFERROR(VLOOKUP(Товары_исходные!C398,Справочники!$A$2:$B$50,2,FALSE),Товары_исходные!C398)</f>
        <v>Аксессуары</v>
      </c>
      <c r="D398" t="str">
        <f>PROPER(TRIM(Товары_исходные!D398))</f>
        <v>Logitech</v>
      </c>
      <c r="E398" s="4">
        <f>IFERROR(VALUE(IF(AND(ISNUMBER(FIND(",",Товары_исходные!E398)),ISNUMBER(FIND(".",Товары_исходные!E398))),SUBSTITUTE(SUBSTITUTE(SUBSTITUTE(SUBSTITUTE(Товары_исходные!E398," ",""),"руб.",""),"руб",""),",",""),SUBSTITUTE(SUBSTITUTE(SUBSTITUTE(SUBSTITUTE(Товары_исходные!E398," ",""),"руб.",""),"руб",""),",","."))),0)</f>
        <v>4500</v>
      </c>
      <c r="F398" s="4">
        <f>IFERROR(VALUE(IF(AND(ISNUMBER(FIND(",",Товары_исходные!F398)),ISNUMBER(FIND(".",Товары_исходные!F398))),SUBSTITUTE(SUBSTITUTE(SUBSTITUTE(SUBSTITUTE(Товары_исходные!F398," ",""),"руб.",""),"руб",""),",",""),SUBSTITUTE(SUBSTITUTE(SUBSTITUTE(SUBSTITUTE(Товары_исходные!F398," ",""),"руб.",""),"руб",""),",","."))),0)</f>
        <v>7990</v>
      </c>
      <c r="G398" t="str">
        <f>IFERROR(VLOOKUP(Товары_исходные!G398,Справочники!$D$2:$E$50,2,FALSE),"шт.")</f>
        <v>шт.</v>
      </c>
      <c r="H398" t="str">
        <f t="shared" si="14"/>
        <v>OK</v>
      </c>
      <c r="I398" t="str">
        <f t="shared" si="15"/>
        <v>OK</v>
      </c>
    </row>
    <row r="399">
      <c r="A399" t="str">
        <f>"АРТ-"&amp;LEFT(SUBSTITUTE(SUBSTITUTE(SUBSTITUTE(SUBSTITUTE(Товары_исходные!A399,"№",""),"АРТ-",""),"АРТ_",""),"/","-"),3)</f>
        <v>АРТ-398</v>
      </c>
      <c r="B399" t="str">
        <f>PROPER(TRIM(IFERROR(LEFT(Товары_исходные!B399,FIND("(",Товары_исходные!B399)-1),Товары_исходные!B399)))</f>
        <v xml:space="preserve">Мышь Logitech G502 X</v>
      </c>
      <c r="C399" t="str">
        <f>IFERROR(VLOOKUP(Товары_исходные!C399,Справочники!$A$2:$B$50,2,FALSE),Товары_исходные!C399)</f>
        <v>Аксессуары</v>
      </c>
      <c r="D399" t="str">
        <f>PROPER(TRIM(Товары_исходные!D399))</f>
        <v>Logitech</v>
      </c>
      <c r="E399" s="4">
        <f>IFERROR(VALUE(IF(AND(ISNUMBER(FIND(",",Товары_исходные!E399)),ISNUMBER(FIND(".",Товары_исходные!E399))),SUBSTITUTE(SUBSTITUTE(SUBSTITUTE(SUBSTITUTE(Товары_исходные!E399," ",""),"руб.",""),"руб",""),",",""),SUBSTITUTE(SUBSTITUTE(SUBSTITUTE(SUBSTITUTE(Товары_исходные!E399," ",""),"руб.",""),"руб",""),",","."))),0)</f>
        <v>4000</v>
      </c>
      <c r="F399" s="4">
        <f>IFERROR(VALUE(IF(AND(ISNUMBER(FIND(",",Товары_исходные!F399)),ISNUMBER(FIND(".",Товары_исходные!F399))),SUBSTITUTE(SUBSTITUTE(SUBSTITUTE(SUBSTITUTE(Товары_исходные!F399," ",""),"руб.",""),"руб",""),",",""),SUBSTITUTE(SUBSTITUTE(SUBSTITUTE(SUBSTITUTE(Товары_исходные!F399," ",""),"руб.",""),"руб",""),",","."))),0)</f>
        <v>7500</v>
      </c>
      <c r="G399" t="str">
        <f>IFERROR(VLOOKUP(Товары_исходные!G399,Справочники!$D$2:$E$50,2,FALSE),"шт.")</f>
        <v>шт.</v>
      </c>
      <c r="H399" t="str">
        <f t="shared" si="14"/>
        <v>OK</v>
      </c>
      <c r="I399" t="str">
        <f t="shared" si="15"/>
        <v>OK</v>
      </c>
    </row>
    <row r="400">
      <c r="A400" t="str">
        <f>"АРТ-"&amp;LEFT(SUBSTITUTE(SUBSTITUTE(SUBSTITUTE(SUBSTITUTE(Товары_исходные!A400,"№",""),"АРТ-",""),"АРТ_",""),"/","-"),3)</f>
        <v>АРТ-399</v>
      </c>
      <c r="B400" t="str">
        <f>PROPER(TRIM(IFERROR(LEFT(Товары_исходные!B400,FIND("(",Товары_исходные!B400)-1),Товары_исходные!B400)))</f>
        <v xml:space="preserve">Мышь Logitech G502 X</v>
      </c>
      <c r="C400" t="str">
        <f>IFERROR(VLOOKUP(Товары_исходные!C400,Справочники!$A$2:$B$50,2,FALSE),Товары_исходные!C400)</f>
        <v>Аксессуары</v>
      </c>
      <c r="D400" t="str">
        <f>PROPER(TRIM(Товары_исходные!D400))</f>
        <v>Logitech</v>
      </c>
      <c r="E400" s="4">
        <f>IFERROR(VALUE(IF(AND(ISNUMBER(FIND(",",Товары_исходные!E400)),ISNUMBER(FIND(".",Товары_исходные!E400))),SUBSTITUTE(SUBSTITUTE(SUBSTITUTE(SUBSTITUTE(Товары_исходные!E400," ",""),"руб.",""),"руб",""),",",""),SUBSTITUTE(SUBSTITUTE(SUBSTITUTE(SUBSTITUTE(Товары_исходные!E400," ",""),"руб.",""),"руб",""),",","."))),0)</f>
        <v>5000</v>
      </c>
      <c r="F400" s="4">
        <f>IFERROR(VALUE(IF(AND(ISNUMBER(FIND(",",Товары_исходные!F400)),ISNUMBER(FIND(".",Товары_исходные!F400))),SUBSTITUTE(SUBSTITUTE(SUBSTITUTE(SUBSTITUTE(Товары_исходные!F400," ",""),"руб.",""),"руб",""),",",""),SUBSTITUTE(SUBSTITUTE(SUBSTITUTE(SUBSTITUTE(Товары_исходные!F400," ",""),"руб.",""),"руб",""),",","."))),0)</f>
        <v>8800</v>
      </c>
      <c r="G400" t="str">
        <f>IFERROR(VLOOKUP(Товары_исходные!G400,Справочники!$D$2:$E$50,2,FALSE),"шт.")</f>
        <v>шт.</v>
      </c>
      <c r="H400" t="str">
        <f t="shared" si="14"/>
        <v>OK</v>
      </c>
      <c r="I400" t="str">
        <f t="shared" si="15"/>
        <v>OK</v>
      </c>
    </row>
    <row r="401">
      <c r="A401" t="str">
        <f>"АРТ-"&amp;LEFT(SUBSTITUTE(SUBSTITUTE(SUBSTITUTE(SUBSTITUTE(Товары_исходные!A401,"№",""),"АРТ-",""),"АРТ_",""),"/","-"),3)</f>
        <v>АРТ-400</v>
      </c>
      <c r="B401" t="str">
        <f>PROPER(TRIM(IFERROR(LEFT(Товары_исходные!B401,FIND("(",Товары_исходные!B401)-1),Товары_исходные!B401)))</f>
        <v xml:space="preserve">Смартфон Realme C55</v>
      </c>
      <c r="C401" t="str">
        <f>IFERROR(VLOOKUP(Товары_исходные!C401,Справочники!$A$2:$B$50,2,FALSE),Товары_исходные!C401)</f>
        <v>Смартфоны</v>
      </c>
      <c r="D401" t="str">
        <f>PROPER(TRIM(Товары_исходные!D401))</f>
        <v>Realme</v>
      </c>
      <c r="E401" s="4">
        <f>IFERROR(VALUE(IF(AND(ISNUMBER(FIND(",",Товары_исходные!E401)),ISNUMBER(FIND(".",Товары_исходные!E401))),SUBSTITUTE(SUBSTITUTE(SUBSTITUTE(SUBSTITUTE(Товары_исходные!E401," ",""),"руб.",""),"руб",""),",",""),SUBSTITUTE(SUBSTITUTE(SUBSTITUTE(SUBSTITUTE(Товары_исходные!E401," ",""),"руб.",""),"руб",""),",","."))),0)</f>
        <v>12000</v>
      </c>
      <c r="F401" s="4">
        <f>IFERROR(VALUE(IF(AND(ISNUMBER(FIND(",",Товары_исходные!F401)),ISNUMBER(FIND(".",Товары_исходные!F401))),SUBSTITUTE(SUBSTITUTE(SUBSTITUTE(SUBSTITUTE(Товары_исходные!F401," ",""),"руб.",""),"руб",""),",",""),SUBSTITUTE(SUBSTITUTE(SUBSTITUTE(SUBSTITUTE(Товары_исходные!F401," ",""),"руб.",""),"руб",""),",","."))),0)</f>
        <v>19990</v>
      </c>
      <c r="G401" t="str">
        <f>IFERROR(VLOOKUP(Товары_исходные!G401,Справочники!$D$2:$E$50,2,FALSE),"шт.")</f>
        <v>шт.</v>
      </c>
      <c r="H401" t="str">
        <f t="shared" si="14"/>
        <v>OK</v>
      </c>
      <c r="I401" t="str">
        <f t="shared" si="15"/>
        <v>OK</v>
      </c>
    </row>
    <row r="402">
      <c r="A402" t="str">
        <f>"АРТ-"&amp;LEFT(SUBSTITUTE(SUBSTITUTE(SUBSTITUTE(SUBSTITUTE(Товары_исходные!A402,"№",""),"АРТ-",""),"АРТ_",""),"/","-"),3)</f>
        <v>АРТ-401</v>
      </c>
      <c r="B402" t="str">
        <f>PROPER(TRIM(IFERROR(LEFT(Товары_исходные!B402,FIND("(",Товары_исходные!B402)-1),Товары_исходные!B402)))</f>
        <v xml:space="preserve">Смартфон Realme C55</v>
      </c>
      <c r="C402" t="str">
        <f>IFERROR(VLOOKUP(Товары_исходные!C402,Справочники!$A$2:$B$50,2,FALSE),Товары_исходные!C402)</f>
        <v>Смартфоны</v>
      </c>
      <c r="D402" t="str">
        <f>PROPER(TRIM(Товары_исходные!D402))</f>
        <v>Realme</v>
      </c>
      <c r="E402" s="4">
        <f>IFERROR(VALUE(IF(AND(ISNUMBER(FIND(",",Товары_исходные!E402)),ISNUMBER(FIND(".",Товары_исходные!E402))),SUBSTITUTE(SUBSTITUTE(SUBSTITUTE(SUBSTITUTE(Товары_исходные!E402," ",""),"руб.",""),"руб",""),",",""),SUBSTITUTE(SUBSTITUTE(SUBSTITUTE(SUBSTITUTE(Товары_исходные!E402," ",""),"руб.",""),"руб",""),",","."))),0)</f>
        <v>11000</v>
      </c>
      <c r="F402" s="4">
        <f>IFERROR(VALUE(IF(AND(ISNUMBER(FIND(",",Товары_исходные!F402)),ISNUMBER(FIND(".",Товары_исходные!F402))),SUBSTITUTE(SUBSTITUTE(SUBSTITUTE(SUBSTITUTE(Товары_исходные!F402," ",""),"руб.",""),"руб",""),",",""),SUBSTITUTE(SUBSTITUTE(SUBSTITUTE(SUBSTITUTE(Товары_исходные!F402," ",""),"руб.",""),"руб",""),",","."))),0)</f>
        <v>19000</v>
      </c>
      <c r="G402" t="str">
        <f>IFERROR(VLOOKUP(Товары_исходные!G402,Справочники!$D$2:$E$50,2,FALSE),"шт.")</f>
        <v>шт.</v>
      </c>
      <c r="H402" t="str">
        <f t="shared" si="14"/>
        <v>OK</v>
      </c>
      <c r="I402" t="str">
        <f t="shared" si="15"/>
        <v>OK</v>
      </c>
    </row>
    <row r="403">
      <c r="A403" t="str">
        <f>"АРТ-"&amp;LEFT(SUBSTITUTE(SUBSTITUTE(SUBSTITUTE(SUBSTITUTE(Товары_исходные!A403,"№",""),"АРТ-",""),"АРТ_",""),"/","-"),3)</f>
        <v>АРТ-402</v>
      </c>
      <c r="B403" t="str">
        <f>PROPER(TRIM(IFERROR(LEFT(Товары_исходные!B403,FIND("(",Товары_исходные!B403)-1),Товары_исходные!B403)))</f>
        <v xml:space="preserve">Смартфон Realme C55</v>
      </c>
      <c r="C403" t="str">
        <f>IFERROR(VLOOKUP(Товары_исходные!C403,Справочники!$A$2:$B$50,2,FALSE),Товары_исходные!C403)</f>
        <v>Смартфоны</v>
      </c>
      <c r="D403" t="str">
        <f>PROPER(TRIM(Товары_исходные!D403))</f>
        <v>Realme</v>
      </c>
      <c r="E403" s="4">
        <f>IFERROR(VALUE(IF(AND(ISNUMBER(FIND(",",Товары_исходные!E403)),ISNUMBER(FIND(".",Товары_исходные!E403))),SUBSTITUTE(SUBSTITUTE(SUBSTITUTE(SUBSTITUTE(Товары_исходные!E403," ",""),"руб.",""),"руб",""),",",""),SUBSTITUTE(SUBSTITUTE(SUBSTITUTE(SUBSTITUTE(Товары_исходные!E403," ",""),"руб.",""),"руб",""),",","."))),0)</f>
        <v>13000</v>
      </c>
      <c r="F403" s="4">
        <f>IFERROR(VALUE(IF(AND(ISNUMBER(FIND(",",Товары_исходные!F403)),ISNUMBER(FIND(".",Товары_исходные!F403))),SUBSTITUTE(SUBSTITUTE(SUBSTITUTE(SUBSTITUTE(Товары_исходные!F403," ",""),"руб.",""),"руб",""),",",""),SUBSTITUTE(SUBSTITUTE(SUBSTITUTE(SUBSTITUTE(Товары_исходные!F403," ",""),"руб.",""),"руб",""),",","."))),0)</f>
        <v>21000</v>
      </c>
      <c r="G403" t="str">
        <f>IFERROR(VLOOKUP(Товары_исходные!G403,Справочники!$D$2:$E$50,2,FALSE),"шт.")</f>
        <v>шт.</v>
      </c>
      <c r="H403" t="str">
        <f t="shared" si="14"/>
        <v>OK</v>
      </c>
      <c r="I403" t="str">
        <f t="shared" si="15"/>
        <v>OK</v>
      </c>
    </row>
    <row r="404">
      <c r="A404" t="str">
        <f>"АРТ-"&amp;LEFT(SUBSTITUTE(SUBSTITUTE(SUBSTITUTE(SUBSTITUTE(Товары_исходные!A404,"№",""),"АРТ-",""),"АРТ_",""),"/","-"),3)</f>
        <v>АРТ-403</v>
      </c>
      <c r="B404" t="str">
        <f>PROPER(TRIM(IFERROR(LEFT(Товары_исходные!B404,FIND("(",Товары_исходные!B404)-1),Товары_исходные!B404)))</f>
        <v xml:space="preserve">Планшет Lenovo Tab M10</v>
      </c>
      <c r="C404" t="str">
        <f>IFERROR(VLOOKUP(Товары_исходные!C404,Справочники!$A$2:$B$50,2,FALSE),Товары_исходные!C404)</f>
        <v>Планшеты</v>
      </c>
      <c r="D404" t="str">
        <f>PROPER(TRIM(Товары_исходные!D404))</f>
        <v>Lenovo</v>
      </c>
      <c r="E404" s="4">
        <f>IFERROR(VALUE(IF(AND(ISNUMBER(FIND(",",Товары_исходные!E404)),ISNUMBER(FIND(".",Товары_исходные!E404))),SUBSTITUTE(SUBSTITUTE(SUBSTITUTE(SUBSTITUTE(Товары_исходные!E404," ",""),"руб.",""),"руб",""),",",""),SUBSTITUTE(SUBSTITUTE(SUBSTITUTE(SUBSTITUTE(Товары_исходные!E404," ",""),"руб.",""),"руб",""),",","."))),0)</f>
        <v>12000</v>
      </c>
      <c r="F404" s="4">
        <f>IFERROR(VALUE(IF(AND(ISNUMBER(FIND(",",Товары_исходные!F404)),ISNUMBER(FIND(".",Товары_исходные!F404))),SUBSTITUTE(SUBSTITUTE(SUBSTITUTE(SUBSTITUTE(Товары_исходные!F404," ",""),"руб.",""),"руб",""),",",""),SUBSTITUTE(SUBSTITUTE(SUBSTITUTE(SUBSTITUTE(Товары_исходные!F404," ",""),"руб.",""),"руб",""),",","."))),0)</f>
        <v>19990</v>
      </c>
      <c r="G404" t="str">
        <f>IFERROR(VLOOKUP(Товары_исходные!G404,Справочники!$D$2:$E$50,2,FALSE),"шт.")</f>
        <v>шт.</v>
      </c>
      <c r="H404" t="str">
        <f t="shared" si="14"/>
        <v>OK</v>
      </c>
      <c r="I404" t="str">
        <f t="shared" si="15"/>
        <v>OK</v>
      </c>
    </row>
    <row r="405">
      <c r="A405" t="str">
        <f>"АРТ-"&amp;LEFT(SUBSTITUTE(SUBSTITUTE(SUBSTITUTE(SUBSTITUTE(Товары_исходные!A405,"№",""),"АРТ-",""),"АРТ_",""),"/","-"),3)</f>
        <v>АРТ-404</v>
      </c>
      <c r="B405" t="str">
        <f>PROPER(TRIM(IFERROR(LEFT(Товары_исходные!B405,FIND("(",Товары_исходные!B405)-1),Товары_исходные!B405)))</f>
        <v xml:space="preserve">Планшет Lenovo Tab M10</v>
      </c>
      <c r="C405" t="str">
        <f>IFERROR(VLOOKUP(Товары_исходные!C405,Справочники!$A$2:$B$50,2,FALSE),Товары_исходные!C405)</f>
        <v>Планшеты</v>
      </c>
      <c r="D405" t="str">
        <f>PROPER(TRIM(Товары_исходные!D405))</f>
        <v>Lenovo</v>
      </c>
      <c r="E405" s="4">
        <f>IFERROR(VALUE(IF(AND(ISNUMBER(FIND(",",Товары_исходные!E405)),ISNUMBER(FIND(".",Товары_исходные!E405))),SUBSTITUTE(SUBSTITUTE(SUBSTITUTE(SUBSTITUTE(Товары_исходные!E405," ",""),"руб.",""),"руб",""),",",""),SUBSTITUTE(SUBSTITUTE(SUBSTITUTE(SUBSTITUTE(Товары_исходные!E405," ",""),"руб.",""),"руб",""),",","."))),0)</f>
        <v>11000</v>
      </c>
      <c r="F405" s="4">
        <f>IFERROR(VALUE(IF(AND(ISNUMBER(FIND(",",Товары_исходные!F405)),ISNUMBER(FIND(".",Товары_исходные!F405))),SUBSTITUTE(SUBSTITUTE(SUBSTITUTE(SUBSTITUTE(Товары_исходные!F405," ",""),"руб.",""),"руб",""),",",""),SUBSTITUTE(SUBSTITUTE(SUBSTITUTE(SUBSTITUTE(Товары_исходные!F405," ",""),"руб.",""),"руб",""),",","."))),0)</f>
        <v>19000</v>
      </c>
      <c r="G405" t="str">
        <f>IFERROR(VLOOKUP(Товары_исходные!G405,Справочники!$D$2:$E$50,2,FALSE),"шт.")</f>
        <v>шт.</v>
      </c>
      <c r="H405" t="str">
        <f t="shared" si="14"/>
        <v>OK</v>
      </c>
      <c r="I405" t="str">
        <f t="shared" si="15"/>
        <v>OK</v>
      </c>
    </row>
    <row r="406">
      <c r="A406" t="str">
        <f>"АРТ-"&amp;LEFT(SUBSTITUTE(SUBSTITUTE(SUBSTITUTE(SUBSTITUTE(Товары_исходные!A406,"№",""),"АРТ-",""),"АРТ_",""),"/","-"),3)</f>
        <v>АРТ-405</v>
      </c>
      <c r="B406" t="str">
        <f>PROPER(TRIM(IFERROR(LEFT(Товары_исходные!B406,FIND("(",Товары_исходные!B406)-1),Товары_исходные!B406)))</f>
        <v xml:space="preserve">Планшет Lenovo Tab M10</v>
      </c>
      <c r="C406" t="str">
        <f>IFERROR(VLOOKUP(Товары_исходные!C406,Справочники!$A$2:$B$50,2,FALSE),Товары_исходные!C406)</f>
        <v>Планшеты</v>
      </c>
      <c r="D406" t="str">
        <f>PROPER(TRIM(Товары_исходные!D406))</f>
        <v>Lenovo</v>
      </c>
      <c r="E406" s="4">
        <f>IFERROR(VALUE(IF(AND(ISNUMBER(FIND(",",Товары_исходные!E406)),ISNUMBER(FIND(".",Товары_исходные!E406))),SUBSTITUTE(SUBSTITUTE(SUBSTITUTE(SUBSTITUTE(Товары_исходные!E406," ",""),"руб.",""),"руб",""),",",""),SUBSTITUTE(SUBSTITUTE(SUBSTITUTE(SUBSTITUTE(Товары_исходные!E406," ",""),"руб.",""),"руб",""),",","."))),0)</f>
        <v>13000</v>
      </c>
      <c r="F406" s="4">
        <f>IFERROR(VALUE(IF(AND(ISNUMBER(FIND(",",Товары_исходные!F406)),ISNUMBER(FIND(".",Товары_исходные!F406))),SUBSTITUTE(SUBSTITUTE(SUBSTITUTE(SUBSTITUTE(Товары_исходные!F406," ",""),"руб.",""),"руб",""),",",""),SUBSTITUTE(SUBSTITUTE(SUBSTITUTE(SUBSTITUTE(Товары_исходные!F406," ",""),"руб.",""),"руб",""),",","."))),0)</f>
        <v>21000</v>
      </c>
      <c r="G406" t="str">
        <f>IFERROR(VLOOKUP(Товары_исходные!G406,Справочники!$D$2:$E$50,2,FALSE),"шт.")</f>
        <v>шт.</v>
      </c>
      <c r="H406" t="str">
        <f t="shared" si="14"/>
        <v>OK</v>
      </c>
      <c r="I406" t="str">
        <f t="shared" si="15"/>
        <v>OK</v>
      </c>
    </row>
    <row r="407">
      <c r="A407" t="str">
        <f>"АРТ-"&amp;LEFT(SUBSTITUTE(SUBSTITUTE(SUBSTITUTE(SUBSTITUTE(Товары_исходные!A407,"№",""),"АРТ-",""),"АРТ_",""),"/","-"),3)</f>
        <v>АРТ-406</v>
      </c>
      <c r="B407" t="str">
        <f>PROPER(TRIM(IFERROR(LEFT(Товары_исходные!B407,FIND("(",Товары_исходные!B407)-1),Товары_исходные!B407)))</f>
        <v xml:space="preserve">Телевизор Lg Nanocell 75</v>
      </c>
      <c r="C407" t="str">
        <f>IFERROR(VLOOKUP(Товары_исходные!C407,Справочники!$A$2:$B$50,2,FALSE),Товары_исходные!C407)</f>
        <v>Телевизоры</v>
      </c>
      <c r="D407" t="str">
        <f>PROPER(TRIM(Товары_исходные!D407))</f>
        <v>Lg</v>
      </c>
      <c r="E407" s="4">
        <f>IFERROR(VALUE(IF(AND(ISNUMBER(FIND(",",Товары_исходные!E407)),ISNUMBER(FIND(".",Товары_исходные!E407))),SUBSTITUTE(SUBSTITUTE(SUBSTITUTE(SUBSTITUTE(Товары_исходные!E407," ",""),"руб.",""),"руб",""),",",""),SUBSTITUTE(SUBSTITUTE(SUBSTITUTE(SUBSTITUTE(Товары_исходные!E407," ",""),"руб.",""),"руб",""),",","."))),0)</f>
        <v>68000</v>
      </c>
      <c r="F407" s="4">
        <f>IFERROR(VALUE(IF(AND(ISNUMBER(FIND(",",Товары_исходные!F407)),ISNUMBER(FIND(".",Товары_исходные!F407))),SUBSTITUTE(SUBSTITUTE(SUBSTITUTE(SUBSTITUTE(Товары_исходные!F407," ",""),"руб.",""),"руб",""),",",""),SUBSTITUTE(SUBSTITUTE(SUBSTITUTE(SUBSTITUTE(Товары_исходные!F407," ",""),"руб.",""),"руб",""),",","."))),0)</f>
        <v>104990</v>
      </c>
      <c r="G407" t="str">
        <f>IFERROR(VLOOKUP(Товары_исходные!G407,Справочники!$D$2:$E$50,2,FALSE),"шт.")</f>
        <v>шт.</v>
      </c>
      <c r="H407" t="str">
        <f t="shared" si="14"/>
        <v>OK</v>
      </c>
      <c r="I407" t="str">
        <f t="shared" si="15"/>
        <v>OK</v>
      </c>
    </row>
    <row r="408">
      <c r="A408" t="str">
        <f>"АРТ-"&amp;LEFT(SUBSTITUTE(SUBSTITUTE(SUBSTITUTE(SUBSTITUTE(Товары_исходные!A408,"№",""),"АРТ-",""),"АРТ_",""),"/","-"),3)</f>
        <v>АРТ-407</v>
      </c>
      <c r="B408" t="str">
        <f>PROPER(TRIM(IFERROR(LEFT(Товары_исходные!B408,FIND("(",Товары_исходные!B408)-1),Товары_исходные!B408)))</f>
        <v xml:space="preserve">Телевизор Lg Nanocell 75</v>
      </c>
      <c r="C408" t="str">
        <f>IFERROR(VLOOKUP(Товары_исходные!C408,Справочники!$A$2:$B$50,2,FALSE),Товары_исходные!C408)</f>
        <v>Телевизоры</v>
      </c>
      <c r="D408" t="str">
        <f>PROPER(TRIM(Товары_исходные!D408))</f>
        <v>Lg</v>
      </c>
      <c r="E408" s="4">
        <f>IFERROR(VALUE(IF(AND(ISNUMBER(FIND(",",Товары_исходные!E408)),ISNUMBER(FIND(".",Товары_исходные!E408))),SUBSTITUTE(SUBSTITUTE(SUBSTITUTE(SUBSTITUTE(Товары_исходные!E408," ",""),"руб.",""),"руб",""),",",""),SUBSTITUTE(SUBSTITUTE(SUBSTITUTE(SUBSTITUTE(Товары_исходные!E408," ",""),"руб.",""),"руб",""),",","."))),0)</f>
        <v>66000</v>
      </c>
      <c r="F408" s="4">
        <f>IFERROR(VALUE(IF(AND(ISNUMBER(FIND(",",Товары_исходные!F408)),ISNUMBER(FIND(".",Товары_исходные!F408))),SUBSTITUTE(SUBSTITUTE(SUBSTITUTE(SUBSTITUTE(Товары_исходные!F408," ",""),"руб.",""),"руб",""),",",""),SUBSTITUTE(SUBSTITUTE(SUBSTITUTE(SUBSTITUTE(Товары_исходные!F408," ",""),"руб.",""),"руб",""),",","."))),0)</f>
        <v>102000</v>
      </c>
      <c r="G408" t="str">
        <f>IFERROR(VLOOKUP(Товары_исходные!G408,Справочники!$D$2:$E$50,2,FALSE),"шт.")</f>
        <v>шт.</v>
      </c>
      <c r="H408" t="str">
        <f t="shared" si="14"/>
        <v>OK</v>
      </c>
      <c r="I408" t="str">
        <f t="shared" si="15"/>
        <v>OK</v>
      </c>
    </row>
    <row r="409">
      <c r="A409" t="str">
        <f>"АРТ-"&amp;LEFT(SUBSTITUTE(SUBSTITUTE(SUBSTITUTE(SUBSTITUTE(Товары_исходные!A409,"№",""),"АРТ-",""),"АРТ_",""),"/","-"),3)</f>
        <v>АРТ-408</v>
      </c>
      <c r="B409" t="str">
        <f>PROPER(TRIM(IFERROR(LEFT(Товары_исходные!B409,FIND("(",Товары_исходные!B409)-1),Товары_исходные!B409)))</f>
        <v xml:space="preserve">Телевизор Lg Nanocell 75</v>
      </c>
      <c r="C409" t="str">
        <f>IFERROR(VLOOKUP(Товары_исходные!C409,Справочники!$A$2:$B$50,2,FALSE),Товары_исходные!C409)</f>
        <v>Телевизоры</v>
      </c>
      <c r="D409" t="str">
        <f>PROPER(TRIM(Товары_исходные!D409))</f>
        <v>Lg</v>
      </c>
      <c r="E409" s="4">
        <f>IFERROR(VALUE(IF(AND(ISNUMBER(FIND(",",Товары_исходные!E409)),ISNUMBER(FIND(".",Товары_исходные!E409))),SUBSTITUTE(SUBSTITUTE(SUBSTITUTE(SUBSTITUTE(Товары_исходные!E409," ",""),"руб.",""),"руб",""),",",""),SUBSTITUTE(SUBSTITUTE(SUBSTITUTE(SUBSTITUTE(Товары_исходные!E409," ",""),"руб.",""),"руб",""),",","."))),0)</f>
        <v>69500</v>
      </c>
      <c r="F409" s="4">
        <f>IFERROR(VALUE(IF(AND(ISNUMBER(FIND(",",Товары_исходные!F409)),ISNUMBER(FIND(".",Товары_исходные!F409))),SUBSTITUTE(SUBSTITUTE(SUBSTITUTE(SUBSTITUTE(Товары_исходные!F409," ",""),"руб.",""),"руб",""),",",""),SUBSTITUTE(SUBSTITUTE(SUBSTITUTE(SUBSTITUTE(Товары_исходные!F409," ",""),"руб.",""),"руб",""),",","."))),0)</f>
        <v>107500</v>
      </c>
      <c r="G409" t="str">
        <f>IFERROR(VLOOKUP(Товары_исходные!G409,Справочники!$D$2:$E$50,2,FALSE),"шт.")</f>
        <v>шт.</v>
      </c>
      <c r="H409" t="str">
        <f t="shared" si="14"/>
        <v>OK</v>
      </c>
      <c r="I409" t="str">
        <f t="shared" si="15"/>
        <v>OK</v>
      </c>
    </row>
    <row r="410">
      <c r="A410" t="str">
        <f>"АРТ-"&amp;LEFT(SUBSTITUTE(SUBSTITUTE(SUBSTITUTE(SUBSTITUTE(Товары_исходные!A410,"№",""),"АРТ-",""),"АРТ_",""),"/","-"),3)</f>
        <v>АРТ-409</v>
      </c>
      <c r="B410" t="str">
        <f>PROPER(TRIM(IFERROR(LEFT(Товары_исходные!B410,FIND("(",Товары_исходные!B410)-1),Товары_исходные!B410)))</f>
        <v xml:space="preserve">Наушники Sennheiser Momentum 4</v>
      </c>
      <c r="C410" t="str">
        <f>IFERROR(VLOOKUP(Товары_исходные!C410,Справочники!$A$2:$B$50,2,FALSE),Товары_исходные!C410)</f>
        <v>Наушники</v>
      </c>
      <c r="D410" t="str">
        <f>PROPER(TRIM(Товары_исходные!D410))</f>
        <v>Sennheiser</v>
      </c>
      <c r="E410" s="4">
        <f>IFERROR(VALUE(IF(AND(ISNUMBER(FIND(",",Товары_исходные!E410)),ISNUMBER(FIND(".",Товары_исходные!E410))),SUBSTITUTE(SUBSTITUTE(SUBSTITUTE(SUBSTITUTE(Товары_исходные!E410," ",""),"руб.",""),"руб",""),",",""),SUBSTITUTE(SUBSTITUTE(SUBSTITUTE(SUBSTITUTE(Товары_исходные!E410," ",""),"руб.",""),"руб",""),",","."))),0)</f>
        <v>25000</v>
      </c>
      <c r="F410" s="4">
        <f>IFERROR(VALUE(IF(AND(ISNUMBER(FIND(",",Товары_исходные!F410)),ISNUMBER(FIND(".",Товары_исходные!F410))),SUBSTITUTE(SUBSTITUTE(SUBSTITUTE(SUBSTITUTE(Товары_исходные!F410," ",""),"руб.",""),"руб",""),",",""),SUBSTITUTE(SUBSTITUTE(SUBSTITUTE(SUBSTITUTE(Товары_исходные!F410," ",""),"руб.",""),"руб",""),",","."))),0)</f>
        <v>39990</v>
      </c>
      <c r="G410" t="str">
        <f>IFERROR(VLOOKUP(Товары_исходные!G410,Справочники!$D$2:$E$50,2,FALSE),"шт.")</f>
        <v>шт.</v>
      </c>
      <c r="H410" t="str">
        <f t="shared" si="14"/>
        <v>OK</v>
      </c>
      <c r="I410" t="str">
        <f t="shared" si="15"/>
        <v>OK</v>
      </c>
    </row>
    <row r="411">
      <c r="A411" t="str">
        <f>"АРТ-"&amp;LEFT(SUBSTITUTE(SUBSTITUTE(SUBSTITUTE(SUBSTITUTE(Товары_исходные!A411,"№",""),"АРТ-",""),"АРТ_",""),"/","-"),3)</f>
        <v>АРТ-410</v>
      </c>
      <c r="B411" t="str">
        <f>PROPER(TRIM(IFERROR(LEFT(Товары_исходные!B411,FIND("(",Товары_исходные!B411)-1),Товары_исходные!B411)))</f>
        <v xml:space="preserve">Наушники Sennheiser Momentum 4</v>
      </c>
      <c r="C411" t="str">
        <f>IFERROR(VLOOKUP(Товары_исходные!C411,Справочники!$A$2:$B$50,2,FALSE),Товары_исходные!C411)</f>
        <v>Наушники</v>
      </c>
      <c r="D411" t="str">
        <f>PROPER(TRIM(Товары_исходные!D411))</f>
        <v>Sennheiser</v>
      </c>
      <c r="E411" s="4">
        <f>IFERROR(VALUE(IF(AND(ISNUMBER(FIND(",",Товары_исходные!E411)),ISNUMBER(FIND(".",Товары_исходные!E411))),SUBSTITUTE(SUBSTITUTE(SUBSTITUTE(SUBSTITUTE(Товары_исходные!E411," ",""),"руб.",""),"руб",""),",",""),SUBSTITUTE(SUBSTITUTE(SUBSTITUTE(SUBSTITUTE(Товары_исходные!E411," ",""),"руб.",""),"руб",""),",","."))),0)</f>
        <v>24000</v>
      </c>
      <c r="F411" s="4">
        <f>IFERROR(VALUE(IF(AND(ISNUMBER(FIND(",",Товары_исходные!F411)),ISNUMBER(FIND(".",Товары_исходные!F411))),SUBSTITUTE(SUBSTITUTE(SUBSTITUTE(SUBSTITUTE(Товары_исходные!F411," ",""),"руб.",""),"руб",""),",",""),SUBSTITUTE(SUBSTITUTE(SUBSTITUTE(SUBSTITUTE(Товары_исходные!F411," ",""),"руб.",""),"руб",""),",","."))),0)</f>
        <v>38500</v>
      </c>
      <c r="G411" t="str">
        <f>IFERROR(VLOOKUP(Товары_исходные!G411,Справочники!$D$2:$E$50,2,FALSE),"шт.")</f>
        <v>шт.</v>
      </c>
      <c r="H411" t="str">
        <f t="shared" si="14"/>
        <v>OK</v>
      </c>
      <c r="I411" t="str">
        <f t="shared" si="15"/>
        <v>OK</v>
      </c>
    </row>
    <row r="412">
      <c r="A412" t="str">
        <f>"АРТ-"&amp;LEFT(SUBSTITUTE(SUBSTITUTE(SUBSTITUTE(SUBSTITUTE(Товары_исходные!A412,"№",""),"АРТ-",""),"АРТ_",""),"/","-"),3)</f>
        <v>АРТ-411</v>
      </c>
      <c r="B412" t="str">
        <f>PROPER(TRIM(IFERROR(LEFT(Товары_исходные!B412,FIND("(",Товары_исходные!B412)-1),Товары_исходные!B412)))</f>
        <v xml:space="preserve">Наушники Sennheiser Momentum 4</v>
      </c>
      <c r="C412" t="str">
        <f>IFERROR(VLOOKUP(Товары_исходные!C412,Справочники!$A$2:$B$50,2,FALSE),Товары_исходные!C412)</f>
        <v>Наушники</v>
      </c>
      <c r="D412" t="str">
        <f>PROPER(TRIM(Товары_исходные!D412))</f>
        <v>Sennheiser</v>
      </c>
      <c r="E412" s="4">
        <f>IFERROR(VALUE(IF(AND(ISNUMBER(FIND(",",Товары_исходные!E412)),ISNUMBER(FIND(".",Товары_исходные!E412))),SUBSTITUTE(SUBSTITUTE(SUBSTITUTE(SUBSTITUTE(Товары_исходные!E412," ",""),"руб.",""),"руб",""),",",""),SUBSTITUTE(SUBSTITUTE(SUBSTITUTE(SUBSTITUTE(Товары_исходные!E412," ",""),"руб.",""),"руб",""),",","."))),0)</f>
        <v>26000</v>
      </c>
      <c r="F412" s="4">
        <f>IFERROR(VALUE(IF(AND(ISNUMBER(FIND(",",Товары_исходные!F412)),ISNUMBER(FIND(".",Товары_исходные!F412))),SUBSTITUTE(SUBSTITUTE(SUBSTITUTE(SUBSTITUTE(Товары_исходные!F412," ",""),"руб.",""),"руб",""),",",""),SUBSTITUTE(SUBSTITUTE(SUBSTITUTE(SUBSTITUTE(Товары_исходные!F412," ",""),"руб.",""),"руб",""),",","."))),0)</f>
        <v>41500</v>
      </c>
      <c r="G412" t="str">
        <f>IFERROR(VLOOKUP(Товары_исходные!G412,Справочники!$D$2:$E$50,2,FALSE),"шт.")</f>
        <v>шт.</v>
      </c>
      <c r="H412" t="str">
        <f t="shared" si="14"/>
        <v>OK</v>
      </c>
      <c r="I412" t="str">
        <f t="shared" si="15"/>
        <v>OK</v>
      </c>
    </row>
    <row r="413">
      <c r="A413" t="str">
        <f>"АРТ-"&amp;LEFT(SUBSTITUTE(SUBSTITUTE(SUBSTITUTE(SUBSTITUTE(Товары_исходные!A413,"№",""),"АРТ-",""),"АРТ_",""),"/","-"),3)</f>
        <v>АРТ-412</v>
      </c>
      <c r="B413" t="str">
        <f>PROPER(TRIM(IFERROR(LEFT(Товары_исходные!B413,FIND("(",Товары_исходные!B413)-1),Товары_исходные!B413)))</f>
        <v xml:space="preserve">Монитор Viewsonic Vp2458</v>
      </c>
      <c r="C413" t="str">
        <f>IFERROR(VLOOKUP(Товары_исходные!C413,Справочники!$A$2:$B$50,2,FALSE),Товары_исходные!C413)</f>
        <v>Мониторы</v>
      </c>
      <c r="D413" t="str">
        <f>PROPER(TRIM(Товары_исходные!D413))</f>
        <v>Viewsonic</v>
      </c>
      <c r="E413" s="4">
        <f>IFERROR(VALUE(IF(AND(ISNUMBER(FIND(",",Товары_исходные!E413)),ISNUMBER(FIND(".",Товары_исходные!E413))),SUBSTITUTE(SUBSTITUTE(SUBSTITUTE(SUBSTITUTE(Товары_исходные!E413," ",""),"руб.",""),"руб",""),",",""),SUBSTITUTE(SUBSTITUTE(SUBSTITUTE(SUBSTITUTE(Товары_исходные!E413," ",""),"руб.",""),"руб",""),",","."))),0)</f>
        <v>35000</v>
      </c>
      <c r="F413" s="4">
        <f>IFERROR(VALUE(IF(AND(ISNUMBER(FIND(",",Товары_исходные!F413)),ISNUMBER(FIND(".",Товары_исходные!F413))),SUBSTITUTE(SUBSTITUTE(SUBSTITUTE(SUBSTITUTE(Товары_исходные!F413," ",""),"руб.",""),"руб",""),",",""),SUBSTITUTE(SUBSTITUTE(SUBSTITUTE(SUBSTITUTE(Товары_исходные!F413," ",""),"руб.",""),"руб",""),",","."))),0)</f>
        <v>54990</v>
      </c>
      <c r="G413" t="str">
        <f>IFERROR(VLOOKUP(Товары_исходные!G413,Справочники!$D$2:$E$50,2,FALSE),"шт.")</f>
        <v>шт.</v>
      </c>
      <c r="H413" t="str">
        <f t="shared" si="14"/>
        <v>OK</v>
      </c>
      <c r="I413" t="str">
        <f t="shared" si="15"/>
        <v>OK</v>
      </c>
    </row>
    <row r="414">
      <c r="A414" t="str">
        <f>"АРТ-"&amp;LEFT(SUBSTITUTE(SUBSTITUTE(SUBSTITUTE(SUBSTITUTE(Товары_исходные!A414,"№",""),"АРТ-",""),"АРТ_",""),"/","-"),3)</f>
        <v>АРТ-413</v>
      </c>
      <c r="B414" t="str">
        <f>PROPER(TRIM(IFERROR(LEFT(Товары_исходные!B414,FIND("(",Товары_исходные!B414)-1),Товары_исходные!B414)))</f>
        <v xml:space="preserve">Монитор Viewsonic Vp2458</v>
      </c>
      <c r="C414" t="str">
        <f>IFERROR(VLOOKUP(Товары_исходные!C414,Справочники!$A$2:$B$50,2,FALSE),Товары_исходные!C414)</f>
        <v>Мониторы</v>
      </c>
      <c r="D414" t="str">
        <f>PROPER(TRIM(Товары_исходные!D414))</f>
        <v>Viewsonic</v>
      </c>
      <c r="E414" s="4">
        <f>IFERROR(VALUE(IF(AND(ISNUMBER(FIND(",",Товары_исходные!E414)),ISNUMBER(FIND(".",Товары_исходные!E414))),SUBSTITUTE(SUBSTITUTE(SUBSTITUTE(SUBSTITUTE(Товары_исходные!E414," ",""),"руб.",""),"руб",""),",",""),SUBSTITUTE(SUBSTITUTE(SUBSTITUTE(SUBSTITUTE(Товары_исходные!E414," ",""),"руб.",""),"руб",""),",","."))),0)</f>
        <v>33500</v>
      </c>
      <c r="F414" s="4">
        <f>IFERROR(VALUE(IF(AND(ISNUMBER(FIND(",",Товары_исходные!F414)),ISNUMBER(FIND(".",Товары_исходные!F414))),SUBSTITUTE(SUBSTITUTE(SUBSTITUTE(SUBSTITUTE(Товары_исходные!F414," ",""),"руб.",""),"руб",""),",",""),SUBSTITUTE(SUBSTITUTE(SUBSTITUTE(SUBSTITUTE(Товары_исходные!F414," ",""),"руб.",""),"руб",""),",","."))),0)</f>
        <v>52500</v>
      </c>
      <c r="G414" t="str">
        <f>IFERROR(VLOOKUP(Товары_исходные!G414,Справочники!$D$2:$E$50,2,FALSE),"шт.")</f>
        <v>шт.</v>
      </c>
      <c r="H414" t="str">
        <f t="shared" si="14"/>
        <v>OK</v>
      </c>
      <c r="I414" t="str">
        <f t="shared" si="15"/>
        <v>OK</v>
      </c>
    </row>
    <row r="415">
      <c r="A415" t="str">
        <f>"АРТ-"&amp;LEFT(SUBSTITUTE(SUBSTITUTE(SUBSTITUTE(SUBSTITUTE(Товары_исходные!A415,"№",""),"АРТ-",""),"АРТ_",""),"/","-"),3)</f>
        <v>АРТ-414</v>
      </c>
      <c r="B415" t="str">
        <f>PROPER(TRIM(IFERROR(LEFT(Товары_исходные!B415,FIND("(",Товары_исходные!B415)-1),Товары_исходные!B415)))</f>
        <v xml:space="preserve">Монитор Viewsonic Vp2458</v>
      </c>
      <c r="C415" t="str">
        <f>IFERROR(VLOOKUP(Товары_исходные!C415,Справочники!$A$2:$B$50,2,FALSE),Товары_исходные!C415)</f>
        <v>Мониторы</v>
      </c>
      <c r="D415" t="str">
        <f>PROPER(TRIM(Товары_исходные!D415))</f>
        <v>Viewsonic</v>
      </c>
      <c r="E415" s="4">
        <f>IFERROR(VALUE(IF(AND(ISNUMBER(FIND(",",Товары_исходные!E415)),ISNUMBER(FIND(".",Товары_исходные!E415))),SUBSTITUTE(SUBSTITUTE(SUBSTITUTE(SUBSTITUTE(Товары_исходные!E415," ",""),"руб.",""),"руб",""),",",""),SUBSTITUTE(SUBSTITUTE(SUBSTITUTE(SUBSTITUTE(Товары_исходные!E415," ",""),"руб.",""),"руб",""),",","."))),0)</f>
        <v>36500</v>
      </c>
      <c r="F415" s="4">
        <f>IFERROR(VALUE(IF(AND(ISNUMBER(FIND(",",Товары_исходные!F415)),ISNUMBER(FIND(".",Товары_исходные!F415))),SUBSTITUTE(SUBSTITUTE(SUBSTITUTE(SUBSTITUTE(Товары_исходные!F415," ",""),"руб.",""),"руб",""),",",""),SUBSTITUTE(SUBSTITUTE(SUBSTITUTE(SUBSTITUTE(Товары_исходные!F415," ",""),"руб.",""),"руб",""),",","."))),0)</f>
        <v>57000</v>
      </c>
      <c r="G415" t="str">
        <f>IFERROR(VLOOKUP(Товары_исходные!G415,Справочники!$D$2:$E$50,2,FALSE),"шт.")</f>
        <v>шт.</v>
      </c>
      <c r="H415" t="str">
        <f t="shared" si="14"/>
        <v>OK</v>
      </c>
      <c r="I415" t="str">
        <f t="shared" si="15"/>
        <v>OK</v>
      </c>
    </row>
    <row r="416">
      <c r="A416" t="str">
        <f>"АРТ-"&amp;LEFT(SUBSTITUTE(SUBSTITUTE(SUBSTITUTE(SUBSTITUTE(Товары_исходные!A416,"№",""),"АРТ-",""),"АРТ_",""),"/","-"),3)</f>
        <v>АРТ-415</v>
      </c>
      <c r="B416" t="str">
        <f>PROPER(TRIM(IFERROR(LEFT(Товары_исходные!B416,FIND("(",Товары_исходные!B416)-1),Товары_исходные!B416)))</f>
        <v xml:space="preserve">Клавиатура Corsair K100 Rgb</v>
      </c>
      <c r="C416" t="str">
        <f>IFERROR(VLOOKUP(Товары_исходные!C416,Справочники!$A$2:$B$50,2,FALSE),Товары_исходные!C416)</f>
        <v>Аксессуары</v>
      </c>
      <c r="D416" t="str">
        <f>PROPER(TRIM(Товары_исходные!D416))</f>
        <v>Corsair</v>
      </c>
      <c r="E416" s="4">
        <f>IFERROR(VALUE(IF(AND(ISNUMBER(FIND(",",Товары_исходные!E416)),ISNUMBER(FIND(".",Товары_исходные!E416))),SUBSTITUTE(SUBSTITUTE(SUBSTITUTE(SUBSTITUTE(Товары_исходные!E416," ",""),"руб.",""),"руб",""),",",""),SUBSTITUTE(SUBSTITUTE(SUBSTITUTE(SUBSTITUTE(Товары_исходные!E416," ",""),"руб.",""),"руб",""),",","."))),0)</f>
        <v>9000</v>
      </c>
      <c r="F416" s="4">
        <f>IFERROR(VALUE(IF(AND(ISNUMBER(FIND(",",Товары_исходные!F416)),ISNUMBER(FIND(".",Товары_исходные!F416))),SUBSTITUTE(SUBSTITUTE(SUBSTITUTE(SUBSTITUTE(Товары_исходные!F416," ",""),"руб.",""),"руб",""),",",""),SUBSTITUTE(SUBSTITUTE(SUBSTITUTE(SUBSTITUTE(Товары_исходные!F416," ",""),"руб.",""),"руб",""),",","."))),0)</f>
        <v>14990</v>
      </c>
      <c r="G416" t="str">
        <f>IFERROR(VLOOKUP(Товары_исходные!G416,Справочники!$D$2:$E$50,2,FALSE),"шт.")</f>
        <v>шт.</v>
      </c>
      <c r="H416" t="str">
        <f t="shared" si="14"/>
        <v>OK</v>
      </c>
      <c r="I416" t="str">
        <f t="shared" si="15"/>
        <v>OK</v>
      </c>
    </row>
    <row r="417">
      <c r="A417" t="str">
        <f>"АРТ-"&amp;LEFT(SUBSTITUTE(SUBSTITUTE(SUBSTITUTE(SUBSTITUTE(Товары_исходные!A417,"№",""),"АРТ-",""),"АРТ_",""),"/","-"),3)</f>
        <v>АРТ-416</v>
      </c>
      <c r="B417" t="str">
        <f>PROPER(TRIM(IFERROR(LEFT(Товары_исходные!B417,FIND("(",Товары_исходные!B417)-1),Товары_исходные!B417)))</f>
        <v xml:space="preserve">Клавиатура Corsair K100 Rgb</v>
      </c>
      <c r="C417" t="str">
        <f>IFERROR(VLOOKUP(Товары_исходные!C417,Справочники!$A$2:$B$50,2,FALSE),Товары_исходные!C417)</f>
        <v>Аксессуары</v>
      </c>
      <c r="D417" t="str">
        <f>PROPER(TRIM(Товары_исходные!D417))</f>
        <v>Corsair</v>
      </c>
      <c r="E417" s="4">
        <f>IFERROR(VALUE(IF(AND(ISNUMBER(FIND(",",Товары_исходные!E417)),ISNUMBER(FIND(".",Товары_исходные!E417))),SUBSTITUTE(SUBSTITUTE(SUBSTITUTE(SUBSTITUTE(Товары_исходные!E417," ",""),"руб.",""),"руб",""),",",""),SUBSTITUTE(SUBSTITUTE(SUBSTITUTE(SUBSTITUTE(Товары_исходные!E417," ",""),"руб.",""),"руб",""),",","."))),0)</f>
        <v>8500</v>
      </c>
      <c r="F417" s="4">
        <f>IFERROR(VALUE(IF(AND(ISNUMBER(FIND(",",Товары_исходные!F417)),ISNUMBER(FIND(".",Товары_исходные!F417))),SUBSTITUTE(SUBSTITUTE(SUBSTITUTE(SUBSTITUTE(Товары_исходные!F417," ",""),"руб.",""),"руб",""),",",""),SUBSTITUTE(SUBSTITUTE(SUBSTITUTE(SUBSTITUTE(Товары_исходные!F417," ",""),"руб.",""),"руб",""),",","."))),0)</f>
        <v>14000</v>
      </c>
      <c r="G417" t="str">
        <f>IFERROR(VLOOKUP(Товары_исходные!G417,Справочники!$D$2:$E$50,2,FALSE),"шт.")</f>
        <v>шт.</v>
      </c>
      <c r="H417" t="str">
        <f t="shared" si="14"/>
        <v>OK</v>
      </c>
      <c r="I417" t="str">
        <f t="shared" si="15"/>
        <v>OK</v>
      </c>
    </row>
    <row r="418">
      <c r="A418" t="str">
        <f>"АРТ-"&amp;LEFT(SUBSTITUTE(SUBSTITUTE(SUBSTITUTE(SUBSTITUTE(Товары_исходные!A418,"№",""),"АРТ-",""),"АРТ_",""),"/","-"),3)</f>
        <v>АРТ-417</v>
      </c>
      <c r="B418" t="str">
        <f>PROPER(TRIM(IFERROR(LEFT(Товары_исходные!B418,FIND("(",Товары_исходные!B418)-1),Товары_исходные!B418)))</f>
        <v xml:space="preserve">Клавиатура Corsair K100 Rgb</v>
      </c>
      <c r="C418" t="str">
        <f>IFERROR(VLOOKUP(Товары_исходные!C418,Справочники!$A$2:$B$50,2,FALSE),Товары_исходные!C418)</f>
        <v>Аксессуары</v>
      </c>
      <c r="D418" t="str">
        <f>PROPER(TRIM(Товары_исходные!D418))</f>
        <v>Corsair</v>
      </c>
      <c r="E418" s="4">
        <f>IFERROR(VALUE(IF(AND(ISNUMBER(FIND(",",Товары_исходные!E418)),ISNUMBER(FIND(".",Товары_исходные!E418))),SUBSTITUTE(SUBSTITUTE(SUBSTITUTE(SUBSTITUTE(Товары_исходные!E418," ",""),"руб.",""),"руб",""),",",""),SUBSTITUTE(SUBSTITUTE(SUBSTITUTE(SUBSTITUTE(Товары_исходные!E418," ",""),"руб.",""),"руб",""),",","."))),0)</f>
        <v>9500</v>
      </c>
      <c r="F418" s="4">
        <f>IFERROR(VALUE(IF(AND(ISNUMBER(FIND(",",Товары_исходные!F418)),ISNUMBER(FIND(".",Товары_исходные!F418))),SUBSTITUTE(SUBSTITUTE(SUBSTITUTE(SUBSTITUTE(Товары_исходные!F418," ",""),"руб.",""),"руб",""),",",""),SUBSTITUTE(SUBSTITUTE(SUBSTITUTE(SUBSTITUTE(Товары_исходные!F418," ",""),"руб.",""),"руб",""),",","."))),0)</f>
        <v>15800</v>
      </c>
      <c r="G418" t="str">
        <f>IFERROR(VLOOKUP(Товары_исходные!G418,Справочники!$D$2:$E$50,2,FALSE),"шт.")</f>
        <v>шт.</v>
      </c>
      <c r="H418" t="str">
        <f t="shared" si="14"/>
        <v>OK</v>
      </c>
      <c r="I418" t="str">
        <f t="shared" si="15"/>
        <v>OK</v>
      </c>
    </row>
    <row r="419">
      <c r="A419" t="str">
        <f>"АРТ-"&amp;LEFT(SUBSTITUTE(SUBSTITUTE(SUBSTITUTE(SUBSTITUTE(Товары_исходные!A419,"№",""),"АРТ-",""),"АРТ_",""),"/","-"),3)</f>
        <v>АРТ-418</v>
      </c>
      <c r="B419" t="str">
        <f>PROPER(TRIM(IFERROR(LEFT(Товары_исходные!B419,FIND("(",Товары_исходные!B419)-1),Товары_исходные!B419)))</f>
        <v xml:space="preserve">Смарт-Часы Amazfit T-Rex 2</v>
      </c>
      <c r="C419" t="str">
        <f>IFERROR(VLOOKUP(Товары_исходные!C419,Справочники!$A$2:$B$50,2,FALSE),Товары_исходные!C419)</f>
        <v>Часы</v>
      </c>
      <c r="D419" t="str">
        <f>PROPER(TRIM(Товары_исходные!D419))</f>
        <v>Amazfit</v>
      </c>
      <c r="E419" s="4">
        <f>IFERROR(VALUE(IF(AND(ISNUMBER(FIND(",",Товары_исходные!E419)),ISNUMBER(FIND(".",Товары_исходные!E419))),SUBSTITUTE(SUBSTITUTE(SUBSTITUTE(SUBSTITUTE(Товары_исходные!E419," ",""),"руб.",""),"руб",""),",",""),SUBSTITUTE(SUBSTITUTE(SUBSTITUTE(SUBSTITUTE(Товары_исходные!E419," ",""),"руб.",""),"руб",""),",","."))),0)</f>
        <v>18000</v>
      </c>
      <c r="F419" s="4">
        <f>IFERROR(VALUE(IF(AND(ISNUMBER(FIND(",",Товары_исходные!F419)),ISNUMBER(FIND(".",Товары_исходные!F419))),SUBSTITUTE(SUBSTITUTE(SUBSTITUTE(SUBSTITUTE(Товары_исходные!F419," ",""),"руб.",""),"руб",""),",",""),SUBSTITUTE(SUBSTITUTE(SUBSTITUTE(SUBSTITUTE(Товары_исходные!F419," ",""),"руб.",""),"руб",""),",","."))),0)</f>
        <v>29990</v>
      </c>
      <c r="G419" t="str">
        <f>IFERROR(VLOOKUP(Товары_исходные!G419,Справочники!$D$2:$E$50,2,FALSE),"шт.")</f>
        <v>шт.</v>
      </c>
      <c r="H419" t="str">
        <f t="shared" si="14"/>
        <v>OK</v>
      </c>
      <c r="I419" t="str">
        <f t="shared" si="15"/>
        <v>OK</v>
      </c>
    </row>
    <row r="420">
      <c r="A420" t="str">
        <f>"АРТ-"&amp;LEFT(SUBSTITUTE(SUBSTITUTE(SUBSTITUTE(SUBSTITUTE(Товары_исходные!A420,"№",""),"АРТ-",""),"АРТ_",""),"/","-"),3)</f>
        <v>АРТ-419</v>
      </c>
      <c r="B420" t="str">
        <f>PROPER(TRIM(IFERROR(LEFT(Товары_исходные!B420,FIND("(",Товары_исходные!B420)-1),Товары_исходные!B420)))</f>
        <v xml:space="preserve">Смарт-Часы Amazfit T-Rex 2</v>
      </c>
      <c r="C420" t="str">
        <f>IFERROR(VLOOKUP(Товары_исходные!C420,Справочники!$A$2:$B$50,2,FALSE),Товары_исходные!C420)</f>
        <v>Часы</v>
      </c>
      <c r="D420" t="str">
        <f>PROPER(TRIM(Товары_исходные!D420))</f>
        <v>Amazfit</v>
      </c>
      <c r="E420" s="4">
        <f>IFERROR(VALUE(IF(AND(ISNUMBER(FIND(",",Товары_исходные!E420)),ISNUMBER(FIND(".",Товары_исходные!E420))),SUBSTITUTE(SUBSTITUTE(SUBSTITUTE(SUBSTITUTE(Товары_исходные!E420," ",""),"руб.",""),"руб",""),",",""),SUBSTITUTE(SUBSTITUTE(SUBSTITUTE(SUBSTITUTE(Товары_исходные!E420," ",""),"руб.",""),"руб",""),",","."))),0)</f>
        <v>17000</v>
      </c>
      <c r="F420" s="4">
        <f>IFERROR(VALUE(IF(AND(ISNUMBER(FIND(",",Товары_исходные!F420)),ISNUMBER(FIND(".",Товары_исходные!F420))),SUBSTITUTE(SUBSTITUTE(SUBSTITUTE(SUBSTITUTE(Товары_исходные!F420," ",""),"руб.",""),"руб",""),",",""),SUBSTITUTE(SUBSTITUTE(SUBSTITUTE(SUBSTITUTE(Товары_исходные!F420," ",""),"руб.",""),"руб",""),",","."))),0)</f>
        <v>28500</v>
      </c>
      <c r="G420" t="str">
        <f>IFERROR(VLOOKUP(Товары_исходные!G420,Справочники!$D$2:$E$50,2,FALSE),"шт.")</f>
        <v>шт.</v>
      </c>
      <c r="H420" t="str">
        <f t="shared" ref="H420:H483" si="16">IF(F420&gt;=E420,"OK","Розница ниже закупки")</f>
        <v>OK</v>
      </c>
      <c r="I420" t="str">
        <f t="shared" ref="I420:I483" si="17">IF(COUNTIF($A$2:$A$502,A420)=1,"OK","Дубликат")</f>
        <v>OK</v>
      </c>
    </row>
    <row r="421">
      <c r="A421" t="str">
        <f>"АРТ-"&amp;LEFT(SUBSTITUTE(SUBSTITUTE(SUBSTITUTE(SUBSTITUTE(Товары_исходные!A421,"№",""),"АРТ-",""),"АРТ_",""),"/","-"),3)</f>
        <v>АРТ-420</v>
      </c>
      <c r="B421" t="str">
        <f>PROPER(TRIM(IFERROR(LEFT(Товары_исходные!B421,FIND("(",Товары_исходные!B421)-1),Товары_исходные!B421)))</f>
        <v xml:space="preserve">Смарт-Часы Amazfit T-Rex 2</v>
      </c>
      <c r="C421" t="str">
        <f>IFERROR(VLOOKUP(Товары_исходные!C421,Справочники!$A$2:$B$50,2,FALSE),Товары_исходные!C421)</f>
        <v>Часы</v>
      </c>
      <c r="D421" t="str">
        <f>PROPER(TRIM(Товары_исходные!D421))</f>
        <v>Amazfit</v>
      </c>
      <c r="E421" s="4">
        <f>IFERROR(VALUE(IF(AND(ISNUMBER(FIND(",",Товары_исходные!E421)),ISNUMBER(FIND(".",Товары_исходные!E421))),SUBSTITUTE(SUBSTITUTE(SUBSTITUTE(SUBSTITUTE(Товары_исходные!E421," ",""),"руб.",""),"руб",""),",",""),SUBSTITUTE(SUBSTITUTE(SUBSTITUTE(SUBSTITUTE(Товары_исходные!E421," ",""),"руб.",""),"руб",""),",","."))),0)</f>
        <v>19000</v>
      </c>
      <c r="F421" s="4">
        <f>IFERROR(VALUE(IF(AND(ISNUMBER(FIND(",",Товары_исходные!F421)),ISNUMBER(FIND(".",Товары_исходные!F421))),SUBSTITUTE(SUBSTITUTE(SUBSTITUTE(SUBSTITUTE(Товары_исходные!F421," ",""),"руб.",""),"руб",""),",",""),SUBSTITUTE(SUBSTITUTE(SUBSTITUTE(SUBSTITUTE(Товары_исходные!F421," ",""),"руб.",""),"руб",""),",","."))),0)</f>
        <v>31500</v>
      </c>
      <c r="G421" t="str">
        <f>IFERROR(VLOOKUP(Товары_исходные!G421,Справочники!$D$2:$E$50,2,FALSE),"шт.")</f>
        <v>шт.</v>
      </c>
      <c r="H421" t="str">
        <f t="shared" si="16"/>
        <v>OK</v>
      </c>
      <c r="I421" t="str">
        <f t="shared" si="17"/>
        <v>OK</v>
      </c>
    </row>
    <row r="422">
      <c r="A422" t="str">
        <f>"АРТ-"&amp;LEFT(SUBSTITUTE(SUBSTITUTE(SUBSTITUTE(SUBSTITUTE(Товары_исходные!A422,"№",""),"АРТ-",""),"АРТ_",""),"/","-"),3)</f>
        <v>АРТ-421</v>
      </c>
      <c r="B422" t="str">
        <f>PROPER(TRIM(IFERROR(LEFT(Товары_исходные!B422,FIND("(",Товары_исходные!B422)-1),Товары_исходные!B422)))</f>
        <v xml:space="preserve">Ноутбук Acer Predator Helios 300</v>
      </c>
      <c r="C422" t="str">
        <f>IFERROR(VLOOKUP(Товары_исходные!C422,Справочники!$A$2:$B$50,2,FALSE),Товары_исходные!C422)</f>
        <v>Ноутбуки</v>
      </c>
      <c r="D422" t="str">
        <f>PROPER(TRIM(Товары_исходные!D422))</f>
        <v>Acer</v>
      </c>
      <c r="E422" s="4">
        <f>IFERROR(VALUE(IF(AND(ISNUMBER(FIND(",",Товары_исходные!E422)),ISNUMBER(FIND(".",Товары_исходные!E422))),SUBSTITUTE(SUBSTITUTE(SUBSTITUTE(SUBSTITUTE(Товары_исходные!E422," ",""),"руб.",""),"руб",""),",",""),SUBSTITUTE(SUBSTITUTE(SUBSTITUTE(SUBSTITUTE(Товары_исходные!E422," ",""),"руб.",""),"руб",""),",","."))),0)</f>
        <v>82000</v>
      </c>
      <c r="F422" s="4">
        <f>IFERROR(VALUE(IF(AND(ISNUMBER(FIND(",",Товары_исходные!F422)),ISNUMBER(FIND(".",Товары_исходные!F422))),SUBSTITUTE(SUBSTITUTE(SUBSTITUTE(SUBSTITUTE(Товары_исходные!F422," ",""),"руб.",""),"руб",""),",",""),SUBSTITUTE(SUBSTITUTE(SUBSTITUTE(SUBSTITUTE(Товары_исходные!F422," ",""),"руб.",""),"руб",""),",","."))),0)</f>
        <v>126990</v>
      </c>
      <c r="G422" t="str">
        <f>IFERROR(VLOOKUP(Товары_исходные!G422,Справочники!$D$2:$E$50,2,FALSE),"шт.")</f>
        <v>шт.</v>
      </c>
      <c r="H422" t="str">
        <f t="shared" si="16"/>
        <v>OK</v>
      </c>
      <c r="I422" t="str">
        <f t="shared" si="17"/>
        <v>OK</v>
      </c>
    </row>
    <row r="423">
      <c r="A423" t="str">
        <f>"АРТ-"&amp;LEFT(SUBSTITUTE(SUBSTITUTE(SUBSTITUTE(SUBSTITUTE(Товары_исходные!A423,"№",""),"АРТ-",""),"АРТ_",""),"/","-"),3)</f>
        <v>АРТ-422</v>
      </c>
      <c r="B423" t="str">
        <f>PROPER(TRIM(IFERROR(LEFT(Товары_исходные!B423,FIND("(",Товары_исходные!B423)-1),Товары_исходные!B423)))</f>
        <v xml:space="preserve">Ноутбук Acer Predator Helios 300</v>
      </c>
      <c r="C423" t="str">
        <f>IFERROR(VLOOKUP(Товары_исходные!C423,Справочники!$A$2:$B$50,2,FALSE),Товары_исходные!C423)</f>
        <v>Ноутбуки</v>
      </c>
      <c r="D423" t="str">
        <f>PROPER(TRIM(Товары_исходные!D423))</f>
        <v>Acer</v>
      </c>
      <c r="E423" s="4">
        <f>IFERROR(VALUE(IF(AND(ISNUMBER(FIND(",",Товары_исходные!E423)),ISNUMBER(FIND(".",Товары_исходные!E423))),SUBSTITUTE(SUBSTITUTE(SUBSTITUTE(SUBSTITUTE(Товары_исходные!E423," ",""),"руб.",""),"руб",""),",",""),SUBSTITUTE(SUBSTITUTE(SUBSTITUTE(SUBSTITUTE(Товары_исходные!E423," ",""),"руб.",""),"руб",""),",","."))),0)</f>
        <v>80000</v>
      </c>
      <c r="F423" s="4">
        <f>IFERROR(VALUE(IF(AND(ISNUMBER(FIND(",",Товары_исходные!F423)),ISNUMBER(FIND(".",Товары_исходные!F423))),SUBSTITUTE(SUBSTITUTE(SUBSTITUTE(SUBSTITUTE(Товары_исходные!F423," ",""),"руб.",""),"руб",""),",",""),SUBSTITUTE(SUBSTITUTE(SUBSTITUTE(SUBSTITUTE(Товары_исходные!F423," ",""),"руб.",""),"руб",""),",","."))),0)</f>
        <v>124000</v>
      </c>
      <c r="G423" t="str">
        <f>IFERROR(VLOOKUP(Товары_исходные!G423,Справочники!$D$2:$E$50,2,FALSE),"шт.")</f>
        <v>шт.</v>
      </c>
      <c r="H423" t="str">
        <f t="shared" si="16"/>
        <v>OK</v>
      </c>
      <c r="I423" t="str">
        <f t="shared" si="17"/>
        <v>OK</v>
      </c>
    </row>
    <row r="424">
      <c r="A424" t="str">
        <f>"АРТ-"&amp;LEFT(SUBSTITUTE(SUBSTITUTE(SUBSTITUTE(SUBSTITUTE(Товары_исходные!A424,"№",""),"АРТ-",""),"АРТ_",""),"/","-"),3)</f>
        <v>АРТ-423</v>
      </c>
      <c r="B424" t="str">
        <f>PROPER(TRIM(IFERROR(LEFT(Товары_исходные!B424,FIND("(",Товары_исходные!B424)-1),Товары_исходные!B424)))</f>
        <v xml:space="preserve">Ноутбук Acer Predator Helios 300</v>
      </c>
      <c r="C424" t="str">
        <f>IFERROR(VLOOKUP(Товары_исходные!C424,Справочники!$A$2:$B$50,2,FALSE),Товары_исходные!C424)</f>
        <v>Ноутбуки</v>
      </c>
      <c r="D424" t="str">
        <f>PROPER(TRIM(Товары_исходные!D424))</f>
        <v>Acer</v>
      </c>
      <c r="E424" s="4">
        <f>IFERROR(VALUE(IF(AND(ISNUMBER(FIND(",",Товары_исходные!E424)),ISNUMBER(FIND(".",Товары_исходные!E424))),SUBSTITUTE(SUBSTITUTE(SUBSTITUTE(SUBSTITUTE(Товары_исходные!E424," ",""),"руб.",""),"руб",""),",",""),SUBSTITUTE(SUBSTITUTE(SUBSTITUTE(SUBSTITUTE(Товары_исходные!E424," ",""),"руб.",""),"руб",""),",","."))),0)</f>
        <v>83500</v>
      </c>
      <c r="F424" s="4">
        <f>IFERROR(VALUE(IF(AND(ISNUMBER(FIND(",",Товары_исходные!F424)),ISNUMBER(FIND(".",Товары_исходные!F424))),SUBSTITUTE(SUBSTITUTE(SUBSTITUTE(SUBSTITUTE(Товары_исходные!F424," ",""),"руб.",""),"руб",""),",",""),SUBSTITUTE(SUBSTITUTE(SUBSTITUTE(SUBSTITUTE(Товары_исходные!F424," ",""),"руб.",""),"руб",""),",","."))),0)</f>
        <v>129500</v>
      </c>
      <c r="G424" t="str">
        <f>IFERROR(VLOOKUP(Товары_исходные!G424,Справочники!$D$2:$E$50,2,FALSE),"шт.")</f>
        <v>шт.</v>
      </c>
      <c r="H424" t="str">
        <f t="shared" si="16"/>
        <v>OK</v>
      </c>
      <c r="I424" t="str">
        <f t="shared" si="17"/>
        <v>OK</v>
      </c>
    </row>
    <row r="425">
      <c r="A425" t="str">
        <f>"АРТ-"&amp;LEFT(SUBSTITUTE(SUBSTITUTE(SUBSTITUTE(SUBSTITUTE(Товары_исходные!A425,"№",""),"АРТ-",""),"АРТ_",""),"/","-"),3)</f>
        <v>АРТ-424</v>
      </c>
      <c r="B425" t="str">
        <f>PROPER(TRIM(IFERROR(LEFT(Товары_исходные!B425,FIND("(",Товары_исходные!B425)-1),Товары_исходные!B425)))</f>
        <v xml:space="preserve">Смартфон Oppo Reno 10</v>
      </c>
      <c r="C425" t="str">
        <f>IFERROR(VLOOKUP(Товары_исходные!C425,Справочники!$A$2:$B$50,2,FALSE),Товары_исходные!C425)</f>
        <v>Смартфоны</v>
      </c>
      <c r="D425" t="str">
        <f>PROPER(TRIM(Товары_исходные!D425))</f>
        <v>Oppo</v>
      </c>
      <c r="E425" s="4">
        <f>IFERROR(VALUE(IF(AND(ISNUMBER(FIND(",",Товары_исходные!E425)),ISNUMBER(FIND(".",Товары_исходные!E425))),SUBSTITUTE(SUBSTITUTE(SUBSTITUTE(SUBSTITUTE(Товары_исходные!E425," ",""),"руб.",""),"руб",""),",",""),SUBSTITUTE(SUBSTITUTE(SUBSTITUTE(SUBSTITUTE(Товары_исходные!E425," ",""),"руб.",""),"руб",""),",","."))),0)</f>
        <v>29000</v>
      </c>
      <c r="F425" s="4">
        <f>IFERROR(VALUE(IF(AND(ISNUMBER(FIND(",",Товары_исходные!F425)),ISNUMBER(FIND(".",Товары_исходные!F425))),SUBSTITUTE(SUBSTITUTE(SUBSTITUTE(SUBSTITUTE(Товары_исходные!F425," ",""),"руб.",""),"руб",""),",",""),SUBSTITUTE(SUBSTITUTE(SUBSTITUTE(SUBSTITUTE(Товары_исходные!F425," ",""),"руб.",""),"руб",""),",","."))),0)</f>
        <v>48990</v>
      </c>
      <c r="G425" t="str">
        <f>IFERROR(VLOOKUP(Товары_исходные!G425,Справочники!$D$2:$E$50,2,FALSE),"шт.")</f>
        <v>шт.</v>
      </c>
      <c r="H425" t="str">
        <f t="shared" si="16"/>
        <v>OK</v>
      </c>
      <c r="I425" t="str">
        <f t="shared" si="17"/>
        <v>OK</v>
      </c>
    </row>
    <row r="426">
      <c r="A426" t="str">
        <f>"АРТ-"&amp;LEFT(SUBSTITUTE(SUBSTITUTE(SUBSTITUTE(SUBSTITUTE(Товары_исходные!A426,"№",""),"АРТ-",""),"АРТ_",""),"/","-"),3)</f>
        <v>АРТ-425</v>
      </c>
      <c r="B426" t="str">
        <f>PROPER(TRIM(IFERROR(LEFT(Товары_исходные!B426,FIND("(",Товары_исходные!B426)-1),Товары_исходные!B426)))</f>
        <v xml:space="preserve">Смартфон Oppo Reno 10</v>
      </c>
      <c r="C426" t="str">
        <f>IFERROR(VLOOKUP(Товары_исходные!C426,Справочники!$A$2:$B$50,2,FALSE),Товары_исходные!C426)</f>
        <v>Смартфоны</v>
      </c>
      <c r="D426" t="str">
        <f>PROPER(TRIM(Товары_исходные!D426))</f>
        <v>Oppo</v>
      </c>
      <c r="E426" s="4">
        <f>IFERROR(VALUE(IF(AND(ISNUMBER(FIND(",",Товары_исходные!E426)),ISNUMBER(FIND(".",Товары_исходные!E426))),SUBSTITUTE(SUBSTITUTE(SUBSTITUTE(SUBSTITUTE(Товары_исходные!E426," ",""),"руб.",""),"руб",""),",",""),SUBSTITUTE(SUBSTITUTE(SUBSTITUTE(SUBSTITUTE(Товары_исходные!E426," ",""),"руб.",""),"руб",""),",","."))),0)</f>
        <v>28000</v>
      </c>
      <c r="F426" s="4">
        <f>IFERROR(VALUE(IF(AND(ISNUMBER(FIND(",",Товары_исходные!F426)),ISNUMBER(FIND(".",Товары_исходные!F426))),SUBSTITUTE(SUBSTITUTE(SUBSTITUTE(SUBSTITUTE(Товары_исходные!F426," ",""),"руб.",""),"руб",""),",",""),SUBSTITUTE(SUBSTITUTE(SUBSTITUTE(SUBSTITUTE(Товары_исходные!F426," ",""),"руб.",""),"руб",""),",","."))),0)</f>
        <v>47500</v>
      </c>
      <c r="G426" t="str">
        <f>IFERROR(VLOOKUP(Товары_исходные!G426,Справочники!$D$2:$E$50,2,FALSE),"шт.")</f>
        <v>шт.</v>
      </c>
      <c r="H426" t="str">
        <f t="shared" si="16"/>
        <v>OK</v>
      </c>
      <c r="I426" t="str">
        <f t="shared" si="17"/>
        <v>OK</v>
      </c>
    </row>
    <row r="427">
      <c r="A427" t="str">
        <f>"АРТ-"&amp;LEFT(SUBSTITUTE(SUBSTITUTE(SUBSTITUTE(SUBSTITUTE(Товары_исходные!A427,"№",""),"АРТ-",""),"АРТ_",""),"/","-"),3)</f>
        <v>АРТ-426</v>
      </c>
      <c r="B427" t="str">
        <f>PROPER(TRIM(IFERROR(LEFT(Товары_исходные!B427,FIND("(",Товары_исходные!B427)-1),Товары_исходные!B427)))</f>
        <v xml:space="preserve">Смартфон Oppo Reno 10</v>
      </c>
      <c r="C427" t="str">
        <f>IFERROR(VLOOKUP(Товары_исходные!C427,Справочники!$A$2:$B$50,2,FALSE),Товары_исходные!C427)</f>
        <v>Смартфоны</v>
      </c>
      <c r="D427" t="str">
        <f>PROPER(TRIM(Товары_исходные!D427))</f>
        <v>Oppo</v>
      </c>
      <c r="E427" s="4">
        <f>IFERROR(VALUE(IF(AND(ISNUMBER(FIND(",",Товары_исходные!E427)),ISNUMBER(FIND(".",Товары_исходные!E427))),SUBSTITUTE(SUBSTITUTE(SUBSTITUTE(SUBSTITUTE(Товары_исходные!E427," ",""),"руб.",""),"руб",""),",",""),SUBSTITUTE(SUBSTITUTE(SUBSTITUTE(SUBSTITUTE(Товары_исходные!E427," ",""),"руб.",""),"руб",""),",","."))),0)</f>
        <v>30000</v>
      </c>
      <c r="F427" s="4">
        <f>IFERROR(VALUE(IF(AND(ISNUMBER(FIND(",",Товары_исходные!F427)),ISNUMBER(FIND(".",Товары_исходные!F427))),SUBSTITUTE(SUBSTITUTE(SUBSTITUTE(SUBSTITUTE(Товары_исходные!F427," ",""),"руб.",""),"руб",""),",",""),SUBSTITUTE(SUBSTITUTE(SUBSTITUTE(SUBSTITUTE(Товары_исходные!F427," ",""),"руб.",""),"руб",""),",","."))),0)</f>
        <v>50500</v>
      </c>
      <c r="G427" t="str">
        <f>IFERROR(VLOOKUP(Товары_исходные!G427,Справочники!$D$2:$E$50,2,FALSE),"шт.")</f>
        <v>шт.</v>
      </c>
      <c r="H427" t="str">
        <f t="shared" si="16"/>
        <v>OK</v>
      </c>
      <c r="I427" t="str">
        <f t="shared" si="17"/>
        <v>OK</v>
      </c>
    </row>
    <row r="428">
      <c r="A428" t="str">
        <f>"АРТ-"&amp;LEFT(SUBSTITUTE(SUBSTITUTE(SUBSTITUTE(SUBSTITUTE(Товары_исходные!A428,"№",""),"АРТ-",""),"АРТ_",""),"/","-"),3)</f>
        <v>АРТ-427</v>
      </c>
      <c r="B428" t="str">
        <f>PROPER(TRIM(IFERROR(LEFT(Товары_исходные!B428,FIND("(",Товары_исходные!B428)-1),Товары_исходные!B428)))</f>
        <v xml:space="preserve">Телевизор Xiaomi Tv 5</v>
      </c>
      <c r="C428" t="str">
        <f>IFERROR(VLOOKUP(Товары_исходные!C428,Справочники!$A$2:$B$50,2,FALSE),Товары_исходные!C428)</f>
        <v>Телевизоры</v>
      </c>
      <c r="D428" t="str">
        <f>PROPER(TRIM(Товары_исходные!D428))</f>
        <v>Xiaomi</v>
      </c>
      <c r="E428" s="4">
        <f>IFERROR(VALUE(IF(AND(ISNUMBER(FIND(",",Товары_исходные!E428)),ISNUMBER(FIND(".",Товары_исходные!E428))),SUBSTITUTE(SUBSTITUTE(SUBSTITUTE(SUBSTITUTE(Товары_исходные!E428," ",""),"руб.",""),"руб",""),",",""),SUBSTITUTE(SUBSTITUTE(SUBSTITUTE(SUBSTITUTE(Товары_исходные!E428," ",""),"руб.",""),"руб",""),",","."))),0)</f>
        <v>32000</v>
      </c>
      <c r="F428" s="4">
        <f>IFERROR(VALUE(IF(AND(ISNUMBER(FIND(",",Товары_исходные!F428)),ISNUMBER(FIND(".",Товары_исходные!F428))),SUBSTITUTE(SUBSTITUTE(SUBSTITUTE(SUBSTITUTE(Товары_исходные!F428," ",""),"руб.",""),"руб",""),",",""),SUBSTITUTE(SUBSTITUTE(SUBSTITUTE(SUBSTITUTE(Товары_исходные!F428," ",""),"руб.",""),"руб",""),",","."))),0)</f>
        <v>49990</v>
      </c>
      <c r="G428" t="str">
        <f>IFERROR(VLOOKUP(Товары_исходные!G428,Справочники!$D$2:$E$50,2,FALSE),"шт.")</f>
        <v>шт.</v>
      </c>
      <c r="H428" t="str">
        <f t="shared" si="16"/>
        <v>OK</v>
      </c>
      <c r="I428" t="str">
        <f t="shared" si="17"/>
        <v>OK</v>
      </c>
    </row>
    <row r="429">
      <c r="A429" t="str">
        <f>"АРТ-"&amp;LEFT(SUBSTITUTE(SUBSTITUTE(SUBSTITUTE(SUBSTITUTE(Товары_исходные!A429,"№",""),"АРТ-",""),"АРТ_",""),"/","-"),3)</f>
        <v>АРТ-428</v>
      </c>
      <c r="B429" t="str">
        <f>PROPER(TRIM(IFERROR(LEFT(Товары_исходные!B429,FIND("(",Товары_исходные!B429)-1),Товары_исходные!B429)))</f>
        <v xml:space="preserve">Телевизор Xiaomi Tv 5</v>
      </c>
      <c r="C429" t="str">
        <f>IFERROR(VLOOKUP(Товары_исходные!C429,Справочники!$A$2:$B$50,2,FALSE),Товары_исходные!C429)</f>
        <v>Телевизоры</v>
      </c>
      <c r="D429" t="str">
        <f>PROPER(TRIM(Товары_исходные!D429))</f>
        <v>Xiaomi</v>
      </c>
      <c r="E429" s="4">
        <f>IFERROR(VALUE(IF(AND(ISNUMBER(FIND(",",Товары_исходные!E429)),ISNUMBER(FIND(".",Товары_исходные!E429))),SUBSTITUTE(SUBSTITUTE(SUBSTITUTE(SUBSTITUTE(Товары_исходные!E429," ",""),"руб.",""),"руб",""),",",""),SUBSTITUTE(SUBSTITUTE(SUBSTITUTE(SUBSTITUTE(Товары_исходные!E429," ",""),"руб.",""),"руб",""),",","."))),0)</f>
        <v>30500</v>
      </c>
      <c r="F429" s="4">
        <f>IFERROR(VALUE(IF(AND(ISNUMBER(FIND(",",Товары_исходные!F429)),ISNUMBER(FIND(".",Товары_исходные!F429))),SUBSTITUTE(SUBSTITUTE(SUBSTITUTE(SUBSTITUTE(Товары_исходные!F429," ",""),"руб.",""),"руб",""),",",""),SUBSTITUTE(SUBSTITUTE(SUBSTITUTE(SUBSTITUTE(Товары_исходные!F429," ",""),"руб.",""),"руб",""),",","."))),0)</f>
        <v>48000</v>
      </c>
      <c r="G429" t="str">
        <f>IFERROR(VLOOKUP(Товары_исходные!G429,Справочники!$D$2:$E$50,2,FALSE),"шт.")</f>
        <v>шт.</v>
      </c>
      <c r="H429" t="str">
        <f t="shared" si="16"/>
        <v>OK</v>
      </c>
      <c r="I429" t="str">
        <f t="shared" si="17"/>
        <v>OK</v>
      </c>
    </row>
    <row r="430">
      <c r="A430" t="str">
        <f>"АРТ-"&amp;LEFT(SUBSTITUTE(SUBSTITUTE(SUBSTITUTE(SUBSTITUTE(Товары_исходные!A430,"№",""),"АРТ-",""),"АРТ_",""),"/","-"),3)</f>
        <v>АРТ-429</v>
      </c>
      <c r="B430" t="str">
        <f>PROPER(TRIM(IFERROR(LEFT(Товары_исходные!B430,FIND("(",Товары_исходные!B430)-1),Товары_исходные!B430)))</f>
        <v xml:space="preserve">Телевизор Xiaomi Tv 5</v>
      </c>
      <c r="C430" t="str">
        <f>IFERROR(VLOOKUP(Товары_исходные!C430,Справочники!$A$2:$B$50,2,FALSE),Товары_исходные!C430)</f>
        <v>Телевизоры</v>
      </c>
      <c r="D430" t="str">
        <f>PROPER(TRIM(Товары_исходные!D430))</f>
        <v>Xiaomi</v>
      </c>
      <c r="E430" s="4">
        <f>IFERROR(VALUE(IF(AND(ISNUMBER(FIND(",",Товары_исходные!E430)),ISNUMBER(FIND(".",Товары_исходные!E430))),SUBSTITUTE(SUBSTITUTE(SUBSTITUTE(SUBSTITUTE(Товары_исходные!E430," ",""),"руб.",""),"руб",""),",",""),SUBSTITUTE(SUBSTITUTE(SUBSTITUTE(SUBSTITUTE(Товары_исходные!E430," ",""),"руб.",""),"руб",""),",","."))),0)</f>
        <v>33500</v>
      </c>
      <c r="F430" s="4">
        <f>IFERROR(VALUE(IF(AND(ISNUMBER(FIND(",",Товары_исходные!F430)),ISNUMBER(FIND(".",Товары_исходные!F430))),SUBSTITUTE(SUBSTITUTE(SUBSTITUTE(SUBSTITUTE(Товары_исходные!F430," ",""),"руб.",""),"руб",""),",",""),SUBSTITUTE(SUBSTITUTE(SUBSTITUTE(SUBSTITUTE(Товары_исходные!F430," ",""),"руб.",""),"руб",""),",","."))),0)</f>
        <v>52000</v>
      </c>
      <c r="G430" t="str">
        <f>IFERROR(VLOOKUP(Товары_исходные!G430,Справочники!$D$2:$E$50,2,FALSE),"шт.")</f>
        <v>шт.</v>
      </c>
      <c r="H430" t="str">
        <f t="shared" si="16"/>
        <v>OK</v>
      </c>
      <c r="I430" t="str">
        <f t="shared" si="17"/>
        <v>OK</v>
      </c>
    </row>
    <row r="431">
      <c r="A431" t="str">
        <f>"АРТ-"&amp;LEFT(SUBSTITUTE(SUBSTITUTE(SUBSTITUTE(SUBSTITUTE(Товары_исходные!A431,"№",""),"АРТ-",""),"АРТ_",""),"/","-"),3)</f>
        <v>АРТ-430</v>
      </c>
      <c r="B431" t="str">
        <f>PROPER(TRIM(IFERROR(LEFT(Товары_исходные!B431,FIND("(",Товары_исходные!B431)-1),Товары_исходные!B431)))</f>
        <v xml:space="preserve">Наушники Marshall Motif Ii</v>
      </c>
      <c r="C431" t="str">
        <f>IFERROR(VLOOKUP(Товары_исходные!C431,Справочники!$A$2:$B$50,2,FALSE),Товары_исходные!C431)</f>
        <v>Наушники</v>
      </c>
      <c r="D431" t="str">
        <f>PROPER(TRIM(Товары_исходные!D431))</f>
        <v>Marshall</v>
      </c>
      <c r="E431" s="4">
        <f>IFERROR(VALUE(IF(AND(ISNUMBER(FIND(",",Товары_исходные!E431)),ISNUMBER(FIND(".",Товары_исходные!E431))),SUBSTITUTE(SUBSTITUTE(SUBSTITUTE(SUBSTITUTE(Товары_исходные!E431," ",""),"руб.",""),"руб",""),",",""),SUBSTITUTE(SUBSTITUTE(SUBSTITUTE(SUBSTITUTE(Товары_исходные!E431," ",""),"руб.",""),"руб",""),",","."))),0)</f>
        <v>9000</v>
      </c>
      <c r="F431" s="4">
        <f>IFERROR(VALUE(IF(AND(ISNUMBER(FIND(",",Товары_исходные!F431)),ISNUMBER(FIND(".",Товары_исходные!F431))),SUBSTITUTE(SUBSTITUTE(SUBSTITUTE(SUBSTITUTE(Товары_исходные!F431," ",""),"руб.",""),"руб",""),",",""),SUBSTITUTE(SUBSTITUTE(SUBSTITUTE(SUBSTITUTE(Товары_исходные!F431," ",""),"руб.",""),"руб",""),",","."))),0)</f>
        <v>14990</v>
      </c>
      <c r="G431" t="str">
        <f>IFERROR(VLOOKUP(Товары_исходные!G431,Справочники!$D$2:$E$50,2,FALSE),"шт.")</f>
        <v>шт.</v>
      </c>
      <c r="H431" t="str">
        <f t="shared" si="16"/>
        <v>OK</v>
      </c>
      <c r="I431" t="str">
        <f t="shared" si="17"/>
        <v>OK</v>
      </c>
    </row>
    <row r="432">
      <c r="A432" t="str">
        <f>"АРТ-"&amp;LEFT(SUBSTITUTE(SUBSTITUTE(SUBSTITUTE(SUBSTITUTE(Товары_исходные!A432,"№",""),"АРТ-",""),"АРТ_",""),"/","-"),3)</f>
        <v>АРТ-431</v>
      </c>
      <c r="B432" t="str">
        <f>PROPER(TRIM(IFERROR(LEFT(Товары_исходные!B432,FIND("(",Товары_исходные!B432)-1),Товары_исходные!B432)))</f>
        <v xml:space="preserve">Наушники Marshall Motif Ii</v>
      </c>
      <c r="C432" t="str">
        <f>IFERROR(VLOOKUP(Товары_исходные!C432,Справочники!$A$2:$B$50,2,FALSE),Товары_исходные!C432)</f>
        <v>Наушники</v>
      </c>
      <c r="D432" t="str">
        <f>PROPER(TRIM(Товары_исходные!D432))</f>
        <v>Marshall</v>
      </c>
      <c r="E432" s="4">
        <f>IFERROR(VALUE(IF(AND(ISNUMBER(FIND(",",Товары_исходные!E432)),ISNUMBER(FIND(".",Товары_исходные!E432))),SUBSTITUTE(SUBSTITUTE(SUBSTITUTE(SUBSTITUTE(Товары_исходные!E432," ",""),"руб.",""),"руб",""),",",""),SUBSTITUTE(SUBSTITUTE(SUBSTITUTE(SUBSTITUTE(Товары_исходные!E432," ",""),"руб.",""),"руб",""),",","."))),0)</f>
        <v>8500</v>
      </c>
      <c r="F432" s="4">
        <f>IFERROR(VALUE(IF(AND(ISNUMBER(FIND(",",Товары_исходные!F432)),ISNUMBER(FIND(".",Товары_исходные!F432))),SUBSTITUTE(SUBSTITUTE(SUBSTITUTE(SUBSTITUTE(Товары_исходные!F432," ",""),"руб.",""),"руб",""),",",""),SUBSTITUTE(SUBSTITUTE(SUBSTITUTE(SUBSTITUTE(Товары_исходные!F432," ",""),"руб.",""),"руб",""),",","."))),0)</f>
        <v>14000</v>
      </c>
      <c r="G432" t="str">
        <f>IFERROR(VLOOKUP(Товары_исходные!G432,Справочники!$D$2:$E$50,2,FALSE),"шт.")</f>
        <v>шт.</v>
      </c>
      <c r="H432" t="str">
        <f t="shared" si="16"/>
        <v>OK</v>
      </c>
      <c r="I432" t="str">
        <f t="shared" si="17"/>
        <v>OK</v>
      </c>
    </row>
    <row r="433">
      <c r="A433" t="str">
        <f>"АРТ-"&amp;LEFT(SUBSTITUTE(SUBSTITUTE(SUBSTITUTE(SUBSTITUTE(Товары_исходные!A433,"№",""),"АРТ-",""),"АРТ_",""),"/","-"),3)</f>
        <v>АРТ-432</v>
      </c>
      <c r="B433" t="str">
        <f>PROPER(TRIM(IFERROR(LEFT(Товары_исходные!B433,FIND("(",Товары_исходные!B433)-1),Товары_исходные!B433)))</f>
        <v xml:space="preserve">Наушники Marshall Motif Ii</v>
      </c>
      <c r="C433" t="str">
        <f>IFERROR(VLOOKUP(Товары_исходные!C433,Справочники!$A$2:$B$50,2,FALSE),Товары_исходные!C433)</f>
        <v>Наушники</v>
      </c>
      <c r="D433" t="str">
        <f>PROPER(TRIM(Товары_исходные!D433))</f>
        <v>Marshall</v>
      </c>
      <c r="E433" s="4">
        <f>IFERROR(VALUE(IF(AND(ISNUMBER(FIND(",",Товары_исходные!E433)),ISNUMBER(FIND(".",Товары_исходные!E433))),SUBSTITUTE(SUBSTITUTE(SUBSTITUTE(SUBSTITUTE(Товары_исходные!E433," ",""),"руб.",""),"руб",""),",",""),SUBSTITUTE(SUBSTITUTE(SUBSTITUTE(SUBSTITUTE(Товары_исходные!E433," ",""),"руб.",""),"руб",""),",","."))),0)</f>
        <v>9500</v>
      </c>
      <c r="F433" s="4">
        <f>IFERROR(VALUE(IF(AND(ISNUMBER(FIND(",",Товары_исходные!F433)),ISNUMBER(FIND(".",Товары_исходные!F433))),SUBSTITUTE(SUBSTITUTE(SUBSTITUTE(SUBSTITUTE(Товары_исходные!F433," ",""),"руб.",""),"руб",""),",",""),SUBSTITUTE(SUBSTITUTE(SUBSTITUTE(SUBSTITUTE(Товары_исходные!F433," ",""),"руб.",""),"руб",""),",","."))),0)</f>
        <v>15800</v>
      </c>
      <c r="G433" t="str">
        <f>IFERROR(VLOOKUP(Товары_исходные!G433,Справочники!$D$2:$E$50,2,FALSE),"шт.")</f>
        <v>шт.</v>
      </c>
      <c r="H433" t="str">
        <f t="shared" si="16"/>
        <v>OK</v>
      </c>
      <c r="I433" t="str">
        <f t="shared" si="17"/>
        <v>OK</v>
      </c>
    </row>
    <row r="434">
      <c r="A434" t="str">
        <f>"АРТ-"&amp;LEFT(SUBSTITUTE(SUBSTITUTE(SUBSTITUTE(SUBSTITUTE(Товары_исходные!A434,"№",""),"АРТ-",""),"АРТ_",""),"/","-"),3)</f>
        <v>АРТ-433</v>
      </c>
      <c r="B434" t="str">
        <f>PROPER(TRIM(IFERROR(LEFT(Товары_исходные!B434,FIND("(",Товары_исходные!B434)-1),Товары_исходные!B434)))</f>
        <v xml:space="preserve">Монитор Msi Pro Mp271</v>
      </c>
      <c r="C434" t="str">
        <f>IFERROR(VLOOKUP(Товары_исходные!C434,Справочники!$A$2:$B$50,2,FALSE),Товары_исходные!C434)</f>
        <v>Мониторы</v>
      </c>
      <c r="D434" t="str">
        <f>PROPER(TRIM(Товары_исходные!D434))</f>
        <v>Msi</v>
      </c>
      <c r="E434" s="4">
        <f>IFERROR(VALUE(IF(AND(ISNUMBER(FIND(",",Товары_исходные!E434)),ISNUMBER(FIND(".",Товары_исходные!E434))),SUBSTITUTE(SUBSTITUTE(SUBSTITUTE(SUBSTITUTE(Товары_исходные!E434," ",""),"руб.",""),"руб",""),",",""),SUBSTITUTE(SUBSTITUTE(SUBSTITUTE(SUBSTITUTE(Товары_исходные!E434," ",""),"руб.",""),"руб",""),",","."))),0)</f>
        <v>28000</v>
      </c>
      <c r="F434" s="4">
        <f>IFERROR(VALUE(IF(AND(ISNUMBER(FIND(",",Товары_исходные!F434)),ISNUMBER(FIND(".",Товары_исходные!F434))),SUBSTITUTE(SUBSTITUTE(SUBSTITUTE(SUBSTITUTE(Товары_исходные!F434," ",""),"руб.",""),"руб",""),",",""),SUBSTITUTE(SUBSTITUTE(SUBSTITUTE(SUBSTITUTE(Товары_исходные!F434," ",""),"руб.",""),"руб",""),",","."))),0)</f>
        <v>43990</v>
      </c>
      <c r="G434" t="str">
        <f>IFERROR(VLOOKUP(Товары_исходные!G434,Справочники!$D$2:$E$50,2,FALSE),"шт.")</f>
        <v>шт.</v>
      </c>
      <c r="H434" t="str">
        <f t="shared" si="16"/>
        <v>OK</v>
      </c>
      <c r="I434" t="str">
        <f t="shared" si="17"/>
        <v>OK</v>
      </c>
    </row>
    <row r="435">
      <c r="A435" t="str">
        <f>"АРТ-"&amp;LEFT(SUBSTITUTE(SUBSTITUTE(SUBSTITUTE(SUBSTITUTE(Товары_исходные!A435,"№",""),"АРТ-",""),"АРТ_",""),"/","-"),3)</f>
        <v>АРТ-434</v>
      </c>
      <c r="B435" t="str">
        <f>PROPER(TRIM(IFERROR(LEFT(Товары_исходные!B435,FIND("(",Товары_исходные!B435)-1),Товары_исходные!B435)))</f>
        <v xml:space="preserve">Монитор Msi Pro Mp271</v>
      </c>
      <c r="C435" t="str">
        <f>IFERROR(VLOOKUP(Товары_исходные!C435,Справочники!$A$2:$B$50,2,FALSE),Товары_исходные!C435)</f>
        <v>Мониторы</v>
      </c>
      <c r="D435" t="str">
        <f>PROPER(TRIM(Товары_исходные!D435))</f>
        <v>Msi</v>
      </c>
      <c r="E435" s="4">
        <f>IFERROR(VALUE(IF(AND(ISNUMBER(FIND(",",Товары_исходные!E435)),ISNUMBER(FIND(".",Товары_исходные!E435))),SUBSTITUTE(SUBSTITUTE(SUBSTITUTE(SUBSTITUTE(Товары_исходные!E435," ",""),"руб.",""),"руб",""),",",""),SUBSTITUTE(SUBSTITUTE(SUBSTITUTE(SUBSTITUTE(Товары_исходные!E435," ",""),"руб.",""),"руб",""),",","."))),0)</f>
        <v>26500</v>
      </c>
      <c r="F435" s="4">
        <f>IFERROR(VALUE(IF(AND(ISNUMBER(FIND(",",Товары_исходные!F435)),ISNUMBER(FIND(".",Товары_исходные!F435))),SUBSTITUTE(SUBSTITUTE(SUBSTITUTE(SUBSTITUTE(Товары_исходные!F435," ",""),"руб.",""),"руб",""),",",""),SUBSTITUTE(SUBSTITUTE(SUBSTITUTE(SUBSTITUTE(Товары_исходные!F435," ",""),"руб.",""),"руб",""),",","."))),0)</f>
        <v>42000</v>
      </c>
      <c r="G435" t="str">
        <f>IFERROR(VLOOKUP(Товары_исходные!G435,Справочники!$D$2:$E$50,2,FALSE),"шт.")</f>
        <v>шт.</v>
      </c>
      <c r="H435" t="str">
        <f t="shared" si="16"/>
        <v>OK</v>
      </c>
      <c r="I435" t="str">
        <f t="shared" si="17"/>
        <v>OK</v>
      </c>
    </row>
    <row r="436">
      <c r="A436" t="str">
        <f>"АРТ-"&amp;LEFT(SUBSTITUTE(SUBSTITUTE(SUBSTITUTE(SUBSTITUTE(Товары_исходные!A436,"№",""),"АРТ-",""),"АРТ_",""),"/","-"),3)</f>
        <v>АРТ-435</v>
      </c>
      <c r="B436" t="str">
        <f>PROPER(TRIM(IFERROR(LEFT(Товары_исходные!B436,FIND("(",Товары_исходные!B436)-1),Товары_исходные!B436)))</f>
        <v xml:space="preserve">Монитор Msi Pro Mp271</v>
      </c>
      <c r="C436" t="str">
        <f>IFERROR(VLOOKUP(Товары_исходные!C436,Справочники!$A$2:$B$50,2,FALSE),Товары_исходные!C436)</f>
        <v>Мониторы</v>
      </c>
      <c r="D436" t="str">
        <f>PROPER(TRIM(Товары_исходные!D436))</f>
        <v>Msi</v>
      </c>
      <c r="E436" s="4">
        <f>IFERROR(VALUE(IF(AND(ISNUMBER(FIND(",",Товары_исходные!E436)),ISNUMBER(FIND(".",Товары_исходные!E436))),SUBSTITUTE(SUBSTITUTE(SUBSTITUTE(SUBSTITUTE(Товары_исходные!E436," ",""),"руб.",""),"руб",""),",",""),SUBSTITUTE(SUBSTITUTE(SUBSTITUTE(SUBSTITUTE(Товары_исходные!E436," ",""),"руб.",""),"руб",""),",","."))),0)</f>
        <v>29500</v>
      </c>
      <c r="F436" s="4">
        <f>IFERROR(VALUE(IF(AND(ISNUMBER(FIND(",",Товары_исходные!F436)),ISNUMBER(FIND(".",Товары_исходные!F436))),SUBSTITUTE(SUBSTITUTE(SUBSTITUTE(SUBSTITUTE(Товары_исходные!F436," ",""),"руб.",""),"руб",""),",",""),SUBSTITUTE(SUBSTITUTE(SUBSTITUTE(SUBSTITUTE(Товары_исходные!F436," ",""),"руб.",""),"руб",""),",","."))),0)</f>
        <v>45500</v>
      </c>
      <c r="G436" t="str">
        <f>IFERROR(VLOOKUP(Товары_исходные!G436,Справочники!$D$2:$E$50,2,FALSE),"шт.")</f>
        <v>шт.</v>
      </c>
      <c r="H436" t="str">
        <f t="shared" si="16"/>
        <v>OK</v>
      </c>
      <c r="I436" t="str">
        <f t="shared" si="17"/>
        <v>OK</v>
      </c>
    </row>
    <row r="437">
      <c r="A437" t="str">
        <f>"АРТ-"&amp;LEFT(SUBSTITUTE(SUBSTITUTE(SUBSTITUTE(SUBSTITUTE(Товары_исходные!A437,"№",""),"АРТ-",""),"АРТ_",""),"/","-"),3)</f>
        <v>АРТ-436</v>
      </c>
      <c r="B437" t="str">
        <f>PROPER(TRIM(IFERROR(LEFT(Товары_исходные!B437,FIND("(",Товары_исходные!B437)-1),Товары_исходные!B437)))</f>
        <v xml:space="preserve">Колонка Sony Srs-Xb13</v>
      </c>
      <c r="C437" t="str">
        <f>IFERROR(VLOOKUP(Товары_исходные!C437,Справочники!$A$2:$B$50,2,FALSE),Товары_исходные!C437)</f>
        <v>Аксессуары</v>
      </c>
      <c r="D437" t="str">
        <f>PROPER(TRIM(Товары_исходные!D437))</f>
        <v>Sony</v>
      </c>
      <c r="E437" s="4">
        <f>IFERROR(VALUE(IF(AND(ISNUMBER(FIND(",",Товары_исходные!E437)),ISNUMBER(FIND(".",Товары_исходные!E437))),SUBSTITUTE(SUBSTITUTE(SUBSTITUTE(SUBSTITUTE(Товары_исходные!E437," ",""),"руб.",""),"руб",""),",",""),SUBSTITUTE(SUBSTITUTE(SUBSTITUTE(SUBSTITUTE(Товары_исходные!E437," ",""),"руб.",""),"руб",""),",","."))),0)</f>
        <v>3500</v>
      </c>
      <c r="F437" s="4">
        <f>IFERROR(VALUE(IF(AND(ISNUMBER(FIND(",",Товары_исходные!F437)),ISNUMBER(FIND(".",Товары_исходные!F437))),SUBSTITUTE(SUBSTITUTE(SUBSTITUTE(SUBSTITUTE(Товары_исходные!F437," ",""),"руб.",""),"руб",""),",",""),SUBSTITUTE(SUBSTITUTE(SUBSTITUTE(SUBSTITUTE(Товары_исходные!F437," ",""),"руб.",""),"руб",""),",","."))),0)</f>
        <v>5990</v>
      </c>
      <c r="G437" t="str">
        <f>IFERROR(VLOOKUP(Товары_исходные!G437,Справочники!$D$2:$E$50,2,FALSE),"шт.")</f>
        <v>шт.</v>
      </c>
      <c r="H437" t="str">
        <f t="shared" si="16"/>
        <v>OK</v>
      </c>
      <c r="I437" t="str">
        <f t="shared" si="17"/>
        <v>OK</v>
      </c>
    </row>
    <row r="438">
      <c r="A438" t="str">
        <f>"АРТ-"&amp;LEFT(SUBSTITUTE(SUBSTITUTE(SUBSTITUTE(SUBSTITUTE(Товары_исходные!A438,"№",""),"АРТ-",""),"АРТ_",""),"/","-"),3)</f>
        <v>АРТ-437</v>
      </c>
      <c r="B438" t="str">
        <f>PROPER(TRIM(IFERROR(LEFT(Товары_исходные!B438,FIND("(",Товары_исходные!B438)-1),Товары_исходные!B438)))</f>
        <v xml:space="preserve">Колонка Sony Srs-Xb13</v>
      </c>
      <c r="C438" t="str">
        <f>IFERROR(VLOOKUP(Товары_исходные!C438,Справочники!$A$2:$B$50,2,FALSE),Товары_исходные!C438)</f>
        <v>Аксессуары</v>
      </c>
      <c r="D438" t="str">
        <f>PROPER(TRIM(Товары_исходные!D438))</f>
        <v>Sony</v>
      </c>
      <c r="E438" s="4">
        <f>IFERROR(VALUE(IF(AND(ISNUMBER(FIND(",",Товары_исходные!E438)),ISNUMBER(FIND(".",Товары_исходные!E438))),SUBSTITUTE(SUBSTITUTE(SUBSTITUTE(SUBSTITUTE(Товары_исходные!E438," ",""),"руб.",""),"руб",""),",",""),SUBSTITUTE(SUBSTITUTE(SUBSTITUTE(SUBSTITUTE(Товары_исходные!E438," ",""),"руб.",""),"руб",""),",","."))),0)</f>
        <v>3000</v>
      </c>
      <c r="F438" s="4">
        <f>IFERROR(VALUE(IF(AND(ISNUMBER(FIND(",",Товары_исходные!F438)),ISNUMBER(FIND(".",Товары_исходные!F438))),SUBSTITUTE(SUBSTITUTE(SUBSTITUTE(SUBSTITUTE(Товары_исходные!F438," ",""),"руб.",""),"руб",""),",",""),SUBSTITUTE(SUBSTITUTE(SUBSTITUTE(SUBSTITUTE(Товары_исходные!F438," ",""),"руб.",""),"руб",""),",","."))),0)</f>
        <v>5500</v>
      </c>
      <c r="G438" t="str">
        <f>IFERROR(VLOOKUP(Товары_исходные!G438,Справочники!$D$2:$E$50,2,FALSE),"шт.")</f>
        <v>шт.</v>
      </c>
      <c r="H438" t="str">
        <f t="shared" si="16"/>
        <v>OK</v>
      </c>
      <c r="I438" t="str">
        <f t="shared" si="17"/>
        <v>OK</v>
      </c>
    </row>
    <row r="439">
      <c r="A439" t="str">
        <f>"АРТ-"&amp;LEFT(SUBSTITUTE(SUBSTITUTE(SUBSTITUTE(SUBSTITUTE(Товары_исходные!A439,"№",""),"АРТ-",""),"АРТ_",""),"/","-"),3)</f>
        <v>АРТ-438</v>
      </c>
      <c r="B439" t="str">
        <f>PROPER(TRIM(IFERROR(LEFT(Товары_исходные!B439,FIND("(",Товары_исходные!B439)-1),Товары_исходные!B439)))</f>
        <v xml:space="preserve">Колонка Sony Srs-Xb13</v>
      </c>
      <c r="C439" t="str">
        <f>IFERROR(VLOOKUP(Товары_исходные!C439,Справочники!$A$2:$B$50,2,FALSE),Товары_исходные!C439)</f>
        <v>Аксессуары</v>
      </c>
      <c r="D439" t="str">
        <f>PROPER(TRIM(Товары_исходные!D439))</f>
        <v>Sony</v>
      </c>
      <c r="E439" s="4">
        <f>IFERROR(VALUE(IF(AND(ISNUMBER(FIND(",",Товары_исходные!E439)),ISNUMBER(FIND(".",Товары_исходные!E439))),SUBSTITUTE(SUBSTITUTE(SUBSTITUTE(SUBSTITUTE(Товары_исходные!E439," ",""),"руб.",""),"руб",""),",",""),SUBSTITUTE(SUBSTITUTE(SUBSTITUTE(SUBSTITUTE(Товары_исходные!E439," ",""),"руб.",""),"руб",""),",","."))),0)</f>
        <v>4000</v>
      </c>
      <c r="F439" s="4">
        <f>IFERROR(VALUE(IF(AND(ISNUMBER(FIND(",",Товары_исходные!F439)),ISNUMBER(FIND(".",Товары_исходные!F439))),SUBSTITUTE(SUBSTITUTE(SUBSTITUTE(SUBSTITUTE(Товары_исходные!F439," ",""),"руб.",""),"руб",""),",",""),SUBSTITUTE(SUBSTITUTE(SUBSTITUTE(SUBSTITUTE(Товары_исходные!F439," ",""),"руб.",""),"руб",""),",","."))),0)</f>
        <v>6800</v>
      </c>
      <c r="G439" t="str">
        <f>IFERROR(VLOOKUP(Товары_исходные!G439,Справочники!$D$2:$E$50,2,FALSE),"шт.")</f>
        <v>шт.</v>
      </c>
      <c r="H439" t="str">
        <f t="shared" si="16"/>
        <v>OK</v>
      </c>
      <c r="I439" t="str">
        <f t="shared" si="17"/>
        <v>OK</v>
      </c>
    </row>
    <row r="440">
      <c r="A440" t="str">
        <f>"АРТ-"&amp;LEFT(SUBSTITUTE(SUBSTITUTE(SUBSTITUTE(SUBSTITUTE(Товары_исходные!A440,"№",""),"АРТ-",""),"АРТ_",""),"/","-"),3)</f>
        <v>АРТ-439</v>
      </c>
      <c r="B440" t="str">
        <f>PROPER(TRIM(IFERROR(LEFT(Товары_исходные!B440,FIND("(",Товары_исходные!B440)-1),Товары_исходные!B440)))</f>
        <v xml:space="preserve">Планшет Honor Pad 8</v>
      </c>
      <c r="C440" t="str">
        <f>IFERROR(VLOOKUP(Товары_исходные!C440,Справочники!$A$2:$B$50,2,FALSE),Товары_исходные!C440)</f>
        <v>Планшеты</v>
      </c>
      <c r="D440" t="str">
        <f>PROPER(TRIM(Товары_исходные!D440))</f>
        <v>Honor</v>
      </c>
      <c r="E440" s="4">
        <f>IFERROR(VALUE(IF(AND(ISNUMBER(FIND(",",Товары_исходные!E440)),ISNUMBER(FIND(".",Товары_исходные!E440))),SUBSTITUTE(SUBSTITUTE(SUBSTITUTE(SUBSTITUTE(Товары_исходные!E440," ",""),"руб.",""),"руб",""),",",""),SUBSTITUTE(SUBSTITUTE(SUBSTITUTE(SUBSTITUTE(Товары_исходные!E440," ",""),"руб.",""),"руб",""),",","."))),0)</f>
        <v>18000</v>
      </c>
      <c r="F440" s="4">
        <f>IFERROR(VALUE(IF(AND(ISNUMBER(FIND(",",Товары_исходные!F440)),ISNUMBER(FIND(".",Товары_исходные!F440))),SUBSTITUTE(SUBSTITUTE(SUBSTITUTE(SUBSTITUTE(Товары_исходные!F440," ",""),"руб.",""),"руб",""),",",""),SUBSTITUTE(SUBSTITUTE(SUBSTITUTE(SUBSTITUTE(Товары_исходные!F440," ",""),"руб.",""),"руб",""),",","."))),0)</f>
        <v>29990</v>
      </c>
      <c r="G440" t="str">
        <f>IFERROR(VLOOKUP(Товары_исходные!G440,Справочники!$D$2:$E$50,2,FALSE),"шт.")</f>
        <v>шт.</v>
      </c>
      <c r="H440" t="str">
        <f t="shared" si="16"/>
        <v>OK</v>
      </c>
      <c r="I440" t="str">
        <f t="shared" si="17"/>
        <v>OK</v>
      </c>
    </row>
    <row r="441">
      <c r="A441" t="str">
        <f>"АРТ-"&amp;LEFT(SUBSTITUTE(SUBSTITUTE(SUBSTITUTE(SUBSTITUTE(Товары_исходные!A441,"№",""),"АРТ-",""),"АРТ_",""),"/","-"),3)</f>
        <v>АРТ-440</v>
      </c>
      <c r="B441" t="str">
        <f>PROPER(TRIM(IFERROR(LEFT(Товары_исходные!B441,FIND("(",Товары_исходные!B441)-1),Товары_исходные!B441)))</f>
        <v xml:space="preserve">Планшет Honor Pad 8</v>
      </c>
      <c r="C441" t="str">
        <f>IFERROR(VLOOKUP(Товары_исходные!C441,Справочники!$A$2:$B$50,2,FALSE),Товары_исходные!C441)</f>
        <v>Планшеты</v>
      </c>
      <c r="D441" t="str">
        <f>PROPER(TRIM(Товары_исходные!D441))</f>
        <v>Honor</v>
      </c>
      <c r="E441" s="4">
        <f>IFERROR(VALUE(IF(AND(ISNUMBER(FIND(",",Товары_исходные!E441)),ISNUMBER(FIND(".",Товары_исходные!E441))),SUBSTITUTE(SUBSTITUTE(SUBSTITUTE(SUBSTITUTE(Товары_исходные!E441," ",""),"руб.",""),"руб",""),",",""),SUBSTITUTE(SUBSTITUTE(SUBSTITUTE(SUBSTITUTE(Товары_исходные!E441," ",""),"руб.",""),"руб",""),",","."))),0)</f>
        <v>17000</v>
      </c>
      <c r="F441" s="4">
        <f>IFERROR(VALUE(IF(AND(ISNUMBER(FIND(",",Товары_исходные!F441)),ISNUMBER(FIND(".",Товары_исходные!F441))),SUBSTITUTE(SUBSTITUTE(SUBSTITUTE(SUBSTITUTE(Товары_исходные!F441," ",""),"руб.",""),"руб",""),",",""),SUBSTITUTE(SUBSTITUTE(SUBSTITUTE(SUBSTITUTE(Товары_исходные!F441," ",""),"руб.",""),"руб",""),",","."))),0)</f>
        <v>28500</v>
      </c>
      <c r="G441" t="str">
        <f>IFERROR(VLOOKUP(Товары_исходные!G441,Справочники!$D$2:$E$50,2,FALSE),"шт.")</f>
        <v>шт.</v>
      </c>
      <c r="H441" t="str">
        <f t="shared" si="16"/>
        <v>OK</v>
      </c>
      <c r="I441" t="str">
        <f t="shared" si="17"/>
        <v>OK</v>
      </c>
    </row>
    <row r="442">
      <c r="A442" t="str">
        <f>"АРТ-"&amp;LEFT(SUBSTITUTE(SUBSTITUTE(SUBSTITUTE(SUBSTITUTE(Товары_исходные!A442,"№",""),"АРТ-",""),"АРТ_",""),"/","-"),3)</f>
        <v>АРТ-441</v>
      </c>
      <c r="B442" t="str">
        <f>PROPER(TRIM(IFERROR(LEFT(Товары_исходные!B442,FIND("(",Товары_исходные!B442)-1),Товары_исходные!B442)))</f>
        <v xml:space="preserve">Планшет Honor Pad 8</v>
      </c>
      <c r="C442" t="str">
        <f>IFERROR(VLOOKUP(Товары_исходные!C442,Справочники!$A$2:$B$50,2,FALSE),Товары_исходные!C442)</f>
        <v>Планшеты</v>
      </c>
      <c r="D442" t="str">
        <f>PROPER(TRIM(Товары_исходные!D442))</f>
        <v>Honor</v>
      </c>
      <c r="E442" s="4">
        <f>IFERROR(VALUE(IF(AND(ISNUMBER(FIND(",",Товары_исходные!E442)),ISNUMBER(FIND(".",Товары_исходные!E442))),SUBSTITUTE(SUBSTITUTE(SUBSTITUTE(SUBSTITUTE(Товары_исходные!E442," ",""),"руб.",""),"руб",""),",",""),SUBSTITUTE(SUBSTITUTE(SUBSTITUTE(SUBSTITUTE(Товары_исходные!E442," ",""),"руб.",""),"руб",""),",","."))),0)</f>
        <v>19000</v>
      </c>
      <c r="F442" s="4">
        <f>IFERROR(VALUE(IF(AND(ISNUMBER(FIND(",",Товары_исходные!F442)),ISNUMBER(FIND(".",Товары_исходные!F442))),SUBSTITUTE(SUBSTITUTE(SUBSTITUTE(SUBSTITUTE(Товары_исходные!F442," ",""),"руб.",""),"руб",""),",",""),SUBSTITUTE(SUBSTITUTE(SUBSTITUTE(SUBSTITUTE(Товары_исходные!F442," ",""),"руб.",""),"руб",""),",","."))),0)</f>
        <v>31500</v>
      </c>
      <c r="G442" t="str">
        <f>IFERROR(VLOOKUP(Товары_исходные!G442,Справочники!$D$2:$E$50,2,FALSE),"шт.")</f>
        <v>шт.</v>
      </c>
      <c r="H442" t="str">
        <f t="shared" si="16"/>
        <v>OK</v>
      </c>
      <c r="I442" t="str">
        <f t="shared" si="17"/>
        <v>OK</v>
      </c>
    </row>
    <row r="443">
      <c r="A443" t="str">
        <f>"АРТ-"&amp;LEFT(SUBSTITUTE(SUBSTITUTE(SUBSTITUTE(SUBSTITUTE(Товары_исходные!A443,"№",""),"АРТ-",""),"АРТ_",""),"/","-"),3)</f>
        <v>АРТ-442</v>
      </c>
      <c r="B443" t="str">
        <f>PROPER(TRIM(IFERROR(LEFT(Товары_исходные!B443,FIND("(",Товары_исходные!B443)-1),Товары_исходные!B443)))</f>
        <v xml:space="preserve">Смартфон Vivo Y100</v>
      </c>
      <c r="C443" t="str">
        <f>IFERROR(VLOOKUP(Товары_исходные!C443,Справочники!$A$2:$B$50,2,FALSE),Товары_исходные!C443)</f>
        <v>Смартфоны</v>
      </c>
      <c r="D443" t="str">
        <f>PROPER(TRIM(Товары_исходные!D443))</f>
        <v>Vivo</v>
      </c>
      <c r="E443" s="4">
        <f>IFERROR(VALUE(IF(AND(ISNUMBER(FIND(",",Товары_исходные!E443)),ISNUMBER(FIND(".",Товары_исходные!E443))),SUBSTITUTE(SUBSTITUTE(SUBSTITUTE(SUBSTITUTE(Товары_исходные!E443," ",""),"руб.",""),"руб",""),",",""),SUBSTITUTE(SUBSTITUTE(SUBSTITUTE(SUBSTITUTE(Товары_исходные!E443," ",""),"руб.",""),"руб",""),",","."))),0)</f>
        <v>15000</v>
      </c>
      <c r="F443" s="4">
        <f>IFERROR(VALUE(IF(AND(ISNUMBER(FIND(",",Товары_исходные!F443)),ISNUMBER(FIND(".",Товары_исходные!F443))),SUBSTITUTE(SUBSTITUTE(SUBSTITUTE(SUBSTITUTE(Товары_исходные!F443," ",""),"руб.",""),"руб",""),",",""),SUBSTITUTE(SUBSTITUTE(SUBSTITUTE(SUBSTITUTE(Товары_исходные!F443," ",""),"руб.",""),"руб",""),",","."))),0)</f>
        <v>24990</v>
      </c>
      <c r="G443" t="str">
        <f>IFERROR(VLOOKUP(Товары_исходные!G443,Справочники!$D$2:$E$50,2,FALSE),"шт.")</f>
        <v>шт.</v>
      </c>
      <c r="H443" t="str">
        <f t="shared" si="16"/>
        <v>OK</v>
      </c>
      <c r="I443" t="str">
        <f t="shared" si="17"/>
        <v>OK</v>
      </c>
    </row>
    <row r="444">
      <c r="A444" t="str">
        <f>"АРТ-"&amp;LEFT(SUBSTITUTE(SUBSTITUTE(SUBSTITUTE(SUBSTITUTE(Товары_исходные!A444,"№",""),"АРТ-",""),"АРТ_",""),"/","-"),3)</f>
        <v>АРТ-443</v>
      </c>
      <c r="B444" t="str">
        <f>PROPER(TRIM(IFERROR(LEFT(Товары_исходные!B444,FIND("(",Товары_исходные!B444)-1),Товары_исходные!B444)))</f>
        <v xml:space="preserve">Смартфон Vivo Y100</v>
      </c>
      <c r="C444" t="str">
        <f>IFERROR(VLOOKUP(Товары_исходные!C444,Справочники!$A$2:$B$50,2,FALSE),Товары_исходные!C444)</f>
        <v>Смартфоны</v>
      </c>
      <c r="D444" t="str">
        <f>PROPER(TRIM(Товары_исходные!D444))</f>
        <v>Vivo</v>
      </c>
      <c r="E444" s="4">
        <f>IFERROR(VALUE(IF(AND(ISNUMBER(FIND(",",Товары_исходные!E444)),ISNUMBER(FIND(".",Товары_исходные!E444))),SUBSTITUTE(SUBSTITUTE(SUBSTITUTE(SUBSTITUTE(Товары_исходные!E444," ",""),"руб.",""),"руб",""),",",""),SUBSTITUTE(SUBSTITUTE(SUBSTITUTE(SUBSTITUTE(Товары_исходные!E444," ",""),"руб.",""),"руб",""),",","."))),0)</f>
        <v>14000</v>
      </c>
      <c r="F444" s="4">
        <f>IFERROR(VALUE(IF(AND(ISNUMBER(FIND(",",Товары_исходные!F444)),ISNUMBER(FIND(".",Товары_исходные!F444))),SUBSTITUTE(SUBSTITUTE(SUBSTITUTE(SUBSTITUTE(Товары_исходные!F444," ",""),"руб.",""),"руб",""),",",""),SUBSTITUTE(SUBSTITUTE(SUBSTITUTE(SUBSTITUTE(Товары_исходные!F444," ",""),"руб.",""),"руб",""),",","."))),0)</f>
        <v>23500</v>
      </c>
      <c r="G444" t="str">
        <f>IFERROR(VLOOKUP(Товары_исходные!G444,Справочники!$D$2:$E$50,2,FALSE),"шт.")</f>
        <v>шт.</v>
      </c>
      <c r="H444" t="str">
        <f t="shared" si="16"/>
        <v>OK</v>
      </c>
      <c r="I444" t="str">
        <f t="shared" si="17"/>
        <v>OK</v>
      </c>
    </row>
    <row r="445">
      <c r="A445" t="str">
        <f>"АРТ-"&amp;LEFT(SUBSTITUTE(SUBSTITUTE(SUBSTITUTE(SUBSTITUTE(Товары_исходные!A445,"№",""),"АРТ-",""),"АРТ_",""),"/","-"),3)</f>
        <v>АРТ-444</v>
      </c>
      <c r="B445" t="str">
        <f>PROPER(TRIM(IFERROR(LEFT(Товары_исходные!B445,FIND("(",Товары_исходные!B445)-1),Товары_исходные!B445)))</f>
        <v xml:space="preserve">Смартфон Vivo Y100</v>
      </c>
      <c r="C445" t="str">
        <f>IFERROR(VLOOKUP(Товары_исходные!C445,Справочники!$A$2:$B$50,2,FALSE),Товары_исходные!C445)</f>
        <v>Смартфоны</v>
      </c>
      <c r="D445" t="str">
        <f>PROPER(TRIM(Товары_исходные!D445))</f>
        <v>Vivo</v>
      </c>
      <c r="E445" s="4">
        <f>IFERROR(VALUE(IF(AND(ISNUMBER(FIND(",",Товары_исходные!E445)),ISNUMBER(FIND(".",Товары_исходные!E445))),SUBSTITUTE(SUBSTITUTE(SUBSTITUTE(SUBSTITUTE(Товары_исходные!E445," ",""),"руб.",""),"руб",""),",",""),SUBSTITUTE(SUBSTITUTE(SUBSTITUTE(SUBSTITUTE(Товары_исходные!E445," ",""),"руб.",""),"руб",""),",","."))),0)</f>
        <v>16000</v>
      </c>
      <c r="F445" s="4">
        <f>IFERROR(VALUE(IF(AND(ISNUMBER(FIND(",",Товары_исходные!F445)),ISNUMBER(FIND(".",Товары_исходные!F445))),SUBSTITUTE(SUBSTITUTE(SUBSTITUTE(SUBSTITUTE(Товары_исходные!F445," ",""),"руб.",""),"руб",""),",",""),SUBSTITUTE(SUBSTITUTE(SUBSTITUTE(SUBSTITUTE(Товары_исходные!F445," ",""),"руб.",""),"руб",""),",","."))),0)</f>
        <v>26500</v>
      </c>
      <c r="G445" t="str">
        <f>IFERROR(VLOOKUP(Товары_исходные!G445,Справочники!$D$2:$E$50,2,FALSE),"шт.")</f>
        <v>шт.</v>
      </c>
      <c r="H445" t="str">
        <f t="shared" si="16"/>
        <v>OK</v>
      </c>
      <c r="I445" t="str">
        <f t="shared" si="17"/>
        <v>OK</v>
      </c>
    </row>
    <row r="446">
      <c r="A446" t="str">
        <f>"АРТ-"&amp;LEFT(SUBSTITUTE(SUBSTITUTE(SUBSTITUTE(SUBSTITUTE(Товары_исходные!A446,"№",""),"АРТ-",""),"АРТ_",""),"/","-"),3)</f>
        <v>АРТ-445</v>
      </c>
      <c r="B446" t="str">
        <f>PROPER(TRIM(IFERROR(LEFT(Товары_исходные!B446,FIND("(",Товары_исходные!B446)-1),Товары_исходные!B446)))</f>
        <v xml:space="preserve">Ноутбук Framework Laptop 16</v>
      </c>
      <c r="C446" t="str">
        <f>IFERROR(VLOOKUP(Товары_исходные!C446,Справочники!$A$2:$B$50,2,FALSE),Товары_исходные!C446)</f>
        <v>Ноутбуки</v>
      </c>
      <c r="D446" t="str">
        <f>PROPER(TRIM(Товары_исходные!D446))</f>
        <v>Framework</v>
      </c>
      <c r="E446" s="4">
        <f>IFERROR(VALUE(IF(AND(ISNUMBER(FIND(",",Товары_исходные!E446)),ISNUMBER(FIND(".",Товары_исходные!E446))),SUBSTITUTE(SUBSTITUTE(SUBSTITUTE(SUBSTITUTE(Товары_исходные!E446," ",""),"руб.",""),"руб",""),",",""),SUBSTITUTE(SUBSTITUTE(SUBSTITUTE(SUBSTITUTE(Товары_исходные!E446," ",""),"руб.",""),"руб",""),",","."))),0)</f>
        <v>92000</v>
      </c>
      <c r="F446" s="4">
        <f>IFERROR(VALUE(IF(AND(ISNUMBER(FIND(",",Товары_исходные!F446)),ISNUMBER(FIND(".",Товары_исходные!F446))),SUBSTITUTE(SUBSTITUTE(SUBSTITUTE(SUBSTITUTE(Товары_исходные!F446," ",""),"руб.",""),"руб",""),",",""),SUBSTITUTE(SUBSTITUTE(SUBSTITUTE(SUBSTITUTE(Товары_исходные!F446," ",""),"руб.",""),"руб",""),",","."))),0)</f>
        <v>141990</v>
      </c>
      <c r="G446" t="str">
        <f>IFERROR(VLOOKUP(Товары_исходные!G446,Справочники!$D$2:$E$50,2,FALSE),"шт.")</f>
        <v>шт.</v>
      </c>
      <c r="H446" t="str">
        <f t="shared" si="16"/>
        <v>OK</v>
      </c>
      <c r="I446" t="str">
        <f t="shared" si="17"/>
        <v>OK</v>
      </c>
    </row>
    <row r="447">
      <c r="A447" t="str">
        <f>"АРТ-"&amp;LEFT(SUBSTITUTE(SUBSTITUTE(SUBSTITUTE(SUBSTITUTE(Товары_исходные!A447,"№",""),"АРТ-",""),"АРТ_",""),"/","-"),3)</f>
        <v>АРТ-446</v>
      </c>
      <c r="B447" t="str">
        <f>PROPER(TRIM(IFERROR(LEFT(Товары_исходные!B447,FIND("(",Товары_исходные!B447)-1),Товары_исходные!B447)))</f>
        <v xml:space="preserve">Ноутбук Framework Laptop 16</v>
      </c>
      <c r="C447" t="str">
        <f>IFERROR(VLOOKUP(Товары_исходные!C447,Справочники!$A$2:$B$50,2,FALSE),Товары_исходные!C447)</f>
        <v>Ноутбуки</v>
      </c>
      <c r="D447" t="str">
        <f>PROPER(TRIM(Товары_исходные!D447))</f>
        <v>Framework</v>
      </c>
      <c r="E447" s="4">
        <f>IFERROR(VALUE(IF(AND(ISNUMBER(FIND(",",Товары_исходные!E447)),ISNUMBER(FIND(".",Товары_исходные!E447))),SUBSTITUTE(SUBSTITUTE(SUBSTITUTE(SUBSTITUTE(Товары_исходные!E447," ",""),"руб.",""),"руб",""),",",""),SUBSTITUTE(SUBSTITUTE(SUBSTITUTE(SUBSTITUTE(Товары_исходные!E447," ",""),"руб.",""),"руб",""),",","."))),0)</f>
        <v>90000</v>
      </c>
      <c r="F447" s="4">
        <f>IFERROR(VALUE(IF(AND(ISNUMBER(FIND(",",Товары_исходные!F447)),ISNUMBER(FIND(".",Товары_исходные!F447))),SUBSTITUTE(SUBSTITUTE(SUBSTITUTE(SUBSTITUTE(Товары_исходные!F447," ",""),"руб.",""),"руб",""),",",""),SUBSTITUTE(SUBSTITUTE(SUBSTITUTE(SUBSTITUTE(Товары_исходные!F447," ",""),"руб.",""),"руб",""),",","."))),0)</f>
        <v>139000</v>
      </c>
      <c r="G447" t="str">
        <f>IFERROR(VLOOKUP(Товары_исходные!G447,Справочники!$D$2:$E$50,2,FALSE),"шт.")</f>
        <v>шт.</v>
      </c>
      <c r="H447" t="str">
        <f t="shared" si="16"/>
        <v>OK</v>
      </c>
      <c r="I447" t="str">
        <f t="shared" si="17"/>
        <v>OK</v>
      </c>
    </row>
    <row r="448">
      <c r="A448" t="str">
        <f>"АРТ-"&amp;LEFT(SUBSTITUTE(SUBSTITUTE(SUBSTITUTE(SUBSTITUTE(Товары_исходные!A448,"№",""),"АРТ-",""),"АРТ_",""),"/","-"),3)</f>
        <v>АРТ-447</v>
      </c>
      <c r="B448" t="str">
        <f>PROPER(TRIM(IFERROR(LEFT(Товары_исходные!B448,FIND("(",Товары_исходные!B448)-1),Товары_исходные!B448)))</f>
        <v xml:space="preserve">Ноутбук Framework Laptop 16</v>
      </c>
      <c r="C448" t="str">
        <f>IFERROR(VLOOKUP(Товары_исходные!C448,Справочники!$A$2:$B$50,2,FALSE),Товары_исходные!C448)</f>
        <v>Ноутбуки</v>
      </c>
      <c r="D448" t="str">
        <f>PROPER(TRIM(Товары_исходные!D448))</f>
        <v>Framework</v>
      </c>
      <c r="E448" s="4">
        <f>IFERROR(VALUE(IF(AND(ISNUMBER(FIND(",",Товары_исходные!E448)),ISNUMBER(FIND(".",Товары_исходные!E448))),SUBSTITUTE(SUBSTITUTE(SUBSTITUTE(SUBSTITUTE(Товары_исходные!E448," ",""),"руб.",""),"руб",""),",",""),SUBSTITUTE(SUBSTITUTE(SUBSTITUTE(SUBSTITUTE(Товары_исходные!E448," ",""),"руб.",""),"руб",""),",","."))),0)</f>
        <v>93500</v>
      </c>
      <c r="F448" s="4">
        <f>IFERROR(VALUE(IF(AND(ISNUMBER(FIND(",",Товары_исходные!F448)),ISNUMBER(FIND(".",Товары_исходные!F448))),SUBSTITUTE(SUBSTITUTE(SUBSTITUTE(SUBSTITUTE(Товары_исходные!F448," ",""),"руб.",""),"руб",""),",",""),SUBSTITUTE(SUBSTITUTE(SUBSTITUTE(SUBSTITUTE(Товары_исходные!F448," ",""),"руб.",""),"руб",""),",","."))),0)</f>
        <v>144500</v>
      </c>
      <c r="G448" t="str">
        <f>IFERROR(VLOOKUP(Товары_исходные!G448,Справочники!$D$2:$E$50,2,FALSE),"шт.")</f>
        <v>шт.</v>
      </c>
      <c r="H448" t="str">
        <f t="shared" si="16"/>
        <v>OK</v>
      </c>
      <c r="I448" t="str">
        <f t="shared" si="17"/>
        <v>OK</v>
      </c>
    </row>
    <row r="449">
      <c r="A449" t="str">
        <f>"АРТ-"&amp;LEFT(SUBSTITUTE(SUBSTITUTE(SUBSTITUTE(SUBSTITUTE(Товары_исходные!A449,"№",""),"АРТ-",""),"АРТ_",""),"/","-"),3)</f>
        <v>АРТ-448</v>
      </c>
      <c r="B449" t="str">
        <f>PROPER(TRIM(IFERROR(LEFT(Товары_исходные!B449,FIND("(",Товары_исходные!B449)-1),Товары_исходные!B449)))</f>
        <v xml:space="preserve">Телевизор Philips 50Pus8507</v>
      </c>
      <c r="C449" t="str">
        <f>IFERROR(VLOOKUP(Товары_исходные!C449,Справочники!$A$2:$B$50,2,FALSE),Товары_исходные!C449)</f>
        <v>Телевизоры</v>
      </c>
      <c r="D449" t="str">
        <f>PROPER(TRIM(Товары_исходные!D449))</f>
        <v>Philips</v>
      </c>
      <c r="E449" s="4">
        <f>IFERROR(VALUE(IF(AND(ISNUMBER(FIND(",",Товары_исходные!E449)),ISNUMBER(FIND(".",Товары_исходные!E449))),SUBSTITUTE(SUBSTITUTE(SUBSTITUTE(SUBSTITUTE(Товары_исходные!E449," ",""),"руб.",""),"руб",""),",",""),SUBSTITUTE(SUBSTITUTE(SUBSTITUTE(SUBSTITUTE(Товары_исходные!E449," ",""),"руб.",""),"руб",""),",","."))),0)</f>
        <v>48000</v>
      </c>
      <c r="F449" s="4">
        <f>IFERROR(VALUE(IF(AND(ISNUMBER(FIND(",",Товары_исходные!F449)),ISNUMBER(FIND(".",Товары_исходные!F449))),SUBSTITUTE(SUBSTITUTE(SUBSTITUTE(SUBSTITUTE(Товары_исходные!F449," ",""),"руб.",""),"руб",""),",",""),SUBSTITUTE(SUBSTITUTE(SUBSTITUTE(SUBSTITUTE(Товары_исходные!F449," ",""),"руб.",""),"руб",""),",","."))),0)</f>
        <v>73990</v>
      </c>
      <c r="G449" t="str">
        <f>IFERROR(VLOOKUP(Товары_исходные!G449,Справочники!$D$2:$E$50,2,FALSE),"шт.")</f>
        <v>шт.</v>
      </c>
      <c r="H449" t="str">
        <f t="shared" si="16"/>
        <v>OK</v>
      </c>
      <c r="I449" t="str">
        <f t="shared" si="17"/>
        <v>OK</v>
      </c>
    </row>
    <row r="450">
      <c r="A450" t="str">
        <f>"АРТ-"&amp;LEFT(SUBSTITUTE(SUBSTITUTE(SUBSTITUTE(SUBSTITUTE(Товары_исходные!A450,"№",""),"АРТ-",""),"АРТ_",""),"/","-"),3)</f>
        <v>АРТ-449</v>
      </c>
      <c r="B450" t="str">
        <f>PROPER(TRIM(IFERROR(LEFT(Товары_исходные!B450,FIND("(",Товары_исходные!B450)-1),Товары_исходные!B450)))</f>
        <v xml:space="preserve">Телевизор Philips 50Pus8507</v>
      </c>
      <c r="C450" t="str">
        <f>IFERROR(VLOOKUP(Товары_исходные!C450,Справочники!$A$2:$B$50,2,FALSE),Товары_исходные!C450)</f>
        <v>Телевизоры</v>
      </c>
      <c r="D450" t="str">
        <f>PROPER(TRIM(Товары_исходные!D450))</f>
        <v>Philips</v>
      </c>
      <c r="E450" s="4">
        <f>IFERROR(VALUE(IF(AND(ISNUMBER(FIND(",",Товары_исходные!E450)),ISNUMBER(FIND(".",Товары_исходные!E450))),SUBSTITUTE(SUBSTITUTE(SUBSTITUTE(SUBSTITUTE(Товары_исходные!E450," ",""),"руб.",""),"руб",""),",",""),SUBSTITUTE(SUBSTITUTE(SUBSTITUTE(SUBSTITUTE(Товары_исходные!E450," ",""),"руб.",""),"руб",""),",","."))),0)</f>
        <v>46500</v>
      </c>
      <c r="F450" s="4">
        <f>IFERROR(VALUE(IF(AND(ISNUMBER(FIND(",",Товары_исходные!F450)),ISNUMBER(FIND(".",Товары_исходные!F450))),SUBSTITUTE(SUBSTITUTE(SUBSTITUTE(SUBSTITUTE(Товары_исходные!F450," ",""),"руб.",""),"руб",""),",",""),SUBSTITUTE(SUBSTITUTE(SUBSTITUTE(SUBSTITUTE(Товары_исходные!F450," ",""),"руб.",""),"руб",""),",","."))),0)</f>
        <v>71500</v>
      </c>
      <c r="G450" t="str">
        <f>IFERROR(VLOOKUP(Товары_исходные!G450,Справочники!$D$2:$E$50,2,FALSE),"шт.")</f>
        <v>шт.</v>
      </c>
      <c r="H450" t="str">
        <f t="shared" si="16"/>
        <v>OK</v>
      </c>
      <c r="I450" t="str">
        <f t="shared" si="17"/>
        <v>OK</v>
      </c>
    </row>
    <row r="451">
      <c r="A451" t="str">
        <f>"АРТ-"&amp;LEFT(SUBSTITUTE(SUBSTITUTE(SUBSTITUTE(SUBSTITUTE(Товары_исходные!A451,"№",""),"АРТ-",""),"АРТ_",""),"/","-"),3)</f>
        <v>АРТ-450</v>
      </c>
      <c r="B451" t="str">
        <f>PROPER(TRIM(IFERROR(LEFT(Товары_исходные!B451,FIND("(",Товары_исходные!B451)-1),Товары_исходные!B451)))</f>
        <v xml:space="preserve">Телевизор Philips 50Pus8507</v>
      </c>
      <c r="C451" t="str">
        <f>IFERROR(VLOOKUP(Товары_исходные!C451,Справочники!$A$2:$B$50,2,FALSE),Товары_исходные!C451)</f>
        <v>Телевизоры</v>
      </c>
      <c r="D451" t="str">
        <f>PROPER(TRIM(Товары_исходные!D451))</f>
        <v>Philips</v>
      </c>
      <c r="E451" s="4">
        <f>IFERROR(VALUE(IF(AND(ISNUMBER(FIND(",",Товары_исходные!E451)),ISNUMBER(FIND(".",Товары_исходные!E451))),SUBSTITUTE(SUBSTITUTE(SUBSTITUTE(SUBSTITUTE(Товары_исходные!E451," ",""),"руб.",""),"руб",""),",",""),SUBSTITUTE(SUBSTITUTE(SUBSTITUTE(SUBSTITUTE(Товары_исходные!E451," ",""),"руб.",""),"руб",""),",","."))),0)</f>
        <v>49500</v>
      </c>
      <c r="F451" s="4">
        <f>IFERROR(VALUE(IF(AND(ISNUMBER(FIND(",",Товары_исходные!F451)),ISNUMBER(FIND(".",Товары_исходные!F451))),SUBSTITUTE(SUBSTITUTE(SUBSTITUTE(SUBSTITUTE(Товары_исходные!F451," ",""),"руб.",""),"руб",""),",",""),SUBSTITUTE(SUBSTITUTE(SUBSTITUTE(SUBSTITUTE(Товары_исходные!F451," ",""),"руб.",""),"руб",""),",","."))),0)</f>
        <v>76500</v>
      </c>
      <c r="G451" t="str">
        <f>IFERROR(VLOOKUP(Товары_исходные!G451,Справочники!$D$2:$E$50,2,FALSE),"шт.")</f>
        <v>шт.</v>
      </c>
      <c r="H451" t="str">
        <f t="shared" si="16"/>
        <v>OK</v>
      </c>
      <c r="I451" t="str">
        <f t="shared" si="17"/>
        <v>OK</v>
      </c>
    </row>
    <row r="452">
      <c r="A452" t="str">
        <f>"АРТ-"&amp;LEFT(SUBSTITUTE(SUBSTITUTE(SUBSTITUTE(SUBSTITUTE(Товары_исходные!A452,"№",""),"АРТ-",""),"АРТ_",""),"/","-"),3)</f>
        <v>АРТ-451</v>
      </c>
      <c r="B452" t="str">
        <f>PROPER(TRIM(IFERROR(LEFT(Товары_исходные!B452,FIND("(",Товары_исходные!B452)-1),Товары_исходные!B452)))</f>
        <v xml:space="preserve">Наушники Apple Airpods Max</v>
      </c>
      <c r="C452" t="str">
        <f>IFERROR(VLOOKUP(Товары_исходные!C452,Справочники!$A$2:$B$50,2,FALSE),Товары_исходные!C452)</f>
        <v>Наушники</v>
      </c>
      <c r="D452" t="str">
        <f>PROPER(TRIM(Товары_исходные!D452))</f>
        <v>Apple</v>
      </c>
      <c r="E452" s="4">
        <f>IFERROR(VALUE(IF(AND(ISNUMBER(FIND(",",Товары_исходные!E452)),ISNUMBER(FIND(".",Товары_исходные!E452))),SUBSTITUTE(SUBSTITUTE(SUBSTITUTE(SUBSTITUTE(Товары_исходные!E452," ",""),"руб.",""),"руб",""),",",""),SUBSTITUTE(SUBSTITUTE(SUBSTITUTE(SUBSTITUTE(Товары_исходные!E452," ",""),"руб.",""),"руб",""),",","."))),0)</f>
        <v>25000</v>
      </c>
      <c r="F452" s="4">
        <f>IFERROR(VALUE(IF(AND(ISNUMBER(FIND(",",Товары_исходные!F452)),ISNUMBER(FIND(".",Товары_исходные!F452))),SUBSTITUTE(SUBSTITUTE(SUBSTITUTE(SUBSTITUTE(Товары_исходные!F452," ",""),"руб.",""),"руб",""),",",""),SUBSTITUTE(SUBSTITUTE(SUBSTITUTE(SUBSTITUTE(Товары_исходные!F452," ",""),"руб.",""),"руб",""),",","."))),0)</f>
        <v>39990</v>
      </c>
      <c r="G452" t="str">
        <f>IFERROR(VLOOKUP(Товары_исходные!G452,Справочники!$D$2:$E$50,2,FALSE),"шт.")</f>
        <v>шт.</v>
      </c>
      <c r="H452" t="str">
        <f t="shared" si="16"/>
        <v>OK</v>
      </c>
      <c r="I452" t="str">
        <f t="shared" si="17"/>
        <v>OK</v>
      </c>
    </row>
    <row r="453">
      <c r="A453" t="str">
        <f>"АРТ-"&amp;LEFT(SUBSTITUTE(SUBSTITUTE(SUBSTITUTE(SUBSTITUTE(Товары_исходные!A453,"№",""),"АРТ-",""),"АРТ_",""),"/","-"),3)</f>
        <v>АРТ-452</v>
      </c>
      <c r="B453" t="str">
        <f>PROPER(TRIM(IFERROR(LEFT(Товары_исходные!B453,FIND("(",Товары_исходные!B453)-1),Товары_исходные!B453)))</f>
        <v xml:space="preserve">Наушники Apple Airpods Max</v>
      </c>
      <c r="C453" t="str">
        <f>IFERROR(VLOOKUP(Товары_исходные!C453,Справочники!$A$2:$B$50,2,FALSE),Товары_исходные!C453)</f>
        <v>Наушники</v>
      </c>
      <c r="D453" t="str">
        <f>PROPER(TRIM(Товары_исходные!D453))</f>
        <v>Apple</v>
      </c>
      <c r="E453" s="4">
        <f>IFERROR(VALUE(IF(AND(ISNUMBER(FIND(",",Товары_исходные!E453)),ISNUMBER(FIND(".",Товары_исходные!E453))),SUBSTITUTE(SUBSTITUTE(SUBSTITUTE(SUBSTITUTE(Товары_исходные!E453," ",""),"руб.",""),"руб",""),",",""),SUBSTITUTE(SUBSTITUTE(SUBSTITUTE(SUBSTITUTE(Товары_исходные!E453," ",""),"руб.",""),"руб",""),",","."))),0)</f>
        <v>24000</v>
      </c>
      <c r="F453" s="4">
        <f>IFERROR(VALUE(IF(AND(ISNUMBER(FIND(",",Товары_исходные!F453)),ISNUMBER(FIND(".",Товары_исходные!F453))),SUBSTITUTE(SUBSTITUTE(SUBSTITUTE(SUBSTITUTE(Товары_исходные!F453," ",""),"руб.",""),"руб",""),",",""),SUBSTITUTE(SUBSTITUTE(SUBSTITUTE(SUBSTITUTE(Товары_исходные!F453," ",""),"руб.",""),"руб",""),",","."))),0)</f>
        <v>38500</v>
      </c>
      <c r="G453" t="str">
        <f>IFERROR(VLOOKUP(Товары_исходные!G453,Справочники!$D$2:$E$50,2,FALSE),"шт.")</f>
        <v>шт.</v>
      </c>
      <c r="H453" t="str">
        <f t="shared" si="16"/>
        <v>OK</v>
      </c>
      <c r="I453" t="str">
        <f t="shared" si="17"/>
        <v>OK</v>
      </c>
    </row>
    <row r="454">
      <c r="A454" t="str">
        <f>"АРТ-"&amp;LEFT(SUBSTITUTE(SUBSTITUTE(SUBSTITUTE(SUBSTITUTE(Товары_исходные!A454,"№",""),"АРТ-",""),"АРТ_",""),"/","-"),3)</f>
        <v>АРТ-453</v>
      </c>
      <c r="B454" t="str">
        <f>PROPER(TRIM(IFERROR(LEFT(Товары_исходные!B454,FIND("(",Товары_исходные!B454)-1),Товары_исходные!B454)))</f>
        <v xml:space="preserve">Наушники Apple Airpods Max</v>
      </c>
      <c r="C454" t="str">
        <f>IFERROR(VLOOKUP(Товары_исходные!C454,Справочники!$A$2:$B$50,2,FALSE),Товары_исходные!C454)</f>
        <v>Наушники</v>
      </c>
      <c r="D454" t="str">
        <f>PROPER(TRIM(Товары_исходные!D454))</f>
        <v>Apple</v>
      </c>
      <c r="E454" s="4">
        <f>IFERROR(VALUE(IF(AND(ISNUMBER(FIND(",",Товары_исходные!E454)),ISNUMBER(FIND(".",Товары_исходные!E454))),SUBSTITUTE(SUBSTITUTE(SUBSTITUTE(SUBSTITUTE(Товары_исходные!E454," ",""),"руб.",""),"руб",""),",",""),SUBSTITUTE(SUBSTITUTE(SUBSTITUTE(SUBSTITUTE(Товары_исходные!E454," ",""),"руб.",""),"руб",""),",","."))),0)</f>
        <v>26000</v>
      </c>
      <c r="F454" s="4">
        <f>IFERROR(VALUE(IF(AND(ISNUMBER(FIND(",",Товары_исходные!F454)),ISNUMBER(FIND(".",Товары_исходные!F454))),SUBSTITUTE(SUBSTITUTE(SUBSTITUTE(SUBSTITUTE(Товары_исходные!F454," ",""),"руб.",""),"руб",""),",",""),SUBSTITUTE(SUBSTITUTE(SUBSTITUTE(SUBSTITUTE(Товары_исходные!F454," ",""),"руб.",""),"руб",""),",","."))),0)</f>
        <v>41500</v>
      </c>
      <c r="G454" t="str">
        <f>IFERROR(VLOOKUP(Товары_исходные!G454,Справочники!$D$2:$E$50,2,FALSE),"шт.")</f>
        <v>шт.</v>
      </c>
      <c r="H454" t="str">
        <f t="shared" si="16"/>
        <v>OK</v>
      </c>
      <c r="I454" t="str">
        <f t="shared" si="17"/>
        <v>OK</v>
      </c>
    </row>
    <row r="455">
      <c r="A455" t="str">
        <f>"АРТ-"&amp;LEFT(SUBSTITUTE(SUBSTITUTE(SUBSTITUTE(SUBSTITUTE(Товары_исходные!A455,"№",""),"АРТ-",""),"АРТ_",""),"/","-"),3)</f>
        <v>АРТ-454</v>
      </c>
      <c r="B455" t="str">
        <f>PROPER(TRIM(IFERROR(LEFT(Товары_исходные!B455,FIND("(",Товары_исходные!B455)-1),Товары_исходные!B455)))</f>
        <v xml:space="preserve">Монитор Samsung Odyssey G7</v>
      </c>
      <c r="C455" t="str">
        <f>IFERROR(VLOOKUP(Товары_исходные!C455,Справочники!$A$2:$B$50,2,FALSE),Товары_исходные!C455)</f>
        <v>Мониторы</v>
      </c>
      <c r="D455" t="str">
        <f>PROPER(TRIM(Товары_исходные!D455))</f>
        <v>Samsung</v>
      </c>
      <c r="E455" s="4">
        <f>IFERROR(VALUE(IF(AND(ISNUMBER(FIND(",",Товары_исходные!E455)),ISNUMBER(FIND(".",Товары_исходные!E455))),SUBSTITUTE(SUBSTITUTE(SUBSTITUTE(SUBSTITUTE(Товары_исходные!E455," ",""),"руб.",""),"руб",""),",",""),SUBSTITUTE(SUBSTITUTE(SUBSTITUTE(SUBSTITUTE(Товары_исходные!E455," ",""),"руб.",""),"руб",""),",","."))),0)</f>
        <v>48000</v>
      </c>
      <c r="F455" s="4">
        <f>IFERROR(VALUE(IF(AND(ISNUMBER(FIND(",",Товары_исходные!F455)),ISNUMBER(FIND(".",Товары_исходные!F455))),SUBSTITUTE(SUBSTITUTE(SUBSTITUTE(SUBSTITUTE(Товары_исходные!F455," ",""),"руб.",""),"руб",""),",",""),SUBSTITUTE(SUBSTITUTE(SUBSTITUTE(SUBSTITUTE(Товары_исходные!F455," ",""),"руб.",""),"руб",""),",","."))),0)</f>
        <v>74990</v>
      </c>
      <c r="G455" t="str">
        <f>IFERROR(VLOOKUP(Товары_исходные!G455,Справочники!$D$2:$E$50,2,FALSE),"шт.")</f>
        <v>шт.</v>
      </c>
      <c r="H455" t="str">
        <f t="shared" si="16"/>
        <v>OK</v>
      </c>
      <c r="I455" t="str">
        <f t="shared" si="17"/>
        <v>OK</v>
      </c>
    </row>
    <row r="456">
      <c r="A456" t="str">
        <f>"АРТ-"&amp;LEFT(SUBSTITUTE(SUBSTITUTE(SUBSTITUTE(SUBSTITUTE(Товары_исходные!A456,"№",""),"АРТ-",""),"АРТ_",""),"/","-"),3)</f>
        <v>АРТ-455</v>
      </c>
      <c r="B456" t="str">
        <f>PROPER(TRIM(IFERROR(LEFT(Товары_исходные!B456,FIND("(",Товары_исходные!B456)-1),Товары_исходные!B456)))</f>
        <v xml:space="preserve">Монитор Samsung Odyssey G7</v>
      </c>
      <c r="C456" t="str">
        <f>IFERROR(VLOOKUP(Товары_исходные!C456,Справочники!$A$2:$B$50,2,FALSE),Товары_исходные!C456)</f>
        <v>Мониторы</v>
      </c>
      <c r="D456" t="str">
        <f>PROPER(TRIM(Товары_исходные!D456))</f>
        <v>Samsung</v>
      </c>
      <c r="E456" s="4">
        <f>IFERROR(VALUE(IF(AND(ISNUMBER(FIND(",",Товары_исходные!E456)),ISNUMBER(FIND(".",Товары_исходные!E456))),SUBSTITUTE(SUBSTITUTE(SUBSTITUTE(SUBSTITUTE(Товары_исходные!E456," ",""),"руб.",""),"руб",""),",",""),SUBSTITUTE(SUBSTITUTE(SUBSTITUTE(SUBSTITUTE(Товары_исходные!E456," ",""),"руб.",""),"руб",""),",","."))),0)</f>
        <v>46500</v>
      </c>
      <c r="F456" s="4">
        <f>IFERROR(VALUE(IF(AND(ISNUMBER(FIND(",",Товары_исходные!F456)),ISNUMBER(FIND(".",Товары_исходные!F456))),SUBSTITUTE(SUBSTITUTE(SUBSTITUTE(SUBSTITUTE(Товары_исходные!F456," ",""),"руб.",""),"руб",""),",",""),SUBSTITUTE(SUBSTITUTE(SUBSTITUTE(SUBSTITUTE(Товары_исходные!F456," ",""),"руб.",""),"руб",""),",","."))),0)</f>
        <v>72000</v>
      </c>
      <c r="G456" t="str">
        <f>IFERROR(VLOOKUP(Товары_исходные!G456,Справочники!$D$2:$E$50,2,FALSE),"шт.")</f>
        <v>шт.</v>
      </c>
      <c r="H456" t="str">
        <f t="shared" si="16"/>
        <v>OK</v>
      </c>
      <c r="I456" t="str">
        <f t="shared" si="17"/>
        <v>OK</v>
      </c>
    </row>
    <row r="457">
      <c r="A457" t="str">
        <f>"АРТ-"&amp;LEFT(SUBSTITUTE(SUBSTITUTE(SUBSTITUTE(SUBSTITUTE(Товары_исходные!A457,"№",""),"АРТ-",""),"АРТ_",""),"/","-"),3)</f>
        <v>АРТ-456</v>
      </c>
      <c r="B457" t="str">
        <f>PROPER(TRIM(IFERROR(LEFT(Товары_исходные!B457,FIND("(",Товары_исходные!B457)-1),Товары_исходные!B457)))</f>
        <v xml:space="preserve">Монитор Samsung Odyssey G7</v>
      </c>
      <c r="C457" t="str">
        <f>IFERROR(VLOOKUP(Товары_исходные!C457,Справочники!$A$2:$B$50,2,FALSE),Товары_исходные!C457)</f>
        <v>Мониторы</v>
      </c>
      <c r="D457" t="str">
        <f>PROPER(TRIM(Товары_исходные!D457))</f>
        <v>Samsung</v>
      </c>
      <c r="E457" s="4">
        <f>IFERROR(VALUE(IF(AND(ISNUMBER(FIND(",",Товары_исходные!E457)),ISNUMBER(FIND(".",Товары_исходные!E457))),SUBSTITUTE(SUBSTITUTE(SUBSTITUTE(SUBSTITUTE(Товары_исходные!E457," ",""),"руб.",""),"руб",""),",",""),SUBSTITUTE(SUBSTITUTE(SUBSTITUTE(SUBSTITUTE(Товары_исходные!E457," ",""),"руб.",""),"руб",""),",","."))),0)</f>
        <v>49500</v>
      </c>
      <c r="F457" s="4">
        <f>IFERROR(VALUE(IF(AND(ISNUMBER(FIND(",",Товары_исходные!F457)),ISNUMBER(FIND(".",Товары_исходные!F457))),SUBSTITUTE(SUBSTITUTE(SUBSTITUTE(SUBSTITUTE(Товары_исходные!F457," ",""),"руб.",""),"руб",""),",",""),SUBSTITUTE(SUBSTITUTE(SUBSTITUTE(SUBSTITUTE(Товары_исходные!F457," ",""),"руб.",""),"руб",""),",","."))),0)</f>
        <v>77500</v>
      </c>
      <c r="G457" t="str">
        <f>IFERROR(VLOOKUP(Товары_исходные!G457,Справочники!$D$2:$E$50,2,FALSE),"шт.")</f>
        <v>шт.</v>
      </c>
      <c r="H457" t="str">
        <f t="shared" si="16"/>
        <v>OK</v>
      </c>
      <c r="I457" t="str">
        <f t="shared" si="17"/>
        <v>OK</v>
      </c>
    </row>
    <row r="458">
      <c r="A458" t="str">
        <f>"АРТ-"&amp;LEFT(SUBSTITUTE(SUBSTITUTE(SUBSTITUTE(SUBSTITUTE(Товары_исходные!A458,"№",""),"АРТ-",""),"АРТ_",""),"/","-"),3)</f>
        <v>АРТ-457</v>
      </c>
      <c r="B458" t="str">
        <f>PROPER(TRIM(IFERROR(LEFT(Товары_исходные!B458,FIND("(",Товары_исходные!B458)-1),Товары_исходные!B458)))</f>
        <v xml:space="preserve">Клавиатура Ducky One 2 Mini</v>
      </c>
      <c r="C458" t="str">
        <f>IFERROR(VLOOKUP(Товары_исходные!C458,Справочники!$A$2:$B$50,2,FALSE),Товары_исходные!C458)</f>
        <v>Аксессуары</v>
      </c>
      <c r="D458" t="str">
        <f>PROPER(TRIM(Товары_исходные!D458))</f>
        <v>Ducky</v>
      </c>
      <c r="E458" s="4">
        <f>IFERROR(VALUE(IF(AND(ISNUMBER(FIND(",",Товары_исходные!E458)),ISNUMBER(FIND(".",Товары_исходные!E458))),SUBSTITUTE(SUBSTITUTE(SUBSTITUTE(SUBSTITUTE(Товары_исходные!E458," ",""),"руб.",""),"руб",""),",",""),SUBSTITUTE(SUBSTITUTE(SUBSTITUTE(SUBSTITUTE(Товары_исходные!E458," ",""),"руб.",""),"руб",""),",","."))),0)</f>
        <v>4000</v>
      </c>
      <c r="F458" s="4">
        <f>IFERROR(VALUE(IF(AND(ISNUMBER(FIND(",",Товары_исходные!F458)),ISNUMBER(FIND(".",Товары_исходные!F458))),SUBSTITUTE(SUBSTITUTE(SUBSTITUTE(SUBSTITUTE(Товары_исходные!F458," ",""),"руб.",""),"руб",""),",",""),SUBSTITUTE(SUBSTITUTE(SUBSTITUTE(SUBSTITUTE(Товары_исходные!F458," ",""),"руб.",""),"руб",""),",","."))),0)</f>
        <v>6990</v>
      </c>
      <c r="G458" t="str">
        <f>IFERROR(VLOOKUP(Товары_исходные!G458,Справочники!$D$2:$E$50,2,FALSE),"шт.")</f>
        <v>шт.</v>
      </c>
      <c r="H458" t="str">
        <f t="shared" si="16"/>
        <v>OK</v>
      </c>
      <c r="I458" t="str">
        <f t="shared" si="17"/>
        <v>OK</v>
      </c>
    </row>
    <row r="459">
      <c r="A459" t="str">
        <f>"АРТ-"&amp;LEFT(SUBSTITUTE(SUBSTITUTE(SUBSTITUTE(SUBSTITUTE(Товары_исходные!A459,"№",""),"АРТ-",""),"АРТ_",""),"/","-"),3)</f>
        <v>АРТ-458</v>
      </c>
      <c r="B459" t="str">
        <f>PROPER(TRIM(IFERROR(LEFT(Товары_исходные!B459,FIND("(",Товары_исходные!B459)-1),Товары_исходные!B459)))</f>
        <v xml:space="preserve">Клавиатура Ducky One 2 Mini</v>
      </c>
      <c r="C459" t="str">
        <f>IFERROR(VLOOKUP(Товары_исходные!C459,Справочники!$A$2:$B$50,2,FALSE),Товары_исходные!C459)</f>
        <v>Аксессуары</v>
      </c>
      <c r="D459" t="str">
        <f>PROPER(TRIM(Товары_исходные!D459))</f>
        <v>Ducky</v>
      </c>
      <c r="E459" s="4">
        <f>IFERROR(VALUE(IF(AND(ISNUMBER(FIND(",",Товары_исходные!E459)),ISNUMBER(FIND(".",Товары_исходные!E459))),SUBSTITUTE(SUBSTITUTE(SUBSTITUTE(SUBSTITUTE(Товары_исходные!E459," ",""),"руб.",""),"руб",""),",",""),SUBSTITUTE(SUBSTITUTE(SUBSTITUTE(SUBSTITUTE(Товары_исходные!E459," ",""),"руб.",""),"руб",""),",","."))),0)</f>
        <v>3500</v>
      </c>
      <c r="F459" s="4">
        <f>IFERROR(VALUE(IF(AND(ISNUMBER(FIND(",",Товары_исходные!F459)),ISNUMBER(FIND(".",Товары_исходные!F459))),SUBSTITUTE(SUBSTITUTE(SUBSTITUTE(SUBSTITUTE(Товары_исходные!F459," ",""),"руб.",""),"руб",""),",",""),SUBSTITUTE(SUBSTITUTE(SUBSTITUTE(SUBSTITUTE(Товары_исходные!F459," ",""),"руб.",""),"руб",""),",","."))),0)</f>
        <v>6500</v>
      </c>
      <c r="G459" t="str">
        <f>IFERROR(VLOOKUP(Товары_исходные!G459,Справочники!$D$2:$E$50,2,FALSE),"шт.")</f>
        <v>шт.</v>
      </c>
      <c r="H459" t="str">
        <f t="shared" si="16"/>
        <v>OK</v>
      </c>
      <c r="I459" t="str">
        <f t="shared" si="17"/>
        <v>OK</v>
      </c>
    </row>
    <row r="460">
      <c r="A460" t="str">
        <f>"АРТ-"&amp;LEFT(SUBSTITUTE(SUBSTITUTE(SUBSTITUTE(SUBSTITUTE(Товары_исходные!A460,"№",""),"АРТ-",""),"АРТ_",""),"/","-"),3)</f>
        <v>АРТ-459</v>
      </c>
      <c r="B460" t="str">
        <f>PROPER(TRIM(IFERROR(LEFT(Товары_исходные!B460,FIND("(",Товары_исходные!B460)-1),Товары_исходные!B460)))</f>
        <v xml:space="preserve">Клавиатура Ducky One 2 Mini</v>
      </c>
      <c r="C460" t="str">
        <f>IFERROR(VLOOKUP(Товары_исходные!C460,Справочники!$A$2:$B$50,2,FALSE),Товары_исходные!C460)</f>
        <v>Аксессуары</v>
      </c>
      <c r="D460" t="str">
        <f>PROPER(TRIM(Товары_исходные!D460))</f>
        <v>Ducky</v>
      </c>
      <c r="E460" s="4">
        <f>IFERROR(VALUE(IF(AND(ISNUMBER(FIND(",",Товары_исходные!E460)),ISNUMBER(FIND(".",Товары_исходные!E460))),SUBSTITUTE(SUBSTITUTE(SUBSTITUTE(SUBSTITUTE(Товары_исходные!E460," ",""),"руб.",""),"руб",""),",",""),SUBSTITUTE(SUBSTITUTE(SUBSTITUTE(SUBSTITUTE(Товары_исходные!E460," ",""),"руб.",""),"руб",""),",","."))),0)</f>
        <v>4500</v>
      </c>
      <c r="F460" s="4">
        <f>IFERROR(VALUE(IF(AND(ISNUMBER(FIND(",",Товары_исходные!F460)),ISNUMBER(FIND(".",Товары_исходные!F460))),SUBSTITUTE(SUBSTITUTE(SUBSTITUTE(SUBSTITUTE(Товары_исходные!F460," ",""),"руб.",""),"руб",""),",",""),SUBSTITUTE(SUBSTITUTE(SUBSTITUTE(SUBSTITUTE(Товары_исходные!F460," ",""),"руб.",""),"руб",""),",","."))),0)</f>
        <v>7800</v>
      </c>
      <c r="G460" t="str">
        <f>IFERROR(VLOOKUP(Товары_исходные!G460,Справочники!$D$2:$E$50,2,FALSE),"шт.")</f>
        <v>шт.</v>
      </c>
      <c r="H460" t="str">
        <f t="shared" si="16"/>
        <v>OK</v>
      </c>
      <c r="I460" t="str">
        <f t="shared" si="17"/>
        <v>OK</v>
      </c>
    </row>
    <row r="461">
      <c r="A461" t="str">
        <f>"АРТ-"&amp;LEFT(SUBSTITUTE(SUBSTITUTE(SUBSTITUTE(SUBSTITUTE(Товары_исходные!A461,"№",""),"АРТ-",""),"АРТ_",""),"/","-"),3)</f>
        <v>АРТ-460</v>
      </c>
      <c r="B461" t="str">
        <f>PROPER(TRIM(IFERROR(LEFT(Товары_исходные!B461,FIND("(",Товары_исходные!B461)-1),Товары_исходные!B461)))</f>
        <v xml:space="preserve">Смарт-Часы Garmin Instinct 2</v>
      </c>
      <c r="C461" t="str">
        <f>IFERROR(VLOOKUP(Товары_исходные!C461,Справочники!$A$2:$B$50,2,FALSE),Товары_исходные!C461)</f>
        <v>Часы</v>
      </c>
      <c r="D461" t="str">
        <f>PROPER(TRIM(Товары_исходные!D461))</f>
        <v>Garmin</v>
      </c>
      <c r="E461" s="4">
        <f>IFERROR(VALUE(IF(AND(ISNUMBER(FIND(",",Товары_исходные!E461)),ISNUMBER(FIND(".",Товары_исходные!E461))),SUBSTITUTE(SUBSTITUTE(SUBSTITUTE(SUBSTITUTE(Товары_исходные!E461," ",""),"руб.",""),"руб",""),",",""),SUBSTITUTE(SUBSTITUTE(SUBSTITUTE(SUBSTITUTE(Товары_исходные!E461," ",""),"руб.",""),"руб",""),",","."))),0)</f>
        <v>30000</v>
      </c>
      <c r="F461" s="4">
        <f>IFERROR(VALUE(IF(AND(ISNUMBER(FIND(",",Товары_исходные!F461)),ISNUMBER(FIND(".",Товары_исходные!F461))),SUBSTITUTE(SUBSTITUTE(SUBSTITUTE(SUBSTITUTE(Товары_исходные!F461," ",""),"руб.",""),"руб",""),",",""),SUBSTITUTE(SUBSTITUTE(SUBSTITUTE(SUBSTITUTE(Товары_исходные!F461," ",""),"руб.",""),"руб",""),",","."))),0)</f>
        <v>47990</v>
      </c>
      <c r="G461" t="str">
        <f>IFERROR(VLOOKUP(Товары_исходные!G461,Справочники!$D$2:$E$50,2,FALSE),"шт.")</f>
        <v>шт.</v>
      </c>
      <c r="H461" t="str">
        <f t="shared" si="16"/>
        <v>OK</v>
      </c>
      <c r="I461" t="str">
        <f t="shared" si="17"/>
        <v>OK</v>
      </c>
    </row>
    <row r="462">
      <c r="A462" t="str">
        <f>"АРТ-"&amp;LEFT(SUBSTITUTE(SUBSTITUTE(SUBSTITUTE(SUBSTITUTE(Товары_исходные!A462,"№",""),"АРТ-",""),"АРТ_",""),"/","-"),3)</f>
        <v>АРТ-461</v>
      </c>
      <c r="B462" t="str">
        <f>PROPER(TRIM(IFERROR(LEFT(Товары_исходные!B462,FIND("(",Товары_исходные!B462)-1),Товары_исходные!B462)))</f>
        <v xml:space="preserve">Смарт-Часы Garmin Instinct 2</v>
      </c>
      <c r="C462" t="str">
        <f>IFERROR(VLOOKUP(Товары_исходные!C462,Справочники!$A$2:$B$50,2,FALSE),Товары_исходные!C462)</f>
        <v>Часы</v>
      </c>
      <c r="D462" t="str">
        <f>PROPER(TRIM(Товары_исходные!D462))</f>
        <v>Garmin</v>
      </c>
      <c r="E462" s="4">
        <f>IFERROR(VALUE(IF(AND(ISNUMBER(FIND(",",Товары_исходные!E462)),ISNUMBER(FIND(".",Товары_исходные!E462))),SUBSTITUTE(SUBSTITUTE(SUBSTITUTE(SUBSTITUTE(Товары_исходные!E462," ",""),"руб.",""),"руб",""),",",""),SUBSTITUTE(SUBSTITUTE(SUBSTITUTE(SUBSTITUTE(Товары_исходные!E462," ",""),"руб.",""),"руб",""),",","."))),0)</f>
        <v>28500</v>
      </c>
      <c r="F462" s="4">
        <f>IFERROR(VALUE(IF(AND(ISNUMBER(FIND(",",Товары_исходные!F462)),ISNUMBER(FIND(".",Товары_исходные!F462))),SUBSTITUTE(SUBSTITUTE(SUBSTITUTE(SUBSTITUTE(Товары_исходные!F462," ",""),"руб.",""),"руб",""),",",""),SUBSTITUTE(SUBSTITUTE(SUBSTITUTE(SUBSTITUTE(Товары_исходные!F462," ",""),"руб.",""),"руб",""),",","."))),0)</f>
        <v>46000</v>
      </c>
      <c r="G462" t="str">
        <f>IFERROR(VLOOKUP(Товары_исходные!G462,Справочники!$D$2:$E$50,2,FALSE),"шт.")</f>
        <v>шт.</v>
      </c>
      <c r="H462" t="str">
        <f t="shared" si="16"/>
        <v>OK</v>
      </c>
      <c r="I462" t="str">
        <f t="shared" si="17"/>
        <v>OK</v>
      </c>
    </row>
    <row r="463">
      <c r="A463" t="str">
        <f>"АРТ-"&amp;LEFT(SUBSTITUTE(SUBSTITUTE(SUBSTITUTE(SUBSTITUTE(Товары_исходные!A463,"№",""),"АРТ-",""),"АРТ_",""),"/","-"),3)</f>
        <v>АРТ-462</v>
      </c>
      <c r="B463" t="str">
        <f>PROPER(TRIM(IFERROR(LEFT(Товары_исходные!B463,FIND("(",Товары_исходные!B463)-1),Товары_исходные!B463)))</f>
        <v xml:space="preserve">Смарт-Часы Garmin Instinct 2</v>
      </c>
      <c r="C463" t="str">
        <f>IFERROR(VLOOKUP(Товары_исходные!C463,Справочники!$A$2:$B$50,2,FALSE),Товары_исходные!C463)</f>
        <v>Часы</v>
      </c>
      <c r="D463" t="str">
        <f>PROPER(TRIM(Товары_исходные!D463))</f>
        <v>Garmin</v>
      </c>
      <c r="E463" s="4">
        <f>IFERROR(VALUE(IF(AND(ISNUMBER(FIND(",",Товары_исходные!E463)),ISNUMBER(FIND(".",Товары_исходные!E463))),SUBSTITUTE(SUBSTITUTE(SUBSTITUTE(SUBSTITUTE(Товары_исходные!E463," ",""),"руб.",""),"руб",""),",",""),SUBSTITUTE(SUBSTITUTE(SUBSTITUTE(SUBSTITUTE(Товары_исходные!E463," ",""),"руб.",""),"руб",""),",","."))),0)</f>
        <v>31500</v>
      </c>
      <c r="F463" s="4">
        <f>IFERROR(VALUE(IF(AND(ISNUMBER(FIND(",",Товары_исходные!F463)),ISNUMBER(FIND(".",Товары_исходные!F463))),SUBSTITUTE(SUBSTITUTE(SUBSTITUTE(SUBSTITUTE(Товары_исходные!F463," ",""),"руб.",""),"руб",""),",",""),SUBSTITUTE(SUBSTITUTE(SUBSTITUTE(SUBSTITUTE(Товары_исходные!F463," ",""),"руб.",""),"руб",""),",","."))),0)</f>
        <v>49500</v>
      </c>
      <c r="G463" t="str">
        <f>IFERROR(VLOOKUP(Товары_исходные!G463,Справочники!$D$2:$E$50,2,FALSE),"шт.")</f>
        <v>шт.</v>
      </c>
      <c r="H463" t="str">
        <f t="shared" si="16"/>
        <v>OK</v>
      </c>
      <c r="I463" t="str">
        <f t="shared" si="17"/>
        <v>OK</v>
      </c>
    </row>
    <row r="464">
      <c r="A464" t="str">
        <f>"АРТ-"&amp;LEFT(SUBSTITUTE(SUBSTITUTE(SUBSTITUTE(SUBSTITUTE(Товары_исходные!A464,"№",""),"АРТ-",""),"АРТ_",""),"/","-"),3)</f>
        <v>АРТ-463</v>
      </c>
      <c r="B464" t="str">
        <f>PROPER(TRIM(IFERROR(LEFT(Товары_исходные!B464,FIND("(",Товары_исходные!B464)-1),Товары_исходные!B464)))</f>
        <v xml:space="preserve">Планшет Amazon Fire Max 11</v>
      </c>
      <c r="C464" t="str">
        <f>IFERROR(VLOOKUP(Товары_исходные!C464,Справочники!$A$2:$B$50,2,FALSE),Товары_исходные!C464)</f>
        <v>Планшеты</v>
      </c>
      <c r="D464" t="str">
        <f>PROPER(TRIM(Товары_исходные!D464))</f>
        <v>Amazon</v>
      </c>
      <c r="E464" s="4">
        <f>IFERROR(VALUE(IF(AND(ISNUMBER(FIND(",",Товары_исходные!E464)),ISNUMBER(FIND(".",Товары_исходные!E464))),SUBSTITUTE(SUBSTITUTE(SUBSTITUTE(SUBSTITUTE(Товары_исходные!E464," ",""),"руб.",""),"руб",""),",",""),SUBSTITUTE(SUBSTITUTE(SUBSTITUTE(SUBSTITUTE(Товары_исходные!E464," ",""),"руб.",""),"руб",""),",","."))),0)</f>
        <v>18000</v>
      </c>
      <c r="F464" s="4">
        <f>IFERROR(VALUE(IF(AND(ISNUMBER(FIND(",",Товары_исходные!F464)),ISNUMBER(FIND(".",Товары_исходные!F464))),SUBSTITUTE(SUBSTITUTE(SUBSTITUTE(SUBSTITUTE(Товары_исходные!F464," ",""),"руб.",""),"руб",""),",",""),SUBSTITUTE(SUBSTITUTE(SUBSTITUTE(SUBSTITUTE(Товары_исходные!F464," ",""),"руб.",""),"руб",""),",","."))),0)</f>
        <v>29990</v>
      </c>
      <c r="G464" t="str">
        <f>IFERROR(VLOOKUP(Товары_исходные!G464,Справочники!$D$2:$E$50,2,FALSE),"шт.")</f>
        <v>шт.</v>
      </c>
      <c r="H464" t="str">
        <f t="shared" si="16"/>
        <v>OK</v>
      </c>
      <c r="I464" t="str">
        <f t="shared" si="17"/>
        <v>OK</v>
      </c>
    </row>
    <row r="465">
      <c r="A465" t="str">
        <f>"АРТ-"&amp;LEFT(SUBSTITUTE(SUBSTITUTE(SUBSTITUTE(SUBSTITUTE(Товары_исходные!A465,"№",""),"АРТ-",""),"АРТ_",""),"/","-"),3)</f>
        <v>АРТ-464</v>
      </c>
      <c r="B465" t="str">
        <f>PROPER(TRIM(IFERROR(LEFT(Товары_исходные!B465,FIND("(",Товары_исходные!B465)-1),Товары_исходные!B465)))</f>
        <v xml:space="preserve">Планшет Amazon Fire Max 11</v>
      </c>
      <c r="C465" t="str">
        <f>IFERROR(VLOOKUP(Товары_исходные!C465,Справочники!$A$2:$B$50,2,FALSE),Товары_исходные!C465)</f>
        <v>Планшеты</v>
      </c>
      <c r="D465" t="str">
        <f>PROPER(TRIM(Товары_исходные!D465))</f>
        <v>Amazon</v>
      </c>
      <c r="E465" s="4">
        <f>IFERROR(VALUE(IF(AND(ISNUMBER(FIND(",",Товары_исходные!E465)),ISNUMBER(FIND(".",Товары_исходные!E465))),SUBSTITUTE(SUBSTITUTE(SUBSTITUTE(SUBSTITUTE(Товары_исходные!E465," ",""),"руб.",""),"руб",""),",",""),SUBSTITUTE(SUBSTITUTE(SUBSTITUTE(SUBSTITUTE(Товары_исходные!E465," ",""),"руб.",""),"руб",""),",","."))),0)</f>
        <v>17000</v>
      </c>
      <c r="F465" s="4">
        <f>IFERROR(VALUE(IF(AND(ISNUMBER(FIND(",",Товары_исходные!F465)),ISNUMBER(FIND(".",Товары_исходные!F465))),SUBSTITUTE(SUBSTITUTE(SUBSTITUTE(SUBSTITUTE(Товары_исходные!F465," ",""),"руб.",""),"руб",""),",",""),SUBSTITUTE(SUBSTITUTE(SUBSTITUTE(SUBSTITUTE(Товары_исходные!F465," ",""),"руб.",""),"руб",""),",","."))),0)</f>
        <v>28500</v>
      </c>
      <c r="G465" t="str">
        <f>IFERROR(VLOOKUP(Товары_исходные!G465,Справочники!$D$2:$E$50,2,FALSE),"шт.")</f>
        <v>шт.</v>
      </c>
      <c r="H465" t="str">
        <f t="shared" si="16"/>
        <v>OK</v>
      </c>
      <c r="I465" t="str">
        <f t="shared" si="17"/>
        <v>OK</v>
      </c>
    </row>
    <row r="466">
      <c r="A466" t="str">
        <f>"АРТ-"&amp;LEFT(SUBSTITUTE(SUBSTITUTE(SUBSTITUTE(SUBSTITUTE(Товары_исходные!A466,"№",""),"АРТ-",""),"АРТ_",""),"/","-"),3)</f>
        <v>АРТ-465</v>
      </c>
      <c r="B466" t="str">
        <f>PROPER(TRIM(IFERROR(LEFT(Товары_исходные!B466,FIND("(",Товары_исходные!B466)-1),Товары_исходные!B466)))</f>
        <v xml:space="preserve">Планшет Amazon Fire Max 11</v>
      </c>
      <c r="C466" t="str">
        <f>IFERROR(VLOOKUP(Товары_исходные!C466,Справочники!$A$2:$B$50,2,FALSE),Товары_исходные!C466)</f>
        <v>Планшеты</v>
      </c>
      <c r="D466" t="str">
        <f>PROPER(TRIM(Товары_исходные!D466))</f>
        <v>Amazon</v>
      </c>
      <c r="E466" s="4">
        <f>IFERROR(VALUE(IF(AND(ISNUMBER(FIND(",",Товары_исходные!E466)),ISNUMBER(FIND(".",Товары_исходные!E466))),SUBSTITUTE(SUBSTITUTE(SUBSTITUTE(SUBSTITUTE(Товары_исходные!E466," ",""),"руб.",""),"руб",""),",",""),SUBSTITUTE(SUBSTITUTE(SUBSTITUTE(SUBSTITUTE(Товары_исходные!E466," ",""),"руб.",""),"руб",""),",","."))),0)</f>
        <v>19000</v>
      </c>
      <c r="F466" s="4">
        <f>IFERROR(VALUE(IF(AND(ISNUMBER(FIND(",",Товары_исходные!F466)),ISNUMBER(FIND(".",Товары_исходные!F466))),SUBSTITUTE(SUBSTITUTE(SUBSTITUTE(SUBSTITUTE(Товары_исходные!F466," ",""),"руб.",""),"руб",""),",",""),SUBSTITUTE(SUBSTITUTE(SUBSTITUTE(SUBSTITUTE(Товары_исходные!F466," ",""),"руб.",""),"руб",""),",","."))),0)</f>
        <v>31500</v>
      </c>
      <c r="G466" t="str">
        <f>IFERROR(VLOOKUP(Товары_исходные!G466,Справочники!$D$2:$E$50,2,FALSE),"шт.")</f>
        <v>шт.</v>
      </c>
      <c r="H466" t="str">
        <f t="shared" si="16"/>
        <v>OK</v>
      </c>
      <c r="I466" t="str">
        <f t="shared" si="17"/>
        <v>OK</v>
      </c>
    </row>
    <row r="467">
      <c r="A467" t="str">
        <f>"АРТ-"&amp;LEFT(SUBSTITUTE(SUBSTITUTE(SUBSTITUTE(SUBSTITUTE(Товары_исходные!A467,"№",""),"АРТ-",""),"АРТ_",""),"/","-"),3)</f>
        <v>АРТ-466</v>
      </c>
      <c r="B467" t="str">
        <f>PROPER(TRIM(IFERROR(LEFT(Товары_исходные!B467,FIND("(",Товары_исходные!B467)-1),Товары_исходные!B467)))</f>
        <v xml:space="preserve">Смартфон Nokia G60</v>
      </c>
      <c r="C467" t="str">
        <f>IFERROR(VLOOKUP(Товары_исходные!C467,Справочники!$A$2:$B$50,2,FALSE),Товары_исходные!C467)</f>
        <v>Смартфоны</v>
      </c>
      <c r="D467" t="str">
        <f>PROPER(TRIM(Товары_исходные!D467))</f>
        <v>Nokia</v>
      </c>
      <c r="E467" s="4">
        <f>IFERROR(VALUE(IF(AND(ISNUMBER(FIND(",",Товары_исходные!E467)),ISNUMBER(FIND(".",Товары_исходные!E467))),SUBSTITUTE(SUBSTITUTE(SUBSTITUTE(SUBSTITUTE(Товары_исходные!E467," ",""),"руб.",""),"руб",""),",",""),SUBSTITUTE(SUBSTITUTE(SUBSTITUTE(SUBSTITUTE(Товары_исходные!E467," ",""),"руб.",""),"руб",""),",","."))),0)</f>
        <v>14000</v>
      </c>
      <c r="F467" s="4">
        <f>IFERROR(VALUE(IF(AND(ISNUMBER(FIND(",",Товары_исходные!F467)),ISNUMBER(FIND(".",Товары_исходные!F467))),SUBSTITUTE(SUBSTITUTE(SUBSTITUTE(SUBSTITUTE(Товары_исходные!F467," ",""),"руб.",""),"руб",""),",",""),SUBSTITUTE(SUBSTITUTE(SUBSTITUTE(SUBSTITUTE(Товары_исходные!F467," ",""),"руб.",""),"руб",""),",","."))),0)</f>
        <v>22990</v>
      </c>
      <c r="G467" t="str">
        <f>IFERROR(VLOOKUP(Товары_исходные!G467,Справочники!$D$2:$E$50,2,FALSE),"шт.")</f>
        <v>шт.</v>
      </c>
      <c r="H467" t="str">
        <f t="shared" si="16"/>
        <v>OK</v>
      </c>
      <c r="I467" t="str">
        <f t="shared" si="17"/>
        <v>OK</v>
      </c>
    </row>
    <row r="468">
      <c r="A468" t="str">
        <f>"АРТ-"&amp;LEFT(SUBSTITUTE(SUBSTITUTE(SUBSTITUTE(SUBSTITUTE(Товары_исходные!A468,"№",""),"АРТ-",""),"АРТ_",""),"/","-"),3)</f>
        <v>АРТ-467</v>
      </c>
      <c r="B468" t="str">
        <f>PROPER(TRIM(IFERROR(LEFT(Товары_исходные!B468,FIND("(",Товары_исходные!B468)-1),Товары_исходные!B468)))</f>
        <v xml:space="preserve">Смартфон Nokia G60</v>
      </c>
      <c r="C468" t="str">
        <f>IFERROR(VLOOKUP(Товары_исходные!C468,Справочники!$A$2:$B$50,2,FALSE),Товары_исходные!C468)</f>
        <v>Смартфоны</v>
      </c>
      <c r="D468" t="str">
        <f>PROPER(TRIM(Товары_исходные!D468))</f>
        <v>Nokia</v>
      </c>
      <c r="E468" s="4">
        <f>IFERROR(VALUE(IF(AND(ISNUMBER(FIND(",",Товары_исходные!E468)),ISNUMBER(FIND(".",Товары_исходные!E468))),SUBSTITUTE(SUBSTITUTE(SUBSTITUTE(SUBSTITUTE(Товары_исходные!E468," ",""),"руб.",""),"руб",""),",",""),SUBSTITUTE(SUBSTITUTE(SUBSTITUTE(SUBSTITUTE(Товары_исходные!E468," ",""),"руб.",""),"руб",""),",","."))),0)</f>
        <v>13000</v>
      </c>
      <c r="F468" s="4">
        <f>IFERROR(VALUE(IF(AND(ISNUMBER(FIND(",",Товары_исходные!F468)),ISNUMBER(FIND(".",Товары_исходные!F468))),SUBSTITUTE(SUBSTITUTE(SUBSTITUTE(SUBSTITUTE(Товары_исходные!F468," ",""),"руб.",""),"руб",""),",",""),SUBSTITUTE(SUBSTITUTE(SUBSTITUTE(SUBSTITUTE(Товары_исходные!F468," ",""),"руб.",""),"руб",""),",","."))),0)</f>
        <v>21500</v>
      </c>
      <c r="G468" t="str">
        <f>IFERROR(VLOOKUP(Товары_исходные!G468,Справочники!$D$2:$E$50,2,FALSE),"шт.")</f>
        <v>шт.</v>
      </c>
      <c r="H468" t="str">
        <f t="shared" si="16"/>
        <v>OK</v>
      </c>
      <c r="I468" t="str">
        <f t="shared" si="17"/>
        <v>OK</v>
      </c>
    </row>
    <row r="469">
      <c r="A469" t="str">
        <f>"АРТ-"&amp;LEFT(SUBSTITUTE(SUBSTITUTE(SUBSTITUTE(SUBSTITUTE(Товары_исходные!A469,"№",""),"АРТ-",""),"АРТ_",""),"/","-"),3)</f>
        <v>АРТ-468</v>
      </c>
      <c r="B469" t="str">
        <f>PROPER(TRIM(IFERROR(LEFT(Товары_исходные!B469,FIND("(",Товары_исходные!B469)-1),Товары_исходные!B469)))</f>
        <v xml:space="preserve">Смартфон Nokia G60</v>
      </c>
      <c r="C469" t="str">
        <f>IFERROR(VLOOKUP(Товары_исходные!C469,Справочники!$A$2:$B$50,2,FALSE),Товары_исходные!C469)</f>
        <v>Смартфоны</v>
      </c>
      <c r="D469" t="str">
        <f>PROPER(TRIM(Товары_исходные!D469))</f>
        <v>Nokia</v>
      </c>
      <c r="E469" s="4">
        <f>IFERROR(VALUE(IF(AND(ISNUMBER(FIND(",",Товары_исходные!E469)),ISNUMBER(FIND(".",Товары_исходные!E469))),SUBSTITUTE(SUBSTITUTE(SUBSTITUTE(SUBSTITUTE(Товары_исходные!E469," ",""),"руб.",""),"руб",""),",",""),SUBSTITUTE(SUBSTITUTE(SUBSTITUTE(SUBSTITUTE(Товары_исходные!E469," ",""),"руб.",""),"руб",""),",","."))),0)</f>
        <v>15000</v>
      </c>
      <c r="F469" s="4">
        <f>IFERROR(VALUE(IF(AND(ISNUMBER(FIND(",",Товары_исходные!F469)),ISNUMBER(FIND(".",Товары_исходные!F469))),SUBSTITUTE(SUBSTITUTE(SUBSTITUTE(SUBSTITUTE(Товары_исходные!F469," ",""),"руб.",""),"руб",""),",",""),SUBSTITUTE(SUBSTITUTE(SUBSTITUTE(SUBSTITUTE(Товары_исходные!F469," ",""),"руб.",""),"руб",""),",","."))),0)</f>
        <v>24500</v>
      </c>
      <c r="G469" t="str">
        <f>IFERROR(VLOOKUP(Товары_исходные!G469,Справочники!$D$2:$E$50,2,FALSE),"шт.")</f>
        <v>шт.</v>
      </c>
      <c r="H469" t="str">
        <f t="shared" si="16"/>
        <v>OK</v>
      </c>
      <c r="I469" t="str">
        <f t="shared" si="17"/>
        <v>OK</v>
      </c>
    </row>
    <row r="470">
      <c r="A470" t="str">
        <f>"АРТ-"&amp;LEFT(SUBSTITUTE(SUBSTITUTE(SUBSTITUTE(SUBSTITUTE(Товары_исходные!A470,"№",""),"АРТ-",""),"АРТ_",""),"/","-"),3)</f>
        <v>АРТ-469</v>
      </c>
      <c r="B470" t="str">
        <f>PROPER(TRIM(IFERROR(LEFT(Товары_исходные!B470,FIND("(",Товары_исходные!B470)-1),Товары_исходные!B470)))</f>
        <v xml:space="preserve">Телевизор Hisense E7K</v>
      </c>
      <c r="C470" t="str">
        <f>IFERROR(VLOOKUP(Товары_исходные!C470,Справочники!$A$2:$B$50,2,FALSE),Товары_исходные!C470)</f>
        <v>Телевизоры</v>
      </c>
      <c r="D470" t="str">
        <f>PROPER(TRIM(Товары_исходные!D470))</f>
        <v>Hisense</v>
      </c>
      <c r="E470" s="4">
        <f>IFERROR(VALUE(IF(AND(ISNUMBER(FIND(",",Товары_исходные!E470)),ISNUMBER(FIND(".",Товары_исходные!E470))),SUBSTITUTE(SUBSTITUTE(SUBSTITUTE(SUBSTITUTE(Товары_исходные!E470," ",""),"руб.",""),"руб",""),",",""),SUBSTITUTE(SUBSTITUTE(SUBSTITUTE(SUBSTITUTE(Товары_исходные!E470," ",""),"руб.",""),"руб",""),",","."))),0)</f>
        <v>38000</v>
      </c>
      <c r="F470" s="4">
        <f>IFERROR(VALUE(IF(AND(ISNUMBER(FIND(",",Товары_исходные!F470)),ISNUMBER(FIND(".",Товары_исходные!F470))),SUBSTITUTE(SUBSTITUTE(SUBSTITUTE(SUBSTITUTE(Товары_исходные!F470," ",""),"руб.",""),"руб",""),",",""),SUBSTITUTE(SUBSTITUTE(SUBSTITUTE(SUBSTITUTE(Товары_исходные!F470," ",""),"руб.",""),"руб",""),",","."))),0)</f>
        <v>58990</v>
      </c>
      <c r="G470" t="str">
        <f>IFERROR(VLOOKUP(Товары_исходные!G470,Справочники!$D$2:$E$50,2,FALSE),"шт.")</f>
        <v>шт.</v>
      </c>
      <c r="H470" t="str">
        <f t="shared" si="16"/>
        <v>OK</v>
      </c>
      <c r="I470" t="str">
        <f t="shared" si="17"/>
        <v>OK</v>
      </c>
    </row>
    <row r="471">
      <c r="A471" t="str">
        <f>"АРТ-"&amp;LEFT(SUBSTITUTE(SUBSTITUTE(SUBSTITUTE(SUBSTITUTE(Товары_исходные!A471,"№",""),"АРТ-",""),"АРТ_",""),"/","-"),3)</f>
        <v>АРТ-470</v>
      </c>
      <c r="B471" t="str">
        <f>PROPER(TRIM(IFERROR(LEFT(Товары_исходные!B471,FIND("(",Товары_исходные!B471)-1),Товары_исходные!B471)))</f>
        <v xml:space="preserve">Телевизор Hisense E7K</v>
      </c>
      <c r="C471" t="str">
        <f>IFERROR(VLOOKUP(Товары_исходные!C471,Справочники!$A$2:$B$50,2,FALSE),Товары_исходные!C471)</f>
        <v>Телевизоры</v>
      </c>
      <c r="D471" t="str">
        <f>PROPER(TRIM(Товары_исходные!D471))</f>
        <v>Hisense</v>
      </c>
      <c r="E471" s="4">
        <f>IFERROR(VALUE(IF(AND(ISNUMBER(FIND(",",Товары_исходные!E471)),ISNUMBER(FIND(".",Товары_исходные!E471))),SUBSTITUTE(SUBSTITUTE(SUBSTITUTE(SUBSTITUTE(Товары_исходные!E471," ",""),"руб.",""),"руб",""),",",""),SUBSTITUTE(SUBSTITUTE(SUBSTITUTE(SUBSTITUTE(Товары_исходные!E471," ",""),"руб.",""),"руб",""),",","."))),0)</f>
        <v>36500</v>
      </c>
      <c r="F471" s="4">
        <f>IFERROR(VALUE(IF(AND(ISNUMBER(FIND(",",Товары_исходные!F471)),ISNUMBER(FIND(".",Товары_исходные!F471))),SUBSTITUTE(SUBSTITUTE(SUBSTITUTE(SUBSTITUTE(Товары_исходные!F471," ",""),"руб.",""),"руб",""),",",""),SUBSTITUTE(SUBSTITUTE(SUBSTITUTE(SUBSTITUTE(Товары_исходные!F471," ",""),"руб.",""),"руб",""),",","."))),0)</f>
        <v>56500</v>
      </c>
      <c r="G471" t="str">
        <f>IFERROR(VLOOKUP(Товары_исходные!G471,Справочники!$D$2:$E$50,2,FALSE),"шт.")</f>
        <v>шт.</v>
      </c>
      <c r="H471" t="str">
        <f t="shared" si="16"/>
        <v>OK</v>
      </c>
      <c r="I471" t="str">
        <f t="shared" si="17"/>
        <v>OK</v>
      </c>
    </row>
    <row r="472">
      <c r="A472" t="str">
        <f>"АРТ-"&amp;LEFT(SUBSTITUTE(SUBSTITUTE(SUBSTITUTE(SUBSTITUTE(Товары_исходные!A472,"№",""),"АРТ-",""),"АРТ_",""),"/","-"),3)</f>
        <v>АРТ-471</v>
      </c>
      <c r="B472" t="str">
        <f>PROPER(TRIM(IFERROR(LEFT(Товары_исходные!B472,FIND("(",Товары_исходные!B472)-1),Товары_исходные!B472)))</f>
        <v xml:space="preserve">Телевизор Hisense E7K</v>
      </c>
      <c r="C472" t="str">
        <f>IFERROR(VLOOKUP(Товары_исходные!C472,Справочники!$A$2:$B$50,2,FALSE),Товары_исходные!C472)</f>
        <v>Телевизоры</v>
      </c>
      <c r="D472" t="str">
        <f>PROPER(TRIM(Товары_исходные!D472))</f>
        <v>Hisense</v>
      </c>
      <c r="E472" s="4">
        <f>IFERROR(VALUE(IF(AND(ISNUMBER(FIND(",",Товары_исходные!E472)),ISNUMBER(FIND(".",Товары_исходные!E472))),SUBSTITUTE(SUBSTITUTE(SUBSTITUTE(SUBSTITUTE(Товары_исходные!E472," ",""),"руб.",""),"руб",""),",",""),SUBSTITUTE(SUBSTITUTE(SUBSTITUTE(SUBSTITUTE(Товары_исходные!E472," ",""),"руб.",""),"руб",""),",","."))),0)</f>
        <v>39500</v>
      </c>
      <c r="F472" s="4">
        <f>IFERROR(VALUE(IF(AND(ISNUMBER(FIND(",",Товары_исходные!F472)),ISNUMBER(FIND(".",Товары_исходные!F472))),SUBSTITUTE(SUBSTITUTE(SUBSTITUTE(SUBSTITUTE(Товары_исходные!F472," ",""),"руб.",""),"руб",""),",",""),SUBSTITUTE(SUBSTITUTE(SUBSTITUTE(SUBSTITUTE(Товары_исходные!F472," ",""),"руб.",""),"руб",""),",","."))),0)</f>
        <v>61000</v>
      </c>
      <c r="G472" t="str">
        <f>IFERROR(VLOOKUP(Товары_исходные!G472,Справочники!$D$2:$E$50,2,FALSE),"шт.")</f>
        <v>шт.</v>
      </c>
      <c r="H472" t="str">
        <f t="shared" si="16"/>
        <v>OK</v>
      </c>
      <c r="I472" t="str">
        <f t="shared" si="17"/>
        <v>OK</v>
      </c>
    </row>
    <row r="473">
      <c r="A473" t="str">
        <f>"АРТ-"&amp;LEFT(SUBSTITUTE(SUBSTITUTE(SUBSTITUTE(SUBSTITUTE(Товары_исходные!A473,"№",""),"АРТ-",""),"АРТ_",""),"/","-"),3)</f>
        <v>АРТ-472</v>
      </c>
      <c r="B473" t="str">
        <f>PROPER(TRIM(IFERROR(LEFT(Товары_исходные!B473,FIND("(",Товары_исходные!B473)-1),Товары_исходные!B473)))</f>
        <v xml:space="preserve">Наушники Sony Wf-C500</v>
      </c>
      <c r="C473" t="str">
        <f>IFERROR(VLOOKUP(Товары_исходные!C473,Справочники!$A$2:$B$50,2,FALSE),Товары_исходные!C473)</f>
        <v>Наушники</v>
      </c>
      <c r="D473" t="str">
        <f>PROPER(TRIM(Товары_исходные!D473))</f>
        <v>Sony</v>
      </c>
      <c r="E473" s="4">
        <f>IFERROR(VALUE(IF(AND(ISNUMBER(FIND(",",Товары_исходные!E473)),ISNUMBER(FIND(".",Товары_исходные!E473))),SUBSTITUTE(SUBSTITUTE(SUBSTITUTE(SUBSTITUTE(Товары_исходные!E473," ",""),"руб.",""),"руб",""),",",""),SUBSTITUTE(SUBSTITUTE(SUBSTITUTE(SUBSTITUTE(Товары_исходные!E473," ",""),"руб.",""),"руб",""),",","."))),0)</f>
        <v>5000</v>
      </c>
      <c r="F473" s="4">
        <f>IFERROR(VALUE(IF(AND(ISNUMBER(FIND(",",Товары_исходные!F473)),ISNUMBER(FIND(".",Товары_исходные!F473))),SUBSTITUTE(SUBSTITUTE(SUBSTITUTE(SUBSTITUTE(Товары_исходные!F473," ",""),"руб.",""),"руб",""),",",""),SUBSTITUTE(SUBSTITUTE(SUBSTITUTE(SUBSTITUTE(Товары_исходные!F473," ",""),"руб.",""),"руб",""),",","."))),0)</f>
        <v>8990</v>
      </c>
      <c r="G473" t="str">
        <f>IFERROR(VLOOKUP(Товары_исходные!G473,Справочники!$D$2:$E$50,2,FALSE),"шт.")</f>
        <v>шт.</v>
      </c>
      <c r="H473" t="str">
        <f t="shared" si="16"/>
        <v>OK</v>
      </c>
      <c r="I473" t="str">
        <f t="shared" si="17"/>
        <v>OK</v>
      </c>
    </row>
    <row r="474">
      <c r="A474" t="str">
        <f>"АРТ-"&amp;LEFT(SUBSTITUTE(SUBSTITUTE(SUBSTITUTE(SUBSTITUTE(Товары_исходные!A474,"№",""),"АРТ-",""),"АРТ_",""),"/","-"),3)</f>
        <v>АРТ-473</v>
      </c>
      <c r="B474" t="str">
        <f>PROPER(TRIM(IFERROR(LEFT(Товары_исходные!B474,FIND("(",Товары_исходные!B474)-1),Товары_исходные!B474)))</f>
        <v xml:space="preserve">Наушники Sony Wf-C500</v>
      </c>
      <c r="C474" t="str">
        <f>IFERROR(VLOOKUP(Товары_исходные!C474,Справочники!$A$2:$B$50,2,FALSE),Товары_исходные!C474)</f>
        <v>Наушники</v>
      </c>
      <c r="D474" t="str">
        <f>PROPER(TRIM(Товары_исходные!D474))</f>
        <v>Sony</v>
      </c>
      <c r="E474" s="4">
        <f>IFERROR(VALUE(IF(AND(ISNUMBER(FIND(",",Товары_исходные!E474)),ISNUMBER(FIND(".",Товары_исходные!E474))),SUBSTITUTE(SUBSTITUTE(SUBSTITUTE(SUBSTITUTE(Товары_исходные!E474," ",""),"руб.",""),"руб",""),",",""),SUBSTITUTE(SUBSTITUTE(SUBSTITUTE(SUBSTITUTE(Товары_исходные!E474," ",""),"руб.",""),"руб",""),",","."))),0)</f>
        <v>4500</v>
      </c>
      <c r="F474" s="4">
        <f>IFERROR(VALUE(IF(AND(ISNUMBER(FIND(",",Товары_исходные!F474)),ISNUMBER(FIND(".",Товары_исходные!F474))),SUBSTITUTE(SUBSTITUTE(SUBSTITUTE(SUBSTITUTE(Товары_исходные!F474," ",""),"руб.",""),"руб",""),",",""),SUBSTITUTE(SUBSTITUTE(SUBSTITUTE(SUBSTITUTE(Товары_исходные!F474," ",""),"руб.",""),"руб",""),",","."))),0)</f>
        <v>8500</v>
      </c>
      <c r="G474" t="str">
        <f>IFERROR(VLOOKUP(Товары_исходные!G474,Справочники!$D$2:$E$50,2,FALSE),"шт.")</f>
        <v>шт.</v>
      </c>
      <c r="H474" t="str">
        <f t="shared" si="16"/>
        <v>OK</v>
      </c>
      <c r="I474" t="str">
        <f t="shared" si="17"/>
        <v>OK</v>
      </c>
    </row>
    <row r="475">
      <c r="A475" t="str">
        <f>"АРТ-"&amp;LEFT(SUBSTITUTE(SUBSTITUTE(SUBSTITUTE(SUBSTITUTE(Товары_исходные!A475,"№",""),"АРТ-",""),"АРТ_",""),"/","-"),3)</f>
        <v>АРТ-474</v>
      </c>
      <c r="B475" t="str">
        <f>PROPER(TRIM(IFERROR(LEFT(Товары_исходные!B475,FIND("(",Товары_исходные!B475)-1),Товары_исходные!B475)))</f>
        <v xml:space="preserve">Наушники Sony Wf-C500</v>
      </c>
      <c r="C475" t="str">
        <f>IFERROR(VLOOKUP(Товары_исходные!C475,Справочники!$A$2:$B$50,2,FALSE),Товары_исходные!C475)</f>
        <v>Наушники</v>
      </c>
      <c r="D475" t="str">
        <f>PROPER(TRIM(Товары_исходные!D475))</f>
        <v>Sony</v>
      </c>
      <c r="E475" s="4">
        <f>IFERROR(VALUE(IF(AND(ISNUMBER(FIND(",",Товары_исходные!E475)),ISNUMBER(FIND(".",Товары_исходные!E475))),SUBSTITUTE(SUBSTITUTE(SUBSTITUTE(SUBSTITUTE(Товары_исходные!E475," ",""),"руб.",""),"руб",""),",",""),SUBSTITUTE(SUBSTITUTE(SUBSTITUTE(SUBSTITUTE(Товары_исходные!E475," ",""),"руб.",""),"руб",""),",","."))),0)</f>
        <v>5500</v>
      </c>
      <c r="F475" s="4">
        <f>IFERROR(VALUE(IF(AND(ISNUMBER(FIND(",",Товары_исходные!F475)),ISNUMBER(FIND(".",Товары_исходные!F475))),SUBSTITUTE(SUBSTITUTE(SUBSTITUTE(SUBSTITUTE(Товары_исходные!F475," ",""),"руб.",""),"руб",""),",",""),SUBSTITUTE(SUBSTITUTE(SUBSTITUTE(SUBSTITUTE(Товары_исходные!F475," ",""),"руб.",""),"руб",""),",","."))),0)</f>
        <v>9800</v>
      </c>
      <c r="G475" t="str">
        <f>IFERROR(VLOOKUP(Товары_исходные!G475,Справочники!$D$2:$E$50,2,FALSE),"шт.")</f>
        <v>шт.</v>
      </c>
      <c r="H475" t="str">
        <f t="shared" si="16"/>
        <v>OK</v>
      </c>
      <c r="I475" t="str">
        <f t="shared" si="17"/>
        <v>OK</v>
      </c>
    </row>
    <row r="476">
      <c r="A476" t="str">
        <f>"АРТ-"&amp;LEFT(SUBSTITUTE(SUBSTITUTE(SUBSTITUTE(SUBSTITUTE(Товары_исходные!A476,"№",""),"АРТ-",""),"АРТ_",""),"/","-"),3)</f>
        <v>АРТ-475</v>
      </c>
      <c r="B476" t="str">
        <f>PROPER(TRIM(IFERROR(LEFT(Товары_исходные!B476,FIND("(",Товары_исходные!B476)-1),Товары_исходные!B476)))</f>
        <v xml:space="preserve">Монитор Lg 27Gn800</v>
      </c>
      <c r="C476" t="str">
        <f>IFERROR(VLOOKUP(Товары_исходные!C476,Справочники!$A$2:$B$50,2,FALSE),Товары_исходные!C476)</f>
        <v>Мониторы</v>
      </c>
      <c r="D476" t="str">
        <f>PROPER(TRIM(Товары_исходные!D476))</f>
        <v>Lg</v>
      </c>
      <c r="E476" s="4">
        <f>IFERROR(VALUE(IF(AND(ISNUMBER(FIND(",",Товары_исходные!E476)),ISNUMBER(FIND(".",Товары_исходные!E476))),SUBSTITUTE(SUBSTITUTE(SUBSTITUTE(SUBSTITUTE(Товары_исходные!E476," ",""),"руб.",""),"руб",""),",",""),SUBSTITUTE(SUBSTITUTE(SUBSTITUTE(SUBSTITUTE(Товары_исходные!E476," ",""),"руб.",""),"руб",""),",","."))),0)</f>
        <v>34000</v>
      </c>
      <c r="F476" s="4">
        <f>IFERROR(VALUE(IF(AND(ISNUMBER(FIND(",",Товары_исходные!F476)),ISNUMBER(FIND(".",Товары_исходные!F476))),SUBSTITUTE(SUBSTITUTE(SUBSTITUTE(SUBSTITUTE(Товары_исходные!F476," ",""),"руб.",""),"руб",""),",",""),SUBSTITUTE(SUBSTITUTE(SUBSTITUTE(SUBSTITUTE(Товары_исходные!F476," ",""),"руб.",""),"руб",""),",","."))),0)</f>
        <v>52990</v>
      </c>
      <c r="G476" t="str">
        <f>IFERROR(VLOOKUP(Товары_исходные!G476,Справочники!$D$2:$E$50,2,FALSE),"шт.")</f>
        <v>шт.</v>
      </c>
      <c r="H476" t="str">
        <f t="shared" si="16"/>
        <v>OK</v>
      </c>
      <c r="I476" t="str">
        <f t="shared" si="17"/>
        <v>OK</v>
      </c>
    </row>
    <row r="477">
      <c r="A477" t="str">
        <f>"АРТ-"&amp;LEFT(SUBSTITUTE(SUBSTITUTE(SUBSTITUTE(SUBSTITUTE(Товары_исходные!A477,"№",""),"АРТ-",""),"АРТ_",""),"/","-"),3)</f>
        <v>АРТ-476</v>
      </c>
      <c r="B477" t="str">
        <f>PROPER(TRIM(IFERROR(LEFT(Товары_исходные!B477,FIND("(",Товары_исходные!B477)-1),Товары_исходные!B477)))</f>
        <v xml:space="preserve">Монитор Lg 27Gn800</v>
      </c>
      <c r="C477" t="str">
        <f>IFERROR(VLOOKUP(Товары_исходные!C477,Справочники!$A$2:$B$50,2,FALSE),Товары_исходные!C477)</f>
        <v>Мониторы</v>
      </c>
      <c r="D477" t="str">
        <f>PROPER(TRIM(Товары_исходные!D477))</f>
        <v>Lg</v>
      </c>
      <c r="E477" s="4">
        <f>IFERROR(VALUE(IF(AND(ISNUMBER(FIND(",",Товары_исходные!E477)),ISNUMBER(FIND(".",Товары_исходные!E477))),SUBSTITUTE(SUBSTITUTE(SUBSTITUTE(SUBSTITUTE(Товары_исходные!E477," ",""),"руб.",""),"руб",""),",",""),SUBSTITUTE(SUBSTITUTE(SUBSTITUTE(SUBSTITUTE(Товары_исходные!E477," ",""),"руб.",""),"руб",""),",","."))),0)</f>
        <v>32500</v>
      </c>
      <c r="F477" s="4">
        <f>IFERROR(VALUE(IF(AND(ISNUMBER(FIND(",",Товары_исходные!F477)),ISNUMBER(FIND(".",Товары_исходные!F477))),SUBSTITUTE(SUBSTITUTE(SUBSTITUTE(SUBSTITUTE(Товары_исходные!F477," ",""),"руб.",""),"руб",""),",",""),SUBSTITUTE(SUBSTITUTE(SUBSTITUTE(SUBSTITUTE(Товары_исходные!F477," ",""),"руб.",""),"руб",""),",","."))),0)</f>
        <v>50500</v>
      </c>
      <c r="G477" t="str">
        <f>IFERROR(VLOOKUP(Товары_исходные!G477,Справочники!$D$2:$E$50,2,FALSE),"шт.")</f>
        <v>шт.</v>
      </c>
      <c r="H477" t="str">
        <f t="shared" si="16"/>
        <v>OK</v>
      </c>
      <c r="I477" t="str">
        <f t="shared" si="17"/>
        <v>OK</v>
      </c>
    </row>
    <row r="478">
      <c r="A478" t="str">
        <f>"АРТ-"&amp;LEFT(SUBSTITUTE(SUBSTITUTE(SUBSTITUTE(SUBSTITUTE(Товары_исходные!A478,"№",""),"АРТ-",""),"АРТ_",""),"/","-"),3)</f>
        <v>АРТ-477</v>
      </c>
      <c r="B478" t="str">
        <f>PROPER(TRIM(IFERROR(LEFT(Товары_исходные!B478,FIND("(",Товары_исходные!B478)-1),Товары_исходные!B478)))</f>
        <v xml:space="preserve">Монитор Lg 27Gn800</v>
      </c>
      <c r="C478" t="str">
        <f>IFERROR(VLOOKUP(Товары_исходные!C478,Справочники!$A$2:$B$50,2,FALSE),Товары_исходные!C478)</f>
        <v>Мониторы</v>
      </c>
      <c r="D478" t="str">
        <f>PROPER(TRIM(Товары_исходные!D478))</f>
        <v>Lg</v>
      </c>
      <c r="E478" s="4">
        <f>IFERROR(VALUE(IF(AND(ISNUMBER(FIND(",",Товары_исходные!E478)),ISNUMBER(FIND(".",Товары_исходные!E478))),SUBSTITUTE(SUBSTITUTE(SUBSTITUTE(SUBSTITUTE(Товары_исходные!E478," ",""),"руб.",""),"руб",""),",",""),SUBSTITUTE(SUBSTITUTE(SUBSTITUTE(SUBSTITUTE(Товары_исходные!E478," ",""),"руб.",""),"руб",""),",","."))),0)</f>
        <v>35500</v>
      </c>
      <c r="F478" s="4">
        <f>IFERROR(VALUE(IF(AND(ISNUMBER(FIND(",",Товары_исходные!F478)),ISNUMBER(FIND(".",Товары_исходные!F478))),SUBSTITUTE(SUBSTITUTE(SUBSTITUTE(SUBSTITUTE(Товары_исходные!F478," ",""),"руб.",""),"руб",""),",",""),SUBSTITUTE(SUBSTITUTE(SUBSTITUTE(SUBSTITUTE(Товары_исходные!F478," ",""),"руб.",""),"руб",""),",","."))),0)</f>
        <v>55000</v>
      </c>
      <c r="G478" t="str">
        <f>IFERROR(VLOOKUP(Товары_исходные!G478,Справочники!$D$2:$E$50,2,FALSE),"шт.")</f>
        <v>шт.</v>
      </c>
      <c r="H478" t="str">
        <f t="shared" si="16"/>
        <v>OK</v>
      </c>
      <c r="I478" t="str">
        <f t="shared" si="17"/>
        <v>OK</v>
      </c>
    </row>
    <row r="479">
      <c r="A479" t="str">
        <f>"АРТ-"&amp;LEFT(SUBSTITUTE(SUBSTITUTE(SUBSTITUTE(SUBSTITUTE(Товары_исходные!A479,"№",""),"АРТ-",""),"АРТ_",""),"/","-"),3)</f>
        <v>АРТ-478</v>
      </c>
      <c r="B479" t="str">
        <f>PROPER(TRIM(IFERROR(LEFT(Товары_исходные!B479,FIND("(",Товары_исходные!B479)-1),Товары_исходные!B479)))</f>
        <v xml:space="preserve">Колонка Marshall Emberton Ii</v>
      </c>
      <c r="C479" t="str">
        <f>IFERROR(VLOOKUP(Товары_исходные!C479,Справочники!$A$2:$B$50,2,FALSE),Товары_исходные!C479)</f>
        <v>Аксессуары</v>
      </c>
      <c r="D479" t="str">
        <f>PROPER(TRIM(Товары_исходные!D479))</f>
        <v>Marshall</v>
      </c>
      <c r="E479" s="4">
        <f>IFERROR(VALUE(IF(AND(ISNUMBER(FIND(",",Товары_исходные!E479)),ISNUMBER(FIND(".",Товары_исходные!E479))),SUBSTITUTE(SUBSTITUTE(SUBSTITUTE(SUBSTITUTE(Товары_исходные!E479," ",""),"руб.",""),"руб",""),",",""),SUBSTITUTE(SUBSTITUTE(SUBSTITUTE(SUBSTITUTE(Товары_исходные!E479," ",""),"руб.",""),"руб",""),",","."))),0)</f>
        <v>8000</v>
      </c>
      <c r="F479" s="4">
        <f>IFERROR(VALUE(IF(AND(ISNUMBER(FIND(",",Товары_исходные!F479)),ISNUMBER(FIND(".",Товары_исходные!F479))),SUBSTITUTE(SUBSTITUTE(SUBSTITUTE(SUBSTITUTE(Товары_исходные!F479," ",""),"руб.",""),"руб",""),",",""),SUBSTITUTE(SUBSTITUTE(SUBSTITUTE(SUBSTITUTE(Товары_исходные!F479," ",""),"руб.",""),"руб",""),",","."))),0)</f>
        <v>12990</v>
      </c>
      <c r="G479" t="str">
        <f>IFERROR(VLOOKUP(Товары_исходные!G479,Справочники!$D$2:$E$50,2,FALSE),"шт.")</f>
        <v>шт.</v>
      </c>
      <c r="H479" t="str">
        <f t="shared" si="16"/>
        <v>OK</v>
      </c>
      <c r="I479" t="str">
        <f t="shared" si="17"/>
        <v>OK</v>
      </c>
    </row>
    <row r="480">
      <c r="A480" t="str">
        <f>"АРТ-"&amp;LEFT(SUBSTITUTE(SUBSTITUTE(SUBSTITUTE(SUBSTITUTE(Товары_исходные!A480,"№",""),"АРТ-",""),"АРТ_",""),"/","-"),3)</f>
        <v>АРТ-479</v>
      </c>
      <c r="B480" t="str">
        <f>PROPER(TRIM(IFERROR(LEFT(Товары_исходные!B480,FIND("(",Товары_исходные!B480)-1),Товары_исходные!B480)))</f>
        <v xml:space="preserve">Колонка Marshall Emberton Ii</v>
      </c>
      <c r="C480" t="str">
        <f>IFERROR(VLOOKUP(Товары_исходные!C480,Справочники!$A$2:$B$50,2,FALSE),Товары_исходные!C480)</f>
        <v>Аксессуары</v>
      </c>
      <c r="D480" t="str">
        <f>PROPER(TRIM(Товары_исходные!D480))</f>
        <v>Marshall</v>
      </c>
      <c r="E480" s="4">
        <f>IFERROR(VALUE(IF(AND(ISNUMBER(FIND(",",Товары_исходные!E480)),ISNUMBER(FIND(".",Товары_исходные!E480))),SUBSTITUTE(SUBSTITUTE(SUBSTITUTE(SUBSTITUTE(Товары_исходные!E480," ",""),"руб.",""),"руб",""),",",""),SUBSTITUTE(SUBSTITUTE(SUBSTITUTE(SUBSTITUTE(Товары_исходные!E480," ",""),"руб.",""),"руб",""),",","."))),0)</f>
        <v>7500</v>
      </c>
      <c r="F480" s="4">
        <f>IFERROR(VALUE(IF(AND(ISNUMBER(FIND(",",Товары_исходные!F480)),ISNUMBER(FIND(".",Товары_исходные!F480))),SUBSTITUTE(SUBSTITUTE(SUBSTITUTE(SUBSTITUTE(Товары_исходные!F480," ",""),"руб.",""),"руб",""),",",""),SUBSTITUTE(SUBSTITUTE(SUBSTITUTE(SUBSTITUTE(Товары_исходные!F480," ",""),"руб.",""),"руб",""),",","."))),0)</f>
        <v>12500</v>
      </c>
      <c r="G480" t="str">
        <f>IFERROR(VLOOKUP(Товары_исходные!G480,Справочники!$D$2:$E$50,2,FALSE),"шт.")</f>
        <v>шт.</v>
      </c>
      <c r="H480" t="str">
        <f t="shared" si="16"/>
        <v>OK</v>
      </c>
      <c r="I480" t="str">
        <f t="shared" si="17"/>
        <v>OK</v>
      </c>
    </row>
    <row r="481">
      <c r="A481" t="str">
        <f>"АРТ-"&amp;LEFT(SUBSTITUTE(SUBSTITUTE(SUBSTITUTE(SUBSTITUTE(Товары_исходные!A481,"№",""),"АРТ-",""),"АРТ_",""),"/","-"),3)</f>
        <v>АРТ-480</v>
      </c>
      <c r="B481" t="str">
        <f>PROPER(TRIM(IFERROR(LEFT(Товары_исходные!B481,FIND("(",Товары_исходные!B481)-1),Товары_исходные!B481)))</f>
        <v xml:space="preserve">Колонка Marshall Emberton Ii</v>
      </c>
      <c r="C481" t="str">
        <f>IFERROR(VLOOKUP(Товары_исходные!C481,Справочники!$A$2:$B$50,2,FALSE),Товары_исходные!C481)</f>
        <v>Аксессуары</v>
      </c>
      <c r="D481" t="str">
        <f>PROPER(TRIM(Товары_исходные!D481))</f>
        <v>Marshall</v>
      </c>
      <c r="E481" s="4">
        <f>IFERROR(VALUE(IF(AND(ISNUMBER(FIND(",",Товары_исходные!E481)),ISNUMBER(FIND(".",Товары_исходные!E481))),SUBSTITUTE(SUBSTITUTE(SUBSTITUTE(SUBSTITUTE(Товары_исходные!E481," ",""),"руб.",""),"руб",""),",",""),SUBSTITUTE(SUBSTITUTE(SUBSTITUTE(SUBSTITUTE(Товары_исходные!E481," ",""),"руб.",""),"руб",""),",","."))),0)</f>
        <v>8500</v>
      </c>
      <c r="F481" s="4">
        <f>IFERROR(VALUE(IF(AND(ISNUMBER(FIND(",",Товары_исходные!F481)),ISNUMBER(FIND(".",Товары_исходные!F481))),SUBSTITUTE(SUBSTITUTE(SUBSTITUTE(SUBSTITUTE(Товары_исходные!F481," ",""),"руб.",""),"руб",""),",",""),SUBSTITUTE(SUBSTITUTE(SUBSTITUTE(SUBSTITUTE(Товары_исходные!F481," ",""),"руб.",""),"руб",""),",","."))),0)</f>
        <v>13800</v>
      </c>
      <c r="G481" t="str">
        <f>IFERROR(VLOOKUP(Товары_исходные!G481,Справочники!$D$2:$E$50,2,FALSE),"шт.")</f>
        <v>шт.</v>
      </c>
      <c r="H481" t="str">
        <f t="shared" si="16"/>
        <v>OK</v>
      </c>
      <c r="I481" t="str">
        <f t="shared" si="17"/>
        <v>OK</v>
      </c>
    </row>
    <row r="482">
      <c r="A482" t="str">
        <f>"АРТ-"&amp;LEFT(SUBSTITUTE(SUBSTITUTE(SUBSTITUTE(SUBSTITUTE(Товары_исходные!A482,"№",""),"АРТ-",""),"АРТ_",""),"/","-"),3)</f>
        <v>АРТ-481</v>
      </c>
      <c r="B482" t="str">
        <f>PROPER(TRIM(IFERROR(LEFT(Товары_исходные!B482,FIND("(",Товары_исходные!B482)-1),Товары_исходные!B482)))</f>
        <v xml:space="preserve">Планшет Huawei Matepad 11</v>
      </c>
      <c r="C482" t="str">
        <f>IFERROR(VLOOKUP(Товары_исходные!C482,Справочники!$A$2:$B$50,2,FALSE),Товары_исходные!C482)</f>
        <v>Планшеты</v>
      </c>
      <c r="D482" t="str">
        <f>PROPER(TRIM(Товары_исходные!D482))</f>
        <v>Huawei</v>
      </c>
      <c r="E482" s="4">
        <f>IFERROR(VALUE(IF(AND(ISNUMBER(FIND(",",Товары_исходные!E482)),ISNUMBER(FIND(".",Товары_исходные!E482))),SUBSTITUTE(SUBSTITUTE(SUBSTITUTE(SUBSTITUTE(Товары_исходные!E482," ",""),"руб.",""),"руб",""),",",""),SUBSTITUTE(SUBSTITUTE(SUBSTITUTE(SUBSTITUTE(Товары_исходные!E482," ",""),"руб.",""),"руб",""),",","."))),0)</f>
        <v>25000</v>
      </c>
      <c r="F482" s="4">
        <f>IFERROR(VALUE(IF(AND(ISNUMBER(FIND(",",Товары_исходные!F482)),ISNUMBER(FIND(".",Товары_исходные!F482))),SUBSTITUTE(SUBSTITUTE(SUBSTITUTE(SUBSTITUTE(Товары_исходные!F482," ",""),"руб.",""),"руб",""),",",""),SUBSTITUTE(SUBSTITUTE(SUBSTITUTE(SUBSTITUTE(Товары_исходные!F482," ",""),"руб.",""),"руб",""),",","."))),0)</f>
        <v>39990</v>
      </c>
      <c r="G482" t="str">
        <f>IFERROR(VLOOKUP(Товары_исходные!G482,Справочники!$D$2:$E$50,2,FALSE),"шт.")</f>
        <v>шт.</v>
      </c>
      <c r="H482" t="str">
        <f t="shared" si="16"/>
        <v>OK</v>
      </c>
      <c r="I482" t="str">
        <f t="shared" si="17"/>
        <v>OK</v>
      </c>
    </row>
    <row r="483">
      <c r="A483" t="str">
        <f>"АРТ-"&amp;LEFT(SUBSTITUTE(SUBSTITUTE(SUBSTITUTE(SUBSTITUTE(Товары_исходные!A483,"№",""),"АРТ-",""),"АРТ_",""),"/","-"),3)</f>
        <v>АРТ-482</v>
      </c>
      <c r="B483" t="str">
        <f>PROPER(TRIM(IFERROR(LEFT(Товары_исходные!B483,FIND("(",Товары_исходные!B483)-1),Товары_исходные!B483)))</f>
        <v xml:space="preserve">Планшет Huawei Matepad 11</v>
      </c>
      <c r="C483" t="str">
        <f>IFERROR(VLOOKUP(Товары_исходные!C483,Справочники!$A$2:$B$50,2,FALSE),Товары_исходные!C483)</f>
        <v>Планшеты</v>
      </c>
      <c r="D483" t="str">
        <f>PROPER(TRIM(Товары_исходные!D483))</f>
        <v>Huawei</v>
      </c>
      <c r="E483" s="4">
        <f>IFERROR(VALUE(IF(AND(ISNUMBER(FIND(",",Товары_исходные!E483)),ISNUMBER(FIND(".",Товары_исходные!E483))),SUBSTITUTE(SUBSTITUTE(SUBSTITUTE(SUBSTITUTE(Товары_исходные!E483," ",""),"руб.",""),"руб",""),",",""),SUBSTITUTE(SUBSTITUTE(SUBSTITUTE(SUBSTITUTE(Товары_исходные!E483," ",""),"руб.",""),"руб",""),",","."))),0)</f>
        <v>24000</v>
      </c>
      <c r="F483" s="4">
        <f>IFERROR(VALUE(IF(AND(ISNUMBER(FIND(",",Товары_исходные!F483)),ISNUMBER(FIND(".",Товары_исходные!F483))),SUBSTITUTE(SUBSTITUTE(SUBSTITUTE(SUBSTITUTE(Товары_исходные!F483," ",""),"руб.",""),"руб",""),",",""),SUBSTITUTE(SUBSTITUTE(SUBSTITUTE(SUBSTITUTE(Товары_исходные!F483," ",""),"руб.",""),"руб",""),",","."))),0)</f>
        <v>38500</v>
      </c>
      <c r="G483" t="str">
        <f>IFERROR(VLOOKUP(Товары_исходные!G483,Справочники!$D$2:$E$50,2,FALSE),"шт.")</f>
        <v>шт.</v>
      </c>
      <c r="H483" t="str">
        <f t="shared" si="16"/>
        <v>OK</v>
      </c>
      <c r="I483" t="str">
        <f t="shared" si="17"/>
        <v>OK</v>
      </c>
    </row>
    <row r="484">
      <c r="A484" t="str">
        <f>"АРТ-"&amp;LEFT(SUBSTITUTE(SUBSTITUTE(SUBSTITUTE(SUBSTITUTE(Товары_исходные!A484,"№",""),"АРТ-",""),"АРТ_",""),"/","-"),3)</f>
        <v>АРТ-483</v>
      </c>
      <c r="B484" t="str">
        <f>PROPER(TRIM(IFERROR(LEFT(Товары_исходные!B484,FIND("(",Товары_исходные!B484)-1),Товары_исходные!B484)))</f>
        <v xml:space="preserve">Планшет Huawei Matepad 11</v>
      </c>
      <c r="C484" t="str">
        <f>IFERROR(VLOOKUP(Товары_исходные!C484,Справочники!$A$2:$B$50,2,FALSE),Товары_исходные!C484)</f>
        <v>Планшеты</v>
      </c>
      <c r="D484" t="str">
        <f>PROPER(TRIM(Товары_исходные!D484))</f>
        <v>Huawei</v>
      </c>
      <c r="E484" s="4">
        <f>IFERROR(VALUE(IF(AND(ISNUMBER(FIND(",",Товары_исходные!E484)),ISNUMBER(FIND(".",Товары_исходные!E484))),SUBSTITUTE(SUBSTITUTE(SUBSTITUTE(SUBSTITUTE(Товары_исходные!E484," ",""),"руб.",""),"руб",""),",",""),SUBSTITUTE(SUBSTITUTE(SUBSTITUTE(SUBSTITUTE(Товары_исходные!E484," ",""),"руб.",""),"руб",""),",","."))),0)</f>
        <v>26000</v>
      </c>
      <c r="F484" s="4">
        <f>IFERROR(VALUE(IF(AND(ISNUMBER(FIND(",",Товары_исходные!F484)),ISNUMBER(FIND(".",Товары_исходные!F484))),SUBSTITUTE(SUBSTITUTE(SUBSTITUTE(SUBSTITUTE(Товары_исходные!F484," ",""),"руб.",""),"руб",""),",",""),SUBSTITUTE(SUBSTITUTE(SUBSTITUTE(SUBSTITUTE(Товары_исходные!F484," ",""),"руб.",""),"руб",""),",","."))),0)</f>
        <v>41500</v>
      </c>
      <c r="G484" t="str">
        <f>IFERROR(VLOOKUP(Товары_исходные!G484,Справочники!$D$2:$E$50,2,FALSE),"шт.")</f>
        <v>шт.</v>
      </c>
      <c r="H484" t="str">
        <f t="shared" ref="H484:H502" si="18">IF(F484&gt;=E484,"OK","Розница ниже закупки")</f>
        <v>OK</v>
      </c>
      <c r="I484" t="str">
        <f t="shared" ref="I484:I502" si="19">IF(COUNTIF($A$2:$A$502,A484)=1,"OK","Дубликат")</f>
        <v>OK</v>
      </c>
    </row>
    <row r="485">
      <c r="A485" t="str">
        <f>"АРТ-"&amp;LEFT(SUBSTITUTE(SUBSTITUTE(SUBSTITUTE(SUBSTITUTE(Товары_исходные!A485,"№",""),"АРТ-",""),"АРТ_",""),"/","-"),3)</f>
        <v>АРТ-484</v>
      </c>
      <c r="B485" t="str">
        <f>PROPER(TRIM(IFERROR(LEFT(Товары_исходные!B485,FIND("(",Товары_исходные!B485)-1),Товары_исходные!B485)))</f>
        <v xml:space="preserve">Смартфон Google Pixel 6A</v>
      </c>
      <c r="C485" t="str">
        <f>IFERROR(VLOOKUP(Товары_исходные!C485,Справочники!$A$2:$B$50,2,FALSE),Товары_исходные!C485)</f>
        <v>Смартфоны</v>
      </c>
      <c r="D485" t="str">
        <f>PROPER(TRIM(Товары_исходные!D485))</f>
        <v>Google</v>
      </c>
      <c r="E485" s="4">
        <f>IFERROR(VALUE(IF(AND(ISNUMBER(FIND(",",Товары_исходные!E485)),ISNUMBER(FIND(".",Товары_исходные!E485))),SUBSTITUTE(SUBSTITUTE(SUBSTITUTE(SUBSTITUTE(Товары_исходные!E485," ",""),"руб.",""),"руб",""),",",""),SUBSTITUTE(SUBSTITUTE(SUBSTITUTE(SUBSTITUTE(Товары_исходные!E485," ",""),"руб.",""),"руб",""),",","."))),0)</f>
        <v>20000</v>
      </c>
      <c r="F485" s="4">
        <f>IFERROR(VALUE(IF(AND(ISNUMBER(FIND(",",Товары_исходные!F485)),ISNUMBER(FIND(".",Товары_исходные!F485))),SUBSTITUTE(SUBSTITUTE(SUBSTITUTE(SUBSTITUTE(Товары_исходные!F485," ",""),"руб.",""),"руб",""),",",""),SUBSTITUTE(SUBSTITUTE(SUBSTITUTE(SUBSTITUTE(Товары_исходные!F485," ",""),"руб.",""),"руб",""),",","."))),0)</f>
        <v>33990</v>
      </c>
      <c r="G485" t="str">
        <f>IFERROR(VLOOKUP(Товары_исходные!G485,Справочники!$D$2:$E$50,2,FALSE),"шт.")</f>
        <v>шт.</v>
      </c>
      <c r="H485" t="str">
        <f t="shared" si="18"/>
        <v>OK</v>
      </c>
      <c r="I485" t="str">
        <f t="shared" si="19"/>
        <v>OK</v>
      </c>
    </row>
    <row r="486">
      <c r="A486" t="str">
        <f>"АРТ-"&amp;LEFT(SUBSTITUTE(SUBSTITUTE(SUBSTITUTE(SUBSTITUTE(Товары_исходные!A486,"№",""),"АРТ-",""),"АРТ_",""),"/","-"),3)</f>
        <v>АРТ-485</v>
      </c>
      <c r="B486" t="str">
        <f>PROPER(TRIM(IFERROR(LEFT(Товары_исходные!B486,FIND("(",Товары_исходные!B486)-1),Товары_исходные!B486)))</f>
        <v xml:space="preserve">Смартфон Google Pixel 6A</v>
      </c>
      <c r="C486" t="str">
        <f>IFERROR(VLOOKUP(Товары_исходные!C486,Справочники!$A$2:$B$50,2,FALSE),Товары_исходные!C486)</f>
        <v>Смартфоны</v>
      </c>
      <c r="D486" t="str">
        <f>PROPER(TRIM(Товары_исходные!D486))</f>
        <v>Google</v>
      </c>
      <c r="E486" s="4">
        <f>IFERROR(VALUE(IF(AND(ISNUMBER(FIND(",",Товары_исходные!E486)),ISNUMBER(FIND(".",Товары_исходные!E486))),SUBSTITUTE(SUBSTITUTE(SUBSTITUTE(SUBSTITUTE(Товары_исходные!E486," ",""),"руб.",""),"руб",""),",",""),SUBSTITUTE(SUBSTITUTE(SUBSTITUTE(SUBSTITUTE(Товары_исходные!E486," ",""),"руб.",""),"руб",""),",","."))),0)</f>
        <v>19000</v>
      </c>
      <c r="F486" s="4">
        <f>IFERROR(VALUE(IF(AND(ISNUMBER(FIND(",",Товары_исходные!F486)),ISNUMBER(FIND(".",Товары_исходные!F486))),SUBSTITUTE(SUBSTITUTE(SUBSTITUTE(SUBSTITUTE(Товары_исходные!F486," ",""),"руб.",""),"руб",""),",",""),SUBSTITUTE(SUBSTITUTE(SUBSTITUTE(SUBSTITUTE(Товары_исходные!F486," ",""),"руб.",""),"руб",""),",","."))),0)</f>
        <v>32500</v>
      </c>
      <c r="G486" t="str">
        <f>IFERROR(VLOOKUP(Товары_исходные!G486,Справочники!$D$2:$E$50,2,FALSE),"шт.")</f>
        <v>шт.</v>
      </c>
      <c r="H486" t="str">
        <f t="shared" si="18"/>
        <v>OK</v>
      </c>
      <c r="I486" t="str">
        <f t="shared" si="19"/>
        <v>OK</v>
      </c>
    </row>
    <row r="487">
      <c r="A487" t="str">
        <f>"АРТ-"&amp;LEFT(SUBSTITUTE(SUBSTITUTE(SUBSTITUTE(SUBSTITUTE(Товары_исходные!A487,"№",""),"АРТ-",""),"АРТ_",""),"/","-"),3)</f>
        <v>АРТ-486</v>
      </c>
      <c r="B487" t="str">
        <f>PROPER(TRIM(IFERROR(LEFT(Товары_исходные!B487,FIND("(",Товары_исходные!B487)-1),Товары_исходные!B487)))</f>
        <v xml:space="preserve">Смартфон Google Pixel 6A</v>
      </c>
      <c r="C487" t="str">
        <f>IFERROR(VLOOKUP(Товары_исходные!C487,Справочники!$A$2:$B$50,2,FALSE),Товары_исходные!C487)</f>
        <v>Смартфоны</v>
      </c>
      <c r="D487" t="str">
        <f>PROPER(TRIM(Товары_исходные!D487))</f>
        <v>Google</v>
      </c>
      <c r="E487" s="4">
        <f>IFERROR(VALUE(IF(AND(ISNUMBER(FIND(",",Товары_исходные!E487)),ISNUMBER(FIND(".",Товары_исходные!E487))),SUBSTITUTE(SUBSTITUTE(SUBSTITUTE(SUBSTITUTE(Товары_исходные!E487," ",""),"руб.",""),"руб",""),",",""),SUBSTITUTE(SUBSTITUTE(SUBSTITUTE(SUBSTITUTE(Товары_исходные!E487," ",""),"руб.",""),"руб",""),",","."))),0)</f>
        <v>21000</v>
      </c>
      <c r="F487" s="4">
        <f>IFERROR(VALUE(IF(AND(ISNUMBER(FIND(",",Товары_исходные!F487)),ISNUMBER(FIND(".",Товары_исходные!F487))),SUBSTITUTE(SUBSTITUTE(SUBSTITUTE(SUBSTITUTE(Товары_исходные!F487," ",""),"руб.",""),"руб",""),",",""),SUBSTITUTE(SUBSTITUTE(SUBSTITUTE(SUBSTITUTE(Товары_исходные!F487," ",""),"руб.",""),"руб",""),",","."))),0)</f>
        <v>35500</v>
      </c>
      <c r="G487" t="str">
        <f>IFERROR(VLOOKUP(Товары_исходные!G487,Справочники!$D$2:$E$50,2,FALSE),"шт.")</f>
        <v>шт.</v>
      </c>
      <c r="H487" t="str">
        <f t="shared" si="18"/>
        <v>OK</v>
      </c>
      <c r="I487" t="str">
        <f t="shared" si="19"/>
        <v>OK</v>
      </c>
    </row>
    <row r="488">
      <c r="A488" t="str">
        <f>"АРТ-"&amp;LEFT(SUBSTITUTE(SUBSTITUTE(SUBSTITUTE(SUBSTITUTE(Товары_исходные!A488,"№",""),"АРТ-",""),"АРТ_",""),"/","-"),3)</f>
        <v>АРТ-487</v>
      </c>
      <c r="B488" t="str">
        <f>PROPER(TRIM(IFERROR(LEFT(Товары_исходные!B488,FIND("(",Товары_исходные!B488)-1),Товары_исходные!B488)))</f>
        <v xml:space="preserve">Ноутбук Dell Xps 13</v>
      </c>
      <c r="C488" t="str">
        <f>IFERROR(VLOOKUP(Товары_исходные!C488,Справочники!$A$2:$B$50,2,FALSE),Товары_исходные!C488)</f>
        <v>Ноутбуки</v>
      </c>
      <c r="D488" t="str">
        <f>PROPER(TRIM(Товары_исходные!D488))</f>
        <v>Dell</v>
      </c>
      <c r="E488" s="4">
        <f>IFERROR(VALUE(IF(AND(ISNUMBER(FIND(",",Товары_исходные!E488)),ISNUMBER(FIND(".",Товары_исходные!E488))),SUBSTITUTE(SUBSTITUTE(SUBSTITUTE(SUBSTITUTE(Товары_исходные!E488," ",""),"руб.",""),"руб",""),",",""),SUBSTITUTE(SUBSTITUTE(SUBSTITUTE(SUBSTITUTE(Товары_исходные!E488," ",""),"руб.",""),"руб",""),",","."))),0)</f>
        <v>72000</v>
      </c>
      <c r="F488" s="4">
        <f>IFERROR(VALUE(IF(AND(ISNUMBER(FIND(",",Товары_исходные!F488)),ISNUMBER(FIND(".",Товары_исходные!F488))),SUBSTITUTE(SUBSTITUTE(SUBSTITUTE(SUBSTITUTE(Товары_исходные!F488," ",""),"руб.",""),"руб",""),",",""),SUBSTITUTE(SUBSTITUTE(SUBSTITUTE(SUBSTITUTE(Товары_исходные!F488," ",""),"руб.",""),"руб",""),",","."))),0)</f>
        <v>110990</v>
      </c>
      <c r="G488" t="str">
        <f>IFERROR(VLOOKUP(Товары_исходные!G488,Справочники!$D$2:$E$50,2,FALSE),"шт.")</f>
        <v>шт.</v>
      </c>
      <c r="H488" t="str">
        <f t="shared" si="18"/>
        <v>OK</v>
      </c>
      <c r="I488" t="str">
        <f t="shared" si="19"/>
        <v>OK</v>
      </c>
    </row>
    <row r="489">
      <c r="A489" t="str">
        <f>"АРТ-"&amp;LEFT(SUBSTITUTE(SUBSTITUTE(SUBSTITUTE(SUBSTITUTE(Товары_исходные!A489,"№",""),"АРТ-",""),"АРТ_",""),"/","-"),3)</f>
        <v>АРТ-488</v>
      </c>
      <c r="B489" t="str">
        <f>PROPER(TRIM(IFERROR(LEFT(Товары_исходные!B489,FIND("(",Товары_исходные!B489)-1),Товары_исходные!B489)))</f>
        <v xml:space="preserve">Ноутбук Dell Xps 13</v>
      </c>
      <c r="C489" t="str">
        <f>IFERROR(VLOOKUP(Товары_исходные!C489,Справочники!$A$2:$B$50,2,FALSE),Товары_исходные!C489)</f>
        <v>Ноутбуки</v>
      </c>
      <c r="D489" t="str">
        <f>PROPER(TRIM(Товары_исходные!D489))</f>
        <v>Dell</v>
      </c>
      <c r="E489" s="4">
        <f>IFERROR(VALUE(IF(AND(ISNUMBER(FIND(",",Товары_исходные!E489)),ISNUMBER(FIND(".",Товары_исходные!E489))),SUBSTITUTE(SUBSTITUTE(SUBSTITUTE(SUBSTITUTE(Товары_исходные!E489," ",""),"руб.",""),"руб",""),",",""),SUBSTITUTE(SUBSTITUTE(SUBSTITUTE(SUBSTITUTE(Товары_исходные!E489," ",""),"руб.",""),"руб",""),",","."))),0)</f>
        <v>70000</v>
      </c>
      <c r="F489" s="4">
        <f>IFERROR(VALUE(IF(AND(ISNUMBER(FIND(",",Товары_исходные!F489)),ISNUMBER(FIND(".",Товары_исходные!F489))),SUBSTITUTE(SUBSTITUTE(SUBSTITUTE(SUBSTITUTE(Товары_исходные!F489," ",""),"руб.",""),"руб",""),",",""),SUBSTITUTE(SUBSTITUTE(SUBSTITUTE(SUBSTITUTE(Товары_исходные!F489," ",""),"руб.",""),"руб",""),",","."))),0)</f>
        <v>108000</v>
      </c>
      <c r="G489" t="str">
        <f>IFERROR(VLOOKUP(Товары_исходные!G489,Справочники!$D$2:$E$50,2,FALSE),"шт.")</f>
        <v>шт.</v>
      </c>
      <c r="H489" t="str">
        <f t="shared" si="18"/>
        <v>OK</v>
      </c>
      <c r="I489" t="str">
        <f t="shared" si="19"/>
        <v>OK</v>
      </c>
    </row>
    <row r="490">
      <c r="A490" t="str">
        <f>"АРТ-"&amp;LEFT(SUBSTITUTE(SUBSTITUTE(SUBSTITUTE(SUBSTITUTE(Товары_исходные!A490,"№",""),"АРТ-",""),"АРТ_",""),"/","-"),3)</f>
        <v>АРТ-489</v>
      </c>
      <c r="B490" t="str">
        <f>PROPER(TRIM(IFERROR(LEFT(Товары_исходные!B490,FIND("(",Товары_исходные!B490)-1),Товары_исходные!B490)))</f>
        <v xml:space="preserve">Ноутбук Dell Xps 13</v>
      </c>
      <c r="C490" t="str">
        <f>IFERROR(VLOOKUP(Товары_исходные!C490,Справочники!$A$2:$B$50,2,FALSE),Товары_исходные!C490)</f>
        <v>Ноутбуки</v>
      </c>
      <c r="D490" t="str">
        <f>PROPER(TRIM(Товары_исходные!D490))</f>
        <v>Dell</v>
      </c>
      <c r="E490" s="4">
        <f>IFERROR(VALUE(IF(AND(ISNUMBER(FIND(",",Товары_исходные!E490)),ISNUMBER(FIND(".",Товары_исходные!E490))),SUBSTITUTE(SUBSTITUTE(SUBSTITUTE(SUBSTITUTE(Товары_исходные!E490," ",""),"руб.",""),"руб",""),",",""),SUBSTITUTE(SUBSTITUTE(SUBSTITUTE(SUBSTITUTE(Товары_исходные!E490," ",""),"руб.",""),"руб",""),",","."))),0)</f>
        <v>73500</v>
      </c>
      <c r="F490" s="4">
        <f>IFERROR(VALUE(IF(AND(ISNUMBER(FIND(",",Товары_исходные!F490)),ISNUMBER(FIND(".",Товары_исходные!F490))),SUBSTITUTE(SUBSTITUTE(SUBSTITUTE(SUBSTITUTE(Товары_исходные!F490," ",""),"руб.",""),"руб",""),",",""),SUBSTITUTE(SUBSTITUTE(SUBSTITUTE(SUBSTITUTE(Товары_исходные!F490," ",""),"руб.",""),"руб",""),",","."))),0)</f>
        <v>113500</v>
      </c>
      <c r="G490" t="str">
        <f>IFERROR(VLOOKUP(Товары_исходные!G490,Справочники!$D$2:$E$50,2,FALSE),"шт.")</f>
        <v>шт.</v>
      </c>
      <c r="H490" t="str">
        <f t="shared" si="18"/>
        <v>OK</v>
      </c>
      <c r="I490" t="str">
        <f t="shared" si="19"/>
        <v>OK</v>
      </c>
    </row>
    <row r="491">
      <c r="A491" t="str">
        <f>"АРТ-"&amp;LEFT(SUBSTITUTE(SUBSTITUTE(SUBSTITUTE(SUBSTITUTE(Товары_исходные!A491,"№",""),"АРТ-",""),"АРТ_",""),"/","-"),3)</f>
        <v>АРТ-490</v>
      </c>
      <c r="B491" t="str">
        <f>PROPER(TRIM(IFERROR(LEFT(Товары_исходные!B491,FIND("(",Товары_исходные!B491)-1),Товары_исходные!B491)))</f>
        <v xml:space="preserve">Телевизор Sony X75L</v>
      </c>
      <c r="C491" t="str">
        <f>IFERROR(VLOOKUP(Товары_исходные!C491,Справочники!$A$2:$B$50,2,FALSE),Товары_исходные!C491)</f>
        <v>Телевизоры</v>
      </c>
      <c r="D491" t="str">
        <f>PROPER(TRIM(Товары_исходные!D491))</f>
        <v>Sony</v>
      </c>
      <c r="E491" s="4">
        <f>IFERROR(VALUE(IF(AND(ISNUMBER(FIND(",",Товары_исходные!E491)),ISNUMBER(FIND(".",Товары_исходные!E491))),SUBSTITUTE(SUBSTITUTE(SUBSTITUTE(SUBSTITUTE(Товары_исходные!E491," ",""),"руб.",""),"руб",""),",",""),SUBSTITUTE(SUBSTITUTE(SUBSTITUTE(SUBSTITUTE(Товары_исходные!E491," ",""),"руб.",""),"руб",""),",","."))),0)</f>
        <v>40000</v>
      </c>
      <c r="F491" s="4">
        <f>IFERROR(VALUE(IF(AND(ISNUMBER(FIND(",",Товары_исходные!F491)),ISNUMBER(FIND(".",Товары_исходные!F491))),SUBSTITUTE(SUBSTITUTE(SUBSTITUTE(SUBSTITUTE(Товары_исходные!F491," ",""),"руб.",""),"руб",""),",",""),SUBSTITUTE(SUBSTITUTE(SUBSTITUTE(SUBSTITUTE(Товары_исходные!F491," ",""),"руб.",""),"руб",""),",","."))),0)</f>
        <v>61990</v>
      </c>
      <c r="G491" t="str">
        <f>IFERROR(VLOOKUP(Товары_исходные!G491,Справочники!$D$2:$E$50,2,FALSE),"шт.")</f>
        <v>шт.</v>
      </c>
      <c r="H491" t="str">
        <f t="shared" si="18"/>
        <v>OK</v>
      </c>
      <c r="I491" t="str">
        <f t="shared" si="19"/>
        <v>OK</v>
      </c>
    </row>
    <row r="492">
      <c r="A492" t="str">
        <f>"АРТ-"&amp;LEFT(SUBSTITUTE(SUBSTITUTE(SUBSTITUTE(SUBSTITUTE(Товары_исходные!A492,"№",""),"АРТ-",""),"АРТ_",""),"/","-"),3)</f>
        <v>АРТ-491</v>
      </c>
      <c r="B492" t="str">
        <f>PROPER(TRIM(IFERROR(LEFT(Товары_исходные!B492,FIND("(",Товары_исходные!B492)-1),Товары_исходные!B492)))</f>
        <v xml:space="preserve">Телевизор Sony X75L</v>
      </c>
      <c r="C492" t="str">
        <f>IFERROR(VLOOKUP(Товары_исходные!C492,Справочники!$A$2:$B$50,2,FALSE),Товары_исходные!C492)</f>
        <v>Телевизоры</v>
      </c>
      <c r="D492" t="str">
        <f>PROPER(TRIM(Товары_исходные!D492))</f>
        <v>Sony</v>
      </c>
      <c r="E492" s="4">
        <f>IFERROR(VALUE(IF(AND(ISNUMBER(FIND(",",Товары_исходные!E492)),ISNUMBER(FIND(".",Товары_исходные!E492))),SUBSTITUTE(SUBSTITUTE(SUBSTITUTE(SUBSTITUTE(Товары_исходные!E492," ",""),"руб.",""),"руб",""),",",""),SUBSTITUTE(SUBSTITUTE(SUBSTITUTE(SUBSTITUTE(Товары_исходные!E492," ",""),"руб.",""),"руб",""),",","."))),0)</f>
        <v>38500</v>
      </c>
      <c r="F492" s="4">
        <f>IFERROR(VALUE(IF(AND(ISNUMBER(FIND(",",Товары_исходные!F492)),ISNUMBER(FIND(".",Товары_исходные!F492))),SUBSTITUTE(SUBSTITUTE(SUBSTITUTE(SUBSTITUTE(Товары_исходные!F492," ",""),"руб.",""),"руб",""),",",""),SUBSTITUTE(SUBSTITUTE(SUBSTITUTE(SUBSTITUTE(Товары_исходные!F492," ",""),"руб.",""),"руб",""),",","."))),0)</f>
        <v>59500</v>
      </c>
      <c r="G492" t="str">
        <f>IFERROR(VLOOKUP(Товары_исходные!G492,Справочники!$D$2:$E$50,2,FALSE),"шт.")</f>
        <v>шт.</v>
      </c>
      <c r="H492" t="str">
        <f t="shared" si="18"/>
        <v>OK</v>
      </c>
      <c r="I492" t="str">
        <f t="shared" si="19"/>
        <v>OK</v>
      </c>
    </row>
    <row r="493">
      <c r="A493" t="str">
        <f>"АРТ-"&amp;LEFT(SUBSTITUTE(SUBSTITUTE(SUBSTITUTE(SUBSTITUTE(Товары_исходные!A493,"№",""),"АРТ-",""),"АРТ_",""),"/","-"),3)</f>
        <v>АРТ-492</v>
      </c>
      <c r="B493" t="str">
        <f>PROPER(TRIM(IFERROR(LEFT(Товары_исходные!B493,FIND("(",Товары_исходные!B493)-1),Товары_исходные!B493)))</f>
        <v xml:space="preserve">Телевизор Sony X75L</v>
      </c>
      <c r="C493" t="str">
        <f>IFERROR(VLOOKUP(Товары_исходные!C493,Справочники!$A$2:$B$50,2,FALSE),Товары_исходные!C493)</f>
        <v>Телевизоры</v>
      </c>
      <c r="D493" t="str">
        <f>PROPER(TRIM(Товары_исходные!D493))</f>
        <v>Sony</v>
      </c>
      <c r="E493" s="4">
        <f>IFERROR(VALUE(IF(AND(ISNUMBER(FIND(",",Товары_исходные!E493)),ISNUMBER(FIND(".",Товары_исходные!E493))),SUBSTITUTE(SUBSTITUTE(SUBSTITUTE(SUBSTITUTE(Товары_исходные!E493," ",""),"руб.",""),"руб",""),",",""),SUBSTITUTE(SUBSTITUTE(SUBSTITUTE(SUBSTITUTE(Товары_исходные!E493," ",""),"руб.",""),"руб",""),",","."))),0)</f>
        <v>41500</v>
      </c>
      <c r="F493" s="4">
        <f>IFERROR(VALUE(IF(AND(ISNUMBER(FIND(",",Товары_исходные!F493)),ISNUMBER(FIND(".",Товары_исходные!F493))),SUBSTITUTE(SUBSTITUTE(SUBSTITUTE(SUBSTITUTE(Товары_исходные!F493," ",""),"руб.",""),"руб",""),",",""),SUBSTITUTE(SUBSTITUTE(SUBSTITUTE(SUBSTITUTE(Товары_исходные!F493," ",""),"руб.",""),"руб",""),",","."))),0)</f>
        <v>64000</v>
      </c>
      <c r="G493" t="str">
        <f>IFERROR(VLOOKUP(Товары_исходные!G493,Справочники!$D$2:$E$50,2,FALSE),"шт.")</f>
        <v>шт.</v>
      </c>
      <c r="H493" t="str">
        <f t="shared" si="18"/>
        <v>OK</v>
      </c>
      <c r="I493" t="str">
        <f t="shared" si="19"/>
        <v>OK</v>
      </c>
    </row>
    <row r="494">
      <c r="A494" t="str">
        <f>"АРТ-"&amp;LEFT(SUBSTITUTE(SUBSTITUTE(SUBSTITUTE(SUBSTITUTE(Товары_исходные!A494,"№",""),"АРТ-",""),"АРТ_",""),"/","-"),3)</f>
        <v>АРТ-493</v>
      </c>
      <c r="B494" t="str">
        <f>PROPER(TRIM(IFERROR(LEFT(Товары_исходные!B494,FIND("(",Товары_исходные!B494)-1),Товары_исходные!B494)))</f>
        <v xml:space="preserve">Наушники Sennheiser Hd 450Bt</v>
      </c>
      <c r="C494" t="str">
        <f>IFERROR(VLOOKUP(Товары_исходные!C494,Справочники!$A$2:$B$50,2,FALSE),Товары_исходные!C494)</f>
        <v>Наушники</v>
      </c>
      <c r="D494" t="str">
        <f>PROPER(TRIM(Товары_исходные!D494))</f>
        <v>Sennheiser</v>
      </c>
      <c r="E494" s="4">
        <f>IFERROR(VALUE(IF(AND(ISNUMBER(FIND(",",Товары_исходные!E494)),ISNUMBER(FIND(".",Товары_исходные!E494))),SUBSTITUTE(SUBSTITUTE(SUBSTITUTE(SUBSTITUTE(Товары_исходные!E494," ",""),"руб.",""),"руб",""),",",""),SUBSTITUTE(SUBSTITUTE(SUBSTITUTE(SUBSTITUTE(Товары_исходные!E494," ",""),"руб.",""),"руб",""),",","."))),0)</f>
        <v>9000</v>
      </c>
      <c r="F494" s="4">
        <f>IFERROR(VALUE(IF(AND(ISNUMBER(FIND(",",Товары_исходные!F494)),ISNUMBER(FIND(".",Товары_исходные!F494))),SUBSTITUTE(SUBSTITUTE(SUBSTITUTE(SUBSTITUTE(Товары_исходные!F494," ",""),"руб.",""),"руб",""),",",""),SUBSTITUTE(SUBSTITUTE(SUBSTITUTE(SUBSTITUTE(Товары_исходные!F494," ",""),"руб.",""),"руб",""),",","."))),0)</f>
        <v>14990</v>
      </c>
      <c r="G494" t="str">
        <f>IFERROR(VLOOKUP(Товары_исходные!G494,Справочники!$D$2:$E$50,2,FALSE),"шт.")</f>
        <v>шт.</v>
      </c>
      <c r="H494" t="str">
        <f t="shared" si="18"/>
        <v>OK</v>
      </c>
      <c r="I494" t="str">
        <f t="shared" si="19"/>
        <v>OK</v>
      </c>
    </row>
    <row r="495">
      <c r="A495" t="str">
        <f>"АРТ-"&amp;LEFT(SUBSTITUTE(SUBSTITUTE(SUBSTITUTE(SUBSTITUTE(Товары_исходные!A495,"№",""),"АРТ-",""),"АРТ_",""),"/","-"),3)</f>
        <v>АРТ-494</v>
      </c>
      <c r="B495" t="str">
        <f>PROPER(TRIM(IFERROR(LEFT(Товары_исходные!B495,FIND("(",Товары_исходные!B495)-1),Товары_исходные!B495)))</f>
        <v xml:space="preserve">Наушники Sennheiser Hd 450Bt</v>
      </c>
      <c r="C495" t="str">
        <f>IFERROR(VLOOKUP(Товары_исходные!C495,Справочники!$A$2:$B$50,2,FALSE),Товары_исходные!C495)</f>
        <v>Наушники</v>
      </c>
      <c r="D495" t="str">
        <f>PROPER(TRIM(Товары_исходные!D495))</f>
        <v>Sennheiser</v>
      </c>
      <c r="E495" s="4">
        <f>IFERROR(VALUE(IF(AND(ISNUMBER(FIND(",",Товары_исходные!E495)),ISNUMBER(FIND(".",Товары_исходные!E495))),SUBSTITUTE(SUBSTITUTE(SUBSTITUTE(SUBSTITUTE(Товары_исходные!E495," ",""),"руб.",""),"руб",""),",",""),SUBSTITUTE(SUBSTITUTE(SUBSTITUTE(SUBSTITUTE(Товары_исходные!E495," ",""),"руб.",""),"руб",""),",","."))),0)</f>
        <v>8500</v>
      </c>
      <c r="F495" s="4">
        <f>IFERROR(VALUE(IF(AND(ISNUMBER(FIND(",",Товары_исходные!F495)),ISNUMBER(FIND(".",Товары_исходные!F495))),SUBSTITUTE(SUBSTITUTE(SUBSTITUTE(SUBSTITUTE(Товары_исходные!F495," ",""),"руб.",""),"руб",""),",",""),SUBSTITUTE(SUBSTITUTE(SUBSTITUTE(SUBSTITUTE(Товары_исходные!F495," ",""),"руб.",""),"руб",""),",","."))),0)</f>
        <v>14000</v>
      </c>
      <c r="G495" t="str">
        <f>IFERROR(VLOOKUP(Товары_исходные!G495,Справочники!$D$2:$E$50,2,FALSE),"шт.")</f>
        <v>шт.</v>
      </c>
      <c r="H495" t="str">
        <f t="shared" si="18"/>
        <v>OK</v>
      </c>
      <c r="I495" t="str">
        <f t="shared" si="19"/>
        <v>OK</v>
      </c>
    </row>
    <row r="496">
      <c r="A496" t="str">
        <f>"АРТ-"&amp;LEFT(SUBSTITUTE(SUBSTITUTE(SUBSTITUTE(SUBSTITUTE(Товары_исходные!A496,"№",""),"АРТ-",""),"АРТ_",""),"/","-"),3)</f>
        <v>АРТ-495</v>
      </c>
      <c r="B496" t="str">
        <f>PROPER(TRIM(IFERROR(LEFT(Товары_исходные!B496,FIND("(",Товары_исходные!B496)-1),Товары_исходные!B496)))</f>
        <v xml:space="preserve">Наушники Sennheiser Hd 450Bt</v>
      </c>
      <c r="C496" t="str">
        <f>IFERROR(VLOOKUP(Товары_исходные!C496,Справочники!$A$2:$B$50,2,FALSE),Товары_исходные!C496)</f>
        <v>Наушники</v>
      </c>
      <c r="D496" t="str">
        <f>PROPER(TRIM(Товары_исходные!D496))</f>
        <v>Sennheiser</v>
      </c>
      <c r="E496" s="4">
        <f>IFERROR(VALUE(IF(AND(ISNUMBER(FIND(",",Товары_исходные!E496)),ISNUMBER(FIND(".",Товары_исходные!E496))),SUBSTITUTE(SUBSTITUTE(SUBSTITUTE(SUBSTITUTE(Товары_исходные!E496," ",""),"руб.",""),"руб",""),",",""),SUBSTITUTE(SUBSTITUTE(SUBSTITUTE(SUBSTITUTE(Товары_исходные!E496," ",""),"руб.",""),"руб",""),",","."))),0)</f>
        <v>9500</v>
      </c>
      <c r="F496" s="4">
        <f>IFERROR(VALUE(IF(AND(ISNUMBER(FIND(",",Товары_исходные!F496)),ISNUMBER(FIND(".",Товары_исходные!F496))),SUBSTITUTE(SUBSTITUTE(SUBSTITUTE(SUBSTITUTE(Товары_исходные!F496," ",""),"руб.",""),"руб",""),",",""),SUBSTITUTE(SUBSTITUTE(SUBSTITUTE(SUBSTITUTE(Товары_исходные!F496," ",""),"руб.",""),"руб",""),",","."))),0)</f>
        <v>15800</v>
      </c>
      <c r="G496" t="str">
        <f>IFERROR(VLOOKUP(Товары_исходные!G496,Справочники!$D$2:$E$50,2,FALSE),"шт.")</f>
        <v>шт.</v>
      </c>
      <c r="H496" t="str">
        <f t="shared" si="18"/>
        <v>OK</v>
      </c>
      <c r="I496" t="str">
        <f t="shared" si="19"/>
        <v>OK</v>
      </c>
    </row>
    <row r="497">
      <c r="A497" t="str">
        <f>"АРТ-"&amp;LEFT(SUBSTITUTE(SUBSTITUTE(SUBSTITUTE(SUBSTITUTE(Товары_исходные!A497,"№",""),"АРТ-",""),"АРТ_",""),"/","-"),3)</f>
        <v>АРТ-496</v>
      </c>
      <c r="B497" t="str">
        <f>PROPER(TRIM(IFERROR(LEFT(Товары_исходные!B497,FIND("(",Товары_исходные!B497)-1),Товары_исходные!B497)))</f>
        <v xml:space="preserve">Монитор Asus Tuf Vg32Vq</v>
      </c>
      <c r="C497" t="str">
        <f>IFERROR(VLOOKUP(Товары_исходные!C497,Справочники!$A$2:$B$50,2,FALSE),Товары_исходные!C497)</f>
        <v>Мониторы</v>
      </c>
      <c r="D497" t="str">
        <f>PROPER(TRIM(Товары_исходные!D497))</f>
        <v>Asus</v>
      </c>
      <c r="E497" s="4">
        <f>IFERROR(VALUE(IF(AND(ISNUMBER(FIND(",",Товары_исходные!E497)),ISNUMBER(FIND(".",Товары_исходные!E497))),SUBSTITUTE(SUBSTITUTE(SUBSTITUTE(SUBSTITUTE(Товары_исходные!E497," ",""),"руб.",""),"руб",""),",",""),SUBSTITUTE(SUBSTITUTE(SUBSTITUTE(SUBSTITUTE(Товары_исходные!E497," ",""),"руб.",""),"руб",""),",","."))),0)</f>
        <v>38000</v>
      </c>
      <c r="F497" s="4">
        <f>IFERROR(VALUE(IF(AND(ISNUMBER(FIND(",",Товары_исходные!F497)),ISNUMBER(FIND(".",Товары_исходные!F497))),SUBSTITUTE(SUBSTITUTE(SUBSTITUTE(SUBSTITUTE(Товары_исходные!F497," ",""),"руб.",""),"руб",""),",",""),SUBSTITUTE(SUBSTITUTE(SUBSTITUTE(SUBSTITUTE(Товары_исходные!F497," ",""),"руб.",""),"руб",""),",","."))),0)</f>
        <v>59990</v>
      </c>
      <c r="G497" t="str">
        <f>IFERROR(VLOOKUP(Товары_исходные!G497,Справочники!$D$2:$E$50,2,FALSE),"шт.")</f>
        <v>шт.</v>
      </c>
      <c r="H497" t="str">
        <f t="shared" si="18"/>
        <v>OK</v>
      </c>
      <c r="I497" t="str">
        <f t="shared" si="19"/>
        <v>OK</v>
      </c>
    </row>
    <row r="498">
      <c r="A498" t="str">
        <f>"АРТ-"&amp;LEFT(SUBSTITUTE(SUBSTITUTE(SUBSTITUTE(SUBSTITUTE(Товары_исходные!A498,"№",""),"АРТ-",""),"АРТ_",""),"/","-"),3)</f>
        <v>АРТ-497</v>
      </c>
      <c r="B498" t="str">
        <f>PROPER(TRIM(IFERROR(LEFT(Товары_исходные!B498,FIND("(",Товары_исходные!B498)-1),Товары_исходные!B498)))</f>
        <v xml:space="preserve">Монитор Asus Tuf Vg32Vq</v>
      </c>
      <c r="C498" t="str">
        <f>IFERROR(VLOOKUP(Товары_исходные!C498,Справочники!$A$2:$B$50,2,FALSE),Товары_исходные!C498)</f>
        <v>Мониторы</v>
      </c>
      <c r="D498" t="str">
        <f>PROPER(TRIM(Товары_исходные!D498))</f>
        <v>Asus</v>
      </c>
      <c r="E498" s="4">
        <f>IFERROR(VALUE(IF(AND(ISNUMBER(FIND(",",Товары_исходные!E498)),ISNUMBER(FIND(".",Товары_исходные!E498))),SUBSTITUTE(SUBSTITUTE(SUBSTITUTE(SUBSTITUTE(Товары_исходные!E498," ",""),"руб.",""),"руб",""),",",""),SUBSTITUTE(SUBSTITUTE(SUBSTITUTE(SUBSTITUTE(Товары_исходные!E498," ",""),"руб.",""),"руб",""),",","."))),0)</f>
        <v>36500</v>
      </c>
      <c r="F498" s="4">
        <f>IFERROR(VALUE(IF(AND(ISNUMBER(FIND(",",Товары_исходные!F498)),ISNUMBER(FIND(".",Товары_исходные!F498))),SUBSTITUTE(SUBSTITUTE(SUBSTITUTE(SUBSTITUTE(Товары_исходные!F498," ",""),"руб.",""),"руб",""),",",""),SUBSTITUTE(SUBSTITUTE(SUBSTITUTE(SUBSTITUTE(Товары_исходные!F498," ",""),"руб.",""),"руб",""),",","."))),0)</f>
        <v>57500</v>
      </c>
      <c r="G498" t="str">
        <f>IFERROR(VLOOKUP(Товары_исходные!G498,Справочники!$D$2:$E$50,2,FALSE),"шт.")</f>
        <v>шт.</v>
      </c>
      <c r="H498" t="str">
        <f t="shared" si="18"/>
        <v>OK</v>
      </c>
      <c r="I498" t="str">
        <f t="shared" si="19"/>
        <v>OK</v>
      </c>
    </row>
    <row r="499">
      <c r="A499" t="str">
        <f>"АРТ-"&amp;LEFT(SUBSTITUTE(SUBSTITUTE(SUBSTITUTE(SUBSTITUTE(Товары_исходные!A499,"№",""),"АРТ-",""),"АРТ_",""),"/","-"),3)</f>
        <v>АРТ-498</v>
      </c>
      <c r="B499" t="str">
        <f>PROPER(TRIM(IFERROR(LEFT(Товары_исходные!B499,FIND("(",Товары_исходные!B499)-1),Товары_исходные!B499)))</f>
        <v xml:space="preserve">Монитор Asus Tuf Vg32Vq</v>
      </c>
      <c r="C499" t="str">
        <f>IFERROR(VLOOKUP(Товары_исходные!C499,Справочники!$A$2:$B$50,2,FALSE),Товары_исходные!C499)</f>
        <v>Мониторы</v>
      </c>
      <c r="D499" t="str">
        <f>PROPER(TRIM(Товары_исходные!D499))</f>
        <v>Asus</v>
      </c>
      <c r="E499" s="4">
        <f>IFERROR(VALUE(IF(AND(ISNUMBER(FIND(",",Товары_исходные!E499)),ISNUMBER(FIND(".",Товары_исходные!E499))),SUBSTITUTE(SUBSTITUTE(SUBSTITUTE(SUBSTITUTE(Товары_исходные!E499," ",""),"руб.",""),"руб",""),",",""),SUBSTITUTE(SUBSTITUTE(SUBSTITUTE(SUBSTITUTE(Товары_исходные!E499," ",""),"руб.",""),"руб",""),",","."))),0)</f>
        <v>39500</v>
      </c>
      <c r="F499" s="4">
        <f>IFERROR(VALUE(IF(AND(ISNUMBER(FIND(",",Товары_исходные!F499)),ISNUMBER(FIND(".",Товары_исходные!F499))),SUBSTITUTE(SUBSTITUTE(SUBSTITUTE(SUBSTITUTE(Товары_исходные!F499," ",""),"руб.",""),"руб",""),",",""),SUBSTITUTE(SUBSTITUTE(SUBSTITUTE(SUBSTITUTE(Товары_исходные!F499," ",""),"руб.",""),"руб",""),",","."))),0)</f>
        <v>62000</v>
      </c>
      <c r="G499" t="str">
        <f>IFERROR(VLOOKUP(Товары_исходные!G499,Справочники!$D$2:$E$50,2,FALSE),"шт.")</f>
        <v>шт.</v>
      </c>
      <c r="H499" t="str">
        <f t="shared" si="18"/>
        <v>OK</v>
      </c>
      <c r="I499" t="str">
        <f t="shared" si="19"/>
        <v>OK</v>
      </c>
    </row>
    <row r="500">
      <c r="A500" t="str">
        <f>"АРТ-"&amp;LEFT(SUBSTITUTE(SUBSTITUTE(SUBSTITUTE(SUBSTITUTE(Товары_исходные!A500,"№",""),"АРТ-",""),"АРТ_",""),"/","-"),3)</f>
        <v>АРТ-499</v>
      </c>
      <c r="B500" t="str">
        <f>PROPER(TRIM(IFERROR(LEFT(Товары_исходные!B500,FIND("(",Товары_исходные!B500)-1),Товары_исходные!B500)))</f>
        <v xml:space="preserve">Клавиатура Logitech Pop Keys</v>
      </c>
      <c r="C500" t="str">
        <f>IFERROR(VLOOKUP(Товары_исходные!C500,Справочники!$A$2:$B$50,2,FALSE),Товары_исходные!C500)</f>
        <v>Аксессуары</v>
      </c>
      <c r="D500" t="str">
        <f>PROPER(TRIM(Товары_исходные!D500))</f>
        <v>Logitech</v>
      </c>
      <c r="E500" s="4">
        <f>IFERROR(VALUE(IF(AND(ISNUMBER(FIND(",",Товары_исходные!E500)),ISNUMBER(FIND(".",Товары_исходные!E500))),SUBSTITUTE(SUBSTITUTE(SUBSTITUTE(SUBSTITUTE(Товары_исходные!E500," ",""),"руб.",""),"руб",""),",",""),SUBSTITUTE(SUBSTITUTE(SUBSTITUTE(SUBSTITUTE(Товары_исходные!E500," ",""),"руб.",""),"руб",""),",","."))),0)</f>
        <v>3500</v>
      </c>
      <c r="F500" s="4">
        <f>IFERROR(VALUE(IF(AND(ISNUMBER(FIND(",",Товары_исходные!F500)),ISNUMBER(FIND(".",Товары_исходные!F500))),SUBSTITUTE(SUBSTITUTE(SUBSTITUTE(SUBSTITUTE(Товары_исходные!F500," ",""),"руб.",""),"руб",""),",",""),SUBSTITUTE(SUBSTITUTE(SUBSTITUTE(SUBSTITUTE(Товары_исходные!F500," ",""),"руб.",""),"руб",""),",","."))),0)</f>
        <v>5990</v>
      </c>
      <c r="G500" t="str">
        <f>IFERROR(VLOOKUP(Товары_исходные!G500,Справочники!$D$2:$E$50,2,FALSE),"шт.")</f>
        <v>шт.</v>
      </c>
      <c r="H500" t="str">
        <f t="shared" si="18"/>
        <v>OK</v>
      </c>
      <c r="I500" t="str">
        <f t="shared" si="19"/>
        <v>OK</v>
      </c>
    </row>
    <row r="501">
      <c r="A501" t="str">
        <f>"АРТ-"&amp;LEFT(SUBSTITUTE(SUBSTITUTE(SUBSTITUTE(SUBSTITUTE(Товары_исходные!A501,"№",""),"АРТ-",""),"АРТ_",""),"/","-"),3)</f>
        <v>АРТ-500</v>
      </c>
      <c r="B501" t="str">
        <f>PROPER(TRIM(IFERROR(LEFT(Товары_исходные!B501,FIND("(",Товары_исходные!B501)-1),Товары_исходные!B501)))</f>
        <v xml:space="preserve">Клавиатура Logitech Pop Keys</v>
      </c>
      <c r="C501" t="str">
        <f>IFERROR(VLOOKUP(Товары_исходные!C501,Справочники!$A$2:$B$50,2,FALSE),Товары_исходные!C501)</f>
        <v>Аксессуары</v>
      </c>
      <c r="D501" t="str">
        <f>PROPER(TRIM(Товары_исходные!D501))</f>
        <v>Logitech</v>
      </c>
      <c r="E501" s="4">
        <f>IFERROR(VALUE(IF(AND(ISNUMBER(FIND(",",Товары_исходные!E501)),ISNUMBER(FIND(".",Товары_исходные!E501))),SUBSTITUTE(SUBSTITUTE(SUBSTITUTE(SUBSTITUTE(Товары_исходные!E501," ",""),"руб.",""),"руб",""),",",""),SUBSTITUTE(SUBSTITUTE(SUBSTITUTE(SUBSTITUTE(Товары_исходные!E501," ",""),"руб.",""),"руб",""),",","."))),0)</f>
        <v>3000</v>
      </c>
      <c r="F501" s="4">
        <f>IFERROR(VALUE(IF(AND(ISNUMBER(FIND(",",Товары_исходные!F501)),ISNUMBER(FIND(".",Товары_исходные!F501))),SUBSTITUTE(SUBSTITUTE(SUBSTITUTE(SUBSTITUTE(Товары_исходные!F501," ",""),"руб.",""),"руб",""),",",""),SUBSTITUTE(SUBSTITUTE(SUBSTITUTE(SUBSTITUTE(Товары_исходные!F501," ",""),"руб.",""),"руб",""),",","."))),0)</f>
        <v>5500</v>
      </c>
      <c r="G501" t="str">
        <f>IFERROR(VLOOKUP(Товары_исходные!G501,Справочники!$D$2:$E$50,2,FALSE),"шт.")</f>
        <v>шт.</v>
      </c>
      <c r="H501" t="str">
        <f t="shared" si="18"/>
        <v>OK</v>
      </c>
      <c r="I501" t="str">
        <f t="shared" si="19"/>
        <v>OK</v>
      </c>
    </row>
    <row r="502">
      <c r="A502" t="str">
        <f>"АРТ-"&amp;LEFT(SUBSTITUTE(SUBSTITUTE(SUBSTITUTE(SUBSTITUTE(Товары_исходные!A502,"№",""),"АРТ-",""),"АРТ_",""),"/","-"),3)</f>
        <v>АРТ-501</v>
      </c>
      <c r="B502" t="str">
        <f>PROPER(TRIM(IFERROR(LEFT(Товары_исходные!B502,FIND("(",Товары_исходные!B502)-1),Товары_исходные!B502)))</f>
        <v xml:space="preserve">Клавиатура Logitech Pop Keys</v>
      </c>
      <c r="C502" t="str">
        <f>IFERROR(VLOOKUP(Товары_исходные!C502,Справочники!$A$2:$B$50,2,FALSE),Товары_исходные!C502)</f>
        <v>Аксессуары</v>
      </c>
      <c r="D502" t="str">
        <f>PROPER(TRIM(Товары_исходные!D502))</f>
        <v>Logitech</v>
      </c>
      <c r="E502" s="4">
        <f>IFERROR(VALUE(IF(AND(ISNUMBER(FIND(",",Товары_исходные!E502)),ISNUMBER(FIND(".",Товары_исходные!E502))),SUBSTITUTE(SUBSTITUTE(SUBSTITUTE(SUBSTITUTE(Товары_исходные!E502," ",""),"руб.",""),"руб",""),",",""),SUBSTITUTE(SUBSTITUTE(SUBSTITUTE(SUBSTITUTE(Товары_исходные!E502," ",""),"руб.",""),"руб",""),",","."))),0)</f>
        <v>4000</v>
      </c>
      <c r="F502" s="4">
        <f>IFERROR(VALUE(IF(AND(ISNUMBER(FIND(",",Товары_исходные!F502)),ISNUMBER(FIND(".",Товары_исходные!F502))),SUBSTITUTE(SUBSTITUTE(SUBSTITUTE(SUBSTITUTE(Товары_исходные!F502," ",""),"руб.",""),"руб",""),",",""),SUBSTITUTE(SUBSTITUTE(SUBSTITUTE(SUBSTITUTE(Товары_исходные!F502," ",""),"руб.",""),"руб",""),",","."))),0)</f>
        <v>6800</v>
      </c>
      <c r="G502" t="str">
        <f>IFERROR(VLOOKUP(Товары_исходные!G502,Справочники!$D$2:$E$50,2,FALSE),"шт.")</f>
        <v>шт.</v>
      </c>
      <c r="H502" t="str">
        <f t="shared" si="18"/>
        <v>OK</v>
      </c>
      <c r="I502" t="str">
        <f t="shared" si="19"/>
        <v>OK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8" defaultRowHeight="14.25"/>
  <cols>
    <col bestFit="1" min="1" max="1" width="14.61328125"/>
    <col bestFit="1" min="2" max="2" width="22.33203125"/>
    <col bestFit="1" min="3" max="3" width="14.33203125"/>
    <col bestFit="1" min="4" max="4" width="10.140625"/>
    <col bestFit="1" min="5" max="5" width="15.953125"/>
    <col bestFit="1" min="6" max="6" width="18.140625"/>
    <col bestFit="1" min="7" max="7" width="52.421875"/>
  </cols>
  <sheetData>
    <row r="1">
      <c r="A1" s="2" t="s">
        <v>1546</v>
      </c>
      <c r="B1" s="2" t="s">
        <v>1547</v>
      </c>
      <c r="C1" s="2" t="s">
        <v>1548</v>
      </c>
      <c r="D1" s="2" t="s">
        <v>1549</v>
      </c>
      <c r="E1" s="2" t="s">
        <v>1550</v>
      </c>
      <c r="F1" s="2" t="s">
        <v>1551</v>
      </c>
      <c r="G1" s="2" t="s">
        <v>1552</v>
      </c>
    </row>
    <row r="2">
      <c r="A2" t="s">
        <v>1553</v>
      </c>
      <c r="B2" t="s">
        <v>1554</v>
      </c>
      <c r="C2" t="s">
        <v>1555</v>
      </c>
      <c r="D2" t="s">
        <v>1556</v>
      </c>
      <c r="E2" t="s">
        <v>1557</v>
      </c>
      <c r="F2" t="s">
        <v>1558</v>
      </c>
      <c r="G2" t="s">
        <v>1559</v>
      </c>
    </row>
    <row r="3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 t="s">
        <v>1565</v>
      </c>
      <c r="G3" t="s">
        <v>1566</v>
      </c>
    </row>
    <row r="4">
      <c r="A4" t="s">
        <v>1567</v>
      </c>
      <c r="B4" t="s">
        <v>1568</v>
      </c>
      <c r="C4" t="s">
        <v>1569</v>
      </c>
      <c r="D4" t="s">
        <v>1570</v>
      </c>
      <c r="E4" t="s">
        <v>1571</v>
      </c>
      <c r="F4" t="s">
        <v>1572</v>
      </c>
      <c r="G4" t="s">
        <v>1573</v>
      </c>
    </row>
    <row r="5">
      <c r="A5" t="s">
        <v>1574</v>
      </c>
      <c r="B5" t="s">
        <v>1575</v>
      </c>
      <c r="C5" t="s">
        <v>1576</v>
      </c>
      <c r="D5" t="s">
        <v>1577</v>
      </c>
      <c r="E5" t="s">
        <v>1578</v>
      </c>
      <c r="F5" t="s">
        <v>1579</v>
      </c>
      <c r="G5" t="s">
        <v>1580</v>
      </c>
    </row>
    <row r="6">
      <c r="A6" t="s">
        <v>1581</v>
      </c>
      <c r="B6" t="s">
        <v>1582</v>
      </c>
      <c r="C6" t="s">
        <v>1583</v>
      </c>
      <c r="D6" t="s">
        <v>1584</v>
      </c>
      <c r="E6" t="s">
        <v>1585</v>
      </c>
      <c r="F6" t="s">
        <v>1586</v>
      </c>
      <c r="G6" t="s">
        <v>1587</v>
      </c>
    </row>
    <row r="7">
      <c r="A7" t="s">
        <v>1588</v>
      </c>
      <c r="B7" t="s">
        <v>1589</v>
      </c>
      <c r="C7" t="s">
        <v>1590</v>
      </c>
      <c r="D7" t="s">
        <v>1591</v>
      </c>
      <c r="E7" t="s">
        <v>1592</v>
      </c>
      <c r="F7" t="s">
        <v>1593</v>
      </c>
      <c r="G7" t="s">
        <v>1594</v>
      </c>
    </row>
    <row r="8">
      <c r="A8" t="s">
        <v>1595</v>
      </c>
      <c r="B8" t="s">
        <v>1596</v>
      </c>
      <c r="C8" t="s">
        <v>1597</v>
      </c>
      <c r="D8" t="s">
        <v>1598</v>
      </c>
      <c r="E8" t="s">
        <v>1599</v>
      </c>
      <c r="F8" t="s">
        <v>1600</v>
      </c>
      <c r="G8" t="s">
        <v>1601</v>
      </c>
    </row>
    <row r="9">
      <c r="A9" t="s">
        <v>1602</v>
      </c>
      <c r="B9" t="s">
        <v>1603</v>
      </c>
      <c r="C9" t="s">
        <v>1604</v>
      </c>
      <c r="D9" t="s">
        <v>1605</v>
      </c>
      <c r="E9" t="s">
        <v>1606</v>
      </c>
      <c r="F9" t="s">
        <v>1607</v>
      </c>
      <c r="G9" t="s">
        <v>1608</v>
      </c>
    </row>
    <row r="10">
      <c r="A10" t="s">
        <v>1609</v>
      </c>
      <c r="B10" t="s">
        <v>1610</v>
      </c>
      <c r="C10" t="s">
        <v>1611</v>
      </c>
      <c r="D10" t="s">
        <v>1612</v>
      </c>
      <c r="E10" t="s">
        <v>1613</v>
      </c>
      <c r="F10" t="s">
        <v>1614</v>
      </c>
      <c r="G10" t="s">
        <v>1615</v>
      </c>
    </row>
    <row r="11">
      <c r="A11" t="s">
        <v>1616</v>
      </c>
      <c r="B11" t="s">
        <v>1617</v>
      </c>
      <c r="C11" t="s">
        <v>1618</v>
      </c>
      <c r="D11" t="s">
        <v>1619</v>
      </c>
      <c r="E11" t="s">
        <v>1620</v>
      </c>
      <c r="F11" t="s">
        <v>1621</v>
      </c>
      <c r="G11" t="s">
        <v>1622</v>
      </c>
    </row>
    <row r="12">
      <c r="A12" t="s">
        <v>1623</v>
      </c>
      <c r="B12" t="s">
        <v>1624</v>
      </c>
      <c r="C12" t="s">
        <v>1625</v>
      </c>
      <c r="D12" t="s">
        <v>1626</v>
      </c>
      <c r="E12" t="s">
        <v>1557</v>
      </c>
      <c r="F12" t="s">
        <v>1627</v>
      </c>
      <c r="G12" t="s">
        <v>1628</v>
      </c>
    </row>
    <row r="13">
      <c r="A13" t="s">
        <v>1629</v>
      </c>
      <c r="B13" t="s">
        <v>1630</v>
      </c>
      <c r="C13" t="s">
        <v>1631</v>
      </c>
      <c r="D13" t="s">
        <v>1632</v>
      </c>
      <c r="E13" t="s">
        <v>1633</v>
      </c>
      <c r="F13" t="s">
        <v>1634</v>
      </c>
      <c r="G13" t="s">
        <v>1635</v>
      </c>
    </row>
    <row r="14">
      <c r="A14" t="s">
        <v>1636</v>
      </c>
      <c r="B14" t="s">
        <v>1637</v>
      </c>
      <c r="C14" t="s">
        <v>1638</v>
      </c>
      <c r="D14" t="s">
        <v>1639</v>
      </c>
      <c r="E14" t="s">
        <v>1640</v>
      </c>
      <c r="F14" t="s">
        <v>1641</v>
      </c>
      <c r="G14" t="s">
        <v>1642</v>
      </c>
    </row>
    <row r="15">
      <c r="A15" t="s">
        <v>1643</v>
      </c>
      <c r="B15" t="s">
        <v>1644</v>
      </c>
      <c r="C15" t="s">
        <v>1645</v>
      </c>
      <c r="D15" t="s">
        <v>1646</v>
      </c>
      <c r="E15" t="s">
        <v>1647</v>
      </c>
      <c r="F15" t="s">
        <v>1648</v>
      </c>
      <c r="G15" t="s">
        <v>1649</v>
      </c>
    </row>
    <row r="16">
      <c r="A16" t="s">
        <v>1650</v>
      </c>
      <c r="B16" t="s">
        <v>1651</v>
      </c>
      <c r="C16" t="s">
        <v>1652</v>
      </c>
      <c r="D16" t="s">
        <v>1653</v>
      </c>
      <c r="E16" t="s">
        <v>1654</v>
      </c>
      <c r="F16" t="s">
        <v>1655</v>
      </c>
      <c r="G16" t="s">
        <v>1656</v>
      </c>
    </row>
    <row r="17">
      <c r="A17" t="s">
        <v>1657</v>
      </c>
      <c r="B17" t="s">
        <v>1658</v>
      </c>
      <c r="C17" t="s">
        <v>1659</v>
      </c>
      <c r="D17" t="s">
        <v>1660</v>
      </c>
      <c r="E17" t="s">
        <v>1592</v>
      </c>
      <c r="F17" t="s">
        <v>1661</v>
      </c>
      <c r="G17" t="s">
        <v>1662</v>
      </c>
    </row>
    <row r="18">
      <c r="A18" t="s">
        <v>1663</v>
      </c>
      <c r="B18" t="s">
        <v>1664</v>
      </c>
      <c r="C18" t="s">
        <v>1665</v>
      </c>
      <c r="D18" t="s">
        <v>1666</v>
      </c>
      <c r="E18" t="s">
        <v>1599</v>
      </c>
      <c r="F18" t="s">
        <v>1667</v>
      </c>
      <c r="G18" t="s">
        <v>1668</v>
      </c>
    </row>
    <row r="19">
      <c r="A19" t="s">
        <v>1669</v>
      </c>
      <c r="B19" t="s">
        <v>1670</v>
      </c>
      <c r="C19" t="s">
        <v>1671</v>
      </c>
      <c r="D19" t="s">
        <v>1672</v>
      </c>
      <c r="E19" t="s">
        <v>1606</v>
      </c>
      <c r="F19" t="s">
        <v>1673</v>
      </c>
      <c r="G19" t="s">
        <v>1674</v>
      </c>
    </row>
    <row r="20">
      <c r="A20" t="s">
        <v>1675</v>
      </c>
      <c r="B20" t="s">
        <v>1676</v>
      </c>
      <c r="C20" t="s">
        <v>1677</v>
      </c>
      <c r="D20" t="s">
        <v>1678</v>
      </c>
      <c r="E20" t="s">
        <v>1679</v>
      </c>
      <c r="F20" t="s">
        <v>1680</v>
      </c>
      <c r="G20" t="s">
        <v>1681</v>
      </c>
    </row>
    <row r="21">
      <c r="A21" t="s">
        <v>1682</v>
      </c>
      <c r="B21" t="s">
        <v>1683</v>
      </c>
      <c r="C21" t="s">
        <v>1684</v>
      </c>
      <c r="D21" t="s">
        <v>1685</v>
      </c>
      <c r="E21" t="s">
        <v>1620</v>
      </c>
      <c r="F21" t="s">
        <v>1686</v>
      </c>
      <c r="G21" t="s">
        <v>1687</v>
      </c>
    </row>
    <row r="22">
      <c r="A22" t="s">
        <v>1688</v>
      </c>
      <c r="B22" t="s">
        <v>1689</v>
      </c>
      <c r="C22" t="s">
        <v>1690</v>
      </c>
      <c r="D22" t="s">
        <v>1691</v>
      </c>
      <c r="E22" t="s">
        <v>1692</v>
      </c>
      <c r="F22" t="s">
        <v>1693</v>
      </c>
      <c r="G22" t="s">
        <v>1694</v>
      </c>
    </row>
    <row r="23">
      <c r="A23" t="s">
        <v>1695</v>
      </c>
      <c r="B23" t="s">
        <v>1696</v>
      </c>
      <c r="C23" t="s">
        <v>1697</v>
      </c>
      <c r="D23" t="s">
        <v>1698</v>
      </c>
      <c r="E23" t="s">
        <v>1699</v>
      </c>
      <c r="F23" t="s">
        <v>1700</v>
      </c>
      <c r="G23" t="s">
        <v>1701</v>
      </c>
    </row>
    <row r="24">
      <c r="A24" t="s">
        <v>1702</v>
      </c>
      <c r="B24" t="s">
        <v>1703</v>
      </c>
      <c r="C24" t="s">
        <v>1704</v>
      </c>
      <c r="D24" t="s">
        <v>1705</v>
      </c>
      <c r="E24" t="s">
        <v>1640</v>
      </c>
      <c r="F24" t="s">
        <v>1706</v>
      </c>
      <c r="G24" t="s">
        <v>1707</v>
      </c>
    </row>
    <row r="25">
      <c r="A25" t="s">
        <v>1708</v>
      </c>
      <c r="B25" t="s">
        <v>1709</v>
      </c>
      <c r="C25" t="s">
        <v>1710</v>
      </c>
      <c r="D25" t="s">
        <v>1711</v>
      </c>
      <c r="E25" t="s">
        <v>1647</v>
      </c>
      <c r="F25" t="s">
        <v>1712</v>
      </c>
      <c r="G25" t="s">
        <v>1713</v>
      </c>
    </row>
    <row r="26">
      <c r="A26" t="s">
        <v>1714</v>
      </c>
      <c r="B26" t="s">
        <v>1715</v>
      </c>
      <c r="C26" t="s">
        <v>1716</v>
      </c>
      <c r="D26" t="s">
        <v>1717</v>
      </c>
      <c r="E26" t="s">
        <v>1718</v>
      </c>
      <c r="F26" t="s">
        <v>1719</v>
      </c>
      <c r="G26" t="s">
        <v>1720</v>
      </c>
    </row>
    <row r="27">
      <c r="A27" t="s">
        <v>1721</v>
      </c>
      <c r="B27" t="s">
        <v>1722</v>
      </c>
      <c r="C27" t="s">
        <v>1723</v>
      </c>
      <c r="D27" t="s">
        <v>1724</v>
      </c>
      <c r="E27" t="s">
        <v>1592</v>
      </c>
      <c r="F27" t="s">
        <v>1725</v>
      </c>
      <c r="G27" t="s">
        <v>1726</v>
      </c>
    </row>
    <row r="28">
      <c r="A28" t="s">
        <v>1727</v>
      </c>
      <c r="B28" t="s">
        <v>1728</v>
      </c>
      <c r="C28" t="s">
        <v>1729</v>
      </c>
      <c r="D28" t="s">
        <v>1563</v>
      </c>
      <c r="E28" t="s">
        <v>1730</v>
      </c>
      <c r="F28" t="s">
        <v>1731</v>
      </c>
      <c r="G28" t="s">
        <v>1732</v>
      </c>
    </row>
    <row r="29">
      <c r="A29" t="s">
        <v>1733</v>
      </c>
      <c r="B29" t="s">
        <v>1734</v>
      </c>
      <c r="C29" t="s">
        <v>1735</v>
      </c>
      <c r="D29" t="s">
        <v>1736</v>
      </c>
      <c r="E29" t="s">
        <v>1606</v>
      </c>
      <c r="F29" t="s">
        <v>1737</v>
      </c>
      <c r="G29" t="s">
        <v>1738</v>
      </c>
    </row>
    <row r="30">
      <c r="A30" t="s">
        <v>1739</v>
      </c>
      <c r="B30" t="s">
        <v>1740</v>
      </c>
      <c r="C30" t="s">
        <v>1741</v>
      </c>
      <c r="D30" t="s">
        <v>1742</v>
      </c>
      <c r="E30" t="s">
        <v>1743</v>
      </c>
      <c r="F30" t="s">
        <v>1744</v>
      </c>
      <c r="G30" t="s">
        <v>1745</v>
      </c>
    </row>
    <row r="31">
      <c r="A31" t="s">
        <v>1746</v>
      </c>
      <c r="B31" t="s">
        <v>1747</v>
      </c>
      <c r="C31" t="s">
        <v>1748</v>
      </c>
      <c r="D31" t="s">
        <v>1749</v>
      </c>
      <c r="E31" t="s">
        <v>1620</v>
      </c>
      <c r="F31" t="s">
        <v>1750</v>
      </c>
      <c r="G31" t="s">
        <v>1751</v>
      </c>
    </row>
    <row r="32">
      <c r="A32" t="s">
        <v>1752</v>
      </c>
      <c r="B32" t="s">
        <v>1753</v>
      </c>
      <c r="C32" t="s">
        <v>1754</v>
      </c>
      <c r="D32" t="s">
        <v>1755</v>
      </c>
      <c r="E32" t="s">
        <v>1756</v>
      </c>
      <c r="F32" t="s">
        <v>1757</v>
      </c>
      <c r="G32" t="s">
        <v>1758</v>
      </c>
    </row>
    <row r="33">
      <c r="A33" t="s">
        <v>1759</v>
      </c>
      <c r="B33" t="s">
        <v>1760</v>
      </c>
      <c r="C33" t="s">
        <v>1761</v>
      </c>
      <c r="D33" t="s">
        <v>1762</v>
      </c>
      <c r="E33" t="s">
        <v>1699</v>
      </c>
      <c r="F33" t="s">
        <v>1763</v>
      </c>
      <c r="G33" t="s">
        <v>1764</v>
      </c>
    </row>
    <row r="34">
      <c r="A34" t="s">
        <v>1765</v>
      </c>
      <c r="B34" t="s">
        <v>1766</v>
      </c>
      <c r="C34" t="s">
        <v>1767</v>
      </c>
      <c r="D34" t="s">
        <v>1768</v>
      </c>
      <c r="E34" t="s">
        <v>1640</v>
      </c>
      <c r="F34" t="s">
        <v>1769</v>
      </c>
      <c r="G34" t="s">
        <v>1770</v>
      </c>
    </row>
    <row r="35">
      <c r="A35" t="s">
        <v>1771</v>
      </c>
      <c r="B35" t="s">
        <v>1772</v>
      </c>
      <c r="C35" t="s">
        <v>1773</v>
      </c>
      <c r="D35" t="s">
        <v>1774</v>
      </c>
      <c r="E35" t="s">
        <v>1647</v>
      </c>
      <c r="F35" t="s">
        <v>1775</v>
      </c>
      <c r="G35" t="s">
        <v>1776</v>
      </c>
    </row>
    <row r="36">
      <c r="A36" t="s">
        <v>1777</v>
      </c>
      <c r="B36" t="s">
        <v>1778</v>
      </c>
      <c r="C36" t="s">
        <v>1779</v>
      </c>
      <c r="D36" t="s">
        <v>1780</v>
      </c>
      <c r="E36" t="s">
        <v>1718</v>
      </c>
      <c r="F36" t="s">
        <v>1781</v>
      </c>
      <c r="G36" t="s">
        <v>1782</v>
      </c>
    </row>
    <row r="37">
      <c r="A37" t="s">
        <v>1783</v>
      </c>
      <c r="B37" t="s">
        <v>1784</v>
      </c>
      <c r="C37" t="s">
        <v>1785</v>
      </c>
      <c r="D37" t="s">
        <v>1786</v>
      </c>
      <c r="E37" t="s">
        <v>1592</v>
      </c>
      <c r="F37" t="s">
        <v>1787</v>
      </c>
      <c r="G37" t="s">
        <v>1788</v>
      </c>
    </row>
    <row r="38">
      <c r="A38" t="s">
        <v>1789</v>
      </c>
      <c r="B38" t="s">
        <v>1790</v>
      </c>
      <c r="C38" t="s">
        <v>1791</v>
      </c>
      <c r="D38" t="s">
        <v>1792</v>
      </c>
      <c r="E38" t="s">
        <v>1730</v>
      </c>
      <c r="F38" t="s">
        <v>1793</v>
      </c>
      <c r="G38" t="s">
        <v>1794</v>
      </c>
    </row>
    <row r="39">
      <c r="A39" t="s">
        <v>1795</v>
      </c>
      <c r="B39" t="s">
        <v>1796</v>
      </c>
      <c r="C39" t="s">
        <v>1797</v>
      </c>
      <c r="D39" t="s">
        <v>1798</v>
      </c>
      <c r="E39" t="s">
        <v>1606</v>
      </c>
      <c r="F39" t="s">
        <v>1799</v>
      </c>
      <c r="G39" t="s">
        <v>1800</v>
      </c>
    </row>
    <row r="40">
      <c r="A40" t="s">
        <v>1801</v>
      </c>
      <c r="B40" t="s">
        <v>1802</v>
      </c>
      <c r="C40" t="s">
        <v>1803</v>
      </c>
      <c r="D40" t="s">
        <v>1804</v>
      </c>
      <c r="E40" t="s">
        <v>1679</v>
      </c>
      <c r="F40" t="s">
        <v>1805</v>
      </c>
      <c r="G40" t="s">
        <v>1806</v>
      </c>
    </row>
    <row r="41">
      <c r="A41" t="s">
        <v>1807</v>
      </c>
      <c r="B41" t="s">
        <v>1808</v>
      </c>
      <c r="C41" t="s">
        <v>1809</v>
      </c>
      <c r="D41" t="s">
        <v>1810</v>
      </c>
      <c r="E41" t="s">
        <v>1620</v>
      </c>
      <c r="F41" t="s">
        <v>1811</v>
      </c>
      <c r="G41" t="s">
        <v>1812</v>
      </c>
    </row>
    <row r="42">
      <c r="A42" t="s">
        <v>1813</v>
      </c>
      <c r="B42" t="s">
        <v>1814</v>
      </c>
      <c r="C42" t="s">
        <v>1815</v>
      </c>
      <c r="D42" t="s">
        <v>1816</v>
      </c>
      <c r="E42" t="s">
        <v>1692</v>
      </c>
      <c r="F42" t="s">
        <v>1817</v>
      </c>
      <c r="G42" t="s">
        <v>1818</v>
      </c>
    </row>
    <row r="43">
      <c r="A43" t="s">
        <v>1819</v>
      </c>
      <c r="B43" t="s">
        <v>1820</v>
      </c>
      <c r="C43" t="s">
        <v>1821</v>
      </c>
      <c r="D43" t="s">
        <v>1822</v>
      </c>
      <c r="E43" t="s">
        <v>1699</v>
      </c>
      <c r="F43" t="s">
        <v>1823</v>
      </c>
      <c r="G43" t="s">
        <v>1824</v>
      </c>
    </row>
    <row r="44">
      <c r="A44" t="s">
        <v>1825</v>
      </c>
      <c r="B44" t="s">
        <v>1826</v>
      </c>
      <c r="C44" t="s">
        <v>1827</v>
      </c>
      <c r="D44" t="s">
        <v>1828</v>
      </c>
      <c r="E44" t="s">
        <v>1640</v>
      </c>
      <c r="F44" t="s">
        <v>1829</v>
      </c>
      <c r="G44" t="s">
        <v>1830</v>
      </c>
    </row>
    <row r="45">
      <c r="A45" t="s">
        <v>1831</v>
      </c>
      <c r="B45" t="s">
        <v>1832</v>
      </c>
      <c r="C45" t="s">
        <v>1833</v>
      </c>
      <c r="D45" t="s">
        <v>1834</v>
      </c>
      <c r="E45" t="s">
        <v>1647</v>
      </c>
      <c r="F45" t="s">
        <v>1835</v>
      </c>
      <c r="G45" t="s">
        <v>1836</v>
      </c>
    </row>
    <row r="46">
      <c r="A46" t="s">
        <v>1837</v>
      </c>
      <c r="B46" t="s">
        <v>1838</v>
      </c>
      <c r="C46" t="s">
        <v>1839</v>
      </c>
      <c r="D46" t="s">
        <v>1840</v>
      </c>
      <c r="E46" t="s">
        <v>1718</v>
      </c>
      <c r="F46" t="s">
        <v>1841</v>
      </c>
      <c r="G46" t="s">
        <v>1842</v>
      </c>
    </row>
    <row r="47">
      <c r="A47" t="s">
        <v>1843</v>
      </c>
      <c r="B47" t="s">
        <v>1844</v>
      </c>
      <c r="C47" t="s">
        <v>1845</v>
      </c>
      <c r="D47" t="s">
        <v>1846</v>
      </c>
      <c r="E47" t="s">
        <v>1592</v>
      </c>
      <c r="F47" t="s">
        <v>1847</v>
      </c>
      <c r="G47" t="s">
        <v>1848</v>
      </c>
    </row>
    <row r="48">
      <c r="A48" t="s">
        <v>1849</v>
      </c>
      <c r="B48" t="s">
        <v>1850</v>
      </c>
      <c r="C48" t="s">
        <v>1851</v>
      </c>
      <c r="D48" t="s">
        <v>1852</v>
      </c>
      <c r="E48" t="s">
        <v>1730</v>
      </c>
      <c r="F48" t="s">
        <v>1853</v>
      </c>
      <c r="G48" t="s">
        <v>1854</v>
      </c>
    </row>
    <row r="49">
      <c r="A49" t="s">
        <v>1855</v>
      </c>
      <c r="B49" t="s">
        <v>1856</v>
      </c>
      <c r="C49" t="s">
        <v>1857</v>
      </c>
      <c r="D49" t="s">
        <v>1858</v>
      </c>
      <c r="E49" t="s">
        <v>1606</v>
      </c>
      <c r="F49" t="s">
        <v>1859</v>
      </c>
      <c r="G49" t="s">
        <v>1860</v>
      </c>
    </row>
    <row r="50">
      <c r="A50" t="s">
        <v>1861</v>
      </c>
      <c r="B50" t="s">
        <v>1862</v>
      </c>
      <c r="C50" t="s">
        <v>1863</v>
      </c>
      <c r="D50" t="s">
        <v>1864</v>
      </c>
      <c r="E50" t="s">
        <v>1679</v>
      </c>
      <c r="F50" t="s">
        <v>1865</v>
      </c>
      <c r="G50" t="s">
        <v>1866</v>
      </c>
    </row>
    <row r="51">
      <c r="A51" t="s">
        <v>1867</v>
      </c>
      <c r="B51" t="s">
        <v>1868</v>
      </c>
      <c r="C51" t="s">
        <v>1869</v>
      </c>
      <c r="D51" t="s">
        <v>1870</v>
      </c>
      <c r="E51" t="s">
        <v>1620</v>
      </c>
      <c r="F51" t="s">
        <v>1871</v>
      </c>
      <c r="G51" t="s">
        <v>1872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8" defaultRowHeight="14.25"/>
  <cols>
    <col bestFit="1" min="1" max="1" width="14.61328125"/>
    <col bestFit="1" min="2" max="2" width="21.57421875"/>
    <col bestFit="1" min="3" max="3" width="14.33203125"/>
    <col bestFit="1" min="4" max="4" width="10.140625"/>
    <col bestFit="1" min="5" max="5" width="17.19140625"/>
    <col bestFit="1" min="6" max="6" width="20.61328125"/>
    <col bestFit="1" min="7" max="7" width="52.421875"/>
    <col bestFit="1" min="8" max="8" width="7.3828125"/>
    <col bestFit="1" min="9" max="9" width="45.6640625"/>
    <col bestFit="1" min="10" max="10" width="14.7109375"/>
    <col bestFit="1" min="11" max="11" width="15.47265625"/>
  </cols>
  <sheetData>
    <row r="1">
      <c r="A1" s="3" t="s">
        <v>1546</v>
      </c>
      <c r="B1" s="3" t="s">
        <v>1547</v>
      </c>
      <c r="C1" s="3" t="s">
        <v>1548</v>
      </c>
      <c r="D1" s="3" t="s">
        <v>1549</v>
      </c>
      <c r="E1" s="3" t="s">
        <v>1550</v>
      </c>
      <c r="F1" s="3" t="s">
        <v>1551</v>
      </c>
      <c r="G1" s="3" t="s">
        <v>1552</v>
      </c>
      <c r="H1" s="3" t="s">
        <v>1873</v>
      </c>
      <c r="I1" s="3" t="s">
        <v>1874</v>
      </c>
      <c r="J1" s="3" t="s">
        <v>1875</v>
      </c>
      <c r="K1" s="3" t="s">
        <v>1876</v>
      </c>
    </row>
    <row r="2">
      <c r="A2" t="str">
        <f>'Поставщики_исходные'!A2</f>
        <v>P001</v>
      </c>
      <c r="B2" t="str">
        <f>PROPER(TRIM('Поставщики_исходные'!B2))</f>
        <v xml:space="preserve">Ооо Техноснаб</v>
      </c>
      <c r="C2" s="5" t="str">
        <f>IF(ISBLANK(Поставщики_исходные!C2),"",TRIM(Поставщики_исходные!C2))</f>
        <v>7708123456</v>
      </c>
      <c r="D2" t="str">
        <f>'Поставщики_исходные'!D2</f>
        <v>770801001</v>
      </c>
      <c r="E2" s="6" t="str">
        <f>IF(ISBLANK(Поставщики_исходные!E2),"",IF(LEN(SUBSTITUTE(SUBSTITUTE(SUBSTITUTE(SUBSTITUTE(SUBSTITUTE(Поставщики_исходные!E2," ",""),"-",""),"+",""),"(",""),")",""))=11,"+7 ("&amp;MID(IF(LEFT(SUBSTITUTE(SUBSTITUTE(SUBSTITUTE(SUBSTITUTE(SUBSTITUTE(Поставщики_исходные!E2," ",""),"-",""),"+",""),"(",""),")",""))="8","7"&amp;MID(SUBSTITUTE(SUBSTITUTE(SUBSTITUTE(SUBSTITUTE(SUBSTITUTE(Поставщики_исходные!E2," ",""),"-",""),"+",""),"(",""),")",""),2,10),SUBSTITUTE(SUBSTITUTE(SUBSTITUTE(SUBSTITUTE(SUBSTITUTE(Поставщики_исходные!E2," ",""),"-",""),"+",""),"(",""),")","")),2,3)&amp;") "&amp;MID(IF(LEFT(SUBSTITUTE(SUBSTITUTE(SUBSTITUTE(SUBSTITUTE(SUBSTITUTE(Поставщики_исходные!E2," ",""),"-",""),"+",""),"(",""),")",""))="8","7"&amp;MID(SUBSTITUTE(SUBSTITUTE(SUBSTITUTE(SUBSTITUTE(SUBSTITUTE(Поставщики_исходные!E2," ",""),"-",""),"+",""),"(",""),")",""),2,10),SUBSTITUTE(SUBSTITUTE(SUBSTITUTE(SUBSTITUTE(SUBSTITUTE(Поставщики_исходные!E2," ",""),"-",""),"+",""),"(",""),")","")),5,3)&amp;"-"&amp;MID(IF(LEFT(SUBSTITUTE(SUBSTITUTE(SUBSTITUTE(SUBSTITUTE(SUBSTITUTE(Поставщики_исходные!E2," ",""),"-",""),"+",""),"(",""),")",""))="8","7"&amp;MID(SUBSTITUTE(SUBSTITUTE(SUBSTITUTE(SUBSTITUTE(SUBSTITUTE(Поставщики_исходные!E2," ",""),"-",""),"+",""),"(",""),")",""),2,10),SUBSTITUTE(SUBSTITUTE(SUBSTITUTE(SUBSTITUTE(SUBSTITUTE(Поставщики_исходные!E2," ",""),"-",""),"+",""),"(",""),")","")),8,2)&amp;"-"&amp;MID(IF(LEFT(SUBSTITUTE(SUBSTITUTE(SUBSTITUTE(SUBSTITUTE(SUBSTITUTE(Поставщики_исходные!E2," ",""),"-",""),"+",""),"(",""),")",""))="8","7"&amp;MID(SUBSTITUTE(SUBSTITUTE(SUBSTITUTE(SUBSTITUTE(SUBSTITUTE(Поставщики_исходные!E2," ",""),"-",""),"+",""),"(",""),")",""),2,10),SUBSTITUTE(SUBSTITUTE(SUBSTITUTE(SUBSTITUTE(SUBSTITUTE(Поставщики_исходные!E2," ",""),"-",""),"+",""),"(",""),")","")),10,2),IF(LEN(SUBSTITUTE(SUBSTITUTE(SUBSTITUTE(SUBSTITUTE(SUBSTITUTE(Поставщики_исходные!E2," ",""),"-",""),"+",""),"(",""),")",""))=10,"+7 ("&amp;MID(SUBSTITUTE(SUBSTITUTE(SUBSTITUTE(SUBSTITUTE(SUBSTITUTE(Поставщики_исходные!E2," ",""),"-",""),"+",""),"(",""),")",""),1,3)&amp;") "&amp;MID(SUBSTITUTE(SUBSTITUTE(SUBSTITUTE(SUBSTITUTE(SUBSTITUTE(Поставщики_исходные!E2," ",""),"-",""),"+",""),"(",""),")",""),4,3)&amp;"-"&amp;MID(SUBSTITUTE(SUBSTITUTE(SUBSTITUTE(SUBSTITUTE(SUBSTITUTE(Поставщики_исходные!E2," ",""),"-",""),"+",""),"(",""),")",""),6,2)&amp;"-"&amp;MID(SUBSTITUTE(SUBSTITUTE(SUBSTITUTE(SUBSTITUTE(SUBSTITUTE(Поставщики_исходные!E2," ",""),"-",""),"+",""),"(",""),")",""),8,2),Поставщики_исходные!E2)))</f>
        <v xml:space="preserve">+7 (903) 123-45-67</v>
      </c>
      <c r="F2" t="str">
        <f>IF(ISBLANK(Поставщики_исходные!F2),"",IF(ISNUMBER(FIND(".",MID(Поставщики_исходные!F2,FIND("@",Поставщики_исходные!F2)+1,255))),Поставщики_исходные!F2,IF(ISNUMBER(FIND("gmail",Поставщики_исходные!F2)),Поставщики_исходные!F2&amp;".com",Поставщики_исходные!F2&amp;".ru")))</f>
        <v>info@tehnosnab.ru</v>
      </c>
      <c r="G2" t="str">
        <f>TRIM('Поставщики_исходные'!G2)</f>
        <v xml:space="preserve">125009 г.Москва ул.Тверская д.15</v>
      </c>
      <c r="H2" t="str">
        <f>IF(ISNUMBER(VALUE(LEFT(TRIM('Поставщики_исходные'!G2),6))),LEFT(TRIM('Поставщики_исходные'!G2),6),"")</f>
        <v>125009</v>
      </c>
      <c r="I2" t="str">
        <f>TRIM(MID(TRIM('Поставщики_исходные'!G2),7,255))</f>
        <v xml:space="preserve">г.Москва ул.Тверская д.15</v>
      </c>
      <c r="J2" t="str">
        <f t="shared" ref="J2:J9" si="20">IF(OR(LEN(C2)=10,LEN(C2)=12),"OK","Ошибка ИНН")</f>
        <v>OK</v>
      </c>
      <c r="K2" t="str">
        <f>IF(ISBLANK(Поставщики_исходные!F2),"",IF(ISNUMBER(FIND(".",MID(Поставщики_исходные!F2,FIND("@",Поставщики_исходные!F2)+1,255))),Поставщики_исходные!F2,IF(ISNUMBER(FIND("gmail",Поставщики_исходные!F2)),Поставщики_исходные!F2&amp;".com",Поставщики_исходные!F2&amp;".ru")))</f>
        <v>info@tehnosnab.ru</v>
      </c>
    </row>
    <row r="3">
      <c r="A3" t="str">
        <f>Поставщики_исходные!A3</f>
        <v>P002</v>
      </c>
      <c r="B3" t="str">
        <f>PROPER(TRIM(Поставщики_исходные!B3))</f>
        <v xml:space="preserve">Зао Электропром</v>
      </c>
      <c r="C3" s="5" t="str">
        <f>IF(ISBLANK(Поставщики_исходные!C3),"",TRIM(Поставщики_исходные!C3))</f>
        <v>7812345678123</v>
      </c>
      <c r="D3" t="str">
        <f>Поставщики_исходные!D3</f>
        <v>781201001</v>
      </c>
      <c r="E3" s="6" t="str">
        <f>IF(ISBLANK(Поставщики_исходные!E3),"",IF(LEN(SUBSTITUTE(SUBSTITUTE(SUBSTITUTE(SUBSTITUTE(SUBSTITUTE(Поставщики_исходные!E3," ",""),"-",""),"+",""),"(",""),")",""))=11,"+7 ("&amp;MID(IF(LEFT(SUBSTITUTE(SUBSTITUTE(SUBSTITUTE(SUBSTITUTE(SUBSTITUTE(Поставщики_исходные!E3," ",""),"-",""),"+",""),"(",""),")",""))="8","7"&amp;MID(SUBSTITUTE(SUBSTITUTE(SUBSTITUTE(SUBSTITUTE(SUBSTITUTE(Поставщики_исходные!E3," ",""),"-",""),"+",""),"(",""),")",""),2,10),SUBSTITUTE(SUBSTITUTE(SUBSTITUTE(SUBSTITUTE(SUBSTITUTE(Поставщики_исходные!E3," ",""),"-",""),"+",""),"(",""),")","")),2,3)&amp;") "&amp;MID(IF(LEFT(SUBSTITUTE(SUBSTITUTE(SUBSTITUTE(SUBSTITUTE(SUBSTITUTE(Поставщики_исходные!E3," ",""),"-",""),"+",""),"(",""),")",""))="8","7"&amp;MID(SUBSTITUTE(SUBSTITUTE(SUBSTITUTE(SUBSTITUTE(SUBSTITUTE(Поставщики_исходные!E3," ",""),"-",""),"+",""),"(",""),")",""),2,10),SUBSTITUTE(SUBSTITUTE(SUBSTITUTE(SUBSTITUTE(SUBSTITUTE(Поставщики_исходные!E3," ",""),"-",""),"+",""),"(",""),")","")),5,3)&amp;"-"&amp;MID(IF(LEFT(SUBSTITUTE(SUBSTITUTE(SUBSTITUTE(SUBSTITUTE(SUBSTITUTE(Поставщики_исходные!E3," ",""),"-",""),"+",""),"(",""),")",""))="8","7"&amp;MID(SUBSTITUTE(SUBSTITUTE(SUBSTITUTE(SUBSTITUTE(SUBSTITUTE(Поставщики_исходные!E3," ",""),"-",""),"+",""),"(",""),")",""),2,10),SUBSTITUTE(SUBSTITUTE(SUBSTITUTE(SUBSTITUTE(SUBSTITUTE(Поставщики_исходные!E3," ",""),"-",""),"+",""),"(",""),")","")),8,2)&amp;"-"&amp;MID(IF(LEFT(SUBSTITUTE(SUBSTITUTE(SUBSTITUTE(SUBSTITUTE(SUBSTITUTE(Поставщики_исходные!E3," ",""),"-",""),"+",""),"(",""),")",""))="8","7"&amp;MID(SUBSTITUTE(SUBSTITUTE(SUBSTITUTE(SUBSTITUTE(SUBSTITUTE(Поставщики_исходные!E3," ",""),"-",""),"+",""),"(",""),")",""),2,10),SUBSTITUTE(SUBSTITUTE(SUBSTITUTE(SUBSTITUTE(SUBSTITUTE(Поставщики_исходные!E3," ",""),"-",""),"+",""),"(",""),")","")),10,2),IF(LEN(SUBSTITUTE(SUBSTITUTE(SUBSTITUTE(SUBSTITUTE(SUBSTITUTE(Поставщики_исходные!E3," ",""),"-",""),"+",""),"(",""),")",""))=10,"+7 ("&amp;MID(SUBSTITUTE(SUBSTITUTE(SUBSTITUTE(SUBSTITUTE(SUBSTITUTE(Поставщики_исходные!E3," ",""),"-",""),"+",""),"(",""),")",""),1,3)&amp;") "&amp;MID(SUBSTITUTE(SUBSTITUTE(SUBSTITUTE(SUBSTITUTE(SUBSTITUTE(Поставщики_исходные!E3," ",""),"-",""),"+",""),"(",""),")",""),4,3)&amp;"-"&amp;MID(SUBSTITUTE(SUBSTITUTE(SUBSTITUTE(SUBSTITUTE(SUBSTITUTE(Поставщики_исходные!E3," ",""),"-",""),"+",""),"(",""),")",""),6,2)&amp;"-"&amp;MID(SUBSTITUTE(SUBSTITUTE(SUBSTITUTE(SUBSTITUTE(SUBSTITUTE(Поставщики_исходные!E3," ",""),"-",""),"+",""),"(",""),")",""),8,2),Поставщики_исходные!E3)))</f>
        <v xml:space="preserve">+7 (903) 234-56-78</v>
      </c>
      <c r="F3" t="str">
        <f>IF(ISBLANK(Поставщики_исходные!F3),"",IF(ISNUMBER(FIND(".",MID(Поставщики_исходные!F3,FIND("@",Поставщики_исходные!F3)+1,255))),Поставщики_исходные!F3,IF(ISNUMBER(FIND("gmail",Поставщики_исходные!F3)),Поставщики_исходные!F3&amp;".com",Поставщики_исходные!F3&amp;".ru")))</f>
        <v>zakaz@electroprom.ru</v>
      </c>
      <c r="G3" t="str">
        <f>TRIM(Поставщики_исходные!G3)</f>
        <v xml:space="preserve">191186 г.Санкт-Петербург Невский пр.д.28</v>
      </c>
      <c r="H3" t="str">
        <f>IF(ISNUMBER(VALUE(LEFT(TRIM(Поставщики_исходные!G3),6))),LEFT(TRIM(Поставщики_исходные!G3),6),"")</f>
        <v>191186</v>
      </c>
      <c r="I3" t="str">
        <f>TRIM(MID(TRIM(Поставщики_исходные!G3),7,255))</f>
        <v xml:space="preserve">г.Санкт-Петербург Невский пр.д.28</v>
      </c>
      <c r="J3" t="str">
        <f t="shared" si="20"/>
        <v xml:space="preserve">Ошибка ИНН</v>
      </c>
      <c r="K3" t="str">
        <f t="shared" ref="K3:K9" si="21">IF(AND(ISNUMBER(FIND("@",F3)),ISNUMBER(FIND(".",MID(F3,FIND("@",F3)+1,255)))),"OK","Ошибка Email")</f>
        <v>OK</v>
      </c>
    </row>
    <row r="4">
      <c r="A4" t="str">
        <f>Поставщики_исходные!A4</f>
        <v>P003</v>
      </c>
      <c r="B4" t="str">
        <f>PROPER(TRIM(Поставщики_исходные!B4))</f>
        <v xml:space="preserve">Ооо Комплектсервис</v>
      </c>
      <c r="C4" s="5" t="str">
        <f>IF(ISBLANK(Поставщики_исходные!C4),"",TRIM(Поставщики_исходные!C4))</f>
        <v>77098765</v>
      </c>
      <c r="D4" t="str">
        <f>Поставщики_исходные!D4</f>
        <v>770901001</v>
      </c>
      <c r="E4" s="6" t="str">
        <f>IF(ISBLANK(Поставщики_исходные!E4),"",IF(LEN(SUBSTITUTE(SUBSTITUTE(SUBSTITUTE(SUBSTITUTE(SUBSTITUTE(Поставщики_исходные!E4," ",""),"-",""),"+",""),"(",""),")",""))=11,"+7 ("&amp;MID(IF(LEFT(SUBSTITUTE(SUBSTITUTE(SUBSTITUTE(SUBSTITUTE(SUBSTITUTE(Поставщики_исходные!E4," ",""),"-",""),"+",""),"(",""),")",""))="8","7"&amp;MID(SUBSTITUTE(SUBSTITUTE(SUBSTITUTE(SUBSTITUTE(SUBSTITUTE(Поставщики_исходные!E4," ",""),"-",""),"+",""),"(",""),")",""),2,10),SUBSTITUTE(SUBSTITUTE(SUBSTITUTE(SUBSTITUTE(SUBSTITUTE(Поставщики_исходные!E4," ",""),"-",""),"+",""),"(",""),")","")),2,3)&amp;") "&amp;MID(IF(LEFT(SUBSTITUTE(SUBSTITUTE(SUBSTITUTE(SUBSTITUTE(SUBSTITUTE(Поставщики_исходные!E4," ",""),"-",""),"+",""),"(",""),")",""))="8","7"&amp;MID(SUBSTITUTE(SUBSTITUTE(SUBSTITUTE(SUBSTITUTE(SUBSTITUTE(Поставщики_исходные!E4," ",""),"-",""),"+",""),"(",""),")",""),2,10),SUBSTITUTE(SUBSTITUTE(SUBSTITUTE(SUBSTITUTE(SUBSTITUTE(Поставщики_исходные!E4," ",""),"-",""),"+",""),"(",""),")","")),5,3)&amp;"-"&amp;MID(IF(LEFT(SUBSTITUTE(SUBSTITUTE(SUBSTITUTE(SUBSTITUTE(SUBSTITUTE(Поставщики_исходные!E4," ",""),"-",""),"+",""),"(",""),")",""))="8","7"&amp;MID(SUBSTITUTE(SUBSTITUTE(SUBSTITUTE(SUBSTITUTE(SUBSTITUTE(Поставщики_исходные!E4," ",""),"-",""),"+",""),"(",""),")",""),2,10),SUBSTITUTE(SUBSTITUTE(SUBSTITUTE(SUBSTITUTE(SUBSTITUTE(Поставщики_исходные!E4," ",""),"-",""),"+",""),"(",""),")","")),8,2)&amp;"-"&amp;MID(IF(LEFT(SUBSTITUTE(SUBSTITUTE(SUBSTITUTE(SUBSTITUTE(SUBSTITUTE(Поставщики_исходные!E4," ",""),"-",""),"+",""),"(",""),")",""))="8","7"&amp;MID(SUBSTITUTE(SUBSTITUTE(SUBSTITUTE(SUBSTITUTE(SUBSTITUTE(Поставщики_исходные!E4," ",""),"-",""),"+",""),"(",""),")",""),2,10),SUBSTITUTE(SUBSTITUTE(SUBSTITUTE(SUBSTITUTE(SUBSTITUTE(Поставщики_исходные!E4," ",""),"-",""),"+",""),"(",""),")","")),10,2),IF(LEN(SUBSTITUTE(SUBSTITUTE(SUBSTITUTE(SUBSTITUTE(SUBSTITUTE(Поставщики_исходные!E4," ",""),"-",""),"+",""),"(",""),")",""))=10,"+7 ("&amp;MID(SUBSTITUTE(SUBSTITUTE(SUBSTITUTE(SUBSTITUTE(SUBSTITUTE(Поставщики_исходные!E4," ",""),"-",""),"+",""),"(",""),")",""),1,3)&amp;") "&amp;MID(SUBSTITUTE(SUBSTITUTE(SUBSTITUTE(SUBSTITUTE(SUBSTITUTE(Поставщики_исходные!E4," ",""),"-",""),"+",""),"(",""),")",""),4,3)&amp;"-"&amp;MID(SUBSTITUTE(SUBSTITUTE(SUBSTITUTE(SUBSTITUTE(SUBSTITUTE(Поставщики_исходные!E4," ",""),"-",""),"+",""),"(",""),")",""),6,2)&amp;"-"&amp;MID(SUBSTITUTE(SUBSTITUTE(SUBSTITUTE(SUBSTITUTE(SUBSTITUTE(Поставщики_исходные!E4," ",""),"-",""),"+",""),"(",""),")",""),8,2),Поставщики_исходные!E4)))</f>
        <v xml:space="preserve">+7 (903) 345-67-89</v>
      </c>
      <c r="F4" t="str">
        <f>IF(ISBLANK(Поставщики_исходные!F4),"",IF(ISNUMBER(FIND(".",MID(Поставщики_исходные!F4,FIND("@",Поставщики_исходные!F4)+1,255))),Поставщики_исходные!F4,IF(ISNUMBER(FIND("gmail",Поставщики_исходные!F4)),Поставщики_исходные!F4&amp;".com",Поставщики_исходные!F4&amp;".ru")))</f>
        <v>komplekt@mail.ru</v>
      </c>
      <c r="G4" t="str">
        <f>TRIM(Поставщики_исходные!G4)</f>
        <v xml:space="preserve">127006 г.Москва ул.Петровка д.20</v>
      </c>
      <c r="H4" t="str">
        <f>IF(ISNUMBER(VALUE(LEFT(TRIM(Поставщики_исходные!G4),6))),LEFT(TRIM(Поставщики_исходные!G4),6),"")</f>
        <v>127006</v>
      </c>
      <c r="I4" t="str">
        <f>TRIM(MID(TRIM(Поставщики_исходные!G4),7,255))</f>
        <v xml:space="preserve">г.Москва ул.Петровка д.20</v>
      </c>
      <c r="J4" t="str">
        <f t="shared" si="20"/>
        <v xml:space="preserve">Ошибка ИНН</v>
      </c>
      <c r="K4" t="str">
        <f t="shared" si="21"/>
        <v>OK</v>
      </c>
    </row>
    <row r="5">
      <c r="A5" t="str">
        <f>Поставщики_исходные!A5</f>
        <v>P004</v>
      </c>
      <c r="B5" t="str">
        <f>PROPER(TRIM(Поставщики_исходные!B5))</f>
        <v xml:space="preserve">Ао Техноимпорт</v>
      </c>
      <c r="C5" s="5" t="str">
        <f>IF(ISBLANK(Поставщики_исходные!C5),"",TRIM(Поставщики_исходные!C5))</f>
        <v>7712345678</v>
      </c>
      <c r="D5" t="str">
        <f>Поставщики_исходные!D5</f>
        <v>771001001</v>
      </c>
      <c r="E5" s="6" t="str">
        <f>IF(ISBLANK(Поставщики_исходные!E5),"",IF(LEN(SUBSTITUTE(SUBSTITUTE(SUBSTITUTE(SUBSTITUTE(SUBSTITUTE(Поставщики_исходные!E5," ",""),"-",""),"+",""),"(",""),")",""))=11,"+7 ("&amp;MID(IF(LEFT(SUBSTITUTE(SUBSTITUTE(SUBSTITUTE(SUBSTITUTE(SUBSTITUTE(Поставщики_исходные!E5," ",""),"-",""),"+",""),"(",""),")",""))="8","7"&amp;MID(SUBSTITUTE(SUBSTITUTE(SUBSTITUTE(SUBSTITUTE(SUBSTITUTE(Поставщики_исходные!E5," ",""),"-",""),"+",""),"(",""),")",""),2,10),SUBSTITUTE(SUBSTITUTE(SUBSTITUTE(SUBSTITUTE(SUBSTITUTE(Поставщики_исходные!E5," ",""),"-",""),"+",""),"(",""),")","")),2,3)&amp;") "&amp;MID(IF(LEFT(SUBSTITUTE(SUBSTITUTE(SUBSTITUTE(SUBSTITUTE(SUBSTITUTE(Поставщики_исходные!E5," ",""),"-",""),"+",""),"(",""),")",""))="8","7"&amp;MID(SUBSTITUTE(SUBSTITUTE(SUBSTITUTE(SUBSTITUTE(SUBSTITUTE(Поставщики_исходные!E5," ",""),"-",""),"+",""),"(",""),")",""),2,10),SUBSTITUTE(SUBSTITUTE(SUBSTITUTE(SUBSTITUTE(SUBSTITUTE(Поставщики_исходные!E5," ",""),"-",""),"+",""),"(",""),")","")),5,3)&amp;"-"&amp;MID(IF(LEFT(SUBSTITUTE(SUBSTITUTE(SUBSTITUTE(SUBSTITUTE(SUBSTITUTE(Поставщики_исходные!E5," ",""),"-",""),"+",""),"(",""),")",""))="8","7"&amp;MID(SUBSTITUTE(SUBSTITUTE(SUBSTITUTE(SUBSTITUTE(SUBSTITUTE(Поставщики_исходные!E5," ",""),"-",""),"+",""),"(",""),")",""),2,10),SUBSTITUTE(SUBSTITUTE(SUBSTITUTE(SUBSTITUTE(SUBSTITUTE(Поставщики_исходные!E5," ",""),"-",""),"+",""),"(",""),")","")),8,2)&amp;"-"&amp;MID(IF(LEFT(SUBSTITUTE(SUBSTITUTE(SUBSTITUTE(SUBSTITUTE(SUBSTITUTE(Поставщики_исходные!E5," ",""),"-",""),"+",""),"(",""),")",""))="8","7"&amp;MID(SUBSTITUTE(SUBSTITUTE(SUBSTITUTE(SUBSTITUTE(SUBSTITUTE(Поставщики_исходные!E5," ",""),"-",""),"+",""),"(",""),")",""),2,10),SUBSTITUTE(SUBSTITUTE(SUBSTITUTE(SUBSTITUTE(SUBSTITUTE(Поставщики_исходные!E5," ",""),"-",""),"+",""),"(",""),")","")),10,2),IF(LEN(SUBSTITUTE(SUBSTITUTE(SUBSTITUTE(SUBSTITUTE(SUBSTITUTE(Поставщики_исходные!E5," ",""),"-",""),"+",""),"(",""),")",""))=10,"+7 ("&amp;MID(SUBSTITUTE(SUBSTITUTE(SUBSTITUTE(SUBSTITUTE(SUBSTITUTE(Поставщики_исходные!E5," ",""),"-",""),"+",""),"(",""),")",""),1,3)&amp;") "&amp;MID(SUBSTITUTE(SUBSTITUTE(SUBSTITUTE(SUBSTITUTE(SUBSTITUTE(Поставщики_исходные!E5," ",""),"-",""),"+",""),"(",""),")",""),4,3)&amp;"-"&amp;MID(SUBSTITUTE(SUBSTITUTE(SUBSTITUTE(SUBSTITUTE(SUBSTITUTE(Поставщики_исходные!E5," ",""),"-",""),"+",""),"(",""),")",""),6,2)&amp;"-"&amp;MID(SUBSTITUTE(SUBSTITUTE(SUBSTITUTE(SUBSTITUTE(SUBSTITUTE(Поставщики_исходные!E5," ",""),"-",""),"+",""),"(",""),")",""),8,2),Поставщики_исходные!E5)))</f>
        <v xml:space="preserve">+7 (903) 456-78-90</v>
      </c>
      <c r="F5" t="str">
        <f>IF(ISBLANK(Поставщики_исходные!F5),"",IF(ISNUMBER(FIND(".",MID(Поставщики_исходные!F5,FIND("@",Поставщики_исходные!F5)+1,255))),Поставщики_исходные!F5,IF(ISNUMBER(FIND("gmail",Поставщики_исходные!F5)),Поставщики_исходные!F5&amp;".com",Поставщики_исходные!F5&amp;".ru")))</f>
        <v>import@techno.ru</v>
      </c>
      <c r="G5" t="str">
        <f>TRIM(Поставщики_исходные!G5)</f>
        <v xml:space="preserve">119019 г.Москва ул.Арбат д.12</v>
      </c>
      <c r="H5" t="str">
        <f>IF(ISNUMBER(VALUE(LEFT(TRIM(Поставщики_исходные!G5),6))),LEFT(TRIM(Поставщики_исходные!G5),6),"")</f>
        <v>119019</v>
      </c>
      <c r="I5" t="str">
        <f>TRIM(MID(TRIM(Поставщики_исходные!G5),7,255))</f>
        <v xml:space="preserve">г.Москва ул.Арбат д.12</v>
      </c>
      <c r="J5" t="str">
        <f t="shared" si="20"/>
        <v>OK</v>
      </c>
      <c r="K5" t="str">
        <f t="shared" si="21"/>
        <v>OK</v>
      </c>
    </row>
    <row r="6">
      <c r="A6" t="str">
        <f>Поставщики_исходные!A6</f>
        <v>P005</v>
      </c>
      <c r="B6" t="str">
        <f>PROPER(TRIM(Поставщики_исходные!B6))</f>
        <v xml:space="preserve">Ооо Торгмастер</v>
      </c>
      <c r="C6" s="5" t="str">
        <f>IF(ISBLANK(Поставщики_исходные!C6),"",TRIM(Поставщики_исходные!C6))</f>
        <v>7801234567890</v>
      </c>
      <c r="D6" t="str">
        <f>Поставщики_исходные!D6</f>
        <v>780101001</v>
      </c>
      <c r="E6" s="6" t="str">
        <f>IF(ISBLANK(Поставщики_исходные!E6),"",IF(LEN(SUBSTITUTE(SUBSTITUTE(SUBSTITUTE(SUBSTITUTE(SUBSTITUTE(Поставщики_исходные!E6," ",""),"-",""),"+",""),"(",""),")",""))=11,"+7 ("&amp;MID(IF(LEFT(SUBSTITUTE(SUBSTITUTE(SUBSTITUTE(SUBSTITUTE(SUBSTITUTE(Поставщики_исходные!E6," ",""),"-",""),"+",""),"(",""),")",""))="8","7"&amp;MID(SUBSTITUTE(SUBSTITUTE(SUBSTITUTE(SUBSTITUTE(SUBSTITUTE(Поставщики_исходные!E6," ",""),"-",""),"+",""),"(",""),")",""),2,10),SUBSTITUTE(SUBSTITUTE(SUBSTITUTE(SUBSTITUTE(SUBSTITUTE(Поставщики_исходные!E6," ",""),"-",""),"+",""),"(",""),")","")),2,3)&amp;") "&amp;MID(IF(LEFT(SUBSTITUTE(SUBSTITUTE(SUBSTITUTE(SUBSTITUTE(SUBSTITUTE(Поставщики_исходные!E6," ",""),"-",""),"+",""),"(",""),")",""))="8","7"&amp;MID(SUBSTITUTE(SUBSTITUTE(SUBSTITUTE(SUBSTITUTE(SUBSTITUTE(Поставщики_исходные!E6," ",""),"-",""),"+",""),"(",""),")",""),2,10),SUBSTITUTE(SUBSTITUTE(SUBSTITUTE(SUBSTITUTE(SUBSTITUTE(Поставщики_исходные!E6," ",""),"-",""),"+",""),"(",""),")","")),5,3)&amp;"-"&amp;MID(IF(LEFT(SUBSTITUTE(SUBSTITUTE(SUBSTITUTE(SUBSTITUTE(SUBSTITUTE(Поставщики_исходные!E6," ",""),"-",""),"+",""),"(",""),")",""))="8","7"&amp;MID(SUBSTITUTE(SUBSTITUTE(SUBSTITUTE(SUBSTITUTE(SUBSTITUTE(Поставщики_исходные!E6," ",""),"-",""),"+",""),"(",""),")",""),2,10),SUBSTITUTE(SUBSTITUTE(SUBSTITUTE(SUBSTITUTE(SUBSTITUTE(Поставщики_исходные!E6," ",""),"-",""),"+",""),"(",""),")","")),8,2)&amp;"-"&amp;MID(IF(LEFT(SUBSTITUTE(SUBSTITUTE(SUBSTITUTE(SUBSTITUTE(SUBSTITUTE(Поставщики_исходные!E6," ",""),"-",""),"+",""),"(",""),")",""))="8","7"&amp;MID(SUBSTITUTE(SUBSTITUTE(SUBSTITUTE(SUBSTITUTE(SUBSTITUTE(Поставщики_исходные!E6," ",""),"-",""),"+",""),"(",""),")",""),2,10),SUBSTITUTE(SUBSTITUTE(SUBSTITUTE(SUBSTITUTE(SUBSTITUTE(Поставщики_исходные!E6," ",""),"-",""),"+",""),"(",""),")","")),10,2),IF(LEN(SUBSTITUTE(SUBSTITUTE(SUBSTITUTE(SUBSTITUTE(SUBSTITUTE(Поставщики_исходные!E6," ",""),"-",""),"+",""),"(",""),")",""))=10,"+7 ("&amp;MID(SUBSTITUTE(SUBSTITUTE(SUBSTITUTE(SUBSTITUTE(SUBSTITUTE(Поставщики_исходные!E6," ",""),"-",""),"+",""),"(",""),")",""),1,3)&amp;") "&amp;MID(SUBSTITUTE(SUBSTITUTE(SUBSTITUTE(SUBSTITUTE(SUBSTITUTE(Поставщики_исходные!E6," ",""),"-",""),"+",""),"(",""),")",""),4,3)&amp;"-"&amp;MID(SUBSTITUTE(SUBSTITUTE(SUBSTITUTE(SUBSTITUTE(SUBSTITUTE(Поставщики_исходные!E6," ",""),"-",""),"+",""),"(",""),")",""),6,2)&amp;"-"&amp;MID(SUBSTITUTE(SUBSTITUTE(SUBSTITUTE(SUBSTITUTE(SUBSTITUTE(Поставщики_исходные!E6," ",""),"-",""),"+",""),"(",""),")",""),8,2),Поставщики_исходные!E6)))</f>
        <v xml:space="preserve">+7 (903) 567-89-01</v>
      </c>
      <c r="F6" t="str">
        <f>IF(ISBLANK(Поставщики_исходные!F6),"",IF(ISNUMBER(FIND(".",MID(Поставщики_исходные!F6,FIND("@",Поставщики_исходные!F6)+1,255))),Поставщики_исходные!F6,IF(ISNUMBER(FIND("gmail",Поставщики_исходные!F6)),Поставщики_исходные!F6&amp;".com",Поставщики_исходные!F6&amp;".ru")))</f>
        <v>torg@master.ru</v>
      </c>
      <c r="G6" t="str">
        <f>TRIM(Поставщики_исходные!G6)</f>
        <v xml:space="preserve">192007 г.Санкт-Петербург пр.Обуховской Обороны д.120</v>
      </c>
      <c r="H6" t="str">
        <f>IF(ISNUMBER(VALUE(LEFT(TRIM(Поставщики_исходные!G6),6))),LEFT(TRIM(Поставщики_исходные!G6),6),"")</f>
        <v>192007</v>
      </c>
      <c r="I6" t="str">
        <f>TRIM(MID(TRIM(Поставщики_исходные!G6),7,255))</f>
        <v xml:space="preserve">г.Санкт-Петербург пр.Обуховской Обороны д.120</v>
      </c>
      <c r="J6" t="str">
        <f t="shared" si="20"/>
        <v xml:space="preserve">Ошибка ИНН</v>
      </c>
      <c r="K6" t="str">
        <f t="shared" si="21"/>
        <v>OK</v>
      </c>
    </row>
    <row r="7">
      <c r="A7" t="str">
        <f>Поставщики_исходные!A7</f>
        <v>P006</v>
      </c>
      <c r="B7" t="str">
        <f>PROPER(TRIM(Поставщики_исходные!B7))</f>
        <v xml:space="preserve">Зао Техноресурс</v>
      </c>
      <c r="C7" s="5" t="str">
        <f>IF(ISBLANK(Поставщики_исходные!C7),"",TRIM(Поставщики_исходные!C7))</f>
        <v>77134567</v>
      </c>
      <c r="D7" t="str">
        <f>Поставщики_исходные!D7</f>
        <v>771101001</v>
      </c>
      <c r="E7" s="6" t="str">
        <f>IF(ISBLANK(Поставщики_исходные!E7),"",IF(LEN(SUBSTITUTE(SUBSTITUTE(SUBSTITUTE(SUBSTITUTE(SUBSTITUTE(Поставщики_исходные!E7," ",""),"-",""),"+",""),"(",""),")",""))=11,"+7 ("&amp;MID(IF(LEFT(SUBSTITUTE(SUBSTITUTE(SUBSTITUTE(SUBSTITUTE(SUBSTITUTE(Поставщики_исходные!E7," ",""),"-",""),"+",""),"(",""),")",""))="8","7"&amp;MID(SUBSTITUTE(SUBSTITUTE(SUBSTITUTE(SUBSTITUTE(SUBSTITUTE(Поставщики_исходные!E7," ",""),"-",""),"+",""),"(",""),")",""),2,10),SUBSTITUTE(SUBSTITUTE(SUBSTITUTE(SUBSTITUTE(SUBSTITUTE(Поставщики_исходные!E7," ",""),"-",""),"+",""),"(",""),")","")),2,3)&amp;") "&amp;MID(IF(LEFT(SUBSTITUTE(SUBSTITUTE(SUBSTITUTE(SUBSTITUTE(SUBSTITUTE(Поставщики_исходные!E7," ",""),"-",""),"+",""),"(",""),")",""))="8","7"&amp;MID(SUBSTITUTE(SUBSTITUTE(SUBSTITUTE(SUBSTITUTE(SUBSTITUTE(Поставщики_исходные!E7," ",""),"-",""),"+",""),"(",""),")",""),2,10),SUBSTITUTE(SUBSTITUTE(SUBSTITUTE(SUBSTITUTE(SUBSTITUTE(Поставщики_исходные!E7," ",""),"-",""),"+",""),"(",""),")","")),5,3)&amp;"-"&amp;MID(IF(LEFT(SUBSTITUTE(SUBSTITUTE(SUBSTITUTE(SUBSTITUTE(SUBSTITUTE(Поставщики_исходные!E7," ",""),"-",""),"+",""),"(",""),")",""))="8","7"&amp;MID(SUBSTITUTE(SUBSTITUTE(SUBSTITUTE(SUBSTITUTE(SUBSTITUTE(Поставщики_исходные!E7," ",""),"-",""),"+",""),"(",""),")",""),2,10),SUBSTITUTE(SUBSTITUTE(SUBSTITUTE(SUBSTITUTE(SUBSTITUTE(Поставщики_исходные!E7," ",""),"-",""),"+",""),"(",""),")","")),8,2)&amp;"-"&amp;MID(IF(LEFT(SUBSTITUTE(SUBSTITUTE(SUBSTITUTE(SUBSTITUTE(SUBSTITUTE(Поставщики_исходные!E7," ",""),"-",""),"+",""),"(",""),")",""))="8","7"&amp;MID(SUBSTITUTE(SUBSTITUTE(SUBSTITUTE(SUBSTITUTE(SUBSTITUTE(Поставщики_исходные!E7," ",""),"-",""),"+",""),"(",""),")",""),2,10),SUBSTITUTE(SUBSTITUTE(SUBSTITUTE(SUBSTITUTE(SUBSTITUTE(Поставщики_исходные!E7," ",""),"-",""),"+",""),"(",""),")","")),10,2),IF(LEN(SUBSTITUTE(SUBSTITUTE(SUBSTITUTE(SUBSTITUTE(SUBSTITUTE(Поставщики_исходные!E7," ",""),"-",""),"+",""),"(",""),")",""))=10,"+7 ("&amp;MID(SUBSTITUTE(SUBSTITUTE(SUBSTITUTE(SUBSTITUTE(SUBSTITUTE(Поставщики_исходные!E7," ",""),"-",""),"+",""),"(",""),")",""),1,3)&amp;") "&amp;MID(SUBSTITUTE(SUBSTITUTE(SUBSTITUTE(SUBSTITUTE(SUBSTITUTE(Поставщики_исходные!E7," ",""),"-",""),"+",""),"(",""),")",""),4,3)&amp;"-"&amp;MID(SUBSTITUTE(SUBSTITUTE(SUBSTITUTE(SUBSTITUTE(SUBSTITUTE(Поставщики_исходные!E7," ",""),"-",""),"+",""),"(",""),")",""),6,2)&amp;"-"&amp;MID(SUBSTITUTE(SUBSTITUTE(SUBSTITUTE(SUBSTITUTE(SUBSTITUTE(Поставщики_исходные!E7," ",""),"-",""),"+",""),"(",""),")",""),8,2),Поставщики_исходные!E7)))</f>
        <v xml:space="preserve">+7 (903) 678-90-12</v>
      </c>
      <c r="F7" t="str">
        <f>IF(ISBLANK(Поставщики_исходные!F7),"",IF(ISNUMBER(FIND(".",MID(Поставщики_исходные!F7,FIND("@",Поставщики_исходные!F7)+1,255))),Поставщики_исходные!F7,IF(ISNUMBER(FIND("gmail",Поставщики_исходные!F7)),Поставщики_исходные!F7&amp;".com",Поставщики_исходные!F7&amp;".ru")))</f>
        <v>resurs@techno.ru</v>
      </c>
      <c r="G7" t="str">
        <f>TRIM(Поставщики_исходные!G7)</f>
        <v xml:space="preserve">119121 г.Москва ул.Плющиха д.25</v>
      </c>
      <c r="H7" t="str">
        <f>IF(ISNUMBER(VALUE(LEFT(TRIM(Поставщики_исходные!G7),6))),LEFT(TRIM(Поставщики_исходные!G7),6),"")</f>
        <v>119121</v>
      </c>
      <c r="I7" t="str">
        <f>TRIM(MID(TRIM(Поставщики_исходные!G7),7,255))</f>
        <v xml:space="preserve">г.Москва ул.Плющиха д.25</v>
      </c>
      <c r="J7" t="str">
        <f t="shared" si="20"/>
        <v xml:space="preserve">Ошибка ИНН</v>
      </c>
      <c r="K7" t="str">
        <f t="shared" si="21"/>
        <v>OK</v>
      </c>
    </row>
    <row r="8">
      <c r="A8" t="str">
        <f>Поставщики_исходные!A8</f>
        <v>P007</v>
      </c>
      <c r="B8" t="str">
        <f>PROPER(TRIM(Поставщики_исходные!B8))</f>
        <v xml:space="preserve">Ооо Прогрессплюс</v>
      </c>
      <c r="C8" s="5" t="str">
        <f>IF(ISBLANK(Поставщики_исходные!C8),"",TRIM(Поставщики_исходные!C8))</f>
        <v>7802345678</v>
      </c>
      <c r="D8" t="str">
        <f>Поставщики_исходные!D8</f>
        <v>780201001</v>
      </c>
      <c r="E8" s="6" t="str">
        <f>IF(ISBLANK(Поставщики_исходные!E8),"",IF(LEN(SUBSTITUTE(SUBSTITUTE(SUBSTITUTE(SUBSTITUTE(SUBSTITUTE(Поставщики_исходные!E8," ",""),"-",""),"+",""),"(",""),")",""))=11,"+7 ("&amp;MID(IF(LEFT(SUBSTITUTE(SUBSTITUTE(SUBSTITUTE(SUBSTITUTE(SUBSTITUTE(Поставщики_исходные!E8," ",""),"-",""),"+",""),"(",""),")",""))="8","7"&amp;MID(SUBSTITUTE(SUBSTITUTE(SUBSTITUTE(SUBSTITUTE(SUBSTITUTE(Поставщики_исходные!E8," ",""),"-",""),"+",""),"(",""),")",""),2,10),SUBSTITUTE(SUBSTITUTE(SUBSTITUTE(SUBSTITUTE(SUBSTITUTE(Поставщики_исходные!E8," ",""),"-",""),"+",""),"(",""),")","")),2,3)&amp;") "&amp;MID(IF(LEFT(SUBSTITUTE(SUBSTITUTE(SUBSTITUTE(SUBSTITUTE(SUBSTITUTE(Поставщики_исходные!E8," ",""),"-",""),"+",""),"(",""),")",""))="8","7"&amp;MID(SUBSTITUTE(SUBSTITUTE(SUBSTITUTE(SUBSTITUTE(SUBSTITUTE(Поставщики_исходные!E8," ",""),"-",""),"+",""),"(",""),")",""),2,10),SUBSTITUTE(SUBSTITUTE(SUBSTITUTE(SUBSTITUTE(SUBSTITUTE(Поставщики_исходные!E8," ",""),"-",""),"+",""),"(",""),")","")),5,3)&amp;"-"&amp;MID(IF(LEFT(SUBSTITUTE(SUBSTITUTE(SUBSTITUTE(SUBSTITUTE(SUBSTITUTE(Поставщики_исходные!E8," ",""),"-",""),"+",""),"(",""),")",""))="8","7"&amp;MID(SUBSTITUTE(SUBSTITUTE(SUBSTITUTE(SUBSTITUTE(SUBSTITUTE(Поставщики_исходные!E8," ",""),"-",""),"+",""),"(",""),")",""),2,10),SUBSTITUTE(SUBSTITUTE(SUBSTITUTE(SUBSTITUTE(SUBSTITUTE(Поставщики_исходные!E8," ",""),"-",""),"+",""),"(",""),")","")),8,2)&amp;"-"&amp;MID(IF(LEFT(SUBSTITUTE(SUBSTITUTE(SUBSTITUTE(SUBSTITUTE(SUBSTITUTE(Поставщики_исходные!E8," ",""),"-",""),"+",""),"(",""),")",""))="8","7"&amp;MID(SUBSTITUTE(SUBSTITUTE(SUBSTITUTE(SUBSTITUTE(SUBSTITUTE(Поставщики_исходные!E8," ",""),"-",""),"+",""),"(",""),")",""),2,10),SUBSTITUTE(SUBSTITUTE(SUBSTITUTE(SUBSTITUTE(SUBSTITUTE(Поставщики_исходные!E8," ",""),"-",""),"+",""),"(",""),")","")),10,2),IF(LEN(SUBSTITUTE(SUBSTITUTE(SUBSTITUTE(SUBSTITUTE(SUBSTITUTE(Поставщики_исходные!E8," ",""),"-",""),"+",""),"(",""),")",""))=10,"+7 ("&amp;MID(SUBSTITUTE(SUBSTITUTE(SUBSTITUTE(SUBSTITUTE(SUBSTITUTE(Поставщики_исходные!E8," ",""),"-",""),"+",""),"(",""),")",""),1,3)&amp;") "&amp;MID(SUBSTITUTE(SUBSTITUTE(SUBSTITUTE(SUBSTITUTE(SUBSTITUTE(Поставщики_исходные!E8," ",""),"-",""),"+",""),"(",""),")",""),4,3)&amp;"-"&amp;MID(SUBSTITUTE(SUBSTITUTE(SUBSTITUTE(SUBSTITUTE(SUBSTITUTE(Поставщики_исходные!E8," ",""),"-",""),"+",""),"(",""),")",""),6,2)&amp;"-"&amp;MID(SUBSTITUTE(SUBSTITUTE(SUBSTITUTE(SUBSTITUTE(SUBSTITUTE(Поставщики_исходные!E8," ",""),"-",""),"+",""),"(",""),")",""),8,2),Поставщики_исходные!E8)))</f>
        <v xml:space="preserve">+7 (903) 789-01-23</v>
      </c>
      <c r="F8" t="str">
        <f>IF(ISBLANK(Поставщики_исходные!F8),"",IF(ISNUMBER(FIND(".",MID(Поставщики_исходные!F8,FIND("@",Поставщики_исходные!F8)+1,255))),Поставщики_исходные!F8,IF(ISNUMBER(FIND("gmail",Поставщики_исходные!F8)),Поставщики_исходные!F8&amp;".com",Поставщики_исходные!F8&amp;".ru")))</f>
        <v>progress@mail.ru</v>
      </c>
      <c r="G8" t="str">
        <f>TRIM(Поставщики_исходные!G8)</f>
        <v xml:space="preserve">197022 г.Санкт-Петербург ул.Профессора Попова д.37</v>
      </c>
      <c r="H8" t="str">
        <f>IF(ISNUMBER(VALUE(LEFT(TRIM(Поставщики_исходные!G8),6))),LEFT(TRIM(Поставщики_исходные!G8),6),"")</f>
        <v>197022</v>
      </c>
      <c r="I8" t="str">
        <f>TRIM(MID(TRIM(Поставщики_исходные!G8),7,255))</f>
        <v xml:space="preserve">г.Санкт-Петербург ул.Профессора Попова д.37</v>
      </c>
      <c r="J8" t="str">
        <f t="shared" si="20"/>
        <v>OK</v>
      </c>
      <c r="K8" t="str">
        <f t="shared" si="21"/>
        <v>OK</v>
      </c>
    </row>
    <row r="9">
      <c r="A9" t="str">
        <f>Поставщики_исходные!A9</f>
        <v>P008</v>
      </c>
      <c r="B9" t="str">
        <f>PROPER(TRIM(Поставщики_исходные!B9))</f>
        <v xml:space="preserve">Ао Электронсбыт</v>
      </c>
      <c r="C9" s="5" t="str">
        <f>IF(ISBLANK(Поставщики_исходные!C9),"",TRIM(Поставщики_исходные!C9))</f>
        <v>771456789012</v>
      </c>
      <c r="D9" t="str">
        <f>Поставщики_исходные!D9</f>
        <v>771201001</v>
      </c>
      <c r="E9" s="6" t="str">
        <f>IF(ISBLANK(Поставщики_исходные!E9),"",IF(LEN(SUBSTITUTE(SUBSTITUTE(SUBSTITUTE(SUBSTITUTE(SUBSTITUTE(Поставщики_исходные!E9," ",""),"-",""),"+",""),"(",""),")",""))=11,"+7 ("&amp;MID(IF(LEFT(SUBSTITUTE(SUBSTITUTE(SUBSTITUTE(SUBSTITUTE(SUBSTITUTE(Поставщики_исходные!E9," ",""),"-",""),"+",""),"(",""),")",""))="8","7"&amp;MID(SUBSTITUTE(SUBSTITUTE(SUBSTITUTE(SUBSTITUTE(SUBSTITUTE(Поставщики_исходные!E9," ",""),"-",""),"+",""),"(",""),")",""),2,10),SUBSTITUTE(SUBSTITUTE(SUBSTITUTE(SUBSTITUTE(SUBSTITUTE(Поставщики_исходные!E9," ",""),"-",""),"+",""),"(",""),")","")),2,3)&amp;") "&amp;MID(IF(LEFT(SUBSTITUTE(SUBSTITUTE(SUBSTITUTE(SUBSTITUTE(SUBSTITUTE(Поставщики_исходные!E9," ",""),"-",""),"+",""),"(",""),")",""))="8","7"&amp;MID(SUBSTITUTE(SUBSTITUTE(SUBSTITUTE(SUBSTITUTE(SUBSTITUTE(Поставщики_исходные!E9," ",""),"-",""),"+",""),"(",""),")",""),2,10),SUBSTITUTE(SUBSTITUTE(SUBSTITUTE(SUBSTITUTE(SUBSTITUTE(Поставщики_исходные!E9," ",""),"-",""),"+",""),"(",""),")","")),5,3)&amp;"-"&amp;MID(IF(LEFT(SUBSTITUTE(SUBSTITUTE(SUBSTITUTE(SUBSTITUTE(SUBSTITUTE(Поставщики_исходные!E9," ",""),"-",""),"+",""),"(",""),")",""))="8","7"&amp;MID(SUBSTITUTE(SUBSTITUTE(SUBSTITUTE(SUBSTITUTE(SUBSTITUTE(Поставщики_исходные!E9," ",""),"-",""),"+",""),"(",""),")",""),2,10),SUBSTITUTE(SUBSTITUTE(SUBSTITUTE(SUBSTITUTE(SUBSTITUTE(Поставщики_исходные!E9," ",""),"-",""),"+",""),"(",""),")","")),8,2)&amp;"-"&amp;MID(IF(LEFT(SUBSTITUTE(SUBSTITUTE(SUBSTITUTE(SUBSTITUTE(SUBSTITUTE(Поставщики_исходные!E9," ",""),"-",""),"+",""),"(",""),")",""))="8","7"&amp;MID(SUBSTITUTE(SUBSTITUTE(SUBSTITUTE(SUBSTITUTE(SUBSTITUTE(Поставщики_исходные!E9," ",""),"-",""),"+",""),"(",""),")",""),2,10),SUBSTITUTE(SUBSTITUTE(SUBSTITUTE(SUBSTITUTE(SUBSTITUTE(Поставщики_исходные!E9," ",""),"-",""),"+",""),"(",""),")","")),10,2),IF(LEN(SUBSTITUTE(SUBSTITUTE(SUBSTITUTE(SUBSTITUTE(SUBSTITUTE(Поставщики_исходные!E9," ",""),"-",""),"+",""),"(",""),")",""))=10,"+7 ("&amp;MID(SUBSTITUTE(SUBSTITUTE(SUBSTITUTE(SUBSTITUTE(SUBSTITUTE(Поставщики_исходные!E9," ",""),"-",""),"+",""),"(",""),")",""),1,3)&amp;") "&amp;MID(SUBSTITUTE(SUBSTITUTE(SUBSTITUTE(SUBSTITUTE(SUBSTITUTE(Поставщики_исходные!E9," ",""),"-",""),"+",""),"(",""),")",""),4,3)&amp;"-"&amp;MID(SUBSTITUTE(SUBSTITUTE(SUBSTITUTE(SUBSTITUTE(SUBSTITUTE(Поставщики_исходные!E9," ",""),"-",""),"+",""),"(",""),")",""),6,2)&amp;"-"&amp;MID(SUBSTITUTE(SUBSTITUTE(SUBSTITUTE(SUBSTITUTE(SUBSTITUTE(Поставщики_исходные!E9," ",""),"-",""),"+",""),"(",""),")",""),8,2),Поставщики_исходные!E9)))</f>
        <v xml:space="preserve">+7 (903) 890-12-34</v>
      </c>
      <c r="F9" t="str">
        <f>IF(ISBLANK(Поставщики_исходные!F9),"",IF(ISNUMBER(FIND(".",MID(Поставщики_исходные!F9,FIND("@",Поставщики_исходные!F9)+1,255))),Поставщики_исходные!F9,IF(ISNUMBER(FIND("gmail",Поставщики_исходные!F9)),Поставщики_исходные!F9&amp;".com",Поставщики_исходные!F9&amp;".ru")))</f>
        <v>electron@sbyt.ru</v>
      </c>
      <c r="G9" t="str">
        <f>TRIM(Поставщики_исходные!G9)</f>
        <v xml:space="preserve">109316 г.Москва ул.Таганская д.54</v>
      </c>
      <c r="H9" t="str">
        <f>IF(ISNUMBER(VALUE(LEFT(TRIM(Поставщики_исходные!G9),6))),LEFT(TRIM(Поставщики_исходные!G9),6),"")</f>
        <v>109316</v>
      </c>
      <c r="I9" t="str">
        <f>TRIM(MID(TRIM(Поставщики_исходные!G9),7,255))</f>
        <v xml:space="preserve">г.Москва ул.Таганская д.54</v>
      </c>
      <c r="J9" t="str">
        <f t="shared" si="20"/>
        <v>OK</v>
      </c>
      <c r="K9" t="str">
        <f t="shared" si="21"/>
        <v>OK</v>
      </c>
    </row>
    <row r="10">
      <c r="A10" t="str">
        <f>'Поставщики_исходные'!A10</f>
        <v>P009</v>
      </c>
      <c r="B10" t="str">
        <f>PROPER(TRIM('Поставщики_исходные'!B10))</f>
        <v xml:space="preserve">Ооо Смарттех</v>
      </c>
      <c r="C10" s="5" t="str">
        <f>IF(ISBLANK(Поставщики_исходные!C8),"",TRIM(Поставщики_исходные!C8))</f>
        <v>7802345678</v>
      </c>
      <c r="D10" t="str">
        <f>'Поставщики_исходные'!D10</f>
        <v>780301001</v>
      </c>
      <c r="E10" s="6" t="str">
        <f>IF(ISBLANK(Поставщики_исходные!E10),"",IF(LEN(SUBSTITUTE(SUBSTITUTE(SUBSTITUTE(SUBSTITUTE(SUBSTITUTE(Поставщики_исходные!E10," ",""),"-",""),"+",""),"(",""),")",""))=11,"+7 ("&amp;MID(IF(LEFT(SUBSTITUTE(SUBSTITUTE(SUBSTITUTE(SUBSTITUTE(SUBSTITUTE(Поставщики_исходные!E10," ",""),"-",""),"+",""),"(",""),")",""))="8","7"&amp;MID(SUBSTITUTE(SUBSTITUTE(SUBSTITUTE(SUBSTITUTE(SUBSTITUTE(Поставщики_исходные!E10," ",""),"-",""),"+",""),"(",""),")",""),2,10),SUBSTITUTE(SUBSTITUTE(SUBSTITUTE(SUBSTITUTE(SUBSTITUTE(Поставщики_исходные!E10," ",""),"-",""),"+",""),"(",""),")","")),2,3)&amp;") "&amp;MID(IF(LEFT(SUBSTITUTE(SUBSTITUTE(SUBSTITUTE(SUBSTITUTE(SUBSTITUTE(Поставщики_исходные!E10," ",""),"-",""),"+",""),"(",""),")",""))="8","7"&amp;MID(SUBSTITUTE(SUBSTITUTE(SUBSTITUTE(SUBSTITUTE(SUBSTITUTE(Поставщики_исходные!E10," ",""),"-",""),"+",""),"(",""),")",""),2,10),SUBSTITUTE(SUBSTITUTE(SUBSTITUTE(SUBSTITUTE(SUBSTITUTE(Поставщики_исходные!E10," ",""),"-",""),"+",""),"(",""),")","")),5,3)&amp;"-"&amp;MID(IF(LEFT(SUBSTITUTE(SUBSTITUTE(SUBSTITUTE(SUBSTITUTE(SUBSTITUTE(Поставщики_исходные!E10," ",""),"-",""),"+",""),"(",""),")",""))="8","7"&amp;MID(SUBSTITUTE(SUBSTITUTE(SUBSTITUTE(SUBSTITUTE(SUBSTITUTE(Поставщики_исходные!E10," ",""),"-",""),"+",""),"(",""),")",""),2,10),SUBSTITUTE(SUBSTITUTE(SUBSTITUTE(SUBSTITUTE(SUBSTITUTE(Поставщики_исходные!E10," ",""),"-",""),"+",""),"(",""),")","")),8,2)&amp;"-"&amp;MID(IF(LEFT(SUBSTITUTE(SUBSTITUTE(SUBSTITUTE(SUBSTITUTE(SUBSTITUTE(Поставщики_исходные!E10," ",""),"-",""),"+",""),"(",""),")",""))="8","7"&amp;MID(SUBSTITUTE(SUBSTITUTE(SUBSTITUTE(SUBSTITUTE(SUBSTITUTE(Поставщики_исходные!E10," ",""),"-",""),"+",""),"(",""),")",""),2,10),SUBSTITUTE(SUBSTITUTE(SUBSTITUTE(SUBSTITUTE(SUBSTITUTE(Поставщики_исходные!E10," ",""),"-",""),"+",""),"(",""),")","")),10,2),IF(LEN(SUBSTITUTE(SUBSTITUTE(SUBSTITUTE(SUBSTITUTE(SUBSTITUTE(Поставщики_исходные!E10," ",""),"-",""),"+",""),"(",""),")",""))=10,"+7 ("&amp;MID(SUBSTITUTE(SUBSTITUTE(SUBSTITUTE(SUBSTITUTE(SUBSTITUTE(Поставщики_исходные!E10," ",""),"-",""),"+",""),"(",""),")",""),1,3)&amp;") "&amp;MID(SUBSTITUTE(SUBSTITUTE(SUBSTITUTE(SUBSTITUTE(SUBSTITUTE(Поставщики_исходные!E10," ",""),"-",""),"+",""),"(",""),")",""),4,3)&amp;"-"&amp;MID(SUBSTITUTE(SUBSTITUTE(SUBSTITUTE(SUBSTITUTE(SUBSTITUTE(Поставщики_исходные!E10," ",""),"-",""),"+",""),"(",""),")",""),6,2)&amp;"-"&amp;MID(SUBSTITUTE(SUBSTITUTE(SUBSTITUTE(SUBSTITUTE(SUBSTITUTE(Поставщики_исходные!E10," ",""),"-",""),"+",""),"(",""),")",""),8,2),Поставщики_исходные!E10)))</f>
        <v xml:space="preserve">+7 (903) 901-23-45</v>
      </c>
      <c r="F10" t="str">
        <f>IF(ISBLANK(Поставщики_исходные!F10),"",IF(ISNUMBER(FIND(".",MID(Поставщики_исходные!F10,FIND("@",Поставщики_исходные!F10)+1,255))),Поставщики_исходные!F10,IF(ISNUMBER(FIND("gmail",Поставщики_исходные!F10)),Поставщики_исходные!F10&amp;".com",Поставщики_исходные!F10&amp;".ru")))</f>
        <v>smart@tech.ru</v>
      </c>
      <c r="G10" t="str">
        <f>TRIM('Поставщики_исходные'!G10)</f>
        <v xml:space="preserve">196084 г.Санкт-Петербург ул.Заставская д.22</v>
      </c>
      <c r="H10" t="str">
        <f>IF(ISNUMBER(VALUE(LEFT(TRIM('Поставщики_исходные'!G10),6))),LEFT(TRIM('Поставщики_исходные'!G10),6),"")</f>
        <v>196084</v>
      </c>
      <c r="I10" t="str">
        <f>TRIM(MID(TRIM('Поставщики_исходные'!G10),7,255))</f>
        <v xml:space="preserve">г.Санкт-Петербург ул.Заставская д.22</v>
      </c>
      <c r="J10" t="str">
        <f t="shared" ref="J10:J51" si="22">IF(OR(LEN(C10)=10,LEN(C10)=12),"OK","Ошибка ИНН")</f>
        <v>OK</v>
      </c>
      <c r="K10" t="str">
        <f t="shared" ref="K10:K51" si="23">IF(AND(ISNUMBER(FIND("@",F10)),ISNUMBER(FIND(".",MID(F10,FIND("@",F10)+1,255)))),"OK","Ошибка Email")</f>
        <v>OK</v>
      </c>
    </row>
    <row r="11">
      <c r="A11" t="str">
        <f>Поставщики_исходные!A11</f>
        <v>P010</v>
      </c>
      <c r="B11" t="str">
        <f>PROPER(TRIM(Поставщики_исходные!B11))</f>
        <v xml:space="preserve">Зао Технопром</v>
      </c>
      <c r="C11" s="5" t="str">
        <f>IF(ISBLANK(Поставщики_исходные!C9),"",TRIM(Поставщики_исходные!C9))</f>
        <v>771456789012</v>
      </c>
      <c r="D11" t="str">
        <f>Поставщики_исходные!D11</f>
        <v>771301001</v>
      </c>
      <c r="E11" s="6" t="str">
        <f>IF(ISBLANK(Поставщики_исходные!E11),"",IF(LEN(SUBSTITUTE(SUBSTITUTE(SUBSTITUTE(SUBSTITUTE(SUBSTITUTE(Поставщики_исходные!E11," ",""),"-",""),"+",""),"(",""),")",""))=11,"+7 ("&amp;MID(IF(LEFT(SUBSTITUTE(SUBSTITUTE(SUBSTITUTE(SUBSTITUTE(SUBSTITUTE(Поставщики_исходные!E11," ",""),"-",""),"+",""),"(",""),")",""))="8","7"&amp;MID(SUBSTITUTE(SUBSTITUTE(SUBSTITUTE(SUBSTITUTE(SUBSTITUTE(Поставщики_исходные!E11," ",""),"-",""),"+",""),"(",""),")",""),2,10),SUBSTITUTE(SUBSTITUTE(SUBSTITUTE(SUBSTITUTE(SUBSTITUTE(Поставщики_исходные!E11," ",""),"-",""),"+",""),"(",""),")","")),2,3)&amp;") "&amp;MID(IF(LEFT(SUBSTITUTE(SUBSTITUTE(SUBSTITUTE(SUBSTITUTE(SUBSTITUTE(Поставщики_исходные!E11," ",""),"-",""),"+",""),"(",""),")",""))="8","7"&amp;MID(SUBSTITUTE(SUBSTITUTE(SUBSTITUTE(SUBSTITUTE(SUBSTITUTE(Поставщики_исходные!E11," ",""),"-",""),"+",""),"(",""),")",""),2,10),SUBSTITUTE(SUBSTITUTE(SUBSTITUTE(SUBSTITUTE(SUBSTITUTE(Поставщики_исходные!E11," ",""),"-",""),"+",""),"(",""),")","")),5,3)&amp;"-"&amp;MID(IF(LEFT(SUBSTITUTE(SUBSTITUTE(SUBSTITUTE(SUBSTITUTE(SUBSTITUTE(Поставщики_исходные!E11," ",""),"-",""),"+",""),"(",""),")",""))="8","7"&amp;MID(SUBSTITUTE(SUBSTITUTE(SUBSTITUTE(SUBSTITUTE(SUBSTITUTE(Поставщики_исходные!E11," ",""),"-",""),"+",""),"(",""),")",""),2,10),SUBSTITUTE(SUBSTITUTE(SUBSTITUTE(SUBSTITUTE(SUBSTITUTE(Поставщики_исходные!E11," ",""),"-",""),"+",""),"(",""),")","")),8,2)&amp;"-"&amp;MID(IF(LEFT(SUBSTITUTE(SUBSTITUTE(SUBSTITUTE(SUBSTITUTE(SUBSTITUTE(Поставщики_исходные!E11," ",""),"-",""),"+",""),"(",""),")",""))="8","7"&amp;MID(SUBSTITUTE(SUBSTITUTE(SUBSTITUTE(SUBSTITUTE(SUBSTITUTE(Поставщики_исходные!E11," ",""),"-",""),"+",""),"(",""),")",""),2,10),SUBSTITUTE(SUBSTITUTE(SUBSTITUTE(SUBSTITUTE(SUBSTITUTE(Поставщики_исходные!E11," ",""),"-",""),"+",""),"(",""),")","")),10,2),IF(LEN(SUBSTITUTE(SUBSTITUTE(SUBSTITUTE(SUBSTITUTE(SUBSTITUTE(Поставщики_исходные!E11," ",""),"-",""),"+",""),"(",""),")",""))=10,"+7 ("&amp;MID(SUBSTITUTE(SUBSTITUTE(SUBSTITUTE(SUBSTITUTE(SUBSTITUTE(Поставщики_исходные!E11," ",""),"-",""),"+",""),"(",""),")",""),1,3)&amp;") "&amp;MID(SUBSTITUTE(SUBSTITUTE(SUBSTITUTE(SUBSTITUTE(SUBSTITUTE(Поставщики_исходные!E11," ",""),"-",""),"+",""),"(",""),")",""),4,3)&amp;"-"&amp;MID(SUBSTITUTE(SUBSTITUTE(SUBSTITUTE(SUBSTITUTE(SUBSTITUTE(Поставщики_исходные!E11," ",""),"-",""),"+",""),"(",""),")",""),6,2)&amp;"-"&amp;MID(SUBSTITUTE(SUBSTITUTE(SUBSTITUTE(SUBSTITUTE(SUBSTITUTE(Поставщики_исходные!E11," ",""),"-",""),"+",""),"(",""),")",""),8,2),Поставщики_исходные!E11)))</f>
        <v xml:space="preserve">+7 (903) 012-34-56</v>
      </c>
      <c r="F11" t="str">
        <f>IF(ISBLANK(Поставщики_исходные!F11),"",IF(ISNUMBER(FIND(".",MID(Поставщики_исходные!F11,FIND("@",Поставщики_исходные!F11)+1,255))),Поставщики_исходные!F11,IF(ISNUMBER(FIND("gmail",Поставщики_исходные!F11)),Поставщики_исходные!F11&amp;".com",Поставщики_исходные!F11&amp;".ru")))</f>
        <v>prom@tehno.ru</v>
      </c>
      <c r="G11" t="str">
        <f>TRIM(Поставщики_исходные!G11)</f>
        <v xml:space="preserve">119334 г.Москва ул.Косыгина д.17</v>
      </c>
      <c r="H11" t="str">
        <f>IF(ISNUMBER(VALUE(LEFT(TRIM(Поставщики_исходные!G11),6))),LEFT(TRIM(Поставщики_исходные!G11),6),"")</f>
        <v>119334</v>
      </c>
      <c r="I11" t="str">
        <f>TRIM(MID(TRIM(Поставщики_исходные!G11),7,255))</f>
        <v xml:space="preserve">г.Москва ул.Косыгина д.17</v>
      </c>
      <c r="J11" t="str">
        <f t="shared" si="22"/>
        <v>OK</v>
      </c>
      <c r="K11" t="str">
        <f t="shared" si="23"/>
        <v>OK</v>
      </c>
    </row>
    <row r="12">
      <c r="A12" t="str">
        <f>Поставщики_исходные!A12</f>
        <v>P011</v>
      </c>
      <c r="B12" t="str">
        <f>PROPER(TRIM(Поставщики_исходные!B12))</f>
        <v xml:space="preserve">Ооо Сервисплюс</v>
      </c>
      <c r="C12" s="5" t="str">
        <f>IF(ISBLANK(Поставщики_исходные!C10),"",TRIM(Поставщики_исходные!C10))</f>
        <v>7803456789</v>
      </c>
      <c r="D12" t="str">
        <f>Поставщики_исходные!D12</f>
        <v>780401001</v>
      </c>
      <c r="E12" s="6" t="str">
        <f>IF(ISBLANK(Поставщики_исходные!E12),"",IF(LEN(SUBSTITUTE(SUBSTITUTE(SUBSTITUTE(SUBSTITUTE(SUBSTITUTE(Поставщики_исходные!E12," ",""),"-",""),"+",""),"(",""),")",""))=11,"+7 ("&amp;MID(IF(LEFT(SUBSTITUTE(SUBSTITUTE(SUBSTITUTE(SUBSTITUTE(SUBSTITUTE(Поставщики_исходные!E12," ",""),"-",""),"+",""),"(",""),")",""))="8","7"&amp;MID(SUBSTITUTE(SUBSTITUTE(SUBSTITUTE(SUBSTITUTE(SUBSTITUTE(Поставщики_исходные!E12," ",""),"-",""),"+",""),"(",""),")",""),2,10),SUBSTITUTE(SUBSTITUTE(SUBSTITUTE(SUBSTITUTE(SUBSTITUTE(Поставщики_исходные!E12," ",""),"-",""),"+",""),"(",""),")","")),2,3)&amp;") "&amp;MID(IF(LEFT(SUBSTITUTE(SUBSTITUTE(SUBSTITUTE(SUBSTITUTE(SUBSTITUTE(Поставщики_исходные!E12," ",""),"-",""),"+",""),"(",""),")",""))="8","7"&amp;MID(SUBSTITUTE(SUBSTITUTE(SUBSTITUTE(SUBSTITUTE(SUBSTITUTE(Поставщики_исходные!E12," ",""),"-",""),"+",""),"(",""),")",""),2,10),SUBSTITUTE(SUBSTITUTE(SUBSTITUTE(SUBSTITUTE(SUBSTITUTE(Поставщики_исходные!E12," ",""),"-",""),"+",""),"(",""),")","")),5,3)&amp;"-"&amp;MID(IF(LEFT(SUBSTITUTE(SUBSTITUTE(SUBSTITUTE(SUBSTITUTE(SUBSTITUTE(Поставщики_исходные!E12," ",""),"-",""),"+",""),"(",""),")",""))="8","7"&amp;MID(SUBSTITUTE(SUBSTITUTE(SUBSTITUTE(SUBSTITUTE(SUBSTITUTE(Поставщики_исходные!E12," ",""),"-",""),"+",""),"(",""),")",""),2,10),SUBSTITUTE(SUBSTITUTE(SUBSTITUTE(SUBSTITUTE(SUBSTITUTE(Поставщики_исходные!E12," ",""),"-",""),"+",""),"(",""),")","")),8,2)&amp;"-"&amp;MID(IF(LEFT(SUBSTITUTE(SUBSTITUTE(SUBSTITUTE(SUBSTITUTE(SUBSTITUTE(Поставщики_исходные!E12," ",""),"-",""),"+",""),"(",""),")",""))="8","7"&amp;MID(SUBSTITUTE(SUBSTITUTE(SUBSTITUTE(SUBSTITUTE(SUBSTITUTE(Поставщики_исходные!E12," ",""),"-",""),"+",""),"(",""),")",""),2,10),SUBSTITUTE(SUBSTITUTE(SUBSTITUTE(SUBSTITUTE(SUBSTITUTE(Поставщики_исходные!E12," ",""),"-",""),"+",""),"(",""),")","")),10,2),IF(LEN(SUBSTITUTE(SUBSTITUTE(SUBSTITUTE(SUBSTITUTE(SUBSTITUTE(Поставщики_исходные!E12," ",""),"-",""),"+",""),"(",""),")",""))=10,"+7 ("&amp;MID(SUBSTITUTE(SUBSTITUTE(SUBSTITUTE(SUBSTITUTE(SUBSTITUTE(Поставщики_исходные!E12," ",""),"-",""),"+",""),"(",""),")",""),1,3)&amp;") "&amp;MID(SUBSTITUTE(SUBSTITUTE(SUBSTITUTE(SUBSTITUTE(SUBSTITUTE(Поставщики_исходные!E12," ",""),"-",""),"+",""),"(",""),")",""),4,3)&amp;"-"&amp;MID(SUBSTITUTE(SUBSTITUTE(SUBSTITUTE(SUBSTITUTE(SUBSTITUTE(Поставщики_исходные!E12," ",""),"-",""),"+",""),"(",""),")",""),6,2)&amp;"-"&amp;MID(SUBSTITUTE(SUBSTITUTE(SUBSTITUTE(SUBSTITUTE(SUBSTITUTE(Поставщики_исходные!E12," ",""),"-",""),"+",""),"(",""),")",""),8,2),Поставщики_исходные!E12)))</f>
        <v xml:space="preserve">+7 (903) 123-45-67</v>
      </c>
      <c r="F12" t="str">
        <f>IF(ISBLANK(Поставщики_исходные!F12),"",IF(ISNUMBER(FIND(".",MID(Поставщики_исходные!F12,FIND("@",Поставщики_исходные!F12)+1,255))),Поставщики_исходные!F12,IF(ISNUMBER(FIND("gmail",Поставщики_исходные!F12)),Поставщики_исходные!F12&amp;".com",Поставщики_исходные!F12&amp;".ru")))</f>
        <v>service@plus.ru</v>
      </c>
      <c r="G12" t="str">
        <f>TRIM(Поставщики_исходные!G12)</f>
        <v xml:space="preserve">199178 г.Санкт-Петербург ул.Средний пр.В.О.д.78</v>
      </c>
      <c r="H12" t="str">
        <f>IF(ISNUMBER(VALUE(LEFT(TRIM(Поставщики_исходные!G12),6))),LEFT(TRIM(Поставщики_исходные!G12),6),"")</f>
        <v>199178</v>
      </c>
      <c r="I12" t="str">
        <f>TRIM(MID(TRIM(Поставщики_исходные!G12),7,255))</f>
        <v xml:space="preserve">г.Санкт-Петербург ул.Средний пр.В.О.д.78</v>
      </c>
      <c r="J12" t="str">
        <f t="shared" si="22"/>
        <v>OK</v>
      </c>
      <c r="K12" t="str">
        <f t="shared" si="23"/>
        <v>OK</v>
      </c>
    </row>
    <row r="13">
      <c r="A13" t="str">
        <f>Поставщики_исходные!A13</f>
        <v>P012</v>
      </c>
      <c r="B13" t="str">
        <f>PROPER(TRIM(Поставщики_исходные!B13))</f>
        <v xml:space="preserve">Ао Технотрейд</v>
      </c>
      <c r="C13" s="5" t="str">
        <f>IF(ISBLANK(Поставщики_исходные!C11),"",TRIM(Поставщики_исходные!C11))</f>
        <v>7715678901</v>
      </c>
      <c r="D13" t="str">
        <f>Поставщики_исходные!D13</f>
        <v>771401001</v>
      </c>
      <c r="E13" s="6" t="str">
        <f>IF(ISBLANK(Поставщики_исходные!E13),"",IF(LEN(SUBSTITUTE(SUBSTITUTE(SUBSTITUTE(SUBSTITUTE(SUBSTITUTE(Поставщики_исходные!E13," ",""),"-",""),"+",""),"(",""),")",""))=11,"+7 ("&amp;MID(IF(LEFT(SUBSTITUTE(SUBSTITUTE(SUBSTITUTE(SUBSTITUTE(SUBSTITUTE(Поставщики_исходные!E13," ",""),"-",""),"+",""),"(",""),")",""))="8","7"&amp;MID(SUBSTITUTE(SUBSTITUTE(SUBSTITUTE(SUBSTITUTE(SUBSTITUTE(Поставщики_исходные!E13," ",""),"-",""),"+",""),"(",""),")",""),2,10),SUBSTITUTE(SUBSTITUTE(SUBSTITUTE(SUBSTITUTE(SUBSTITUTE(Поставщики_исходные!E13," ",""),"-",""),"+",""),"(",""),")","")),2,3)&amp;") "&amp;MID(IF(LEFT(SUBSTITUTE(SUBSTITUTE(SUBSTITUTE(SUBSTITUTE(SUBSTITUTE(Поставщики_исходные!E13," ",""),"-",""),"+",""),"(",""),")",""))="8","7"&amp;MID(SUBSTITUTE(SUBSTITUTE(SUBSTITUTE(SUBSTITUTE(SUBSTITUTE(Поставщики_исходные!E13," ",""),"-",""),"+",""),"(",""),")",""),2,10),SUBSTITUTE(SUBSTITUTE(SUBSTITUTE(SUBSTITUTE(SUBSTITUTE(Поставщики_исходные!E13," ",""),"-",""),"+",""),"(",""),")","")),5,3)&amp;"-"&amp;MID(IF(LEFT(SUBSTITUTE(SUBSTITUTE(SUBSTITUTE(SUBSTITUTE(SUBSTITUTE(Поставщики_исходные!E13," ",""),"-",""),"+",""),"(",""),")",""))="8","7"&amp;MID(SUBSTITUTE(SUBSTITUTE(SUBSTITUTE(SUBSTITUTE(SUBSTITUTE(Поставщики_исходные!E13," ",""),"-",""),"+",""),"(",""),")",""),2,10),SUBSTITUTE(SUBSTITUTE(SUBSTITUTE(SUBSTITUTE(SUBSTITUTE(Поставщики_исходные!E13," ",""),"-",""),"+",""),"(",""),")","")),8,2)&amp;"-"&amp;MID(IF(LEFT(SUBSTITUTE(SUBSTITUTE(SUBSTITUTE(SUBSTITUTE(SUBSTITUTE(Поставщики_исходные!E13," ",""),"-",""),"+",""),"(",""),")",""))="8","7"&amp;MID(SUBSTITUTE(SUBSTITUTE(SUBSTITUTE(SUBSTITUTE(SUBSTITUTE(Поставщики_исходные!E13," ",""),"-",""),"+",""),"(",""),")",""),2,10),SUBSTITUTE(SUBSTITUTE(SUBSTITUTE(SUBSTITUTE(SUBSTITUTE(Поставщики_исходные!E13," ",""),"-",""),"+",""),"(",""),")","")),10,2),IF(LEN(SUBSTITUTE(SUBSTITUTE(SUBSTITUTE(SUBSTITUTE(SUBSTITUTE(Поставщики_исходные!E13," ",""),"-",""),"+",""),"(",""),")",""))=10,"+7 ("&amp;MID(SUBSTITUTE(SUBSTITUTE(SUBSTITUTE(SUBSTITUTE(SUBSTITUTE(Поставщики_исходные!E13," ",""),"-",""),"+",""),"(",""),")",""),1,3)&amp;") "&amp;MID(SUBSTITUTE(SUBSTITUTE(SUBSTITUTE(SUBSTITUTE(SUBSTITUTE(Поставщики_исходные!E13," ",""),"-",""),"+",""),"(",""),")",""),4,3)&amp;"-"&amp;MID(SUBSTITUTE(SUBSTITUTE(SUBSTITUTE(SUBSTITUTE(SUBSTITUTE(Поставщики_исходные!E13," ",""),"-",""),"+",""),"(",""),")",""),6,2)&amp;"-"&amp;MID(SUBSTITUTE(SUBSTITUTE(SUBSTITUTE(SUBSTITUTE(SUBSTITUTE(Поставщики_исходные!E13," ",""),"-",""),"+",""),"(",""),")",""),8,2),Поставщики_исходные!E13)))</f>
        <v xml:space="preserve">+7 (903) 234-56-78</v>
      </c>
      <c r="F13" t="str">
        <f>IF(ISBLANK(Поставщики_исходные!F13),"",IF(ISNUMBER(FIND(".",MID(Поставщики_исходные!F13,FIND("@",Поставщики_исходные!F13)+1,255))),Поставщики_исходные!F13,IF(ISNUMBER(FIND("gmail",Поставщики_исходные!F13)),Поставщики_исходные!F13&amp;".com",Поставщики_исходные!F13&amp;".ru")))</f>
        <v>trade@tehno.ru</v>
      </c>
      <c r="G13" t="str">
        <f>TRIM(Поставщики_исходные!G13)</f>
        <v xml:space="preserve">107113 г.Москва ул.Сокольнический вал д.3</v>
      </c>
      <c r="H13" t="str">
        <f>IF(ISNUMBER(VALUE(LEFT(TRIM(Поставщики_исходные!G13),6))),LEFT(TRIM(Поставщики_исходные!G13),6),"")</f>
        <v>107113</v>
      </c>
      <c r="I13" t="str">
        <f>TRIM(MID(TRIM(Поставщики_исходные!G13),7,255))</f>
        <v xml:space="preserve">г.Москва ул.Сокольнический вал д.3</v>
      </c>
      <c r="J13" t="str">
        <f t="shared" si="22"/>
        <v>OK</v>
      </c>
      <c r="K13" t="str">
        <f t="shared" si="23"/>
        <v>OK</v>
      </c>
    </row>
    <row r="14">
      <c r="A14" t="str">
        <f>Поставщики_исходные!A14</f>
        <v>P013</v>
      </c>
      <c r="B14" t="str">
        <f>PROPER(TRIM(Поставщики_исходные!B14))</f>
        <v xml:space="preserve">Ооо Ресурсснаб</v>
      </c>
      <c r="C14" s="5" t="str">
        <f>IF(ISBLANK(Поставщики_исходные!C12),"",TRIM(Поставщики_исходные!C12))</f>
        <v>78045678</v>
      </c>
      <c r="D14" t="str">
        <f>Поставщики_исходные!D14</f>
        <v>780501001</v>
      </c>
      <c r="E14" s="6" t="str">
        <f>IF(ISBLANK(Поставщики_исходные!E14),"",IF(LEN(SUBSTITUTE(SUBSTITUTE(SUBSTITUTE(SUBSTITUTE(SUBSTITUTE(Поставщики_исходные!E14," ",""),"-",""),"+",""),"(",""),")",""))=11,"+7 ("&amp;MID(IF(LEFT(SUBSTITUTE(SUBSTITUTE(SUBSTITUTE(SUBSTITUTE(SUBSTITUTE(Поставщики_исходные!E14," ",""),"-",""),"+",""),"(",""),")",""))="8","7"&amp;MID(SUBSTITUTE(SUBSTITUTE(SUBSTITUTE(SUBSTITUTE(SUBSTITUTE(Поставщики_исходные!E14," ",""),"-",""),"+",""),"(",""),")",""),2,10),SUBSTITUTE(SUBSTITUTE(SUBSTITUTE(SUBSTITUTE(SUBSTITUTE(Поставщики_исходные!E14," ",""),"-",""),"+",""),"(",""),")","")),2,3)&amp;") "&amp;MID(IF(LEFT(SUBSTITUTE(SUBSTITUTE(SUBSTITUTE(SUBSTITUTE(SUBSTITUTE(Поставщики_исходные!E14," ",""),"-",""),"+",""),"(",""),")",""))="8","7"&amp;MID(SUBSTITUTE(SUBSTITUTE(SUBSTITUTE(SUBSTITUTE(SUBSTITUTE(Поставщики_исходные!E14," ",""),"-",""),"+",""),"(",""),")",""),2,10),SUBSTITUTE(SUBSTITUTE(SUBSTITUTE(SUBSTITUTE(SUBSTITUTE(Поставщики_исходные!E14," ",""),"-",""),"+",""),"(",""),")","")),5,3)&amp;"-"&amp;MID(IF(LEFT(SUBSTITUTE(SUBSTITUTE(SUBSTITUTE(SUBSTITUTE(SUBSTITUTE(Поставщики_исходные!E14," ",""),"-",""),"+",""),"(",""),")",""))="8","7"&amp;MID(SUBSTITUTE(SUBSTITUTE(SUBSTITUTE(SUBSTITUTE(SUBSTITUTE(Поставщики_исходные!E14," ",""),"-",""),"+",""),"(",""),")",""),2,10),SUBSTITUTE(SUBSTITUTE(SUBSTITUTE(SUBSTITUTE(SUBSTITUTE(Поставщики_исходные!E14," ",""),"-",""),"+",""),"(",""),")","")),8,2)&amp;"-"&amp;MID(IF(LEFT(SUBSTITUTE(SUBSTITUTE(SUBSTITUTE(SUBSTITUTE(SUBSTITUTE(Поставщики_исходные!E14," ",""),"-",""),"+",""),"(",""),")",""))="8","7"&amp;MID(SUBSTITUTE(SUBSTITUTE(SUBSTITUTE(SUBSTITUTE(SUBSTITUTE(Поставщики_исходные!E14," ",""),"-",""),"+",""),"(",""),")",""),2,10),SUBSTITUTE(SUBSTITUTE(SUBSTITUTE(SUBSTITUTE(SUBSTITUTE(Поставщики_исходные!E14," ",""),"-",""),"+",""),"(",""),")","")),10,2),IF(LEN(SUBSTITUTE(SUBSTITUTE(SUBSTITUTE(SUBSTITUTE(SUBSTITUTE(Поставщики_исходные!E14," ",""),"-",""),"+",""),"(",""),")",""))=10,"+7 ("&amp;MID(SUBSTITUTE(SUBSTITUTE(SUBSTITUTE(SUBSTITUTE(SUBSTITUTE(Поставщики_исходные!E14," ",""),"-",""),"+",""),"(",""),")",""),1,3)&amp;") "&amp;MID(SUBSTITUTE(SUBSTITUTE(SUBSTITUTE(SUBSTITUTE(SUBSTITUTE(Поставщики_исходные!E14," ",""),"-",""),"+",""),"(",""),")",""),4,3)&amp;"-"&amp;MID(SUBSTITUTE(SUBSTITUTE(SUBSTITUTE(SUBSTITUTE(SUBSTITUTE(Поставщики_исходные!E14," ",""),"-",""),"+",""),"(",""),")",""),6,2)&amp;"-"&amp;MID(SUBSTITUTE(SUBSTITUTE(SUBSTITUTE(SUBSTITUTE(SUBSTITUTE(Поставщики_исходные!E14," ",""),"-",""),"+",""),"(",""),")",""),8,2),Поставщики_исходные!E14)))</f>
        <v xml:space="preserve">+7 (903) 345-67-89</v>
      </c>
      <c r="F14" t="str">
        <f>IF(ISBLANK(Поставщики_исходные!F14),"",IF(ISNUMBER(FIND(".",MID(Поставщики_исходные!F14,FIND("@",Поставщики_исходные!F14)+1,255))),Поставщики_исходные!F14,IF(ISNUMBER(FIND("gmail",Поставщики_исходные!F14)),Поставщики_исходные!F14&amp;".com",Поставщики_исходные!F14&amp;".ru")))</f>
        <v>resurs_snab@mail.ru</v>
      </c>
      <c r="G14" t="str">
        <f>TRIM(Поставщики_исходные!G14)</f>
        <v xml:space="preserve">196247 г.Санкт-Петербург ул.Ленина д.45</v>
      </c>
      <c r="H14" t="str">
        <f>IF(ISNUMBER(VALUE(LEFT(TRIM(Поставщики_исходные!G14),6))),LEFT(TRIM(Поставщики_исходные!G14),6),"")</f>
        <v>196247</v>
      </c>
      <c r="I14" t="str">
        <f>TRIM(MID(TRIM(Поставщики_исходные!G14),7,255))</f>
        <v xml:space="preserve">г.Санкт-Петербург ул.Ленина д.45</v>
      </c>
      <c r="J14" t="str">
        <f t="shared" si="22"/>
        <v xml:space="preserve">Ошибка ИНН</v>
      </c>
      <c r="K14" t="str">
        <f t="shared" si="23"/>
        <v>OK</v>
      </c>
    </row>
    <row r="15">
      <c r="A15" t="str">
        <f>Поставщики_исходные!A15</f>
        <v>P014</v>
      </c>
      <c r="B15" t="str">
        <f>PROPER(TRIM(Поставщики_исходные!B15))</f>
        <v xml:space="preserve">Зао Техносервис</v>
      </c>
      <c r="C15" s="5" t="str">
        <f>IF(ISBLANK(Поставщики_исходные!C13),"",TRIM(Поставщики_исходные!C13))</f>
        <v>7716789012</v>
      </c>
      <c r="D15" t="str">
        <f>Поставщики_исходные!D15</f>
        <v>771501001</v>
      </c>
      <c r="E15" s="6" t="str">
        <f>IF(ISBLANK(Поставщики_исходные!E15),"",IF(LEN(SUBSTITUTE(SUBSTITUTE(SUBSTITUTE(SUBSTITUTE(SUBSTITUTE(Поставщики_исходные!E15," ",""),"-",""),"+",""),"(",""),")",""))=11,"+7 ("&amp;MID(IF(LEFT(SUBSTITUTE(SUBSTITUTE(SUBSTITUTE(SUBSTITUTE(SUBSTITUTE(Поставщики_исходные!E15," ",""),"-",""),"+",""),"(",""),")",""))="8","7"&amp;MID(SUBSTITUTE(SUBSTITUTE(SUBSTITUTE(SUBSTITUTE(SUBSTITUTE(Поставщики_исходные!E15," ",""),"-",""),"+",""),"(",""),")",""),2,10),SUBSTITUTE(SUBSTITUTE(SUBSTITUTE(SUBSTITUTE(SUBSTITUTE(Поставщики_исходные!E15," ",""),"-",""),"+",""),"(",""),")","")),2,3)&amp;") "&amp;MID(IF(LEFT(SUBSTITUTE(SUBSTITUTE(SUBSTITUTE(SUBSTITUTE(SUBSTITUTE(Поставщики_исходные!E15," ",""),"-",""),"+",""),"(",""),")",""))="8","7"&amp;MID(SUBSTITUTE(SUBSTITUTE(SUBSTITUTE(SUBSTITUTE(SUBSTITUTE(Поставщики_исходные!E15," ",""),"-",""),"+",""),"(",""),")",""),2,10),SUBSTITUTE(SUBSTITUTE(SUBSTITUTE(SUBSTITUTE(SUBSTITUTE(Поставщики_исходные!E15," ",""),"-",""),"+",""),"(",""),")","")),5,3)&amp;"-"&amp;MID(IF(LEFT(SUBSTITUTE(SUBSTITUTE(SUBSTITUTE(SUBSTITUTE(SUBSTITUTE(Поставщики_исходные!E15," ",""),"-",""),"+",""),"(",""),")",""))="8","7"&amp;MID(SUBSTITUTE(SUBSTITUTE(SUBSTITUTE(SUBSTITUTE(SUBSTITUTE(Поставщики_исходные!E15," ",""),"-",""),"+",""),"(",""),")",""),2,10),SUBSTITUTE(SUBSTITUTE(SUBSTITUTE(SUBSTITUTE(SUBSTITUTE(Поставщики_исходные!E15," ",""),"-",""),"+",""),"(",""),")","")),8,2)&amp;"-"&amp;MID(IF(LEFT(SUBSTITUTE(SUBSTITUTE(SUBSTITUTE(SUBSTITUTE(SUBSTITUTE(Поставщики_исходные!E15," ",""),"-",""),"+",""),"(",""),")",""))="8","7"&amp;MID(SUBSTITUTE(SUBSTITUTE(SUBSTITUTE(SUBSTITUTE(SUBSTITUTE(Поставщики_исходные!E15," ",""),"-",""),"+",""),"(",""),")",""),2,10),SUBSTITUTE(SUBSTITUTE(SUBSTITUTE(SUBSTITUTE(SUBSTITUTE(Поставщики_исходные!E15," ",""),"-",""),"+",""),"(",""),")","")),10,2),IF(LEN(SUBSTITUTE(SUBSTITUTE(SUBSTITUTE(SUBSTITUTE(SUBSTITUTE(Поставщики_исходные!E15," ",""),"-",""),"+",""),"(",""),")",""))=10,"+7 ("&amp;MID(SUBSTITUTE(SUBSTITUTE(SUBSTITUTE(SUBSTITUTE(SUBSTITUTE(Поставщики_исходные!E15," ",""),"-",""),"+",""),"(",""),")",""),1,3)&amp;") "&amp;MID(SUBSTITUTE(SUBSTITUTE(SUBSTITUTE(SUBSTITUTE(SUBSTITUTE(Поставщики_исходные!E15," ",""),"-",""),"+",""),"(",""),")",""),4,3)&amp;"-"&amp;MID(SUBSTITUTE(SUBSTITUTE(SUBSTITUTE(SUBSTITUTE(SUBSTITUTE(Поставщики_исходные!E15," ",""),"-",""),"+",""),"(",""),")",""),6,2)&amp;"-"&amp;MID(SUBSTITUTE(SUBSTITUTE(SUBSTITUTE(SUBSTITUTE(SUBSTITUTE(Поставщики_исходные!E15," ",""),"-",""),"+",""),"(",""),")",""),8,2),Поставщики_исходные!E15)))</f>
        <v xml:space="preserve">+7 (903) 456-78-90</v>
      </c>
      <c r="F15" t="str">
        <f>IF(ISBLANK(Поставщики_исходные!F15),"",IF(ISNUMBER(FIND(".",MID(Поставщики_исходные!F15,FIND("@",Поставщики_исходные!F15)+1,255))),Поставщики_исходные!F15,IF(ISNUMBER(FIND("gmail",Поставщики_исходные!F15)),Поставщики_исходные!F15&amp;".com",Поставщики_исходные!F15&amp;".ru")))</f>
        <v>service@tehno.ru</v>
      </c>
      <c r="G15" t="str">
        <f>TRIM(Поставщики_исходные!G15)</f>
        <v xml:space="preserve">109147 г.Москва ул.Марксистская д.30</v>
      </c>
      <c r="H15" t="str">
        <f>IF(ISNUMBER(VALUE(LEFT(TRIM(Поставщики_исходные!G15),6))),LEFT(TRIM(Поставщики_исходные!G15),6),"")</f>
        <v>109147</v>
      </c>
      <c r="I15" t="str">
        <f>TRIM(MID(TRIM(Поставщики_исходные!G15),7,255))</f>
        <v xml:space="preserve">г.Москва ул.Марксистская д.30</v>
      </c>
      <c r="J15" t="str">
        <f t="shared" si="22"/>
        <v>OK</v>
      </c>
      <c r="K15" t="str">
        <f t="shared" si="23"/>
        <v>OK</v>
      </c>
    </row>
    <row r="16">
      <c r="A16" t="str">
        <f>Поставщики_исходные!A16</f>
        <v>P015</v>
      </c>
      <c r="B16" t="str">
        <f>PROPER(TRIM(Поставщики_исходные!B16))</f>
        <v xml:space="preserve">Ооо Электротехника</v>
      </c>
      <c r="C16" s="5" t="str">
        <f>IF(ISBLANK(Поставщики_исходные!C14),"",TRIM(Поставщики_исходные!C14))</f>
        <v>7805678901234</v>
      </c>
      <c r="D16" t="str">
        <f>Поставщики_исходные!D16</f>
        <v>780601001</v>
      </c>
      <c r="E16" s="6" t="str">
        <f>IF(ISBLANK(Поставщики_исходные!E16),"",IF(LEN(SUBSTITUTE(SUBSTITUTE(SUBSTITUTE(SUBSTITUTE(SUBSTITUTE(Поставщики_исходные!E16," ",""),"-",""),"+",""),"(",""),")",""))=11,"+7 ("&amp;MID(IF(LEFT(SUBSTITUTE(SUBSTITUTE(SUBSTITUTE(SUBSTITUTE(SUBSTITUTE(Поставщики_исходные!E16," ",""),"-",""),"+",""),"(",""),")",""))="8","7"&amp;MID(SUBSTITUTE(SUBSTITUTE(SUBSTITUTE(SUBSTITUTE(SUBSTITUTE(Поставщики_исходные!E16," ",""),"-",""),"+",""),"(",""),")",""),2,10),SUBSTITUTE(SUBSTITUTE(SUBSTITUTE(SUBSTITUTE(SUBSTITUTE(Поставщики_исходные!E16," ",""),"-",""),"+",""),"(",""),")","")),2,3)&amp;") "&amp;MID(IF(LEFT(SUBSTITUTE(SUBSTITUTE(SUBSTITUTE(SUBSTITUTE(SUBSTITUTE(Поставщики_исходные!E16," ",""),"-",""),"+",""),"(",""),")",""))="8","7"&amp;MID(SUBSTITUTE(SUBSTITUTE(SUBSTITUTE(SUBSTITUTE(SUBSTITUTE(Поставщики_исходные!E16," ",""),"-",""),"+",""),"(",""),")",""),2,10),SUBSTITUTE(SUBSTITUTE(SUBSTITUTE(SUBSTITUTE(SUBSTITUTE(Поставщики_исходные!E16," ",""),"-",""),"+",""),"(",""),")","")),5,3)&amp;"-"&amp;MID(IF(LEFT(SUBSTITUTE(SUBSTITUTE(SUBSTITUTE(SUBSTITUTE(SUBSTITUTE(Поставщики_исходные!E16," ",""),"-",""),"+",""),"(",""),")",""))="8","7"&amp;MID(SUBSTITUTE(SUBSTITUTE(SUBSTITUTE(SUBSTITUTE(SUBSTITUTE(Поставщики_исходные!E16," ",""),"-",""),"+",""),"(",""),")",""),2,10),SUBSTITUTE(SUBSTITUTE(SUBSTITUTE(SUBSTITUTE(SUBSTITUTE(Поставщики_исходные!E16," ",""),"-",""),"+",""),"(",""),")","")),8,2)&amp;"-"&amp;MID(IF(LEFT(SUBSTITUTE(SUBSTITUTE(SUBSTITUTE(SUBSTITUTE(SUBSTITUTE(Поставщики_исходные!E16," ",""),"-",""),"+",""),"(",""),")",""))="8","7"&amp;MID(SUBSTITUTE(SUBSTITUTE(SUBSTITUTE(SUBSTITUTE(SUBSTITUTE(Поставщики_исходные!E16," ",""),"-",""),"+",""),"(",""),")",""),2,10),SUBSTITUTE(SUBSTITUTE(SUBSTITUTE(SUBSTITUTE(SUBSTITUTE(Поставщики_исходные!E16," ",""),"-",""),"+",""),"(",""),")","")),10,2),IF(LEN(SUBSTITUTE(SUBSTITUTE(SUBSTITUTE(SUBSTITUTE(SUBSTITUTE(Поставщики_исходные!E16," ",""),"-",""),"+",""),"(",""),")",""))=10,"+7 ("&amp;MID(SUBSTITUTE(SUBSTITUTE(SUBSTITUTE(SUBSTITUTE(SUBSTITUTE(Поставщики_исходные!E16," ",""),"-",""),"+",""),"(",""),")",""),1,3)&amp;") "&amp;MID(SUBSTITUTE(SUBSTITUTE(SUBSTITUTE(SUBSTITUTE(SUBSTITUTE(Поставщики_исходные!E16," ",""),"-",""),"+",""),"(",""),")",""),4,3)&amp;"-"&amp;MID(SUBSTITUTE(SUBSTITUTE(SUBSTITUTE(SUBSTITUTE(SUBSTITUTE(Поставщики_исходные!E16," ",""),"-",""),"+",""),"(",""),")",""),6,2)&amp;"-"&amp;MID(SUBSTITUTE(SUBSTITUTE(SUBSTITUTE(SUBSTITUTE(SUBSTITUTE(Поставщики_исходные!E16," ",""),"-",""),"+",""),"(",""),")",""),8,2),Поставщики_исходные!E16)))</f>
        <v xml:space="preserve">+7 (903) 567-89-01</v>
      </c>
      <c r="F16" t="str">
        <f>IF(ISBLANK(Поставщики_исходные!F16),"",IF(ISNUMBER(FIND(".",MID(Поставщики_исходные!F16,FIND("@",Поставщики_исходные!F16)+1,255))),Поставщики_исходные!F16,IF(ISNUMBER(FIND("gmail",Поставщики_исходные!F16)),Поставщики_исходные!F16&amp;".com",Поставщики_исходные!F16&amp;".ru")))</f>
        <v>electro@tehnika.ru</v>
      </c>
      <c r="G16" t="str">
        <f>TRIM(Поставщики_исходные!G16)</f>
        <v xml:space="preserve">192236 г.Санкт-Петербург ул.Софийская д.55</v>
      </c>
      <c r="H16" t="str">
        <f>IF(ISNUMBER(VALUE(LEFT(TRIM(Поставщики_исходные!G16),6))),LEFT(TRIM(Поставщики_исходные!G16),6),"")</f>
        <v>192236</v>
      </c>
      <c r="I16" t="str">
        <f>TRIM(MID(TRIM(Поставщики_исходные!G16),7,255))</f>
        <v xml:space="preserve">г.Санкт-Петербург ул.Софийская д.55</v>
      </c>
      <c r="J16" t="str">
        <f t="shared" si="22"/>
        <v xml:space="preserve">Ошибка ИНН</v>
      </c>
      <c r="K16" t="str">
        <f t="shared" si="23"/>
        <v>OK</v>
      </c>
    </row>
    <row r="17">
      <c r="A17" t="str">
        <f>Поставщики_исходные!A17</f>
        <v>P016</v>
      </c>
      <c r="B17" t="str">
        <f>PROPER(TRIM(Поставщики_исходные!B17))</f>
        <v xml:space="preserve">Ао Профтехно</v>
      </c>
      <c r="C17" s="5" t="str">
        <f>IF(ISBLANK(Поставщики_исходные!C15),"",TRIM(Поставщики_исходные!C15))</f>
        <v>7717890123</v>
      </c>
      <c r="D17" t="str">
        <f>Поставщики_исходные!D17</f>
        <v>771601001</v>
      </c>
      <c r="E17" s="6" t="str">
        <f>IF(ISBLANK(Поставщики_исходные!E17),"",IF(LEN(SUBSTITUTE(SUBSTITUTE(SUBSTITUTE(SUBSTITUTE(SUBSTITUTE(Поставщики_исходные!E17," ",""),"-",""),"+",""),"(",""),")",""))=11,"+7 ("&amp;MID(IF(LEFT(SUBSTITUTE(SUBSTITUTE(SUBSTITUTE(SUBSTITUTE(SUBSTITUTE(Поставщики_исходные!E17," ",""),"-",""),"+",""),"(",""),")",""))="8","7"&amp;MID(SUBSTITUTE(SUBSTITUTE(SUBSTITUTE(SUBSTITUTE(SUBSTITUTE(Поставщики_исходные!E17," ",""),"-",""),"+",""),"(",""),")",""),2,10),SUBSTITUTE(SUBSTITUTE(SUBSTITUTE(SUBSTITUTE(SUBSTITUTE(Поставщики_исходные!E17," ",""),"-",""),"+",""),"(",""),")","")),2,3)&amp;") "&amp;MID(IF(LEFT(SUBSTITUTE(SUBSTITUTE(SUBSTITUTE(SUBSTITUTE(SUBSTITUTE(Поставщики_исходные!E17," ",""),"-",""),"+",""),"(",""),")",""))="8","7"&amp;MID(SUBSTITUTE(SUBSTITUTE(SUBSTITUTE(SUBSTITUTE(SUBSTITUTE(Поставщики_исходные!E17," ",""),"-",""),"+",""),"(",""),")",""),2,10),SUBSTITUTE(SUBSTITUTE(SUBSTITUTE(SUBSTITUTE(SUBSTITUTE(Поставщики_исходные!E17," ",""),"-",""),"+",""),"(",""),")","")),5,3)&amp;"-"&amp;MID(IF(LEFT(SUBSTITUTE(SUBSTITUTE(SUBSTITUTE(SUBSTITUTE(SUBSTITUTE(Поставщики_исходные!E17," ",""),"-",""),"+",""),"(",""),")",""))="8","7"&amp;MID(SUBSTITUTE(SUBSTITUTE(SUBSTITUTE(SUBSTITUTE(SUBSTITUTE(Поставщики_исходные!E17," ",""),"-",""),"+",""),"(",""),")",""),2,10),SUBSTITUTE(SUBSTITUTE(SUBSTITUTE(SUBSTITUTE(SUBSTITUTE(Поставщики_исходные!E17," ",""),"-",""),"+",""),"(",""),")","")),8,2)&amp;"-"&amp;MID(IF(LEFT(SUBSTITUTE(SUBSTITUTE(SUBSTITUTE(SUBSTITUTE(SUBSTITUTE(Поставщики_исходные!E17," ",""),"-",""),"+",""),"(",""),")",""))="8","7"&amp;MID(SUBSTITUTE(SUBSTITUTE(SUBSTITUTE(SUBSTITUTE(SUBSTITUTE(Поставщики_исходные!E17," ",""),"-",""),"+",""),"(",""),")",""),2,10),SUBSTITUTE(SUBSTITUTE(SUBSTITUTE(SUBSTITUTE(SUBSTITUTE(Поставщики_исходные!E17," ",""),"-",""),"+",""),"(",""),")","")),10,2),IF(LEN(SUBSTITUTE(SUBSTITUTE(SUBSTITUTE(SUBSTITUTE(SUBSTITUTE(Поставщики_исходные!E17," ",""),"-",""),"+",""),"(",""),")",""))=10,"+7 ("&amp;MID(SUBSTITUTE(SUBSTITUTE(SUBSTITUTE(SUBSTITUTE(SUBSTITUTE(Поставщики_исходные!E17," ",""),"-",""),"+",""),"(",""),")",""),1,3)&amp;") "&amp;MID(SUBSTITUTE(SUBSTITUTE(SUBSTITUTE(SUBSTITUTE(SUBSTITUTE(Поставщики_исходные!E17," ",""),"-",""),"+",""),"(",""),")",""),4,3)&amp;"-"&amp;MID(SUBSTITUTE(SUBSTITUTE(SUBSTITUTE(SUBSTITUTE(SUBSTITUTE(Поставщики_исходные!E17," ",""),"-",""),"+",""),"(",""),")",""),6,2)&amp;"-"&amp;MID(SUBSTITUTE(SUBSTITUTE(SUBSTITUTE(SUBSTITUTE(SUBSTITUTE(Поставщики_исходные!E17," ",""),"-",""),"+",""),"(",""),")",""),8,2),Поставщики_исходные!E17)))</f>
        <v xml:space="preserve">+7 (903) 678-90-12</v>
      </c>
      <c r="F17" t="str">
        <f>IF(ISBLANK(Поставщики_исходные!F17),"",IF(ISNUMBER(FIND(".",MID(Поставщики_исходные!F17,FIND("@",Поставщики_исходные!F17)+1,255))),Поставщики_исходные!F17,IF(ISNUMBER(FIND("gmail",Поставщики_исходные!F17)),Поставщики_исходные!F17&amp;".com",Поставщики_исходные!F17&amp;".ru")))</f>
        <v>prof@tehno.ru</v>
      </c>
      <c r="G17" t="str">
        <f>TRIM(Поставщики_исходные!G17)</f>
        <v xml:space="preserve">109052 г.Москва ул.Смирновская д.8</v>
      </c>
      <c r="H17" t="str">
        <f>IF(ISNUMBER(VALUE(LEFT(TRIM(Поставщики_исходные!G17),6))),LEFT(TRIM(Поставщики_исходные!G17),6),"")</f>
        <v>109052</v>
      </c>
      <c r="I17" t="str">
        <f>TRIM(MID(TRIM(Поставщики_исходные!G17),7,255))</f>
        <v xml:space="preserve">г.Москва ул.Смирновская д.8</v>
      </c>
      <c r="J17" t="str">
        <f t="shared" si="22"/>
        <v>OK</v>
      </c>
      <c r="K17" t="str">
        <f t="shared" si="23"/>
        <v>OK</v>
      </c>
    </row>
    <row r="18">
      <c r="A18" t="str">
        <f>Поставщики_исходные!A18</f>
        <v>P017</v>
      </c>
      <c r="B18" t="str">
        <f>PROPER(TRIM(Поставщики_исходные!B18))</f>
        <v xml:space="preserve">Ооо Технокомплект</v>
      </c>
      <c r="C18" s="5" t="str">
        <f>IF(ISBLANK(Поставщики_исходные!C16),"",TRIM(Поставщики_исходные!C16))</f>
        <v>7806789012</v>
      </c>
      <c r="D18" t="str">
        <f>Поставщики_исходные!D18</f>
        <v>780701001</v>
      </c>
      <c r="E18" s="6" t="str">
        <f>IF(ISBLANK(Поставщики_исходные!E18),"",IF(LEN(SUBSTITUTE(SUBSTITUTE(SUBSTITUTE(SUBSTITUTE(SUBSTITUTE(Поставщики_исходные!E18," ",""),"-",""),"+",""),"(",""),")",""))=11,"+7 ("&amp;MID(IF(LEFT(SUBSTITUTE(SUBSTITUTE(SUBSTITUTE(SUBSTITUTE(SUBSTITUTE(Поставщики_исходные!E18," ",""),"-",""),"+",""),"(",""),")",""))="8","7"&amp;MID(SUBSTITUTE(SUBSTITUTE(SUBSTITUTE(SUBSTITUTE(SUBSTITUTE(Поставщики_исходные!E18," ",""),"-",""),"+",""),"(",""),")",""),2,10),SUBSTITUTE(SUBSTITUTE(SUBSTITUTE(SUBSTITUTE(SUBSTITUTE(Поставщики_исходные!E18," ",""),"-",""),"+",""),"(",""),")","")),2,3)&amp;") "&amp;MID(IF(LEFT(SUBSTITUTE(SUBSTITUTE(SUBSTITUTE(SUBSTITUTE(SUBSTITUTE(Поставщики_исходные!E18," ",""),"-",""),"+",""),"(",""),")",""))="8","7"&amp;MID(SUBSTITUTE(SUBSTITUTE(SUBSTITUTE(SUBSTITUTE(SUBSTITUTE(Поставщики_исходные!E18," ",""),"-",""),"+",""),"(",""),")",""),2,10),SUBSTITUTE(SUBSTITUTE(SUBSTITUTE(SUBSTITUTE(SUBSTITUTE(Поставщики_исходные!E18," ",""),"-",""),"+",""),"(",""),")","")),5,3)&amp;"-"&amp;MID(IF(LEFT(SUBSTITUTE(SUBSTITUTE(SUBSTITUTE(SUBSTITUTE(SUBSTITUTE(Поставщики_исходные!E18," ",""),"-",""),"+",""),"(",""),")",""))="8","7"&amp;MID(SUBSTITUTE(SUBSTITUTE(SUBSTITUTE(SUBSTITUTE(SUBSTITUTE(Поставщики_исходные!E18," ",""),"-",""),"+",""),"(",""),")",""),2,10),SUBSTITUTE(SUBSTITUTE(SUBSTITUTE(SUBSTITUTE(SUBSTITUTE(Поставщики_исходные!E18," ",""),"-",""),"+",""),"(",""),")","")),8,2)&amp;"-"&amp;MID(IF(LEFT(SUBSTITUTE(SUBSTITUTE(SUBSTITUTE(SUBSTITUTE(SUBSTITUTE(Поставщики_исходные!E18," ",""),"-",""),"+",""),"(",""),")",""))="8","7"&amp;MID(SUBSTITUTE(SUBSTITUTE(SUBSTITUTE(SUBSTITUTE(SUBSTITUTE(Поставщики_исходные!E18," ",""),"-",""),"+",""),"(",""),")",""),2,10),SUBSTITUTE(SUBSTITUTE(SUBSTITUTE(SUBSTITUTE(SUBSTITUTE(Поставщики_исходные!E18," ",""),"-",""),"+",""),"(",""),")","")),10,2),IF(LEN(SUBSTITUTE(SUBSTITUTE(SUBSTITUTE(SUBSTITUTE(SUBSTITUTE(Поставщики_исходные!E18," ",""),"-",""),"+",""),"(",""),")",""))=10,"+7 ("&amp;MID(SUBSTITUTE(SUBSTITUTE(SUBSTITUTE(SUBSTITUTE(SUBSTITUTE(Поставщики_исходные!E18," ",""),"-",""),"+",""),"(",""),")",""),1,3)&amp;") "&amp;MID(SUBSTITUTE(SUBSTITUTE(SUBSTITUTE(SUBSTITUTE(SUBSTITUTE(Поставщики_исходные!E18," ",""),"-",""),"+",""),"(",""),")",""),4,3)&amp;"-"&amp;MID(SUBSTITUTE(SUBSTITUTE(SUBSTITUTE(SUBSTITUTE(SUBSTITUTE(Поставщики_исходные!E18," ",""),"-",""),"+",""),"(",""),")",""),6,2)&amp;"-"&amp;MID(SUBSTITUTE(SUBSTITUTE(SUBSTITUTE(SUBSTITUTE(SUBSTITUTE(Поставщики_исходные!E18," ",""),"-",""),"+",""),"(",""),")",""),8,2),Поставщики_исходные!E18)))</f>
        <v xml:space="preserve">+7 (903) 789-01-23</v>
      </c>
      <c r="F18" t="str">
        <f>IF(ISBLANK(Поставщики_исходные!F18),"",IF(ISNUMBER(FIND(".",MID(Поставщики_исходные!F18,FIND("@",Поставщики_исходные!F18)+1,255))),Поставщики_исходные!F18,IF(ISNUMBER(FIND("gmail",Поставщики_исходные!F18)),Поставщики_исходные!F18&amp;".com",Поставщики_исходные!F18&amp;".ru")))</f>
        <v>komplekt@tehno.ru</v>
      </c>
      <c r="G18" t="str">
        <f>TRIM(Поставщики_исходные!G18)</f>
        <v xml:space="preserve">193079 г.Санкт-Петербург ул.Новоселов д.12</v>
      </c>
      <c r="H18" t="str">
        <f>IF(ISNUMBER(VALUE(LEFT(TRIM(Поставщики_исходные!G18),6))),LEFT(TRIM(Поставщики_исходные!G18),6),"")</f>
        <v>193079</v>
      </c>
      <c r="I18" t="str">
        <f>TRIM(MID(TRIM(Поставщики_исходные!G18),7,255))</f>
        <v xml:space="preserve">г.Санкт-Петербург ул.Новоселов д.12</v>
      </c>
      <c r="J18" t="str">
        <f t="shared" si="22"/>
        <v>OK</v>
      </c>
      <c r="K18" t="str">
        <f t="shared" si="23"/>
        <v>OK</v>
      </c>
    </row>
    <row r="19">
      <c r="A19" t="str">
        <f>Поставщики_исходные!A19</f>
        <v>P018</v>
      </c>
      <c r="B19" t="str">
        <f>PROPER(TRIM(Поставщики_исходные!B19))</f>
        <v xml:space="preserve">Зао Инновация</v>
      </c>
      <c r="C19" s="5" t="str">
        <f>IF(ISBLANK(Поставщики_исходные!C17),"",TRIM(Поставщики_исходные!C17))</f>
        <v>7718901234</v>
      </c>
      <c r="D19" t="str">
        <f>Поставщики_исходные!D19</f>
        <v>771701001</v>
      </c>
      <c r="E19" s="6" t="str">
        <f>IF(ISBLANK(Поставщики_исходные!E19),"",IF(LEN(SUBSTITUTE(SUBSTITUTE(SUBSTITUTE(SUBSTITUTE(SUBSTITUTE(Поставщики_исходные!E19," ",""),"-",""),"+",""),"(",""),")",""))=11,"+7 ("&amp;MID(IF(LEFT(SUBSTITUTE(SUBSTITUTE(SUBSTITUTE(SUBSTITUTE(SUBSTITUTE(Поставщики_исходные!E19," ",""),"-",""),"+",""),"(",""),")",""))="8","7"&amp;MID(SUBSTITUTE(SUBSTITUTE(SUBSTITUTE(SUBSTITUTE(SUBSTITUTE(Поставщики_исходные!E19," ",""),"-",""),"+",""),"(",""),")",""),2,10),SUBSTITUTE(SUBSTITUTE(SUBSTITUTE(SUBSTITUTE(SUBSTITUTE(Поставщики_исходные!E19," ",""),"-",""),"+",""),"(",""),")","")),2,3)&amp;") "&amp;MID(IF(LEFT(SUBSTITUTE(SUBSTITUTE(SUBSTITUTE(SUBSTITUTE(SUBSTITUTE(Поставщики_исходные!E19," ",""),"-",""),"+",""),"(",""),")",""))="8","7"&amp;MID(SUBSTITUTE(SUBSTITUTE(SUBSTITUTE(SUBSTITUTE(SUBSTITUTE(Поставщики_исходные!E19," ",""),"-",""),"+",""),"(",""),")",""),2,10),SUBSTITUTE(SUBSTITUTE(SUBSTITUTE(SUBSTITUTE(SUBSTITUTE(Поставщики_исходные!E19," ",""),"-",""),"+",""),"(",""),")","")),5,3)&amp;"-"&amp;MID(IF(LEFT(SUBSTITUTE(SUBSTITUTE(SUBSTITUTE(SUBSTITUTE(SUBSTITUTE(Поставщики_исходные!E19," ",""),"-",""),"+",""),"(",""),")",""))="8","7"&amp;MID(SUBSTITUTE(SUBSTITUTE(SUBSTITUTE(SUBSTITUTE(SUBSTITUTE(Поставщики_исходные!E19," ",""),"-",""),"+",""),"(",""),")",""),2,10),SUBSTITUTE(SUBSTITUTE(SUBSTITUTE(SUBSTITUTE(SUBSTITUTE(Поставщики_исходные!E19," ",""),"-",""),"+",""),"(",""),")","")),8,2)&amp;"-"&amp;MID(IF(LEFT(SUBSTITUTE(SUBSTITUTE(SUBSTITUTE(SUBSTITUTE(SUBSTITUTE(Поставщики_исходные!E19," ",""),"-",""),"+",""),"(",""),")",""))="8","7"&amp;MID(SUBSTITUTE(SUBSTITUTE(SUBSTITUTE(SUBSTITUTE(SUBSTITUTE(Поставщики_исходные!E19," ",""),"-",""),"+",""),"(",""),")",""),2,10),SUBSTITUTE(SUBSTITUTE(SUBSTITUTE(SUBSTITUTE(SUBSTITUTE(Поставщики_исходные!E19," ",""),"-",""),"+",""),"(",""),")","")),10,2),IF(LEN(SUBSTITUTE(SUBSTITUTE(SUBSTITUTE(SUBSTITUTE(SUBSTITUTE(Поставщики_исходные!E19," ",""),"-",""),"+",""),"(",""),")",""))=10,"+7 ("&amp;MID(SUBSTITUTE(SUBSTITUTE(SUBSTITUTE(SUBSTITUTE(SUBSTITUTE(Поставщики_исходные!E19," ",""),"-",""),"+",""),"(",""),")",""),1,3)&amp;") "&amp;MID(SUBSTITUTE(SUBSTITUTE(SUBSTITUTE(SUBSTITUTE(SUBSTITUTE(Поставщики_исходные!E19," ",""),"-",""),"+",""),"(",""),")",""),4,3)&amp;"-"&amp;MID(SUBSTITUTE(SUBSTITUTE(SUBSTITUTE(SUBSTITUTE(SUBSTITUTE(Поставщики_исходные!E19," ",""),"-",""),"+",""),"(",""),")",""),6,2)&amp;"-"&amp;MID(SUBSTITUTE(SUBSTITUTE(SUBSTITUTE(SUBSTITUTE(SUBSTITUTE(Поставщики_исходные!E19," ",""),"-",""),"+",""),"(",""),")",""),8,2),Поставщики_исходные!E19)))</f>
        <v xml:space="preserve">+7 (903) 890-12-34</v>
      </c>
      <c r="F19" t="str">
        <f>IF(ISBLANK(Поставщики_исходные!F19),"",IF(ISNUMBER(FIND(".",MID(Поставщики_исходные!F19,FIND("@",Поставщики_исходные!F19)+1,255))),Поставщики_исходные!F19,IF(ISNUMBER(FIND("gmail",Поставщики_исходные!F19)),Поставщики_исходные!F19&amp;".com",Поставщики_исходные!F19&amp;".ru")))</f>
        <v>innov@mail.ru</v>
      </c>
      <c r="G19" t="str">
        <f>TRIM(Поставщики_исходные!G19)</f>
        <v xml:space="preserve">109004 г.Москва ул.Земляной вал д.42</v>
      </c>
      <c r="H19" t="str">
        <f>IF(ISNUMBER(VALUE(LEFT(TRIM(Поставщики_исходные!G19),6))),LEFT(TRIM(Поставщики_исходные!G19),6),"")</f>
        <v>109004</v>
      </c>
      <c r="I19" t="str">
        <f>TRIM(MID(TRIM(Поставщики_исходные!G19),7,255))</f>
        <v xml:space="preserve">г.Москва ул.Земляной вал д.42</v>
      </c>
      <c r="J19" t="str">
        <f t="shared" si="22"/>
        <v>OK</v>
      </c>
      <c r="K19" t="str">
        <f t="shared" si="23"/>
        <v>OK</v>
      </c>
    </row>
    <row r="20">
      <c r="A20" t="str">
        <f>Поставщики_исходные!A20</f>
        <v>P019</v>
      </c>
      <c r="B20" t="str">
        <f>PROPER(TRIM(Поставщики_исходные!B20))</f>
        <v xml:space="preserve">Ооо Электропром</v>
      </c>
      <c r="C20" s="5" t="str">
        <f>IF(ISBLANK(Поставщики_исходные!C18),"",TRIM(Поставщики_исходные!C18))</f>
        <v>7807890</v>
      </c>
      <c r="D20" t="str">
        <f>Поставщики_исходные!D20</f>
        <v>780801001</v>
      </c>
      <c r="E20" s="6" t="str">
        <f>IF(ISBLANK(Поставщики_исходные!E20),"",IF(LEN(SUBSTITUTE(SUBSTITUTE(SUBSTITUTE(SUBSTITUTE(SUBSTITUTE(Поставщики_исходные!E20," ",""),"-",""),"+",""),"(",""),")",""))=11,"+7 ("&amp;MID(IF(LEFT(SUBSTITUTE(SUBSTITUTE(SUBSTITUTE(SUBSTITUTE(SUBSTITUTE(Поставщики_исходные!E20," ",""),"-",""),"+",""),"(",""),")",""))="8","7"&amp;MID(SUBSTITUTE(SUBSTITUTE(SUBSTITUTE(SUBSTITUTE(SUBSTITUTE(Поставщики_исходные!E20," ",""),"-",""),"+",""),"(",""),")",""),2,10),SUBSTITUTE(SUBSTITUTE(SUBSTITUTE(SUBSTITUTE(SUBSTITUTE(Поставщики_исходные!E20," ",""),"-",""),"+",""),"(",""),")","")),2,3)&amp;") "&amp;MID(IF(LEFT(SUBSTITUTE(SUBSTITUTE(SUBSTITUTE(SUBSTITUTE(SUBSTITUTE(Поставщики_исходные!E20," ",""),"-",""),"+",""),"(",""),")",""))="8","7"&amp;MID(SUBSTITUTE(SUBSTITUTE(SUBSTITUTE(SUBSTITUTE(SUBSTITUTE(Поставщики_исходные!E20," ",""),"-",""),"+",""),"(",""),")",""),2,10),SUBSTITUTE(SUBSTITUTE(SUBSTITUTE(SUBSTITUTE(SUBSTITUTE(Поставщики_исходные!E20," ",""),"-",""),"+",""),"(",""),")","")),5,3)&amp;"-"&amp;MID(IF(LEFT(SUBSTITUTE(SUBSTITUTE(SUBSTITUTE(SUBSTITUTE(SUBSTITUTE(Поставщики_исходные!E20," ",""),"-",""),"+",""),"(",""),")",""))="8","7"&amp;MID(SUBSTITUTE(SUBSTITUTE(SUBSTITUTE(SUBSTITUTE(SUBSTITUTE(Поставщики_исходные!E20," ",""),"-",""),"+",""),"(",""),")",""),2,10),SUBSTITUTE(SUBSTITUTE(SUBSTITUTE(SUBSTITUTE(SUBSTITUTE(Поставщики_исходные!E20," ",""),"-",""),"+",""),"(",""),")","")),8,2)&amp;"-"&amp;MID(IF(LEFT(SUBSTITUTE(SUBSTITUTE(SUBSTITUTE(SUBSTITUTE(SUBSTITUTE(Поставщики_исходные!E20," ",""),"-",""),"+",""),"(",""),")",""))="8","7"&amp;MID(SUBSTITUTE(SUBSTITUTE(SUBSTITUTE(SUBSTITUTE(SUBSTITUTE(Поставщики_исходные!E20," ",""),"-",""),"+",""),"(",""),")",""),2,10),SUBSTITUTE(SUBSTITUTE(SUBSTITUTE(SUBSTITUTE(SUBSTITUTE(Поставщики_исходные!E20," ",""),"-",""),"+",""),"(",""),")","")),10,2),IF(LEN(SUBSTITUTE(SUBSTITUTE(SUBSTITUTE(SUBSTITUTE(SUBSTITUTE(Поставщики_исходные!E20," ",""),"-",""),"+",""),"(",""),")",""))=10,"+7 ("&amp;MID(SUBSTITUTE(SUBSTITUTE(SUBSTITUTE(SUBSTITUTE(SUBSTITUTE(Поставщики_исходные!E20," ",""),"-",""),"+",""),"(",""),")",""),1,3)&amp;") "&amp;MID(SUBSTITUTE(SUBSTITUTE(SUBSTITUTE(SUBSTITUTE(SUBSTITUTE(Поставщики_исходные!E20," ",""),"-",""),"+",""),"(",""),")",""),4,3)&amp;"-"&amp;MID(SUBSTITUTE(SUBSTITUTE(SUBSTITUTE(SUBSTITUTE(SUBSTITUTE(Поставщики_исходные!E20," ",""),"-",""),"+",""),"(",""),")",""),6,2)&amp;"-"&amp;MID(SUBSTITUTE(SUBSTITUTE(SUBSTITUTE(SUBSTITUTE(SUBSTITUTE(Поставщики_исходные!E20," ",""),"-",""),"+",""),"(",""),")",""),8,2),Поставщики_исходные!E20)))</f>
        <v xml:space="preserve">+7 (903) 901-23-45</v>
      </c>
      <c r="F20" t="str">
        <f>IF(ISBLANK(Поставщики_исходные!F20),"",IF(ISNUMBER(FIND(".",MID(Поставщики_исходные!F20,FIND("@",Поставщики_исходные!F20)+1,255))),Поставщики_исходные!F20,IF(ISNUMBER(FIND("gmail",Поставщики_исходные!F20)),Поставщики_исходные!F20&amp;".com",Поставщики_исходные!F20&amp;".ru")))</f>
        <v>electro_prom@mail.ru</v>
      </c>
      <c r="G20" t="str">
        <f>TRIM(Поставщики_исходные!G20)</f>
        <v xml:space="preserve">194100 г.Санкт-Петербург ул.Кантемировская д.18</v>
      </c>
      <c r="H20" t="str">
        <f>IF(ISNUMBER(VALUE(LEFT(TRIM(Поставщики_исходные!G20),6))),LEFT(TRIM(Поставщики_исходные!G20),6),"")</f>
        <v>194100</v>
      </c>
      <c r="I20" t="str">
        <f>TRIM(MID(TRIM(Поставщики_исходные!G20),7,255))</f>
        <v xml:space="preserve">г.Санкт-Петербург ул.Кантемировская д.18</v>
      </c>
      <c r="J20" t="str">
        <f t="shared" si="22"/>
        <v xml:space="preserve">Ошибка ИНН</v>
      </c>
      <c r="K20" t="str">
        <f t="shared" si="23"/>
        <v>OK</v>
      </c>
    </row>
    <row r="21">
      <c r="A21" t="str">
        <f>Поставщики_исходные!A21</f>
        <v>P020</v>
      </c>
      <c r="B21" t="str">
        <f>PROPER(TRIM(Поставщики_исходные!B21))</f>
        <v xml:space="preserve">Ао Техноинвест</v>
      </c>
      <c r="C21" s="5" t="str">
        <f>IF(ISBLANK(Поставщики_исходные!C19),"",TRIM(Поставщики_исходные!C19))</f>
        <v>7719012345</v>
      </c>
      <c r="D21" t="str">
        <f>Поставщики_исходные!D21</f>
        <v>771801001</v>
      </c>
      <c r="E21" s="6" t="str">
        <f>IF(ISBLANK(Поставщики_исходные!E21),"",IF(LEN(SUBSTITUTE(SUBSTITUTE(SUBSTITUTE(SUBSTITUTE(SUBSTITUTE(Поставщики_исходные!E21," ",""),"-",""),"+",""),"(",""),")",""))=11,"+7 ("&amp;MID(IF(LEFT(SUBSTITUTE(SUBSTITUTE(SUBSTITUTE(SUBSTITUTE(SUBSTITUTE(Поставщики_исходные!E21," ",""),"-",""),"+",""),"(",""),")",""))="8","7"&amp;MID(SUBSTITUTE(SUBSTITUTE(SUBSTITUTE(SUBSTITUTE(SUBSTITUTE(Поставщики_исходные!E21," ",""),"-",""),"+",""),"(",""),")",""),2,10),SUBSTITUTE(SUBSTITUTE(SUBSTITUTE(SUBSTITUTE(SUBSTITUTE(Поставщики_исходные!E21," ",""),"-",""),"+",""),"(",""),")","")),2,3)&amp;") "&amp;MID(IF(LEFT(SUBSTITUTE(SUBSTITUTE(SUBSTITUTE(SUBSTITUTE(SUBSTITUTE(Поставщики_исходные!E21," ",""),"-",""),"+",""),"(",""),")",""))="8","7"&amp;MID(SUBSTITUTE(SUBSTITUTE(SUBSTITUTE(SUBSTITUTE(SUBSTITUTE(Поставщики_исходные!E21," ",""),"-",""),"+",""),"(",""),")",""),2,10),SUBSTITUTE(SUBSTITUTE(SUBSTITUTE(SUBSTITUTE(SUBSTITUTE(Поставщики_исходные!E21," ",""),"-",""),"+",""),"(",""),")","")),5,3)&amp;"-"&amp;MID(IF(LEFT(SUBSTITUTE(SUBSTITUTE(SUBSTITUTE(SUBSTITUTE(SUBSTITUTE(Поставщики_исходные!E21," ",""),"-",""),"+",""),"(",""),")",""))="8","7"&amp;MID(SUBSTITUTE(SUBSTITUTE(SUBSTITUTE(SUBSTITUTE(SUBSTITUTE(Поставщики_исходные!E21," ",""),"-",""),"+",""),"(",""),")",""),2,10),SUBSTITUTE(SUBSTITUTE(SUBSTITUTE(SUBSTITUTE(SUBSTITUTE(Поставщики_исходные!E21," ",""),"-",""),"+",""),"(",""),")","")),8,2)&amp;"-"&amp;MID(IF(LEFT(SUBSTITUTE(SUBSTITUTE(SUBSTITUTE(SUBSTITUTE(SUBSTITUTE(Поставщики_исходные!E21," ",""),"-",""),"+",""),"(",""),")",""))="8","7"&amp;MID(SUBSTITUTE(SUBSTITUTE(SUBSTITUTE(SUBSTITUTE(SUBSTITUTE(Поставщики_исходные!E21," ",""),"-",""),"+",""),"(",""),")",""),2,10),SUBSTITUTE(SUBSTITUTE(SUBSTITUTE(SUBSTITUTE(SUBSTITUTE(Поставщики_исходные!E21," ",""),"-",""),"+",""),"(",""),")","")),10,2),IF(LEN(SUBSTITUTE(SUBSTITUTE(SUBSTITUTE(SUBSTITUTE(SUBSTITUTE(Поставщики_исходные!E21," ",""),"-",""),"+",""),"(",""),")",""))=10,"+7 ("&amp;MID(SUBSTITUTE(SUBSTITUTE(SUBSTITUTE(SUBSTITUTE(SUBSTITUTE(Поставщики_исходные!E21," ",""),"-",""),"+",""),"(",""),")",""),1,3)&amp;") "&amp;MID(SUBSTITUTE(SUBSTITUTE(SUBSTITUTE(SUBSTITUTE(SUBSTITUTE(Поставщики_исходные!E21," ",""),"-",""),"+",""),"(",""),")",""),4,3)&amp;"-"&amp;MID(SUBSTITUTE(SUBSTITUTE(SUBSTITUTE(SUBSTITUTE(SUBSTITUTE(Поставщики_исходные!E21," ",""),"-",""),"+",""),"(",""),")",""),6,2)&amp;"-"&amp;MID(SUBSTITUTE(SUBSTITUTE(SUBSTITUTE(SUBSTITUTE(SUBSTITUTE(Поставщики_исходные!E21," ",""),"-",""),"+",""),"(",""),")",""),8,2),Поставщики_исходные!E21)))</f>
        <v xml:space="preserve">+7 (903) 012-34-56</v>
      </c>
      <c r="F21" t="str">
        <f>IF(ISBLANK(Поставщики_исходные!F21),"",IF(ISNUMBER(FIND(".",MID(Поставщики_исходные!F21,FIND("@",Поставщики_исходные!F21)+1,255))),Поставщики_исходные!F21,IF(ISNUMBER(FIND("gmail",Поставщики_исходные!F21)),Поставщики_исходные!F21&amp;".com",Поставщики_исходные!F21&amp;".ru")))</f>
        <v>invest@tehno.ru</v>
      </c>
      <c r="G21" t="str">
        <f>TRIM(Поставщики_исходные!G21)</f>
        <v xml:space="preserve">109380 г.Москва ул.Люблинская д.75</v>
      </c>
      <c r="H21" t="str">
        <f>IF(ISNUMBER(VALUE(LEFT(TRIM(Поставщики_исходные!G21),6))),LEFT(TRIM(Поставщики_исходные!G21),6),"")</f>
        <v>109380</v>
      </c>
      <c r="I21" t="str">
        <f>TRIM(MID(TRIM(Поставщики_исходные!G21),7,255))</f>
        <v xml:space="preserve">г.Москва ул.Люблинская д.75</v>
      </c>
      <c r="J21" t="str">
        <f t="shared" si="22"/>
        <v>OK</v>
      </c>
      <c r="K21" t="str">
        <f t="shared" si="23"/>
        <v>OK</v>
      </c>
    </row>
    <row r="22">
      <c r="A22" t="str">
        <f>Поставщики_исходные!A22</f>
        <v>P021</v>
      </c>
      <c r="B22" t="str">
        <f>PROPER(TRIM(Поставщики_исходные!B22))</f>
        <v xml:space="preserve">Ооо Технопарк</v>
      </c>
      <c r="C22" s="5" t="str">
        <f>IF(ISBLANK(Поставщики_исходные!C20),"",TRIM(Поставщики_исходные!C20))</f>
        <v>780890123456</v>
      </c>
      <c r="D22" t="str">
        <f>Поставщики_исходные!D22</f>
        <v>780901001</v>
      </c>
      <c r="E22" s="6" t="str">
        <f>IF(ISBLANK(Поставщики_исходные!E22),"",IF(LEN(SUBSTITUTE(SUBSTITUTE(SUBSTITUTE(SUBSTITUTE(SUBSTITUTE(Поставщики_исходные!E22," ",""),"-",""),"+",""),"(",""),")",""))=11,"+7 ("&amp;MID(IF(LEFT(SUBSTITUTE(SUBSTITUTE(SUBSTITUTE(SUBSTITUTE(SUBSTITUTE(Поставщики_исходные!E22," ",""),"-",""),"+",""),"(",""),")",""))="8","7"&amp;MID(SUBSTITUTE(SUBSTITUTE(SUBSTITUTE(SUBSTITUTE(SUBSTITUTE(Поставщики_исходные!E22," ",""),"-",""),"+",""),"(",""),")",""),2,10),SUBSTITUTE(SUBSTITUTE(SUBSTITUTE(SUBSTITUTE(SUBSTITUTE(Поставщики_исходные!E22," ",""),"-",""),"+",""),"(",""),")","")),2,3)&amp;") "&amp;MID(IF(LEFT(SUBSTITUTE(SUBSTITUTE(SUBSTITUTE(SUBSTITUTE(SUBSTITUTE(Поставщики_исходные!E22," ",""),"-",""),"+",""),"(",""),")",""))="8","7"&amp;MID(SUBSTITUTE(SUBSTITUTE(SUBSTITUTE(SUBSTITUTE(SUBSTITUTE(Поставщики_исходные!E22," ",""),"-",""),"+",""),"(",""),")",""),2,10),SUBSTITUTE(SUBSTITUTE(SUBSTITUTE(SUBSTITUTE(SUBSTITUTE(Поставщики_исходные!E22," ",""),"-",""),"+",""),"(",""),")","")),5,3)&amp;"-"&amp;MID(IF(LEFT(SUBSTITUTE(SUBSTITUTE(SUBSTITUTE(SUBSTITUTE(SUBSTITUTE(Поставщики_исходные!E22," ",""),"-",""),"+",""),"(",""),")",""))="8","7"&amp;MID(SUBSTITUTE(SUBSTITUTE(SUBSTITUTE(SUBSTITUTE(SUBSTITUTE(Поставщики_исходные!E22," ",""),"-",""),"+",""),"(",""),")",""),2,10),SUBSTITUTE(SUBSTITUTE(SUBSTITUTE(SUBSTITUTE(SUBSTITUTE(Поставщики_исходные!E22," ",""),"-",""),"+",""),"(",""),")","")),8,2)&amp;"-"&amp;MID(IF(LEFT(SUBSTITUTE(SUBSTITUTE(SUBSTITUTE(SUBSTITUTE(SUBSTITUTE(Поставщики_исходные!E22," ",""),"-",""),"+",""),"(",""),")",""))="8","7"&amp;MID(SUBSTITUTE(SUBSTITUTE(SUBSTITUTE(SUBSTITUTE(SUBSTITUTE(Поставщики_исходные!E22," ",""),"-",""),"+",""),"(",""),")",""),2,10),SUBSTITUTE(SUBSTITUTE(SUBSTITUTE(SUBSTITUTE(SUBSTITUTE(Поставщики_исходные!E22," ",""),"-",""),"+",""),"(",""),")","")),10,2),IF(LEN(SUBSTITUTE(SUBSTITUTE(SUBSTITUTE(SUBSTITUTE(SUBSTITUTE(Поставщики_исходные!E22," ",""),"-",""),"+",""),"(",""),")",""))=10,"+7 ("&amp;MID(SUBSTITUTE(SUBSTITUTE(SUBSTITUTE(SUBSTITUTE(SUBSTITUTE(Поставщики_исходные!E22," ",""),"-",""),"+",""),"(",""),")",""),1,3)&amp;") "&amp;MID(SUBSTITUTE(SUBSTITUTE(SUBSTITUTE(SUBSTITUTE(SUBSTITUTE(Поставщики_исходные!E22," ",""),"-",""),"+",""),"(",""),")",""),4,3)&amp;"-"&amp;MID(SUBSTITUTE(SUBSTITUTE(SUBSTITUTE(SUBSTITUTE(SUBSTITUTE(Поставщики_исходные!E22," ",""),"-",""),"+",""),"(",""),")",""),6,2)&amp;"-"&amp;MID(SUBSTITUTE(SUBSTITUTE(SUBSTITUTE(SUBSTITUTE(SUBSTITUTE(Поставщики_исходные!E22," ",""),"-",""),"+",""),"(",""),")",""),8,2),Поставщики_исходные!E22)))</f>
        <v xml:space="preserve">+7 (903) 123-45-67</v>
      </c>
      <c r="F22" t="str">
        <f>IF(ISBLANK(Поставщики_исходные!F22),"",IF(ISNUMBER(FIND(".",MID(Поставщики_исходные!F22,FIND("@",Поставщики_исходные!F22)+1,255))),Поставщики_исходные!F22,IF(ISNUMBER(FIND("gmail",Поставщики_исходные!F22)),Поставщики_исходные!F22&amp;".com",Поставщики_исходные!F22&amp;".ru")))</f>
        <v>park@tehno.ru</v>
      </c>
      <c r="G22" t="str">
        <f>TRIM(Поставщики_исходные!G22)</f>
        <v xml:space="preserve">191040 г.Санкт-Петербург ул.Коломенская д.29</v>
      </c>
      <c r="H22" t="str">
        <f>IF(ISNUMBER(VALUE(LEFT(TRIM(Поставщики_исходные!G22),6))),LEFT(TRIM(Поставщики_исходные!G22),6),"")</f>
        <v>191040</v>
      </c>
      <c r="I22" t="str">
        <f>TRIM(MID(TRIM(Поставщики_исходные!G22),7,255))</f>
        <v xml:space="preserve">г.Санкт-Петербург ул.Коломенская д.29</v>
      </c>
      <c r="J22" t="str">
        <f t="shared" si="22"/>
        <v>OK</v>
      </c>
      <c r="K22" t="str">
        <f t="shared" si="23"/>
        <v>OK</v>
      </c>
    </row>
    <row r="23">
      <c r="A23" t="str">
        <f>Поставщики_исходные!A23</f>
        <v>P022</v>
      </c>
      <c r="B23" t="str">
        <f>PROPER(TRIM(Поставщики_исходные!B23))</f>
        <v xml:space="preserve">Зао Техноцентр</v>
      </c>
      <c r="C23" s="5" t="str">
        <f>IF(ISBLANK(Поставщики_исходные!C21),"",TRIM(Поставщики_исходные!C21))</f>
        <v>7720123456</v>
      </c>
      <c r="D23" t="str">
        <f>Поставщики_исходные!D23</f>
        <v>771901001</v>
      </c>
      <c r="E23" s="6" t="str">
        <f>IF(ISBLANK(Поставщики_исходные!E23),"",IF(LEN(SUBSTITUTE(SUBSTITUTE(SUBSTITUTE(SUBSTITUTE(SUBSTITUTE(Поставщики_исходные!E23," ",""),"-",""),"+",""),"(",""),")",""))=11,"+7 ("&amp;MID(IF(LEFT(SUBSTITUTE(SUBSTITUTE(SUBSTITUTE(SUBSTITUTE(SUBSTITUTE(Поставщики_исходные!E23," ",""),"-",""),"+",""),"(",""),")",""))="8","7"&amp;MID(SUBSTITUTE(SUBSTITUTE(SUBSTITUTE(SUBSTITUTE(SUBSTITUTE(Поставщики_исходные!E23," ",""),"-",""),"+",""),"(",""),")",""),2,10),SUBSTITUTE(SUBSTITUTE(SUBSTITUTE(SUBSTITUTE(SUBSTITUTE(Поставщики_исходные!E23," ",""),"-",""),"+",""),"(",""),")","")),2,3)&amp;") "&amp;MID(IF(LEFT(SUBSTITUTE(SUBSTITUTE(SUBSTITUTE(SUBSTITUTE(SUBSTITUTE(Поставщики_исходные!E23," ",""),"-",""),"+",""),"(",""),")",""))="8","7"&amp;MID(SUBSTITUTE(SUBSTITUTE(SUBSTITUTE(SUBSTITUTE(SUBSTITUTE(Поставщики_исходные!E23," ",""),"-",""),"+",""),"(",""),")",""),2,10),SUBSTITUTE(SUBSTITUTE(SUBSTITUTE(SUBSTITUTE(SUBSTITUTE(Поставщики_исходные!E23," ",""),"-",""),"+",""),"(",""),")","")),5,3)&amp;"-"&amp;MID(IF(LEFT(SUBSTITUTE(SUBSTITUTE(SUBSTITUTE(SUBSTITUTE(SUBSTITUTE(Поставщики_исходные!E23," ",""),"-",""),"+",""),"(",""),")",""))="8","7"&amp;MID(SUBSTITUTE(SUBSTITUTE(SUBSTITUTE(SUBSTITUTE(SUBSTITUTE(Поставщики_исходные!E23," ",""),"-",""),"+",""),"(",""),")",""),2,10),SUBSTITUTE(SUBSTITUTE(SUBSTITUTE(SUBSTITUTE(SUBSTITUTE(Поставщики_исходные!E23," ",""),"-",""),"+",""),"(",""),")","")),8,2)&amp;"-"&amp;MID(IF(LEFT(SUBSTITUTE(SUBSTITUTE(SUBSTITUTE(SUBSTITUTE(SUBSTITUTE(Поставщики_исходные!E23," ",""),"-",""),"+",""),"(",""),")",""))="8","7"&amp;MID(SUBSTITUTE(SUBSTITUTE(SUBSTITUTE(SUBSTITUTE(SUBSTITUTE(Поставщики_исходные!E23," ",""),"-",""),"+",""),"(",""),")",""),2,10),SUBSTITUTE(SUBSTITUTE(SUBSTITUTE(SUBSTITUTE(SUBSTITUTE(Поставщики_исходные!E23," ",""),"-",""),"+",""),"(",""),")","")),10,2),IF(LEN(SUBSTITUTE(SUBSTITUTE(SUBSTITUTE(SUBSTITUTE(SUBSTITUTE(Поставщики_исходные!E23," ",""),"-",""),"+",""),"(",""),")",""))=10,"+7 ("&amp;MID(SUBSTITUTE(SUBSTITUTE(SUBSTITUTE(SUBSTITUTE(SUBSTITUTE(Поставщики_исходные!E23," ",""),"-",""),"+",""),"(",""),")",""),1,3)&amp;") "&amp;MID(SUBSTITUTE(SUBSTITUTE(SUBSTITUTE(SUBSTITUTE(SUBSTITUTE(Поставщики_исходные!E23," ",""),"-",""),"+",""),"(",""),")",""),4,3)&amp;"-"&amp;MID(SUBSTITUTE(SUBSTITUTE(SUBSTITUTE(SUBSTITUTE(SUBSTITUTE(Поставщики_исходные!E23," ",""),"-",""),"+",""),"(",""),")",""),6,2)&amp;"-"&amp;MID(SUBSTITUTE(SUBSTITUTE(SUBSTITUTE(SUBSTITUTE(SUBSTITUTE(Поставщики_исходные!E23," ",""),"-",""),"+",""),"(",""),")",""),8,2),Поставщики_исходные!E23)))</f>
        <v xml:space="preserve">+7 (903) 234-56-78</v>
      </c>
      <c r="F23" t="str">
        <f>IF(ISBLANK(Поставщики_исходные!F23),"",IF(ISNUMBER(FIND(".",MID(Поставщики_исходные!F23,FIND("@",Поставщики_исходные!F23)+1,255))),Поставщики_исходные!F23,IF(ISNUMBER(FIND("gmail",Поставщики_исходные!F23)),Поставщики_исходные!F23&amp;".com",Поставщики_исходные!F23&amp;".ru")))</f>
        <v>center@tehno.ru</v>
      </c>
      <c r="G23" t="str">
        <f>TRIM(Поставщики_исходные!G23)</f>
        <v xml:space="preserve">107031 г.Москва ул.Рождественка д.10</v>
      </c>
      <c r="H23" t="str">
        <f>IF(ISNUMBER(VALUE(LEFT(TRIM(Поставщики_исходные!G23),6))),LEFT(TRIM(Поставщики_исходные!G23),6),"")</f>
        <v>107031</v>
      </c>
      <c r="I23" t="str">
        <f>TRIM(MID(TRIM(Поставщики_исходные!G23),7,255))</f>
        <v xml:space="preserve">г.Москва ул.Рождественка д.10</v>
      </c>
      <c r="J23" t="str">
        <f t="shared" si="22"/>
        <v>OK</v>
      </c>
      <c r="K23" t="str">
        <f t="shared" si="23"/>
        <v>OK</v>
      </c>
    </row>
    <row r="24">
      <c r="A24" t="str">
        <f>Поставщики_исходные!A24</f>
        <v>P023</v>
      </c>
      <c r="B24" t="str">
        <f>PROPER(TRIM(Поставщики_исходные!B24))</f>
        <v xml:space="preserve">Ооо Техносбыт</v>
      </c>
      <c r="C24" s="5" t="str">
        <f>IF(ISBLANK(Поставщики_исходные!C22),"",TRIM(Поставщики_исходные!C22))</f>
        <v>7809012345</v>
      </c>
      <c r="D24" t="str">
        <f>Поставщики_исходные!D24</f>
        <v>781001001</v>
      </c>
      <c r="E24" s="6" t="str">
        <f>IF(ISBLANK(Поставщики_исходные!E24),"",IF(LEN(SUBSTITUTE(SUBSTITUTE(SUBSTITUTE(SUBSTITUTE(SUBSTITUTE(Поставщики_исходные!E24," ",""),"-",""),"+",""),"(",""),")",""))=11,"+7 ("&amp;MID(IF(LEFT(SUBSTITUTE(SUBSTITUTE(SUBSTITUTE(SUBSTITUTE(SUBSTITUTE(Поставщики_исходные!E24," ",""),"-",""),"+",""),"(",""),")",""))="8","7"&amp;MID(SUBSTITUTE(SUBSTITUTE(SUBSTITUTE(SUBSTITUTE(SUBSTITUTE(Поставщики_исходные!E24," ",""),"-",""),"+",""),"(",""),")",""),2,10),SUBSTITUTE(SUBSTITUTE(SUBSTITUTE(SUBSTITUTE(SUBSTITUTE(Поставщики_исходные!E24," ",""),"-",""),"+",""),"(",""),")","")),2,3)&amp;") "&amp;MID(IF(LEFT(SUBSTITUTE(SUBSTITUTE(SUBSTITUTE(SUBSTITUTE(SUBSTITUTE(Поставщики_исходные!E24," ",""),"-",""),"+",""),"(",""),")",""))="8","7"&amp;MID(SUBSTITUTE(SUBSTITUTE(SUBSTITUTE(SUBSTITUTE(SUBSTITUTE(Поставщики_исходные!E24," ",""),"-",""),"+",""),"(",""),")",""),2,10),SUBSTITUTE(SUBSTITUTE(SUBSTITUTE(SUBSTITUTE(SUBSTITUTE(Поставщики_исходные!E24," ",""),"-",""),"+",""),"(",""),")","")),5,3)&amp;"-"&amp;MID(IF(LEFT(SUBSTITUTE(SUBSTITUTE(SUBSTITUTE(SUBSTITUTE(SUBSTITUTE(Поставщики_исходные!E24," ",""),"-",""),"+",""),"(",""),")",""))="8","7"&amp;MID(SUBSTITUTE(SUBSTITUTE(SUBSTITUTE(SUBSTITUTE(SUBSTITUTE(Поставщики_исходные!E24," ",""),"-",""),"+",""),"(",""),")",""),2,10),SUBSTITUTE(SUBSTITUTE(SUBSTITUTE(SUBSTITUTE(SUBSTITUTE(Поставщики_исходные!E24," ",""),"-",""),"+",""),"(",""),")","")),8,2)&amp;"-"&amp;MID(IF(LEFT(SUBSTITUTE(SUBSTITUTE(SUBSTITUTE(SUBSTITUTE(SUBSTITUTE(Поставщики_исходные!E24," ",""),"-",""),"+",""),"(",""),")",""))="8","7"&amp;MID(SUBSTITUTE(SUBSTITUTE(SUBSTITUTE(SUBSTITUTE(SUBSTITUTE(Поставщики_исходные!E24," ",""),"-",""),"+",""),"(",""),")",""),2,10),SUBSTITUTE(SUBSTITUTE(SUBSTITUTE(SUBSTITUTE(SUBSTITUTE(Поставщики_исходные!E24," ",""),"-",""),"+",""),"(",""),")","")),10,2),IF(LEN(SUBSTITUTE(SUBSTITUTE(SUBSTITUTE(SUBSTITUTE(SUBSTITUTE(Поставщики_исходные!E24," ",""),"-",""),"+",""),"(",""),")",""))=10,"+7 ("&amp;MID(SUBSTITUTE(SUBSTITUTE(SUBSTITUTE(SUBSTITUTE(SUBSTITUTE(Поставщики_исходные!E24," ",""),"-",""),"+",""),"(",""),")",""),1,3)&amp;") "&amp;MID(SUBSTITUTE(SUBSTITUTE(SUBSTITUTE(SUBSTITUTE(SUBSTITUTE(Поставщики_исходные!E24," ",""),"-",""),"+",""),"(",""),")",""),4,3)&amp;"-"&amp;MID(SUBSTITUTE(SUBSTITUTE(SUBSTITUTE(SUBSTITUTE(SUBSTITUTE(Поставщики_исходные!E24," ",""),"-",""),"+",""),"(",""),")",""),6,2)&amp;"-"&amp;MID(SUBSTITUTE(SUBSTITUTE(SUBSTITUTE(SUBSTITUTE(SUBSTITUTE(Поставщики_исходные!E24," ",""),"-",""),"+",""),"(",""),")",""),8,2),Поставщики_исходные!E24)))</f>
        <v xml:space="preserve">+7 (903) 345-67-89</v>
      </c>
      <c r="F24" t="str">
        <f>IF(ISBLANK(Поставщики_исходные!F24),"",IF(ISNUMBER(FIND(".",MID(Поставщики_исходные!F24,FIND("@",Поставщики_исходные!F24)+1,255))),Поставщики_исходные!F24,IF(ISNUMBER(FIND("gmail",Поставщики_исходные!F24)),Поставщики_исходные!F24&amp;".com",Поставщики_исходные!F24&amp;".ru")))</f>
        <v>sbyt@tehno.ru</v>
      </c>
      <c r="G24" t="str">
        <f>TRIM(Поставщики_исходные!G24)</f>
        <v xml:space="preserve">195009 г.Санкт-Петербург ул.Комсомола д.21</v>
      </c>
      <c r="H24" t="str">
        <f>IF(ISNUMBER(VALUE(LEFT(TRIM(Поставщики_исходные!G24),6))),LEFT(TRIM(Поставщики_исходные!G24),6),"")</f>
        <v>195009</v>
      </c>
      <c r="I24" t="str">
        <f>TRIM(MID(TRIM(Поставщики_исходные!G24),7,255))</f>
        <v xml:space="preserve">г.Санкт-Петербург ул.Комсомола д.21</v>
      </c>
      <c r="J24" t="str">
        <f t="shared" si="22"/>
        <v>OK</v>
      </c>
      <c r="K24" t="str">
        <f t="shared" si="23"/>
        <v>OK</v>
      </c>
    </row>
    <row r="25">
      <c r="A25" t="str">
        <f>Поставщики_исходные!A25</f>
        <v>P024</v>
      </c>
      <c r="B25" t="str">
        <f>PROPER(TRIM(Поставщики_исходные!B25))</f>
        <v xml:space="preserve">Ао Техногарант</v>
      </c>
      <c r="C25" s="5" t="str">
        <f>IF(ISBLANK(Поставщики_исходные!C23),"",TRIM(Поставщики_исходные!C23))</f>
        <v>7721234567</v>
      </c>
      <c r="D25" t="str">
        <f>Поставщики_исходные!D25</f>
        <v>772001001</v>
      </c>
      <c r="E25" s="6" t="str">
        <f>IF(ISBLANK(Поставщики_исходные!E25),"",IF(LEN(SUBSTITUTE(SUBSTITUTE(SUBSTITUTE(SUBSTITUTE(SUBSTITUTE(Поставщики_исходные!E25," ",""),"-",""),"+",""),"(",""),")",""))=11,"+7 ("&amp;MID(IF(LEFT(SUBSTITUTE(SUBSTITUTE(SUBSTITUTE(SUBSTITUTE(SUBSTITUTE(Поставщики_исходные!E25," ",""),"-",""),"+",""),"(",""),")",""))="8","7"&amp;MID(SUBSTITUTE(SUBSTITUTE(SUBSTITUTE(SUBSTITUTE(SUBSTITUTE(Поставщики_исходные!E25," ",""),"-",""),"+",""),"(",""),")",""),2,10),SUBSTITUTE(SUBSTITUTE(SUBSTITUTE(SUBSTITUTE(SUBSTITUTE(Поставщики_исходные!E25," ",""),"-",""),"+",""),"(",""),")","")),2,3)&amp;") "&amp;MID(IF(LEFT(SUBSTITUTE(SUBSTITUTE(SUBSTITUTE(SUBSTITUTE(SUBSTITUTE(Поставщики_исходные!E25," ",""),"-",""),"+",""),"(",""),")",""))="8","7"&amp;MID(SUBSTITUTE(SUBSTITUTE(SUBSTITUTE(SUBSTITUTE(SUBSTITUTE(Поставщики_исходные!E25," ",""),"-",""),"+",""),"(",""),")",""),2,10),SUBSTITUTE(SUBSTITUTE(SUBSTITUTE(SUBSTITUTE(SUBSTITUTE(Поставщики_исходные!E25," ",""),"-",""),"+",""),"(",""),")","")),5,3)&amp;"-"&amp;MID(IF(LEFT(SUBSTITUTE(SUBSTITUTE(SUBSTITUTE(SUBSTITUTE(SUBSTITUTE(Поставщики_исходные!E25," ",""),"-",""),"+",""),"(",""),")",""))="8","7"&amp;MID(SUBSTITUTE(SUBSTITUTE(SUBSTITUTE(SUBSTITUTE(SUBSTITUTE(Поставщики_исходные!E25," ",""),"-",""),"+",""),"(",""),")",""),2,10),SUBSTITUTE(SUBSTITUTE(SUBSTITUTE(SUBSTITUTE(SUBSTITUTE(Поставщики_исходные!E25," ",""),"-",""),"+",""),"(",""),")","")),8,2)&amp;"-"&amp;MID(IF(LEFT(SUBSTITUTE(SUBSTITUTE(SUBSTITUTE(SUBSTITUTE(SUBSTITUTE(Поставщики_исходные!E25," ",""),"-",""),"+",""),"(",""),")",""))="8","7"&amp;MID(SUBSTITUTE(SUBSTITUTE(SUBSTITUTE(SUBSTITUTE(SUBSTITUTE(Поставщики_исходные!E25," ",""),"-",""),"+",""),"(",""),")",""),2,10),SUBSTITUTE(SUBSTITUTE(SUBSTITUTE(SUBSTITUTE(SUBSTITUTE(Поставщики_исходные!E25," ",""),"-",""),"+",""),"(",""),")","")),10,2),IF(LEN(SUBSTITUTE(SUBSTITUTE(SUBSTITUTE(SUBSTITUTE(SUBSTITUTE(Поставщики_исходные!E25," ",""),"-",""),"+",""),"(",""),")",""))=10,"+7 ("&amp;MID(SUBSTITUTE(SUBSTITUTE(SUBSTITUTE(SUBSTITUTE(SUBSTITUTE(Поставщики_исходные!E25," ",""),"-",""),"+",""),"(",""),")",""),1,3)&amp;") "&amp;MID(SUBSTITUTE(SUBSTITUTE(SUBSTITUTE(SUBSTITUTE(SUBSTITUTE(Поставщики_исходные!E25," ",""),"-",""),"+",""),"(",""),")",""),4,3)&amp;"-"&amp;MID(SUBSTITUTE(SUBSTITUTE(SUBSTITUTE(SUBSTITUTE(SUBSTITUTE(Поставщики_исходные!E25," ",""),"-",""),"+",""),"(",""),")",""),6,2)&amp;"-"&amp;MID(SUBSTITUTE(SUBSTITUTE(SUBSTITUTE(SUBSTITUTE(SUBSTITUTE(Поставщики_исходные!E25," ",""),"-",""),"+",""),"(",""),")",""),8,2),Поставщики_исходные!E25)))</f>
        <v xml:space="preserve">+7 (903) 456-78-90</v>
      </c>
      <c r="F25" t="str">
        <f>IF(ISBLANK(Поставщики_исходные!F25),"",IF(ISNUMBER(FIND(".",MID(Поставщики_исходные!F25,FIND("@",Поставщики_исходные!F25)+1,255))),Поставщики_исходные!F25,IF(ISNUMBER(FIND("gmail",Поставщики_исходные!F25)),Поставщики_исходные!F25&amp;".com",Поставщики_исходные!F25&amp;".ru")))</f>
        <v>garant@tehno.ru</v>
      </c>
      <c r="G25" t="str">
        <f>TRIM(Поставщики_исходные!G25)</f>
        <v xml:space="preserve">119071 г.Москва ул.Ленинский пр.д.15</v>
      </c>
      <c r="H25" t="str">
        <f>IF(ISNUMBER(VALUE(LEFT(TRIM(Поставщики_исходные!G25),6))),LEFT(TRIM(Поставщики_исходные!G25),6),"")</f>
        <v>119071</v>
      </c>
      <c r="I25" t="str">
        <f>TRIM(MID(TRIM(Поставщики_исходные!G25),7,255))</f>
        <v xml:space="preserve">г.Москва ул.Ленинский пр.д.15</v>
      </c>
      <c r="J25" t="str">
        <f t="shared" si="22"/>
        <v>OK</v>
      </c>
      <c r="K25" t="str">
        <f t="shared" si="23"/>
        <v>OK</v>
      </c>
    </row>
    <row r="26">
      <c r="A26" t="str">
        <f>Поставщики_исходные!A26</f>
        <v>P025</v>
      </c>
      <c r="B26" t="str">
        <f>PROPER(TRIM(Поставщики_исходные!B26))</f>
        <v xml:space="preserve">Ооо Техноэкспо</v>
      </c>
      <c r="C26" s="5" t="str">
        <f>IF(ISBLANK(Поставщики_исходные!C24),"",TRIM(Поставщики_исходные!C24))</f>
        <v>78101234</v>
      </c>
      <c r="D26" t="str">
        <f>Поставщики_исходные!D26</f>
        <v>781101001</v>
      </c>
      <c r="E26" s="6" t="str">
        <f>IF(ISBLANK(Поставщики_исходные!E26),"",IF(LEN(SUBSTITUTE(SUBSTITUTE(SUBSTITUTE(SUBSTITUTE(SUBSTITUTE(Поставщики_исходные!E26," ",""),"-",""),"+",""),"(",""),")",""))=11,"+7 ("&amp;MID(IF(LEFT(SUBSTITUTE(SUBSTITUTE(SUBSTITUTE(SUBSTITUTE(SUBSTITUTE(Поставщики_исходные!E26," ",""),"-",""),"+",""),"(",""),")",""))="8","7"&amp;MID(SUBSTITUTE(SUBSTITUTE(SUBSTITUTE(SUBSTITUTE(SUBSTITUTE(Поставщики_исходные!E26," ",""),"-",""),"+",""),"(",""),")",""),2,10),SUBSTITUTE(SUBSTITUTE(SUBSTITUTE(SUBSTITUTE(SUBSTITUTE(Поставщики_исходные!E26," ",""),"-",""),"+",""),"(",""),")","")),2,3)&amp;") "&amp;MID(IF(LEFT(SUBSTITUTE(SUBSTITUTE(SUBSTITUTE(SUBSTITUTE(SUBSTITUTE(Поставщики_исходные!E26," ",""),"-",""),"+",""),"(",""),")",""))="8","7"&amp;MID(SUBSTITUTE(SUBSTITUTE(SUBSTITUTE(SUBSTITUTE(SUBSTITUTE(Поставщики_исходные!E26," ",""),"-",""),"+",""),"(",""),")",""),2,10),SUBSTITUTE(SUBSTITUTE(SUBSTITUTE(SUBSTITUTE(SUBSTITUTE(Поставщики_исходные!E26," ",""),"-",""),"+",""),"(",""),")","")),5,3)&amp;"-"&amp;MID(IF(LEFT(SUBSTITUTE(SUBSTITUTE(SUBSTITUTE(SUBSTITUTE(SUBSTITUTE(Поставщики_исходные!E26," ",""),"-",""),"+",""),"(",""),")",""))="8","7"&amp;MID(SUBSTITUTE(SUBSTITUTE(SUBSTITUTE(SUBSTITUTE(SUBSTITUTE(Поставщики_исходные!E26," ",""),"-",""),"+",""),"(",""),")",""),2,10),SUBSTITUTE(SUBSTITUTE(SUBSTITUTE(SUBSTITUTE(SUBSTITUTE(Поставщики_исходные!E26," ",""),"-",""),"+",""),"(",""),")","")),8,2)&amp;"-"&amp;MID(IF(LEFT(SUBSTITUTE(SUBSTITUTE(SUBSTITUTE(SUBSTITUTE(SUBSTITUTE(Поставщики_исходные!E26," ",""),"-",""),"+",""),"(",""),")",""))="8","7"&amp;MID(SUBSTITUTE(SUBSTITUTE(SUBSTITUTE(SUBSTITUTE(SUBSTITUTE(Поставщики_исходные!E26," ",""),"-",""),"+",""),"(",""),")",""),2,10),SUBSTITUTE(SUBSTITUTE(SUBSTITUTE(SUBSTITUTE(SUBSTITUTE(Поставщики_исходные!E26," ",""),"-",""),"+",""),"(",""),")","")),10,2),IF(LEN(SUBSTITUTE(SUBSTITUTE(SUBSTITUTE(SUBSTITUTE(SUBSTITUTE(Поставщики_исходные!E26," ",""),"-",""),"+",""),"(",""),")",""))=10,"+7 ("&amp;MID(SUBSTITUTE(SUBSTITUTE(SUBSTITUTE(SUBSTITUTE(SUBSTITUTE(Поставщики_исходные!E26," ",""),"-",""),"+",""),"(",""),")",""),1,3)&amp;") "&amp;MID(SUBSTITUTE(SUBSTITUTE(SUBSTITUTE(SUBSTITUTE(SUBSTITUTE(Поставщики_исходные!E26," ",""),"-",""),"+",""),"(",""),")",""),4,3)&amp;"-"&amp;MID(SUBSTITUTE(SUBSTITUTE(SUBSTITUTE(SUBSTITUTE(SUBSTITUTE(Поставщики_исходные!E26," ",""),"-",""),"+",""),"(",""),")",""),6,2)&amp;"-"&amp;MID(SUBSTITUTE(SUBSTITUTE(SUBSTITUTE(SUBSTITUTE(SUBSTITUTE(Поставщики_исходные!E26," ",""),"-",""),"+",""),"(",""),")",""),8,2),Поставщики_исходные!E26)))</f>
        <v xml:space="preserve">+7 (903) 567-89-01</v>
      </c>
      <c r="F26" t="str">
        <f>IF(ISBLANK(Поставщики_исходные!F26),"",IF(ISNUMBER(FIND(".",MID(Поставщики_исходные!F26,FIND("@",Поставщики_исходные!F26)+1,255))),Поставщики_исходные!F26,IF(ISNUMBER(FIND("gmail",Поставщики_исходные!F26)),Поставщики_исходные!F26&amp;".com",Поставщики_исходные!F26&amp;".ru")))</f>
        <v>expo@tehno.ru</v>
      </c>
      <c r="G26" t="str">
        <f>TRIM(Поставщики_исходные!G26)</f>
        <v xml:space="preserve">198095 г.Санкт-Петербург ул.Балтийская д.43</v>
      </c>
      <c r="H26" t="str">
        <f>IF(ISNUMBER(VALUE(LEFT(TRIM(Поставщики_исходные!G26),6))),LEFT(TRIM(Поставщики_исходные!G26),6),"")</f>
        <v>198095</v>
      </c>
      <c r="I26" t="str">
        <f>TRIM(MID(TRIM(Поставщики_исходные!G26),7,255))</f>
        <v xml:space="preserve">г.Санкт-Петербург ул.Балтийская д.43</v>
      </c>
      <c r="J26" t="str">
        <f t="shared" si="22"/>
        <v xml:space="preserve">Ошибка ИНН</v>
      </c>
      <c r="K26" t="str">
        <f t="shared" si="23"/>
        <v>OK</v>
      </c>
    </row>
    <row r="27">
      <c r="A27" t="str">
        <f>Поставщики_исходные!A27</f>
        <v>P026</v>
      </c>
      <c r="B27" t="str">
        <f>PROPER(TRIM(Поставщики_исходные!B27))</f>
        <v xml:space="preserve">Зао Техномаркет</v>
      </c>
      <c r="C27" s="5" t="str">
        <f>IF(ISBLANK(Поставщики_исходные!C25),"",TRIM(Поставщики_исходные!C25))</f>
        <v>7722345678</v>
      </c>
      <c r="D27" t="str">
        <f>Поставщики_исходные!D27</f>
        <v>772101001</v>
      </c>
      <c r="E27" s="6" t="str">
        <f>IF(ISBLANK(Поставщики_исходные!E27),"",IF(LEN(SUBSTITUTE(SUBSTITUTE(SUBSTITUTE(SUBSTITUTE(SUBSTITUTE(Поставщики_исходные!E27," ",""),"-",""),"+",""),"(",""),")",""))=11,"+7 ("&amp;MID(IF(LEFT(SUBSTITUTE(SUBSTITUTE(SUBSTITUTE(SUBSTITUTE(SUBSTITUTE(Поставщики_исходные!E27," ",""),"-",""),"+",""),"(",""),")",""))="8","7"&amp;MID(SUBSTITUTE(SUBSTITUTE(SUBSTITUTE(SUBSTITUTE(SUBSTITUTE(Поставщики_исходные!E27," ",""),"-",""),"+",""),"(",""),")",""),2,10),SUBSTITUTE(SUBSTITUTE(SUBSTITUTE(SUBSTITUTE(SUBSTITUTE(Поставщики_исходные!E27," ",""),"-",""),"+",""),"(",""),")","")),2,3)&amp;") "&amp;MID(IF(LEFT(SUBSTITUTE(SUBSTITUTE(SUBSTITUTE(SUBSTITUTE(SUBSTITUTE(Поставщики_исходные!E27," ",""),"-",""),"+",""),"(",""),")",""))="8","7"&amp;MID(SUBSTITUTE(SUBSTITUTE(SUBSTITUTE(SUBSTITUTE(SUBSTITUTE(Поставщики_исходные!E27," ",""),"-",""),"+",""),"(",""),")",""),2,10),SUBSTITUTE(SUBSTITUTE(SUBSTITUTE(SUBSTITUTE(SUBSTITUTE(Поставщики_исходные!E27," ",""),"-",""),"+",""),"(",""),")","")),5,3)&amp;"-"&amp;MID(IF(LEFT(SUBSTITUTE(SUBSTITUTE(SUBSTITUTE(SUBSTITUTE(SUBSTITUTE(Поставщики_исходные!E27," ",""),"-",""),"+",""),"(",""),")",""))="8","7"&amp;MID(SUBSTITUTE(SUBSTITUTE(SUBSTITUTE(SUBSTITUTE(SUBSTITUTE(Поставщики_исходные!E27," ",""),"-",""),"+",""),"(",""),")",""),2,10),SUBSTITUTE(SUBSTITUTE(SUBSTITUTE(SUBSTITUTE(SUBSTITUTE(Поставщики_исходные!E27," ",""),"-",""),"+",""),"(",""),")","")),8,2)&amp;"-"&amp;MID(IF(LEFT(SUBSTITUTE(SUBSTITUTE(SUBSTITUTE(SUBSTITUTE(SUBSTITUTE(Поставщики_исходные!E27," ",""),"-",""),"+",""),"(",""),")",""))="8","7"&amp;MID(SUBSTITUTE(SUBSTITUTE(SUBSTITUTE(SUBSTITUTE(SUBSTITUTE(Поставщики_исходные!E27," ",""),"-",""),"+",""),"(",""),")",""),2,10),SUBSTITUTE(SUBSTITUTE(SUBSTITUTE(SUBSTITUTE(SUBSTITUTE(Поставщики_исходные!E27," ",""),"-",""),"+",""),"(",""),")","")),10,2),IF(LEN(SUBSTITUTE(SUBSTITUTE(SUBSTITUTE(SUBSTITUTE(SUBSTITUTE(Поставщики_исходные!E27," ",""),"-",""),"+",""),"(",""),")",""))=10,"+7 ("&amp;MID(SUBSTITUTE(SUBSTITUTE(SUBSTITUTE(SUBSTITUTE(SUBSTITUTE(Поставщики_исходные!E27," ",""),"-",""),"+",""),"(",""),")",""),1,3)&amp;") "&amp;MID(SUBSTITUTE(SUBSTITUTE(SUBSTITUTE(SUBSTITUTE(SUBSTITUTE(Поставщики_исходные!E27," ",""),"-",""),"+",""),"(",""),")",""),4,3)&amp;"-"&amp;MID(SUBSTITUTE(SUBSTITUTE(SUBSTITUTE(SUBSTITUTE(SUBSTITUTE(Поставщики_исходные!E27," ",""),"-",""),"+",""),"(",""),")",""),6,2)&amp;"-"&amp;MID(SUBSTITUTE(SUBSTITUTE(SUBSTITUTE(SUBSTITUTE(SUBSTITUTE(Поставщики_исходные!E27," ",""),"-",""),"+",""),"(",""),")",""),8,2),Поставщики_исходные!E27)))</f>
        <v xml:space="preserve">+7 (903) 678-90-12</v>
      </c>
      <c r="F27" t="str">
        <f>IF(ISBLANK(Поставщики_исходные!F27),"",IF(ISNUMBER(FIND(".",MID(Поставщики_исходные!F27,FIND("@",Поставщики_исходные!F27)+1,255))),Поставщики_исходные!F27,IF(ISNUMBER(FIND("gmail",Поставщики_исходные!F27)),Поставщики_исходные!F27&amp;".com",Поставщики_исходные!F27&amp;".ru")))</f>
        <v>market@tehno.ru</v>
      </c>
      <c r="G27" t="str">
        <f>TRIM(Поставщики_исходные!G27)</f>
        <v xml:space="preserve">125040 г.Москва ул.Нижняя Масловка д.5</v>
      </c>
      <c r="H27" t="str">
        <f>IF(ISNUMBER(VALUE(LEFT(TRIM(Поставщики_исходные!G27),6))),LEFT(TRIM(Поставщики_исходные!G27),6),"")</f>
        <v>125040</v>
      </c>
      <c r="I27" t="str">
        <f>TRIM(MID(TRIM(Поставщики_исходные!G27),7,255))</f>
        <v xml:space="preserve">г.Москва ул.Нижняя Масловка д.5</v>
      </c>
      <c r="J27" t="str">
        <f t="shared" si="22"/>
        <v>OK</v>
      </c>
      <c r="K27" t="str">
        <f t="shared" si="23"/>
        <v>OK</v>
      </c>
    </row>
    <row r="28">
      <c r="A28" t="str">
        <f>Поставщики_исходные!A28</f>
        <v>P027</v>
      </c>
      <c r="B28" t="str">
        <f>PROPER(TRIM(Поставщики_исходные!B28))</f>
        <v xml:space="preserve">Ооо Технопромтех</v>
      </c>
      <c r="C28" s="5" t="str">
        <f>IF(ISBLANK(Поставщики_исходные!C26),"",TRIM(Поставщики_исходные!C26))</f>
        <v>7811234567890</v>
      </c>
      <c r="D28" t="str">
        <f>Поставщики_исходные!D28</f>
        <v>781201001</v>
      </c>
      <c r="E28" s="6" t="str">
        <f>IF(ISBLANK(Поставщики_исходные!E28),"",IF(LEN(SUBSTITUTE(SUBSTITUTE(SUBSTITUTE(SUBSTITUTE(SUBSTITUTE(Поставщики_исходные!E28," ",""),"-",""),"+",""),"(",""),")",""))=11,"+7 ("&amp;MID(IF(LEFT(SUBSTITUTE(SUBSTITUTE(SUBSTITUTE(SUBSTITUTE(SUBSTITUTE(Поставщики_исходные!E28," ",""),"-",""),"+",""),"(",""),")",""))="8","7"&amp;MID(SUBSTITUTE(SUBSTITUTE(SUBSTITUTE(SUBSTITUTE(SUBSTITUTE(Поставщики_исходные!E28," ",""),"-",""),"+",""),"(",""),")",""),2,10),SUBSTITUTE(SUBSTITUTE(SUBSTITUTE(SUBSTITUTE(SUBSTITUTE(Поставщики_исходные!E28," ",""),"-",""),"+",""),"(",""),")","")),2,3)&amp;") "&amp;MID(IF(LEFT(SUBSTITUTE(SUBSTITUTE(SUBSTITUTE(SUBSTITUTE(SUBSTITUTE(Поставщики_исходные!E28," ",""),"-",""),"+",""),"(",""),")",""))="8","7"&amp;MID(SUBSTITUTE(SUBSTITUTE(SUBSTITUTE(SUBSTITUTE(SUBSTITUTE(Поставщики_исходные!E28," ",""),"-",""),"+",""),"(",""),")",""),2,10),SUBSTITUTE(SUBSTITUTE(SUBSTITUTE(SUBSTITUTE(SUBSTITUTE(Поставщики_исходные!E28," ",""),"-",""),"+",""),"(",""),")","")),5,3)&amp;"-"&amp;MID(IF(LEFT(SUBSTITUTE(SUBSTITUTE(SUBSTITUTE(SUBSTITUTE(SUBSTITUTE(Поставщики_исходные!E28," ",""),"-",""),"+",""),"(",""),")",""))="8","7"&amp;MID(SUBSTITUTE(SUBSTITUTE(SUBSTITUTE(SUBSTITUTE(SUBSTITUTE(Поставщики_исходные!E28," ",""),"-",""),"+",""),"(",""),")",""),2,10),SUBSTITUTE(SUBSTITUTE(SUBSTITUTE(SUBSTITUTE(SUBSTITUTE(Поставщики_исходные!E28," ",""),"-",""),"+",""),"(",""),")","")),8,2)&amp;"-"&amp;MID(IF(LEFT(SUBSTITUTE(SUBSTITUTE(SUBSTITUTE(SUBSTITUTE(SUBSTITUTE(Поставщики_исходные!E28," ",""),"-",""),"+",""),"(",""),")",""))="8","7"&amp;MID(SUBSTITUTE(SUBSTITUTE(SUBSTITUTE(SUBSTITUTE(SUBSTITUTE(Поставщики_исходные!E28," ",""),"-",""),"+",""),"(",""),")",""),2,10),SUBSTITUTE(SUBSTITUTE(SUBSTITUTE(SUBSTITUTE(SUBSTITUTE(Поставщики_исходные!E28," ",""),"-",""),"+",""),"(",""),")","")),10,2),IF(LEN(SUBSTITUTE(SUBSTITUTE(SUBSTITUTE(SUBSTITUTE(SUBSTITUTE(Поставщики_исходные!E28," ",""),"-",""),"+",""),"(",""),")",""))=10,"+7 ("&amp;MID(SUBSTITUTE(SUBSTITUTE(SUBSTITUTE(SUBSTITUTE(SUBSTITUTE(Поставщики_исходные!E28," ",""),"-",""),"+",""),"(",""),")",""),1,3)&amp;") "&amp;MID(SUBSTITUTE(SUBSTITUTE(SUBSTITUTE(SUBSTITUTE(SUBSTITUTE(Поставщики_исходные!E28," ",""),"-",""),"+",""),"(",""),")",""),4,3)&amp;"-"&amp;MID(SUBSTITUTE(SUBSTITUTE(SUBSTITUTE(SUBSTITUTE(SUBSTITUTE(Поставщики_исходные!E28," ",""),"-",""),"+",""),"(",""),")",""),6,2)&amp;"-"&amp;MID(SUBSTITUTE(SUBSTITUTE(SUBSTITUTE(SUBSTITUTE(SUBSTITUTE(Поставщики_исходные!E28," ",""),"-",""),"+",""),"(",""),")",""),8,2),Поставщики_исходные!E28)))</f>
        <v xml:space="preserve">+7 (903) 789-01-23</v>
      </c>
      <c r="F28" t="str">
        <f>IF(ISBLANK(Поставщики_исходные!F28),"",IF(ISNUMBER(FIND(".",MID(Поставщики_исходные!F28,FIND("@",Поставщики_исходные!F28)+1,255))),Поставщики_исходные!F28,IF(ISNUMBER(FIND("gmail",Поставщики_исходные!F28)),Поставщики_исходные!F28&amp;".com",Поставщики_исходные!F28&amp;".ru")))</f>
        <v>promteh@mail.ru</v>
      </c>
      <c r="G28" t="str">
        <f>TRIM(Поставщики_исходные!G28)</f>
        <v xml:space="preserve">192012 г.Санкт-Петербург ул.Заневский пр.д.32</v>
      </c>
      <c r="H28" t="str">
        <f>IF(ISNUMBER(VALUE(LEFT(TRIM(Поставщики_исходные!G28),6))),LEFT(TRIM(Поставщики_исходные!G28),6),"")</f>
        <v>192012</v>
      </c>
      <c r="I28" t="str">
        <f>TRIM(MID(TRIM(Поставщики_исходные!G28),7,255))</f>
        <v xml:space="preserve">г.Санкт-Петербург ул.Заневский пр.д.32</v>
      </c>
      <c r="J28" t="str">
        <f t="shared" si="22"/>
        <v xml:space="preserve">Ошибка ИНН</v>
      </c>
      <c r="K28" t="str">
        <f t="shared" si="23"/>
        <v>OK</v>
      </c>
    </row>
    <row r="29">
      <c r="A29" t="str">
        <f>Поставщики_исходные!A29</f>
        <v>P028</v>
      </c>
      <c r="B29" t="str">
        <f>PROPER(TRIM(Поставщики_исходные!B29))</f>
        <v xml:space="preserve">Ао Технологистик</v>
      </c>
      <c r="C29" s="5" t="str">
        <f>IF(ISBLANK(Поставщики_исходные!C27),"",TRIM(Поставщики_исходные!C27))</f>
        <v>77234567</v>
      </c>
      <c r="D29" t="str">
        <f>Поставщики_исходные!D29</f>
        <v>772201001</v>
      </c>
      <c r="E29" s="6" t="str">
        <f>IF(ISBLANK(Поставщики_исходные!E29),"",IF(LEN(SUBSTITUTE(SUBSTITUTE(SUBSTITUTE(SUBSTITUTE(SUBSTITUTE(Поставщики_исходные!E29," ",""),"-",""),"+",""),"(",""),")",""))=11,"+7 ("&amp;MID(IF(LEFT(SUBSTITUTE(SUBSTITUTE(SUBSTITUTE(SUBSTITUTE(SUBSTITUTE(Поставщики_исходные!E29," ",""),"-",""),"+",""),"(",""),")",""))="8","7"&amp;MID(SUBSTITUTE(SUBSTITUTE(SUBSTITUTE(SUBSTITUTE(SUBSTITUTE(Поставщики_исходные!E29," ",""),"-",""),"+",""),"(",""),")",""),2,10),SUBSTITUTE(SUBSTITUTE(SUBSTITUTE(SUBSTITUTE(SUBSTITUTE(Поставщики_исходные!E29," ",""),"-",""),"+",""),"(",""),")","")),2,3)&amp;") "&amp;MID(IF(LEFT(SUBSTITUTE(SUBSTITUTE(SUBSTITUTE(SUBSTITUTE(SUBSTITUTE(Поставщики_исходные!E29," ",""),"-",""),"+",""),"(",""),")",""))="8","7"&amp;MID(SUBSTITUTE(SUBSTITUTE(SUBSTITUTE(SUBSTITUTE(SUBSTITUTE(Поставщики_исходные!E29," ",""),"-",""),"+",""),"(",""),")",""),2,10),SUBSTITUTE(SUBSTITUTE(SUBSTITUTE(SUBSTITUTE(SUBSTITUTE(Поставщики_исходные!E29," ",""),"-",""),"+",""),"(",""),")","")),5,3)&amp;"-"&amp;MID(IF(LEFT(SUBSTITUTE(SUBSTITUTE(SUBSTITUTE(SUBSTITUTE(SUBSTITUTE(Поставщики_исходные!E29," ",""),"-",""),"+",""),"(",""),")",""))="8","7"&amp;MID(SUBSTITUTE(SUBSTITUTE(SUBSTITUTE(SUBSTITUTE(SUBSTITUTE(Поставщики_исходные!E29," ",""),"-",""),"+",""),"(",""),")",""),2,10),SUBSTITUTE(SUBSTITUTE(SUBSTITUTE(SUBSTITUTE(SUBSTITUTE(Поставщики_исходные!E29," ",""),"-",""),"+",""),"(",""),")","")),8,2)&amp;"-"&amp;MID(IF(LEFT(SUBSTITUTE(SUBSTITUTE(SUBSTITUTE(SUBSTITUTE(SUBSTITUTE(Поставщики_исходные!E29," ",""),"-",""),"+",""),"(",""),")",""))="8","7"&amp;MID(SUBSTITUTE(SUBSTITUTE(SUBSTITUTE(SUBSTITUTE(SUBSTITUTE(Поставщики_исходные!E29," ",""),"-",""),"+",""),"(",""),")",""),2,10),SUBSTITUTE(SUBSTITUTE(SUBSTITUTE(SUBSTITUTE(SUBSTITUTE(Поставщики_исходные!E29," ",""),"-",""),"+",""),"(",""),")","")),10,2),IF(LEN(SUBSTITUTE(SUBSTITUTE(SUBSTITUTE(SUBSTITUTE(SUBSTITUTE(Поставщики_исходные!E29," ",""),"-",""),"+",""),"(",""),")",""))=10,"+7 ("&amp;MID(SUBSTITUTE(SUBSTITUTE(SUBSTITUTE(SUBSTITUTE(SUBSTITUTE(Поставщики_исходные!E29," ",""),"-",""),"+",""),"(",""),")",""),1,3)&amp;") "&amp;MID(SUBSTITUTE(SUBSTITUTE(SUBSTITUTE(SUBSTITUTE(SUBSTITUTE(Поставщики_исходные!E29," ",""),"-",""),"+",""),"(",""),")",""),4,3)&amp;"-"&amp;MID(SUBSTITUTE(SUBSTITUTE(SUBSTITUTE(SUBSTITUTE(SUBSTITUTE(Поставщики_исходные!E29," ",""),"-",""),"+",""),"(",""),")",""),6,2)&amp;"-"&amp;MID(SUBSTITUTE(SUBSTITUTE(SUBSTITUTE(SUBSTITUTE(SUBSTITUTE(Поставщики_исходные!E29," ",""),"-",""),"+",""),"(",""),")",""),8,2),Поставщики_исходные!E29)))</f>
        <v xml:space="preserve">+7 (903) 890-12-34</v>
      </c>
      <c r="F29" t="str">
        <f>IF(ISBLANK(Поставщики_исходные!F29),"",IF(ISNUMBER(FIND(".",MID(Поставщики_исходные!F29,FIND("@",Поставщики_исходные!F29)+1,255))),Поставщики_исходные!F29,IF(ISNUMBER(FIND("gmail",Поставщики_исходные!F29)),Поставщики_исходные!F29&amp;".com",Поставщики_исходные!F29&amp;".ru")))</f>
        <v>logistik@tehno.ru</v>
      </c>
      <c r="G29" t="str">
        <f>TRIM(Поставщики_исходные!G29)</f>
        <v xml:space="preserve">109544 г.Москва ул.Б.Семеновская д.38</v>
      </c>
      <c r="H29" t="str">
        <f>IF(ISNUMBER(VALUE(LEFT(TRIM(Поставщики_исходные!G29),6))),LEFT(TRIM(Поставщики_исходные!G29),6),"")</f>
        <v>109544</v>
      </c>
      <c r="I29" t="str">
        <f>TRIM(MID(TRIM(Поставщики_исходные!G29),7,255))</f>
        <v xml:space="preserve">г.Москва ул.Б.Семеновская д.38</v>
      </c>
      <c r="J29" t="str">
        <f t="shared" si="22"/>
        <v xml:space="preserve">Ошибка ИНН</v>
      </c>
      <c r="K29" t="str">
        <f t="shared" si="23"/>
        <v>OK</v>
      </c>
    </row>
    <row r="30">
      <c r="A30" t="str">
        <f>Поставщики_исходные!A30</f>
        <v>P029</v>
      </c>
      <c r="B30" t="str">
        <f>PROPER(TRIM(Поставщики_исходные!B30))</f>
        <v xml:space="preserve">Ооо Техностандарт</v>
      </c>
      <c r="C30" s="5" t="str">
        <f>IF(ISBLANK(Поставщики_исходные!C28),"",TRIM(Поставщики_исходные!C28))</f>
        <v>7812345678</v>
      </c>
      <c r="D30" t="str">
        <f>Поставщики_исходные!D30</f>
        <v>781301001</v>
      </c>
      <c r="E30" s="6" t="str">
        <f>IF(ISBLANK(Поставщики_исходные!E30),"",IF(LEN(SUBSTITUTE(SUBSTITUTE(SUBSTITUTE(SUBSTITUTE(SUBSTITUTE(Поставщики_исходные!E30," ",""),"-",""),"+",""),"(",""),")",""))=11,"+7 ("&amp;MID(IF(LEFT(SUBSTITUTE(SUBSTITUTE(SUBSTITUTE(SUBSTITUTE(SUBSTITUTE(Поставщики_исходные!E30," ",""),"-",""),"+",""),"(",""),")",""))="8","7"&amp;MID(SUBSTITUTE(SUBSTITUTE(SUBSTITUTE(SUBSTITUTE(SUBSTITUTE(Поставщики_исходные!E30," ",""),"-",""),"+",""),"(",""),")",""),2,10),SUBSTITUTE(SUBSTITUTE(SUBSTITUTE(SUBSTITUTE(SUBSTITUTE(Поставщики_исходные!E30," ",""),"-",""),"+",""),"(",""),")","")),2,3)&amp;") "&amp;MID(IF(LEFT(SUBSTITUTE(SUBSTITUTE(SUBSTITUTE(SUBSTITUTE(SUBSTITUTE(Поставщики_исходные!E30," ",""),"-",""),"+",""),"(",""),")",""))="8","7"&amp;MID(SUBSTITUTE(SUBSTITUTE(SUBSTITUTE(SUBSTITUTE(SUBSTITUTE(Поставщики_исходные!E30," ",""),"-",""),"+",""),"(",""),")",""),2,10),SUBSTITUTE(SUBSTITUTE(SUBSTITUTE(SUBSTITUTE(SUBSTITUTE(Поставщики_исходные!E30," ",""),"-",""),"+",""),"(",""),")","")),5,3)&amp;"-"&amp;MID(IF(LEFT(SUBSTITUTE(SUBSTITUTE(SUBSTITUTE(SUBSTITUTE(SUBSTITUTE(Поставщики_исходные!E30," ",""),"-",""),"+",""),"(",""),")",""))="8","7"&amp;MID(SUBSTITUTE(SUBSTITUTE(SUBSTITUTE(SUBSTITUTE(SUBSTITUTE(Поставщики_исходные!E30," ",""),"-",""),"+",""),"(",""),")",""),2,10),SUBSTITUTE(SUBSTITUTE(SUBSTITUTE(SUBSTITUTE(SUBSTITUTE(Поставщики_исходные!E30," ",""),"-",""),"+",""),"(",""),")","")),8,2)&amp;"-"&amp;MID(IF(LEFT(SUBSTITUTE(SUBSTITUTE(SUBSTITUTE(SUBSTITUTE(SUBSTITUTE(Поставщики_исходные!E30," ",""),"-",""),"+",""),"(",""),")",""))="8","7"&amp;MID(SUBSTITUTE(SUBSTITUTE(SUBSTITUTE(SUBSTITUTE(SUBSTITUTE(Поставщики_исходные!E30," ",""),"-",""),"+",""),"(",""),")",""),2,10),SUBSTITUTE(SUBSTITUTE(SUBSTITUTE(SUBSTITUTE(SUBSTITUTE(Поставщики_исходные!E30," ",""),"-",""),"+",""),"(",""),")","")),10,2),IF(LEN(SUBSTITUTE(SUBSTITUTE(SUBSTITUTE(SUBSTITUTE(SUBSTITUTE(Поставщики_исходные!E30," ",""),"-",""),"+",""),"(",""),")",""))=10,"+7 ("&amp;MID(SUBSTITUTE(SUBSTITUTE(SUBSTITUTE(SUBSTITUTE(SUBSTITUTE(Поставщики_исходные!E30," ",""),"-",""),"+",""),"(",""),")",""),1,3)&amp;") "&amp;MID(SUBSTITUTE(SUBSTITUTE(SUBSTITUTE(SUBSTITUTE(SUBSTITUTE(Поставщики_исходные!E30," ",""),"-",""),"+",""),"(",""),")",""),4,3)&amp;"-"&amp;MID(SUBSTITUTE(SUBSTITUTE(SUBSTITUTE(SUBSTITUTE(SUBSTITUTE(Поставщики_исходные!E30," ",""),"-",""),"+",""),"(",""),")",""),6,2)&amp;"-"&amp;MID(SUBSTITUTE(SUBSTITUTE(SUBSTITUTE(SUBSTITUTE(SUBSTITUTE(Поставщики_исходные!E30," ",""),"-",""),"+",""),"(",""),")",""),8,2),Поставщики_исходные!E30)))</f>
        <v xml:space="preserve">+7 (903) 901-23-45</v>
      </c>
      <c r="F30" t="str">
        <f>IF(ISBLANK(Поставщики_исходные!F30),"",IF(ISNUMBER(FIND(".",MID(Поставщики_исходные!F30,FIND("@",Поставщики_исходные!F30)+1,255))),Поставщики_исходные!F30,IF(ISNUMBER(FIND("gmail",Поставщики_исходные!F30)),Поставщики_исходные!F30&amp;".com",Поставщики_исходные!F30&amp;".ru")))</f>
        <v>standart@tehno.ru</v>
      </c>
      <c r="G30" t="str">
        <f>TRIM(Поставщики_исходные!G30)</f>
        <v xml:space="preserve">197376 г.Санкт-Петербург ул.Пионерская д.9</v>
      </c>
      <c r="H30" t="str">
        <f>IF(ISNUMBER(VALUE(LEFT(TRIM(Поставщики_исходные!G30),6))),LEFT(TRIM(Поставщики_исходные!G30),6),"")</f>
        <v>197376</v>
      </c>
      <c r="I30" t="str">
        <f>TRIM(MID(TRIM(Поставщики_исходные!G30),7,255))</f>
        <v xml:space="preserve">г.Санкт-Петербург ул.Пионерская д.9</v>
      </c>
      <c r="J30" t="str">
        <f t="shared" si="22"/>
        <v>OK</v>
      </c>
      <c r="K30" t="str">
        <f t="shared" si="23"/>
        <v>OK</v>
      </c>
    </row>
    <row r="31">
      <c r="A31" t="str">
        <f>Поставщики_исходные!A31</f>
        <v>P030</v>
      </c>
      <c r="B31" t="str">
        <f>PROPER(TRIM(Поставщики_исходные!B31))</f>
        <v xml:space="preserve">Зао Техностиль</v>
      </c>
      <c r="C31" s="5" t="str">
        <f>IF(ISBLANK(Поставщики_исходные!C29),"",TRIM(Поставщики_исходные!C29))</f>
        <v>772456789012</v>
      </c>
      <c r="D31" t="str">
        <f>Поставщики_исходные!D31</f>
        <v>772301001</v>
      </c>
      <c r="E31" s="6" t="str">
        <f>IF(ISBLANK(Поставщики_исходные!E31),"",IF(LEN(SUBSTITUTE(SUBSTITUTE(SUBSTITUTE(SUBSTITUTE(SUBSTITUTE(Поставщики_исходные!E31," ",""),"-",""),"+",""),"(",""),")",""))=11,"+7 ("&amp;MID(IF(LEFT(SUBSTITUTE(SUBSTITUTE(SUBSTITUTE(SUBSTITUTE(SUBSTITUTE(Поставщики_исходные!E31," ",""),"-",""),"+",""),"(",""),")",""))="8","7"&amp;MID(SUBSTITUTE(SUBSTITUTE(SUBSTITUTE(SUBSTITUTE(SUBSTITUTE(Поставщики_исходные!E31," ",""),"-",""),"+",""),"(",""),")",""),2,10),SUBSTITUTE(SUBSTITUTE(SUBSTITUTE(SUBSTITUTE(SUBSTITUTE(Поставщики_исходные!E31," ",""),"-",""),"+",""),"(",""),")","")),2,3)&amp;") "&amp;MID(IF(LEFT(SUBSTITUTE(SUBSTITUTE(SUBSTITUTE(SUBSTITUTE(SUBSTITUTE(Поставщики_исходные!E31," ",""),"-",""),"+",""),"(",""),")",""))="8","7"&amp;MID(SUBSTITUTE(SUBSTITUTE(SUBSTITUTE(SUBSTITUTE(SUBSTITUTE(Поставщики_исходные!E31," ",""),"-",""),"+",""),"(",""),")",""),2,10),SUBSTITUTE(SUBSTITUTE(SUBSTITUTE(SUBSTITUTE(SUBSTITUTE(Поставщики_исходные!E31," ",""),"-",""),"+",""),"(",""),")","")),5,3)&amp;"-"&amp;MID(IF(LEFT(SUBSTITUTE(SUBSTITUTE(SUBSTITUTE(SUBSTITUTE(SUBSTITUTE(Поставщики_исходные!E31," ",""),"-",""),"+",""),"(",""),")",""))="8","7"&amp;MID(SUBSTITUTE(SUBSTITUTE(SUBSTITUTE(SUBSTITUTE(SUBSTITUTE(Поставщики_исходные!E31," ",""),"-",""),"+",""),"(",""),")",""),2,10),SUBSTITUTE(SUBSTITUTE(SUBSTITUTE(SUBSTITUTE(SUBSTITUTE(Поставщики_исходные!E31," ",""),"-",""),"+",""),"(",""),")","")),8,2)&amp;"-"&amp;MID(IF(LEFT(SUBSTITUTE(SUBSTITUTE(SUBSTITUTE(SUBSTITUTE(SUBSTITUTE(Поставщики_исходные!E31," ",""),"-",""),"+",""),"(",""),")",""))="8","7"&amp;MID(SUBSTITUTE(SUBSTITUTE(SUBSTITUTE(SUBSTITUTE(SUBSTITUTE(Поставщики_исходные!E31," ",""),"-",""),"+",""),"(",""),")",""),2,10),SUBSTITUTE(SUBSTITUTE(SUBSTITUTE(SUBSTITUTE(SUBSTITUTE(Поставщики_исходные!E31," ",""),"-",""),"+",""),"(",""),")","")),10,2),IF(LEN(SUBSTITUTE(SUBSTITUTE(SUBSTITUTE(SUBSTITUTE(SUBSTITUTE(Поставщики_исходные!E31," ",""),"-",""),"+",""),"(",""),")",""))=10,"+7 ("&amp;MID(SUBSTITUTE(SUBSTITUTE(SUBSTITUTE(SUBSTITUTE(SUBSTITUTE(Поставщики_исходные!E31," ",""),"-",""),"+",""),"(",""),")",""),1,3)&amp;") "&amp;MID(SUBSTITUTE(SUBSTITUTE(SUBSTITUTE(SUBSTITUTE(SUBSTITUTE(Поставщики_исходные!E31," ",""),"-",""),"+",""),"(",""),")",""),4,3)&amp;"-"&amp;MID(SUBSTITUTE(SUBSTITUTE(SUBSTITUTE(SUBSTITUTE(SUBSTITUTE(Поставщики_исходные!E31," ",""),"-",""),"+",""),"(",""),")",""),6,2)&amp;"-"&amp;MID(SUBSTITUTE(SUBSTITUTE(SUBSTITUTE(SUBSTITUTE(SUBSTITUTE(Поставщики_исходные!E31," ",""),"-",""),"+",""),"(",""),")",""),8,2),Поставщики_исходные!E31)))</f>
        <v xml:space="preserve">+7 (903) 012-34-56</v>
      </c>
      <c r="F31" t="str">
        <f>IF(ISBLANK(Поставщики_исходные!F31),"",IF(ISNUMBER(FIND(".",MID(Поставщики_исходные!F31,FIND("@",Поставщики_исходные!F31)+1,255))),Поставщики_исходные!F31,IF(ISNUMBER(FIND("gmail",Поставщики_исходные!F31)),Поставщики_исходные!F31&amp;".com",Поставщики_исходные!F31&amp;".ru")))</f>
        <v>style@tehno.ru</v>
      </c>
      <c r="G31" t="str">
        <f>TRIM(Поставщики_исходные!G31)</f>
        <v xml:space="preserve">119146 г.Москва ул.Фрунзенская д.50</v>
      </c>
      <c r="H31" t="str">
        <f>IF(ISNUMBER(VALUE(LEFT(TRIM(Поставщики_исходные!G31),6))),LEFT(TRIM(Поставщики_исходные!G31),6),"")</f>
        <v>119146</v>
      </c>
      <c r="I31" t="str">
        <f>TRIM(MID(TRIM(Поставщики_исходные!G31),7,255))</f>
        <v xml:space="preserve">г.Москва ул.Фрунзенская д.50</v>
      </c>
      <c r="J31" t="str">
        <f t="shared" si="22"/>
        <v>OK</v>
      </c>
      <c r="K31" t="str">
        <f t="shared" si="23"/>
        <v>OK</v>
      </c>
    </row>
    <row r="32">
      <c r="A32" t="str">
        <f>Поставщики_исходные!A32</f>
        <v>P031</v>
      </c>
      <c r="B32" t="str">
        <f>PROPER(TRIM(Поставщики_исходные!B32))</f>
        <v xml:space="preserve">Ооо Технопоставка</v>
      </c>
      <c r="C32" s="5" t="str">
        <f>IF(ISBLANK(Поставщики_исходные!C30),"",TRIM(Поставщики_исходные!C30))</f>
        <v>7813456789</v>
      </c>
      <c r="D32" t="str">
        <f>Поставщики_исходные!D32</f>
        <v>781401001</v>
      </c>
      <c r="E32" s="6" t="str">
        <f>IF(ISBLANK(Поставщики_исходные!E32),"",IF(LEN(SUBSTITUTE(SUBSTITUTE(SUBSTITUTE(SUBSTITUTE(SUBSTITUTE(Поставщики_исходные!E32," ",""),"-",""),"+",""),"(",""),")",""))=11,"+7 ("&amp;MID(IF(LEFT(SUBSTITUTE(SUBSTITUTE(SUBSTITUTE(SUBSTITUTE(SUBSTITUTE(Поставщики_исходные!E32," ",""),"-",""),"+",""),"(",""),")",""))="8","7"&amp;MID(SUBSTITUTE(SUBSTITUTE(SUBSTITUTE(SUBSTITUTE(SUBSTITUTE(Поставщики_исходные!E32," ",""),"-",""),"+",""),"(",""),")",""),2,10),SUBSTITUTE(SUBSTITUTE(SUBSTITUTE(SUBSTITUTE(SUBSTITUTE(Поставщики_исходные!E32," ",""),"-",""),"+",""),"(",""),")","")),2,3)&amp;") "&amp;MID(IF(LEFT(SUBSTITUTE(SUBSTITUTE(SUBSTITUTE(SUBSTITUTE(SUBSTITUTE(Поставщики_исходные!E32," ",""),"-",""),"+",""),"(",""),")",""))="8","7"&amp;MID(SUBSTITUTE(SUBSTITUTE(SUBSTITUTE(SUBSTITUTE(SUBSTITUTE(Поставщики_исходные!E32," ",""),"-",""),"+",""),"(",""),")",""),2,10),SUBSTITUTE(SUBSTITUTE(SUBSTITUTE(SUBSTITUTE(SUBSTITUTE(Поставщики_исходные!E32," ",""),"-",""),"+",""),"(",""),")","")),5,3)&amp;"-"&amp;MID(IF(LEFT(SUBSTITUTE(SUBSTITUTE(SUBSTITUTE(SUBSTITUTE(SUBSTITUTE(Поставщики_исходные!E32," ",""),"-",""),"+",""),"(",""),")",""))="8","7"&amp;MID(SUBSTITUTE(SUBSTITUTE(SUBSTITUTE(SUBSTITUTE(SUBSTITUTE(Поставщики_исходные!E32," ",""),"-",""),"+",""),"(",""),")",""),2,10),SUBSTITUTE(SUBSTITUTE(SUBSTITUTE(SUBSTITUTE(SUBSTITUTE(Поставщики_исходные!E32," ",""),"-",""),"+",""),"(",""),")","")),8,2)&amp;"-"&amp;MID(IF(LEFT(SUBSTITUTE(SUBSTITUTE(SUBSTITUTE(SUBSTITUTE(SUBSTITUTE(Поставщики_исходные!E32," ",""),"-",""),"+",""),"(",""),")",""))="8","7"&amp;MID(SUBSTITUTE(SUBSTITUTE(SUBSTITUTE(SUBSTITUTE(SUBSTITUTE(Поставщики_исходные!E32," ",""),"-",""),"+",""),"(",""),")",""),2,10),SUBSTITUTE(SUBSTITUTE(SUBSTITUTE(SUBSTITUTE(SUBSTITUTE(Поставщики_исходные!E32," ",""),"-",""),"+",""),"(",""),")","")),10,2),IF(LEN(SUBSTITUTE(SUBSTITUTE(SUBSTITUTE(SUBSTITUTE(SUBSTITUTE(Поставщики_исходные!E32," ",""),"-",""),"+",""),"(",""),")",""))=10,"+7 ("&amp;MID(SUBSTITUTE(SUBSTITUTE(SUBSTITUTE(SUBSTITUTE(SUBSTITUTE(Поставщики_исходные!E32," ",""),"-",""),"+",""),"(",""),")",""),1,3)&amp;") "&amp;MID(SUBSTITUTE(SUBSTITUTE(SUBSTITUTE(SUBSTITUTE(SUBSTITUTE(Поставщики_исходные!E32," ",""),"-",""),"+",""),"(",""),")",""),4,3)&amp;"-"&amp;MID(SUBSTITUTE(SUBSTITUTE(SUBSTITUTE(SUBSTITUTE(SUBSTITUTE(Поставщики_исходные!E32," ",""),"-",""),"+",""),"(",""),")",""),6,2)&amp;"-"&amp;MID(SUBSTITUTE(SUBSTITUTE(SUBSTITUTE(SUBSTITUTE(SUBSTITUTE(Поставщики_исходные!E32," ",""),"-",""),"+",""),"(",""),")",""),8,2),Поставщики_исходные!E32)))</f>
        <v xml:space="preserve">+7 (903) 123-45-67</v>
      </c>
      <c r="F32" t="str">
        <f>IF(ISBLANK(Поставщики_исходные!F32),"",IF(ISNUMBER(FIND(".",MID(Поставщики_исходные!F32,FIND("@",Поставщики_исходные!F32)+1,255))),Поставщики_исходные!F32,IF(ISNUMBER(FIND("gmail",Поставщики_исходные!F32)),Поставщики_исходные!F32&amp;".com",Поставщики_исходные!F32&amp;".ru")))</f>
        <v>postavka@tehno.ru</v>
      </c>
      <c r="G32" t="str">
        <f>TRIM(Поставщики_исходные!G32)</f>
        <v xml:space="preserve">190121 г.Санкт-Петербург ул.Курляндская д.27</v>
      </c>
      <c r="H32" t="str">
        <f>IF(ISNUMBER(VALUE(LEFT(TRIM(Поставщики_исходные!G32),6))),LEFT(TRIM(Поставщики_исходные!G32),6),"")</f>
        <v>190121</v>
      </c>
      <c r="I32" t="str">
        <f>TRIM(MID(TRIM(Поставщики_исходные!G32),7,255))</f>
        <v xml:space="preserve">г.Санкт-Петербург ул.Курляндская д.27</v>
      </c>
      <c r="J32" t="str">
        <f t="shared" si="22"/>
        <v>OK</v>
      </c>
      <c r="K32" t="str">
        <f t="shared" si="23"/>
        <v>OK</v>
      </c>
    </row>
    <row r="33">
      <c r="A33" t="str">
        <f>Поставщики_исходные!A33</f>
        <v>P032</v>
      </c>
      <c r="B33" t="str">
        <f>PROPER(TRIM(Поставщики_исходные!B33))</f>
        <v xml:space="preserve">Ао Техносфера</v>
      </c>
      <c r="C33" s="5" t="str">
        <f>IF(ISBLANK(Поставщики_исходные!C31),"",TRIM(Поставщики_исходные!C31))</f>
        <v>7725678901</v>
      </c>
      <c r="D33" t="str">
        <f>Поставщики_исходные!D33</f>
        <v>772401001</v>
      </c>
      <c r="E33" s="6" t="str">
        <f>IF(ISBLANK(Поставщики_исходные!E33),"",IF(LEN(SUBSTITUTE(SUBSTITUTE(SUBSTITUTE(SUBSTITUTE(SUBSTITUTE(Поставщики_исходные!E33," ",""),"-",""),"+",""),"(",""),")",""))=11,"+7 ("&amp;MID(IF(LEFT(SUBSTITUTE(SUBSTITUTE(SUBSTITUTE(SUBSTITUTE(SUBSTITUTE(Поставщики_исходные!E33," ",""),"-",""),"+",""),"(",""),")",""))="8","7"&amp;MID(SUBSTITUTE(SUBSTITUTE(SUBSTITUTE(SUBSTITUTE(SUBSTITUTE(Поставщики_исходные!E33," ",""),"-",""),"+",""),"(",""),")",""),2,10),SUBSTITUTE(SUBSTITUTE(SUBSTITUTE(SUBSTITUTE(SUBSTITUTE(Поставщики_исходные!E33," ",""),"-",""),"+",""),"(",""),")","")),2,3)&amp;") "&amp;MID(IF(LEFT(SUBSTITUTE(SUBSTITUTE(SUBSTITUTE(SUBSTITUTE(SUBSTITUTE(Поставщики_исходные!E33," ",""),"-",""),"+",""),"(",""),")",""))="8","7"&amp;MID(SUBSTITUTE(SUBSTITUTE(SUBSTITUTE(SUBSTITUTE(SUBSTITUTE(Поставщики_исходные!E33," ",""),"-",""),"+",""),"(",""),")",""),2,10),SUBSTITUTE(SUBSTITUTE(SUBSTITUTE(SUBSTITUTE(SUBSTITUTE(Поставщики_исходные!E33," ",""),"-",""),"+",""),"(",""),")","")),5,3)&amp;"-"&amp;MID(IF(LEFT(SUBSTITUTE(SUBSTITUTE(SUBSTITUTE(SUBSTITUTE(SUBSTITUTE(Поставщики_исходные!E33," ",""),"-",""),"+",""),"(",""),")",""))="8","7"&amp;MID(SUBSTITUTE(SUBSTITUTE(SUBSTITUTE(SUBSTITUTE(SUBSTITUTE(Поставщики_исходные!E33," ",""),"-",""),"+",""),"(",""),")",""),2,10),SUBSTITUTE(SUBSTITUTE(SUBSTITUTE(SUBSTITUTE(SUBSTITUTE(Поставщики_исходные!E33," ",""),"-",""),"+",""),"(",""),")","")),8,2)&amp;"-"&amp;MID(IF(LEFT(SUBSTITUTE(SUBSTITUTE(SUBSTITUTE(SUBSTITUTE(SUBSTITUTE(Поставщики_исходные!E33," ",""),"-",""),"+",""),"(",""),")",""))="8","7"&amp;MID(SUBSTITUTE(SUBSTITUTE(SUBSTITUTE(SUBSTITUTE(SUBSTITUTE(Поставщики_исходные!E33," ",""),"-",""),"+",""),"(",""),")",""),2,10),SUBSTITUTE(SUBSTITUTE(SUBSTITUTE(SUBSTITUTE(SUBSTITUTE(Поставщики_исходные!E33," ",""),"-",""),"+",""),"(",""),")","")),10,2),IF(LEN(SUBSTITUTE(SUBSTITUTE(SUBSTITUTE(SUBSTITUTE(SUBSTITUTE(Поставщики_исходные!E33," ",""),"-",""),"+",""),"(",""),")",""))=10,"+7 ("&amp;MID(SUBSTITUTE(SUBSTITUTE(SUBSTITUTE(SUBSTITUTE(SUBSTITUTE(Поставщики_исходные!E33," ",""),"-",""),"+",""),"(",""),")",""),1,3)&amp;") "&amp;MID(SUBSTITUTE(SUBSTITUTE(SUBSTITUTE(SUBSTITUTE(SUBSTITUTE(Поставщики_исходные!E33," ",""),"-",""),"+",""),"(",""),")",""),4,3)&amp;"-"&amp;MID(SUBSTITUTE(SUBSTITUTE(SUBSTITUTE(SUBSTITUTE(SUBSTITUTE(Поставщики_исходные!E33," ",""),"-",""),"+",""),"(",""),")",""),6,2)&amp;"-"&amp;MID(SUBSTITUTE(SUBSTITUTE(SUBSTITUTE(SUBSTITUTE(SUBSTITUTE(Поставщики_исходные!E33," ",""),"-",""),"+",""),"(",""),")",""),8,2),Поставщики_исходные!E33)))</f>
        <v xml:space="preserve">+7 (903) 234-56-78</v>
      </c>
      <c r="F33" t="str">
        <f>IF(ISBLANK(Поставщики_исходные!F33),"",IF(ISNUMBER(FIND(".",MID(Поставщики_исходные!F33,FIND("@",Поставщики_исходные!F33)+1,255))),Поставщики_исходные!F33,IF(ISNUMBER(FIND("gmail",Поставщики_исходные!F33)),Поставщики_исходные!F33&amp;".com",Поставщики_исходные!F33&amp;".ru")))</f>
        <v>sfera@tehno.ru</v>
      </c>
      <c r="G33" t="str">
        <f>TRIM(Поставщики_исходные!G33)</f>
        <v xml:space="preserve">111123 г.Москва ул.Электродная д.11</v>
      </c>
      <c r="H33" t="str">
        <f>IF(ISNUMBER(VALUE(LEFT(TRIM(Поставщики_исходные!G33),6))),LEFT(TRIM(Поставщики_исходные!G33),6),"")</f>
        <v>111123</v>
      </c>
      <c r="I33" t="str">
        <f>TRIM(MID(TRIM(Поставщики_исходные!G33),7,255))</f>
        <v xml:space="preserve">г.Москва ул.Электродная д.11</v>
      </c>
      <c r="J33" t="str">
        <f t="shared" si="22"/>
        <v>OK</v>
      </c>
      <c r="K33" t="str">
        <f t="shared" si="23"/>
        <v>OK</v>
      </c>
    </row>
    <row r="34">
      <c r="A34" t="str">
        <f>Поставщики_исходные!A34</f>
        <v>P033</v>
      </c>
      <c r="B34" t="str">
        <f>PROPER(TRIM(Поставщики_исходные!B34))</f>
        <v xml:space="preserve">Ооо Техносистема</v>
      </c>
      <c r="C34" s="5" t="str">
        <f>IF(ISBLANK(Поставщики_исходные!C32),"",TRIM(Поставщики_исходные!C32))</f>
        <v>78145678</v>
      </c>
      <c r="D34" t="str">
        <f>Поставщики_исходные!D34</f>
        <v>781501001</v>
      </c>
      <c r="E34" s="6" t="str">
        <f>IF(ISBLANK(Поставщики_исходные!E34),"",IF(LEN(SUBSTITUTE(SUBSTITUTE(SUBSTITUTE(SUBSTITUTE(SUBSTITUTE(Поставщики_исходные!E34," ",""),"-",""),"+",""),"(",""),")",""))=11,"+7 ("&amp;MID(IF(LEFT(SUBSTITUTE(SUBSTITUTE(SUBSTITUTE(SUBSTITUTE(SUBSTITUTE(Поставщики_исходные!E34," ",""),"-",""),"+",""),"(",""),")",""))="8","7"&amp;MID(SUBSTITUTE(SUBSTITUTE(SUBSTITUTE(SUBSTITUTE(SUBSTITUTE(Поставщики_исходные!E34," ",""),"-",""),"+",""),"(",""),")",""),2,10),SUBSTITUTE(SUBSTITUTE(SUBSTITUTE(SUBSTITUTE(SUBSTITUTE(Поставщики_исходные!E34," ",""),"-",""),"+",""),"(",""),")","")),2,3)&amp;") "&amp;MID(IF(LEFT(SUBSTITUTE(SUBSTITUTE(SUBSTITUTE(SUBSTITUTE(SUBSTITUTE(Поставщики_исходные!E34," ",""),"-",""),"+",""),"(",""),")",""))="8","7"&amp;MID(SUBSTITUTE(SUBSTITUTE(SUBSTITUTE(SUBSTITUTE(SUBSTITUTE(Поставщики_исходные!E34," ",""),"-",""),"+",""),"(",""),")",""),2,10),SUBSTITUTE(SUBSTITUTE(SUBSTITUTE(SUBSTITUTE(SUBSTITUTE(Поставщики_исходные!E34," ",""),"-",""),"+",""),"(",""),")","")),5,3)&amp;"-"&amp;MID(IF(LEFT(SUBSTITUTE(SUBSTITUTE(SUBSTITUTE(SUBSTITUTE(SUBSTITUTE(Поставщики_исходные!E34," ",""),"-",""),"+",""),"(",""),")",""))="8","7"&amp;MID(SUBSTITUTE(SUBSTITUTE(SUBSTITUTE(SUBSTITUTE(SUBSTITUTE(Поставщики_исходные!E34," ",""),"-",""),"+",""),"(",""),")",""),2,10),SUBSTITUTE(SUBSTITUTE(SUBSTITUTE(SUBSTITUTE(SUBSTITUTE(Поставщики_исходные!E34," ",""),"-",""),"+",""),"(",""),")","")),8,2)&amp;"-"&amp;MID(IF(LEFT(SUBSTITUTE(SUBSTITUTE(SUBSTITUTE(SUBSTITUTE(SUBSTITUTE(Поставщики_исходные!E34," ",""),"-",""),"+",""),"(",""),")",""))="8","7"&amp;MID(SUBSTITUTE(SUBSTITUTE(SUBSTITUTE(SUBSTITUTE(SUBSTITUTE(Поставщики_исходные!E34," ",""),"-",""),"+",""),"(",""),")",""),2,10),SUBSTITUTE(SUBSTITUTE(SUBSTITUTE(SUBSTITUTE(SUBSTITUTE(Поставщики_исходные!E34," ",""),"-",""),"+",""),"(",""),")","")),10,2),IF(LEN(SUBSTITUTE(SUBSTITUTE(SUBSTITUTE(SUBSTITUTE(SUBSTITUTE(Поставщики_исходные!E34," ",""),"-",""),"+",""),"(",""),")",""))=10,"+7 ("&amp;MID(SUBSTITUTE(SUBSTITUTE(SUBSTITUTE(SUBSTITUTE(SUBSTITUTE(Поставщики_исходные!E34," ",""),"-",""),"+",""),"(",""),")",""),1,3)&amp;") "&amp;MID(SUBSTITUTE(SUBSTITUTE(SUBSTITUTE(SUBSTITUTE(SUBSTITUTE(Поставщики_исходные!E34," ",""),"-",""),"+",""),"(",""),")",""),4,3)&amp;"-"&amp;MID(SUBSTITUTE(SUBSTITUTE(SUBSTITUTE(SUBSTITUTE(SUBSTITUTE(Поставщики_исходные!E34," ",""),"-",""),"+",""),"(",""),")",""),6,2)&amp;"-"&amp;MID(SUBSTITUTE(SUBSTITUTE(SUBSTITUTE(SUBSTITUTE(SUBSTITUTE(Поставщики_исходные!E34," ",""),"-",""),"+",""),"(",""),")",""),8,2),Поставщики_исходные!E34)))</f>
        <v xml:space="preserve">+7 (903) 345-67-89</v>
      </c>
      <c r="F34" t="str">
        <f>IF(ISBLANK(Поставщики_исходные!F34),"",IF(ISNUMBER(FIND(".",MID(Поставщики_исходные!F34,FIND("@",Поставщики_исходные!F34)+1,255))),Поставщики_исходные!F34,IF(ISNUMBER(FIND("gmail",Поставщики_исходные!F34)),Поставщики_исходные!F34&amp;".com",Поставщики_исходные!F34&amp;".ru")))</f>
        <v>sistema@tehno.ru</v>
      </c>
      <c r="G34" t="str">
        <f>TRIM(Поставщики_исходные!G34)</f>
        <v xml:space="preserve">198332 г.Санкт-Петербург ул.Краснопутиловская д.65</v>
      </c>
      <c r="H34" t="str">
        <f>IF(ISNUMBER(VALUE(LEFT(TRIM(Поставщики_исходные!G34),6))),LEFT(TRIM(Поставщики_исходные!G34),6),"")</f>
        <v>198332</v>
      </c>
      <c r="I34" t="str">
        <f>TRIM(MID(TRIM(Поставщики_исходные!G34),7,255))</f>
        <v xml:space="preserve">г.Санкт-Петербург ул.Краснопутиловская д.65</v>
      </c>
      <c r="J34" t="str">
        <f t="shared" si="22"/>
        <v xml:space="preserve">Ошибка ИНН</v>
      </c>
      <c r="K34" t="str">
        <f t="shared" si="23"/>
        <v>OK</v>
      </c>
    </row>
    <row r="35">
      <c r="A35" t="str">
        <f>Поставщики_исходные!A35</f>
        <v>P034</v>
      </c>
      <c r="B35" t="str">
        <f>PROPER(TRIM(Поставщики_исходные!B35))</f>
        <v xml:space="preserve">Зао Технотранс</v>
      </c>
      <c r="C35" s="5" t="str">
        <f>IF(ISBLANK(Поставщики_исходные!C33),"",TRIM(Поставщики_исходные!C33))</f>
        <v>7726789012</v>
      </c>
      <c r="D35" t="str">
        <f>Поставщики_исходные!D35</f>
        <v>772501001</v>
      </c>
      <c r="E35" s="6" t="str">
        <f>IF(ISBLANK(Поставщики_исходные!E35),"",IF(LEN(SUBSTITUTE(SUBSTITUTE(SUBSTITUTE(SUBSTITUTE(SUBSTITUTE(Поставщики_исходные!E35," ",""),"-",""),"+",""),"(",""),")",""))=11,"+7 ("&amp;MID(IF(LEFT(SUBSTITUTE(SUBSTITUTE(SUBSTITUTE(SUBSTITUTE(SUBSTITUTE(Поставщики_исходные!E35," ",""),"-",""),"+",""),"(",""),")",""))="8","7"&amp;MID(SUBSTITUTE(SUBSTITUTE(SUBSTITUTE(SUBSTITUTE(SUBSTITUTE(Поставщики_исходные!E35," ",""),"-",""),"+",""),"(",""),")",""),2,10),SUBSTITUTE(SUBSTITUTE(SUBSTITUTE(SUBSTITUTE(SUBSTITUTE(Поставщики_исходные!E35," ",""),"-",""),"+",""),"(",""),")","")),2,3)&amp;") "&amp;MID(IF(LEFT(SUBSTITUTE(SUBSTITUTE(SUBSTITUTE(SUBSTITUTE(SUBSTITUTE(Поставщики_исходные!E35," ",""),"-",""),"+",""),"(",""),")",""))="8","7"&amp;MID(SUBSTITUTE(SUBSTITUTE(SUBSTITUTE(SUBSTITUTE(SUBSTITUTE(Поставщики_исходные!E35," ",""),"-",""),"+",""),"(",""),")",""),2,10),SUBSTITUTE(SUBSTITUTE(SUBSTITUTE(SUBSTITUTE(SUBSTITUTE(Поставщики_исходные!E35," ",""),"-",""),"+",""),"(",""),")","")),5,3)&amp;"-"&amp;MID(IF(LEFT(SUBSTITUTE(SUBSTITUTE(SUBSTITUTE(SUBSTITUTE(SUBSTITUTE(Поставщики_исходные!E35," ",""),"-",""),"+",""),"(",""),")",""))="8","7"&amp;MID(SUBSTITUTE(SUBSTITUTE(SUBSTITUTE(SUBSTITUTE(SUBSTITUTE(Поставщики_исходные!E35," ",""),"-",""),"+",""),"(",""),")",""),2,10),SUBSTITUTE(SUBSTITUTE(SUBSTITUTE(SUBSTITUTE(SUBSTITUTE(Поставщики_исходные!E35," ",""),"-",""),"+",""),"(",""),")","")),8,2)&amp;"-"&amp;MID(IF(LEFT(SUBSTITUTE(SUBSTITUTE(SUBSTITUTE(SUBSTITUTE(SUBSTITUTE(Поставщики_исходные!E35," ",""),"-",""),"+",""),"(",""),")",""))="8","7"&amp;MID(SUBSTITUTE(SUBSTITUTE(SUBSTITUTE(SUBSTITUTE(SUBSTITUTE(Поставщики_исходные!E35," ",""),"-",""),"+",""),"(",""),")",""),2,10),SUBSTITUTE(SUBSTITUTE(SUBSTITUTE(SUBSTITUTE(SUBSTITUTE(Поставщики_исходные!E35," ",""),"-",""),"+",""),"(",""),")","")),10,2),IF(LEN(SUBSTITUTE(SUBSTITUTE(SUBSTITUTE(SUBSTITUTE(SUBSTITUTE(Поставщики_исходные!E35," ",""),"-",""),"+",""),"(",""),")",""))=10,"+7 ("&amp;MID(SUBSTITUTE(SUBSTITUTE(SUBSTITUTE(SUBSTITUTE(SUBSTITUTE(Поставщики_исходные!E35," ",""),"-",""),"+",""),"(",""),")",""),1,3)&amp;") "&amp;MID(SUBSTITUTE(SUBSTITUTE(SUBSTITUTE(SUBSTITUTE(SUBSTITUTE(Поставщики_исходные!E35," ",""),"-",""),"+",""),"(",""),")",""),4,3)&amp;"-"&amp;MID(SUBSTITUTE(SUBSTITUTE(SUBSTITUTE(SUBSTITUTE(SUBSTITUTE(Поставщики_исходные!E35," ",""),"-",""),"+",""),"(",""),")",""),6,2)&amp;"-"&amp;MID(SUBSTITUTE(SUBSTITUTE(SUBSTITUTE(SUBSTITUTE(SUBSTITUTE(Поставщики_исходные!E35," ",""),"-",""),"+",""),"(",""),")",""),8,2),Поставщики_исходные!E35)))</f>
        <v xml:space="preserve">+7 (903) 456-78-90</v>
      </c>
      <c r="F35" t="str">
        <f>IF(ISBLANK(Поставщики_исходные!F35),"",IF(ISNUMBER(FIND(".",MID(Поставщики_исходные!F35,FIND("@",Поставщики_исходные!F35)+1,255))),Поставщики_исходные!F35,IF(ISNUMBER(FIND("gmail",Поставщики_исходные!F35)),Поставщики_исходные!F35&amp;".com",Поставщики_исходные!F35&amp;".ru")))</f>
        <v>trans@tehno.ru</v>
      </c>
      <c r="G35" t="str">
        <f>TRIM(Поставщики_исходные!G35)</f>
        <v xml:space="preserve">107014 г.Москва ул.Малая Почтовая д.2</v>
      </c>
      <c r="H35" t="str">
        <f>IF(ISNUMBER(VALUE(LEFT(TRIM(Поставщики_исходные!G35),6))),LEFT(TRIM(Поставщики_исходные!G35),6),"")</f>
        <v>107014</v>
      </c>
      <c r="I35" t="str">
        <f>TRIM(MID(TRIM(Поставщики_исходные!G35),7,255))</f>
        <v xml:space="preserve">г.Москва ул.Малая Почтовая д.2</v>
      </c>
      <c r="J35" t="str">
        <f t="shared" si="22"/>
        <v>OK</v>
      </c>
      <c r="K35" t="str">
        <f t="shared" si="23"/>
        <v>OK</v>
      </c>
    </row>
    <row r="36">
      <c r="A36" t="str">
        <f>Поставщики_исходные!A36</f>
        <v>P035</v>
      </c>
      <c r="B36" t="str">
        <f>PROPER(TRIM(Поставщики_исходные!B36))</f>
        <v xml:space="preserve">Ооо Техноэнерго</v>
      </c>
      <c r="C36" s="5" t="str">
        <f>IF(ISBLANK(Поставщики_исходные!C34),"",TRIM(Поставщики_исходные!C34))</f>
        <v>7815678901234</v>
      </c>
      <c r="D36" t="str">
        <f>Поставщики_исходные!D36</f>
        <v>781601001</v>
      </c>
      <c r="E36" s="6" t="str">
        <f>IF(ISBLANK(Поставщики_исходные!E36),"",IF(LEN(SUBSTITUTE(SUBSTITUTE(SUBSTITUTE(SUBSTITUTE(SUBSTITUTE(Поставщики_исходные!E36," ",""),"-",""),"+",""),"(",""),")",""))=11,"+7 ("&amp;MID(IF(LEFT(SUBSTITUTE(SUBSTITUTE(SUBSTITUTE(SUBSTITUTE(SUBSTITUTE(Поставщики_исходные!E36," ",""),"-",""),"+",""),"(",""),")",""))="8","7"&amp;MID(SUBSTITUTE(SUBSTITUTE(SUBSTITUTE(SUBSTITUTE(SUBSTITUTE(Поставщики_исходные!E36," ",""),"-",""),"+",""),"(",""),")",""),2,10),SUBSTITUTE(SUBSTITUTE(SUBSTITUTE(SUBSTITUTE(SUBSTITUTE(Поставщики_исходные!E36," ",""),"-",""),"+",""),"(",""),")","")),2,3)&amp;") "&amp;MID(IF(LEFT(SUBSTITUTE(SUBSTITUTE(SUBSTITUTE(SUBSTITUTE(SUBSTITUTE(Поставщики_исходные!E36," ",""),"-",""),"+",""),"(",""),")",""))="8","7"&amp;MID(SUBSTITUTE(SUBSTITUTE(SUBSTITUTE(SUBSTITUTE(SUBSTITUTE(Поставщики_исходные!E36," ",""),"-",""),"+",""),"(",""),")",""),2,10),SUBSTITUTE(SUBSTITUTE(SUBSTITUTE(SUBSTITUTE(SUBSTITUTE(Поставщики_исходные!E36," ",""),"-",""),"+",""),"(",""),")","")),5,3)&amp;"-"&amp;MID(IF(LEFT(SUBSTITUTE(SUBSTITUTE(SUBSTITUTE(SUBSTITUTE(SUBSTITUTE(Поставщики_исходные!E36," ",""),"-",""),"+",""),"(",""),")",""))="8","7"&amp;MID(SUBSTITUTE(SUBSTITUTE(SUBSTITUTE(SUBSTITUTE(SUBSTITUTE(Поставщики_исходные!E36," ",""),"-",""),"+",""),"(",""),")",""),2,10),SUBSTITUTE(SUBSTITUTE(SUBSTITUTE(SUBSTITUTE(SUBSTITUTE(Поставщики_исходные!E36," ",""),"-",""),"+",""),"(",""),")","")),8,2)&amp;"-"&amp;MID(IF(LEFT(SUBSTITUTE(SUBSTITUTE(SUBSTITUTE(SUBSTITUTE(SUBSTITUTE(Поставщики_исходные!E36," ",""),"-",""),"+",""),"(",""),")",""))="8","7"&amp;MID(SUBSTITUTE(SUBSTITUTE(SUBSTITUTE(SUBSTITUTE(SUBSTITUTE(Поставщики_исходные!E36," ",""),"-",""),"+",""),"(",""),")",""),2,10),SUBSTITUTE(SUBSTITUTE(SUBSTITUTE(SUBSTITUTE(SUBSTITUTE(Поставщики_исходные!E36," ",""),"-",""),"+",""),"(",""),")","")),10,2),IF(LEN(SUBSTITUTE(SUBSTITUTE(SUBSTITUTE(SUBSTITUTE(SUBSTITUTE(Поставщики_исходные!E36," ",""),"-",""),"+",""),"(",""),")",""))=10,"+7 ("&amp;MID(SUBSTITUTE(SUBSTITUTE(SUBSTITUTE(SUBSTITUTE(SUBSTITUTE(Поставщики_исходные!E36," ",""),"-",""),"+",""),"(",""),")",""),1,3)&amp;") "&amp;MID(SUBSTITUTE(SUBSTITUTE(SUBSTITUTE(SUBSTITUTE(SUBSTITUTE(Поставщики_исходные!E36," ",""),"-",""),"+",""),"(",""),")",""),4,3)&amp;"-"&amp;MID(SUBSTITUTE(SUBSTITUTE(SUBSTITUTE(SUBSTITUTE(SUBSTITUTE(Поставщики_исходные!E36," ",""),"-",""),"+",""),"(",""),")",""),6,2)&amp;"-"&amp;MID(SUBSTITUTE(SUBSTITUTE(SUBSTITUTE(SUBSTITUTE(SUBSTITUTE(Поставщики_исходные!E36," ",""),"-",""),"+",""),"(",""),")",""),8,2),Поставщики_исходные!E36)))</f>
        <v xml:space="preserve">+7 (903) 567-89-01</v>
      </c>
      <c r="F36" t="str">
        <f>IF(ISBLANK(Поставщики_исходные!F36),"",IF(ISNUMBER(FIND(".",MID(Поставщики_исходные!F36,FIND("@",Поставщики_исходные!F36)+1,255))),Поставщики_исходные!F36,IF(ISNUMBER(FIND("gmail",Поставщики_исходные!F36)),Поставщики_исходные!F36&amp;".com",Поставщики_исходные!F36&amp;".ru")))</f>
        <v>energo@tehno.ru</v>
      </c>
      <c r="G36" t="str">
        <f>TRIM(Поставщики_исходные!G36)</f>
        <v xml:space="preserve">191123 г.Санкт-Петербург ул.Шпалерная д.54</v>
      </c>
      <c r="H36" t="str">
        <f>IF(ISNUMBER(VALUE(LEFT(TRIM(Поставщики_исходные!G36),6))),LEFT(TRIM(Поставщики_исходные!G36),6),"")</f>
        <v>191123</v>
      </c>
      <c r="I36" t="str">
        <f>TRIM(MID(TRIM(Поставщики_исходные!G36),7,255))</f>
        <v xml:space="preserve">г.Санкт-Петербург ул.Шпалерная д.54</v>
      </c>
      <c r="J36" t="str">
        <f t="shared" si="22"/>
        <v xml:space="preserve">Ошибка ИНН</v>
      </c>
      <c r="K36" t="str">
        <f t="shared" si="23"/>
        <v>OK</v>
      </c>
    </row>
    <row r="37">
      <c r="A37" t="str">
        <f>Поставщики_исходные!A37</f>
        <v>P036</v>
      </c>
      <c r="B37" t="str">
        <f>PROPER(TRIM(Поставщики_исходные!B37))</f>
        <v xml:space="preserve">Ао Техноизмерение</v>
      </c>
      <c r="C37" s="5" t="str">
        <f>IF(ISBLANK(Поставщики_исходные!C35),"",TRIM(Поставщики_исходные!C35))</f>
        <v>7727890123</v>
      </c>
      <c r="D37" t="str">
        <f>Поставщики_исходные!D37</f>
        <v>772601001</v>
      </c>
      <c r="E37" s="6" t="str">
        <f>IF(ISBLANK(Поставщики_исходные!E37),"",IF(LEN(SUBSTITUTE(SUBSTITUTE(SUBSTITUTE(SUBSTITUTE(SUBSTITUTE(Поставщики_исходные!E37," ",""),"-",""),"+",""),"(",""),")",""))=11,"+7 ("&amp;MID(IF(LEFT(SUBSTITUTE(SUBSTITUTE(SUBSTITUTE(SUBSTITUTE(SUBSTITUTE(Поставщики_исходные!E37," ",""),"-",""),"+",""),"(",""),")",""))="8","7"&amp;MID(SUBSTITUTE(SUBSTITUTE(SUBSTITUTE(SUBSTITUTE(SUBSTITUTE(Поставщики_исходные!E37," ",""),"-",""),"+",""),"(",""),")",""),2,10),SUBSTITUTE(SUBSTITUTE(SUBSTITUTE(SUBSTITUTE(SUBSTITUTE(Поставщики_исходные!E37," ",""),"-",""),"+",""),"(",""),")","")),2,3)&amp;") "&amp;MID(IF(LEFT(SUBSTITUTE(SUBSTITUTE(SUBSTITUTE(SUBSTITUTE(SUBSTITUTE(Поставщики_исходные!E37," ",""),"-",""),"+",""),"(",""),")",""))="8","7"&amp;MID(SUBSTITUTE(SUBSTITUTE(SUBSTITUTE(SUBSTITUTE(SUBSTITUTE(Поставщики_исходные!E37," ",""),"-",""),"+",""),"(",""),")",""),2,10),SUBSTITUTE(SUBSTITUTE(SUBSTITUTE(SUBSTITUTE(SUBSTITUTE(Поставщики_исходные!E37," ",""),"-",""),"+",""),"(",""),")","")),5,3)&amp;"-"&amp;MID(IF(LEFT(SUBSTITUTE(SUBSTITUTE(SUBSTITUTE(SUBSTITUTE(SUBSTITUTE(Поставщики_исходные!E37," ",""),"-",""),"+",""),"(",""),")",""))="8","7"&amp;MID(SUBSTITUTE(SUBSTITUTE(SUBSTITUTE(SUBSTITUTE(SUBSTITUTE(Поставщики_исходные!E37," ",""),"-",""),"+",""),"(",""),")",""),2,10),SUBSTITUTE(SUBSTITUTE(SUBSTITUTE(SUBSTITUTE(SUBSTITUTE(Поставщики_исходные!E37," ",""),"-",""),"+",""),"(",""),")","")),8,2)&amp;"-"&amp;MID(IF(LEFT(SUBSTITUTE(SUBSTITUTE(SUBSTITUTE(SUBSTITUTE(SUBSTITUTE(Поставщики_исходные!E37," ",""),"-",""),"+",""),"(",""),")",""))="8","7"&amp;MID(SUBSTITUTE(SUBSTITUTE(SUBSTITUTE(SUBSTITUTE(SUBSTITUTE(Поставщики_исходные!E37," ",""),"-",""),"+",""),"(",""),")",""),2,10),SUBSTITUTE(SUBSTITUTE(SUBSTITUTE(SUBSTITUTE(SUBSTITUTE(Поставщики_исходные!E37," ",""),"-",""),"+",""),"(",""),")","")),10,2),IF(LEN(SUBSTITUTE(SUBSTITUTE(SUBSTITUTE(SUBSTITUTE(SUBSTITUTE(Поставщики_исходные!E37," ",""),"-",""),"+",""),"(",""),")",""))=10,"+7 ("&amp;MID(SUBSTITUTE(SUBSTITUTE(SUBSTITUTE(SUBSTITUTE(SUBSTITUTE(Поставщики_исходные!E37," ",""),"-",""),"+",""),"(",""),")",""),1,3)&amp;") "&amp;MID(SUBSTITUTE(SUBSTITUTE(SUBSTITUTE(SUBSTITUTE(SUBSTITUTE(Поставщики_исходные!E37," ",""),"-",""),"+",""),"(",""),")",""),4,3)&amp;"-"&amp;MID(SUBSTITUTE(SUBSTITUTE(SUBSTITUTE(SUBSTITUTE(SUBSTITUTE(Поставщики_исходные!E37," ",""),"-",""),"+",""),"(",""),")",""),6,2)&amp;"-"&amp;MID(SUBSTITUTE(SUBSTITUTE(SUBSTITUTE(SUBSTITUTE(SUBSTITUTE(Поставщики_исходные!E37," ",""),"-",""),"+",""),"(",""),")",""),8,2),Поставщики_исходные!E37)))</f>
        <v xml:space="preserve">+7 (903) 678-90-12</v>
      </c>
      <c r="F37" t="str">
        <f>IF(ISBLANK(Поставщики_исходные!F37),"",IF(ISNUMBER(FIND(".",MID(Поставщики_исходные!F37,FIND("@",Поставщики_исходные!F37)+1,255))),Поставщики_исходные!F37,IF(ISNUMBER(FIND("gmail",Поставщики_исходные!F37)),Поставщики_исходные!F37&amp;".com",Поставщики_исходные!F37&amp;".ru")))</f>
        <v>izmerenie@tehno.ru</v>
      </c>
      <c r="G37" t="str">
        <f>TRIM(Поставщики_исходные!G37)</f>
        <v xml:space="preserve">109028 г.Москва ул.Тургеневская д.17</v>
      </c>
      <c r="H37" t="str">
        <f>IF(ISNUMBER(VALUE(LEFT(TRIM(Поставщики_исходные!G37),6))),LEFT(TRIM(Поставщики_исходные!G37),6),"")</f>
        <v>109028</v>
      </c>
      <c r="I37" t="str">
        <f>TRIM(MID(TRIM(Поставщики_исходные!G37),7,255))</f>
        <v xml:space="preserve">г.Москва ул.Тургеневская д.17</v>
      </c>
      <c r="J37" t="str">
        <f t="shared" si="22"/>
        <v>OK</v>
      </c>
      <c r="K37" t="str">
        <f t="shared" si="23"/>
        <v>OK</v>
      </c>
    </row>
    <row r="38">
      <c r="A38" t="str">
        <f>Поставщики_исходные!A38</f>
        <v>P037</v>
      </c>
      <c r="B38" t="str">
        <f>PROPER(TRIM(Поставщики_исходные!B38))</f>
        <v xml:space="preserve">Ооо Техноинжиниринг</v>
      </c>
      <c r="C38" s="5" t="str">
        <f>IF(ISBLANK(Поставщики_исходные!C36),"",TRIM(Поставщики_исходные!C36))</f>
        <v>7816789012</v>
      </c>
      <c r="D38" t="str">
        <f>Поставщики_исходные!D38</f>
        <v>781701001</v>
      </c>
      <c r="E38" s="6" t="str">
        <f>IF(ISBLANK(Поставщики_исходные!E38),"",IF(LEN(SUBSTITUTE(SUBSTITUTE(SUBSTITUTE(SUBSTITUTE(SUBSTITUTE(Поставщики_исходные!E38," ",""),"-",""),"+",""),"(",""),")",""))=11,"+7 ("&amp;MID(IF(LEFT(SUBSTITUTE(SUBSTITUTE(SUBSTITUTE(SUBSTITUTE(SUBSTITUTE(Поставщики_исходные!E38," ",""),"-",""),"+",""),"(",""),")",""))="8","7"&amp;MID(SUBSTITUTE(SUBSTITUTE(SUBSTITUTE(SUBSTITUTE(SUBSTITUTE(Поставщики_исходные!E38," ",""),"-",""),"+",""),"(",""),")",""),2,10),SUBSTITUTE(SUBSTITUTE(SUBSTITUTE(SUBSTITUTE(SUBSTITUTE(Поставщики_исходные!E38," ",""),"-",""),"+",""),"(",""),")","")),2,3)&amp;") "&amp;MID(IF(LEFT(SUBSTITUTE(SUBSTITUTE(SUBSTITUTE(SUBSTITUTE(SUBSTITUTE(Поставщики_исходные!E38," ",""),"-",""),"+",""),"(",""),")",""))="8","7"&amp;MID(SUBSTITUTE(SUBSTITUTE(SUBSTITUTE(SUBSTITUTE(SUBSTITUTE(Поставщики_исходные!E38," ",""),"-",""),"+",""),"(",""),")",""),2,10),SUBSTITUTE(SUBSTITUTE(SUBSTITUTE(SUBSTITUTE(SUBSTITUTE(Поставщики_исходные!E38," ",""),"-",""),"+",""),"(",""),")","")),5,3)&amp;"-"&amp;MID(IF(LEFT(SUBSTITUTE(SUBSTITUTE(SUBSTITUTE(SUBSTITUTE(SUBSTITUTE(Поставщики_исходные!E38," ",""),"-",""),"+",""),"(",""),")",""))="8","7"&amp;MID(SUBSTITUTE(SUBSTITUTE(SUBSTITUTE(SUBSTITUTE(SUBSTITUTE(Поставщики_исходные!E38," ",""),"-",""),"+",""),"(",""),")",""),2,10),SUBSTITUTE(SUBSTITUTE(SUBSTITUTE(SUBSTITUTE(SUBSTITUTE(Поставщики_исходные!E38," ",""),"-",""),"+",""),"(",""),")","")),8,2)&amp;"-"&amp;MID(IF(LEFT(SUBSTITUTE(SUBSTITUTE(SUBSTITUTE(SUBSTITUTE(SUBSTITUTE(Поставщики_исходные!E38," ",""),"-",""),"+",""),"(",""),")",""))="8","7"&amp;MID(SUBSTITUTE(SUBSTITUTE(SUBSTITUTE(SUBSTITUTE(SUBSTITUTE(Поставщики_исходные!E38," ",""),"-",""),"+",""),"(",""),")",""),2,10),SUBSTITUTE(SUBSTITUTE(SUBSTITUTE(SUBSTITUTE(SUBSTITUTE(Поставщики_исходные!E38," ",""),"-",""),"+",""),"(",""),")","")),10,2),IF(LEN(SUBSTITUTE(SUBSTITUTE(SUBSTITUTE(SUBSTITUTE(SUBSTITUTE(Поставщики_исходные!E38," ",""),"-",""),"+",""),"(",""),")",""))=10,"+7 ("&amp;MID(SUBSTITUTE(SUBSTITUTE(SUBSTITUTE(SUBSTITUTE(SUBSTITUTE(Поставщики_исходные!E38," ",""),"-",""),"+",""),"(",""),")",""),1,3)&amp;") "&amp;MID(SUBSTITUTE(SUBSTITUTE(SUBSTITUTE(SUBSTITUTE(SUBSTITUTE(Поставщики_исходные!E38," ",""),"-",""),"+",""),"(",""),")",""),4,3)&amp;"-"&amp;MID(SUBSTITUTE(SUBSTITUTE(SUBSTITUTE(SUBSTITUTE(SUBSTITUTE(Поставщики_исходные!E38," ",""),"-",""),"+",""),"(",""),")",""),6,2)&amp;"-"&amp;MID(SUBSTITUTE(SUBSTITUTE(SUBSTITUTE(SUBSTITUTE(SUBSTITUTE(Поставщики_исходные!E38," ",""),"-",""),"+",""),"(",""),")",""),8,2),Поставщики_исходные!E38)))</f>
        <v xml:space="preserve">+7 (903) 789-01-23</v>
      </c>
      <c r="F38" t="str">
        <f>IF(ISBLANK(Поставщики_исходные!F38),"",IF(ISNUMBER(FIND(".",MID(Поставщики_исходные!F38,FIND("@",Поставщики_исходные!F38)+1,255))),Поставщики_исходные!F38,IF(ISNUMBER(FIND("gmail",Поставщики_исходные!F38)),Поставщики_исходные!F38&amp;".com",Поставщики_исходные!F38&amp;".ru")))</f>
        <v>ingenering@tehno.ru</v>
      </c>
      <c r="G38" t="str">
        <f>TRIM(Поставщики_исходные!G38)</f>
        <v xml:space="preserve">197198 г.Санкт-Петербург ул.Большая Зеленина д.42</v>
      </c>
      <c r="H38" t="str">
        <f>IF(ISNUMBER(VALUE(LEFT(TRIM(Поставщики_исходные!G38),6))),LEFT(TRIM(Поставщики_исходные!G38),6),"")</f>
        <v>197198</v>
      </c>
      <c r="I38" t="str">
        <f>TRIM(MID(TRIM(Поставщики_исходные!G38),7,255))</f>
        <v xml:space="preserve">г.Санкт-Петербург ул.Большая Зеленина д.42</v>
      </c>
      <c r="J38" t="str">
        <f t="shared" si="22"/>
        <v>OK</v>
      </c>
      <c r="K38" t="str">
        <f t="shared" si="23"/>
        <v>OK</v>
      </c>
    </row>
    <row r="39">
      <c r="A39" t="str">
        <f>Поставщики_исходные!A39</f>
        <v>P038</v>
      </c>
      <c r="B39" t="str">
        <f>PROPER(TRIM(Поставщики_исходные!B39))</f>
        <v xml:space="preserve">Зао Техноцифра</v>
      </c>
      <c r="C39" s="5" t="str">
        <f>IF(ISBLANK(Поставщики_исходные!C37),"",TRIM(Поставщики_исходные!C37))</f>
        <v>7728901234</v>
      </c>
      <c r="D39" t="str">
        <f>Поставщики_исходные!D39</f>
        <v>772701001</v>
      </c>
      <c r="E39" s="6" t="str">
        <f>IF(ISBLANK(Поставщики_исходные!E39),"",IF(LEN(SUBSTITUTE(SUBSTITUTE(SUBSTITUTE(SUBSTITUTE(SUBSTITUTE(Поставщики_исходные!E39," ",""),"-",""),"+",""),"(",""),")",""))=11,"+7 ("&amp;MID(IF(LEFT(SUBSTITUTE(SUBSTITUTE(SUBSTITUTE(SUBSTITUTE(SUBSTITUTE(Поставщики_исходные!E39," ",""),"-",""),"+",""),"(",""),")",""))="8","7"&amp;MID(SUBSTITUTE(SUBSTITUTE(SUBSTITUTE(SUBSTITUTE(SUBSTITUTE(Поставщики_исходные!E39," ",""),"-",""),"+",""),"(",""),")",""),2,10),SUBSTITUTE(SUBSTITUTE(SUBSTITUTE(SUBSTITUTE(SUBSTITUTE(Поставщики_исходные!E39," ",""),"-",""),"+",""),"(",""),")","")),2,3)&amp;") "&amp;MID(IF(LEFT(SUBSTITUTE(SUBSTITUTE(SUBSTITUTE(SUBSTITUTE(SUBSTITUTE(Поставщики_исходные!E39," ",""),"-",""),"+",""),"(",""),")",""))="8","7"&amp;MID(SUBSTITUTE(SUBSTITUTE(SUBSTITUTE(SUBSTITUTE(SUBSTITUTE(Поставщики_исходные!E39," ",""),"-",""),"+",""),"(",""),")",""),2,10),SUBSTITUTE(SUBSTITUTE(SUBSTITUTE(SUBSTITUTE(SUBSTITUTE(Поставщики_исходные!E39," ",""),"-",""),"+",""),"(",""),")","")),5,3)&amp;"-"&amp;MID(IF(LEFT(SUBSTITUTE(SUBSTITUTE(SUBSTITUTE(SUBSTITUTE(SUBSTITUTE(Поставщики_исходные!E39," ",""),"-",""),"+",""),"(",""),")",""))="8","7"&amp;MID(SUBSTITUTE(SUBSTITUTE(SUBSTITUTE(SUBSTITUTE(SUBSTITUTE(Поставщики_исходные!E39," ",""),"-",""),"+",""),"(",""),")",""),2,10),SUBSTITUTE(SUBSTITUTE(SUBSTITUTE(SUBSTITUTE(SUBSTITUTE(Поставщики_исходные!E39," ",""),"-",""),"+",""),"(",""),")","")),8,2)&amp;"-"&amp;MID(IF(LEFT(SUBSTITUTE(SUBSTITUTE(SUBSTITUTE(SUBSTITUTE(SUBSTITUTE(Поставщики_исходные!E39," ",""),"-",""),"+",""),"(",""),")",""))="8","7"&amp;MID(SUBSTITUTE(SUBSTITUTE(SUBSTITUTE(SUBSTITUTE(SUBSTITUTE(Поставщики_исходные!E39," ",""),"-",""),"+",""),"(",""),")",""),2,10),SUBSTITUTE(SUBSTITUTE(SUBSTITUTE(SUBSTITUTE(SUBSTITUTE(Поставщики_исходные!E39," ",""),"-",""),"+",""),"(",""),")","")),10,2),IF(LEN(SUBSTITUTE(SUBSTITUTE(SUBSTITUTE(SUBSTITUTE(SUBSTITUTE(Поставщики_исходные!E39," ",""),"-",""),"+",""),"(",""),")",""))=10,"+7 ("&amp;MID(SUBSTITUTE(SUBSTITUTE(SUBSTITUTE(SUBSTITUTE(SUBSTITUTE(Поставщики_исходные!E39," ",""),"-",""),"+",""),"(",""),")",""),1,3)&amp;") "&amp;MID(SUBSTITUTE(SUBSTITUTE(SUBSTITUTE(SUBSTITUTE(SUBSTITUTE(Поставщики_исходные!E39," ",""),"-",""),"+",""),"(",""),")",""),4,3)&amp;"-"&amp;MID(SUBSTITUTE(SUBSTITUTE(SUBSTITUTE(SUBSTITUTE(SUBSTITUTE(Поставщики_исходные!E39," ",""),"-",""),"+",""),"(",""),")",""),6,2)&amp;"-"&amp;MID(SUBSTITUTE(SUBSTITUTE(SUBSTITUTE(SUBSTITUTE(SUBSTITUTE(Поставщики_исходные!E39," ",""),"-",""),"+",""),"(",""),")",""),8,2),Поставщики_исходные!E39)))</f>
        <v xml:space="preserve">+7 (903) 890-12-34</v>
      </c>
      <c r="F39" t="str">
        <f>IF(ISBLANK(Поставщики_исходные!F39),"",IF(ISNUMBER(FIND(".",MID(Поставщики_исходные!F39,FIND("@",Поставщики_исходные!F39)+1,255))),Поставщики_исходные!F39,IF(ISNUMBER(FIND("gmail",Поставщики_исходные!F39)),Поставщики_исходные!F39&amp;".com",Поставщики_исходные!F39&amp;".ru")))</f>
        <v>cifra@tehno.ru</v>
      </c>
      <c r="G39" t="str">
        <f>TRIM(Поставщики_исходные!G39)</f>
        <v xml:space="preserve">119048 г.Москва ул.Усачева д.35</v>
      </c>
      <c r="H39" t="str">
        <f>IF(ISNUMBER(VALUE(LEFT(TRIM(Поставщики_исходные!G39),6))),LEFT(TRIM(Поставщики_исходные!G39),6),"")</f>
        <v>119048</v>
      </c>
      <c r="I39" t="str">
        <f>TRIM(MID(TRIM(Поставщики_исходные!G39),7,255))</f>
        <v xml:space="preserve">г.Москва ул.Усачева д.35</v>
      </c>
      <c r="J39" t="str">
        <f t="shared" si="22"/>
        <v>OK</v>
      </c>
      <c r="K39" t="str">
        <f t="shared" si="23"/>
        <v>OK</v>
      </c>
    </row>
    <row r="40">
      <c r="A40" t="str">
        <f>Поставщики_исходные!A40</f>
        <v>P039</v>
      </c>
      <c r="B40" t="str">
        <f>PROPER(TRIM(Поставщики_исходные!B40))</f>
        <v xml:space="preserve">Ооо Техноспектр</v>
      </c>
      <c r="C40" s="5" t="str">
        <f>IF(ISBLANK(Поставщики_исходные!C38),"",TRIM(Поставщики_исходные!C38))</f>
        <v>7817890</v>
      </c>
      <c r="D40" t="str">
        <f>Поставщики_исходные!D40</f>
        <v>781801001</v>
      </c>
      <c r="E40" s="6" t="str">
        <f>IF(ISBLANK(Поставщики_исходные!E40),"",IF(LEN(SUBSTITUTE(SUBSTITUTE(SUBSTITUTE(SUBSTITUTE(SUBSTITUTE(Поставщики_исходные!E40," ",""),"-",""),"+",""),"(",""),")",""))=11,"+7 ("&amp;MID(IF(LEFT(SUBSTITUTE(SUBSTITUTE(SUBSTITUTE(SUBSTITUTE(SUBSTITUTE(Поставщики_исходные!E40," ",""),"-",""),"+",""),"(",""),")",""))="8","7"&amp;MID(SUBSTITUTE(SUBSTITUTE(SUBSTITUTE(SUBSTITUTE(SUBSTITUTE(Поставщики_исходные!E40," ",""),"-",""),"+",""),"(",""),")",""),2,10),SUBSTITUTE(SUBSTITUTE(SUBSTITUTE(SUBSTITUTE(SUBSTITUTE(Поставщики_исходные!E40," ",""),"-",""),"+",""),"(",""),")","")),2,3)&amp;") "&amp;MID(IF(LEFT(SUBSTITUTE(SUBSTITUTE(SUBSTITUTE(SUBSTITUTE(SUBSTITUTE(Поставщики_исходные!E40," ",""),"-",""),"+",""),"(",""),")",""))="8","7"&amp;MID(SUBSTITUTE(SUBSTITUTE(SUBSTITUTE(SUBSTITUTE(SUBSTITUTE(Поставщики_исходные!E40," ",""),"-",""),"+",""),"(",""),")",""),2,10),SUBSTITUTE(SUBSTITUTE(SUBSTITUTE(SUBSTITUTE(SUBSTITUTE(Поставщики_исходные!E40," ",""),"-",""),"+",""),"(",""),")","")),5,3)&amp;"-"&amp;MID(IF(LEFT(SUBSTITUTE(SUBSTITUTE(SUBSTITUTE(SUBSTITUTE(SUBSTITUTE(Поставщики_исходные!E40," ",""),"-",""),"+",""),"(",""),")",""))="8","7"&amp;MID(SUBSTITUTE(SUBSTITUTE(SUBSTITUTE(SUBSTITUTE(SUBSTITUTE(Поставщики_исходные!E40," ",""),"-",""),"+",""),"(",""),")",""),2,10),SUBSTITUTE(SUBSTITUTE(SUBSTITUTE(SUBSTITUTE(SUBSTITUTE(Поставщики_исходные!E40," ",""),"-",""),"+",""),"(",""),")","")),8,2)&amp;"-"&amp;MID(IF(LEFT(SUBSTITUTE(SUBSTITUTE(SUBSTITUTE(SUBSTITUTE(SUBSTITUTE(Поставщики_исходные!E40," ",""),"-",""),"+",""),"(",""),")",""))="8","7"&amp;MID(SUBSTITUTE(SUBSTITUTE(SUBSTITUTE(SUBSTITUTE(SUBSTITUTE(Поставщики_исходные!E40," ",""),"-",""),"+",""),"(",""),")",""),2,10),SUBSTITUTE(SUBSTITUTE(SUBSTITUTE(SUBSTITUTE(SUBSTITUTE(Поставщики_исходные!E40," ",""),"-",""),"+",""),"(",""),")","")),10,2),IF(LEN(SUBSTITUTE(SUBSTITUTE(SUBSTITUTE(SUBSTITUTE(SUBSTITUTE(Поставщики_исходные!E40," ",""),"-",""),"+",""),"(",""),")",""))=10,"+7 ("&amp;MID(SUBSTITUTE(SUBSTITUTE(SUBSTITUTE(SUBSTITUTE(SUBSTITUTE(Поставщики_исходные!E40," ",""),"-",""),"+",""),"(",""),")",""),1,3)&amp;") "&amp;MID(SUBSTITUTE(SUBSTITUTE(SUBSTITUTE(SUBSTITUTE(SUBSTITUTE(Поставщики_исходные!E40," ",""),"-",""),"+",""),"(",""),")",""),4,3)&amp;"-"&amp;MID(SUBSTITUTE(SUBSTITUTE(SUBSTITUTE(SUBSTITUTE(SUBSTITUTE(Поставщики_исходные!E40," ",""),"-",""),"+",""),"(",""),")",""),6,2)&amp;"-"&amp;MID(SUBSTITUTE(SUBSTITUTE(SUBSTITUTE(SUBSTITUTE(SUBSTITUTE(Поставщики_исходные!E40," ",""),"-",""),"+",""),"(",""),")",""),8,2),Поставщики_исходные!E40)))</f>
        <v xml:space="preserve">+7 (903) 901-23-45</v>
      </c>
      <c r="F40" t="str">
        <f>IF(ISBLANK(Поставщики_исходные!F40),"",IF(ISNUMBER(FIND(".",MID(Поставщики_исходные!F40,FIND("@",Поставщики_исходные!F40)+1,255))),Поставщики_исходные!F40,IF(ISNUMBER(FIND("gmail",Поставщики_исходные!F40)),Поставщики_исходные!F40&amp;".com",Поставщики_исходные!F40&amp;".ru")))</f>
        <v>spektr@tehno.ru</v>
      </c>
      <c r="G40" t="str">
        <f>TRIM(Поставщики_исходные!G40)</f>
        <v xml:space="preserve">192102 г.Санкт-Петербург ул.Бухарестская д.22</v>
      </c>
      <c r="H40" t="str">
        <f>IF(ISNUMBER(VALUE(LEFT(TRIM(Поставщики_исходные!G40),6))),LEFT(TRIM(Поставщики_исходные!G40),6),"")</f>
        <v>192102</v>
      </c>
      <c r="I40" t="str">
        <f>TRIM(MID(TRIM(Поставщики_исходные!G40),7,255))</f>
        <v xml:space="preserve">г.Санкт-Петербург ул.Бухарестская д.22</v>
      </c>
      <c r="J40" t="str">
        <f t="shared" si="22"/>
        <v xml:space="preserve">Ошибка ИНН</v>
      </c>
      <c r="K40" t="str">
        <f t="shared" si="23"/>
        <v>OK</v>
      </c>
    </row>
    <row r="41">
      <c r="A41" t="str">
        <f>Поставщики_исходные!A41</f>
        <v>P040</v>
      </c>
      <c r="B41" t="str">
        <f>PROPER(TRIM(Поставщики_исходные!B41))</f>
        <v xml:space="preserve">Ао Технофорум</v>
      </c>
      <c r="C41" s="5" t="str">
        <f>IF(ISBLANK(Поставщики_исходные!C39),"",TRIM(Поставщики_исходные!C39))</f>
        <v>7729012345</v>
      </c>
      <c r="D41" t="str">
        <f>Поставщики_исходные!D41</f>
        <v>772801001</v>
      </c>
      <c r="E41" s="6" t="str">
        <f>IF(ISBLANK(Поставщики_исходные!E41),"",IF(LEN(SUBSTITUTE(SUBSTITUTE(SUBSTITUTE(SUBSTITUTE(SUBSTITUTE(Поставщики_исходные!E41," ",""),"-",""),"+",""),"(",""),")",""))=11,"+7 ("&amp;MID(IF(LEFT(SUBSTITUTE(SUBSTITUTE(SUBSTITUTE(SUBSTITUTE(SUBSTITUTE(Поставщики_исходные!E41," ",""),"-",""),"+",""),"(",""),")",""))="8","7"&amp;MID(SUBSTITUTE(SUBSTITUTE(SUBSTITUTE(SUBSTITUTE(SUBSTITUTE(Поставщики_исходные!E41," ",""),"-",""),"+",""),"(",""),")",""),2,10),SUBSTITUTE(SUBSTITUTE(SUBSTITUTE(SUBSTITUTE(SUBSTITUTE(Поставщики_исходные!E41," ",""),"-",""),"+",""),"(",""),")","")),2,3)&amp;") "&amp;MID(IF(LEFT(SUBSTITUTE(SUBSTITUTE(SUBSTITUTE(SUBSTITUTE(SUBSTITUTE(Поставщики_исходные!E41," ",""),"-",""),"+",""),"(",""),")",""))="8","7"&amp;MID(SUBSTITUTE(SUBSTITUTE(SUBSTITUTE(SUBSTITUTE(SUBSTITUTE(Поставщики_исходные!E41," ",""),"-",""),"+",""),"(",""),")",""),2,10),SUBSTITUTE(SUBSTITUTE(SUBSTITUTE(SUBSTITUTE(SUBSTITUTE(Поставщики_исходные!E41," ",""),"-",""),"+",""),"(",""),")","")),5,3)&amp;"-"&amp;MID(IF(LEFT(SUBSTITUTE(SUBSTITUTE(SUBSTITUTE(SUBSTITUTE(SUBSTITUTE(Поставщики_исходные!E41," ",""),"-",""),"+",""),"(",""),")",""))="8","7"&amp;MID(SUBSTITUTE(SUBSTITUTE(SUBSTITUTE(SUBSTITUTE(SUBSTITUTE(Поставщики_исходные!E41," ",""),"-",""),"+",""),"(",""),")",""),2,10),SUBSTITUTE(SUBSTITUTE(SUBSTITUTE(SUBSTITUTE(SUBSTITUTE(Поставщики_исходные!E41," ",""),"-",""),"+",""),"(",""),")","")),8,2)&amp;"-"&amp;MID(IF(LEFT(SUBSTITUTE(SUBSTITUTE(SUBSTITUTE(SUBSTITUTE(SUBSTITUTE(Поставщики_исходные!E41," ",""),"-",""),"+",""),"(",""),")",""))="8","7"&amp;MID(SUBSTITUTE(SUBSTITUTE(SUBSTITUTE(SUBSTITUTE(SUBSTITUTE(Поставщики_исходные!E41," ",""),"-",""),"+",""),"(",""),")",""),2,10),SUBSTITUTE(SUBSTITUTE(SUBSTITUTE(SUBSTITUTE(SUBSTITUTE(Поставщики_исходные!E41," ",""),"-",""),"+",""),"(",""),")","")),10,2),IF(LEN(SUBSTITUTE(SUBSTITUTE(SUBSTITUTE(SUBSTITUTE(SUBSTITUTE(Поставщики_исходные!E41," ",""),"-",""),"+",""),"(",""),")",""))=10,"+7 ("&amp;MID(SUBSTITUTE(SUBSTITUTE(SUBSTITUTE(SUBSTITUTE(SUBSTITUTE(Поставщики_исходные!E41," ",""),"-",""),"+",""),"(",""),")",""),1,3)&amp;") "&amp;MID(SUBSTITUTE(SUBSTITUTE(SUBSTITUTE(SUBSTITUTE(SUBSTITUTE(Поставщики_исходные!E41," ",""),"-",""),"+",""),"(",""),")",""),4,3)&amp;"-"&amp;MID(SUBSTITUTE(SUBSTITUTE(SUBSTITUTE(SUBSTITUTE(SUBSTITUTE(Поставщики_исходные!E41," ",""),"-",""),"+",""),"(",""),")",""),6,2)&amp;"-"&amp;MID(SUBSTITUTE(SUBSTITUTE(SUBSTITUTE(SUBSTITUTE(SUBSTITUTE(Поставщики_исходные!E41," ",""),"-",""),"+",""),"(",""),")",""),8,2),Поставщики_исходные!E41)))</f>
        <v xml:space="preserve">+7 (903) 012-34-56</v>
      </c>
      <c r="F41" t="str">
        <f>IF(ISBLANK(Поставщики_исходные!F41),"",IF(ISNUMBER(FIND(".",MID(Поставщики_исходные!F41,FIND("@",Поставщики_исходные!F41)+1,255))),Поставщики_исходные!F41,IF(ISNUMBER(FIND("gmail",Поставщики_исходные!F41)),Поставщики_исходные!F41&amp;".com",Поставщики_исходные!F41&amp;".ru")))</f>
        <v>forum@tehno.ru</v>
      </c>
      <c r="G41" t="str">
        <f>TRIM(Поставщики_исходные!G41)</f>
        <v xml:space="preserve">109240 г.Москва ул.Гончарная д.18</v>
      </c>
      <c r="H41" t="str">
        <f>IF(ISNUMBER(VALUE(LEFT(TRIM(Поставщики_исходные!G41),6))),LEFT(TRIM(Поставщики_исходные!G41),6),"")</f>
        <v>109240</v>
      </c>
      <c r="I41" t="str">
        <f>TRIM(MID(TRIM(Поставщики_исходные!G41),7,255))</f>
        <v xml:space="preserve">г.Москва ул.Гончарная д.18</v>
      </c>
      <c r="J41" t="str">
        <f t="shared" si="22"/>
        <v>OK</v>
      </c>
      <c r="K41" t="str">
        <f t="shared" si="23"/>
        <v>OK</v>
      </c>
    </row>
    <row r="42">
      <c r="A42" t="str">
        <f>Поставщики_исходные!A42</f>
        <v>P041</v>
      </c>
      <c r="B42" t="str">
        <f>PROPER(TRIM(Поставщики_исходные!B42))</f>
        <v xml:space="preserve">Ооо Технохолод</v>
      </c>
      <c r="C42" s="5" t="str">
        <f>IF(ISBLANK(Поставщики_исходные!C40),"",TRIM(Поставщики_исходные!C40))</f>
        <v>781890123456</v>
      </c>
      <c r="D42" t="str">
        <f>Поставщики_исходные!D42</f>
        <v>781901001</v>
      </c>
      <c r="E42" s="6" t="str">
        <f>IF(ISBLANK(Поставщики_исходные!E42),"",IF(LEN(SUBSTITUTE(SUBSTITUTE(SUBSTITUTE(SUBSTITUTE(SUBSTITUTE(Поставщики_исходные!E42," ",""),"-",""),"+",""),"(",""),")",""))=11,"+7 ("&amp;MID(IF(LEFT(SUBSTITUTE(SUBSTITUTE(SUBSTITUTE(SUBSTITUTE(SUBSTITUTE(Поставщики_исходные!E42," ",""),"-",""),"+",""),"(",""),")",""))="8","7"&amp;MID(SUBSTITUTE(SUBSTITUTE(SUBSTITUTE(SUBSTITUTE(SUBSTITUTE(Поставщики_исходные!E42," ",""),"-",""),"+",""),"(",""),")",""),2,10),SUBSTITUTE(SUBSTITUTE(SUBSTITUTE(SUBSTITUTE(SUBSTITUTE(Поставщики_исходные!E42," ",""),"-",""),"+",""),"(",""),")","")),2,3)&amp;") "&amp;MID(IF(LEFT(SUBSTITUTE(SUBSTITUTE(SUBSTITUTE(SUBSTITUTE(SUBSTITUTE(Поставщики_исходные!E42," ",""),"-",""),"+",""),"(",""),")",""))="8","7"&amp;MID(SUBSTITUTE(SUBSTITUTE(SUBSTITUTE(SUBSTITUTE(SUBSTITUTE(Поставщики_исходные!E42," ",""),"-",""),"+",""),"(",""),")",""),2,10),SUBSTITUTE(SUBSTITUTE(SUBSTITUTE(SUBSTITUTE(SUBSTITUTE(Поставщики_исходные!E42," ",""),"-",""),"+",""),"(",""),")","")),5,3)&amp;"-"&amp;MID(IF(LEFT(SUBSTITUTE(SUBSTITUTE(SUBSTITUTE(SUBSTITUTE(SUBSTITUTE(Поставщики_исходные!E42," ",""),"-",""),"+",""),"(",""),")",""))="8","7"&amp;MID(SUBSTITUTE(SUBSTITUTE(SUBSTITUTE(SUBSTITUTE(SUBSTITUTE(Поставщики_исходные!E42," ",""),"-",""),"+",""),"(",""),")",""),2,10),SUBSTITUTE(SUBSTITUTE(SUBSTITUTE(SUBSTITUTE(SUBSTITUTE(Поставщики_исходные!E42," ",""),"-",""),"+",""),"(",""),")","")),8,2)&amp;"-"&amp;MID(IF(LEFT(SUBSTITUTE(SUBSTITUTE(SUBSTITUTE(SUBSTITUTE(SUBSTITUTE(Поставщики_исходные!E42," ",""),"-",""),"+",""),"(",""),")",""))="8","7"&amp;MID(SUBSTITUTE(SUBSTITUTE(SUBSTITUTE(SUBSTITUTE(SUBSTITUTE(Поставщики_исходные!E42," ",""),"-",""),"+",""),"(",""),")",""),2,10),SUBSTITUTE(SUBSTITUTE(SUBSTITUTE(SUBSTITUTE(SUBSTITUTE(Поставщики_исходные!E42," ",""),"-",""),"+",""),"(",""),")","")),10,2),IF(LEN(SUBSTITUTE(SUBSTITUTE(SUBSTITUTE(SUBSTITUTE(SUBSTITUTE(Поставщики_исходные!E42," ",""),"-",""),"+",""),"(",""),")",""))=10,"+7 ("&amp;MID(SUBSTITUTE(SUBSTITUTE(SUBSTITUTE(SUBSTITUTE(SUBSTITUTE(Поставщики_исходные!E42," ",""),"-",""),"+",""),"(",""),")",""),1,3)&amp;") "&amp;MID(SUBSTITUTE(SUBSTITUTE(SUBSTITUTE(SUBSTITUTE(SUBSTITUTE(Поставщики_исходные!E42," ",""),"-",""),"+",""),"(",""),")",""),4,3)&amp;"-"&amp;MID(SUBSTITUTE(SUBSTITUTE(SUBSTITUTE(SUBSTITUTE(SUBSTITUTE(Поставщики_исходные!E42," ",""),"-",""),"+",""),"(",""),")",""),6,2)&amp;"-"&amp;MID(SUBSTITUTE(SUBSTITUTE(SUBSTITUTE(SUBSTITUTE(SUBSTITUTE(Поставщики_исходные!E42," ",""),"-",""),"+",""),"(",""),")",""),8,2),Поставщики_исходные!E42)))</f>
        <v xml:space="preserve">+7 (903) 123-45-67</v>
      </c>
      <c r="F42" t="str">
        <f>IF(ISBLANK(Поставщики_исходные!F42),"",IF(ISNUMBER(FIND(".",MID(Поставщики_исходные!F42,FIND("@",Поставщики_исходные!F42)+1,255))),Поставщики_исходные!F42,IF(ISNUMBER(FIND("gmail",Поставщики_исходные!F42)),Поставщики_исходные!F42&amp;".com",Поставщики_исходные!F42&amp;".ru")))</f>
        <v>holod@tehno.ru</v>
      </c>
      <c r="G42" t="str">
        <f>TRIM(Поставщики_исходные!G42)</f>
        <v xml:space="preserve">196191 г.Санкт-Петербург ул.Бассейная д.63</v>
      </c>
      <c r="H42" t="str">
        <f>IF(ISNUMBER(VALUE(LEFT(TRIM(Поставщики_исходные!G42),6))),LEFT(TRIM(Поставщики_исходные!G42),6),"")</f>
        <v>196191</v>
      </c>
      <c r="I42" t="str">
        <f>TRIM(MID(TRIM(Поставщики_исходные!G42),7,255))</f>
        <v xml:space="preserve">г.Санкт-Петербург ул.Бассейная д.63</v>
      </c>
      <c r="J42" t="str">
        <f t="shared" si="22"/>
        <v>OK</v>
      </c>
      <c r="K42" t="str">
        <f t="shared" si="23"/>
        <v>OK</v>
      </c>
    </row>
    <row r="43">
      <c r="A43" t="str">
        <f>Поставщики_исходные!A43</f>
        <v>P042</v>
      </c>
      <c r="B43" t="str">
        <f>PROPER(TRIM(Поставщики_исходные!B43))</f>
        <v xml:space="preserve">Зао Техноресурс</v>
      </c>
      <c r="C43" s="5" t="str">
        <f>IF(ISBLANK(Поставщики_исходные!C41),"",TRIM(Поставщики_исходные!C41))</f>
        <v>7730123456</v>
      </c>
      <c r="D43" t="str">
        <f>Поставщики_исходные!D43</f>
        <v>772901001</v>
      </c>
      <c r="E43" s="6" t="str">
        <f>IF(ISBLANK(Поставщики_исходные!E43),"",IF(LEN(SUBSTITUTE(SUBSTITUTE(SUBSTITUTE(SUBSTITUTE(SUBSTITUTE(Поставщики_исходные!E43," ",""),"-",""),"+",""),"(",""),")",""))=11,"+7 ("&amp;MID(IF(LEFT(SUBSTITUTE(SUBSTITUTE(SUBSTITUTE(SUBSTITUTE(SUBSTITUTE(Поставщики_исходные!E43," ",""),"-",""),"+",""),"(",""),")",""))="8","7"&amp;MID(SUBSTITUTE(SUBSTITUTE(SUBSTITUTE(SUBSTITUTE(SUBSTITUTE(Поставщики_исходные!E43," ",""),"-",""),"+",""),"(",""),")",""),2,10),SUBSTITUTE(SUBSTITUTE(SUBSTITUTE(SUBSTITUTE(SUBSTITUTE(Поставщики_исходные!E43," ",""),"-",""),"+",""),"(",""),")","")),2,3)&amp;") "&amp;MID(IF(LEFT(SUBSTITUTE(SUBSTITUTE(SUBSTITUTE(SUBSTITUTE(SUBSTITUTE(Поставщики_исходные!E43," ",""),"-",""),"+",""),"(",""),")",""))="8","7"&amp;MID(SUBSTITUTE(SUBSTITUTE(SUBSTITUTE(SUBSTITUTE(SUBSTITUTE(Поставщики_исходные!E43," ",""),"-",""),"+",""),"(",""),")",""),2,10),SUBSTITUTE(SUBSTITUTE(SUBSTITUTE(SUBSTITUTE(SUBSTITUTE(Поставщики_исходные!E43," ",""),"-",""),"+",""),"(",""),")","")),5,3)&amp;"-"&amp;MID(IF(LEFT(SUBSTITUTE(SUBSTITUTE(SUBSTITUTE(SUBSTITUTE(SUBSTITUTE(Поставщики_исходные!E43," ",""),"-",""),"+",""),"(",""),")",""))="8","7"&amp;MID(SUBSTITUTE(SUBSTITUTE(SUBSTITUTE(SUBSTITUTE(SUBSTITUTE(Поставщики_исходные!E43," ",""),"-",""),"+",""),"(",""),")",""),2,10),SUBSTITUTE(SUBSTITUTE(SUBSTITUTE(SUBSTITUTE(SUBSTITUTE(Поставщики_исходные!E43," ",""),"-",""),"+",""),"(",""),")","")),8,2)&amp;"-"&amp;MID(IF(LEFT(SUBSTITUTE(SUBSTITUTE(SUBSTITUTE(SUBSTITUTE(SUBSTITUTE(Поставщики_исходные!E43," ",""),"-",""),"+",""),"(",""),")",""))="8","7"&amp;MID(SUBSTITUTE(SUBSTITUTE(SUBSTITUTE(SUBSTITUTE(SUBSTITUTE(Поставщики_исходные!E43," ",""),"-",""),"+",""),"(",""),")",""),2,10),SUBSTITUTE(SUBSTITUTE(SUBSTITUTE(SUBSTITUTE(SUBSTITUTE(Поставщики_исходные!E43," ",""),"-",""),"+",""),"(",""),")","")),10,2),IF(LEN(SUBSTITUTE(SUBSTITUTE(SUBSTITUTE(SUBSTITUTE(SUBSTITUTE(Поставщики_исходные!E43," ",""),"-",""),"+",""),"(",""),")",""))=10,"+7 ("&amp;MID(SUBSTITUTE(SUBSTITUTE(SUBSTITUTE(SUBSTITUTE(SUBSTITUTE(Поставщики_исходные!E43," ",""),"-",""),"+",""),"(",""),")",""),1,3)&amp;") "&amp;MID(SUBSTITUTE(SUBSTITUTE(SUBSTITUTE(SUBSTITUTE(SUBSTITUTE(Поставщики_исходные!E43," ",""),"-",""),"+",""),"(",""),")",""),4,3)&amp;"-"&amp;MID(SUBSTITUTE(SUBSTITUTE(SUBSTITUTE(SUBSTITUTE(SUBSTITUTE(Поставщики_исходные!E43," ",""),"-",""),"+",""),"(",""),")",""),6,2)&amp;"-"&amp;MID(SUBSTITUTE(SUBSTITUTE(SUBSTITUTE(SUBSTITUTE(SUBSTITUTE(Поставщики_исходные!E43," ",""),"-",""),"+",""),"(",""),")",""),8,2),Поставщики_исходные!E43)))</f>
        <v xml:space="preserve">+7 (903) 234-56-78</v>
      </c>
      <c r="F43" t="str">
        <f>IF(ISBLANK(Поставщики_исходные!F43),"",IF(ISNUMBER(FIND(".",MID(Поставщики_исходные!F43,FIND("@",Поставщики_исходные!F43)+1,255))),Поставщики_исходные!F43,IF(ISNUMBER(FIND("gmail",Поставщики_исходные!F43)),Поставщики_исходные!F43&amp;".com",Поставщики_исходные!F43&amp;".ru")))</f>
        <v>resurs_tehno@mail.ru</v>
      </c>
      <c r="G43" t="str">
        <f>TRIM(Поставщики_исходные!G43)</f>
        <v xml:space="preserve">115114 г.Москва ул.Дербеневская д.17</v>
      </c>
      <c r="H43" t="str">
        <f>IF(ISNUMBER(VALUE(LEFT(TRIM(Поставщики_исходные!G43),6))),LEFT(TRIM(Поставщики_исходные!G43),6),"")</f>
        <v>115114</v>
      </c>
      <c r="I43" t="str">
        <f>TRIM(MID(TRIM(Поставщики_исходные!G43),7,255))</f>
        <v xml:space="preserve">г.Москва ул.Дербеневская д.17</v>
      </c>
      <c r="J43" t="str">
        <f t="shared" si="22"/>
        <v>OK</v>
      </c>
      <c r="K43" t="str">
        <f t="shared" si="23"/>
        <v>OK</v>
      </c>
    </row>
    <row r="44">
      <c r="A44" t="str">
        <f>Поставщики_исходные!A44</f>
        <v>P043</v>
      </c>
      <c r="B44" t="str">
        <f>PROPER(TRIM(Поставщики_исходные!B44))</f>
        <v xml:space="preserve">Ооо Технодизайн</v>
      </c>
      <c r="C44" s="5" t="str">
        <f>IF(ISBLANK(Поставщики_исходные!C42),"",TRIM(Поставщики_исходные!C42))</f>
        <v>7819012345</v>
      </c>
      <c r="D44" t="str">
        <f>Поставщики_исходные!D44</f>
        <v>782001001</v>
      </c>
      <c r="E44" s="6" t="str">
        <f>IF(ISBLANK(Поставщики_исходные!E44),"",IF(LEN(SUBSTITUTE(SUBSTITUTE(SUBSTITUTE(SUBSTITUTE(SUBSTITUTE(Поставщики_исходные!E44," ",""),"-",""),"+",""),"(",""),")",""))=11,"+7 ("&amp;MID(IF(LEFT(SUBSTITUTE(SUBSTITUTE(SUBSTITUTE(SUBSTITUTE(SUBSTITUTE(Поставщики_исходные!E44," ",""),"-",""),"+",""),"(",""),")",""))="8","7"&amp;MID(SUBSTITUTE(SUBSTITUTE(SUBSTITUTE(SUBSTITUTE(SUBSTITUTE(Поставщики_исходные!E44," ",""),"-",""),"+",""),"(",""),")",""),2,10),SUBSTITUTE(SUBSTITUTE(SUBSTITUTE(SUBSTITUTE(SUBSTITUTE(Поставщики_исходные!E44," ",""),"-",""),"+",""),"(",""),")","")),2,3)&amp;") "&amp;MID(IF(LEFT(SUBSTITUTE(SUBSTITUTE(SUBSTITUTE(SUBSTITUTE(SUBSTITUTE(Поставщики_исходные!E44," ",""),"-",""),"+",""),"(",""),")",""))="8","7"&amp;MID(SUBSTITUTE(SUBSTITUTE(SUBSTITUTE(SUBSTITUTE(SUBSTITUTE(Поставщики_исходные!E44," ",""),"-",""),"+",""),"(",""),")",""),2,10),SUBSTITUTE(SUBSTITUTE(SUBSTITUTE(SUBSTITUTE(SUBSTITUTE(Поставщики_исходные!E44," ",""),"-",""),"+",""),"(",""),")","")),5,3)&amp;"-"&amp;MID(IF(LEFT(SUBSTITUTE(SUBSTITUTE(SUBSTITUTE(SUBSTITUTE(SUBSTITUTE(Поставщики_исходные!E44," ",""),"-",""),"+",""),"(",""),")",""))="8","7"&amp;MID(SUBSTITUTE(SUBSTITUTE(SUBSTITUTE(SUBSTITUTE(SUBSTITUTE(Поставщики_исходные!E44," ",""),"-",""),"+",""),"(",""),")",""),2,10),SUBSTITUTE(SUBSTITUTE(SUBSTITUTE(SUBSTITUTE(SUBSTITUTE(Поставщики_исходные!E44," ",""),"-",""),"+",""),"(",""),")","")),8,2)&amp;"-"&amp;MID(IF(LEFT(SUBSTITUTE(SUBSTITUTE(SUBSTITUTE(SUBSTITUTE(SUBSTITUTE(Поставщики_исходные!E44," ",""),"-",""),"+",""),"(",""),")",""))="8","7"&amp;MID(SUBSTITUTE(SUBSTITUTE(SUBSTITUTE(SUBSTITUTE(SUBSTITUTE(Поставщики_исходные!E44," ",""),"-",""),"+",""),"(",""),")",""),2,10),SUBSTITUTE(SUBSTITUTE(SUBSTITUTE(SUBSTITUTE(SUBSTITUTE(Поставщики_исходные!E44," ",""),"-",""),"+",""),"(",""),")","")),10,2),IF(LEN(SUBSTITUTE(SUBSTITUTE(SUBSTITUTE(SUBSTITUTE(SUBSTITUTE(Поставщики_исходные!E44," ",""),"-",""),"+",""),"(",""),")",""))=10,"+7 ("&amp;MID(SUBSTITUTE(SUBSTITUTE(SUBSTITUTE(SUBSTITUTE(SUBSTITUTE(Поставщики_исходные!E44," ",""),"-",""),"+",""),"(",""),")",""),1,3)&amp;") "&amp;MID(SUBSTITUTE(SUBSTITUTE(SUBSTITUTE(SUBSTITUTE(SUBSTITUTE(Поставщики_исходные!E44," ",""),"-",""),"+",""),"(",""),")",""),4,3)&amp;"-"&amp;MID(SUBSTITUTE(SUBSTITUTE(SUBSTITUTE(SUBSTITUTE(SUBSTITUTE(Поставщики_исходные!E44," ",""),"-",""),"+",""),"(",""),")",""),6,2)&amp;"-"&amp;MID(SUBSTITUTE(SUBSTITUTE(SUBSTITUTE(SUBSTITUTE(SUBSTITUTE(Поставщики_исходные!E44," ",""),"-",""),"+",""),"(",""),")",""),8,2),Поставщики_исходные!E44)))</f>
        <v xml:space="preserve">+7 (903) 345-67-89</v>
      </c>
      <c r="F44" t="str">
        <f>IF(ISBLANK(Поставщики_исходные!F44),"",IF(ISNUMBER(FIND(".",MID(Поставщики_исходные!F44,FIND("@",Поставщики_исходные!F44)+1,255))),Поставщики_исходные!F44,IF(ISNUMBER(FIND("gmail",Поставщики_исходные!F44)),Поставщики_исходные!F44&amp;".com",Поставщики_исходные!F44&amp;".ru")))</f>
        <v>design@tehno.ru</v>
      </c>
      <c r="G44" t="str">
        <f>TRIM(Поставщики_исходные!G44)</f>
        <v xml:space="preserve">194292 г.Санкт-Петербург ул.Светлановский пр.д.62</v>
      </c>
      <c r="H44" t="str">
        <f>IF(ISNUMBER(VALUE(LEFT(TRIM(Поставщики_исходные!G44),6))),LEFT(TRIM(Поставщики_исходные!G44),6),"")</f>
        <v>194292</v>
      </c>
      <c r="I44" t="str">
        <f>TRIM(MID(TRIM(Поставщики_исходные!G44),7,255))</f>
        <v xml:space="preserve">г.Санкт-Петербург ул.Светлановский пр.д.62</v>
      </c>
      <c r="J44" t="str">
        <f t="shared" si="22"/>
        <v>OK</v>
      </c>
      <c r="K44" t="str">
        <f t="shared" si="23"/>
        <v>OK</v>
      </c>
    </row>
    <row r="45">
      <c r="A45" t="str">
        <f>Поставщики_исходные!A45</f>
        <v>P044</v>
      </c>
      <c r="B45" t="str">
        <f>PROPER(TRIM(Поставщики_исходные!B45))</f>
        <v xml:space="preserve">Ао Техноальянс</v>
      </c>
      <c r="C45" s="5" t="str">
        <f>IF(ISBLANK(Поставщики_исходные!C43),"",TRIM(Поставщики_исходные!C43))</f>
        <v>7731234567</v>
      </c>
      <c r="D45" t="str">
        <f>Поставщики_исходные!D45</f>
        <v>773001001</v>
      </c>
      <c r="E45" s="6" t="str">
        <f>IF(ISBLANK(Поставщики_исходные!E45),"",IF(LEN(SUBSTITUTE(SUBSTITUTE(SUBSTITUTE(SUBSTITUTE(SUBSTITUTE(Поставщики_исходные!E45," ",""),"-",""),"+",""),"(",""),")",""))=11,"+7 ("&amp;MID(IF(LEFT(SUBSTITUTE(SUBSTITUTE(SUBSTITUTE(SUBSTITUTE(SUBSTITUTE(Поставщики_исходные!E45," ",""),"-",""),"+",""),"(",""),")",""))="8","7"&amp;MID(SUBSTITUTE(SUBSTITUTE(SUBSTITUTE(SUBSTITUTE(SUBSTITUTE(Поставщики_исходные!E45," ",""),"-",""),"+",""),"(",""),")",""),2,10),SUBSTITUTE(SUBSTITUTE(SUBSTITUTE(SUBSTITUTE(SUBSTITUTE(Поставщики_исходные!E45," ",""),"-",""),"+",""),"(",""),")","")),2,3)&amp;") "&amp;MID(IF(LEFT(SUBSTITUTE(SUBSTITUTE(SUBSTITUTE(SUBSTITUTE(SUBSTITUTE(Поставщики_исходные!E45," ",""),"-",""),"+",""),"(",""),")",""))="8","7"&amp;MID(SUBSTITUTE(SUBSTITUTE(SUBSTITUTE(SUBSTITUTE(SUBSTITUTE(Поставщики_исходные!E45," ",""),"-",""),"+",""),"(",""),")",""),2,10),SUBSTITUTE(SUBSTITUTE(SUBSTITUTE(SUBSTITUTE(SUBSTITUTE(Поставщики_исходные!E45," ",""),"-",""),"+",""),"(",""),")","")),5,3)&amp;"-"&amp;MID(IF(LEFT(SUBSTITUTE(SUBSTITUTE(SUBSTITUTE(SUBSTITUTE(SUBSTITUTE(Поставщики_исходные!E45," ",""),"-",""),"+",""),"(",""),")",""))="8","7"&amp;MID(SUBSTITUTE(SUBSTITUTE(SUBSTITUTE(SUBSTITUTE(SUBSTITUTE(Поставщики_исходные!E45," ",""),"-",""),"+",""),"(",""),")",""),2,10),SUBSTITUTE(SUBSTITUTE(SUBSTITUTE(SUBSTITUTE(SUBSTITUTE(Поставщики_исходные!E45," ",""),"-",""),"+",""),"(",""),")","")),8,2)&amp;"-"&amp;MID(IF(LEFT(SUBSTITUTE(SUBSTITUTE(SUBSTITUTE(SUBSTITUTE(SUBSTITUTE(Поставщики_исходные!E45," ",""),"-",""),"+",""),"(",""),")",""))="8","7"&amp;MID(SUBSTITUTE(SUBSTITUTE(SUBSTITUTE(SUBSTITUTE(SUBSTITUTE(Поставщики_исходные!E45," ",""),"-",""),"+",""),"(",""),")",""),2,10),SUBSTITUTE(SUBSTITUTE(SUBSTITUTE(SUBSTITUTE(SUBSTITUTE(Поставщики_исходные!E45," ",""),"-",""),"+",""),"(",""),")","")),10,2),IF(LEN(SUBSTITUTE(SUBSTITUTE(SUBSTITUTE(SUBSTITUTE(SUBSTITUTE(Поставщики_исходные!E45," ",""),"-",""),"+",""),"(",""),")",""))=10,"+7 ("&amp;MID(SUBSTITUTE(SUBSTITUTE(SUBSTITUTE(SUBSTITUTE(SUBSTITUTE(Поставщики_исходные!E45," ",""),"-",""),"+",""),"(",""),")",""),1,3)&amp;") "&amp;MID(SUBSTITUTE(SUBSTITUTE(SUBSTITUTE(SUBSTITUTE(SUBSTITUTE(Поставщики_исходные!E45," ",""),"-",""),"+",""),"(",""),")",""),4,3)&amp;"-"&amp;MID(SUBSTITUTE(SUBSTITUTE(SUBSTITUTE(SUBSTITUTE(SUBSTITUTE(Поставщики_исходные!E45," ",""),"-",""),"+",""),"(",""),")",""),6,2)&amp;"-"&amp;MID(SUBSTITUTE(SUBSTITUTE(SUBSTITUTE(SUBSTITUTE(SUBSTITUTE(Поставщики_исходные!E45," ",""),"-",""),"+",""),"(",""),")",""),8,2),Поставщики_исходные!E45)))</f>
        <v xml:space="preserve">+7 (903) 456-78-90</v>
      </c>
      <c r="F45" t="str">
        <f>IF(ISBLANK(Поставщики_исходные!F45),"",IF(ISNUMBER(FIND(".",MID(Поставщики_исходные!F45,FIND("@",Поставщики_исходные!F45)+1,255))),Поставщики_исходные!F45,IF(ISNUMBER(FIND("gmail",Поставщики_исходные!F45)),Поставщики_исходные!F45&amp;".com",Поставщики_исходные!F45&amp;".ru")))</f>
        <v>aljans@tehno.ru</v>
      </c>
      <c r="G45" t="str">
        <f>TRIM(Поставщики_исходные!G45)</f>
        <v xml:space="preserve">127018 г.Москва ул.Полковая д.3</v>
      </c>
      <c r="H45" t="str">
        <f>IF(ISNUMBER(VALUE(LEFT(TRIM(Поставщики_исходные!G45),6))),LEFT(TRIM(Поставщики_исходные!G45),6),"")</f>
        <v>127018</v>
      </c>
      <c r="I45" t="str">
        <f>TRIM(MID(TRIM(Поставщики_исходные!G45),7,255))</f>
        <v xml:space="preserve">г.Москва ул.Полковая д.3</v>
      </c>
      <c r="J45" t="str">
        <f t="shared" si="22"/>
        <v>OK</v>
      </c>
      <c r="K45" t="str">
        <f t="shared" si="23"/>
        <v>OK</v>
      </c>
    </row>
    <row r="46">
      <c r="A46" t="str">
        <f>Поставщики_исходные!A46</f>
        <v>P045</v>
      </c>
      <c r="B46" t="str">
        <f>PROPER(TRIM(Поставщики_исходные!B46))</f>
        <v xml:space="preserve">Ооо Технопартнер</v>
      </c>
      <c r="C46" s="5" t="str">
        <f>IF(ISBLANK(Поставщики_исходные!C44),"",TRIM(Поставщики_исходные!C44))</f>
        <v>78201234</v>
      </c>
      <c r="D46" t="str">
        <f>Поставщики_исходные!D46</f>
        <v>782101001</v>
      </c>
      <c r="E46" s="6" t="str">
        <f>IF(ISBLANK(Поставщики_исходные!E46),"",IF(LEN(SUBSTITUTE(SUBSTITUTE(SUBSTITUTE(SUBSTITUTE(SUBSTITUTE(Поставщики_исходные!E46," ",""),"-",""),"+",""),"(",""),")",""))=11,"+7 ("&amp;MID(IF(LEFT(SUBSTITUTE(SUBSTITUTE(SUBSTITUTE(SUBSTITUTE(SUBSTITUTE(Поставщики_исходные!E46," ",""),"-",""),"+",""),"(",""),")",""))="8","7"&amp;MID(SUBSTITUTE(SUBSTITUTE(SUBSTITUTE(SUBSTITUTE(SUBSTITUTE(Поставщики_исходные!E46," ",""),"-",""),"+",""),"(",""),")",""),2,10),SUBSTITUTE(SUBSTITUTE(SUBSTITUTE(SUBSTITUTE(SUBSTITUTE(Поставщики_исходные!E46," ",""),"-",""),"+",""),"(",""),")","")),2,3)&amp;") "&amp;MID(IF(LEFT(SUBSTITUTE(SUBSTITUTE(SUBSTITUTE(SUBSTITUTE(SUBSTITUTE(Поставщики_исходные!E46," ",""),"-",""),"+",""),"(",""),")",""))="8","7"&amp;MID(SUBSTITUTE(SUBSTITUTE(SUBSTITUTE(SUBSTITUTE(SUBSTITUTE(Поставщики_исходные!E46," ",""),"-",""),"+",""),"(",""),")",""),2,10),SUBSTITUTE(SUBSTITUTE(SUBSTITUTE(SUBSTITUTE(SUBSTITUTE(Поставщики_исходные!E46," ",""),"-",""),"+",""),"(",""),")","")),5,3)&amp;"-"&amp;MID(IF(LEFT(SUBSTITUTE(SUBSTITUTE(SUBSTITUTE(SUBSTITUTE(SUBSTITUTE(Поставщики_исходные!E46," ",""),"-",""),"+",""),"(",""),")",""))="8","7"&amp;MID(SUBSTITUTE(SUBSTITUTE(SUBSTITUTE(SUBSTITUTE(SUBSTITUTE(Поставщики_исходные!E46," ",""),"-",""),"+",""),"(",""),")",""),2,10),SUBSTITUTE(SUBSTITUTE(SUBSTITUTE(SUBSTITUTE(SUBSTITUTE(Поставщики_исходные!E46," ",""),"-",""),"+",""),"(",""),")","")),8,2)&amp;"-"&amp;MID(IF(LEFT(SUBSTITUTE(SUBSTITUTE(SUBSTITUTE(SUBSTITUTE(SUBSTITUTE(Поставщики_исходные!E46," ",""),"-",""),"+",""),"(",""),")",""))="8","7"&amp;MID(SUBSTITUTE(SUBSTITUTE(SUBSTITUTE(SUBSTITUTE(SUBSTITUTE(Поставщики_исходные!E46," ",""),"-",""),"+",""),"(",""),")",""),2,10),SUBSTITUTE(SUBSTITUTE(SUBSTITUTE(SUBSTITUTE(SUBSTITUTE(Поставщики_исходные!E46," ",""),"-",""),"+",""),"(",""),")","")),10,2),IF(LEN(SUBSTITUTE(SUBSTITUTE(SUBSTITUTE(SUBSTITUTE(SUBSTITUTE(Поставщики_исходные!E46," ",""),"-",""),"+",""),"(",""),")",""))=10,"+7 ("&amp;MID(SUBSTITUTE(SUBSTITUTE(SUBSTITUTE(SUBSTITUTE(SUBSTITUTE(Поставщики_исходные!E46," ",""),"-",""),"+",""),"(",""),")",""),1,3)&amp;") "&amp;MID(SUBSTITUTE(SUBSTITUTE(SUBSTITUTE(SUBSTITUTE(SUBSTITUTE(Поставщики_исходные!E46," ",""),"-",""),"+",""),"(",""),")",""),4,3)&amp;"-"&amp;MID(SUBSTITUTE(SUBSTITUTE(SUBSTITUTE(SUBSTITUTE(SUBSTITUTE(Поставщики_исходные!E46," ",""),"-",""),"+",""),"(",""),")",""),6,2)&amp;"-"&amp;MID(SUBSTITUTE(SUBSTITUTE(SUBSTITUTE(SUBSTITUTE(SUBSTITUTE(Поставщики_исходные!E46," ",""),"-",""),"+",""),"(",""),")",""),8,2),Поставщики_исходные!E46)))</f>
        <v xml:space="preserve">+7 (903) 567-89-01</v>
      </c>
      <c r="F46" t="str">
        <f>IF(ISBLANK(Поставщики_исходные!F46),"",IF(ISNUMBER(FIND(".",MID(Поставщики_исходные!F46,FIND("@",Поставщики_исходные!F46)+1,255))),Поставщики_исходные!F46,IF(ISNUMBER(FIND("gmail",Поставщики_исходные!F46)),Поставщики_исходные!F46&amp;".com",Поставщики_исходные!F46&amp;".ru")))</f>
        <v>partner@tehno.ru</v>
      </c>
      <c r="G46" t="str">
        <f>TRIM(Поставщики_исходные!G46)</f>
        <v xml:space="preserve">190000 г.Санкт-Петербург ул.Большая Морская д.18</v>
      </c>
      <c r="H46" t="str">
        <f>IF(ISNUMBER(VALUE(LEFT(TRIM(Поставщики_исходные!G46),6))),LEFT(TRIM(Поставщики_исходные!G46),6),"")</f>
        <v>190000</v>
      </c>
      <c r="I46" t="str">
        <f>TRIM(MID(TRIM(Поставщики_исходные!G46),7,255))</f>
        <v xml:space="preserve">г.Санкт-Петербург ул.Большая Морская д.18</v>
      </c>
      <c r="J46" t="str">
        <f t="shared" si="22"/>
        <v xml:space="preserve">Ошибка ИНН</v>
      </c>
      <c r="K46" t="str">
        <f t="shared" si="23"/>
        <v>OK</v>
      </c>
    </row>
    <row r="47">
      <c r="A47" t="str">
        <f>Поставщики_исходные!A47</f>
        <v>P046</v>
      </c>
      <c r="B47" t="str">
        <f>PROPER(TRIM(Поставщики_исходные!B47))</f>
        <v xml:space="preserve">Зао Технокомфорт</v>
      </c>
      <c r="C47" s="5" t="str">
        <f>IF(ISBLANK(Поставщики_исходные!C45),"",TRIM(Поставщики_исходные!C45))</f>
        <v>7732345678</v>
      </c>
      <c r="D47" t="str">
        <f>Поставщики_исходные!D47</f>
        <v>773101001</v>
      </c>
      <c r="E47" s="6" t="str">
        <f>IF(ISBLANK(Поставщики_исходные!E47),"",IF(LEN(SUBSTITUTE(SUBSTITUTE(SUBSTITUTE(SUBSTITUTE(SUBSTITUTE(Поставщики_исходные!E47," ",""),"-",""),"+",""),"(",""),")",""))=11,"+7 ("&amp;MID(IF(LEFT(SUBSTITUTE(SUBSTITUTE(SUBSTITUTE(SUBSTITUTE(SUBSTITUTE(Поставщики_исходные!E47," ",""),"-",""),"+",""),"(",""),")",""))="8","7"&amp;MID(SUBSTITUTE(SUBSTITUTE(SUBSTITUTE(SUBSTITUTE(SUBSTITUTE(Поставщики_исходные!E47," ",""),"-",""),"+",""),"(",""),")",""),2,10),SUBSTITUTE(SUBSTITUTE(SUBSTITUTE(SUBSTITUTE(SUBSTITUTE(Поставщики_исходные!E47," ",""),"-",""),"+",""),"(",""),")","")),2,3)&amp;") "&amp;MID(IF(LEFT(SUBSTITUTE(SUBSTITUTE(SUBSTITUTE(SUBSTITUTE(SUBSTITUTE(Поставщики_исходные!E47," ",""),"-",""),"+",""),"(",""),")",""))="8","7"&amp;MID(SUBSTITUTE(SUBSTITUTE(SUBSTITUTE(SUBSTITUTE(SUBSTITUTE(Поставщики_исходные!E47," ",""),"-",""),"+",""),"(",""),")",""),2,10),SUBSTITUTE(SUBSTITUTE(SUBSTITUTE(SUBSTITUTE(SUBSTITUTE(Поставщики_исходные!E47," ",""),"-",""),"+",""),"(",""),")","")),5,3)&amp;"-"&amp;MID(IF(LEFT(SUBSTITUTE(SUBSTITUTE(SUBSTITUTE(SUBSTITUTE(SUBSTITUTE(Поставщики_исходные!E47," ",""),"-",""),"+",""),"(",""),")",""))="8","7"&amp;MID(SUBSTITUTE(SUBSTITUTE(SUBSTITUTE(SUBSTITUTE(SUBSTITUTE(Поставщики_исходные!E47," ",""),"-",""),"+",""),"(",""),")",""),2,10),SUBSTITUTE(SUBSTITUTE(SUBSTITUTE(SUBSTITUTE(SUBSTITUTE(Поставщики_исходные!E47," ",""),"-",""),"+",""),"(",""),")","")),8,2)&amp;"-"&amp;MID(IF(LEFT(SUBSTITUTE(SUBSTITUTE(SUBSTITUTE(SUBSTITUTE(SUBSTITUTE(Поставщики_исходные!E47," ",""),"-",""),"+",""),"(",""),")",""))="8","7"&amp;MID(SUBSTITUTE(SUBSTITUTE(SUBSTITUTE(SUBSTITUTE(SUBSTITUTE(Поставщики_исходные!E47," ",""),"-",""),"+",""),"(",""),")",""),2,10),SUBSTITUTE(SUBSTITUTE(SUBSTITUTE(SUBSTITUTE(SUBSTITUTE(Поставщики_исходные!E47," ",""),"-",""),"+",""),"(",""),")","")),10,2),IF(LEN(SUBSTITUTE(SUBSTITUTE(SUBSTITUTE(SUBSTITUTE(SUBSTITUTE(Поставщики_исходные!E47," ",""),"-",""),"+",""),"(",""),")",""))=10,"+7 ("&amp;MID(SUBSTITUTE(SUBSTITUTE(SUBSTITUTE(SUBSTITUTE(SUBSTITUTE(Поставщики_исходные!E47," ",""),"-",""),"+",""),"(",""),")",""),1,3)&amp;") "&amp;MID(SUBSTITUTE(SUBSTITUTE(SUBSTITUTE(SUBSTITUTE(SUBSTITUTE(Поставщики_исходные!E47," ",""),"-",""),"+",""),"(",""),")",""),4,3)&amp;"-"&amp;MID(SUBSTITUTE(SUBSTITUTE(SUBSTITUTE(SUBSTITUTE(SUBSTITUTE(Поставщики_исходные!E47," ",""),"-",""),"+",""),"(",""),")",""),6,2)&amp;"-"&amp;MID(SUBSTITUTE(SUBSTITUTE(SUBSTITUTE(SUBSTITUTE(SUBSTITUTE(Поставщики_исходные!E47," ",""),"-",""),"+",""),"(",""),")",""),8,2),Поставщики_исходные!E47)))</f>
        <v xml:space="preserve">+7 (903) 678-90-12</v>
      </c>
      <c r="F47" t="str">
        <f>IF(ISBLANK(Поставщики_исходные!F47),"",IF(ISNUMBER(FIND(".",MID(Поставщики_исходные!F47,FIND("@",Поставщики_исходные!F47)+1,255))),Поставщики_исходные!F47,IF(ISNUMBER(FIND("gmail",Поставщики_исходные!F47)),Поставщики_исходные!F47&amp;".com",Поставщики_исходные!F47&amp;".ru")))</f>
        <v>komfort@tehno.ru</v>
      </c>
      <c r="G47" t="str">
        <f>TRIM(Поставщики_исходные!G47)</f>
        <v xml:space="preserve">117312 г.Москва ул.Вавилова д.65</v>
      </c>
      <c r="H47" t="str">
        <f>IF(ISNUMBER(VALUE(LEFT(TRIM(Поставщики_исходные!G47),6))),LEFT(TRIM(Поставщики_исходные!G47),6),"")</f>
        <v>117312</v>
      </c>
      <c r="I47" t="str">
        <f>TRIM(MID(TRIM(Поставщики_исходные!G47),7,255))</f>
        <v xml:space="preserve">г.Москва ул.Вавилова д.65</v>
      </c>
      <c r="J47" t="str">
        <f t="shared" si="22"/>
        <v>OK</v>
      </c>
      <c r="K47" t="str">
        <f t="shared" si="23"/>
        <v>OK</v>
      </c>
    </row>
    <row r="48">
      <c r="A48" t="str">
        <f>Поставщики_исходные!A48</f>
        <v>P047</v>
      </c>
      <c r="B48" t="str">
        <f>PROPER(TRIM(Поставщики_исходные!B48))</f>
        <v xml:space="preserve">Ооо Технострой</v>
      </c>
      <c r="C48" s="5" t="str">
        <f>IF(ISBLANK(Поставщики_исходные!C46),"",TRIM(Поставщики_исходные!C46))</f>
        <v>7821234567890</v>
      </c>
      <c r="D48" t="str">
        <f>Поставщики_исходные!D48</f>
        <v>782201001</v>
      </c>
      <c r="E48" s="6" t="str">
        <f>IF(ISBLANK(Поставщики_исходные!E48),"",IF(LEN(SUBSTITUTE(SUBSTITUTE(SUBSTITUTE(SUBSTITUTE(SUBSTITUTE(Поставщики_исходные!E48," ",""),"-",""),"+",""),"(",""),")",""))=11,"+7 ("&amp;MID(IF(LEFT(SUBSTITUTE(SUBSTITUTE(SUBSTITUTE(SUBSTITUTE(SUBSTITUTE(Поставщики_исходные!E48," ",""),"-",""),"+",""),"(",""),")",""))="8","7"&amp;MID(SUBSTITUTE(SUBSTITUTE(SUBSTITUTE(SUBSTITUTE(SUBSTITUTE(Поставщики_исходные!E48," ",""),"-",""),"+",""),"(",""),")",""),2,10),SUBSTITUTE(SUBSTITUTE(SUBSTITUTE(SUBSTITUTE(SUBSTITUTE(Поставщики_исходные!E48," ",""),"-",""),"+",""),"(",""),")","")),2,3)&amp;") "&amp;MID(IF(LEFT(SUBSTITUTE(SUBSTITUTE(SUBSTITUTE(SUBSTITUTE(SUBSTITUTE(Поставщики_исходные!E48," ",""),"-",""),"+",""),"(",""),")",""))="8","7"&amp;MID(SUBSTITUTE(SUBSTITUTE(SUBSTITUTE(SUBSTITUTE(SUBSTITUTE(Поставщики_исходные!E48," ",""),"-",""),"+",""),"(",""),")",""),2,10),SUBSTITUTE(SUBSTITUTE(SUBSTITUTE(SUBSTITUTE(SUBSTITUTE(Поставщики_исходные!E48," ",""),"-",""),"+",""),"(",""),")","")),5,3)&amp;"-"&amp;MID(IF(LEFT(SUBSTITUTE(SUBSTITUTE(SUBSTITUTE(SUBSTITUTE(SUBSTITUTE(Поставщики_исходные!E48," ",""),"-",""),"+",""),"(",""),")",""))="8","7"&amp;MID(SUBSTITUTE(SUBSTITUTE(SUBSTITUTE(SUBSTITUTE(SUBSTITUTE(Поставщики_исходные!E48," ",""),"-",""),"+",""),"(",""),")",""),2,10),SUBSTITUTE(SUBSTITUTE(SUBSTITUTE(SUBSTITUTE(SUBSTITUTE(Поставщики_исходные!E48," ",""),"-",""),"+",""),"(",""),")","")),8,2)&amp;"-"&amp;MID(IF(LEFT(SUBSTITUTE(SUBSTITUTE(SUBSTITUTE(SUBSTITUTE(SUBSTITUTE(Поставщики_исходные!E48," ",""),"-",""),"+",""),"(",""),")",""))="8","7"&amp;MID(SUBSTITUTE(SUBSTITUTE(SUBSTITUTE(SUBSTITUTE(SUBSTITUTE(Поставщики_исходные!E48," ",""),"-",""),"+",""),"(",""),")",""),2,10),SUBSTITUTE(SUBSTITUTE(SUBSTITUTE(SUBSTITUTE(SUBSTITUTE(Поставщики_исходные!E48," ",""),"-",""),"+",""),"(",""),")","")),10,2),IF(LEN(SUBSTITUTE(SUBSTITUTE(SUBSTITUTE(SUBSTITUTE(SUBSTITUTE(Поставщики_исходные!E48," ",""),"-",""),"+",""),"(",""),")",""))=10,"+7 ("&amp;MID(SUBSTITUTE(SUBSTITUTE(SUBSTITUTE(SUBSTITUTE(SUBSTITUTE(Поставщики_исходные!E48," ",""),"-",""),"+",""),"(",""),")",""),1,3)&amp;") "&amp;MID(SUBSTITUTE(SUBSTITUTE(SUBSTITUTE(SUBSTITUTE(SUBSTITUTE(Поставщики_исходные!E48," ",""),"-",""),"+",""),"(",""),")",""),4,3)&amp;"-"&amp;MID(SUBSTITUTE(SUBSTITUTE(SUBSTITUTE(SUBSTITUTE(SUBSTITUTE(Поставщики_исходные!E48," ",""),"-",""),"+",""),"(",""),")",""),6,2)&amp;"-"&amp;MID(SUBSTITUTE(SUBSTITUTE(SUBSTITUTE(SUBSTITUTE(SUBSTITUTE(Поставщики_исходные!E48," ",""),"-",""),"+",""),"(",""),")",""),8,2),Поставщики_исходные!E48)))</f>
        <v xml:space="preserve">+7 (903) 789-01-23</v>
      </c>
      <c r="F48" t="str">
        <f>IF(ISBLANK(Поставщики_исходные!F48),"",IF(ISNUMBER(FIND(".",MID(Поставщики_исходные!F48,FIND("@",Поставщики_исходные!F48)+1,255))),Поставщики_исходные!F48,IF(ISNUMBER(FIND("gmail",Поставщики_исходные!F48)),Поставщики_исходные!F48&amp;".com",Поставщики_исходные!F48&amp;".ru")))</f>
        <v>stroy@tehno.ru</v>
      </c>
      <c r="G48" t="str">
        <f>TRIM(Поставщики_исходные!G48)</f>
        <v xml:space="preserve">193231 г.Санкт-Петербург ул.Дыбенко д.14</v>
      </c>
      <c r="H48" t="str">
        <f>IF(ISNUMBER(VALUE(LEFT(TRIM(Поставщики_исходные!G48),6))),LEFT(TRIM(Поставщики_исходные!G48),6),"")</f>
        <v>193231</v>
      </c>
      <c r="I48" t="str">
        <f>TRIM(MID(TRIM(Поставщики_исходные!G48),7,255))</f>
        <v xml:space="preserve">г.Санкт-Петербург ул.Дыбенко д.14</v>
      </c>
      <c r="J48" t="str">
        <f t="shared" si="22"/>
        <v xml:space="preserve">Ошибка ИНН</v>
      </c>
      <c r="K48" t="str">
        <f t="shared" si="23"/>
        <v>OK</v>
      </c>
    </row>
    <row r="49">
      <c r="A49" t="str">
        <f>Поставщики_исходные!A49</f>
        <v>P048</v>
      </c>
      <c r="B49" t="str">
        <f>PROPER(TRIM(Поставщики_исходные!B49))</f>
        <v xml:space="preserve">Ао Техноавтоматика</v>
      </c>
      <c r="C49" s="5" t="str">
        <f>IF(ISBLANK(Поставщики_исходные!C47),"",TRIM(Поставщики_исходные!C47))</f>
        <v>77334567</v>
      </c>
      <c r="D49" t="str">
        <f>Поставщики_исходные!D49</f>
        <v>773201001</v>
      </c>
      <c r="E49" s="6" t="str">
        <f>IF(ISBLANK(Поставщики_исходные!E49),"",IF(LEN(SUBSTITUTE(SUBSTITUTE(SUBSTITUTE(SUBSTITUTE(SUBSTITUTE(Поставщики_исходные!E49," ",""),"-",""),"+",""),"(",""),")",""))=11,"+7 ("&amp;MID(IF(LEFT(SUBSTITUTE(SUBSTITUTE(SUBSTITUTE(SUBSTITUTE(SUBSTITUTE(Поставщики_исходные!E49," ",""),"-",""),"+",""),"(",""),")",""))="8","7"&amp;MID(SUBSTITUTE(SUBSTITUTE(SUBSTITUTE(SUBSTITUTE(SUBSTITUTE(Поставщики_исходные!E49," ",""),"-",""),"+",""),"(",""),")",""),2,10),SUBSTITUTE(SUBSTITUTE(SUBSTITUTE(SUBSTITUTE(SUBSTITUTE(Поставщики_исходные!E49," ",""),"-",""),"+",""),"(",""),")","")),2,3)&amp;") "&amp;MID(IF(LEFT(SUBSTITUTE(SUBSTITUTE(SUBSTITUTE(SUBSTITUTE(SUBSTITUTE(Поставщики_исходные!E49," ",""),"-",""),"+",""),"(",""),")",""))="8","7"&amp;MID(SUBSTITUTE(SUBSTITUTE(SUBSTITUTE(SUBSTITUTE(SUBSTITUTE(Поставщики_исходные!E49," ",""),"-",""),"+",""),"(",""),")",""),2,10),SUBSTITUTE(SUBSTITUTE(SUBSTITUTE(SUBSTITUTE(SUBSTITUTE(Поставщики_исходные!E49," ",""),"-",""),"+",""),"(",""),")","")),5,3)&amp;"-"&amp;MID(IF(LEFT(SUBSTITUTE(SUBSTITUTE(SUBSTITUTE(SUBSTITUTE(SUBSTITUTE(Поставщики_исходные!E49," ",""),"-",""),"+",""),"(",""),")",""))="8","7"&amp;MID(SUBSTITUTE(SUBSTITUTE(SUBSTITUTE(SUBSTITUTE(SUBSTITUTE(Поставщики_исходные!E49," ",""),"-",""),"+",""),"(",""),")",""),2,10),SUBSTITUTE(SUBSTITUTE(SUBSTITUTE(SUBSTITUTE(SUBSTITUTE(Поставщики_исходные!E49," ",""),"-",""),"+",""),"(",""),")","")),8,2)&amp;"-"&amp;MID(IF(LEFT(SUBSTITUTE(SUBSTITUTE(SUBSTITUTE(SUBSTITUTE(SUBSTITUTE(Поставщики_исходные!E49," ",""),"-",""),"+",""),"(",""),")",""))="8","7"&amp;MID(SUBSTITUTE(SUBSTITUTE(SUBSTITUTE(SUBSTITUTE(SUBSTITUTE(Поставщики_исходные!E49," ",""),"-",""),"+",""),"(",""),")",""),2,10),SUBSTITUTE(SUBSTITUTE(SUBSTITUTE(SUBSTITUTE(SUBSTITUTE(Поставщики_исходные!E49," ",""),"-",""),"+",""),"(",""),")","")),10,2),IF(LEN(SUBSTITUTE(SUBSTITUTE(SUBSTITUTE(SUBSTITUTE(SUBSTITUTE(Поставщики_исходные!E49," ",""),"-",""),"+",""),"(",""),")",""))=10,"+7 ("&amp;MID(SUBSTITUTE(SUBSTITUTE(SUBSTITUTE(SUBSTITUTE(SUBSTITUTE(Поставщики_исходные!E49," ",""),"-",""),"+",""),"(",""),")",""),1,3)&amp;") "&amp;MID(SUBSTITUTE(SUBSTITUTE(SUBSTITUTE(SUBSTITUTE(SUBSTITUTE(Поставщики_исходные!E49," ",""),"-",""),"+",""),"(",""),")",""),4,3)&amp;"-"&amp;MID(SUBSTITUTE(SUBSTITUTE(SUBSTITUTE(SUBSTITUTE(SUBSTITUTE(Поставщики_исходные!E49," ",""),"-",""),"+",""),"(",""),")",""),6,2)&amp;"-"&amp;MID(SUBSTITUTE(SUBSTITUTE(SUBSTITUTE(SUBSTITUTE(SUBSTITUTE(Поставщики_исходные!E49," ",""),"-",""),"+",""),"(",""),")",""),8,2),Поставщики_исходные!E49)))</f>
        <v xml:space="preserve">+7 (903) 890-12-34</v>
      </c>
      <c r="F49" t="str">
        <f>IF(ISBLANK(Поставщики_исходные!F49),"",IF(ISNUMBER(FIND(".",MID(Поставщики_исходные!F49,FIND("@",Поставщики_исходные!F49)+1,255))),Поставщики_исходные!F49,IF(ISNUMBER(FIND("gmail",Поставщики_исходные!F49)),Поставщики_исходные!F49&amp;".com",Поставщики_исходные!F49&amp;".ru")))</f>
        <v>avtomatika@tehno.ru</v>
      </c>
      <c r="G49" t="str">
        <f>TRIM(Поставщики_исходные!G49)</f>
        <v xml:space="preserve">109012 г.Москва ул.Никольская д.8</v>
      </c>
      <c r="H49" t="str">
        <f>IF(ISNUMBER(VALUE(LEFT(TRIM(Поставщики_исходные!G49),6))),LEFT(TRIM(Поставщики_исходные!G49),6),"")</f>
        <v>109012</v>
      </c>
      <c r="I49" t="str">
        <f>TRIM(MID(TRIM(Поставщики_исходные!G49),7,255))</f>
        <v xml:space="preserve">г.Москва ул.Никольская д.8</v>
      </c>
      <c r="J49" t="str">
        <f t="shared" si="22"/>
        <v xml:space="preserve">Ошибка ИНН</v>
      </c>
      <c r="K49" t="str">
        <f t="shared" si="23"/>
        <v>OK</v>
      </c>
    </row>
    <row r="50">
      <c r="A50" t="str">
        <f>Поставщики_исходные!A50</f>
        <v>P049</v>
      </c>
      <c r="B50" t="str">
        <f>PROPER(TRIM(Поставщики_исходные!B50))</f>
        <v xml:space="preserve">Ооо Техноконтроль</v>
      </c>
      <c r="C50" s="5" t="str">
        <f>IF(ISBLANK(Поставщики_исходные!C48),"",TRIM(Поставщики_исходные!C48))</f>
        <v>7822345678</v>
      </c>
      <c r="D50" t="str">
        <f>Поставщики_исходные!D50</f>
        <v>782301001</v>
      </c>
      <c r="E50" s="6" t="str">
        <f>IF(ISBLANK(Поставщики_исходные!E50),"",IF(LEN(SUBSTITUTE(SUBSTITUTE(SUBSTITUTE(SUBSTITUTE(SUBSTITUTE(Поставщики_исходные!E50," ",""),"-",""),"+",""),"(",""),")",""))=11,"+7 ("&amp;MID(IF(LEFT(SUBSTITUTE(SUBSTITUTE(SUBSTITUTE(SUBSTITUTE(SUBSTITUTE(Поставщики_исходные!E50," ",""),"-",""),"+",""),"(",""),")",""))="8","7"&amp;MID(SUBSTITUTE(SUBSTITUTE(SUBSTITUTE(SUBSTITUTE(SUBSTITUTE(Поставщики_исходные!E50," ",""),"-",""),"+",""),"(",""),")",""),2,10),SUBSTITUTE(SUBSTITUTE(SUBSTITUTE(SUBSTITUTE(SUBSTITUTE(Поставщики_исходные!E50," ",""),"-",""),"+",""),"(",""),")","")),2,3)&amp;") "&amp;MID(IF(LEFT(SUBSTITUTE(SUBSTITUTE(SUBSTITUTE(SUBSTITUTE(SUBSTITUTE(Поставщики_исходные!E50," ",""),"-",""),"+",""),"(",""),")",""))="8","7"&amp;MID(SUBSTITUTE(SUBSTITUTE(SUBSTITUTE(SUBSTITUTE(SUBSTITUTE(Поставщики_исходные!E50," ",""),"-",""),"+",""),"(",""),")",""),2,10),SUBSTITUTE(SUBSTITUTE(SUBSTITUTE(SUBSTITUTE(SUBSTITUTE(Поставщики_исходные!E50," ",""),"-",""),"+",""),"(",""),")","")),5,3)&amp;"-"&amp;MID(IF(LEFT(SUBSTITUTE(SUBSTITUTE(SUBSTITUTE(SUBSTITUTE(SUBSTITUTE(Поставщики_исходные!E50," ",""),"-",""),"+",""),"(",""),")",""))="8","7"&amp;MID(SUBSTITUTE(SUBSTITUTE(SUBSTITUTE(SUBSTITUTE(SUBSTITUTE(Поставщики_исходные!E50," ",""),"-",""),"+",""),"(",""),")",""),2,10),SUBSTITUTE(SUBSTITUTE(SUBSTITUTE(SUBSTITUTE(SUBSTITUTE(Поставщики_исходные!E50," ",""),"-",""),"+",""),"(",""),")","")),8,2)&amp;"-"&amp;MID(IF(LEFT(SUBSTITUTE(SUBSTITUTE(SUBSTITUTE(SUBSTITUTE(SUBSTITUTE(Поставщики_исходные!E50," ",""),"-",""),"+",""),"(",""),")",""))="8","7"&amp;MID(SUBSTITUTE(SUBSTITUTE(SUBSTITUTE(SUBSTITUTE(SUBSTITUTE(Поставщики_исходные!E50," ",""),"-",""),"+",""),"(",""),")",""),2,10),SUBSTITUTE(SUBSTITUTE(SUBSTITUTE(SUBSTITUTE(SUBSTITUTE(Поставщики_исходные!E50," ",""),"-",""),"+",""),"(",""),")","")),10,2),IF(LEN(SUBSTITUTE(SUBSTITUTE(SUBSTITUTE(SUBSTITUTE(SUBSTITUTE(Поставщики_исходные!E50," ",""),"-",""),"+",""),"(",""),")",""))=10,"+7 ("&amp;MID(SUBSTITUTE(SUBSTITUTE(SUBSTITUTE(SUBSTITUTE(SUBSTITUTE(Поставщики_исходные!E50," ",""),"-",""),"+",""),"(",""),")",""),1,3)&amp;") "&amp;MID(SUBSTITUTE(SUBSTITUTE(SUBSTITUTE(SUBSTITUTE(SUBSTITUTE(Поставщики_исходные!E50," ",""),"-",""),"+",""),"(",""),")",""),4,3)&amp;"-"&amp;MID(SUBSTITUTE(SUBSTITUTE(SUBSTITUTE(SUBSTITUTE(SUBSTITUTE(Поставщики_исходные!E50," ",""),"-",""),"+",""),"(",""),")",""),6,2)&amp;"-"&amp;MID(SUBSTITUTE(SUBSTITUTE(SUBSTITUTE(SUBSTITUTE(SUBSTITUTE(Поставщики_исходные!E50," ",""),"-",""),"+",""),"(",""),")",""),8,2),Поставщики_исходные!E50)))</f>
        <v xml:space="preserve">+7 (903) 901-23-45</v>
      </c>
      <c r="F50" t="str">
        <f>IF(ISBLANK(Поставщики_исходные!F50),"",IF(ISNUMBER(FIND(".",MID(Поставщики_исходные!F50,FIND("@",Поставщики_исходные!F50)+1,255))),Поставщики_исходные!F50,IF(ISNUMBER(FIND("gmail",Поставщики_исходные!F50)),Поставщики_исходные!F50&amp;".com",Поставщики_исходные!F50&amp;".ru")))</f>
        <v>kontrol@tehno.ru</v>
      </c>
      <c r="G50" t="str">
        <f>TRIM(Поставщики_исходные!G50)</f>
        <v xml:space="preserve">194044 г.Санкт-Петербург ул.Смолячкова д.7</v>
      </c>
      <c r="H50" t="str">
        <f>IF(ISNUMBER(VALUE(LEFT(TRIM(Поставщики_исходные!G50),6))),LEFT(TRIM(Поставщики_исходные!G50),6),"")</f>
        <v>194044</v>
      </c>
      <c r="I50" t="str">
        <f>TRIM(MID(TRIM(Поставщики_исходные!G50),7,255))</f>
        <v xml:space="preserve">г.Санкт-Петербург ул.Смолячкова д.7</v>
      </c>
      <c r="J50" t="str">
        <f t="shared" si="22"/>
        <v>OK</v>
      </c>
      <c r="K50" t="str">
        <f t="shared" si="23"/>
        <v>OK</v>
      </c>
    </row>
    <row r="51">
      <c r="A51" t="str">
        <f>Поставщики_исходные!A51</f>
        <v>P050</v>
      </c>
      <c r="B51" t="str">
        <f>PROPER(TRIM(Поставщики_исходные!B51))</f>
        <v xml:space="preserve">Зао Технопроект</v>
      </c>
      <c r="C51" s="5" t="str">
        <f>IF(ISBLANK(Поставщики_исходные!C49),"",TRIM(Поставщики_исходные!C49))</f>
        <v>773456789012</v>
      </c>
      <c r="D51" t="str">
        <f>Поставщики_исходные!D51</f>
        <v>773301001</v>
      </c>
      <c r="E51" s="6" t="str">
        <f>IF(ISBLANK(Поставщики_исходные!E51),"",IF(LEN(SUBSTITUTE(SUBSTITUTE(SUBSTITUTE(SUBSTITUTE(SUBSTITUTE(Поставщики_исходные!E51," ",""),"-",""),"+",""),"(",""),")",""))=11,"+7 ("&amp;MID(IF(LEFT(SUBSTITUTE(SUBSTITUTE(SUBSTITUTE(SUBSTITUTE(SUBSTITUTE(Поставщики_исходные!E51," ",""),"-",""),"+",""),"(",""),")",""))="8","7"&amp;MID(SUBSTITUTE(SUBSTITUTE(SUBSTITUTE(SUBSTITUTE(SUBSTITUTE(Поставщики_исходные!E51," ",""),"-",""),"+",""),"(",""),")",""),2,10),SUBSTITUTE(SUBSTITUTE(SUBSTITUTE(SUBSTITUTE(SUBSTITUTE(Поставщики_исходные!E51," ",""),"-",""),"+",""),"(",""),")","")),2,3)&amp;") "&amp;MID(IF(LEFT(SUBSTITUTE(SUBSTITUTE(SUBSTITUTE(SUBSTITUTE(SUBSTITUTE(Поставщики_исходные!E51," ",""),"-",""),"+",""),"(",""),")",""))="8","7"&amp;MID(SUBSTITUTE(SUBSTITUTE(SUBSTITUTE(SUBSTITUTE(SUBSTITUTE(Поставщики_исходные!E51," ",""),"-",""),"+",""),"(",""),")",""),2,10),SUBSTITUTE(SUBSTITUTE(SUBSTITUTE(SUBSTITUTE(SUBSTITUTE(Поставщики_исходные!E51," ",""),"-",""),"+",""),"(",""),")","")),5,3)&amp;"-"&amp;MID(IF(LEFT(SUBSTITUTE(SUBSTITUTE(SUBSTITUTE(SUBSTITUTE(SUBSTITUTE(Поставщики_исходные!E51," ",""),"-",""),"+",""),"(",""),")",""))="8","7"&amp;MID(SUBSTITUTE(SUBSTITUTE(SUBSTITUTE(SUBSTITUTE(SUBSTITUTE(Поставщики_исходные!E51," ",""),"-",""),"+",""),"(",""),")",""),2,10),SUBSTITUTE(SUBSTITUTE(SUBSTITUTE(SUBSTITUTE(SUBSTITUTE(Поставщики_исходные!E51," ",""),"-",""),"+",""),"(",""),")","")),8,2)&amp;"-"&amp;MID(IF(LEFT(SUBSTITUTE(SUBSTITUTE(SUBSTITUTE(SUBSTITUTE(SUBSTITUTE(Поставщики_исходные!E51," ",""),"-",""),"+",""),"(",""),")",""))="8","7"&amp;MID(SUBSTITUTE(SUBSTITUTE(SUBSTITUTE(SUBSTITUTE(SUBSTITUTE(Поставщики_исходные!E51," ",""),"-",""),"+",""),"(",""),")",""),2,10),SUBSTITUTE(SUBSTITUTE(SUBSTITUTE(SUBSTITUTE(SUBSTITUTE(Поставщики_исходные!E51," ",""),"-",""),"+",""),"(",""),")","")),10,2),IF(LEN(SUBSTITUTE(SUBSTITUTE(SUBSTITUTE(SUBSTITUTE(SUBSTITUTE(Поставщики_исходные!E51," ",""),"-",""),"+",""),"(",""),")",""))=10,"+7 ("&amp;MID(SUBSTITUTE(SUBSTITUTE(SUBSTITUTE(SUBSTITUTE(SUBSTITUTE(Поставщики_исходные!E51," ",""),"-",""),"+",""),"(",""),")",""),1,3)&amp;") "&amp;MID(SUBSTITUTE(SUBSTITUTE(SUBSTITUTE(SUBSTITUTE(SUBSTITUTE(Поставщики_исходные!E51," ",""),"-",""),"+",""),"(",""),")",""),4,3)&amp;"-"&amp;MID(SUBSTITUTE(SUBSTITUTE(SUBSTITUTE(SUBSTITUTE(SUBSTITUTE(Поставщики_исходные!E51," ",""),"-",""),"+",""),"(",""),")",""),6,2)&amp;"-"&amp;MID(SUBSTITUTE(SUBSTITUTE(SUBSTITUTE(SUBSTITUTE(SUBSTITUTE(Поставщики_исходные!E51," ",""),"-",""),"+",""),"(",""),")",""),8,2),Поставщики_исходные!E51)))</f>
        <v xml:space="preserve">+7 (903) 012-34-56</v>
      </c>
      <c r="F51" t="str">
        <f>IF(ISBLANK(Поставщики_исходные!F51),"",IF(ISNUMBER(FIND(".",MID(Поставщики_исходные!F51,FIND("@",Поставщики_исходные!F51)+1,255))),Поставщики_исходные!F51,IF(ISNUMBER(FIND("gmail",Поставщики_исходные!F51)),Поставщики_исходные!F51&amp;".com",Поставщики_исходные!F51&amp;".ru")))</f>
        <v>proekt@tehno.ru</v>
      </c>
      <c r="G51" t="str">
        <f>TRIM(Поставщики_исходные!G51)</f>
        <v xml:space="preserve">119435 г.Москва ул.Погодинская д.18</v>
      </c>
      <c r="H51" t="str">
        <f>IF(ISNUMBER(VALUE(LEFT(TRIM(Поставщики_исходные!G51),6))),LEFT(TRIM(Поставщики_исходные!G51),6),"")</f>
        <v>119435</v>
      </c>
      <c r="I51" t="str">
        <f>TRIM(MID(TRIM(Поставщики_исходные!G51),7,255))</f>
        <v xml:space="preserve">г.Москва ул.Погодинская д.18</v>
      </c>
      <c r="J51" t="str">
        <f t="shared" si="22"/>
        <v>OK</v>
      </c>
      <c r="K51" t="str">
        <f t="shared" si="23"/>
        <v>OK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8" defaultRowHeight="14.25"/>
  <cols>
    <col bestFit="1" min="1" max="1" width="10.61328125"/>
    <col bestFit="1" min="2" max="2" width="10.04296875"/>
    <col bestFit="1" min="3" max="3" width="11.09375"/>
    <col bestFit="1" min="4" max="4" width="14.421875"/>
    <col bestFit="1" min="5" max="5" width="10.90234375"/>
    <col bestFit="1" min="6" max="6" width="14.33203125"/>
    <col bestFit="1" min="7" max="7" width="9.953125"/>
  </cols>
  <sheetData>
    <row r="1">
      <c r="A1" s="7"/>
      <c r="B1" s="2" t="s">
        <v>1</v>
      </c>
      <c r="C1" s="2" t="s">
        <v>1877</v>
      </c>
      <c r="D1" s="2" t="s">
        <v>1878</v>
      </c>
      <c r="E1" s="2" t="s">
        <v>1879</v>
      </c>
      <c r="F1" s="2" t="s">
        <v>1546</v>
      </c>
      <c r="G1" s="2" t="s">
        <v>1880</v>
      </c>
    </row>
    <row r="2">
      <c r="A2" t="s">
        <v>1881</v>
      </c>
      <c r="B2" t="s">
        <v>1882</v>
      </c>
      <c r="C2" t="s">
        <v>1883</v>
      </c>
      <c r="D2" t="s">
        <v>1884</v>
      </c>
      <c r="E2" t="s">
        <v>1885</v>
      </c>
      <c r="F2" t="s">
        <v>1629</v>
      </c>
      <c r="G2" t="s">
        <v>1886</v>
      </c>
    </row>
    <row r="3">
      <c r="A3" t="s">
        <v>1881</v>
      </c>
      <c r="B3" t="s">
        <v>1887</v>
      </c>
      <c r="C3" t="s">
        <v>1888</v>
      </c>
      <c r="D3" t="s">
        <v>1889</v>
      </c>
      <c r="E3" t="s">
        <v>1890</v>
      </c>
      <c r="F3" t="s">
        <v>1595</v>
      </c>
      <c r="G3" t="s">
        <v>1891</v>
      </c>
    </row>
    <row r="4">
      <c r="A4" t="s">
        <v>1892</v>
      </c>
      <c r="B4" t="s">
        <v>21</v>
      </c>
      <c r="C4" t="s">
        <v>1893</v>
      </c>
      <c r="D4" t="s">
        <v>1894</v>
      </c>
      <c r="E4" t="s">
        <v>1895</v>
      </c>
      <c r="F4" t="s">
        <v>1702</v>
      </c>
      <c r="G4" t="s">
        <v>1896</v>
      </c>
    </row>
    <row r="5">
      <c r="A5" t="s">
        <v>1892</v>
      </c>
      <c r="B5" t="s">
        <v>1897</v>
      </c>
      <c r="C5" t="s">
        <v>1898</v>
      </c>
      <c r="D5" t="s">
        <v>1899</v>
      </c>
      <c r="E5" t="s">
        <v>1900</v>
      </c>
      <c r="F5" t="s">
        <v>1837</v>
      </c>
      <c r="G5" t="s">
        <v>1901</v>
      </c>
    </row>
    <row r="6">
      <c r="A6" t="s">
        <v>1902</v>
      </c>
      <c r="B6" t="s">
        <v>1903</v>
      </c>
      <c r="C6" t="s">
        <v>1904</v>
      </c>
      <c r="D6" t="s">
        <v>1905</v>
      </c>
      <c r="E6" t="s">
        <v>1906</v>
      </c>
      <c r="F6" t="s">
        <v>1602</v>
      </c>
      <c r="G6" t="s">
        <v>1907</v>
      </c>
    </row>
    <row r="7">
      <c r="A7" t="s">
        <v>1902</v>
      </c>
      <c r="B7" t="s">
        <v>364</v>
      </c>
      <c r="C7" t="s">
        <v>1888</v>
      </c>
      <c r="D7" t="s">
        <v>1908</v>
      </c>
      <c r="E7" t="s">
        <v>1909</v>
      </c>
      <c r="F7" t="s">
        <v>1752</v>
      </c>
      <c r="G7" t="s">
        <v>1910</v>
      </c>
    </row>
    <row r="8">
      <c r="A8" t="s">
        <v>1911</v>
      </c>
      <c r="B8" t="s">
        <v>1912</v>
      </c>
      <c r="C8" t="s">
        <v>1913</v>
      </c>
      <c r="D8" t="s">
        <v>1914</v>
      </c>
      <c r="E8" t="s">
        <v>1915</v>
      </c>
      <c r="F8" t="s">
        <v>1675</v>
      </c>
      <c r="G8" t="s">
        <v>1886</v>
      </c>
    </row>
    <row r="9">
      <c r="A9" t="s">
        <v>1911</v>
      </c>
      <c r="B9" t="s">
        <v>1916</v>
      </c>
      <c r="C9" t="s">
        <v>1883</v>
      </c>
      <c r="D9" t="s">
        <v>1917</v>
      </c>
      <c r="E9" t="s">
        <v>1918</v>
      </c>
      <c r="F9" t="s">
        <v>1819</v>
      </c>
      <c r="G9" t="s">
        <v>1896</v>
      </c>
    </row>
    <row r="10">
      <c r="A10" t="s">
        <v>1919</v>
      </c>
      <c r="B10" t="s">
        <v>1920</v>
      </c>
      <c r="C10" t="s">
        <v>1921</v>
      </c>
      <c r="D10" t="s">
        <v>1922</v>
      </c>
      <c r="E10" t="s">
        <v>1923</v>
      </c>
      <c r="F10" t="s">
        <v>1581</v>
      </c>
      <c r="G10" t="s">
        <v>1891</v>
      </c>
    </row>
    <row r="11">
      <c r="A11" t="s">
        <v>1919</v>
      </c>
      <c r="B11" t="s">
        <v>1924</v>
      </c>
      <c r="C11" t="s">
        <v>1925</v>
      </c>
      <c r="D11" t="s">
        <v>1926</v>
      </c>
      <c r="E11" t="s">
        <v>1927</v>
      </c>
      <c r="F11" t="s">
        <v>1783</v>
      </c>
      <c r="G11" t="s">
        <v>1928</v>
      </c>
    </row>
    <row r="12">
      <c r="A12" t="s">
        <v>1929</v>
      </c>
      <c r="B12" t="s">
        <v>1930</v>
      </c>
      <c r="C12" t="s">
        <v>1913</v>
      </c>
      <c r="D12" t="s">
        <v>1931</v>
      </c>
      <c r="E12" t="s">
        <v>1932</v>
      </c>
      <c r="F12" t="s">
        <v>1643</v>
      </c>
      <c r="G12" t="s">
        <v>1910</v>
      </c>
    </row>
    <row r="13">
      <c r="A13" t="s">
        <v>1929</v>
      </c>
      <c r="B13" t="s">
        <v>1933</v>
      </c>
      <c r="C13" t="s">
        <v>1888</v>
      </c>
      <c r="D13" t="s">
        <v>1934</v>
      </c>
      <c r="E13" t="s">
        <v>1935</v>
      </c>
      <c r="F13" t="s">
        <v>1733</v>
      </c>
      <c r="G13" t="s">
        <v>1886</v>
      </c>
    </row>
    <row r="14">
      <c r="A14" t="s">
        <v>1936</v>
      </c>
      <c r="B14" t="s">
        <v>1937</v>
      </c>
      <c r="C14" t="s">
        <v>1883</v>
      </c>
      <c r="D14" t="s">
        <v>1938</v>
      </c>
      <c r="E14" t="s">
        <v>1939</v>
      </c>
      <c r="F14" t="s">
        <v>1609</v>
      </c>
      <c r="G14" t="s">
        <v>1907</v>
      </c>
    </row>
    <row r="15">
      <c r="A15" t="s">
        <v>1936</v>
      </c>
      <c r="B15" t="s">
        <v>1940</v>
      </c>
      <c r="C15" t="s">
        <v>1888</v>
      </c>
      <c r="D15" t="s">
        <v>1941</v>
      </c>
      <c r="E15" t="s">
        <v>1942</v>
      </c>
      <c r="F15" t="s">
        <v>1813</v>
      </c>
      <c r="G15" t="s">
        <v>1896</v>
      </c>
    </row>
    <row r="16">
      <c r="A16" t="s">
        <v>1943</v>
      </c>
      <c r="B16" t="s">
        <v>1944</v>
      </c>
      <c r="C16" t="s">
        <v>1893</v>
      </c>
      <c r="D16" t="s">
        <v>1945</v>
      </c>
      <c r="E16" t="s">
        <v>1946</v>
      </c>
      <c r="F16" t="s">
        <v>1663</v>
      </c>
      <c r="G16" t="s">
        <v>1901</v>
      </c>
    </row>
    <row r="17">
      <c r="A17" t="s">
        <v>1943</v>
      </c>
      <c r="B17" t="s">
        <v>1348</v>
      </c>
      <c r="C17" t="s">
        <v>1898</v>
      </c>
      <c r="D17" t="s">
        <v>1947</v>
      </c>
      <c r="E17" t="s">
        <v>1948</v>
      </c>
      <c r="F17" t="s">
        <v>1759</v>
      </c>
      <c r="G17" t="s">
        <v>1886</v>
      </c>
    </row>
    <row r="18">
      <c r="A18" t="s">
        <v>1949</v>
      </c>
      <c r="B18" t="s">
        <v>1950</v>
      </c>
      <c r="C18" t="s">
        <v>1883</v>
      </c>
      <c r="D18" t="s">
        <v>1951</v>
      </c>
      <c r="E18" t="s">
        <v>1952</v>
      </c>
      <c r="F18" t="s">
        <v>1861</v>
      </c>
      <c r="G18" t="s">
        <v>1891</v>
      </c>
    </row>
    <row r="19">
      <c r="A19" t="s">
        <v>1949</v>
      </c>
      <c r="B19" t="s">
        <v>1953</v>
      </c>
      <c r="C19" t="s">
        <v>1888</v>
      </c>
      <c r="D19" t="s">
        <v>1954</v>
      </c>
      <c r="E19" t="s">
        <v>1955</v>
      </c>
      <c r="F19" t="s">
        <v>1588</v>
      </c>
      <c r="G19" t="s">
        <v>1910</v>
      </c>
    </row>
    <row r="20">
      <c r="A20" t="s">
        <v>1956</v>
      </c>
      <c r="B20" t="s">
        <v>1957</v>
      </c>
      <c r="C20" t="s">
        <v>1913</v>
      </c>
      <c r="D20" t="s">
        <v>1958</v>
      </c>
      <c r="E20" t="s">
        <v>1959</v>
      </c>
      <c r="F20" t="s">
        <v>1708</v>
      </c>
      <c r="G20" t="s">
        <v>1896</v>
      </c>
    </row>
    <row r="21">
      <c r="A21" t="s">
        <v>1956</v>
      </c>
      <c r="B21" t="s">
        <v>1960</v>
      </c>
      <c r="C21" t="s">
        <v>1883</v>
      </c>
      <c r="D21" t="s">
        <v>1961</v>
      </c>
      <c r="E21" t="s">
        <v>1962</v>
      </c>
      <c r="F21" t="s">
        <v>1650</v>
      </c>
      <c r="G21" t="s">
        <v>1886</v>
      </c>
    </row>
    <row r="22">
      <c r="A22" t="s">
        <v>1963</v>
      </c>
      <c r="B22" t="s">
        <v>1964</v>
      </c>
      <c r="C22" t="s">
        <v>1921</v>
      </c>
      <c r="D22" t="s">
        <v>1965</v>
      </c>
      <c r="E22" t="s">
        <v>1966</v>
      </c>
      <c r="F22" t="s">
        <v>1789</v>
      </c>
      <c r="G22" t="s">
        <v>1907</v>
      </c>
    </row>
    <row r="23">
      <c r="A23" t="s">
        <v>1963</v>
      </c>
      <c r="B23" t="s">
        <v>1967</v>
      </c>
      <c r="C23" t="s">
        <v>1968</v>
      </c>
      <c r="D23" t="s">
        <v>1969</v>
      </c>
      <c r="E23" t="s">
        <v>1970</v>
      </c>
      <c r="F23" t="s">
        <v>1855</v>
      </c>
      <c r="G23" t="s">
        <v>1901</v>
      </c>
    </row>
    <row r="24">
      <c r="A24" t="s">
        <v>1971</v>
      </c>
      <c r="B24" t="s">
        <v>397</v>
      </c>
      <c r="C24" t="s">
        <v>1883</v>
      </c>
      <c r="D24" t="s">
        <v>1972</v>
      </c>
      <c r="E24" t="s">
        <v>1973</v>
      </c>
      <c r="F24" t="s">
        <v>1574</v>
      </c>
      <c r="G24" t="s">
        <v>1910</v>
      </c>
    </row>
    <row r="25">
      <c r="A25" t="s">
        <v>1971</v>
      </c>
      <c r="B25" t="s">
        <v>1974</v>
      </c>
      <c r="C25" t="s">
        <v>1888</v>
      </c>
      <c r="D25" t="s">
        <v>1975</v>
      </c>
      <c r="E25" t="s">
        <v>1976</v>
      </c>
      <c r="F25" t="s">
        <v>1721</v>
      </c>
      <c r="G25" t="s">
        <v>1886</v>
      </c>
    </row>
    <row r="26">
      <c r="A26" t="s">
        <v>1977</v>
      </c>
      <c r="B26" t="s">
        <v>103</v>
      </c>
      <c r="C26" t="s">
        <v>1883</v>
      </c>
      <c r="D26" t="s">
        <v>1978</v>
      </c>
      <c r="E26" t="s">
        <v>1979</v>
      </c>
      <c r="F26" t="s">
        <v>1636</v>
      </c>
      <c r="G26" t="s">
        <v>1891</v>
      </c>
    </row>
    <row r="27">
      <c r="A27" t="s">
        <v>1977</v>
      </c>
      <c r="B27" t="s">
        <v>1980</v>
      </c>
      <c r="C27" t="s">
        <v>1913</v>
      </c>
      <c r="D27" t="s">
        <v>1981</v>
      </c>
      <c r="E27" t="s">
        <v>1982</v>
      </c>
      <c r="F27" t="s">
        <v>1771</v>
      </c>
      <c r="G27" t="s">
        <v>1896</v>
      </c>
    </row>
    <row r="28">
      <c r="A28" t="s">
        <v>1983</v>
      </c>
      <c r="B28" t="s">
        <v>1984</v>
      </c>
      <c r="C28" t="s">
        <v>1921</v>
      </c>
      <c r="D28" t="s">
        <v>1985</v>
      </c>
      <c r="E28" t="s">
        <v>1986</v>
      </c>
      <c r="F28" t="s">
        <v>1831</v>
      </c>
      <c r="G28" t="s">
        <v>1901</v>
      </c>
    </row>
    <row r="29">
      <c r="A29" t="s">
        <v>1983</v>
      </c>
      <c r="B29" t="s">
        <v>910</v>
      </c>
      <c r="C29" t="s">
        <v>1925</v>
      </c>
      <c r="D29" t="s">
        <v>1987</v>
      </c>
      <c r="E29" t="s">
        <v>1988</v>
      </c>
      <c r="F29" t="s">
        <v>1553</v>
      </c>
      <c r="G29" t="s">
        <v>1907</v>
      </c>
    </row>
    <row r="30">
      <c r="A30" t="s">
        <v>1989</v>
      </c>
      <c r="B30" t="s">
        <v>1990</v>
      </c>
      <c r="C30" t="s">
        <v>1888</v>
      </c>
      <c r="D30" t="s">
        <v>1991</v>
      </c>
      <c r="E30" t="s">
        <v>1992</v>
      </c>
      <c r="F30" t="s">
        <v>1688</v>
      </c>
      <c r="G30" t="s">
        <v>1886</v>
      </c>
    </row>
    <row r="31">
      <c r="A31" t="s">
        <v>1989</v>
      </c>
      <c r="B31" t="s">
        <v>1993</v>
      </c>
      <c r="C31" t="s">
        <v>1913</v>
      </c>
      <c r="D31" t="s">
        <v>1994</v>
      </c>
      <c r="E31" t="s">
        <v>1995</v>
      </c>
      <c r="F31" t="s">
        <v>1801</v>
      </c>
      <c r="G31" t="s">
        <v>1910</v>
      </c>
    </row>
    <row r="32">
      <c r="A32" t="s">
        <v>1996</v>
      </c>
      <c r="B32" t="s">
        <v>1997</v>
      </c>
      <c r="C32" t="s">
        <v>1883</v>
      </c>
      <c r="D32" t="s">
        <v>1884</v>
      </c>
      <c r="E32" t="s">
        <v>1998</v>
      </c>
      <c r="F32" t="s">
        <v>1867</v>
      </c>
      <c r="G32" t="s">
        <v>1896</v>
      </c>
    </row>
    <row r="33">
      <c r="A33" t="s">
        <v>1996</v>
      </c>
      <c r="B33" t="s">
        <v>1999</v>
      </c>
      <c r="C33" t="s">
        <v>1888</v>
      </c>
      <c r="D33" t="s">
        <v>1931</v>
      </c>
      <c r="E33" t="s">
        <v>2000</v>
      </c>
      <c r="F33" t="s">
        <v>1623</v>
      </c>
      <c r="G33" t="s">
        <v>1891</v>
      </c>
    </row>
    <row r="34">
      <c r="A34" t="s">
        <v>2001</v>
      </c>
      <c r="B34" t="s">
        <v>2002</v>
      </c>
      <c r="C34" t="s">
        <v>2003</v>
      </c>
      <c r="D34" t="s">
        <v>1894</v>
      </c>
      <c r="E34" t="s">
        <v>2004</v>
      </c>
      <c r="F34" t="s">
        <v>1727</v>
      </c>
      <c r="G34" t="s">
        <v>1886</v>
      </c>
    </row>
    <row r="35">
      <c r="A35" t="s">
        <v>2001</v>
      </c>
      <c r="B35" t="s">
        <v>1040</v>
      </c>
      <c r="C35" t="s">
        <v>1898</v>
      </c>
      <c r="D35" t="s">
        <v>1899</v>
      </c>
      <c r="E35" t="s">
        <v>2005</v>
      </c>
      <c r="F35" t="s">
        <v>1669</v>
      </c>
      <c r="G35" t="s">
        <v>1907</v>
      </c>
    </row>
    <row r="36">
      <c r="A36" t="s">
        <v>2006</v>
      </c>
      <c r="B36" t="s">
        <v>2007</v>
      </c>
      <c r="C36" t="s">
        <v>1913</v>
      </c>
      <c r="D36" t="s">
        <v>1905</v>
      </c>
      <c r="E36" t="s">
        <v>2008</v>
      </c>
      <c r="F36" t="s">
        <v>1807</v>
      </c>
      <c r="G36" t="s">
        <v>1901</v>
      </c>
    </row>
    <row r="37">
      <c r="A37" t="s">
        <v>2006</v>
      </c>
      <c r="B37" t="s">
        <v>364</v>
      </c>
      <c r="C37" t="s">
        <v>1883</v>
      </c>
      <c r="D37" t="s">
        <v>1934</v>
      </c>
      <c r="E37" t="s">
        <v>2009</v>
      </c>
      <c r="F37" t="s">
        <v>1567</v>
      </c>
      <c r="G37" t="s">
        <v>1910</v>
      </c>
    </row>
    <row r="38">
      <c r="A38" t="s">
        <v>2010</v>
      </c>
      <c r="B38" t="s">
        <v>2011</v>
      </c>
      <c r="C38" t="s">
        <v>1888</v>
      </c>
      <c r="D38" t="s">
        <v>1947</v>
      </c>
      <c r="E38" t="s">
        <v>2012</v>
      </c>
      <c r="F38" t="s">
        <v>1714</v>
      </c>
      <c r="G38" t="s">
        <v>1886</v>
      </c>
    </row>
    <row r="39">
      <c r="A39" t="s">
        <v>2010</v>
      </c>
      <c r="B39" t="s">
        <v>2013</v>
      </c>
      <c r="C39" t="s">
        <v>2014</v>
      </c>
      <c r="D39" t="s">
        <v>1951</v>
      </c>
      <c r="E39" t="s">
        <v>2015</v>
      </c>
      <c r="F39" t="s">
        <v>1616</v>
      </c>
      <c r="G39" t="s">
        <v>1891</v>
      </c>
    </row>
    <row r="40">
      <c r="A40" t="s">
        <v>2016</v>
      </c>
      <c r="B40" t="s">
        <v>783</v>
      </c>
      <c r="C40" t="s">
        <v>2003</v>
      </c>
      <c r="D40" t="s">
        <v>1954</v>
      </c>
      <c r="E40" t="s">
        <v>2017</v>
      </c>
      <c r="F40" t="s">
        <v>1765</v>
      </c>
      <c r="G40" t="s">
        <v>1896</v>
      </c>
    </row>
    <row r="41">
      <c r="A41" t="s">
        <v>2016</v>
      </c>
      <c r="B41" t="s">
        <v>2018</v>
      </c>
      <c r="C41" t="s">
        <v>1968</v>
      </c>
      <c r="D41" t="s">
        <v>1938</v>
      </c>
      <c r="E41" t="s">
        <v>2019</v>
      </c>
      <c r="F41" t="s">
        <v>1849</v>
      </c>
      <c r="G41" t="s">
        <v>1901</v>
      </c>
    </row>
    <row r="42">
      <c r="A42" t="s">
        <v>2020</v>
      </c>
      <c r="B42" t="s">
        <v>2021</v>
      </c>
      <c r="C42" t="s">
        <v>1888</v>
      </c>
      <c r="D42" t="s">
        <v>1941</v>
      </c>
      <c r="E42" t="s">
        <v>2022</v>
      </c>
      <c r="F42" t="s">
        <v>1682</v>
      </c>
      <c r="G42" t="s">
        <v>1907</v>
      </c>
    </row>
    <row r="43">
      <c r="A43" t="s">
        <v>2020</v>
      </c>
      <c r="B43" t="s">
        <v>2023</v>
      </c>
      <c r="C43" t="s">
        <v>1883</v>
      </c>
      <c r="D43" t="s">
        <v>1945</v>
      </c>
      <c r="E43" t="s">
        <v>2024</v>
      </c>
      <c r="F43" t="s">
        <v>1560</v>
      </c>
      <c r="G43" t="s">
        <v>1886</v>
      </c>
    </row>
    <row r="44">
      <c r="A44" t="s">
        <v>2025</v>
      </c>
      <c r="B44" t="s">
        <v>2026</v>
      </c>
      <c r="C44" t="s">
        <v>1913</v>
      </c>
      <c r="D44" t="s">
        <v>2027</v>
      </c>
      <c r="E44" t="s">
        <v>2028</v>
      </c>
      <c r="F44" t="s">
        <v>1795</v>
      </c>
      <c r="G44" t="s">
        <v>1910</v>
      </c>
    </row>
    <row r="45">
      <c r="A45" t="s">
        <v>2025</v>
      </c>
      <c r="B45" t="s">
        <v>1251</v>
      </c>
      <c r="C45" t="s">
        <v>1888</v>
      </c>
      <c r="D45" t="s">
        <v>2029</v>
      </c>
      <c r="E45" t="s">
        <v>2030</v>
      </c>
      <c r="F45" t="s">
        <v>1657</v>
      </c>
      <c r="G45" t="s">
        <v>1891</v>
      </c>
    </row>
    <row r="46">
      <c r="A46" t="s">
        <v>2031</v>
      </c>
      <c r="B46" t="s">
        <v>2032</v>
      </c>
      <c r="C46" t="s">
        <v>1921</v>
      </c>
      <c r="D46" t="s">
        <v>2033</v>
      </c>
      <c r="E46" t="s">
        <v>2034</v>
      </c>
      <c r="F46" t="s">
        <v>1739</v>
      </c>
      <c r="G46" t="s">
        <v>1896</v>
      </c>
    </row>
    <row r="47">
      <c r="A47" t="s">
        <v>2031</v>
      </c>
      <c r="B47" t="s">
        <v>2035</v>
      </c>
      <c r="C47" t="s">
        <v>1925</v>
      </c>
      <c r="D47" t="s">
        <v>1987</v>
      </c>
      <c r="E47" t="s">
        <v>2036</v>
      </c>
      <c r="F47" t="s">
        <v>1777</v>
      </c>
      <c r="G47" t="s">
        <v>1886</v>
      </c>
    </row>
    <row r="48">
      <c r="A48" t="s">
        <v>2037</v>
      </c>
      <c r="B48" t="s">
        <v>2038</v>
      </c>
      <c r="C48" t="s">
        <v>1883</v>
      </c>
      <c r="D48" t="s">
        <v>1991</v>
      </c>
      <c r="E48" t="s">
        <v>2039</v>
      </c>
      <c r="F48" t="s">
        <v>1843</v>
      </c>
      <c r="G48" t="s">
        <v>1907</v>
      </c>
    </row>
    <row r="49">
      <c r="A49" t="s">
        <v>2037</v>
      </c>
      <c r="B49" t="s">
        <v>2040</v>
      </c>
      <c r="C49" t="s">
        <v>1913</v>
      </c>
      <c r="D49" t="s">
        <v>1994</v>
      </c>
      <c r="E49" t="s">
        <v>2041</v>
      </c>
      <c r="F49" t="s">
        <v>1695</v>
      </c>
      <c r="G49" t="s">
        <v>1901</v>
      </c>
    </row>
    <row r="50">
      <c r="A50" t="s">
        <v>2042</v>
      </c>
      <c r="B50" t="s">
        <v>2043</v>
      </c>
      <c r="C50" t="s">
        <v>1888</v>
      </c>
      <c r="D50" t="s">
        <v>1914</v>
      </c>
      <c r="E50" t="s">
        <v>2044</v>
      </c>
      <c r="F50" t="s">
        <v>1825</v>
      </c>
      <c r="G50" t="s">
        <v>1910</v>
      </c>
    </row>
    <row r="51">
      <c r="A51" t="s">
        <v>2042</v>
      </c>
      <c r="B51" t="s">
        <v>2045</v>
      </c>
      <c r="C51" t="s">
        <v>1883</v>
      </c>
      <c r="D51" t="s">
        <v>1889</v>
      </c>
      <c r="E51" t="s">
        <v>2046</v>
      </c>
      <c r="F51" t="s">
        <v>1746</v>
      </c>
      <c r="G51" t="s">
        <v>1886</v>
      </c>
    </row>
    <row r="52">
      <c r="A52" t="s">
        <v>2047</v>
      </c>
      <c r="B52" t="s">
        <v>2048</v>
      </c>
      <c r="C52" t="s">
        <v>1921</v>
      </c>
      <c r="D52" t="s">
        <v>1894</v>
      </c>
      <c r="E52" t="s">
        <v>2049</v>
      </c>
      <c r="F52" t="s">
        <v>1629</v>
      </c>
      <c r="G52" t="s">
        <v>1891</v>
      </c>
    </row>
    <row r="53">
      <c r="A53" t="s">
        <v>2047</v>
      </c>
      <c r="B53" t="s">
        <v>2050</v>
      </c>
      <c r="C53" t="s">
        <v>1898</v>
      </c>
      <c r="D53" t="s">
        <v>1926</v>
      </c>
      <c r="E53" t="s">
        <v>2051</v>
      </c>
      <c r="F53" t="s">
        <v>1595</v>
      </c>
      <c r="G53" t="s">
        <v>1896</v>
      </c>
    </row>
    <row r="54">
      <c r="A54" t="s">
        <v>2052</v>
      </c>
      <c r="B54" t="s">
        <v>1300</v>
      </c>
      <c r="C54" t="s">
        <v>1913</v>
      </c>
      <c r="D54" t="s">
        <v>1917</v>
      </c>
      <c r="E54" t="s">
        <v>2053</v>
      </c>
      <c r="F54" t="s">
        <v>1702</v>
      </c>
      <c r="G54" t="s">
        <v>1901</v>
      </c>
    </row>
    <row r="55">
      <c r="A55" t="s">
        <v>2052</v>
      </c>
      <c r="B55" t="s">
        <v>2054</v>
      </c>
      <c r="C55" t="s">
        <v>1883</v>
      </c>
      <c r="D55" t="s">
        <v>1985</v>
      </c>
      <c r="E55" t="s">
        <v>2055</v>
      </c>
      <c r="F55" t="s">
        <v>1837</v>
      </c>
      <c r="G55" t="s">
        <v>1907</v>
      </c>
    </row>
    <row r="56">
      <c r="A56" t="s">
        <v>2056</v>
      </c>
      <c r="B56" t="s">
        <v>133</v>
      </c>
      <c r="C56" t="s">
        <v>1888</v>
      </c>
      <c r="D56" t="s">
        <v>1969</v>
      </c>
      <c r="E56" t="s">
        <v>2057</v>
      </c>
      <c r="F56" t="s">
        <v>1602</v>
      </c>
      <c r="G56" t="s">
        <v>1886</v>
      </c>
    </row>
    <row r="57">
      <c r="A57" t="s">
        <v>2056</v>
      </c>
      <c r="B57" t="s">
        <v>2058</v>
      </c>
      <c r="C57" t="s">
        <v>1883</v>
      </c>
      <c r="D57" t="s">
        <v>1972</v>
      </c>
      <c r="E57" t="s">
        <v>2059</v>
      </c>
      <c r="F57" t="s">
        <v>1752</v>
      </c>
      <c r="G57" t="s">
        <v>1910</v>
      </c>
    </row>
    <row r="58">
      <c r="A58" t="s">
        <v>2060</v>
      </c>
      <c r="B58" t="s">
        <v>2061</v>
      </c>
      <c r="C58" t="s">
        <v>1893</v>
      </c>
      <c r="D58" t="s">
        <v>2062</v>
      </c>
      <c r="E58" t="s">
        <v>2063</v>
      </c>
      <c r="F58" t="s">
        <v>1675</v>
      </c>
      <c r="G58" t="s">
        <v>1891</v>
      </c>
    </row>
    <row r="59">
      <c r="A59" t="s">
        <v>2060</v>
      </c>
      <c r="B59" t="s">
        <v>2064</v>
      </c>
      <c r="C59" t="s">
        <v>1925</v>
      </c>
      <c r="D59" t="s">
        <v>1978</v>
      </c>
      <c r="E59" t="s">
        <v>2065</v>
      </c>
      <c r="F59" t="s">
        <v>1819</v>
      </c>
      <c r="G59" t="s">
        <v>1896</v>
      </c>
    </row>
    <row r="60">
      <c r="A60" t="s">
        <v>2066</v>
      </c>
      <c r="B60" t="s">
        <v>2067</v>
      </c>
      <c r="C60" t="s">
        <v>1888</v>
      </c>
      <c r="D60" t="s">
        <v>1981</v>
      </c>
      <c r="E60" t="s">
        <v>2068</v>
      </c>
      <c r="F60" t="s">
        <v>1581</v>
      </c>
      <c r="G60" t="s">
        <v>1886</v>
      </c>
    </row>
    <row r="61">
      <c r="A61" t="s">
        <v>2066</v>
      </c>
      <c r="B61" t="s">
        <v>2069</v>
      </c>
      <c r="C61" t="s">
        <v>1883</v>
      </c>
      <c r="D61" t="s">
        <v>2070</v>
      </c>
      <c r="E61" t="s">
        <v>2071</v>
      </c>
      <c r="F61" t="s">
        <v>1783</v>
      </c>
      <c r="G61" t="s">
        <v>1907</v>
      </c>
    </row>
    <row r="62">
      <c r="A62" t="s">
        <v>2072</v>
      </c>
      <c r="B62" t="s">
        <v>214</v>
      </c>
      <c r="C62" t="s">
        <v>1913</v>
      </c>
      <c r="D62" t="s">
        <v>2073</v>
      </c>
      <c r="E62" t="s">
        <v>2074</v>
      </c>
      <c r="F62" t="s">
        <v>1643</v>
      </c>
      <c r="G62" t="s">
        <v>1901</v>
      </c>
    </row>
    <row r="63">
      <c r="A63" t="s">
        <v>2072</v>
      </c>
      <c r="B63" t="s">
        <v>2075</v>
      </c>
      <c r="C63" t="s">
        <v>1888</v>
      </c>
      <c r="D63" t="s">
        <v>2076</v>
      </c>
      <c r="E63" t="s">
        <v>2077</v>
      </c>
      <c r="F63" t="s">
        <v>1733</v>
      </c>
      <c r="G63" t="s">
        <v>1910</v>
      </c>
    </row>
    <row r="64">
      <c r="A64" t="s">
        <v>2078</v>
      </c>
      <c r="B64" t="s">
        <v>2079</v>
      </c>
      <c r="C64" t="s">
        <v>2003</v>
      </c>
      <c r="D64" t="s">
        <v>1965</v>
      </c>
      <c r="E64" t="s">
        <v>2080</v>
      </c>
      <c r="F64" t="s">
        <v>1609</v>
      </c>
      <c r="G64" t="s">
        <v>1886</v>
      </c>
    </row>
    <row r="65">
      <c r="A65" t="s">
        <v>2078</v>
      </c>
      <c r="B65" t="s">
        <v>2081</v>
      </c>
      <c r="C65" t="s">
        <v>1898</v>
      </c>
      <c r="D65" t="s">
        <v>1884</v>
      </c>
      <c r="E65" t="s">
        <v>2082</v>
      </c>
      <c r="F65" t="s">
        <v>1813</v>
      </c>
      <c r="G65" t="s">
        <v>1891</v>
      </c>
    </row>
    <row r="66">
      <c r="A66" t="s">
        <v>2083</v>
      </c>
      <c r="B66" t="s">
        <v>437</v>
      </c>
      <c r="C66" t="s">
        <v>1913</v>
      </c>
      <c r="D66" t="s">
        <v>1931</v>
      </c>
      <c r="E66" t="s">
        <v>2084</v>
      </c>
      <c r="F66" t="s">
        <v>1663</v>
      </c>
      <c r="G66" t="s">
        <v>1896</v>
      </c>
    </row>
    <row r="67">
      <c r="A67" t="s">
        <v>2083</v>
      </c>
      <c r="B67" t="s">
        <v>2085</v>
      </c>
      <c r="C67" t="s">
        <v>1888</v>
      </c>
      <c r="D67" t="s">
        <v>1894</v>
      </c>
      <c r="E67" t="s">
        <v>2086</v>
      </c>
      <c r="F67" t="s">
        <v>1759</v>
      </c>
      <c r="G67" t="s">
        <v>1901</v>
      </c>
    </row>
    <row r="68">
      <c r="A68" t="s">
        <v>2087</v>
      </c>
      <c r="B68" t="s">
        <v>2088</v>
      </c>
      <c r="C68" t="s">
        <v>1883</v>
      </c>
      <c r="D68" t="s">
        <v>1958</v>
      </c>
      <c r="E68" t="s">
        <v>2089</v>
      </c>
      <c r="F68" t="s">
        <v>1861</v>
      </c>
      <c r="G68" t="s">
        <v>1907</v>
      </c>
    </row>
    <row r="69">
      <c r="A69" t="s">
        <v>2087</v>
      </c>
      <c r="B69" t="s">
        <v>809</v>
      </c>
      <c r="C69" t="s">
        <v>1913</v>
      </c>
      <c r="D69" t="s">
        <v>1961</v>
      </c>
      <c r="E69" t="s">
        <v>2090</v>
      </c>
      <c r="F69" t="s">
        <v>1588</v>
      </c>
      <c r="G69" t="s">
        <v>1886</v>
      </c>
    </row>
    <row r="70">
      <c r="A70" t="s">
        <v>2091</v>
      </c>
      <c r="B70" t="s">
        <v>2092</v>
      </c>
      <c r="C70" t="s">
        <v>1921</v>
      </c>
      <c r="D70" t="s">
        <v>2093</v>
      </c>
      <c r="E70" t="s">
        <v>2094</v>
      </c>
      <c r="F70" t="s">
        <v>1708</v>
      </c>
      <c r="G70" t="s">
        <v>1910</v>
      </c>
    </row>
    <row r="71">
      <c r="A71" t="s">
        <v>2091</v>
      </c>
      <c r="B71" t="s">
        <v>369</v>
      </c>
      <c r="C71" t="s">
        <v>1925</v>
      </c>
      <c r="D71" t="s">
        <v>1947</v>
      </c>
      <c r="E71" t="s">
        <v>2095</v>
      </c>
      <c r="F71" t="s">
        <v>1650</v>
      </c>
      <c r="G71" t="s">
        <v>1891</v>
      </c>
    </row>
    <row r="72">
      <c r="A72" t="s">
        <v>2096</v>
      </c>
      <c r="B72" t="s">
        <v>2097</v>
      </c>
      <c r="C72" t="s">
        <v>1883</v>
      </c>
      <c r="D72" t="s">
        <v>1951</v>
      </c>
      <c r="E72" t="s">
        <v>2098</v>
      </c>
      <c r="F72" t="s">
        <v>1789</v>
      </c>
      <c r="G72" t="s">
        <v>1896</v>
      </c>
    </row>
    <row r="73">
      <c r="A73" t="s">
        <v>2096</v>
      </c>
      <c r="B73" t="s">
        <v>2099</v>
      </c>
      <c r="C73" t="s">
        <v>1888</v>
      </c>
      <c r="D73" t="s">
        <v>1954</v>
      </c>
      <c r="E73" t="s">
        <v>2100</v>
      </c>
      <c r="F73" t="s">
        <v>1855</v>
      </c>
      <c r="G73" t="s">
        <v>1886</v>
      </c>
    </row>
    <row r="74">
      <c r="A74" t="s">
        <v>2101</v>
      </c>
      <c r="B74" t="s">
        <v>1084</v>
      </c>
      <c r="C74" t="s">
        <v>1913</v>
      </c>
      <c r="D74" t="s">
        <v>1938</v>
      </c>
      <c r="E74" t="s">
        <v>2102</v>
      </c>
      <c r="F74" t="s">
        <v>1574</v>
      </c>
      <c r="G74" t="s">
        <v>1907</v>
      </c>
    </row>
    <row r="75">
      <c r="A75" t="s">
        <v>2101</v>
      </c>
      <c r="B75" t="s">
        <v>2103</v>
      </c>
      <c r="C75" t="s">
        <v>1883</v>
      </c>
      <c r="D75" t="s">
        <v>1941</v>
      </c>
      <c r="E75" t="s">
        <v>2104</v>
      </c>
      <c r="F75" t="s">
        <v>1721</v>
      </c>
      <c r="G75" t="s">
        <v>1901</v>
      </c>
    </row>
    <row r="76">
      <c r="A76" t="s">
        <v>2105</v>
      </c>
      <c r="B76" t="s">
        <v>2106</v>
      </c>
      <c r="C76" t="s">
        <v>1921</v>
      </c>
      <c r="D76" t="s">
        <v>2107</v>
      </c>
      <c r="E76" t="s">
        <v>2108</v>
      </c>
      <c r="F76" t="s">
        <v>1636</v>
      </c>
      <c r="G76" t="s">
        <v>1910</v>
      </c>
    </row>
    <row r="77">
      <c r="A77" t="s">
        <v>2105</v>
      </c>
      <c r="B77" t="s">
        <v>2109</v>
      </c>
      <c r="C77" t="s">
        <v>1968</v>
      </c>
      <c r="D77" t="s">
        <v>1987</v>
      </c>
      <c r="E77" t="s">
        <v>2110</v>
      </c>
      <c r="F77" t="s">
        <v>1771</v>
      </c>
      <c r="G77" t="s">
        <v>1886</v>
      </c>
    </row>
    <row r="78">
      <c r="A78" t="s">
        <v>2111</v>
      </c>
      <c r="B78" t="s">
        <v>1528</v>
      </c>
      <c r="C78" t="s">
        <v>1888</v>
      </c>
      <c r="D78" t="s">
        <v>1991</v>
      </c>
      <c r="E78" t="s">
        <v>2112</v>
      </c>
      <c r="F78" t="s">
        <v>1831</v>
      </c>
      <c r="G78" t="s">
        <v>1891</v>
      </c>
    </row>
    <row r="79">
      <c r="A79" t="s">
        <v>2111</v>
      </c>
      <c r="B79" t="s">
        <v>2113</v>
      </c>
      <c r="C79" t="s">
        <v>1883</v>
      </c>
      <c r="D79" t="s">
        <v>1994</v>
      </c>
      <c r="E79" t="s">
        <v>2114</v>
      </c>
      <c r="F79" t="s">
        <v>1553</v>
      </c>
      <c r="G79" t="s">
        <v>1896</v>
      </c>
    </row>
    <row r="80">
      <c r="A80" t="s">
        <v>2115</v>
      </c>
      <c r="B80" t="s">
        <v>2116</v>
      </c>
      <c r="C80" t="s">
        <v>1913</v>
      </c>
      <c r="D80" t="s">
        <v>1899</v>
      </c>
      <c r="E80" t="s">
        <v>2117</v>
      </c>
      <c r="F80" t="s">
        <v>1688</v>
      </c>
      <c r="G80" t="s">
        <v>1901</v>
      </c>
    </row>
    <row r="81">
      <c r="A81" t="s">
        <v>2115</v>
      </c>
      <c r="B81" t="s">
        <v>743</v>
      </c>
      <c r="C81" t="s">
        <v>1888</v>
      </c>
      <c r="D81" t="s">
        <v>1905</v>
      </c>
      <c r="E81" t="s">
        <v>2118</v>
      </c>
      <c r="F81" t="s">
        <v>1801</v>
      </c>
      <c r="G81" t="s">
        <v>1907</v>
      </c>
    </row>
    <row r="82">
      <c r="A82" t="s">
        <v>2119</v>
      </c>
      <c r="B82" t="s">
        <v>1334</v>
      </c>
      <c r="C82" t="s">
        <v>2003</v>
      </c>
      <c r="D82" t="s">
        <v>1908</v>
      </c>
      <c r="E82" t="s">
        <v>2120</v>
      </c>
      <c r="F82" t="s">
        <v>1867</v>
      </c>
      <c r="G82" t="s">
        <v>1886</v>
      </c>
    </row>
    <row r="83">
      <c r="A83" t="s">
        <v>2119</v>
      </c>
      <c r="B83" t="s">
        <v>2121</v>
      </c>
      <c r="C83" t="s">
        <v>1898</v>
      </c>
      <c r="D83" t="s">
        <v>1884</v>
      </c>
      <c r="E83" t="s">
        <v>2122</v>
      </c>
      <c r="F83" t="s">
        <v>1623</v>
      </c>
      <c r="G83" t="s">
        <v>1910</v>
      </c>
    </row>
    <row r="84">
      <c r="A84" t="s">
        <v>2123</v>
      </c>
      <c r="B84" t="s">
        <v>2124</v>
      </c>
      <c r="C84" t="s">
        <v>1913</v>
      </c>
      <c r="D84" t="s">
        <v>1931</v>
      </c>
      <c r="E84" t="s">
        <v>2125</v>
      </c>
      <c r="F84" t="s">
        <v>1727</v>
      </c>
      <c r="G84" t="s">
        <v>1891</v>
      </c>
    </row>
    <row r="85">
      <c r="A85" t="s">
        <v>2123</v>
      </c>
      <c r="B85" t="s">
        <v>2126</v>
      </c>
      <c r="C85" t="s">
        <v>1888</v>
      </c>
      <c r="D85" t="s">
        <v>1894</v>
      </c>
      <c r="E85" t="s">
        <v>2127</v>
      </c>
      <c r="F85" t="s">
        <v>1669</v>
      </c>
      <c r="G85" t="s">
        <v>1896</v>
      </c>
    </row>
    <row r="86">
      <c r="A86" t="s">
        <v>2128</v>
      </c>
      <c r="B86" t="s">
        <v>1298</v>
      </c>
      <c r="C86" t="s">
        <v>1883</v>
      </c>
      <c r="D86" t="s">
        <v>2129</v>
      </c>
      <c r="E86" t="s">
        <v>2130</v>
      </c>
      <c r="F86" t="s">
        <v>1807</v>
      </c>
      <c r="G86" t="s">
        <v>1886</v>
      </c>
    </row>
    <row r="87">
      <c r="A87" t="s">
        <v>2128</v>
      </c>
      <c r="B87" t="s">
        <v>899</v>
      </c>
      <c r="C87" t="s">
        <v>1888</v>
      </c>
      <c r="D87" t="s">
        <v>2131</v>
      </c>
      <c r="E87" t="s">
        <v>2132</v>
      </c>
      <c r="F87" t="s">
        <v>1567</v>
      </c>
      <c r="G87" t="s">
        <v>1907</v>
      </c>
    </row>
    <row r="88">
      <c r="A88" t="s">
        <v>2133</v>
      </c>
      <c r="B88" t="s">
        <v>2134</v>
      </c>
      <c r="C88" t="s">
        <v>1893</v>
      </c>
      <c r="D88" t="s">
        <v>2135</v>
      </c>
      <c r="E88" t="s">
        <v>2136</v>
      </c>
      <c r="F88" t="s">
        <v>1714</v>
      </c>
      <c r="G88" t="s">
        <v>1901</v>
      </c>
    </row>
    <row r="89">
      <c r="A89" t="s">
        <v>2133</v>
      </c>
      <c r="B89" t="s">
        <v>88</v>
      </c>
      <c r="C89" t="s">
        <v>1925</v>
      </c>
      <c r="D89" t="s">
        <v>1969</v>
      </c>
      <c r="E89" t="s">
        <v>2137</v>
      </c>
      <c r="F89" t="s">
        <v>1616</v>
      </c>
      <c r="G89" t="s">
        <v>1910</v>
      </c>
    </row>
    <row r="90">
      <c r="A90" t="s">
        <v>2138</v>
      </c>
      <c r="B90" t="s">
        <v>2139</v>
      </c>
      <c r="C90" t="s">
        <v>1883</v>
      </c>
      <c r="D90" t="s">
        <v>1972</v>
      </c>
      <c r="E90" t="s">
        <v>2140</v>
      </c>
      <c r="F90" t="s">
        <v>1765</v>
      </c>
      <c r="G90" t="s">
        <v>1886</v>
      </c>
    </row>
    <row r="91">
      <c r="A91" t="s">
        <v>2138</v>
      </c>
      <c r="B91" t="s">
        <v>2141</v>
      </c>
      <c r="C91" t="s">
        <v>1888</v>
      </c>
      <c r="D91" t="s">
        <v>1922</v>
      </c>
      <c r="E91" t="s">
        <v>2142</v>
      </c>
      <c r="F91" t="s">
        <v>1849</v>
      </c>
      <c r="G91" t="s">
        <v>1891</v>
      </c>
    </row>
    <row r="92">
      <c r="A92" t="s">
        <v>2143</v>
      </c>
      <c r="B92" t="s">
        <v>2144</v>
      </c>
      <c r="C92" t="s">
        <v>1913</v>
      </c>
      <c r="D92" t="s">
        <v>1914</v>
      </c>
      <c r="E92" t="s">
        <v>2145</v>
      </c>
      <c r="F92" t="s">
        <v>1682</v>
      </c>
      <c r="G92" t="s">
        <v>1896</v>
      </c>
    </row>
    <row r="93">
      <c r="A93" t="s">
        <v>2143</v>
      </c>
      <c r="B93" t="s">
        <v>305</v>
      </c>
      <c r="C93" t="s">
        <v>1883</v>
      </c>
      <c r="D93" t="s">
        <v>1889</v>
      </c>
      <c r="E93" t="s">
        <v>2146</v>
      </c>
      <c r="F93" t="s">
        <v>1560</v>
      </c>
      <c r="G93" t="s">
        <v>1901</v>
      </c>
    </row>
    <row r="94">
      <c r="A94" t="s">
        <v>2147</v>
      </c>
      <c r="B94" t="s">
        <v>2148</v>
      </c>
      <c r="C94" t="s">
        <v>1921</v>
      </c>
      <c r="D94" t="s">
        <v>2149</v>
      </c>
      <c r="E94" t="s">
        <v>2150</v>
      </c>
      <c r="F94" t="s">
        <v>1795</v>
      </c>
      <c r="G94" t="s">
        <v>1907</v>
      </c>
    </row>
    <row r="95">
      <c r="A95" t="s">
        <v>2147</v>
      </c>
      <c r="B95" t="s">
        <v>834</v>
      </c>
      <c r="C95" t="s">
        <v>1968</v>
      </c>
      <c r="D95" t="s">
        <v>2027</v>
      </c>
      <c r="E95" t="s">
        <v>2151</v>
      </c>
      <c r="F95" t="s">
        <v>1657</v>
      </c>
      <c r="G95" t="s">
        <v>1886</v>
      </c>
    </row>
    <row r="96">
      <c r="A96" t="s">
        <v>2152</v>
      </c>
      <c r="B96" t="s">
        <v>2153</v>
      </c>
      <c r="C96" t="s">
        <v>1883</v>
      </c>
      <c r="D96" t="s">
        <v>2029</v>
      </c>
      <c r="E96" t="s">
        <v>2154</v>
      </c>
      <c r="F96" t="s">
        <v>1739</v>
      </c>
      <c r="G96" t="s">
        <v>1910</v>
      </c>
    </row>
    <row r="97">
      <c r="A97" t="s">
        <v>2152</v>
      </c>
      <c r="B97" t="s">
        <v>2155</v>
      </c>
      <c r="C97" t="s">
        <v>1888</v>
      </c>
      <c r="D97" t="s">
        <v>1934</v>
      </c>
      <c r="E97" t="s">
        <v>2156</v>
      </c>
      <c r="F97" t="s">
        <v>1777</v>
      </c>
      <c r="G97" t="s">
        <v>1891</v>
      </c>
    </row>
    <row r="98">
      <c r="A98" t="s">
        <v>2157</v>
      </c>
      <c r="B98" t="s">
        <v>342</v>
      </c>
      <c r="C98" t="s">
        <v>1913</v>
      </c>
      <c r="D98" t="s">
        <v>1938</v>
      </c>
      <c r="E98" t="s">
        <v>2158</v>
      </c>
      <c r="F98" t="s">
        <v>1843</v>
      </c>
      <c r="G98" t="s">
        <v>1896</v>
      </c>
    </row>
    <row r="99">
      <c r="A99" t="s">
        <v>2157</v>
      </c>
      <c r="B99" t="s">
        <v>2159</v>
      </c>
      <c r="C99" t="s">
        <v>1883</v>
      </c>
      <c r="D99" t="s">
        <v>1941</v>
      </c>
      <c r="E99" t="s">
        <v>2160</v>
      </c>
      <c r="F99" t="s">
        <v>1695</v>
      </c>
      <c r="G99" t="s">
        <v>1886</v>
      </c>
    </row>
    <row r="100">
      <c r="A100" t="s">
        <v>2161</v>
      </c>
      <c r="B100" t="s">
        <v>2162</v>
      </c>
      <c r="C100" t="s">
        <v>1921</v>
      </c>
      <c r="D100" t="s">
        <v>2070</v>
      </c>
      <c r="E100" t="s">
        <v>2163</v>
      </c>
      <c r="F100" t="s">
        <v>1825</v>
      </c>
      <c r="G100" t="s">
        <v>1907</v>
      </c>
    </row>
    <row r="101">
      <c r="A101" t="s">
        <v>2161</v>
      </c>
      <c r="B101" t="s">
        <v>1148</v>
      </c>
      <c r="C101" t="s">
        <v>1898</v>
      </c>
      <c r="D101" t="s">
        <v>1987</v>
      </c>
      <c r="E101" t="s">
        <v>2164</v>
      </c>
      <c r="F101" t="s">
        <v>1746</v>
      </c>
      <c r="G101" t="s">
        <v>1901</v>
      </c>
    </row>
    <row r="102">
      <c r="A102" t="s">
        <v>2165</v>
      </c>
      <c r="B102" t="s">
        <v>2166</v>
      </c>
      <c r="C102" t="s">
        <v>1913</v>
      </c>
      <c r="D102" t="s">
        <v>1991</v>
      </c>
      <c r="E102" t="s">
        <v>2167</v>
      </c>
      <c r="F102" t="s">
        <v>1629</v>
      </c>
      <c r="G102" t="s">
        <v>1910</v>
      </c>
    </row>
    <row r="103">
      <c r="A103" t="s">
        <v>2165</v>
      </c>
      <c r="B103" t="s">
        <v>2168</v>
      </c>
      <c r="C103" t="s">
        <v>1883</v>
      </c>
      <c r="D103" t="s">
        <v>1922</v>
      </c>
      <c r="E103" t="s">
        <v>2169</v>
      </c>
      <c r="F103" t="s">
        <v>1595</v>
      </c>
      <c r="G103" t="s">
        <v>1886</v>
      </c>
    </row>
    <row r="104">
      <c r="A104" t="s">
        <v>2170</v>
      </c>
      <c r="B104" t="s">
        <v>2171</v>
      </c>
      <c r="C104" t="s">
        <v>1888</v>
      </c>
      <c r="D104" t="s">
        <v>1914</v>
      </c>
      <c r="E104" t="s">
        <v>2172</v>
      </c>
      <c r="F104" t="s">
        <v>1702</v>
      </c>
      <c r="G104" t="s">
        <v>1891</v>
      </c>
    </row>
    <row r="105">
      <c r="A105" t="s">
        <v>2170</v>
      </c>
      <c r="B105" t="s">
        <v>2173</v>
      </c>
      <c r="C105" t="s">
        <v>1883</v>
      </c>
      <c r="D105" t="s">
        <v>1889</v>
      </c>
      <c r="E105" t="s">
        <v>2174</v>
      </c>
      <c r="F105" t="s">
        <v>1837</v>
      </c>
      <c r="G105" t="s">
        <v>1896</v>
      </c>
    </row>
    <row r="106">
      <c r="A106" t="s">
        <v>2175</v>
      </c>
      <c r="B106" t="s">
        <v>1127</v>
      </c>
      <c r="C106" t="s">
        <v>1893</v>
      </c>
      <c r="D106" t="s">
        <v>1908</v>
      </c>
      <c r="E106" t="s">
        <v>2176</v>
      </c>
      <c r="F106" t="s">
        <v>1602</v>
      </c>
      <c r="G106" t="s">
        <v>1901</v>
      </c>
    </row>
    <row r="107">
      <c r="A107" t="s">
        <v>2175</v>
      </c>
      <c r="B107" t="s">
        <v>2177</v>
      </c>
      <c r="C107" t="s">
        <v>1925</v>
      </c>
      <c r="D107" t="s">
        <v>2027</v>
      </c>
      <c r="E107" t="s">
        <v>2178</v>
      </c>
      <c r="F107" t="s">
        <v>1752</v>
      </c>
      <c r="G107" t="s">
        <v>1907</v>
      </c>
    </row>
    <row r="108">
      <c r="A108" t="s">
        <v>2179</v>
      </c>
      <c r="B108" t="s">
        <v>2180</v>
      </c>
      <c r="C108" t="s">
        <v>1888</v>
      </c>
      <c r="D108" t="s">
        <v>2029</v>
      </c>
      <c r="E108" t="s">
        <v>2181</v>
      </c>
      <c r="F108" t="s">
        <v>1675</v>
      </c>
      <c r="G108" t="s">
        <v>1886</v>
      </c>
    </row>
    <row r="109">
      <c r="A109" t="s">
        <v>2179</v>
      </c>
      <c r="B109" t="s">
        <v>2182</v>
      </c>
      <c r="C109" t="s">
        <v>1883</v>
      </c>
      <c r="D109" t="s">
        <v>2033</v>
      </c>
      <c r="E109" t="s">
        <v>2183</v>
      </c>
      <c r="F109" t="s">
        <v>1819</v>
      </c>
      <c r="G109" t="s">
        <v>1910</v>
      </c>
    </row>
    <row r="110">
      <c r="A110" t="s">
        <v>2184</v>
      </c>
      <c r="B110" t="s">
        <v>2185</v>
      </c>
      <c r="C110" t="s">
        <v>1913</v>
      </c>
      <c r="D110" t="s">
        <v>1947</v>
      </c>
      <c r="E110" t="s">
        <v>2186</v>
      </c>
      <c r="F110" t="s">
        <v>1581</v>
      </c>
      <c r="G110" t="s">
        <v>1891</v>
      </c>
    </row>
    <row r="111">
      <c r="A111" t="s">
        <v>2184</v>
      </c>
      <c r="B111" t="s">
        <v>827</v>
      </c>
      <c r="C111" t="s">
        <v>2003</v>
      </c>
      <c r="D111" t="s">
        <v>1894</v>
      </c>
      <c r="E111" t="s">
        <v>2187</v>
      </c>
      <c r="F111" t="s">
        <v>1783</v>
      </c>
      <c r="G111" t="s">
        <v>1896</v>
      </c>
    </row>
    <row r="112">
      <c r="A112" t="s">
        <v>2188</v>
      </c>
      <c r="B112" t="s">
        <v>2189</v>
      </c>
      <c r="C112" t="s">
        <v>1888</v>
      </c>
      <c r="D112" t="s">
        <v>1975</v>
      </c>
      <c r="E112" t="s">
        <v>2190</v>
      </c>
      <c r="F112" t="s">
        <v>1643</v>
      </c>
      <c r="G112" t="s">
        <v>1886</v>
      </c>
    </row>
    <row r="113">
      <c r="A113" t="s">
        <v>2188</v>
      </c>
      <c r="B113" t="s">
        <v>2191</v>
      </c>
      <c r="C113" t="s">
        <v>1968</v>
      </c>
      <c r="D113" t="s">
        <v>2027</v>
      </c>
      <c r="E113" t="s">
        <v>2192</v>
      </c>
      <c r="F113" t="s">
        <v>1733</v>
      </c>
      <c r="G113" t="s">
        <v>1907</v>
      </c>
    </row>
    <row r="114">
      <c r="A114" t="s">
        <v>2193</v>
      </c>
      <c r="B114" t="s">
        <v>1245</v>
      </c>
      <c r="C114" t="s">
        <v>1883</v>
      </c>
      <c r="D114" t="s">
        <v>2029</v>
      </c>
      <c r="E114" t="s">
        <v>2194</v>
      </c>
      <c r="F114" t="s">
        <v>1609</v>
      </c>
      <c r="G114" t="s">
        <v>1901</v>
      </c>
    </row>
    <row r="115">
      <c r="A115" t="s">
        <v>2193</v>
      </c>
      <c r="B115" t="s">
        <v>2195</v>
      </c>
      <c r="C115" t="s">
        <v>1888</v>
      </c>
      <c r="D115" t="s">
        <v>1985</v>
      </c>
      <c r="E115" t="s">
        <v>2196</v>
      </c>
      <c r="F115" t="s">
        <v>1813</v>
      </c>
      <c r="G115" t="s">
        <v>1910</v>
      </c>
    </row>
    <row r="116">
      <c r="A116" t="s">
        <v>2197</v>
      </c>
      <c r="B116" t="s">
        <v>644</v>
      </c>
      <c r="C116" t="s">
        <v>1913</v>
      </c>
      <c r="D116" t="s">
        <v>1947</v>
      </c>
      <c r="E116" t="s">
        <v>2198</v>
      </c>
      <c r="F116" t="s">
        <v>1663</v>
      </c>
      <c r="G116" t="s">
        <v>1886</v>
      </c>
    </row>
    <row r="117">
      <c r="A117" t="s">
        <v>2197</v>
      </c>
      <c r="B117" t="s">
        <v>2199</v>
      </c>
      <c r="C117" t="s">
        <v>1883</v>
      </c>
      <c r="D117" t="s">
        <v>1951</v>
      </c>
      <c r="E117" t="s">
        <v>2200</v>
      </c>
      <c r="F117" t="s">
        <v>1759</v>
      </c>
      <c r="G117" t="s">
        <v>1891</v>
      </c>
    </row>
    <row r="118">
      <c r="A118" t="s">
        <v>2201</v>
      </c>
      <c r="B118" t="s">
        <v>705</v>
      </c>
      <c r="C118" t="s">
        <v>1921</v>
      </c>
      <c r="D118" t="s">
        <v>1922</v>
      </c>
      <c r="E118" t="s">
        <v>2202</v>
      </c>
      <c r="F118" t="s">
        <v>1861</v>
      </c>
      <c r="G118" t="s">
        <v>1896</v>
      </c>
    </row>
    <row r="119">
      <c r="A119" t="s">
        <v>2201</v>
      </c>
      <c r="B119" t="s">
        <v>2203</v>
      </c>
      <c r="C119" t="s">
        <v>1925</v>
      </c>
      <c r="D119" t="s">
        <v>1899</v>
      </c>
      <c r="E119" t="s">
        <v>2204</v>
      </c>
      <c r="F119" t="s">
        <v>1588</v>
      </c>
      <c r="G119" t="s">
        <v>1901</v>
      </c>
    </row>
    <row r="120">
      <c r="A120" t="s">
        <v>2205</v>
      </c>
      <c r="B120" t="s">
        <v>2206</v>
      </c>
      <c r="C120" t="s">
        <v>1888</v>
      </c>
      <c r="D120" t="s">
        <v>1905</v>
      </c>
      <c r="E120" t="s">
        <v>2207</v>
      </c>
      <c r="F120" t="s">
        <v>1708</v>
      </c>
      <c r="G120" t="s">
        <v>1907</v>
      </c>
    </row>
    <row r="121">
      <c r="A121" t="s">
        <v>2205</v>
      </c>
      <c r="B121" t="s">
        <v>2208</v>
      </c>
      <c r="C121" t="s">
        <v>1913</v>
      </c>
      <c r="D121" t="s">
        <v>1934</v>
      </c>
      <c r="E121" t="s">
        <v>2209</v>
      </c>
      <c r="F121" t="s">
        <v>1650</v>
      </c>
      <c r="G121" t="s">
        <v>1886</v>
      </c>
    </row>
    <row r="122">
      <c r="A122" t="s">
        <v>2210</v>
      </c>
      <c r="B122" t="s">
        <v>514</v>
      </c>
      <c r="C122" t="s">
        <v>1883</v>
      </c>
      <c r="D122" t="s">
        <v>1884</v>
      </c>
      <c r="E122" t="s">
        <v>2211</v>
      </c>
      <c r="F122" t="s">
        <v>1789</v>
      </c>
      <c r="G122" t="s">
        <v>1910</v>
      </c>
    </row>
    <row r="123">
      <c r="A123" t="s">
        <v>2210</v>
      </c>
      <c r="B123" t="s">
        <v>1457</v>
      </c>
      <c r="C123" t="s">
        <v>1883</v>
      </c>
      <c r="D123" t="s">
        <v>1931</v>
      </c>
      <c r="E123" t="s">
        <v>2212</v>
      </c>
      <c r="F123" t="s">
        <v>1855</v>
      </c>
      <c r="G123" t="s">
        <v>1891</v>
      </c>
    </row>
    <row r="124">
      <c r="A124" t="s">
        <v>2213</v>
      </c>
      <c r="B124" t="s">
        <v>2214</v>
      </c>
      <c r="C124" t="s">
        <v>2003</v>
      </c>
      <c r="D124" t="s">
        <v>1894</v>
      </c>
      <c r="E124" t="s">
        <v>2215</v>
      </c>
      <c r="F124" t="s">
        <v>1574</v>
      </c>
      <c r="G124" t="s">
        <v>1896</v>
      </c>
    </row>
    <row r="125">
      <c r="A125" t="s">
        <v>2213</v>
      </c>
      <c r="B125" t="s">
        <v>2216</v>
      </c>
      <c r="C125" t="s">
        <v>1898</v>
      </c>
      <c r="D125" t="s">
        <v>1926</v>
      </c>
      <c r="E125" t="s">
        <v>2217</v>
      </c>
      <c r="F125" t="s">
        <v>1721</v>
      </c>
      <c r="G125" t="s">
        <v>1886</v>
      </c>
    </row>
    <row r="126">
      <c r="A126" t="s">
        <v>2218</v>
      </c>
      <c r="B126" t="s">
        <v>2219</v>
      </c>
      <c r="C126" t="s">
        <v>1913</v>
      </c>
      <c r="D126" t="s">
        <v>1917</v>
      </c>
      <c r="E126" t="s">
        <v>2220</v>
      </c>
      <c r="F126" t="s">
        <v>1636</v>
      </c>
      <c r="G126" t="s">
        <v>1907</v>
      </c>
    </row>
    <row r="127">
      <c r="A127" t="s">
        <v>2218</v>
      </c>
      <c r="B127" t="s">
        <v>2221</v>
      </c>
      <c r="C127" t="s">
        <v>1888</v>
      </c>
      <c r="D127" t="s">
        <v>2033</v>
      </c>
      <c r="E127" t="s">
        <v>2222</v>
      </c>
      <c r="F127" t="s">
        <v>1771</v>
      </c>
      <c r="G127" t="s">
        <v>1901</v>
      </c>
    </row>
    <row r="128">
      <c r="A128" t="s">
        <v>2223</v>
      </c>
      <c r="B128" t="s">
        <v>2224</v>
      </c>
      <c r="C128" t="s">
        <v>1883</v>
      </c>
      <c r="D128" t="s">
        <v>1938</v>
      </c>
      <c r="E128" t="s">
        <v>2225</v>
      </c>
      <c r="F128" t="s">
        <v>1831</v>
      </c>
      <c r="G128" t="s">
        <v>1910</v>
      </c>
    </row>
    <row r="129">
      <c r="A129" t="s">
        <v>2223</v>
      </c>
      <c r="B129" t="s">
        <v>855</v>
      </c>
      <c r="C129" t="s">
        <v>1888</v>
      </c>
      <c r="D129" t="s">
        <v>1941</v>
      </c>
      <c r="E129" t="s">
        <v>2226</v>
      </c>
      <c r="F129" t="s">
        <v>1553</v>
      </c>
      <c r="G129" t="s">
        <v>1886</v>
      </c>
    </row>
    <row r="130">
      <c r="A130" t="s">
        <v>2227</v>
      </c>
      <c r="B130" t="s">
        <v>2228</v>
      </c>
      <c r="C130" t="s">
        <v>1893</v>
      </c>
      <c r="D130" t="s">
        <v>1965</v>
      </c>
      <c r="E130" t="s">
        <v>2229</v>
      </c>
      <c r="F130" t="s">
        <v>1688</v>
      </c>
      <c r="G130" t="s">
        <v>1891</v>
      </c>
    </row>
    <row r="131">
      <c r="A131" t="s">
        <v>2227</v>
      </c>
      <c r="B131" t="s">
        <v>2230</v>
      </c>
      <c r="C131" t="s">
        <v>1925</v>
      </c>
      <c r="D131" t="s">
        <v>1969</v>
      </c>
      <c r="E131" t="s">
        <v>2231</v>
      </c>
      <c r="F131" t="s">
        <v>1801</v>
      </c>
      <c r="G131" t="s">
        <v>1896</v>
      </c>
    </row>
    <row r="132">
      <c r="A132" t="s">
        <v>2232</v>
      </c>
      <c r="B132" t="s">
        <v>2233</v>
      </c>
      <c r="C132" t="s">
        <v>1888</v>
      </c>
      <c r="D132" t="s">
        <v>1972</v>
      </c>
      <c r="E132" t="s">
        <v>2234</v>
      </c>
      <c r="F132" t="s">
        <v>1867</v>
      </c>
      <c r="G132" t="s">
        <v>1901</v>
      </c>
    </row>
    <row r="133">
      <c r="A133" t="s">
        <v>2232</v>
      </c>
      <c r="B133" t="s">
        <v>2235</v>
      </c>
      <c r="C133" t="s">
        <v>1883</v>
      </c>
      <c r="D133" t="s">
        <v>1922</v>
      </c>
      <c r="E133" t="s">
        <v>2236</v>
      </c>
      <c r="F133" t="s">
        <v>1623</v>
      </c>
      <c r="G133" t="s">
        <v>1907</v>
      </c>
    </row>
    <row r="134">
      <c r="A134" t="s">
        <v>2237</v>
      </c>
      <c r="B134" t="s">
        <v>2238</v>
      </c>
      <c r="C134" t="s">
        <v>1913</v>
      </c>
      <c r="D134" t="s">
        <v>1914</v>
      </c>
      <c r="E134" t="s">
        <v>2239</v>
      </c>
      <c r="F134" t="s">
        <v>1727</v>
      </c>
      <c r="G134" t="s">
        <v>1886</v>
      </c>
    </row>
    <row r="135">
      <c r="A135" t="s">
        <v>2237</v>
      </c>
      <c r="B135" t="s">
        <v>2103</v>
      </c>
      <c r="C135" t="s">
        <v>1883</v>
      </c>
      <c r="D135" t="s">
        <v>1889</v>
      </c>
      <c r="E135" t="s">
        <v>2240</v>
      </c>
      <c r="F135" t="s">
        <v>1669</v>
      </c>
      <c r="G135" t="s">
        <v>1910</v>
      </c>
    </row>
    <row r="136">
      <c r="A136" t="s">
        <v>2241</v>
      </c>
      <c r="B136" t="s">
        <v>2242</v>
      </c>
      <c r="C136" t="s">
        <v>1921</v>
      </c>
      <c r="D136" t="s">
        <v>2149</v>
      </c>
      <c r="E136" t="s">
        <v>2243</v>
      </c>
      <c r="F136" t="s">
        <v>1807</v>
      </c>
      <c r="G136" t="s">
        <v>1891</v>
      </c>
    </row>
    <row r="137">
      <c r="A137" t="s">
        <v>2241</v>
      </c>
      <c r="B137" t="s">
        <v>2244</v>
      </c>
      <c r="C137" t="s">
        <v>1968</v>
      </c>
      <c r="D137" t="s">
        <v>2027</v>
      </c>
      <c r="E137" t="s">
        <v>2245</v>
      </c>
      <c r="F137" t="s">
        <v>1567</v>
      </c>
      <c r="G137" t="s">
        <v>1896</v>
      </c>
    </row>
    <row r="138">
      <c r="A138" t="s">
        <v>2246</v>
      </c>
      <c r="B138" t="s">
        <v>2247</v>
      </c>
      <c r="C138" t="s">
        <v>1883</v>
      </c>
      <c r="D138" t="s">
        <v>2029</v>
      </c>
      <c r="E138" t="s">
        <v>2248</v>
      </c>
      <c r="F138" t="s">
        <v>1714</v>
      </c>
      <c r="G138" t="s">
        <v>1886</v>
      </c>
    </row>
    <row r="139">
      <c r="A139" t="s">
        <v>2246</v>
      </c>
      <c r="B139" t="s">
        <v>2249</v>
      </c>
      <c r="C139" t="s">
        <v>1888</v>
      </c>
      <c r="D139" t="s">
        <v>2070</v>
      </c>
      <c r="E139" t="s">
        <v>2250</v>
      </c>
      <c r="F139" t="s">
        <v>1616</v>
      </c>
      <c r="G139" t="s">
        <v>1907</v>
      </c>
    </row>
    <row r="140">
      <c r="A140" t="s">
        <v>2251</v>
      </c>
      <c r="B140" t="s">
        <v>2252</v>
      </c>
      <c r="C140" t="s">
        <v>1913</v>
      </c>
      <c r="D140" t="s">
        <v>1987</v>
      </c>
      <c r="E140" t="s">
        <v>2253</v>
      </c>
      <c r="F140" t="s">
        <v>1765</v>
      </c>
      <c r="G140" t="s">
        <v>1901</v>
      </c>
    </row>
    <row r="141">
      <c r="A141" t="s">
        <v>2251</v>
      </c>
      <c r="B141" t="s">
        <v>2254</v>
      </c>
      <c r="C141" t="s">
        <v>1883</v>
      </c>
      <c r="D141" t="s">
        <v>1991</v>
      </c>
      <c r="E141" t="s">
        <v>2255</v>
      </c>
      <c r="F141" t="s">
        <v>1849</v>
      </c>
      <c r="G141" t="s">
        <v>1910</v>
      </c>
    </row>
    <row r="142">
      <c r="A142" t="s">
        <v>2256</v>
      </c>
      <c r="B142" t="s">
        <v>2257</v>
      </c>
      <c r="C142" t="s">
        <v>1921</v>
      </c>
      <c r="D142" t="s">
        <v>1994</v>
      </c>
      <c r="E142" t="s">
        <v>2258</v>
      </c>
      <c r="F142" t="s">
        <v>1682</v>
      </c>
      <c r="G142" t="s">
        <v>1886</v>
      </c>
    </row>
    <row r="143">
      <c r="A143" t="s">
        <v>2256</v>
      </c>
      <c r="B143" t="s">
        <v>2259</v>
      </c>
      <c r="C143" t="s">
        <v>1898</v>
      </c>
      <c r="D143" t="s">
        <v>1899</v>
      </c>
      <c r="E143" t="s">
        <v>2260</v>
      </c>
      <c r="F143" t="s">
        <v>1560</v>
      </c>
      <c r="G143" t="s">
        <v>1891</v>
      </c>
    </row>
    <row r="144">
      <c r="A144" t="s">
        <v>2261</v>
      </c>
      <c r="B144" t="s">
        <v>2262</v>
      </c>
      <c r="C144" t="s">
        <v>1913</v>
      </c>
      <c r="D144" t="s">
        <v>1905</v>
      </c>
      <c r="E144" t="s">
        <v>2263</v>
      </c>
      <c r="F144" t="s">
        <v>1795</v>
      </c>
      <c r="G144" t="s">
        <v>1896</v>
      </c>
    </row>
    <row r="145">
      <c r="A145" t="s">
        <v>2261</v>
      </c>
      <c r="B145" t="s">
        <v>2264</v>
      </c>
      <c r="C145" t="s">
        <v>1883</v>
      </c>
      <c r="D145" t="s">
        <v>1908</v>
      </c>
      <c r="E145" t="s">
        <v>2265</v>
      </c>
      <c r="F145" t="s">
        <v>1657</v>
      </c>
      <c r="G145" t="s">
        <v>1901</v>
      </c>
    </row>
    <row r="146">
      <c r="A146" t="s">
        <v>2266</v>
      </c>
      <c r="B146" t="s">
        <v>2267</v>
      </c>
      <c r="C146" t="s">
        <v>1888</v>
      </c>
      <c r="D146" t="s">
        <v>1884</v>
      </c>
      <c r="E146" t="s">
        <v>2268</v>
      </c>
      <c r="F146" t="s">
        <v>1739</v>
      </c>
      <c r="G146" t="s">
        <v>1907</v>
      </c>
    </row>
    <row r="147">
      <c r="A147" t="s">
        <v>2266</v>
      </c>
      <c r="B147" t="s">
        <v>2269</v>
      </c>
      <c r="C147" t="s">
        <v>1883</v>
      </c>
      <c r="D147" t="s">
        <v>1931</v>
      </c>
      <c r="E147" t="s">
        <v>2270</v>
      </c>
      <c r="F147" t="s">
        <v>1777</v>
      </c>
      <c r="G147" t="s">
        <v>1886</v>
      </c>
    </row>
    <row r="148">
      <c r="A148" t="s">
        <v>2271</v>
      </c>
      <c r="B148" t="s">
        <v>895</v>
      </c>
      <c r="C148" t="s">
        <v>1893</v>
      </c>
      <c r="D148" t="s">
        <v>1894</v>
      </c>
      <c r="E148" t="s">
        <v>2272</v>
      </c>
      <c r="F148" t="s">
        <v>1843</v>
      </c>
      <c r="G148" t="s">
        <v>1910</v>
      </c>
    </row>
    <row r="149">
      <c r="A149" t="s">
        <v>2271</v>
      </c>
      <c r="B149" t="s">
        <v>2273</v>
      </c>
      <c r="C149" t="s">
        <v>1925</v>
      </c>
      <c r="D149" t="s">
        <v>1926</v>
      </c>
      <c r="E149" t="s">
        <v>2274</v>
      </c>
      <c r="F149" t="s">
        <v>1695</v>
      </c>
      <c r="G149" t="s">
        <v>1891</v>
      </c>
    </row>
    <row r="150">
      <c r="A150" t="s">
        <v>2275</v>
      </c>
      <c r="B150" t="s">
        <v>1338</v>
      </c>
      <c r="C150" t="s">
        <v>1888</v>
      </c>
      <c r="D150" t="s">
        <v>1917</v>
      </c>
      <c r="E150" t="s">
        <v>2276</v>
      </c>
      <c r="F150" t="s">
        <v>1825</v>
      </c>
      <c r="G150" t="s">
        <v>1896</v>
      </c>
    </row>
    <row r="151">
      <c r="A151" t="s">
        <v>2275</v>
      </c>
      <c r="B151" t="s">
        <v>2277</v>
      </c>
      <c r="C151" t="s">
        <v>1883</v>
      </c>
      <c r="D151" t="s">
        <v>1934</v>
      </c>
      <c r="E151" t="s">
        <v>2278</v>
      </c>
      <c r="F151" t="s">
        <v>1746</v>
      </c>
      <c r="G151" t="s">
        <v>1886</v>
      </c>
    </row>
    <row r="152">
      <c r="A152" t="s">
        <v>2279</v>
      </c>
      <c r="B152" t="s">
        <v>2280</v>
      </c>
      <c r="C152" t="s">
        <v>1913</v>
      </c>
      <c r="D152" t="s">
        <v>1938</v>
      </c>
      <c r="E152" t="s">
        <v>2281</v>
      </c>
      <c r="F152" t="s">
        <v>1629</v>
      </c>
      <c r="G152" t="s">
        <v>1907</v>
      </c>
    </row>
    <row r="153">
      <c r="A153" t="s">
        <v>2279</v>
      </c>
      <c r="B153" t="s">
        <v>2282</v>
      </c>
      <c r="C153" t="s">
        <v>1883</v>
      </c>
      <c r="D153" t="s">
        <v>1941</v>
      </c>
      <c r="E153" t="s">
        <v>2283</v>
      </c>
      <c r="F153" t="s">
        <v>1595</v>
      </c>
      <c r="G153" t="s">
        <v>1901</v>
      </c>
    </row>
    <row r="154">
      <c r="A154" t="s">
        <v>2284</v>
      </c>
      <c r="B154" t="s">
        <v>2285</v>
      </c>
      <c r="C154" t="s">
        <v>1921</v>
      </c>
      <c r="D154" t="s">
        <v>2093</v>
      </c>
      <c r="E154" t="s">
        <v>2286</v>
      </c>
      <c r="F154" t="s">
        <v>1702</v>
      </c>
      <c r="G154" t="s">
        <v>1910</v>
      </c>
    </row>
    <row r="155">
      <c r="A155" t="s">
        <v>2284</v>
      </c>
      <c r="B155" t="s">
        <v>2287</v>
      </c>
      <c r="C155" t="s">
        <v>1968</v>
      </c>
      <c r="D155" t="s">
        <v>1947</v>
      </c>
      <c r="E155" t="s">
        <v>2288</v>
      </c>
      <c r="F155" t="s">
        <v>1837</v>
      </c>
      <c r="G155" t="s">
        <v>1886</v>
      </c>
    </row>
    <row r="156">
      <c r="A156" t="s">
        <v>2289</v>
      </c>
      <c r="B156" t="s">
        <v>2290</v>
      </c>
      <c r="C156" t="s">
        <v>1888</v>
      </c>
      <c r="D156" t="s">
        <v>1951</v>
      </c>
      <c r="E156" t="s">
        <v>2291</v>
      </c>
      <c r="F156" t="s">
        <v>1602</v>
      </c>
      <c r="G156" t="s">
        <v>1891</v>
      </c>
    </row>
    <row r="157">
      <c r="A157" t="s">
        <v>2289</v>
      </c>
      <c r="B157" t="s">
        <v>2292</v>
      </c>
      <c r="C157" t="s">
        <v>1883</v>
      </c>
      <c r="D157" t="s">
        <v>1954</v>
      </c>
      <c r="E157" t="s">
        <v>2293</v>
      </c>
      <c r="F157" t="s">
        <v>1752</v>
      </c>
      <c r="G157" t="s">
        <v>1896</v>
      </c>
    </row>
    <row r="158">
      <c r="A158" t="s">
        <v>2294</v>
      </c>
      <c r="B158" t="s">
        <v>2295</v>
      </c>
      <c r="C158" t="s">
        <v>1913</v>
      </c>
      <c r="D158" t="s">
        <v>2027</v>
      </c>
      <c r="E158" t="s">
        <v>2296</v>
      </c>
      <c r="F158" t="s">
        <v>1675</v>
      </c>
      <c r="G158" t="s">
        <v>1901</v>
      </c>
    </row>
    <row r="159">
      <c r="A159" t="s">
        <v>2294</v>
      </c>
      <c r="B159" t="s">
        <v>2297</v>
      </c>
      <c r="C159" t="s">
        <v>1883</v>
      </c>
      <c r="D159" t="s">
        <v>2029</v>
      </c>
      <c r="E159" t="s">
        <v>2298</v>
      </c>
      <c r="F159" t="s">
        <v>1819</v>
      </c>
      <c r="G159" t="s">
        <v>1907</v>
      </c>
    </row>
    <row r="160">
      <c r="A160" t="s">
        <v>2299</v>
      </c>
      <c r="B160" t="s">
        <v>2300</v>
      </c>
      <c r="C160" t="s">
        <v>1921</v>
      </c>
      <c r="D160" t="s">
        <v>2033</v>
      </c>
      <c r="E160" t="s">
        <v>2301</v>
      </c>
      <c r="F160" t="s">
        <v>1581</v>
      </c>
      <c r="G160" t="s">
        <v>1886</v>
      </c>
    </row>
    <row r="161">
      <c r="A161" t="s">
        <v>2299</v>
      </c>
      <c r="B161" t="s">
        <v>2302</v>
      </c>
      <c r="C161" t="s">
        <v>1898</v>
      </c>
      <c r="D161" t="s">
        <v>1987</v>
      </c>
      <c r="E161" t="s">
        <v>2303</v>
      </c>
      <c r="F161" t="s">
        <v>1783</v>
      </c>
      <c r="G161" t="s">
        <v>1910</v>
      </c>
    </row>
    <row r="162">
      <c r="A162" t="s">
        <v>2304</v>
      </c>
      <c r="B162" t="s">
        <v>2305</v>
      </c>
      <c r="C162" t="s">
        <v>1913</v>
      </c>
      <c r="D162" t="s">
        <v>1991</v>
      </c>
      <c r="E162" t="s">
        <v>2306</v>
      </c>
      <c r="F162" t="s">
        <v>1643</v>
      </c>
      <c r="G162" t="s">
        <v>1891</v>
      </c>
    </row>
    <row r="163">
      <c r="A163" t="s">
        <v>2304</v>
      </c>
      <c r="B163" t="s">
        <v>2307</v>
      </c>
      <c r="C163" t="s">
        <v>1883</v>
      </c>
      <c r="D163" t="s">
        <v>1922</v>
      </c>
      <c r="E163" t="s">
        <v>2308</v>
      </c>
      <c r="F163" t="s">
        <v>1733</v>
      </c>
      <c r="G163" t="s">
        <v>1896</v>
      </c>
    </row>
    <row r="164">
      <c r="A164" t="s">
        <v>2309</v>
      </c>
      <c r="B164" t="s">
        <v>2310</v>
      </c>
      <c r="C164" t="s">
        <v>1888</v>
      </c>
      <c r="D164" t="s">
        <v>1926</v>
      </c>
      <c r="E164" t="s">
        <v>2311</v>
      </c>
      <c r="F164" t="s">
        <v>1609</v>
      </c>
      <c r="G164" t="s">
        <v>1886</v>
      </c>
    </row>
    <row r="165">
      <c r="A165" t="s">
        <v>2309</v>
      </c>
      <c r="B165" t="s">
        <v>2312</v>
      </c>
      <c r="C165" t="s">
        <v>1883</v>
      </c>
      <c r="D165" t="s">
        <v>1917</v>
      </c>
      <c r="E165" t="s">
        <v>2313</v>
      </c>
      <c r="F165" t="s">
        <v>1813</v>
      </c>
      <c r="G165" t="s">
        <v>1907</v>
      </c>
    </row>
    <row r="166">
      <c r="A166" t="s">
        <v>2314</v>
      </c>
      <c r="B166" t="s">
        <v>2315</v>
      </c>
      <c r="C166" t="s">
        <v>1893</v>
      </c>
      <c r="D166" t="s">
        <v>1934</v>
      </c>
      <c r="E166" t="s">
        <v>2316</v>
      </c>
      <c r="F166" t="s">
        <v>1663</v>
      </c>
      <c r="G166" t="s">
        <v>1901</v>
      </c>
    </row>
    <row r="167">
      <c r="A167" t="s">
        <v>2314</v>
      </c>
      <c r="B167" t="s">
        <v>381</v>
      </c>
      <c r="C167" t="s">
        <v>1925</v>
      </c>
      <c r="D167" t="s">
        <v>1884</v>
      </c>
      <c r="E167" t="s">
        <v>2317</v>
      </c>
      <c r="F167" t="s">
        <v>1759</v>
      </c>
      <c r="G167" t="s">
        <v>1910</v>
      </c>
    </row>
    <row r="168">
      <c r="A168" t="s">
        <v>2318</v>
      </c>
      <c r="B168" t="s">
        <v>1540</v>
      </c>
      <c r="C168" t="s">
        <v>1888</v>
      </c>
      <c r="D168" t="s">
        <v>1931</v>
      </c>
      <c r="E168" t="s">
        <v>2319</v>
      </c>
      <c r="F168" t="s">
        <v>1861</v>
      </c>
      <c r="G168" t="s">
        <v>1886</v>
      </c>
    </row>
    <row r="169">
      <c r="A169" t="s">
        <v>2318</v>
      </c>
      <c r="B169" t="s">
        <v>2320</v>
      </c>
      <c r="C169" t="s">
        <v>1883</v>
      </c>
      <c r="D169" t="s">
        <v>1894</v>
      </c>
      <c r="E169" t="s">
        <v>2321</v>
      </c>
      <c r="F169" t="s">
        <v>1588</v>
      </c>
      <c r="G169" t="s">
        <v>1891</v>
      </c>
    </row>
    <row r="170">
      <c r="A170" t="s">
        <v>2322</v>
      </c>
      <c r="B170" t="s">
        <v>2323</v>
      </c>
      <c r="C170" t="s">
        <v>1913</v>
      </c>
      <c r="D170" t="s">
        <v>1914</v>
      </c>
      <c r="E170" t="s">
        <v>2324</v>
      </c>
      <c r="F170" t="s">
        <v>1708</v>
      </c>
      <c r="G170" t="s">
        <v>1896</v>
      </c>
    </row>
    <row r="171">
      <c r="A171" t="s">
        <v>2322</v>
      </c>
      <c r="B171" t="s">
        <v>2247</v>
      </c>
      <c r="C171" t="s">
        <v>1883</v>
      </c>
      <c r="D171" t="s">
        <v>1889</v>
      </c>
      <c r="E171" t="s">
        <v>2325</v>
      </c>
      <c r="F171" t="s">
        <v>1650</v>
      </c>
      <c r="G171" t="s">
        <v>1901</v>
      </c>
    </row>
    <row r="172">
      <c r="A172" t="s">
        <v>2326</v>
      </c>
      <c r="B172" t="s">
        <v>2327</v>
      </c>
      <c r="C172" t="s">
        <v>1921</v>
      </c>
      <c r="D172" t="s">
        <v>2149</v>
      </c>
      <c r="E172" t="s">
        <v>2328</v>
      </c>
      <c r="F172" t="s">
        <v>1789</v>
      </c>
      <c r="G172" t="s">
        <v>1907</v>
      </c>
    </row>
    <row r="173">
      <c r="A173" t="s">
        <v>2326</v>
      </c>
      <c r="B173" t="s">
        <v>2329</v>
      </c>
      <c r="C173" t="s">
        <v>1968</v>
      </c>
      <c r="D173" t="s">
        <v>2027</v>
      </c>
      <c r="E173" t="s">
        <v>2330</v>
      </c>
      <c r="F173" t="s">
        <v>1855</v>
      </c>
      <c r="G173" t="s">
        <v>1886</v>
      </c>
    </row>
    <row r="174">
      <c r="A174" t="s">
        <v>2331</v>
      </c>
      <c r="B174" t="s">
        <v>2332</v>
      </c>
      <c r="C174" t="s">
        <v>1883</v>
      </c>
      <c r="D174" t="s">
        <v>2029</v>
      </c>
      <c r="E174" t="s">
        <v>2333</v>
      </c>
      <c r="F174" t="s">
        <v>1574</v>
      </c>
      <c r="G174" t="s">
        <v>1910</v>
      </c>
    </row>
    <row r="175">
      <c r="A175" t="s">
        <v>2331</v>
      </c>
      <c r="B175" t="s">
        <v>901</v>
      </c>
      <c r="C175" t="s">
        <v>1888</v>
      </c>
      <c r="D175" t="s">
        <v>2070</v>
      </c>
      <c r="E175" t="s">
        <v>2334</v>
      </c>
      <c r="F175" t="s">
        <v>1721</v>
      </c>
      <c r="G175" t="s">
        <v>1891</v>
      </c>
    </row>
    <row r="176">
      <c r="A176" t="s">
        <v>2335</v>
      </c>
      <c r="B176" t="s">
        <v>609</v>
      </c>
      <c r="C176" t="s">
        <v>1913</v>
      </c>
      <c r="D176" t="s">
        <v>1969</v>
      </c>
      <c r="E176" t="s">
        <v>2336</v>
      </c>
      <c r="F176" t="s">
        <v>1636</v>
      </c>
      <c r="G176" t="s">
        <v>1896</v>
      </c>
    </row>
    <row r="177">
      <c r="A177" t="s">
        <v>2335</v>
      </c>
      <c r="B177" t="s">
        <v>1131</v>
      </c>
      <c r="C177" t="s">
        <v>1883</v>
      </c>
      <c r="D177" t="s">
        <v>1972</v>
      </c>
      <c r="E177" t="s">
        <v>2337</v>
      </c>
      <c r="F177" t="s">
        <v>1771</v>
      </c>
      <c r="G177" t="s">
        <v>1886</v>
      </c>
    </row>
    <row r="178">
      <c r="A178" t="s">
        <v>2338</v>
      </c>
      <c r="B178" t="s">
        <v>2339</v>
      </c>
      <c r="C178" t="s">
        <v>1921</v>
      </c>
      <c r="D178" t="s">
        <v>1922</v>
      </c>
      <c r="E178" t="s">
        <v>2340</v>
      </c>
      <c r="F178" t="s">
        <v>1831</v>
      </c>
      <c r="G178" t="s">
        <v>1907</v>
      </c>
    </row>
    <row r="179">
      <c r="A179" t="s">
        <v>2338</v>
      </c>
      <c r="B179" t="s">
        <v>824</v>
      </c>
      <c r="C179" t="s">
        <v>1898</v>
      </c>
      <c r="D179" t="s">
        <v>1899</v>
      </c>
      <c r="E179" t="s">
        <v>2341</v>
      </c>
      <c r="F179" t="s">
        <v>1553</v>
      </c>
      <c r="G179" t="s">
        <v>1901</v>
      </c>
    </row>
    <row r="180">
      <c r="A180" t="s">
        <v>2342</v>
      </c>
      <c r="B180" t="s">
        <v>1263</v>
      </c>
      <c r="C180" t="s">
        <v>1913</v>
      </c>
      <c r="D180" t="s">
        <v>1905</v>
      </c>
      <c r="E180" t="s">
        <v>2343</v>
      </c>
      <c r="F180" t="s">
        <v>1688</v>
      </c>
      <c r="G180" t="s">
        <v>1910</v>
      </c>
    </row>
    <row r="181">
      <c r="A181" t="s">
        <v>2342</v>
      </c>
      <c r="B181" t="s">
        <v>2344</v>
      </c>
      <c r="C181" t="s">
        <v>1883</v>
      </c>
      <c r="D181" t="s">
        <v>1908</v>
      </c>
      <c r="E181" t="s">
        <v>2345</v>
      </c>
      <c r="F181" t="s">
        <v>1801</v>
      </c>
      <c r="G181" t="s">
        <v>1886</v>
      </c>
    </row>
    <row r="182">
      <c r="A182" t="s">
        <v>2346</v>
      </c>
      <c r="B182" t="s">
        <v>2347</v>
      </c>
      <c r="C182" t="s">
        <v>1888</v>
      </c>
      <c r="D182" t="s">
        <v>1947</v>
      </c>
      <c r="E182" t="s">
        <v>2348</v>
      </c>
      <c r="F182" t="s">
        <v>1867</v>
      </c>
      <c r="G182" t="s">
        <v>1891</v>
      </c>
    </row>
    <row r="183">
      <c r="A183" t="s">
        <v>2346</v>
      </c>
      <c r="B183" t="s">
        <v>2349</v>
      </c>
      <c r="C183" t="s">
        <v>1883</v>
      </c>
      <c r="D183" t="s">
        <v>1951</v>
      </c>
      <c r="E183" t="s">
        <v>2350</v>
      </c>
      <c r="F183" t="s">
        <v>1623</v>
      </c>
      <c r="G183" t="s">
        <v>1896</v>
      </c>
    </row>
    <row r="184">
      <c r="A184" t="s">
        <v>2351</v>
      </c>
      <c r="B184" t="s">
        <v>2352</v>
      </c>
      <c r="C184" t="s">
        <v>1893</v>
      </c>
      <c r="D184" t="s">
        <v>1954</v>
      </c>
      <c r="E184" t="s">
        <v>2353</v>
      </c>
      <c r="F184" t="s">
        <v>1727</v>
      </c>
      <c r="G184" t="s">
        <v>1901</v>
      </c>
    </row>
    <row r="185">
      <c r="A185" t="s">
        <v>2351</v>
      </c>
      <c r="B185" t="s">
        <v>708</v>
      </c>
      <c r="C185" t="s">
        <v>1925</v>
      </c>
      <c r="D185" t="s">
        <v>1926</v>
      </c>
      <c r="E185" t="s">
        <v>2354</v>
      </c>
      <c r="F185" t="s">
        <v>1669</v>
      </c>
      <c r="G185" t="s">
        <v>1907</v>
      </c>
    </row>
    <row r="186">
      <c r="A186" t="s">
        <v>2355</v>
      </c>
      <c r="B186" t="s">
        <v>971</v>
      </c>
      <c r="C186" t="s">
        <v>1888</v>
      </c>
      <c r="D186" t="s">
        <v>1917</v>
      </c>
      <c r="E186" t="s">
        <v>2356</v>
      </c>
      <c r="F186" t="s">
        <v>1807</v>
      </c>
      <c r="G186" t="s">
        <v>1886</v>
      </c>
    </row>
    <row r="187">
      <c r="A187" t="s">
        <v>2355</v>
      </c>
      <c r="B187" t="s">
        <v>2357</v>
      </c>
      <c r="C187" t="s">
        <v>1883</v>
      </c>
      <c r="D187" t="s">
        <v>1934</v>
      </c>
      <c r="E187" t="s">
        <v>2358</v>
      </c>
      <c r="F187" t="s">
        <v>1567</v>
      </c>
      <c r="G187" t="s">
        <v>1910</v>
      </c>
    </row>
    <row r="188">
      <c r="A188" t="s">
        <v>2359</v>
      </c>
      <c r="B188" t="s">
        <v>2360</v>
      </c>
      <c r="C188" t="s">
        <v>1913</v>
      </c>
      <c r="D188" t="s">
        <v>1914</v>
      </c>
      <c r="E188" t="s">
        <v>2361</v>
      </c>
      <c r="F188" t="s">
        <v>1714</v>
      </c>
      <c r="G188" t="s">
        <v>1891</v>
      </c>
    </row>
    <row r="189">
      <c r="A189" t="s">
        <v>2359</v>
      </c>
      <c r="B189" t="s">
        <v>2362</v>
      </c>
      <c r="C189" t="s">
        <v>1883</v>
      </c>
      <c r="D189" t="s">
        <v>1889</v>
      </c>
      <c r="E189" t="s">
        <v>2363</v>
      </c>
      <c r="F189" t="s">
        <v>1616</v>
      </c>
      <c r="G189" t="s">
        <v>1896</v>
      </c>
    </row>
    <row r="190">
      <c r="A190" t="s">
        <v>2364</v>
      </c>
      <c r="B190" t="s">
        <v>2365</v>
      </c>
      <c r="C190" t="s">
        <v>1921</v>
      </c>
      <c r="D190" t="s">
        <v>2149</v>
      </c>
      <c r="E190" t="s">
        <v>2366</v>
      </c>
      <c r="F190" t="s">
        <v>1765</v>
      </c>
      <c r="G190" t="s">
        <v>1886</v>
      </c>
    </row>
    <row r="191">
      <c r="A191" t="s">
        <v>2364</v>
      </c>
      <c r="B191" t="s">
        <v>1229</v>
      </c>
      <c r="C191" t="s">
        <v>1968</v>
      </c>
      <c r="D191" t="s">
        <v>2027</v>
      </c>
      <c r="E191" t="s">
        <v>2367</v>
      </c>
      <c r="F191" t="s">
        <v>1849</v>
      </c>
      <c r="G191" t="s">
        <v>1907</v>
      </c>
    </row>
    <row r="192">
      <c r="A192" t="s">
        <v>2368</v>
      </c>
      <c r="B192" t="s">
        <v>2369</v>
      </c>
      <c r="C192" t="s">
        <v>1883</v>
      </c>
      <c r="D192" t="s">
        <v>2029</v>
      </c>
      <c r="E192" t="s">
        <v>2370</v>
      </c>
      <c r="F192" t="s">
        <v>1682</v>
      </c>
      <c r="G192" t="s">
        <v>1901</v>
      </c>
    </row>
    <row r="193">
      <c r="A193" t="s">
        <v>2368</v>
      </c>
      <c r="B193" t="s">
        <v>2371</v>
      </c>
      <c r="C193" t="s">
        <v>1888</v>
      </c>
      <c r="D193" t="s">
        <v>2070</v>
      </c>
      <c r="E193" t="s">
        <v>2372</v>
      </c>
      <c r="F193" t="s">
        <v>1560</v>
      </c>
      <c r="G193" t="s">
        <v>1910</v>
      </c>
    </row>
    <row r="194">
      <c r="A194" t="s">
        <v>2373</v>
      </c>
      <c r="B194" t="s">
        <v>2374</v>
      </c>
      <c r="C194" t="s">
        <v>1913</v>
      </c>
      <c r="D194" t="s">
        <v>1969</v>
      </c>
      <c r="E194" t="s">
        <v>2375</v>
      </c>
      <c r="F194" t="s">
        <v>1795</v>
      </c>
      <c r="G194" t="s">
        <v>1886</v>
      </c>
    </row>
    <row r="195">
      <c r="A195" t="s">
        <v>2373</v>
      </c>
      <c r="B195" t="s">
        <v>1404</v>
      </c>
      <c r="C195" t="s">
        <v>1883</v>
      </c>
      <c r="D195" t="s">
        <v>1972</v>
      </c>
      <c r="E195" t="s">
        <v>2376</v>
      </c>
      <c r="F195" t="s">
        <v>1657</v>
      </c>
      <c r="G195" t="s">
        <v>1891</v>
      </c>
    </row>
    <row r="196">
      <c r="A196" t="s">
        <v>2377</v>
      </c>
      <c r="B196" t="s">
        <v>2378</v>
      </c>
      <c r="C196" t="s">
        <v>1921</v>
      </c>
      <c r="D196" t="s">
        <v>1922</v>
      </c>
      <c r="E196" t="s">
        <v>2379</v>
      </c>
      <c r="F196" t="s">
        <v>1739</v>
      </c>
      <c r="G196" t="s">
        <v>1896</v>
      </c>
    </row>
    <row r="197">
      <c r="A197" t="s">
        <v>2377</v>
      </c>
      <c r="B197" t="s">
        <v>935</v>
      </c>
      <c r="C197" t="s">
        <v>1898</v>
      </c>
      <c r="D197" t="s">
        <v>1899</v>
      </c>
      <c r="E197" t="s">
        <v>2380</v>
      </c>
      <c r="F197" t="s">
        <v>1777</v>
      </c>
      <c r="G197" t="s">
        <v>1901</v>
      </c>
    </row>
    <row r="198">
      <c r="A198" t="s">
        <v>2381</v>
      </c>
      <c r="B198" t="s">
        <v>1119</v>
      </c>
      <c r="C198" t="s">
        <v>1913</v>
      </c>
      <c r="D198" t="s">
        <v>1905</v>
      </c>
      <c r="E198" t="s">
        <v>2382</v>
      </c>
      <c r="F198" t="s">
        <v>1843</v>
      </c>
      <c r="G198" t="s">
        <v>1907</v>
      </c>
    </row>
    <row r="199">
      <c r="A199" t="s">
        <v>2381</v>
      </c>
      <c r="B199" t="s">
        <v>2383</v>
      </c>
      <c r="C199" t="s">
        <v>1883</v>
      </c>
      <c r="D199" t="s">
        <v>1908</v>
      </c>
      <c r="E199" t="s">
        <v>2384</v>
      </c>
      <c r="F199" t="s">
        <v>1695</v>
      </c>
      <c r="G199" t="s">
        <v>1886</v>
      </c>
    </row>
    <row r="200">
      <c r="A200" t="s">
        <v>2385</v>
      </c>
      <c r="B200" t="s">
        <v>2386</v>
      </c>
      <c r="C200" t="s">
        <v>1888</v>
      </c>
      <c r="D200" t="s">
        <v>1947</v>
      </c>
      <c r="E200" t="s">
        <v>2387</v>
      </c>
      <c r="F200" t="s">
        <v>1825</v>
      </c>
      <c r="G200" t="s">
        <v>1910</v>
      </c>
    </row>
    <row r="201">
      <c r="A201" t="s">
        <v>2385</v>
      </c>
      <c r="B201" t="s">
        <v>1438</v>
      </c>
      <c r="C201" t="s">
        <v>1883</v>
      </c>
      <c r="D201" t="s">
        <v>1951</v>
      </c>
      <c r="E201" t="s">
        <v>2388</v>
      </c>
      <c r="F201" t="s">
        <v>1746</v>
      </c>
      <c r="G201" t="s">
        <v>1891</v>
      </c>
    </row>
    <row r="202">
      <c r="A202" t="s">
        <v>2389</v>
      </c>
      <c r="B202" t="s">
        <v>1177</v>
      </c>
      <c r="C202" t="s">
        <v>1893</v>
      </c>
      <c r="D202" t="s">
        <v>1954</v>
      </c>
      <c r="E202" t="s">
        <v>2390</v>
      </c>
      <c r="F202" t="s">
        <v>1629</v>
      </c>
      <c r="G202" t="s">
        <v>1896</v>
      </c>
    </row>
    <row r="203">
      <c r="A203" t="s">
        <v>2389</v>
      </c>
      <c r="B203" t="s">
        <v>2391</v>
      </c>
      <c r="C203" t="s">
        <v>1925</v>
      </c>
      <c r="D203" t="s">
        <v>1926</v>
      </c>
      <c r="E203" t="s">
        <v>2392</v>
      </c>
      <c r="F203" t="s">
        <v>1595</v>
      </c>
      <c r="G203" t="s">
        <v>1886</v>
      </c>
    </row>
    <row r="204">
      <c r="A204" t="s">
        <v>2393</v>
      </c>
      <c r="B204" t="s">
        <v>2394</v>
      </c>
      <c r="C204" t="s">
        <v>1888</v>
      </c>
      <c r="D204" t="s">
        <v>1917</v>
      </c>
      <c r="E204" t="s">
        <v>2395</v>
      </c>
      <c r="F204" t="s">
        <v>1702</v>
      </c>
      <c r="G204" t="s">
        <v>1907</v>
      </c>
    </row>
    <row r="205">
      <c r="A205" t="s">
        <v>2393</v>
      </c>
      <c r="B205" t="s">
        <v>2396</v>
      </c>
      <c r="C205" t="s">
        <v>1883</v>
      </c>
      <c r="D205" t="s">
        <v>1934</v>
      </c>
      <c r="E205" t="s">
        <v>2397</v>
      </c>
      <c r="F205" t="s">
        <v>1837</v>
      </c>
      <c r="G205" t="s">
        <v>1901</v>
      </c>
    </row>
    <row r="206">
      <c r="A206" t="s">
        <v>2398</v>
      </c>
      <c r="B206" t="s">
        <v>2399</v>
      </c>
      <c r="C206" t="s">
        <v>1913</v>
      </c>
      <c r="D206" t="s">
        <v>1914</v>
      </c>
      <c r="E206" t="s">
        <v>2400</v>
      </c>
      <c r="F206" t="s">
        <v>1602</v>
      </c>
      <c r="G206" t="s">
        <v>1910</v>
      </c>
    </row>
    <row r="207">
      <c r="A207" t="s">
        <v>2398</v>
      </c>
      <c r="B207" t="s">
        <v>2290</v>
      </c>
      <c r="C207" t="s">
        <v>1883</v>
      </c>
      <c r="D207" t="s">
        <v>1889</v>
      </c>
      <c r="E207" t="s">
        <v>2401</v>
      </c>
      <c r="F207" t="s">
        <v>1752</v>
      </c>
      <c r="G207" t="s">
        <v>1886</v>
      </c>
    </row>
    <row r="208">
      <c r="A208" t="s">
        <v>2402</v>
      </c>
      <c r="B208" t="s">
        <v>2403</v>
      </c>
      <c r="C208" t="s">
        <v>1921</v>
      </c>
      <c r="D208" t="s">
        <v>2149</v>
      </c>
      <c r="E208" t="s">
        <v>2404</v>
      </c>
      <c r="F208" t="s">
        <v>1675</v>
      </c>
      <c r="G208" t="s">
        <v>1891</v>
      </c>
    </row>
    <row r="209">
      <c r="A209" t="s">
        <v>2402</v>
      </c>
      <c r="B209" t="s">
        <v>2405</v>
      </c>
      <c r="C209" t="s">
        <v>1968</v>
      </c>
      <c r="D209" t="s">
        <v>2027</v>
      </c>
      <c r="E209" t="s">
        <v>2406</v>
      </c>
      <c r="F209" t="s">
        <v>1819</v>
      </c>
      <c r="G209" t="s">
        <v>1896</v>
      </c>
    </row>
    <row r="210">
      <c r="A210" t="s">
        <v>2407</v>
      </c>
      <c r="B210" t="s">
        <v>2408</v>
      </c>
      <c r="C210" t="s">
        <v>1883</v>
      </c>
      <c r="D210" t="s">
        <v>2029</v>
      </c>
      <c r="E210" t="s">
        <v>2409</v>
      </c>
      <c r="F210" t="s">
        <v>1581</v>
      </c>
      <c r="G210" t="s">
        <v>1901</v>
      </c>
    </row>
    <row r="211">
      <c r="A211" t="s">
        <v>2407</v>
      </c>
      <c r="B211" t="s">
        <v>2410</v>
      </c>
      <c r="C211" t="s">
        <v>1888</v>
      </c>
      <c r="D211" t="s">
        <v>2070</v>
      </c>
      <c r="E211" t="s">
        <v>2411</v>
      </c>
      <c r="F211" t="s">
        <v>1783</v>
      </c>
      <c r="G211" t="s">
        <v>1907</v>
      </c>
    </row>
    <row r="212">
      <c r="A212" t="s">
        <v>2412</v>
      </c>
      <c r="B212" t="s">
        <v>2177</v>
      </c>
      <c r="C212" t="s">
        <v>1913</v>
      </c>
      <c r="D212" t="s">
        <v>1969</v>
      </c>
      <c r="E212" t="s">
        <v>2413</v>
      </c>
      <c r="F212" t="s">
        <v>1643</v>
      </c>
      <c r="G212" t="s">
        <v>1886</v>
      </c>
    </row>
    <row r="213">
      <c r="A213" t="s">
        <v>2412</v>
      </c>
      <c r="B213" t="s">
        <v>2414</v>
      </c>
      <c r="C213" t="s">
        <v>1883</v>
      </c>
      <c r="D213" t="s">
        <v>1972</v>
      </c>
      <c r="E213" t="s">
        <v>2415</v>
      </c>
      <c r="F213" t="s">
        <v>1733</v>
      </c>
      <c r="G213" t="s">
        <v>1910</v>
      </c>
    </row>
    <row r="214">
      <c r="A214" t="s">
        <v>2416</v>
      </c>
      <c r="B214" t="s">
        <v>2417</v>
      </c>
      <c r="C214" t="s">
        <v>1921</v>
      </c>
      <c r="D214" t="s">
        <v>1922</v>
      </c>
      <c r="E214" t="s">
        <v>2418</v>
      </c>
      <c r="F214" t="s">
        <v>1609</v>
      </c>
      <c r="G214" t="s">
        <v>1891</v>
      </c>
    </row>
    <row r="215">
      <c r="A215" t="s">
        <v>2416</v>
      </c>
      <c r="B215" t="s">
        <v>2419</v>
      </c>
      <c r="C215" t="s">
        <v>1898</v>
      </c>
      <c r="D215" t="s">
        <v>1899</v>
      </c>
      <c r="E215" t="s">
        <v>2420</v>
      </c>
      <c r="F215" t="s">
        <v>1813</v>
      </c>
      <c r="G215" t="s">
        <v>1896</v>
      </c>
    </row>
    <row r="216">
      <c r="A216" t="s">
        <v>2421</v>
      </c>
      <c r="B216" t="s">
        <v>2422</v>
      </c>
      <c r="C216" t="s">
        <v>1913</v>
      </c>
      <c r="D216" t="s">
        <v>1905</v>
      </c>
      <c r="E216" t="s">
        <v>2423</v>
      </c>
      <c r="F216" t="s">
        <v>1663</v>
      </c>
      <c r="G216" t="s">
        <v>1886</v>
      </c>
    </row>
    <row r="217">
      <c r="A217" t="s">
        <v>2421</v>
      </c>
      <c r="B217" t="s">
        <v>389</v>
      </c>
      <c r="C217" t="s">
        <v>1883</v>
      </c>
      <c r="D217" t="s">
        <v>1908</v>
      </c>
      <c r="E217" t="s">
        <v>2424</v>
      </c>
      <c r="F217" t="s">
        <v>1759</v>
      </c>
      <c r="G217" t="s">
        <v>1907</v>
      </c>
    </row>
    <row r="218">
      <c r="A218" t="s">
        <v>2425</v>
      </c>
      <c r="B218" t="s">
        <v>619</v>
      </c>
      <c r="C218" t="s">
        <v>1888</v>
      </c>
      <c r="D218" t="s">
        <v>1947</v>
      </c>
      <c r="E218" t="s">
        <v>2426</v>
      </c>
      <c r="F218" t="s">
        <v>1861</v>
      </c>
      <c r="G218" t="s">
        <v>1901</v>
      </c>
    </row>
    <row r="219">
      <c r="A219" t="s">
        <v>2425</v>
      </c>
      <c r="B219" t="s">
        <v>2427</v>
      </c>
      <c r="C219" t="s">
        <v>1883</v>
      </c>
      <c r="D219" t="s">
        <v>1951</v>
      </c>
      <c r="E219" t="s">
        <v>2428</v>
      </c>
      <c r="F219" t="s">
        <v>1588</v>
      </c>
      <c r="G219" t="s">
        <v>1910</v>
      </c>
    </row>
    <row r="220">
      <c r="A220" t="s">
        <v>2429</v>
      </c>
      <c r="B220" t="s">
        <v>1227</v>
      </c>
      <c r="C220" t="s">
        <v>1893</v>
      </c>
      <c r="D220" t="s">
        <v>1954</v>
      </c>
      <c r="E220" t="s">
        <v>2430</v>
      </c>
      <c r="F220" t="s">
        <v>1708</v>
      </c>
      <c r="G220" t="s">
        <v>1886</v>
      </c>
    </row>
    <row r="221">
      <c r="A221" t="s">
        <v>2429</v>
      </c>
      <c r="B221" t="s">
        <v>2043</v>
      </c>
      <c r="C221" t="s">
        <v>1925</v>
      </c>
      <c r="D221" t="s">
        <v>1926</v>
      </c>
      <c r="E221" t="s">
        <v>2431</v>
      </c>
      <c r="F221" t="s">
        <v>1650</v>
      </c>
      <c r="G221" t="s">
        <v>1891</v>
      </c>
    </row>
    <row r="222">
      <c r="A222" t="s">
        <v>2432</v>
      </c>
      <c r="B222" t="s">
        <v>2433</v>
      </c>
      <c r="C222" t="s">
        <v>1888</v>
      </c>
      <c r="D222" t="s">
        <v>1917</v>
      </c>
      <c r="E222" t="s">
        <v>2434</v>
      </c>
      <c r="F222" t="s">
        <v>1789</v>
      </c>
      <c r="G222" t="s">
        <v>1896</v>
      </c>
    </row>
    <row r="223">
      <c r="A223" t="s">
        <v>2432</v>
      </c>
      <c r="B223" t="s">
        <v>2221</v>
      </c>
      <c r="C223" t="s">
        <v>1883</v>
      </c>
      <c r="D223" t="s">
        <v>1934</v>
      </c>
      <c r="E223" t="s">
        <v>2435</v>
      </c>
      <c r="F223" t="s">
        <v>1855</v>
      </c>
      <c r="G223" t="s">
        <v>1901</v>
      </c>
    </row>
    <row r="224">
      <c r="A224" t="s">
        <v>2436</v>
      </c>
      <c r="B224" t="s">
        <v>2437</v>
      </c>
      <c r="C224" t="s">
        <v>1913</v>
      </c>
      <c r="D224" t="s">
        <v>1914</v>
      </c>
      <c r="E224" t="s">
        <v>2438</v>
      </c>
      <c r="F224" t="s">
        <v>1574</v>
      </c>
      <c r="G224" t="s">
        <v>1907</v>
      </c>
    </row>
    <row r="225">
      <c r="A225" t="s">
        <v>2436</v>
      </c>
      <c r="B225" t="s">
        <v>2439</v>
      </c>
      <c r="C225" t="s">
        <v>1883</v>
      </c>
      <c r="D225" t="s">
        <v>1889</v>
      </c>
      <c r="E225" t="s">
        <v>2440</v>
      </c>
      <c r="F225" t="s">
        <v>1721</v>
      </c>
      <c r="G225" t="s">
        <v>1886</v>
      </c>
    </row>
    <row r="226">
      <c r="A226" t="s">
        <v>2441</v>
      </c>
      <c r="B226" t="s">
        <v>2442</v>
      </c>
      <c r="C226" t="s">
        <v>1921</v>
      </c>
      <c r="D226" t="s">
        <v>2149</v>
      </c>
      <c r="E226" t="s">
        <v>2443</v>
      </c>
      <c r="F226" t="s">
        <v>1636</v>
      </c>
      <c r="G226" t="s">
        <v>1910</v>
      </c>
    </row>
    <row r="227">
      <c r="A227" t="s">
        <v>2441</v>
      </c>
      <c r="B227" t="s">
        <v>2444</v>
      </c>
      <c r="C227" t="s">
        <v>1968</v>
      </c>
      <c r="D227" t="s">
        <v>2027</v>
      </c>
      <c r="E227" t="s">
        <v>2445</v>
      </c>
      <c r="F227" t="s">
        <v>1771</v>
      </c>
      <c r="G227" t="s">
        <v>1891</v>
      </c>
    </row>
    <row r="228">
      <c r="A228" t="s">
        <v>2446</v>
      </c>
      <c r="B228" t="s">
        <v>943</v>
      </c>
      <c r="C228" t="s">
        <v>1883</v>
      </c>
      <c r="D228" t="s">
        <v>2029</v>
      </c>
      <c r="E228" t="s">
        <v>2447</v>
      </c>
      <c r="F228" t="s">
        <v>1831</v>
      </c>
      <c r="G228" t="s">
        <v>1896</v>
      </c>
    </row>
    <row r="229">
      <c r="A229" t="s">
        <v>2446</v>
      </c>
      <c r="B229" t="s">
        <v>2448</v>
      </c>
      <c r="C229" t="s">
        <v>1888</v>
      </c>
      <c r="D229" t="s">
        <v>2070</v>
      </c>
      <c r="E229" t="s">
        <v>2449</v>
      </c>
      <c r="F229" t="s">
        <v>1553</v>
      </c>
      <c r="G229" t="s">
        <v>1886</v>
      </c>
    </row>
    <row r="230">
      <c r="A230" t="s">
        <v>2450</v>
      </c>
      <c r="B230" t="s">
        <v>2451</v>
      </c>
      <c r="C230" t="s">
        <v>1913</v>
      </c>
      <c r="D230" t="s">
        <v>1969</v>
      </c>
      <c r="E230" t="s">
        <v>2452</v>
      </c>
      <c r="F230" t="s">
        <v>1688</v>
      </c>
      <c r="G230" t="s">
        <v>1907</v>
      </c>
    </row>
    <row r="231">
      <c r="A231" t="s">
        <v>2450</v>
      </c>
      <c r="B231" t="s">
        <v>2453</v>
      </c>
      <c r="C231" t="s">
        <v>1883</v>
      </c>
      <c r="D231" t="s">
        <v>1972</v>
      </c>
      <c r="E231" t="s">
        <v>2454</v>
      </c>
      <c r="F231" t="s">
        <v>1801</v>
      </c>
      <c r="G231" t="s">
        <v>1901</v>
      </c>
    </row>
    <row r="232">
      <c r="A232" t="s">
        <v>2455</v>
      </c>
      <c r="B232" t="s">
        <v>2456</v>
      </c>
      <c r="C232" t="s">
        <v>1921</v>
      </c>
      <c r="D232" t="s">
        <v>1922</v>
      </c>
      <c r="E232" t="s">
        <v>2457</v>
      </c>
      <c r="F232" t="s">
        <v>1867</v>
      </c>
      <c r="G232" t="s">
        <v>1910</v>
      </c>
    </row>
    <row r="233">
      <c r="A233" t="s">
        <v>2455</v>
      </c>
      <c r="B233" t="s">
        <v>2458</v>
      </c>
      <c r="C233" t="s">
        <v>1898</v>
      </c>
      <c r="D233" t="s">
        <v>1899</v>
      </c>
      <c r="E233" t="s">
        <v>2459</v>
      </c>
      <c r="F233" t="s">
        <v>1623</v>
      </c>
      <c r="G233" t="s">
        <v>1886</v>
      </c>
    </row>
    <row r="234">
      <c r="A234" t="s">
        <v>2460</v>
      </c>
      <c r="B234" t="s">
        <v>2461</v>
      </c>
      <c r="C234" t="s">
        <v>1913</v>
      </c>
      <c r="D234" t="s">
        <v>1905</v>
      </c>
      <c r="E234" t="s">
        <v>2462</v>
      </c>
      <c r="F234" t="s">
        <v>1727</v>
      </c>
      <c r="G234" t="s">
        <v>1891</v>
      </c>
    </row>
    <row r="235">
      <c r="A235" t="s">
        <v>2460</v>
      </c>
      <c r="B235" t="s">
        <v>2463</v>
      </c>
      <c r="C235" t="s">
        <v>1883</v>
      </c>
      <c r="D235" t="s">
        <v>1908</v>
      </c>
      <c r="E235" t="s">
        <v>2464</v>
      </c>
      <c r="F235" t="s">
        <v>1669</v>
      </c>
      <c r="G235" t="s">
        <v>1896</v>
      </c>
    </row>
    <row r="236">
      <c r="A236" t="s">
        <v>2465</v>
      </c>
      <c r="B236" t="s">
        <v>644</v>
      </c>
      <c r="C236" t="s">
        <v>1888</v>
      </c>
      <c r="D236" t="s">
        <v>1947</v>
      </c>
      <c r="E236" t="s">
        <v>2466</v>
      </c>
      <c r="F236" t="s">
        <v>1807</v>
      </c>
      <c r="G236" t="s">
        <v>1901</v>
      </c>
    </row>
    <row r="237">
      <c r="A237" t="s">
        <v>2465</v>
      </c>
      <c r="B237" t="s">
        <v>1078</v>
      </c>
      <c r="C237" t="s">
        <v>1883</v>
      </c>
      <c r="D237" t="s">
        <v>1951</v>
      </c>
      <c r="E237" t="s">
        <v>2467</v>
      </c>
      <c r="F237" t="s">
        <v>1567</v>
      </c>
      <c r="G237" t="s">
        <v>1907</v>
      </c>
    </row>
    <row r="238">
      <c r="A238" t="s">
        <v>2468</v>
      </c>
      <c r="B238" t="s">
        <v>1280</v>
      </c>
      <c r="C238" t="s">
        <v>1893</v>
      </c>
      <c r="D238" t="s">
        <v>1954</v>
      </c>
      <c r="E238" t="s">
        <v>2469</v>
      </c>
      <c r="F238" t="s">
        <v>1714</v>
      </c>
      <c r="G238" t="s">
        <v>1886</v>
      </c>
    </row>
    <row r="239">
      <c r="A239" t="s">
        <v>2468</v>
      </c>
      <c r="B239" t="s">
        <v>2470</v>
      </c>
      <c r="C239" t="s">
        <v>1925</v>
      </c>
      <c r="D239" t="s">
        <v>1926</v>
      </c>
      <c r="E239" t="s">
        <v>2471</v>
      </c>
      <c r="F239" t="s">
        <v>1616</v>
      </c>
      <c r="G239" t="s">
        <v>1910</v>
      </c>
    </row>
    <row r="240">
      <c r="A240" t="s">
        <v>2472</v>
      </c>
      <c r="B240" t="s">
        <v>2473</v>
      </c>
      <c r="C240" t="s">
        <v>1888</v>
      </c>
      <c r="D240" t="s">
        <v>1917</v>
      </c>
      <c r="E240" t="s">
        <v>2474</v>
      </c>
      <c r="F240" t="s">
        <v>1765</v>
      </c>
      <c r="G240" t="s">
        <v>1891</v>
      </c>
    </row>
    <row r="241">
      <c r="A241" t="s">
        <v>2472</v>
      </c>
      <c r="B241" t="s">
        <v>2475</v>
      </c>
      <c r="C241" t="s">
        <v>1883</v>
      </c>
      <c r="D241" t="s">
        <v>1934</v>
      </c>
      <c r="E241" t="s">
        <v>2476</v>
      </c>
      <c r="F241" t="s">
        <v>1849</v>
      </c>
      <c r="G241" t="s">
        <v>1896</v>
      </c>
    </row>
    <row r="242">
      <c r="A242" t="s">
        <v>2477</v>
      </c>
      <c r="B242" t="s">
        <v>2478</v>
      </c>
      <c r="C242" t="s">
        <v>1913</v>
      </c>
      <c r="D242" t="s">
        <v>1914</v>
      </c>
      <c r="E242" t="s">
        <v>2479</v>
      </c>
      <c r="F242" t="s">
        <v>1682</v>
      </c>
      <c r="G242" t="s">
        <v>1886</v>
      </c>
    </row>
    <row r="243">
      <c r="A243" t="s">
        <v>2477</v>
      </c>
      <c r="B243" t="s">
        <v>2480</v>
      </c>
      <c r="C243" t="s">
        <v>1883</v>
      </c>
      <c r="D243" t="s">
        <v>1889</v>
      </c>
      <c r="E243" t="s">
        <v>2481</v>
      </c>
      <c r="F243" t="s">
        <v>1560</v>
      </c>
      <c r="G243" t="s">
        <v>1907</v>
      </c>
    </row>
    <row r="244">
      <c r="A244" t="s">
        <v>2482</v>
      </c>
      <c r="B244" t="s">
        <v>1114</v>
      </c>
      <c r="C244" t="s">
        <v>1921</v>
      </c>
      <c r="D244" t="s">
        <v>2149</v>
      </c>
      <c r="E244" t="s">
        <v>2483</v>
      </c>
      <c r="F244" t="s">
        <v>1795</v>
      </c>
      <c r="G244" t="s">
        <v>1901</v>
      </c>
    </row>
    <row r="245">
      <c r="A245" t="s">
        <v>2482</v>
      </c>
      <c r="B245" t="s">
        <v>2484</v>
      </c>
      <c r="C245" t="s">
        <v>1968</v>
      </c>
      <c r="D245" t="s">
        <v>2027</v>
      </c>
      <c r="E245" t="s">
        <v>2485</v>
      </c>
      <c r="F245" t="s">
        <v>1657</v>
      </c>
      <c r="G245" t="s">
        <v>1910</v>
      </c>
    </row>
    <row r="246">
      <c r="A246" t="s">
        <v>2486</v>
      </c>
      <c r="B246" t="s">
        <v>2487</v>
      </c>
      <c r="C246" t="s">
        <v>1883</v>
      </c>
      <c r="D246" t="s">
        <v>2029</v>
      </c>
      <c r="E246" t="s">
        <v>2488</v>
      </c>
      <c r="F246" t="s">
        <v>1739</v>
      </c>
      <c r="G246" t="s">
        <v>1886</v>
      </c>
    </row>
    <row r="247">
      <c r="A247" t="s">
        <v>2486</v>
      </c>
      <c r="B247" t="s">
        <v>2489</v>
      </c>
      <c r="C247" t="s">
        <v>1888</v>
      </c>
      <c r="D247" t="s">
        <v>2070</v>
      </c>
      <c r="E247" t="s">
        <v>2490</v>
      </c>
      <c r="F247" t="s">
        <v>1777</v>
      </c>
      <c r="G247" t="s">
        <v>1891</v>
      </c>
    </row>
    <row r="248">
      <c r="A248" t="s">
        <v>2491</v>
      </c>
      <c r="B248" t="s">
        <v>2492</v>
      </c>
      <c r="C248" t="s">
        <v>1913</v>
      </c>
      <c r="D248" t="s">
        <v>1969</v>
      </c>
      <c r="E248" t="s">
        <v>2493</v>
      </c>
      <c r="F248" t="s">
        <v>1843</v>
      </c>
      <c r="G248" t="s">
        <v>1896</v>
      </c>
    </row>
    <row r="249">
      <c r="A249" t="s">
        <v>2491</v>
      </c>
      <c r="B249" t="s">
        <v>2494</v>
      </c>
      <c r="C249" t="s">
        <v>1883</v>
      </c>
      <c r="D249" t="s">
        <v>1972</v>
      </c>
      <c r="E249" t="s">
        <v>2495</v>
      </c>
      <c r="F249" t="s">
        <v>1695</v>
      </c>
      <c r="G249" t="s">
        <v>1901</v>
      </c>
    </row>
    <row r="250">
      <c r="A250" t="s">
        <v>2496</v>
      </c>
      <c r="B250" t="s">
        <v>1045</v>
      </c>
      <c r="C250" t="s">
        <v>1921</v>
      </c>
      <c r="D250" t="s">
        <v>1922</v>
      </c>
      <c r="E250" t="s">
        <v>2497</v>
      </c>
      <c r="F250" t="s">
        <v>1825</v>
      </c>
      <c r="G250" t="s">
        <v>1907</v>
      </c>
    </row>
    <row r="251">
      <c r="A251" t="s">
        <v>2496</v>
      </c>
      <c r="B251" t="s">
        <v>918</v>
      </c>
      <c r="C251" t="s">
        <v>1898</v>
      </c>
      <c r="D251" t="s">
        <v>1899</v>
      </c>
      <c r="E251" t="s">
        <v>2498</v>
      </c>
      <c r="F251" t="s">
        <v>1746</v>
      </c>
      <c r="G251" t="s">
        <v>1886</v>
      </c>
    </row>
    <row r="252">
      <c r="A252" t="s">
        <v>2499</v>
      </c>
      <c r="B252" t="s">
        <v>2500</v>
      </c>
      <c r="C252" t="s">
        <v>1913</v>
      </c>
      <c r="D252" t="s">
        <v>1905</v>
      </c>
      <c r="E252" t="s">
        <v>2501</v>
      </c>
      <c r="F252" t="s">
        <v>1629</v>
      </c>
      <c r="G252" t="s">
        <v>1910</v>
      </c>
    </row>
    <row r="253">
      <c r="A253" t="s">
        <v>2499</v>
      </c>
      <c r="B253" t="s">
        <v>2502</v>
      </c>
      <c r="C253" t="s">
        <v>1883</v>
      </c>
      <c r="D253" t="s">
        <v>1908</v>
      </c>
      <c r="E253" t="s">
        <v>2503</v>
      </c>
      <c r="F253" t="s">
        <v>1595</v>
      </c>
      <c r="G253" t="s">
        <v>1891</v>
      </c>
    </row>
    <row r="254">
      <c r="A254" t="s">
        <v>2504</v>
      </c>
      <c r="B254" t="s">
        <v>28</v>
      </c>
      <c r="C254" t="s">
        <v>1888</v>
      </c>
      <c r="D254" t="s">
        <v>1947</v>
      </c>
      <c r="E254" t="s">
        <v>2505</v>
      </c>
      <c r="F254" t="s">
        <v>1702</v>
      </c>
      <c r="G254" t="s">
        <v>1896</v>
      </c>
    </row>
    <row r="255">
      <c r="A255" t="s">
        <v>2504</v>
      </c>
      <c r="B255" t="s">
        <v>2506</v>
      </c>
      <c r="C255" t="s">
        <v>1883</v>
      </c>
      <c r="D255" t="s">
        <v>1951</v>
      </c>
      <c r="E255" t="s">
        <v>2507</v>
      </c>
      <c r="F255" t="s">
        <v>1837</v>
      </c>
      <c r="G255" t="s">
        <v>1886</v>
      </c>
    </row>
    <row r="256">
      <c r="A256" t="s">
        <v>2508</v>
      </c>
      <c r="B256" t="s">
        <v>2509</v>
      </c>
      <c r="C256" t="s">
        <v>1893</v>
      </c>
      <c r="D256" t="s">
        <v>1954</v>
      </c>
      <c r="E256" t="s">
        <v>2510</v>
      </c>
      <c r="F256" t="s">
        <v>1602</v>
      </c>
      <c r="G256" t="s">
        <v>1907</v>
      </c>
    </row>
    <row r="257">
      <c r="A257" t="s">
        <v>2508</v>
      </c>
      <c r="B257" t="s">
        <v>2511</v>
      </c>
      <c r="C257" t="s">
        <v>1925</v>
      </c>
      <c r="D257" t="s">
        <v>1926</v>
      </c>
      <c r="E257" t="s">
        <v>2512</v>
      </c>
      <c r="F257" t="s">
        <v>1752</v>
      </c>
      <c r="G257" t="s">
        <v>1901</v>
      </c>
    </row>
    <row r="258">
      <c r="A258" t="s">
        <v>2513</v>
      </c>
      <c r="B258" t="s">
        <v>906</v>
      </c>
      <c r="C258" t="s">
        <v>1888</v>
      </c>
      <c r="D258" t="s">
        <v>1917</v>
      </c>
      <c r="E258" t="s">
        <v>2514</v>
      </c>
      <c r="F258" t="s">
        <v>1675</v>
      </c>
      <c r="G258" t="s">
        <v>1910</v>
      </c>
    </row>
    <row r="259">
      <c r="A259" t="s">
        <v>2513</v>
      </c>
      <c r="B259" t="s">
        <v>2515</v>
      </c>
      <c r="C259" t="s">
        <v>1883</v>
      </c>
      <c r="D259" t="s">
        <v>1934</v>
      </c>
      <c r="E259" t="s">
        <v>2516</v>
      </c>
      <c r="F259" t="s">
        <v>1819</v>
      </c>
      <c r="G259" t="s">
        <v>1886</v>
      </c>
    </row>
    <row r="260">
      <c r="A260" t="s">
        <v>2517</v>
      </c>
      <c r="B260" t="s">
        <v>2518</v>
      </c>
      <c r="C260" t="s">
        <v>1913</v>
      </c>
      <c r="D260" t="s">
        <v>1914</v>
      </c>
      <c r="E260" t="s">
        <v>2519</v>
      </c>
      <c r="F260" t="s">
        <v>1581</v>
      </c>
      <c r="G260" t="s">
        <v>1891</v>
      </c>
    </row>
    <row r="261">
      <c r="A261" t="s">
        <v>2517</v>
      </c>
      <c r="B261" t="s">
        <v>2520</v>
      </c>
      <c r="C261" t="s">
        <v>1883</v>
      </c>
      <c r="D261" t="s">
        <v>1889</v>
      </c>
      <c r="E261" t="s">
        <v>2521</v>
      </c>
      <c r="F261" t="s">
        <v>1783</v>
      </c>
      <c r="G261" t="s">
        <v>1896</v>
      </c>
    </row>
    <row r="262">
      <c r="A262" t="s">
        <v>2522</v>
      </c>
      <c r="B262" t="s">
        <v>2523</v>
      </c>
      <c r="C262" t="s">
        <v>1921</v>
      </c>
      <c r="D262" t="s">
        <v>2149</v>
      </c>
      <c r="E262" t="s">
        <v>2524</v>
      </c>
      <c r="F262" t="s">
        <v>1643</v>
      </c>
      <c r="G262" t="s">
        <v>1901</v>
      </c>
    </row>
    <row r="263">
      <c r="A263" t="s">
        <v>2522</v>
      </c>
      <c r="B263" t="s">
        <v>1216</v>
      </c>
      <c r="C263" t="s">
        <v>1968</v>
      </c>
      <c r="D263" t="s">
        <v>2027</v>
      </c>
      <c r="E263" t="s">
        <v>2525</v>
      </c>
      <c r="F263" t="s">
        <v>1733</v>
      </c>
      <c r="G263" t="s">
        <v>1907</v>
      </c>
    </row>
    <row r="264">
      <c r="A264" t="s">
        <v>2526</v>
      </c>
      <c r="B264" t="s">
        <v>2527</v>
      </c>
      <c r="C264" t="s">
        <v>1883</v>
      </c>
      <c r="D264" t="s">
        <v>2029</v>
      </c>
      <c r="E264" t="s">
        <v>2528</v>
      </c>
      <c r="F264" t="s">
        <v>1609</v>
      </c>
      <c r="G264" t="s">
        <v>1886</v>
      </c>
    </row>
    <row r="265">
      <c r="A265" t="s">
        <v>2526</v>
      </c>
      <c r="B265" t="s">
        <v>2264</v>
      </c>
      <c r="C265" t="s">
        <v>1888</v>
      </c>
      <c r="D265" t="s">
        <v>2070</v>
      </c>
      <c r="E265" t="s">
        <v>2529</v>
      </c>
      <c r="F265" t="s">
        <v>1813</v>
      </c>
      <c r="G265" t="s">
        <v>1910</v>
      </c>
    </row>
    <row r="266">
      <c r="A266" t="s">
        <v>2530</v>
      </c>
      <c r="B266" t="s">
        <v>698</v>
      </c>
      <c r="C266" t="s">
        <v>1913</v>
      </c>
      <c r="D266" t="s">
        <v>1969</v>
      </c>
      <c r="E266" t="s">
        <v>2531</v>
      </c>
      <c r="F266" t="s">
        <v>1663</v>
      </c>
      <c r="G266" t="s">
        <v>1891</v>
      </c>
    </row>
    <row r="267">
      <c r="A267" t="s">
        <v>2530</v>
      </c>
      <c r="B267" t="s">
        <v>2058</v>
      </c>
      <c r="C267" t="s">
        <v>1883</v>
      </c>
      <c r="D267" t="s">
        <v>1972</v>
      </c>
      <c r="E267" t="s">
        <v>2532</v>
      </c>
      <c r="F267" t="s">
        <v>1759</v>
      </c>
      <c r="G267" t="s">
        <v>1896</v>
      </c>
    </row>
    <row r="268">
      <c r="A268" t="s">
        <v>2533</v>
      </c>
      <c r="B268" t="s">
        <v>2534</v>
      </c>
      <c r="C268" t="s">
        <v>1921</v>
      </c>
      <c r="D268" t="s">
        <v>1922</v>
      </c>
      <c r="E268" t="s">
        <v>2535</v>
      </c>
      <c r="F268" t="s">
        <v>1861</v>
      </c>
      <c r="G268" t="s">
        <v>1886</v>
      </c>
    </row>
    <row r="269">
      <c r="A269" t="s">
        <v>2533</v>
      </c>
      <c r="B269" t="s">
        <v>1342</v>
      </c>
      <c r="C269" t="s">
        <v>1898</v>
      </c>
      <c r="D269" t="s">
        <v>1899</v>
      </c>
      <c r="E269" t="s">
        <v>2536</v>
      </c>
      <c r="F269" t="s">
        <v>1588</v>
      </c>
      <c r="G269" t="s">
        <v>1907</v>
      </c>
    </row>
    <row r="270">
      <c r="A270" t="s">
        <v>2537</v>
      </c>
      <c r="B270" t="s">
        <v>2538</v>
      </c>
      <c r="C270" t="s">
        <v>1913</v>
      </c>
      <c r="D270" t="s">
        <v>1905</v>
      </c>
      <c r="E270" t="s">
        <v>2539</v>
      </c>
      <c r="F270" t="s">
        <v>1708</v>
      </c>
      <c r="G270" t="s">
        <v>1901</v>
      </c>
    </row>
    <row r="271">
      <c r="A271" t="s">
        <v>2537</v>
      </c>
      <c r="B271" t="s">
        <v>2540</v>
      </c>
      <c r="C271" t="s">
        <v>1883</v>
      </c>
      <c r="D271" t="s">
        <v>1908</v>
      </c>
      <c r="E271" t="s">
        <v>2541</v>
      </c>
      <c r="F271" t="s">
        <v>1650</v>
      </c>
      <c r="G271" t="s">
        <v>1910</v>
      </c>
    </row>
    <row r="272">
      <c r="A272" t="s">
        <v>2542</v>
      </c>
      <c r="B272" t="s">
        <v>559</v>
      </c>
      <c r="C272" t="s">
        <v>1888</v>
      </c>
      <c r="D272" t="s">
        <v>1947</v>
      </c>
      <c r="E272" t="s">
        <v>2543</v>
      </c>
      <c r="F272" t="s">
        <v>1789</v>
      </c>
      <c r="G272" t="s">
        <v>1886</v>
      </c>
    </row>
    <row r="273">
      <c r="A273" t="s">
        <v>2542</v>
      </c>
      <c r="B273" t="s">
        <v>2544</v>
      </c>
      <c r="C273" t="s">
        <v>1883</v>
      </c>
      <c r="D273" t="s">
        <v>1951</v>
      </c>
      <c r="E273" t="s">
        <v>2545</v>
      </c>
      <c r="F273" t="s">
        <v>1855</v>
      </c>
      <c r="G273" t="s">
        <v>1891</v>
      </c>
    </row>
    <row r="274">
      <c r="A274" t="s">
        <v>2546</v>
      </c>
      <c r="B274" t="s">
        <v>2547</v>
      </c>
      <c r="C274" t="s">
        <v>1893</v>
      </c>
      <c r="D274" t="s">
        <v>1954</v>
      </c>
      <c r="E274" t="s">
        <v>2548</v>
      </c>
      <c r="F274" t="s">
        <v>1574</v>
      </c>
      <c r="G274" t="s">
        <v>1896</v>
      </c>
    </row>
    <row r="275">
      <c r="A275" t="s">
        <v>2546</v>
      </c>
      <c r="B275" t="s">
        <v>2549</v>
      </c>
      <c r="C275" t="s">
        <v>1925</v>
      </c>
      <c r="D275" t="s">
        <v>1926</v>
      </c>
      <c r="E275" t="s">
        <v>2550</v>
      </c>
      <c r="F275" t="s">
        <v>1721</v>
      </c>
      <c r="G275" t="s">
        <v>1901</v>
      </c>
    </row>
    <row r="276">
      <c r="A276" t="s">
        <v>2551</v>
      </c>
      <c r="B276" t="s">
        <v>2552</v>
      </c>
      <c r="C276" t="s">
        <v>1888</v>
      </c>
      <c r="D276" t="s">
        <v>1917</v>
      </c>
      <c r="E276" t="s">
        <v>2553</v>
      </c>
      <c r="F276" t="s">
        <v>1636</v>
      </c>
      <c r="G276" t="s">
        <v>1907</v>
      </c>
    </row>
    <row r="277">
      <c r="A277" t="s">
        <v>2551</v>
      </c>
      <c r="B277" t="s">
        <v>2515</v>
      </c>
      <c r="C277" t="s">
        <v>1883</v>
      </c>
      <c r="D277" t="s">
        <v>1934</v>
      </c>
      <c r="E277" t="s">
        <v>2554</v>
      </c>
      <c r="F277" t="s">
        <v>1771</v>
      </c>
      <c r="G277" t="s">
        <v>1886</v>
      </c>
    </row>
    <row r="278">
      <c r="A278" t="s">
        <v>2555</v>
      </c>
      <c r="B278" t="s">
        <v>2556</v>
      </c>
      <c r="C278" t="s">
        <v>1913</v>
      </c>
      <c r="D278" t="s">
        <v>1914</v>
      </c>
      <c r="E278" t="s">
        <v>2557</v>
      </c>
      <c r="F278" t="s">
        <v>1831</v>
      </c>
      <c r="G278" t="s">
        <v>1910</v>
      </c>
    </row>
    <row r="279">
      <c r="A279" t="s">
        <v>2555</v>
      </c>
      <c r="B279" t="s">
        <v>2305</v>
      </c>
      <c r="C279" t="s">
        <v>1883</v>
      </c>
      <c r="D279" t="s">
        <v>1889</v>
      </c>
      <c r="E279" t="s">
        <v>2558</v>
      </c>
      <c r="F279" t="s">
        <v>1553</v>
      </c>
      <c r="G279" t="s">
        <v>1891</v>
      </c>
    </row>
    <row r="280">
      <c r="A280" t="s">
        <v>2559</v>
      </c>
      <c r="B280" t="s">
        <v>2560</v>
      </c>
      <c r="C280" t="s">
        <v>1921</v>
      </c>
      <c r="D280" t="s">
        <v>2149</v>
      </c>
      <c r="E280" t="s">
        <v>2561</v>
      </c>
      <c r="F280" t="s">
        <v>1688</v>
      </c>
      <c r="G280" t="s">
        <v>1896</v>
      </c>
    </row>
    <row r="281">
      <c r="A281" t="s">
        <v>2559</v>
      </c>
      <c r="B281" t="s">
        <v>2562</v>
      </c>
      <c r="C281" t="s">
        <v>1968</v>
      </c>
      <c r="D281" t="s">
        <v>2027</v>
      </c>
      <c r="E281" t="s">
        <v>2563</v>
      </c>
      <c r="F281" t="s">
        <v>1801</v>
      </c>
      <c r="G281" t="s">
        <v>1886</v>
      </c>
    </row>
    <row r="282">
      <c r="A282" t="s">
        <v>2564</v>
      </c>
      <c r="B282" t="s">
        <v>838</v>
      </c>
      <c r="C282" t="s">
        <v>1883</v>
      </c>
      <c r="D282" t="s">
        <v>2029</v>
      </c>
      <c r="E282" t="s">
        <v>2565</v>
      </c>
      <c r="F282" t="s">
        <v>1867</v>
      </c>
      <c r="G282" t="s">
        <v>1907</v>
      </c>
    </row>
    <row r="283">
      <c r="A283" t="s">
        <v>2564</v>
      </c>
      <c r="B283" t="s">
        <v>2566</v>
      </c>
      <c r="C283" t="s">
        <v>1888</v>
      </c>
      <c r="D283" t="s">
        <v>2070</v>
      </c>
      <c r="E283" t="s">
        <v>2567</v>
      </c>
      <c r="F283" t="s">
        <v>1623</v>
      </c>
      <c r="G283" t="s">
        <v>1901</v>
      </c>
    </row>
    <row r="284">
      <c r="A284" t="s">
        <v>2568</v>
      </c>
      <c r="B284" t="s">
        <v>1171</v>
      </c>
      <c r="C284" t="s">
        <v>1913</v>
      </c>
      <c r="D284" t="s">
        <v>1969</v>
      </c>
      <c r="E284" t="s">
        <v>2569</v>
      </c>
      <c r="F284" t="s">
        <v>1727</v>
      </c>
      <c r="G284" t="s">
        <v>1910</v>
      </c>
    </row>
    <row r="285">
      <c r="A285" t="s">
        <v>2568</v>
      </c>
      <c r="B285" t="s">
        <v>2570</v>
      </c>
      <c r="C285" t="s">
        <v>1883</v>
      </c>
      <c r="D285" t="s">
        <v>1972</v>
      </c>
      <c r="E285" t="s">
        <v>2571</v>
      </c>
      <c r="F285" t="s">
        <v>1669</v>
      </c>
      <c r="G285" t="s">
        <v>1886</v>
      </c>
    </row>
    <row r="286">
      <c r="A286" t="s">
        <v>2572</v>
      </c>
      <c r="B286" t="s">
        <v>2573</v>
      </c>
      <c r="C286" t="s">
        <v>1921</v>
      </c>
      <c r="D286" t="s">
        <v>1922</v>
      </c>
      <c r="E286" t="s">
        <v>2574</v>
      </c>
      <c r="F286" t="s">
        <v>1807</v>
      </c>
      <c r="G286" t="s">
        <v>1891</v>
      </c>
    </row>
    <row r="287">
      <c r="A287" t="s">
        <v>2572</v>
      </c>
      <c r="B287" t="s">
        <v>2575</v>
      </c>
      <c r="C287" t="s">
        <v>1898</v>
      </c>
      <c r="D287" t="s">
        <v>1899</v>
      </c>
      <c r="E287" t="s">
        <v>2576</v>
      </c>
      <c r="F287" t="s">
        <v>1567</v>
      </c>
      <c r="G287" t="s">
        <v>1896</v>
      </c>
    </row>
    <row r="288">
      <c r="A288" t="s">
        <v>2577</v>
      </c>
      <c r="B288" t="s">
        <v>1314</v>
      </c>
      <c r="C288" t="s">
        <v>1913</v>
      </c>
      <c r="D288" t="s">
        <v>1905</v>
      </c>
      <c r="E288" t="s">
        <v>2578</v>
      </c>
      <c r="F288" t="s">
        <v>1714</v>
      </c>
      <c r="G288" t="s">
        <v>1901</v>
      </c>
    </row>
    <row r="289">
      <c r="A289" t="s">
        <v>2577</v>
      </c>
      <c r="B289" t="s">
        <v>2141</v>
      </c>
      <c r="C289" t="s">
        <v>1883</v>
      </c>
      <c r="D289" t="s">
        <v>1908</v>
      </c>
      <c r="E289" t="s">
        <v>2579</v>
      </c>
      <c r="F289" t="s">
        <v>1616</v>
      </c>
      <c r="G289" t="s">
        <v>1907</v>
      </c>
    </row>
    <row r="290">
      <c r="A290" t="s">
        <v>2580</v>
      </c>
      <c r="B290" t="s">
        <v>2581</v>
      </c>
      <c r="C290" t="s">
        <v>1888</v>
      </c>
      <c r="D290" t="s">
        <v>1947</v>
      </c>
      <c r="E290" t="s">
        <v>2582</v>
      </c>
      <c r="F290" t="s">
        <v>1765</v>
      </c>
      <c r="G290" t="s">
        <v>1886</v>
      </c>
    </row>
    <row r="291">
      <c r="A291" t="s">
        <v>2580</v>
      </c>
      <c r="B291" t="s">
        <v>2583</v>
      </c>
      <c r="C291" t="s">
        <v>1883</v>
      </c>
      <c r="D291" t="s">
        <v>1951</v>
      </c>
      <c r="E291" t="s">
        <v>2584</v>
      </c>
      <c r="F291" t="s">
        <v>1849</v>
      </c>
      <c r="G291" t="s">
        <v>1910</v>
      </c>
    </row>
    <row r="292">
      <c r="A292" t="s">
        <v>2585</v>
      </c>
      <c r="B292" t="s">
        <v>2586</v>
      </c>
      <c r="C292" t="s">
        <v>1893</v>
      </c>
      <c r="D292" t="s">
        <v>1954</v>
      </c>
      <c r="E292" t="s">
        <v>2587</v>
      </c>
      <c r="F292" t="s">
        <v>1682</v>
      </c>
      <c r="G292" t="s">
        <v>1891</v>
      </c>
    </row>
    <row r="293">
      <c r="A293" t="s">
        <v>2585</v>
      </c>
      <c r="B293" t="s">
        <v>2216</v>
      </c>
      <c r="C293" t="s">
        <v>1925</v>
      </c>
      <c r="D293" t="s">
        <v>1926</v>
      </c>
      <c r="E293" t="s">
        <v>2588</v>
      </c>
      <c r="F293" t="s">
        <v>1560</v>
      </c>
      <c r="G293" t="s">
        <v>1896</v>
      </c>
    </row>
    <row r="294">
      <c r="A294" t="s">
        <v>2589</v>
      </c>
      <c r="B294" t="s">
        <v>732</v>
      </c>
      <c r="C294" t="s">
        <v>1888</v>
      </c>
      <c r="D294" t="s">
        <v>1917</v>
      </c>
      <c r="E294" t="s">
        <v>2590</v>
      </c>
      <c r="F294" t="s">
        <v>1795</v>
      </c>
      <c r="G294" t="s">
        <v>1886</v>
      </c>
    </row>
    <row r="295">
      <c r="A295" t="s">
        <v>2589</v>
      </c>
      <c r="B295" t="s">
        <v>695</v>
      </c>
      <c r="C295" t="s">
        <v>1883</v>
      </c>
      <c r="D295" t="s">
        <v>1934</v>
      </c>
      <c r="E295" t="s">
        <v>2591</v>
      </c>
      <c r="F295" t="s">
        <v>1657</v>
      </c>
      <c r="G295" t="s">
        <v>1907</v>
      </c>
    </row>
    <row r="296">
      <c r="A296" t="s">
        <v>2592</v>
      </c>
      <c r="B296" t="s">
        <v>238</v>
      </c>
      <c r="C296" t="s">
        <v>1913</v>
      </c>
      <c r="D296" t="s">
        <v>1914</v>
      </c>
      <c r="E296" t="s">
        <v>2593</v>
      </c>
      <c r="F296" t="s">
        <v>1739</v>
      </c>
      <c r="G296" t="s">
        <v>1901</v>
      </c>
    </row>
    <row r="297">
      <c r="A297" t="s">
        <v>2592</v>
      </c>
      <c r="B297" t="s">
        <v>1390</v>
      </c>
      <c r="C297" t="s">
        <v>1883</v>
      </c>
      <c r="D297" t="s">
        <v>1889</v>
      </c>
      <c r="E297" t="s">
        <v>2594</v>
      </c>
      <c r="F297" t="s">
        <v>1777</v>
      </c>
      <c r="G297" t="s">
        <v>1910</v>
      </c>
    </row>
    <row r="298">
      <c r="A298" t="s">
        <v>2595</v>
      </c>
      <c r="B298" t="s">
        <v>2596</v>
      </c>
      <c r="C298" t="s">
        <v>1921</v>
      </c>
      <c r="D298" t="s">
        <v>2149</v>
      </c>
      <c r="E298" t="s">
        <v>2597</v>
      </c>
      <c r="F298" t="s">
        <v>1843</v>
      </c>
      <c r="G298" t="s">
        <v>1886</v>
      </c>
    </row>
    <row r="299">
      <c r="A299" t="s">
        <v>2595</v>
      </c>
      <c r="B299" t="s">
        <v>2391</v>
      </c>
      <c r="C299" t="s">
        <v>1968</v>
      </c>
      <c r="D299" t="s">
        <v>2027</v>
      </c>
      <c r="E299" t="s">
        <v>2598</v>
      </c>
      <c r="F299" t="s">
        <v>1695</v>
      </c>
      <c r="G299" t="s">
        <v>1891</v>
      </c>
    </row>
    <row r="300">
      <c r="A300" t="s">
        <v>2599</v>
      </c>
      <c r="B300" t="s">
        <v>2600</v>
      </c>
      <c r="C300" t="s">
        <v>1883</v>
      </c>
      <c r="D300" t="s">
        <v>2029</v>
      </c>
      <c r="E300" t="s">
        <v>2601</v>
      </c>
      <c r="F300" t="s">
        <v>1825</v>
      </c>
      <c r="G300" t="s">
        <v>1896</v>
      </c>
    </row>
    <row r="301">
      <c r="A301" t="s">
        <v>2599</v>
      </c>
      <c r="B301" t="s">
        <v>2602</v>
      </c>
      <c r="C301" t="s">
        <v>1888</v>
      </c>
      <c r="D301" t="s">
        <v>2070</v>
      </c>
      <c r="E301" t="s">
        <v>2603</v>
      </c>
      <c r="F301" t="s">
        <v>1746</v>
      </c>
      <c r="G301" t="s">
        <v>1901</v>
      </c>
    </row>
    <row r="302">
      <c r="A302" t="s">
        <v>2604</v>
      </c>
      <c r="B302" t="s">
        <v>2252</v>
      </c>
      <c r="C302" t="s">
        <v>1913</v>
      </c>
      <c r="D302" t="s">
        <v>1969</v>
      </c>
      <c r="E302" t="s">
        <v>2605</v>
      </c>
      <c r="F302" t="s">
        <v>1629</v>
      </c>
      <c r="G302" t="s">
        <v>1907</v>
      </c>
    </row>
    <row r="303">
      <c r="A303" t="s">
        <v>2604</v>
      </c>
      <c r="B303" t="s">
        <v>2606</v>
      </c>
      <c r="C303" t="s">
        <v>1883</v>
      </c>
      <c r="D303" t="s">
        <v>1972</v>
      </c>
      <c r="E303" t="s">
        <v>2607</v>
      </c>
      <c r="F303" t="s">
        <v>1595</v>
      </c>
      <c r="G303" t="s">
        <v>1886</v>
      </c>
    </row>
    <row r="304">
      <c r="A304" t="s">
        <v>2608</v>
      </c>
      <c r="B304" t="s">
        <v>2609</v>
      </c>
      <c r="C304" t="s">
        <v>1921</v>
      </c>
      <c r="D304" t="s">
        <v>1922</v>
      </c>
      <c r="E304" t="s">
        <v>2610</v>
      </c>
      <c r="F304" t="s">
        <v>1702</v>
      </c>
      <c r="G304" t="s">
        <v>1910</v>
      </c>
    </row>
    <row r="305">
      <c r="A305" t="s">
        <v>2608</v>
      </c>
      <c r="B305" t="s">
        <v>2611</v>
      </c>
      <c r="C305" t="s">
        <v>1898</v>
      </c>
      <c r="D305" t="s">
        <v>1899</v>
      </c>
      <c r="E305" t="s">
        <v>2612</v>
      </c>
      <c r="F305" t="s">
        <v>1837</v>
      </c>
      <c r="G305" t="s">
        <v>1891</v>
      </c>
    </row>
    <row r="306">
      <c r="A306" t="s">
        <v>2613</v>
      </c>
      <c r="B306" t="s">
        <v>2614</v>
      </c>
      <c r="C306" t="s">
        <v>1913</v>
      </c>
      <c r="D306" t="s">
        <v>1905</v>
      </c>
      <c r="E306" t="s">
        <v>2615</v>
      </c>
      <c r="F306" t="s">
        <v>1602</v>
      </c>
      <c r="G306" t="s">
        <v>1896</v>
      </c>
    </row>
    <row r="307">
      <c r="A307" t="s">
        <v>2613</v>
      </c>
      <c r="B307" t="s">
        <v>2616</v>
      </c>
      <c r="C307" t="s">
        <v>1883</v>
      </c>
      <c r="D307" t="s">
        <v>1908</v>
      </c>
      <c r="E307" t="s">
        <v>2617</v>
      </c>
      <c r="F307" t="s">
        <v>1752</v>
      </c>
      <c r="G307" t="s">
        <v>1886</v>
      </c>
    </row>
    <row r="308">
      <c r="A308" t="s">
        <v>2618</v>
      </c>
      <c r="B308" t="s">
        <v>2619</v>
      </c>
      <c r="C308" t="s">
        <v>1888</v>
      </c>
      <c r="D308" t="s">
        <v>1947</v>
      </c>
      <c r="E308" t="s">
        <v>2620</v>
      </c>
      <c r="F308" t="s">
        <v>1675</v>
      </c>
      <c r="G308" t="s">
        <v>1907</v>
      </c>
    </row>
    <row r="309">
      <c r="A309" t="s">
        <v>2618</v>
      </c>
      <c r="B309" t="s">
        <v>2570</v>
      </c>
      <c r="C309" t="s">
        <v>1883</v>
      </c>
      <c r="D309" t="s">
        <v>1951</v>
      </c>
      <c r="E309" t="s">
        <v>2621</v>
      </c>
      <c r="F309" t="s">
        <v>1819</v>
      </c>
      <c r="G309" t="s">
        <v>1901</v>
      </c>
    </row>
    <row r="310">
      <c r="A310" t="s">
        <v>2622</v>
      </c>
      <c r="B310" t="s">
        <v>2623</v>
      </c>
      <c r="C310" t="s">
        <v>1893</v>
      </c>
      <c r="D310" t="s">
        <v>1954</v>
      </c>
      <c r="E310" t="s">
        <v>2624</v>
      </c>
      <c r="F310" t="s">
        <v>1581</v>
      </c>
      <c r="G310" t="s">
        <v>1910</v>
      </c>
    </row>
    <row r="311">
      <c r="A311" t="s">
        <v>2622</v>
      </c>
      <c r="B311" t="s">
        <v>1897</v>
      </c>
      <c r="C311" t="s">
        <v>1925</v>
      </c>
      <c r="D311" t="s">
        <v>1926</v>
      </c>
      <c r="E311" t="s">
        <v>2625</v>
      </c>
      <c r="F311" t="s">
        <v>1783</v>
      </c>
      <c r="G311" t="s">
        <v>1886</v>
      </c>
    </row>
    <row r="312">
      <c r="A312" t="s">
        <v>2626</v>
      </c>
      <c r="B312" t="s">
        <v>2627</v>
      </c>
      <c r="C312" t="s">
        <v>1888</v>
      </c>
      <c r="D312" t="s">
        <v>1917</v>
      </c>
      <c r="E312" t="s">
        <v>2628</v>
      </c>
      <c r="F312" t="s">
        <v>1643</v>
      </c>
      <c r="G312" t="s">
        <v>1891</v>
      </c>
    </row>
    <row r="313">
      <c r="A313" t="s">
        <v>2626</v>
      </c>
      <c r="B313" t="s">
        <v>2629</v>
      </c>
      <c r="C313" t="s">
        <v>1883</v>
      </c>
      <c r="D313" t="s">
        <v>1934</v>
      </c>
      <c r="E313" t="s">
        <v>2630</v>
      </c>
      <c r="F313" t="s">
        <v>1733</v>
      </c>
      <c r="G313" t="s">
        <v>1896</v>
      </c>
    </row>
    <row r="314">
      <c r="A314" t="s">
        <v>2631</v>
      </c>
      <c r="B314" t="s">
        <v>2632</v>
      </c>
      <c r="C314" t="s">
        <v>1913</v>
      </c>
      <c r="D314" t="s">
        <v>1914</v>
      </c>
      <c r="E314" t="s">
        <v>2633</v>
      </c>
      <c r="F314" t="s">
        <v>1609</v>
      </c>
      <c r="G314" t="s">
        <v>1901</v>
      </c>
    </row>
    <row r="315">
      <c r="A315" t="s">
        <v>2631</v>
      </c>
      <c r="B315" t="s">
        <v>1423</v>
      </c>
      <c r="C315" t="s">
        <v>1883</v>
      </c>
      <c r="D315" t="s">
        <v>1889</v>
      </c>
      <c r="E315" t="s">
        <v>2634</v>
      </c>
      <c r="F315" t="s">
        <v>1813</v>
      </c>
      <c r="G315" t="s">
        <v>1907</v>
      </c>
    </row>
    <row r="316">
      <c r="A316" t="s">
        <v>2635</v>
      </c>
      <c r="B316" t="s">
        <v>2636</v>
      </c>
      <c r="C316" t="s">
        <v>1921</v>
      </c>
      <c r="D316" t="s">
        <v>2149</v>
      </c>
      <c r="E316" t="s">
        <v>2637</v>
      </c>
      <c r="F316" t="s">
        <v>1663</v>
      </c>
      <c r="G316" t="s">
        <v>1886</v>
      </c>
    </row>
    <row r="317">
      <c r="A317" t="s">
        <v>2635</v>
      </c>
      <c r="B317" t="s">
        <v>2638</v>
      </c>
      <c r="C317" t="s">
        <v>1968</v>
      </c>
      <c r="D317" t="s">
        <v>2027</v>
      </c>
      <c r="E317" t="s">
        <v>2639</v>
      </c>
      <c r="F317" t="s">
        <v>1759</v>
      </c>
      <c r="G317" t="s">
        <v>1910</v>
      </c>
    </row>
    <row r="318">
      <c r="A318" t="s">
        <v>2640</v>
      </c>
      <c r="B318" t="s">
        <v>1095</v>
      </c>
      <c r="C318" t="s">
        <v>1883</v>
      </c>
      <c r="D318" t="s">
        <v>2029</v>
      </c>
      <c r="E318" t="s">
        <v>2641</v>
      </c>
      <c r="F318" t="s">
        <v>1861</v>
      </c>
      <c r="G318" t="s">
        <v>1891</v>
      </c>
    </row>
    <row r="319">
      <c r="A319" t="s">
        <v>2640</v>
      </c>
      <c r="B319" t="s">
        <v>2642</v>
      </c>
      <c r="C319" t="s">
        <v>1888</v>
      </c>
      <c r="D319" t="s">
        <v>2070</v>
      </c>
      <c r="E319" t="s">
        <v>2643</v>
      </c>
      <c r="F319" t="s">
        <v>1588</v>
      </c>
      <c r="G319" t="s">
        <v>1896</v>
      </c>
    </row>
    <row r="320">
      <c r="A320" t="s">
        <v>2644</v>
      </c>
      <c r="B320" t="s">
        <v>286</v>
      </c>
      <c r="C320" t="s">
        <v>1913</v>
      </c>
      <c r="D320" t="s">
        <v>1969</v>
      </c>
      <c r="E320" t="s">
        <v>2645</v>
      </c>
      <c r="F320" t="s">
        <v>1708</v>
      </c>
      <c r="G320" t="s">
        <v>1886</v>
      </c>
    </row>
    <row r="321">
      <c r="A321" t="s">
        <v>2644</v>
      </c>
      <c r="B321" t="s">
        <v>2305</v>
      </c>
      <c r="C321" t="s">
        <v>1883</v>
      </c>
      <c r="D321" t="s">
        <v>1972</v>
      </c>
      <c r="E321" t="s">
        <v>2646</v>
      </c>
      <c r="F321" t="s">
        <v>1650</v>
      </c>
      <c r="G321" t="s">
        <v>1907</v>
      </c>
    </row>
    <row r="322">
      <c r="A322" t="s">
        <v>2647</v>
      </c>
      <c r="B322" t="s">
        <v>2609</v>
      </c>
      <c r="C322" t="s">
        <v>1921</v>
      </c>
      <c r="D322" t="s">
        <v>1922</v>
      </c>
      <c r="E322" t="s">
        <v>2648</v>
      </c>
      <c r="F322" t="s">
        <v>1789</v>
      </c>
      <c r="G322" t="s">
        <v>1901</v>
      </c>
    </row>
    <row r="323">
      <c r="A323" t="s">
        <v>2647</v>
      </c>
      <c r="B323" t="s">
        <v>2649</v>
      </c>
      <c r="C323" t="s">
        <v>1898</v>
      </c>
      <c r="D323" t="s">
        <v>1899</v>
      </c>
      <c r="E323" t="s">
        <v>2650</v>
      </c>
      <c r="F323" t="s">
        <v>1855</v>
      </c>
      <c r="G323" t="s">
        <v>1910</v>
      </c>
    </row>
    <row r="324">
      <c r="A324" t="s">
        <v>2651</v>
      </c>
      <c r="B324" t="s">
        <v>2652</v>
      </c>
      <c r="C324" t="s">
        <v>1913</v>
      </c>
      <c r="D324" t="s">
        <v>1905</v>
      </c>
      <c r="E324" t="s">
        <v>2653</v>
      </c>
      <c r="F324" t="s">
        <v>1574</v>
      </c>
      <c r="G324" t="s">
        <v>1886</v>
      </c>
    </row>
    <row r="325">
      <c r="A325" t="s">
        <v>2651</v>
      </c>
      <c r="B325" t="s">
        <v>2654</v>
      </c>
      <c r="C325" t="s">
        <v>1883</v>
      </c>
      <c r="D325" t="s">
        <v>1908</v>
      </c>
      <c r="E325" t="s">
        <v>2655</v>
      </c>
      <c r="F325" t="s">
        <v>1721</v>
      </c>
      <c r="G325" t="s">
        <v>1891</v>
      </c>
    </row>
    <row r="326">
      <c r="A326" t="s">
        <v>2656</v>
      </c>
      <c r="B326" t="s">
        <v>2657</v>
      </c>
      <c r="C326" t="s">
        <v>1888</v>
      </c>
      <c r="D326" t="s">
        <v>1947</v>
      </c>
      <c r="E326" t="s">
        <v>2658</v>
      </c>
      <c r="F326" t="s">
        <v>1636</v>
      </c>
      <c r="G326" t="s">
        <v>1896</v>
      </c>
    </row>
    <row r="327">
      <c r="A327" t="s">
        <v>2656</v>
      </c>
      <c r="B327" t="s">
        <v>2659</v>
      </c>
      <c r="C327" t="s">
        <v>1883</v>
      </c>
      <c r="D327" t="s">
        <v>1951</v>
      </c>
      <c r="E327" t="s">
        <v>2660</v>
      </c>
      <c r="F327" t="s">
        <v>1771</v>
      </c>
      <c r="G327" t="s">
        <v>1901</v>
      </c>
    </row>
    <row r="328">
      <c r="A328" t="s">
        <v>2661</v>
      </c>
      <c r="B328" t="s">
        <v>2662</v>
      </c>
      <c r="C328" t="s">
        <v>1893</v>
      </c>
      <c r="D328" t="s">
        <v>1954</v>
      </c>
      <c r="E328" t="s">
        <v>2663</v>
      </c>
      <c r="F328" t="s">
        <v>1831</v>
      </c>
      <c r="G328" t="s">
        <v>1907</v>
      </c>
    </row>
    <row r="329">
      <c r="A329" t="s">
        <v>2661</v>
      </c>
      <c r="B329" t="s">
        <v>2664</v>
      </c>
      <c r="C329" t="s">
        <v>1925</v>
      </c>
      <c r="D329" t="s">
        <v>1926</v>
      </c>
      <c r="E329" t="s">
        <v>2665</v>
      </c>
      <c r="F329" t="s">
        <v>1553</v>
      </c>
      <c r="G329" t="s">
        <v>1886</v>
      </c>
    </row>
    <row r="330">
      <c r="A330" t="s">
        <v>2666</v>
      </c>
      <c r="B330" t="s">
        <v>1182</v>
      </c>
      <c r="C330" t="s">
        <v>1888</v>
      </c>
      <c r="D330" t="s">
        <v>1917</v>
      </c>
      <c r="E330" t="s">
        <v>2667</v>
      </c>
      <c r="F330" t="s">
        <v>1688</v>
      </c>
      <c r="G330" t="s">
        <v>1910</v>
      </c>
    </row>
    <row r="331">
      <c r="A331" t="s">
        <v>2666</v>
      </c>
      <c r="B331" t="s">
        <v>2668</v>
      </c>
      <c r="C331" t="s">
        <v>1883</v>
      </c>
      <c r="D331" t="s">
        <v>1934</v>
      </c>
      <c r="E331" t="s">
        <v>2669</v>
      </c>
      <c r="F331" t="s">
        <v>1801</v>
      </c>
      <c r="G331" t="s">
        <v>1891</v>
      </c>
    </row>
    <row r="332">
      <c r="A332" t="s">
        <v>2670</v>
      </c>
      <c r="B332" t="s">
        <v>2671</v>
      </c>
      <c r="C332" t="s">
        <v>1913</v>
      </c>
      <c r="D332" t="s">
        <v>1914</v>
      </c>
      <c r="E332" t="s">
        <v>2672</v>
      </c>
      <c r="F332" t="s">
        <v>1867</v>
      </c>
      <c r="G332" t="s">
        <v>1896</v>
      </c>
    </row>
    <row r="333">
      <c r="A333" t="s">
        <v>2670</v>
      </c>
      <c r="B333" t="s">
        <v>2673</v>
      </c>
      <c r="C333" t="s">
        <v>1883</v>
      </c>
      <c r="D333" t="s">
        <v>1889</v>
      </c>
      <c r="E333" t="s">
        <v>2674</v>
      </c>
      <c r="F333" t="s">
        <v>1623</v>
      </c>
      <c r="G333" t="s">
        <v>1886</v>
      </c>
    </row>
    <row r="334">
      <c r="A334" t="s">
        <v>2675</v>
      </c>
      <c r="B334" t="s">
        <v>2676</v>
      </c>
      <c r="C334" t="s">
        <v>1921</v>
      </c>
      <c r="D334" t="s">
        <v>2149</v>
      </c>
      <c r="E334" t="s">
        <v>2677</v>
      </c>
      <c r="F334" t="s">
        <v>1727</v>
      </c>
      <c r="G334" t="s">
        <v>1907</v>
      </c>
    </row>
    <row r="335">
      <c r="A335" t="s">
        <v>2675</v>
      </c>
      <c r="B335" t="s">
        <v>2011</v>
      </c>
      <c r="C335" t="s">
        <v>1968</v>
      </c>
      <c r="D335" t="s">
        <v>2027</v>
      </c>
      <c r="E335" t="s">
        <v>2678</v>
      </c>
      <c r="F335" t="s">
        <v>1669</v>
      </c>
      <c r="G335" t="s">
        <v>1901</v>
      </c>
    </row>
    <row r="336">
      <c r="A336" t="s">
        <v>2679</v>
      </c>
      <c r="B336" t="s">
        <v>2680</v>
      </c>
      <c r="C336" t="s">
        <v>1883</v>
      </c>
      <c r="D336" t="s">
        <v>2029</v>
      </c>
      <c r="E336" t="s">
        <v>2681</v>
      </c>
      <c r="F336" t="s">
        <v>1807</v>
      </c>
      <c r="G336" t="s">
        <v>1910</v>
      </c>
    </row>
    <row r="337">
      <c r="A337" t="s">
        <v>2679</v>
      </c>
      <c r="B337" t="s">
        <v>2682</v>
      </c>
      <c r="C337" t="s">
        <v>1888</v>
      </c>
      <c r="D337" t="s">
        <v>2070</v>
      </c>
      <c r="E337" t="s">
        <v>2683</v>
      </c>
      <c r="F337" t="s">
        <v>1567</v>
      </c>
      <c r="G337" t="s">
        <v>1886</v>
      </c>
    </row>
    <row r="338">
      <c r="A338" t="s">
        <v>2684</v>
      </c>
      <c r="B338" t="s">
        <v>814</v>
      </c>
      <c r="C338" t="s">
        <v>1913</v>
      </c>
      <c r="D338" t="s">
        <v>1969</v>
      </c>
      <c r="E338" t="s">
        <v>2685</v>
      </c>
      <c r="F338" t="s">
        <v>1714</v>
      </c>
      <c r="G338" t="s">
        <v>1891</v>
      </c>
    </row>
    <row r="339">
      <c r="A339" t="s">
        <v>2684</v>
      </c>
      <c r="B339" t="s">
        <v>2686</v>
      </c>
      <c r="C339" t="s">
        <v>1883</v>
      </c>
      <c r="D339" t="s">
        <v>1972</v>
      </c>
      <c r="E339" t="s">
        <v>2687</v>
      </c>
      <c r="F339" t="s">
        <v>1616</v>
      </c>
      <c r="G339" t="s">
        <v>1896</v>
      </c>
    </row>
    <row r="340">
      <c r="A340" t="s">
        <v>2688</v>
      </c>
      <c r="B340" t="s">
        <v>2456</v>
      </c>
      <c r="C340" t="s">
        <v>1921</v>
      </c>
      <c r="D340" t="s">
        <v>1922</v>
      </c>
      <c r="E340" t="s">
        <v>2689</v>
      </c>
      <c r="F340" t="s">
        <v>1765</v>
      </c>
      <c r="G340" t="s">
        <v>1901</v>
      </c>
    </row>
    <row r="341">
      <c r="A341" t="s">
        <v>2688</v>
      </c>
      <c r="B341" t="s">
        <v>1288</v>
      </c>
      <c r="C341" t="s">
        <v>1898</v>
      </c>
      <c r="D341" t="s">
        <v>1899</v>
      </c>
      <c r="E341" t="s">
        <v>2690</v>
      </c>
      <c r="F341" t="s">
        <v>1849</v>
      </c>
      <c r="G341" t="s">
        <v>1907</v>
      </c>
    </row>
    <row r="342">
      <c r="A342" t="s">
        <v>2691</v>
      </c>
      <c r="B342" t="s">
        <v>2692</v>
      </c>
      <c r="C342" t="s">
        <v>1913</v>
      </c>
      <c r="D342" t="s">
        <v>1905</v>
      </c>
      <c r="E342" t="s">
        <v>2693</v>
      </c>
      <c r="F342" t="s">
        <v>1682</v>
      </c>
      <c r="G342" t="s">
        <v>1886</v>
      </c>
    </row>
    <row r="343">
      <c r="A343" t="s">
        <v>2691</v>
      </c>
      <c r="B343" t="s">
        <v>2694</v>
      </c>
      <c r="C343" t="s">
        <v>1883</v>
      </c>
      <c r="D343" t="s">
        <v>1908</v>
      </c>
      <c r="E343" t="s">
        <v>2695</v>
      </c>
      <c r="F343" t="s">
        <v>1560</v>
      </c>
      <c r="G343" t="s">
        <v>1910</v>
      </c>
    </row>
    <row r="344">
      <c r="A344" t="s">
        <v>2696</v>
      </c>
      <c r="B344" t="s">
        <v>2697</v>
      </c>
      <c r="C344" t="s">
        <v>1888</v>
      </c>
      <c r="D344" t="s">
        <v>1947</v>
      </c>
      <c r="E344" t="s">
        <v>2698</v>
      </c>
      <c r="F344" t="s">
        <v>1795</v>
      </c>
      <c r="G344" t="s">
        <v>1891</v>
      </c>
    </row>
    <row r="345">
      <c r="A345" t="s">
        <v>2696</v>
      </c>
      <c r="B345" t="s">
        <v>2699</v>
      </c>
      <c r="C345" t="s">
        <v>1883</v>
      </c>
      <c r="D345" t="s">
        <v>1951</v>
      </c>
      <c r="E345" t="s">
        <v>2700</v>
      </c>
      <c r="F345" t="s">
        <v>1657</v>
      </c>
      <c r="G345" t="s">
        <v>1896</v>
      </c>
    </row>
    <row r="346">
      <c r="A346" t="s">
        <v>2701</v>
      </c>
      <c r="B346" t="s">
        <v>2702</v>
      </c>
      <c r="C346" t="s">
        <v>1893</v>
      </c>
      <c r="D346" t="s">
        <v>1954</v>
      </c>
      <c r="E346" t="s">
        <v>2703</v>
      </c>
      <c r="F346" t="s">
        <v>1739</v>
      </c>
      <c r="G346" t="s">
        <v>1886</v>
      </c>
    </row>
    <row r="347">
      <c r="A347" t="s">
        <v>2701</v>
      </c>
      <c r="B347" t="s">
        <v>2704</v>
      </c>
      <c r="C347" t="s">
        <v>1925</v>
      </c>
      <c r="D347" t="s">
        <v>1926</v>
      </c>
      <c r="E347" t="s">
        <v>2705</v>
      </c>
      <c r="F347" t="s">
        <v>1777</v>
      </c>
      <c r="G347" t="s">
        <v>1907</v>
      </c>
    </row>
    <row r="348">
      <c r="A348" t="s">
        <v>2706</v>
      </c>
      <c r="B348" t="s">
        <v>2707</v>
      </c>
      <c r="C348" t="s">
        <v>1888</v>
      </c>
      <c r="D348" t="s">
        <v>1917</v>
      </c>
      <c r="E348" t="s">
        <v>2708</v>
      </c>
      <c r="F348" t="s">
        <v>1843</v>
      </c>
      <c r="G348" t="s">
        <v>1901</v>
      </c>
    </row>
    <row r="349">
      <c r="A349" t="s">
        <v>2706</v>
      </c>
      <c r="B349" t="s">
        <v>2709</v>
      </c>
      <c r="C349" t="s">
        <v>1883</v>
      </c>
      <c r="D349" t="s">
        <v>1934</v>
      </c>
      <c r="E349" t="s">
        <v>2710</v>
      </c>
      <c r="F349" t="s">
        <v>1695</v>
      </c>
      <c r="G349" t="s">
        <v>1910</v>
      </c>
    </row>
    <row r="350">
      <c r="A350" t="s">
        <v>2711</v>
      </c>
      <c r="B350" t="s">
        <v>619</v>
      </c>
      <c r="C350" t="s">
        <v>1913</v>
      </c>
      <c r="D350" t="s">
        <v>1914</v>
      </c>
      <c r="E350" t="s">
        <v>2712</v>
      </c>
      <c r="F350" t="s">
        <v>1825</v>
      </c>
      <c r="G350" t="s">
        <v>1886</v>
      </c>
    </row>
    <row r="351">
      <c r="A351" t="s">
        <v>2711</v>
      </c>
      <c r="B351" t="s">
        <v>2153</v>
      </c>
      <c r="C351" t="s">
        <v>1883</v>
      </c>
      <c r="D351" t="s">
        <v>1889</v>
      </c>
      <c r="E351" t="s">
        <v>2713</v>
      </c>
      <c r="F351" t="s">
        <v>1746</v>
      </c>
      <c r="G351" t="s">
        <v>1891</v>
      </c>
    </row>
    <row r="352">
      <c r="A352" t="s">
        <v>2714</v>
      </c>
      <c r="B352" t="s">
        <v>1253</v>
      </c>
      <c r="C352" t="s">
        <v>1921</v>
      </c>
      <c r="D352" t="s">
        <v>2149</v>
      </c>
      <c r="E352" t="s">
        <v>2715</v>
      </c>
      <c r="F352" t="s">
        <v>1629</v>
      </c>
      <c r="G352" t="s">
        <v>1896</v>
      </c>
    </row>
    <row r="353">
      <c r="A353" t="s">
        <v>2714</v>
      </c>
      <c r="B353" t="s">
        <v>2484</v>
      </c>
      <c r="C353" t="s">
        <v>1968</v>
      </c>
      <c r="D353" t="s">
        <v>2027</v>
      </c>
      <c r="E353" t="s">
        <v>2716</v>
      </c>
      <c r="F353" t="s">
        <v>1595</v>
      </c>
      <c r="G353" t="s">
        <v>1901</v>
      </c>
    </row>
    <row r="354">
      <c r="A354" t="s">
        <v>2717</v>
      </c>
      <c r="B354" t="s">
        <v>2718</v>
      </c>
      <c r="C354" t="s">
        <v>1883</v>
      </c>
      <c r="D354" t="s">
        <v>2029</v>
      </c>
      <c r="E354" t="s">
        <v>2719</v>
      </c>
      <c r="F354" t="s">
        <v>1702</v>
      </c>
      <c r="G354" t="s">
        <v>1907</v>
      </c>
    </row>
    <row r="355">
      <c r="A355" t="s">
        <v>2717</v>
      </c>
      <c r="B355" t="s">
        <v>2371</v>
      </c>
      <c r="C355" t="s">
        <v>1888</v>
      </c>
      <c r="D355" t="s">
        <v>2070</v>
      </c>
      <c r="E355" t="s">
        <v>2720</v>
      </c>
      <c r="F355" t="s">
        <v>1837</v>
      </c>
      <c r="G355" t="s">
        <v>1886</v>
      </c>
    </row>
    <row r="356">
      <c r="A356" t="s">
        <v>2721</v>
      </c>
      <c r="B356" t="s">
        <v>214</v>
      </c>
      <c r="C356" t="s">
        <v>1913</v>
      </c>
      <c r="D356" t="s">
        <v>1969</v>
      </c>
      <c r="E356" t="s">
        <v>2722</v>
      </c>
      <c r="F356" t="s">
        <v>1602</v>
      </c>
      <c r="G356" t="s">
        <v>1910</v>
      </c>
    </row>
    <row r="357">
      <c r="A357" t="s">
        <v>2721</v>
      </c>
      <c r="B357" t="s">
        <v>2723</v>
      </c>
      <c r="C357" t="s">
        <v>1883</v>
      </c>
      <c r="D357" t="s">
        <v>1972</v>
      </c>
      <c r="E357" t="s">
        <v>2724</v>
      </c>
      <c r="F357" t="s">
        <v>1752</v>
      </c>
      <c r="G357" t="s">
        <v>1891</v>
      </c>
    </row>
    <row r="358">
      <c r="A358" t="s">
        <v>2725</v>
      </c>
      <c r="B358" t="s">
        <v>2726</v>
      </c>
      <c r="C358" t="s">
        <v>1921</v>
      </c>
      <c r="D358" t="s">
        <v>1922</v>
      </c>
      <c r="E358" t="s">
        <v>2727</v>
      </c>
      <c r="F358" t="s">
        <v>1675</v>
      </c>
      <c r="G358" t="s">
        <v>1896</v>
      </c>
    </row>
    <row r="359">
      <c r="A359" t="s">
        <v>2725</v>
      </c>
      <c r="B359" t="s">
        <v>2064</v>
      </c>
      <c r="C359" t="s">
        <v>1898</v>
      </c>
      <c r="D359" t="s">
        <v>1899</v>
      </c>
      <c r="E359" t="s">
        <v>2728</v>
      </c>
      <c r="F359" t="s">
        <v>1819</v>
      </c>
      <c r="G359" t="s">
        <v>1886</v>
      </c>
    </row>
    <row r="360">
      <c r="A360" t="s">
        <v>2729</v>
      </c>
      <c r="B360" t="s">
        <v>2730</v>
      </c>
      <c r="C360" t="s">
        <v>1913</v>
      </c>
      <c r="D360" t="s">
        <v>1905</v>
      </c>
      <c r="E360" t="s">
        <v>2731</v>
      </c>
      <c r="F360" t="s">
        <v>1581</v>
      </c>
      <c r="G360" t="s">
        <v>1907</v>
      </c>
    </row>
    <row r="361">
      <c r="A361" t="s">
        <v>2729</v>
      </c>
      <c r="B361" t="s">
        <v>2732</v>
      </c>
      <c r="C361" t="s">
        <v>1883</v>
      </c>
      <c r="D361" t="s">
        <v>1908</v>
      </c>
      <c r="E361" t="s">
        <v>2733</v>
      </c>
      <c r="F361" t="s">
        <v>1783</v>
      </c>
      <c r="G361" t="s">
        <v>1901</v>
      </c>
    </row>
    <row r="362">
      <c r="A362" t="s">
        <v>2734</v>
      </c>
      <c r="B362" t="s">
        <v>2735</v>
      </c>
      <c r="C362" t="s">
        <v>1888</v>
      </c>
      <c r="D362" t="s">
        <v>1947</v>
      </c>
      <c r="E362" t="s">
        <v>2736</v>
      </c>
      <c r="F362" t="s">
        <v>1643</v>
      </c>
      <c r="G362" t="s">
        <v>1910</v>
      </c>
    </row>
    <row r="363">
      <c r="A363" t="s">
        <v>2734</v>
      </c>
      <c r="B363" t="s">
        <v>2480</v>
      </c>
      <c r="C363" t="s">
        <v>1883</v>
      </c>
      <c r="D363" t="s">
        <v>1951</v>
      </c>
      <c r="E363" t="s">
        <v>2737</v>
      </c>
      <c r="F363" t="s">
        <v>1733</v>
      </c>
      <c r="G363" t="s">
        <v>1886</v>
      </c>
    </row>
    <row r="364">
      <c r="A364" t="s">
        <v>2738</v>
      </c>
      <c r="B364" t="s">
        <v>2739</v>
      </c>
      <c r="C364" t="s">
        <v>1893</v>
      </c>
      <c r="D364" t="s">
        <v>1954</v>
      </c>
      <c r="E364" t="s">
        <v>2740</v>
      </c>
      <c r="F364" t="s">
        <v>1609</v>
      </c>
      <c r="G364" t="s">
        <v>1891</v>
      </c>
    </row>
    <row r="365">
      <c r="A365" t="s">
        <v>2738</v>
      </c>
      <c r="B365" t="s">
        <v>2741</v>
      </c>
      <c r="C365" t="s">
        <v>1925</v>
      </c>
      <c r="D365" t="s">
        <v>1926</v>
      </c>
      <c r="E365" t="s">
        <v>2742</v>
      </c>
      <c r="F365" t="s">
        <v>1813</v>
      </c>
      <c r="G365" t="s">
        <v>1896</v>
      </c>
    </row>
    <row r="366">
      <c r="A366" t="s">
        <v>2743</v>
      </c>
      <c r="B366" t="s">
        <v>2744</v>
      </c>
      <c r="C366" t="s">
        <v>1888</v>
      </c>
      <c r="D366" t="s">
        <v>1917</v>
      </c>
      <c r="E366" t="s">
        <v>2745</v>
      </c>
      <c r="F366" t="s">
        <v>1663</v>
      </c>
      <c r="G366" t="s">
        <v>1901</v>
      </c>
    </row>
    <row r="367">
      <c r="A367" t="s">
        <v>2743</v>
      </c>
      <c r="B367" t="s">
        <v>2264</v>
      </c>
      <c r="C367" t="s">
        <v>1883</v>
      </c>
      <c r="D367" t="s">
        <v>1934</v>
      </c>
      <c r="E367" t="s">
        <v>2746</v>
      </c>
      <c r="F367" t="s">
        <v>1759</v>
      </c>
      <c r="G367" t="s">
        <v>1907</v>
      </c>
    </row>
    <row r="368">
      <c r="A368" t="s">
        <v>2747</v>
      </c>
      <c r="B368" t="s">
        <v>2748</v>
      </c>
      <c r="C368" t="s">
        <v>1913</v>
      </c>
      <c r="D368" t="s">
        <v>1914</v>
      </c>
      <c r="E368" t="s">
        <v>2749</v>
      </c>
      <c r="F368" t="s">
        <v>1861</v>
      </c>
      <c r="G368" t="s">
        <v>1886</v>
      </c>
    </row>
    <row r="369">
      <c r="A369" t="s">
        <v>2747</v>
      </c>
      <c r="B369" t="s">
        <v>2750</v>
      </c>
      <c r="C369" t="s">
        <v>1883</v>
      </c>
      <c r="D369" t="s">
        <v>1889</v>
      </c>
      <c r="E369" t="s">
        <v>2751</v>
      </c>
      <c r="F369" t="s">
        <v>1588</v>
      </c>
      <c r="G369" t="s">
        <v>1910</v>
      </c>
    </row>
    <row r="370">
      <c r="A370" t="s">
        <v>2752</v>
      </c>
      <c r="B370" t="s">
        <v>2753</v>
      </c>
      <c r="C370" t="s">
        <v>1921</v>
      </c>
      <c r="D370" t="s">
        <v>2149</v>
      </c>
      <c r="E370" t="s">
        <v>2754</v>
      </c>
      <c r="F370" t="s">
        <v>1708</v>
      </c>
      <c r="G370" t="s">
        <v>1891</v>
      </c>
    </row>
    <row r="371">
      <c r="A371" t="s">
        <v>2752</v>
      </c>
      <c r="B371" t="s">
        <v>2755</v>
      </c>
      <c r="C371" t="s">
        <v>1968</v>
      </c>
      <c r="D371" t="s">
        <v>2027</v>
      </c>
      <c r="E371" t="s">
        <v>2756</v>
      </c>
      <c r="F371" t="s">
        <v>1650</v>
      </c>
      <c r="G371" t="s">
        <v>1896</v>
      </c>
    </row>
    <row r="372">
      <c r="A372" t="s">
        <v>2757</v>
      </c>
      <c r="B372" t="s">
        <v>2758</v>
      </c>
      <c r="C372" t="s">
        <v>1883</v>
      </c>
      <c r="D372" t="s">
        <v>2029</v>
      </c>
      <c r="E372" t="s">
        <v>2759</v>
      </c>
      <c r="F372" t="s">
        <v>1789</v>
      </c>
      <c r="G372" t="s">
        <v>1886</v>
      </c>
    </row>
    <row r="373">
      <c r="A373" t="s">
        <v>2757</v>
      </c>
      <c r="B373" t="s">
        <v>753</v>
      </c>
      <c r="C373" t="s">
        <v>1888</v>
      </c>
      <c r="D373" t="s">
        <v>2070</v>
      </c>
      <c r="E373" t="s">
        <v>2760</v>
      </c>
      <c r="F373" t="s">
        <v>1855</v>
      </c>
      <c r="G373" t="s">
        <v>1907</v>
      </c>
    </row>
    <row r="374">
      <c r="A374" t="s">
        <v>2761</v>
      </c>
      <c r="B374" t="s">
        <v>1032</v>
      </c>
      <c r="C374" t="s">
        <v>1913</v>
      </c>
      <c r="D374" t="s">
        <v>1969</v>
      </c>
      <c r="E374" t="s">
        <v>2762</v>
      </c>
      <c r="F374" t="s">
        <v>1574</v>
      </c>
      <c r="G374" t="s">
        <v>1901</v>
      </c>
    </row>
    <row r="375">
      <c r="A375" t="s">
        <v>2761</v>
      </c>
      <c r="B375" t="s">
        <v>2763</v>
      </c>
      <c r="C375" t="s">
        <v>1883</v>
      </c>
      <c r="D375" t="s">
        <v>1972</v>
      </c>
      <c r="E375" t="s">
        <v>2764</v>
      </c>
      <c r="F375" t="s">
        <v>1721</v>
      </c>
      <c r="G375" t="s">
        <v>1910</v>
      </c>
    </row>
    <row r="376">
      <c r="A376" t="s">
        <v>2765</v>
      </c>
      <c r="B376" t="s">
        <v>2766</v>
      </c>
      <c r="C376" t="s">
        <v>1921</v>
      </c>
      <c r="D376" t="s">
        <v>1922</v>
      </c>
      <c r="E376" t="s">
        <v>2767</v>
      </c>
      <c r="F376" t="s">
        <v>1636</v>
      </c>
      <c r="G376" t="s">
        <v>1886</v>
      </c>
    </row>
    <row r="377">
      <c r="A377" t="s">
        <v>2765</v>
      </c>
      <c r="B377" t="s">
        <v>1165</v>
      </c>
      <c r="C377" t="s">
        <v>1898</v>
      </c>
      <c r="D377" t="s">
        <v>1899</v>
      </c>
      <c r="E377" t="s">
        <v>2768</v>
      </c>
      <c r="F377" t="s">
        <v>1771</v>
      </c>
      <c r="G377" t="s">
        <v>1891</v>
      </c>
    </row>
    <row r="378">
      <c r="A378" t="s">
        <v>2769</v>
      </c>
      <c r="B378" t="s">
        <v>2770</v>
      </c>
      <c r="C378" t="s">
        <v>1913</v>
      </c>
      <c r="D378" t="s">
        <v>1905</v>
      </c>
      <c r="E378" t="s">
        <v>2771</v>
      </c>
      <c r="F378" t="s">
        <v>1831</v>
      </c>
      <c r="G378" t="s">
        <v>1896</v>
      </c>
    </row>
    <row r="379">
      <c r="A379" t="s">
        <v>2769</v>
      </c>
      <c r="B379" t="s">
        <v>2772</v>
      </c>
      <c r="C379" t="s">
        <v>1883</v>
      </c>
      <c r="D379" t="s">
        <v>1908</v>
      </c>
      <c r="E379" t="s">
        <v>2773</v>
      </c>
      <c r="F379" t="s">
        <v>1553</v>
      </c>
      <c r="G379" t="s">
        <v>1901</v>
      </c>
    </row>
    <row r="380">
      <c r="A380" t="s">
        <v>2774</v>
      </c>
      <c r="B380" t="s">
        <v>2775</v>
      </c>
      <c r="C380" t="s">
        <v>1888</v>
      </c>
      <c r="D380" t="s">
        <v>1947</v>
      </c>
      <c r="E380" t="s">
        <v>2776</v>
      </c>
      <c r="F380" t="s">
        <v>1688</v>
      </c>
      <c r="G380" t="s">
        <v>1907</v>
      </c>
    </row>
    <row r="381">
      <c r="A381" t="s">
        <v>2774</v>
      </c>
      <c r="B381" t="s">
        <v>2699</v>
      </c>
      <c r="C381" t="s">
        <v>1883</v>
      </c>
      <c r="D381" t="s">
        <v>1951</v>
      </c>
      <c r="E381" t="s">
        <v>2777</v>
      </c>
      <c r="F381" t="s">
        <v>1801</v>
      </c>
      <c r="G381" t="s">
        <v>1886</v>
      </c>
    </row>
    <row r="382">
      <c r="A382" t="s">
        <v>2778</v>
      </c>
      <c r="B382" t="s">
        <v>2779</v>
      </c>
      <c r="C382" t="s">
        <v>1893</v>
      </c>
      <c r="D382" t="s">
        <v>1954</v>
      </c>
      <c r="E382" t="s">
        <v>2780</v>
      </c>
      <c r="F382" t="s">
        <v>1867</v>
      </c>
      <c r="G382" t="s">
        <v>1910</v>
      </c>
    </row>
    <row r="383">
      <c r="A383" t="s">
        <v>2778</v>
      </c>
      <c r="B383" t="s">
        <v>547</v>
      </c>
      <c r="C383" t="s">
        <v>1925</v>
      </c>
      <c r="D383" t="s">
        <v>1926</v>
      </c>
      <c r="E383" t="s">
        <v>2781</v>
      </c>
      <c r="F383" t="s">
        <v>1623</v>
      </c>
      <c r="G383" t="s">
        <v>1891</v>
      </c>
    </row>
    <row r="384">
      <c r="A384" t="s">
        <v>2782</v>
      </c>
      <c r="B384" t="s">
        <v>2783</v>
      </c>
      <c r="C384" t="s">
        <v>1888</v>
      </c>
      <c r="D384" t="s">
        <v>1917</v>
      </c>
      <c r="E384" t="s">
        <v>2784</v>
      </c>
      <c r="F384" t="s">
        <v>1727</v>
      </c>
      <c r="G384" t="s">
        <v>1896</v>
      </c>
    </row>
    <row r="385">
      <c r="A385" t="s">
        <v>2782</v>
      </c>
      <c r="B385" t="s">
        <v>2785</v>
      </c>
      <c r="C385" t="s">
        <v>1883</v>
      </c>
      <c r="D385" t="s">
        <v>1934</v>
      </c>
      <c r="E385" t="s">
        <v>2786</v>
      </c>
      <c r="F385" t="s">
        <v>1669</v>
      </c>
      <c r="G385" t="s">
        <v>1886</v>
      </c>
    </row>
    <row r="386">
      <c r="A386" t="s">
        <v>2787</v>
      </c>
      <c r="B386" t="s">
        <v>2116</v>
      </c>
      <c r="C386" t="s">
        <v>1913</v>
      </c>
      <c r="D386" t="s">
        <v>1914</v>
      </c>
      <c r="E386" t="s">
        <v>2788</v>
      </c>
      <c r="F386" t="s">
        <v>1807</v>
      </c>
      <c r="G386" t="s">
        <v>1907</v>
      </c>
    </row>
    <row r="387">
      <c r="A387" t="s">
        <v>2787</v>
      </c>
      <c r="B387" t="s">
        <v>2789</v>
      </c>
      <c r="C387" t="s">
        <v>1883</v>
      </c>
      <c r="D387" t="s">
        <v>1889</v>
      </c>
      <c r="E387" t="s">
        <v>2790</v>
      </c>
      <c r="F387" t="s">
        <v>1567</v>
      </c>
      <c r="G387" t="s">
        <v>1901</v>
      </c>
    </row>
    <row r="388">
      <c r="A388" t="s">
        <v>2791</v>
      </c>
      <c r="B388" t="s">
        <v>1081</v>
      </c>
      <c r="C388" t="s">
        <v>1921</v>
      </c>
      <c r="D388" t="s">
        <v>2149</v>
      </c>
      <c r="E388" t="s">
        <v>2792</v>
      </c>
      <c r="F388" t="s">
        <v>1714</v>
      </c>
      <c r="G388" t="s">
        <v>1910</v>
      </c>
    </row>
    <row r="389">
      <c r="A389" t="s">
        <v>2791</v>
      </c>
      <c r="B389" t="s">
        <v>2793</v>
      </c>
      <c r="C389" t="s">
        <v>1968</v>
      </c>
      <c r="D389" t="s">
        <v>2027</v>
      </c>
      <c r="E389" t="s">
        <v>2794</v>
      </c>
      <c r="F389" t="s">
        <v>1616</v>
      </c>
      <c r="G389" t="s">
        <v>1886</v>
      </c>
    </row>
    <row r="390">
      <c r="A390" t="s">
        <v>2795</v>
      </c>
      <c r="B390" t="s">
        <v>2796</v>
      </c>
      <c r="C390" t="s">
        <v>1883</v>
      </c>
      <c r="D390" t="s">
        <v>2029</v>
      </c>
      <c r="E390" t="s">
        <v>2797</v>
      </c>
      <c r="F390" t="s">
        <v>1765</v>
      </c>
      <c r="G390" t="s">
        <v>1891</v>
      </c>
    </row>
    <row r="391">
      <c r="A391" t="s">
        <v>2795</v>
      </c>
      <c r="B391" t="s">
        <v>2798</v>
      </c>
      <c r="C391" t="s">
        <v>1888</v>
      </c>
      <c r="D391" t="s">
        <v>2070</v>
      </c>
      <c r="E391" t="s">
        <v>2799</v>
      </c>
      <c r="F391" t="s">
        <v>1849</v>
      </c>
      <c r="G391" t="s">
        <v>1896</v>
      </c>
    </row>
    <row r="392">
      <c r="A392" t="s">
        <v>2800</v>
      </c>
      <c r="B392" t="s">
        <v>2801</v>
      </c>
      <c r="C392" t="s">
        <v>1913</v>
      </c>
      <c r="D392" t="s">
        <v>1969</v>
      </c>
      <c r="E392" t="s">
        <v>2802</v>
      </c>
      <c r="F392" t="s">
        <v>1682</v>
      </c>
      <c r="G392" t="s">
        <v>1901</v>
      </c>
    </row>
    <row r="393">
      <c r="A393" t="s">
        <v>2800</v>
      </c>
      <c r="B393" t="s">
        <v>2803</v>
      </c>
      <c r="C393" t="s">
        <v>1883</v>
      </c>
      <c r="D393" t="s">
        <v>1972</v>
      </c>
      <c r="E393" t="s">
        <v>2804</v>
      </c>
      <c r="F393" t="s">
        <v>1560</v>
      </c>
      <c r="G393" t="s">
        <v>1907</v>
      </c>
    </row>
    <row r="394">
      <c r="A394" t="s">
        <v>2805</v>
      </c>
      <c r="B394" t="s">
        <v>1214</v>
      </c>
      <c r="C394" t="s">
        <v>1921</v>
      </c>
      <c r="D394" t="s">
        <v>1922</v>
      </c>
      <c r="E394" t="s">
        <v>2806</v>
      </c>
      <c r="F394" t="s">
        <v>1795</v>
      </c>
      <c r="G394" t="s">
        <v>1886</v>
      </c>
    </row>
    <row r="395">
      <c r="A395" t="s">
        <v>2805</v>
      </c>
      <c r="B395" t="s">
        <v>2807</v>
      </c>
      <c r="C395" t="s">
        <v>1898</v>
      </c>
      <c r="D395" t="s">
        <v>1899</v>
      </c>
      <c r="E395" t="s">
        <v>2808</v>
      </c>
      <c r="F395" t="s">
        <v>1657</v>
      </c>
      <c r="G395" t="s">
        <v>1910</v>
      </c>
    </row>
    <row r="396">
      <c r="A396" t="s">
        <v>2809</v>
      </c>
      <c r="B396" t="s">
        <v>1017</v>
      </c>
      <c r="C396" t="s">
        <v>1913</v>
      </c>
      <c r="D396" t="s">
        <v>1905</v>
      </c>
      <c r="E396" t="s">
        <v>2810</v>
      </c>
      <c r="F396" t="s">
        <v>1739</v>
      </c>
      <c r="G396" t="s">
        <v>1891</v>
      </c>
    </row>
    <row r="397">
      <c r="A397" t="s">
        <v>2809</v>
      </c>
      <c r="B397" t="s">
        <v>2463</v>
      </c>
      <c r="C397" t="s">
        <v>1883</v>
      </c>
      <c r="D397" t="s">
        <v>1908</v>
      </c>
      <c r="E397" t="s">
        <v>2811</v>
      </c>
      <c r="F397" t="s">
        <v>1777</v>
      </c>
      <c r="G397" t="s">
        <v>1896</v>
      </c>
    </row>
    <row r="398">
      <c r="A398" t="s">
        <v>2812</v>
      </c>
      <c r="B398" t="s">
        <v>2813</v>
      </c>
      <c r="C398" t="s">
        <v>1888</v>
      </c>
      <c r="D398" t="s">
        <v>1947</v>
      </c>
      <c r="E398" t="s">
        <v>2814</v>
      </c>
      <c r="F398" t="s">
        <v>1843</v>
      </c>
      <c r="G398" t="s">
        <v>1886</v>
      </c>
    </row>
    <row r="399">
      <c r="A399" t="s">
        <v>2812</v>
      </c>
      <c r="B399" t="s">
        <v>2815</v>
      </c>
      <c r="C399" t="s">
        <v>1883</v>
      </c>
      <c r="D399" t="s">
        <v>1951</v>
      </c>
      <c r="E399" t="s">
        <v>2816</v>
      </c>
      <c r="F399" t="s">
        <v>1695</v>
      </c>
      <c r="G399" t="s">
        <v>1907</v>
      </c>
    </row>
    <row r="400">
      <c r="A400" t="s">
        <v>2817</v>
      </c>
      <c r="B400" t="s">
        <v>2818</v>
      </c>
      <c r="C400" t="s">
        <v>1893</v>
      </c>
      <c r="D400" t="s">
        <v>1954</v>
      </c>
      <c r="E400" t="s">
        <v>2819</v>
      </c>
      <c r="F400" t="s">
        <v>1825</v>
      </c>
      <c r="G400" t="s">
        <v>1901</v>
      </c>
    </row>
    <row r="401">
      <c r="A401" t="s">
        <v>2817</v>
      </c>
      <c r="B401" t="s">
        <v>2064</v>
      </c>
      <c r="C401" t="s">
        <v>1925</v>
      </c>
      <c r="D401" t="s">
        <v>1926</v>
      </c>
      <c r="E401" t="s">
        <v>2820</v>
      </c>
      <c r="F401" t="s">
        <v>1746</v>
      </c>
      <c r="G401" t="s">
        <v>1910</v>
      </c>
    </row>
    <row r="402">
      <c r="A402" t="s">
        <v>2821</v>
      </c>
      <c r="B402" t="s">
        <v>2822</v>
      </c>
      <c r="C402" t="s">
        <v>1888</v>
      </c>
      <c r="D402" t="s">
        <v>1917</v>
      </c>
      <c r="E402" t="s">
        <v>2823</v>
      </c>
      <c r="F402" t="s">
        <v>1629</v>
      </c>
      <c r="G402" t="s">
        <v>1886</v>
      </c>
    </row>
    <row r="403">
      <c r="A403" t="s">
        <v>2821</v>
      </c>
      <c r="B403" t="s">
        <v>2824</v>
      </c>
      <c r="C403" t="s">
        <v>1883</v>
      </c>
      <c r="D403" t="s">
        <v>1934</v>
      </c>
      <c r="E403" t="s">
        <v>2825</v>
      </c>
      <c r="F403" t="s">
        <v>1595</v>
      </c>
      <c r="G403" t="s">
        <v>1891</v>
      </c>
    </row>
    <row r="404">
      <c r="A404" t="s">
        <v>2826</v>
      </c>
      <c r="B404" t="s">
        <v>514</v>
      </c>
      <c r="C404" t="s">
        <v>1913</v>
      </c>
      <c r="D404" t="s">
        <v>1914</v>
      </c>
      <c r="E404" t="s">
        <v>2827</v>
      </c>
      <c r="F404" t="s">
        <v>1702</v>
      </c>
      <c r="G404" t="s">
        <v>1896</v>
      </c>
    </row>
    <row r="405">
      <c r="A405" t="s">
        <v>2826</v>
      </c>
      <c r="B405" t="s">
        <v>2828</v>
      </c>
      <c r="C405" t="s">
        <v>1883</v>
      </c>
      <c r="D405" t="s">
        <v>1889</v>
      </c>
      <c r="E405" t="s">
        <v>2829</v>
      </c>
      <c r="F405" t="s">
        <v>1837</v>
      </c>
      <c r="G405" t="s">
        <v>1901</v>
      </c>
    </row>
    <row r="406">
      <c r="A406" t="s">
        <v>2830</v>
      </c>
      <c r="B406" t="s">
        <v>2534</v>
      </c>
      <c r="C406" t="s">
        <v>1921</v>
      </c>
      <c r="D406" t="s">
        <v>2149</v>
      </c>
      <c r="E406" t="s">
        <v>2831</v>
      </c>
      <c r="F406" t="s">
        <v>1602</v>
      </c>
      <c r="G406" t="s">
        <v>1907</v>
      </c>
    </row>
    <row r="407">
      <c r="A407" t="s">
        <v>2830</v>
      </c>
      <c r="B407" t="s">
        <v>2832</v>
      </c>
      <c r="C407" t="s">
        <v>1968</v>
      </c>
      <c r="D407" t="s">
        <v>2027</v>
      </c>
      <c r="E407" t="s">
        <v>2833</v>
      </c>
      <c r="F407" t="s">
        <v>1752</v>
      </c>
      <c r="G407" t="s">
        <v>1886</v>
      </c>
    </row>
    <row r="408">
      <c r="A408" t="s">
        <v>2834</v>
      </c>
      <c r="B408" t="s">
        <v>1087</v>
      </c>
      <c r="C408" t="s">
        <v>1883</v>
      </c>
      <c r="D408" t="s">
        <v>2029</v>
      </c>
      <c r="E408" t="s">
        <v>2835</v>
      </c>
      <c r="F408" t="s">
        <v>1675</v>
      </c>
      <c r="G408" t="s">
        <v>1910</v>
      </c>
    </row>
    <row r="409">
      <c r="A409" t="s">
        <v>2834</v>
      </c>
      <c r="B409" t="s">
        <v>2836</v>
      </c>
      <c r="C409" t="s">
        <v>1888</v>
      </c>
      <c r="D409" t="s">
        <v>2070</v>
      </c>
      <c r="E409" t="s">
        <v>2837</v>
      </c>
      <c r="F409" t="s">
        <v>1819</v>
      </c>
      <c r="G409" t="s">
        <v>1891</v>
      </c>
    </row>
    <row r="410">
      <c r="A410" t="s">
        <v>2838</v>
      </c>
      <c r="B410" t="s">
        <v>869</v>
      </c>
      <c r="C410" t="s">
        <v>1913</v>
      </c>
      <c r="D410" t="s">
        <v>1969</v>
      </c>
      <c r="E410" t="s">
        <v>2839</v>
      </c>
      <c r="F410" t="s">
        <v>1581</v>
      </c>
      <c r="G410" t="s">
        <v>1896</v>
      </c>
    </row>
    <row r="411">
      <c r="A411" t="s">
        <v>2838</v>
      </c>
      <c r="B411" t="s">
        <v>1451</v>
      </c>
      <c r="C411" t="s">
        <v>1883</v>
      </c>
      <c r="D411" t="s">
        <v>1972</v>
      </c>
      <c r="E411" t="s">
        <v>2840</v>
      </c>
      <c r="F411" t="s">
        <v>1783</v>
      </c>
      <c r="G411" t="s">
        <v>1886</v>
      </c>
    </row>
    <row r="412">
      <c r="A412" t="s">
        <v>2841</v>
      </c>
      <c r="B412" t="s">
        <v>2573</v>
      </c>
      <c r="C412" t="s">
        <v>1921</v>
      </c>
      <c r="D412" t="s">
        <v>1922</v>
      </c>
      <c r="E412" t="s">
        <v>2842</v>
      </c>
      <c r="F412" t="s">
        <v>1643</v>
      </c>
      <c r="G412" t="s">
        <v>1907</v>
      </c>
    </row>
    <row r="413">
      <c r="A413" t="s">
        <v>2841</v>
      </c>
      <c r="B413" t="s">
        <v>2843</v>
      </c>
      <c r="C413" t="s">
        <v>1898</v>
      </c>
      <c r="D413" t="s">
        <v>1899</v>
      </c>
      <c r="E413" t="s">
        <v>2844</v>
      </c>
      <c r="F413" t="s">
        <v>1733</v>
      </c>
      <c r="G413" t="s">
        <v>1901</v>
      </c>
    </row>
    <row r="414">
      <c r="A414" t="s">
        <v>2845</v>
      </c>
      <c r="B414" t="s">
        <v>1277</v>
      </c>
      <c r="C414" t="s">
        <v>1913</v>
      </c>
      <c r="D414" t="s">
        <v>1905</v>
      </c>
      <c r="E414" t="s">
        <v>2846</v>
      </c>
      <c r="F414" t="s">
        <v>1609</v>
      </c>
      <c r="G414" t="s">
        <v>1910</v>
      </c>
    </row>
    <row r="415">
      <c r="A415" t="s">
        <v>2845</v>
      </c>
      <c r="B415" t="s">
        <v>2847</v>
      </c>
      <c r="C415" t="s">
        <v>1883</v>
      </c>
      <c r="D415" t="s">
        <v>1908</v>
      </c>
      <c r="E415" t="s">
        <v>2848</v>
      </c>
      <c r="F415" t="s">
        <v>1813</v>
      </c>
      <c r="G415" t="s">
        <v>1886</v>
      </c>
    </row>
    <row r="416">
      <c r="A416" t="s">
        <v>2849</v>
      </c>
      <c r="B416" t="s">
        <v>2850</v>
      </c>
      <c r="C416" t="s">
        <v>1888</v>
      </c>
      <c r="D416" t="s">
        <v>1947</v>
      </c>
      <c r="E416" t="s">
        <v>2851</v>
      </c>
      <c r="F416" t="s">
        <v>1663</v>
      </c>
      <c r="G416" t="s">
        <v>1891</v>
      </c>
    </row>
    <row r="417">
      <c r="A417" t="s">
        <v>2849</v>
      </c>
      <c r="B417" t="s">
        <v>1469</v>
      </c>
      <c r="C417" t="s">
        <v>1883</v>
      </c>
      <c r="D417" t="s">
        <v>1951</v>
      </c>
      <c r="E417" t="s">
        <v>2852</v>
      </c>
      <c r="F417" t="s">
        <v>1759</v>
      </c>
      <c r="G417" t="s">
        <v>1896</v>
      </c>
    </row>
    <row r="418">
      <c r="A418" t="s">
        <v>2853</v>
      </c>
      <c r="B418" t="s">
        <v>1099</v>
      </c>
      <c r="C418" t="s">
        <v>1893</v>
      </c>
      <c r="D418" t="s">
        <v>1954</v>
      </c>
      <c r="E418" t="s">
        <v>2854</v>
      </c>
      <c r="F418" t="s">
        <v>1861</v>
      </c>
      <c r="G418" t="s">
        <v>1901</v>
      </c>
    </row>
    <row r="419">
      <c r="A419" t="s">
        <v>2853</v>
      </c>
      <c r="B419" t="s">
        <v>473</v>
      </c>
      <c r="C419" t="s">
        <v>1925</v>
      </c>
      <c r="D419" t="s">
        <v>1926</v>
      </c>
      <c r="E419" t="s">
        <v>2855</v>
      </c>
      <c r="F419" t="s">
        <v>1588</v>
      </c>
      <c r="G419" t="s">
        <v>1907</v>
      </c>
    </row>
    <row r="420">
      <c r="A420" t="s">
        <v>2856</v>
      </c>
      <c r="B420" t="s">
        <v>2857</v>
      </c>
      <c r="C420" t="s">
        <v>1888</v>
      </c>
      <c r="D420" t="s">
        <v>1917</v>
      </c>
      <c r="E420" t="s">
        <v>2858</v>
      </c>
      <c r="F420" t="s">
        <v>1708</v>
      </c>
      <c r="G420" t="s">
        <v>1886</v>
      </c>
    </row>
    <row r="421">
      <c r="A421" t="s">
        <v>2856</v>
      </c>
      <c r="B421" t="s">
        <v>2859</v>
      </c>
      <c r="C421" t="s">
        <v>1883</v>
      </c>
      <c r="D421" t="s">
        <v>1934</v>
      </c>
      <c r="E421" t="s">
        <v>2860</v>
      </c>
      <c r="F421" t="s">
        <v>1650</v>
      </c>
      <c r="G421" t="s">
        <v>1910</v>
      </c>
    </row>
    <row r="422">
      <c r="A422" t="s">
        <v>2861</v>
      </c>
      <c r="B422" t="s">
        <v>2862</v>
      </c>
      <c r="C422" t="s">
        <v>1913</v>
      </c>
      <c r="D422" t="s">
        <v>1914</v>
      </c>
      <c r="E422" t="s">
        <v>2863</v>
      </c>
      <c r="F422" t="s">
        <v>1789</v>
      </c>
      <c r="G422" t="s">
        <v>1891</v>
      </c>
    </row>
    <row r="423">
      <c r="A423" t="s">
        <v>2861</v>
      </c>
      <c r="B423" t="s">
        <v>2864</v>
      </c>
      <c r="C423" t="s">
        <v>1883</v>
      </c>
      <c r="D423" t="s">
        <v>1889</v>
      </c>
      <c r="E423" t="s">
        <v>2865</v>
      </c>
      <c r="F423" t="s">
        <v>1855</v>
      </c>
      <c r="G423" t="s">
        <v>1896</v>
      </c>
    </row>
    <row r="424">
      <c r="A424" t="s">
        <v>2866</v>
      </c>
      <c r="B424" t="s">
        <v>2596</v>
      </c>
      <c r="C424" t="s">
        <v>1921</v>
      </c>
      <c r="D424" t="s">
        <v>2149</v>
      </c>
      <c r="E424" t="s">
        <v>2867</v>
      </c>
      <c r="F424" t="s">
        <v>1574</v>
      </c>
      <c r="G424" t="s">
        <v>1886</v>
      </c>
    </row>
    <row r="425">
      <c r="A425" t="s">
        <v>2866</v>
      </c>
      <c r="B425" t="s">
        <v>834</v>
      </c>
      <c r="C425" t="s">
        <v>1968</v>
      </c>
      <c r="D425" t="s">
        <v>2027</v>
      </c>
      <c r="E425" t="s">
        <v>2868</v>
      </c>
      <c r="F425" t="s">
        <v>1721</v>
      </c>
      <c r="G425" t="s">
        <v>1907</v>
      </c>
    </row>
    <row r="426">
      <c r="A426" t="s">
        <v>2869</v>
      </c>
      <c r="B426" t="s">
        <v>1257</v>
      </c>
      <c r="C426" t="s">
        <v>1883</v>
      </c>
      <c r="D426" t="s">
        <v>2029</v>
      </c>
      <c r="E426" t="s">
        <v>2870</v>
      </c>
      <c r="F426" t="s">
        <v>1636</v>
      </c>
      <c r="G426" t="s">
        <v>1901</v>
      </c>
    </row>
    <row r="427">
      <c r="A427" t="s">
        <v>2869</v>
      </c>
      <c r="B427" t="s">
        <v>2871</v>
      </c>
      <c r="C427" t="s">
        <v>1888</v>
      </c>
      <c r="D427" t="s">
        <v>2070</v>
      </c>
      <c r="E427" t="s">
        <v>2872</v>
      </c>
      <c r="F427" t="s">
        <v>1771</v>
      </c>
      <c r="G427" t="s">
        <v>1910</v>
      </c>
    </row>
    <row r="428">
      <c r="A428" t="s">
        <v>2873</v>
      </c>
      <c r="B428" t="s">
        <v>2874</v>
      </c>
      <c r="C428" t="s">
        <v>1913</v>
      </c>
      <c r="D428" t="s">
        <v>1969</v>
      </c>
      <c r="E428" t="s">
        <v>2875</v>
      </c>
      <c r="F428" t="s">
        <v>1831</v>
      </c>
      <c r="G428" t="s">
        <v>1886</v>
      </c>
    </row>
    <row r="429">
      <c r="A429" t="s">
        <v>2873</v>
      </c>
      <c r="B429" t="s">
        <v>2876</v>
      </c>
      <c r="C429" t="s">
        <v>1883</v>
      </c>
      <c r="D429" t="s">
        <v>1972</v>
      </c>
      <c r="E429" t="s">
        <v>2877</v>
      </c>
      <c r="F429" t="s">
        <v>1553</v>
      </c>
      <c r="G429" t="s">
        <v>1891</v>
      </c>
    </row>
    <row r="430">
      <c r="A430" t="s">
        <v>2878</v>
      </c>
      <c r="B430" t="s">
        <v>2879</v>
      </c>
      <c r="C430" t="s">
        <v>1921</v>
      </c>
      <c r="D430" t="s">
        <v>1922</v>
      </c>
      <c r="E430" t="s">
        <v>2880</v>
      </c>
      <c r="F430" t="s">
        <v>1688</v>
      </c>
      <c r="G430" t="s">
        <v>1896</v>
      </c>
    </row>
    <row r="431">
      <c r="A431" t="s">
        <v>2878</v>
      </c>
      <c r="B431" t="s">
        <v>2881</v>
      </c>
      <c r="C431" t="s">
        <v>1898</v>
      </c>
      <c r="D431" t="s">
        <v>1899</v>
      </c>
      <c r="E431" t="s">
        <v>2882</v>
      </c>
      <c r="F431" t="s">
        <v>1801</v>
      </c>
      <c r="G431" t="s">
        <v>1901</v>
      </c>
    </row>
    <row r="432">
      <c r="A432" t="s">
        <v>2883</v>
      </c>
      <c r="B432" t="s">
        <v>1231</v>
      </c>
      <c r="C432" t="s">
        <v>1913</v>
      </c>
      <c r="D432" t="s">
        <v>1905</v>
      </c>
      <c r="E432" t="s">
        <v>2884</v>
      </c>
      <c r="F432" t="s">
        <v>1867</v>
      </c>
      <c r="G432" t="s">
        <v>1907</v>
      </c>
    </row>
    <row r="433">
      <c r="A433" t="s">
        <v>2883</v>
      </c>
      <c r="B433" t="s">
        <v>901</v>
      </c>
      <c r="C433" t="s">
        <v>1883</v>
      </c>
      <c r="D433" t="s">
        <v>1908</v>
      </c>
      <c r="E433" t="s">
        <v>2885</v>
      </c>
      <c r="F433" t="s">
        <v>1623</v>
      </c>
      <c r="G433" t="s">
        <v>1886</v>
      </c>
    </row>
    <row r="434">
      <c r="A434" t="s">
        <v>2886</v>
      </c>
      <c r="B434" t="s">
        <v>2556</v>
      </c>
      <c r="C434" t="s">
        <v>1888</v>
      </c>
      <c r="D434" t="s">
        <v>1947</v>
      </c>
      <c r="E434" t="s">
        <v>2887</v>
      </c>
      <c r="F434" t="s">
        <v>1727</v>
      </c>
      <c r="G434" t="s">
        <v>1910</v>
      </c>
    </row>
    <row r="435">
      <c r="A435" t="s">
        <v>2886</v>
      </c>
      <c r="B435" t="s">
        <v>1476</v>
      </c>
      <c r="C435" t="s">
        <v>1883</v>
      </c>
      <c r="D435" t="s">
        <v>1951</v>
      </c>
      <c r="E435" t="s">
        <v>2888</v>
      </c>
      <c r="F435" t="s">
        <v>1669</v>
      </c>
      <c r="G435" t="s">
        <v>1891</v>
      </c>
    </row>
    <row r="436">
      <c r="A436" t="s">
        <v>2889</v>
      </c>
      <c r="B436" t="s">
        <v>2890</v>
      </c>
      <c r="C436" t="s">
        <v>1893</v>
      </c>
      <c r="D436" t="s">
        <v>1954</v>
      </c>
      <c r="E436" t="s">
        <v>2891</v>
      </c>
      <c r="F436" t="s">
        <v>1807</v>
      </c>
      <c r="G436" t="s">
        <v>1896</v>
      </c>
    </row>
    <row r="437">
      <c r="A437" t="s">
        <v>2889</v>
      </c>
      <c r="B437" t="s">
        <v>2892</v>
      </c>
      <c r="C437" t="s">
        <v>1925</v>
      </c>
      <c r="D437" t="s">
        <v>1926</v>
      </c>
      <c r="E437" t="s">
        <v>2893</v>
      </c>
      <c r="F437" t="s">
        <v>1567</v>
      </c>
      <c r="G437" t="s">
        <v>1886</v>
      </c>
    </row>
    <row r="438">
      <c r="A438" t="s">
        <v>2894</v>
      </c>
      <c r="B438" t="s">
        <v>1238</v>
      </c>
      <c r="C438" t="s">
        <v>1888</v>
      </c>
      <c r="D438" t="s">
        <v>1917</v>
      </c>
      <c r="E438" t="s">
        <v>2895</v>
      </c>
      <c r="F438" t="s">
        <v>1714</v>
      </c>
      <c r="G438" t="s">
        <v>1907</v>
      </c>
    </row>
    <row r="439">
      <c r="A439" t="s">
        <v>2894</v>
      </c>
      <c r="B439" t="s">
        <v>2896</v>
      </c>
      <c r="C439" t="s">
        <v>1883</v>
      </c>
      <c r="D439" t="s">
        <v>1934</v>
      </c>
      <c r="E439" t="s">
        <v>2897</v>
      </c>
      <c r="F439" t="s">
        <v>1616</v>
      </c>
      <c r="G439" t="s">
        <v>1901</v>
      </c>
    </row>
    <row r="440">
      <c r="A440" t="s">
        <v>2898</v>
      </c>
      <c r="B440" t="s">
        <v>708</v>
      </c>
      <c r="C440" t="s">
        <v>1913</v>
      </c>
      <c r="D440" t="s">
        <v>1914</v>
      </c>
      <c r="E440" t="s">
        <v>2899</v>
      </c>
      <c r="F440" t="s">
        <v>1765</v>
      </c>
      <c r="G440" t="s">
        <v>1910</v>
      </c>
    </row>
    <row r="441">
      <c r="A441" t="s">
        <v>2898</v>
      </c>
      <c r="B441" t="s">
        <v>2520</v>
      </c>
      <c r="C441" t="s">
        <v>1883</v>
      </c>
      <c r="D441" t="s">
        <v>1889</v>
      </c>
      <c r="E441" t="s">
        <v>2900</v>
      </c>
      <c r="F441" t="s">
        <v>1849</v>
      </c>
      <c r="G441" t="s">
        <v>1886</v>
      </c>
    </row>
    <row r="442">
      <c r="A442" t="s">
        <v>2901</v>
      </c>
      <c r="B442" t="s">
        <v>1065</v>
      </c>
      <c r="C442" t="s">
        <v>1921</v>
      </c>
      <c r="D442" t="s">
        <v>2149</v>
      </c>
      <c r="E442" t="s">
        <v>2902</v>
      </c>
      <c r="F442" t="s">
        <v>1682</v>
      </c>
      <c r="G442" t="s">
        <v>1891</v>
      </c>
    </row>
    <row r="443">
      <c r="A443" t="s">
        <v>2901</v>
      </c>
      <c r="B443" t="s">
        <v>1342</v>
      </c>
      <c r="C443" t="s">
        <v>1968</v>
      </c>
      <c r="D443" t="s">
        <v>2027</v>
      </c>
      <c r="E443" t="s">
        <v>2903</v>
      </c>
      <c r="F443" t="s">
        <v>1560</v>
      </c>
      <c r="G443" t="s">
        <v>1896</v>
      </c>
    </row>
    <row r="444">
      <c r="A444" t="s">
        <v>2904</v>
      </c>
      <c r="B444" t="s">
        <v>2905</v>
      </c>
      <c r="C444" t="s">
        <v>1883</v>
      </c>
      <c r="D444" t="s">
        <v>2029</v>
      </c>
      <c r="E444" t="s">
        <v>2906</v>
      </c>
      <c r="F444" t="s">
        <v>1795</v>
      </c>
      <c r="G444" t="s">
        <v>1901</v>
      </c>
    </row>
    <row r="445">
      <c r="A445" t="s">
        <v>2904</v>
      </c>
      <c r="B445" t="s">
        <v>2907</v>
      </c>
      <c r="C445" t="s">
        <v>1888</v>
      </c>
      <c r="D445" t="s">
        <v>2070</v>
      </c>
      <c r="E445" t="s">
        <v>2908</v>
      </c>
      <c r="F445" t="s">
        <v>1657</v>
      </c>
      <c r="G445" t="s">
        <v>1907</v>
      </c>
    </row>
    <row r="446">
      <c r="A446" t="s">
        <v>2909</v>
      </c>
      <c r="B446" t="s">
        <v>2109</v>
      </c>
      <c r="C446" t="s">
        <v>1913</v>
      </c>
      <c r="D446" t="s">
        <v>1969</v>
      </c>
      <c r="E446" t="s">
        <v>2910</v>
      </c>
      <c r="F446" t="s">
        <v>1739</v>
      </c>
      <c r="G446" t="s">
        <v>1886</v>
      </c>
    </row>
    <row r="447">
      <c r="A447" t="s">
        <v>2909</v>
      </c>
      <c r="B447" t="s">
        <v>1445</v>
      </c>
      <c r="C447" t="s">
        <v>1883</v>
      </c>
      <c r="D447" t="s">
        <v>1972</v>
      </c>
      <c r="E447" t="s">
        <v>2911</v>
      </c>
      <c r="F447" t="s">
        <v>1777</v>
      </c>
      <c r="G447" t="s">
        <v>1910</v>
      </c>
    </row>
    <row r="448">
      <c r="A448" t="s">
        <v>2912</v>
      </c>
      <c r="B448" t="s">
        <v>1144</v>
      </c>
      <c r="C448" t="s">
        <v>1921</v>
      </c>
      <c r="D448" t="s">
        <v>1922</v>
      </c>
      <c r="E448" t="s">
        <v>2913</v>
      </c>
      <c r="F448" t="s">
        <v>1843</v>
      </c>
      <c r="G448" t="s">
        <v>1891</v>
      </c>
    </row>
    <row r="449">
      <c r="A449" t="s">
        <v>2912</v>
      </c>
      <c r="B449" t="s">
        <v>2843</v>
      </c>
      <c r="C449" t="s">
        <v>1898</v>
      </c>
      <c r="D449" t="s">
        <v>1899</v>
      </c>
      <c r="E449" t="s">
        <v>2914</v>
      </c>
      <c r="F449" t="s">
        <v>1695</v>
      </c>
      <c r="G449" t="s">
        <v>1896</v>
      </c>
    </row>
    <row r="450">
      <c r="A450" t="s">
        <v>2915</v>
      </c>
      <c r="B450" t="s">
        <v>1070</v>
      </c>
      <c r="C450" t="s">
        <v>1913</v>
      </c>
      <c r="D450" t="s">
        <v>1905</v>
      </c>
      <c r="E450" t="s">
        <v>2916</v>
      </c>
      <c r="F450" t="s">
        <v>1825</v>
      </c>
      <c r="G450" t="s">
        <v>1886</v>
      </c>
    </row>
    <row r="451">
      <c r="A451" t="s">
        <v>2915</v>
      </c>
      <c r="B451" t="s">
        <v>2917</v>
      </c>
      <c r="C451" t="s">
        <v>1883</v>
      </c>
      <c r="D451" t="s">
        <v>1908</v>
      </c>
      <c r="E451" t="s">
        <v>2918</v>
      </c>
      <c r="F451" t="s">
        <v>1746</v>
      </c>
      <c r="G451" t="s">
        <v>1907</v>
      </c>
    </row>
    <row r="452">
      <c r="A452" t="s">
        <v>2919</v>
      </c>
      <c r="B452" t="s">
        <v>300</v>
      </c>
      <c r="C452" t="s">
        <v>1888</v>
      </c>
      <c r="D452" t="s">
        <v>1947</v>
      </c>
      <c r="E452" t="s">
        <v>2920</v>
      </c>
      <c r="F452" t="s">
        <v>1629</v>
      </c>
      <c r="G452" t="s">
        <v>1901</v>
      </c>
    </row>
    <row r="453">
      <c r="A453" t="s">
        <v>2919</v>
      </c>
      <c r="B453" t="s">
        <v>1522</v>
      </c>
      <c r="C453" t="s">
        <v>1883</v>
      </c>
      <c r="D453" t="s">
        <v>1951</v>
      </c>
      <c r="E453" t="s">
        <v>2921</v>
      </c>
      <c r="F453" t="s">
        <v>1595</v>
      </c>
      <c r="G453" t="s">
        <v>1910</v>
      </c>
    </row>
    <row r="454">
      <c r="A454" t="s">
        <v>2922</v>
      </c>
      <c r="B454" t="s">
        <v>2923</v>
      </c>
      <c r="C454" t="s">
        <v>1893</v>
      </c>
      <c r="D454" t="s">
        <v>1954</v>
      </c>
      <c r="E454" t="s">
        <v>2924</v>
      </c>
      <c r="F454" t="s">
        <v>1702</v>
      </c>
      <c r="G454" t="s">
        <v>1886</v>
      </c>
    </row>
    <row r="455">
      <c r="A455" t="s">
        <v>2922</v>
      </c>
      <c r="B455" t="s">
        <v>2549</v>
      </c>
      <c r="C455" t="s">
        <v>1925</v>
      </c>
      <c r="D455" t="s">
        <v>1926</v>
      </c>
      <c r="E455" t="s">
        <v>2925</v>
      </c>
      <c r="F455" t="s">
        <v>1837</v>
      </c>
      <c r="G455" t="s">
        <v>1891</v>
      </c>
    </row>
    <row r="456">
      <c r="A456" t="s">
        <v>2926</v>
      </c>
      <c r="B456" t="s">
        <v>930</v>
      </c>
      <c r="C456" t="s">
        <v>1888</v>
      </c>
      <c r="D456" t="s">
        <v>1917</v>
      </c>
      <c r="E456" t="s">
        <v>2927</v>
      </c>
      <c r="F456" t="s">
        <v>1602</v>
      </c>
      <c r="G456" t="s">
        <v>1896</v>
      </c>
    </row>
    <row r="457">
      <c r="A457" t="s">
        <v>2926</v>
      </c>
      <c r="B457" t="s">
        <v>2928</v>
      </c>
      <c r="C457" t="s">
        <v>1883</v>
      </c>
      <c r="D457" t="s">
        <v>1934</v>
      </c>
      <c r="E457" t="s">
        <v>2929</v>
      </c>
      <c r="F457" t="s">
        <v>1752</v>
      </c>
      <c r="G457" t="s">
        <v>1901</v>
      </c>
    </row>
    <row r="458">
      <c r="A458" t="s">
        <v>2930</v>
      </c>
      <c r="B458" t="s">
        <v>2931</v>
      </c>
      <c r="C458" t="s">
        <v>1913</v>
      </c>
      <c r="D458" t="s">
        <v>1914</v>
      </c>
      <c r="E458" t="s">
        <v>2932</v>
      </c>
      <c r="F458" t="s">
        <v>1675</v>
      </c>
      <c r="G458" t="s">
        <v>1907</v>
      </c>
    </row>
    <row r="459">
      <c r="A459" t="s">
        <v>2930</v>
      </c>
      <c r="B459" t="s">
        <v>2933</v>
      </c>
      <c r="C459" t="s">
        <v>1883</v>
      </c>
      <c r="D459" t="s">
        <v>1889</v>
      </c>
      <c r="E459" t="s">
        <v>2934</v>
      </c>
      <c r="F459" t="s">
        <v>1819</v>
      </c>
      <c r="G459" t="s">
        <v>1886</v>
      </c>
    </row>
    <row r="460">
      <c r="A460" t="s">
        <v>2935</v>
      </c>
      <c r="B460" t="s">
        <v>1127</v>
      </c>
      <c r="C460" t="s">
        <v>1921</v>
      </c>
      <c r="D460" t="s">
        <v>2149</v>
      </c>
      <c r="E460" t="s">
        <v>2936</v>
      </c>
      <c r="F460" t="s">
        <v>1581</v>
      </c>
      <c r="G460" t="s">
        <v>1910</v>
      </c>
    </row>
    <row r="461">
      <c r="A461" t="s">
        <v>2935</v>
      </c>
      <c r="B461" t="s">
        <v>2011</v>
      </c>
      <c r="C461" t="s">
        <v>1968</v>
      </c>
      <c r="D461" t="s">
        <v>2027</v>
      </c>
      <c r="E461" t="s">
        <v>2937</v>
      </c>
      <c r="F461" t="s">
        <v>1783</v>
      </c>
      <c r="G461" t="s">
        <v>1891</v>
      </c>
    </row>
    <row r="462">
      <c r="A462" t="s">
        <v>2938</v>
      </c>
      <c r="B462" t="s">
        <v>2939</v>
      </c>
      <c r="C462" t="s">
        <v>1883</v>
      </c>
      <c r="D462" t="s">
        <v>2029</v>
      </c>
      <c r="E462" t="s">
        <v>2940</v>
      </c>
      <c r="F462" t="s">
        <v>1643</v>
      </c>
      <c r="G462" t="s">
        <v>1896</v>
      </c>
    </row>
    <row r="463">
      <c r="A463" t="s">
        <v>2938</v>
      </c>
      <c r="B463" t="s">
        <v>2515</v>
      </c>
      <c r="C463" t="s">
        <v>1888</v>
      </c>
      <c r="D463" t="s">
        <v>2070</v>
      </c>
      <c r="E463" t="s">
        <v>2941</v>
      </c>
      <c r="F463" t="s">
        <v>1733</v>
      </c>
      <c r="G463" t="s">
        <v>1886</v>
      </c>
    </row>
    <row r="464">
      <c r="A464" t="s">
        <v>2942</v>
      </c>
      <c r="B464" t="s">
        <v>2874</v>
      </c>
      <c r="C464" t="s">
        <v>1913</v>
      </c>
      <c r="D464" t="s">
        <v>1969</v>
      </c>
      <c r="E464" t="s">
        <v>2943</v>
      </c>
      <c r="F464" t="s">
        <v>1609</v>
      </c>
      <c r="G464" t="s">
        <v>1907</v>
      </c>
    </row>
    <row r="465">
      <c r="A465" t="s">
        <v>2942</v>
      </c>
      <c r="B465" t="s">
        <v>2944</v>
      </c>
      <c r="C465" t="s">
        <v>1883</v>
      </c>
      <c r="D465" t="s">
        <v>1972</v>
      </c>
      <c r="E465" t="s">
        <v>2945</v>
      </c>
      <c r="F465" t="s">
        <v>1813</v>
      </c>
      <c r="G465" t="s">
        <v>1901</v>
      </c>
    </row>
    <row r="466">
      <c r="A466" t="s">
        <v>2946</v>
      </c>
      <c r="B466" t="s">
        <v>2947</v>
      </c>
      <c r="C466" t="s">
        <v>1921</v>
      </c>
      <c r="D466" t="s">
        <v>1922</v>
      </c>
      <c r="E466" t="s">
        <v>2948</v>
      </c>
      <c r="F466" t="s">
        <v>1663</v>
      </c>
      <c r="G466" t="s">
        <v>1910</v>
      </c>
    </row>
    <row r="467">
      <c r="A467" t="s">
        <v>2946</v>
      </c>
      <c r="B467" t="s">
        <v>2949</v>
      </c>
      <c r="C467" t="s">
        <v>1898</v>
      </c>
      <c r="D467" t="s">
        <v>1899</v>
      </c>
      <c r="E467" t="s">
        <v>2950</v>
      </c>
      <c r="F467" t="s">
        <v>1759</v>
      </c>
      <c r="G467" t="s">
        <v>1886</v>
      </c>
    </row>
    <row r="468">
      <c r="A468" t="s">
        <v>2951</v>
      </c>
      <c r="B468" t="s">
        <v>1125</v>
      </c>
      <c r="C468" t="s">
        <v>1913</v>
      </c>
      <c r="D468" t="s">
        <v>1905</v>
      </c>
      <c r="E468" t="s">
        <v>2952</v>
      </c>
      <c r="F468" t="s">
        <v>1861</v>
      </c>
      <c r="G468" t="s">
        <v>1891</v>
      </c>
    </row>
    <row r="469">
      <c r="A469" t="s">
        <v>2951</v>
      </c>
      <c r="B469" t="s">
        <v>2953</v>
      </c>
      <c r="C469" t="s">
        <v>1883</v>
      </c>
      <c r="D469" t="s">
        <v>1908</v>
      </c>
      <c r="E469" t="s">
        <v>2954</v>
      </c>
      <c r="F469" t="s">
        <v>1588</v>
      </c>
      <c r="G469" t="s">
        <v>1896</v>
      </c>
    </row>
    <row r="470">
      <c r="A470" t="s">
        <v>2955</v>
      </c>
      <c r="B470" t="s">
        <v>2956</v>
      </c>
      <c r="C470" t="s">
        <v>1888</v>
      </c>
      <c r="D470" t="s">
        <v>1947</v>
      </c>
      <c r="E470" t="s">
        <v>2957</v>
      </c>
      <c r="F470" t="s">
        <v>1708</v>
      </c>
      <c r="G470" t="s">
        <v>1901</v>
      </c>
    </row>
    <row r="471">
      <c r="A471" t="s">
        <v>2955</v>
      </c>
      <c r="B471" t="s">
        <v>2958</v>
      </c>
      <c r="C471" t="s">
        <v>1883</v>
      </c>
      <c r="D471" t="s">
        <v>1951</v>
      </c>
      <c r="E471" t="s">
        <v>2959</v>
      </c>
      <c r="F471" t="s">
        <v>1650</v>
      </c>
      <c r="G471" t="s">
        <v>1907</v>
      </c>
    </row>
    <row r="472">
      <c r="A472" t="s">
        <v>2960</v>
      </c>
      <c r="B472" t="s">
        <v>2961</v>
      </c>
      <c r="C472" t="s">
        <v>1893</v>
      </c>
      <c r="D472" t="s">
        <v>1954</v>
      </c>
      <c r="E472" t="s">
        <v>2962</v>
      </c>
      <c r="F472" t="s">
        <v>1789</v>
      </c>
      <c r="G472" t="s">
        <v>1886</v>
      </c>
    </row>
    <row r="473">
      <c r="A473" t="s">
        <v>2960</v>
      </c>
      <c r="B473" t="s">
        <v>798</v>
      </c>
      <c r="C473" t="s">
        <v>1925</v>
      </c>
      <c r="D473" t="s">
        <v>1926</v>
      </c>
      <c r="E473" t="s">
        <v>2963</v>
      </c>
      <c r="F473" t="s">
        <v>1855</v>
      </c>
      <c r="G473" t="s">
        <v>1910</v>
      </c>
    </row>
    <row r="474">
      <c r="A474" t="s">
        <v>2964</v>
      </c>
      <c r="B474" t="s">
        <v>2965</v>
      </c>
      <c r="C474" t="s">
        <v>1888</v>
      </c>
      <c r="D474" t="s">
        <v>1917</v>
      </c>
      <c r="E474" t="s">
        <v>2966</v>
      </c>
      <c r="F474" t="s">
        <v>1574</v>
      </c>
      <c r="G474" t="s">
        <v>1891</v>
      </c>
    </row>
    <row r="475">
      <c r="A475" t="s">
        <v>2964</v>
      </c>
      <c r="B475" t="s">
        <v>2967</v>
      </c>
      <c r="C475" t="s">
        <v>1883</v>
      </c>
      <c r="D475" t="s">
        <v>1934</v>
      </c>
      <c r="E475" t="s">
        <v>2968</v>
      </c>
      <c r="F475" t="s">
        <v>1721</v>
      </c>
      <c r="G475" t="s">
        <v>1896</v>
      </c>
    </row>
    <row r="476">
      <c r="A476" t="s">
        <v>2969</v>
      </c>
      <c r="B476" t="s">
        <v>2970</v>
      </c>
      <c r="C476" t="s">
        <v>1913</v>
      </c>
      <c r="D476" t="s">
        <v>1914</v>
      </c>
      <c r="E476" t="s">
        <v>2971</v>
      </c>
      <c r="F476" t="s">
        <v>1636</v>
      </c>
      <c r="G476" t="s">
        <v>1886</v>
      </c>
    </row>
    <row r="477">
      <c r="A477" t="s">
        <v>2969</v>
      </c>
      <c r="B477" t="s">
        <v>2362</v>
      </c>
      <c r="C477" t="s">
        <v>1883</v>
      </c>
      <c r="D477" t="s">
        <v>1889</v>
      </c>
      <c r="E477" t="s">
        <v>2972</v>
      </c>
      <c r="F477" t="s">
        <v>1771</v>
      </c>
      <c r="G477" t="s">
        <v>1907</v>
      </c>
    </row>
    <row r="478">
      <c r="A478" t="s">
        <v>2973</v>
      </c>
      <c r="B478" t="s">
        <v>1177</v>
      </c>
      <c r="C478" t="s">
        <v>1921</v>
      </c>
      <c r="D478" t="s">
        <v>2149</v>
      </c>
      <c r="E478" t="s">
        <v>2974</v>
      </c>
      <c r="F478" t="s">
        <v>1831</v>
      </c>
      <c r="G478" t="s">
        <v>1901</v>
      </c>
    </row>
    <row r="479">
      <c r="A479" t="s">
        <v>2973</v>
      </c>
      <c r="B479" t="s">
        <v>1148</v>
      </c>
      <c r="C479" t="s">
        <v>1968</v>
      </c>
      <c r="D479" t="s">
        <v>2027</v>
      </c>
      <c r="E479" t="s">
        <v>2975</v>
      </c>
      <c r="F479" t="s">
        <v>1553</v>
      </c>
      <c r="G479" t="s">
        <v>1910</v>
      </c>
    </row>
    <row r="480">
      <c r="A480" t="s">
        <v>2976</v>
      </c>
      <c r="B480" t="s">
        <v>1307</v>
      </c>
      <c r="C480" t="s">
        <v>1883</v>
      </c>
      <c r="D480" t="s">
        <v>2029</v>
      </c>
      <c r="E480" t="s">
        <v>2977</v>
      </c>
      <c r="F480" t="s">
        <v>1688</v>
      </c>
      <c r="G480" t="s">
        <v>1886</v>
      </c>
    </row>
    <row r="481">
      <c r="A481" t="s">
        <v>2976</v>
      </c>
      <c r="B481" t="s">
        <v>2978</v>
      </c>
      <c r="C481" t="s">
        <v>1888</v>
      </c>
      <c r="D481" t="s">
        <v>2070</v>
      </c>
      <c r="E481" t="s">
        <v>2979</v>
      </c>
      <c r="F481" t="s">
        <v>1801</v>
      </c>
      <c r="G481" t="s">
        <v>1891</v>
      </c>
    </row>
    <row r="482">
      <c r="A482" t="s">
        <v>2980</v>
      </c>
      <c r="B482" t="s">
        <v>2632</v>
      </c>
      <c r="C482" t="s">
        <v>1913</v>
      </c>
      <c r="D482" t="s">
        <v>1969</v>
      </c>
      <c r="E482" t="s">
        <v>2981</v>
      </c>
      <c r="F482" t="s">
        <v>1867</v>
      </c>
      <c r="G482" t="s">
        <v>1896</v>
      </c>
    </row>
    <row r="483">
      <c r="A483" t="s">
        <v>2980</v>
      </c>
      <c r="B483" t="s">
        <v>2544</v>
      </c>
      <c r="C483" t="s">
        <v>1883</v>
      </c>
      <c r="D483" t="s">
        <v>1972</v>
      </c>
      <c r="E483" t="s">
        <v>2982</v>
      </c>
      <c r="F483" t="s">
        <v>1623</v>
      </c>
      <c r="G483" t="s">
        <v>1901</v>
      </c>
    </row>
    <row r="484">
      <c r="A484" t="s">
        <v>2983</v>
      </c>
      <c r="B484" t="s">
        <v>2984</v>
      </c>
      <c r="C484" t="s">
        <v>1921</v>
      </c>
      <c r="D484" t="s">
        <v>1922</v>
      </c>
      <c r="E484" t="s">
        <v>2985</v>
      </c>
      <c r="F484" t="s">
        <v>1727</v>
      </c>
      <c r="G484" t="s">
        <v>1907</v>
      </c>
    </row>
    <row r="485">
      <c r="A485" t="s">
        <v>2983</v>
      </c>
      <c r="B485" t="s">
        <v>2405</v>
      </c>
      <c r="C485" t="s">
        <v>1898</v>
      </c>
      <c r="D485" t="s">
        <v>1899</v>
      </c>
      <c r="E485" t="s">
        <v>2986</v>
      </c>
      <c r="F485" t="s">
        <v>1669</v>
      </c>
      <c r="G485" t="s">
        <v>1886</v>
      </c>
    </row>
    <row r="486">
      <c r="A486" t="s">
        <v>2987</v>
      </c>
      <c r="B486" t="s">
        <v>1042</v>
      </c>
      <c r="C486" t="s">
        <v>1913</v>
      </c>
      <c r="D486" t="s">
        <v>1905</v>
      </c>
      <c r="E486" t="s">
        <v>2988</v>
      </c>
      <c r="F486" t="s">
        <v>1807</v>
      </c>
      <c r="G486" t="s">
        <v>1910</v>
      </c>
    </row>
    <row r="487">
      <c r="A487" t="s">
        <v>2987</v>
      </c>
      <c r="B487" t="s">
        <v>1020</v>
      </c>
      <c r="C487" t="s">
        <v>1883</v>
      </c>
      <c r="D487" t="s">
        <v>1908</v>
      </c>
      <c r="E487" t="s">
        <v>2989</v>
      </c>
      <c r="F487" t="s">
        <v>1567</v>
      </c>
      <c r="G487" t="s">
        <v>1891</v>
      </c>
    </row>
    <row r="488">
      <c r="A488" t="s">
        <v>2990</v>
      </c>
      <c r="B488" t="s">
        <v>2991</v>
      </c>
      <c r="C488" t="s">
        <v>1888</v>
      </c>
      <c r="D488" t="s">
        <v>1947</v>
      </c>
      <c r="E488" t="s">
        <v>2992</v>
      </c>
      <c r="F488" t="s">
        <v>1714</v>
      </c>
      <c r="G488" t="s">
        <v>1896</v>
      </c>
    </row>
    <row r="489">
      <c r="A489" t="s">
        <v>2990</v>
      </c>
      <c r="B489" t="s">
        <v>2659</v>
      </c>
      <c r="C489" t="s">
        <v>1883</v>
      </c>
      <c r="D489" t="s">
        <v>1951</v>
      </c>
      <c r="E489" t="s">
        <v>2993</v>
      </c>
      <c r="F489" t="s">
        <v>1616</v>
      </c>
      <c r="G489" t="s">
        <v>1886</v>
      </c>
    </row>
    <row r="490">
      <c r="A490" t="s">
        <v>2994</v>
      </c>
      <c r="B490" t="s">
        <v>2995</v>
      </c>
      <c r="C490" t="s">
        <v>1893</v>
      </c>
      <c r="D490" t="s">
        <v>1954</v>
      </c>
      <c r="E490" t="s">
        <v>2996</v>
      </c>
      <c r="F490" t="s">
        <v>1765</v>
      </c>
      <c r="G490" t="s">
        <v>1907</v>
      </c>
    </row>
    <row r="491">
      <c r="A491" t="s">
        <v>2994</v>
      </c>
      <c r="B491" t="s">
        <v>2518</v>
      </c>
      <c r="C491" t="s">
        <v>1925</v>
      </c>
      <c r="D491" t="s">
        <v>1926</v>
      </c>
      <c r="E491" t="s">
        <v>2997</v>
      </c>
      <c r="F491" t="s">
        <v>1849</v>
      </c>
      <c r="G491" t="s">
        <v>1901</v>
      </c>
    </row>
    <row r="492">
      <c r="A492" t="s">
        <v>2998</v>
      </c>
      <c r="B492" t="s">
        <v>1062</v>
      </c>
      <c r="C492" t="s">
        <v>1888</v>
      </c>
      <c r="D492" t="s">
        <v>1917</v>
      </c>
      <c r="E492" t="s">
        <v>2999</v>
      </c>
      <c r="F492" t="s">
        <v>1682</v>
      </c>
      <c r="G492" t="s">
        <v>1910</v>
      </c>
    </row>
    <row r="493">
      <c r="A493" t="s">
        <v>2998</v>
      </c>
      <c r="B493" t="s">
        <v>2668</v>
      </c>
      <c r="C493" t="s">
        <v>1883</v>
      </c>
      <c r="D493" t="s">
        <v>1934</v>
      </c>
      <c r="E493" t="s">
        <v>3000</v>
      </c>
      <c r="F493" t="s">
        <v>1560</v>
      </c>
      <c r="G493" t="s">
        <v>1886</v>
      </c>
    </row>
    <row r="494">
      <c r="A494" t="s">
        <v>3001</v>
      </c>
      <c r="B494" t="s">
        <v>644</v>
      </c>
      <c r="C494" t="s">
        <v>1913</v>
      </c>
      <c r="D494" t="s">
        <v>1914</v>
      </c>
      <c r="E494" t="s">
        <v>3002</v>
      </c>
      <c r="F494" t="s">
        <v>1795</v>
      </c>
      <c r="G494" t="s">
        <v>1891</v>
      </c>
    </row>
    <row r="495">
      <c r="A495" t="s">
        <v>3001</v>
      </c>
      <c r="B495" t="s">
        <v>3003</v>
      </c>
      <c r="C495" t="s">
        <v>1883</v>
      </c>
      <c r="D495" t="s">
        <v>1889</v>
      </c>
      <c r="E495" t="s">
        <v>3004</v>
      </c>
      <c r="F495" t="s">
        <v>1657</v>
      </c>
      <c r="G495" t="s">
        <v>1896</v>
      </c>
    </row>
    <row r="496">
      <c r="A496" t="s">
        <v>3005</v>
      </c>
      <c r="B496" t="s">
        <v>1114</v>
      </c>
      <c r="C496" t="s">
        <v>1921</v>
      </c>
      <c r="D496" t="s">
        <v>2149</v>
      </c>
      <c r="E496" t="s">
        <v>3006</v>
      </c>
      <c r="F496" t="s">
        <v>1739</v>
      </c>
      <c r="G496" t="s">
        <v>1901</v>
      </c>
    </row>
    <row r="497">
      <c r="A497" t="s">
        <v>3005</v>
      </c>
      <c r="B497" t="s">
        <v>968</v>
      </c>
      <c r="C497" t="s">
        <v>1968</v>
      </c>
      <c r="D497" t="s">
        <v>2027</v>
      </c>
      <c r="E497" t="s">
        <v>3007</v>
      </c>
      <c r="F497" t="s">
        <v>1777</v>
      </c>
      <c r="G497" t="s">
        <v>1907</v>
      </c>
    </row>
    <row r="498">
      <c r="A498" t="s">
        <v>3008</v>
      </c>
      <c r="B498" t="s">
        <v>1159</v>
      </c>
      <c r="C498" t="s">
        <v>1883</v>
      </c>
      <c r="D498" t="s">
        <v>2029</v>
      </c>
      <c r="E498" t="s">
        <v>3009</v>
      </c>
      <c r="F498" t="s">
        <v>1843</v>
      </c>
      <c r="G498" t="s">
        <v>1886</v>
      </c>
    </row>
    <row r="499">
      <c r="A499" t="s">
        <v>3008</v>
      </c>
      <c r="B499" t="s">
        <v>3010</v>
      </c>
      <c r="C499" t="s">
        <v>1888</v>
      </c>
      <c r="D499" t="s">
        <v>2070</v>
      </c>
      <c r="E499" t="s">
        <v>3011</v>
      </c>
      <c r="F499" t="s">
        <v>1695</v>
      </c>
      <c r="G499" t="s">
        <v>1910</v>
      </c>
    </row>
    <row r="500">
      <c r="A500" t="s">
        <v>3012</v>
      </c>
      <c r="B500" t="s">
        <v>3013</v>
      </c>
      <c r="C500" t="s">
        <v>1913</v>
      </c>
      <c r="D500" t="s">
        <v>1969</v>
      </c>
      <c r="E500" t="s">
        <v>3014</v>
      </c>
      <c r="F500" t="s">
        <v>1825</v>
      </c>
      <c r="G500" t="s">
        <v>1891</v>
      </c>
    </row>
    <row r="501">
      <c r="A501" t="s">
        <v>3012</v>
      </c>
      <c r="B501" t="s">
        <v>1496</v>
      </c>
      <c r="C501" t="s">
        <v>1883</v>
      </c>
      <c r="D501" t="s">
        <v>1972</v>
      </c>
      <c r="E501" t="s">
        <v>3015</v>
      </c>
      <c r="F501" t="s">
        <v>1746</v>
      </c>
      <c r="G501" t="s">
        <v>1896</v>
      </c>
    </row>
    <row r="502">
      <c r="A502" t="s">
        <v>3016</v>
      </c>
      <c r="B502" t="s">
        <v>3017</v>
      </c>
      <c r="C502" t="s">
        <v>1921</v>
      </c>
      <c r="D502" t="s">
        <v>1922</v>
      </c>
      <c r="E502" t="s">
        <v>3018</v>
      </c>
      <c r="F502" t="s">
        <v>1629</v>
      </c>
      <c r="G502" t="s">
        <v>1886</v>
      </c>
    </row>
    <row r="503">
      <c r="A503" t="s">
        <v>3016</v>
      </c>
      <c r="B503" t="s">
        <v>1243</v>
      </c>
      <c r="C503" t="s">
        <v>1898</v>
      </c>
      <c r="D503" t="s">
        <v>1899</v>
      </c>
      <c r="E503" t="s">
        <v>3019</v>
      </c>
      <c r="F503" t="s">
        <v>1595</v>
      </c>
      <c r="G503" t="s">
        <v>1907</v>
      </c>
    </row>
    <row r="504">
      <c r="A504" t="s">
        <v>3020</v>
      </c>
      <c r="B504" t="s">
        <v>3021</v>
      </c>
      <c r="C504" t="s">
        <v>1913</v>
      </c>
      <c r="D504" t="s">
        <v>1905</v>
      </c>
      <c r="E504" t="s">
        <v>3022</v>
      </c>
      <c r="F504" t="s">
        <v>1702</v>
      </c>
      <c r="G504" t="s">
        <v>1901</v>
      </c>
    </row>
    <row r="505">
      <c r="A505" t="s">
        <v>3020</v>
      </c>
      <c r="B505" t="s">
        <v>3023</v>
      </c>
      <c r="C505" t="s">
        <v>1883</v>
      </c>
      <c r="D505" t="s">
        <v>1908</v>
      </c>
      <c r="E505" t="s">
        <v>3024</v>
      </c>
      <c r="F505" t="s">
        <v>1837</v>
      </c>
      <c r="G505" t="s">
        <v>1910</v>
      </c>
    </row>
    <row r="506">
      <c r="A506" t="s">
        <v>3025</v>
      </c>
      <c r="B506" t="s">
        <v>2632</v>
      </c>
      <c r="C506" t="s">
        <v>1888</v>
      </c>
      <c r="D506" t="s">
        <v>1947</v>
      </c>
      <c r="E506" t="s">
        <v>3026</v>
      </c>
      <c r="F506" t="s">
        <v>1602</v>
      </c>
      <c r="G506" t="s">
        <v>1886</v>
      </c>
    </row>
    <row r="507">
      <c r="A507" t="s">
        <v>3025</v>
      </c>
      <c r="B507" t="s">
        <v>2453</v>
      </c>
      <c r="C507" t="s">
        <v>1883</v>
      </c>
      <c r="D507" t="s">
        <v>1951</v>
      </c>
      <c r="E507" t="s">
        <v>3027</v>
      </c>
      <c r="F507" t="s">
        <v>1752</v>
      </c>
      <c r="G507" t="s">
        <v>1891</v>
      </c>
    </row>
    <row r="508">
      <c r="A508" t="s">
        <v>3028</v>
      </c>
      <c r="B508" t="s">
        <v>2456</v>
      </c>
      <c r="C508" t="s">
        <v>1893</v>
      </c>
      <c r="D508" t="s">
        <v>1954</v>
      </c>
      <c r="E508" t="s">
        <v>3029</v>
      </c>
      <c r="F508" t="s">
        <v>1675</v>
      </c>
      <c r="G508" t="s">
        <v>1896</v>
      </c>
    </row>
    <row r="509">
      <c r="A509" t="s">
        <v>3028</v>
      </c>
      <c r="B509" t="s">
        <v>2892</v>
      </c>
      <c r="C509" t="s">
        <v>1925</v>
      </c>
      <c r="D509" t="s">
        <v>1926</v>
      </c>
      <c r="E509" t="s">
        <v>3030</v>
      </c>
      <c r="F509" t="s">
        <v>1819</v>
      </c>
      <c r="G509" t="s">
        <v>1901</v>
      </c>
    </row>
    <row r="510">
      <c r="A510" t="s">
        <v>3031</v>
      </c>
      <c r="B510" t="s">
        <v>3032</v>
      </c>
      <c r="C510" t="s">
        <v>1888</v>
      </c>
      <c r="D510" t="s">
        <v>1917</v>
      </c>
      <c r="E510" t="s">
        <v>3033</v>
      </c>
      <c r="F510" t="s">
        <v>1581</v>
      </c>
      <c r="G510" t="s">
        <v>1907</v>
      </c>
    </row>
    <row r="511">
      <c r="A511" t="s">
        <v>3031</v>
      </c>
      <c r="B511" t="s">
        <v>2264</v>
      </c>
      <c r="C511" t="s">
        <v>1883</v>
      </c>
      <c r="D511" t="s">
        <v>1934</v>
      </c>
      <c r="E511" t="s">
        <v>3034</v>
      </c>
      <c r="F511" t="s">
        <v>1783</v>
      </c>
      <c r="G511" t="s">
        <v>1886</v>
      </c>
    </row>
    <row r="512">
      <c r="A512" t="s">
        <v>3035</v>
      </c>
      <c r="B512" t="s">
        <v>3036</v>
      </c>
      <c r="C512" t="s">
        <v>1913</v>
      </c>
      <c r="D512" t="s">
        <v>1914</v>
      </c>
      <c r="E512" t="s">
        <v>3037</v>
      </c>
      <c r="F512" t="s">
        <v>1643</v>
      </c>
      <c r="G512" t="s">
        <v>1910</v>
      </c>
    </row>
    <row r="513">
      <c r="A513" t="s">
        <v>3035</v>
      </c>
      <c r="B513" t="s">
        <v>1416</v>
      </c>
      <c r="C513" t="s">
        <v>1883</v>
      </c>
      <c r="D513" t="s">
        <v>1889</v>
      </c>
      <c r="E513" t="s">
        <v>3038</v>
      </c>
      <c r="F513" t="s">
        <v>1733</v>
      </c>
      <c r="G513" t="s">
        <v>1891</v>
      </c>
    </row>
    <row r="514">
      <c r="A514" t="s">
        <v>3039</v>
      </c>
      <c r="B514" t="s">
        <v>2662</v>
      </c>
      <c r="C514" t="s">
        <v>1921</v>
      </c>
      <c r="D514" t="s">
        <v>2149</v>
      </c>
      <c r="E514" t="s">
        <v>3040</v>
      </c>
      <c r="F514" t="s">
        <v>1609</v>
      </c>
      <c r="G514" t="s">
        <v>1896</v>
      </c>
    </row>
    <row r="515">
      <c r="A515" t="s">
        <v>3039</v>
      </c>
      <c r="B515" t="s">
        <v>3041</v>
      </c>
      <c r="C515" t="s">
        <v>1968</v>
      </c>
      <c r="D515" t="s">
        <v>2027</v>
      </c>
      <c r="E515" t="s">
        <v>3042</v>
      </c>
      <c r="F515" t="s">
        <v>1813</v>
      </c>
      <c r="G515" t="s">
        <v>1886</v>
      </c>
    </row>
    <row r="516">
      <c r="A516" t="s">
        <v>3043</v>
      </c>
      <c r="B516" t="s">
        <v>2758</v>
      </c>
      <c r="C516" t="s">
        <v>1883</v>
      </c>
      <c r="D516" t="s">
        <v>2029</v>
      </c>
      <c r="E516" t="s">
        <v>3044</v>
      </c>
      <c r="F516" t="s">
        <v>1663</v>
      </c>
      <c r="G516" t="s">
        <v>1907</v>
      </c>
    </row>
    <row r="517">
      <c r="A517" t="s">
        <v>3043</v>
      </c>
      <c r="B517" t="s">
        <v>3045</v>
      </c>
      <c r="C517" t="s">
        <v>1888</v>
      </c>
      <c r="D517" t="s">
        <v>2070</v>
      </c>
      <c r="E517" t="s">
        <v>3046</v>
      </c>
      <c r="F517" t="s">
        <v>1759</v>
      </c>
      <c r="G517" t="s">
        <v>1901</v>
      </c>
    </row>
    <row r="518">
      <c r="A518" t="s">
        <v>3047</v>
      </c>
      <c r="B518" t="s">
        <v>3048</v>
      </c>
      <c r="C518" t="s">
        <v>1913</v>
      </c>
      <c r="D518" t="s">
        <v>1969</v>
      </c>
      <c r="E518" t="s">
        <v>3049</v>
      </c>
      <c r="F518" t="s">
        <v>1861</v>
      </c>
      <c r="G518" t="s">
        <v>1910</v>
      </c>
    </row>
    <row r="519">
      <c r="A519" t="s">
        <v>3047</v>
      </c>
      <c r="B519" t="s">
        <v>1515</v>
      </c>
      <c r="C519" t="s">
        <v>1883</v>
      </c>
      <c r="D519" t="s">
        <v>1972</v>
      </c>
      <c r="E519" t="s">
        <v>3050</v>
      </c>
      <c r="F519" t="s">
        <v>1588</v>
      </c>
      <c r="G519" t="s">
        <v>1886</v>
      </c>
    </row>
    <row r="520">
      <c r="A520" t="s">
        <v>3051</v>
      </c>
      <c r="B520" t="s">
        <v>1202</v>
      </c>
      <c r="C520" t="s">
        <v>1921</v>
      </c>
      <c r="D520" t="s">
        <v>1922</v>
      </c>
      <c r="E520" t="s">
        <v>3052</v>
      </c>
      <c r="F520" t="s">
        <v>1708</v>
      </c>
      <c r="G520" t="s">
        <v>1891</v>
      </c>
    </row>
    <row r="521">
      <c r="A521" t="s">
        <v>3051</v>
      </c>
      <c r="B521" t="s">
        <v>3041</v>
      </c>
      <c r="C521" t="s">
        <v>1898</v>
      </c>
      <c r="D521" t="s">
        <v>1899</v>
      </c>
      <c r="E521" t="s">
        <v>3053</v>
      </c>
      <c r="F521" t="s">
        <v>1650</v>
      </c>
      <c r="G521" t="s">
        <v>1896</v>
      </c>
    </row>
    <row r="522">
      <c r="A522" t="s">
        <v>3054</v>
      </c>
      <c r="B522" t="s">
        <v>2796</v>
      </c>
      <c r="C522" t="s">
        <v>1913</v>
      </c>
      <c r="D522" t="s">
        <v>1905</v>
      </c>
      <c r="E522" t="s">
        <v>3055</v>
      </c>
      <c r="F522" t="s">
        <v>1789</v>
      </c>
      <c r="G522" t="s">
        <v>1901</v>
      </c>
    </row>
    <row r="523">
      <c r="A523" t="s">
        <v>3054</v>
      </c>
      <c r="B523" t="s">
        <v>3056</v>
      </c>
      <c r="C523" t="s">
        <v>1883</v>
      </c>
      <c r="D523" t="s">
        <v>1908</v>
      </c>
      <c r="E523" t="s">
        <v>3057</v>
      </c>
      <c r="F523" t="s">
        <v>1855</v>
      </c>
      <c r="G523" t="s">
        <v>1907</v>
      </c>
    </row>
    <row r="524">
      <c r="A524" t="s">
        <v>3058</v>
      </c>
      <c r="B524" t="s">
        <v>3059</v>
      </c>
      <c r="C524" t="s">
        <v>1888</v>
      </c>
      <c r="D524" t="s">
        <v>1947</v>
      </c>
      <c r="E524" t="s">
        <v>3060</v>
      </c>
      <c r="F524" t="s">
        <v>1574</v>
      </c>
      <c r="G524" t="s">
        <v>1886</v>
      </c>
    </row>
    <row r="525">
      <c r="A525" t="s">
        <v>3058</v>
      </c>
      <c r="B525" t="s">
        <v>1445</v>
      </c>
      <c r="C525" t="s">
        <v>1883</v>
      </c>
      <c r="D525" t="s">
        <v>1951</v>
      </c>
      <c r="E525" t="s">
        <v>3061</v>
      </c>
      <c r="F525" t="s">
        <v>1721</v>
      </c>
      <c r="G525" t="s">
        <v>1910</v>
      </c>
    </row>
    <row r="526">
      <c r="A526" t="s">
        <v>3062</v>
      </c>
      <c r="B526" t="s">
        <v>2818</v>
      </c>
      <c r="C526" t="s">
        <v>1893</v>
      </c>
      <c r="D526" t="s">
        <v>1954</v>
      </c>
      <c r="E526" t="s">
        <v>3063</v>
      </c>
      <c r="F526" t="s">
        <v>1636</v>
      </c>
      <c r="G526" t="s">
        <v>1891</v>
      </c>
    </row>
    <row r="527">
      <c r="A527" t="s">
        <v>3062</v>
      </c>
      <c r="B527" t="s">
        <v>1092</v>
      </c>
      <c r="C527" t="s">
        <v>1925</v>
      </c>
      <c r="D527" t="s">
        <v>1926</v>
      </c>
      <c r="E527" t="s">
        <v>3064</v>
      </c>
      <c r="F527" t="s">
        <v>1771</v>
      </c>
      <c r="G527" t="s">
        <v>1896</v>
      </c>
    </row>
    <row r="528">
      <c r="A528" t="s">
        <v>3065</v>
      </c>
      <c r="B528" t="s">
        <v>1188</v>
      </c>
      <c r="C528" t="s">
        <v>1888</v>
      </c>
      <c r="D528" t="s">
        <v>1917</v>
      </c>
      <c r="E528" t="s">
        <v>3066</v>
      </c>
      <c r="F528" t="s">
        <v>1831</v>
      </c>
      <c r="G528" t="s">
        <v>1886</v>
      </c>
    </row>
    <row r="529">
      <c r="A529" t="s">
        <v>3065</v>
      </c>
      <c r="B529" t="s">
        <v>3067</v>
      </c>
      <c r="C529" t="s">
        <v>1883</v>
      </c>
      <c r="D529" t="s">
        <v>1934</v>
      </c>
      <c r="E529" t="s">
        <v>3068</v>
      </c>
      <c r="F529" t="s">
        <v>1553</v>
      </c>
      <c r="G529" t="s">
        <v>1907</v>
      </c>
    </row>
    <row r="530">
      <c r="A530" t="s">
        <v>3069</v>
      </c>
      <c r="B530" t="s">
        <v>2775</v>
      </c>
      <c r="C530" t="s">
        <v>1913</v>
      </c>
      <c r="D530" t="s">
        <v>1914</v>
      </c>
      <c r="E530" t="s">
        <v>3070</v>
      </c>
      <c r="F530" t="s">
        <v>1688</v>
      </c>
      <c r="G530" t="s">
        <v>1901</v>
      </c>
    </row>
    <row r="531">
      <c r="A531" t="s">
        <v>3069</v>
      </c>
      <c r="B531" t="s">
        <v>3071</v>
      </c>
      <c r="C531" t="s">
        <v>1883</v>
      </c>
      <c r="D531" t="s">
        <v>1889</v>
      </c>
      <c r="E531" t="s">
        <v>3072</v>
      </c>
      <c r="F531" t="s">
        <v>1801</v>
      </c>
      <c r="G531" t="s">
        <v>1910</v>
      </c>
    </row>
    <row r="532">
      <c r="A532" t="s">
        <v>3073</v>
      </c>
      <c r="B532" t="s">
        <v>3074</v>
      </c>
      <c r="C532" t="s">
        <v>1921</v>
      </c>
      <c r="D532" t="s">
        <v>2149</v>
      </c>
      <c r="E532" t="s">
        <v>3075</v>
      </c>
      <c r="F532" t="s">
        <v>1867</v>
      </c>
      <c r="G532" t="s">
        <v>1886</v>
      </c>
    </row>
    <row r="533">
      <c r="A533" t="s">
        <v>3073</v>
      </c>
      <c r="B533" t="s">
        <v>3076</v>
      </c>
      <c r="C533" t="s">
        <v>1968</v>
      </c>
      <c r="D533" t="s">
        <v>2027</v>
      </c>
      <c r="E533" t="s">
        <v>3077</v>
      </c>
      <c r="F533" t="s">
        <v>1623</v>
      </c>
      <c r="G533" t="s">
        <v>1891</v>
      </c>
    </row>
    <row r="534">
      <c r="A534" t="s">
        <v>3078</v>
      </c>
      <c r="B534" t="s">
        <v>1078</v>
      </c>
      <c r="C534" t="s">
        <v>1883</v>
      </c>
      <c r="D534" t="s">
        <v>2029</v>
      </c>
      <c r="E534" t="s">
        <v>3079</v>
      </c>
      <c r="F534" t="s">
        <v>1727</v>
      </c>
      <c r="G534" t="s">
        <v>1896</v>
      </c>
    </row>
    <row r="535">
      <c r="A535" t="s">
        <v>3078</v>
      </c>
      <c r="B535" t="s">
        <v>3056</v>
      </c>
      <c r="C535" t="s">
        <v>1888</v>
      </c>
      <c r="D535" t="s">
        <v>2070</v>
      </c>
      <c r="E535" t="s">
        <v>3080</v>
      </c>
      <c r="F535" t="s">
        <v>1669</v>
      </c>
      <c r="G535" t="s">
        <v>1901</v>
      </c>
    </row>
    <row r="536">
      <c r="A536" t="s">
        <v>3081</v>
      </c>
      <c r="B536" t="s">
        <v>300</v>
      </c>
      <c r="C536" t="s">
        <v>1913</v>
      </c>
      <c r="D536" t="s">
        <v>1969</v>
      </c>
      <c r="E536" t="s">
        <v>3082</v>
      </c>
      <c r="F536" t="s">
        <v>1807</v>
      </c>
      <c r="G536" t="s">
        <v>1907</v>
      </c>
    </row>
    <row r="537">
      <c r="A537" t="s">
        <v>3081</v>
      </c>
      <c r="B537" t="s">
        <v>2153</v>
      </c>
      <c r="C537" t="s">
        <v>1883</v>
      </c>
      <c r="D537" t="s">
        <v>1972</v>
      </c>
      <c r="E537" t="s">
        <v>3083</v>
      </c>
      <c r="F537" t="s">
        <v>1567</v>
      </c>
      <c r="G537" t="s">
        <v>1886</v>
      </c>
    </row>
    <row r="538">
      <c r="A538" t="s">
        <v>3084</v>
      </c>
      <c r="B538" t="s">
        <v>3085</v>
      </c>
      <c r="C538" t="s">
        <v>1921</v>
      </c>
      <c r="D538" t="s">
        <v>1922</v>
      </c>
      <c r="E538" t="s">
        <v>3086</v>
      </c>
      <c r="F538" t="s">
        <v>1714</v>
      </c>
      <c r="G538" t="s">
        <v>1910</v>
      </c>
    </row>
    <row r="539">
      <c r="A539" t="s">
        <v>3084</v>
      </c>
      <c r="B539" t="s">
        <v>3087</v>
      </c>
      <c r="C539" t="s">
        <v>1898</v>
      </c>
      <c r="D539" t="s">
        <v>1899</v>
      </c>
      <c r="E539" t="s">
        <v>3088</v>
      </c>
      <c r="F539" t="s">
        <v>1616</v>
      </c>
      <c r="G539" t="s">
        <v>1891</v>
      </c>
    </row>
    <row r="540">
      <c r="A540" t="s">
        <v>3089</v>
      </c>
      <c r="B540" t="s">
        <v>1364</v>
      </c>
      <c r="C540" t="s">
        <v>1913</v>
      </c>
      <c r="D540" t="s">
        <v>1905</v>
      </c>
      <c r="E540" t="s">
        <v>3090</v>
      </c>
      <c r="F540" t="s">
        <v>1765</v>
      </c>
      <c r="G540" t="s">
        <v>1896</v>
      </c>
    </row>
    <row r="541">
      <c r="A541" t="s">
        <v>3089</v>
      </c>
      <c r="B541" t="s">
        <v>3091</v>
      </c>
      <c r="C541" t="s">
        <v>1883</v>
      </c>
      <c r="D541" t="s">
        <v>1908</v>
      </c>
      <c r="E541" t="s">
        <v>3092</v>
      </c>
      <c r="F541" t="s">
        <v>1849</v>
      </c>
      <c r="G541" t="s">
        <v>1886</v>
      </c>
    </row>
    <row r="542">
      <c r="A542" t="s">
        <v>3093</v>
      </c>
      <c r="B542" t="s">
        <v>202</v>
      </c>
      <c r="C542" t="s">
        <v>1888</v>
      </c>
      <c r="D542" t="s">
        <v>1947</v>
      </c>
      <c r="E542" t="s">
        <v>3094</v>
      </c>
      <c r="F542" t="s">
        <v>1682</v>
      </c>
      <c r="G542" t="s">
        <v>1907</v>
      </c>
    </row>
    <row r="543">
      <c r="A543" t="s">
        <v>3093</v>
      </c>
      <c r="B543" t="s">
        <v>2544</v>
      </c>
      <c r="C543" t="s">
        <v>1883</v>
      </c>
      <c r="D543" t="s">
        <v>1951</v>
      </c>
      <c r="E543" t="s">
        <v>3095</v>
      </c>
      <c r="F543" t="s">
        <v>1560</v>
      </c>
      <c r="G543" t="s">
        <v>1901</v>
      </c>
    </row>
    <row r="544">
      <c r="A544" t="s">
        <v>3096</v>
      </c>
      <c r="B544" t="s">
        <v>2509</v>
      </c>
      <c r="C544" t="s">
        <v>1893</v>
      </c>
      <c r="D544" t="s">
        <v>1954</v>
      </c>
      <c r="E544" t="s">
        <v>3097</v>
      </c>
      <c r="F544" t="s">
        <v>1795</v>
      </c>
      <c r="G544" t="s">
        <v>1910</v>
      </c>
    </row>
    <row r="545">
      <c r="A545" t="s">
        <v>3096</v>
      </c>
      <c r="B545" t="s">
        <v>1117</v>
      </c>
      <c r="C545" t="s">
        <v>1925</v>
      </c>
      <c r="D545" t="s">
        <v>1926</v>
      </c>
      <c r="E545" t="s">
        <v>3098</v>
      </c>
      <c r="F545" t="s">
        <v>1657</v>
      </c>
      <c r="G545" t="s">
        <v>1886</v>
      </c>
    </row>
    <row r="546">
      <c r="A546" t="s">
        <v>3099</v>
      </c>
      <c r="B546" t="s">
        <v>2487</v>
      </c>
      <c r="C546" t="s">
        <v>1888</v>
      </c>
      <c r="D546" t="s">
        <v>1917</v>
      </c>
      <c r="E546" t="s">
        <v>3100</v>
      </c>
      <c r="F546" t="s">
        <v>1739</v>
      </c>
      <c r="G546" t="s">
        <v>1891</v>
      </c>
    </row>
    <row r="547">
      <c r="A547" t="s">
        <v>3099</v>
      </c>
      <c r="B547" t="s">
        <v>3101</v>
      </c>
      <c r="C547" t="s">
        <v>1883</v>
      </c>
      <c r="D547" t="s">
        <v>1934</v>
      </c>
      <c r="E547" t="s">
        <v>3102</v>
      </c>
      <c r="F547" t="s">
        <v>1777</v>
      </c>
      <c r="G547" t="s">
        <v>1896</v>
      </c>
    </row>
    <row r="548">
      <c r="A548" t="s">
        <v>3103</v>
      </c>
      <c r="B548" t="s">
        <v>2252</v>
      </c>
      <c r="C548" t="s">
        <v>1913</v>
      </c>
      <c r="D548" t="s">
        <v>1914</v>
      </c>
      <c r="E548" t="s">
        <v>3104</v>
      </c>
      <c r="F548" t="s">
        <v>1843</v>
      </c>
      <c r="G548" t="s">
        <v>1901</v>
      </c>
    </row>
    <row r="549">
      <c r="A549" t="s">
        <v>3103</v>
      </c>
      <c r="B549" t="s">
        <v>1416</v>
      </c>
      <c r="C549" t="s">
        <v>1883</v>
      </c>
      <c r="D549" t="s">
        <v>1889</v>
      </c>
      <c r="E549" t="s">
        <v>3105</v>
      </c>
      <c r="F549" t="s">
        <v>1695</v>
      </c>
      <c r="G549" t="s">
        <v>1907</v>
      </c>
    </row>
    <row r="550">
      <c r="A550" t="s">
        <v>3106</v>
      </c>
      <c r="B550" t="s">
        <v>3107</v>
      </c>
      <c r="C550" t="s">
        <v>1921</v>
      </c>
      <c r="D550" t="s">
        <v>2149</v>
      </c>
      <c r="E550" t="s">
        <v>3108</v>
      </c>
      <c r="F550" t="s">
        <v>1825</v>
      </c>
      <c r="G550" t="s">
        <v>1886</v>
      </c>
    </row>
    <row r="551">
      <c r="A551" t="s">
        <v>3106</v>
      </c>
      <c r="B551" t="s">
        <v>3109</v>
      </c>
      <c r="C551" t="s">
        <v>1968</v>
      </c>
      <c r="D551" t="s">
        <v>2027</v>
      </c>
      <c r="E551" t="s">
        <v>3110</v>
      </c>
      <c r="F551" t="s">
        <v>1746</v>
      </c>
      <c r="G551" t="s">
        <v>1910</v>
      </c>
    </row>
    <row r="552">
      <c r="A552" t="s">
        <v>3111</v>
      </c>
      <c r="B552" t="s">
        <v>3112</v>
      </c>
      <c r="C552" t="s">
        <v>1883</v>
      </c>
      <c r="D552" t="s">
        <v>2029</v>
      </c>
      <c r="E552" t="s">
        <v>3113</v>
      </c>
      <c r="F552" t="s">
        <v>1629</v>
      </c>
      <c r="G552" t="s">
        <v>1891</v>
      </c>
    </row>
    <row r="553">
      <c r="A553" t="s">
        <v>3111</v>
      </c>
      <c r="B553" t="s">
        <v>795</v>
      </c>
      <c r="C553" t="s">
        <v>1888</v>
      </c>
      <c r="D553" t="s">
        <v>2070</v>
      </c>
      <c r="E553" t="s">
        <v>3114</v>
      </c>
      <c r="F553" t="s">
        <v>1595</v>
      </c>
      <c r="G553" t="s">
        <v>1896</v>
      </c>
    </row>
    <row r="554">
      <c r="A554" t="s">
        <v>3115</v>
      </c>
      <c r="B554" t="s">
        <v>644</v>
      </c>
      <c r="C554" t="s">
        <v>1913</v>
      </c>
      <c r="D554" t="s">
        <v>1969</v>
      </c>
      <c r="E554" t="s">
        <v>3116</v>
      </c>
      <c r="F554" t="s">
        <v>1702</v>
      </c>
      <c r="G554" t="s">
        <v>1886</v>
      </c>
    </row>
    <row r="555">
      <c r="A555" t="s">
        <v>3115</v>
      </c>
      <c r="B555" t="s">
        <v>2659</v>
      </c>
      <c r="C555" t="s">
        <v>1883</v>
      </c>
      <c r="D555" t="s">
        <v>1972</v>
      </c>
      <c r="E555" t="s">
        <v>3117</v>
      </c>
      <c r="F555" t="s">
        <v>1837</v>
      </c>
      <c r="G555" t="s">
        <v>1907</v>
      </c>
    </row>
    <row r="556">
      <c r="A556" t="s">
        <v>3118</v>
      </c>
      <c r="B556" t="s">
        <v>1240</v>
      </c>
      <c r="C556" t="s">
        <v>1921</v>
      </c>
      <c r="D556" t="s">
        <v>1922</v>
      </c>
      <c r="E556" t="s">
        <v>3119</v>
      </c>
      <c r="F556" t="s">
        <v>1602</v>
      </c>
      <c r="G556" t="s">
        <v>1901</v>
      </c>
    </row>
    <row r="557">
      <c r="A557" t="s">
        <v>3118</v>
      </c>
      <c r="B557" t="s">
        <v>1255</v>
      </c>
      <c r="C557" t="s">
        <v>1898</v>
      </c>
      <c r="D557" t="s">
        <v>1899</v>
      </c>
      <c r="E557" t="s">
        <v>3120</v>
      </c>
      <c r="F557" t="s">
        <v>1752</v>
      </c>
      <c r="G557" t="s">
        <v>1910</v>
      </c>
    </row>
    <row r="558">
      <c r="A558" t="s">
        <v>3121</v>
      </c>
      <c r="B558" t="s">
        <v>1174</v>
      </c>
      <c r="C558" t="s">
        <v>1913</v>
      </c>
      <c r="D558" t="s">
        <v>1905</v>
      </c>
      <c r="E558" t="s">
        <v>3122</v>
      </c>
      <c r="F558" t="s">
        <v>1675</v>
      </c>
      <c r="G558" t="s">
        <v>1886</v>
      </c>
    </row>
    <row r="559">
      <c r="A559" t="s">
        <v>3121</v>
      </c>
      <c r="B559" t="s">
        <v>607</v>
      </c>
      <c r="C559" t="s">
        <v>1883</v>
      </c>
      <c r="D559" t="s">
        <v>1908</v>
      </c>
      <c r="E559" t="s">
        <v>3123</v>
      </c>
      <c r="F559" t="s">
        <v>1819</v>
      </c>
      <c r="G559" t="s">
        <v>1891</v>
      </c>
    </row>
    <row r="560">
      <c r="A560" t="s">
        <v>3124</v>
      </c>
      <c r="B560" t="s">
        <v>3036</v>
      </c>
      <c r="C560" t="s">
        <v>1888</v>
      </c>
      <c r="D560" t="s">
        <v>1947</v>
      </c>
      <c r="E560" t="s">
        <v>3125</v>
      </c>
      <c r="F560" t="s">
        <v>1581</v>
      </c>
      <c r="G560" t="s">
        <v>1896</v>
      </c>
    </row>
    <row r="561">
      <c r="A561" t="s">
        <v>3124</v>
      </c>
      <c r="B561" t="s">
        <v>3003</v>
      </c>
      <c r="C561" t="s">
        <v>1883</v>
      </c>
      <c r="D561" t="s">
        <v>1951</v>
      </c>
      <c r="E561" t="s">
        <v>3126</v>
      </c>
      <c r="F561" t="s">
        <v>1783</v>
      </c>
      <c r="G561" t="s">
        <v>1901</v>
      </c>
    </row>
    <row r="562">
      <c r="A562" t="s">
        <v>3127</v>
      </c>
      <c r="B562" t="s">
        <v>2766</v>
      </c>
      <c r="C562" t="s">
        <v>1893</v>
      </c>
      <c r="D562" t="s">
        <v>1954</v>
      </c>
      <c r="E562" t="s">
        <v>3128</v>
      </c>
      <c r="F562" t="s">
        <v>1643</v>
      </c>
      <c r="G562" t="s">
        <v>1907</v>
      </c>
    </row>
    <row r="563">
      <c r="A563" t="s">
        <v>3127</v>
      </c>
      <c r="B563" t="s">
        <v>3129</v>
      </c>
      <c r="C563" t="s">
        <v>1925</v>
      </c>
      <c r="D563" t="s">
        <v>1926</v>
      </c>
      <c r="E563" t="s">
        <v>3130</v>
      </c>
      <c r="F563" t="s">
        <v>1733</v>
      </c>
      <c r="G563" t="s">
        <v>1886</v>
      </c>
    </row>
    <row r="564">
      <c r="A564" t="s">
        <v>3131</v>
      </c>
      <c r="B564" t="s">
        <v>2583</v>
      </c>
      <c r="C564" t="s">
        <v>1888</v>
      </c>
      <c r="D564" t="s">
        <v>1917</v>
      </c>
      <c r="E564" t="s">
        <v>3132</v>
      </c>
      <c r="F564" t="s">
        <v>1609</v>
      </c>
      <c r="G564" t="s">
        <v>1910</v>
      </c>
    </row>
    <row r="565">
      <c r="A565" t="s">
        <v>3131</v>
      </c>
      <c r="B565" t="s">
        <v>2249</v>
      </c>
      <c r="C565" t="s">
        <v>1883</v>
      </c>
      <c r="D565" t="s">
        <v>1934</v>
      </c>
      <c r="E565" t="s">
        <v>3133</v>
      </c>
      <c r="F565" t="s">
        <v>1813</v>
      </c>
      <c r="G565" t="s">
        <v>1891</v>
      </c>
    </row>
    <row r="566">
      <c r="A566" t="s">
        <v>3134</v>
      </c>
      <c r="B566" t="s">
        <v>3135</v>
      </c>
      <c r="C566" t="s">
        <v>1913</v>
      </c>
      <c r="D566" t="s">
        <v>1914</v>
      </c>
      <c r="E566" t="s">
        <v>3136</v>
      </c>
      <c r="F566" t="s">
        <v>1663</v>
      </c>
      <c r="G566" t="s">
        <v>1896</v>
      </c>
    </row>
    <row r="567">
      <c r="A567" t="s">
        <v>3134</v>
      </c>
      <c r="B567" t="s">
        <v>1372</v>
      </c>
      <c r="C567" t="s">
        <v>1883</v>
      </c>
      <c r="D567" t="s">
        <v>1889</v>
      </c>
      <c r="E567" t="s">
        <v>3137</v>
      </c>
      <c r="F567" t="s">
        <v>1759</v>
      </c>
      <c r="G567" t="s">
        <v>1886</v>
      </c>
    </row>
    <row r="568">
      <c r="A568" t="s">
        <v>3138</v>
      </c>
      <c r="B568" t="s">
        <v>1162</v>
      </c>
      <c r="C568" t="s">
        <v>1921</v>
      </c>
      <c r="D568" t="s">
        <v>2149</v>
      </c>
      <c r="E568" t="s">
        <v>3139</v>
      </c>
      <c r="F568" t="s">
        <v>1861</v>
      </c>
      <c r="G568" t="s">
        <v>1907</v>
      </c>
    </row>
    <row r="569">
      <c r="A569" t="s">
        <v>3138</v>
      </c>
      <c r="B569" t="s">
        <v>878</v>
      </c>
      <c r="C569" t="s">
        <v>1968</v>
      </c>
      <c r="D569" t="s">
        <v>2027</v>
      </c>
      <c r="E569" t="s">
        <v>3140</v>
      </c>
      <c r="F569" t="s">
        <v>1588</v>
      </c>
      <c r="G569" t="s">
        <v>1901</v>
      </c>
    </row>
    <row r="570">
      <c r="A570" t="s">
        <v>3141</v>
      </c>
      <c r="B570" t="s">
        <v>3142</v>
      </c>
      <c r="C570" t="s">
        <v>1883</v>
      </c>
      <c r="D570" t="s">
        <v>2029</v>
      </c>
      <c r="E570" t="s">
        <v>3143</v>
      </c>
      <c r="F570" t="s">
        <v>1708</v>
      </c>
      <c r="G570" t="s">
        <v>1910</v>
      </c>
    </row>
    <row r="571">
      <c r="A571" t="s">
        <v>3141</v>
      </c>
      <c r="B571" t="s">
        <v>3144</v>
      </c>
      <c r="C571" t="s">
        <v>1888</v>
      </c>
      <c r="D571" t="s">
        <v>2070</v>
      </c>
      <c r="E571" t="s">
        <v>3145</v>
      </c>
      <c r="F571" t="s">
        <v>1650</v>
      </c>
      <c r="G571" t="s">
        <v>1886</v>
      </c>
    </row>
    <row r="572">
      <c r="A572" t="s">
        <v>3146</v>
      </c>
      <c r="B572" t="s">
        <v>286</v>
      </c>
      <c r="C572" t="s">
        <v>1913</v>
      </c>
      <c r="D572" t="s">
        <v>1969</v>
      </c>
      <c r="E572" t="s">
        <v>3147</v>
      </c>
      <c r="F572" t="s">
        <v>1789</v>
      </c>
      <c r="G572" t="s">
        <v>1891</v>
      </c>
    </row>
    <row r="573">
      <c r="A573" t="s">
        <v>3146</v>
      </c>
      <c r="B573" t="s">
        <v>3148</v>
      </c>
      <c r="C573" t="s">
        <v>1883</v>
      </c>
      <c r="D573" t="s">
        <v>1972</v>
      </c>
      <c r="E573" t="s">
        <v>3149</v>
      </c>
      <c r="F573" t="s">
        <v>1855</v>
      </c>
      <c r="G573" t="s">
        <v>1896</v>
      </c>
    </row>
    <row r="574">
      <c r="A574" t="s">
        <v>3150</v>
      </c>
      <c r="B574" t="s">
        <v>2753</v>
      </c>
      <c r="C574" t="s">
        <v>1921</v>
      </c>
      <c r="D574" t="s">
        <v>1922</v>
      </c>
      <c r="E574" t="s">
        <v>3151</v>
      </c>
      <c r="F574" t="s">
        <v>1574</v>
      </c>
      <c r="G574" t="s">
        <v>1901</v>
      </c>
    </row>
    <row r="575">
      <c r="A575" t="s">
        <v>3150</v>
      </c>
      <c r="B575" t="s">
        <v>1032</v>
      </c>
      <c r="C575" t="s">
        <v>1898</v>
      </c>
      <c r="D575" t="s">
        <v>1899</v>
      </c>
      <c r="E575" t="s">
        <v>3152</v>
      </c>
      <c r="F575" t="s">
        <v>1721</v>
      </c>
      <c r="G575" t="s">
        <v>1907</v>
      </c>
    </row>
    <row r="576">
      <c r="A576" t="s">
        <v>3153</v>
      </c>
      <c r="B576" t="s">
        <v>2103</v>
      </c>
      <c r="C576" t="s">
        <v>1913</v>
      </c>
      <c r="D576" t="s">
        <v>1905</v>
      </c>
      <c r="E576" t="s">
        <v>3154</v>
      </c>
      <c r="F576" t="s">
        <v>1636</v>
      </c>
      <c r="G576" t="s">
        <v>1886</v>
      </c>
    </row>
    <row r="577">
      <c r="A577" t="s">
        <v>3153</v>
      </c>
      <c r="B577" t="s">
        <v>3155</v>
      </c>
      <c r="C577" t="s">
        <v>1883</v>
      </c>
      <c r="D577" t="s">
        <v>1908</v>
      </c>
      <c r="E577" t="s">
        <v>3156</v>
      </c>
      <c r="F577" t="s">
        <v>1771</v>
      </c>
      <c r="G577" t="s">
        <v>1910</v>
      </c>
    </row>
    <row r="578">
      <c r="A578" t="s">
        <v>3157</v>
      </c>
      <c r="B578" t="s">
        <v>1882</v>
      </c>
      <c r="C578" t="s">
        <v>1888</v>
      </c>
      <c r="D578" t="s">
        <v>1947</v>
      </c>
      <c r="E578" t="s">
        <v>3158</v>
      </c>
      <c r="F578" t="s">
        <v>1831</v>
      </c>
      <c r="G578" t="s">
        <v>1891</v>
      </c>
    </row>
    <row r="579">
      <c r="A579" t="s">
        <v>3157</v>
      </c>
      <c r="B579" t="s">
        <v>3159</v>
      </c>
      <c r="C579" t="s">
        <v>1883</v>
      </c>
      <c r="D579" t="s">
        <v>1951</v>
      </c>
      <c r="E579" t="s">
        <v>3160</v>
      </c>
      <c r="F579" t="s">
        <v>1553</v>
      </c>
      <c r="G579" t="s">
        <v>1896</v>
      </c>
    </row>
    <row r="580">
      <c r="A580" t="s">
        <v>3161</v>
      </c>
      <c r="B580" t="s">
        <v>2002</v>
      </c>
      <c r="C580" t="s">
        <v>1893</v>
      </c>
      <c r="D580" t="s">
        <v>1954</v>
      </c>
      <c r="E580" t="s">
        <v>3162</v>
      </c>
      <c r="F580" t="s">
        <v>1688</v>
      </c>
      <c r="G580" t="s">
        <v>1886</v>
      </c>
    </row>
    <row r="581">
      <c r="A581" t="s">
        <v>3161</v>
      </c>
      <c r="B581" t="s">
        <v>897</v>
      </c>
      <c r="C581" t="s">
        <v>1925</v>
      </c>
      <c r="D581" t="s">
        <v>1926</v>
      </c>
      <c r="E581" t="s">
        <v>3163</v>
      </c>
      <c r="F581" t="s">
        <v>1801</v>
      </c>
      <c r="G581" t="s">
        <v>1907</v>
      </c>
    </row>
    <row r="582">
      <c r="A582" t="s">
        <v>3164</v>
      </c>
      <c r="B582" t="s">
        <v>1062</v>
      </c>
      <c r="C582" t="s">
        <v>1888</v>
      </c>
      <c r="D582" t="s">
        <v>1917</v>
      </c>
      <c r="E582" t="s">
        <v>3165</v>
      </c>
      <c r="F582" t="s">
        <v>1867</v>
      </c>
      <c r="G582" t="s">
        <v>1901</v>
      </c>
    </row>
    <row r="583">
      <c r="A583" t="s">
        <v>3164</v>
      </c>
      <c r="B583" t="s">
        <v>2785</v>
      </c>
      <c r="C583" t="s">
        <v>1883</v>
      </c>
      <c r="D583" t="s">
        <v>1934</v>
      </c>
      <c r="E583" t="s">
        <v>3166</v>
      </c>
      <c r="F583" t="s">
        <v>1623</v>
      </c>
      <c r="G583" t="s">
        <v>1910</v>
      </c>
    </row>
    <row r="584">
      <c r="A584" t="s">
        <v>3167</v>
      </c>
      <c r="B584" t="s">
        <v>2018</v>
      </c>
      <c r="C584" t="s">
        <v>1913</v>
      </c>
      <c r="D584" t="s">
        <v>1914</v>
      </c>
      <c r="E584" t="s">
        <v>3168</v>
      </c>
      <c r="F584" t="s">
        <v>1727</v>
      </c>
      <c r="G584" t="s">
        <v>1886</v>
      </c>
    </row>
    <row r="585">
      <c r="A585" t="s">
        <v>3167</v>
      </c>
      <c r="B585" t="s">
        <v>1378</v>
      </c>
      <c r="C585" t="s">
        <v>1883</v>
      </c>
      <c r="D585" t="s">
        <v>1889</v>
      </c>
      <c r="E585" t="s">
        <v>3169</v>
      </c>
      <c r="F585" t="s">
        <v>1669</v>
      </c>
      <c r="G585" t="s">
        <v>1891</v>
      </c>
    </row>
    <row r="586">
      <c r="A586" t="s">
        <v>3170</v>
      </c>
      <c r="B586" t="s">
        <v>2523</v>
      </c>
      <c r="C586" t="s">
        <v>1921</v>
      </c>
      <c r="D586" t="s">
        <v>2149</v>
      </c>
      <c r="E586" t="s">
        <v>3171</v>
      </c>
      <c r="F586" t="s">
        <v>1807</v>
      </c>
      <c r="G586" t="s">
        <v>1896</v>
      </c>
    </row>
    <row r="587">
      <c r="A587" t="s">
        <v>3170</v>
      </c>
      <c r="B587" t="s">
        <v>869</v>
      </c>
      <c r="C587" t="s">
        <v>1968</v>
      </c>
      <c r="D587" t="s">
        <v>2027</v>
      </c>
      <c r="E587" t="s">
        <v>3172</v>
      </c>
      <c r="F587" t="s">
        <v>1567</v>
      </c>
      <c r="G587" t="s">
        <v>1901</v>
      </c>
    </row>
    <row r="588">
      <c r="A588" t="s">
        <v>3173</v>
      </c>
      <c r="B588" t="s">
        <v>1291</v>
      </c>
      <c r="C588" t="s">
        <v>1883</v>
      </c>
      <c r="D588" t="s">
        <v>2029</v>
      </c>
      <c r="E588" t="s">
        <v>3174</v>
      </c>
      <c r="F588" t="s">
        <v>1714</v>
      </c>
      <c r="G588" t="s">
        <v>1907</v>
      </c>
    </row>
    <row r="589">
      <c r="A589" t="s">
        <v>3173</v>
      </c>
      <c r="B589" t="s">
        <v>3175</v>
      </c>
      <c r="C589" t="s">
        <v>1888</v>
      </c>
      <c r="D589" t="s">
        <v>2070</v>
      </c>
      <c r="E589" t="s">
        <v>3176</v>
      </c>
      <c r="F589" t="s">
        <v>1616</v>
      </c>
      <c r="G589" t="s">
        <v>1886</v>
      </c>
    </row>
    <row r="590">
      <c r="A590" t="s">
        <v>3177</v>
      </c>
      <c r="B590" t="s">
        <v>749</v>
      </c>
      <c r="C590" t="s">
        <v>1913</v>
      </c>
      <c r="D590" t="s">
        <v>1969</v>
      </c>
      <c r="E590" t="s">
        <v>3178</v>
      </c>
      <c r="F590" t="s">
        <v>1765</v>
      </c>
      <c r="G590" t="s">
        <v>1910</v>
      </c>
    </row>
    <row r="591">
      <c r="A591" t="s">
        <v>3177</v>
      </c>
      <c r="B591" t="s">
        <v>3179</v>
      </c>
      <c r="C591" t="s">
        <v>1883</v>
      </c>
      <c r="D591" t="s">
        <v>1972</v>
      </c>
      <c r="E591" t="s">
        <v>3180</v>
      </c>
      <c r="F591" t="s">
        <v>1849</v>
      </c>
      <c r="G591" t="s">
        <v>1891</v>
      </c>
    </row>
    <row r="592">
      <c r="A592" t="s">
        <v>3181</v>
      </c>
      <c r="B592" t="s">
        <v>3182</v>
      </c>
      <c r="C592" t="s">
        <v>1921</v>
      </c>
      <c r="D592" t="s">
        <v>1922</v>
      </c>
      <c r="E592" t="s">
        <v>3183</v>
      </c>
      <c r="F592" t="s">
        <v>1682</v>
      </c>
      <c r="G592" t="s">
        <v>1896</v>
      </c>
    </row>
    <row r="593">
      <c r="A593" t="s">
        <v>3181</v>
      </c>
      <c r="B593" t="s">
        <v>3076</v>
      </c>
      <c r="C593" t="s">
        <v>1898</v>
      </c>
      <c r="D593" t="s">
        <v>1899</v>
      </c>
      <c r="E593" t="s">
        <v>3184</v>
      </c>
      <c r="F593" t="s">
        <v>1560</v>
      </c>
      <c r="G593" t="s">
        <v>1886</v>
      </c>
    </row>
    <row r="594">
      <c r="A594" t="s">
        <v>3185</v>
      </c>
      <c r="B594" t="s">
        <v>1225</v>
      </c>
      <c r="C594" t="s">
        <v>1913</v>
      </c>
      <c r="D594" t="s">
        <v>1905</v>
      </c>
      <c r="E594" t="s">
        <v>3186</v>
      </c>
      <c r="F594" t="s">
        <v>1795</v>
      </c>
      <c r="G594" t="s">
        <v>1907</v>
      </c>
    </row>
    <row r="595">
      <c r="A595" t="s">
        <v>3185</v>
      </c>
      <c r="B595" t="s">
        <v>2249</v>
      </c>
      <c r="C595" t="s">
        <v>1883</v>
      </c>
      <c r="D595" t="s">
        <v>1908</v>
      </c>
      <c r="E595" t="s">
        <v>3187</v>
      </c>
      <c r="F595" t="s">
        <v>1657</v>
      </c>
      <c r="G595" t="s">
        <v>1901</v>
      </c>
    </row>
    <row r="596">
      <c r="A596" t="s">
        <v>3188</v>
      </c>
      <c r="B596" t="s">
        <v>3189</v>
      </c>
      <c r="C596" t="s">
        <v>1888</v>
      </c>
      <c r="D596" t="s">
        <v>1947</v>
      </c>
      <c r="E596" t="s">
        <v>3190</v>
      </c>
      <c r="F596" t="s">
        <v>1739</v>
      </c>
      <c r="G596" t="s">
        <v>1910</v>
      </c>
    </row>
    <row r="597">
      <c r="A597" t="s">
        <v>3188</v>
      </c>
      <c r="B597" t="s">
        <v>3148</v>
      </c>
      <c r="C597" t="s">
        <v>1883</v>
      </c>
      <c r="D597" t="s">
        <v>1951</v>
      </c>
      <c r="E597" t="s">
        <v>3191</v>
      </c>
      <c r="F597" t="s">
        <v>1777</v>
      </c>
      <c r="G597" t="s">
        <v>1886</v>
      </c>
    </row>
    <row r="598">
      <c r="A598" t="s">
        <v>3192</v>
      </c>
      <c r="B598" t="s">
        <v>3193</v>
      </c>
      <c r="C598" t="s">
        <v>1893</v>
      </c>
      <c r="D598" t="s">
        <v>1954</v>
      </c>
      <c r="E598" t="s">
        <v>3194</v>
      </c>
      <c r="F598" t="s">
        <v>1843</v>
      </c>
      <c r="G598" t="s">
        <v>1891</v>
      </c>
    </row>
    <row r="599">
      <c r="A599" t="s">
        <v>3192</v>
      </c>
      <c r="B599" t="s">
        <v>814</v>
      </c>
      <c r="C599" t="s">
        <v>1925</v>
      </c>
      <c r="D599" t="s">
        <v>1926</v>
      </c>
      <c r="E599" t="s">
        <v>3195</v>
      </c>
      <c r="F599" t="s">
        <v>1695</v>
      </c>
      <c r="G599" t="s">
        <v>1896</v>
      </c>
    </row>
    <row r="600">
      <c r="A600" t="s">
        <v>3196</v>
      </c>
      <c r="B600" t="s">
        <v>3197</v>
      </c>
      <c r="C600" t="s">
        <v>1888</v>
      </c>
      <c r="D600" t="s">
        <v>1917</v>
      </c>
      <c r="E600" t="s">
        <v>3198</v>
      </c>
      <c r="F600" t="s">
        <v>1825</v>
      </c>
      <c r="G600" t="s">
        <v>1901</v>
      </c>
    </row>
    <row r="601">
      <c r="A601" t="s">
        <v>3196</v>
      </c>
      <c r="B601" t="s">
        <v>2489</v>
      </c>
      <c r="C601" t="s">
        <v>1883</v>
      </c>
      <c r="D601" t="s">
        <v>1934</v>
      </c>
      <c r="E601" t="s">
        <v>3199</v>
      </c>
      <c r="F601" t="s">
        <v>1746</v>
      </c>
      <c r="G601" t="s">
        <v>1907</v>
      </c>
    </row>
    <row r="602">
      <c r="A602" t="s">
        <v>3200</v>
      </c>
      <c r="B602" t="s">
        <v>698</v>
      </c>
      <c r="C602" t="s">
        <v>1913</v>
      </c>
      <c r="D602" t="s">
        <v>1914</v>
      </c>
      <c r="E602" t="s">
        <v>3201</v>
      </c>
      <c r="F602" t="s">
        <v>1629</v>
      </c>
      <c r="G602" t="s">
        <v>1886</v>
      </c>
    </row>
    <row r="603">
      <c r="A603" t="s">
        <v>3200</v>
      </c>
      <c r="B603" t="s">
        <v>3202</v>
      </c>
      <c r="C603" t="s">
        <v>1883</v>
      </c>
      <c r="D603" t="s">
        <v>1889</v>
      </c>
      <c r="E603" t="s">
        <v>3203</v>
      </c>
      <c r="F603" t="s">
        <v>1595</v>
      </c>
      <c r="G603" t="s">
        <v>1910</v>
      </c>
    </row>
    <row r="604">
      <c r="A604" t="s">
        <v>3204</v>
      </c>
      <c r="B604" t="s">
        <v>2726</v>
      </c>
      <c r="C604" t="s">
        <v>1921</v>
      </c>
      <c r="D604" t="s">
        <v>2149</v>
      </c>
      <c r="E604" t="s">
        <v>3205</v>
      </c>
      <c r="F604" t="s">
        <v>1702</v>
      </c>
      <c r="G604" t="s">
        <v>1891</v>
      </c>
    </row>
    <row r="605">
      <c r="A605" t="s">
        <v>3204</v>
      </c>
      <c r="B605" t="s">
        <v>1222</v>
      </c>
      <c r="C605" t="s">
        <v>1968</v>
      </c>
      <c r="D605" t="s">
        <v>2027</v>
      </c>
      <c r="E605" t="s">
        <v>3206</v>
      </c>
      <c r="F605" t="s">
        <v>1837</v>
      </c>
      <c r="G605" t="s">
        <v>1896</v>
      </c>
    </row>
    <row r="606">
      <c r="A606" t="s">
        <v>3207</v>
      </c>
      <c r="B606" t="s">
        <v>1257</v>
      </c>
      <c r="C606" t="s">
        <v>1883</v>
      </c>
      <c r="D606" t="s">
        <v>2029</v>
      </c>
      <c r="E606" t="s">
        <v>3208</v>
      </c>
      <c r="F606" t="s">
        <v>1602</v>
      </c>
      <c r="G606" t="s">
        <v>1886</v>
      </c>
    </row>
    <row r="607">
      <c r="A607" t="s">
        <v>3207</v>
      </c>
      <c r="B607" t="s">
        <v>3209</v>
      </c>
      <c r="C607" t="s">
        <v>1888</v>
      </c>
      <c r="D607" t="s">
        <v>2070</v>
      </c>
      <c r="E607" t="s">
        <v>3210</v>
      </c>
      <c r="F607" t="s">
        <v>1752</v>
      </c>
      <c r="G607" t="s">
        <v>1907</v>
      </c>
    </row>
    <row r="608">
      <c r="A608" t="s">
        <v>3211</v>
      </c>
      <c r="B608" t="s">
        <v>3212</v>
      </c>
      <c r="C608" t="s">
        <v>1913</v>
      </c>
      <c r="D608" t="s">
        <v>1969</v>
      </c>
      <c r="E608" t="s">
        <v>3213</v>
      </c>
      <c r="F608" t="s">
        <v>1675</v>
      </c>
      <c r="G608" t="s">
        <v>1901</v>
      </c>
    </row>
    <row r="609">
      <c r="A609" t="s">
        <v>3211</v>
      </c>
      <c r="B609" t="s">
        <v>1515</v>
      </c>
      <c r="C609" t="s">
        <v>1883</v>
      </c>
      <c r="D609" t="s">
        <v>1972</v>
      </c>
      <c r="E609" t="s">
        <v>3214</v>
      </c>
      <c r="F609" t="s">
        <v>1819</v>
      </c>
      <c r="G609" t="s">
        <v>1910</v>
      </c>
    </row>
    <row r="610">
      <c r="A610" t="s">
        <v>3215</v>
      </c>
      <c r="B610" t="s">
        <v>3216</v>
      </c>
      <c r="C610" t="s">
        <v>1921</v>
      </c>
      <c r="D610" t="s">
        <v>1922</v>
      </c>
      <c r="E610" t="s">
        <v>3217</v>
      </c>
      <c r="F610" t="s">
        <v>1581</v>
      </c>
      <c r="G610" t="s">
        <v>1886</v>
      </c>
    </row>
    <row r="611">
      <c r="A611" t="s">
        <v>3215</v>
      </c>
      <c r="B611" t="s">
        <v>2116</v>
      </c>
      <c r="C611" t="s">
        <v>1898</v>
      </c>
      <c r="D611" t="s">
        <v>1899</v>
      </c>
      <c r="E611" t="s">
        <v>3218</v>
      </c>
      <c r="F611" t="s">
        <v>1783</v>
      </c>
      <c r="G611" t="s">
        <v>1891</v>
      </c>
    </row>
    <row r="612">
      <c r="A612" t="s">
        <v>3219</v>
      </c>
      <c r="B612" t="s">
        <v>1200</v>
      </c>
      <c r="C612" t="s">
        <v>1913</v>
      </c>
      <c r="D612" t="s">
        <v>1905</v>
      </c>
      <c r="E612" t="s">
        <v>3220</v>
      </c>
      <c r="F612" t="s">
        <v>1643</v>
      </c>
      <c r="G612" t="s">
        <v>1896</v>
      </c>
    </row>
    <row r="613">
      <c r="A613" t="s">
        <v>3219</v>
      </c>
      <c r="B613" t="s">
        <v>2917</v>
      </c>
      <c r="C613" t="s">
        <v>1883</v>
      </c>
      <c r="D613" t="s">
        <v>1908</v>
      </c>
      <c r="E613" t="s">
        <v>3221</v>
      </c>
      <c r="F613" t="s">
        <v>1733</v>
      </c>
      <c r="G613" t="s">
        <v>1901</v>
      </c>
    </row>
    <row r="614">
      <c r="A614" t="s">
        <v>3222</v>
      </c>
      <c r="B614" t="s">
        <v>3048</v>
      </c>
      <c r="C614" t="s">
        <v>1888</v>
      </c>
      <c r="D614" t="s">
        <v>1947</v>
      </c>
      <c r="E614" t="s">
        <v>3223</v>
      </c>
      <c r="F614" t="s">
        <v>1609</v>
      </c>
      <c r="G614" t="s">
        <v>1907</v>
      </c>
    </row>
    <row r="615">
      <c r="A615" t="s">
        <v>3222</v>
      </c>
      <c r="B615" t="s">
        <v>2876</v>
      </c>
      <c r="C615" t="s">
        <v>1883</v>
      </c>
      <c r="D615" t="s">
        <v>1951</v>
      </c>
      <c r="E615" t="s">
        <v>3224</v>
      </c>
      <c r="F615" t="s">
        <v>1813</v>
      </c>
      <c r="G615" t="s">
        <v>1886</v>
      </c>
    </row>
    <row r="616">
      <c r="A616" t="s">
        <v>3225</v>
      </c>
      <c r="B616" t="s">
        <v>3226</v>
      </c>
      <c r="C616" t="s">
        <v>1893</v>
      </c>
      <c r="D616" t="s">
        <v>1954</v>
      </c>
      <c r="E616" t="s">
        <v>3227</v>
      </c>
      <c r="F616" t="s">
        <v>1663</v>
      </c>
      <c r="G616" t="s">
        <v>1910</v>
      </c>
    </row>
    <row r="617">
      <c r="A617" t="s">
        <v>3225</v>
      </c>
      <c r="B617" t="s">
        <v>775</v>
      </c>
      <c r="C617" t="s">
        <v>1925</v>
      </c>
      <c r="D617" t="s">
        <v>1926</v>
      </c>
      <c r="E617" t="s">
        <v>3228</v>
      </c>
      <c r="F617" t="s">
        <v>1759</v>
      </c>
      <c r="G617" t="s">
        <v>1891</v>
      </c>
    </row>
    <row r="618">
      <c r="A618" t="s">
        <v>3229</v>
      </c>
      <c r="B618" t="s">
        <v>2965</v>
      </c>
      <c r="C618" t="s">
        <v>1888</v>
      </c>
      <c r="D618" t="s">
        <v>1917</v>
      </c>
      <c r="E618" t="s">
        <v>3230</v>
      </c>
      <c r="F618" t="s">
        <v>1861</v>
      </c>
      <c r="G618" t="s">
        <v>1896</v>
      </c>
    </row>
    <row r="619">
      <c r="A619" t="s">
        <v>3229</v>
      </c>
      <c r="B619" t="s">
        <v>3231</v>
      </c>
      <c r="C619" t="s">
        <v>1883</v>
      </c>
      <c r="D619" t="s">
        <v>1934</v>
      </c>
      <c r="E619" t="s">
        <v>3232</v>
      </c>
      <c r="F619" t="s">
        <v>1588</v>
      </c>
      <c r="G619" t="s">
        <v>1886</v>
      </c>
    </row>
    <row r="620">
      <c r="A620" t="s">
        <v>3233</v>
      </c>
      <c r="B620" t="s">
        <v>252</v>
      </c>
      <c r="C620" t="s">
        <v>1913</v>
      </c>
      <c r="D620" t="s">
        <v>1914</v>
      </c>
      <c r="E620" t="s">
        <v>3234</v>
      </c>
      <c r="F620" t="s">
        <v>1708</v>
      </c>
      <c r="G620" t="s">
        <v>1907</v>
      </c>
    </row>
    <row r="621">
      <c r="A621" t="s">
        <v>3233</v>
      </c>
      <c r="B621" t="s">
        <v>3235</v>
      </c>
      <c r="C621" t="s">
        <v>1883</v>
      </c>
      <c r="D621" t="s">
        <v>1889</v>
      </c>
      <c r="E621" t="s">
        <v>3236</v>
      </c>
      <c r="F621" t="s">
        <v>1650</v>
      </c>
      <c r="G621" t="s">
        <v>1901</v>
      </c>
    </row>
    <row r="622">
      <c r="A622" t="s">
        <v>3237</v>
      </c>
      <c r="B622" t="s">
        <v>3238</v>
      </c>
      <c r="C622" t="s">
        <v>1921</v>
      </c>
      <c r="D622" t="s">
        <v>2149</v>
      </c>
      <c r="E622" t="s">
        <v>3239</v>
      </c>
      <c r="F622" t="s">
        <v>1789</v>
      </c>
      <c r="G622" t="s">
        <v>1910</v>
      </c>
    </row>
    <row r="623">
      <c r="A623" t="s">
        <v>3237</v>
      </c>
      <c r="B623" t="s">
        <v>715</v>
      </c>
      <c r="C623" t="s">
        <v>1968</v>
      </c>
      <c r="D623" t="s">
        <v>2027</v>
      </c>
      <c r="E623" t="s">
        <v>3240</v>
      </c>
      <c r="F623" t="s">
        <v>1855</v>
      </c>
      <c r="G623" t="s">
        <v>1886</v>
      </c>
    </row>
    <row r="624">
      <c r="A624" t="s">
        <v>3241</v>
      </c>
      <c r="B624" t="s">
        <v>1257</v>
      </c>
      <c r="C624" t="s">
        <v>1883</v>
      </c>
      <c r="D624" t="s">
        <v>2029</v>
      </c>
      <c r="E624" t="s">
        <v>3242</v>
      </c>
      <c r="F624" t="s">
        <v>1574</v>
      </c>
      <c r="G624" t="s">
        <v>1891</v>
      </c>
    </row>
    <row r="625">
      <c r="A625" t="s">
        <v>3241</v>
      </c>
      <c r="B625" t="s">
        <v>2824</v>
      </c>
      <c r="C625" t="s">
        <v>1888</v>
      </c>
      <c r="D625" t="s">
        <v>2070</v>
      </c>
      <c r="E625" t="s">
        <v>3243</v>
      </c>
      <c r="F625" t="s">
        <v>1721</v>
      </c>
      <c r="G625" t="s">
        <v>1896</v>
      </c>
    </row>
    <row r="626">
      <c r="A626" t="s">
        <v>3244</v>
      </c>
      <c r="B626" t="s">
        <v>3245</v>
      </c>
      <c r="C626" t="s">
        <v>1913</v>
      </c>
      <c r="D626" t="s">
        <v>1969</v>
      </c>
      <c r="E626" t="s">
        <v>3246</v>
      </c>
      <c r="F626" t="s">
        <v>1636</v>
      </c>
      <c r="G626" t="s">
        <v>1901</v>
      </c>
    </row>
    <row r="627">
      <c r="A627" t="s">
        <v>3244</v>
      </c>
      <c r="B627" t="s">
        <v>1930</v>
      </c>
      <c r="C627" t="s">
        <v>1883</v>
      </c>
      <c r="D627" t="s">
        <v>1972</v>
      </c>
      <c r="E627" t="s">
        <v>3247</v>
      </c>
      <c r="F627" t="s">
        <v>1771</v>
      </c>
      <c r="G627" t="s">
        <v>1907</v>
      </c>
    </row>
    <row r="628">
      <c r="A628" t="s">
        <v>3248</v>
      </c>
      <c r="B628" t="s">
        <v>1309</v>
      </c>
      <c r="C628" t="s">
        <v>1921</v>
      </c>
      <c r="D628" t="s">
        <v>1922</v>
      </c>
      <c r="E628" t="s">
        <v>3249</v>
      </c>
      <c r="F628" t="s">
        <v>1831</v>
      </c>
      <c r="G628" t="s">
        <v>1886</v>
      </c>
    </row>
    <row r="629">
      <c r="A629" t="s">
        <v>3248</v>
      </c>
      <c r="B629" t="s">
        <v>3250</v>
      </c>
      <c r="C629" t="s">
        <v>1898</v>
      </c>
      <c r="D629" t="s">
        <v>1899</v>
      </c>
      <c r="E629" t="s">
        <v>3251</v>
      </c>
      <c r="F629" t="s">
        <v>1553</v>
      </c>
      <c r="G629" t="s">
        <v>1910</v>
      </c>
    </row>
    <row r="630">
      <c r="A630" t="s">
        <v>3252</v>
      </c>
      <c r="B630" t="s">
        <v>3253</v>
      </c>
      <c r="C630" t="s">
        <v>1913</v>
      </c>
      <c r="D630" t="s">
        <v>1905</v>
      </c>
      <c r="E630" t="s">
        <v>3254</v>
      </c>
      <c r="F630" t="s">
        <v>1688</v>
      </c>
      <c r="G630" t="s">
        <v>1891</v>
      </c>
    </row>
    <row r="631">
      <c r="A631" t="s">
        <v>3252</v>
      </c>
      <c r="B631" t="s">
        <v>3255</v>
      </c>
      <c r="C631" t="s">
        <v>1883</v>
      </c>
      <c r="D631" t="s">
        <v>1908</v>
      </c>
      <c r="E631" t="s">
        <v>3256</v>
      </c>
      <c r="F631" t="s">
        <v>1801</v>
      </c>
      <c r="G631" t="s">
        <v>1896</v>
      </c>
    </row>
    <row r="632">
      <c r="A632" t="s">
        <v>3257</v>
      </c>
      <c r="B632" t="s">
        <v>369</v>
      </c>
      <c r="C632" t="s">
        <v>1888</v>
      </c>
      <c r="D632" t="s">
        <v>1947</v>
      </c>
      <c r="E632" t="s">
        <v>3258</v>
      </c>
      <c r="F632" t="s">
        <v>1867</v>
      </c>
      <c r="G632" t="s">
        <v>1886</v>
      </c>
    </row>
    <row r="633">
      <c r="A633" t="s">
        <v>3257</v>
      </c>
      <c r="B633" t="s">
        <v>3259</v>
      </c>
      <c r="C633" t="s">
        <v>1883</v>
      </c>
      <c r="D633" t="s">
        <v>1951</v>
      </c>
      <c r="E633" t="s">
        <v>3260</v>
      </c>
      <c r="F633" t="s">
        <v>1623</v>
      </c>
      <c r="G633" t="s">
        <v>1907</v>
      </c>
    </row>
    <row r="634">
      <c r="A634" t="s">
        <v>3261</v>
      </c>
      <c r="B634" t="s">
        <v>3262</v>
      </c>
      <c r="C634" t="s">
        <v>1893</v>
      </c>
      <c r="D634" t="s">
        <v>1954</v>
      </c>
      <c r="E634" t="s">
        <v>3263</v>
      </c>
      <c r="F634" t="s">
        <v>1727</v>
      </c>
      <c r="G634" t="s">
        <v>1901</v>
      </c>
    </row>
    <row r="635">
      <c r="A635" t="s">
        <v>3261</v>
      </c>
      <c r="B635" t="s">
        <v>824</v>
      </c>
      <c r="C635" t="s">
        <v>1925</v>
      </c>
      <c r="D635" t="s">
        <v>1926</v>
      </c>
      <c r="E635" t="s">
        <v>3264</v>
      </c>
      <c r="F635" t="s">
        <v>1669</v>
      </c>
      <c r="G635" t="s">
        <v>1910</v>
      </c>
    </row>
    <row r="636">
      <c r="A636" t="s">
        <v>3265</v>
      </c>
      <c r="B636" t="s">
        <v>2744</v>
      </c>
      <c r="C636" t="s">
        <v>1888</v>
      </c>
      <c r="D636" t="s">
        <v>1917</v>
      </c>
      <c r="E636" t="s">
        <v>3266</v>
      </c>
      <c r="F636" t="s">
        <v>1807</v>
      </c>
      <c r="G636" t="s">
        <v>1886</v>
      </c>
    </row>
    <row r="637">
      <c r="A637" t="s">
        <v>3265</v>
      </c>
      <c r="B637" t="s">
        <v>2616</v>
      </c>
      <c r="C637" t="s">
        <v>1883</v>
      </c>
      <c r="D637" t="s">
        <v>1934</v>
      </c>
      <c r="E637" t="s">
        <v>3267</v>
      </c>
      <c r="F637" t="s">
        <v>1567</v>
      </c>
      <c r="G637" t="s">
        <v>1891</v>
      </c>
    </row>
    <row r="638">
      <c r="A638" t="s">
        <v>3268</v>
      </c>
      <c r="B638" t="s">
        <v>3269</v>
      </c>
      <c r="C638" t="s">
        <v>1913</v>
      </c>
      <c r="D638" t="s">
        <v>1914</v>
      </c>
      <c r="E638" t="s">
        <v>3270</v>
      </c>
      <c r="F638" t="s">
        <v>1714</v>
      </c>
      <c r="G638" t="s">
        <v>1896</v>
      </c>
    </row>
    <row r="639">
      <c r="A639" t="s">
        <v>3268</v>
      </c>
      <c r="B639" t="s">
        <v>1528</v>
      </c>
      <c r="C639" t="s">
        <v>1883</v>
      </c>
      <c r="D639" t="s">
        <v>1889</v>
      </c>
      <c r="E639" t="s">
        <v>3271</v>
      </c>
      <c r="F639" t="s">
        <v>1616</v>
      </c>
      <c r="G639" t="s">
        <v>1901</v>
      </c>
    </row>
    <row r="640">
      <c r="A640" t="s">
        <v>3272</v>
      </c>
      <c r="B640" t="s">
        <v>1127</v>
      </c>
      <c r="C640" t="s">
        <v>1921</v>
      </c>
      <c r="D640" t="s">
        <v>2149</v>
      </c>
      <c r="E640" t="s">
        <v>3273</v>
      </c>
      <c r="F640" t="s">
        <v>1765</v>
      </c>
      <c r="G640" t="s">
        <v>1907</v>
      </c>
    </row>
    <row r="641">
      <c r="A641" t="s">
        <v>3272</v>
      </c>
      <c r="B641" t="s">
        <v>3274</v>
      </c>
      <c r="C641" t="s">
        <v>1968</v>
      </c>
      <c r="D641" t="s">
        <v>2027</v>
      </c>
      <c r="E641" t="s">
        <v>3275</v>
      </c>
      <c r="F641" t="s">
        <v>1849</v>
      </c>
      <c r="G641" t="s">
        <v>1886</v>
      </c>
    </row>
    <row r="642">
      <c r="A642" t="s">
        <v>3276</v>
      </c>
      <c r="B642" t="s">
        <v>1990</v>
      </c>
      <c r="C642" t="s">
        <v>1883</v>
      </c>
      <c r="D642" t="s">
        <v>2029</v>
      </c>
      <c r="E642" t="s">
        <v>3277</v>
      </c>
      <c r="F642" t="s">
        <v>1682</v>
      </c>
      <c r="G642" t="s">
        <v>1910</v>
      </c>
    </row>
    <row r="643">
      <c r="A643" t="s">
        <v>3276</v>
      </c>
      <c r="B643" t="s">
        <v>3278</v>
      </c>
      <c r="C643" t="s">
        <v>1888</v>
      </c>
      <c r="D643" t="s">
        <v>2070</v>
      </c>
      <c r="E643" t="s">
        <v>3279</v>
      </c>
      <c r="F643" t="s">
        <v>1560</v>
      </c>
      <c r="G643" t="s">
        <v>1891</v>
      </c>
    </row>
    <row r="644">
      <c r="A644" t="s">
        <v>3280</v>
      </c>
      <c r="B644" t="s">
        <v>3281</v>
      </c>
      <c r="C644" t="s">
        <v>1913</v>
      </c>
      <c r="D644" t="s">
        <v>1969</v>
      </c>
      <c r="E644" t="s">
        <v>3282</v>
      </c>
      <c r="F644" t="s">
        <v>1795</v>
      </c>
      <c r="G644" t="s">
        <v>1896</v>
      </c>
    </row>
    <row r="645">
      <c r="A645" t="s">
        <v>3280</v>
      </c>
      <c r="B645" t="s">
        <v>2058</v>
      </c>
      <c r="C645" t="s">
        <v>1883</v>
      </c>
      <c r="D645" t="s">
        <v>1972</v>
      </c>
      <c r="E645" t="s">
        <v>3283</v>
      </c>
      <c r="F645" t="s">
        <v>1657</v>
      </c>
      <c r="G645" t="s">
        <v>1886</v>
      </c>
    </row>
    <row r="646">
      <c r="A646" t="s">
        <v>3284</v>
      </c>
      <c r="B646" t="s">
        <v>3285</v>
      </c>
      <c r="C646" t="s">
        <v>1921</v>
      </c>
      <c r="D646" t="s">
        <v>1922</v>
      </c>
      <c r="E646" t="s">
        <v>3286</v>
      </c>
      <c r="F646" t="s">
        <v>1739</v>
      </c>
      <c r="G646" t="s">
        <v>1907</v>
      </c>
    </row>
    <row r="647">
      <c r="A647" t="s">
        <v>3284</v>
      </c>
      <c r="B647" t="s">
        <v>1304</v>
      </c>
      <c r="C647" t="s">
        <v>1898</v>
      </c>
      <c r="D647" t="s">
        <v>1899</v>
      </c>
      <c r="E647" t="s">
        <v>3287</v>
      </c>
      <c r="F647" t="s">
        <v>1777</v>
      </c>
      <c r="G647" t="s">
        <v>1901</v>
      </c>
    </row>
    <row r="648">
      <c r="A648" t="s">
        <v>3288</v>
      </c>
      <c r="B648" t="s">
        <v>2744</v>
      </c>
      <c r="C648" t="s">
        <v>1913</v>
      </c>
      <c r="D648" t="s">
        <v>1905</v>
      </c>
      <c r="E648" t="s">
        <v>3289</v>
      </c>
      <c r="F648" t="s">
        <v>1843</v>
      </c>
      <c r="G648" t="s">
        <v>1910</v>
      </c>
    </row>
    <row r="649">
      <c r="A649" t="s">
        <v>3288</v>
      </c>
      <c r="B649" t="s">
        <v>3290</v>
      </c>
      <c r="C649" t="s">
        <v>1883</v>
      </c>
      <c r="D649" t="s">
        <v>1908</v>
      </c>
      <c r="E649" t="s">
        <v>3291</v>
      </c>
      <c r="F649" t="s">
        <v>1695</v>
      </c>
      <c r="G649" t="s">
        <v>1886</v>
      </c>
    </row>
    <row r="650">
      <c r="A650" t="s">
        <v>3292</v>
      </c>
      <c r="B650" t="s">
        <v>3293</v>
      </c>
      <c r="C650" t="s">
        <v>1888</v>
      </c>
      <c r="D650" t="s">
        <v>1947</v>
      </c>
      <c r="E650" t="s">
        <v>3294</v>
      </c>
      <c r="F650" t="s">
        <v>1825</v>
      </c>
      <c r="G650" t="s">
        <v>1891</v>
      </c>
    </row>
    <row r="651">
      <c r="A651" t="s">
        <v>3292</v>
      </c>
      <c r="B651" t="s">
        <v>2606</v>
      </c>
      <c r="C651" t="s">
        <v>1883</v>
      </c>
      <c r="D651" t="s">
        <v>1951</v>
      </c>
      <c r="E651" t="s">
        <v>3295</v>
      </c>
      <c r="F651" t="s">
        <v>1746</v>
      </c>
      <c r="G651" t="s">
        <v>1896</v>
      </c>
    </row>
    <row r="652">
      <c r="A652" t="s">
        <v>3296</v>
      </c>
      <c r="B652" t="s">
        <v>3297</v>
      </c>
      <c r="C652" t="s">
        <v>1893</v>
      </c>
      <c r="D652" t="s">
        <v>1954</v>
      </c>
      <c r="E652" t="s">
        <v>3298</v>
      </c>
      <c r="F652" t="s">
        <v>1629</v>
      </c>
      <c r="G652" t="s">
        <v>1901</v>
      </c>
    </row>
    <row r="653">
      <c r="A653" t="s">
        <v>3296</v>
      </c>
      <c r="B653" t="s">
        <v>787</v>
      </c>
      <c r="C653" t="s">
        <v>1925</v>
      </c>
      <c r="D653" t="s">
        <v>1926</v>
      </c>
      <c r="E653" t="s">
        <v>3299</v>
      </c>
      <c r="F653" t="s">
        <v>1595</v>
      </c>
      <c r="G653" t="s">
        <v>1907</v>
      </c>
    </row>
    <row r="654">
      <c r="A654" t="s">
        <v>3300</v>
      </c>
      <c r="B654" t="s">
        <v>3301</v>
      </c>
      <c r="C654" t="s">
        <v>1888</v>
      </c>
      <c r="D654" t="s">
        <v>1917</v>
      </c>
      <c r="E654" t="s">
        <v>3302</v>
      </c>
      <c r="F654" t="s">
        <v>1702</v>
      </c>
      <c r="G654" t="s">
        <v>1886</v>
      </c>
    </row>
    <row r="655">
      <c r="A655" t="s">
        <v>3300</v>
      </c>
      <c r="B655" t="s">
        <v>3303</v>
      </c>
      <c r="C655" t="s">
        <v>1883</v>
      </c>
      <c r="D655" t="s">
        <v>1934</v>
      </c>
      <c r="E655" t="s">
        <v>3304</v>
      </c>
      <c r="F655" t="s">
        <v>1837</v>
      </c>
      <c r="G655" t="s">
        <v>1910</v>
      </c>
    </row>
    <row r="656">
      <c r="A656" t="s">
        <v>3305</v>
      </c>
      <c r="B656" t="s">
        <v>3306</v>
      </c>
      <c r="C656" t="s">
        <v>1913</v>
      </c>
      <c r="D656" t="s">
        <v>1914</v>
      </c>
      <c r="E656" t="s">
        <v>3307</v>
      </c>
      <c r="F656" t="s">
        <v>1602</v>
      </c>
      <c r="G656" t="s">
        <v>1891</v>
      </c>
    </row>
    <row r="657">
      <c r="A657" t="s">
        <v>3305</v>
      </c>
      <c r="B657" t="s">
        <v>1397</v>
      </c>
      <c r="C657" t="s">
        <v>1883</v>
      </c>
      <c r="D657" t="s">
        <v>1889</v>
      </c>
      <c r="E657" t="s">
        <v>3308</v>
      </c>
      <c r="F657" t="s">
        <v>1752</v>
      </c>
      <c r="G657" t="s">
        <v>1896</v>
      </c>
    </row>
    <row r="658">
      <c r="A658" t="s">
        <v>3309</v>
      </c>
      <c r="B658" t="s">
        <v>2818</v>
      </c>
      <c r="C658" t="s">
        <v>1921</v>
      </c>
      <c r="D658" t="s">
        <v>2149</v>
      </c>
      <c r="E658" t="s">
        <v>3310</v>
      </c>
      <c r="F658" t="s">
        <v>1675</v>
      </c>
      <c r="G658" t="s">
        <v>1886</v>
      </c>
    </row>
    <row r="659">
      <c r="A659" t="s">
        <v>3309</v>
      </c>
      <c r="B659" t="s">
        <v>2035</v>
      </c>
      <c r="C659" t="s">
        <v>1968</v>
      </c>
      <c r="D659" t="s">
        <v>2027</v>
      </c>
      <c r="E659" t="s">
        <v>3311</v>
      </c>
      <c r="F659" t="s">
        <v>1819</v>
      </c>
      <c r="G659" t="s">
        <v>1907</v>
      </c>
    </row>
    <row r="660">
      <c r="A660" t="s">
        <v>3312</v>
      </c>
      <c r="B660" t="s">
        <v>2219</v>
      </c>
      <c r="C660" t="s">
        <v>1883</v>
      </c>
      <c r="D660" t="s">
        <v>2029</v>
      </c>
      <c r="E660" t="s">
        <v>3313</v>
      </c>
      <c r="F660" t="s">
        <v>1581</v>
      </c>
      <c r="G660" t="s">
        <v>1901</v>
      </c>
    </row>
    <row r="661">
      <c r="A661" t="s">
        <v>3312</v>
      </c>
      <c r="B661" t="s">
        <v>588</v>
      </c>
      <c r="C661" t="s">
        <v>1888</v>
      </c>
      <c r="D661" t="s">
        <v>2070</v>
      </c>
      <c r="E661" t="s">
        <v>3314</v>
      </c>
      <c r="F661" t="s">
        <v>1783</v>
      </c>
      <c r="G661" t="s">
        <v>1910</v>
      </c>
    </row>
    <row r="662">
      <c r="A662" t="s">
        <v>3315</v>
      </c>
      <c r="B662" t="s">
        <v>3316</v>
      </c>
      <c r="C662" t="s">
        <v>1913</v>
      </c>
      <c r="D662" t="s">
        <v>1969</v>
      </c>
      <c r="E662" t="s">
        <v>3317</v>
      </c>
      <c r="F662" t="s">
        <v>1643</v>
      </c>
      <c r="G662" t="s">
        <v>1886</v>
      </c>
    </row>
    <row r="663">
      <c r="A663" t="s">
        <v>3315</v>
      </c>
      <c r="B663" t="s">
        <v>3318</v>
      </c>
      <c r="C663" t="s">
        <v>1883</v>
      </c>
      <c r="D663" t="s">
        <v>1972</v>
      </c>
      <c r="E663" t="s">
        <v>3319</v>
      </c>
      <c r="F663" t="s">
        <v>1733</v>
      </c>
      <c r="G663" t="s">
        <v>1891</v>
      </c>
    </row>
    <row r="664">
      <c r="A664" t="s">
        <v>3320</v>
      </c>
      <c r="B664" t="s">
        <v>1309</v>
      </c>
      <c r="C664" t="s">
        <v>1921</v>
      </c>
      <c r="D664" t="s">
        <v>1922</v>
      </c>
      <c r="E664" t="s">
        <v>3321</v>
      </c>
      <c r="F664" t="s">
        <v>1609</v>
      </c>
      <c r="G664" t="s">
        <v>1896</v>
      </c>
    </row>
    <row r="665">
      <c r="A665" t="s">
        <v>3320</v>
      </c>
      <c r="B665" t="s">
        <v>3322</v>
      </c>
      <c r="C665" t="s">
        <v>1898</v>
      </c>
      <c r="D665" t="s">
        <v>1899</v>
      </c>
      <c r="E665" t="s">
        <v>3323</v>
      </c>
      <c r="F665" t="s">
        <v>1813</v>
      </c>
      <c r="G665" t="s">
        <v>1901</v>
      </c>
    </row>
    <row r="666">
      <c r="A666" t="s">
        <v>3324</v>
      </c>
      <c r="B666" t="s">
        <v>1257</v>
      </c>
      <c r="C666" t="s">
        <v>1913</v>
      </c>
      <c r="D666" t="s">
        <v>1905</v>
      </c>
      <c r="E666" t="s">
        <v>3325</v>
      </c>
      <c r="F666" t="s">
        <v>1663</v>
      </c>
      <c r="G666" t="s">
        <v>1907</v>
      </c>
    </row>
    <row r="667">
      <c r="A667" t="s">
        <v>3324</v>
      </c>
      <c r="B667" t="s">
        <v>2709</v>
      </c>
      <c r="C667" t="s">
        <v>1883</v>
      </c>
      <c r="D667" t="s">
        <v>1908</v>
      </c>
      <c r="E667" t="s">
        <v>3326</v>
      </c>
      <c r="F667" t="s">
        <v>1759</v>
      </c>
      <c r="G667" t="s">
        <v>1886</v>
      </c>
    </row>
    <row r="668">
      <c r="A668" t="s">
        <v>3327</v>
      </c>
      <c r="B668" t="s">
        <v>3328</v>
      </c>
      <c r="C668" t="s">
        <v>1888</v>
      </c>
      <c r="D668" t="s">
        <v>1947</v>
      </c>
      <c r="E668" t="s">
        <v>3329</v>
      </c>
      <c r="F668" t="s">
        <v>1861</v>
      </c>
      <c r="G668" t="s">
        <v>1910</v>
      </c>
    </row>
    <row r="669">
      <c r="A669" t="s">
        <v>3327</v>
      </c>
      <c r="B669" t="s">
        <v>1457</v>
      </c>
      <c r="C669" t="s">
        <v>1883</v>
      </c>
      <c r="D669" t="s">
        <v>1951</v>
      </c>
      <c r="E669" t="s">
        <v>3330</v>
      </c>
      <c r="F669" t="s">
        <v>1588</v>
      </c>
      <c r="G669" t="s">
        <v>1891</v>
      </c>
    </row>
    <row r="670">
      <c r="A670" t="s">
        <v>3331</v>
      </c>
      <c r="B670" t="s">
        <v>3332</v>
      </c>
      <c r="C670" t="s">
        <v>1893</v>
      </c>
      <c r="D670" t="s">
        <v>1954</v>
      </c>
      <c r="E670" t="s">
        <v>3333</v>
      </c>
      <c r="F670" t="s">
        <v>1708</v>
      </c>
      <c r="G670" t="s">
        <v>1896</v>
      </c>
    </row>
    <row r="671">
      <c r="A671" t="s">
        <v>3331</v>
      </c>
      <c r="B671" t="s">
        <v>524</v>
      </c>
      <c r="C671" t="s">
        <v>1925</v>
      </c>
      <c r="D671" t="s">
        <v>1926</v>
      </c>
      <c r="E671" t="s">
        <v>3334</v>
      </c>
      <c r="F671" t="s">
        <v>1650</v>
      </c>
      <c r="G671" t="s">
        <v>1886</v>
      </c>
    </row>
    <row r="672">
      <c r="A672" t="s">
        <v>3335</v>
      </c>
      <c r="B672" t="s">
        <v>2269</v>
      </c>
      <c r="C672" t="s">
        <v>1888</v>
      </c>
      <c r="D672" t="s">
        <v>1917</v>
      </c>
      <c r="E672" t="s">
        <v>3336</v>
      </c>
      <c r="F672" t="s">
        <v>1789</v>
      </c>
      <c r="G672" t="s">
        <v>1907</v>
      </c>
    </row>
    <row r="673">
      <c r="A673" t="s">
        <v>3335</v>
      </c>
      <c r="B673" t="s">
        <v>3337</v>
      </c>
      <c r="C673" t="s">
        <v>1883</v>
      </c>
      <c r="D673" t="s">
        <v>1934</v>
      </c>
      <c r="E673" t="s">
        <v>3338</v>
      </c>
      <c r="F673" t="s">
        <v>1855</v>
      </c>
      <c r="G673" t="s">
        <v>1901</v>
      </c>
    </row>
    <row r="674">
      <c r="A674" t="s">
        <v>3339</v>
      </c>
      <c r="B674" t="s">
        <v>667</v>
      </c>
      <c r="C674" t="s">
        <v>1913</v>
      </c>
      <c r="D674" t="s">
        <v>1914</v>
      </c>
      <c r="E674" t="s">
        <v>3340</v>
      </c>
      <c r="F674" t="s">
        <v>1574</v>
      </c>
      <c r="G674" t="s">
        <v>1910</v>
      </c>
    </row>
    <row r="675">
      <c r="A675" t="s">
        <v>3339</v>
      </c>
      <c r="B675" t="s">
        <v>3341</v>
      </c>
      <c r="C675" t="s">
        <v>1883</v>
      </c>
      <c r="D675" t="s">
        <v>1889</v>
      </c>
      <c r="E675" t="s">
        <v>3342</v>
      </c>
      <c r="F675" t="s">
        <v>1721</v>
      </c>
      <c r="G675" t="s">
        <v>1886</v>
      </c>
    </row>
    <row r="676">
      <c r="A676" t="s">
        <v>3343</v>
      </c>
      <c r="B676" t="s">
        <v>2456</v>
      </c>
      <c r="C676" t="s">
        <v>1921</v>
      </c>
      <c r="D676" t="s">
        <v>2149</v>
      </c>
      <c r="E676" t="s">
        <v>3344</v>
      </c>
      <c r="F676" t="s">
        <v>1636</v>
      </c>
      <c r="G676" t="s">
        <v>1891</v>
      </c>
    </row>
    <row r="677">
      <c r="A677" t="s">
        <v>3343</v>
      </c>
      <c r="B677" t="s">
        <v>3345</v>
      </c>
      <c r="C677" t="s">
        <v>1968</v>
      </c>
      <c r="D677" t="s">
        <v>2027</v>
      </c>
      <c r="E677" t="s">
        <v>3346</v>
      </c>
      <c r="F677" t="s">
        <v>1771</v>
      </c>
      <c r="G677" t="s">
        <v>1896</v>
      </c>
    </row>
    <row r="678">
      <c r="A678" t="s">
        <v>3347</v>
      </c>
      <c r="B678" t="s">
        <v>3348</v>
      </c>
      <c r="C678" t="s">
        <v>1883</v>
      </c>
      <c r="D678" t="s">
        <v>2029</v>
      </c>
      <c r="E678" t="s">
        <v>3349</v>
      </c>
      <c r="F678" t="s">
        <v>1831</v>
      </c>
      <c r="G678" t="s">
        <v>1901</v>
      </c>
    </row>
    <row r="679">
      <c r="A679" t="s">
        <v>3347</v>
      </c>
      <c r="B679" t="s">
        <v>3350</v>
      </c>
      <c r="C679" t="s">
        <v>1888</v>
      </c>
      <c r="D679" t="s">
        <v>2070</v>
      </c>
      <c r="E679" t="s">
        <v>3351</v>
      </c>
      <c r="F679" t="s">
        <v>1553</v>
      </c>
      <c r="G679" t="s">
        <v>1907</v>
      </c>
    </row>
    <row r="680">
      <c r="A680" t="s">
        <v>3352</v>
      </c>
      <c r="B680" t="s">
        <v>3353</v>
      </c>
      <c r="C680" t="s">
        <v>1913</v>
      </c>
      <c r="D680" t="s">
        <v>1969</v>
      </c>
      <c r="E680" t="s">
        <v>3354</v>
      </c>
      <c r="F680" t="s">
        <v>1688</v>
      </c>
      <c r="G680" t="s">
        <v>1886</v>
      </c>
    </row>
    <row r="681">
      <c r="A681" t="s">
        <v>3352</v>
      </c>
      <c r="B681" t="s">
        <v>2659</v>
      </c>
      <c r="C681" t="s">
        <v>1883</v>
      </c>
      <c r="D681" t="s">
        <v>1972</v>
      </c>
      <c r="E681" t="s">
        <v>3355</v>
      </c>
      <c r="F681" t="s">
        <v>1801</v>
      </c>
      <c r="G681" t="s">
        <v>1910</v>
      </c>
    </row>
    <row r="682">
      <c r="A682" t="s">
        <v>3356</v>
      </c>
      <c r="B682" t="s">
        <v>2523</v>
      </c>
      <c r="C682" t="s">
        <v>1921</v>
      </c>
      <c r="D682" t="s">
        <v>1922</v>
      </c>
      <c r="E682" t="s">
        <v>3357</v>
      </c>
      <c r="F682" t="s">
        <v>1867</v>
      </c>
      <c r="G682" t="s">
        <v>1891</v>
      </c>
    </row>
    <row r="683">
      <c r="A683" t="s">
        <v>3356</v>
      </c>
      <c r="B683" t="s">
        <v>1165</v>
      </c>
      <c r="C683" t="s">
        <v>1898</v>
      </c>
      <c r="D683" t="s">
        <v>1899</v>
      </c>
      <c r="E683" t="s">
        <v>3358</v>
      </c>
      <c r="F683" t="s">
        <v>1623</v>
      </c>
      <c r="G683" t="s">
        <v>1896</v>
      </c>
    </row>
    <row r="684">
      <c r="A684" t="s">
        <v>3359</v>
      </c>
      <c r="B684" t="s">
        <v>3360</v>
      </c>
      <c r="C684" t="s">
        <v>1913</v>
      </c>
      <c r="D684" t="s">
        <v>1905</v>
      </c>
      <c r="E684" t="s">
        <v>3361</v>
      </c>
      <c r="F684" t="s">
        <v>1727</v>
      </c>
      <c r="G684" t="s">
        <v>1886</v>
      </c>
    </row>
    <row r="685">
      <c r="A685" t="s">
        <v>3359</v>
      </c>
      <c r="B685" t="s">
        <v>3362</v>
      </c>
      <c r="C685" t="s">
        <v>1883</v>
      </c>
      <c r="D685" t="s">
        <v>1908</v>
      </c>
      <c r="E685" t="s">
        <v>3363</v>
      </c>
      <c r="F685" t="s">
        <v>1669</v>
      </c>
      <c r="G685" t="s">
        <v>1907</v>
      </c>
    </row>
    <row r="686">
      <c r="A686" t="s">
        <v>3364</v>
      </c>
      <c r="B686" t="s">
        <v>449</v>
      </c>
      <c r="C686" t="s">
        <v>1888</v>
      </c>
      <c r="D686" t="s">
        <v>1947</v>
      </c>
      <c r="E686" t="s">
        <v>3365</v>
      </c>
      <c r="F686" t="s">
        <v>1807</v>
      </c>
      <c r="G686" t="s">
        <v>1901</v>
      </c>
    </row>
    <row r="687">
      <c r="A687" t="s">
        <v>3364</v>
      </c>
      <c r="B687" t="s">
        <v>2153</v>
      </c>
      <c r="C687" t="s">
        <v>1883</v>
      </c>
      <c r="D687" t="s">
        <v>1951</v>
      </c>
      <c r="E687" t="s">
        <v>3366</v>
      </c>
      <c r="F687" t="s">
        <v>1567</v>
      </c>
      <c r="G687" t="s">
        <v>1910</v>
      </c>
    </row>
    <row r="688">
      <c r="A688" t="s">
        <v>3367</v>
      </c>
      <c r="B688" t="s">
        <v>2228</v>
      </c>
      <c r="C688" t="s">
        <v>1893</v>
      </c>
      <c r="D688" t="s">
        <v>1954</v>
      </c>
      <c r="E688" t="s">
        <v>3368</v>
      </c>
      <c r="F688" t="s">
        <v>1714</v>
      </c>
      <c r="G688" t="s">
        <v>1886</v>
      </c>
    </row>
    <row r="689">
      <c r="A689" t="s">
        <v>3367</v>
      </c>
      <c r="B689" t="s">
        <v>3369</v>
      </c>
      <c r="C689" t="s">
        <v>1925</v>
      </c>
      <c r="D689" t="s">
        <v>1926</v>
      </c>
      <c r="E689" t="s">
        <v>3370</v>
      </c>
      <c r="F689" t="s">
        <v>1616</v>
      </c>
      <c r="G689" t="s">
        <v>1891</v>
      </c>
    </row>
    <row r="690">
      <c r="A690" t="s">
        <v>3371</v>
      </c>
      <c r="B690" t="s">
        <v>3372</v>
      </c>
      <c r="C690" t="s">
        <v>1888</v>
      </c>
      <c r="D690" t="s">
        <v>1917</v>
      </c>
      <c r="E690" t="s">
        <v>3373</v>
      </c>
      <c r="F690" t="s">
        <v>1765</v>
      </c>
      <c r="G690" t="s">
        <v>1896</v>
      </c>
    </row>
    <row r="691">
      <c r="A691" t="s">
        <v>3371</v>
      </c>
      <c r="B691" t="s">
        <v>2654</v>
      </c>
      <c r="C691" t="s">
        <v>1883</v>
      </c>
      <c r="D691" t="s">
        <v>1934</v>
      </c>
      <c r="E691" t="s">
        <v>3374</v>
      </c>
      <c r="F691" t="s">
        <v>1849</v>
      </c>
      <c r="G691" t="s">
        <v>1901</v>
      </c>
    </row>
    <row r="692">
      <c r="A692" t="s">
        <v>3375</v>
      </c>
      <c r="B692" t="s">
        <v>3376</v>
      </c>
      <c r="C692" t="s">
        <v>1913</v>
      </c>
      <c r="D692" t="s">
        <v>1914</v>
      </c>
      <c r="E692" t="s">
        <v>3377</v>
      </c>
      <c r="F692" t="s">
        <v>1682</v>
      </c>
      <c r="G692" t="s">
        <v>1907</v>
      </c>
    </row>
    <row r="693">
      <c r="A693" t="s">
        <v>3375</v>
      </c>
      <c r="B693" t="s">
        <v>2427</v>
      </c>
      <c r="C693" t="s">
        <v>1883</v>
      </c>
      <c r="D693" t="s">
        <v>1889</v>
      </c>
      <c r="E693" t="s">
        <v>3378</v>
      </c>
      <c r="F693" t="s">
        <v>1560</v>
      </c>
      <c r="G693" t="s">
        <v>1886</v>
      </c>
    </row>
    <row r="694">
      <c r="A694" t="s">
        <v>3379</v>
      </c>
      <c r="B694" t="s">
        <v>2509</v>
      </c>
      <c r="C694" t="s">
        <v>1921</v>
      </c>
      <c r="D694" t="s">
        <v>2149</v>
      </c>
      <c r="E694" t="s">
        <v>3380</v>
      </c>
      <c r="F694" t="s">
        <v>1795</v>
      </c>
      <c r="G694" t="s">
        <v>1910</v>
      </c>
    </row>
    <row r="695">
      <c r="A695" t="s">
        <v>3379</v>
      </c>
      <c r="B695" t="s">
        <v>1216</v>
      </c>
      <c r="C695" t="s">
        <v>1968</v>
      </c>
      <c r="D695" t="s">
        <v>2027</v>
      </c>
      <c r="E695" t="s">
        <v>3381</v>
      </c>
      <c r="F695" t="s">
        <v>1657</v>
      </c>
      <c r="G695" t="s">
        <v>1891</v>
      </c>
    </row>
    <row r="696">
      <c r="A696" t="s">
        <v>3382</v>
      </c>
      <c r="B696" t="s">
        <v>2583</v>
      </c>
      <c r="C696" t="s">
        <v>1883</v>
      </c>
      <c r="D696" t="s">
        <v>2029</v>
      </c>
      <c r="E696" t="s">
        <v>3383</v>
      </c>
      <c r="F696" t="s">
        <v>1739</v>
      </c>
      <c r="G696" t="s">
        <v>1896</v>
      </c>
    </row>
    <row r="697">
      <c r="A697" t="s">
        <v>3382</v>
      </c>
      <c r="B697" t="s">
        <v>3384</v>
      </c>
      <c r="C697" t="s">
        <v>1888</v>
      </c>
      <c r="D697" t="s">
        <v>2070</v>
      </c>
      <c r="E697" t="s">
        <v>3385</v>
      </c>
      <c r="F697" t="s">
        <v>1777</v>
      </c>
      <c r="G697" t="s">
        <v>1886</v>
      </c>
    </row>
    <row r="698">
      <c r="A698" t="s">
        <v>3386</v>
      </c>
      <c r="B698" t="s">
        <v>2801</v>
      </c>
      <c r="C698" t="s">
        <v>1913</v>
      </c>
      <c r="D698" t="s">
        <v>1969</v>
      </c>
      <c r="E698" t="s">
        <v>3387</v>
      </c>
      <c r="F698" t="s">
        <v>1843</v>
      </c>
      <c r="G698" t="s">
        <v>1907</v>
      </c>
    </row>
    <row r="699">
      <c r="A699" t="s">
        <v>3386</v>
      </c>
      <c r="B699" t="s">
        <v>2058</v>
      </c>
      <c r="C699" t="s">
        <v>1883</v>
      </c>
      <c r="D699" t="s">
        <v>1972</v>
      </c>
      <c r="E699" t="s">
        <v>3388</v>
      </c>
      <c r="F699" t="s">
        <v>1695</v>
      </c>
      <c r="G699" t="s">
        <v>1901</v>
      </c>
    </row>
    <row r="700">
      <c r="A700" t="s">
        <v>3389</v>
      </c>
      <c r="B700" t="s">
        <v>3390</v>
      </c>
      <c r="C700" t="s">
        <v>1921</v>
      </c>
      <c r="D700" t="s">
        <v>1922</v>
      </c>
      <c r="E700" t="s">
        <v>3391</v>
      </c>
      <c r="F700" t="s">
        <v>1825</v>
      </c>
      <c r="G700" t="s">
        <v>1910</v>
      </c>
    </row>
    <row r="701">
      <c r="A701" t="s">
        <v>3389</v>
      </c>
      <c r="B701" t="s">
        <v>2611</v>
      </c>
      <c r="C701" t="s">
        <v>1898</v>
      </c>
      <c r="D701" t="s">
        <v>1899</v>
      </c>
      <c r="E701" t="s">
        <v>3392</v>
      </c>
      <c r="F701" t="s">
        <v>1746</v>
      </c>
      <c r="G701" t="s">
        <v>1886</v>
      </c>
    </row>
    <row r="702">
      <c r="A702" t="s">
        <v>3393</v>
      </c>
      <c r="B702" t="s">
        <v>3394</v>
      </c>
      <c r="C702" t="s">
        <v>1913</v>
      </c>
      <c r="D702" t="s">
        <v>1905</v>
      </c>
      <c r="E702" t="s">
        <v>3395</v>
      </c>
      <c r="F702" t="s">
        <v>1629</v>
      </c>
      <c r="G702" t="s">
        <v>1891</v>
      </c>
    </row>
    <row r="703">
      <c r="A703" t="s">
        <v>3393</v>
      </c>
      <c r="B703" t="s">
        <v>2967</v>
      </c>
      <c r="C703" t="s">
        <v>1883</v>
      </c>
      <c r="D703" t="s">
        <v>1908</v>
      </c>
      <c r="E703" t="s">
        <v>3396</v>
      </c>
      <c r="F703" t="s">
        <v>1595</v>
      </c>
      <c r="G703" t="s">
        <v>1896</v>
      </c>
    </row>
    <row r="704">
      <c r="A704" t="s">
        <v>3397</v>
      </c>
      <c r="B704" t="s">
        <v>2458</v>
      </c>
      <c r="C704" t="s">
        <v>1888</v>
      </c>
      <c r="D704" t="s">
        <v>1947</v>
      </c>
      <c r="E704" t="s">
        <v>3398</v>
      </c>
      <c r="F704" t="s">
        <v>1702</v>
      </c>
      <c r="G704" t="s">
        <v>1901</v>
      </c>
    </row>
    <row r="705">
      <c r="A705" t="s">
        <v>3397</v>
      </c>
      <c r="B705" t="s">
        <v>2480</v>
      </c>
      <c r="C705" t="s">
        <v>1883</v>
      </c>
      <c r="D705" t="s">
        <v>1951</v>
      </c>
      <c r="E705" t="s">
        <v>3399</v>
      </c>
      <c r="F705" t="s">
        <v>1837</v>
      </c>
      <c r="G705" t="s">
        <v>1907</v>
      </c>
    </row>
    <row r="706">
      <c r="A706" t="s">
        <v>3400</v>
      </c>
      <c r="B706" t="s">
        <v>3401</v>
      </c>
      <c r="C706" t="s">
        <v>1893</v>
      </c>
      <c r="D706" t="s">
        <v>1954</v>
      </c>
      <c r="E706" t="s">
        <v>3402</v>
      </c>
      <c r="F706" t="s">
        <v>1602</v>
      </c>
      <c r="G706" t="s">
        <v>1886</v>
      </c>
    </row>
    <row r="707">
      <c r="A707" t="s">
        <v>3400</v>
      </c>
      <c r="B707" t="s">
        <v>3129</v>
      </c>
      <c r="C707" t="s">
        <v>1925</v>
      </c>
      <c r="D707" t="s">
        <v>1926</v>
      </c>
      <c r="E707" t="s">
        <v>3403</v>
      </c>
      <c r="F707" t="s">
        <v>1752</v>
      </c>
      <c r="G707" t="s">
        <v>1910</v>
      </c>
    </row>
    <row r="708">
      <c r="A708" t="s">
        <v>3404</v>
      </c>
      <c r="B708" t="s">
        <v>3405</v>
      </c>
      <c r="C708" t="s">
        <v>1888</v>
      </c>
      <c r="D708" t="s">
        <v>1917</v>
      </c>
      <c r="E708" t="s">
        <v>3406</v>
      </c>
      <c r="F708" t="s">
        <v>1675</v>
      </c>
      <c r="G708" t="s">
        <v>1891</v>
      </c>
    </row>
    <row r="709">
      <c r="A709" t="s">
        <v>3404</v>
      </c>
      <c r="B709" t="s">
        <v>2221</v>
      </c>
      <c r="C709" t="s">
        <v>1883</v>
      </c>
      <c r="D709" t="s">
        <v>1934</v>
      </c>
      <c r="E709" t="s">
        <v>3407</v>
      </c>
      <c r="F709" t="s">
        <v>1819</v>
      </c>
      <c r="G709" t="s">
        <v>1896</v>
      </c>
    </row>
    <row r="710">
      <c r="A710" t="s">
        <v>3408</v>
      </c>
      <c r="B710" t="s">
        <v>433</v>
      </c>
      <c r="C710" t="s">
        <v>1913</v>
      </c>
      <c r="D710" t="s">
        <v>1914</v>
      </c>
      <c r="E710" t="s">
        <v>3409</v>
      </c>
      <c r="F710" t="s">
        <v>1581</v>
      </c>
      <c r="G710" t="s">
        <v>1886</v>
      </c>
    </row>
    <row r="711">
      <c r="A711" t="s">
        <v>3408</v>
      </c>
      <c r="B711" t="s">
        <v>1457</v>
      </c>
      <c r="C711" t="s">
        <v>1883</v>
      </c>
      <c r="D711" t="s">
        <v>1889</v>
      </c>
      <c r="E711" t="s">
        <v>3410</v>
      </c>
      <c r="F711" t="s">
        <v>1783</v>
      </c>
      <c r="G711" t="s">
        <v>1907</v>
      </c>
    </row>
    <row r="712">
      <c r="A712" t="s">
        <v>3411</v>
      </c>
      <c r="B712" t="s">
        <v>2995</v>
      </c>
      <c r="C712" t="s">
        <v>1921</v>
      </c>
      <c r="D712" t="s">
        <v>2149</v>
      </c>
      <c r="E712" t="s">
        <v>3412</v>
      </c>
      <c r="F712" t="s">
        <v>1643</v>
      </c>
      <c r="G712" t="s">
        <v>1901</v>
      </c>
    </row>
    <row r="713">
      <c r="A713" t="s">
        <v>3411</v>
      </c>
      <c r="B713" t="s">
        <v>3413</v>
      </c>
      <c r="C713" t="s">
        <v>1968</v>
      </c>
      <c r="D713" t="s">
        <v>2027</v>
      </c>
      <c r="E713" t="s">
        <v>3414</v>
      </c>
      <c r="F713" t="s">
        <v>1733</v>
      </c>
      <c r="G713" t="s">
        <v>1910</v>
      </c>
    </row>
    <row r="714">
      <c r="A714" t="s">
        <v>3415</v>
      </c>
      <c r="B714" t="s">
        <v>3416</v>
      </c>
      <c r="C714" t="s">
        <v>1883</v>
      </c>
      <c r="D714" t="s">
        <v>2029</v>
      </c>
      <c r="E714" t="s">
        <v>3417</v>
      </c>
      <c r="F714" t="s">
        <v>1609</v>
      </c>
      <c r="G714" t="s">
        <v>1886</v>
      </c>
    </row>
    <row r="715">
      <c r="A715" t="s">
        <v>3415</v>
      </c>
      <c r="B715" t="s">
        <v>2629</v>
      </c>
      <c r="C715" t="s">
        <v>1888</v>
      </c>
      <c r="D715" t="s">
        <v>2070</v>
      </c>
      <c r="E715" t="s">
        <v>3418</v>
      </c>
      <c r="F715" t="s">
        <v>1813</v>
      </c>
      <c r="G715" t="s">
        <v>1891</v>
      </c>
    </row>
    <row r="716">
      <c r="A716" t="s">
        <v>3419</v>
      </c>
      <c r="B716" t="s">
        <v>2121</v>
      </c>
      <c r="C716" t="s">
        <v>1913</v>
      </c>
      <c r="D716" t="s">
        <v>1969</v>
      </c>
      <c r="E716" t="s">
        <v>3420</v>
      </c>
      <c r="F716" t="s">
        <v>1663</v>
      </c>
      <c r="G716" t="s">
        <v>1896</v>
      </c>
    </row>
    <row r="717">
      <c r="A717" t="s">
        <v>3419</v>
      </c>
      <c r="B717" t="s">
        <v>3421</v>
      </c>
      <c r="C717" t="s">
        <v>1883</v>
      </c>
      <c r="D717" t="s">
        <v>1972</v>
      </c>
      <c r="E717" t="s">
        <v>3422</v>
      </c>
      <c r="F717" t="s">
        <v>1759</v>
      </c>
      <c r="G717" t="s">
        <v>1901</v>
      </c>
    </row>
    <row r="718">
      <c r="A718" t="s">
        <v>3423</v>
      </c>
      <c r="B718" t="s">
        <v>3182</v>
      </c>
      <c r="C718" t="s">
        <v>1921</v>
      </c>
      <c r="D718" t="s">
        <v>1922</v>
      </c>
      <c r="E718" t="s">
        <v>3424</v>
      </c>
      <c r="F718" t="s">
        <v>1861</v>
      </c>
      <c r="G718" t="s">
        <v>1907</v>
      </c>
    </row>
    <row r="719">
      <c r="A719" t="s">
        <v>3423</v>
      </c>
      <c r="B719" t="s">
        <v>1336</v>
      </c>
      <c r="C719" t="s">
        <v>1898</v>
      </c>
      <c r="D719" t="s">
        <v>1899</v>
      </c>
      <c r="E719" t="s">
        <v>3425</v>
      </c>
      <c r="F719" t="s">
        <v>1588</v>
      </c>
      <c r="G719" t="s">
        <v>1886</v>
      </c>
    </row>
    <row r="720">
      <c r="A720" t="s">
        <v>3426</v>
      </c>
      <c r="B720" t="s">
        <v>3427</v>
      </c>
      <c r="C720" t="s">
        <v>1913</v>
      </c>
      <c r="D720" t="s">
        <v>1905</v>
      </c>
      <c r="E720" t="s">
        <v>3428</v>
      </c>
      <c r="F720" t="s">
        <v>1708</v>
      </c>
      <c r="G720" t="s">
        <v>1910</v>
      </c>
    </row>
    <row r="721">
      <c r="A721" t="s">
        <v>3426</v>
      </c>
      <c r="B721" t="s">
        <v>2221</v>
      </c>
      <c r="C721" t="s">
        <v>1883</v>
      </c>
      <c r="D721" t="s">
        <v>1908</v>
      </c>
      <c r="E721" t="s">
        <v>3429</v>
      </c>
      <c r="F721" t="s">
        <v>1650</v>
      </c>
      <c r="G721" t="s">
        <v>1891</v>
      </c>
    </row>
    <row r="722">
      <c r="A722" t="s">
        <v>3430</v>
      </c>
      <c r="B722" t="s">
        <v>300</v>
      </c>
      <c r="C722" t="s">
        <v>1888</v>
      </c>
      <c r="D722" t="s">
        <v>1947</v>
      </c>
      <c r="E722" t="s">
        <v>3431</v>
      </c>
      <c r="F722" t="s">
        <v>1789</v>
      </c>
      <c r="G722" t="s">
        <v>1896</v>
      </c>
    </row>
    <row r="723">
      <c r="A723" t="s">
        <v>3430</v>
      </c>
      <c r="B723" t="s">
        <v>3432</v>
      </c>
      <c r="C723" t="s">
        <v>1883</v>
      </c>
      <c r="D723" t="s">
        <v>1951</v>
      </c>
      <c r="E723" t="s">
        <v>3433</v>
      </c>
      <c r="F723" t="s">
        <v>1855</v>
      </c>
      <c r="G723" t="s">
        <v>1886</v>
      </c>
    </row>
    <row r="724">
      <c r="A724" t="s">
        <v>3434</v>
      </c>
      <c r="B724" t="s">
        <v>3085</v>
      </c>
      <c r="C724" t="s">
        <v>1893</v>
      </c>
      <c r="D724" t="s">
        <v>1954</v>
      </c>
      <c r="E724" t="s">
        <v>3435</v>
      </c>
      <c r="F724" t="s">
        <v>1574</v>
      </c>
      <c r="G724" t="s">
        <v>1907</v>
      </c>
    </row>
    <row r="725">
      <c r="A725" t="s">
        <v>3434</v>
      </c>
      <c r="B725" t="s">
        <v>1304</v>
      </c>
      <c r="C725" t="s">
        <v>1925</v>
      </c>
      <c r="D725" t="s">
        <v>1926</v>
      </c>
      <c r="E725" t="s">
        <v>3436</v>
      </c>
      <c r="F725" t="s">
        <v>1721</v>
      </c>
      <c r="G725" t="s">
        <v>1901</v>
      </c>
    </row>
    <row r="726">
      <c r="A726" t="s">
        <v>3437</v>
      </c>
      <c r="B726" t="s">
        <v>3438</v>
      </c>
      <c r="C726" t="s">
        <v>1888</v>
      </c>
      <c r="D726" t="s">
        <v>1917</v>
      </c>
      <c r="E726" t="s">
        <v>3439</v>
      </c>
      <c r="F726" t="s">
        <v>1636</v>
      </c>
      <c r="G726" t="s">
        <v>1910</v>
      </c>
    </row>
    <row r="727">
      <c r="A727" t="s">
        <v>3437</v>
      </c>
      <c r="B727" t="s">
        <v>2772</v>
      </c>
      <c r="C727" t="s">
        <v>1883</v>
      </c>
      <c r="D727" t="s">
        <v>1934</v>
      </c>
      <c r="E727" t="s">
        <v>3440</v>
      </c>
      <c r="F727" t="s">
        <v>1771</v>
      </c>
      <c r="G727" t="s">
        <v>1886</v>
      </c>
    </row>
    <row r="728">
      <c r="A728" t="s">
        <v>3441</v>
      </c>
      <c r="B728" t="s">
        <v>2813</v>
      </c>
      <c r="C728" t="s">
        <v>1913</v>
      </c>
      <c r="D728" t="s">
        <v>1914</v>
      </c>
      <c r="E728" t="s">
        <v>3442</v>
      </c>
      <c r="F728" t="s">
        <v>1831</v>
      </c>
      <c r="G728" t="s">
        <v>1891</v>
      </c>
    </row>
    <row r="729">
      <c r="A729" t="s">
        <v>3441</v>
      </c>
      <c r="B729" t="s">
        <v>1490</v>
      </c>
      <c r="C729" t="s">
        <v>1883</v>
      </c>
      <c r="D729" t="s">
        <v>1889</v>
      </c>
      <c r="E729" t="s">
        <v>3443</v>
      </c>
      <c r="F729" t="s">
        <v>1553</v>
      </c>
      <c r="G729" t="s">
        <v>1896</v>
      </c>
    </row>
    <row r="730">
      <c r="A730" t="s">
        <v>3444</v>
      </c>
      <c r="B730" t="s">
        <v>3445</v>
      </c>
      <c r="C730" t="s">
        <v>1921</v>
      </c>
      <c r="D730" t="s">
        <v>2149</v>
      </c>
      <c r="E730" t="s">
        <v>3446</v>
      </c>
      <c r="F730" t="s">
        <v>1688</v>
      </c>
      <c r="G730" t="s">
        <v>1901</v>
      </c>
    </row>
    <row r="731">
      <c r="A731" t="s">
        <v>3444</v>
      </c>
      <c r="B731" t="s">
        <v>3447</v>
      </c>
      <c r="C731" t="s">
        <v>1968</v>
      </c>
      <c r="D731" t="s">
        <v>2027</v>
      </c>
      <c r="E731" t="s">
        <v>3448</v>
      </c>
      <c r="F731" t="s">
        <v>1801</v>
      </c>
      <c r="G731" t="s">
        <v>1907</v>
      </c>
    </row>
    <row r="732">
      <c r="A732" t="s">
        <v>3449</v>
      </c>
      <c r="B732" t="s">
        <v>1025</v>
      </c>
      <c r="C732" t="s">
        <v>1883</v>
      </c>
      <c r="D732" t="s">
        <v>2029</v>
      </c>
      <c r="E732" t="s">
        <v>3450</v>
      </c>
      <c r="F732" t="s">
        <v>1867</v>
      </c>
      <c r="G732" t="s">
        <v>1886</v>
      </c>
    </row>
    <row r="733">
      <c r="A733" t="s">
        <v>3449</v>
      </c>
      <c r="B733" t="s">
        <v>713</v>
      </c>
      <c r="C733" t="s">
        <v>1888</v>
      </c>
      <c r="D733" t="s">
        <v>2070</v>
      </c>
      <c r="E733" t="s">
        <v>3451</v>
      </c>
      <c r="F733" t="s">
        <v>1623</v>
      </c>
      <c r="G733" t="s">
        <v>1910</v>
      </c>
    </row>
    <row r="734">
      <c r="A734" t="s">
        <v>3452</v>
      </c>
      <c r="B734" t="s">
        <v>3036</v>
      </c>
      <c r="C734" t="s">
        <v>1913</v>
      </c>
      <c r="D734" t="s">
        <v>1969</v>
      </c>
      <c r="E734" t="s">
        <v>3453</v>
      </c>
      <c r="F734" t="s">
        <v>1727</v>
      </c>
      <c r="G734" t="s">
        <v>1891</v>
      </c>
    </row>
    <row r="735">
      <c r="A735" t="s">
        <v>3452</v>
      </c>
      <c r="B735" t="s">
        <v>1416</v>
      </c>
      <c r="C735" t="s">
        <v>1883</v>
      </c>
      <c r="D735" t="s">
        <v>1972</v>
      </c>
      <c r="E735" t="s">
        <v>3454</v>
      </c>
      <c r="F735" t="s">
        <v>1669</v>
      </c>
      <c r="G735" t="s">
        <v>1896</v>
      </c>
    </row>
    <row r="736">
      <c r="A736" t="s">
        <v>3455</v>
      </c>
      <c r="B736" t="s">
        <v>3456</v>
      </c>
      <c r="C736" t="s">
        <v>1921</v>
      </c>
      <c r="D736" t="s">
        <v>1922</v>
      </c>
      <c r="E736" t="s">
        <v>3457</v>
      </c>
      <c r="F736" t="s">
        <v>1807</v>
      </c>
      <c r="G736" t="s">
        <v>1886</v>
      </c>
    </row>
    <row r="737">
      <c r="A737" t="s">
        <v>3455</v>
      </c>
      <c r="B737" t="s">
        <v>1304</v>
      </c>
      <c r="C737" t="s">
        <v>1898</v>
      </c>
      <c r="D737" t="s">
        <v>1899</v>
      </c>
      <c r="E737" t="s">
        <v>3458</v>
      </c>
      <c r="F737" t="s">
        <v>1567</v>
      </c>
      <c r="G737" t="s">
        <v>1907</v>
      </c>
    </row>
    <row r="738">
      <c r="A738" t="s">
        <v>3459</v>
      </c>
      <c r="B738" t="s">
        <v>1206</v>
      </c>
      <c r="C738" t="s">
        <v>1913</v>
      </c>
      <c r="D738" t="s">
        <v>1905</v>
      </c>
      <c r="E738" t="s">
        <v>3460</v>
      </c>
      <c r="F738" t="s">
        <v>1714</v>
      </c>
      <c r="G738" t="s">
        <v>1901</v>
      </c>
    </row>
    <row r="739">
      <c r="A739" t="s">
        <v>3459</v>
      </c>
      <c r="B739" t="s">
        <v>3461</v>
      </c>
      <c r="C739" t="s">
        <v>1883</v>
      </c>
      <c r="D739" t="s">
        <v>1908</v>
      </c>
      <c r="E739" t="s">
        <v>3462</v>
      </c>
      <c r="F739" t="s">
        <v>1616</v>
      </c>
      <c r="G739" t="s">
        <v>1910</v>
      </c>
    </row>
    <row r="740">
      <c r="A740" t="s">
        <v>3463</v>
      </c>
      <c r="B740" t="s">
        <v>2374</v>
      </c>
      <c r="C740" t="s">
        <v>1888</v>
      </c>
      <c r="D740" t="s">
        <v>1947</v>
      </c>
      <c r="E740" t="s">
        <v>3464</v>
      </c>
      <c r="F740" t="s">
        <v>1765</v>
      </c>
      <c r="G740" t="s">
        <v>1886</v>
      </c>
    </row>
    <row r="741">
      <c r="A741" t="s">
        <v>3463</v>
      </c>
      <c r="B741" t="s">
        <v>2282</v>
      </c>
      <c r="C741" t="s">
        <v>1883</v>
      </c>
      <c r="D741" t="s">
        <v>1951</v>
      </c>
      <c r="E741" t="s">
        <v>3465</v>
      </c>
      <c r="F741" t="s">
        <v>1849</v>
      </c>
      <c r="G741" t="s">
        <v>1891</v>
      </c>
    </row>
    <row r="742">
      <c r="A742" t="s">
        <v>3466</v>
      </c>
      <c r="B742" t="s">
        <v>1214</v>
      </c>
      <c r="C742" t="s">
        <v>1893</v>
      </c>
      <c r="D742" t="s">
        <v>1954</v>
      </c>
      <c r="E742" t="s">
        <v>3467</v>
      </c>
      <c r="F742" t="s">
        <v>1682</v>
      </c>
      <c r="G742" t="s">
        <v>1896</v>
      </c>
    </row>
    <row r="743">
      <c r="A743" t="s">
        <v>3466</v>
      </c>
      <c r="B743" t="s">
        <v>3468</v>
      </c>
      <c r="C743" t="s">
        <v>1925</v>
      </c>
      <c r="D743" t="s">
        <v>1926</v>
      </c>
      <c r="E743" t="s">
        <v>3469</v>
      </c>
      <c r="F743" t="s">
        <v>1560</v>
      </c>
      <c r="G743" t="s">
        <v>1901</v>
      </c>
    </row>
    <row r="744">
      <c r="A744" t="s">
        <v>3470</v>
      </c>
      <c r="B744" t="s">
        <v>3471</v>
      </c>
      <c r="C744" t="s">
        <v>1888</v>
      </c>
      <c r="D744" t="s">
        <v>1917</v>
      </c>
      <c r="E744" t="s">
        <v>3472</v>
      </c>
      <c r="F744" t="s">
        <v>1795</v>
      </c>
      <c r="G744" t="s">
        <v>1907</v>
      </c>
    </row>
    <row r="745">
      <c r="A745" t="s">
        <v>3470</v>
      </c>
      <c r="B745" t="s">
        <v>3473</v>
      </c>
      <c r="C745" t="s">
        <v>1883</v>
      </c>
      <c r="D745" t="s">
        <v>1934</v>
      </c>
      <c r="E745" t="s">
        <v>3474</v>
      </c>
      <c r="F745" t="s">
        <v>1657</v>
      </c>
      <c r="G745" t="s">
        <v>1886</v>
      </c>
    </row>
    <row r="746">
      <c r="A746" t="s">
        <v>3475</v>
      </c>
      <c r="B746" t="s">
        <v>3476</v>
      </c>
      <c r="C746" t="s">
        <v>1913</v>
      </c>
      <c r="D746" t="s">
        <v>1914</v>
      </c>
      <c r="E746" t="s">
        <v>3477</v>
      </c>
      <c r="F746" t="s">
        <v>1739</v>
      </c>
      <c r="G746" t="s">
        <v>1910</v>
      </c>
    </row>
    <row r="747">
      <c r="A747" t="s">
        <v>3475</v>
      </c>
      <c r="B747" t="s">
        <v>1384</v>
      </c>
      <c r="C747" t="s">
        <v>1883</v>
      </c>
      <c r="D747" t="s">
        <v>1889</v>
      </c>
      <c r="E747" t="s">
        <v>3478</v>
      </c>
      <c r="F747" t="s">
        <v>1777</v>
      </c>
      <c r="G747" t="s">
        <v>1891</v>
      </c>
    </row>
    <row r="748">
      <c r="A748" t="s">
        <v>3479</v>
      </c>
      <c r="B748" t="s">
        <v>1177</v>
      </c>
      <c r="C748" t="s">
        <v>1921</v>
      </c>
      <c r="D748" t="s">
        <v>2149</v>
      </c>
      <c r="E748" t="s">
        <v>3480</v>
      </c>
      <c r="F748" t="s">
        <v>1843</v>
      </c>
      <c r="G748" t="s">
        <v>1896</v>
      </c>
    </row>
    <row r="749">
      <c r="A749" t="s">
        <v>3479</v>
      </c>
      <c r="B749" t="s">
        <v>3481</v>
      </c>
      <c r="C749" t="s">
        <v>1968</v>
      </c>
      <c r="D749" t="s">
        <v>2027</v>
      </c>
      <c r="E749" t="s">
        <v>3482</v>
      </c>
      <c r="F749" t="s">
        <v>1695</v>
      </c>
      <c r="G749" t="s">
        <v>1886</v>
      </c>
    </row>
    <row r="750">
      <c r="A750" t="s">
        <v>3483</v>
      </c>
      <c r="B750" t="s">
        <v>3484</v>
      </c>
      <c r="C750" t="s">
        <v>1883</v>
      </c>
      <c r="D750" t="s">
        <v>2029</v>
      </c>
      <c r="E750" t="s">
        <v>3485</v>
      </c>
      <c r="F750" t="s">
        <v>1825</v>
      </c>
      <c r="G750" t="s">
        <v>1907</v>
      </c>
    </row>
    <row r="751">
      <c r="A751" t="s">
        <v>3483</v>
      </c>
      <c r="B751" t="s">
        <v>3486</v>
      </c>
      <c r="C751" t="s">
        <v>1888</v>
      </c>
      <c r="D751" t="s">
        <v>2070</v>
      </c>
      <c r="E751" t="s">
        <v>3487</v>
      </c>
      <c r="F751" t="s">
        <v>1746</v>
      </c>
      <c r="G751" t="s">
        <v>1901</v>
      </c>
    </row>
    <row r="752">
      <c r="A752" t="s">
        <v>3488</v>
      </c>
      <c r="B752" t="s">
        <v>214</v>
      </c>
      <c r="C752" t="s">
        <v>1913</v>
      </c>
      <c r="D752" t="s">
        <v>1969</v>
      </c>
      <c r="E752" t="s">
        <v>3489</v>
      </c>
      <c r="F752" t="s">
        <v>1629</v>
      </c>
      <c r="G752" t="s">
        <v>1910</v>
      </c>
    </row>
    <row r="753">
      <c r="A753" t="s">
        <v>3488</v>
      </c>
      <c r="B753" t="s">
        <v>2750</v>
      </c>
      <c r="C753" t="s">
        <v>1883</v>
      </c>
      <c r="D753" t="s">
        <v>1972</v>
      </c>
      <c r="E753" t="s">
        <v>3490</v>
      </c>
      <c r="F753" t="s">
        <v>1595</v>
      </c>
      <c r="G753" t="s">
        <v>1886</v>
      </c>
    </row>
    <row r="754">
      <c r="A754" t="s">
        <v>3491</v>
      </c>
      <c r="B754" t="s">
        <v>2766</v>
      </c>
      <c r="C754" t="s">
        <v>1921</v>
      </c>
      <c r="D754" t="s">
        <v>1922</v>
      </c>
      <c r="E754" t="s">
        <v>3492</v>
      </c>
      <c r="F754" t="s">
        <v>1702</v>
      </c>
      <c r="G754" t="s">
        <v>1891</v>
      </c>
    </row>
    <row r="755">
      <c r="A755" t="s">
        <v>3491</v>
      </c>
      <c r="B755" t="s">
        <v>2405</v>
      </c>
      <c r="C755" t="s">
        <v>1898</v>
      </c>
      <c r="D755" t="s">
        <v>1899</v>
      </c>
      <c r="E755" t="s">
        <v>3493</v>
      </c>
      <c r="F755" t="s">
        <v>1837</v>
      </c>
      <c r="G755" t="s">
        <v>1896</v>
      </c>
    </row>
    <row r="756">
      <c r="A756" t="s">
        <v>3494</v>
      </c>
      <c r="B756" t="s">
        <v>1078</v>
      </c>
      <c r="C756" t="s">
        <v>1913</v>
      </c>
      <c r="D756" t="s">
        <v>1905</v>
      </c>
      <c r="E756" t="s">
        <v>3495</v>
      </c>
      <c r="F756" t="s">
        <v>1602</v>
      </c>
      <c r="G756" t="s">
        <v>1901</v>
      </c>
    </row>
    <row r="757">
      <c r="A757" t="s">
        <v>3494</v>
      </c>
      <c r="B757" t="s">
        <v>3496</v>
      </c>
      <c r="C757" t="s">
        <v>1883</v>
      </c>
      <c r="D757" t="s">
        <v>1908</v>
      </c>
      <c r="E757" t="s">
        <v>3497</v>
      </c>
      <c r="F757" t="s">
        <v>1752</v>
      </c>
      <c r="G757" t="s">
        <v>1907</v>
      </c>
    </row>
    <row r="758">
      <c r="A758" t="s">
        <v>3498</v>
      </c>
      <c r="B758" t="s">
        <v>3499</v>
      </c>
      <c r="C758" t="s">
        <v>1888</v>
      </c>
      <c r="D758" t="s">
        <v>1947</v>
      </c>
      <c r="E758" t="s">
        <v>3500</v>
      </c>
      <c r="F758" t="s">
        <v>1675</v>
      </c>
      <c r="G758" t="s">
        <v>1886</v>
      </c>
    </row>
    <row r="759">
      <c r="A759" t="s">
        <v>3498</v>
      </c>
      <c r="B759" t="s">
        <v>1364</v>
      </c>
      <c r="C759" t="s">
        <v>1883</v>
      </c>
      <c r="D759" t="s">
        <v>1951</v>
      </c>
      <c r="E759" t="s">
        <v>3501</v>
      </c>
      <c r="F759" t="s">
        <v>1819</v>
      </c>
      <c r="G759" t="s">
        <v>1910</v>
      </c>
    </row>
    <row r="760">
      <c r="A760" t="s">
        <v>3502</v>
      </c>
      <c r="B760" t="s">
        <v>3503</v>
      </c>
      <c r="C760" t="s">
        <v>1893</v>
      </c>
      <c r="D760" t="s">
        <v>1954</v>
      </c>
      <c r="E760" t="s">
        <v>3504</v>
      </c>
      <c r="F760" t="s">
        <v>1581</v>
      </c>
      <c r="G760" t="s">
        <v>1891</v>
      </c>
    </row>
    <row r="761">
      <c r="A761" t="s">
        <v>3502</v>
      </c>
      <c r="B761" t="s">
        <v>941</v>
      </c>
      <c r="C761" t="s">
        <v>1925</v>
      </c>
      <c r="D761" t="s">
        <v>1926</v>
      </c>
      <c r="E761" t="s">
        <v>3505</v>
      </c>
      <c r="F761" t="s">
        <v>1783</v>
      </c>
      <c r="G761" t="s">
        <v>1896</v>
      </c>
    </row>
    <row r="762">
      <c r="A762" t="s">
        <v>3506</v>
      </c>
      <c r="B762" t="s">
        <v>1188</v>
      </c>
      <c r="C762" t="s">
        <v>1888</v>
      </c>
      <c r="D762" t="s">
        <v>1917</v>
      </c>
      <c r="E762" t="s">
        <v>3507</v>
      </c>
      <c r="F762" t="s">
        <v>1643</v>
      </c>
      <c r="G762" t="s">
        <v>1886</v>
      </c>
    </row>
    <row r="763">
      <c r="A763" t="s">
        <v>3506</v>
      </c>
      <c r="B763" t="s">
        <v>3508</v>
      </c>
      <c r="C763" t="s">
        <v>1883</v>
      </c>
      <c r="D763" t="s">
        <v>1934</v>
      </c>
      <c r="E763" t="s">
        <v>3509</v>
      </c>
      <c r="F763" t="s">
        <v>1733</v>
      </c>
      <c r="G763" t="s">
        <v>1907</v>
      </c>
    </row>
    <row r="764">
      <c r="A764" t="s">
        <v>3510</v>
      </c>
      <c r="B764" t="s">
        <v>3511</v>
      </c>
      <c r="C764" t="s">
        <v>1913</v>
      </c>
      <c r="D764" t="s">
        <v>1914</v>
      </c>
      <c r="E764" t="s">
        <v>3512</v>
      </c>
      <c r="F764" t="s">
        <v>1609</v>
      </c>
      <c r="G764" t="s">
        <v>1901</v>
      </c>
    </row>
    <row r="765">
      <c r="A765" t="s">
        <v>3510</v>
      </c>
      <c r="B765" t="s">
        <v>2876</v>
      </c>
      <c r="C765" t="s">
        <v>1883</v>
      </c>
      <c r="D765" t="s">
        <v>1889</v>
      </c>
      <c r="E765" t="s">
        <v>3513</v>
      </c>
      <c r="F765" t="s">
        <v>1813</v>
      </c>
      <c r="G765" t="s">
        <v>1910</v>
      </c>
    </row>
    <row r="766">
      <c r="A766" t="s">
        <v>3514</v>
      </c>
      <c r="B766" t="s">
        <v>3515</v>
      </c>
      <c r="C766" t="s">
        <v>1921</v>
      </c>
      <c r="D766" t="s">
        <v>2149</v>
      </c>
      <c r="E766" t="s">
        <v>3516</v>
      </c>
      <c r="F766" t="s">
        <v>1663</v>
      </c>
      <c r="G766" t="s">
        <v>1886</v>
      </c>
    </row>
    <row r="767">
      <c r="A767" t="s">
        <v>3514</v>
      </c>
      <c r="B767" t="s">
        <v>775</v>
      </c>
      <c r="C767" t="s">
        <v>1968</v>
      </c>
      <c r="D767" t="s">
        <v>2027</v>
      </c>
      <c r="E767" t="s">
        <v>3517</v>
      </c>
      <c r="F767" t="s">
        <v>1759</v>
      </c>
      <c r="G767" t="s">
        <v>1891</v>
      </c>
    </row>
    <row r="768">
      <c r="A768" t="s">
        <v>3518</v>
      </c>
      <c r="B768" t="s">
        <v>3519</v>
      </c>
      <c r="C768" t="s">
        <v>1883</v>
      </c>
      <c r="D768" t="s">
        <v>2029</v>
      </c>
      <c r="E768" t="s">
        <v>3520</v>
      </c>
      <c r="F768" t="s">
        <v>1861</v>
      </c>
      <c r="G768" t="s">
        <v>1896</v>
      </c>
    </row>
    <row r="769">
      <c r="A769" t="s">
        <v>3518</v>
      </c>
      <c r="B769" t="s">
        <v>2249</v>
      </c>
      <c r="C769" t="s">
        <v>1888</v>
      </c>
      <c r="D769" t="s">
        <v>2070</v>
      </c>
      <c r="E769" t="s">
        <v>3521</v>
      </c>
      <c r="F769" t="s">
        <v>1588</v>
      </c>
      <c r="G769" t="s">
        <v>1901</v>
      </c>
    </row>
    <row r="770">
      <c r="A770" t="s">
        <v>3522</v>
      </c>
      <c r="B770" t="s">
        <v>3189</v>
      </c>
      <c r="C770" t="s">
        <v>1913</v>
      </c>
      <c r="D770" t="s">
        <v>1969</v>
      </c>
      <c r="E770" t="s">
        <v>3523</v>
      </c>
      <c r="F770" t="s">
        <v>1708</v>
      </c>
      <c r="G770" t="s">
        <v>1907</v>
      </c>
    </row>
    <row r="771">
      <c r="A771" t="s">
        <v>3522</v>
      </c>
      <c r="B771" t="s">
        <v>3259</v>
      </c>
      <c r="C771" t="s">
        <v>1883</v>
      </c>
      <c r="D771" t="s">
        <v>1972</v>
      </c>
      <c r="E771" t="s">
        <v>3524</v>
      </c>
      <c r="F771" t="s">
        <v>1650</v>
      </c>
      <c r="G771" t="s">
        <v>1886</v>
      </c>
    </row>
    <row r="772">
      <c r="A772" t="s">
        <v>3525</v>
      </c>
      <c r="B772" t="s">
        <v>3526</v>
      </c>
      <c r="C772" t="s">
        <v>1921</v>
      </c>
      <c r="D772" t="s">
        <v>1922</v>
      </c>
      <c r="E772" t="s">
        <v>3527</v>
      </c>
      <c r="F772" t="s">
        <v>1789</v>
      </c>
      <c r="G772" t="s">
        <v>1910</v>
      </c>
    </row>
    <row r="773">
      <c r="A773" t="s">
        <v>3525</v>
      </c>
      <c r="B773" t="s">
        <v>975</v>
      </c>
      <c r="C773" t="s">
        <v>1898</v>
      </c>
      <c r="D773" t="s">
        <v>1899</v>
      </c>
      <c r="E773" t="s">
        <v>3528</v>
      </c>
      <c r="F773" t="s">
        <v>1855</v>
      </c>
      <c r="G773" t="s">
        <v>1891</v>
      </c>
    </row>
    <row r="774">
      <c r="A774" t="s">
        <v>3529</v>
      </c>
      <c r="B774" t="s">
        <v>1105</v>
      </c>
      <c r="C774" t="s">
        <v>1913</v>
      </c>
      <c r="D774" t="s">
        <v>1905</v>
      </c>
      <c r="E774" t="s">
        <v>3530</v>
      </c>
      <c r="F774" t="s">
        <v>1574</v>
      </c>
      <c r="G774" t="s">
        <v>1896</v>
      </c>
    </row>
    <row r="775">
      <c r="A775" t="s">
        <v>3529</v>
      </c>
      <c r="B775" t="s">
        <v>3531</v>
      </c>
      <c r="C775" t="s">
        <v>1883</v>
      </c>
      <c r="D775" t="s">
        <v>1908</v>
      </c>
      <c r="E775" t="s">
        <v>3532</v>
      </c>
      <c r="F775" t="s">
        <v>1721</v>
      </c>
      <c r="G775" t="s">
        <v>1886</v>
      </c>
    </row>
    <row r="776">
      <c r="A776" t="s">
        <v>3533</v>
      </c>
      <c r="B776" t="s">
        <v>619</v>
      </c>
      <c r="C776" t="s">
        <v>1888</v>
      </c>
      <c r="D776" t="s">
        <v>1947</v>
      </c>
      <c r="E776" t="s">
        <v>3534</v>
      </c>
      <c r="F776" t="s">
        <v>1636</v>
      </c>
      <c r="G776" t="s">
        <v>1907</v>
      </c>
    </row>
    <row r="777">
      <c r="A777" t="s">
        <v>3533</v>
      </c>
      <c r="B777" t="s">
        <v>2699</v>
      </c>
      <c r="C777" t="s">
        <v>1883</v>
      </c>
      <c r="D777" t="s">
        <v>1951</v>
      </c>
      <c r="E777" t="s">
        <v>3535</v>
      </c>
      <c r="F777" t="s">
        <v>1771</v>
      </c>
      <c r="G777" t="s">
        <v>1901</v>
      </c>
    </row>
    <row r="778">
      <c r="A778" t="s">
        <v>3536</v>
      </c>
      <c r="B778" t="s">
        <v>3262</v>
      </c>
      <c r="C778" t="s">
        <v>1893</v>
      </c>
      <c r="D778" t="s">
        <v>1954</v>
      </c>
      <c r="E778" t="s">
        <v>3537</v>
      </c>
      <c r="F778" t="s">
        <v>1831</v>
      </c>
      <c r="G778" t="s">
        <v>1910</v>
      </c>
    </row>
    <row r="779">
      <c r="A779" t="s">
        <v>3536</v>
      </c>
      <c r="B779" t="s">
        <v>3538</v>
      </c>
      <c r="C779" t="s">
        <v>1925</v>
      </c>
      <c r="D779" t="s">
        <v>1926</v>
      </c>
      <c r="E779" t="s">
        <v>3539</v>
      </c>
      <c r="F779" t="s">
        <v>1553</v>
      </c>
      <c r="G779" t="s">
        <v>1886</v>
      </c>
    </row>
    <row r="780">
      <c r="A780" t="s">
        <v>3540</v>
      </c>
      <c r="B780" t="s">
        <v>1070</v>
      </c>
      <c r="C780" t="s">
        <v>1888</v>
      </c>
      <c r="D780" t="s">
        <v>1917</v>
      </c>
      <c r="E780" t="s">
        <v>3541</v>
      </c>
      <c r="F780" t="s">
        <v>1688</v>
      </c>
      <c r="G780" t="s">
        <v>1891</v>
      </c>
    </row>
    <row r="781">
      <c r="A781" t="s">
        <v>3540</v>
      </c>
      <c r="B781" t="s">
        <v>3542</v>
      </c>
      <c r="C781" t="s">
        <v>1883</v>
      </c>
      <c r="D781" t="s">
        <v>1934</v>
      </c>
      <c r="E781" t="s">
        <v>3543</v>
      </c>
      <c r="F781" t="s">
        <v>1801</v>
      </c>
      <c r="G781" t="s">
        <v>1896</v>
      </c>
    </row>
    <row r="782">
      <c r="A782" t="s">
        <v>3544</v>
      </c>
      <c r="B782" t="s">
        <v>2619</v>
      </c>
      <c r="C782" t="s">
        <v>1913</v>
      </c>
      <c r="D782" t="s">
        <v>1914</v>
      </c>
      <c r="E782" t="s">
        <v>3545</v>
      </c>
      <c r="F782" t="s">
        <v>1867</v>
      </c>
      <c r="G782" t="s">
        <v>1901</v>
      </c>
    </row>
    <row r="783">
      <c r="A783" t="s">
        <v>3544</v>
      </c>
      <c r="B783" t="s">
        <v>3179</v>
      </c>
      <c r="C783" t="s">
        <v>1883</v>
      </c>
      <c r="D783" t="s">
        <v>1889</v>
      </c>
      <c r="E783" t="s">
        <v>3546</v>
      </c>
      <c r="F783" t="s">
        <v>1623</v>
      </c>
      <c r="G783" t="s">
        <v>1907</v>
      </c>
    </row>
    <row r="784">
      <c r="A784" t="s">
        <v>3547</v>
      </c>
      <c r="B784" t="s">
        <v>3548</v>
      </c>
      <c r="C784" t="s">
        <v>1921</v>
      </c>
      <c r="D784" t="s">
        <v>2149</v>
      </c>
      <c r="E784" t="s">
        <v>3549</v>
      </c>
      <c r="F784" t="s">
        <v>1727</v>
      </c>
      <c r="G784" t="s">
        <v>1886</v>
      </c>
    </row>
    <row r="785">
      <c r="A785" t="s">
        <v>3547</v>
      </c>
      <c r="B785" t="s">
        <v>2329</v>
      </c>
      <c r="C785" t="s">
        <v>1968</v>
      </c>
      <c r="D785" t="s">
        <v>2027</v>
      </c>
      <c r="E785" t="s">
        <v>3550</v>
      </c>
      <c r="F785" t="s">
        <v>1669</v>
      </c>
      <c r="G785" t="s">
        <v>1910</v>
      </c>
    </row>
    <row r="786">
      <c r="A786" t="s">
        <v>3551</v>
      </c>
      <c r="B786" t="s">
        <v>3552</v>
      </c>
      <c r="C786" t="s">
        <v>1883</v>
      </c>
      <c r="D786" t="s">
        <v>2029</v>
      </c>
      <c r="E786" t="s">
        <v>3553</v>
      </c>
      <c r="F786" t="s">
        <v>1807</v>
      </c>
      <c r="G786" t="s">
        <v>1891</v>
      </c>
    </row>
    <row r="787">
      <c r="A787" t="s">
        <v>3551</v>
      </c>
      <c r="B787" t="s">
        <v>3144</v>
      </c>
      <c r="C787" t="s">
        <v>1888</v>
      </c>
      <c r="D787" t="s">
        <v>2070</v>
      </c>
      <c r="E787" t="s">
        <v>3554</v>
      </c>
      <c r="F787" t="s">
        <v>1567</v>
      </c>
      <c r="G787" t="s">
        <v>1896</v>
      </c>
    </row>
    <row r="788">
      <c r="A788" t="s">
        <v>3555</v>
      </c>
      <c r="B788" t="s">
        <v>2556</v>
      </c>
      <c r="C788" t="s">
        <v>1913</v>
      </c>
      <c r="D788" t="s">
        <v>1969</v>
      </c>
      <c r="E788" t="s">
        <v>3556</v>
      </c>
      <c r="F788" t="s">
        <v>1714</v>
      </c>
      <c r="G788" t="s">
        <v>1886</v>
      </c>
    </row>
    <row r="789">
      <c r="A789" t="s">
        <v>3555</v>
      </c>
      <c r="B789" t="s">
        <v>2439</v>
      </c>
      <c r="C789" t="s">
        <v>1883</v>
      </c>
      <c r="D789" t="s">
        <v>1972</v>
      </c>
      <c r="E789" t="s">
        <v>3557</v>
      </c>
      <c r="F789" t="s">
        <v>1616</v>
      </c>
      <c r="G789" t="s">
        <v>1907</v>
      </c>
    </row>
    <row r="790">
      <c r="A790" t="s">
        <v>3558</v>
      </c>
      <c r="B790" t="s">
        <v>2378</v>
      </c>
      <c r="C790" t="s">
        <v>1921</v>
      </c>
      <c r="D790" t="s">
        <v>1922</v>
      </c>
      <c r="E790" t="s">
        <v>3559</v>
      </c>
      <c r="F790" t="s">
        <v>1765</v>
      </c>
      <c r="G790" t="s">
        <v>1901</v>
      </c>
    </row>
    <row r="791">
      <c r="A791" t="s">
        <v>3558</v>
      </c>
      <c r="B791" t="s">
        <v>1298</v>
      </c>
      <c r="C791" t="s">
        <v>1898</v>
      </c>
      <c r="D791" t="s">
        <v>1899</v>
      </c>
      <c r="E791" t="s">
        <v>3560</v>
      </c>
      <c r="F791" t="s">
        <v>1849</v>
      </c>
      <c r="G791" t="s">
        <v>1910</v>
      </c>
    </row>
    <row r="792">
      <c r="A792" t="s">
        <v>3561</v>
      </c>
      <c r="B792" t="s">
        <v>2692</v>
      </c>
      <c r="C792" t="s">
        <v>1913</v>
      </c>
      <c r="D792" t="s">
        <v>1905</v>
      </c>
      <c r="E792" t="s">
        <v>3562</v>
      </c>
      <c r="F792" t="s">
        <v>1682</v>
      </c>
      <c r="G792" t="s">
        <v>1886</v>
      </c>
    </row>
    <row r="793">
      <c r="A793" t="s">
        <v>3561</v>
      </c>
      <c r="B793" t="s">
        <v>521</v>
      </c>
      <c r="C793" t="s">
        <v>1883</v>
      </c>
      <c r="D793" t="s">
        <v>1908</v>
      </c>
      <c r="E793" t="s">
        <v>3563</v>
      </c>
      <c r="F793" t="s">
        <v>1560</v>
      </c>
      <c r="G793" t="s">
        <v>1891</v>
      </c>
    </row>
    <row r="794">
      <c r="A794" t="s">
        <v>3564</v>
      </c>
      <c r="B794" t="s">
        <v>2991</v>
      </c>
      <c r="C794" t="s">
        <v>1888</v>
      </c>
      <c r="D794" t="s">
        <v>1947</v>
      </c>
      <c r="E794" t="s">
        <v>3565</v>
      </c>
      <c r="F794" t="s">
        <v>1795</v>
      </c>
      <c r="G794" t="s">
        <v>1896</v>
      </c>
    </row>
    <row r="795">
      <c r="A795" t="s">
        <v>3564</v>
      </c>
      <c r="B795" t="s">
        <v>2815</v>
      </c>
      <c r="C795" t="s">
        <v>1883</v>
      </c>
      <c r="D795" t="s">
        <v>1951</v>
      </c>
      <c r="E795" t="s">
        <v>3566</v>
      </c>
      <c r="F795" t="s">
        <v>1657</v>
      </c>
      <c r="G795" t="s">
        <v>1901</v>
      </c>
    </row>
    <row r="796">
      <c r="A796" t="s">
        <v>3567</v>
      </c>
      <c r="B796" t="s">
        <v>3297</v>
      </c>
      <c r="C796" t="s">
        <v>1893</v>
      </c>
      <c r="D796" t="s">
        <v>1954</v>
      </c>
      <c r="E796" t="s">
        <v>3568</v>
      </c>
      <c r="F796" t="s">
        <v>1739</v>
      </c>
      <c r="G796" t="s">
        <v>1907</v>
      </c>
    </row>
    <row r="797">
      <c r="A797" t="s">
        <v>3567</v>
      </c>
      <c r="B797" t="s">
        <v>3569</v>
      </c>
      <c r="C797" t="s">
        <v>1925</v>
      </c>
      <c r="D797" t="s">
        <v>1926</v>
      </c>
      <c r="E797" t="s">
        <v>3570</v>
      </c>
      <c r="F797" t="s">
        <v>1777</v>
      </c>
      <c r="G797" t="s">
        <v>1886</v>
      </c>
    </row>
    <row r="798">
      <c r="A798" t="s">
        <v>3571</v>
      </c>
      <c r="B798" t="s">
        <v>1042</v>
      </c>
      <c r="C798" t="s">
        <v>1888</v>
      </c>
      <c r="D798" t="s">
        <v>1917</v>
      </c>
      <c r="E798" t="s">
        <v>3572</v>
      </c>
      <c r="F798" t="s">
        <v>1843</v>
      </c>
      <c r="G798" t="s">
        <v>1910</v>
      </c>
    </row>
    <row r="799">
      <c r="A799" t="s">
        <v>3571</v>
      </c>
      <c r="B799" t="s">
        <v>3573</v>
      </c>
      <c r="C799" t="s">
        <v>1883</v>
      </c>
      <c r="D799" t="s">
        <v>1934</v>
      </c>
      <c r="E799" t="s">
        <v>3574</v>
      </c>
      <c r="F799" t="s">
        <v>1695</v>
      </c>
      <c r="G799" t="s">
        <v>1891</v>
      </c>
    </row>
    <row r="800">
      <c r="A800" t="s">
        <v>3575</v>
      </c>
      <c r="B800" t="s">
        <v>3576</v>
      </c>
      <c r="C800" t="s">
        <v>1913</v>
      </c>
      <c r="D800" t="s">
        <v>1914</v>
      </c>
      <c r="E800" t="s">
        <v>3577</v>
      </c>
      <c r="F800" t="s">
        <v>1825</v>
      </c>
      <c r="G800" t="s">
        <v>1896</v>
      </c>
    </row>
    <row r="801">
      <c r="A801" t="s">
        <v>3575</v>
      </c>
      <c r="B801" t="s">
        <v>1438</v>
      </c>
      <c r="C801" t="s">
        <v>1883</v>
      </c>
      <c r="D801" t="s">
        <v>1889</v>
      </c>
      <c r="E801" t="s">
        <v>3578</v>
      </c>
      <c r="F801" t="s">
        <v>1746</v>
      </c>
      <c r="G801" t="s">
        <v>1886</v>
      </c>
    </row>
    <row r="802">
      <c r="A802" t="s">
        <v>3579</v>
      </c>
      <c r="B802" t="s">
        <v>1214</v>
      </c>
      <c r="C802" t="s">
        <v>1921</v>
      </c>
      <c r="D802" t="s">
        <v>2149</v>
      </c>
      <c r="E802" t="s">
        <v>3580</v>
      </c>
      <c r="F802" t="s">
        <v>1629</v>
      </c>
      <c r="G802" t="s">
        <v>1907</v>
      </c>
    </row>
    <row r="803">
      <c r="A803" t="s">
        <v>3579</v>
      </c>
      <c r="B803" t="s">
        <v>3581</v>
      </c>
      <c r="C803" t="s">
        <v>1968</v>
      </c>
      <c r="D803" t="s">
        <v>2027</v>
      </c>
      <c r="E803" t="s">
        <v>3582</v>
      </c>
      <c r="F803" t="s">
        <v>1595</v>
      </c>
      <c r="G803" t="s">
        <v>1901</v>
      </c>
    </row>
    <row r="804">
      <c r="A804" t="s">
        <v>3583</v>
      </c>
      <c r="B804" t="s">
        <v>3584</v>
      </c>
      <c r="C804" t="s">
        <v>1883</v>
      </c>
      <c r="D804" t="s">
        <v>2029</v>
      </c>
      <c r="E804" t="s">
        <v>3585</v>
      </c>
      <c r="F804" t="s">
        <v>1702</v>
      </c>
      <c r="G804" t="s">
        <v>1910</v>
      </c>
    </row>
    <row r="805">
      <c r="A805" t="s">
        <v>3583</v>
      </c>
      <c r="B805" t="s">
        <v>653</v>
      </c>
      <c r="C805" t="s">
        <v>1888</v>
      </c>
      <c r="D805" t="s">
        <v>2070</v>
      </c>
      <c r="E805" t="s">
        <v>3586</v>
      </c>
      <c r="F805" t="s">
        <v>1837</v>
      </c>
      <c r="G805" t="s">
        <v>1886</v>
      </c>
    </row>
    <row r="806">
      <c r="A806" t="s">
        <v>3587</v>
      </c>
      <c r="B806" t="s">
        <v>2775</v>
      </c>
      <c r="C806" t="s">
        <v>1913</v>
      </c>
      <c r="D806" t="s">
        <v>1969</v>
      </c>
      <c r="E806" t="s">
        <v>3588</v>
      </c>
      <c r="F806" t="s">
        <v>1602</v>
      </c>
      <c r="G806" t="s">
        <v>1891</v>
      </c>
    </row>
    <row r="807">
      <c r="A807" t="s">
        <v>3587</v>
      </c>
      <c r="B807" t="s">
        <v>2349</v>
      </c>
      <c r="C807" t="s">
        <v>1883</v>
      </c>
      <c r="D807" t="s">
        <v>1972</v>
      </c>
      <c r="E807" t="s">
        <v>3589</v>
      </c>
      <c r="F807" t="s">
        <v>1752</v>
      </c>
      <c r="G807" t="s">
        <v>1896</v>
      </c>
    </row>
    <row r="808">
      <c r="A808" t="s">
        <v>3590</v>
      </c>
      <c r="B808" t="s">
        <v>1253</v>
      </c>
      <c r="C808" t="s">
        <v>1921</v>
      </c>
      <c r="D808" t="s">
        <v>1922</v>
      </c>
      <c r="E808" t="s">
        <v>3591</v>
      </c>
      <c r="F808" t="s">
        <v>1675</v>
      </c>
      <c r="G808" t="s">
        <v>1901</v>
      </c>
    </row>
    <row r="809">
      <c r="A809" t="s">
        <v>3590</v>
      </c>
      <c r="B809" t="s">
        <v>878</v>
      </c>
      <c r="C809" t="s">
        <v>1898</v>
      </c>
      <c r="D809" t="s">
        <v>1899</v>
      </c>
      <c r="E809" t="s">
        <v>3592</v>
      </c>
      <c r="F809" t="s">
        <v>1819</v>
      </c>
      <c r="G809" t="s">
        <v>1907</v>
      </c>
    </row>
    <row r="810">
      <c r="A810" t="s">
        <v>3593</v>
      </c>
      <c r="B810" t="s">
        <v>3471</v>
      </c>
      <c r="C810" t="s">
        <v>1913</v>
      </c>
      <c r="D810" t="s">
        <v>1905</v>
      </c>
      <c r="E810" t="s">
        <v>3594</v>
      </c>
      <c r="F810" t="s">
        <v>1581</v>
      </c>
      <c r="G810" t="s">
        <v>1886</v>
      </c>
    </row>
    <row r="811">
      <c r="A811" t="s">
        <v>3593</v>
      </c>
      <c r="B811" t="s">
        <v>2967</v>
      </c>
      <c r="C811" t="s">
        <v>1883</v>
      </c>
      <c r="D811" t="s">
        <v>1908</v>
      </c>
      <c r="E811" t="s">
        <v>3595</v>
      </c>
      <c r="F811" t="s">
        <v>1783</v>
      </c>
      <c r="G811" t="s">
        <v>1910</v>
      </c>
    </row>
    <row r="812">
      <c r="A812" t="s">
        <v>3596</v>
      </c>
      <c r="B812" t="s">
        <v>2386</v>
      </c>
      <c r="C812" t="s">
        <v>1888</v>
      </c>
      <c r="D812" t="s">
        <v>1947</v>
      </c>
      <c r="E812" t="s">
        <v>3597</v>
      </c>
      <c r="F812" t="s">
        <v>1643</v>
      </c>
      <c r="G812" t="s">
        <v>1891</v>
      </c>
    </row>
    <row r="813">
      <c r="A813" t="s">
        <v>3596</v>
      </c>
      <c r="B813" t="s">
        <v>1438</v>
      </c>
      <c r="C813" t="s">
        <v>1883</v>
      </c>
      <c r="D813" t="s">
        <v>1951</v>
      </c>
      <c r="E813" t="s">
        <v>3598</v>
      </c>
      <c r="F813" t="s">
        <v>1733</v>
      </c>
      <c r="G813" t="s">
        <v>1896</v>
      </c>
    </row>
    <row r="814">
      <c r="A814" t="s">
        <v>3599</v>
      </c>
      <c r="B814" t="s">
        <v>3390</v>
      </c>
      <c r="C814" t="s">
        <v>1893</v>
      </c>
      <c r="D814" t="s">
        <v>1954</v>
      </c>
      <c r="E814" t="s">
        <v>3600</v>
      </c>
      <c r="F814" t="s">
        <v>1609</v>
      </c>
      <c r="G814" t="s">
        <v>1886</v>
      </c>
    </row>
    <row r="815">
      <c r="A815" t="s">
        <v>3599</v>
      </c>
      <c r="B815" t="s">
        <v>2581</v>
      </c>
      <c r="C815" t="s">
        <v>1925</v>
      </c>
      <c r="D815" t="s">
        <v>1926</v>
      </c>
      <c r="E815" t="s">
        <v>3601</v>
      </c>
      <c r="F815" t="s">
        <v>1813</v>
      </c>
      <c r="G815" t="s">
        <v>1907</v>
      </c>
    </row>
    <row r="816">
      <c r="A816" t="s">
        <v>3602</v>
      </c>
      <c r="B816" t="s">
        <v>2527</v>
      </c>
      <c r="C816" t="s">
        <v>1888</v>
      </c>
      <c r="D816" t="s">
        <v>1917</v>
      </c>
      <c r="E816" t="s">
        <v>3603</v>
      </c>
      <c r="F816" t="s">
        <v>1663</v>
      </c>
      <c r="G816" t="s">
        <v>1901</v>
      </c>
    </row>
    <row r="817">
      <c r="A817" t="s">
        <v>3602</v>
      </c>
      <c r="B817" t="s">
        <v>3604</v>
      </c>
      <c r="C817" t="s">
        <v>1883</v>
      </c>
      <c r="D817" t="s">
        <v>1934</v>
      </c>
      <c r="E817" t="s">
        <v>3605</v>
      </c>
      <c r="F817" t="s">
        <v>1759</v>
      </c>
      <c r="G817" t="s">
        <v>1910</v>
      </c>
    </row>
    <row r="818">
      <c r="A818" t="s">
        <v>3606</v>
      </c>
      <c r="B818" t="s">
        <v>3607</v>
      </c>
      <c r="C818" t="s">
        <v>1913</v>
      </c>
      <c r="D818" t="s">
        <v>1914</v>
      </c>
      <c r="E818" t="s">
        <v>3608</v>
      </c>
      <c r="F818" t="s">
        <v>1861</v>
      </c>
      <c r="G818" t="s">
        <v>1886</v>
      </c>
    </row>
    <row r="819">
      <c r="A819" t="s">
        <v>3606</v>
      </c>
      <c r="B819" t="s">
        <v>2686</v>
      </c>
      <c r="C819" t="s">
        <v>1883</v>
      </c>
      <c r="D819" t="s">
        <v>1889</v>
      </c>
      <c r="E819" t="s">
        <v>3609</v>
      </c>
      <c r="F819" t="s">
        <v>1588</v>
      </c>
      <c r="G819" t="s">
        <v>1891</v>
      </c>
    </row>
    <row r="820">
      <c r="A820" t="s">
        <v>3610</v>
      </c>
      <c r="B820" t="s">
        <v>3611</v>
      </c>
      <c r="C820" t="s">
        <v>1921</v>
      </c>
      <c r="D820" t="s">
        <v>2149</v>
      </c>
      <c r="E820" t="s">
        <v>3612</v>
      </c>
      <c r="F820" t="s">
        <v>1708</v>
      </c>
      <c r="G820" t="s">
        <v>1896</v>
      </c>
    </row>
    <row r="821">
      <c r="A821" t="s">
        <v>3610</v>
      </c>
      <c r="B821" t="s">
        <v>3613</v>
      </c>
      <c r="C821" t="s">
        <v>1968</v>
      </c>
      <c r="D821" t="s">
        <v>2027</v>
      </c>
      <c r="E821" t="s">
        <v>3614</v>
      </c>
      <c r="F821" t="s">
        <v>1650</v>
      </c>
      <c r="G821" t="s">
        <v>1901</v>
      </c>
    </row>
    <row r="822">
      <c r="A822" t="s">
        <v>3615</v>
      </c>
      <c r="B822" t="s">
        <v>1078</v>
      </c>
      <c r="C822" t="s">
        <v>1883</v>
      </c>
      <c r="D822" t="s">
        <v>2029</v>
      </c>
      <c r="E822" t="s">
        <v>3616</v>
      </c>
      <c r="F822" t="s">
        <v>1789</v>
      </c>
      <c r="G822" t="s">
        <v>1907</v>
      </c>
    </row>
    <row r="823">
      <c r="A823" t="s">
        <v>3615</v>
      </c>
      <c r="B823" t="s">
        <v>2847</v>
      </c>
      <c r="C823" t="s">
        <v>1888</v>
      </c>
      <c r="D823" t="s">
        <v>2070</v>
      </c>
      <c r="E823" t="s">
        <v>3617</v>
      </c>
      <c r="F823" t="s">
        <v>1855</v>
      </c>
      <c r="G823" t="s">
        <v>1886</v>
      </c>
    </row>
    <row r="824">
      <c r="A824" t="s">
        <v>3618</v>
      </c>
      <c r="B824" t="s">
        <v>2267</v>
      </c>
      <c r="C824" t="s">
        <v>1913</v>
      </c>
      <c r="D824" t="s">
        <v>1969</v>
      </c>
      <c r="E824" t="s">
        <v>3619</v>
      </c>
      <c r="F824" t="s">
        <v>1574</v>
      </c>
      <c r="G824" t="s">
        <v>1910</v>
      </c>
    </row>
    <row r="825">
      <c r="A825" t="s">
        <v>3618</v>
      </c>
      <c r="B825" t="s">
        <v>3620</v>
      </c>
      <c r="C825" t="s">
        <v>1883</v>
      </c>
      <c r="D825" t="s">
        <v>1972</v>
      </c>
      <c r="E825" t="s">
        <v>3621</v>
      </c>
      <c r="F825" t="s">
        <v>1721</v>
      </c>
      <c r="G825" t="s">
        <v>1891</v>
      </c>
    </row>
    <row r="826">
      <c r="A826" t="s">
        <v>3622</v>
      </c>
      <c r="B826" t="s">
        <v>2766</v>
      </c>
      <c r="C826" t="s">
        <v>1921</v>
      </c>
      <c r="D826" t="s">
        <v>1922</v>
      </c>
      <c r="E826" t="s">
        <v>3623</v>
      </c>
      <c r="F826" t="s">
        <v>1636</v>
      </c>
      <c r="G826" t="s">
        <v>1896</v>
      </c>
    </row>
    <row r="827">
      <c r="A827" t="s">
        <v>3622</v>
      </c>
      <c r="B827" t="s">
        <v>1198</v>
      </c>
      <c r="C827" t="s">
        <v>1898</v>
      </c>
      <c r="D827" t="s">
        <v>1899</v>
      </c>
      <c r="E827" t="s">
        <v>3624</v>
      </c>
      <c r="F827" t="s">
        <v>1771</v>
      </c>
      <c r="G827" t="s">
        <v>1886</v>
      </c>
    </row>
    <row r="828">
      <c r="A828" t="s">
        <v>3625</v>
      </c>
      <c r="B828" t="s">
        <v>1036</v>
      </c>
      <c r="C828" t="s">
        <v>1913</v>
      </c>
      <c r="D828" t="s">
        <v>1905</v>
      </c>
      <c r="E828" t="s">
        <v>3626</v>
      </c>
      <c r="F828" t="s">
        <v>1831</v>
      </c>
      <c r="G828" t="s">
        <v>1907</v>
      </c>
    </row>
    <row r="829">
      <c r="A829" t="s">
        <v>3625</v>
      </c>
      <c r="B829" t="s">
        <v>3627</v>
      </c>
      <c r="C829" t="s">
        <v>1883</v>
      </c>
      <c r="D829" t="s">
        <v>1908</v>
      </c>
      <c r="E829" t="s">
        <v>3628</v>
      </c>
      <c r="F829" t="s">
        <v>1553</v>
      </c>
      <c r="G829" t="s">
        <v>1901</v>
      </c>
    </row>
    <row r="830">
      <c r="A830" t="s">
        <v>3629</v>
      </c>
      <c r="B830" t="s">
        <v>2632</v>
      </c>
      <c r="C830" t="s">
        <v>1888</v>
      </c>
      <c r="D830" t="s">
        <v>1947</v>
      </c>
      <c r="E830" t="s">
        <v>3630</v>
      </c>
      <c r="F830" t="s">
        <v>1688</v>
      </c>
      <c r="G830" t="s">
        <v>1910</v>
      </c>
    </row>
    <row r="831">
      <c r="A831" t="s">
        <v>3629</v>
      </c>
      <c r="B831" t="s">
        <v>2876</v>
      </c>
      <c r="C831" t="s">
        <v>1883</v>
      </c>
      <c r="D831" t="s">
        <v>1951</v>
      </c>
      <c r="E831" t="s">
        <v>3631</v>
      </c>
      <c r="F831" t="s">
        <v>1801</v>
      </c>
      <c r="G831" t="s">
        <v>1886</v>
      </c>
    </row>
    <row r="832">
      <c r="A832" t="s">
        <v>3632</v>
      </c>
      <c r="B832" t="s">
        <v>2923</v>
      </c>
      <c r="C832" t="s">
        <v>1893</v>
      </c>
      <c r="D832" t="s">
        <v>1954</v>
      </c>
      <c r="E832" t="s">
        <v>3633</v>
      </c>
      <c r="F832" t="s">
        <v>1867</v>
      </c>
      <c r="G832" t="s">
        <v>1891</v>
      </c>
    </row>
    <row r="833">
      <c r="A833" t="s">
        <v>3632</v>
      </c>
      <c r="B833" t="s">
        <v>1092</v>
      </c>
      <c r="C833" t="s">
        <v>1925</v>
      </c>
      <c r="D833" t="s">
        <v>1926</v>
      </c>
      <c r="E833" t="s">
        <v>3634</v>
      </c>
      <c r="F833" t="s">
        <v>1623</v>
      </c>
      <c r="G833" t="s">
        <v>1896</v>
      </c>
    </row>
    <row r="834">
      <c r="A834" t="s">
        <v>3635</v>
      </c>
      <c r="B834" t="s">
        <v>3142</v>
      </c>
      <c r="C834" t="s">
        <v>1888</v>
      </c>
      <c r="D834" t="s">
        <v>1917</v>
      </c>
      <c r="E834" t="s">
        <v>3636</v>
      </c>
      <c r="F834" t="s">
        <v>1727</v>
      </c>
      <c r="G834" t="s">
        <v>1901</v>
      </c>
    </row>
    <row r="835">
      <c r="A835" t="s">
        <v>3635</v>
      </c>
      <c r="B835" t="s">
        <v>3637</v>
      </c>
      <c r="C835" t="s">
        <v>1883</v>
      </c>
      <c r="D835" t="s">
        <v>1934</v>
      </c>
      <c r="E835" t="s">
        <v>3638</v>
      </c>
      <c r="F835" t="s">
        <v>1669</v>
      </c>
      <c r="G835" t="s">
        <v>1907</v>
      </c>
    </row>
    <row r="836">
      <c r="A836" t="s">
        <v>3639</v>
      </c>
      <c r="B836" t="s">
        <v>2556</v>
      </c>
      <c r="C836" t="s">
        <v>1913</v>
      </c>
      <c r="D836" t="s">
        <v>1914</v>
      </c>
      <c r="E836" t="s">
        <v>3640</v>
      </c>
      <c r="F836" t="s">
        <v>1807</v>
      </c>
      <c r="G836" t="s">
        <v>1886</v>
      </c>
    </row>
    <row r="837">
      <c r="A837" t="s">
        <v>3639</v>
      </c>
      <c r="B837" t="s">
        <v>2789</v>
      </c>
      <c r="C837" t="s">
        <v>1883</v>
      </c>
      <c r="D837" t="s">
        <v>1889</v>
      </c>
      <c r="E837" t="s">
        <v>3641</v>
      </c>
      <c r="F837" t="s">
        <v>1567</v>
      </c>
      <c r="G837" t="s">
        <v>1910</v>
      </c>
    </row>
    <row r="838">
      <c r="A838" t="s">
        <v>3642</v>
      </c>
      <c r="B838" t="s">
        <v>2534</v>
      </c>
      <c r="C838" t="s">
        <v>1921</v>
      </c>
      <c r="D838" t="s">
        <v>2149</v>
      </c>
      <c r="E838" t="s">
        <v>3643</v>
      </c>
      <c r="F838" t="s">
        <v>1714</v>
      </c>
      <c r="G838" t="s">
        <v>1891</v>
      </c>
    </row>
    <row r="839">
      <c r="A839" t="s">
        <v>3642</v>
      </c>
      <c r="B839" t="s">
        <v>3644</v>
      </c>
      <c r="C839" t="s">
        <v>1968</v>
      </c>
      <c r="D839" t="s">
        <v>2027</v>
      </c>
      <c r="E839" t="s">
        <v>3645</v>
      </c>
      <c r="F839" t="s">
        <v>1616</v>
      </c>
      <c r="G839" t="s">
        <v>1896</v>
      </c>
    </row>
    <row r="840">
      <c r="A840" t="s">
        <v>3646</v>
      </c>
      <c r="B840" t="s">
        <v>1125</v>
      </c>
      <c r="C840" t="s">
        <v>1883</v>
      </c>
      <c r="D840" t="s">
        <v>2029</v>
      </c>
      <c r="E840" t="s">
        <v>3647</v>
      </c>
      <c r="F840" t="s">
        <v>1765</v>
      </c>
      <c r="G840" t="s">
        <v>1886</v>
      </c>
    </row>
    <row r="841">
      <c r="A841" t="s">
        <v>3646</v>
      </c>
      <c r="B841" t="s">
        <v>3648</v>
      </c>
      <c r="C841" t="s">
        <v>1888</v>
      </c>
      <c r="D841" t="s">
        <v>2070</v>
      </c>
      <c r="E841" t="s">
        <v>3649</v>
      </c>
      <c r="F841" t="s">
        <v>1849</v>
      </c>
      <c r="G841" t="s">
        <v>1907</v>
      </c>
    </row>
    <row r="842">
      <c r="A842" t="s">
        <v>3650</v>
      </c>
      <c r="B842" t="s">
        <v>3499</v>
      </c>
      <c r="C842" t="s">
        <v>1913</v>
      </c>
      <c r="D842" t="s">
        <v>1969</v>
      </c>
      <c r="E842" t="s">
        <v>3651</v>
      </c>
      <c r="F842" t="s">
        <v>1682</v>
      </c>
      <c r="G842" t="s">
        <v>1901</v>
      </c>
    </row>
    <row r="843">
      <c r="A843" t="s">
        <v>3650</v>
      </c>
      <c r="B843" t="s">
        <v>2958</v>
      </c>
      <c r="C843" t="s">
        <v>1883</v>
      </c>
      <c r="D843" t="s">
        <v>1972</v>
      </c>
      <c r="E843" t="s">
        <v>3652</v>
      </c>
      <c r="F843" t="s">
        <v>1560</v>
      </c>
      <c r="G843" t="s">
        <v>1910</v>
      </c>
    </row>
    <row r="844">
      <c r="A844" t="s">
        <v>3653</v>
      </c>
      <c r="B844" t="s">
        <v>3515</v>
      </c>
      <c r="C844" t="s">
        <v>1921</v>
      </c>
      <c r="D844" t="s">
        <v>1922</v>
      </c>
      <c r="E844" t="s">
        <v>3654</v>
      </c>
      <c r="F844" t="s">
        <v>1795</v>
      </c>
      <c r="G844" t="s">
        <v>1886</v>
      </c>
    </row>
    <row r="845">
      <c r="A845" t="s">
        <v>3653</v>
      </c>
      <c r="B845" t="s">
        <v>2562</v>
      </c>
      <c r="C845" t="s">
        <v>1898</v>
      </c>
      <c r="D845" t="s">
        <v>1899</v>
      </c>
      <c r="E845" t="s">
        <v>3655</v>
      </c>
      <c r="F845" t="s">
        <v>1657</v>
      </c>
      <c r="G845" t="s">
        <v>1891</v>
      </c>
    </row>
    <row r="846">
      <c r="A846" t="s">
        <v>3656</v>
      </c>
      <c r="B846" t="s">
        <v>1017</v>
      </c>
      <c r="C846" t="s">
        <v>1913</v>
      </c>
      <c r="D846" t="s">
        <v>1905</v>
      </c>
      <c r="E846" t="s">
        <v>3657</v>
      </c>
      <c r="F846" t="s">
        <v>1739</v>
      </c>
      <c r="G846" t="s">
        <v>1896</v>
      </c>
    </row>
    <row r="847">
      <c r="A847" t="s">
        <v>3656</v>
      </c>
      <c r="B847" t="s">
        <v>3658</v>
      </c>
      <c r="C847" t="s">
        <v>1883</v>
      </c>
      <c r="D847" t="s">
        <v>1908</v>
      </c>
      <c r="E847" t="s">
        <v>3659</v>
      </c>
      <c r="F847" t="s">
        <v>1777</v>
      </c>
      <c r="G847" t="s">
        <v>1901</v>
      </c>
    </row>
    <row r="848">
      <c r="A848" t="s">
        <v>3660</v>
      </c>
      <c r="B848" t="s">
        <v>163</v>
      </c>
      <c r="C848" t="s">
        <v>1888</v>
      </c>
      <c r="D848" t="s">
        <v>1947</v>
      </c>
      <c r="E848" t="s">
        <v>3661</v>
      </c>
      <c r="F848" t="s">
        <v>1843</v>
      </c>
      <c r="G848" t="s">
        <v>1907</v>
      </c>
    </row>
    <row r="849">
      <c r="A849" t="s">
        <v>3660</v>
      </c>
      <c r="B849" t="s">
        <v>2864</v>
      </c>
      <c r="C849" t="s">
        <v>1883</v>
      </c>
      <c r="D849" t="s">
        <v>1951</v>
      </c>
      <c r="E849" t="s">
        <v>3662</v>
      </c>
      <c r="F849" t="s">
        <v>1695</v>
      </c>
      <c r="G849" t="s">
        <v>1886</v>
      </c>
    </row>
    <row r="850">
      <c r="A850" t="s">
        <v>3663</v>
      </c>
      <c r="B850" t="s">
        <v>1177</v>
      </c>
      <c r="C850" t="s">
        <v>1893</v>
      </c>
      <c r="D850" t="s">
        <v>1954</v>
      </c>
      <c r="E850" t="s">
        <v>3664</v>
      </c>
      <c r="F850" t="s">
        <v>1825</v>
      </c>
      <c r="G850" t="s">
        <v>1910</v>
      </c>
    </row>
    <row r="851">
      <c r="A851" t="s">
        <v>3663</v>
      </c>
      <c r="B851" t="s">
        <v>1304</v>
      </c>
      <c r="C851" t="s">
        <v>1925</v>
      </c>
      <c r="D851" t="s">
        <v>1926</v>
      </c>
      <c r="E851" t="s">
        <v>3665</v>
      </c>
      <c r="F851" t="s">
        <v>1746</v>
      </c>
      <c r="G851" t="s">
        <v>1891</v>
      </c>
    </row>
    <row r="852">
      <c r="A852" t="s">
        <v>3666</v>
      </c>
      <c r="B852" t="s">
        <v>2103</v>
      </c>
      <c r="C852" t="s">
        <v>1888</v>
      </c>
      <c r="D852" t="s">
        <v>1917</v>
      </c>
      <c r="E852" t="s">
        <v>3667</v>
      </c>
      <c r="F852" t="s">
        <v>1629</v>
      </c>
      <c r="G852" t="s">
        <v>1896</v>
      </c>
    </row>
    <row r="853">
      <c r="A853" t="s">
        <v>3666</v>
      </c>
      <c r="B853" t="s">
        <v>3668</v>
      </c>
      <c r="C853" t="s">
        <v>1883</v>
      </c>
      <c r="D853" t="s">
        <v>1934</v>
      </c>
      <c r="E853" t="s">
        <v>3669</v>
      </c>
      <c r="F853" t="s">
        <v>1595</v>
      </c>
      <c r="G853" t="s">
        <v>1886</v>
      </c>
    </row>
    <row r="854">
      <c r="A854" t="s">
        <v>3670</v>
      </c>
      <c r="B854" t="s">
        <v>3671</v>
      </c>
      <c r="C854" t="s">
        <v>1913</v>
      </c>
      <c r="D854" t="s">
        <v>1914</v>
      </c>
      <c r="E854" t="s">
        <v>3672</v>
      </c>
      <c r="F854" t="s">
        <v>1702</v>
      </c>
      <c r="G854" t="s">
        <v>1907</v>
      </c>
    </row>
    <row r="855">
      <c r="A855" t="s">
        <v>3670</v>
      </c>
      <c r="B855" t="s">
        <v>2723</v>
      </c>
      <c r="C855" t="s">
        <v>1883</v>
      </c>
      <c r="D855" t="s">
        <v>1889</v>
      </c>
      <c r="E855" t="s">
        <v>3673</v>
      </c>
      <c r="F855" t="s">
        <v>1837</v>
      </c>
      <c r="G855" t="s">
        <v>1901</v>
      </c>
    </row>
    <row r="856">
      <c r="A856" t="s">
        <v>3674</v>
      </c>
      <c r="B856" t="s">
        <v>3226</v>
      </c>
      <c r="C856" t="s">
        <v>1921</v>
      </c>
      <c r="D856" t="s">
        <v>2149</v>
      </c>
      <c r="E856" t="s">
        <v>3675</v>
      </c>
      <c r="F856" t="s">
        <v>1602</v>
      </c>
      <c r="G856" t="s">
        <v>1910</v>
      </c>
    </row>
    <row r="857">
      <c r="A857" t="s">
        <v>3674</v>
      </c>
      <c r="B857" t="s">
        <v>2244</v>
      </c>
      <c r="C857" t="s">
        <v>1968</v>
      </c>
      <c r="D857" t="s">
        <v>2027</v>
      </c>
      <c r="E857" t="s">
        <v>3676</v>
      </c>
      <c r="F857" t="s">
        <v>1752</v>
      </c>
      <c r="G857" t="s">
        <v>1886</v>
      </c>
    </row>
    <row r="858">
      <c r="A858" t="s">
        <v>3677</v>
      </c>
      <c r="B858" t="s">
        <v>2219</v>
      </c>
      <c r="C858" t="s">
        <v>1883</v>
      </c>
      <c r="D858" t="s">
        <v>2029</v>
      </c>
      <c r="E858" t="s">
        <v>3678</v>
      </c>
      <c r="F858" t="s">
        <v>1675</v>
      </c>
      <c r="G858" t="s">
        <v>1891</v>
      </c>
    </row>
    <row r="859">
      <c r="A859" t="s">
        <v>3677</v>
      </c>
      <c r="B859" t="s">
        <v>3209</v>
      </c>
      <c r="C859" t="s">
        <v>1888</v>
      </c>
      <c r="D859" t="s">
        <v>2070</v>
      </c>
      <c r="E859" t="s">
        <v>3679</v>
      </c>
      <c r="F859" t="s">
        <v>1819</v>
      </c>
      <c r="G859" t="s">
        <v>1896</v>
      </c>
    </row>
    <row r="860">
      <c r="A860" t="s">
        <v>3680</v>
      </c>
      <c r="B860" t="s">
        <v>3681</v>
      </c>
      <c r="C860" t="s">
        <v>1913</v>
      </c>
      <c r="D860" t="s">
        <v>1969</v>
      </c>
      <c r="E860" t="s">
        <v>3682</v>
      </c>
      <c r="F860" t="s">
        <v>1581</v>
      </c>
      <c r="G860" t="s">
        <v>1901</v>
      </c>
    </row>
    <row r="861">
      <c r="A861" t="s">
        <v>3680</v>
      </c>
      <c r="B861" t="s">
        <v>2686</v>
      </c>
      <c r="C861" t="s">
        <v>1883</v>
      </c>
      <c r="D861" t="s">
        <v>1972</v>
      </c>
      <c r="E861" t="s">
        <v>3683</v>
      </c>
      <c r="F861" t="s">
        <v>1783</v>
      </c>
      <c r="G861" t="s">
        <v>1907</v>
      </c>
    </row>
    <row r="862">
      <c r="A862" t="s">
        <v>3684</v>
      </c>
      <c r="B862" t="s">
        <v>2726</v>
      </c>
      <c r="C862" t="s">
        <v>1921</v>
      </c>
      <c r="D862" t="s">
        <v>1922</v>
      </c>
      <c r="E862" t="s">
        <v>3685</v>
      </c>
      <c r="F862" t="s">
        <v>1643</v>
      </c>
      <c r="G862" t="s">
        <v>1886</v>
      </c>
    </row>
    <row r="863">
      <c r="A863" t="s">
        <v>3684</v>
      </c>
      <c r="B863" t="s">
        <v>3686</v>
      </c>
      <c r="C863" t="s">
        <v>1898</v>
      </c>
      <c r="D863" t="s">
        <v>1899</v>
      </c>
      <c r="E863" t="s">
        <v>3687</v>
      </c>
      <c r="F863" t="s">
        <v>1733</v>
      </c>
      <c r="G863" t="s">
        <v>1910</v>
      </c>
    </row>
    <row r="864">
      <c r="A864" t="s">
        <v>3688</v>
      </c>
      <c r="B864" t="s">
        <v>1078</v>
      </c>
      <c r="C864" t="s">
        <v>1913</v>
      </c>
      <c r="D864" t="s">
        <v>1905</v>
      </c>
      <c r="E864" t="s">
        <v>3689</v>
      </c>
      <c r="F864" t="s">
        <v>1609</v>
      </c>
      <c r="G864" t="s">
        <v>1891</v>
      </c>
    </row>
    <row r="865">
      <c r="A865" t="s">
        <v>3688</v>
      </c>
      <c r="B865" t="s">
        <v>565</v>
      </c>
      <c r="C865" t="s">
        <v>1883</v>
      </c>
      <c r="D865" t="s">
        <v>1908</v>
      </c>
      <c r="E865" t="s">
        <v>3690</v>
      </c>
      <c r="F865" t="s">
        <v>1813</v>
      </c>
      <c r="G865" t="s">
        <v>1896</v>
      </c>
    </row>
    <row r="866">
      <c r="A866" t="s">
        <v>3691</v>
      </c>
      <c r="B866" t="s">
        <v>3269</v>
      </c>
      <c r="C866" t="s">
        <v>1888</v>
      </c>
      <c r="D866" t="s">
        <v>1947</v>
      </c>
      <c r="E866" t="s">
        <v>3692</v>
      </c>
      <c r="F866" t="s">
        <v>1663</v>
      </c>
      <c r="G866" t="s">
        <v>1886</v>
      </c>
    </row>
    <row r="867">
      <c r="A867" t="s">
        <v>3691</v>
      </c>
      <c r="B867" t="s">
        <v>1930</v>
      </c>
      <c r="C867" t="s">
        <v>1883</v>
      </c>
      <c r="D867" t="s">
        <v>1951</v>
      </c>
      <c r="E867" t="s">
        <v>3693</v>
      </c>
      <c r="F867" t="s">
        <v>1759</v>
      </c>
      <c r="G867" t="s">
        <v>1907</v>
      </c>
    </row>
    <row r="868">
      <c r="A868" t="s">
        <v>3694</v>
      </c>
      <c r="B868" t="s">
        <v>3285</v>
      </c>
      <c r="C868" t="s">
        <v>1893</v>
      </c>
      <c r="D868" t="s">
        <v>1954</v>
      </c>
      <c r="E868" t="s">
        <v>3695</v>
      </c>
      <c r="F868" t="s">
        <v>1861</v>
      </c>
      <c r="G868" t="s">
        <v>1901</v>
      </c>
    </row>
    <row r="869">
      <c r="A869" t="s">
        <v>3694</v>
      </c>
      <c r="B869" t="s">
        <v>3369</v>
      </c>
      <c r="C869" t="s">
        <v>1925</v>
      </c>
      <c r="D869" t="s">
        <v>1926</v>
      </c>
      <c r="E869" t="s">
        <v>3696</v>
      </c>
      <c r="F869" t="s">
        <v>1588</v>
      </c>
      <c r="G869" t="s">
        <v>1910</v>
      </c>
    </row>
    <row r="870">
      <c r="A870" t="s">
        <v>3697</v>
      </c>
      <c r="B870" t="s">
        <v>3698</v>
      </c>
      <c r="C870" t="s">
        <v>1888</v>
      </c>
      <c r="D870" t="s">
        <v>1917</v>
      </c>
      <c r="E870" t="s">
        <v>3699</v>
      </c>
      <c r="F870" t="s">
        <v>1708</v>
      </c>
      <c r="G870" t="s">
        <v>1886</v>
      </c>
    </row>
    <row r="871">
      <c r="A871" t="s">
        <v>3697</v>
      </c>
      <c r="B871" t="s">
        <v>2168</v>
      </c>
      <c r="C871" t="s">
        <v>1883</v>
      </c>
      <c r="D871" t="s">
        <v>1934</v>
      </c>
      <c r="E871" t="s">
        <v>3700</v>
      </c>
      <c r="F871" t="s">
        <v>1650</v>
      </c>
      <c r="G871" t="s">
        <v>1891</v>
      </c>
    </row>
    <row r="872">
      <c r="A872" t="s">
        <v>3701</v>
      </c>
      <c r="B872" t="s">
        <v>3476</v>
      </c>
      <c r="C872" t="s">
        <v>1913</v>
      </c>
      <c r="D872" t="s">
        <v>1914</v>
      </c>
      <c r="E872" t="s">
        <v>3702</v>
      </c>
      <c r="F872" t="s">
        <v>1789</v>
      </c>
      <c r="G872" t="s">
        <v>1896</v>
      </c>
    </row>
    <row r="873">
      <c r="A873" t="s">
        <v>3701</v>
      </c>
      <c r="B873" t="s">
        <v>2876</v>
      </c>
      <c r="C873" t="s">
        <v>1883</v>
      </c>
      <c r="D873" t="s">
        <v>1889</v>
      </c>
      <c r="E873" t="s">
        <v>3703</v>
      </c>
      <c r="F873" t="s">
        <v>1855</v>
      </c>
      <c r="G873" t="s">
        <v>1901</v>
      </c>
    </row>
    <row r="874">
      <c r="A874" t="s">
        <v>3704</v>
      </c>
      <c r="B874" t="s">
        <v>3085</v>
      </c>
      <c r="C874" t="s">
        <v>1921</v>
      </c>
      <c r="D874" t="s">
        <v>2149</v>
      </c>
      <c r="E874" t="s">
        <v>3705</v>
      </c>
      <c r="F874" t="s">
        <v>1574</v>
      </c>
      <c r="G874" t="s">
        <v>1907</v>
      </c>
    </row>
    <row r="875">
      <c r="A875" t="s">
        <v>3704</v>
      </c>
      <c r="B875" t="s">
        <v>3706</v>
      </c>
      <c r="C875" t="s">
        <v>1968</v>
      </c>
      <c r="D875" t="s">
        <v>2027</v>
      </c>
      <c r="E875" t="s">
        <v>3707</v>
      </c>
      <c r="F875" t="s">
        <v>1721</v>
      </c>
      <c r="G875" t="s">
        <v>1886</v>
      </c>
    </row>
    <row r="876">
      <c r="A876" t="s">
        <v>3708</v>
      </c>
      <c r="B876" t="s">
        <v>2583</v>
      </c>
      <c r="C876" t="s">
        <v>1883</v>
      </c>
      <c r="D876" t="s">
        <v>2029</v>
      </c>
      <c r="E876" t="s">
        <v>3709</v>
      </c>
      <c r="F876" t="s">
        <v>1636</v>
      </c>
      <c r="G876" t="s">
        <v>1910</v>
      </c>
    </row>
    <row r="877">
      <c r="A877" t="s">
        <v>3708</v>
      </c>
      <c r="B877" t="s">
        <v>3637</v>
      </c>
      <c r="C877" t="s">
        <v>1888</v>
      </c>
      <c r="D877" t="s">
        <v>2070</v>
      </c>
      <c r="E877" t="s">
        <v>3710</v>
      </c>
      <c r="F877" t="s">
        <v>1771</v>
      </c>
      <c r="G877" t="s">
        <v>1891</v>
      </c>
    </row>
    <row r="878">
      <c r="A878" t="s">
        <v>3711</v>
      </c>
      <c r="B878" t="s">
        <v>449</v>
      </c>
      <c r="C878" t="s">
        <v>1913</v>
      </c>
      <c r="D878" t="s">
        <v>1969</v>
      </c>
      <c r="E878" t="s">
        <v>3712</v>
      </c>
      <c r="F878" t="s">
        <v>1831</v>
      </c>
      <c r="G878" t="s">
        <v>1896</v>
      </c>
    </row>
    <row r="879">
      <c r="A879" t="s">
        <v>3711</v>
      </c>
      <c r="B879" t="s">
        <v>2944</v>
      </c>
      <c r="C879" t="s">
        <v>1883</v>
      </c>
      <c r="D879" t="s">
        <v>1972</v>
      </c>
      <c r="E879" t="s">
        <v>3713</v>
      </c>
      <c r="F879" t="s">
        <v>1553</v>
      </c>
      <c r="G879" t="s">
        <v>1886</v>
      </c>
    </row>
    <row r="880">
      <c r="A880" t="s">
        <v>3714</v>
      </c>
      <c r="B880" t="s">
        <v>3715</v>
      </c>
      <c r="C880" t="s">
        <v>1921</v>
      </c>
      <c r="D880" t="s">
        <v>1922</v>
      </c>
      <c r="E880" t="s">
        <v>3716</v>
      </c>
      <c r="F880" t="s">
        <v>1688</v>
      </c>
      <c r="G880" t="s">
        <v>1907</v>
      </c>
    </row>
    <row r="881">
      <c r="A881" t="s">
        <v>3714</v>
      </c>
      <c r="B881" t="s">
        <v>927</v>
      </c>
      <c r="C881" t="s">
        <v>1898</v>
      </c>
      <c r="D881" t="s">
        <v>1899</v>
      </c>
      <c r="E881" t="s">
        <v>3717</v>
      </c>
      <c r="F881" t="s">
        <v>1801</v>
      </c>
      <c r="G881" t="s">
        <v>1901</v>
      </c>
    </row>
    <row r="882">
      <c r="A882" t="s">
        <v>3718</v>
      </c>
      <c r="B882" t="s">
        <v>1284</v>
      </c>
      <c r="C882" t="s">
        <v>1913</v>
      </c>
      <c r="D882" t="s">
        <v>1905</v>
      </c>
      <c r="E882" t="s">
        <v>3719</v>
      </c>
      <c r="F882" t="s">
        <v>1867</v>
      </c>
      <c r="G882" t="s">
        <v>1910</v>
      </c>
    </row>
    <row r="883">
      <c r="A883" t="s">
        <v>3718</v>
      </c>
      <c r="B883" t="s">
        <v>3720</v>
      </c>
      <c r="C883" t="s">
        <v>1883</v>
      </c>
      <c r="D883" t="s">
        <v>1908</v>
      </c>
      <c r="E883" t="s">
        <v>3721</v>
      </c>
      <c r="F883" t="s">
        <v>1623</v>
      </c>
      <c r="G883" t="s">
        <v>1886</v>
      </c>
    </row>
    <row r="884">
      <c r="A884" t="s">
        <v>3722</v>
      </c>
      <c r="B884" t="s">
        <v>3353</v>
      </c>
      <c r="C884" t="s">
        <v>1888</v>
      </c>
      <c r="D884" t="s">
        <v>1947</v>
      </c>
      <c r="E884" t="s">
        <v>3723</v>
      </c>
      <c r="F884" t="s">
        <v>1727</v>
      </c>
      <c r="G884" t="s">
        <v>1891</v>
      </c>
    </row>
    <row r="885">
      <c r="A885" t="s">
        <v>3722</v>
      </c>
      <c r="B885" t="s">
        <v>1438</v>
      </c>
      <c r="C885" t="s">
        <v>1883</v>
      </c>
      <c r="D885" t="s">
        <v>1951</v>
      </c>
      <c r="E885" t="s">
        <v>3724</v>
      </c>
      <c r="F885" t="s">
        <v>1669</v>
      </c>
      <c r="G885" t="s">
        <v>1896</v>
      </c>
    </row>
    <row r="886">
      <c r="A886" t="s">
        <v>3725</v>
      </c>
      <c r="B886" t="s">
        <v>3726</v>
      </c>
      <c r="C886" t="s">
        <v>1893</v>
      </c>
      <c r="D886" t="s">
        <v>1954</v>
      </c>
      <c r="E886" t="s">
        <v>3727</v>
      </c>
      <c r="F886" t="s">
        <v>1807</v>
      </c>
      <c r="G886" t="s">
        <v>1901</v>
      </c>
    </row>
    <row r="887">
      <c r="A887" t="s">
        <v>3725</v>
      </c>
      <c r="B887" t="s">
        <v>3728</v>
      </c>
      <c r="C887" t="s">
        <v>1925</v>
      </c>
      <c r="D887" t="s">
        <v>1926</v>
      </c>
      <c r="E887" t="s">
        <v>3729</v>
      </c>
      <c r="F887" t="s">
        <v>1567</v>
      </c>
      <c r="G887" t="s">
        <v>1907</v>
      </c>
    </row>
    <row r="888">
      <c r="A888" t="s">
        <v>3730</v>
      </c>
      <c r="B888" t="s">
        <v>3416</v>
      </c>
      <c r="C888" t="s">
        <v>1888</v>
      </c>
      <c r="D888" t="s">
        <v>1917</v>
      </c>
      <c r="E888" t="s">
        <v>3731</v>
      </c>
      <c r="F888" t="s">
        <v>1714</v>
      </c>
      <c r="G888" t="s">
        <v>1886</v>
      </c>
    </row>
    <row r="889">
      <c r="A889" t="s">
        <v>3730</v>
      </c>
      <c r="B889" t="s">
        <v>2654</v>
      </c>
      <c r="C889" t="s">
        <v>1883</v>
      </c>
      <c r="D889" t="s">
        <v>1934</v>
      </c>
      <c r="E889" t="s">
        <v>3732</v>
      </c>
      <c r="F889" t="s">
        <v>1616</v>
      </c>
      <c r="G889" t="s">
        <v>1910</v>
      </c>
    </row>
    <row r="890">
      <c r="A890" t="s">
        <v>3733</v>
      </c>
      <c r="B890" t="s">
        <v>3734</v>
      </c>
      <c r="C890" t="s">
        <v>1913</v>
      </c>
      <c r="D890" t="s">
        <v>1914</v>
      </c>
      <c r="E890" t="s">
        <v>3735</v>
      </c>
      <c r="F890" t="s">
        <v>1765</v>
      </c>
      <c r="G890" t="s">
        <v>1891</v>
      </c>
    </row>
    <row r="891">
      <c r="A891" t="s">
        <v>3733</v>
      </c>
      <c r="B891" t="s">
        <v>3003</v>
      </c>
      <c r="C891" t="s">
        <v>1883</v>
      </c>
      <c r="D891" t="s">
        <v>1889</v>
      </c>
      <c r="E891" t="s">
        <v>3736</v>
      </c>
      <c r="F891" t="s">
        <v>1849</v>
      </c>
      <c r="G891" t="s">
        <v>1896</v>
      </c>
    </row>
    <row r="892">
      <c r="A892" t="s">
        <v>3737</v>
      </c>
      <c r="B892" t="s">
        <v>1265</v>
      </c>
      <c r="C892" t="s">
        <v>1921</v>
      </c>
      <c r="D892" t="s">
        <v>2149</v>
      </c>
      <c r="E892" t="s">
        <v>3738</v>
      </c>
      <c r="F892" t="s">
        <v>1682</v>
      </c>
      <c r="G892" t="s">
        <v>1886</v>
      </c>
    </row>
    <row r="893">
      <c r="A893" t="s">
        <v>3737</v>
      </c>
      <c r="B893" t="s">
        <v>2405</v>
      </c>
      <c r="C893" t="s">
        <v>1968</v>
      </c>
      <c r="D893" t="s">
        <v>2027</v>
      </c>
      <c r="E893" t="s">
        <v>3739</v>
      </c>
      <c r="F893" t="s">
        <v>1560</v>
      </c>
      <c r="G893" t="s">
        <v>1907</v>
      </c>
    </row>
    <row r="894">
      <c r="A894" t="s">
        <v>3740</v>
      </c>
      <c r="B894" t="s">
        <v>1940</v>
      </c>
      <c r="C894" t="s">
        <v>1883</v>
      </c>
      <c r="D894" t="s">
        <v>2029</v>
      </c>
      <c r="E894" t="s">
        <v>3741</v>
      </c>
      <c r="F894" t="s">
        <v>1795</v>
      </c>
      <c r="G894" t="s">
        <v>1901</v>
      </c>
    </row>
    <row r="895">
      <c r="A895" t="s">
        <v>3740</v>
      </c>
      <c r="B895" t="s">
        <v>3742</v>
      </c>
      <c r="C895" t="s">
        <v>1888</v>
      </c>
      <c r="D895" t="s">
        <v>2070</v>
      </c>
      <c r="E895" t="s">
        <v>3743</v>
      </c>
      <c r="F895" t="s">
        <v>1657</v>
      </c>
      <c r="G895" t="s">
        <v>1910</v>
      </c>
    </row>
    <row r="896">
      <c r="A896" t="s">
        <v>3744</v>
      </c>
      <c r="B896" t="s">
        <v>3745</v>
      </c>
      <c r="C896" t="s">
        <v>1913</v>
      </c>
      <c r="D896" t="s">
        <v>1969</v>
      </c>
      <c r="E896" t="s">
        <v>3746</v>
      </c>
      <c r="F896" t="s">
        <v>1739</v>
      </c>
      <c r="G896" t="s">
        <v>1886</v>
      </c>
    </row>
    <row r="897">
      <c r="A897" t="s">
        <v>3744</v>
      </c>
      <c r="B897" t="s">
        <v>2075</v>
      </c>
      <c r="C897" t="s">
        <v>1883</v>
      </c>
      <c r="D897" t="s">
        <v>1972</v>
      </c>
      <c r="E897" t="s">
        <v>3747</v>
      </c>
      <c r="F897" t="s">
        <v>1777</v>
      </c>
      <c r="G897" t="s">
        <v>1891</v>
      </c>
    </row>
    <row r="898">
      <c r="A898" t="s">
        <v>3748</v>
      </c>
      <c r="B898" t="s">
        <v>3226</v>
      </c>
      <c r="C898" t="s">
        <v>1921</v>
      </c>
      <c r="D898" t="s">
        <v>1922</v>
      </c>
      <c r="E898" t="s">
        <v>3749</v>
      </c>
      <c r="F898" t="s">
        <v>1843</v>
      </c>
      <c r="G898" t="s">
        <v>1896</v>
      </c>
    </row>
    <row r="899">
      <c r="A899" t="s">
        <v>3748</v>
      </c>
      <c r="B899" t="s">
        <v>749</v>
      </c>
      <c r="C899" t="s">
        <v>1898</v>
      </c>
      <c r="D899" t="s">
        <v>1899</v>
      </c>
      <c r="E899" t="s">
        <v>3750</v>
      </c>
      <c r="F899" t="s">
        <v>1695</v>
      </c>
      <c r="G899" t="s">
        <v>1901</v>
      </c>
    </row>
    <row r="900">
      <c r="A900" t="s">
        <v>3751</v>
      </c>
      <c r="B900" t="s">
        <v>3752</v>
      </c>
      <c r="C900" t="s">
        <v>1913</v>
      </c>
      <c r="D900" t="s">
        <v>1905</v>
      </c>
      <c r="E900" t="s">
        <v>3753</v>
      </c>
      <c r="F900" t="s">
        <v>1825</v>
      </c>
      <c r="G900" t="s">
        <v>1907</v>
      </c>
    </row>
    <row r="901">
      <c r="A901" t="s">
        <v>3751</v>
      </c>
      <c r="B901" t="s">
        <v>1993</v>
      </c>
      <c r="C901" t="s">
        <v>1883</v>
      </c>
      <c r="D901" t="s">
        <v>1908</v>
      </c>
      <c r="E901" t="s">
        <v>3754</v>
      </c>
      <c r="F901" t="s">
        <v>1746</v>
      </c>
      <c r="G901" t="s">
        <v>1886</v>
      </c>
    </row>
    <row r="902">
      <c r="A902" t="s">
        <v>3755</v>
      </c>
      <c r="B902" t="s">
        <v>262</v>
      </c>
      <c r="C902" t="s">
        <v>1888</v>
      </c>
      <c r="D902" t="s">
        <v>1947</v>
      </c>
      <c r="E902" t="s">
        <v>3756</v>
      </c>
      <c r="F902" t="s">
        <v>1629</v>
      </c>
      <c r="G902" t="s">
        <v>1910</v>
      </c>
    </row>
    <row r="903">
      <c r="A903" t="s">
        <v>3755</v>
      </c>
      <c r="B903" t="s">
        <v>3432</v>
      </c>
      <c r="C903" t="s">
        <v>1883</v>
      </c>
      <c r="D903" t="s">
        <v>1951</v>
      </c>
      <c r="E903" t="s">
        <v>3757</v>
      </c>
      <c r="F903" t="s">
        <v>1595</v>
      </c>
      <c r="G903" t="s">
        <v>1891</v>
      </c>
    </row>
    <row r="904">
      <c r="A904" t="s">
        <v>3758</v>
      </c>
      <c r="B904" t="s">
        <v>3085</v>
      </c>
      <c r="C904" t="s">
        <v>1893</v>
      </c>
      <c r="D904" t="s">
        <v>1954</v>
      </c>
      <c r="E904" t="s">
        <v>3759</v>
      </c>
      <c r="F904" t="s">
        <v>1702</v>
      </c>
      <c r="G904" t="s">
        <v>1896</v>
      </c>
    </row>
    <row r="905">
      <c r="A905" t="s">
        <v>3758</v>
      </c>
      <c r="B905" t="s">
        <v>3760</v>
      </c>
      <c r="C905" t="s">
        <v>1925</v>
      </c>
      <c r="D905" t="s">
        <v>1926</v>
      </c>
      <c r="E905" t="s">
        <v>3761</v>
      </c>
      <c r="F905" t="s">
        <v>1837</v>
      </c>
      <c r="G905" t="s">
        <v>1886</v>
      </c>
    </row>
    <row r="906">
      <c r="A906" t="s">
        <v>3762</v>
      </c>
      <c r="B906" t="s">
        <v>3763</v>
      </c>
      <c r="C906" t="s">
        <v>1888</v>
      </c>
      <c r="D906" t="s">
        <v>1917</v>
      </c>
      <c r="E906" t="s">
        <v>3764</v>
      </c>
      <c r="F906" t="s">
        <v>1602</v>
      </c>
      <c r="G906" t="s">
        <v>1907</v>
      </c>
    </row>
    <row r="907">
      <c r="A907" t="s">
        <v>3762</v>
      </c>
      <c r="B907" t="s">
        <v>2824</v>
      </c>
      <c r="C907" t="s">
        <v>1883</v>
      </c>
      <c r="D907" t="s">
        <v>1934</v>
      </c>
      <c r="E907" t="s">
        <v>3765</v>
      </c>
      <c r="F907" t="s">
        <v>1752</v>
      </c>
      <c r="G907" t="s">
        <v>1901</v>
      </c>
    </row>
    <row r="908">
      <c r="A908" t="s">
        <v>3766</v>
      </c>
      <c r="B908" t="s">
        <v>3767</v>
      </c>
      <c r="C908" t="s">
        <v>1913</v>
      </c>
      <c r="D908" t="s">
        <v>1914</v>
      </c>
      <c r="E908" t="s">
        <v>3768</v>
      </c>
      <c r="F908" t="s">
        <v>1675</v>
      </c>
      <c r="G908" t="s">
        <v>1910</v>
      </c>
    </row>
    <row r="909">
      <c r="A909" t="s">
        <v>3766</v>
      </c>
      <c r="B909" t="s">
        <v>3769</v>
      </c>
      <c r="C909" t="s">
        <v>1883</v>
      </c>
      <c r="D909" t="s">
        <v>1889</v>
      </c>
      <c r="E909" t="s">
        <v>3770</v>
      </c>
      <c r="F909" t="s">
        <v>1819</v>
      </c>
      <c r="G909" t="s">
        <v>1886</v>
      </c>
    </row>
    <row r="910">
      <c r="A910" t="s">
        <v>3771</v>
      </c>
      <c r="B910" t="s">
        <v>2890</v>
      </c>
      <c r="C910" t="s">
        <v>1921</v>
      </c>
      <c r="D910" t="s">
        <v>2149</v>
      </c>
      <c r="E910" t="s">
        <v>3772</v>
      </c>
      <c r="F910" t="s">
        <v>1581</v>
      </c>
      <c r="G910" t="s">
        <v>1891</v>
      </c>
    </row>
    <row r="911">
      <c r="A911" t="s">
        <v>3771</v>
      </c>
      <c r="B911" t="s">
        <v>2444</v>
      </c>
      <c r="C911" t="s">
        <v>1968</v>
      </c>
      <c r="D911" t="s">
        <v>2027</v>
      </c>
      <c r="E911" t="s">
        <v>3773</v>
      </c>
      <c r="F911" t="s">
        <v>1783</v>
      </c>
      <c r="G911" t="s">
        <v>1896</v>
      </c>
    </row>
    <row r="912">
      <c r="A912" t="s">
        <v>3774</v>
      </c>
      <c r="B912" t="s">
        <v>2744</v>
      </c>
      <c r="C912" t="s">
        <v>1883</v>
      </c>
      <c r="D912" t="s">
        <v>2029</v>
      </c>
      <c r="E912" t="s">
        <v>3775</v>
      </c>
      <c r="F912" t="s">
        <v>1643</v>
      </c>
      <c r="G912" t="s">
        <v>1901</v>
      </c>
    </row>
    <row r="913">
      <c r="A913" t="s">
        <v>3774</v>
      </c>
      <c r="B913" t="s">
        <v>3776</v>
      </c>
      <c r="C913" t="s">
        <v>1888</v>
      </c>
      <c r="D913" t="s">
        <v>2070</v>
      </c>
      <c r="E913" t="s">
        <v>3777</v>
      </c>
      <c r="F913" t="s">
        <v>1733</v>
      </c>
      <c r="G913" t="s">
        <v>1907</v>
      </c>
    </row>
    <row r="914">
      <c r="A914" t="s">
        <v>3778</v>
      </c>
      <c r="B914" t="s">
        <v>3779</v>
      </c>
      <c r="C914" t="s">
        <v>1913</v>
      </c>
      <c r="D914" t="s">
        <v>1969</v>
      </c>
      <c r="E914" t="s">
        <v>3780</v>
      </c>
      <c r="F914" t="s">
        <v>1609</v>
      </c>
      <c r="G914" t="s">
        <v>1886</v>
      </c>
    </row>
    <row r="915">
      <c r="A915" t="s">
        <v>3778</v>
      </c>
      <c r="B915" t="s">
        <v>1502</v>
      </c>
      <c r="C915" t="s">
        <v>1883</v>
      </c>
      <c r="D915" t="s">
        <v>1972</v>
      </c>
      <c r="E915" t="s">
        <v>3781</v>
      </c>
      <c r="F915" t="s">
        <v>1813</v>
      </c>
      <c r="G915" t="s">
        <v>1910</v>
      </c>
    </row>
    <row r="916">
      <c r="A916" t="s">
        <v>3782</v>
      </c>
      <c r="B916" t="s">
        <v>2534</v>
      </c>
      <c r="C916" t="s">
        <v>1921</v>
      </c>
      <c r="D916" t="s">
        <v>1922</v>
      </c>
      <c r="E916" t="s">
        <v>3783</v>
      </c>
      <c r="F916" t="s">
        <v>1663</v>
      </c>
      <c r="G916" t="s">
        <v>1891</v>
      </c>
    </row>
    <row r="917">
      <c r="A917" t="s">
        <v>3782</v>
      </c>
      <c r="B917" t="s">
        <v>3784</v>
      </c>
      <c r="C917" t="s">
        <v>1898</v>
      </c>
      <c r="D917" t="s">
        <v>1899</v>
      </c>
      <c r="E917" t="s">
        <v>3785</v>
      </c>
      <c r="F917" t="s">
        <v>1759</v>
      </c>
      <c r="G917" t="s">
        <v>1896</v>
      </c>
    </row>
    <row r="918">
      <c r="A918" t="s">
        <v>3786</v>
      </c>
      <c r="B918" t="s">
        <v>3360</v>
      </c>
      <c r="C918" t="s">
        <v>1913</v>
      </c>
      <c r="D918" t="s">
        <v>1905</v>
      </c>
      <c r="E918" t="s">
        <v>3787</v>
      </c>
      <c r="F918" t="s">
        <v>1861</v>
      </c>
      <c r="G918" t="s">
        <v>1886</v>
      </c>
    </row>
    <row r="919">
      <c r="A919" t="s">
        <v>3786</v>
      </c>
      <c r="B919" t="s">
        <v>3303</v>
      </c>
      <c r="C919" t="s">
        <v>1883</v>
      </c>
      <c r="D919" t="s">
        <v>1908</v>
      </c>
      <c r="E919" t="s">
        <v>3788</v>
      </c>
      <c r="F919" t="s">
        <v>1588</v>
      </c>
      <c r="G919" t="s">
        <v>1907</v>
      </c>
    </row>
    <row r="920">
      <c r="A920" t="s">
        <v>3789</v>
      </c>
      <c r="B920" t="s">
        <v>2177</v>
      </c>
      <c r="C920" t="s">
        <v>1888</v>
      </c>
      <c r="D920" t="s">
        <v>1947</v>
      </c>
      <c r="E920" t="s">
        <v>3790</v>
      </c>
      <c r="F920" t="s">
        <v>1708</v>
      </c>
      <c r="G920" t="s">
        <v>1901</v>
      </c>
    </row>
    <row r="921">
      <c r="A921" t="s">
        <v>3789</v>
      </c>
      <c r="B921" t="s">
        <v>1502</v>
      </c>
      <c r="C921" t="s">
        <v>1883</v>
      </c>
      <c r="D921" t="s">
        <v>1951</v>
      </c>
      <c r="E921" t="s">
        <v>3791</v>
      </c>
      <c r="F921" t="s">
        <v>1650</v>
      </c>
      <c r="G921" t="s">
        <v>1910</v>
      </c>
    </row>
    <row r="922">
      <c r="A922" t="s">
        <v>3792</v>
      </c>
      <c r="B922" t="s">
        <v>2456</v>
      </c>
      <c r="C922" t="s">
        <v>1893</v>
      </c>
      <c r="D922" t="s">
        <v>1954</v>
      </c>
      <c r="E922" t="s">
        <v>3793</v>
      </c>
      <c r="F922" t="s">
        <v>1789</v>
      </c>
      <c r="G922" t="s">
        <v>1886</v>
      </c>
    </row>
    <row r="923">
      <c r="A923" t="s">
        <v>3792</v>
      </c>
      <c r="B923" t="s">
        <v>3794</v>
      </c>
      <c r="C923" t="s">
        <v>1925</v>
      </c>
      <c r="D923" t="s">
        <v>1926</v>
      </c>
      <c r="E923" t="s">
        <v>3795</v>
      </c>
      <c r="F923" t="s">
        <v>1855</v>
      </c>
      <c r="G923" t="s">
        <v>1891</v>
      </c>
    </row>
    <row r="924">
      <c r="A924" t="s">
        <v>3796</v>
      </c>
      <c r="B924" t="s">
        <v>2600</v>
      </c>
      <c r="C924" t="s">
        <v>1888</v>
      </c>
      <c r="D924" t="s">
        <v>1917</v>
      </c>
      <c r="E924" t="s">
        <v>3797</v>
      </c>
      <c r="F924" t="s">
        <v>1574</v>
      </c>
      <c r="G924" t="s">
        <v>1896</v>
      </c>
    </row>
    <row r="925">
      <c r="A925" t="s">
        <v>3796</v>
      </c>
      <c r="B925" t="s">
        <v>3798</v>
      </c>
      <c r="C925" t="s">
        <v>1883</v>
      </c>
      <c r="D925" t="s">
        <v>1934</v>
      </c>
      <c r="E925" t="s">
        <v>3799</v>
      </c>
      <c r="F925" t="s">
        <v>1721</v>
      </c>
      <c r="G925" t="s">
        <v>1901</v>
      </c>
    </row>
    <row r="926">
      <c r="A926" t="s">
        <v>3800</v>
      </c>
      <c r="B926" t="s">
        <v>3801</v>
      </c>
      <c r="C926" t="s">
        <v>1913</v>
      </c>
      <c r="D926" t="s">
        <v>1914</v>
      </c>
      <c r="E926" t="s">
        <v>3802</v>
      </c>
      <c r="F926" t="s">
        <v>1636</v>
      </c>
      <c r="G926" t="s">
        <v>1907</v>
      </c>
    </row>
    <row r="927">
      <c r="A927" t="s">
        <v>3800</v>
      </c>
      <c r="B927" t="s">
        <v>1451</v>
      </c>
      <c r="C927" t="s">
        <v>1883</v>
      </c>
      <c r="D927" t="s">
        <v>1889</v>
      </c>
      <c r="E927" t="s">
        <v>3803</v>
      </c>
      <c r="F927" t="s">
        <v>1771</v>
      </c>
      <c r="G927" t="s">
        <v>1886</v>
      </c>
    </row>
    <row r="928">
      <c r="A928" t="s">
        <v>3804</v>
      </c>
      <c r="B928" t="s">
        <v>3262</v>
      </c>
      <c r="C928" t="s">
        <v>1921</v>
      </c>
      <c r="D928" t="s">
        <v>2149</v>
      </c>
      <c r="E928" t="s">
        <v>3805</v>
      </c>
      <c r="F928" t="s">
        <v>1831</v>
      </c>
      <c r="G928" t="s">
        <v>1910</v>
      </c>
    </row>
    <row r="929">
      <c r="A929" t="s">
        <v>3804</v>
      </c>
      <c r="B929" t="s">
        <v>3806</v>
      </c>
      <c r="C929" t="s">
        <v>1968</v>
      </c>
      <c r="D929" t="s">
        <v>2027</v>
      </c>
      <c r="E929" t="s">
        <v>3807</v>
      </c>
      <c r="F929" t="s">
        <v>1553</v>
      </c>
      <c r="G929" t="s">
        <v>1891</v>
      </c>
    </row>
    <row r="930">
      <c r="A930" t="s">
        <v>3808</v>
      </c>
      <c r="B930" t="s">
        <v>1042</v>
      </c>
      <c r="C930" t="s">
        <v>1883</v>
      </c>
      <c r="D930" t="s">
        <v>2029</v>
      </c>
      <c r="E930" t="s">
        <v>3809</v>
      </c>
      <c r="F930" t="s">
        <v>1688</v>
      </c>
      <c r="G930" t="s">
        <v>1896</v>
      </c>
    </row>
    <row r="931">
      <c r="A931" t="s">
        <v>3808</v>
      </c>
      <c r="B931" t="s">
        <v>3810</v>
      </c>
      <c r="C931" t="s">
        <v>1888</v>
      </c>
      <c r="D931" t="s">
        <v>2070</v>
      </c>
      <c r="E931" t="s">
        <v>3811</v>
      </c>
      <c r="F931" t="s">
        <v>1801</v>
      </c>
      <c r="G931" t="s">
        <v>1886</v>
      </c>
    </row>
    <row r="932">
      <c r="A932" t="s">
        <v>3812</v>
      </c>
      <c r="B932" t="s">
        <v>3353</v>
      </c>
      <c r="C932" t="s">
        <v>1913</v>
      </c>
      <c r="D932" t="s">
        <v>1969</v>
      </c>
      <c r="E932" t="s">
        <v>3813</v>
      </c>
      <c r="F932" t="s">
        <v>1867</v>
      </c>
      <c r="G932" t="s">
        <v>1907</v>
      </c>
    </row>
    <row r="933">
      <c r="A933" t="s">
        <v>3812</v>
      </c>
      <c r="B933" t="s">
        <v>1410</v>
      </c>
      <c r="C933" t="s">
        <v>1883</v>
      </c>
      <c r="D933" t="s">
        <v>1972</v>
      </c>
      <c r="E933" t="s">
        <v>3814</v>
      </c>
      <c r="F933" t="s">
        <v>1623</v>
      </c>
      <c r="G933" t="s">
        <v>1901</v>
      </c>
    </row>
    <row r="934">
      <c r="A934" t="s">
        <v>3815</v>
      </c>
      <c r="B934" t="s">
        <v>3816</v>
      </c>
      <c r="C934" t="s">
        <v>1921</v>
      </c>
      <c r="D934" t="s">
        <v>1922</v>
      </c>
      <c r="E934" t="s">
        <v>3817</v>
      </c>
      <c r="F934" t="s">
        <v>1727</v>
      </c>
      <c r="G934" t="s">
        <v>1910</v>
      </c>
    </row>
    <row r="935">
      <c r="A935" t="s">
        <v>3815</v>
      </c>
      <c r="B935" t="s">
        <v>1957</v>
      </c>
      <c r="C935" t="s">
        <v>1898</v>
      </c>
      <c r="D935" t="s">
        <v>1899</v>
      </c>
      <c r="E935" t="s">
        <v>3818</v>
      </c>
      <c r="F935" t="s">
        <v>1669</v>
      </c>
      <c r="G935" t="s">
        <v>1886</v>
      </c>
    </row>
    <row r="936">
      <c r="A936" t="s">
        <v>3819</v>
      </c>
      <c r="B936" t="s">
        <v>3348</v>
      </c>
      <c r="C936" t="s">
        <v>1913</v>
      </c>
      <c r="D936" t="s">
        <v>1905</v>
      </c>
      <c r="E936" t="s">
        <v>3820</v>
      </c>
      <c r="F936" t="s">
        <v>1807</v>
      </c>
      <c r="G936" t="s">
        <v>1891</v>
      </c>
    </row>
    <row r="937">
      <c r="A937" t="s">
        <v>3819</v>
      </c>
      <c r="B937" t="s">
        <v>3821</v>
      </c>
      <c r="C937" t="s">
        <v>1883</v>
      </c>
      <c r="D937" t="s">
        <v>1908</v>
      </c>
      <c r="E937" t="s">
        <v>3822</v>
      </c>
      <c r="F937" t="s">
        <v>1567</v>
      </c>
      <c r="G937" t="s">
        <v>1896</v>
      </c>
    </row>
    <row r="938">
      <c r="A938" t="s">
        <v>3823</v>
      </c>
      <c r="B938" t="s">
        <v>3824</v>
      </c>
      <c r="C938" t="s">
        <v>1888</v>
      </c>
      <c r="D938" t="s">
        <v>1947</v>
      </c>
      <c r="E938" t="s">
        <v>3825</v>
      </c>
      <c r="F938" t="s">
        <v>1714</v>
      </c>
      <c r="G938" t="s">
        <v>1901</v>
      </c>
    </row>
    <row r="939">
      <c r="A939" t="s">
        <v>3823</v>
      </c>
      <c r="B939" t="s">
        <v>2544</v>
      </c>
      <c r="C939" t="s">
        <v>1883</v>
      </c>
      <c r="D939" t="s">
        <v>1951</v>
      </c>
      <c r="E939" t="s">
        <v>3826</v>
      </c>
      <c r="F939" t="s">
        <v>1616</v>
      </c>
      <c r="G939" t="s">
        <v>1907</v>
      </c>
    </row>
    <row r="940">
      <c r="A940" t="s">
        <v>3827</v>
      </c>
      <c r="B940" t="s">
        <v>2148</v>
      </c>
      <c r="C940" t="s">
        <v>1893</v>
      </c>
      <c r="D940" t="s">
        <v>1954</v>
      </c>
      <c r="E940" t="s">
        <v>3828</v>
      </c>
      <c r="F940" t="s">
        <v>1765</v>
      </c>
      <c r="G940" t="s">
        <v>1886</v>
      </c>
    </row>
    <row r="941">
      <c r="A941" t="s">
        <v>3827</v>
      </c>
      <c r="B941" t="s">
        <v>2881</v>
      </c>
      <c r="C941" t="s">
        <v>1925</v>
      </c>
      <c r="D941" t="s">
        <v>1926</v>
      </c>
      <c r="E941" t="s">
        <v>3829</v>
      </c>
      <c r="F941" t="s">
        <v>1849</v>
      </c>
      <c r="G941" t="s">
        <v>1910</v>
      </c>
    </row>
    <row r="942">
      <c r="A942" t="s">
        <v>3830</v>
      </c>
      <c r="B942" t="s">
        <v>1070</v>
      </c>
      <c r="C942" t="s">
        <v>1888</v>
      </c>
      <c r="D942" t="s">
        <v>1917</v>
      </c>
      <c r="E942" t="s">
        <v>3831</v>
      </c>
      <c r="F942" t="s">
        <v>1682</v>
      </c>
      <c r="G942" t="s">
        <v>1891</v>
      </c>
    </row>
    <row r="943">
      <c r="A943" t="s">
        <v>3830</v>
      </c>
      <c r="B943" t="s">
        <v>3832</v>
      </c>
      <c r="C943" t="s">
        <v>1883</v>
      </c>
      <c r="D943" t="s">
        <v>1934</v>
      </c>
      <c r="E943" t="s">
        <v>3833</v>
      </c>
      <c r="F943" t="s">
        <v>1560</v>
      </c>
      <c r="G943" t="s">
        <v>1896</v>
      </c>
    </row>
    <row r="944">
      <c r="A944" t="s">
        <v>3834</v>
      </c>
      <c r="B944" t="s">
        <v>2741</v>
      </c>
      <c r="C944" t="s">
        <v>1913</v>
      </c>
      <c r="D944" t="s">
        <v>1914</v>
      </c>
      <c r="E944" t="s">
        <v>3835</v>
      </c>
      <c r="F944" t="s">
        <v>1795</v>
      </c>
      <c r="G944" t="s">
        <v>1886</v>
      </c>
    </row>
    <row r="945">
      <c r="A945" t="s">
        <v>3834</v>
      </c>
      <c r="B945" t="s">
        <v>3620</v>
      </c>
      <c r="C945" t="s">
        <v>1883</v>
      </c>
      <c r="D945" t="s">
        <v>1889</v>
      </c>
      <c r="E945" t="s">
        <v>3836</v>
      </c>
      <c r="F945" t="s">
        <v>1657</v>
      </c>
      <c r="G945" t="s">
        <v>1907</v>
      </c>
    </row>
    <row r="946">
      <c r="A946" t="s">
        <v>3837</v>
      </c>
      <c r="B946" t="s">
        <v>1253</v>
      </c>
      <c r="C946" t="s">
        <v>1921</v>
      </c>
      <c r="D946" t="s">
        <v>2149</v>
      </c>
      <c r="E946" t="s">
        <v>3838</v>
      </c>
      <c r="F946" t="s">
        <v>1739</v>
      </c>
      <c r="G946" t="s">
        <v>1901</v>
      </c>
    </row>
    <row r="947">
      <c r="A947" t="s">
        <v>3837</v>
      </c>
      <c r="B947" t="s">
        <v>3839</v>
      </c>
      <c r="C947" t="s">
        <v>1968</v>
      </c>
      <c r="D947" t="s">
        <v>2027</v>
      </c>
      <c r="E947" t="s">
        <v>3840</v>
      </c>
      <c r="F947" t="s">
        <v>1777</v>
      </c>
      <c r="G947" t="s">
        <v>1910</v>
      </c>
    </row>
    <row r="948">
      <c r="A948" t="s">
        <v>3841</v>
      </c>
      <c r="B948" t="s">
        <v>3484</v>
      </c>
      <c r="C948" t="s">
        <v>1883</v>
      </c>
      <c r="D948" t="s">
        <v>2029</v>
      </c>
      <c r="E948" t="s">
        <v>3842</v>
      </c>
      <c r="F948" t="s">
        <v>1843</v>
      </c>
      <c r="G948" t="s">
        <v>1886</v>
      </c>
    </row>
    <row r="949">
      <c r="A949" t="s">
        <v>3841</v>
      </c>
      <c r="B949" t="s">
        <v>3843</v>
      </c>
      <c r="C949" t="s">
        <v>1888</v>
      </c>
      <c r="D949" t="s">
        <v>2070</v>
      </c>
      <c r="E949" t="s">
        <v>3844</v>
      </c>
      <c r="F949" t="s">
        <v>1695</v>
      </c>
      <c r="G949" t="s">
        <v>1891</v>
      </c>
    </row>
    <row r="950">
      <c r="A950" t="s">
        <v>3845</v>
      </c>
      <c r="B950" t="s">
        <v>567</v>
      </c>
      <c r="C950" t="s">
        <v>1913</v>
      </c>
      <c r="D950" t="s">
        <v>1969</v>
      </c>
      <c r="E950" t="s">
        <v>3846</v>
      </c>
      <c r="F950" t="s">
        <v>1825</v>
      </c>
      <c r="G950" t="s">
        <v>1896</v>
      </c>
    </row>
    <row r="951">
      <c r="A951" t="s">
        <v>3845</v>
      </c>
      <c r="B951" t="s">
        <v>2233</v>
      </c>
      <c r="C951" t="s">
        <v>1883</v>
      </c>
      <c r="D951" t="s">
        <v>1972</v>
      </c>
      <c r="E951" t="s">
        <v>3847</v>
      </c>
      <c r="F951" t="s">
        <v>1746</v>
      </c>
      <c r="G951" t="s">
        <v>1901</v>
      </c>
    </row>
    <row r="952">
      <c r="A952" t="s">
        <v>3848</v>
      </c>
      <c r="B952" t="s">
        <v>2753</v>
      </c>
      <c r="C952" t="s">
        <v>1921</v>
      </c>
      <c r="D952" t="s">
        <v>1922</v>
      </c>
      <c r="E952" t="s">
        <v>3849</v>
      </c>
      <c r="F952" t="s">
        <v>1629</v>
      </c>
      <c r="G952" t="s">
        <v>1907</v>
      </c>
    </row>
    <row r="953">
      <c r="A953" t="s">
        <v>3848</v>
      </c>
      <c r="B953" t="s">
        <v>3850</v>
      </c>
      <c r="C953" t="s">
        <v>1898</v>
      </c>
      <c r="D953" t="s">
        <v>1899</v>
      </c>
      <c r="E953" t="s">
        <v>3851</v>
      </c>
      <c r="F953" t="s">
        <v>1595</v>
      </c>
      <c r="G953" t="s">
        <v>1886</v>
      </c>
    </row>
    <row r="954">
      <c r="A954" t="s">
        <v>3852</v>
      </c>
      <c r="B954" t="s">
        <v>930</v>
      </c>
      <c r="C954" t="s">
        <v>1913</v>
      </c>
      <c r="D954" t="s">
        <v>1905</v>
      </c>
      <c r="E954" t="s">
        <v>3853</v>
      </c>
      <c r="F954" t="s">
        <v>1702</v>
      </c>
      <c r="G954" t="s">
        <v>1910</v>
      </c>
    </row>
    <row r="955">
      <c r="A955" t="s">
        <v>3852</v>
      </c>
      <c r="B955" t="s">
        <v>2371</v>
      </c>
      <c r="C955" t="s">
        <v>1883</v>
      </c>
      <c r="D955" t="s">
        <v>1908</v>
      </c>
      <c r="E955" t="s">
        <v>3854</v>
      </c>
      <c r="F955" t="s">
        <v>1837</v>
      </c>
      <c r="G955" t="s">
        <v>1891</v>
      </c>
    </row>
    <row r="956">
      <c r="A956" t="s">
        <v>3855</v>
      </c>
      <c r="B956" t="s">
        <v>300</v>
      </c>
      <c r="C956" t="s">
        <v>1888</v>
      </c>
      <c r="D956" t="s">
        <v>1947</v>
      </c>
      <c r="E956" t="s">
        <v>3856</v>
      </c>
      <c r="F956" t="s">
        <v>1602</v>
      </c>
      <c r="G956" t="s">
        <v>1896</v>
      </c>
    </row>
    <row r="957">
      <c r="A957" t="s">
        <v>3855</v>
      </c>
      <c r="B957" t="s">
        <v>3857</v>
      </c>
      <c r="C957" t="s">
        <v>1883</v>
      </c>
      <c r="D957" t="s">
        <v>1951</v>
      </c>
      <c r="E957" t="s">
        <v>3858</v>
      </c>
      <c r="F957" t="s">
        <v>1752</v>
      </c>
      <c r="G957" t="s">
        <v>1886</v>
      </c>
    </row>
    <row r="958">
      <c r="A958" t="s">
        <v>3859</v>
      </c>
      <c r="B958" t="s">
        <v>1265</v>
      </c>
      <c r="C958" t="s">
        <v>1893</v>
      </c>
      <c r="D958" t="s">
        <v>1954</v>
      </c>
      <c r="E958" t="s">
        <v>3860</v>
      </c>
      <c r="F958" t="s">
        <v>1675</v>
      </c>
      <c r="G958" t="s">
        <v>1907</v>
      </c>
    </row>
    <row r="959">
      <c r="A959" t="s">
        <v>3859</v>
      </c>
      <c r="B959" t="s">
        <v>1075</v>
      </c>
      <c r="C959" t="s">
        <v>1925</v>
      </c>
      <c r="D959" t="s">
        <v>1926</v>
      </c>
      <c r="E959" t="s">
        <v>3861</v>
      </c>
      <c r="F959" t="s">
        <v>1819</v>
      </c>
      <c r="G959" t="s">
        <v>1901</v>
      </c>
    </row>
    <row r="960">
      <c r="A960" t="s">
        <v>3862</v>
      </c>
      <c r="B960" t="s">
        <v>3021</v>
      </c>
      <c r="C960" t="s">
        <v>1888</v>
      </c>
      <c r="D960" t="s">
        <v>1917</v>
      </c>
      <c r="E960" t="s">
        <v>3863</v>
      </c>
      <c r="F960" t="s">
        <v>1581</v>
      </c>
      <c r="G960" t="s">
        <v>1910</v>
      </c>
    </row>
    <row r="961">
      <c r="A961" t="s">
        <v>3862</v>
      </c>
      <c r="B961" t="s">
        <v>565</v>
      </c>
      <c r="C961" t="s">
        <v>1883</v>
      </c>
      <c r="D961" t="s">
        <v>1934</v>
      </c>
      <c r="E961" t="s">
        <v>3864</v>
      </c>
      <c r="F961" t="s">
        <v>1783</v>
      </c>
      <c r="G961" t="s">
        <v>1886</v>
      </c>
    </row>
    <row r="962">
      <c r="A962" t="s">
        <v>3865</v>
      </c>
      <c r="B962" t="s">
        <v>355</v>
      </c>
      <c r="C962" t="s">
        <v>1913</v>
      </c>
      <c r="D962" t="s">
        <v>1914</v>
      </c>
      <c r="E962" t="s">
        <v>3866</v>
      </c>
      <c r="F962" t="s">
        <v>1643</v>
      </c>
      <c r="G962" t="s">
        <v>1891</v>
      </c>
    </row>
    <row r="963">
      <c r="A963" t="s">
        <v>3865</v>
      </c>
      <c r="B963" t="s">
        <v>2673</v>
      </c>
      <c r="C963" t="s">
        <v>1883</v>
      </c>
      <c r="D963" t="s">
        <v>1889</v>
      </c>
      <c r="E963" t="s">
        <v>3867</v>
      </c>
      <c r="F963" t="s">
        <v>1733</v>
      </c>
      <c r="G963" t="s">
        <v>1896</v>
      </c>
    </row>
    <row r="964">
      <c r="A964" t="s">
        <v>3868</v>
      </c>
      <c r="B964" t="s">
        <v>3107</v>
      </c>
      <c r="C964" t="s">
        <v>1921</v>
      </c>
      <c r="D964" t="s">
        <v>2149</v>
      </c>
      <c r="E964" t="s">
        <v>3869</v>
      </c>
      <c r="F964" t="s">
        <v>1609</v>
      </c>
      <c r="G964" t="s">
        <v>1901</v>
      </c>
    </row>
    <row r="965">
      <c r="A965" t="s">
        <v>3868</v>
      </c>
      <c r="B965" t="s">
        <v>1204</v>
      </c>
      <c r="C965" t="s">
        <v>1968</v>
      </c>
      <c r="D965" t="s">
        <v>2027</v>
      </c>
      <c r="E965" t="s">
        <v>3870</v>
      </c>
      <c r="F965" t="s">
        <v>1813</v>
      </c>
      <c r="G965" t="s">
        <v>1907</v>
      </c>
    </row>
    <row r="966">
      <c r="A966" t="s">
        <v>3871</v>
      </c>
      <c r="B966" t="s">
        <v>979</v>
      </c>
      <c r="C966" t="s">
        <v>1883</v>
      </c>
      <c r="D966" t="s">
        <v>2029</v>
      </c>
      <c r="E966" t="s">
        <v>3872</v>
      </c>
      <c r="F966" t="s">
        <v>1663</v>
      </c>
      <c r="G966" t="s">
        <v>1886</v>
      </c>
    </row>
    <row r="967">
      <c r="A967" t="s">
        <v>3871</v>
      </c>
      <c r="B967" t="s">
        <v>866</v>
      </c>
      <c r="C967" t="s">
        <v>1888</v>
      </c>
      <c r="D967" t="s">
        <v>2070</v>
      </c>
      <c r="E967" t="s">
        <v>3873</v>
      </c>
      <c r="F967" t="s">
        <v>1759</v>
      </c>
      <c r="G967" t="s">
        <v>1910</v>
      </c>
    </row>
    <row r="968">
      <c r="A968" t="s">
        <v>3874</v>
      </c>
      <c r="B968" t="s">
        <v>3476</v>
      </c>
      <c r="C968" t="s">
        <v>1913</v>
      </c>
      <c r="D968" t="s">
        <v>1969</v>
      </c>
      <c r="E968" t="s">
        <v>3875</v>
      </c>
      <c r="F968" t="s">
        <v>1861</v>
      </c>
      <c r="G968" t="s">
        <v>1891</v>
      </c>
    </row>
    <row r="969">
      <c r="A969" t="s">
        <v>3874</v>
      </c>
      <c r="B969" t="s">
        <v>1344</v>
      </c>
      <c r="C969" t="s">
        <v>1883</v>
      </c>
      <c r="D969" t="s">
        <v>1972</v>
      </c>
      <c r="E969" t="s">
        <v>3876</v>
      </c>
      <c r="F969" t="s">
        <v>1588</v>
      </c>
      <c r="G969" t="s">
        <v>1896</v>
      </c>
    </row>
    <row r="970">
      <c r="A970" t="s">
        <v>3877</v>
      </c>
      <c r="B970" t="s">
        <v>2523</v>
      </c>
      <c r="C970" t="s">
        <v>1921</v>
      </c>
      <c r="D970" t="s">
        <v>1922</v>
      </c>
      <c r="E970" t="s">
        <v>3878</v>
      </c>
      <c r="F970" t="s">
        <v>1708</v>
      </c>
      <c r="G970" t="s">
        <v>1886</v>
      </c>
    </row>
    <row r="971">
      <c r="A971" t="s">
        <v>3877</v>
      </c>
      <c r="B971" t="s">
        <v>2216</v>
      </c>
      <c r="C971" t="s">
        <v>1898</v>
      </c>
      <c r="D971" t="s">
        <v>1899</v>
      </c>
      <c r="E971" t="s">
        <v>3879</v>
      </c>
      <c r="F971" t="s">
        <v>1650</v>
      </c>
      <c r="G971" t="s">
        <v>1907</v>
      </c>
    </row>
    <row r="972">
      <c r="A972" t="s">
        <v>3880</v>
      </c>
      <c r="B972" t="s">
        <v>1257</v>
      </c>
      <c r="C972" t="s">
        <v>1913</v>
      </c>
      <c r="D972" t="s">
        <v>1905</v>
      </c>
      <c r="E972" t="s">
        <v>3881</v>
      </c>
      <c r="F972" t="s">
        <v>1789</v>
      </c>
      <c r="G972" t="s">
        <v>1901</v>
      </c>
    </row>
    <row r="973">
      <c r="A973" t="s">
        <v>3880</v>
      </c>
      <c r="B973" t="s">
        <v>3882</v>
      </c>
      <c r="C973" t="s">
        <v>1883</v>
      </c>
      <c r="D973" t="s">
        <v>1908</v>
      </c>
      <c r="E973" t="s">
        <v>3883</v>
      </c>
      <c r="F973" t="s">
        <v>1855</v>
      </c>
      <c r="G973" t="s">
        <v>1910</v>
      </c>
    </row>
    <row r="974">
      <c r="A974" t="s">
        <v>3884</v>
      </c>
      <c r="B974" t="s">
        <v>3328</v>
      </c>
      <c r="C974" t="s">
        <v>1888</v>
      </c>
      <c r="D974" t="s">
        <v>1947</v>
      </c>
      <c r="E974" t="s">
        <v>3885</v>
      </c>
      <c r="F974" t="s">
        <v>1574</v>
      </c>
      <c r="G974" t="s">
        <v>1886</v>
      </c>
    </row>
    <row r="975">
      <c r="A975" t="s">
        <v>3884</v>
      </c>
      <c r="B975" t="s">
        <v>2815</v>
      </c>
      <c r="C975" t="s">
        <v>1883</v>
      </c>
      <c r="D975" t="s">
        <v>1951</v>
      </c>
      <c r="E975" t="s">
        <v>3886</v>
      </c>
      <c r="F975" t="s">
        <v>1721</v>
      </c>
      <c r="G975" t="s">
        <v>1891</v>
      </c>
    </row>
    <row r="976">
      <c r="A976" t="s">
        <v>3887</v>
      </c>
      <c r="B976" t="s">
        <v>3332</v>
      </c>
      <c r="C976" t="s">
        <v>1893</v>
      </c>
      <c r="D976" t="s">
        <v>1954</v>
      </c>
      <c r="E976" t="s">
        <v>3888</v>
      </c>
      <c r="F976" t="s">
        <v>1636</v>
      </c>
      <c r="G976" t="s">
        <v>1896</v>
      </c>
    </row>
    <row r="977">
      <c r="A977" t="s">
        <v>3887</v>
      </c>
      <c r="B977" t="s">
        <v>824</v>
      </c>
      <c r="C977" t="s">
        <v>1925</v>
      </c>
      <c r="D977" t="s">
        <v>1926</v>
      </c>
      <c r="E977" t="s">
        <v>3889</v>
      </c>
      <c r="F977" t="s">
        <v>1771</v>
      </c>
      <c r="G977" t="s">
        <v>1901</v>
      </c>
    </row>
    <row r="978">
      <c r="A978" t="s">
        <v>3890</v>
      </c>
      <c r="B978" t="s">
        <v>979</v>
      </c>
      <c r="C978" t="s">
        <v>1888</v>
      </c>
      <c r="D978" t="s">
        <v>1917</v>
      </c>
      <c r="E978" t="s">
        <v>3891</v>
      </c>
      <c r="F978" t="s">
        <v>1831</v>
      </c>
      <c r="G978" t="s">
        <v>1907</v>
      </c>
    </row>
    <row r="979">
      <c r="A979" t="s">
        <v>3890</v>
      </c>
      <c r="B979" t="s">
        <v>3542</v>
      </c>
      <c r="C979" t="s">
        <v>1883</v>
      </c>
      <c r="D979" t="s">
        <v>1934</v>
      </c>
      <c r="E979" t="s">
        <v>3892</v>
      </c>
      <c r="F979" t="s">
        <v>1553</v>
      </c>
      <c r="G979" t="s">
        <v>1886</v>
      </c>
    </row>
    <row r="980">
      <c r="A980" t="s">
        <v>3893</v>
      </c>
      <c r="B980" t="s">
        <v>3734</v>
      </c>
      <c r="C980" t="s">
        <v>1913</v>
      </c>
      <c r="D980" t="s">
        <v>1914</v>
      </c>
      <c r="E980" t="s">
        <v>3894</v>
      </c>
      <c r="F980" t="s">
        <v>1688</v>
      </c>
      <c r="G980" t="s">
        <v>1910</v>
      </c>
    </row>
    <row r="981">
      <c r="A981" t="s">
        <v>3893</v>
      </c>
      <c r="B981" t="s">
        <v>2045</v>
      </c>
      <c r="C981" t="s">
        <v>1883</v>
      </c>
      <c r="D981" t="s">
        <v>1889</v>
      </c>
      <c r="E981" t="s">
        <v>3895</v>
      </c>
      <c r="F981" t="s">
        <v>1801</v>
      </c>
      <c r="G981" t="s">
        <v>1891</v>
      </c>
    </row>
    <row r="982">
      <c r="A982" t="s">
        <v>3896</v>
      </c>
      <c r="B982" t="s">
        <v>1127</v>
      </c>
      <c r="C982" t="s">
        <v>1921</v>
      </c>
      <c r="D982" t="s">
        <v>2149</v>
      </c>
      <c r="E982" t="s">
        <v>3897</v>
      </c>
      <c r="F982" t="s">
        <v>1867</v>
      </c>
      <c r="G982" t="s">
        <v>1896</v>
      </c>
    </row>
    <row r="983">
      <c r="A983" t="s">
        <v>3896</v>
      </c>
      <c r="B983" t="s">
        <v>1058</v>
      </c>
      <c r="C983" t="s">
        <v>1968</v>
      </c>
      <c r="D983" t="s">
        <v>2027</v>
      </c>
      <c r="E983" t="s">
        <v>3898</v>
      </c>
      <c r="F983" t="s">
        <v>1623</v>
      </c>
      <c r="G983" t="s">
        <v>1886</v>
      </c>
    </row>
    <row r="984">
      <c r="A984" t="s">
        <v>3899</v>
      </c>
      <c r="B984" t="s">
        <v>1231</v>
      </c>
      <c r="C984" t="s">
        <v>1883</v>
      </c>
      <c r="D984" t="s">
        <v>2029</v>
      </c>
      <c r="E984" t="s">
        <v>3900</v>
      </c>
      <c r="F984" t="s">
        <v>1727</v>
      </c>
      <c r="G984" t="s">
        <v>1907</v>
      </c>
    </row>
    <row r="985">
      <c r="A985" t="s">
        <v>3899</v>
      </c>
      <c r="B985" t="s">
        <v>1038</v>
      </c>
      <c r="C985" t="s">
        <v>1888</v>
      </c>
      <c r="D985" t="s">
        <v>2070</v>
      </c>
      <c r="E985" t="s">
        <v>3901</v>
      </c>
      <c r="F985" t="s">
        <v>1669</v>
      </c>
      <c r="G985" t="s">
        <v>1901</v>
      </c>
    </row>
    <row r="986">
      <c r="A986" t="s">
        <v>3902</v>
      </c>
      <c r="B986" t="s">
        <v>3801</v>
      </c>
      <c r="C986" t="s">
        <v>1913</v>
      </c>
      <c r="D986" t="s">
        <v>1969</v>
      </c>
      <c r="E986" t="s">
        <v>3903</v>
      </c>
      <c r="F986" t="s">
        <v>1807</v>
      </c>
      <c r="G986" t="s">
        <v>1910</v>
      </c>
    </row>
    <row r="987">
      <c r="A987" t="s">
        <v>3902</v>
      </c>
      <c r="B987" t="s">
        <v>1423</v>
      </c>
      <c r="C987" t="s">
        <v>1883</v>
      </c>
      <c r="D987" t="s">
        <v>1972</v>
      </c>
      <c r="E987" t="s">
        <v>3904</v>
      </c>
      <c r="F987" t="s">
        <v>1567</v>
      </c>
      <c r="G987" t="s">
        <v>1886</v>
      </c>
    </row>
    <row r="988">
      <c r="A988" t="s">
        <v>3905</v>
      </c>
      <c r="B988" t="s">
        <v>2352</v>
      </c>
      <c r="C988" t="s">
        <v>1921</v>
      </c>
      <c r="D988" t="s">
        <v>1922</v>
      </c>
      <c r="E988" t="s">
        <v>3906</v>
      </c>
      <c r="F988" t="s">
        <v>1714</v>
      </c>
      <c r="G988" t="s">
        <v>1891</v>
      </c>
    </row>
    <row r="989">
      <c r="A989" t="s">
        <v>3905</v>
      </c>
      <c r="B989" t="s">
        <v>3907</v>
      </c>
      <c r="C989" t="s">
        <v>1898</v>
      </c>
      <c r="D989" t="s">
        <v>1899</v>
      </c>
      <c r="E989" t="s">
        <v>3908</v>
      </c>
      <c r="F989" t="s">
        <v>1616</v>
      </c>
      <c r="G989" t="s">
        <v>1896</v>
      </c>
    </row>
    <row r="990">
      <c r="A990" t="s">
        <v>3909</v>
      </c>
      <c r="B990" t="s">
        <v>3910</v>
      </c>
      <c r="C990" t="s">
        <v>1913</v>
      </c>
      <c r="D990" t="s">
        <v>1905</v>
      </c>
      <c r="E990" t="s">
        <v>3911</v>
      </c>
      <c r="F990" t="s">
        <v>1765</v>
      </c>
      <c r="G990" t="s">
        <v>1901</v>
      </c>
    </row>
    <row r="991">
      <c r="A991" t="s">
        <v>3909</v>
      </c>
      <c r="B991" t="s">
        <v>2602</v>
      </c>
      <c r="C991" t="s">
        <v>1883</v>
      </c>
      <c r="D991" t="s">
        <v>1908</v>
      </c>
      <c r="E991" t="s">
        <v>3912</v>
      </c>
      <c r="F991" t="s">
        <v>1849</v>
      </c>
      <c r="G991" t="s">
        <v>1907</v>
      </c>
    </row>
    <row r="992">
      <c r="A992" t="s">
        <v>3913</v>
      </c>
      <c r="B992" t="s">
        <v>678</v>
      </c>
      <c r="C992" t="s">
        <v>1888</v>
      </c>
      <c r="D992" t="s">
        <v>1947</v>
      </c>
      <c r="E992" t="s">
        <v>3914</v>
      </c>
      <c r="F992" t="s">
        <v>1682</v>
      </c>
      <c r="G992" t="s">
        <v>1886</v>
      </c>
    </row>
    <row r="993">
      <c r="A993" t="s">
        <v>3913</v>
      </c>
      <c r="B993" t="s">
        <v>1534</v>
      </c>
      <c r="C993" t="s">
        <v>1883</v>
      </c>
      <c r="D993" t="s">
        <v>1951</v>
      </c>
      <c r="E993" t="s">
        <v>3915</v>
      </c>
      <c r="F993" t="s">
        <v>1560</v>
      </c>
      <c r="G993" t="s">
        <v>1910</v>
      </c>
    </row>
    <row r="994">
      <c r="A994" t="s">
        <v>3916</v>
      </c>
      <c r="B994" t="s">
        <v>1127</v>
      </c>
      <c r="C994" t="s">
        <v>1893</v>
      </c>
      <c r="D994" t="s">
        <v>1954</v>
      </c>
      <c r="E994" t="s">
        <v>3917</v>
      </c>
      <c r="F994" t="s">
        <v>1795</v>
      </c>
      <c r="G994" t="s">
        <v>1891</v>
      </c>
    </row>
    <row r="995">
      <c r="A995" t="s">
        <v>3916</v>
      </c>
      <c r="B995" t="s">
        <v>3918</v>
      </c>
      <c r="C995" t="s">
        <v>1925</v>
      </c>
      <c r="D995" t="s">
        <v>1926</v>
      </c>
      <c r="E995" t="s">
        <v>3919</v>
      </c>
      <c r="F995" t="s">
        <v>1657</v>
      </c>
      <c r="G995" t="s">
        <v>1896</v>
      </c>
    </row>
    <row r="996">
      <c r="A996" t="s">
        <v>3920</v>
      </c>
      <c r="B996" t="s">
        <v>999</v>
      </c>
      <c r="C996" t="s">
        <v>1888</v>
      </c>
      <c r="D996" t="s">
        <v>1917</v>
      </c>
      <c r="E996" t="s">
        <v>3921</v>
      </c>
      <c r="F996" t="s">
        <v>1739</v>
      </c>
      <c r="G996" t="s">
        <v>1886</v>
      </c>
    </row>
    <row r="997">
      <c r="A997" t="s">
        <v>3920</v>
      </c>
      <c r="B997" t="s">
        <v>2371</v>
      </c>
      <c r="C997" t="s">
        <v>1883</v>
      </c>
      <c r="D997" t="s">
        <v>1934</v>
      </c>
      <c r="E997" t="s">
        <v>3922</v>
      </c>
      <c r="F997" t="s">
        <v>1777</v>
      </c>
      <c r="G997" t="s">
        <v>1907</v>
      </c>
    </row>
    <row r="998">
      <c r="A998" t="s">
        <v>3923</v>
      </c>
      <c r="B998" t="s">
        <v>433</v>
      </c>
      <c r="C998" t="s">
        <v>1913</v>
      </c>
      <c r="D998" t="s">
        <v>1914</v>
      </c>
      <c r="E998" t="s">
        <v>3924</v>
      </c>
      <c r="F998" t="s">
        <v>1843</v>
      </c>
      <c r="G998" t="s">
        <v>1901</v>
      </c>
    </row>
    <row r="999">
      <c r="A999" t="s">
        <v>3923</v>
      </c>
      <c r="B999" t="s">
        <v>2097</v>
      </c>
      <c r="C999" t="s">
        <v>1883</v>
      </c>
      <c r="D999" t="s">
        <v>1889</v>
      </c>
      <c r="E999" t="s">
        <v>3925</v>
      </c>
      <c r="F999" t="s">
        <v>1695</v>
      </c>
      <c r="G999" t="s">
        <v>1910</v>
      </c>
    </row>
    <row r="1000">
      <c r="A1000" t="s">
        <v>3926</v>
      </c>
      <c r="B1000" t="s">
        <v>3927</v>
      </c>
      <c r="C1000" t="s">
        <v>1921</v>
      </c>
      <c r="D1000" t="s">
        <v>2149</v>
      </c>
      <c r="E1000" t="s">
        <v>3928</v>
      </c>
      <c r="F1000" t="s">
        <v>1825</v>
      </c>
      <c r="G1000" t="s">
        <v>1886</v>
      </c>
    </row>
    <row r="1001">
      <c r="A1001" t="s">
        <v>3926</v>
      </c>
      <c r="B1001" t="s">
        <v>3447</v>
      </c>
      <c r="C1001" t="s">
        <v>1968</v>
      </c>
      <c r="D1001" t="s">
        <v>2027</v>
      </c>
      <c r="E1001" t="s">
        <v>3929</v>
      </c>
      <c r="F1001" t="s">
        <v>1746</v>
      </c>
      <c r="G1001" t="s">
        <v>1891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topLeftCell="A974" zoomScale="100" workbookViewId="0">
      <selection activeCell="A1" activeCellId="0" sqref="A1"/>
    </sheetView>
  </sheetViews>
  <sheetFormatPr baseColWidth="8" defaultRowHeight="14.25"/>
  <cols>
    <col bestFit="1" min="1" max="1" width="10.23046875"/>
    <col bestFit="1" min="3" max="3" width="11.28125"/>
    <col bestFit="1" min="4" max="4" width="14.7109375"/>
    <col bestFit="1" min="5" max="5" width="11.09375"/>
    <col bestFit="1" min="6" max="6" width="14.61328125"/>
    <col bestFit="1" min="7" max="7" width="9.6640625"/>
    <col bestFit="1" min="8" max="8" width="15.8515625"/>
    <col bestFit="1" min="9" max="9" width="17.3828125"/>
    <col bestFit="1" min="10" max="10" width="15.57421875"/>
  </cols>
  <sheetData>
    <row r="1">
      <c r="A1" s="3" t="s">
        <v>3930</v>
      </c>
      <c r="B1" s="3" t="s">
        <v>1</v>
      </c>
      <c r="C1" s="3" t="s">
        <v>1877</v>
      </c>
      <c r="D1" s="3" t="s">
        <v>1878</v>
      </c>
      <c r="E1" s="3" t="s">
        <v>1879</v>
      </c>
      <c r="F1" s="3" t="s">
        <v>1546</v>
      </c>
      <c r="G1" s="3" t="s">
        <v>1880</v>
      </c>
      <c r="H1" s="3" t="s">
        <v>3931</v>
      </c>
      <c r="I1" s="3" t="s">
        <v>3932</v>
      </c>
      <c r="J1" s="3" t="s">
        <v>1544</v>
      </c>
    </row>
    <row r="2">
      <c r="A2" s="8">
        <f>DATE(RIGHT('Продажи_исходные'!A2,4),LEFT('Продажи_исходные'!A2,2),MID('Продажи_исходные'!A2,4,2))</f>
        <v>45672</v>
      </c>
      <c r="B2" t="str">
        <f>"АРТ-"&amp;LEFT(SUBSTITUTE(SUBSTITUTE(SUBSTITUTE(SUBSTITUTE('Продажи_исходные'!B2,"№",""),"АРТ-",""),"АРТ_",""),"/","-"),3)</f>
        <v>АРТ-045</v>
      </c>
      <c r="C2" s="4">
        <f>IFERROR(VALUE(TRIM(SUBSTITUTE(SUBSTITUTE(SUBSTITUTE(SUBSTITUTE('Продажи_исходные'!C2," шт.","")," шт",""),"шт.",""),"шт",""))),0)</f>
        <v>2</v>
      </c>
      <c r="D2" s="4">
        <f>IF(LEFT('Продажи_исходные'!D2,1)="$",VALUE(MID('Продажи_исходные'!D2,2,255))*95,IF(LEFT('Продажи_исходные'!D2,1)="€",VALUE(MID('Продажи_исходные'!D2,2,255))*100,VALUE(SUBSTITUTE(SUBSTITUTE('Продажи_исходные'!D2,"₽","")," ",""))))</f>
        <v>9500</v>
      </c>
      <c r="E2" t="str">
        <f>'Продажи_исходные'!E2</f>
        <v>C0001</v>
      </c>
      <c r="F2" t="str">
        <f>'Продажи_исходные'!F2</f>
        <v>P012</v>
      </c>
      <c r="G2" t="str">
        <f>IFERROR(VLOOKUP('Продажи_исходные'!G2,Справочники!$G$2:$H$50,2,FALSE),'Продажи_исходные'!G2)</f>
        <v>Завершен</v>
      </c>
      <c r="H2" s="4">
        <f>IFERROR(VLOOKUP(B2,'Товары_очищенные'!$A$1:$G$1000,6,FALSE),"нет в каталоге")</f>
        <v>137000</v>
      </c>
      <c r="I2" t="str">
        <f>IFERROR(VLOOKUP(B2,'Товары_очищенные'!$A$1:$G$1000,3,FALSE),"нет в каталоге")</f>
        <v>Телевизоры</v>
      </c>
      <c r="J2" t="str">
        <f t="shared" ref="J2:J9" si="24">IF(D2&gt;0,"OK","Некорректная цена")</f>
        <v>OK</v>
      </c>
    </row>
    <row r="3">
      <c r="A3" s="8">
        <f>DATE(RIGHT(Продажи_исходные!A3,4),LEFT(Продажи_исходные!A3,2),MID(Продажи_исходные!A3,4,2))</f>
        <v>45672</v>
      </c>
      <c r="B3" t="str">
        <f>"АРТ-"&amp;LEFT(SUBSTITUTE(SUBSTITUTE(SUBSTITUTE(SUBSTITUTE(Продажи_исходные!B3,"№",""),"АРТ-",""),"АРТ_",""),"/","-"),3)</f>
        <v>АРТ-112</v>
      </c>
      <c r="C3" s="4">
        <f>IFERROR(VALUE(TRIM(SUBSTITUTE(SUBSTITUTE(SUBSTITUTE(SUBSTITUTE(Продажи_исходные!C3," шт.","")," шт",""),"шт.",""),"шт",""))),0)</f>
        <v>1</v>
      </c>
      <c r="D3" s="4">
        <f>IF(LEFT(Продажи_исходные!D3,1)="$",VALUE(MID(Продажи_исходные!D3,2,255))*95,IF(LEFT(Продажи_исходные!D3,1)="€",VALUE(MID(Продажи_исходные!D3,2,255))*100,VALUE(SUBSTITUTE(SUBSTITUTE(Продажи_исходные!D3,"₽","")," ",""))))</f>
        <v>8500</v>
      </c>
      <c r="E3" t="str">
        <f>Продажи_исходные!E3</f>
        <v>C0002</v>
      </c>
      <c r="F3" t="str">
        <f>Продажи_исходные!F3</f>
        <v>P007</v>
      </c>
      <c r="G3" t="str">
        <f>IFERROR(VLOOKUP(Продажи_исходные!G3,Справочники!$G$2:$H$50,2,FALSE),Продажи_исходные!G3)</f>
        <v>Завершен</v>
      </c>
      <c r="H3" s="4">
        <f>IFERROR(VLOOKUP(B3,Товары_очищенные!$A$1:$G$1000,6,FALSE),"нет в каталоге")</f>
        <v>34990</v>
      </c>
      <c r="I3" t="str">
        <f>IFERROR(VLOOKUP(B3,Товары_очищенные!$A$1:$G$1000,3,FALSE),"нет в каталоге")</f>
        <v>Наушники</v>
      </c>
      <c r="J3" t="str">
        <f t="shared" si="24"/>
        <v>OK</v>
      </c>
    </row>
    <row r="4">
      <c r="A4" s="8">
        <f>DATE(RIGHT(Продажи_исходные!A4,4),LEFT(Продажи_исходные!A4,2),MID(Продажи_исходные!A4,4,2))</f>
        <v>45673</v>
      </c>
      <c r="B4" t="str">
        <f>"АРТ-"&amp;LEFT(SUBSTITUTE(SUBSTITUTE(SUBSTITUTE(SUBSTITUTE(Продажи_исходные!B4,"№",""),"АРТ-",""),"АРТ_",""),"/","-"),3)</f>
        <v>АРТ-003</v>
      </c>
      <c r="C4" s="4">
        <f>IFERROR(VALUE(TRIM(SUBSTITUTE(SUBSTITUTE(SUBSTITUTE(SUBSTITUTE(Продажи_исходные!C4," шт.","")," шт",""),"шт.",""),"шт",""))),0)</f>
        <v>3</v>
      </c>
      <c r="D4" s="4">
        <f>IF(LEFT(Продажи_исходные!D4,1)="$",VALUE(MID(Продажи_исходные!D4,2,255))*95,IF(LEFT(Продажи_исходные!D4,1)="€",VALUE(MID(Продажи_исходные!D4,2,255))*100,VALUE(SUBSTITUTE(SUBSTITUTE(Продажи_исходные!D4,"₽","")," ",""))))</f>
        <v>7500</v>
      </c>
      <c r="E4" t="str">
        <f>Продажи_исходные!E4</f>
        <v>C0003</v>
      </c>
      <c r="F4" t="str">
        <f>Продажи_исходные!F4</f>
        <v>P023</v>
      </c>
      <c r="G4" t="str">
        <f>IFERROR(VLOOKUP(Продажи_исходные!G4,Справочники!$G$2:$H$50,2,FALSE),Продажи_исходные!G4)</f>
        <v>Завершен</v>
      </c>
      <c r="H4" s="4">
        <f>IFERROR(VLOOKUP(B4,Товары_очищенные!$A$1:$G$1000,6,FALSE),"нет в каталоге")</f>
        <v>77700</v>
      </c>
      <c r="I4" t="str">
        <f>IFERROR(VLOOKUP(B4,Товары_очищенные!$A$1:$G$1000,3,FALSE),"нет в каталоге")</f>
        <v>Смартфоны</v>
      </c>
      <c r="J4" t="str">
        <f t="shared" si="24"/>
        <v>OK</v>
      </c>
    </row>
    <row r="5">
      <c r="A5" s="8">
        <f>DATE(RIGHT(Продажи_исходные!A5,4),LEFT(Продажи_исходные!A5,2),MID(Продажи_исходные!A5,4,2))</f>
        <v>45673</v>
      </c>
      <c r="B5" t="str">
        <f>"АРТ-"&amp;LEFT(SUBSTITUTE(SUBSTITUTE(SUBSTITUTE(SUBSTITUTE(Продажи_исходные!B5,"№",""),"АРТ-",""),"АРТ_",""),"/","-"),3)</f>
        <v>АРТ-234</v>
      </c>
      <c r="C5" s="4">
        <f>IFERROR(VALUE(TRIM(SUBSTITUTE(SUBSTITUTE(SUBSTITUTE(SUBSTITUTE(Продажи_исходные!C5," шт.","")," шт",""),"шт.",""),"шт",""))),0)</f>
        <v>-1</v>
      </c>
      <c r="D5" s="4">
        <f>IF(LEFT(Продажи_исходные!D5,1)="$",VALUE(MID(Продажи_исходные!D5,2,255))*95,IF(LEFT(Продажи_исходные!D5,1)="€",VALUE(MID(Продажи_исходные!D5,2,255))*100,VALUE(SUBSTITUTE(SUBSTITUTE(Продажи_исходные!D5,"₽","")," ",""))))</f>
        <v>10450</v>
      </c>
      <c r="E5" t="str">
        <f>Продажи_исходные!E5</f>
        <v>C0004</v>
      </c>
      <c r="F5" t="str">
        <f>Продажи_исходные!F5</f>
        <v>P045</v>
      </c>
      <c r="G5" t="str">
        <f>IFERROR(VLOOKUP(Продажи_исходные!G5,Справочники!$G$2:$H$50,2,FALSE),Продажи_исходные!G5)</f>
        <v>Отменен</v>
      </c>
      <c r="H5" s="4">
        <f>IFERROR(VLOOKUP(B5,Товары_очищенные!$A$1:$G$1000,6,FALSE),"нет в каталоге")</f>
        <v>44500</v>
      </c>
      <c r="I5" t="str">
        <f>IFERROR(VLOOKUP(B5,Товары_очищенные!$A$1:$G$1000,3,FALSE),"нет в каталоге")</f>
        <v>Смартфоны</v>
      </c>
      <c r="J5" t="str">
        <f t="shared" si="24"/>
        <v>OK</v>
      </c>
    </row>
    <row r="6">
      <c r="A6" s="8">
        <f>DATE(RIGHT(Продажи_исходные!A6,4),LEFT(Продажи_исходные!A6,2),MID(Продажи_исходные!A6,4,2))</f>
        <v>45674</v>
      </c>
      <c r="B6" t="str">
        <f>"АРТ-"&amp;LEFT(SUBSTITUTE(SUBSTITUTE(SUBSTITUTE(SUBSTITUTE(Продажи_исходные!B6,"№",""),"АРТ-",""),"АРТ_",""),"/","-"),3)</f>
        <v>АРТ-067</v>
      </c>
      <c r="C6" s="4">
        <f>IFERROR(VALUE(TRIM(SUBSTITUTE(SUBSTITUTE(SUBSTITUTE(SUBSTITUTE(Продажи_исходные!C6," шт.","")," шт",""),"шт.",""),"шт",""))),0)</f>
        <v>2</v>
      </c>
      <c r="D6" s="4">
        <f>IF(LEFT(Продажи_исходные!D6,1)="$",VALUE(MID(Продажи_исходные!D6,2,255))*95,IF(LEFT(Продажи_исходные!D6,1)="€",VALUE(MID(Продажи_исходные!D6,2,255))*100,VALUE(SUBSTITUTE(SUBSTITUTE(Продажи_исходные!D6,"₽","")," ",""))))</f>
        <v>9000</v>
      </c>
      <c r="E6" t="str">
        <f>Продажи_исходные!E6</f>
        <v>C0005</v>
      </c>
      <c r="F6" t="str">
        <f>Продажи_исходные!F6</f>
        <v>P008</v>
      </c>
      <c r="G6" t="str">
        <f>IFERROR(VLOOKUP(Продажи_исходные!G6,Справочники!$G$2:$H$50,2,FALSE),Продажи_исходные!G6)</f>
        <v>Отменен</v>
      </c>
      <c r="H6" s="4">
        <f>IFERROR(VLOOKUP(B6,Товары_очищенные!$A$1:$G$1000,6,FALSE),"нет в каталоге")</f>
        <v>109999</v>
      </c>
      <c r="I6" t="str">
        <f>IFERROR(VLOOKUP(B6,Товары_очищенные!$A$1:$G$1000,3,FALSE),"нет в каталоге")</f>
        <v>Телевизоры</v>
      </c>
      <c r="J6" t="str">
        <f t="shared" si="24"/>
        <v>OK</v>
      </c>
    </row>
    <row r="7">
      <c r="A7" s="8">
        <f>DATE(RIGHT(Продажи_исходные!A7,4),LEFT(Продажи_исходные!A7,2),MID(Продажи_исходные!A7,4,2))</f>
        <v>45674</v>
      </c>
      <c r="B7" t="str">
        <f>"АРТ-"&amp;LEFT(SUBSTITUTE(SUBSTITUTE(SUBSTITUTE(SUBSTITUTE(Продажи_исходные!B7,"№",""),"АРТ-",""),"АРТ_",""),"/","-"),3)</f>
        <v>АРТ-078</v>
      </c>
      <c r="C7" s="4">
        <f>IFERROR(VALUE(TRIM(SUBSTITUTE(SUBSTITUTE(SUBSTITUTE(SUBSTITUTE(Продажи_исходные!C7," шт.","")," шт",""),"шт.",""),"шт",""))),0)</f>
        <v>1</v>
      </c>
      <c r="D7" s="4">
        <f>IF(LEFT(Продажи_исходные!D7,1)="$",VALUE(MID(Продажи_исходные!D7,2,255))*95,IF(LEFT(Продажи_исходные!D7,1)="€",VALUE(MID(Продажи_исходные!D7,2,255))*100,VALUE(SUBSTITUTE(SUBSTITUTE(Продажи_исходные!D7,"₽","")," ",""))))</f>
        <v>8000</v>
      </c>
      <c r="E7" t="str">
        <f>Продажи_исходные!E7</f>
        <v>C0006</v>
      </c>
      <c r="F7" t="str">
        <f>Продажи_исходные!F7</f>
        <v>P031</v>
      </c>
      <c r="G7" t="str">
        <f>IFERROR(VLOOKUP(Продажи_исходные!G7,Справочники!$G$2:$H$50,2,FALSE),Продажи_исходные!G7)</f>
        <v>Возврат</v>
      </c>
      <c r="H7" s="4">
        <f>IFERROR(VLOOKUP(B7,Товары_очищенные!$A$1:$G$1000,6,FALSE),"нет в каталоге")</f>
        <v>13500</v>
      </c>
      <c r="I7" t="str">
        <f>IFERROR(VLOOKUP(B7,Товары_очищенные!$A$1:$G$1000,3,FALSE),"нет в каталоге")</f>
        <v>Аксессуары</v>
      </c>
      <c r="J7" t="str">
        <f t="shared" si="24"/>
        <v>OK</v>
      </c>
    </row>
    <row r="8">
      <c r="A8" s="8">
        <f>DATE(RIGHT(Продажи_исходные!A8,4),LEFT(Продажи_исходные!A8,2),MID(Продажи_исходные!A8,4,2))</f>
        <v>45675</v>
      </c>
      <c r="B8" t="str">
        <f>"АРТ-"&amp;LEFT(SUBSTITUTE(SUBSTITUTE(SUBSTITUTE(SUBSTITUTE(Продажи_исходные!B8,"№",""),"АРТ-",""),"АРТ_",""),"/","-"),3)</f>
        <v>АРТ-389</v>
      </c>
      <c r="C8" s="4">
        <f>IFERROR(VALUE(TRIM(SUBSTITUTE(SUBSTITUTE(SUBSTITUTE(SUBSTITUTE(Продажи_исходные!C8," шт.","")," шт",""),"шт.",""),"шт",""))),0)</f>
        <v>3</v>
      </c>
      <c r="D8" s="4">
        <f>IF(LEFT(Продажи_исходные!D8,1)="$",VALUE(MID(Продажи_исходные!D8,2,255))*95,IF(LEFT(Продажи_исходные!D8,1)="€",VALUE(MID(Продажи_исходные!D8,2,255))*100,VALUE(SUBSTITUTE(SUBSTITUTE(Продажи_исходные!D8,"₽","")," ",""))))</f>
        <v>9975</v>
      </c>
      <c r="E8" t="str">
        <f>Продажи_исходные!E8</f>
        <v>C0007</v>
      </c>
      <c r="F8" t="str">
        <f>Продажи_исходные!F8</f>
        <v>P019</v>
      </c>
      <c r="G8" t="str">
        <f>IFERROR(VLOOKUP(Продажи_исходные!G8,Справочники!$G$2:$H$50,2,FALSE),Продажи_исходные!G8)</f>
        <v>Завершен</v>
      </c>
      <c r="H8" s="4">
        <f>IFERROR(VLOOKUP(B8,Товары_очищенные!$A$1:$G$1000,6,FALSE),"нет в каталоге")</f>
        <v>75000</v>
      </c>
      <c r="I8" t="str">
        <f>IFERROR(VLOOKUP(B8,Товары_очищенные!$A$1:$G$1000,3,FALSE),"нет в каталоге")</f>
        <v>Телевизоры</v>
      </c>
      <c r="J8" t="str">
        <f t="shared" si="24"/>
        <v>OK</v>
      </c>
    </row>
    <row r="9">
      <c r="A9" s="8">
        <f>DATE(RIGHT(Продажи_исходные!A9,4),LEFT(Продажи_исходные!A9,2),MID(Продажи_исходные!A9,4,2))</f>
        <v>45675</v>
      </c>
      <c r="B9" t="str">
        <f>"АРТ-"&amp;LEFT(SUBSTITUTE(SUBSTITUTE(SUBSTITUTE(SUBSTITUTE(Продажи_исходные!B9,"№",""),"АРТ-",""),"АРТ_",""),"/","-"),3)</f>
        <v>АРТ-156</v>
      </c>
      <c r="C9" s="4">
        <f>IFERROR(VALUE(TRIM(SUBSTITUTE(SUBSTITUTE(SUBSTITUTE(SUBSTITUTE(Продажи_исходные!C9," шт.","")," шт",""),"шт.",""),"шт",""))),0)</f>
        <v>2</v>
      </c>
      <c r="D9" s="4">
        <f>IF(LEFT(Продажи_исходные!D9,1)="$",VALUE(MID(Продажи_исходные!D9,2,255))*95,IF(LEFT(Продажи_исходные!D9,1)="€",VALUE(MID(Продажи_исходные!D9,2,255))*100,VALUE(SUBSTITUTE(SUBSTITUTE(Продажи_исходные!D9,"₽","")," ",""))))</f>
        <v>9500</v>
      </c>
      <c r="E9" t="str">
        <f>Продажи_исходные!E9</f>
        <v>C0008</v>
      </c>
      <c r="F9" t="str">
        <f>Продажи_исходные!F9</f>
        <v>P042</v>
      </c>
      <c r="G9" t="str">
        <f>IFERROR(VLOOKUP(Продажи_исходные!G9,Справочники!$G$2:$H$50,2,FALSE),Продажи_исходные!G9)</f>
        <v>Завершен</v>
      </c>
      <c r="H9" s="4">
        <f>IFERROR(VLOOKUP(B9,Товары_очищенные!$A$1:$G$1000,6,FALSE),"нет в каталоге")</f>
        <v>17800</v>
      </c>
      <c r="I9" t="str">
        <f>IFERROR(VLOOKUP(B9,Товары_очищенные!$A$1:$G$1000,3,FALSE),"нет в каталоге")</f>
        <v>Наушники</v>
      </c>
      <c r="J9" t="str">
        <f t="shared" si="24"/>
        <v>OK</v>
      </c>
    </row>
    <row r="10">
      <c r="A10" s="8">
        <f>DATE(RIGHT('Продажи_исходные'!A10,4),LEFT('Продажи_исходные'!A10,2),MID('Продажи_исходные'!A10,4,2))</f>
        <v>45676</v>
      </c>
      <c r="B10" t="str">
        <f>"АРТ-"&amp;LEFT(SUBSTITUTE(SUBSTITUTE(SUBSTITUTE(SUBSTITUTE('Продажи_исходные'!B10,"№",""),"АРТ-",""),"АРТ_",""),"/","-"),3)</f>
        <v>АРТ-251</v>
      </c>
      <c r="C10" s="4">
        <f>IFERROR(VALUE(TRIM(SUBSTITUTE(SUBSTITUTE(SUBSTITUTE(SUBSTITUTE('Продажи_исходные'!C10," шт.","")," шт",""),"шт.",""),"шт",""))),0)</f>
        <v>1</v>
      </c>
      <c r="D10" s="4">
        <f>IF(LEFT('Продажи_исходные'!D10,1)="$",VALUE(MID('Продажи_исходные'!D10,2,255))*95,IF(LEFT('Продажи_исходные'!D10,1)="€",VALUE(MID('Продажи_исходные'!D10,2,255))*100,VALUE(SUBSTITUTE(SUBSTITUTE('Продажи_исходные'!D10,"₽","")," ",""))))</f>
        <v>6500</v>
      </c>
      <c r="E10" t="str">
        <f>'Продажи_исходные'!E10</f>
        <v>C0009</v>
      </c>
      <c r="F10" t="str">
        <f>'Продажи_исходные'!F10</f>
        <v>P005</v>
      </c>
      <c r="G10" t="str">
        <f>IFERROR(VLOOKUP('Продажи_исходные'!G10,Справочники!$G$2:$H$50,2,FALSE),'Продажи_исходные'!G10)</f>
        <v>Завершен</v>
      </c>
      <c r="H10" s="4">
        <f>IFERROR(VLOOKUP(B10,'Товары_очищенные'!$A$1:$G$1000,6,FALSE),"нет в каталоге")</f>
        <v>53500</v>
      </c>
      <c r="I10" t="str">
        <f>IFERROR(VLOOKUP(B10,'Товары_очищенные'!$A$1:$G$1000,3,FALSE),"нет в каталоге")</f>
        <v>Часы</v>
      </c>
      <c r="J10" t="str">
        <f t="shared" ref="J10:J73" si="25">IF(D10&gt;0,"OK","Некорректная цена")</f>
        <v>OK</v>
      </c>
    </row>
    <row r="11">
      <c r="A11" s="8">
        <f>DATE(RIGHT(Продажи_исходные!A11,4),LEFT(Продажи_исходные!A11,2),MID(Продажи_исходные!A11,4,2))</f>
        <v>45676</v>
      </c>
      <c r="B11" t="str">
        <f>"АРТ-"&amp;LEFT(SUBSTITUTE(SUBSTITUTE(SUBSTITUTE(SUBSTITUTE(Продажи_исходные!B11,"№",""),"АРТ-",""),"АРТ_",""),"/","-"),3)</f>
        <v>АРТ-023</v>
      </c>
      <c r="C11" s="4">
        <f>IFERROR(VALUE(TRIM(SUBSTITUTE(SUBSTITUTE(SUBSTITUTE(SUBSTITUTE(Продажи_исходные!C11," шт.","")," шт",""),"шт.",""),"шт",""))),0)</f>
        <v>-2</v>
      </c>
      <c r="D11" s="4">
        <f>IF(LEFT(Продажи_исходные!D11,1)="$",VALUE(MID(Продажи_исходные!D11,2,255))*95,IF(LEFT(Продажи_исходные!D11,1)="€",VALUE(MID(Продажи_исходные!D11,2,255))*100,VALUE(SUBSTITUTE(SUBSTITUTE(Продажи_исходные!D11,"₽","")," ",""))))</f>
        <v>10925</v>
      </c>
      <c r="E11" t="str">
        <f>Продажи_исходные!E11</f>
        <v>C0010</v>
      </c>
      <c r="F11" t="str">
        <f>Продажи_исходные!F11</f>
        <v>P036</v>
      </c>
      <c r="G11" t="str">
        <f>IFERROR(VLOOKUP(Продажи_исходные!G11,Справочники!$G$2:$H$50,2,FALSE),Продажи_исходные!G11)</f>
        <v>Отменен</v>
      </c>
      <c r="H11" s="4">
        <f>IFERROR(VLOOKUP(B11,Товары_очищенные!$A$1:$G$1000,6,FALSE),"нет в каталоге")</f>
        <v>58500</v>
      </c>
      <c r="I11" t="str">
        <f>IFERROR(VLOOKUP(B11,Товары_очищенные!$A$1:$G$1000,3,FALSE),"нет в каталоге")</f>
        <v>Смартфоны</v>
      </c>
      <c r="J11" t="str">
        <f t="shared" si="25"/>
        <v>OK</v>
      </c>
    </row>
    <row r="12">
      <c r="A12" s="8">
        <f>DATE(RIGHT(Продажи_исходные!A12,4),LEFT(Продажи_исходные!A12,2),MID(Продажи_исходные!A12,4,2))</f>
        <v>45677</v>
      </c>
      <c r="B12" t="str">
        <f>"АРТ-"&amp;LEFT(SUBSTITUTE(SUBSTITUTE(SUBSTITUTE(SUBSTITUTE(Продажи_исходные!B12,"№",""),"АРТ-",""),"АРТ_",""),"/","-"),3)</f>
        <v>АРТ-478</v>
      </c>
      <c r="C12" s="4">
        <f>IFERROR(VALUE(TRIM(SUBSTITUTE(SUBSTITUTE(SUBSTITUTE(SUBSTITUTE(Продажи_исходные!C12," шт.","")," шт",""),"шт.",""),"шт",""))),0)</f>
        <v>3</v>
      </c>
      <c r="D12" s="4">
        <f>IF(LEFT(Продажи_исходные!D12,1)="$",VALUE(MID(Продажи_исходные!D12,2,255))*95,IF(LEFT(Продажи_исходные!D12,1)="€",VALUE(MID(Продажи_исходные!D12,2,255))*100,VALUE(SUBSTITUTE(SUBSTITUTE(Продажи_исходные!D12,"₽","")," ",""))))</f>
        <v>8000</v>
      </c>
      <c r="E12" t="str">
        <f>Продажи_исходные!E12</f>
        <v>C0011</v>
      </c>
      <c r="F12" t="str">
        <f>Продажи_исходные!F12</f>
        <v>P014</v>
      </c>
      <c r="G12" t="str">
        <f>IFERROR(VLOOKUP(Продажи_исходные!G12,Справочники!$G$2:$H$50,2,FALSE),Продажи_исходные!G12)</f>
        <v>Возврат</v>
      </c>
      <c r="H12" s="4">
        <f>IFERROR(VLOOKUP(B12,Товары_очищенные!$A$1:$G$1000,6,FALSE),"нет в каталоге")</f>
        <v>12990</v>
      </c>
      <c r="I12" t="str">
        <f>IFERROR(VLOOKUP(B12,Товары_очищенные!$A$1:$G$1000,3,FALSE),"нет в каталоге")</f>
        <v>Аксессуары</v>
      </c>
      <c r="J12" t="str">
        <f t="shared" si="25"/>
        <v>OK</v>
      </c>
    </row>
    <row r="13">
      <c r="A13" s="8">
        <f>DATE(RIGHT(Продажи_исходные!A13,4),LEFT(Продажи_исходные!A13,2),MID(Продажи_исходные!A13,4,2))</f>
        <v>45677</v>
      </c>
      <c r="B13" t="str">
        <f>"АРТ-"&amp;LEFT(SUBSTITUTE(SUBSTITUTE(SUBSTITUTE(SUBSTITUTE(Продажи_исходные!B13,"№",""),"АРТ-",""),"АРТ_",""),"/","-"),3)</f>
        <v>АРТ-045</v>
      </c>
      <c r="C13" s="4">
        <f>IFERROR(VALUE(TRIM(SUBSTITUTE(SUBSTITUTE(SUBSTITUTE(SUBSTITUTE(Продажи_исходные!C13," шт.","")," шт",""),"шт.",""),"шт",""))),0)</f>
        <v>1</v>
      </c>
      <c r="D13" s="4">
        <f>IF(LEFT(Продажи_исходные!D13,1)="$",VALUE(MID(Продажи_исходные!D13,2,255))*95,IF(LEFT(Продажи_исходные!D13,1)="€",VALUE(MID(Продажи_исходные!D13,2,255))*100,VALUE(SUBSTITUTE(SUBSTITUTE(Продажи_исходные!D13,"₽","")," ",""))))</f>
        <v>8500</v>
      </c>
      <c r="E13" t="str">
        <f>Продажи_исходные!E13</f>
        <v>C0012</v>
      </c>
      <c r="F13" t="str">
        <f>Продажи_исходные!F13</f>
        <v>P028</v>
      </c>
      <c r="G13" t="str">
        <f>IFERROR(VLOOKUP(Продажи_исходные!G13,Справочники!$G$2:$H$50,2,FALSE),Продажи_исходные!G13)</f>
        <v>Завершен</v>
      </c>
      <c r="H13" s="4">
        <f>IFERROR(VLOOKUP(B13,Товары_очищенные!$A$1:$G$1000,6,FALSE),"нет в каталоге")</f>
        <v>137000</v>
      </c>
      <c r="I13" t="str">
        <f>IFERROR(VLOOKUP(B13,Товары_очищенные!$A$1:$G$1000,3,FALSE),"нет в каталоге")</f>
        <v>Телевизоры</v>
      </c>
      <c r="J13" t="str">
        <f t="shared" si="25"/>
        <v>OK</v>
      </c>
    </row>
    <row r="14">
      <c r="A14" s="8">
        <f>DATE(RIGHT(Продажи_исходные!A14,4),LEFT(Продажи_исходные!A14,2),MID(Продажи_исходные!A14,4,2))</f>
        <v>45678</v>
      </c>
      <c r="B14" t="str">
        <f>"АРТ-"&amp;LEFT(SUBSTITUTE(SUBSTITUTE(SUBSTITUTE(SUBSTITUTE(Продажи_исходные!B14,"№",""),"АРТ-",""),"АРТ_",""),"/","-"),3)</f>
        <v>АРТ-189</v>
      </c>
      <c r="C14" s="4">
        <f>IFERROR(VALUE(TRIM(SUBSTITUTE(SUBSTITUTE(SUBSTITUTE(SUBSTITUTE(Продажи_исходные!C14," шт.","")," шт",""),"шт.",""),"шт",""))),0)</f>
        <v>2</v>
      </c>
      <c r="D14" s="4">
        <f>IF(LEFT(Продажи_исходные!D14,1)="$",VALUE(MID(Продажи_исходные!D14,2,255))*95,IF(LEFT(Продажи_исходные!D14,1)="€",VALUE(MID(Продажи_исходные!D14,2,255))*100,VALUE(SUBSTITUTE(SUBSTITUTE(Продажи_исходные!D14,"₽","")," ",""))))</f>
        <v>12350</v>
      </c>
      <c r="E14" t="str">
        <f>Продажи_исходные!E14</f>
        <v>C0013</v>
      </c>
      <c r="F14" t="str">
        <f>Продажи_исходные!F14</f>
        <v>P009</v>
      </c>
      <c r="G14" t="str">
        <f>IFERROR(VLOOKUP(Продажи_исходные!G14,Справочники!$G$2:$H$50,2,FALSE),Продажи_исходные!G14)</f>
        <v>Отменен</v>
      </c>
      <c r="H14" s="4">
        <f>IFERROR(VLOOKUP(B14,Товары_очищенные!$A$1:$G$1000,6,FALSE),"нет в каталоге")</f>
        <v>51500</v>
      </c>
      <c r="I14" t="str">
        <f>IFERROR(VLOOKUP(B14,Товары_очищенные!$A$1:$G$1000,3,FALSE),"нет в каталоге")</f>
        <v>Часы</v>
      </c>
      <c r="J14" t="str">
        <f t="shared" si="25"/>
        <v>OK</v>
      </c>
    </row>
    <row r="15">
      <c r="A15" s="8">
        <f>DATE(RIGHT(Продажи_исходные!A15,4),LEFT(Продажи_исходные!A15,2),MID(Продажи_исходные!A15,4,2))</f>
        <v>45678</v>
      </c>
      <c r="B15" t="str">
        <f>"АРТ-"&amp;LEFT(SUBSTITUTE(SUBSTITUTE(SUBSTITUTE(SUBSTITUTE(Продажи_исходные!B15,"№",""),"АРТ-",""),"АРТ_",""),"/","-"),3)</f>
        <v>АРТ-334</v>
      </c>
      <c r="C15" s="4">
        <f>IFERROR(VALUE(TRIM(SUBSTITUTE(SUBSTITUTE(SUBSTITUTE(SUBSTITUTE(Продажи_исходные!C15," шт.","")," шт",""),"шт.",""),"шт",""))),0)</f>
        <v>1</v>
      </c>
      <c r="D15" s="4">
        <f>IF(LEFT(Продажи_исходные!D15,1)="$",VALUE(MID(Продажи_исходные!D15,2,255))*95,IF(LEFT(Продажи_исходные!D15,1)="€",VALUE(MID(Продажи_исходные!D15,2,255))*100,VALUE(SUBSTITUTE(SUBSTITUTE(Продажи_исходные!D15,"₽","")," ",""))))</f>
        <v>11000</v>
      </c>
      <c r="E15" t="str">
        <f>Продажи_исходные!E15</f>
        <v>C0014</v>
      </c>
      <c r="F15" t="str">
        <f>Продажи_исходные!F15</f>
        <v>P041</v>
      </c>
      <c r="G15" t="str">
        <f>IFERROR(VLOOKUP(Продажи_исходные!G15,Справочники!$G$2:$H$50,2,FALSE),Продажи_исходные!G15)</f>
        <v>Завершен</v>
      </c>
      <c r="H15" s="4">
        <f>IFERROR(VLOOKUP(B15,Товары_очищенные!$A$1:$G$1000,6,FALSE),"нет в каталоге")</f>
        <v>48990</v>
      </c>
      <c r="I15" t="str">
        <f>IFERROR(VLOOKUP(B15,Товары_очищенные!$A$1:$G$1000,3,FALSE),"нет в каталоге")</f>
        <v>Планшеты</v>
      </c>
      <c r="J15" t="str">
        <f t="shared" si="25"/>
        <v>OK</v>
      </c>
    </row>
    <row r="16">
      <c r="A16" s="8">
        <f>DATE(RIGHT(Продажи_исходные!A16,4),LEFT(Продажи_исходные!A16,2),MID(Продажи_исходные!A16,4,2))</f>
        <v>45679</v>
      </c>
      <c r="B16" t="str">
        <f>"АРТ-"&amp;LEFT(SUBSTITUTE(SUBSTITUTE(SUBSTITUTE(SUBSTITUTE(Продажи_исходные!B16,"№",""),"АРТ-",""),"АРТ_",""),"/","-"),3)</f>
        <v>АРТ-126</v>
      </c>
      <c r="C16" s="4">
        <f>IFERROR(VALUE(TRIM(SUBSTITUTE(SUBSTITUTE(SUBSTITUTE(SUBSTITUTE(Продажи_исходные!C16," шт.","")," шт",""),"шт.",""),"шт",""))),0)</f>
        <v>3</v>
      </c>
      <c r="D16" s="4">
        <f>IF(LEFT(Продажи_исходные!D16,1)="$",VALUE(MID(Продажи_исходные!D16,2,255))*95,IF(LEFT(Продажи_исходные!D16,1)="€",VALUE(MID(Продажи_исходные!D16,2,255))*100,VALUE(SUBSTITUTE(SUBSTITUTE(Продажи_исходные!D16,"₽","")," ",""))))</f>
        <v>9500</v>
      </c>
      <c r="E16" t="str">
        <f>Продажи_исходные!E16</f>
        <v>C0015</v>
      </c>
      <c r="F16" t="str">
        <f>Продажи_исходные!F16</f>
        <v>P017</v>
      </c>
      <c r="G16" t="str">
        <f>IFERROR(VLOOKUP(Продажи_исходные!G16,Справочники!$G$2:$H$50,2,FALSE),Продажи_исходные!G16)</f>
        <v>Отменен</v>
      </c>
      <c r="H16" s="4">
        <f>IFERROR(VLOOKUP(B16,Товары_очищенные!$A$1:$G$1000,6,FALSE),"нет в каталоге")</f>
        <v>173000</v>
      </c>
      <c r="I16" t="str">
        <f>IFERROR(VLOOKUP(B16,Товары_очищенные!$A$1:$G$1000,3,FALSE),"нет в каталоге")</f>
        <v>Ноутбуки</v>
      </c>
      <c r="J16" t="str">
        <f t="shared" si="25"/>
        <v>OK</v>
      </c>
    </row>
    <row r="17">
      <c r="A17" s="8">
        <f>DATE(RIGHT(Продажи_исходные!A17,4),LEFT(Продажи_исходные!A17,2),MID(Продажи_исходные!A17,4,2))</f>
        <v>45679</v>
      </c>
      <c r="B17" t="str">
        <f>"АРТ-"&amp;LEFT(SUBSTITUTE(SUBSTITUTE(SUBSTITUTE(SUBSTITUTE(Продажи_исходные!B17,"№",""),"АРТ-",""),"АРТ_",""),"/","-"),3)</f>
        <v>АРТ-412</v>
      </c>
      <c r="C17" s="4">
        <f>IFERROR(VALUE(TRIM(SUBSTITUTE(SUBSTITUTE(SUBSTITUTE(SUBSTITUTE(Продажи_исходные!C17," шт.","")," шт",""),"шт.",""),"шт",""))),0)</f>
        <v>-1</v>
      </c>
      <c r="D17" s="4">
        <f>IF(LEFT(Продажи_исходные!D17,1)="$",VALUE(MID(Продажи_исходные!D17,2,255))*95,IF(LEFT(Продажи_исходные!D17,1)="€",VALUE(MID(Продажи_исходные!D17,2,255))*100,VALUE(SUBSTITUTE(SUBSTITUTE(Продажи_исходные!D17,"₽","")," ",""))))</f>
        <v>9025</v>
      </c>
      <c r="E17" t="str">
        <f>Продажи_исходные!E17</f>
        <v>C0016</v>
      </c>
      <c r="F17" t="str">
        <f>Продажи_исходные!F17</f>
        <v>P032</v>
      </c>
      <c r="G17" t="str">
        <f>IFERROR(VLOOKUP(Продажи_исходные!G17,Справочники!$G$2:$H$50,2,FALSE),Продажи_исходные!G17)</f>
        <v>Завершен</v>
      </c>
      <c r="H17" s="4">
        <f>IFERROR(VLOOKUP(B17,Товары_очищенные!$A$1:$G$1000,6,FALSE),"нет в каталоге")</f>
        <v>54990</v>
      </c>
      <c r="I17" t="str">
        <f>IFERROR(VLOOKUP(B17,Товары_очищенные!$A$1:$G$1000,3,FALSE),"нет в каталоге")</f>
        <v>Мониторы</v>
      </c>
      <c r="J17" t="str">
        <f t="shared" si="25"/>
        <v>OK</v>
      </c>
    </row>
    <row r="18">
      <c r="A18" s="8">
        <f>DATE(RIGHT(Продажи_исходные!A18,4),LEFT(Продажи_исходные!A18,2),MID(Продажи_исходные!A18,4,2))</f>
        <v>45680</v>
      </c>
      <c r="B18" t="str">
        <f>"АРТ-"&amp;LEFT(SUBSTITUTE(SUBSTITUTE(SUBSTITUTE(SUBSTITUTE(Продажи_исходные!B18,"№",""),"АРТ-",""),"АРТ_",""),"/","-"),3)</f>
        <v>АРТ-057</v>
      </c>
      <c r="C18" s="4">
        <f>IFERROR(VALUE(TRIM(SUBSTITUTE(SUBSTITUTE(SUBSTITUTE(SUBSTITUTE(Продажи_исходные!C18," шт.","")," шт",""),"шт.",""),"шт",""))),0)</f>
        <v>2</v>
      </c>
      <c r="D18" s="4">
        <f>IF(LEFT(Продажи_исходные!D18,1)="$",VALUE(MID(Продажи_исходные!D18,2,255))*95,IF(LEFT(Продажи_исходные!D18,1)="€",VALUE(MID(Продажи_исходные!D18,2,255))*100,VALUE(SUBSTITUTE(SUBSTITUTE(Продажи_исходные!D18,"₽","")," ",""))))</f>
        <v>7500</v>
      </c>
      <c r="E18" t="str">
        <f>Продажи_исходные!E18</f>
        <v>C0017</v>
      </c>
      <c r="F18" t="str">
        <f>Продажи_исходные!F18</f>
        <v>P049</v>
      </c>
      <c r="G18" t="str">
        <f>IFERROR(VLOOKUP(Продажи_исходные!G18,Справочники!$G$2:$H$50,2,FALSE),Продажи_исходные!G18)</f>
        <v>Завершен</v>
      </c>
      <c r="H18" s="4">
        <f>IFERROR(VLOOKUP(B18,Товары_очищенные!$A$1:$G$1000,6,FALSE),"нет в каталоге")</f>
        <v>11200</v>
      </c>
      <c r="I18" t="str">
        <f>IFERROR(VLOOKUP(B18,Товары_очищенные!$A$1:$G$1000,3,FALSE),"нет в каталоге")</f>
        <v>Аксессуары</v>
      </c>
      <c r="J18" t="str">
        <f t="shared" si="25"/>
        <v>OK</v>
      </c>
    </row>
    <row r="19">
      <c r="A19" s="8">
        <f>DATE(RIGHT(Продажи_исходные!A19,4),LEFT(Продажи_исходные!A19,2),MID(Продажи_исходные!A19,4,2))</f>
        <v>45680</v>
      </c>
      <c r="B19" t="str">
        <f>"АРТ-"&amp;LEFT(SUBSTITUTE(SUBSTITUTE(SUBSTITUTE(SUBSTITUTE(Продажи_исходные!B19,"№",""),"АРТ-",""),"АРТ_",""),"/","-"),3)</f>
        <v>АРТ-394</v>
      </c>
      <c r="C19" s="4">
        <f>IFERROR(VALUE(TRIM(SUBSTITUTE(SUBSTITUTE(SUBSTITUTE(SUBSTITUTE(Продажи_исходные!C19," шт.","")," шт",""),"шт.",""),"шт",""))),0)</f>
        <v>1</v>
      </c>
      <c r="D19" s="4">
        <f>IF(LEFT(Продажи_исходные!D19,1)="$",VALUE(MID(Продажи_исходные!D19,2,255))*95,IF(LEFT(Продажи_исходные!D19,1)="€",VALUE(MID(Продажи_исходные!D19,2,255))*100,VALUE(SUBSTITUTE(SUBSTITUTE(Продажи_исходные!D19,"₽","")," ",""))))</f>
        <v>7000</v>
      </c>
      <c r="E19" t="str">
        <f>Продажи_исходные!E19</f>
        <v>C0018</v>
      </c>
      <c r="F19" t="str">
        <f>Продажи_исходные!F19</f>
        <v>P006</v>
      </c>
      <c r="G19" t="str">
        <f>IFERROR(VLOOKUP(Продажи_исходные!G19,Справочники!$G$2:$H$50,2,FALSE),Продажи_исходные!G19)</f>
        <v>Возврат</v>
      </c>
      <c r="H19" s="4">
        <f>IFERROR(VLOOKUP(B19,Товары_очищенные!$A$1:$G$1000,6,FALSE),"нет в каталоге")</f>
        <v>64990</v>
      </c>
      <c r="I19" t="str">
        <f>IFERROR(VLOOKUP(B19,Товары_очищенные!$A$1:$G$1000,3,FALSE),"нет в каталоге")</f>
        <v>Мониторы</v>
      </c>
      <c r="J19" t="str">
        <f t="shared" si="25"/>
        <v>OK</v>
      </c>
    </row>
    <row r="20">
      <c r="A20" s="8">
        <f>DATE(RIGHT(Продажи_исходные!A20,4),LEFT(Продажи_исходные!A20,2),MID(Продажи_исходные!A20,4,2))</f>
        <v>45681</v>
      </c>
      <c r="B20" t="str">
        <f>"АРТ-"&amp;LEFT(SUBSTITUTE(SUBSTITUTE(SUBSTITUTE(SUBSTITUTE(Продажи_исходные!B20,"№",""),"АРТ-",""),"АРТ_",""),"/","-"),3)</f>
        <v>АРТ-278</v>
      </c>
      <c r="C20" s="4">
        <f>IFERROR(VALUE(TRIM(SUBSTITUTE(SUBSTITUTE(SUBSTITUTE(SUBSTITUTE(Продажи_исходные!C20," шт.","")," шт",""),"шт.",""),"шт",""))),0)</f>
        <v>3</v>
      </c>
      <c r="D20" s="4">
        <f>IF(LEFT(Продажи_исходные!D20,1)="$",VALUE(MID(Продажи_исходные!D20,2,255))*95,IF(LEFT(Продажи_исходные!D20,1)="€",VALUE(MID(Продажи_исходные!D20,2,255))*100,VALUE(SUBSTITUTE(SUBSTITUTE(Продажи_исходные!D20,"₽","")," ",""))))</f>
        <v>13300</v>
      </c>
      <c r="E20" t="str">
        <f>Продажи_исходные!E20</f>
        <v>C0019</v>
      </c>
      <c r="F20" t="str">
        <f>Продажи_исходные!F20</f>
        <v>P024</v>
      </c>
      <c r="G20" t="str">
        <f>IFERROR(VLOOKUP(Продажи_исходные!G20,Справочники!$G$2:$H$50,2,FALSE),Продажи_исходные!G20)</f>
        <v>Завершен</v>
      </c>
      <c r="H20" s="4">
        <f>IFERROR(VLOOKUP(B20,Товары_очищенные!$A$1:$G$1000,6,FALSE),"нет в каталоге")</f>
        <v>112000</v>
      </c>
      <c r="I20" t="str">
        <f>IFERROR(VLOOKUP(B20,Товары_очищенные!$A$1:$G$1000,3,FALSE),"нет в каталоге")</f>
        <v>Телевизоры</v>
      </c>
      <c r="J20" t="str">
        <f t="shared" si="25"/>
        <v>OK</v>
      </c>
    </row>
    <row r="21">
      <c r="A21" s="8">
        <f>DATE(RIGHT(Продажи_исходные!A21,4),LEFT(Продажи_исходные!A21,2),MID(Продажи_исходные!A21,4,2))</f>
        <v>45681</v>
      </c>
      <c r="B21" t="str">
        <f>"АРТ-"&amp;LEFT(SUBSTITUTE(SUBSTITUTE(SUBSTITUTE(SUBSTITUTE(Продажи_исходные!B21,"№",""),"АРТ-",""),"АРТ_",""),"/","-"),3)</f>
        <v>АРТ-193</v>
      </c>
      <c r="C21" s="4">
        <f>IFERROR(VALUE(TRIM(SUBSTITUTE(SUBSTITUTE(SUBSTITUTE(SUBSTITUTE(Продажи_исходные!C21," шт.","")," шт",""),"шт.",""),"шт",""))),0)</f>
        <v>2</v>
      </c>
      <c r="D21" s="4">
        <f>IF(LEFT(Продажи_исходные!D21,1)="$",VALUE(MID(Продажи_исходные!D21,2,255))*95,IF(LEFT(Продажи_исходные!D21,1)="€",VALUE(MID(Продажи_исходные!D21,2,255))*100,VALUE(SUBSTITUTE(SUBSTITUTE(Продажи_исходные!D21,"₽","")," ",""))))</f>
        <v>12000</v>
      </c>
      <c r="E21" t="str">
        <f>Продажи_исходные!E21</f>
        <v>C0020</v>
      </c>
      <c r="F21" t="str">
        <f>Продажи_исходные!F21</f>
        <v>P015</v>
      </c>
      <c r="G21" t="str">
        <f>IFERROR(VLOOKUP(Продажи_исходные!G21,Справочники!$G$2:$H$50,2,FALSE),Продажи_исходные!G21)</f>
        <v>Завершен</v>
      </c>
      <c r="H21" s="4">
        <f>IFERROR(VLOOKUP(B21,Товары_очищенные!$A$1:$G$1000,6,FALSE),"нет в каталоге")</f>
        <v>129990</v>
      </c>
      <c r="I21" t="str">
        <f>IFERROR(VLOOKUP(B21,Товары_очищенные!$A$1:$G$1000,3,FALSE),"нет в каталоге")</f>
        <v>Ноутбуки</v>
      </c>
      <c r="J21" t="str">
        <f t="shared" si="25"/>
        <v>OK</v>
      </c>
    </row>
    <row r="22">
      <c r="A22" s="8">
        <f>DATE(RIGHT(Продажи_исходные!A22,4),LEFT(Продажи_исходные!A22,2),MID(Продажи_исходные!A22,4,2))</f>
        <v>45682</v>
      </c>
      <c r="B22" t="str">
        <f>"АРТ-"&amp;LEFT(SUBSTITUTE(SUBSTITUTE(SUBSTITUTE(SUBSTITUTE(Продажи_исходные!B22,"№",""),"АРТ-",""),"АРТ_",""),"/","-"),3)</f>
        <v>АРТ-149</v>
      </c>
      <c r="C22" s="4">
        <f>IFERROR(VALUE(TRIM(SUBSTITUTE(SUBSTITUTE(SUBSTITUTE(SUBSTITUTE(Продажи_исходные!C22," шт.","")," шт",""),"шт.",""),"шт",""))),0)</f>
        <v>1</v>
      </c>
      <c r="D22" s="4">
        <f>IF(LEFT(Продажи_исходные!D22,1)="$",VALUE(MID(Продажи_исходные!D22,2,255))*95,IF(LEFT(Продажи_исходные!D22,1)="€",VALUE(MID(Продажи_исходные!D22,2,255))*100,VALUE(SUBSTITUTE(SUBSTITUTE(Продажи_исходные!D22,"₽","")," ",""))))</f>
        <v>10000</v>
      </c>
      <c r="E22" t="str">
        <f>Продажи_исходные!E22</f>
        <v>C0021</v>
      </c>
      <c r="F22" t="str">
        <f>Продажи_исходные!F22</f>
        <v>P037</v>
      </c>
      <c r="G22" t="str">
        <f>IFERROR(VLOOKUP(Продажи_исходные!G22,Справочники!$G$2:$H$50,2,FALSE),Продажи_исходные!G22)</f>
        <v>Отменен</v>
      </c>
      <c r="H22" s="4">
        <f>IFERROR(VLOOKUP(B22,Товары_очищенные!$A$1:$G$1000,6,FALSE),"нет в каталоге")</f>
        <v>137000</v>
      </c>
      <c r="I22" t="str">
        <f>IFERROR(VLOOKUP(B22,Товары_очищенные!$A$1:$G$1000,3,FALSE),"нет в каталоге")</f>
        <v>Ноутбуки</v>
      </c>
      <c r="J22" t="str">
        <f t="shared" si="25"/>
        <v>OK</v>
      </c>
    </row>
    <row r="23">
      <c r="A23" s="8">
        <f>DATE(RIGHT(Продажи_исходные!A23,4),LEFT(Продажи_исходные!A23,2),MID(Продажи_исходные!A23,4,2))</f>
        <v>45682</v>
      </c>
      <c r="B23" t="str">
        <f>"АРТ-"&amp;LEFT(SUBSTITUTE(SUBSTITUTE(SUBSTITUTE(SUBSTITUTE(Продажи_исходные!B23,"№",""),"АРТ-",""),"АРТ_",""),"/","-"),3)</f>
        <v>АРТ-345</v>
      </c>
      <c r="C23" s="4">
        <f>IFERROR(VALUE(TRIM(SUBSTITUTE(SUBSTITUTE(SUBSTITUTE(SUBSTITUTE(Продажи_исходные!C23," шт.","")," шт",""),"шт.",""),"шт",""))),0)</f>
        <v>-3</v>
      </c>
      <c r="D23" s="4">
        <f>IF(LEFT(Продажи_исходные!D23,1)="$",VALUE(MID(Продажи_исходные!D23,2,255))*95,IF(LEFT(Продажи_исходные!D23,1)="€",VALUE(MID(Продажи_исходные!D23,2,255))*100,VALUE(SUBSTITUTE(SUBSTITUTE(Продажи_исходные!D23,"₽","")," ",""))))</f>
        <v>8550</v>
      </c>
      <c r="E23" t="str">
        <f>Продажи_исходные!E23</f>
        <v>C0022</v>
      </c>
      <c r="F23" t="str">
        <f>Продажи_исходные!F23</f>
        <v>P048</v>
      </c>
      <c r="G23" t="str">
        <f>IFERROR(VLOOKUP(Продажи_исходные!G23,Справочники!$G$2:$H$50,2,FALSE),Продажи_исходные!G23)</f>
        <v>Отменен</v>
      </c>
      <c r="H23" s="4">
        <f>IFERROR(VLOOKUP(B23,Товары_очищенные!$A$1:$G$1000,6,FALSE),"нет в каталоге")</f>
        <v>87500</v>
      </c>
      <c r="I23" t="str">
        <f>IFERROR(VLOOKUP(B23,Товары_очищенные!$A$1:$G$1000,3,FALSE),"нет в каталоге")</f>
        <v>Телевизоры</v>
      </c>
      <c r="J23" t="str">
        <f t="shared" si="25"/>
        <v>OK</v>
      </c>
    </row>
    <row r="24">
      <c r="A24" s="8">
        <f>DATE(RIGHT(Продажи_исходные!A24,4),LEFT(Продажи_исходные!A24,2),MID(Продажи_исходные!A24,4,2))</f>
        <v>45683</v>
      </c>
      <c r="B24" t="str">
        <f>"АРТ-"&amp;LEFT(SUBSTITUTE(SUBSTITUTE(SUBSTITUTE(SUBSTITUTE(Продажи_исходные!B24,"№",""),"АРТ-",""),"АРТ_",""),"/","-"),3)</f>
        <v>АРТ-086</v>
      </c>
      <c r="C24" s="4">
        <f>IFERROR(VALUE(TRIM(SUBSTITUTE(SUBSTITUTE(SUBSTITUTE(SUBSTITUTE(Продажи_исходные!C24," шт.","")," шт",""),"шт.",""),"шт",""))),0)</f>
        <v>2</v>
      </c>
      <c r="D24" s="4">
        <f>IF(LEFT(Продажи_исходные!D24,1)="$",VALUE(MID(Продажи_исходные!D24,2,255))*95,IF(LEFT(Продажи_исходные!D24,1)="€",VALUE(MID(Продажи_исходные!D24,2,255))*100,VALUE(SUBSTITUTE(SUBSTITUTE(Продажи_исходные!D24,"₽","")," ",""))))</f>
        <v>7000</v>
      </c>
      <c r="E24" t="str">
        <f>Продажи_исходные!E24</f>
        <v>C0023</v>
      </c>
      <c r="F24" t="str">
        <f>Продажи_исходные!F24</f>
        <v>P004</v>
      </c>
      <c r="G24" t="str">
        <f>IFERROR(VLOOKUP(Продажи_исходные!G24,Справочники!$G$2:$H$50,2,FALSE),Продажи_исходные!G24)</f>
        <v>Возврат</v>
      </c>
      <c r="H24" s="4">
        <f>IFERROR(VLOOKUP(B24,Товары_очищенные!$A$1:$G$1000,6,FALSE),"нет в каталоге")</f>
        <v>107500</v>
      </c>
      <c r="I24" t="str">
        <f>IFERROR(VLOOKUP(B24,Товары_очищенные!$A$1:$G$1000,3,FALSE),"нет в каталоге")</f>
        <v>Ноутбуки</v>
      </c>
      <c r="J24" t="str">
        <f t="shared" si="25"/>
        <v>OK</v>
      </c>
    </row>
    <row r="25">
      <c r="A25" s="8">
        <f>DATE(RIGHT(Продажи_исходные!A25,4),LEFT(Продажи_исходные!A25,2),MID(Продажи_исходные!A25,4,2))</f>
        <v>45683</v>
      </c>
      <c r="B25" t="str">
        <f>"АРТ-"&amp;LEFT(SUBSTITUTE(SUBSTITUTE(SUBSTITUTE(SUBSTITUTE(Продажи_исходные!B25,"№",""),"АРТ-",""),"АРТ_",""),"/","-"),3)</f>
        <v>АРТ-223</v>
      </c>
      <c r="C25" s="4">
        <f>IFERROR(VALUE(TRIM(SUBSTITUTE(SUBSTITUTE(SUBSTITUTE(SUBSTITUTE(Продажи_исходные!C25," шт.","")," шт",""),"шт.",""),"шт",""))),0)</f>
        <v>1</v>
      </c>
      <c r="D25" s="4">
        <f>IF(LEFT(Продажи_исходные!D25,1)="$",VALUE(MID(Продажи_исходные!D25,2,255))*95,IF(LEFT(Продажи_исходные!D25,1)="€",VALUE(MID(Продажи_исходные!D25,2,255))*100,VALUE(SUBSTITUTE(SUBSTITUTE(Продажи_исходные!D25,"₽","")," ",""))))</f>
        <v>5500</v>
      </c>
      <c r="E25" t="str">
        <f>Продажи_исходные!E25</f>
        <v>C0024</v>
      </c>
      <c r="F25" t="str">
        <f>Продажи_исходные!F25</f>
        <v>P026</v>
      </c>
      <c r="G25" t="str">
        <f>IFERROR(VLOOKUP(Продажи_исходные!G25,Справочники!$G$2:$H$50,2,FALSE),Продажи_исходные!G25)</f>
        <v>Завершен</v>
      </c>
      <c r="H25" s="4">
        <f>IFERROR(VLOOKUP(B25,Товары_очищенные!$A$1:$G$1000,6,FALSE),"нет в каталоге")</f>
        <v>54990</v>
      </c>
      <c r="I25" t="str">
        <f>IFERROR(VLOOKUP(B25,Товары_очищенные!$A$1:$G$1000,3,FALSE),"нет в каталоге")</f>
        <v>Мониторы</v>
      </c>
      <c r="J25" t="str">
        <f t="shared" si="25"/>
        <v>OK</v>
      </c>
    </row>
    <row r="26">
      <c r="A26" s="8">
        <f>DATE(RIGHT(Продажи_исходные!A26,4),LEFT(Продажи_исходные!A26,2),MID(Продажи_исходные!A26,4,2))</f>
        <v>45684</v>
      </c>
      <c r="B26" t="str">
        <f>"АРТ-"&amp;LEFT(SUBSTITUTE(SUBSTITUTE(SUBSTITUTE(SUBSTITUTE(Продажи_исходные!B26,"№",""),"АРТ-",""),"АРТ_",""),"/","-"),3)</f>
        <v>АРТ-019</v>
      </c>
      <c r="C26" s="4">
        <f>IFERROR(VALUE(TRIM(SUBSTITUTE(SUBSTITUTE(SUBSTITUTE(SUBSTITUTE(Продажи_исходные!C26," шт.","")," шт",""),"шт.",""),"шт",""))),0)</f>
        <v>2</v>
      </c>
      <c r="D26" s="4">
        <f>IF(LEFT(Продажи_исходные!D26,1)="$",VALUE(MID(Продажи_исходные!D26,2,255))*95,IF(LEFT(Продажи_исходные!D26,1)="€",VALUE(MID(Продажи_исходные!D26,2,255))*100,VALUE(SUBSTITUTE(SUBSTITUTE(Продажи_исходные!D26,"₽","")," ",""))))</f>
        <v>11875</v>
      </c>
      <c r="E26" t="str">
        <f>Продажи_исходные!E26</f>
        <v>C0025</v>
      </c>
      <c r="F26" t="str">
        <f>Продажи_исходные!F26</f>
        <v>P013</v>
      </c>
      <c r="G26" t="str">
        <f>IFERROR(VLOOKUP(Продажи_исходные!G26,Справочники!$G$2:$H$50,2,FALSE),Продажи_исходные!G26)</f>
        <v>Завершен</v>
      </c>
      <c r="H26" s="4">
        <f>IFERROR(VLOOKUP(B26,Товары_очищенные!$A$1:$G$1000,6,FALSE),"нет в каталоге")</f>
        <v>135000</v>
      </c>
      <c r="I26" t="str">
        <f>IFERROR(VLOOKUP(B26,Товары_очищенные!$A$1:$G$1000,3,FALSE),"нет в каталоге")</f>
        <v>Ноутбуки</v>
      </c>
      <c r="J26" t="str">
        <f t="shared" si="25"/>
        <v>OK</v>
      </c>
    </row>
    <row r="27">
      <c r="A27" s="8">
        <f>DATE(RIGHT(Продажи_исходные!A27,4),LEFT(Продажи_исходные!A27,2),MID(Продажи_исходные!A27,4,2))</f>
        <v>45684</v>
      </c>
      <c r="B27" t="str">
        <f>"АРТ-"&amp;LEFT(SUBSTITUTE(SUBSTITUTE(SUBSTITUTE(SUBSTITUTE(Продажи_исходные!B27,"№",""),"АРТ-",""),"АРТ_",""),"/","-"),3)</f>
        <v>АРТ-501</v>
      </c>
      <c r="C27" s="4">
        <f>IFERROR(VALUE(TRIM(SUBSTITUTE(SUBSTITUTE(SUBSTITUTE(SUBSTITUTE(Продажи_исходные!C27," шт.","")," шт",""),"шт.",""),"шт",""))),0)</f>
        <v>3</v>
      </c>
      <c r="D27" s="4">
        <f>IF(LEFT(Продажи_исходные!D27,1)="$",VALUE(MID(Продажи_исходные!D27,2,255))*95,IF(LEFT(Продажи_исходные!D27,1)="€",VALUE(MID(Продажи_исходные!D27,2,255))*100,VALUE(SUBSTITUTE(SUBSTITUTE(Продажи_исходные!D27,"₽","")," ",""))))</f>
        <v>10500</v>
      </c>
      <c r="E27" t="str">
        <f>Продажи_исходные!E27</f>
        <v>C0026</v>
      </c>
      <c r="F27" t="str">
        <f>Продажи_исходные!F27</f>
        <v>P034</v>
      </c>
      <c r="G27" t="str">
        <f>IFERROR(VLOOKUP(Продажи_исходные!G27,Справочники!$G$2:$H$50,2,FALSE),Продажи_исходные!G27)</f>
        <v>Завершен</v>
      </c>
      <c r="H27" s="4">
        <f>IFERROR(VLOOKUP(B27,Товары_очищенные!$A$1:$G$1000,6,FALSE),"нет в каталоге")</f>
        <v>6800</v>
      </c>
      <c r="I27" t="str">
        <f>IFERROR(VLOOKUP(B27,Товары_очищенные!$A$1:$G$1000,3,FALSE),"нет в каталоге")</f>
        <v>Аксессуары</v>
      </c>
      <c r="J27" t="str">
        <f t="shared" si="25"/>
        <v>OK</v>
      </c>
    </row>
    <row r="28">
      <c r="A28" s="8">
        <f>DATE(RIGHT(Продажи_исходные!A28,4),LEFT(Продажи_исходные!A28,2),MID(Продажи_исходные!A28,4,2))</f>
        <v>45685</v>
      </c>
      <c r="B28" t="str">
        <f>"АРТ-"&amp;LEFT(SUBSTITUTE(SUBSTITUTE(SUBSTITUTE(SUBSTITUTE(Продажи_исходные!B28,"№",""),"АРТ-",""),"АРТ_",""),"/","-"),3)</f>
        <v>АРТ-067</v>
      </c>
      <c r="C28" s="4">
        <f>IFERROR(VALUE(TRIM(SUBSTITUTE(SUBSTITUTE(SUBSTITUTE(SUBSTITUTE(Продажи_исходные!C28," шт.","")," шт",""),"шт.",""),"шт",""))),0)</f>
        <v>1</v>
      </c>
      <c r="D28" s="4">
        <f>IF(LEFT(Продажи_исходные!D28,1)="$",VALUE(MID(Продажи_исходные!D28,2,255))*95,IF(LEFT(Продажи_исходные!D28,1)="€",VALUE(MID(Продажи_исходные!D28,2,255))*100,VALUE(SUBSTITUTE(SUBSTITUTE(Продажи_исходные!D28,"₽","")," ",""))))</f>
        <v>9000</v>
      </c>
      <c r="E28" t="str">
        <f>Продажи_исходные!E28</f>
        <v>C0027</v>
      </c>
      <c r="F28" t="str">
        <f>Продажи_исходные!F28</f>
        <v>P044</v>
      </c>
      <c r="G28" t="str">
        <f>IFERROR(VLOOKUP(Продажи_исходные!G28,Справочники!$G$2:$H$50,2,FALSE),Продажи_исходные!G28)</f>
        <v>Отменен</v>
      </c>
      <c r="H28" s="4">
        <f>IFERROR(VLOOKUP(B28,Товары_очищенные!$A$1:$G$1000,6,FALSE),"нет в каталоге")</f>
        <v>109999</v>
      </c>
      <c r="I28" t="str">
        <f>IFERROR(VLOOKUP(B28,Товары_очищенные!$A$1:$G$1000,3,FALSE),"нет в каталоге")</f>
        <v>Телевизоры</v>
      </c>
      <c r="J28" t="str">
        <f t="shared" si="25"/>
        <v>OK</v>
      </c>
    </row>
    <row r="29">
      <c r="A29" s="8">
        <f>DATE(RIGHT(Продажи_исходные!A29,4),LEFT(Продажи_исходные!A29,2),MID(Продажи_исходные!A29,4,2))</f>
        <v>45685</v>
      </c>
      <c r="B29" t="str">
        <f>"АРТ-"&amp;LEFT(SUBSTITUTE(SUBSTITUTE(SUBSTITUTE(SUBSTITUTE(Продажи_исходные!B29,"№",""),"АРТ-",""),"АРТ_",""),"/","-"),3)</f>
        <v>АРТ-238</v>
      </c>
      <c r="C29" s="4">
        <f>IFERROR(VALUE(TRIM(SUBSTITUTE(SUBSTITUTE(SUBSTITUTE(SUBSTITUTE(Продажи_исходные!C29," шт.","")," шт",""),"шт.",""),"шт",""))),0)</f>
        <v>-2</v>
      </c>
      <c r="D29" s="4">
        <f>IF(LEFT(Продажи_исходные!D29,1)="$",VALUE(MID(Продажи_исходные!D29,2,255))*95,IF(LEFT(Продажи_исходные!D29,1)="€",VALUE(MID(Продажи_исходные!D29,2,255))*100,VALUE(SUBSTITUTE(SUBSTITUTE(Продажи_исходные!D29,"₽","")," ",""))))</f>
        <v>8075</v>
      </c>
      <c r="E29" t="str">
        <f>Продажи_исходные!E29</f>
        <v>C0028</v>
      </c>
      <c r="F29" t="str">
        <f>Продажи_исходные!F29</f>
        <v>P001</v>
      </c>
      <c r="G29" t="str">
        <f>IFERROR(VLOOKUP(Продажи_исходные!G29,Справочники!$G$2:$H$50,2,FALSE),Продажи_исходные!G29)</f>
        <v>Отменен</v>
      </c>
      <c r="H29" s="4">
        <f>IFERROR(VLOOKUP(B29,Товары_очищенные!$A$1:$G$1000,6,FALSE),"нет в каталоге")</f>
        <v>110990</v>
      </c>
      <c r="I29" t="str">
        <f>IFERROR(VLOOKUP(B29,Товары_очищенные!$A$1:$G$1000,3,FALSE),"нет в каталоге")</f>
        <v>Телевизоры</v>
      </c>
      <c r="J29" t="str">
        <f t="shared" si="25"/>
        <v>OK</v>
      </c>
    </row>
    <row r="30">
      <c r="A30" s="8">
        <f>DATE(RIGHT(Продажи_исходные!A30,4),LEFT(Продажи_исходные!A30,2),MID(Продажи_исходные!A30,4,2))</f>
        <v>45686</v>
      </c>
      <c r="B30" t="str">
        <f>"АРТ-"&amp;LEFT(SUBSTITUTE(SUBSTITUTE(SUBSTITUTE(SUBSTITUTE(Продажи_исходные!B30,"№",""),"АРТ-",""),"АРТ_",""),"/","-"),3)</f>
        <v>АРТ-321</v>
      </c>
      <c r="C30" s="4">
        <f>IFERROR(VALUE(TRIM(SUBSTITUTE(SUBSTITUTE(SUBSTITUTE(SUBSTITUTE(Продажи_исходные!C30," шт.","")," шт",""),"шт.",""),"шт",""))),0)</f>
        <v>1</v>
      </c>
      <c r="D30" s="4">
        <f>IF(LEFT(Продажи_исходные!D30,1)="$",VALUE(MID(Продажи_исходные!D30,2,255))*95,IF(LEFT(Продажи_исходные!D30,1)="€",VALUE(MID(Продажи_исходные!D30,2,255))*100,VALUE(SUBSTITUTE(SUBSTITUTE(Продажи_исходные!D30,"₽","")," ",""))))</f>
        <v>6500</v>
      </c>
      <c r="E30" t="str">
        <f>Продажи_исходные!E30</f>
        <v>C0029</v>
      </c>
      <c r="F30" t="str">
        <f>Продажи_исходные!F30</f>
        <v>P021</v>
      </c>
      <c r="G30" t="str">
        <f>IFERROR(VLOOKUP(Продажи_исходные!G30,Справочники!$G$2:$H$50,2,FALSE),Продажи_исходные!G30)</f>
        <v>Завершен</v>
      </c>
      <c r="H30" s="4">
        <f>IFERROR(VLOOKUP(B30,Товары_очищенные!$A$1:$G$1000,6,FALSE),"нет в каталоге")</f>
        <v>188000</v>
      </c>
      <c r="I30" t="str">
        <f>IFERROR(VLOOKUP(B30,Товары_очищенные!$A$1:$G$1000,3,FALSE),"нет в каталоге")</f>
        <v>Телевизоры</v>
      </c>
      <c r="J30" t="str">
        <f t="shared" si="25"/>
        <v>OK</v>
      </c>
    </row>
    <row r="31">
      <c r="A31" s="8">
        <f>DATE(RIGHT(Продажи_исходные!A31,4),LEFT(Продажи_исходные!A31,2),MID(Продажи_исходные!A31,4,2))</f>
        <v>45686</v>
      </c>
      <c r="B31" t="str">
        <f>"АРТ-"&amp;LEFT(SUBSTITUTE(SUBSTITUTE(SUBSTITUTE(SUBSTITUTE(Продажи_исходные!B31,"№",""),"АРТ-",""),"АРТ_",""),"/","-"),3)</f>
        <v>АРТ-176</v>
      </c>
      <c r="C31" s="4">
        <f>IFERROR(VALUE(TRIM(SUBSTITUTE(SUBSTITUTE(SUBSTITUTE(SUBSTITUTE(Продажи_исходные!C31," шт.","")," шт",""),"шт.",""),"шт",""))),0)</f>
        <v>3</v>
      </c>
      <c r="D31" s="4">
        <f>IF(LEFT(Продажи_исходные!D31,1)="$",VALUE(MID(Продажи_исходные!D31,2,255))*95,IF(LEFT(Продажи_исходные!D31,1)="€",VALUE(MID(Продажи_исходные!D31,2,255))*100,VALUE(SUBSTITUTE(SUBSTITUTE(Продажи_исходные!D31,"₽","")," ",""))))</f>
        <v>6000</v>
      </c>
      <c r="E31" t="str">
        <f>Продажи_исходные!E31</f>
        <v>C0030</v>
      </c>
      <c r="F31" t="str">
        <f>Продажи_исходные!F31</f>
        <v>P039</v>
      </c>
      <c r="G31" t="str">
        <f>IFERROR(VLOOKUP(Продажи_исходные!G31,Справочники!$G$2:$H$50,2,FALSE),Продажи_исходные!G31)</f>
        <v>Возврат</v>
      </c>
      <c r="H31" s="4">
        <f>IFERROR(VLOOKUP(B31,Товары_очищенные!$A$1:$G$1000,6,FALSE),"нет в каталоге")</f>
        <v>97000</v>
      </c>
      <c r="I31" t="str">
        <f>IFERROR(VLOOKUP(B31,Товары_очищенные!$A$1:$G$1000,3,FALSE),"нет в каталоге")</f>
        <v>Телевизоры</v>
      </c>
      <c r="J31" t="str">
        <f t="shared" si="25"/>
        <v>OK</v>
      </c>
    </row>
    <row r="32">
      <c r="A32" s="8">
        <f>DATE(RIGHT(Продажи_исходные!A32,4),LEFT(Продажи_исходные!A32,2),MID(Продажи_исходные!A32,4,2))</f>
        <v>45687</v>
      </c>
      <c r="B32" t="str">
        <f>"АРТ-"&amp;LEFT(SUBSTITUTE(SUBSTITUTE(SUBSTITUTE(SUBSTITUTE(Продажи_исходные!B32,"№",""),"АРТ-",""),"АРТ_",""),"/","-"),3)</f>
        <v>АРТ-009</v>
      </c>
      <c r="C32" s="4">
        <f>IFERROR(VALUE(TRIM(SUBSTITUTE(SUBSTITUTE(SUBSTITUTE(SUBSTITUTE(Продажи_исходные!C32," шт.","")," шт",""),"шт.",""),"шт",""))),0)</f>
        <v>2</v>
      </c>
      <c r="D32" s="4">
        <f>IF(LEFT(Продажи_исходные!D32,1)="$",VALUE(MID(Продажи_исходные!D32,2,255))*95,IF(LEFT(Продажи_исходные!D32,1)="€",VALUE(MID(Продажи_исходные!D32,2,255))*100,VALUE(SUBSTITUTE(SUBSTITUTE(Продажи_исходные!D32,"₽","")," ",""))))</f>
        <v>9500</v>
      </c>
      <c r="E32" t="str">
        <f>Продажи_исходные!E32</f>
        <v>C0031</v>
      </c>
      <c r="F32" t="str">
        <f>Продажи_исходные!F32</f>
        <v>P050</v>
      </c>
      <c r="G32" t="str">
        <f>IFERROR(VLOOKUP(Продажи_исходные!G32,Справочники!$G$2:$H$50,2,FALSE),Продажи_исходные!G32)</f>
        <v>Завершен</v>
      </c>
      <c r="H32" s="4">
        <f>IFERROR(VLOOKUP(B32,Товары_очищенные!$A$1:$G$1000,6,FALSE),"нет в каталоге")</f>
        <v>70500</v>
      </c>
      <c r="I32" t="str">
        <f>IFERROR(VLOOKUP(B32,Товары_очищенные!$A$1:$G$1000,3,FALSE),"нет в каталоге")</f>
        <v>Смартфоны</v>
      </c>
      <c r="J32" t="str">
        <f t="shared" si="25"/>
        <v>OK</v>
      </c>
    </row>
    <row r="33">
      <c r="A33" s="8">
        <f>DATE(RIGHT(Продажи_исходные!A33,4),LEFT(Продажи_исходные!A33,2),MID(Продажи_исходные!A33,4,2))</f>
        <v>45687</v>
      </c>
      <c r="B33" t="str">
        <f>"АРТ-"&amp;LEFT(SUBSTITUTE(SUBSTITUTE(SUBSTITUTE(SUBSTITUTE(Продажи_исходные!B33,"№",""),"АРТ-",""),"АРТ_",""),"/","-"),3)</f>
        <v>АРТ-444</v>
      </c>
      <c r="C33" s="4">
        <f>IFERROR(VALUE(TRIM(SUBSTITUTE(SUBSTITUTE(SUBSTITUTE(SUBSTITUTE(Продажи_исходные!C33," шт.","")," шт",""),"шт.",""),"шт",""))),0)</f>
        <v>1</v>
      </c>
      <c r="D33" s="4">
        <f>IF(LEFT(Продажи_исходные!D33,1)="$",VALUE(MID(Продажи_исходные!D33,2,255))*95,IF(LEFT(Продажи_исходные!D33,1)="€",VALUE(MID(Продажи_исходные!D33,2,255))*100,VALUE(SUBSTITUTE(SUBSTITUTE(Продажи_исходные!D33,"₽","")," ",""))))</f>
        <v>8000</v>
      </c>
      <c r="E33" t="str">
        <f>Продажи_исходные!E33</f>
        <v>C0032</v>
      </c>
      <c r="F33" t="str">
        <f>Продажи_исходные!F33</f>
        <v>P011</v>
      </c>
      <c r="G33" t="str">
        <f>IFERROR(VLOOKUP(Продажи_исходные!G33,Справочники!$G$2:$H$50,2,FALSE),Продажи_исходные!G33)</f>
        <v>Завершен</v>
      </c>
      <c r="H33" s="4">
        <f>IFERROR(VLOOKUP(B33,Товары_очищенные!$A$1:$G$1000,6,FALSE),"нет в каталоге")</f>
        <v>26500</v>
      </c>
      <c r="I33" t="str">
        <f>IFERROR(VLOOKUP(B33,Товары_очищенные!$A$1:$G$1000,3,FALSE),"нет в каталоге")</f>
        <v>Смартфоны</v>
      </c>
      <c r="J33" t="str">
        <f t="shared" si="25"/>
        <v>OK</v>
      </c>
    </row>
    <row r="34">
      <c r="A34" s="8">
        <f>DATE(RIGHT(Продажи_исходные!A34,4),LEFT(Продажи_исходные!A34,2),MID(Продажи_исходные!A34,4,2))</f>
        <v>45688</v>
      </c>
      <c r="B34" t="str">
        <f>"АРТ-"&amp;LEFT(SUBSTITUTE(SUBSTITUTE(SUBSTITUTE(SUBSTITUTE(Продажи_исходные!B34,"№",""),"АРТ-",""),"АРТ_",""),"/","-"),3)</f>
        <v>АРТ-352</v>
      </c>
      <c r="C34" s="4">
        <f>IFERROR(VALUE(TRIM(SUBSTITUTE(SUBSTITUTE(SUBSTITUTE(SUBSTITUTE(Продажи_исходные!C34," шт.","")," шт",""),"шт.",""),"шт",""))),0)</f>
        <v>2</v>
      </c>
      <c r="D34" s="4">
        <f>IF(LEFT(Продажи_исходные!D34,1)="$",VALUE(MID(Продажи_исходные!D34,2,255))*95,IF(LEFT(Продажи_исходные!D34,1)="€",VALUE(MID(Продажи_исходные!D34,2,255))*100,VALUE(SUBSTITUTE(SUBSTITUTE(Продажи_исходные!D34,"₽","")," ",""))))</f>
        <v>7500</v>
      </c>
      <c r="E34" t="str">
        <f>Продажи_исходные!E34</f>
        <v>C0033</v>
      </c>
      <c r="F34" t="str">
        <f>Продажи_исходные!F34</f>
        <v>P027</v>
      </c>
      <c r="G34" t="str">
        <f>IFERROR(VLOOKUP(Продажи_исходные!G34,Справочники!$G$2:$H$50,2,FALSE),Продажи_исходные!G34)</f>
        <v>Завершен</v>
      </c>
      <c r="H34" s="4">
        <f>IFERROR(VLOOKUP(B34,Товары_очищенные!$A$1:$G$1000,6,FALSE),"нет в каталоге")</f>
        <v>6990</v>
      </c>
      <c r="I34" t="str">
        <f>IFERROR(VLOOKUP(B34,Товары_очищенные!$A$1:$G$1000,3,FALSE),"нет в каталоге")</f>
        <v>Аксессуары</v>
      </c>
      <c r="J34" t="str">
        <f t="shared" si="25"/>
        <v>OK</v>
      </c>
    </row>
    <row r="35">
      <c r="A35" s="8">
        <f>DATE(RIGHT(Продажи_исходные!A35,4),LEFT(Продажи_исходные!A35,2),MID(Продажи_исходные!A35,4,2))</f>
        <v>45688</v>
      </c>
      <c r="B35" t="str">
        <f>"АРТ-"&amp;LEFT(SUBSTITUTE(SUBSTITUTE(SUBSTITUTE(SUBSTITUTE(Продажи_исходные!B35,"№",""),"АРТ-",""),"АРТ_",""),"/","-"),3)</f>
        <v>АРТ-283</v>
      </c>
      <c r="C35" s="4">
        <f>IFERROR(VALUE(TRIM(SUBSTITUTE(SUBSTITUTE(SUBSTITUTE(SUBSTITUTE(Продажи_исходные!C35," шт.","")," шт",""),"шт.",""),"шт",""))),0)</f>
        <v>-1</v>
      </c>
      <c r="D35" s="4">
        <f>IF(LEFT(Продажи_исходные!D35,1)="$",VALUE(MID(Продажи_исходные!D35,2,255))*95,IF(LEFT(Продажи_исходные!D35,1)="€",VALUE(MID(Продажи_исходные!D35,2,255))*100,VALUE(SUBSTITUTE(SUBSTITUTE(Продажи_исходные!D35,"₽","")," ",""))))</f>
        <v>10450</v>
      </c>
      <c r="E35" t="str">
        <f>Продажи_исходные!E35</f>
        <v>C0034</v>
      </c>
      <c r="F35" t="str">
        <f>Продажи_исходные!F35</f>
        <v>P018</v>
      </c>
      <c r="G35" t="str">
        <f>IFERROR(VLOOKUP(Продажи_исходные!G35,Справочники!$G$2:$H$50,2,FALSE),Продажи_исходные!G35)</f>
        <v>Отменен</v>
      </c>
      <c r="H35" s="4">
        <f>IFERROR(VLOOKUP(B35,Товары_очищенные!$A$1:$G$1000,6,FALSE),"нет в каталоге")</f>
        <v>84990</v>
      </c>
      <c r="I35" t="str">
        <f>IFERROR(VLOOKUP(B35,Товары_очищенные!$A$1:$G$1000,3,FALSE),"нет в каталоге")</f>
        <v>Мониторы</v>
      </c>
      <c r="J35" t="str">
        <f t="shared" si="25"/>
        <v>OK</v>
      </c>
    </row>
    <row r="36">
      <c r="A36" s="8">
        <f>DATE(RIGHT(Продажи_исходные!A36,4),LEFT(Продажи_исходные!A36,2),MID(Продажи_исходные!A36,4,2))</f>
        <v>45689</v>
      </c>
      <c r="B36" t="str">
        <f>"АРТ-"&amp;LEFT(SUBSTITUTE(SUBSTITUTE(SUBSTITUTE(SUBSTITUTE(Продажи_исходные!B36,"№",""),"АРТ-",""),"АРТ_",""),"/","-"),3)</f>
        <v>АРТ-159</v>
      </c>
      <c r="C36" s="4">
        <f>IFERROR(VALUE(TRIM(SUBSTITUTE(SUBSTITUTE(SUBSTITUTE(SUBSTITUTE(Продажи_исходные!C36," шт.","")," шт",""),"шт.",""),"шт",""))),0)</f>
        <v>3</v>
      </c>
      <c r="D36" s="4">
        <f>IF(LEFT(Продажи_исходные!D36,1)="$",VALUE(MID(Продажи_исходные!D36,2,255))*95,IF(LEFT(Продажи_исходные!D36,1)="€",VALUE(MID(Продажи_исходные!D36,2,255))*100,VALUE(SUBSTITUTE(SUBSTITUTE(Продажи_исходные!D36,"₽","")," ",""))))</f>
        <v>9000</v>
      </c>
      <c r="E36" t="str">
        <f>Продажи_исходные!E36</f>
        <v>C0035</v>
      </c>
      <c r="F36" t="str">
        <f>Продажи_исходные!F36</f>
        <v>P040</v>
      </c>
      <c r="G36" t="str">
        <f>IFERROR(VLOOKUP(Продажи_исходные!G36,Справочники!$G$2:$H$50,2,FALSE),Продажи_исходные!G36)</f>
        <v>Отменен</v>
      </c>
      <c r="H36" s="4">
        <f>IFERROR(VLOOKUP(B36,Товары_очищенные!$A$1:$G$1000,6,FALSE),"нет в каталоге")</f>
        <v>95500</v>
      </c>
      <c r="I36" t="str">
        <f>IFERROR(VLOOKUP(B36,Товары_очищенные!$A$1:$G$1000,3,FALSE),"нет в каталоге")</f>
        <v>Мониторы</v>
      </c>
      <c r="J36" t="str">
        <f t="shared" si="25"/>
        <v>OK</v>
      </c>
    </row>
    <row r="37">
      <c r="A37" s="8">
        <f>DATE(RIGHT(Продажи_исходные!A37,4),LEFT(Продажи_исходные!A37,2),MID(Продажи_исходные!A37,4,2))</f>
        <v>45689</v>
      </c>
      <c r="B37" t="str">
        <f>"АРТ-"&amp;LEFT(SUBSTITUTE(SUBSTITUTE(SUBSTITUTE(SUBSTITUTE(Продажи_исходные!B37,"№",""),"АРТ-",""),"АРТ_",""),"/","-"),3)</f>
        <v>АРТ-078</v>
      </c>
      <c r="C37" s="4">
        <f>IFERROR(VALUE(TRIM(SUBSTITUTE(SUBSTITUTE(SUBSTITUTE(SUBSTITUTE(Продажи_исходные!C37," шт.","")," шт",""),"шт.",""),"шт",""))),0)</f>
        <v>2</v>
      </c>
      <c r="D37" s="4">
        <f>IF(LEFT(Продажи_исходные!D37,1)="$",VALUE(MID(Продажи_исходные!D37,2,255))*95,IF(LEFT(Продажи_исходные!D37,1)="€",VALUE(MID(Продажи_исходные!D37,2,255))*100,VALUE(SUBSTITUTE(SUBSTITUTE(Продажи_исходные!D37,"₽","")," ",""))))</f>
        <v>8500</v>
      </c>
      <c r="E37" t="str">
        <f>Продажи_исходные!E37</f>
        <v>C0036</v>
      </c>
      <c r="F37" t="str">
        <f>Продажи_исходные!F37</f>
        <v>P003</v>
      </c>
      <c r="G37" t="str">
        <f>IFERROR(VLOOKUP(Продажи_исходные!G37,Справочники!$G$2:$H$50,2,FALSE),Продажи_исходные!G37)</f>
        <v>Возврат</v>
      </c>
      <c r="H37" s="4">
        <f>IFERROR(VLOOKUP(B37,Товары_очищенные!$A$1:$G$1000,6,FALSE),"нет в каталоге")</f>
        <v>13500</v>
      </c>
      <c r="I37" t="str">
        <f>IFERROR(VLOOKUP(B37,Товары_очищенные!$A$1:$G$1000,3,FALSE),"нет в каталоге")</f>
        <v>Аксессуары</v>
      </c>
      <c r="J37" t="str">
        <f t="shared" si="25"/>
        <v>OK</v>
      </c>
    </row>
    <row r="38">
      <c r="A38" s="8">
        <f>DATE(RIGHT(Продажи_исходные!A38,4),LEFT(Продажи_исходные!A38,2),MID(Продажи_исходные!A38,4,2))</f>
        <v>45690</v>
      </c>
      <c r="B38" t="str">
        <f>"АРТ-"&amp;LEFT(SUBSTITUTE(SUBSTITUTE(SUBSTITUTE(SUBSTITUTE(Продажи_исходные!B38,"№",""),"АРТ-",""),"АРТ_",""),"/","-"),3)</f>
        <v>АРТ-401</v>
      </c>
      <c r="C38" s="4">
        <f>IFERROR(VALUE(TRIM(SUBSTITUTE(SUBSTITUTE(SUBSTITUTE(SUBSTITUTE(Продажи_исходные!C38," шт.","")," шт",""),"шт.",""),"шт",""))),0)</f>
        <v>1</v>
      </c>
      <c r="D38" s="4">
        <f>IF(LEFT(Продажи_исходные!D38,1)="$",VALUE(MID(Продажи_исходные!D38,2,255))*95,IF(LEFT(Продажи_исходные!D38,1)="€",VALUE(MID(Продажи_исходные!D38,2,255))*100,VALUE(SUBSTITUTE(SUBSTITUTE(Продажи_исходные!D38,"₽","")," ",""))))</f>
        <v>9025</v>
      </c>
      <c r="E38" t="str">
        <f>Продажи_исходные!E38</f>
        <v>C0037</v>
      </c>
      <c r="F38" t="str">
        <f>Продажи_исходные!F38</f>
        <v>P025</v>
      </c>
      <c r="G38" t="str">
        <f>IFERROR(VLOOKUP(Продажи_исходные!G38,Справочники!$G$2:$H$50,2,FALSE),Продажи_исходные!G38)</f>
        <v>Завершен</v>
      </c>
      <c r="H38" s="4">
        <f>IFERROR(VLOOKUP(B38,Товары_очищенные!$A$1:$G$1000,6,FALSE),"нет в каталоге")</f>
        <v>19000</v>
      </c>
      <c r="I38" t="str">
        <f>IFERROR(VLOOKUP(B38,Товары_очищенные!$A$1:$G$1000,3,FALSE),"нет в каталоге")</f>
        <v>Смартфоны</v>
      </c>
      <c r="J38" t="str">
        <f t="shared" si="25"/>
        <v>OK</v>
      </c>
    </row>
    <row r="39">
      <c r="A39" s="8">
        <f>DATE(RIGHT(Продажи_исходные!A39,4),LEFT(Продажи_исходные!A39,2),MID(Продажи_исходные!A39,4,2))</f>
        <v>45690</v>
      </c>
      <c r="B39" t="str">
        <f>"АРТ-"&amp;LEFT(SUBSTITUTE(SUBSTITUTE(SUBSTITUTE(SUBSTITUTE(Продажи_исходные!B39,"№",""),"АРТ-",""),"АРТ_",""),"/","-"),3)</f>
        <v>АРТ-234</v>
      </c>
      <c r="C39" s="4">
        <f>IFERROR(VALUE(TRIM(SUBSTITUTE(SUBSTITUTE(SUBSTITUTE(SUBSTITUTE(Продажи_исходные!C39," шт.","")," шт",""),"шт.",""),"шт",""))),0)</f>
        <v>4</v>
      </c>
      <c r="D39" s="4">
        <f>IF(LEFT(Продажи_исходные!D39,1)="$",VALUE(MID(Продажи_исходные!D39,2,255))*95,IF(LEFT(Продажи_исходные!D39,1)="€",VALUE(MID(Продажи_исходные!D39,2,255))*100,VALUE(SUBSTITUTE(SUBSTITUTE(Продажи_исходные!D39,"₽","")," ",""))))</f>
        <v>7500</v>
      </c>
      <c r="E39" t="str">
        <f>Продажи_исходные!E39</f>
        <v>C0038</v>
      </c>
      <c r="F39" t="str">
        <f>Продажи_исходные!F39</f>
        <v>P010</v>
      </c>
      <c r="G39" t="str">
        <f>IFERROR(VLOOKUP(Продажи_исходные!G39,Справочники!$G$2:$H$50,2,FALSE),Продажи_исходные!G39)</f>
        <v>Завершен</v>
      </c>
      <c r="H39" s="4">
        <f>IFERROR(VLOOKUP(B39,Товары_очищенные!$A$1:$G$1000,6,FALSE),"нет в каталоге")</f>
        <v>44500</v>
      </c>
      <c r="I39" t="str">
        <f>IFERROR(VLOOKUP(B39,Товары_очищенные!$A$1:$G$1000,3,FALSE),"нет в каталоге")</f>
        <v>Смартфоны</v>
      </c>
      <c r="J39" t="str">
        <f t="shared" si="25"/>
        <v>OK</v>
      </c>
    </row>
    <row r="40">
      <c r="A40" s="8">
        <f>DATE(RIGHT(Продажи_исходные!A40,4),LEFT(Продажи_исходные!A40,2),MID(Продажи_исходные!A40,4,2))</f>
        <v>45691</v>
      </c>
      <c r="B40" t="str">
        <f>"АРТ-"&amp;LEFT(SUBSTITUTE(SUBSTITUTE(SUBSTITUTE(SUBSTITUTE(Продажи_исходные!B40,"№",""),"АРТ-",""),"АРТ_",""),"/","-"),3)</f>
        <v>АРТ-195</v>
      </c>
      <c r="C40" s="4">
        <f>IFERROR(VALUE(TRIM(SUBSTITUTE(SUBSTITUTE(SUBSTITUTE(SUBSTITUTE(Продажи_исходные!C40," шт.","")," шт",""),"шт.",""),"шт",""))),0)</f>
        <v>2</v>
      </c>
      <c r="D40" s="4">
        <f>IF(LEFT(Продажи_исходные!D40,1)="$",VALUE(MID(Продажи_исходные!D40,2,255))*95,IF(LEFT(Продажи_исходные!D40,1)="€",VALUE(MID(Продажи_исходные!D40,2,255))*100,VALUE(SUBSTITUTE(SUBSTITUTE(Продажи_исходные!D40,"₽","")," ",""))))</f>
        <v>7000</v>
      </c>
      <c r="E40" t="str">
        <f>Продажи_исходные!E40</f>
        <v>C0039</v>
      </c>
      <c r="F40" t="str">
        <f>Продажи_исходные!F40</f>
        <v>P033</v>
      </c>
      <c r="G40" t="str">
        <f>IFERROR(VLOOKUP(Продажи_исходные!G40,Справочники!$G$2:$H$50,2,FALSE),Продажи_исходные!G40)</f>
        <v>Завершен</v>
      </c>
      <c r="H40" s="4">
        <f>IFERROR(VLOOKUP(B40,Товары_очищенные!$A$1:$G$1000,6,FALSE),"нет в каталоге")</f>
        <v>132500</v>
      </c>
      <c r="I40" t="str">
        <f>IFERROR(VLOOKUP(B40,Товары_очищенные!$A$1:$G$1000,3,FALSE),"нет в каталоге")</f>
        <v>Ноутбуки</v>
      </c>
      <c r="J40" t="str">
        <f t="shared" si="25"/>
        <v>OK</v>
      </c>
    </row>
    <row r="41">
      <c r="A41" s="8">
        <f>DATE(RIGHT(Продажи_исходные!A41,4),LEFT(Продажи_исходные!A41,2),MID(Продажи_исходные!A41,4,2))</f>
        <v>45691</v>
      </c>
      <c r="B41" t="str">
        <f>"АРТ-"&amp;LEFT(SUBSTITUTE(SUBSTITUTE(SUBSTITUTE(SUBSTITUTE(Продажи_исходные!B41,"№",""),"АРТ-",""),"АРТ_",""),"/","-"),3)</f>
        <v>АРТ-116</v>
      </c>
      <c r="C41" s="4">
        <f>IFERROR(VALUE(TRIM(SUBSTITUTE(SUBSTITUTE(SUBSTITUTE(SUBSTITUTE(Продажи_исходные!C41," шт.","")," шт",""),"шт.",""),"шт",""))),0)</f>
        <v>-3</v>
      </c>
      <c r="D41" s="4">
        <f>IF(LEFT(Продажи_исходные!D41,1)="$",VALUE(MID(Продажи_исходные!D41,2,255))*95,IF(LEFT(Продажи_исходные!D41,1)="€",VALUE(MID(Продажи_исходные!D41,2,255))*100,VALUE(SUBSTITUTE(SUBSTITUTE(Продажи_исходные!D41,"₽","")," ",""))))</f>
        <v>12350</v>
      </c>
      <c r="E41" t="str">
        <f>Продажи_исходные!E41</f>
        <v>C0040</v>
      </c>
      <c r="F41" t="str">
        <f>Продажи_исходные!F41</f>
        <v>P047</v>
      </c>
      <c r="G41" t="str">
        <f>IFERROR(VLOOKUP(Продажи_исходные!G41,Справочники!$G$2:$H$50,2,FALSE),Продажи_исходные!G41)</f>
        <v>Отменен</v>
      </c>
      <c r="H41" s="4">
        <f>IFERROR(VLOOKUP(B41,Товары_очищенные!$A$1:$G$1000,6,FALSE),"нет в каталоге")</f>
        <v>72500</v>
      </c>
      <c r="I41" t="str">
        <f>IFERROR(VLOOKUP(B41,Товары_очищенные!$A$1:$G$1000,3,FALSE),"нет в каталоге")</f>
        <v>Мониторы</v>
      </c>
      <c r="J41" t="str">
        <f t="shared" si="25"/>
        <v>OK</v>
      </c>
    </row>
    <row r="42">
      <c r="A42" s="8">
        <f>DATE(RIGHT(Продажи_исходные!A42,4),LEFT(Продажи_исходные!A42,2),MID(Продажи_исходные!A42,4,2))</f>
        <v>45692</v>
      </c>
      <c r="B42" t="str">
        <f>"АРТ-"&amp;LEFT(SUBSTITUTE(SUBSTITUTE(SUBSTITUTE(SUBSTITUTE(Продажи_исходные!B42,"№",""),"АРТ-",""),"АРТ_",""),"/","-"),3)</f>
        <v>АРТ-087</v>
      </c>
      <c r="C42" s="4">
        <f>IFERROR(VALUE(TRIM(SUBSTITUTE(SUBSTITUTE(SUBSTITUTE(SUBSTITUTE(Продажи_исходные!C42," шт.","")," шт",""),"шт.",""),"шт",""))),0)</f>
        <v>1</v>
      </c>
      <c r="D42" s="4">
        <f>IF(LEFT(Продажи_исходные!D42,1)="$",VALUE(MID(Продажи_исходные!D42,2,255))*95,IF(LEFT(Продажи_исходные!D42,1)="€",VALUE(MID(Продажи_исходные!D42,2,255))*100,VALUE(SUBSTITUTE(SUBSTITUTE(Продажи_исходные!D42,"₽","")," ",""))))</f>
        <v>11000</v>
      </c>
      <c r="E42" t="str">
        <f>Продажи_исходные!E42</f>
        <v>C0041</v>
      </c>
      <c r="F42" t="str">
        <f>Продажи_исходные!F42</f>
        <v>P020</v>
      </c>
      <c r="G42" t="str">
        <f>IFERROR(VLOOKUP(Продажи_исходные!G42,Справочники!$G$2:$H$50,2,FALSE),Продажи_исходные!G42)</f>
        <v>Отменен</v>
      </c>
      <c r="H42" s="4">
        <f>IFERROR(VLOOKUP(B42,Товары_очищенные!$A$1:$G$1000,6,FALSE),"нет в каталоге")</f>
        <v>112000</v>
      </c>
      <c r="I42" t="str">
        <f>IFERROR(VLOOKUP(B42,Товары_очищенные!$A$1:$G$1000,3,FALSE),"нет в каталоге")</f>
        <v>Ноутбуки</v>
      </c>
      <c r="J42" t="str">
        <f t="shared" si="25"/>
        <v>OK</v>
      </c>
    </row>
    <row r="43">
      <c r="A43" s="8">
        <f>DATE(RIGHT(Продажи_исходные!A43,4),LEFT(Продажи_исходные!A43,2),MID(Продажи_исходные!A43,4,2))</f>
        <v>45692</v>
      </c>
      <c r="B43" t="str">
        <f>"АРТ-"&amp;LEFT(SUBSTITUTE(SUBSTITUTE(SUBSTITUTE(SUBSTITUTE(Продажи_исходные!B43,"№",""),"АРТ-",""),"АРТ_",""),"/","-"),3)</f>
        <v>АРТ-322</v>
      </c>
      <c r="C43" s="4">
        <f>IFERROR(VALUE(TRIM(SUBSTITUTE(SUBSTITUTE(SUBSTITUTE(SUBSTITUTE(Продажи_исходные!C43," шт.","")," шт",""),"шт.",""),"шт",""))),0)</f>
        <v>2</v>
      </c>
      <c r="D43" s="4">
        <f>IF(LEFT(Продажи_исходные!D43,1)="$",VALUE(MID(Продажи_исходные!D43,2,255))*95,IF(LEFT(Продажи_исходные!D43,1)="€",VALUE(MID(Продажи_исходные!D43,2,255))*100,VALUE(SUBSTITUTE(SUBSTITUTE(Продажи_исходные!D43,"₽","")," ",""))))</f>
        <v>9500</v>
      </c>
      <c r="E43" t="str">
        <f>Продажи_исходные!E43</f>
        <v>C0042</v>
      </c>
      <c r="F43" t="str">
        <f>Продажи_исходные!F43</f>
        <v>P002</v>
      </c>
      <c r="G43" t="str">
        <f>IFERROR(VLOOKUP(Продажи_исходные!G43,Справочники!$G$2:$H$50,2,FALSE),Продажи_исходные!G43)</f>
        <v>Завершен</v>
      </c>
      <c r="H43" s="4">
        <f>IFERROR(VLOOKUP(B43,Товары_очищенные!$A$1:$G$1000,6,FALSE),"нет в каталоге")</f>
        <v>12990</v>
      </c>
      <c r="I43" t="str">
        <f>IFERROR(VLOOKUP(B43,Товары_очищенные!$A$1:$G$1000,3,FALSE),"нет в каталоге")</f>
        <v>Наушники</v>
      </c>
      <c r="J43" t="str">
        <f t="shared" si="25"/>
        <v>OK</v>
      </c>
    </row>
    <row r="44">
      <c r="A44" s="8">
        <f>DATE(RIGHT(Продажи_исходные!A44,4),LEFT(Продажи_исходные!A44,2),MID(Продажи_исходные!A44,4,2))</f>
        <v>45693</v>
      </c>
      <c r="B44" t="str">
        <f>"АРТ-"&amp;LEFT(SUBSTITUTE(SUBSTITUTE(SUBSTITUTE(SUBSTITUTE(Продажи_исходные!B44,"№",""),"АРТ-",""),"АРТ_",""),"/","-"),3)</f>
        <v>АРТ-257</v>
      </c>
      <c r="C44" s="4">
        <f>IFERROR(VALUE(TRIM(SUBSTITUTE(SUBSTITUTE(SUBSTITUTE(SUBSTITUTE(Продажи_исходные!C44," шт.","")," шт",""),"шт.",""),"шт",""))),0)</f>
        <v>3</v>
      </c>
      <c r="D44" s="4">
        <f>IF(LEFT(Продажи_исходные!D44,1)="$",VALUE(MID(Продажи_исходные!D44,2,255))*95,IF(LEFT(Продажи_исходные!D44,1)="€",VALUE(MID(Продажи_исходные!D44,2,255))*100,VALUE(SUBSTITUTE(SUBSTITUTE(Продажи_исходные!D44,"₽","")," ",""))))</f>
        <v>11400</v>
      </c>
      <c r="E44" t="str">
        <f>Продажи_исходные!E44</f>
        <v>C0043</v>
      </c>
      <c r="F44" t="str">
        <f>Продажи_исходные!F44</f>
        <v>P038</v>
      </c>
      <c r="G44" t="str">
        <f>IFERROR(VLOOKUP(Продажи_исходные!G44,Справочники!$G$2:$H$50,2,FALSE),Продажи_исходные!G44)</f>
        <v>Возврат</v>
      </c>
      <c r="H44" s="4">
        <f>IFERROR(VLOOKUP(B44,Товары_очищенные!$A$1:$G$1000,6,FALSE),"нет в каталоге")</f>
        <v>36500</v>
      </c>
      <c r="I44" t="str">
        <f>IFERROR(VLOOKUP(B44,Товары_очищенные!$A$1:$G$1000,3,FALSE),"нет в каталоге")</f>
        <v>Смартфоны</v>
      </c>
      <c r="J44" t="str">
        <f t="shared" si="25"/>
        <v>OK</v>
      </c>
    </row>
    <row r="45">
      <c r="A45" s="8">
        <f>DATE(RIGHT(Продажи_исходные!A45,4),LEFT(Продажи_исходные!A45,2),MID(Продажи_исходные!A45,4,2))</f>
        <v>45693</v>
      </c>
      <c r="B45" t="str">
        <f>"АРТ-"&amp;LEFT(SUBSTITUTE(SUBSTITUTE(SUBSTITUTE(SUBSTITUTE(Продажи_исходные!B45,"№",""),"АРТ-",""),"АРТ_",""),"/","-"),3)</f>
        <v>АРТ-368</v>
      </c>
      <c r="C45" s="4">
        <f>IFERROR(VALUE(TRIM(SUBSTITUTE(SUBSTITUTE(SUBSTITUTE(SUBSTITUTE(Продажи_исходные!C45," шт.","")," шт",""),"шт.",""),"шт",""))),0)</f>
        <v>1</v>
      </c>
      <c r="D45" s="4">
        <f>IF(LEFT(Продажи_исходные!D45,1)="$",VALUE(MID(Продажи_исходные!D45,2,255))*95,IF(LEFT(Продажи_исходные!D45,1)="€",VALUE(MID(Продажи_исходные!D45,2,255))*100,VALUE(SUBSTITUTE(SUBSTITUTE(Продажи_исходные!D45,"₽","")," ",""))))</f>
        <v>10000</v>
      </c>
      <c r="E45" t="str">
        <f>Продажи_исходные!E45</f>
        <v>C0044</v>
      </c>
      <c r="F45" t="str">
        <f>Продажи_исходные!F45</f>
        <v>P016</v>
      </c>
      <c r="G45" t="str">
        <f>IFERROR(VLOOKUP(Продажи_исходные!G45,Справочники!$G$2:$H$50,2,FALSE),Продажи_исходные!G45)</f>
        <v>Завершен</v>
      </c>
      <c r="H45" s="4">
        <f>IFERROR(VLOOKUP(B45,Товары_очищенные!$A$1:$G$1000,6,FALSE),"нет в каталоге")</f>
        <v>19000</v>
      </c>
      <c r="I45" t="str">
        <f>IFERROR(VLOOKUP(B45,Товары_очищенные!$A$1:$G$1000,3,FALSE),"нет в каталоге")</f>
        <v>Наушники</v>
      </c>
      <c r="J45" t="str">
        <f t="shared" si="25"/>
        <v>OK</v>
      </c>
    </row>
    <row r="46">
      <c r="A46" s="8">
        <f>DATE(RIGHT(Продажи_исходные!A46,4),LEFT(Продажи_исходные!A46,2),MID(Продажи_исходные!A46,4,2))</f>
        <v>45694</v>
      </c>
      <c r="B46" t="str">
        <f>"АРТ-"&amp;LEFT(SUBSTITUTE(SUBSTITUTE(SUBSTITUTE(SUBSTITUTE(Продажи_исходные!B46,"№",""),"АРТ-",""),"АРТ_",""),"/","-"),3)</f>
        <v>АРТ-042</v>
      </c>
      <c r="C46" s="4">
        <f>IFERROR(VALUE(TRIM(SUBSTITUTE(SUBSTITUTE(SUBSTITUTE(SUBSTITUTE(Продажи_исходные!C46," шт.","")," шт",""),"шт.",""),"шт",""))),0)</f>
        <v>1</v>
      </c>
      <c r="D46" s="4">
        <f>IF(LEFT(Продажи_исходные!D46,1)="$",VALUE(MID(Продажи_исходные!D46,2,255))*95,IF(LEFT(Продажи_исходные!D46,1)="€",VALUE(MID(Продажи_исходные!D46,2,255))*100,VALUE(SUBSTITUTE(SUBSTITUTE(Продажи_исходные!D46,"₽","")," ",""))))</f>
        <v>8800</v>
      </c>
      <c r="E46" t="str">
        <f>Продажи_исходные!E46</f>
        <v>C0045</v>
      </c>
      <c r="F46" t="str">
        <f>Продажи_исходные!F46</f>
        <v>P029</v>
      </c>
      <c r="G46" t="str">
        <f>IFERROR(VLOOKUP(Продажи_исходные!G46,Справочники!$G$2:$H$50,2,FALSE),Продажи_исходные!G46)</f>
        <v>Завершен</v>
      </c>
      <c r="H46" s="4">
        <f>IFERROR(VLOOKUP(B46,Товары_очищенные!$A$1:$G$1000,6,FALSE),"нет в каталоге")</f>
        <v>144000</v>
      </c>
      <c r="I46" t="str">
        <f>IFERROR(VLOOKUP(B46,Товары_очищенные!$A$1:$G$1000,3,FALSE),"нет в каталоге")</f>
        <v>Ноутбуки</v>
      </c>
      <c r="J46" t="str">
        <f t="shared" si="25"/>
        <v>OK</v>
      </c>
    </row>
    <row r="47">
      <c r="A47" s="8">
        <f>DATE(RIGHT(Продажи_исходные!A47,4),LEFT(Продажи_исходные!A47,2),MID(Продажи_исходные!A47,4,2))</f>
        <v>45694</v>
      </c>
      <c r="B47" t="str">
        <f>"АРТ-"&amp;LEFT(SUBSTITUTE(SUBSTITUTE(SUBSTITUTE(SUBSTITUTE(Продажи_исходные!B47,"№",""),"АРТ-",""),"АРТ_",""),"/","-"),3)</f>
        <v>АРТ-194</v>
      </c>
      <c r="C47" s="4">
        <f>IFERROR(VALUE(TRIM(SUBSTITUTE(SUBSTITUTE(SUBSTITUTE(SUBSTITUTE(Продажи_исходные!C47," шт.","")," шт",""),"шт.",""),"шт",""))),0)</f>
        <v>-2</v>
      </c>
      <c r="D47" s="4">
        <f>IF(LEFT(Продажи_исходные!D47,1)="$",VALUE(MID(Продажи_исходные!D47,2,255))*95,IF(LEFT(Продажи_исходные!D47,1)="€",VALUE(MID(Продажи_исходные!D47,2,255))*100,VALUE(SUBSTITUTE(SUBSTITUTE(Продажи_исходные!D47,"₽","")," ",""))))</f>
        <v>8075</v>
      </c>
      <c r="E47" t="str">
        <f>Продажи_исходные!E47</f>
        <v>C0046</v>
      </c>
      <c r="F47" t="str">
        <f>Продажи_исходные!F47</f>
        <v>P035</v>
      </c>
      <c r="G47" t="str">
        <f>IFERROR(VLOOKUP(Продажи_исходные!G47,Справочники!$G$2:$H$50,2,FALSE),Продажи_исходные!G47)</f>
        <v>Завершен</v>
      </c>
      <c r="H47" s="4">
        <f>IFERROR(VLOOKUP(B47,Товары_очищенные!$A$1:$G$1000,6,FALSE),"нет в каталоге")</f>
        <v>127000</v>
      </c>
      <c r="I47" t="str">
        <f>IFERROR(VLOOKUP(B47,Товары_очищенные!$A$1:$G$1000,3,FALSE),"нет в каталоге")</f>
        <v>Ноутбуки</v>
      </c>
      <c r="J47" t="str">
        <f t="shared" si="25"/>
        <v>OK</v>
      </c>
    </row>
    <row r="48">
      <c r="A48" s="8">
        <f>DATE(RIGHT(Продажи_исходные!A48,4),LEFT(Продажи_исходные!A48,2),MID(Продажи_исходные!A48,4,2))</f>
        <v>45695</v>
      </c>
      <c r="B48" t="str">
        <f>"АРТ-"&amp;LEFT(SUBSTITUTE(SUBSTITUTE(SUBSTITUTE(SUBSTITUTE(Продажи_исходные!B48,"№",""),"АРТ-",""),"АРТ_",""),"/","-"),3)</f>
        <v>АРТ-075</v>
      </c>
      <c r="C48" s="4">
        <f>IFERROR(VALUE(TRIM(SUBSTITUTE(SUBSTITUTE(SUBSTITUTE(SUBSTITUTE(Продажи_исходные!C48," шт.","")," шт",""),"шт.",""),"шт",""))),0)</f>
        <v>2</v>
      </c>
      <c r="D48" s="4">
        <f>IF(LEFT(Продажи_исходные!D48,1)="$",VALUE(MID(Продажи_исходные!D48,2,255))*95,IF(LEFT(Продажи_исходные!D48,1)="€",VALUE(MID(Продажи_исходные!D48,2,255))*100,VALUE(SUBSTITUTE(SUBSTITUTE(Продажи_исходные!D48,"₽","")," ",""))))</f>
        <v>6500</v>
      </c>
      <c r="E48" t="str">
        <f>Продажи_исходные!E48</f>
        <v>C0047</v>
      </c>
      <c r="F48" t="str">
        <f>Продажи_исходные!F48</f>
        <v>P046</v>
      </c>
      <c r="G48" t="str">
        <f>IFERROR(VLOOKUP(Продажи_исходные!G48,Справочники!$G$2:$H$50,2,FALSE),Продажи_исходные!G48)</f>
        <v>Отменен</v>
      </c>
      <c r="H48" s="4">
        <f>IFERROR(VLOOKUP(B48,Товары_очищенные!$A$1:$G$1000,6,FALSE),"нет в каталоге")</f>
        <v>82000</v>
      </c>
      <c r="I48" t="str">
        <f>IFERROR(VLOOKUP(B48,Товары_очищенные!$A$1:$G$1000,3,FALSE),"нет в каталоге")</f>
        <v>Мониторы</v>
      </c>
      <c r="J48" t="str">
        <f t="shared" si="25"/>
        <v>OK</v>
      </c>
    </row>
    <row r="49">
      <c r="A49" s="8">
        <f>DATE(RIGHT(Продажи_исходные!A49,4),LEFT(Продажи_исходные!A49,2),MID(Продажи_исходные!A49,4,2))</f>
        <v>45695</v>
      </c>
      <c r="B49" t="str">
        <f>"АРТ-"&amp;LEFT(SUBSTITUTE(SUBSTITUTE(SUBSTITUTE(SUBSTITUTE(Продажи_исходные!B49,"№",""),"АРТ-",""),"АРТ_",""),"/","-"),3)</f>
        <v>АРТ-461</v>
      </c>
      <c r="C49" s="4">
        <f>IFERROR(VALUE(TRIM(SUBSTITUTE(SUBSTITUTE(SUBSTITUTE(SUBSTITUTE(Продажи_исходные!C49," шт.","")," шт",""),"шт.",""),"шт",""))),0)</f>
        <v>3</v>
      </c>
      <c r="D49" s="4">
        <f>IF(LEFT(Продажи_исходные!D49,1)="$",VALUE(MID(Продажи_исходные!D49,2,255))*95,IF(LEFT(Продажи_исходные!D49,1)="€",VALUE(MID(Продажи_исходные!D49,2,255))*100,VALUE(SUBSTITUTE(SUBSTITUTE(Продажи_исходные!D49,"₽","")," ",""))))</f>
        <v>6000</v>
      </c>
      <c r="E49" t="str">
        <f>Продажи_исходные!E49</f>
        <v>C0048</v>
      </c>
      <c r="F49" t="str">
        <f>Продажи_исходные!F49</f>
        <v>P022</v>
      </c>
      <c r="G49" t="str">
        <f>IFERROR(VLOOKUP(Продажи_исходные!G49,Справочники!$G$2:$H$50,2,FALSE),Продажи_исходные!G49)</f>
        <v>Отменен</v>
      </c>
      <c r="H49" s="4">
        <f>IFERROR(VLOOKUP(B49,Товары_очищенные!$A$1:$G$1000,6,FALSE),"нет в каталоге")</f>
        <v>46000</v>
      </c>
      <c r="I49" t="str">
        <f>IFERROR(VLOOKUP(B49,Товары_очищенные!$A$1:$G$1000,3,FALSE),"нет в каталоге")</f>
        <v>Часы</v>
      </c>
      <c r="J49" t="str">
        <f t="shared" si="25"/>
        <v>OK</v>
      </c>
    </row>
    <row r="50">
      <c r="A50" s="8">
        <f>DATE(RIGHT(Продажи_исходные!A50,4),LEFT(Продажи_исходные!A50,2),MID(Продажи_исходные!A50,4,2))</f>
        <v>45696</v>
      </c>
      <c r="B50" t="str">
        <f>"АРТ-"&amp;LEFT(SUBSTITUTE(SUBSTITUTE(SUBSTITUTE(SUBSTITUTE(Продажи_исходные!B50,"№",""),"АРТ-",""),"АРТ_",""),"/","-"),3)</f>
        <v>АРТ-312</v>
      </c>
      <c r="C50" s="4">
        <f>IFERROR(VALUE(TRIM(SUBSTITUTE(SUBSTITUTE(SUBSTITUTE(SUBSTITUTE(Продажи_исходные!C50," шт.","")," шт",""),"шт.",""),"шт",""))),0)</f>
        <v>1</v>
      </c>
      <c r="D50" s="4">
        <f>IF(LEFT(Продажи_исходные!D50,1)="$",VALUE(MID(Продажи_исходные!D50,2,255))*95,IF(LEFT(Продажи_исходные!D50,1)="€",VALUE(MID(Продажи_исходные!D50,2,255))*100,VALUE(SUBSTITUTE(SUBSTITUTE(Продажи_исходные!D50,"₽","")," ",""))))</f>
        <v>9975</v>
      </c>
      <c r="E50" t="str">
        <f>Продажи_исходные!E50</f>
        <v>C0049</v>
      </c>
      <c r="F50" t="str">
        <f>Продажи_исходные!F50</f>
        <v>P043</v>
      </c>
      <c r="G50" t="str">
        <f>IFERROR(VLOOKUP(Продажи_исходные!G50,Справочники!$G$2:$H$50,2,FALSE),Продажи_исходные!G50)</f>
        <v>Возврат</v>
      </c>
      <c r="H50" s="4">
        <f>IFERROR(VLOOKUP(B50,Товары_очищенные!$A$1:$G$1000,6,FALSE),"нет в каталоге")</f>
        <v>67000</v>
      </c>
      <c r="I50" t="str">
        <f>IFERROR(VLOOKUP(B50,Товары_очищенные!$A$1:$G$1000,3,FALSE),"нет в каталоге")</f>
        <v>Планшеты</v>
      </c>
      <c r="J50" t="str">
        <f t="shared" si="25"/>
        <v>OK</v>
      </c>
    </row>
    <row r="51">
      <c r="A51" s="8">
        <f>DATE(RIGHT(Продажи_исходные!A51,4),LEFT(Продажи_исходные!A51,2),MID(Продажи_исходные!A51,4,2))</f>
        <v>45696</v>
      </c>
      <c r="B51" t="str">
        <f>"АРТ-"&amp;LEFT(SUBSTITUTE(SUBSTITUTE(SUBSTITUTE(SUBSTITUTE(Продажи_исходные!B51,"№",""),"АРТ-",""),"АРТ_",""),"/","-"),3)</f>
        <v>АРТ-423</v>
      </c>
      <c r="C51" s="4">
        <f>IFERROR(VALUE(TRIM(SUBSTITUTE(SUBSTITUTE(SUBSTITUTE(SUBSTITUTE(Продажи_исходные!C51," шт.","")," шт",""),"шт.",""),"шт",""))),0)</f>
        <v>2</v>
      </c>
      <c r="D51" s="4">
        <f>IF(LEFT(Продажи_исходные!D51,1)="$",VALUE(MID(Продажи_исходные!D51,2,255))*95,IF(LEFT(Продажи_исходные!D51,1)="€",VALUE(MID(Продажи_исходные!D51,2,255))*100,VALUE(SUBSTITUTE(SUBSTITUTE(Продажи_исходные!D51,"₽","")," ",""))))</f>
        <v>8500</v>
      </c>
      <c r="E51" t="str">
        <f>Продажи_исходные!E51</f>
        <v>C0050</v>
      </c>
      <c r="F51" t="str">
        <f>Продажи_исходные!F51</f>
        <v>P030</v>
      </c>
      <c r="G51" t="str">
        <f>IFERROR(VLOOKUP(Продажи_исходные!G51,Справочники!$G$2:$H$50,2,FALSE),Продажи_исходные!G51)</f>
        <v>Завершен</v>
      </c>
      <c r="H51" s="4">
        <f>IFERROR(VLOOKUP(B51,Товары_очищенные!$A$1:$G$1000,6,FALSE),"нет в каталоге")</f>
        <v>129500</v>
      </c>
      <c r="I51" t="str">
        <f>IFERROR(VLOOKUP(B51,Товары_очищенные!$A$1:$G$1000,3,FALSE),"нет в каталоге")</f>
        <v>Ноутбуки</v>
      </c>
      <c r="J51" t="str">
        <f t="shared" si="25"/>
        <v>OK</v>
      </c>
    </row>
    <row r="52">
      <c r="A52" s="8">
        <f>DATE(RIGHT(Продажи_исходные!A52,4),LEFT(Продажи_исходные!A52,2),MID(Продажи_исходные!A52,4,2))</f>
        <v>45697</v>
      </c>
      <c r="B52" t="str">
        <f>"АРТ-"&amp;LEFT(SUBSTITUTE(SUBSTITUTE(SUBSTITUTE(SUBSTITUTE(Продажи_исходные!B52,"№",""),"АРТ-",""),"АРТ_",""),"/","-"),3)</f>
        <v>АРТ-208</v>
      </c>
      <c r="C52" s="4">
        <f>IFERROR(VALUE(TRIM(SUBSTITUTE(SUBSTITUTE(SUBSTITUTE(SUBSTITUTE(Продажи_исходные!C52," шт.","")," шт",""),"шт.",""),"шт",""))),0)</f>
        <v>1</v>
      </c>
      <c r="D52" s="4">
        <f>IF(LEFT(Продажи_исходные!D52,1)="$",VALUE(MID(Продажи_исходные!D52,2,255))*95,IF(LEFT(Продажи_исходные!D52,1)="€",VALUE(MID(Продажи_исходные!D52,2,255))*100,VALUE(SUBSTITUTE(SUBSTITUTE(Продажи_исходные!D52,"₽","")," ",""))))</f>
        <v>7500</v>
      </c>
      <c r="E52" t="str">
        <f>Продажи_исходные!E52</f>
        <v>C0051</v>
      </c>
      <c r="F52" t="str">
        <f>Продажи_исходные!F52</f>
        <v>P012</v>
      </c>
      <c r="G52" t="str">
        <f>IFERROR(VLOOKUP(Продажи_исходные!G52,Справочники!$G$2:$H$50,2,FALSE),Продажи_исходные!G52)</f>
        <v>Завершен</v>
      </c>
      <c r="H52" s="4">
        <f>IFERROR(VLOOKUP(B52,Товары_очищенные!$A$1:$G$1000,6,FALSE),"нет в каталоге")</f>
        <v>10990</v>
      </c>
      <c r="I52" t="str">
        <f>IFERROR(VLOOKUP(B52,Товары_очищенные!$A$1:$G$1000,3,FALSE),"нет в каталоге")</f>
        <v>Аксессуары</v>
      </c>
      <c r="J52" t="str">
        <f t="shared" si="25"/>
        <v>OK</v>
      </c>
    </row>
    <row r="53">
      <c r="A53" s="8">
        <f>DATE(RIGHT(Продажи_исходные!A53,4),LEFT(Продажи_исходные!A53,2),MID(Продажи_исходные!A53,4,2))</f>
        <v>45697</v>
      </c>
      <c r="B53" t="str">
        <f>"АРТ-"&amp;LEFT(SUBSTITUTE(SUBSTITUTE(SUBSTITUTE(SUBSTITUTE(Продажи_исходные!B53,"№",""),"АРТ-",""),"АРТ_",""),"/","-"),3)</f>
        <v>АРТ-147</v>
      </c>
      <c r="C53" s="4">
        <f>IFERROR(VALUE(TRIM(SUBSTITUTE(SUBSTITUTE(SUBSTITUTE(SUBSTITUTE(Продажи_исходные!C53," шт.","")," шт",""),"шт.",""),"шт",""))),0)</f>
        <v>-1</v>
      </c>
      <c r="D53" s="4">
        <f>IF(LEFT(Продажи_исходные!D53,1)="$",VALUE(MID(Продажи_исходные!D53,2,255))*95,IF(LEFT(Продажи_исходные!D53,1)="€",VALUE(MID(Продажи_исходные!D53,2,255))*100,VALUE(SUBSTITUTE(SUBSTITUTE(Продажи_исходные!D53,"₽","")," ",""))))</f>
        <v>10925</v>
      </c>
      <c r="E53" t="str">
        <f>Продажи_исходные!E53</f>
        <v>C0052</v>
      </c>
      <c r="F53" t="str">
        <f>Продажи_исходные!F53</f>
        <v>P007</v>
      </c>
      <c r="G53" t="str">
        <f>IFERROR(VLOOKUP(Продажи_исходные!G53,Справочники!$G$2:$H$50,2,FALSE),Продажи_исходные!G53)</f>
        <v>Завершен</v>
      </c>
      <c r="H53" s="4">
        <f>IFERROR(VLOOKUP(B53,Товары_очищенные!$A$1:$G$1000,6,FALSE),"нет в каталоге")</f>
        <v>47500</v>
      </c>
      <c r="I53" t="str">
        <f>IFERROR(VLOOKUP(B53,Товары_очищенные!$A$1:$G$1000,3,FALSE),"нет в каталоге")</f>
        <v>Смартфоны</v>
      </c>
      <c r="J53" t="str">
        <f t="shared" si="25"/>
        <v>OK</v>
      </c>
    </row>
    <row r="54">
      <c r="A54" s="8">
        <f>DATE(RIGHT(Продажи_исходные!A54,4),LEFT(Продажи_исходные!A54,2),MID(Продажи_исходные!A54,4,2))</f>
        <v>45698</v>
      </c>
      <c r="B54" t="str">
        <f>"АРТ-"&amp;LEFT(SUBSTITUTE(SUBSTITUTE(SUBSTITUTE(SUBSTITUTE(Продажи_исходные!B54,"№",""),"АРТ-",""),"АРТ_",""),"/","-"),3)</f>
        <v>АРТ-389</v>
      </c>
      <c r="C54" s="4">
        <f>IFERROR(VALUE(TRIM(SUBSTITUTE(SUBSTITUTE(SUBSTITUTE(SUBSTITUTE(Продажи_исходные!C54," шт.","")," шт",""),"шт.",""),"шт",""))),0)</f>
        <v>3</v>
      </c>
      <c r="D54" s="4">
        <f>IF(LEFT(Продажи_исходные!D54,1)="$",VALUE(MID(Продажи_исходные!D54,2,255))*95,IF(LEFT(Продажи_исходные!D54,1)="€",VALUE(MID(Продажи_исходные!D54,2,255))*100,VALUE(SUBSTITUTE(SUBSTITUTE(Продажи_исходные!D54,"₽","")," ",""))))</f>
        <v>9500</v>
      </c>
      <c r="E54" t="str">
        <f>Продажи_исходные!E54</f>
        <v>C0053</v>
      </c>
      <c r="F54" t="str">
        <f>Продажи_исходные!F54</f>
        <v>P023</v>
      </c>
      <c r="G54" t="str">
        <f>IFERROR(VLOOKUP(Продажи_исходные!G54,Справочники!$G$2:$H$50,2,FALSE),Продажи_исходные!G54)</f>
        <v>Отменен</v>
      </c>
      <c r="H54" s="4">
        <f>IFERROR(VLOOKUP(B54,Товары_очищенные!$A$1:$G$1000,6,FALSE),"нет в каталоге")</f>
        <v>75000</v>
      </c>
      <c r="I54" t="str">
        <f>IFERROR(VLOOKUP(B54,Товары_очищенные!$A$1:$G$1000,3,FALSE),"нет в каталоге")</f>
        <v>Телевизоры</v>
      </c>
      <c r="J54" t="str">
        <f t="shared" si="25"/>
        <v>OK</v>
      </c>
    </row>
    <row r="55">
      <c r="A55" s="8">
        <f>DATE(RIGHT(Продажи_исходные!A55,4),LEFT(Продажи_исходные!A55,2),MID(Продажи_исходные!A55,4,2))</f>
        <v>45698</v>
      </c>
      <c r="B55" t="str">
        <f>"АРТ-"&amp;LEFT(SUBSTITUTE(SUBSTITUTE(SUBSTITUTE(SUBSTITUTE(Продажи_исходные!B55,"№",""),"АРТ-",""),"АРТ_",""),"/","-"),3)</f>
        <v>АРТ-065</v>
      </c>
      <c r="C55" s="4">
        <f>IFERROR(VALUE(TRIM(SUBSTITUTE(SUBSTITUTE(SUBSTITUTE(SUBSTITUTE(Продажи_исходные!C55," шт.","")," шт",""),"шт.",""),"шт",""))),0)</f>
        <v>2</v>
      </c>
      <c r="D55" s="4">
        <f>IF(LEFT(Продажи_исходные!D55,1)="$",VALUE(MID(Продажи_исходные!D55,2,255))*95,IF(LEFT(Продажи_исходные!D55,1)="€",VALUE(MID(Продажи_исходные!D55,2,255))*100,VALUE(SUBSTITUTE(SUBSTITUTE(Продажи_исходные!D55,"₽","")," ",""))))</f>
        <v>9000</v>
      </c>
      <c r="E55" t="str">
        <f>Продажи_исходные!E55</f>
        <v>C0054</v>
      </c>
      <c r="F55" t="str">
        <f>Продажи_исходные!F55</f>
        <v>P045</v>
      </c>
      <c r="G55" t="str">
        <f>IFERROR(VLOOKUP(Продажи_исходные!G55,Справочники!$G$2:$H$50,2,FALSE),Продажи_исходные!G55)</f>
        <v>Отменен</v>
      </c>
      <c r="H55" s="4">
        <f>IFERROR(VLOOKUP(B55,Товары_очищенные!$A$1:$G$1000,6,FALSE),"нет в каталоге")</f>
        <v>55500</v>
      </c>
      <c r="I55" t="str">
        <f>IFERROR(VLOOKUP(B55,Товары_очищенные!$A$1:$G$1000,3,FALSE),"нет в каталоге")</f>
        <v>Смартфоны</v>
      </c>
      <c r="J55" t="str">
        <f t="shared" si="25"/>
        <v>OK</v>
      </c>
    </row>
    <row r="56">
      <c r="A56" s="8">
        <f>DATE(RIGHT(Продажи_исходные!A56,4),LEFT(Продажи_исходные!A56,2),MID(Продажи_исходные!A56,4,2))</f>
        <v>45699</v>
      </c>
      <c r="B56" t="str">
        <f>"АРТ-"&amp;LEFT(SUBSTITUTE(SUBSTITUTE(SUBSTITUTE(SUBSTITUTE(Продажи_исходные!B56,"№",""),"АРТ-",""),"АРТ_",""),"/","-"),3)</f>
        <v>АРТ-025</v>
      </c>
      <c r="C56" s="4">
        <f>IFERROR(VALUE(TRIM(SUBSTITUTE(SUBSTITUTE(SUBSTITUTE(SUBSTITUTE(Продажи_исходные!C56," шт.","")," шт",""),"шт.",""),"шт",""))),0)</f>
        <v>1</v>
      </c>
      <c r="D56" s="4">
        <f>IF(LEFT(Продажи_исходные!D56,1)="$",VALUE(MID(Продажи_исходные!D56,2,255))*95,IF(LEFT(Продажи_исходные!D56,1)="€",VALUE(MID(Продажи_исходные!D56,2,255))*100,VALUE(SUBSTITUTE(SUBSTITUTE(Продажи_исходные!D56,"₽","")," ",""))))</f>
        <v>8550</v>
      </c>
      <c r="E56" t="str">
        <f>Продажи_исходные!E56</f>
        <v>C0055</v>
      </c>
      <c r="F56" t="str">
        <f>Продажи_исходные!F56</f>
        <v>P008</v>
      </c>
      <c r="G56" t="str">
        <f>IFERROR(VLOOKUP(Продажи_исходные!G56,Справочники!$G$2:$H$50,2,FALSE),Продажи_исходные!G56)</f>
        <v>Завершен</v>
      </c>
      <c r="H56" s="4">
        <f>IFERROR(VLOOKUP(B56,Товары_очищенные!$A$1:$G$1000,6,FALSE),"нет в каталоге")</f>
        <v>99900</v>
      </c>
      <c r="I56" t="str">
        <f>IFERROR(VLOOKUP(B56,Товары_очищенные!$A$1:$G$1000,3,FALSE),"нет в каталоге")</f>
        <v>Мониторы</v>
      </c>
      <c r="J56" t="str">
        <f t="shared" si="25"/>
        <v>OK</v>
      </c>
    </row>
    <row r="57">
      <c r="A57" s="8">
        <f>DATE(RIGHT(Продажи_исходные!A57,4),LEFT(Продажи_исходные!A57,2),MID(Продажи_исходные!A57,4,2))</f>
        <v>45699</v>
      </c>
      <c r="B57" t="str">
        <f>"АРТ-"&amp;LEFT(SUBSTITUTE(SUBSTITUTE(SUBSTITUTE(SUBSTITUTE(Продажи_исходные!B57,"№",""),"АРТ-",""),"АРТ_",""),"/","-"),3)</f>
        <v>АРТ-492</v>
      </c>
      <c r="C57" s="4">
        <f>IFERROR(VALUE(TRIM(SUBSTITUTE(SUBSTITUTE(SUBSTITUTE(SUBSTITUTE(Продажи_исходные!C57," шт.","")," шт",""),"шт.",""),"шт",""))),0)</f>
        <v>2</v>
      </c>
      <c r="D57" s="4">
        <f>IF(LEFT(Продажи_исходные!D57,1)="$",VALUE(MID(Продажи_исходные!D57,2,255))*95,IF(LEFT(Продажи_исходные!D57,1)="€",VALUE(MID(Продажи_исходные!D57,2,255))*100,VALUE(SUBSTITUTE(SUBSTITUTE(Продажи_исходные!D57,"₽","")," ",""))))</f>
        <v>7000</v>
      </c>
      <c r="E57" t="str">
        <f>Продажи_исходные!E57</f>
        <v>C0056</v>
      </c>
      <c r="F57" t="str">
        <f>Продажи_исходные!F57</f>
        <v>P031</v>
      </c>
      <c r="G57" t="str">
        <f>IFERROR(VLOOKUP(Продажи_исходные!G57,Справочники!$G$2:$H$50,2,FALSE),Продажи_исходные!G57)</f>
        <v>Возврат</v>
      </c>
      <c r="H57" s="4">
        <f>IFERROR(VLOOKUP(B57,Товары_очищенные!$A$1:$G$1000,6,FALSE),"нет в каталоге")</f>
        <v>64000</v>
      </c>
      <c r="I57" t="str">
        <f>IFERROR(VLOOKUP(B57,Товары_очищенные!$A$1:$G$1000,3,FALSE),"нет в каталоге")</f>
        <v>Телевизоры</v>
      </c>
      <c r="J57" t="str">
        <f t="shared" si="25"/>
        <v>OK</v>
      </c>
    </row>
    <row r="58">
      <c r="A58" s="8">
        <f>DATE(RIGHT(Продажи_исходные!A58,4),LEFT(Продажи_исходные!A58,2),MID(Продажи_исходные!A58,4,2))</f>
        <v>45700</v>
      </c>
      <c r="B58" t="str">
        <f>"АРТ-"&amp;LEFT(SUBSTITUTE(SUBSTITUTE(SUBSTITUTE(SUBSTITUTE(Продажи_исходные!B58,"№",""),"АРТ-",""),"АРТ_",""),"/","-"),3)</f>
        <v>АРТ-134</v>
      </c>
      <c r="C58" s="4">
        <f>IFERROR(VALUE(TRIM(SUBSTITUTE(SUBSTITUTE(SUBSTITUTE(SUBSTITUTE(Продажи_исходные!C58," шт.","")," шт",""),"шт.",""),"шт",""))),0)</f>
        <v>3</v>
      </c>
      <c r="D58" s="4">
        <f>IF(LEFT(Продажи_исходные!D58,1)="$",VALUE(MID(Продажи_исходные!D58,2,255))*95,IF(LEFT(Продажи_исходные!D58,1)="€",VALUE(MID(Продажи_исходные!D58,2,255))*100,VALUE(SUBSTITUTE(SUBSTITUTE(Продажи_исходные!D58,"₽","")," ",""))))</f>
        <v>6800</v>
      </c>
      <c r="E58" t="str">
        <f>Продажи_исходные!E58</f>
        <v>C0057</v>
      </c>
      <c r="F58" t="str">
        <f>Продажи_исходные!F58</f>
        <v>P019</v>
      </c>
      <c r="G58" t="str">
        <f>IFERROR(VLOOKUP(Продажи_исходные!G58,Справочники!$G$2:$H$50,2,FALSE),Продажи_исходные!G58)</f>
        <v>Завершен</v>
      </c>
      <c r="H58" s="4">
        <f>IFERROR(VLOOKUP(B58,Товары_очищенные!$A$1:$G$1000,6,FALSE),"нет в каталоге")</f>
        <v>124000</v>
      </c>
      <c r="I58" t="str">
        <f>IFERROR(VLOOKUP(B58,Товары_очищенные!$A$1:$G$1000,3,FALSE),"нет в каталоге")</f>
        <v>Телевизоры</v>
      </c>
      <c r="J58" t="str">
        <f t="shared" si="25"/>
        <v>OK</v>
      </c>
    </row>
    <row r="59">
      <c r="A59" s="8">
        <f>DATE(RIGHT(Продажи_исходные!A59,4),LEFT(Продажи_исходные!A59,2),MID(Продажи_исходные!A59,4,2))</f>
        <v>45700</v>
      </c>
      <c r="B59" t="str">
        <f>"АРТ-"&amp;LEFT(SUBSTITUTE(SUBSTITUTE(SUBSTITUTE(SUBSTITUTE(Продажи_исходные!B59,"№",""),"АРТ-",""),"АРТ_",""),"/","-"),3)</f>
        <v>АРТ-368</v>
      </c>
      <c r="C59" s="4">
        <f>IFERROR(VALUE(TRIM(SUBSTITUTE(SUBSTITUTE(SUBSTITUTE(SUBSTITUTE(Продажи_исходные!C59," шт.","")," шт",""),"шт.",""),"шт",""))),0)</f>
        <v>-2</v>
      </c>
      <c r="D59" s="4">
        <f>IF(LEFT(Продажи_исходные!D59,1)="$",VALUE(MID(Продажи_исходные!D59,2,255))*95,IF(LEFT(Продажи_исходные!D59,1)="€",VALUE(MID(Продажи_исходные!D59,2,255))*100,VALUE(SUBSTITUTE(SUBSTITUTE(Продажи_исходные!D59,"₽","")," ",""))))</f>
        <v>11875</v>
      </c>
      <c r="E59" t="str">
        <f>Продажи_исходные!E59</f>
        <v>C0058</v>
      </c>
      <c r="F59" t="str">
        <f>Продажи_исходные!F59</f>
        <v>P042</v>
      </c>
      <c r="G59" t="str">
        <f>IFERROR(VLOOKUP(Продажи_исходные!G59,Справочники!$G$2:$H$50,2,FALSE),Продажи_исходные!G59)</f>
        <v>Завершен</v>
      </c>
      <c r="H59" s="4">
        <f>IFERROR(VLOOKUP(B59,Товары_очищенные!$A$1:$G$1000,6,FALSE),"нет в каталоге")</f>
        <v>19000</v>
      </c>
      <c r="I59" t="str">
        <f>IFERROR(VLOOKUP(B59,Товары_очищенные!$A$1:$G$1000,3,FALSE),"нет в каталоге")</f>
        <v>Наушники</v>
      </c>
      <c r="J59" t="str">
        <f t="shared" si="25"/>
        <v>OK</v>
      </c>
    </row>
    <row r="60">
      <c r="A60" s="8">
        <f>DATE(RIGHT(Продажи_исходные!A60,4),LEFT(Продажи_исходные!A60,2),MID(Продажи_исходные!A60,4,2))</f>
        <v>45701</v>
      </c>
      <c r="B60" t="str">
        <f>"АРТ-"&amp;LEFT(SUBSTITUTE(SUBSTITUTE(SUBSTITUTE(SUBSTITUTE(Продажи_исходные!B60,"№",""),"АРТ-",""),"АРТ_",""),"/","-"),3)</f>
        <v>АРТ-177</v>
      </c>
      <c r="C60" s="4">
        <f>IFERROR(VALUE(TRIM(SUBSTITUTE(SUBSTITUTE(SUBSTITUTE(SUBSTITUTE(Продажи_исходные!C60," шт.","")," шт",""),"шт.",""),"шт",""))),0)</f>
        <v>1</v>
      </c>
      <c r="D60" s="4">
        <f>IF(LEFT(Продажи_исходные!D60,1)="$",VALUE(MID(Продажи_исходные!D60,2,255))*95,IF(LEFT(Продажи_исходные!D60,1)="€",VALUE(MID(Продажи_исходные!D60,2,255))*100,VALUE(SUBSTITUTE(SUBSTITUTE(Продажи_исходные!D60,"₽","")," ",""))))</f>
        <v>10500</v>
      </c>
      <c r="E60" t="str">
        <f>Продажи_исходные!E60</f>
        <v>C0059</v>
      </c>
      <c r="F60" t="str">
        <f>Продажи_исходные!F60</f>
        <v>P005</v>
      </c>
      <c r="G60" t="str">
        <f>IFERROR(VLOOKUP(Продажи_исходные!G60,Справочники!$G$2:$H$50,2,FALSE),Продажи_исходные!G60)</f>
        <v>Завершен</v>
      </c>
      <c r="H60" s="4">
        <f>IFERROR(VLOOKUP(B60,Товары_очищенные!$A$1:$G$1000,6,FALSE),"нет в каталоге")</f>
        <v>102500</v>
      </c>
      <c r="I60" t="str">
        <f>IFERROR(VLOOKUP(B60,Товары_очищенные!$A$1:$G$1000,3,FALSE),"нет в каталоге")</f>
        <v>Телевизоры</v>
      </c>
      <c r="J60" t="str">
        <f t="shared" si="25"/>
        <v>OK</v>
      </c>
    </row>
    <row r="61">
      <c r="A61" s="8">
        <f>DATE(RIGHT(Продажи_исходные!A61,4),LEFT(Продажи_исходные!A61,2),MID(Продажи_исходные!A61,4,2))</f>
        <v>45701</v>
      </c>
      <c r="B61" t="str">
        <f>"АРТ-"&amp;LEFT(SUBSTITUTE(SUBSTITUTE(SUBSTITUTE(SUBSTITUTE(Продажи_исходные!B61,"№",""),"АРТ-",""),"АРТ_",""),"/","-"),3)</f>
        <v>АРТ-275</v>
      </c>
      <c r="C61" s="4">
        <f>IFERROR(VALUE(TRIM(SUBSTITUTE(SUBSTITUTE(SUBSTITUTE(SUBSTITUTE(Продажи_исходные!C61," шт.","")," шт",""),"шт.",""),"шт",""))),0)</f>
        <v>2</v>
      </c>
      <c r="D61" s="4">
        <f>IF(LEFT(Продажи_исходные!D61,1)="$",VALUE(MID(Продажи_исходные!D61,2,255))*95,IF(LEFT(Продажи_исходные!D61,1)="€",VALUE(MID(Продажи_исходные!D61,2,255))*100,VALUE(SUBSTITUTE(SUBSTITUTE(Продажи_исходные!D61,"₽","")," ",""))))</f>
        <v>9200</v>
      </c>
      <c r="E61" t="str">
        <f>Продажи_исходные!E61</f>
        <v>C0060</v>
      </c>
      <c r="F61" t="str">
        <f>Продажи_исходные!F61</f>
        <v>P036</v>
      </c>
      <c r="G61" t="str">
        <f>IFERROR(VLOOKUP(Продажи_исходные!G61,Справочники!$G$2:$H$50,2,FALSE),Продажи_исходные!G61)</f>
        <v>Отменен</v>
      </c>
      <c r="H61" s="4">
        <f>IFERROR(VLOOKUP(B61,Товары_очищенные!$A$1:$G$1000,6,FALSE),"нет в каталоге")</f>
        <v>47000</v>
      </c>
      <c r="I61" t="str">
        <f>IFERROR(VLOOKUP(B61,Товары_очищенные!$A$1:$G$1000,3,FALSE),"нет в каталоге")</f>
        <v>Планшеты</v>
      </c>
      <c r="J61" t="str">
        <f t="shared" si="25"/>
        <v>OK</v>
      </c>
    </row>
    <row r="62">
      <c r="A62" s="8">
        <f>DATE(RIGHT(Продажи_исходные!A62,4),LEFT(Продажи_исходные!A62,2),MID(Продажи_исходные!A62,4,2))</f>
        <v>45702</v>
      </c>
      <c r="B62" t="str">
        <f>"АРТ-"&amp;LEFT(SUBSTITUTE(SUBSTITUTE(SUBSTITUTE(SUBSTITUTE(Продажи_исходные!B62,"№",""),"АРТ-",""),"АРТ_",""),"/","-"),3)</f>
        <v>АРТ-043</v>
      </c>
      <c r="C62" s="4">
        <f>IFERROR(VALUE(TRIM(SUBSTITUTE(SUBSTITUTE(SUBSTITUTE(SUBSTITUTE(Продажи_исходные!C62," шт.","")," шт",""),"шт.",""),"шт",""))),0)</f>
        <v>3</v>
      </c>
      <c r="D62" s="4">
        <f>IF(LEFT(Продажи_исходные!D62,1)="$",VALUE(MID(Продажи_исходные!D62,2,255))*95,IF(LEFT(Продажи_исходные!D62,1)="€",VALUE(MID(Продажи_исходные!D62,2,255))*100,VALUE(SUBSTITUTE(SUBSTITUTE(Продажи_исходные!D62,"₽","")," ",""))))</f>
        <v>12825</v>
      </c>
      <c r="E62" t="str">
        <f>Продажи_исходные!E62</f>
        <v>C0061</v>
      </c>
      <c r="F62" t="str">
        <f>Продажи_исходные!F62</f>
        <v>P014</v>
      </c>
      <c r="G62" t="str">
        <f>IFERROR(VLOOKUP(Продажи_исходные!G62,Справочники!$G$2:$H$50,2,FALSE),Продажи_исходные!G62)</f>
        <v>Отменен</v>
      </c>
      <c r="H62" s="4">
        <f>IFERROR(VLOOKUP(B62,Товары_очищенные!$A$1:$G$1000,6,FALSE),"нет в каталоге")</f>
        <v>134990</v>
      </c>
      <c r="I62" t="str">
        <f>IFERROR(VLOOKUP(B62,Товары_очищенные!$A$1:$G$1000,3,FALSE),"нет в каталоге")</f>
        <v>Телевизоры</v>
      </c>
      <c r="J62" t="str">
        <f t="shared" si="25"/>
        <v>OK</v>
      </c>
    </row>
    <row r="63">
      <c r="A63" s="8">
        <f>DATE(RIGHT(Продажи_исходные!A63,4),LEFT(Продажи_исходные!A63,2),MID(Продажи_исходные!A63,4,2))</f>
        <v>45702</v>
      </c>
      <c r="B63" t="str">
        <f>"АРТ-"&amp;LEFT(SUBSTITUTE(SUBSTITUTE(SUBSTITUTE(SUBSTITUTE(Продажи_исходные!B63,"№",""),"АРТ-",""),"АРТ_",""),"/","-"),3)</f>
        <v>АРТ-456</v>
      </c>
      <c r="C63" s="4">
        <f>IFERROR(VALUE(TRIM(SUBSTITUTE(SUBSTITUTE(SUBSTITUTE(SUBSTITUTE(Продажи_исходные!C63," шт.","")," шт",""),"шт.",""),"шт",""))),0)</f>
        <v>1</v>
      </c>
      <c r="D63" s="4">
        <f>IF(LEFT(Продажи_исходные!D63,1)="$",VALUE(MID(Продажи_исходные!D63,2,255))*95,IF(LEFT(Продажи_исходные!D63,1)="€",VALUE(MID(Продажи_исходные!D63,2,255))*100,VALUE(SUBSTITUTE(SUBSTITUTE(Продажи_исходные!D63,"₽","")," ",""))))</f>
        <v>11500</v>
      </c>
      <c r="E63" t="str">
        <f>Продажи_исходные!E63</f>
        <v>C0062</v>
      </c>
      <c r="F63" t="str">
        <f>Продажи_исходные!F63</f>
        <v>P028</v>
      </c>
      <c r="G63" t="str">
        <f>IFERROR(VLOOKUP(Продажи_исходные!G63,Справочники!$G$2:$H$50,2,FALSE),Продажи_исходные!G63)</f>
        <v>Возврат</v>
      </c>
      <c r="H63" s="4">
        <f>IFERROR(VLOOKUP(B63,Товары_очищенные!$A$1:$G$1000,6,FALSE),"нет в каталоге")</f>
        <v>77500</v>
      </c>
      <c r="I63" t="str">
        <f>IFERROR(VLOOKUP(B63,Товары_очищенные!$A$1:$G$1000,3,FALSE),"нет в каталоге")</f>
        <v>Мониторы</v>
      </c>
      <c r="J63" t="str">
        <f t="shared" si="25"/>
        <v>OK</v>
      </c>
    </row>
    <row r="64">
      <c r="A64" s="8">
        <f>DATE(RIGHT(Продажи_исходные!A64,4),LEFT(Продажи_исходные!A64,2),MID(Продажи_исходные!A64,4,2))</f>
        <v>45703</v>
      </c>
      <c r="B64" t="str">
        <f>"АРТ-"&amp;LEFT(SUBSTITUTE(SUBSTITUTE(SUBSTITUTE(SUBSTITUTE(Продажи_исходные!B64,"№",""),"АРТ-",""),"АРТ_",""),"/","-"),3)</f>
        <v>АРТ-364</v>
      </c>
      <c r="C64" s="4">
        <f>IFERROR(VALUE(TRIM(SUBSTITUTE(SUBSTITUTE(SUBSTITUTE(SUBSTITUTE(Продажи_исходные!C64," шт.","")," шт",""),"шт.",""),"шт",""))),0)</f>
        <v>2</v>
      </c>
      <c r="D64" s="4">
        <f>IF(LEFT(Продажи_исходные!D64,1)="$",VALUE(MID(Продажи_исходные!D64,2,255))*95,IF(LEFT(Продажи_исходные!D64,1)="€",VALUE(MID(Продажи_исходные!D64,2,255))*100,VALUE(SUBSTITUTE(SUBSTITUTE(Продажи_исходные!D64,"₽","")," ",""))))</f>
        <v>10000</v>
      </c>
      <c r="E64" t="str">
        <f>Продажи_исходные!E64</f>
        <v>C0063</v>
      </c>
      <c r="F64" t="str">
        <f>Продажи_исходные!F64</f>
        <v>P009</v>
      </c>
      <c r="G64" t="str">
        <f>IFERROR(VLOOKUP(Продажи_исходные!G64,Справочники!$G$2:$H$50,2,FALSE),Продажи_исходные!G64)</f>
        <v>Завершен</v>
      </c>
      <c r="H64" s="4">
        <f>IFERROR(VLOOKUP(B64,Товары_очищенные!$A$1:$G$1000,6,FALSE),"нет в каталоге")</f>
        <v>139990</v>
      </c>
      <c r="I64" t="str">
        <f>IFERROR(VLOOKUP(B64,Товары_очищенные!$A$1:$G$1000,3,FALSE),"нет в каталоге")</f>
        <v>Телевизоры</v>
      </c>
      <c r="J64" t="str">
        <f t="shared" si="25"/>
        <v>OK</v>
      </c>
    </row>
    <row r="65">
      <c r="A65" s="8">
        <f>DATE(RIGHT(Продажи_исходные!A65,4),LEFT(Продажи_исходные!A65,2),MID(Продажи_исходные!A65,4,2))</f>
        <v>45703</v>
      </c>
      <c r="B65" t="str">
        <f>"АРТ-"&amp;LEFT(SUBSTITUTE(SUBSTITUTE(SUBSTITUTE(SUBSTITUTE(Продажи_исходные!B65,"№",""),"АРТ-",""),"АРТ_",""),"/","-"),3)</f>
        <v>АРТ-221</v>
      </c>
      <c r="C65" s="4">
        <f>IFERROR(VALUE(TRIM(SUBSTITUTE(SUBSTITUTE(SUBSTITUTE(SUBSTITUTE(Продажи_исходные!C65," шт.","")," шт",""),"шт.",""),"шт",""))),0)</f>
        <v>-1</v>
      </c>
      <c r="D65" s="4">
        <f>IF(LEFT(Продажи_исходные!D65,1)="$",VALUE(MID(Продажи_исходные!D65,2,255))*95,IF(LEFT(Продажи_исходные!D65,1)="€",VALUE(MID(Продажи_исходные!D65,2,255))*100,VALUE(SUBSTITUTE(SUBSTITUTE(Продажи_исходные!D65,"₽","")," ",""))))</f>
        <v>9500</v>
      </c>
      <c r="E65" t="str">
        <f>Продажи_исходные!E65</f>
        <v>C0064</v>
      </c>
      <c r="F65" t="str">
        <f>Продажи_исходные!F65</f>
        <v>P041</v>
      </c>
      <c r="G65" t="str">
        <f>IFERROR(VLOOKUP(Продажи_исходные!G65,Справочники!$G$2:$H$50,2,FALSE),Продажи_исходные!G65)</f>
        <v>Завершен</v>
      </c>
      <c r="H65" s="4">
        <f>IFERROR(VLOOKUP(B65,Товары_очищенные!$A$1:$G$1000,6,FALSE),"нет в каталоге")</f>
        <v>24000</v>
      </c>
      <c r="I65" t="str">
        <f>IFERROR(VLOOKUP(B65,Товары_очищенные!$A$1:$G$1000,3,FALSE),"нет в каталоге")</f>
        <v>Наушники</v>
      </c>
      <c r="J65" t="str">
        <f t="shared" si="25"/>
        <v>OK</v>
      </c>
    </row>
    <row r="66">
      <c r="A66" s="8">
        <f>DATE(RIGHT(Продажи_исходные!A66,4),LEFT(Продажи_исходные!A66,2),MID(Продажи_исходные!A66,4,2))</f>
        <v>45704</v>
      </c>
      <c r="B66" t="str">
        <f>"АРТ-"&amp;LEFT(SUBSTITUTE(SUBSTITUTE(SUBSTITUTE(SUBSTITUTE(Продажи_исходные!B66,"№",""),"АРТ-",""),"АРТ_",""),"/","-"),3)</f>
        <v>АРТ-098</v>
      </c>
      <c r="C66" s="4">
        <f>IFERROR(VALUE(TRIM(SUBSTITUTE(SUBSTITUTE(SUBSTITUTE(SUBSTITUTE(Продажи_исходные!C66," шт.","")," шт",""),"шт.",""),"шт",""))),0)</f>
        <v>3</v>
      </c>
      <c r="D66" s="4">
        <f>IF(LEFT(Продажи_исходные!D66,1)="$",VALUE(MID(Продажи_исходные!D66,2,255))*95,IF(LEFT(Продажи_исходные!D66,1)="€",VALUE(MID(Продажи_исходные!D66,2,255))*100,VALUE(SUBSTITUTE(SUBSTITUTE(Продажи_исходные!D66,"₽","")," ",""))))</f>
        <v>8000</v>
      </c>
      <c r="E66" t="str">
        <f>Продажи_исходные!E66</f>
        <v>C0065</v>
      </c>
      <c r="F66" t="str">
        <f>Продажи_исходные!F66</f>
        <v>P017</v>
      </c>
      <c r="G66" t="str">
        <f>IFERROR(VLOOKUP(Продажи_исходные!G66,Справочники!$G$2:$H$50,2,FALSE),Продажи_исходные!G66)</f>
        <v>Завершен</v>
      </c>
      <c r="H66" s="4">
        <f>IFERROR(VLOOKUP(B66,Товары_очищенные!$A$1:$G$1000,6,FALSE),"нет в каталоге")</f>
        <v>6500</v>
      </c>
      <c r="I66" t="str">
        <f>IFERROR(VLOOKUP(B66,Товары_очищенные!$A$1:$G$1000,3,FALSE),"нет в каталоге")</f>
        <v>Аксессуары</v>
      </c>
      <c r="J66" t="str">
        <f t="shared" si="25"/>
        <v>OK</v>
      </c>
    </row>
    <row r="67">
      <c r="A67" s="8">
        <f>DATE(RIGHT(Продажи_исходные!A67,4),LEFT(Продажи_исходные!A67,2),MID(Продажи_исходные!A67,4,2))</f>
        <v>45704</v>
      </c>
      <c r="B67" t="str">
        <f>"АРТ-"&amp;LEFT(SUBSTITUTE(SUBSTITUTE(SUBSTITUTE(SUBSTITUTE(Продажи_исходные!B67,"№",""),"АРТ-",""),"АРТ_",""),"/","-"),3)</f>
        <v>АРТ-327</v>
      </c>
      <c r="C67" s="4">
        <f>IFERROR(VALUE(TRIM(SUBSTITUTE(SUBSTITUTE(SUBSTITUTE(SUBSTITUTE(Продажи_исходные!C67," шт.","")," шт",""),"шт.",""),"шт",""))),0)</f>
        <v>1</v>
      </c>
      <c r="D67" s="4">
        <f>IF(LEFT(Продажи_исходные!D67,1)="$",VALUE(MID(Продажи_исходные!D67,2,255))*95,IF(LEFT(Продажи_исходные!D67,1)="€",VALUE(MID(Продажи_исходные!D67,2,255))*100,VALUE(SUBSTITUTE(SUBSTITUTE(Продажи_исходные!D67,"₽","")," ",""))))</f>
        <v>7500</v>
      </c>
      <c r="E67" t="str">
        <f>Продажи_исходные!E67</f>
        <v>C0066</v>
      </c>
      <c r="F67" t="str">
        <f>Продажи_исходные!F67</f>
        <v>P032</v>
      </c>
      <c r="G67" t="str">
        <f>IFERROR(VLOOKUP(Продажи_исходные!G67,Справочники!$G$2:$H$50,2,FALSE),Продажи_исходные!G67)</f>
        <v>Отменен</v>
      </c>
      <c r="H67" s="4">
        <f>IFERROR(VLOOKUP(B67,Товары_очищенные!$A$1:$G$1000,6,FALSE),"нет в каталоге")</f>
        <v>69000</v>
      </c>
      <c r="I67" t="str">
        <f>IFERROR(VLOOKUP(B67,Товары_очищенные!$A$1:$G$1000,3,FALSE),"нет в каталоге")</f>
        <v>Мониторы</v>
      </c>
      <c r="J67" t="str">
        <f t="shared" si="25"/>
        <v>OK</v>
      </c>
    </row>
    <row r="68">
      <c r="A68" s="8">
        <f>DATE(RIGHT(Продажи_исходные!A68,4),LEFT(Продажи_исходные!A68,2),MID(Продажи_исходные!A68,4,2))</f>
        <v>45705</v>
      </c>
      <c r="B68" t="str">
        <f>"АРТ-"&amp;LEFT(SUBSTITUTE(SUBSTITUTE(SUBSTITUTE(SUBSTITUTE(Продажи_исходные!B68,"№",""),"АРТ-",""),"АРТ_",""),"/","-"),3)</f>
        <v>АРТ-485</v>
      </c>
      <c r="C68" s="4">
        <f>IFERROR(VALUE(TRIM(SUBSTITUTE(SUBSTITUTE(SUBSTITUTE(SUBSTITUTE(Продажи_исходные!C68," шт.","")," шт",""),"шт.",""),"шт",""))),0)</f>
        <v>2</v>
      </c>
      <c r="D68" s="4">
        <f>IF(LEFT(Продажи_исходные!D68,1)="$",VALUE(MID(Продажи_исходные!D68,2,255))*95,IF(LEFT(Продажи_исходные!D68,1)="€",VALUE(MID(Продажи_исходные!D68,2,255))*100,VALUE(SUBSTITUTE(SUBSTITUTE(Продажи_исходные!D68,"₽","")," ",""))))</f>
        <v>13300</v>
      </c>
      <c r="E68" t="str">
        <f>Продажи_исходные!E68</f>
        <v>C0067</v>
      </c>
      <c r="F68" t="str">
        <f>Продажи_исходные!F68</f>
        <v>P049</v>
      </c>
      <c r="G68" t="str">
        <f>IFERROR(VLOOKUP(Продажи_исходные!G68,Справочники!$G$2:$H$50,2,FALSE),Продажи_исходные!G68)</f>
        <v>Отменен</v>
      </c>
      <c r="H68" s="4">
        <f>IFERROR(VLOOKUP(B68,Товары_очищенные!$A$1:$G$1000,6,FALSE),"нет в каталоге")</f>
        <v>32500</v>
      </c>
      <c r="I68" t="str">
        <f>IFERROR(VLOOKUP(B68,Товары_очищенные!$A$1:$G$1000,3,FALSE),"нет в каталоге")</f>
        <v>Смартфоны</v>
      </c>
      <c r="J68" t="str">
        <f t="shared" si="25"/>
        <v>OK</v>
      </c>
    </row>
    <row r="69">
      <c r="A69" s="8">
        <f>DATE(RIGHT(Продажи_исходные!A69,4),LEFT(Продажи_исходные!A69,2),MID(Продажи_исходные!A69,4,2))</f>
        <v>45705</v>
      </c>
      <c r="B69" t="str">
        <f>"АРТ-"&amp;LEFT(SUBSTITUTE(SUBSTITUTE(SUBSTITUTE(SUBSTITUTE(Продажи_исходные!B69,"№",""),"АРТ-",""),"АРТ_",""),"/","-"),3)</f>
        <v>АРТ-203</v>
      </c>
      <c r="C69" s="4">
        <f>IFERROR(VALUE(TRIM(SUBSTITUTE(SUBSTITUTE(SUBSTITUTE(SUBSTITUTE(Продажи_исходные!C69," шт.","")," шт",""),"шт.",""),"шт",""))),0)</f>
        <v>3</v>
      </c>
      <c r="D69" s="4">
        <f>IF(LEFT(Продажи_исходные!D69,1)="$",VALUE(MID(Продажи_исходные!D69,2,255))*95,IF(LEFT(Продажи_исходные!D69,1)="€",VALUE(MID(Продажи_исходные!D69,2,255))*100,VALUE(SUBSTITUTE(SUBSTITUTE(Продажи_исходные!D69,"₽","")," ",""))))</f>
        <v>12000</v>
      </c>
      <c r="E69" t="str">
        <f>Продажи_исходные!E69</f>
        <v>C0068</v>
      </c>
      <c r="F69" t="str">
        <f>Продажи_исходные!F69</f>
        <v>P006</v>
      </c>
      <c r="G69" t="str">
        <f>IFERROR(VLOOKUP(Продажи_исходные!G69,Справочники!$G$2:$H$50,2,FALSE),Продажи_исходные!G69)</f>
        <v>Завершен</v>
      </c>
      <c r="H69" s="4">
        <f>IFERROR(VLOOKUP(B69,Товары_очищенные!$A$1:$G$1000,6,FALSE),"нет в каталоге")</f>
        <v>9200</v>
      </c>
      <c r="I69" t="str">
        <f>IFERROR(VLOOKUP(B69,Товары_очищенные!$A$1:$G$1000,3,FALSE),"нет в каталоге")</f>
        <v>Наушники</v>
      </c>
      <c r="J69" t="str">
        <f t="shared" si="25"/>
        <v>OK</v>
      </c>
    </row>
    <row r="70">
      <c r="A70" s="8">
        <f>DATE(RIGHT(Продажи_исходные!A70,4),LEFT(Продажи_исходные!A70,2),MID(Продажи_исходные!A70,4,2))</f>
        <v>45706</v>
      </c>
      <c r="B70" t="str">
        <f>"АРТ-"&amp;LEFT(SUBSTITUTE(SUBSTITUTE(SUBSTITUTE(SUBSTITUTE(Продажи_исходные!B70,"№",""),"АРТ-",""),"АРТ_",""),"/","-"),3)</f>
        <v>АРТ-188</v>
      </c>
      <c r="C70" s="4">
        <f>IFERROR(VALUE(TRIM(SUBSTITUTE(SUBSTITUTE(SUBSTITUTE(SUBSTITUTE(Продажи_исходные!C70," шт.","")," шт",""),"шт.",""),"шт",""))),0)</f>
        <v>1</v>
      </c>
      <c r="D70" s="4">
        <f>IF(LEFT(Продажи_исходные!D70,1)="$",VALUE(MID(Продажи_исходные!D70,2,255))*95,IF(LEFT(Продажи_исходные!D70,1)="€",VALUE(MID(Продажи_исходные!D70,2,255))*100,VALUE(SUBSTITUTE(SUBSTITUTE(Продажи_исходные!D70,"₽","")," ",""))))</f>
        <v>10500</v>
      </c>
      <c r="E70" t="str">
        <f>Продажи_исходные!E70</f>
        <v>C0069</v>
      </c>
      <c r="F70" t="str">
        <f>Продажи_исходные!F70</f>
        <v>P024</v>
      </c>
      <c r="G70" t="str">
        <f>IFERROR(VLOOKUP(Продажи_исходные!G70,Справочники!$G$2:$H$50,2,FALSE),Продажи_исходные!G70)</f>
        <v>Возврат</v>
      </c>
      <c r="H70" s="4">
        <f>IFERROR(VLOOKUP(B70,Товары_очищенные!$A$1:$G$1000,6,FALSE),"нет в каталоге")</f>
        <v>48500</v>
      </c>
      <c r="I70" t="str">
        <f>IFERROR(VLOOKUP(B70,Товары_очищенные!$A$1:$G$1000,3,FALSE),"нет в каталоге")</f>
        <v>Часы</v>
      </c>
      <c r="J70" t="str">
        <f t="shared" si="25"/>
        <v>OK</v>
      </c>
    </row>
    <row r="71">
      <c r="A71" s="8">
        <f>DATE(RIGHT(Продажи_исходные!A71,4),LEFT(Продажи_исходные!A71,2),MID(Продажи_исходные!A71,4,2))</f>
        <v>45706</v>
      </c>
      <c r="B71" t="str">
        <f>"АРТ-"&amp;LEFT(SUBSTITUTE(SUBSTITUTE(SUBSTITUTE(SUBSTITUTE(Продажи_исходные!B71,"№",""),"АРТ-",""),"АРТ_",""),"/","-"),3)</f>
        <v>АРТ-079</v>
      </c>
      <c r="C71" s="4">
        <f>IFERROR(VALUE(TRIM(SUBSTITUTE(SUBSTITUTE(SUBSTITUTE(SUBSTITUTE(Продажи_исходные!C71," шт.","")," шт",""),"шт.",""),"шт",""))),0)</f>
        <v>-2</v>
      </c>
      <c r="D71" s="4">
        <f>IF(LEFT(Продажи_исходные!D71,1)="$",VALUE(MID(Продажи_исходные!D71,2,255))*95,IF(LEFT(Продажи_исходные!D71,1)="€",VALUE(MID(Продажи_исходные!D71,2,255))*100,VALUE(SUBSTITUTE(SUBSTITUTE(Продажи_исходные!D71,"₽","")," ",""))))</f>
        <v>9025</v>
      </c>
      <c r="E71" t="str">
        <f>Продажи_исходные!E71</f>
        <v>C0070</v>
      </c>
      <c r="F71" t="str">
        <f>Продажи_исходные!F71</f>
        <v>P015</v>
      </c>
      <c r="G71" t="str">
        <f>IFERROR(VLOOKUP(Продажи_исходные!G71,Справочники!$G$2:$H$50,2,FALSE),Продажи_исходные!G71)</f>
        <v>Завершен</v>
      </c>
      <c r="H71" s="4">
        <f>IFERROR(VLOOKUP(B71,Товары_очищенные!$A$1:$G$1000,6,FALSE),"нет в каталоге")</f>
        <v>45999</v>
      </c>
      <c r="I71" t="str">
        <f>IFERROR(VLOOKUP(B71,Товары_очищенные!$A$1:$G$1000,3,FALSE),"нет в каталоге")</f>
        <v>Планшеты</v>
      </c>
      <c r="J71" t="str">
        <f t="shared" si="25"/>
        <v>OK</v>
      </c>
    </row>
    <row r="72">
      <c r="A72" s="8">
        <f>DATE(RIGHT(Продажи_исходные!A72,4),LEFT(Продажи_исходные!A72,2),MID(Продажи_исходные!A72,4,2))</f>
        <v>45707</v>
      </c>
      <c r="B72" t="str">
        <f>"АРТ-"&amp;LEFT(SUBSTITUTE(SUBSTITUTE(SUBSTITUTE(SUBSTITUTE(Продажи_исходные!B72,"№",""),"АРТ-",""),"АРТ_",""),"/","-"),3)</f>
        <v>АРТ-411</v>
      </c>
      <c r="C72" s="4">
        <f>IFERROR(VALUE(TRIM(SUBSTITUTE(SUBSTITUTE(SUBSTITUTE(SUBSTITUTE(Продажи_исходные!C72," шт.","")," шт",""),"шт.",""),"шт",""))),0)</f>
        <v>2</v>
      </c>
      <c r="D72" s="4">
        <f>IF(LEFT(Продажи_исходные!D72,1)="$",VALUE(MID(Продажи_исходные!D72,2,255))*95,IF(LEFT(Продажи_исходные!D72,1)="€",VALUE(MID(Продажи_исходные!D72,2,255))*100,VALUE(SUBSTITUTE(SUBSTITUTE(Продажи_исходные!D72,"₽","")," ",""))))</f>
        <v>7500</v>
      </c>
      <c r="E72" t="str">
        <f>Продажи_исходные!E72</f>
        <v>C0071</v>
      </c>
      <c r="F72" t="str">
        <f>Продажи_исходные!F72</f>
        <v>P037</v>
      </c>
      <c r="G72" t="str">
        <f>IFERROR(VLOOKUP(Продажи_исходные!G72,Справочники!$G$2:$H$50,2,FALSE),Продажи_исходные!G72)</f>
        <v>Завершен</v>
      </c>
      <c r="H72" s="4">
        <f>IFERROR(VLOOKUP(B72,Товары_очищенные!$A$1:$G$1000,6,FALSE),"нет в каталоге")</f>
        <v>41500</v>
      </c>
      <c r="I72" t="str">
        <f>IFERROR(VLOOKUP(B72,Товары_очищенные!$A$1:$G$1000,3,FALSE),"нет в каталоге")</f>
        <v>Наушники</v>
      </c>
      <c r="J72" t="str">
        <f t="shared" si="25"/>
        <v>OK</v>
      </c>
    </row>
    <row r="73">
      <c r="A73" s="8">
        <f>DATE(RIGHT(Продажи_исходные!A73,4),LEFT(Продажи_исходные!A73,2),MID(Продажи_исходные!A73,4,2))</f>
        <v>45707</v>
      </c>
      <c r="B73" t="str">
        <f>"АРТ-"&amp;LEFT(SUBSTITUTE(SUBSTITUTE(SUBSTITUTE(SUBSTITUTE(Продажи_исходные!B73,"№",""),"АРТ-",""),"АРТ_",""),"/","-"),3)</f>
        <v>АРТ-056</v>
      </c>
      <c r="C73" s="4">
        <f>IFERROR(VALUE(TRIM(SUBSTITUTE(SUBSTITUTE(SUBSTITUTE(SUBSTITUTE(Продажи_исходные!C73," шт.","")," шт",""),"шт.",""),"шт",""))),0)</f>
        <v>1</v>
      </c>
      <c r="D73" s="4">
        <f>IF(LEFT(Продажи_исходные!D73,1)="$",VALUE(MID(Продажи_исходные!D73,2,255))*95,IF(LEFT(Продажи_исходные!D73,1)="€",VALUE(MID(Продажи_исходные!D73,2,255))*100,VALUE(SUBSTITUTE(SUBSTITUTE(Продажи_исходные!D73,"₽","")," ",""))))</f>
        <v>7000</v>
      </c>
      <c r="E73" t="str">
        <f>Продажи_исходные!E73</f>
        <v>C0072</v>
      </c>
      <c r="F73" t="str">
        <f>Продажи_исходные!F73</f>
        <v>P048</v>
      </c>
      <c r="G73" t="str">
        <f>IFERROR(VLOOKUP(Продажи_исходные!G73,Справочники!$G$2:$H$50,2,FALSE),Продажи_исходные!G73)</f>
        <v>Завершен</v>
      </c>
      <c r="H73" s="4">
        <f>IFERROR(VLOOKUP(B73,Товары_очищенные!$A$1:$G$1000,6,FALSE),"нет в каталоге")</f>
        <v>10500</v>
      </c>
      <c r="I73" t="str">
        <f>IFERROR(VLOOKUP(B73,Товары_очищенные!$A$1:$G$1000,3,FALSE),"нет в каталоге")</f>
        <v>Аксессуары</v>
      </c>
      <c r="J73" t="str">
        <f t="shared" si="25"/>
        <v>OK</v>
      </c>
    </row>
    <row r="74">
      <c r="A74" s="8">
        <f>DATE(RIGHT(Продажи_исходные!A74,4),LEFT(Продажи_исходные!A74,2),MID(Продажи_исходные!A74,4,2))</f>
        <v>45708</v>
      </c>
      <c r="B74" t="str">
        <f>"АРТ-"&amp;LEFT(SUBSTITUTE(SUBSTITUTE(SUBSTITUTE(SUBSTITUTE(Продажи_исходные!B74,"№",""),"АРТ-",""),"АРТ_",""),"/","-"),3)</f>
        <v>АРТ-298</v>
      </c>
      <c r="C74" s="4">
        <f>IFERROR(VALUE(TRIM(SUBSTITUTE(SUBSTITUTE(SUBSTITUTE(SUBSTITUTE(Продажи_исходные!C74," шт.","")," шт",""),"шт.",""),"шт",""))),0)</f>
        <v>3</v>
      </c>
      <c r="D74" s="4">
        <f>IF(LEFT(Продажи_исходные!D74,1)="$",VALUE(MID(Продажи_исходные!D74,2,255))*95,IF(LEFT(Продажи_исходные!D74,1)="€",VALUE(MID(Продажи_исходные!D74,2,255))*100,VALUE(SUBSTITUTE(SUBSTITUTE(Продажи_исходные!D74,"₽","")," ",""))))</f>
        <v>12350</v>
      </c>
      <c r="E74" t="str">
        <f>Продажи_исходные!E74</f>
        <v>C0073</v>
      </c>
      <c r="F74" t="str">
        <f>Продажи_исходные!F74</f>
        <v>P004</v>
      </c>
      <c r="G74" t="str">
        <f>IFERROR(VLOOKUP(Продажи_исходные!G74,Справочники!$G$2:$H$50,2,FALSE),Продажи_исходные!G74)</f>
        <v>Отменен</v>
      </c>
      <c r="H74" s="4">
        <f>IFERROR(VLOOKUP(B74,Товары_очищенные!$A$1:$G$1000,6,FALSE),"нет в каталоге")</f>
        <v>65990</v>
      </c>
      <c r="I74" t="str">
        <f>IFERROR(VLOOKUP(B74,Товары_очищенные!$A$1:$G$1000,3,FALSE),"нет в каталоге")</f>
        <v>Телевизоры</v>
      </c>
      <c r="J74" t="str">
        <f t="shared" ref="J74:J99" si="26">IF(D74&gt;0,"OK","Некорректная цена")</f>
        <v>OK</v>
      </c>
    </row>
    <row r="75">
      <c r="A75" s="8">
        <f>DATE(RIGHT(Продажи_исходные!A75,4),LEFT(Продажи_исходные!A75,2),MID(Продажи_исходные!A75,4,2))</f>
        <v>45708</v>
      </c>
      <c r="B75" t="str">
        <f>"АРТ-"&amp;LEFT(SUBSTITUTE(SUBSTITUTE(SUBSTITUTE(SUBSTITUTE(Продажи_исходные!B75,"№",""),"АРТ-",""),"АРТ_",""),"/","-"),3)</f>
        <v>АРТ-348</v>
      </c>
      <c r="C75" s="4">
        <f>IFERROR(VALUE(TRIM(SUBSTITUTE(SUBSTITUTE(SUBSTITUTE(SUBSTITUTE(Продажи_исходные!C75," шт.","")," шт",""),"шт.",""),"шт",""))),0)</f>
        <v>2</v>
      </c>
      <c r="D75" s="4">
        <f>IF(LEFT(Продажи_исходные!D75,1)="$",VALUE(MID(Продажи_исходные!D75,2,255))*95,IF(LEFT(Продажи_исходные!D75,1)="€",VALUE(MID(Продажи_исходные!D75,2,255))*100,VALUE(SUBSTITUTE(SUBSTITUTE(Продажи_исходные!D75,"₽","")," ",""))))</f>
        <v>11000</v>
      </c>
      <c r="E75" t="str">
        <f>Продажи_исходные!E75</f>
        <v>C0074</v>
      </c>
      <c r="F75" t="str">
        <f>Продажи_исходные!F75</f>
        <v>P026</v>
      </c>
      <c r="G75" t="str">
        <f>IFERROR(VLOOKUP(Продажи_исходные!G75,Справочники!$G$2:$H$50,2,FALSE),Продажи_исходные!G75)</f>
        <v>Отменен</v>
      </c>
      <c r="H75" s="4">
        <f>IFERROR(VLOOKUP(B75,Товары_очищенные!$A$1:$G$1000,6,FALSE),"нет в каталоге")</f>
        <v>20800</v>
      </c>
      <c r="I75" t="str">
        <f>IFERROR(VLOOKUP(B75,Товары_очищенные!$A$1:$G$1000,3,FALSE),"нет в каталоге")</f>
        <v>Наушники</v>
      </c>
      <c r="J75" t="str">
        <f t="shared" si="26"/>
        <v>OK</v>
      </c>
    </row>
    <row r="76">
      <c r="A76" s="8">
        <f>DATE(RIGHT(Продажи_исходные!A76,4),LEFT(Продажи_исходные!A76,2),MID(Продажи_исходные!A76,4,2))</f>
        <v>45709</v>
      </c>
      <c r="B76" t="str">
        <f>"АРТ-"&amp;LEFT(SUBSTITUTE(SUBSTITUTE(SUBSTITUTE(SUBSTITUTE(Продажи_исходные!B76,"№",""),"АРТ-",""),"АРТ_",""),"/","-"),3)</f>
        <v>АРТ-241</v>
      </c>
      <c r="C76" s="4">
        <f>IFERROR(VALUE(TRIM(SUBSTITUTE(SUBSTITUTE(SUBSTITUTE(SUBSTITUTE(Продажи_исходные!C76," шт.","")," шт",""),"шт.",""),"шт",""))),0)</f>
        <v>1</v>
      </c>
      <c r="D76" s="4">
        <f>IF(LEFT(Продажи_исходные!D76,1)="$",VALUE(MID(Продажи_исходные!D76,2,255))*95,IF(LEFT(Продажи_исходные!D76,1)="€",VALUE(MID(Продажи_исходные!D76,2,255))*100,VALUE(SUBSTITUTE(SUBSTITUTE(Продажи_исходные!D76,"₽","")," ",""))))</f>
        <v>9800</v>
      </c>
      <c r="E76" t="str">
        <f>Продажи_исходные!E76</f>
        <v>C0075</v>
      </c>
      <c r="F76" t="str">
        <f>Продажи_исходные!F76</f>
        <v>P013</v>
      </c>
      <c r="G76" t="str">
        <f>IFERROR(VLOOKUP(Продажи_исходные!G76,Справочники!$G$2:$H$50,2,FALSE),Продажи_исходные!G76)</f>
        <v>Возврат</v>
      </c>
      <c r="H76" s="4">
        <f>IFERROR(VLOOKUP(B76,Товары_очищенные!$A$1:$G$1000,6,FALSE),"нет в каталоге")</f>
        <v>59990</v>
      </c>
      <c r="I76" t="str">
        <f>IFERROR(VLOOKUP(B76,Товары_очищенные!$A$1:$G$1000,3,FALSE),"нет в каталоге")</f>
        <v>Наушники</v>
      </c>
      <c r="J76" t="str">
        <f t="shared" si="26"/>
        <v>OK</v>
      </c>
    </row>
    <row r="77">
      <c r="A77" s="8">
        <f>DATE(RIGHT(Продажи_исходные!A77,4),LEFT(Продажи_исходные!A77,2),MID(Продажи_исходные!A77,4,2))</f>
        <v>45709</v>
      </c>
      <c r="B77" t="str">
        <f>"АРТ-"&amp;LEFT(SUBSTITUTE(SUBSTITUTE(SUBSTITUTE(SUBSTITUTE(Продажи_исходные!B77,"№",""),"АРТ-",""),"АРТ_",""),"/","-"),3)</f>
        <v>АРТ-132</v>
      </c>
      <c r="C77" s="4">
        <f>IFERROR(VALUE(TRIM(SUBSTITUTE(SUBSTITUTE(SUBSTITUTE(SUBSTITUTE(Продажи_исходные!C77," шт.","")," шт",""),"шт.",""),"шт",""))),0)</f>
        <v>-3</v>
      </c>
      <c r="D77" s="4">
        <f>IF(LEFT(Продажи_исходные!D77,1)="$",VALUE(MID(Продажи_исходные!D77,2,255))*95,IF(LEFT(Продажи_исходные!D77,1)="€",VALUE(MID(Продажи_исходные!D77,2,255))*100,VALUE(SUBSTITUTE(SUBSTITUTE(Продажи_исходные!D77,"₽","")," ",""))))</f>
        <v>8075</v>
      </c>
      <c r="E77" t="str">
        <f>Продажи_исходные!E77</f>
        <v>C0076</v>
      </c>
      <c r="F77" t="str">
        <f>Продажи_исходные!F77</f>
        <v>P034</v>
      </c>
      <c r="G77" t="str">
        <f>IFERROR(VLOOKUP(Продажи_исходные!G77,Справочники!$G$2:$H$50,2,FALSE),Продажи_исходные!G77)</f>
        <v>Завершен</v>
      </c>
      <c r="H77" s="4">
        <f>IFERROR(VLOOKUP(B77,Товары_очищенные!$A$1:$G$1000,6,FALSE),"нет в каталоге")</f>
        <v>44500</v>
      </c>
      <c r="I77" t="str">
        <f>IFERROR(VLOOKUP(B77,Товары_очищенные!$A$1:$G$1000,3,FALSE),"нет в каталоге")</f>
        <v>Планшеты</v>
      </c>
      <c r="J77" t="str">
        <f t="shared" si="26"/>
        <v>OK</v>
      </c>
    </row>
    <row r="78">
      <c r="A78" s="8">
        <f>DATE(RIGHT(Продажи_исходные!A78,4),LEFT(Продажи_исходные!A78,2),MID(Продажи_исходные!A78,4,2))</f>
        <v>45710</v>
      </c>
      <c r="B78" t="str">
        <f>"АРТ-"&amp;LEFT(SUBSTITUTE(SUBSTITUTE(SUBSTITUTE(SUBSTITUTE(Продажи_исходные!B78,"№",""),"АРТ-",""),"АРТ_",""),"/","-"),3)</f>
        <v>АРТ-494</v>
      </c>
      <c r="C78" s="4">
        <f>IFERROR(VALUE(TRIM(SUBSTITUTE(SUBSTITUTE(SUBSTITUTE(SUBSTITUTE(Продажи_исходные!C78," шт.","")," шт",""),"шт.",""),"шт",""))),0)</f>
        <v>1</v>
      </c>
      <c r="D78" s="4">
        <f>IF(LEFT(Продажи_исходные!D78,1)="$",VALUE(MID(Продажи_исходные!D78,2,255))*95,IF(LEFT(Продажи_исходные!D78,1)="€",VALUE(MID(Продажи_исходные!D78,2,255))*100,VALUE(SUBSTITUTE(SUBSTITUTE(Продажи_исходные!D78,"₽","")," ",""))))</f>
        <v>6500</v>
      </c>
      <c r="E78" t="str">
        <f>Продажи_исходные!E78</f>
        <v>C0077</v>
      </c>
      <c r="F78" t="str">
        <f>Продажи_исходные!F78</f>
        <v>P044</v>
      </c>
      <c r="G78" t="str">
        <f>IFERROR(VLOOKUP(Продажи_исходные!G78,Справочники!$G$2:$H$50,2,FALSE),Продажи_исходные!G78)</f>
        <v>Завершен</v>
      </c>
      <c r="H78" s="4">
        <f>IFERROR(VLOOKUP(B78,Товары_очищенные!$A$1:$G$1000,6,FALSE),"нет в каталоге")</f>
        <v>14000</v>
      </c>
      <c r="I78" t="str">
        <f>IFERROR(VLOOKUP(B78,Товары_очищенные!$A$1:$G$1000,3,FALSE),"нет в каталоге")</f>
        <v>Наушники</v>
      </c>
      <c r="J78" t="str">
        <f t="shared" si="26"/>
        <v>OK</v>
      </c>
    </row>
    <row r="79">
      <c r="A79" s="8">
        <f>DATE(RIGHT(Продажи_исходные!A79,4),LEFT(Продажи_исходные!A79,2),MID(Продажи_исходные!A79,4,2))</f>
        <v>45710</v>
      </c>
      <c r="B79" t="str">
        <f>"АРТ-"&amp;LEFT(SUBSTITUTE(SUBSTITUTE(SUBSTITUTE(SUBSTITUTE(Продажи_исходные!B79,"№",""),"АРТ-",""),"АРТ_",""),"/","-"),3)</f>
        <v>АРТ-032</v>
      </c>
      <c r="C79" s="4">
        <f>IFERROR(VALUE(TRIM(SUBSTITUTE(SUBSTITUTE(SUBSTITUTE(SUBSTITUTE(Продажи_исходные!C79," шт.","")," шт",""),"шт.",""),"шт",""))),0)</f>
        <v>2</v>
      </c>
      <c r="D79" s="4">
        <f>IF(LEFT(Продажи_исходные!D79,1)="$",VALUE(MID(Продажи_исходные!D79,2,255))*95,IF(LEFT(Продажи_исходные!D79,1)="€",VALUE(MID(Продажи_исходные!D79,2,255))*100,VALUE(SUBSTITUTE(SUBSTITUTE(Продажи_исходные!D79,"₽","")," ",""))))</f>
        <v>6000</v>
      </c>
      <c r="E79" t="str">
        <f>Продажи_исходные!E79</f>
        <v>C0078</v>
      </c>
      <c r="F79" t="str">
        <f>Продажи_исходные!F79</f>
        <v>P001</v>
      </c>
      <c r="G79" t="str">
        <f>IFERROR(VLOOKUP(Продажи_исходные!G79,Справочники!$G$2:$H$50,2,FALSE),Продажи_исходные!G79)</f>
        <v>Завершен</v>
      </c>
      <c r="H79" s="4">
        <f>IFERROR(VLOOKUP(B79,Товары_очищенные!$A$1:$G$1000,6,FALSE),"нет в каталоге")</f>
        <v>8500</v>
      </c>
      <c r="I79" t="str">
        <f>IFERROR(VLOOKUP(B79,Товары_очищенные!$A$1:$G$1000,3,FALSE),"нет в каталоге")</f>
        <v>Аксессуары</v>
      </c>
      <c r="J79" t="str">
        <f t="shared" si="26"/>
        <v>OK</v>
      </c>
    </row>
    <row r="80">
      <c r="A80" s="8">
        <f>DATE(RIGHT(Продажи_исходные!A80,4),LEFT(Продажи_исходные!A80,2),MID(Продажи_исходные!A80,4,2))</f>
        <v>45711</v>
      </c>
      <c r="B80" t="str">
        <f>"АРТ-"&amp;LEFT(SUBSTITUTE(SUBSTITUTE(SUBSTITUTE(SUBSTITUTE(Продажи_исходные!B80,"№",""),"АРТ-",""),"АРТ_",""),"/","-"),3)</f>
        <v>АРТ-266</v>
      </c>
      <c r="C80" s="4">
        <f>IFERROR(VALUE(TRIM(SUBSTITUTE(SUBSTITUTE(SUBSTITUTE(SUBSTITUTE(Продажи_исходные!C80," шт.","")," шт",""),"шт.",""),"шт",""))),0)</f>
        <v>3</v>
      </c>
      <c r="D80" s="4">
        <f>IF(LEFT(Продажи_исходные!D80,1)="$",VALUE(MID(Продажи_исходные!D80,2,255))*95,IF(LEFT(Продажи_исходные!D80,1)="€",VALUE(MID(Продажи_исходные!D80,2,255))*100,VALUE(SUBSTITUTE(SUBSTITUTE(Продажи_исходные!D80,"₽","")," ",""))))</f>
        <v>10450</v>
      </c>
      <c r="E80" t="str">
        <f>Продажи_исходные!E80</f>
        <v>C0079</v>
      </c>
      <c r="F80" t="str">
        <f>Продажи_исходные!F80</f>
        <v>P021</v>
      </c>
      <c r="G80" t="str">
        <f>IFERROR(VLOOKUP(Продажи_исходные!G80,Справочники!$G$2:$H$50,2,FALSE),Продажи_исходные!G80)</f>
        <v>Отменен</v>
      </c>
      <c r="H80" s="4">
        <f>IFERROR(VLOOKUP(B80,Товары_очищенные!$A$1:$G$1000,6,FALSE),"нет в каталоге")</f>
        <v>65500</v>
      </c>
      <c r="I80" t="str">
        <f>IFERROR(VLOOKUP(B80,Товары_очищенные!$A$1:$G$1000,3,FALSE),"нет в каталоге")</f>
        <v>Мониторы</v>
      </c>
      <c r="J80" t="str">
        <f t="shared" si="26"/>
        <v>OK</v>
      </c>
    </row>
    <row r="81">
      <c r="A81" s="8">
        <f>DATE(RIGHT(Продажи_исходные!A81,4),LEFT(Продажи_исходные!A81,2),MID(Продажи_исходные!A81,4,2))</f>
        <v>45711</v>
      </c>
      <c r="B81" t="str">
        <f>"АРТ-"&amp;LEFT(SUBSTITUTE(SUBSTITUTE(SUBSTITUTE(SUBSTITUTE(Продажи_исходные!B81,"№",""),"АРТ-",""),"АРТ_",""),"/","-"),3)</f>
        <v>АРТ-182</v>
      </c>
      <c r="C81" s="4">
        <f>IFERROR(VALUE(TRIM(SUBSTITUTE(SUBSTITUTE(SUBSTITUTE(SUBSTITUTE(Продажи_исходные!C81," шт.","")," шт",""),"шт.",""),"шт",""))),0)</f>
        <v>1</v>
      </c>
      <c r="D81" s="4">
        <f>IF(LEFT(Продажи_исходные!D81,1)="$",VALUE(MID(Продажи_исходные!D81,2,255))*95,IF(LEFT(Продажи_исходные!D81,1)="€",VALUE(MID(Продажи_исходные!D81,2,255))*100,VALUE(SUBSTITUTE(SUBSTITUTE(Продажи_исходные!D81,"₽","")," ",""))))</f>
        <v>9000</v>
      </c>
      <c r="E81" t="str">
        <f>Продажи_исходные!E81</f>
        <v>C0080</v>
      </c>
      <c r="F81" t="str">
        <f>Продажи_исходные!F81</f>
        <v>P039</v>
      </c>
      <c r="G81" t="str">
        <f>IFERROR(VLOOKUP(Продажи_исходные!G81,Справочники!$G$2:$H$50,2,FALSE),Продажи_исходные!G81)</f>
        <v>Отменен</v>
      </c>
      <c r="H81" s="4">
        <f>IFERROR(VLOOKUP(B81,Товары_очищенные!$A$1:$G$1000,6,FALSE),"нет в каталоге")</f>
        <v>166500</v>
      </c>
      <c r="I81" t="str">
        <f>IFERROR(VLOOKUP(B81,Товары_очищенные!$A$1:$G$1000,3,FALSE),"нет в каталоге")</f>
        <v>Мониторы</v>
      </c>
      <c r="J81" t="str">
        <f t="shared" si="26"/>
        <v>OK</v>
      </c>
    </row>
    <row r="82">
      <c r="A82" s="8">
        <f>DATE(RIGHT(Продажи_исходные!A82,4),LEFT(Продажи_исходные!A82,2),MID(Продажи_исходные!A82,4,2))</f>
        <v>45712</v>
      </c>
      <c r="B82" t="str">
        <f>"АРТ-"&amp;LEFT(SUBSTITUTE(SUBSTITUTE(SUBSTITUTE(SUBSTITUTE(Продажи_исходные!B82,"№",""),"АРТ-",""),"АРТ_",""),"/","-"),3)</f>
        <v>АРТ-405</v>
      </c>
      <c r="C82" s="4">
        <f>IFERROR(VALUE(TRIM(SUBSTITUTE(SUBSTITUTE(SUBSTITUTE(SUBSTITUTE(Продажи_исходные!C82," шт.","")," шт",""),"шт.",""),"шт",""))),0)</f>
        <v>2</v>
      </c>
      <c r="D82" s="4">
        <f>IF(LEFT(Продажи_исходные!D82,1)="$",VALUE(MID(Продажи_исходные!D82,2,255))*95,IF(LEFT(Продажи_исходные!D82,1)="€",VALUE(MID(Продажи_исходные!D82,2,255))*100,VALUE(SUBSTITUTE(SUBSTITUTE(Продажи_исходные!D82,"₽","")," ",""))))</f>
        <v>8000</v>
      </c>
      <c r="E82" t="str">
        <f>Продажи_исходные!E82</f>
        <v>C0081</v>
      </c>
      <c r="F82" t="str">
        <f>Продажи_исходные!F82</f>
        <v>P050</v>
      </c>
      <c r="G82" t="str">
        <f>IFERROR(VLOOKUP(Продажи_исходные!G82,Справочники!$G$2:$H$50,2,FALSE),Продажи_исходные!G82)</f>
        <v>Завершен</v>
      </c>
      <c r="H82" s="4">
        <f>IFERROR(VLOOKUP(B82,Товары_очищенные!$A$1:$G$1000,6,FALSE),"нет в каталоге")</f>
        <v>21000</v>
      </c>
      <c r="I82" t="str">
        <f>IFERROR(VLOOKUP(B82,Товары_очищенные!$A$1:$G$1000,3,FALSE),"нет в каталоге")</f>
        <v>Планшеты</v>
      </c>
      <c r="J82" t="str">
        <f t="shared" si="26"/>
        <v>OK</v>
      </c>
    </row>
    <row r="83">
      <c r="A83" s="8">
        <f>DATE(RIGHT(Продажи_исходные!A83,4),LEFT(Продажи_исходные!A83,2),MID(Продажи_исходные!A83,4,2))</f>
        <v>45712</v>
      </c>
      <c r="B83" t="str">
        <f>"АРТ-"&amp;LEFT(SUBSTITUTE(SUBSTITUTE(SUBSTITUTE(SUBSTITUTE(Продажи_исходные!B83,"№",""),"АРТ-",""),"АРТ_",""),"/","-"),3)</f>
        <v>АРТ-059</v>
      </c>
      <c r="C83" s="4">
        <f>IFERROR(VALUE(TRIM(SUBSTITUTE(SUBSTITUTE(SUBSTITUTE(SUBSTITUTE(Продажи_исходные!C83," шт.","")," шт",""),"шт.",""),"шт",""))),0)</f>
        <v>-1</v>
      </c>
      <c r="D83" s="4">
        <f>IF(LEFT(Продажи_исходные!D83,1)="$",VALUE(MID(Продажи_исходные!D83,2,255))*95,IF(LEFT(Продажи_исходные!D83,1)="€",VALUE(MID(Продажи_исходные!D83,2,255))*100,VALUE(SUBSTITUTE(SUBSTITUTE(Продажи_исходные!D83,"₽","")," ",""))))</f>
        <v>9500</v>
      </c>
      <c r="E83" t="str">
        <f>Продажи_исходные!E83</f>
        <v>C0082</v>
      </c>
      <c r="F83" t="str">
        <f>Продажи_исходные!F83</f>
        <v>P011</v>
      </c>
      <c r="G83" t="str">
        <f>IFERROR(VLOOKUP(Продажи_исходные!G83,Справочники!$G$2:$H$50,2,FALSE),Продажи_исходные!G83)</f>
        <v>Возврат</v>
      </c>
      <c r="H83" s="4">
        <f>IFERROR(VLOOKUP(B83,Товары_очищенные!$A$1:$G$1000,6,FALSE),"нет в каталоге")</f>
        <v>66000</v>
      </c>
      <c r="I83" t="str">
        <f>IFERROR(VLOOKUP(B83,Товары_очищенные!$A$1:$G$1000,3,FALSE),"нет в каталоге")</f>
        <v>Планшеты</v>
      </c>
      <c r="J83" t="str">
        <f t="shared" si="26"/>
        <v>OK</v>
      </c>
    </row>
    <row r="84">
      <c r="A84" s="8">
        <f>DATE(RIGHT(Продажи_исходные!A84,4),LEFT(Продажи_исходные!A84,2),MID(Продажи_исходные!A84,4,2))</f>
        <v>45713</v>
      </c>
      <c r="B84" t="str">
        <f>"АРТ-"&amp;LEFT(SUBSTITUTE(SUBSTITUTE(SUBSTITUTE(SUBSTITUTE(Продажи_исходные!B84,"№",""),"АРТ-",""),"АРТ_",""),"/","-"),3)</f>
        <v>АРТ-319</v>
      </c>
      <c r="C84" s="4">
        <f>IFERROR(VALUE(TRIM(SUBSTITUTE(SUBSTITUTE(SUBSTITUTE(SUBSTITUTE(Продажи_исходные!C84," шт.","")," шт",""),"шт.",""),"шт",""))),0)</f>
        <v>3</v>
      </c>
      <c r="D84" s="4">
        <f>IF(LEFT(Продажи_исходные!D84,1)="$",VALUE(MID(Продажи_исходные!D84,2,255))*95,IF(LEFT(Продажи_исходные!D84,1)="€",VALUE(MID(Продажи_исходные!D84,2,255))*100,VALUE(SUBSTITUTE(SUBSTITUTE(Продажи_исходные!D84,"₽","")," ",""))))</f>
        <v>8000</v>
      </c>
      <c r="E84" t="str">
        <f>Продажи_исходные!E84</f>
        <v>C0083</v>
      </c>
      <c r="F84" t="str">
        <f>Продажи_исходные!F84</f>
        <v>P027</v>
      </c>
      <c r="G84" t="str">
        <f>IFERROR(VLOOKUP(Продажи_исходные!G84,Справочники!$G$2:$H$50,2,FALSE),Продажи_исходные!G84)</f>
        <v>Завершен</v>
      </c>
      <c r="H84" s="4">
        <f>IFERROR(VLOOKUP(B84,Товары_очищенные!$A$1:$G$1000,6,FALSE),"нет в каталоге")</f>
        <v>184990</v>
      </c>
      <c r="I84" t="str">
        <f>IFERROR(VLOOKUP(B84,Товары_очищенные!$A$1:$G$1000,3,FALSE),"нет в каталоге")</f>
        <v>Телевизоры</v>
      </c>
      <c r="J84" t="str">
        <f t="shared" si="26"/>
        <v>OK</v>
      </c>
    </row>
    <row r="85">
      <c r="A85" s="8">
        <f>DATE(RIGHT(Продажи_исходные!A85,4),LEFT(Продажи_исходные!A85,2),MID(Продажи_исходные!A85,4,2))</f>
        <v>45713</v>
      </c>
      <c r="B85" t="str">
        <f>"АРТ-"&amp;LEFT(SUBSTITUTE(SUBSTITUTE(SUBSTITUTE(SUBSTITUTE(Продажи_исходные!B85,"№",""),"АРТ-",""),"АРТ_",""),"/","-"),3)</f>
        <v>АРТ-147</v>
      </c>
      <c r="C85" s="4">
        <f>IFERROR(VALUE(TRIM(SUBSTITUTE(SUBSTITUTE(SUBSTITUTE(SUBSTITUTE(Продажи_исходные!C85," шт.","")," шт",""),"шт.",""),"шт",""))),0)</f>
        <v>1</v>
      </c>
      <c r="D85" s="4">
        <f>IF(LEFT(Продажи_исходные!D85,1)="$",VALUE(MID(Продажи_исходные!D85,2,255))*95,IF(LEFT(Продажи_исходные!D85,1)="€",VALUE(MID(Продажи_исходные!D85,2,255))*100,VALUE(SUBSTITUTE(SUBSTITUTE(Продажи_исходные!D85,"₽","")," ",""))))</f>
        <v>7500</v>
      </c>
      <c r="E85" t="str">
        <f>Продажи_исходные!E85</f>
        <v>C0084</v>
      </c>
      <c r="F85" t="str">
        <f>Продажи_исходные!F85</f>
        <v>P018</v>
      </c>
      <c r="G85" t="str">
        <f>IFERROR(VLOOKUP(Продажи_исходные!G85,Справочники!$G$2:$H$50,2,FALSE),Продажи_исходные!G85)</f>
        <v>Завершен</v>
      </c>
      <c r="H85" s="4">
        <f>IFERROR(VLOOKUP(B85,Товары_очищенные!$A$1:$G$1000,6,FALSE),"нет в каталоге")</f>
        <v>47500</v>
      </c>
      <c r="I85" t="str">
        <f>IFERROR(VLOOKUP(B85,Товары_очищенные!$A$1:$G$1000,3,FALSE),"нет в каталоге")</f>
        <v>Смартфоны</v>
      </c>
      <c r="J85" t="str">
        <f t="shared" si="26"/>
        <v>OK</v>
      </c>
    </row>
    <row r="86">
      <c r="A86" s="8">
        <f>DATE(RIGHT(Продажи_исходные!A86,4),LEFT(Продажи_исходные!A86,2),MID(Продажи_исходные!A86,4,2))</f>
        <v>45714</v>
      </c>
      <c r="B86" t="str">
        <f>"АРТ-"&amp;LEFT(SUBSTITUTE(SUBSTITUTE(SUBSTITUTE(SUBSTITUTE(Продажи_исходные!B86,"№",""),"АРТ-",""),"АРТ_",""),"/","-"),3)</f>
        <v>АРТ-388</v>
      </c>
      <c r="C86" s="4">
        <f>IFERROR(VALUE(TRIM(SUBSTITUTE(SUBSTITUTE(SUBSTITUTE(SUBSTITUTE(Продажи_исходные!C86," шт.","")," шт",""),"шт.",""),"шт",""))),0)</f>
        <v>2</v>
      </c>
      <c r="D86" s="4">
        <f>IF(LEFT(Продажи_исходные!D86,1)="$",VALUE(MID(Продажи_исходные!D86,2,255))*95,IF(LEFT(Продажи_исходные!D86,1)="€",VALUE(MID(Продажи_исходные!D86,2,255))*100,VALUE(SUBSTITUTE(SUBSTITUTE(Продажи_исходные!D86,"₽","")," ",""))))</f>
        <v>13775</v>
      </c>
      <c r="E86" t="str">
        <f>Продажи_исходные!E86</f>
        <v>C0085</v>
      </c>
      <c r="F86" t="str">
        <f>Продажи_исходные!F86</f>
        <v>P040</v>
      </c>
      <c r="G86" t="str">
        <f>IFERROR(VLOOKUP(Продажи_исходные!G86,Справочники!$G$2:$H$50,2,FALSE),Продажи_исходные!G86)</f>
        <v>Завершен</v>
      </c>
      <c r="H86" s="4">
        <f>IFERROR(VLOOKUP(B86,Товары_очищенные!$A$1:$G$1000,6,FALSE),"нет в каталоге")</f>
        <v>77990</v>
      </c>
      <c r="I86" t="str">
        <f>IFERROR(VLOOKUP(B86,Товары_очищенные!$A$1:$G$1000,3,FALSE),"нет в каталоге")</f>
        <v>Телевизоры</v>
      </c>
      <c r="J86" t="str">
        <f t="shared" si="26"/>
        <v>OK</v>
      </c>
    </row>
    <row r="87">
      <c r="A87" s="8">
        <f>DATE(RIGHT(Продажи_исходные!A87,4),LEFT(Продажи_исходные!A87,2),MID(Продажи_исходные!A87,4,2))</f>
        <v>45714</v>
      </c>
      <c r="B87" t="str">
        <f>"АРТ-"&amp;LEFT(SUBSTITUTE(SUBSTITUTE(SUBSTITUTE(SUBSTITUTE(Продажи_исходные!B87,"№",""),"АРТ-",""),"АРТ_",""),"/","-"),3)</f>
        <v>АРТ-233</v>
      </c>
      <c r="C87" s="4">
        <f>IFERROR(VALUE(TRIM(SUBSTITUTE(SUBSTITUTE(SUBSTITUTE(SUBSTITUTE(Продажи_исходные!C87," шт.","")," шт",""),"шт.",""),"шт",""))),0)</f>
        <v>1</v>
      </c>
      <c r="D87" s="4">
        <f>IF(LEFT(Продажи_исходные!D87,1)="$",VALUE(MID(Продажи_исходные!D87,2,255))*95,IF(LEFT(Продажи_исходные!D87,1)="€",VALUE(MID(Продажи_исходные!D87,2,255))*100,VALUE(SUBSTITUTE(SUBSTITUTE(Продажи_исходные!D87,"₽","")," ",""))))</f>
        <v>12500</v>
      </c>
      <c r="E87" t="str">
        <f>Продажи_исходные!E87</f>
        <v>C0086</v>
      </c>
      <c r="F87" t="str">
        <f>Продажи_исходные!F87</f>
        <v>P003</v>
      </c>
      <c r="G87" t="str">
        <f>IFERROR(VLOOKUP(Продажи_исходные!G87,Справочники!$G$2:$H$50,2,FALSE),Продажи_исходные!G87)</f>
        <v>Отменен</v>
      </c>
      <c r="H87" s="4">
        <f>IFERROR(VLOOKUP(B87,Товары_очищенные!$A$1:$G$1000,6,FALSE),"нет в каталоге")</f>
        <v>41500</v>
      </c>
      <c r="I87" t="str">
        <f>IFERROR(VLOOKUP(B87,Товары_очищенные!$A$1:$G$1000,3,FALSE),"нет в каталоге")</f>
        <v>Смартфоны</v>
      </c>
      <c r="J87" t="str">
        <f t="shared" si="26"/>
        <v>OK</v>
      </c>
    </row>
    <row r="88">
      <c r="A88" s="8">
        <f>DATE(RIGHT(Продажи_исходные!A88,4),LEFT(Продажи_исходные!A88,2),MID(Продажи_исходные!A88,4,2))</f>
        <v>45715</v>
      </c>
      <c r="B88" t="str">
        <f>"АРТ-"&amp;LEFT(SUBSTITUTE(SUBSTITUTE(SUBSTITUTE(SUBSTITUTE(Продажи_исходные!B88,"№",""),"АРТ-",""),"АРТ_",""),"/","-"),3)</f>
        <v>АРТ-271</v>
      </c>
      <c r="C88" s="4">
        <f>IFERROR(VALUE(TRIM(SUBSTITUTE(SUBSTITUTE(SUBSTITUTE(SUBSTITUTE(Продажи_исходные!C88," шт.","")," шт",""),"шт.",""),"шт",""))),0)</f>
        <v>3</v>
      </c>
      <c r="D88" s="4">
        <f>IF(LEFT(Продажи_исходные!D88,1)="$",VALUE(MID(Продажи_исходные!D88,2,255))*95,IF(LEFT(Продажи_исходные!D88,1)="€",VALUE(MID(Продажи_исходные!D88,2,255))*100,VALUE(SUBSTITUTE(SUBSTITUTE(Продажи_исходные!D88,"₽","")," ",""))))</f>
        <v>11000</v>
      </c>
      <c r="E88" t="str">
        <f>Продажи_исходные!E88</f>
        <v>C0087</v>
      </c>
      <c r="F88" t="str">
        <f>Продажи_исходные!F88</f>
        <v>P025</v>
      </c>
      <c r="G88" t="str">
        <f>IFERROR(VLOOKUP(Продажи_исходные!G88,Справочники!$G$2:$H$50,2,FALSE),Продажи_исходные!G88)</f>
        <v>Отменен</v>
      </c>
      <c r="H88" s="4">
        <f>IFERROR(VLOOKUP(B88,Товары_очищенные!$A$1:$G$1000,6,FALSE),"нет в каталоге")</f>
        <v>44990</v>
      </c>
      <c r="I88" t="str">
        <f>IFERROR(VLOOKUP(B88,Товары_очищенные!$A$1:$G$1000,3,FALSE),"нет в каталоге")</f>
        <v>Смартфоны</v>
      </c>
      <c r="J88" t="str">
        <f t="shared" si="26"/>
        <v>OK</v>
      </c>
    </row>
    <row r="89">
      <c r="A89" s="8">
        <f>DATE(RIGHT(Продажи_исходные!A89,4),LEFT(Продажи_исходные!A89,2),MID(Продажи_исходные!A89,4,2))</f>
        <v>45715</v>
      </c>
      <c r="B89" t="str">
        <f>"АРТ-"&amp;LEFT(SUBSTITUTE(SUBSTITUTE(SUBSTITUTE(SUBSTITUTE(Продажи_исходные!B89,"№",""),"АРТ-",""),"АРТ_",""),"/","-"),3)</f>
        <v>АРТ-016</v>
      </c>
      <c r="C89" s="4">
        <f>IFERROR(VALUE(TRIM(SUBSTITUTE(SUBSTITUTE(SUBSTITUTE(SUBSTITUTE(Продажи_исходные!C89," шт.","")," шт",""),"шт.",""),"шт",""))),0)</f>
        <v>-2</v>
      </c>
      <c r="D89" s="4">
        <f>IF(LEFT(Продажи_исходные!D89,1)="$",VALUE(MID(Продажи_исходные!D89,2,255))*95,IF(LEFT(Продажи_исходные!D89,1)="€",VALUE(MID(Продажи_исходные!D89,2,255))*100,VALUE(SUBSTITUTE(SUBSTITUTE(Продажи_исходные!D89,"₽","")," ",""))))</f>
        <v>8550</v>
      </c>
      <c r="E89" t="str">
        <f>Продажи_исходные!E89</f>
        <v>C0088</v>
      </c>
      <c r="F89" t="str">
        <f>Продажи_исходные!F89</f>
        <v>P010</v>
      </c>
      <c r="G89" t="str">
        <f>IFERROR(VLOOKUP(Продажи_исходные!G89,Справочники!$G$2:$H$50,2,FALSE),Продажи_исходные!G89)</f>
        <v>Возврат</v>
      </c>
      <c r="H89" s="4">
        <f>IFERROR(VLOOKUP(B89,Товары_очищенные!$A$1:$G$1000,6,FALSE),"нет в каталоге")</f>
        <v>29990</v>
      </c>
      <c r="I89" t="str">
        <f>IFERROR(VLOOKUP(B89,Товары_очищенные!$A$1:$G$1000,3,FALSE),"нет в каталоге")</f>
        <v>Наушники</v>
      </c>
      <c r="J89" t="str">
        <f t="shared" si="26"/>
        <v>OK</v>
      </c>
    </row>
    <row r="90">
      <c r="A90" s="8">
        <f>DATE(RIGHT(Продажи_исходные!A90,4),LEFT(Продажи_исходные!A90,2),MID(Продажи_исходные!A90,4,2))</f>
        <v>45716</v>
      </c>
      <c r="B90" t="str">
        <f>"АРТ-"&amp;LEFT(SUBSTITUTE(SUBSTITUTE(SUBSTITUTE(SUBSTITUTE(Продажи_исходные!B90,"№",""),"АРТ-",""),"АРТ_",""),"/","-"),3)</f>
        <v>АРТ-369</v>
      </c>
      <c r="C90" s="4">
        <f>IFERROR(VALUE(TRIM(SUBSTITUTE(SUBSTITUTE(SUBSTITUTE(SUBSTITUTE(Продажи_исходные!C90," шт.","")," шт",""),"шт.",""),"шт",""))),0)</f>
        <v>2</v>
      </c>
      <c r="D90" s="4">
        <f>IF(LEFT(Продажи_исходные!D90,1)="$",VALUE(MID(Продажи_исходные!D90,2,255))*95,IF(LEFT(Продажи_исходные!D90,1)="€",VALUE(MID(Продажи_исходные!D90,2,255))*100,VALUE(SUBSTITUTE(SUBSTITUTE(Продажи_исходные!D90,"₽","")," ",""))))</f>
        <v>7000</v>
      </c>
      <c r="E90" t="str">
        <f>Продажи_исходные!E90</f>
        <v>C0089</v>
      </c>
      <c r="F90" t="str">
        <f>Продажи_исходные!F90</f>
        <v>P033</v>
      </c>
      <c r="G90" t="str">
        <f>IFERROR(VLOOKUP(Продажи_исходные!G90,Справочники!$G$2:$H$50,2,FALSE),Продажи_исходные!G90)</f>
        <v>Завершен</v>
      </c>
      <c r="H90" s="4">
        <f>IFERROR(VLOOKUP(B90,Товары_очищенные!$A$1:$G$1000,6,FALSE),"нет в каталоге")</f>
        <v>20800</v>
      </c>
      <c r="I90" t="str">
        <f>IFERROR(VLOOKUP(B90,Товары_очищенные!$A$1:$G$1000,3,FALSE),"нет в каталоге")</f>
        <v>Наушники</v>
      </c>
      <c r="J90" t="str">
        <f t="shared" si="26"/>
        <v>OK</v>
      </c>
    </row>
    <row r="91">
      <c r="A91" s="8">
        <f>DATE(RIGHT(Продажи_исходные!A91,4),LEFT(Продажи_исходные!A91,2),MID(Продажи_исходные!A91,4,2))</f>
        <v>45716</v>
      </c>
      <c r="B91" t="str">
        <f>"АРТ-"&amp;LEFT(SUBSTITUTE(SUBSTITUTE(SUBSTITUTE(SUBSTITUTE(Продажи_исходные!B91,"№",""),"АРТ-",""),"АРТ_",""),"/","-"),3)</f>
        <v>АРТ-104</v>
      </c>
      <c r="C91" s="4">
        <f>IFERROR(VALUE(TRIM(SUBSTITUTE(SUBSTITUTE(SUBSTITUTE(SUBSTITUTE(Продажи_исходные!C91," шт.","")," шт",""),"шт.",""),"шт",""))),0)</f>
        <v>1</v>
      </c>
      <c r="D91" s="4">
        <f>IF(LEFT(Продажи_исходные!D91,1)="$",VALUE(MID(Продажи_исходные!D91,2,255))*95,IF(LEFT(Продажи_исходные!D91,1)="€",VALUE(MID(Продажи_исходные!D91,2,255))*100,VALUE(SUBSTITUTE(SUBSTITUTE(Продажи_исходные!D91,"₽","")," ",""))))</f>
        <v>6500</v>
      </c>
      <c r="E91" t="str">
        <f>Продажи_исходные!E91</f>
        <v>C0090</v>
      </c>
      <c r="F91" t="str">
        <f>Продажи_исходные!F91</f>
        <v>P047</v>
      </c>
      <c r="G91" t="str">
        <f>IFERROR(VLOOKUP(Продажи_исходные!G91,Справочники!$G$2:$H$50,2,FALSE),Продажи_исходные!G91)</f>
        <v>Завершен</v>
      </c>
      <c r="H91" s="4">
        <f>IFERROR(VLOOKUP(B91,Товары_очищенные!$A$1:$G$1000,6,FALSE),"нет в каталоге")</f>
        <v>147000</v>
      </c>
      <c r="I91" t="str">
        <f>IFERROR(VLOOKUP(B91,Товары_очищенные!$A$1:$G$1000,3,FALSE),"нет в каталоге")</f>
        <v>Ноутбуки</v>
      </c>
      <c r="J91" t="str">
        <f t="shared" si="26"/>
        <v>OK</v>
      </c>
    </row>
    <row r="92">
      <c r="A92" s="8">
        <f>DATE(RIGHT(Продажи_исходные!A92,4),LEFT(Продажи_исходные!A92,2),MID(Продажи_исходные!A92,4,2))</f>
        <v>45717</v>
      </c>
      <c r="B92" t="str">
        <f>"АРТ-"&amp;LEFT(SUBSTITUTE(SUBSTITUTE(SUBSTITUTE(SUBSTITUTE(Продажи_исходные!B92,"№",""),"АРТ-",""),"АРТ_",""),"/","-"),3)</f>
        <v>АРТ-452</v>
      </c>
      <c r="C92" s="4">
        <f>IFERROR(VALUE(TRIM(SUBSTITUTE(SUBSTITUTE(SUBSTITUTE(SUBSTITUTE(Продажи_исходные!C92," шт.","")," шт",""),"шт.",""),"шт",""))),0)</f>
        <v>3</v>
      </c>
      <c r="D92" s="4">
        <f>IF(LEFT(Продажи_исходные!D92,1)="$",VALUE(MID(Продажи_исходные!D92,2,255))*95,IF(LEFT(Продажи_исходные!D92,1)="€",VALUE(MID(Продажи_исходные!D92,2,255))*100,VALUE(SUBSTITUTE(SUBSTITUTE(Продажи_исходные!D92,"₽","")," ",""))))</f>
        <v>9975</v>
      </c>
      <c r="E92" t="str">
        <f>Продажи_исходные!E92</f>
        <v>C0091</v>
      </c>
      <c r="F92" t="str">
        <f>Продажи_исходные!F92</f>
        <v>P020</v>
      </c>
      <c r="G92" t="str">
        <f>IFERROR(VLOOKUP(Продажи_исходные!G92,Справочники!$G$2:$H$50,2,FALSE),Продажи_исходные!G92)</f>
        <v>Завершен</v>
      </c>
      <c r="H92" s="4">
        <f>IFERROR(VLOOKUP(B92,Товары_очищенные!$A$1:$G$1000,6,FALSE),"нет в каталоге")</f>
        <v>38500</v>
      </c>
      <c r="I92" t="str">
        <f>IFERROR(VLOOKUP(B92,Товары_очищенные!$A$1:$G$1000,3,FALSE),"нет в каталоге")</f>
        <v>Наушники</v>
      </c>
      <c r="J92" t="str">
        <f t="shared" si="26"/>
        <v>OK</v>
      </c>
    </row>
    <row r="93">
      <c r="A93" s="8">
        <f>DATE(RIGHT(Продажи_исходные!A93,4),LEFT(Продажи_исходные!A93,2),MID(Продажи_исходные!A93,4,2))</f>
        <v>45717</v>
      </c>
      <c r="B93" t="str">
        <f>"АРТ-"&amp;LEFT(SUBSTITUTE(SUBSTITUTE(SUBSTITUTE(SUBSTITUTE(Продажи_исходные!B93,"№",""),"АРТ-",""),"АРТ_",""),"/","-"),3)</f>
        <v>АРТ-065</v>
      </c>
      <c r="C93" s="4">
        <f>IFERROR(VALUE(TRIM(SUBSTITUTE(SUBSTITUTE(SUBSTITUTE(SUBSTITUTE(Продажи_исходные!C93," шт.","")," шт",""),"шт.",""),"шт",""))),0)</f>
        <v>2</v>
      </c>
      <c r="D93" s="4">
        <f>IF(LEFT(Продажи_исходные!D93,1)="$",VALUE(MID(Продажи_исходные!D93,2,255))*95,IF(LEFT(Продажи_исходные!D93,1)="€",VALUE(MID(Продажи_исходные!D93,2,255))*100,VALUE(SUBSTITUTE(SUBSTITUTE(Продажи_исходные!D93,"₽","")," ",""))))</f>
        <v>8500</v>
      </c>
      <c r="E93" t="str">
        <f>Продажи_исходные!E93</f>
        <v>C0092</v>
      </c>
      <c r="F93" t="str">
        <f>Продажи_исходные!F93</f>
        <v>P002</v>
      </c>
      <c r="G93" t="str">
        <f>IFERROR(VLOOKUP(Продажи_исходные!G93,Справочники!$G$2:$H$50,2,FALSE),Продажи_исходные!G93)</f>
        <v>Отменен</v>
      </c>
      <c r="H93" s="4">
        <f>IFERROR(VLOOKUP(B93,Товары_очищенные!$A$1:$G$1000,6,FALSE),"нет в каталоге")</f>
        <v>55500</v>
      </c>
      <c r="I93" t="str">
        <f>IFERROR(VLOOKUP(B93,Товары_очищенные!$A$1:$G$1000,3,FALSE),"нет в каталоге")</f>
        <v>Смартфоны</v>
      </c>
      <c r="J93" t="str">
        <f t="shared" si="26"/>
        <v>OK</v>
      </c>
    </row>
    <row r="94">
      <c r="A94" s="8">
        <f>DATE(RIGHT(Продажи_исходные!A94,4),LEFT(Продажи_исходные!A94,2),MID(Продажи_исходные!A94,4,2))</f>
        <v>45718</v>
      </c>
      <c r="B94" t="str">
        <f>"АРТ-"&amp;LEFT(SUBSTITUTE(SUBSTITUTE(SUBSTITUTE(SUBSTITUTE(Продажи_исходные!B94,"№",""),"АРТ-",""),"АРТ_",""),"/","-"),3)</f>
        <v>АРТ-336</v>
      </c>
      <c r="C94" s="4">
        <f>IFERROR(VALUE(TRIM(SUBSTITUTE(SUBSTITUTE(SUBSTITUTE(SUBSTITUTE(Продажи_исходные!C94," шт.","")," шт",""),"шт.",""),"шт",""))),0)</f>
        <v>1</v>
      </c>
      <c r="D94" s="4">
        <f>IF(LEFT(Продажи_исходные!D94,1)="$",VALUE(MID(Продажи_исходные!D94,2,255))*95,IF(LEFT(Продажи_исходные!D94,1)="€",VALUE(MID(Продажи_исходные!D94,2,255))*100,VALUE(SUBSTITUTE(SUBSTITUTE(Продажи_исходные!D94,"₽","")," ",""))))</f>
        <v>7800</v>
      </c>
      <c r="E94" t="str">
        <f>Продажи_исходные!E94</f>
        <v>C0093</v>
      </c>
      <c r="F94" t="str">
        <f>Продажи_исходные!F94</f>
        <v>P038</v>
      </c>
      <c r="G94" t="str">
        <f>IFERROR(VLOOKUP(Продажи_исходные!G94,Справочники!$G$2:$H$50,2,FALSE),Продажи_исходные!G94)</f>
        <v>Отменен</v>
      </c>
      <c r="H94" s="4">
        <f>IFERROR(VLOOKUP(B94,Товары_очищенные!$A$1:$G$1000,6,FALSE),"нет в каталоге")</f>
        <v>50500</v>
      </c>
      <c r="I94" t="str">
        <f>IFERROR(VLOOKUP(B94,Товары_очищенные!$A$1:$G$1000,3,FALSE),"нет в каталоге")</f>
        <v>Планшеты</v>
      </c>
      <c r="J94" t="str">
        <f t="shared" si="26"/>
        <v>OK</v>
      </c>
    </row>
    <row r="95">
      <c r="A95" s="8">
        <f>DATE(RIGHT(Продажи_исходные!A95,4),LEFT(Продажи_исходные!A95,2),MID(Продажи_исходные!A95,4,2))</f>
        <v>45718</v>
      </c>
      <c r="B95" t="str">
        <f>"АРТ-"&amp;LEFT(SUBSTITUTE(SUBSTITUTE(SUBSTITUTE(SUBSTITUTE(Продажи_исходные!B95,"№",""),"АРТ-",""),"АРТ_",""),"/","-"),3)</f>
        <v>АРТ-211</v>
      </c>
      <c r="C95" s="4">
        <f>IFERROR(VALUE(TRIM(SUBSTITUTE(SUBSTITUTE(SUBSTITUTE(SUBSTITUTE(Продажи_исходные!C95," шт.","")," шт",""),"шт.",""),"шт",""))),0)</f>
        <v>-3</v>
      </c>
      <c r="D95" s="4">
        <f>IF(LEFT(Продажи_исходные!D95,1)="$",VALUE(MID(Продажи_исходные!D95,2,255))*95,IF(LEFT(Продажи_исходные!D95,1)="€",VALUE(MID(Продажи_исходные!D95,2,255))*100,VALUE(SUBSTITUTE(SUBSTITUTE(Продажи_исходные!D95,"₽","")," ",""))))</f>
        <v>11400</v>
      </c>
      <c r="E95" t="str">
        <f>Продажи_исходные!E95</f>
        <v>C0094</v>
      </c>
      <c r="F95" t="str">
        <f>Продажи_исходные!F95</f>
        <v>P016</v>
      </c>
      <c r="G95" t="str">
        <f>IFERROR(VLOOKUP(Продажи_исходные!G95,Справочники!$G$2:$H$50,2,FALSE),Продажи_исходные!G95)</f>
        <v>Завершен</v>
      </c>
      <c r="H95" s="4">
        <f>IFERROR(VLOOKUP(B95,Товары_очищенные!$A$1:$G$1000,6,FALSE),"нет в каталоге")</f>
        <v>59990</v>
      </c>
      <c r="I95" t="str">
        <f>IFERROR(VLOOKUP(B95,Товары_очищенные!$A$1:$G$1000,3,FALSE),"нет в каталоге")</f>
        <v>Смартфоны</v>
      </c>
      <c r="J95" t="str">
        <f t="shared" si="26"/>
        <v>OK</v>
      </c>
    </row>
    <row r="96">
      <c r="A96" s="8">
        <f>DATE(RIGHT(Продажи_исходные!A96,4),LEFT(Продажи_исходные!A96,2),MID(Продажи_исходные!A96,4,2))</f>
        <v>45719</v>
      </c>
      <c r="B96" t="str">
        <f>"АРТ-"&amp;LEFT(SUBSTITUTE(SUBSTITUTE(SUBSTITUTE(SUBSTITUTE(Продажи_исходные!B96,"№",""),"АРТ-",""),"АРТ_",""),"/","-"),3)</f>
        <v>АРТ-490</v>
      </c>
      <c r="C96" s="4">
        <f>IFERROR(VALUE(TRIM(SUBSTITUTE(SUBSTITUTE(SUBSTITUTE(SUBSTITUTE(Продажи_исходные!C96," шт.","")," шт",""),"шт.",""),"шт",""))),0)</f>
        <v>2</v>
      </c>
      <c r="D96" s="4">
        <f>IF(LEFT(Продажи_исходные!D96,1)="$",VALUE(MID(Продажи_исходные!D96,2,255))*95,IF(LEFT(Продажи_исходные!D96,1)="€",VALUE(MID(Продажи_исходные!D96,2,255))*100,VALUE(SUBSTITUTE(SUBSTITUTE(Продажи_исходные!D96,"₽","")," ",""))))</f>
        <v>10000</v>
      </c>
      <c r="E96" t="str">
        <f>Продажи_исходные!E96</f>
        <v>C0095</v>
      </c>
      <c r="F96" t="str">
        <f>Продажи_исходные!F96</f>
        <v>P029</v>
      </c>
      <c r="G96" t="str">
        <f>IFERROR(VLOOKUP(Продажи_исходные!G96,Справочники!$G$2:$H$50,2,FALSE),Продажи_исходные!G96)</f>
        <v>Возврат</v>
      </c>
      <c r="H96" s="4">
        <f>IFERROR(VLOOKUP(B96,Товары_очищенные!$A$1:$G$1000,6,FALSE),"нет в каталоге")</f>
        <v>61990</v>
      </c>
      <c r="I96" t="str">
        <f>IFERROR(VLOOKUP(B96,Товары_очищенные!$A$1:$G$1000,3,FALSE),"нет в каталоге")</f>
        <v>Телевизоры</v>
      </c>
      <c r="J96" t="str">
        <f t="shared" si="26"/>
        <v>OK</v>
      </c>
    </row>
    <row r="97">
      <c r="A97" s="8">
        <f>DATE(RIGHT(Продажи_исходные!A97,4),LEFT(Продажи_исходные!A97,2),MID(Продажи_исходные!A97,4,2))</f>
        <v>45719</v>
      </c>
      <c r="B97" t="str">
        <f>"АРТ-"&amp;LEFT(SUBSTITUTE(SUBSTITUTE(SUBSTITUTE(SUBSTITUTE(Продажи_исходные!B97,"№",""),"АРТ-",""),"АРТ_",""),"/","-"),3)</f>
        <v>АРТ-087</v>
      </c>
      <c r="C97" s="4">
        <f>IFERROR(VALUE(TRIM(SUBSTITUTE(SUBSTITUTE(SUBSTITUTE(SUBSTITUTE(Продажи_исходные!C97," шт.","")," шт",""),"шт.",""),"шт",""))),0)</f>
        <v>1</v>
      </c>
      <c r="D97" s="4">
        <f>IF(LEFT(Продажи_исходные!D97,1)="$",VALUE(MID(Продажи_исходные!D97,2,255))*95,IF(LEFT(Продажи_исходные!D97,1)="€",VALUE(MID(Продажи_исходные!D97,2,255))*100,VALUE(SUBSTITUTE(SUBSTITUTE(Продажи_исходные!D97,"₽","")," ",""))))</f>
        <v>8500</v>
      </c>
      <c r="E97" t="str">
        <f>Продажи_исходные!E97</f>
        <v>C0096</v>
      </c>
      <c r="F97" t="str">
        <f>Продажи_исходные!F97</f>
        <v>P035</v>
      </c>
      <c r="G97" t="str">
        <f>IFERROR(VLOOKUP(Продажи_исходные!G97,Справочники!$G$2:$H$50,2,FALSE),Продажи_исходные!G97)</f>
        <v>Завершен</v>
      </c>
      <c r="H97" s="4">
        <f>IFERROR(VLOOKUP(B97,Товары_очищенные!$A$1:$G$1000,6,FALSE),"нет в каталоге")</f>
        <v>112000</v>
      </c>
      <c r="I97" t="str">
        <f>IFERROR(VLOOKUP(B97,Товары_очищенные!$A$1:$G$1000,3,FALSE),"нет в каталоге")</f>
        <v>Ноутбуки</v>
      </c>
      <c r="J97" t="str">
        <f t="shared" si="26"/>
        <v>OK</v>
      </c>
    </row>
    <row r="98">
      <c r="A98" s="8">
        <f>DATE(RIGHT(Продажи_исходные!A98,4),LEFT(Продажи_исходные!A98,2),MID(Продажи_исходные!A98,4,2))</f>
        <v>45720</v>
      </c>
      <c r="B98" t="str">
        <f>"АРТ-"&amp;LEFT(SUBSTITUTE(SUBSTITUTE(SUBSTITUTE(SUBSTITUTE(Продажи_исходные!B98,"№",""),"АРТ-",""),"АРТ_",""),"/","-"),3)</f>
        <v>АРТ-073</v>
      </c>
      <c r="C98" s="4">
        <f>IFERROR(VALUE(TRIM(SUBSTITUTE(SUBSTITUTE(SUBSTITUTE(SUBSTITUTE(Продажи_исходные!C98," шт.","")," шт",""),"шт.",""),"шт",""))),0)</f>
        <v>3</v>
      </c>
      <c r="D98" s="4">
        <f>IF(LEFT(Продажи_исходные!D98,1)="$",VALUE(MID(Продажи_исходные!D98,2,255))*95,IF(LEFT(Продажи_исходные!D98,1)="€",VALUE(MID(Продажи_исходные!D98,2,255))*100,VALUE(SUBSTITUTE(SUBSTITUTE(Продажи_исходные!D98,"₽","")," ",""))))</f>
        <v>12350</v>
      </c>
      <c r="E98" t="str">
        <f>Продажи_исходные!E98</f>
        <v>C0097</v>
      </c>
      <c r="F98" t="str">
        <f>Продажи_исходные!F98</f>
        <v>P046</v>
      </c>
      <c r="G98" t="str">
        <f>IFERROR(VLOOKUP(Продажи_исходные!G98,Справочники!$G$2:$H$50,2,FALSE),Продажи_исходные!G98)</f>
        <v>Завершен</v>
      </c>
      <c r="H98" s="4">
        <f>IFERROR(VLOOKUP(B98,Товары_очищенные!$A$1:$G$1000,6,FALSE),"нет в каталоге")</f>
        <v>79900</v>
      </c>
      <c r="I98" t="str">
        <f>IFERROR(VLOOKUP(B98,Товары_очищенные!$A$1:$G$1000,3,FALSE),"нет в каталоге")</f>
        <v>Мониторы</v>
      </c>
      <c r="J98" t="str">
        <f t="shared" si="26"/>
        <v>OK</v>
      </c>
    </row>
    <row r="99">
      <c r="A99" s="8">
        <f>DATE(RIGHT(Продажи_исходные!A99,4),LEFT(Продажи_исходные!A99,2),MID(Продажи_исходные!A99,4,2))</f>
        <v>45720</v>
      </c>
      <c r="B99" t="str">
        <f>"АРТ-"&amp;LEFT(SUBSTITUTE(SUBSTITUTE(SUBSTITUTE(SUBSTITUTE(Продажи_исходные!B99,"№",""),"АРТ-",""),"АРТ_",""),"/","-"),3)</f>
        <v>АРТ-141</v>
      </c>
      <c r="C99" s="4">
        <f>IFERROR(VALUE(TRIM(SUBSTITUTE(SUBSTITUTE(SUBSTITUTE(SUBSTITUTE(Продажи_исходные!C99," шт.","")," шт",""),"шт.",""),"шт",""))),0)</f>
        <v>2</v>
      </c>
      <c r="D99" s="4">
        <f>IF(LEFT(Продажи_исходные!D99,1)="$",VALUE(MID(Продажи_исходные!D99,2,255))*95,IF(LEFT(Продажи_исходные!D99,1)="€",VALUE(MID(Продажи_исходные!D99,2,255))*100,VALUE(SUBSTITUTE(SUBSTITUTE(Продажи_исходные!D99,"₽","")," ",""))))</f>
        <v>11000</v>
      </c>
      <c r="E99" t="str">
        <f>Продажи_исходные!E99</f>
        <v>C0098</v>
      </c>
      <c r="F99" t="str">
        <f>Продажи_исходные!F99</f>
        <v>P022</v>
      </c>
      <c r="G99" t="str">
        <f>IFERROR(VLOOKUP(Продажи_исходные!G99,Справочники!$G$2:$H$50,2,FALSE),Продажи_исходные!G99)</f>
        <v>Завершен</v>
      </c>
      <c r="H99" s="4">
        <f>IFERROR(VLOOKUP(B99,Товары_очищенные!$A$1:$G$1000,6,FALSE),"нет в каталоге")</f>
        <v>92500</v>
      </c>
      <c r="I99" t="str">
        <f>IFERROR(VLOOKUP(B99,Товары_очищенные!$A$1:$G$1000,3,FALSE),"нет в каталоге")</f>
        <v>Мониторы</v>
      </c>
      <c r="J99" t="str">
        <f t="shared" si="26"/>
        <v>OK</v>
      </c>
    </row>
    <row r="100">
      <c r="A100" s="8">
        <f>DATE(RIGHT('Продажи_исходные'!A100,4),LEFT('Продажи_исходные'!A100,2),MID('Продажи_исходные'!A100,4,2))</f>
        <v>45721</v>
      </c>
      <c r="B100" t="str">
        <f>"АРТ-"&amp;LEFT(SUBSTITUTE(SUBSTITUTE(SUBSTITUTE(SUBSTITUTE('Продажи_исходные'!B100,"№",""),"АРТ-",""),"АРТ_",""),"/","-"),3)</f>
        <v>АРТ-226</v>
      </c>
      <c r="C100" s="4">
        <f>IFERROR(VALUE(TRIM(SUBSTITUTE(SUBSTITUTE(SUBSTITUTE(SUBSTITUTE('Продажи_исходные'!C100," шт.","")," шт",""),"шт.",""),"шт",""))),0)</f>
        <v>1</v>
      </c>
      <c r="D100" s="4">
        <f>IF(LEFT('Продажи_исходные'!D100,1)="$",VALUE(MID('Продажи_исходные'!D100,2,255))*95,IF(LEFT('Продажи_исходные'!D100,1)="€",VALUE(MID('Продажи_исходные'!D100,2,255))*100,VALUE(SUBSTITUTE(SUBSTITUTE('Продажи_исходные'!D100,"₽","")," ",""))))</f>
        <v>9200</v>
      </c>
      <c r="E100" t="str">
        <f>'Продажи_исходные'!E100</f>
        <v>C0099</v>
      </c>
      <c r="F100" t="str">
        <f>'Продажи_исходные'!F100</f>
        <v>P043</v>
      </c>
      <c r="G100" t="str">
        <f>IFERROR(VLOOKUP('Продажи_исходные'!G100,Справочники!$G$2:$H$50,2,FALSE),'Продажи_исходные'!G100)</f>
        <v>Отменен</v>
      </c>
      <c r="H100" s="4">
        <f>IFERROR(VLOOKUP(B100,'Товары_очищенные'!$A$1:$G$1000,6,FALSE),"нет в каталоге")</f>
        <v>5990</v>
      </c>
      <c r="I100" t="str">
        <f>IFERROR(VLOOKUP(B100,'Товары_очищенные'!$A$1:$G$1000,3,FALSE),"нет в каталоге")</f>
        <v>Аксессуары</v>
      </c>
      <c r="J100" t="str">
        <f t="shared" ref="J100:J163" si="27">IF(D100&gt;0,"OK","Некорректная цена")</f>
        <v>OK</v>
      </c>
    </row>
    <row r="101">
      <c r="A101" s="8">
        <f>DATE(RIGHT(Продажи_исходные!A101,4),LEFT(Продажи_исходные!A101,2),MID(Продажи_исходные!A101,4,2))</f>
        <v>45721</v>
      </c>
      <c r="B101" t="str">
        <f>"АРТ-"&amp;LEFT(SUBSTITUTE(SUBSTITUTE(SUBSTITUTE(SUBSTITUTE(Продажи_исходные!B101,"№",""),"АРТ-",""),"АРТ_",""),"/","-"),3)</f>
        <v>АРТ-322</v>
      </c>
      <c r="C101" s="4">
        <f>IFERROR(VALUE(TRIM(SUBSTITUTE(SUBSTITUTE(SUBSTITUTE(SUBSTITUTE(Продажи_исходные!C101," шт.","")," шт",""),"шт.",""),"шт",""))),0)</f>
        <v>-1</v>
      </c>
      <c r="D101" s="4">
        <f>IF(LEFT(Продажи_исходные!D101,1)="$",VALUE(MID(Продажи_исходные!D101,2,255))*95,IF(LEFT(Продажи_исходные!D101,1)="€",VALUE(MID(Продажи_исходные!D101,2,255))*100,VALUE(SUBSTITUTE(SUBSTITUTE(Продажи_исходные!D101,"₽","")," ",""))))</f>
        <v>8075</v>
      </c>
      <c r="E101" t="str">
        <f>Продажи_исходные!E101</f>
        <v>C0100</v>
      </c>
      <c r="F101" t="str">
        <f>Продажи_исходные!F101</f>
        <v>P030</v>
      </c>
      <c r="G101" t="str">
        <f>IFERROR(VLOOKUP(Продажи_исходные!G101,Справочники!$G$2:$H$50,2,FALSE),Продажи_исходные!G101)</f>
        <v>Отменен</v>
      </c>
      <c r="H101" s="4">
        <f>IFERROR(VLOOKUP(B101,Товары_очищенные!$A$1:$G$1000,6,FALSE),"нет в каталоге")</f>
        <v>12990</v>
      </c>
      <c r="I101" t="str">
        <f>IFERROR(VLOOKUP(B101,Товары_очищенные!$A$1:$G$1000,3,FALSE),"нет в каталоге")</f>
        <v>Наушники</v>
      </c>
      <c r="J101" t="str">
        <f t="shared" si="27"/>
        <v>OK</v>
      </c>
    </row>
    <row r="102">
      <c r="A102" s="8">
        <f>DATE(RIGHT(Продажи_исходные!A102,4),LEFT(Продажи_исходные!A102,2),MID(Продажи_исходные!A102,4,2))</f>
        <v>45722</v>
      </c>
      <c r="B102" t="str">
        <f>"АРТ-"&amp;LEFT(SUBSTITUTE(SUBSTITUTE(SUBSTITUTE(SUBSTITUTE(Продажи_исходные!B102,"№",""),"АРТ-",""),"АРТ_",""),"/","-"),3)</f>
        <v>АРТ-273</v>
      </c>
      <c r="C102" s="4">
        <f>IFERROR(VALUE(TRIM(SUBSTITUTE(SUBSTITUTE(SUBSTITUTE(SUBSTITUTE(Продажи_исходные!C102," шт.","")," шт",""),"шт.",""),"шт",""))),0)</f>
        <v>3</v>
      </c>
      <c r="D102" s="4">
        <f>IF(LEFT(Продажи_исходные!D102,1)="$",VALUE(MID(Продажи_исходные!D102,2,255))*95,IF(LEFT(Продажи_исходные!D102,1)="€",VALUE(MID(Продажи_исходные!D102,2,255))*100,VALUE(SUBSTITUTE(SUBSTITUTE(Продажи_исходные!D102,"₽","")," ",""))))</f>
        <v>6500</v>
      </c>
      <c r="E102" t="str">
        <f>Продажи_исходные!E102</f>
        <v>C0101</v>
      </c>
      <c r="F102" t="str">
        <f>Продажи_исходные!F102</f>
        <v>P012</v>
      </c>
      <c r="G102" t="str">
        <f>IFERROR(VLOOKUP(Продажи_исходные!G102,Справочники!$G$2:$H$50,2,FALSE),Продажи_исходные!G102)</f>
        <v>Возврат</v>
      </c>
      <c r="H102" s="4">
        <f>IFERROR(VLOOKUP(B102,Товары_очищенные!$A$1:$G$1000,6,FALSE),"нет в каталоге")</f>
        <v>46500</v>
      </c>
      <c r="I102" t="str">
        <f>IFERROR(VLOOKUP(B102,Товары_очищенные!$A$1:$G$1000,3,FALSE),"нет в каталоге")</f>
        <v>Смартфоны</v>
      </c>
      <c r="J102" t="str">
        <f t="shared" si="27"/>
        <v>OK</v>
      </c>
    </row>
    <row r="103">
      <c r="A103" s="8">
        <f>DATE(RIGHT(Продажи_исходные!A103,4),LEFT(Продажи_исходные!A103,2),MID(Продажи_исходные!A103,4,2))</f>
        <v>45722</v>
      </c>
      <c r="B103" t="str">
        <f>"АРТ-"&amp;LEFT(SUBSTITUTE(SUBSTITUTE(SUBSTITUTE(SUBSTITUTE(Продажи_исходные!B103,"№",""),"АРТ-",""),"АРТ_",""),"/","-"),3)</f>
        <v>АРТ-184</v>
      </c>
      <c r="C103" s="4">
        <f>IFERROR(VALUE(TRIM(SUBSTITUTE(SUBSTITUTE(SUBSTITUTE(SUBSTITUTE(Продажи_исходные!C103," шт.","")," шт",""),"шт.",""),"шт",""))),0)</f>
        <v>2</v>
      </c>
      <c r="D103" s="4">
        <f>IF(LEFT(Продажи_исходные!D103,1)="$",VALUE(MID(Продажи_исходные!D103,2,255))*95,IF(LEFT(Продажи_исходные!D103,1)="€",VALUE(MID(Продажи_исходные!D103,2,255))*100,VALUE(SUBSTITUTE(SUBSTITUTE(Продажи_исходные!D103,"₽","")," ",""))))</f>
        <v>6500</v>
      </c>
      <c r="E103" t="str">
        <f>Продажи_исходные!E103</f>
        <v>C0102</v>
      </c>
      <c r="F103" t="str">
        <f>Продажи_исходные!F103</f>
        <v>P007</v>
      </c>
      <c r="G103" t="str">
        <f>IFERROR(VLOOKUP(Продажи_исходные!G103,Справочники!$G$2:$H$50,2,FALSE),Продажи_исходные!G103)</f>
        <v>Завершен</v>
      </c>
      <c r="H103" s="4">
        <f>IFERROR(VLOOKUP(B103,Товары_очищенные!$A$1:$G$1000,6,FALSE),"нет в каталоге")</f>
        <v>19990</v>
      </c>
      <c r="I103" t="str">
        <f>IFERROR(VLOOKUP(B103,Товары_очищенные!$A$1:$G$1000,3,FALSE),"нет в каталоге")</f>
        <v>Аксессуары</v>
      </c>
      <c r="J103" t="str">
        <f t="shared" si="27"/>
        <v>OK</v>
      </c>
    </row>
    <row r="104">
      <c r="A104" s="8">
        <f>DATE(RIGHT(Продажи_исходные!A104,4),LEFT(Продажи_исходные!A104,2),MID(Продажи_исходные!A104,4,2))</f>
        <v>45723</v>
      </c>
      <c r="B104" t="str">
        <f>"АРТ-"&amp;LEFT(SUBSTITUTE(SUBSTITUTE(SUBSTITUTE(SUBSTITUTE(Продажи_исходные!B104,"№",""),"АРТ-",""),"АРТ_",""),"/","-"),3)</f>
        <v>АРТ-065</v>
      </c>
      <c r="C104" s="4">
        <f>IFERROR(VALUE(TRIM(SUBSTITUTE(SUBSTITUTE(SUBSTITUTE(SUBSTITUTE(Продажи_исходные!C104," шт.","")," шт",""),"шт.",""),"шт",""))),0)</f>
        <v>1</v>
      </c>
      <c r="D104" s="4">
        <f>IF(LEFT(Продажи_исходные!D104,1)="$",VALUE(MID(Продажи_исходные!D104,2,255))*95,IF(LEFT(Продажи_исходные!D104,1)="€",VALUE(MID(Продажи_исходные!D104,2,255))*100,VALUE(SUBSTITUTE(SUBSTITUTE(Продажи_исходные!D104,"₽","")," ",""))))</f>
        <v>9975</v>
      </c>
      <c r="E104" t="str">
        <f>Продажи_исходные!E104</f>
        <v>C0103</v>
      </c>
      <c r="F104" t="str">
        <f>Продажи_исходные!F104</f>
        <v>P023</v>
      </c>
      <c r="G104" t="str">
        <f>IFERROR(VLOOKUP(Продажи_исходные!G104,Справочники!$G$2:$H$50,2,FALSE),Продажи_исходные!G104)</f>
        <v>Завершен</v>
      </c>
      <c r="H104" s="4">
        <f>IFERROR(VLOOKUP(B104,Товары_очищенные!$A$1:$G$1000,6,FALSE),"нет в каталоге")</f>
        <v>55500</v>
      </c>
      <c r="I104" t="str">
        <f>IFERROR(VLOOKUP(B104,Товары_очищенные!$A$1:$G$1000,3,FALSE),"нет в каталоге")</f>
        <v>Смартфоны</v>
      </c>
      <c r="J104" t="str">
        <f t="shared" si="27"/>
        <v>OK</v>
      </c>
    </row>
    <row r="105">
      <c r="A105" s="8">
        <f>DATE(RIGHT(Продажи_исходные!A105,4),LEFT(Продажи_исходные!A105,2),MID(Продажи_исходные!A105,4,2))</f>
        <v>45723</v>
      </c>
      <c r="B105" t="str">
        <f>"АРТ-"&amp;LEFT(SUBSTITUTE(SUBSTITUTE(SUBSTITUTE(SUBSTITUTE(Продажи_исходные!B105,"№",""),"АРТ-",""),"АРТ_",""),"/","-"),3)</f>
        <v>АРТ-408</v>
      </c>
      <c r="C105" s="4">
        <f>IFERROR(VALUE(TRIM(SUBSTITUTE(SUBSTITUTE(SUBSTITUTE(SUBSTITUTE(Продажи_исходные!C105," шт.","")," шт",""),"шт.",""),"шт",""))),0)</f>
        <v>2</v>
      </c>
      <c r="D105" s="4">
        <f>IF(LEFT(Продажи_исходные!D105,1)="$",VALUE(MID(Продажи_исходные!D105,2,255))*95,IF(LEFT(Продажи_исходные!D105,1)="€",VALUE(MID(Продажи_исходные!D105,2,255))*100,VALUE(SUBSTITUTE(SUBSTITUTE(Продажи_исходные!D105,"₽","")," ",""))))</f>
        <v>8500</v>
      </c>
      <c r="E105" t="str">
        <f>Продажи_исходные!E105</f>
        <v>C0104</v>
      </c>
      <c r="F105" t="str">
        <f>Продажи_исходные!F105</f>
        <v>P045</v>
      </c>
      <c r="G105" t="str">
        <f>IFERROR(VLOOKUP(Продажи_исходные!G105,Справочники!$G$2:$H$50,2,FALSE),Продажи_исходные!G105)</f>
        <v>Завершен</v>
      </c>
      <c r="H105" s="4">
        <f>IFERROR(VLOOKUP(B105,Товары_очищенные!$A$1:$G$1000,6,FALSE),"нет в каталоге")</f>
        <v>107500</v>
      </c>
      <c r="I105" t="str">
        <f>IFERROR(VLOOKUP(B105,Товары_очищенные!$A$1:$G$1000,3,FALSE),"нет в каталоге")</f>
        <v>Телевизоры</v>
      </c>
      <c r="J105" t="str">
        <f t="shared" si="27"/>
        <v>OK</v>
      </c>
    </row>
    <row r="106">
      <c r="A106" s="8">
        <f>DATE(RIGHT(Продажи_исходные!A106,4),LEFT(Продажи_исходные!A106,2),MID(Продажи_исходные!A106,4,2))</f>
        <v>45724</v>
      </c>
      <c r="B106" t="str">
        <f>"АРТ-"&amp;LEFT(SUBSTITUTE(SUBSTITUTE(SUBSTITUTE(SUBSTITUTE(Продажи_исходные!B106,"№",""),"АРТ-",""),"АРТ_",""),"/","-"),3)</f>
        <v>АРТ-315</v>
      </c>
      <c r="C106" s="4">
        <f>IFERROR(VALUE(TRIM(SUBSTITUTE(SUBSTITUTE(SUBSTITUTE(SUBSTITUTE(Продажи_исходные!C106," шт.","")," шт",""),"шт.",""),"шт",""))),0)</f>
        <v>3</v>
      </c>
      <c r="D106" s="4">
        <f>IF(LEFT(Продажи_исходные!D106,1)="$",VALUE(MID(Продажи_исходные!D106,2,255))*95,IF(LEFT(Продажи_исходные!D106,1)="€",VALUE(MID(Продажи_исходные!D106,2,255))*100,VALUE(SUBSTITUTE(SUBSTITUTE(Продажи_исходные!D106,"₽","")," ",""))))</f>
        <v>8000</v>
      </c>
      <c r="E106" t="str">
        <f>Продажи_исходные!E106</f>
        <v>C0105</v>
      </c>
      <c r="F106" t="str">
        <f>Продажи_исходные!F106</f>
        <v>P008</v>
      </c>
      <c r="G106" t="str">
        <f>IFERROR(VLOOKUP(Продажи_исходные!G106,Справочники!$G$2:$H$50,2,FALSE),Продажи_исходные!G106)</f>
        <v>Отменен</v>
      </c>
      <c r="H106" s="4">
        <f>IFERROR(VLOOKUP(B106,Товары_очищенные!$A$1:$G$1000,6,FALSE),"нет в каталоге")</f>
        <v>72000</v>
      </c>
      <c r="I106" t="str">
        <f>IFERROR(VLOOKUP(B106,Товары_очищенные!$A$1:$G$1000,3,FALSE),"нет в каталоге")</f>
        <v>Смартфоны</v>
      </c>
      <c r="J106" t="str">
        <f t="shared" si="27"/>
        <v>OK</v>
      </c>
    </row>
    <row r="107">
      <c r="A107" s="8">
        <f>DATE(RIGHT(Продажи_исходные!A107,4),LEFT(Продажи_исходные!A107,2),MID(Продажи_исходные!A107,4,2))</f>
        <v>45724</v>
      </c>
      <c r="B107" t="str">
        <f>"АРТ-"&amp;LEFT(SUBSTITUTE(SUBSTITUTE(SUBSTITUTE(SUBSTITUTE(Продажи_исходные!B107,"№",""),"АРТ-",""),"АРТ_",""),"/","-"),3)</f>
        <v>АРТ-159</v>
      </c>
      <c r="C107" s="4">
        <f>IFERROR(VALUE(TRIM(SUBSTITUTE(SUBSTITUTE(SUBSTITUTE(SUBSTITUTE(Продажи_исходные!C107," шт.","")," шт",""),"шт.",""),"шт",""))),0)</f>
        <v>-2</v>
      </c>
      <c r="D107" s="4">
        <f>IF(LEFT(Продажи_исходные!D107,1)="$",VALUE(MID(Продажи_исходные!D107,2,255))*95,IF(LEFT(Продажи_исходные!D107,1)="€",VALUE(MID(Продажи_исходные!D107,2,255))*100,VALUE(SUBSTITUTE(SUBSTITUTE(Продажи_исходные!D107,"₽","")," ",""))))</f>
        <v>11400</v>
      </c>
      <c r="E107" t="str">
        <f>Продажи_исходные!E107</f>
        <v>C0106</v>
      </c>
      <c r="F107" t="str">
        <f>Продажи_исходные!F107</f>
        <v>P031</v>
      </c>
      <c r="G107" t="str">
        <f>IFERROR(VLOOKUP(Продажи_исходные!G107,Справочники!$G$2:$H$50,2,FALSE),Продажи_исходные!G107)</f>
        <v>Отменен</v>
      </c>
      <c r="H107" s="4">
        <f>IFERROR(VLOOKUP(B107,Товары_очищенные!$A$1:$G$1000,6,FALSE),"нет в каталоге")</f>
        <v>95500</v>
      </c>
      <c r="I107" t="str">
        <f>IFERROR(VLOOKUP(B107,Товары_очищенные!$A$1:$G$1000,3,FALSE),"нет в каталоге")</f>
        <v>Мониторы</v>
      </c>
      <c r="J107" t="str">
        <f t="shared" si="27"/>
        <v>OK</v>
      </c>
    </row>
    <row r="108">
      <c r="A108" s="8">
        <f>DATE(RIGHT(Продажи_исходные!A108,4),LEFT(Продажи_исходные!A108,2),MID(Продажи_исходные!A108,4,2))</f>
        <v>45725</v>
      </c>
      <c r="B108" t="str">
        <f>"АРТ-"&amp;LEFT(SUBSTITUTE(SUBSTITUTE(SUBSTITUTE(SUBSTITUTE(Продажи_исходные!B108,"№",""),"АРТ-",""),"АРТ_",""),"/","-"),3)</f>
        <v>АРТ-432</v>
      </c>
      <c r="C108" s="4">
        <f>IFERROR(VALUE(TRIM(SUBSTITUTE(SUBSTITUTE(SUBSTITUTE(SUBSTITUTE(Продажи_исходные!C108," шт.","")," шт",""),"шт.",""),"шт",""))),0)</f>
        <v>1</v>
      </c>
      <c r="D108" s="4">
        <f>IF(LEFT(Продажи_исходные!D108,1)="$",VALUE(MID(Продажи_исходные!D108,2,255))*95,IF(LEFT(Продажи_исходные!D108,1)="€",VALUE(MID(Продажи_исходные!D108,2,255))*100,VALUE(SUBSTITUTE(SUBSTITUTE(Продажи_исходные!D108,"₽","")," ",""))))</f>
        <v>10000</v>
      </c>
      <c r="E108" t="str">
        <f>Продажи_исходные!E108</f>
        <v>C0107</v>
      </c>
      <c r="F108" t="str">
        <f>Продажи_исходные!F108</f>
        <v>P019</v>
      </c>
      <c r="G108" t="str">
        <f>IFERROR(VLOOKUP(Продажи_исходные!G108,Справочники!$G$2:$H$50,2,FALSE),Продажи_исходные!G108)</f>
        <v>Завершен</v>
      </c>
      <c r="H108" s="4">
        <f>IFERROR(VLOOKUP(B108,Товары_очищенные!$A$1:$G$1000,6,FALSE),"нет в каталоге")</f>
        <v>15800</v>
      </c>
      <c r="I108" t="str">
        <f>IFERROR(VLOOKUP(B108,Товары_очищенные!$A$1:$G$1000,3,FALSE),"нет в каталоге")</f>
        <v>Наушники</v>
      </c>
      <c r="J108" t="str">
        <f t="shared" si="27"/>
        <v>OK</v>
      </c>
    </row>
    <row r="109">
      <c r="A109" s="8">
        <f>DATE(RIGHT(Продажи_исходные!A109,4),LEFT(Продажи_исходные!A109,2),MID(Продажи_исходные!A109,4,2))</f>
        <v>45725</v>
      </c>
      <c r="B109" t="str">
        <f>"АРТ-"&amp;LEFT(SUBSTITUTE(SUBSTITUTE(SUBSTITUTE(SUBSTITUTE(Продажи_исходные!B109,"№",""),"АРТ-",""),"АРТ_",""),"/","-"),3)</f>
        <v>АРТ-067</v>
      </c>
      <c r="C109" s="4">
        <f>IFERROR(VALUE(TRIM(SUBSTITUTE(SUBSTITUTE(SUBSTITUTE(SUBSTITUTE(Продажи_исходные!C109," шт.","")," шт",""),"шт.",""),"шт",""))),0)</f>
        <v>2</v>
      </c>
      <c r="D109" s="4">
        <f>IF(LEFT(Продажи_исходные!D109,1)="$",VALUE(MID(Продажи_исходные!D109,2,255))*95,IF(LEFT(Продажи_исходные!D109,1)="€",VALUE(MID(Продажи_исходные!D109,2,255))*100,VALUE(SUBSTITUTE(SUBSTITUTE(Продажи_исходные!D109,"₽","")," ",""))))</f>
        <v>8800</v>
      </c>
      <c r="E109" t="str">
        <f>Продажи_исходные!E109</f>
        <v>C0108</v>
      </c>
      <c r="F109" t="str">
        <f>Продажи_исходные!F109</f>
        <v>P042</v>
      </c>
      <c r="G109" t="str">
        <f>IFERROR(VLOOKUP(Продажи_исходные!G109,Справочники!$G$2:$H$50,2,FALSE),Продажи_исходные!G109)</f>
        <v>Возврат</v>
      </c>
      <c r="H109" s="4">
        <f>IFERROR(VLOOKUP(B109,Товары_очищенные!$A$1:$G$1000,6,FALSE),"нет в каталоге")</f>
        <v>109999</v>
      </c>
      <c r="I109" t="str">
        <f>IFERROR(VLOOKUP(B109,Товары_очищенные!$A$1:$G$1000,3,FALSE),"нет в каталоге")</f>
        <v>Телевизоры</v>
      </c>
      <c r="J109" t="str">
        <f t="shared" si="27"/>
        <v>OK</v>
      </c>
    </row>
    <row r="110">
      <c r="A110" s="8">
        <f>DATE(RIGHT(Продажи_исходные!A110,4),LEFT(Продажи_исходные!A110,2),MID(Продажи_исходные!A110,4,2))</f>
        <v>45726</v>
      </c>
      <c r="B110" t="str">
        <f>"АРТ-"&amp;LEFT(SUBSTITUTE(SUBSTITUTE(SUBSTITUTE(SUBSTITUTE(Продажи_исходные!B110,"№",""),"АРТ-",""),"АРТ_",""),"/","-"),3)</f>
        <v>АРТ-287</v>
      </c>
      <c r="C110" s="4">
        <f>IFERROR(VALUE(TRIM(SUBSTITUTE(SUBSTITUTE(SUBSTITUTE(SUBSTITUTE(Продажи_исходные!C110," шт.","")," шт",""),"шт.",""),"шт",""))),0)</f>
        <v>3</v>
      </c>
      <c r="D110" s="4">
        <f>IF(LEFT(Продажи_исходные!D110,1)="$",VALUE(MID(Продажи_исходные!D110,2,255))*95,IF(LEFT(Продажи_исходные!D110,1)="€",VALUE(MID(Продажи_исходные!D110,2,255))*100,VALUE(SUBSTITUTE(SUBSTITUTE(Продажи_исходные!D110,"₽","")," ",""))))</f>
        <v>9025</v>
      </c>
      <c r="E110" t="str">
        <f>Продажи_исходные!E110</f>
        <v>C0109</v>
      </c>
      <c r="F110" t="str">
        <f>Продажи_исходные!F110</f>
        <v>P005</v>
      </c>
      <c r="G110" t="str">
        <f>IFERROR(VLOOKUP(Продажи_исходные!G110,Справочники!$G$2:$H$50,2,FALSE),Продажи_исходные!G110)</f>
        <v>Завершен</v>
      </c>
      <c r="H110" s="4">
        <f>IFERROR(VLOOKUP(B110,Товары_очищенные!$A$1:$G$1000,6,FALSE),"нет в каталоге")</f>
        <v>7000</v>
      </c>
      <c r="I110" t="str">
        <f>IFERROR(VLOOKUP(B110,Товары_очищенные!$A$1:$G$1000,3,FALSE),"нет в каталоге")</f>
        <v>Аксессуары</v>
      </c>
      <c r="J110" t="str">
        <f t="shared" si="27"/>
        <v>OK</v>
      </c>
    </row>
    <row r="111">
      <c r="A111" s="8">
        <f>DATE(RIGHT(Продажи_исходные!A111,4),LEFT(Продажи_исходные!A111,2),MID(Продажи_исходные!A111,4,2))</f>
        <v>45726</v>
      </c>
      <c r="B111" t="str">
        <f>"АРТ-"&amp;LEFT(SUBSTITUTE(SUBSTITUTE(SUBSTITUTE(SUBSTITUTE(Продажи_исходные!B111,"№",""),"АРТ-",""),"АРТ_",""),"/","-"),3)</f>
        <v>АРТ-209</v>
      </c>
      <c r="C111" s="4">
        <f>IFERROR(VALUE(TRIM(SUBSTITUTE(SUBSTITUTE(SUBSTITUTE(SUBSTITUTE(Продажи_исходные!C111," шт.","")," шт",""),"шт.",""),"шт",""))),0)</f>
        <v>2</v>
      </c>
      <c r="D111" s="4">
        <f>IF(LEFT(Продажи_исходные!D111,1)="$",VALUE(MID(Продажи_исходные!D111,2,255))*95,IF(LEFT(Продажи_исходные!D111,1)="€",VALUE(MID(Продажи_исходные!D111,2,255))*100,VALUE(SUBSTITUTE(SUBSTITUTE(Продажи_исходные!D111,"₽","")," ",""))))</f>
        <v>7500</v>
      </c>
      <c r="E111" t="str">
        <f>Продажи_исходные!E111</f>
        <v>C0110</v>
      </c>
      <c r="F111" t="str">
        <f>Продажи_исходные!F111</f>
        <v>P036</v>
      </c>
      <c r="G111" t="str">
        <f>IFERROR(VLOOKUP(Продажи_исходные!G111,Справочники!$G$2:$H$50,2,FALSE),Продажи_исходные!G111)</f>
        <v>Завершен</v>
      </c>
      <c r="H111" s="4">
        <f>IFERROR(VLOOKUP(B111,Товары_очищенные!$A$1:$G$1000,6,FALSE),"нет в каталоге")</f>
        <v>10500</v>
      </c>
      <c r="I111" t="str">
        <f>IFERROR(VLOOKUP(B111,Товары_очищенные!$A$1:$G$1000,3,FALSE),"нет в каталоге")</f>
        <v>Аксессуары</v>
      </c>
      <c r="J111" t="str">
        <f t="shared" si="27"/>
        <v>OK</v>
      </c>
    </row>
    <row r="112">
      <c r="A112" s="8">
        <f>DATE(RIGHT(Продажи_исходные!A112,4),LEFT(Продажи_исходные!A112,2),MID(Продажи_исходные!A112,4,2))</f>
        <v>45727</v>
      </c>
      <c r="B112" t="str">
        <f>"АРТ-"&amp;LEFT(SUBSTITUTE(SUBSTITUTE(SUBSTITUTE(SUBSTITUTE(Продажи_исходные!B112,"№",""),"АРТ-",""),"АРТ_",""),"/","-"),3)</f>
        <v>АРТ-382</v>
      </c>
      <c r="C112" s="4">
        <f>IFERROR(VALUE(TRIM(SUBSTITUTE(SUBSTITUTE(SUBSTITUTE(SUBSTITUTE(Продажи_исходные!C112," шт.","")," шт",""),"шт.",""),"шт",""))),0)</f>
        <v>1</v>
      </c>
      <c r="D112" s="4">
        <f>IF(LEFT(Продажи_исходные!D112,1)="$",VALUE(MID(Продажи_исходные!D112,2,255))*95,IF(LEFT(Продажи_исходные!D112,1)="€",VALUE(MID(Продажи_исходные!D112,2,255))*100,VALUE(SUBSTITUTE(SUBSTITUTE(Продажи_исходные!D112,"₽","")," ",""))))</f>
        <v>5500</v>
      </c>
      <c r="E112" t="str">
        <f>Продажи_исходные!E112</f>
        <v>C0111</v>
      </c>
      <c r="F112" t="str">
        <f>Продажи_исходные!F112</f>
        <v>P014</v>
      </c>
      <c r="G112" t="str">
        <f>IFERROR(VLOOKUP(Продажи_исходные!G112,Справочники!$G$2:$H$50,2,FALSE),Продажи_исходные!G112)</f>
        <v>Завершен</v>
      </c>
      <c r="H112" s="4">
        <f>IFERROR(VLOOKUP(B112,Товары_очищенные!$A$1:$G$1000,6,FALSE),"нет в каталоге")</f>
        <v>42990</v>
      </c>
      <c r="I112" t="str">
        <f>IFERROR(VLOOKUP(B112,Товары_очищенные!$A$1:$G$1000,3,FALSE),"нет в каталоге")</f>
        <v>Смартфоны</v>
      </c>
      <c r="J112" t="str">
        <f t="shared" si="27"/>
        <v>OK</v>
      </c>
    </row>
    <row r="113">
      <c r="A113" s="8">
        <f>DATE(RIGHT(Продажи_исходные!A113,4),LEFT(Продажи_исходные!A113,2),MID(Продажи_исходные!A113,4,2))</f>
        <v>45727</v>
      </c>
      <c r="B113" t="str">
        <f>"АРТ-"&amp;LEFT(SUBSTITUTE(SUBSTITUTE(SUBSTITUTE(SUBSTITUTE(Продажи_исходные!B113,"№",""),"АРТ-",""),"АРТ_",""),"/","-"),3)</f>
        <v>АРТ-077</v>
      </c>
      <c r="C113" s="4">
        <f>IFERROR(VALUE(TRIM(SUBSTITUTE(SUBSTITUTE(SUBSTITUTE(SUBSTITUTE(Продажи_исходные!C113," шт.","")," шт",""),"шт.",""),"шт",""))),0)</f>
        <v>-3</v>
      </c>
      <c r="D113" s="4">
        <f>IF(LEFT(Продажи_исходные!D113,1)="$",VALUE(MID(Продажи_исходные!D113,2,255))*95,IF(LEFT(Продажи_исходные!D113,1)="€",VALUE(MID(Продажи_исходные!D113,2,255))*100,VALUE(SUBSTITUTE(SUBSTITUTE(Продажи_исходные!D113,"₽","")," ",""))))</f>
        <v>11400</v>
      </c>
      <c r="E113" t="str">
        <f>Продажи_исходные!E113</f>
        <v>C0112</v>
      </c>
      <c r="F113" t="str">
        <f>Продажи_исходные!F113</f>
        <v>P028</v>
      </c>
      <c r="G113" t="str">
        <f>IFERROR(VLOOKUP(Продажи_исходные!G113,Справочники!$G$2:$H$50,2,FALSE),Продажи_исходные!G113)</f>
        <v>Отменен</v>
      </c>
      <c r="H113" s="4">
        <f>IFERROR(VLOOKUP(B113,Товары_очищенные!$A$1:$G$1000,6,FALSE),"нет в каталоге")</f>
        <v>12500</v>
      </c>
      <c r="I113" t="str">
        <f>IFERROR(VLOOKUP(B113,Товары_очищенные!$A$1:$G$1000,3,FALSE),"нет в каталоге")</f>
        <v>Аксессуары</v>
      </c>
      <c r="J113" t="str">
        <f t="shared" si="27"/>
        <v>OK</v>
      </c>
    </row>
    <row r="114">
      <c r="A114" s="8">
        <f>DATE(RIGHT(Продажи_исходные!A114,4),LEFT(Продажи_исходные!A114,2),MID(Продажи_исходные!A114,4,2))</f>
        <v>45728</v>
      </c>
      <c r="B114" t="str">
        <f>"АРТ-"&amp;LEFT(SUBSTITUTE(SUBSTITUTE(SUBSTITUTE(SUBSTITUTE(Продажи_исходные!B114,"№",""),"АРТ-",""),"АРТ_",""),"/","-"),3)</f>
        <v>АРТ-365</v>
      </c>
      <c r="C114" s="4">
        <f>IFERROR(VALUE(TRIM(SUBSTITUTE(SUBSTITUTE(SUBSTITUTE(SUBSTITUTE(Продажи_исходные!C114," шт.","")," шт",""),"шт.",""),"шт",""))),0)</f>
        <v>2</v>
      </c>
      <c r="D114" s="4">
        <f>IF(LEFT(Продажи_исходные!D114,1)="$",VALUE(MID(Продажи_исходные!D114,2,255))*95,IF(LEFT(Продажи_исходные!D114,1)="€",VALUE(MID(Продажи_исходные!D114,2,255))*100,VALUE(SUBSTITUTE(SUBSTITUTE(Продажи_исходные!D114,"₽","")," ",""))))</f>
        <v>10000</v>
      </c>
      <c r="E114" t="str">
        <f>Продажи_исходные!E114</f>
        <v>C0113</v>
      </c>
      <c r="F114" t="str">
        <f>Продажи_исходные!F114</f>
        <v>P009</v>
      </c>
      <c r="G114" t="str">
        <f>IFERROR(VLOOKUP(Продажи_исходные!G114,Справочники!$G$2:$H$50,2,FALSE),Продажи_исходные!G114)</f>
        <v>Отменен</v>
      </c>
      <c r="H114" s="4">
        <f>IFERROR(VLOOKUP(B114,Товары_очищенные!$A$1:$G$1000,6,FALSE),"нет в каталоге")</f>
        <v>137000</v>
      </c>
      <c r="I114" t="str">
        <f>IFERROR(VLOOKUP(B114,Товары_очищенные!$A$1:$G$1000,3,FALSE),"нет в каталоге")</f>
        <v>Телевизоры</v>
      </c>
      <c r="J114" t="str">
        <f t="shared" si="27"/>
        <v>OK</v>
      </c>
    </row>
    <row r="115">
      <c r="A115" s="8">
        <f>DATE(RIGHT(Продажи_исходные!A115,4),LEFT(Продажи_исходные!A115,2),MID(Продажи_исходные!A115,4,2))</f>
        <v>45728</v>
      </c>
      <c r="B115" t="str">
        <f>"АРТ-"&amp;LEFT(SUBSTITUTE(SUBSTITUTE(SUBSTITUTE(SUBSTITUTE(Продажи_исходные!B115,"№",""),"АРТ-",""),"АРТ_",""),"/","-"),3)</f>
        <v>АРТ-245</v>
      </c>
      <c r="C115" s="4">
        <f>IFERROR(VALUE(TRIM(SUBSTITUTE(SUBSTITUTE(SUBSTITUTE(SUBSTITUTE(Продажи_исходные!C115," шт.","")," шт",""),"шт.",""),"шт",""))),0)</f>
        <v>1</v>
      </c>
      <c r="D115" s="4">
        <f>IF(LEFT(Продажи_исходные!D115,1)="$",VALUE(MID(Продажи_исходные!D115,2,255))*95,IF(LEFT(Продажи_исходные!D115,1)="€",VALUE(MID(Продажи_исходные!D115,2,255))*100,VALUE(SUBSTITUTE(SUBSTITUTE(Продажи_исходные!D115,"₽","")," ",""))))</f>
        <v>9000</v>
      </c>
      <c r="E115" t="str">
        <f>Продажи_исходные!E115</f>
        <v>C0114</v>
      </c>
      <c r="F115" t="str">
        <f>Продажи_исходные!F115</f>
        <v>P041</v>
      </c>
      <c r="G115" t="str">
        <f>IFERROR(VLOOKUP(Продажи_исходные!G115,Справочники!$G$2:$H$50,2,FALSE),Продажи_исходные!G115)</f>
        <v>Возврат</v>
      </c>
      <c r="H115" s="4">
        <f>IFERROR(VLOOKUP(B115,Товары_очищенные!$A$1:$G$1000,6,FALSE),"нет в каталоге")</f>
        <v>75000</v>
      </c>
      <c r="I115" t="str">
        <f>IFERROR(VLOOKUP(B115,Товары_очищенные!$A$1:$G$1000,3,FALSE),"нет в каталоге")</f>
        <v>Мониторы</v>
      </c>
      <c r="J115" t="str">
        <f t="shared" si="27"/>
        <v>OK</v>
      </c>
    </row>
    <row r="116">
      <c r="A116" s="8">
        <f>DATE(RIGHT(Продажи_исходные!A116,4),LEFT(Продажи_исходные!A116,2),MID(Продажи_исходные!A116,4,2))</f>
        <v>45729</v>
      </c>
      <c r="B116" t="str">
        <f>"АРТ-"&amp;LEFT(SUBSTITUTE(SUBSTITUTE(SUBSTITUTE(SUBSTITUTE(Продажи_исходные!B116,"№",""),"АРТ-",""),"АРТ_",""),"/","-"),3)</f>
        <v>АРТ-154</v>
      </c>
      <c r="C116" s="4">
        <f>IFERROR(VALUE(TRIM(SUBSTITUTE(SUBSTITUTE(SUBSTITUTE(SUBSTITUTE(Продажи_исходные!C116," шт.","")," шт",""),"шт.",""),"шт",""))),0)</f>
        <v>3</v>
      </c>
      <c r="D116" s="4">
        <f>IF(LEFT(Продажи_исходные!D116,1)="$",VALUE(MID(Продажи_исходные!D116,2,255))*95,IF(LEFT(Продажи_исходные!D116,1)="€",VALUE(MID(Продажи_исходные!D116,2,255))*100,VALUE(SUBSTITUTE(SUBSTITUTE(Продажи_исходные!D116,"₽","")," ",""))))</f>
        <v>9025</v>
      </c>
      <c r="E116" t="str">
        <f>Продажи_исходные!E116</f>
        <v>C0115</v>
      </c>
      <c r="F116" t="str">
        <f>Продажи_исходные!F116</f>
        <v>P017</v>
      </c>
      <c r="G116" t="str">
        <f>IFERROR(VLOOKUP(Продажи_исходные!G116,Справочники!$G$2:$H$50,2,FALSE),Продажи_исходные!G116)</f>
        <v>Завершен</v>
      </c>
      <c r="H116" s="4">
        <f>IFERROR(VLOOKUP(B116,Товары_очищенные!$A$1:$G$1000,6,FALSE),"нет в каталоге")</f>
        <v>16990</v>
      </c>
      <c r="I116" t="str">
        <f>IFERROR(VLOOKUP(B116,Товары_очищенные!$A$1:$G$1000,3,FALSE),"нет в каталоге")</f>
        <v>Наушники</v>
      </c>
      <c r="J116" t="str">
        <f t="shared" si="27"/>
        <v>OK</v>
      </c>
    </row>
    <row r="117">
      <c r="A117" s="8">
        <f>DATE(RIGHT(Продажи_исходные!A117,4),LEFT(Продажи_исходные!A117,2),MID(Продажи_исходные!A117,4,2))</f>
        <v>45729</v>
      </c>
      <c r="B117" t="str">
        <f>"АРТ-"&amp;LEFT(SUBSTITUTE(SUBSTITUTE(SUBSTITUTE(SUBSTITUTE(Продажи_исходные!B117,"№",""),"АРТ-",""),"АРТ_",""),"/","-"),3)</f>
        <v>АРТ-298</v>
      </c>
      <c r="C117" s="4">
        <f>IFERROR(VALUE(TRIM(SUBSTITUTE(SUBSTITUTE(SUBSTITUTE(SUBSTITUTE(Продажи_исходные!C117," шт.","")," шт",""),"шт.",""),"шт",""))),0)</f>
        <v>2</v>
      </c>
      <c r="D117" s="4">
        <f>IF(LEFT(Продажи_исходные!D117,1)="$",VALUE(MID(Продажи_исходные!D117,2,255))*95,IF(LEFT(Продажи_исходные!D117,1)="€",VALUE(MID(Продажи_исходные!D117,2,255))*100,VALUE(SUBSTITUTE(SUBSTITUTE(Продажи_исходные!D117,"₽","")," ",""))))</f>
        <v>7500</v>
      </c>
      <c r="E117" t="str">
        <f>Продажи_исходные!E117</f>
        <v>C0116</v>
      </c>
      <c r="F117" t="str">
        <f>Продажи_исходные!F117</f>
        <v>P032</v>
      </c>
      <c r="G117" t="str">
        <f>IFERROR(VLOOKUP(Продажи_исходные!G117,Справочники!$G$2:$H$50,2,FALSE),Продажи_исходные!G117)</f>
        <v>Завершен</v>
      </c>
      <c r="H117" s="4">
        <f>IFERROR(VLOOKUP(B117,Товары_очищенные!$A$1:$G$1000,6,FALSE),"нет в каталоге")</f>
        <v>65990</v>
      </c>
      <c r="I117" t="str">
        <f>IFERROR(VLOOKUP(B117,Товары_очищенные!$A$1:$G$1000,3,FALSE),"нет в каталоге")</f>
        <v>Телевизоры</v>
      </c>
      <c r="J117" t="str">
        <f t="shared" si="27"/>
        <v>OK</v>
      </c>
    </row>
    <row r="118">
      <c r="A118" s="8">
        <f>DATE(RIGHT(Продажи_исходные!A118,4),LEFT(Продажи_исходные!A118,2),MID(Продажи_исходные!A118,4,2))</f>
        <v>45730</v>
      </c>
      <c r="B118" t="str">
        <f>"АРТ-"&amp;LEFT(SUBSTITUTE(SUBSTITUTE(SUBSTITUTE(SUBSTITUTE(Продажи_исходные!B118,"№",""),"АРТ-",""),"АРТ_",""),"/","-"),3)</f>
        <v>АРТ-171</v>
      </c>
      <c r="C118" s="4">
        <f>IFERROR(VALUE(TRIM(SUBSTITUTE(SUBSTITUTE(SUBSTITUTE(SUBSTITUTE(Продажи_исходные!C118," шт.","")," шт",""),"шт.",""),"шт",""))),0)</f>
        <v>1</v>
      </c>
      <c r="D118" s="4">
        <f>IF(LEFT(Продажи_исходные!D118,1)="$",VALUE(MID(Продажи_исходные!D118,2,255))*95,IF(LEFT(Продажи_исходные!D118,1)="€",VALUE(MID(Продажи_исходные!D118,2,255))*100,VALUE(SUBSTITUTE(SUBSTITUTE(Продажи_исходные!D118,"₽","")," ",""))))</f>
        <v>6500</v>
      </c>
      <c r="E118" t="str">
        <f>Продажи_исходные!E118</f>
        <v>C0117</v>
      </c>
      <c r="F118" t="str">
        <f>Продажи_исходные!F118</f>
        <v>P049</v>
      </c>
      <c r="G118" t="str">
        <f>IFERROR(VLOOKUP(Продажи_исходные!G118,Справочники!$G$2:$H$50,2,FALSE),Продажи_исходные!G118)</f>
        <v>Завершен</v>
      </c>
      <c r="H118" s="4">
        <f>IFERROR(VLOOKUP(B118,Товары_очищенные!$A$1:$G$1000,6,FALSE),"нет в каталоге")</f>
        <v>59500</v>
      </c>
      <c r="I118" t="str">
        <f>IFERROR(VLOOKUP(B118,Товары_очищенные!$A$1:$G$1000,3,FALSE),"нет в каталоге")</f>
        <v>Смартфоны</v>
      </c>
      <c r="J118" t="str">
        <f t="shared" si="27"/>
        <v>OK</v>
      </c>
    </row>
    <row r="119">
      <c r="A119" s="8">
        <f>DATE(RIGHT(Продажи_исходные!A119,4),LEFT(Продажи_исходные!A119,2),MID(Продажи_исходные!A119,4,2))</f>
        <v>45730</v>
      </c>
      <c r="B119" t="str">
        <f>"АРТ-"&amp;LEFT(SUBSTITUTE(SUBSTITUTE(SUBSTITUTE(SUBSTITUTE(Продажи_исходные!B119,"№",""),"АРТ-",""),"АРТ_",""),"/","-"),3)</f>
        <v>АРТ-329</v>
      </c>
      <c r="C119" s="4">
        <f>IFERROR(VALUE(TRIM(SUBSTITUTE(SUBSTITUTE(SUBSTITUTE(SUBSTITUTE(Продажи_исходные!C119," шт.","")," шт",""),"шт.",""),"шт",""))),0)</f>
        <v>-2</v>
      </c>
      <c r="D119" s="4">
        <f>IF(LEFT(Продажи_исходные!D119,1)="$",VALUE(MID(Продажи_исходные!D119,2,255))*95,IF(LEFT(Продажи_исходные!D119,1)="€",VALUE(MID(Продажи_исходные!D119,2,255))*100,VALUE(SUBSTITUTE(SUBSTITUTE(Продажи_исходные!D119,"₽","")," ",""))))</f>
        <v>10450</v>
      </c>
      <c r="E119" t="str">
        <f>Продажи_исходные!E119</f>
        <v>C0118</v>
      </c>
      <c r="F119" t="str">
        <f>Продажи_исходные!F119</f>
        <v>P006</v>
      </c>
      <c r="G119" t="str">
        <f>IFERROR(VLOOKUP(Продажи_исходные!G119,Справочники!$G$2:$H$50,2,FALSE),Продажи_исходные!G119)</f>
        <v>Отменен</v>
      </c>
      <c r="H119" s="4">
        <f>IFERROR(VLOOKUP(B119,Товары_очищенные!$A$1:$G$1000,6,FALSE),"нет в каталоге")</f>
        <v>11500</v>
      </c>
      <c r="I119" t="str">
        <f>IFERROR(VLOOKUP(B119,Товары_очищенные!$A$1:$G$1000,3,FALSE),"нет в каталоге")</f>
        <v>Аксессуары</v>
      </c>
      <c r="J119" t="str">
        <f t="shared" si="27"/>
        <v>OK</v>
      </c>
    </row>
    <row r="120">
      <c r="A120" s="8">
        <f>DATE(RIGHT(Продажи_исходные!A120,4),LEFT(Продажи_исходные!A120,2),MID(Продажи_исходные!A120,4,2))</f>
        <v>45731</v>
      </c>
      <c r="B120" t="str">
        <f>"АРТ-"&amp;LEFT(SUBSTITUTE(SUBSTITUTE(SUBSTITUTE(SUBSTITUTE(Продажи_исходные!B120,"№",""),"АРТ-",""),"АРТ_",""),"/","-"),3)</f>
        <v>АРТ-063</v>
      </c>
      <c r="C120" s="4">
        <f>IFERROR(VALUE(TRIM(SUBSTITUTE(SUBSTITUTE(SUBSTITUTE(SUBSTITUTE(Продажи_исходные!C120," шт.","")," шт",""),"шт.",""),"шт",""))),0)</f>
        <v>1</v>
      </c>
      <c r="D120" s="4">
        <f>IF(LEFT(Продажи_исходные!D120,1)="$",VALUE(MID(Продажи_исходные!D120,2,255))*95,IF(LEFT(Продажи_исходные!D120,1)="€",VALUE(MID(Продажи_исходные!D120,2,255))*100,VALUE(SUBSTITUTE(SUBSTITUTE(Продажи_исходные!D120,"₽","")," ",""))))</f>
        <v>9000</v>
      </c>
      <c r="E120" t="str">
        <f>Продажи_исходные!E120</f>
        <v>C0119</v>
      </c>
      <c r="F120" t="str">
        <f>Продажи_исходные!F120</f>
        <v>P024</v>
      </c>
      <c r="G120" t="str">
        <f>IFERROR(VLOOKUP(Продажи_исходные!G120,Справочники!$G$2:$H$50,2,FALSE),Продажи_исходные!G120)</f>
        <v>Отменен</v>
      </c>
      <c r="H120" s="4">
        <f>IFERROR(VLOOKUP(B120,Товары_очищенные!$A$1:$G$1000,6,FALSE),"нет в каталоге")</f>
        <v>127000</v>
      </c>
      <c r="I120" t="str">
        <f>IFERROR(VLOOKUP(B120,Товары_очищенные!$A$1:$G$1000,3,FALSE),"нет в каталоге")</f>
        <v>Ноутбуки</v>
      </c>
      <c r="J120" t="str">
        <f t="shared" si="27"/>
        <v>OK</v>
      </c>
    </row>
    <row r="121">
      <c r="A121" s="8">
        <f>DATE(RIGHT(Продажи_исходные!A121,4),LEFT(Продажи_исходные!A121,2),MID(Продажи_исходные!A121,4,2))</f>
        <v>45731</v>
      </c>
      <c r="B121" t="str">
        <f>"АРТ-"&amp;LEFT(SUBSTITUTE(SUBSTITUTE(SUBSTITUTE(SUBSTITUTE(Продажи_исходные!B121,"№",""),"АРТ-",""),"АРТ_",""),"/","-"),3)</f>
        <v>АРТ-049</v>
      </c>
      <c r="C121" s="4">
        <f>IFERROR(VALUE(TRIM(SUBSTITUTE(SUBSTITUTE(SUBSTITUTE(SUBSTITUTE(Продажи_исходные!C121," шт.","")," шт",""),"шт.",""),"шт",""))),0)</f>
        <v>3</v>
      </c>
      <c r="D121" s="4">
        <f>IF(LEFT(Продажи_исходные!D121,1)="$",VALUE(MID(Продажи_исходные!D121,2,255))*95,IF(LEFT(Продажи_исходные!D121,1)="€",VALUE(MID(Продажи_исходные!D121,2,255))*100,VALUE(SUBSTITUTE(SUBSTITUTE(Продажи_исходные!D121,"₽","")," ",""))))</f>
        <v>8500</v>
      </c>
      <c r="E121" t="str">
        <f>Продажи_исходные!E121</f>
        <v>C0120</v>
      </c>
      <c r="F121" t="str">
        <f>Продажи_исходные!F121</f>
        <v>P015</v>
      </c>
      <c r="G121" t="str">
        <f>IFERROR(VLOOKUP(Продажи_исходные!G121,Справочники!$G$2:$H$50,2,FALSE),Продажи_исходные!G121)</f>
        <v>Завершен</v>
      </c>
      <c r="H121" s="4">
        <f>IFERROR(VLOOKUP(B121,Товары_очищенные!$A$1:$G$1000,6,FALSE),"нет в каталоге")</f>
        <v>54999</v>
      </c>
      <c r="I121" t="str">
        <f>IFERROR(VLOOKUP(B121,Товары_очищенные!$A$1:$G$1000,3,FALSE),"нет в каталоге")</f>
        <v>Смартфоны</v>
      </c>
      <c r="J121" t="str">
        <f t="shared" si="27"/>
        <v>OK</v>
      </c>
    </row>
    <row r="122">
      <c r="A122" s="8">
        <f>DATE(RIGHT(Продажи_исходные!A122,4),LEFT(Продажи_исходные!A122,2),MID(Продажи_исходные!A122,4,2))</f>
        <v>45732</v>
      </c>
      <c r="B122" t="str">
        <f>"АРТ-"&amp;LEFT(SUBSTITUTE(SUBSTITUTE(SUBSTITUTE(SUBSTITUTE(Продажи_исходные!B122,"№",""),"АРТ-",""),"АРТ_",""),"/","-"),3)</f>
        <v>АРТ-118</v>
      </c>
      <c r="C122" s="4">
        <f>IFERROR(VALUE(TRIM(SUBSTITUTE(SUBSTITUTE(SUBSTITUTE(SUBSTITUTE(Продажи_исходные!C122," шт.","")," шт",""),"шт.",""),"шт",""))),0)</f>
        <v>2</v>
      </c>
      <c r="D122" s="4">
        <f>IF(LEFT(Продажи_исходные!D122,1)="$",VALUE(MID(Продажи_исходные!D122,2,255))*95,IF(LEFT(Продажи_исходные!D122,1)="€",VALUE(MID(Продажи_исходные!D122,2,255))*100,VALUE(SUBSTITUTE(SUBSTITUTE(Продажи_исходные!D122,"₽","")," ",""))))</f>
        <v>9500</v>
      </c>
      <c r="E122" t="str">
        <f>Продажи_исходные!E122</f>
        <v>C0121</v>
      </c>
      <c r="F122" t="str">
        <f>Продажи_исходные!F122</f>
        <v>P037</v>
      </c>
      <c r="G122" t="str">
        <f>IFERROR(VLOOKUP(Продажи_исходные!G122,Справочники!$G$2:$H$50,2,FALSE),Продажи_исходные!G122)</f>
        <v>Возврат</v>
      </c>
      <c r="H122" s="4">
        <f>IFERROR(VLOOKUP(B122,Товары_очищенные!$A$1:$G$1000,6,FALSE),"нет в каталоге")</f>
        <v>7990</v>
      </c>
      <c r="I122" t="str">
        <f>IFERROR(VLOOKUP(B122,Товары_очищенные!$A$1:$G$1000,3,FALSE),"нет в каталоге")</f>
        <v>Аксессуары</v>
      </c>
      <c r="J122" t="str">
        <f t="shared" si="27"/>
        <v>OK</v>
      </c>
    </row>
    <row r="123">
      <c r="A123" s="8">
        <f>DATE(RIGHT(Продажи_исходные!A123,4),LEFT(Продажи_исходные!A123,2),MID(Продажи_исходные!A123,4,2))</f>
        <v>45732</v>
      </c>
      <c r="B123" t="str">
        <f>"АРТ-"&amp;LEFT(SUBSTITUTE(SUBSTITUTE(SUBSTITUTE(SUBSTITUTE(Продажи_исходные!B123,"№",""),"АРТ-",""),"АРТ_",""),"/","-"),3)</f>
        <v>АРТ-461</v>
      </c>
      <c r="C123" s="4">
        <f>IFERROR(VALUE(TRIM(SUBSTITUTE(SUBSTITUTE(SUBSTITUTE(SUBSTITUTE(Продажи_исходные!C123," шт.","")," шт",""),"шт.",""),"шт",""))),0)</f>
        <v>2</v>
      </c>
      <c r="D123" s="4">
        <f>IF(LEFT(Продажи_исходные!D123,1)="$",VALUE(MID(Продажи_исходные!D123,2,255))*95,IF(LEFT(Продажи_исходные!D123,1)="€",VALUE(MID(Продажи_исходные!D123,2,255))*100,VALUE(SUBSTITUTE(SUBSTITUTE(Продажи_исходные!D123,"₽","")," ",""))))</f>
        <v>8000</v>
      </c>
      <c r="E123" t="str">
        <f>Продажи_исходные!E123</f>
        <v>C0122</v>
      </c>
      <c r="F123" t="str">
        <f>Продажи_исходные!F123</f>
        <v>P048</v>
      </c>
      <c r="G123" t="str">
        <f>IFERROR(VLOOKUP(Продажи_исходные!G123,Справочники!$G$2:$H$50,2,FALSE),Продажи_исходные!G123)</f>
        <v>Завершен</v>
      </c>
      <c r="H123" s="4">
        <f>IFERROR(VLOOKUP(B123,Товары_очищенные!$A$1:$G$1000,6,FALSE),"нет в каталоге")</f>
        <v>46000</v>
      </c>
      <c r="I123" t="str">
        <f>IFERROR(VLOOKUP(B123,Товары_очищенные!$A$1:$G$1000,3,FALSE),"нет в каталоге")</f>
        <v>Часы</v>
      </c>
      <c r="J123" t="str">
        <f t="shared" si="27"/>
        <v>OK</v>
      </c>
    </row>
    <row r="124">
      <c r="A124" s="8">
        <f>DATE(RIGHT(Продажи_исходные!A124,4),LEFT(Продажи_исходные!A124,2),MID(Продажи_исходные!A124,4,2))</f>
        <v>45733</v>
      </c>
      <c r="B124" t="str">
        <f>"АРТ-"&amp;LEFT(SUBSTITUTE(SUBSTITUTE(SUBSTITUTE(SUBSTITUTE(Продажи_исходные!B124,"№",""),"АРТ-",""),"АРТ_",""),"/","-"),3)</f>
        <v>АРТ-329</v>
      </c>
      <c r="C124" s="4">
        <f>IFERROR(VALUE(TRIM(SUBSTITUTE(SUBSTITUTE(SUBSTITUTE(SUBSTITUTE(Продажи_исходные!C124," шт.","")," шт",""),"шт.",""),"шт",""))),0)</f>
        <v>2</v>
      </c>
      <c r="D124" s="4">
        <f>IF(LEFT(Продажи_исходные!D124,1)="$",VALUE(MID(Продажи_исходные!D124,2,255))*95,IF(LEFT(Продажи_исходные!D124,1)="€",VALUE(MID(Продажи_исходные!D124,2,255))*100,VALUE(SUBSTITUTE(SUBSTITUTE(Продажи_исходные!D124,"₽","")," ",""))))</f>
        <v>7500</v>
      </c>
      <c r="E124" t="str">
        <f>Продажи_исходные!E124</f>
        <v>C0123</v>
      </c>
      <c r="F124" t="str">
        <f>Продажи_исходные!F124</f>
        <v>P004</v>
      </c>
      <c r="G124" t="str">
        <f>IFERROR(VLOOKUP(Продажи_исходные!G124,Справочники!$G$2:$H$50,2,FALSE),Продажи_исходные!G124)</f>
        <v>Завершен</v>
      </c>
      <c r="H124" s="4">
        <f>IFERROR(VLOOKUP(B124,Товары_очищенные!$A$1:$G$1000,6,FALSE),"нет в каталоге")</f>
        <v>11500</v>
      </c>
      <c r="I124" t="str">
        <f>IFERROR(VLOOKUP(B124,Товары_очищенные!$A$1:$G$1000,3,FALSE),"нет в каталоге")</f>
        <v>Аксессуары</v>
      </c>
      <c r="J124" t="str">
        <f t="shared" si="27"/>
        <v>OK</v>
      </c>
    </row>
    <row r="125">
      <c r="A125" s="8">
        <f>DATE(RIGHT(Продажи_исходные!A125,4),LEFT(Продажи_исходные!A125,2),MID(Продажи_исходные!A125,4,2))</f>
        <v>45733</v>
      </c>
      <c r="B125" t="str">
        <f>"АРТ-"&amp;LEFT(SUBSTITUTE(SUBSTITUTE(SUBSTITUTE(SUBSTITUTE(Продажи_исходные!B125,"№",""),"АРТ-",""),"АРТ_",""),"/","-"),3)</f>
        <v>АРТ-344</v>
      </c>
      <c r="C125" s="4">
        <f>IFERROR(VALUE(TRIM(SUBSTITUTE(SUBSTITUTE(SUBSTITUTE(SUBSTITUTE(Продажи_исходные!C125," шт.","")," шт",""),"шт.",""),"шт",""))),0)</f>
        <v>-1</v>
      </c>
      <c r="D125" s="4">
        <f>IF(LEFT(Продажи_исходные!D125,1)="$",VALUE(MID(Продажи_исходные!D125,2,255))*95,IF(LEFT(Продажи_исходные!D125,1)="€",VALUE(MID(Продажи_исходные!D125,2,255))*100,VALUE(SUBSTITUTE(SUBSTITUTE(Продажи_исходные!D125,"₽","")," ",""))))</f>
        <v>10925</v>
      </c>
      <c r="E125" t="str">
        <f>Продажи_исходные!E125</f>
        <v>C0124</v>
      </c>
      <c r="F125" t="str">
        <f>Продажи_исходные!F125</f>
        <v>P026</v>
      </c>
      <c r="G125" t="str">
        <f>IFERROR(VLOOKUP(Продажи_исходные!G125,Справочники!$G$2:$H$50,2,FALSE),Продажи_исходные!G125)</f>
        <v>Завершен</v>
      </c>
      <c r="H125" s="4">
        <f>IFERROR(VLOOKUP(B125,Товары_очищенные!$A$1:$G$1000,6,FALSE),"нет в каталоге")</f>
        <v>82000</v>
      </c>
      <c r="I125" t="str">
        <f>IFERROR(VLOOKUP(B125,Товары_очищенные!$A$1:$G$1000,3,FALSE),"нет в каталоге")</f>
        <v>Телевизоры</v>
      </c>
      <c r="J125" t="str">
        <f t="shared" si="27"/>
        <v>OK</v>
      </c>
    </row>
    <row r="126">
      <c r="A126" s="8">
        <f>DATE(RIGHT(Продажи_исходные!A126,4),LEFT(Продажи_исходные!A126,2),MID(Продажи_исходные!A126,4,2))</f>
        <v>45734</v>
      </c>
      <c r="B126" t="str">
        <f>"АРТ-"&amp;LEFT(SUBSTITUTE(SUBSTITUTE(SUBSTITUTE(SUBSTITUTE(Продажи_исходные!B126,"№",""),"АРТ-",""),"АРТ_",""),"/","-"),3)</f>
        <v>АРТ-291</v>
      </c>
      <c r="C126" s="4">
        <f>IFERROR(VALUE(TRIM(SUBSTITUTE(SUBSTITUTE(SUBSTITUTE(SUBSTITUTE(Продажи_исходные!C126," шт.","")," шт",""),"шт.",""),"шт",""))),0)</f>
        <v>3</v>
      </c>
      <c r="D126" s="4">
        <f>IF(LEFT(Продажи_исходные!D126,1)="$",VALUE(MID(Продажи_исходные!D126,2,255))*95,IF(LEFT(Продажи_исходные!D126,1)="€",VALUE(MID(Продажи_исходные!D126,2,255))*100,VALUE(SUBSTITUTE(SUBSTITUTE(Продажи_исходные!D126,"₽","")," ",""))))</f>
        <v>9500</v>
      </c>
      <c r="E126" t="str">
        <f>Продажи_исходные!E126</f>
        <v>C0125</v>
      </c>
      <c r="F126" t="str">
        <f>Продажи_исходные!F126</f>
        <v>P013</v>
      </c>
      <c r="G126" t="str">
        <f>IFERROR(VLOOKUP(Продажи_исходные!G126,Справочники!$G$2:$H$50,2,FALSE),Продажи_исходные!G126)</f>
        <v>Отменен</v>
      </c>
      <c r="H126" s="4">
        <f>IFERROR(VLOOKUP(B126,Товары_очищенные!$A$1:$G$1000,6,FALSE),"нет в каталоге")</f>
        <v>65000</v>
      </c>
      <c r="I126" t="str">
        <f>IFERROR(VLOOKUP(B126,Товары_очищенные!$A$1:$G$1000,3,FALSE),"нет в каталоге")</f>
        <v>Часы</v>
      </c>
      <c r="J126" t="str">
        <f t="shared" si="27"/>
        <v>OK</v>
      </c>
    </row>
    <row r="127">
      <c r="A127" s="8">
        <f>DATE(RIGHT(Продажи_исходные!A127,4),LEFT(Продажи_исходные!A127,2),MID(Продажи_исходные!A127,4,2))</f>
        <v>45734</v>
      </c>
      <c r="B127" t="str">
        <f>"АРТ-"&amp;LEFT(SUBSTITUTE(SUBSTITUTE(SUBSTITUTE(SUBSTITUTE(Продажи_исходные!B127,"№",""),"АРТ-",""),"АРТ_",""),"/","-"),3)</f>
        <v>АРТ-133</v>
      </c>
      <c r="C127" s="4">
        <f>IFERROR(VALUE(TRIM(SUBSTITUTE(SUBSTITUTE(SUBSTITUTE(SUBSTITUTE(Продажи_исходные!C127," шт.","")," шт",""),"шт.",""),"шт",""))),0)</f>
        <v>1</v>
      </c>
      <c r="D127" s="4">
        <f>IF(LEFT(Продажи_исходные!D127,1)="$",VALUE(MID(Продажи_исходные!D127,2,255))*95,IF(LEFT(Продажи_исходные!D127,1)="€",VALUE(MID(Продажи_исходные!D127,2,255))*100,VALUE(SUBSTITUTE(SUBSTITUTE(Продажи_исходные!D127,"₽","")," ",""))))</f>
        <v>8800</v>
      </c>
      <c r="E127" t="str">
        <f>Продажи_исходные!E127</f>
        <v>C0126</v>
      </c>
      <c r="F127" t="str">
        <f>Продажи_исходные!F127</f>
        <v>P034</v>
      </c>
      <c r="G127" t="str">
        <f>IFERROR(VLOOKUP(Продажи_исходные!G127,Справочники!$G$2:$H$50,2,FALSE),Продажи_исходные!G127)</f>
        <v>Отменен</v>
      </c>
      <c r="H127" s="4">
        <f>IFERROR(VLOOKUP(B127,Товары_очищенные!$A$1:$G$1000,6,FALSE),"нет в каталоге")</f>
        <v>126990</v>
      </c>
      <c r="I127" t="str">
        <f>IFERROR(VLOOKUP(B127,Товары_очищенные!$A$1:$G$1000,3,FALSE),"нет в каталоге")</f>
        <v>Телевизоры</v>
      </c>
      <c r="J127" t="str">
        <f t="shared" si="27"/>
        <v>OK</v>
      </c>
    </row>
    <row r="128">
      <c r="A128" s="8">
        <f>DATE(RIGHT(Продажи_исходные!A128,4),LEFT(Продажи_исходные!A128,2),MID(Продажи_исходные!A128,4,2))</f>
        <v>45735</v>
      </c>
      <c r="B128" t="str">
        <f>"АРТ-"&amp;LEFT(SUBSTITUTE(SUBSTITUTE(SUBSTITUTE(SUBSTITUTE(Продажи_исходные!B128,"№",""),"АРТ-",""),"АРТ_",""),"/","-"),3)</f>
        <v>АРТ-251</v>
      </c>
      <c r="C128" s="4">
        <f>IFERROR(VALUE(TRIM(SUBSTITUTE(SUBSTITUTE(SUBSTITUTE(SUBSTITUTE(Продажи_исходные!C128," шт.","")," шт",""),"шт.",""),"шт",""))),0)</f>
        <v>2</v>
      </c>
      <c r="D128" s="4">
        <f>IF(LEFT(Продажи_исходные!D128,1)="$",VALUE(MID(Продажи_исходные!D128,2,255))*95,IF(LEFT(Продажи_исходные!D128,1)="€",VALUE(MID(Продажи_исходные!D128,2,255))*100,VALUE(SUBSTITUTE(SUBSTITUTE(Продажи_исходные!D128,"₽","")," ",""))))</f>
        <v>12350</v>
      </c>
      <c r="E128" t="str">
        <f>Продажи_исходные!E128</f>
        <v>C0127</v>
      </c>
      <c r="F128" t="str">
        <f>Продажи_исходные!F128</f>
        <v>P044</v>
      </c>
      <c r="G128" t="str">
        <f>IFERROR(VLOOKUP(Продажи_исходные!G128,Справочники!$G$2:$H$50,2,FALSE),Продажи_исходные!G128)</f>
        <v>Возврат</v>
      </c>
      <c r="H128" s="4">
        <f>IFERROR(VLOOKUP(B128,Товары_очищенные!$A$1:$G$1000,6,FALSE),"нет в каталоге")</f>
        <v>53500</v>
      </c>
      <c r="I128" t="str">
        <f>IFERROR(VLOOKUP(B128,Товары_очищенные!$A$1:$G$1000,3,FALSE),"нет в каталоге")</f>
        <v>Часы</v>
      </c>
      <c r="J128" t="str">
        <f t="shared" si="27"/>
        <v>OK</v>
      </c>
    </row>
    <row r="129">
      <c r="A129" s="8">
        <f>DATE(RIGHT(Продажи_исходные!A129,4),LEFT(Продажи_исходные!A129,2),MID(Продажи_исходные!A129,4,2))</f>
        <v>45735</v>
      </c>
      <c r="B129" t="str">
        <f>"АРТ-"&amp;LEFT(SUBSTITUTE(SUBSTITUTE(SUBSTITUTE(SUBSTITUTE(Продажи_исходные!B129,"№",""),"АРТ-",""),"АРТ_",""),"/","-"),3)</f>
        <v>АРТ-218</v>
      </c>
      <c r="C129" s="4">
        <f>IFERROR(VALUE(TRIM(SUBSTITUTE(SUBSTITUTE(SUBSTITUTE(SUBSTITUTE(Продажи_исходные!C129," шт.","")," шт",""),"шт.",""),"шт",""))),0)</f>
        <v>1</v>
      </c>
      <c r="D129" s="4">
        <f>IF(LEFT(Продажи_исходные!D129,1)="$",VALUE(MID(Продажи_исходные!D129,2,255))*95,IF(LEFT(Продажи_исходные!D129,1)="€",VALUE(MID(Продажи_исходные!D129,2,255))*100,VALUE(SUBSTITUTE(SUBSTITUTE(Продажи_исходные!D129,"₽","")," ",""))))</f>
        <v>11000</v>
      </c>
      <c r="E129" t="str">
        <f>Продажи_исходные!E129</f>
        <v>C0128</v>
      </c>
      <c r="F129" t="str">
        <f>Продажи_исходные!F129</f>
        <v>P001</v>
      </c>
      <c r="G129" t="str">
        <f>IFERROR(VLOOKUP(Продажи_исходные!G129,Справочники!$G$2:$H$50,2,FALSE),Продажи_исходные!G129)</f>
        <v>Завершен</v>
      </c>
      <c r="H129" s="4">
        <f>IFERROR(VLOOKUP(B129,Товары_очищенные!$A$1:$G$1000,6,FALSE),"нет в каталоге")</f>
        <v>67500</v>
      </c>
      <c r="I129" t="str">
        <f>IFERROR(VLOOKUP(B129,Товары_очищенные!$A$1:$G$1000,3,FALSE),"нет в каталоге")</f>
        <v>Телевизоры</v>
      </c>
      <c r="J129" t="str">
        <f t="shared" si="27"/>
        <v>OK</v>
      </c>
    </row>
    <row r="130">
      <c r="A130" s="8">
        <f>DATE(RIGHT(Продажи_исходные!A130,4),LEFT(Продажи_исходные!A130,2),MID(Продажи_исходные!A130,4,2))</f>
        <v>45736</v>
      </c>
      <c r="B130" t="str">
        <f>"АРТ-"&amp;LEFT(SUBSTITUTE(SUBSTITUTE(SUBSTITUTE(SUBSTITUTE(Продажи_исходные!B130,"№",""),"АРТ-",""),"АРТ_",""),"/","-"),3)</f>
        <v>АРТ-378</v>
      </c>
      <c r="C130" s="4">
        <f>IFERROR(VALUE(TRIM(SUBSTITUTE(SUBSTITUTE(SUBSTITUTE(SUBSTITUTE(Продажи_исходные!C130," шт.","")," шт",""),"шт.",""),"шт",""))),0)</f>
        <v>3</v>
      </c>
      <c r="D130" s="4">
        <f>IF(LEFT(Продажи_исходные!D130,1)="$",VALUE(MID(Продажи_исходные!D130,2,255))*95,IF(LEFT(Продажи_исходные!D130,1)="€",VALUE(MID(Продажи_исходные!D130,2,255))*100,VALUE(SUBSTITUTE(SUBSTITUTE(Продажи_исходные!D130,"₽","")," ",""))))</f>
        <v>10000</v>
      </c>
      <c r="E130" t="str">
        <f>Продажи_исходные!E130</f>
        <v>C0129</v>
      </c>
      <c r="F130" t="str">
        <f>Продажи_исходные!F130</f>
        <v>P021</v>
      </c>
      <c r="G130" t="str">
        <f>IFERROR(VLOOKUP(Продажи_исходные!G130,Справочники!$G$2:$H$50,2,FALSE),Продажи_исходные!G130)</f>
        <v>Завершен</v>
      </c>
      <c r="H130" s="4">
        <f>IFERROR(VLOOKUP(B130,Товары_очищенные!$A$1:$G$1000,6,FALSE),"нет в каталоге")</f>
        <v>26500</v>
      </c>
      <c r="I130" t="str">
        <f>IFERROR(VLOOKUP(B130,Товары_очищенные!$A$1:$G$1000,3,FALSE),"нет в каталоге")</f>
        <v>Часы</v>
      </c>
      <c r="J130" t="str">
        <f t="shared" si="27"/>
        <v>OK</v>
      </c>
    </row>
    <row r="131">
      <c r="A131" s="8">
        <f>DATE(RIGHT(Продажи_исходные!A131,4),LEFT(Продажи_исходные!A131,2),MID(Продажи_исходные!A131,4,2))</f>
        <v>45736</v>
      </c>
      <c r="B131" t="str">
        <f>"АРТ-"&amp;LEFT(SUBSTITUTE(SUBSTITUTE(SUBSTITUTE(SUBSTITUTE(Продажи_исходные!B131,"№",""),"АРТ-",""),"АРТ_",""),"/","-"),3)</f>
        <v>АРТ-161</v>
      </c>
      <c r="C131" s="4">
        <f>IFERROR(VALUE(TRIM(SUBSTITUTE(SUBSTITUTE(SUBSTITUTE(SUBSTITUTE(Продажи_исходные!C131," шт.","")," шт",""),"шт.",""),"шт",""))),0)</f>
        <v>-2</v>
      </c>
      <c r="D131" s="4">
        <f>IF(LEFT(Продажи_исходные!D131,1)="$",VALUE(MID(Продажи_исходные!D131,2,255))*95,IF(LEFT(Продажи_исходные!D131,1)="€",VALUE(MID(Продажи_исходные!D131,2,255))*100,VALUE(SUBSTITUTE(SUBSTITUTE(Продажи_исходные!D131,"₽","")," ",""))))</f>
        <v>8550</v>
      </c>
      <c r="E131" t="str">
        <f>Продажи_исходные!E131</f>
        <v>C0130</v>
      </c>
      <c r="F131" t="str">
        <f>Продажи_исходные!F131</f>
        <v>P039</v>
      </c>
      <c r="G131" t="str">
        <f>IFERROR(VLOOKUP(Продажи_исходные!G131,Справочники!$G$2:$H$50,2,FALSE),Продажи_исходные!G131)</f>
        <v>Завершен</v>
      </c>
      <c r="H131" s="4">
        <f>IFERROR(VLOOKUP(B131,Товары_очищенные!$A$1:$G$1000,6,FALSE),"нет в каталоге")</f>
        <v>8500</v>
      </c>
      <c r="I131" t="str">
        <f>IFERROR(VLOOKUP(B131,Товары_очищенные!$A$1:$G$1000,3,FALSE),"нет в каталоге")</f>
        <v>Аксессуары</v>
      </c>
      <c r="J131" t="str">
        <f t="shared" si="27"/>
        <v>OK</v>
      </c>
    </row>
    <row r="132">
      <c r="A132" s="8">
        <f>DATE(RIGHT(Продажи_исходные!A132,4),LEFT(Продажи_исходные!A132,2),MID(Продажи_исходные!A132,4,2))</f>
        <v>45737</v>
      </c>
      <c r="B132" t="str">
        <f>"АРТ-"&amp;LEFT(SUBSTITUTE(SUBSTITUTE(SUBSTITUTE(SUBSTITUTE(Продажи_исходные!B132,"№",""),"АРТ-",""),"АРТ_",""),"/","-"),3)</f>
        <v>АРТ-480</v>
      </c>
      <c r="C132" s="4">
        <f>IFERROR(VALUE(TRIM(SUBSTITUTE(SUBSTITUTE(SUBSTITUTE(SUBSTITUTE(Продажи_исходные!C132," шт.","")," шт",""),"шт.",""),"шт",""))),0)</f>
        <v>1</v>
      </c>
      <c r="D132" s="4">
        <f>IF(LEFT(Продажи_исходные!D132,1)="$",VALUE(MID(Продажи_исходные!D132,2,255))*95,IF(LEFT(Продажи_исходные!D132,1)="€",VALUE(MID(Продажи_исходные!D132,2,255))*100,VALUE(SUBSTITUTE(SUBSTITUTE(Продажи_исходные!D132,"₽","")," ",""))))</f>
        <v>7000</v>
      </c>
      <c r="E132" t="str">
        <f>Продажи_исходные!E132</f>
        <v>C0131</v>
      </c>
      <c r="F132" t="str">
        <f>Продажи_исходные!F132</f>
        <v>P050</v>
      </c>
      <c r="G132" t="str">
        <f>IFERROR(VLOOKUP(Продажи_исходные!G132,Справочники!$G$2:$H$50,2,FALSE),Продажи_исходные!G132)</f>
        <v>Отменен</v>
      </c>
      <c r="H132" s="4">
        <f>IFERROR(VLOOKUP(B132,Товары_очищенные!$A$1:$G$1000,6,FALSE),"нет в каталоге")</f>
        <v>13800</v>
      </c>
      <c r="I132" t="str">
        <f>IFERROR(VLOOKUP(B132,Товары_очищенные!$A$1:$G$1000,3,FALSE),"нет в каталоге")</f>
        <v>Аксессуары</v>
      </c>
      <c r="J132" t="str">
        <f t="shared" si="27"/>
        <v>OK</v>
      </c>
    </row>
    <row r="133">
      <c r="A133" s="8">
        <f>DATE(RIGHT(Продажи_исходные!A133,4),LEFT(Продажи_исходные!A133,2),MID(Продажи_исходные!A133,4,2))</f>
        <v>45737</v>
      </c>
      <c r="B133" t="str">
        <f>"АРТ-"&amp;LEFT(SUBSTITUTE(SUBSTITUTE(SUBSTITUTE(SUBSTITUTE(Продажи_исходные!B133,"№",""),"АРТ-",""),"АРТ_",""),"/","-"),3)</f>
        <v>АРТ-059</v>
      </c>
      <c r="C133" s="4">
        <f>IFERROR(VALUE(TRIM(SUBSTITUTE(SUBSTITUTE(SUBSTITUTE(SUBSTITUTE(Продажи_исходные!C133," шт.","")," шт",""),"шт.",""),"шт",""))),0)</f>
        <v>2</v>
      </c>
      <c r="D133" s="4">
        <f>IF(LEFT(Продажи_исходные!D133,1)="$",VALUE(MID(Продажи_исходные!D133,2,255))*95,IF(LEFT(Продажи_исходные!D133,1)="€",VALUE(MID(Продажи_исходные!D133,2,255))*100,VALUE(SUBSTITUTE(SUBSTITUTE(Продажи_исходные!D133,"₽","")," ",""))))</f>
        <v>6500</v>
      </c>
      <c r="E133" t="str">
        <f>Продажи_исходные!E133</f>
        <v>C0132</v>
      </c>
      <c r="F133" t="str">
        <f>Продажи_исходные!F133</f>
        <v>P011</v>
      </c>
      <c r="G133" t="str">
        <f>IFERROR(VLOOKUP(Продажи_исходные!G133,Справочники!$G$2:$H$50,2,FALSE),Продажи_исходные!G133)</f>
        <v>Отменен</v>
      </c>
      <c r="H133" s="4">
        <f>IFERROR(VLOOKUP(B133,Товары_очищенные!$A$1:$G$1000,6,FALSE),"нет в каталоге")</f>
        <v>66000</v>
      </c>
      <c r="I133" t="str">
        <f>IFERROR(VLOOKUP(B133,Товары_очищенные!$A$1:$G$1000,3,FALSE),"нет в каталоге")</f>
        <v>Планшеты</v>
      </c>
      <c r="J133" t="str">
        <f t="shared" si="27"/>
        <v>OK</v>
      </c>
    </row>
    <row r="134">
      <c r="A134" s="8">
        <f>DATE(RIGHT(Продажи_исходные!A134,4),LEFT(Продажи_исходные!A134,2),MID(Продажи_исходные!A134,4,2))</f>
        <v>45738</v>
      </c>
      <c r="B134" t="str">
        <f>"АРТ-"&amp;LEFT(SUBSTITUTE(SUBSTITUTE(SUBSTITUTE(SUBSTITUTE(Продажи_исходные!B134,"№",""),"АРТ-",""),"АРТ_",""),"/","-"),3)</f>
        <v>АРТ-222</v>
      </c>
      <c r="C134" s="4">
        <f>IFERROR(VALUE(TRIM(SUBSTITUTE(SUBSTITUTE(SUBSTITUTE(SUBSTITUTE(Продажи_исходные!C134," шт.","")," шт",""),"шт.",""),"шт",""))),0)</f>
        <v>3</v>
      </c>
      <c r="D134" s="4">
        <f>IF(LEFT(Продажи_исходные!D134,1)="$",VALUE(MID(Продажи_исходные!D134,2,255))*95,IF(LEFT(Продажи_исходные!D134,1)="€",VALUE(MID(Продажи_исходные!D134,2,255))*100,VALUE(SUBSTITUTE(SUBSTITUTE(Продажи_исходные!D134,"₽","")," ",""))))</f>
        <v>9975</v>
      </c>
      <c r="E134" t="str">
        <f>Продажи_исходные!E134</f>
        <v>C0133</v>
      </c>
      <c r="F134" t="str">
        <f>Продажи_исходные!F134</f>
        <v>P027</v>
      </c>
      <c r="G134" t="str">
        <f>IFERROR(VLOOKUP(Продажи_исходные!G134,Справочники!$G$2:$H$50,2,FALSE),Продажи_исходные!G134)</f>
        <v>Завершен</v>
      </c>
      <c r="H134" s="4">
        <f>IFERROR(VLOOKUP(B134,Товары_очищенные!$A$1:$G$1000,6,FALSE),"нет в каталоге")</f>
        <v>26000</v>
      </c>
      <c r="I134" t="str">
        <f>IFERROR(VLOOKUP(B134,Товары_очищенные!$A$1:$G$1000,3,FALSE),"нет в каталоге")</f>
        <v>Наушники</v>
      </c>
      <c r="J134" t="str">
        <f t="shared" si="27"/>
        <v>OK</v>
      </c>
    </row>
    <row r="135">
      <c r="A135" s="8">
        <f>DATE(RIGHT(Продажи_исходные!A135,4),LEFT(Продажи_исходные!A135,2),MID(Продажи_исходные!A135,4,2))</f>
        <v>45738</v>
      </c>
      <c r="B135" t="str">
        <f>"АРТ-"&amp;LEFT(SUBSTITUTE(SUBSTITUTE(SUBSTITUTE(SUBSTITUTE(Продажи_исходные!B135,"№",""),"АРТ-",""),"АРТ_",""),"/","-"),3)</f>
        <v>АРТ-348</v>
      </c>
      <c r="C135" s="4">
        <f>IFERROR(VALUE(TRIM(SUBSTITUTE(SUBSTITUTE(SUBSTITUTE(SUBSTITUTE(Продажи_исходные!C135," шт.","")," шт",""),"шт.",""),"шт",""))),0)</f>
        <v>2</v>
      </c>
      <c r="D135" s="4">
        <f>IF(LEFT(Продажи_исходные!D135,1)="$",VALUE(MID(Продажи_исходные!D135,2,255))*95,IF(LEFT(Продажи_исходные!D135,1)="€",VALUE(MID(Продажи_исходные!D135,2,255))*100,VALUE(SUBSTITUTE(SUBSTITUTE(Продажи_исходные!D135,"₽","")," ",""))))</f>
        <v>8500</v>
      </c>
      <c r="E135" t="str">
        <f>Продажи_исходные!E135</f>
        <v>C0134</v>
      </c>
      <c r="F135" t="str">
        <f>Продажи_исходные!F135</f>
        <v>P018</v>
      </c>
      <c r="G135" t="str">
        <f>IFERROR(VLOOKUP(Продажи_исходные!G135,Справочники!$G$2:$H$50,2,FALSE),Продажи_исходные!G135)</f>
        <v>Возврат</v>
      </c>
      <c r="H135" s="4">
        <f>IFERROR(VLOOKUP(B135,Товары_очищенные!$A$1:$G$1000,6,FALSE),"нет в каталоге")</f>
        <v>20800</v>
      </c>
      <c r="I135" t="str">
        <f>IFERROR(VLOOKUP(B135,Товары_очищенные!$A$1:$G$1000,3,FALSE),"нет в каталоге")</f>
        <v>Наушники</v>
      </c>
      <c r="J135" t="str">
        <f t="shared" si="27"/>
        <v>OK</v>
      </c>
    </row>
    <row r="136">
      <c r="A136" s="8">
        <f>DATE(RIGHT(Продажи_исходные!A136,4),LEFT(Продажи_исходные!A136,2),MID(Продажи_исходные!A136,4,2))</f>
        <v>45739</v>
      </c>
      <c r="B136" t="str">
        <f>"АРТ-"&amp;LEFT(SUBSTITUTE(SUBSTITUTE(SUBSTITUTE(SUBSTITUTE(Продажи_исходные!B136,"№",""),"АРТ-",""),"АРТ_",""),"/","-"),3)</f>
        <v>АРТ-097</v>
      </c>
      <c r="C136" s="4">
        <f>IFERROR(VALUE(TRIM(SUBSTITUTE(SUBSTITUTE(SUBSTITUTE(SUBSTITUTE(Продажи_исходные!C136," шт.","")," шт",""),"шт.",""),"шт",""))),0)</f>
        <v>1</v>
      </c>
      <c r="D136" s="4">
        <f>IF(LEFT(Продажи_исходные!D136,1)="$",VALUE(MID(Продажи_исходные!D136,2,255))*95,IF(LEFT(Продажи_исходные!D136,1)="€",VALUE(MID(Продажи_исходные!D136,2,255))*100,VALUE(SUBSTITUTE(SUBSTITUTE(Продажи_исходные!D136,"₽","")," ",""))))</f>
        <v>7800</v>
      </c>
      <c r="E136" t="str">
        <f>Продажи_исходные!E136</f>
        <v>C0135</v>
      </c>
      <c r="F136" t="str">
        <f>Продажи_исходные!F136</f>
        <v>P040</v>
      </c>
      <c r="G136" t="str">
        <f>IFERROR(VLOOKUP(Продажи_исходные!G136,Справочники!$G$2:$H$50,2,FALSE),Продажи_исходные!G136)</f>
        <v>Завершен</v>
      </c>
      <c r="H136" s="4">
        <f>IFERROR(VLOOKUP(B136,Товары_очищенные!$A$1:$G$1000,6,FALSE),"нет в каталоге")</f>
        <v>6990</v>
      </c>
      <c r="I136" t="str">
        <f>IFERROR(VLOOKUP(B136,Товары_очищенные!$A$1:$G$1000,3,FALSE),"нет в каталоге")</f>
        <v>Аксессуары</v>
      </c>
      <c r="J136" t="str">
        <f t="shared" si="27"/>
        <v>OK</v>
      </c>
    </row>
    <row r="137">
      <c r="A137" s="8">
        <f>DATE(RIGHT(Продажи_исходные!A137,4),LEFT(Продажи_исходные!A137,2),MID(Продажи_исходные!A137,4,2))</f>
        <v>45739</v>
      </c>
      <c r="B137" t="str">
        <f>"АРТ-"&amp;LEFT(SUBSTITUTE(SUBSTITUTE(SUBSTITUTE(SUBSTITUTE(Продажи_исходные!B137,"№",""),"АРТ-",""),"АРТ_",""),"/","-"),3)</f>
        <v>АРТ-306</v>
      </c>
      <c r="C137" s="4">
        <f>IFERROR(VALUE(TRIM(SUBSTITUTE(SUBSTITUTE(SUBSTITUTE(SUBSTITUTE(Продажи_исходные!C137," шт.","")," шт",""),"шт.",""),"шт",""))),0)</f>
        <v>-3</v>
      </c>
      <c r="D137" s="4">
        <f>IF(LEFT(Продажи_исходные!D137,1)="$",VALUE(MID(Продажи_исходные!D137,2,255))*95,IF(LEFT(Продажи_исходные!D137,1)="€",VALUE(MID(Продажи_исходные!D137,2,255))*100,VALUE(SUBSTITUTE(SUBSTITUTE(Продажи_исходные!D137,"₽","")," ",""))))</f>
        <v>11400</v>
      </c>
      <c r="E137" t="str">
        <f>Продажи_исходные!E137</f>
        <v>C0136</v>
      </c>
      <c r="F137" t="str">
        <f>Продажи_исходные!F137</f>
        <v>P003</v>
      </c>
      <c r="G137" t="str">
        <f>IFERROR(VLOOKUP(Продажи_исходные!G137,Справочники!$G$2:$H$50,2,FALSE),Продажи_исходные!G137)</f>
        <v>Завершен</v>
      </c>
      <c r="H137" s="4">
        <f>IFERROR(VLOOKUP(B137,Товары_очищенные!$A$1:$G$1000,6,FALSE),"нет в каталоге")</f>
        <v>62000</v>
      </c>
      <c r="I137" t="str">
        <f>IFERROR(VLOOKUP(B137,Товары_очищенные!$A$1:$G$1000,3,FALSE),"нет в каталоге")</f>
        <v>Мониторы</v>
      </c>
      <c r="J137" t="str">
        <f t="shared" si="27"/>
        <v>OK</v>
      </c>
    </row>
    <row r="138">
      <c r="A138" s="8">
        <f>DATE(RIGHT(Продажи_исходные!A138,4),LEFT(Продажи_исходные!A138,2),MID(Продажи_исходные!A138,4,2))</f>
        <v>45740</v>
      </c>
      <c r="B138" t="str">
        <f>"АРТ-"&amp;LEFT(SUBSTITUTE(SUBSTITUTE(SUBSTITUTE(SUBSTITUTE(Продажи_исходные!B138,"№",""),"АРТ-",""),"АРТ_",""),"/","-"),3)</f>
        <v>АРТ-184</v>
      </c>
      <c r="C138" s="4">
        <f>IFERROR(VALUE(TRIM(SUBSTITUTE(SUBSTITUTE(SUBSTITUTE(SUBSTITUTE(Продажи_исходные!C138," шт.","")," шт",""),"шт.",""),"шт",""))),0)</f>
        <v>2</v>
      </c>
      <c r="D138" s="4">
        <f>IF(LEFT(Продажи_исходные!D138,1)="$",VALUE(MID(Продажи_исходные!D138,2,255))*95,IF(LEFT(Продажи_исходные!D138,1)="€",VALUE(MID(Продажи_исходные!D138,2,255))*100,VALUE(SUBSTITUTE(SUBSTITUTE(Продажи_исходные!D138,"₽","")," ",""))))</f>
        <v>10000</v>
      </c>
      <c r="E138" t="str">
        <f>Продажи_исходные!E138</f>
        <v>C0137</v>
      </c>
      <c r="F138" t="str">
        <f>Продажи_исходные!F138</f>
        <v>P025</v>
      </c>
      <c r="G138" t="str">
        <f>IFERROR(VLOOKUP(Продажи_исходные!G138,Справочники!$G$2:$H$50,2,FALSE),Продажи_исходные!G138)</f>
        <v>Завершен</v>
      </c>
      <c r="H138" s="4">
        <f>IFERROR(VLOOKUP(B138,Товары_очищенные!$A$1:$G$1000,6,FALSE),"нет в каталоге")</f>
        <v>19990</v>
      </c>
      <c r="I138" t="str">
        <f>IFERROR(VLOOKUP(B138,Товары_очищенные!$A$1:$G$1000,3,FALSE),"нет в каталоге")</f>
        <v>Аксессуары</v>
      </c>
      <c r="J138" t="str">
        <f t="shared" si="27"/>
        <v>OK</v>
      </c>
    </row>
    <row r="139">
      <c r="A139" s="8">
        <f>DATE(RIGHT(Продажи_исходные!A139,4),LEFT(Продажи_исходные!A139,2),MID(Продажи_исходные!A139,4,2))</f>
        <v>45740</v>
      </c>
      <c r="B139" t="str">
        <f>"АРТ-"&amp;LEFT(SUBSTITUTE(SUBSTITUTE(SUBSTITUTE(SUBSTITUTE(Продажи_исходные!B139,"№",""),"АРТ-",""),"АРТ_",""),"/","-"),3)</f>
        <v>АРТ-256</v>
      </c>
      <c r="C139" s="4">
        <f>IFERROR(VALUE(TRIM(SUBSTITUTE(SUBSTITUTE(SUBSTITUTE(SUBSTITUTE(Продажи_исходные!C139," шт.","")," шт",""),"шт.",""),"шт",""))),0)</f>
        <v>1</v>
      </c>
      <c r="D139" s="4">
        <f>IF(LEFT(Продажи_исходные!D139,1)="$",VALUE(MID(Продажи_исходные!D139,2,255))*95,IF(LEFT(Продажи_исходные!D139,1)="€",VALUE(MID(Продажи_исходные!D139,2,255))*100,VALUE(SUBSTITUTE(SUBSTITUTE(Продажи_исходные!D139,"₽","")," ",""))))</f>
        <v>9200</v>
      </c>
      <c r="E139" t="str">
        <f>Продажи_исходные!E139</f>
        <v>C0138</v>
      </c>
      <c r="F139" t="str">
        <f>Продажи_исходные!F139</f>
        <v>P010</v>
      </c>
      <c r="G139" t="str">
        <f>IFERROR(VLOOKUP(Продажи_исходные!G139,Справочники!$G$2:$H$50,2,FALSE),Продажи_исходные!G139)</f>
        <v>Отменен</v>
      </c>
      <c r="H139" s="4">
        <f>IFERROR(VLOOKUP(B139,Товары_очищенные!$A$1:$G$1000,6,FALSE),"нет в каталоге")</f>
        <v>37990</v>
      </c>
      <c r="I139" t="str">
        <f>IFERROR(VLOOKUP(B139,Товары_очищенные!$A$1:$G$1000,3,FALSE),"нет в каталоге")</f>
        <v>Смартфоны</v>
      </c>
      <c r="J139" t="str">
        <f t="shared" si="27"/>
        <v>OK</v>
      </c>
    </row>
    <row r="140">
      <c r="A140" s="8">
        <f>DATE(RIGHT(Продажи_исходные!A140,4),LEFT(Продажи_исходные!A140,2),MID(Продажи_исходные!A140,4,2))</f>
        <v>45741</v>
      </c>
      <c r="B140" t="str">
        <f>"АРТ-"&amp;LEFT(SUBSTITUTE(SUBSTITUTE(SUBSTITUTE(SUBSTITUTE(Продажи_исходные!B140,"№",""),"АРТ-",""),"АРТ_",""),"/","-"),3)</f>
        <v>АРТ-138</v>
      </c>
      <c r="C140" s="4">
        <f>IFERROR(VALUE(TRIM(SUBSTITUTE(SUBSTITUTE(SUBSTITUTE(SUBSTITUTE(Продажи_исходные!C140," шт.","")," шт",""),"шт.",""),"шт",""))),0)</f>
        <v>3</v>
      </c>
      <c r="D140" s="4">
        <f>IF(LEFT(Продажи_исходные!D140,1)="$",VALUE(MID(Продажи_исходные!D140,2,255))*95,IF(LEFT(Продажи_исходные!D140,1)="€",VALUE(MID(Продажи_исходные!D140,2,255))*100,VALUE(SUBSTITUTE(SUBSTITUTE(Продажи_исходные!D140,"₽","")," ",""))))</f>
        <v>8075</v>
      </c>
      <c r="E140" t="str">
        <f>Продажи_исходные!E140</f>
        <v>C0139</v>
      </c>
      <c r="F140" t="str">
        <f>Продажи_исходные!F140</f>
        <v>P033</v>
      </c>
      <c r="G140" t="str">
        <f>IFERROR(VLOOKUP(Продажи_исходные!G140,Справочники!$G$2:$H$50,2,FALSE),Продажи_исходные!G140)</f>
        <v>Отменен</v>
      </c>
      <c r="H140" s="4">
        <f>IFERROR(VLOOKUP(B140,Товары_очищенные!$A$1:$G$1000,6,FALSE),"нет в каталоге")</f>
        <v>24000</v>
      </c>
      <c r="I140" t="str">
        <f>IFERROR(VLOOKUP(B140,Товары_очищенные!$A$1:$G$1000,3,FALSE),"нет в каталоге")</f>
        <v>Наушники</v>
      </c>
      <c r="J140" t="str">
        <f t="shared" si="27"/>
        <v>OK</v>
      </c>
    </row>
    <row r="141">
      <c r="A141" s="8">
        <f>DATE(RIGHT(Продажи_исходные!A141,4),LEFT(Продажи_исходные!A141,2),MID(Продажи_исходные!A141,4,2))</f>
        <v>45741</v>
      </c>
      <c r="B141" t="str">
        <f>"АРТ-"&amp;LEFT(SUBSTITUTE(SUBSTITUTE(SUBSTITUTE(SUBSTITUTE(Продажи_исходные!B141,"№",""),"АРТ-",""),"АРТ_",""),"/","-"),3)</f>
        <v>АРТ-399</v>
      </c>
      <c r="C141" s="4">
        <f>IFERROR(VALUE(TRIM(SUBSTITUTE(SUBSTITUTE(SUBSTITUTE(SUBSTITUTE(Продажи_исходные!C141," шт.","")," шт",""),"шт.",""),"шт",""))),0)</f>
        <v>2</v>
      </c>
      <c r="D141" s="4">
        <f>IF(LEFT(Продажи_исходные!D141,1)="$",VALUE(MID(Продажи_исходные!D141,2,255))*95,IF(LEFT(Продажи_исходные!D141,1)="€",VALUE(MID(Продажи_исходные!D141,2,255))*100,VALUE(SUBSTITUTE(SUBSTITUTE(Продажи_исходные!D141,"₽","")," ",""))))</f>
        <v>6500</v>
      </c>
      <c r="E141" t="str">
        <f>Продажи_исходные!E141</f>
        <v>C0140</v>
      </c>
      <c r="F141" t="str">
        <f>Продажи_исходные!F141</f>
        <v>P047</v>
      </c>
      <c r="G141" t="str">
        <f>IFERROR(VLOOKUP(Продажи_исходные!G141,Справочники!$G$2:$H$50,2,FALSE),Продажи_исходные!G141)</f>
        <v>Возврат</v>
      </c>
      <c r="H141" s="4">
        <f>IFERROR(VLOOKUP(B141,Товары_очищенные!$A$1:$G$1000,6,FALSE),"нет в каталоге")</f>
        <v>8800</v>
      </c>
      <c r="I141" t="str">
        <f>IFERROR(VLOOKUP(B141,Товары_очищенные!$A$1:$G$1000,3,FALSE),"нет в каталоге")</f>
        <v>Аксессуары</v>
      </c>
      <c r="J141" t="str">
        <f t="shared" si="27"/>
        <v>OK</v>
      </c>
    </row>
    <row r="142">
      <c r="A142" s="8">
        <f>DATE(RIGHT(Продажи_исходные!A142,4),LEFT(Продажи_исходные!A142,2),MID(Продажи_исходные!A142,4,2))</f>
        <v>45742</v>
      </c>
      <c r="B142" t="str">
        <f>"АРТ-"&amp;LEFT(SUBSTITUTE(SUBSTITUTE(SUBSTITUTE(SUBSTITUTE(Продажи_исходные!B142,"№",""),"АРТ-",""),"АРТ_",""),"/","-"),3)</f>
        <v>АРТ-407</v>
      </c>
      <c r="C142" s="4">
        <f>IFERROR(VALUE(TRIM(SUBSTITUTE(SUBSTITUTE(SUBSTITUTE(SUBSTITUTE(Продажи_исходные!C142," шт.","")," шт",""),"шт.",""),"шт",""))),0)</f>
        <v>1</v>
      </c>
      <c r="D142" s="4">
        <f>IF(LEFT(Продажи_исходные!D142,1)="$",VALUE(MID(Продажи_исходные!D142,2,255))*95,IF(LEFT(Продажи_исходные!D142,1)="€",VALUE(MID(Продажи_исходные!D142,2,255))*100,VALUE(SUBSTITUTE(SUBSTITUTE(Продажи_исходные!D142,"₽","")," ",""))))</f>
        <v>6000</v>
      </c>
      <c r="E142" t="str">
        <f>Продажи_исходные!E142</f>
        <v>C0141</v>
      </c>
      <c r="F142" t="str">
        <f>Продажи_исходные!F142</f>
        <v>P020</v>
      </c>
      <c r="G142" t="str">
        <f>IFERROR(VLOOKUP(Продажи_исходные!G142,Справочники!$G$2:$H$50,2,FALSE),Продажи_исходные!G142)</f>
        <v>Завершен</v>
      </c>
      <c r="H142" s="4">
        <f>IFERROR(VLOOKUP(B142,Товары_очищенные!$A$1:$G$1000,6,FALSE),"нет в каталоге")</f>
        <v>102000</v>
      </c>
      <c r="I142" t="str">
        <f>IFERROR(VLOOKUP(B142,Товары_очищенные!$A$1:$G$1000,3,FALSE),"нет в каталоге")</f>
        <v>Телевизоры</v>
      </c>
      <c r="J142" t="str">
        <f t="shared" si="27"/>
        <v>OK</v>
      </c>
    </row>
    <row r="143">
      <c r="A143" s="8">
        <f>DATE(RIGHT(Продажи_исходные!A143,4),LEFT(Продажи_исходные!A143,2),MID(Продажи_исходные!A143,4,2))</f>
        <v>45742</v>
      </c>
      <c r="B143" t="str">
        <f>"АРТ-"&amp;LEFT(SUBSTITUTE(SUBSTITUTE(SUBSTITUTE(SUBSTITUTE(Продажи_исходные!B143,"№",""),"АРТ-",""),"АРТ_",""),"/","-"),3)</f>
        <v>АРТ-272</v>
      </c>
      <c r="C143" s="4">
        <f>IFERROR(VALUE(TRIM(SUBSTITUTE(SUBSTITUTE(SUBSTITUTE(SUBSTITUTE(Продажи_исходные!C143," шт.","")," шт",""),"шт.",""),"шт",""))),0)</f>
        <v>-1</v>
      </c>
      <c r="D143" s="4">
        <f>IF(LEFT(Продажи_исходные!D143,1)="$",VALUE(MID(Продажи_исходные!D143,2,255))*95,IF(LEFT(Продажи_исходные!D143,1)="€",VALUE(MID(Продажи_исходные!D143,2,255))*100,VALUE(SUBSTITUTE(SUBSTITUTE(Продажи_исходные!D143,"₽","")," ",""))))</f>
        <v>10450</v>
      </c>
      <c r="E143" t="str">
        <f>Продажи_исходные!E143</f>
        <v>C0142</v>
      </c>
      <c r="F143" t="str">
        <f>Продажи_исходные!F143</f>
        <v>P002</v>
      </c>
      <c r="G143" t="str">
        <f>IFERROR(VLOOKUP(Продажи_исходные!G143,Справочники!$G$2:$H$50,2,FALSE),Продажи_исходные!G143)</f>
        <v>Завершен</v>
      </c>
      <c r="H143" s="4">
        <f>IFERROR(VLOOKUP(B143,Товары_очищенные!$A$1:$G$1000,6,FALSE),"нет в каталоге")</f>
        <v>43500</v>
      </c>
      <c r="I143" t="str">
        <f>IFERROR(VLOOKUP(B143,Товары_очищенные!$A$1:$G$1000,3,FALSE),"нет в каталоге")</f>
        <v>Смартфоны</v>
      </c>
      <c r="J143" t="str">
        <f t="shared" si="27"/>
        <v>OK</v>
      </c>
    </row>
    <row r="144">
      <c r="A144" s="8">
        <f>DATE(RIGHT(Продажи_исходные!A144,4),LEFT(Продажи_исходные!A144,2),MID(Продажи_исходные!A144,4,2))</f>
        <v>45743</v>
      </c>
      <c r="B144" t="str">
        <f>"АРТ-"&amp;LEFT(SUBSTITUTE(SUBSTITUTE(SUBSTITUTE(SUBSTITUTE(Продажи_исходные!B144,"№",""),"АРТ-",""),"АРТ_",""),"/","-"),3)</f>
        <v>АРТ-144</v>
      </c>
      <c r="C144" s="4">
        <f>IFERROR(VALUE(TRIM(SUBSTITUTE(SUBSTITUTE(SUBSTITUTE(SUBSTITUTE(Продажи_исходные!C144," шт.","")," шт",""),"шт.",""),"шт",""))),0)</f>
        <v>3</v>
      </c>
      <c r="D144" s="4">
        <f>IF(LEFT(Продажи_исходные!D144,1)="$",VALUE(MID(Продажи_исходные!D144,2,255))*95,IF(LEFT(Продажи_исходные!D144,1)="€",VALUE(MID(Продажи_исходные!D144,2,255))*100,VALUE(SUBSTITUTE(SUBSTITUTE(Продажи_исходные!D144,"₽","")," ",""))))</f>
        <v>9000</v>
      </c>
      <c r="E144" t="str">
        <f>Продажи_исходные!E144</f>
        <v>C0143</v>
      </c>
      <c r="F144" t="str">
        <f>Продажи_исходные!F144</f>
        <v>P038</v>
      </c>
      <c r="G144" t="str">
        <f>IFERROR(VLOOKUP(Продажи_исходные!G144,Справочники!$G$2:$H$50,2,FALSE),Продажи_исходные!G144)</f>
        <v>Завершен</v>
      </c>
      <c r="H144" s="4">
        <f>IFERROR(VLOOKUP(B144,Товары_очищенные!$A$1:$G$1000,6,FALSE),"нет в каталоге")</f>
        <v>8500</v>
      </c>
      <c r="I144" t="str">
        <f>IFERROR(VLOOKUP(B144,Товары_очищенные!$A$1:$G$1000,3,FALSE),"нет в каталоге")</f>
        <v>Аксессуары</v>
      </c>
      <c r="J144" t="str">
        <f t="shared" si="27"/>
        <v>OK</v>
      </c>
    </row>
    <row r="145">
      <c r="A145" s="8">
        <f>DATE(RIGHT(Продажи_исходные!A145,4),LEFT(Продажи_исходные!A145,2),MID(Продажи_исходные!A145,4,2))</f>
        <v>45743</v>
      </c>
      <c r="B145" t="str">
        <f>"АРТ-"&amp;LEFT(SUBSTITUTE(SUBSTITUTE(SUBSTITUTE(SUBSTITUTE(Продажи_исходные!B145,"№",""),"АРТ-",""),"АРТ_",""),"/","-"),3)</f>
        <v>АРТ-112</v>
      </c>
      <c r="C145" s="4">
        <f>IFERROR(VALUE(TRIM(SUBSTITUTE(SUBSTITUTE(SUBSTITUTE(SUBSTITUTE(Продажи_исходные!C145," шт.","")," шт",""),"шт.",""),"шт",""))),0)</f>
        <v>2</v>
      </c>
      <c r="D145" s="4">
        <f>IF(LEFT(Продажи_исходные!D145,1)="$",VALUE(MID(Продажи_исходные!D145,2,255))*95,IF(LEFT(Продажи_исходные!D145,1)="€",VALUE(MID(Продажи_исходные!D145,2,255))*100,VALUE(SUBSTITUTE(SUBSTITUTE(Продажи_исходные!D145,"₽","")," ",""))))</f>
        <v>8000</v>
      </c>
      <c r="E145" t="str">
        <f>Продажи_исходные!E145</f>
        <v>C0144</v>
      </c>
      <c r="F145" t="str">
        <f>Продажи_исходные!F145</f>
        <v>P016</v>
      </c>
      <c r="G145" t="str">
        <f>IFERROR(VLOOKUP(Продажи_исходные!G145,Справочники!$G$2:$H$50,2,FALSE),Продажи_исходные!G145)</f>
        <v>Отменен</v>
      </c>
      <c r="H145" s="4">
        <f>IFERROR(VLOOKUP(B145,Товары_очищенные!$A$1:$G$1000,6,FALSE),"нет в каталоге")</f>
        <v>34990</v>
      </c>
      <c r="I145" t="str">
        <f>IFERROR(VLOOKUP(B145,Товары_очищенные!$A$1:$G$1000,3,FALSE),"нет в каталоге")</f>
        <v>Наушники</v>
      </c>
      <c r="J145" t="str">
        <f t="shared" si="27"/>
        <v>OK</v>
      </c>
    </row>
    <row r="146">
      <c r="A146" s="8">
        <f>DATE(RIGHT(Продажи_исходные!A146,4),LEFT(Продажи_исходные!A146,2),MID(Продажи_исходные!A146,4,2))</f>
        <v>45744</v>
      </c>
      <c r="B146" t="str">
        <f>"АРТ-"&amp;LEFT(SUBSTITUTE(SUBSTITUTE(SUBSTITUTE(SUBSTITUTE(Продажи_исходные!B146,"№",""),"АРТ-",""),"АРТ_",""),"/","-"),3)</f>
        <v>АРТ-099</v>
      </c>
      <c r="C146" s="4">
        <f>IFERROR(VALUE(TRIM(SUBSTITUTE(SUBSTITUTE(SUBSTITUTE(SUBSTITUTE(Продажи_исходные!C146," шт.","")," шт",""),"шт.",""),"шт",""))),0)</f>
        <v>1</v>
      </c>
      <c r="D146" s="4">
        <f>IF(LEFT(Продажи_исходные!D146,1)="$",VALUE(MID(Продажи_исходные!D146,2,255))*95,IF(LEFT(Продажи_исходные!D146,1)="€",VALUE(MID(Продажи_исходные!D146,2,255))*100,VALUE(SUBSTITUTE(SUBSTITUTE(Продажи_исходные!D146,"₽","")," ",""))))</f>
        <v>9500</v>
      </c>
      <c r="E146" t="str">
        <f>Продажи_исходные!E146</f>
        <v>C0145</v>
      </c>
      <c r="F146" t="str">
        <f>Продажи_исходные!F146</f>
        <v>P029</v>
      </c>
      <c r="G146" t="str">
        <f>IFERROR(VLOOKUP(Продажи_исходные!G146,Справочники!$G$2:$H$50,2,FALSE),Продажи_исходные!G146)</f>
        <v>Отменен</v>
      </c>
      <c r="H146" s="4">
        <f>IFERROR(VLOOKUP(B146,Товары_очищенные!$A$1:$G$1000,6,FALSE),"нет в каталоге")</f>
        <v>7500</v>
      </c>
      <c r="I146" t="str">
        <f>IFERROR(VLOOKUP(B146,Товары_очищенные!$A$1:$G$1000,3,FALSE),"нет в каталоге")</f>
        <v>Аксессуары</v>
      </c>
      <c r="J146" t="str">
        <f t="shared" si="27"/>
        <v>OK</v>
      </c>
    </row>
    <row r="147">
      <c r="A147" s="8">
        <f>DATE(RIGHT(Продажи_исходные!A147,4),LEFT(Продажи_исходные!A147,2),MID(Продажи_исходные!A147,4,2))</f>
        <v>45744</v>
      </c>
      <c r="B147" t="str">
        <f>"АРТ-"&amp;LEFT(SUBSTITUTE(SUBSTITUTE(SUBSTITUTE(SUBSTITUTE(Продажи_исходные!B147,"№",""),"АРТ-",""),"АРТ_",""),"/","-"),3)</f>
        <v>АРТ-337</v>
      </c>
      <c r="C147" s="4">
        <f>IFERROR(VALUE(TRIM(SUBSTITUTE(SUBSTITUTE(SUBSTITUTE(SUBSTITUTE(Продажи_исходные!C147," шт.","")," шт",""),"шт.",""),"шт",""))),0)</f>
        <v>2</v>
      </c>
      <c r="D147" s="4">
        <f>IF(LEFT(Продажи_исходные!D147,1)="$",VALUE(MID(Продажи_исходные!D147,2,255))*95,IF(LEFT(Продажи_исходные!D147,1)="€",VALUE(MID(Продажи_исходные!D147,2,255))*100,VALUE(SUBSTITUTE(SUBSTITUTE(Продажи_исходные!D147,"₽","")," ",""))))</f>
        <v>8000</v>
      </c>
      <c r="E147" t="str">
        <f>Продажи_исходные!E147</f>
        <v>C0146</v>
      </c>
      <c r="F147" t="str">
        <f>Продажи_исходные!F147</f>
        <v>P035</v>
      </c>
      <c r="G147" t="str">
        <f>IFERROR(VLOOKUP(Продажи_исходные!G147,Справочники!$G$2:$H$50,2,FALSE),Продажи_исходные!G147)</f>
        <v>Завершен</v>
      </c>
      <c r="H147" s="4">
        <f>IFERROR(VLOOKUP(B147,Товары_очищенные!$A$1:$G$1000,6,FALSE),"нет в каталоге")</f>
        <v>64990</v>
      </c>
      <c r="I147" t="str">
        <f>IFERROR(VLOOKUP(B147,Товары_очищенные!$A$1:$G$1000,3,FALSE),"нет в каталоге")</f>
        <v>Смартфоны</v>
      </c>
      <c r="J147" t="str">
        <f t="shared" si="27"/>
        <v>OK</v>
      </c>
    </row>
    <row r="148">
      <c r="A148" s="8">
        <f>DATE(RIGHT(Продажи_исходные!A148,4),LEFT(Продажи_исходные!A148,2),MID(Продажи_исходные!A148,4,2))</f>
        <v>45745</v>
      </c>
      <c r="B148" t="str">
        <f>"АРТ-"&amp;LEFT(SUBSTITUTE(SUBSTITUTE(SUBSTITUTE(SUBSTITUTE(Продажи_исходные!B148,"№",""),"АРТ-",""),"АРТ_",""),"/","-"),3)</f>
        <v>АРТ-231</v>
      </c>
      <c r="C148" s="4">
        <f>IFERROR(VALUE(TRIM(SUBSTITUTE(SUBSTITUTE(SUBSTITUTE(SUBSTITUTE(Продажи_исходные!C148," шт.","")," шт",""),"шт.",""),"шт",""))),0)</f>
        <v>3</v>
      </c>
      <c r="D148" s="4">
        <f>IF(LEFT(Продажи_исходные!D148,1)="$",VALUE(MID(Продажи_исходные!D148,2,255))*95,IF(LEFT(Продажи_исходные!D148,1)="€",VALUE(MID(Продажи_исходные!D148,2,255))*100,VALUE(SUBSTITUTE(SUBSTITUTE(Продажи_исходные!D148,"₽","")," ",""))))</f>
        <v>7500</v>
      </c>
      <c r="E148" t="str">
        <f>Продажи_исходные!E148</f>
        <v>C0147</v>
      </c>
      <c r="F148" t="str">
        <f>Продажи_исходные!F148</f>
        <v>P046</v>
      </c>
      <c r="G148" t="str">
        <f>IFERROR(VLOOKUP(Продажи_исходные!G148,Справочники!$G$2:$H$50,2,FALSE),Продажи_исходные!G148)</f>
        <v>Возврат</v>
      </c>
      <c r="H148" s="4">
        <f>IFERROR(VLOOKUP(B148,Товары_очищенные!$A$1:$G$1000,6,FALSE),"нет в каталоге")</f>
        <v>122500</v>
      </c>
      <c r="I148" t="str">
        <f>IFERROR(VLOOKUP(B148,Товары_очищенные!$A$1:$G$1000,3,FALSE),"нет в каталоге")</f>
        <v>Ноутбуки</v>
      </c>
      <c r="J148" t="str">
        <f t="shared" si="27"/>
        <v>OK</v>
      </c>
    </row>
    <row r="149">
      <c r="A149" s="8">
        <f>DATE(RIGHT(Продажи_исходные!A149,4),LEFT(Продажи_исходные!A149,2),MID(Продажи_исходные!A149,4,2))</f>
        <v>45745</v>
      </c>
      <c r="B149" t="str">
        <f>"АРТ-"&amp;LEFT(SUBSTITUTE(SUBSTITUTE(SUBSTITUTE(SUBSTITUTE(Продажи_исходные!B149,"№",""),"АРТ-",""),"АРТ_",""),"/","-"),3)</f>
        <v>АРТ-165</v>
      </c>
      <c r="C149" s="4">
        <f>IFERROR(VALUE(TRIM(SUBSTITUTE(SUBSTITUTE(SUBSTITUTE(SUBSTITUTE(Продажи_исходные!C149," шт.","")," шт",""),"шт.",""),"шт",""))),0)</f>
        <v>-2</v>
      </c>
      <c r="D149" s="4">
        <f>IF(LEFT(Продажи_исходные!D149,1)="$",VALUE(MID(Продажи_исходные!D149,2,255))*95,IF(LEFT(Продажи_исходные!D149,1)="€",VALUE(MID(Продажи_исходные!D149,2,255))*100,VALUE(SUBSTITUTE(SUBSTITUTE(Продажи_исходные!D149,"₽","")," ",""))))</f>
        <v>10925</v>
      </c>
      <c r="E149" t="str">
        <f>Продажи_исходные!E149</f>
        <v>C0148</v>
      </c>
      <c r="F149" t="str">
        <f>Продажи_исходные!F149</f>
        <v>P022</v>
      </c>
      <c r="G149" t="str">
        <f>IFERROR(VLOOKUP(Продажи_исходные!G149,Справочники!$G$2:$H$50,2,FALSE),Продажи_исходные!G149)</f>
        <v>Завершен</v>
      </c>
      <c r="H149" s="4">
        <f>IFERROR(VLOOKUP(B149,Товары_очищенные!$A$1:$G$1000,6,FALSE),"нет в каталоге")</f>
        <v>31000</v>
      </c>
      <c r="I149" t="str">
        <f>IFERROR(VLOOKUP(B149,Товары_очищенные!$A$1:$G$1000,3,FALSE),"нет в каталоге")</f>
        <v>Часы</v>
      </c>
      <c r="J149" t="str">
        <f t="shared" si="27"/>
        <v>OK</v>
      </c>
    </row>
    <row r="150">
      <c r="A150" s="8">
        <f>DATE(RIGHT(Продажи_исходные!A150,4),LEFT(Продажи_исходные!A150,2),MID(Продажи_исходные!A150,4,2))</f>
        <v>45746</v>
      </c>
      <c r="B150" t="str">
        <f>"АРТ-"&amp;LEFT(SUBSTITUTE(SUBSTITUTE(SUBSTITUTE(SUBSTITUTE(Продажи_исходные!B150,"№",""),"АРТ-",""),"АРТ_",""),"/","-"),3)</f>
        <v>АРТ-407</v>
      </c>
      <c r="C150" s="4">
        <f>IFERROR(VALUE(TRIM(SUBSTITUTE(SUBSTITUTE(SUBSTITUTE(SUBSTITUTE(Продажи_исходные!C150," шт.","")," шт",""),"шт.",""),"шт",""))),0)</f>
        <v>1</v>
      </c>
      <c r="D150" s="4">
        <f>IF(LEFT(Продажи_исходные!D150,1)="$",VALUE(MID(Продажи_исходные!D150,2,255))*95,IF(LEFT(Продажи_исходные!D150,1)="€",VALUE(MID(Продажи_исходные!D150,2,255))*100,VALUE(SUBSTITUTE(SUBSTITUTE(Продажи_исходные!D150,"₽","")," ",""))))</f>
        <v>9500</v>
      </c>
      <c r="E150" t="str">
        <f>Продажи_исходные!E150</f>
        <v>C0149</v>
      </c>
      <c r="F150" t="str">
        <f>Продажи_исходные!F150</f>
        <v>P043</v>
      </c>
      <c r="G150" t="str">
        <f>IFERROR(VLOOKUP(Продажи_исходные!G150,Справочники!$G$2:$H$50,2,FALSE),Продажи_исходные!G150)</f>
        <v>Завершен</v>
      </c>
      <c r="H150" s="4">
        <f>IFERROR(VLOOKUP(B150,Товары_очищенные!$A$1:$G$1000,6,FALSE),"нет в каталоге")</f>
        <v>102000</v>
      </c>
      <c r="I150" t="str">
        <f>IFERROR(VLOOKUP(B150,Товары_очищенные!$A$1:$G$1000,3,FALSE),"нет в каталоге")</f>
        <v>Телевизоры</v>
      </c>
      <c r="J150" t="str">
        <f t="shared" si="27"/>
        <v>OK</v>
      </c>
    </row>
    <row r="151">
      <c r="A151" s="8">
        <f>DATE(RIGHT(Продажи_исходные!A151,4),LEFT(Продажи_исходные!A151,2),MID(Продажи_исходные!A151,4,2))</f>
        <v>45746</v>
      </c>
      <c r="B151" t="str">
        <f>"АРТ-"&amp;LEFT(SUBSTITUTE(SUBSTITUTE(SUBSTITUTE(SUBSTITUTE(Продажи_исходные!B151,"№",""),"АРТ-",""),"АРТ_",""),"/","-"),3)</f>
        <v>АРТ-025</v>
      </c>
      <c r="C151" s="4">
        <f>IFERROR(VALUE(TRIM(SUBSTITUTE(SUBSTITUTE(SUBSTITUTE(SUBSTITUTE(Продажи_исходные!C151," шт.","")," шт",""),"шт.",""),"шт",""))),0)</f>
        <v>2</v>
      </c>
      <c r="D151" s="4">
        <f>IF(LEFT(Продажи_исходные!D151,1)="$",VALUE(MID(Продажи_исходные!D151,2,255))*95,IF(LEFT(Продажи_исходные!D151,1)="€",VALUE(MID(Продажи_исходные!D151,2,255))*100,VALUE(SUBSTITUTE(SUBSTITUTE(Продажи_исходные!D151,"₽","")," ",""))))</f>
        <v>8500</v>
      </c>
      <c r="E151" t="str">
        <f>Продажи_исходные!E151</f>
        <v>C0150</v>
      </c>
      <c r="F151" t="str">
        <f>Продажи_исходные!F151</f>
        <v>P030</v>
      </c>
      <c r="G151" t="str">
        <f>IFERROR(VLOOKUP(Продажи_исходные!G151,Справочники!$G$2:$H$50,2,FALSE),Продажи_исходные!G151)</f>
        <v>Завершен</v>
      </c>
      <c r="H151" s="4">
        <f>IFERROR(VLOOKUP(B151,Товары_очищенные!$A$1:$G$1000,6,FALSE),"нет в каталоге")</f>
        <v>99900</v>
      </c>
      <c r="I151" t="str">
        <f>IFERROR(VLOOKUP(B151,Товары_очищенные!$A$1:$G$1000,3,FALSE),"нет в каталоге")</f>
        <v>Мониторы</v>
      </c>
      <c r="J151" t="str">
        <f t="shared" si="27"/>
        <v>OK</v>
      </c>
    </row>
    <row r="152">
      <c r="A152" s="8">
        <f>DATE(RIGHT(Продажи_исходные!A152,4),LEFT(Продажи_исходные!A152,2),MID(Продажи_исходные!A152,4,2))</f>
        <v>45747</v>
      </c>
      <c r="B152" t="str">
        <f>"АРТ-"&amp;LEFT(SUBSTITUTE(SUBSTITUTE(SUBSTITUTE(SUBSTITUTE(Продажи_исходные!B152,"№",""),"АРТ-",""),"АРТ_",""),"/","-"),3)</f>
        <v>АРТ-285</v>
      </c>
      <c r="C152" s="4">
        <f>IFERROR(VALUE(TRIM(SUBSTITUTE(SUBSTITUTE(SUBSTITUTE(SUBSTITUTE(Продажи_исходные!C152," шт.","")," шт",""),"шт.",""),"шт",""))),0)</f>
        <v>3</v>
      </c>
      <c r="D152" s="4">
        <f>IF(LEFT(Продажи_исходные!D152,1)="$",VALUE(MID(Продажи_исходные!D152,2,255))*95,IF(LEFT(Продажи_исходные!D152,1)="€",VALUE(MID(Продажи_исходные!D152,2,255))*100,VALUE(SUBSTITUTE(SUBSTITUTE(Продажи_исходные!D152,"₽","")," ",""))))</f>
        <v>12350</v>
      </c>
      <c r="E152" t="str">
        <f>Продажи_исходные!E152</f>
        <v>C0151</v>
      </c>
      <c r="F152" t="str">
        <f>Продажи_исходные!F152</f>
        <v>P012</v>
      </c>
      <c r="G152" t="str">
        <f>IFERROR(VLOOKUP(Продажи_исходные!G152,Справочники!$G$2:$H$50,2,FALSE),Продажи_исходные!G152)</f>
        <v>Отменен</v>
      </c>
      <c r="H152" s="4">
        <f>IFERROR(VLOOKUP(B152,Товары_очищенные!$A$1:$G$1000,6,FALSE),"нет в каталоге")</f>
        <v>87500</v>
      </c>
      <c r="I152" t="str">
        <f>IFERROR(VLOOKUP(B152,Товары_очищенные!$A$1:$G$1000,3,FALSE),"нет в каталоге")</f>
        <v>Мониторы</v>
      </c>
      <c r="J152" t="str">
        <f t="shared" si="27"/>
        <v>OK</v>
      </c>
    </row>
    <row r="153">
      <c r="A153" s="8">
        <f>DATE(RIGHT(Продажи_исходные!A153,4),LEFT(Продажи_исходные!A153,2),MID(Продажи_исходные!A153,4,2))</f>
        <v>45747</v>
      </c>
      <c r="B153" t="str">
        <f>"АРТ-"&amp;LEFT(SUBSTITUTE(SUBSTITUTE(SUBSTITUTE(SUBSTITUTE(Продажи_исходные!B153,"№",""),"АРТ-",""),"АРТ_",""),"/","-"),3)</f>
        <v>АРТ-472</v>
      </c>
      <c r="C153" s="4">
        <f>IFERROR(VALUE(TRIM(SUBSTITUTE(SUBSTITUTE(SUBSTITUTE(SUBSTITUTE(Продажи_исходные!C153," шт.","")," шт",""),"шт.",""),"шт",""))),0)</f>
        <v>2</v>
      </c>
      <c r="D153" s="4">
        <f>IF(LEFT(Продажи_исходные!D153,1)="$",VALUE(MID(Продажи_исходные!D153,2,255))*95,IF(LEFT(Продажи_исходные!D153,1)="€",VALUE(MID(Продажи_исходные!D153,2,255))*100,VALUE(SUBSTITUTE(SUBSTITUTE(Продажи_исходные!D153,"₽","")," ",""))))</f>
        <v>11000</v>
      </c>
      <c r="E153" t="str">
        <f>Продажи_исходные!E153</f>
        <v>C0152</v>
      </c>
      <c r="F153" t="str">
        <f>Продажи_исходные!F153</f>
        <v>P007</v>
      </c>
      <c r="G153" t="str">
        <f>IFERROR(VLOOKUP(Продажи_исходные!G153,Справочники!$G$2:$H$50,2,FALSE),Продажи_исходные!G153)</f>
        <v>Отменен</v>
      </c>
      <c r="H153" s="4">
        <f>IFERROR(VLOOKUP(B153,Товары_очищенные!$A$1:$G$1000,6,FALSE),"нет в каталоге")</f>
        <v>8990</v>
      </c>
      <c r="I153" t="str">
        <f>IFERROR(VLOOKUP(B153,Товары_очищенные!$A$1:$G$1000,3,FALSE),"нет в каталоге")</f>
        <v>Наушники</v>
      </c>
      <c r="J153" t="str">
        <f t="shared" si="27"/>
        <v>OK</v>
      </c>
    </row>
    <row r="154">
      <c r="A154" s="8">
        <f>DATE(RIGHT(Продажи_исходные!A154,4),LEFT(Продажи_исходные!A154,2),MID(Продажи_исходные!A154,4,2))</f>
        <v>45748</v>
      </c>
      <c r="B154" t="str">
        <f>"АРТ-"&amp;LEFT(SUBSTITUTE(SUBSTITUTE(SUBSTITUTE(SUBSTITUTE(Продажи_исходные!B154,"№",""),"АРТ-",""),"АРТ_",""),"/","-"),3)</f>
        <v>АРТ-157</v>
      </c>
      <c r="C154" s="4">
        <f>IFERROR(VALUE(TRIM(SUBSTITUTE(SUBSTITUTE(SUBSTITUTE(SUBSTITUTE(Продажи_исходные!C154," шт.","")," шт",""),"шт.",""),"шт",""))),0)</f>
        <v>1</v>
      </c>
      <c r="D154" s="4">
        <f>IF(LEFT(Продажи_исходные!D154,1)="$",VALUE(MID(Продажи_исходные!D154,2,255))*95,IF(LEFT(Продажи_исходные!D154,1)="€",VALUE(MID(Продажи_исходные!D154,2,255))*100,VALUE(SUBSTITUTE(SUBSTITUTE(Продажи_исходные!D154,"₽","")," ",""))))</f>
        <v>10500</v>
      </c>
      <c r="E154" t="str">
        <f>Продажи_исходные!E154</f>
        <v>C0153</v>
      </c>
      <c r="F154" t="str">
        <f>Продажи_исходные!F154</f>
        <v>P023</v>
      </c>
      <c r="G154" t="str">
        <f>IFERROR(VLOOKUP(Продажи_исходные!G154,Справочники!$G$2:$H$50,2,FALSE),Продажи_исходные!G154)</f>
        <v>Возврат</v>
      </c>
      <c r="H154" s="4">
        <f>IFERROR(VLOOKUP(B154,Товары_очищенные!$A$1:$G$1000,6,FALSE),"нет в каталоге")</f>
        <v>92900</v>
      </c>
      <c r="I154" t="str">
        <f>IFERROR(VLOOKUP(B154,Товары_очищенные!$A$1:$G$1000,3,FALSE),"нет в каталоге")</f>
        <v>Мониторы</v>
      </c>
      <c r="J154" t="str">
        <f t="shared" si="27"/>
        <v>OK</v>
      </c>
    </row>
    <row r="155">
      <c r="A155" s="8">
        <f>DATE(RIGHT(Продажи_исходные!A155,4),LEFT(Продажи_исходные!A155,2),MID(Продажи_исходные!A155,4,2))</f>
        <v>45748</v>
      </c>
      <c r="B155" t="str">
        <f>"АРТ-"&amp;LEFT(SUBSTITUTE(SUBSTITUTE(SUBSTITUTE(SUBSTITUTE(Продажи_исходные!B155,"№",""),"АРТ-",""),"АРТ_",""),"/","-"),3)</f>
        <v>АРТ-042</v>
      </c>
      <c r="C155" s="4">
        <f>IFERROR(VALUE(TRIM(SUBSTITUTE(SUBSTITUTE(SUBSTITUTE(SUBSTITUTE(Продажи_исходные!C155," шт.","")," шт",""),"шт.",""),"шт",""))),0)</f>
        <v>-3</v>
      </c>
      <c r="D155" s="4">
        <f>IF(LEFT(Продажи_исходные!D155,1)="$",VALUE(MID(Продажи_исходные!D155,2,255))*95,IF(LEFT(Продажи_исходные!D155,1)="€",VALUE(MID(Продажи_исходные!D155,2,255))*100,VALUE(SUBSTITUTE(SUBSTITUTE(Продажи_исходные!D155,"₽","")," ",""))))</f>
        <v>9025</v>
      </c>
      <c r="E155" t="str">
        <f>Продажи_исходные!E155</f>
        <v>C0154</v>
      </c>
      <c r="F155" t="str">
        <f>Продажи_исходные!F155</f>
        <v>P045</v>
      </c>
      <c r="G155" t="str">
        <f>IFERROR(VLOOKUP(Продажи_исходные!G155,Справочники!$G$2:$H$50,2,FALSE),Продажи_исходные!G155)</f>
        <v>Завершен</v>
      </c>
      <c r="H155" s="4">
        <f>IFERROR(VLOOKUP(B155,Товары_очищенные!$A$1:$G$1000,6,FALSE),"нет в каталоге")</f>
        <v>144000</v>
      </c>
      <c r="I155" t="str">
        <f>IFERROR(VLOOKUP(B155,Товары_очищенные!$A$1:$G$1000,3,FALSE),"нет в каталоге")</f>
        <v>Ноутбуки</v>
      </c>
      <c r="J155" t="str">
        <f t="shared" si="27"/>
        <v>OK</v>
      </c>
    </row>
    <row r="156">
      <c r="A156" s="8">
        <f>DATE(RIGHT(Продажи_исходные!A156,4),LEFT(Продажи_исходные!A156,2),MID(Продажи_исходные!A156,4,2))</f>
        <v>45749</v>
      </c>
      <c r="B156" t="str">
        <f>"АРТ-"&amp;LEFT(SUBSTITUTE(SUBSTITUTE(SUBSTITUTE(SUBSTITUTE(Продажи_исходные!B156,"№",""),"АРТ-",""),"АРТ_",""),"/","-"),3)</f>
        <v>АРТ-397</v>
      </c>
      <c r="C156" s="4">
        <f>IFERROR(VALUE(TRIM(SUBSTITUTE(SUBSTITUTE(SUBSTITUTE(SUBSTITUTE(Продажи_исходные!C156," шт.","")," шт",""),"шт.",""),"шт",""))),0)</f>
        <v>1</v>
      </c>
      <c r="D156" s="4">
        <f>IF(LEFT(Продажи_исходные!D156,1)="$",VALUE(MID(Продажи_исходные!D156,2,255))*95,IF(LEFT(Продажи_исходные!D156,1)="€",VALUE(MID(Продажи_исходные!D156,2,255))*100,VALUE(SUBSTITUTE(SUBSTITUTE(Продажи_исходные!D156,"₽","")," ",""))))</f>
        <v>7500</v>
      </c>
      <c r="E156" t="str">
        <f>Продажи_исходные!E156</f>
        <v>C0155</v>
      </c>
      <c r="F156" t="str">
        <f>Продажи_исходные!F156</f>
        <v>P008</v>
      </c>
      <c r="G156" t="str">
        <f>IFERROR(VLOOKUP(Продажи_исходные!G156,Справочники!$G$2:$H$50,2,FALSE),Продажи_исходные!G156)</f>
        <v>Завершен</v>
      </c>
      <c r="H156" s="4">
        <f>IFERROR(VLOOKUP(B156,Товары_очищенные!$A$1:$G$1000,6,FALSE),"нет в каталоге")</f>
        <v>7990</v>
      </c>
      <c r="I156" t="str">
        <f>IFERROR(VLOOKUP(B156,Товары_очищенные!$A$1:$G$1000,3,FALSE),"нет в каталоге")</f>
        <v>Аксессуары</v>
      </c>
      <c r="J156" t="str">
        <f t="shared" si="27"/>
        <v>OK</v>
      </c>
    </row>
    <row r="157">
      <c r="A157" s="8">
        <f>DATE(RIGHT(Продажи_исходные!A157,4),LEFT(Продажи_исходные!A157,2),MID(Продажи_исходные!A157,4,2))</f>
        <v>45749</v>
      </c>
      <c r="B157" t="str">
        <f>"АРТ-"&amp;LEFT(SUBSTITUTE(SUBSTITUTE(SUBSTITUTE(SUBSTITUTE(Продажи_исходные!B157,"№",""),"АРТ-",""),"АРТ_",""),"/","-"),3)</f>
        <v>АРТ-203</v>
      </c>
      <c r="C157" s="4">
        <f>IFERROR(VALUE(TRIM(SUBSTITUTE(SUBSTITUTE(SUBSTITUTE(SUBSTITUTE(Продажи_исходные!C157," шт.","")," шт",""),"шт.",""),"шт",""))),0)</f>
        <v>2</v>
      </c>
      <c r="D157" s="4">
        <f>IF(LEFT(Продажи_исходные!D157,1)="$",VALUE(MID(Продажи_исходные!D157,2,255))*95,IF(LEFT(Продажи_исходные!D157,1)="€",VALUE(MID(Продажи_исходные!D157,2,255))*100,VALUE(SUBSTITUTE(SUBSTITUTE(Продажи_исходные!D157,"₽","")," ",""))))</f>
        <v>7000</v>
      </c>
      <c r="E157" t="str">
        <f>Продажи_исходные!E157</f>
        <v>C0156</v>
      </c>
      <c r="F157" t="str">
        <f>Продажи_исходные!F157</f>
        <v>P031</v>
      </c>
      <c r="G157" t="str">
        <f>IFERROR(VLOOKUP(Продажи_исходные!G157,Справочники!$G$2:$H$50,2,FALSE),Продажи_исходные!G157)</f>
        <v>Завершен</v>
      </c>
      <c r="H157" s="4">
        <f>IFERROR(VLOOKUP(B157,Товары_очищенные!$A$1:$G$1000,6,FALSE),"нет в каталоге")</f>
        <v>9200</v>
      </c>
      <c r="I157" t="str">
        <f>IFERROR(VLOOKUP(B157,Товары_очищенные!$A$1:$G$1000,3,FALSE),"нет в каталоге")</f>
        <v>Наушники</v>
      </c>
      <c r="J157" t="str">
        <f t="shared" si="27"/>
        <v>OK</v>
      </c>
    </row>
    <row r="158">
      <c r="A158" s="8">
        <f>DATE(RIGHT(Продажи_исходные!A158,4),LEFT(Продажи_исходные!A158,2),MID(Продажи_исходные!A158,4,2))</f>
        <v>45750</v>
      </c>
      <c r="B158" t="str">
        <f>"АРТ-"&amp;LEFT(SUBSTITUTE(SUBSTITUTE(SUBSTITUTE(SUBSTITUTE(Продажи_исходные!B158,"№",""),"АРТ-",""),"АРТ_",""),"/","-"),3)</f>
        <v>АРТ-315</v>
      </c>
      <c r="C158" s="4">
        <f>IFERROR(VALUE(TRIM(SUBSTITUTE(SUBSTITUTE(SUBSTITUTE(SUBSTITUTE(Продажи_исходные!C158," шт.","")," шт",""),"шт.",""),"шт",""))),0)</f>
        <v>3</v>
      </c>
      <c r="D158" s="4">
        <f>IF(LEFT(Продажи_исходные!D158,1)="$",VALUE(MID(Продажи_исходные!D158,2,255))*95,IF(LEFT(Продажи_исходные!D158,1)="€",VALUE(MID(Продажи_исходные!D158,2,255))*100,VALUE(SUBSTITUTE(SUBSTITUTE(Продажи_исходные!D158,"₽","")," ",""))))</f>
        <v>11400</v>
      </c>
      <c r="E158" t="str">
        <f>Продажи_исходные!E158</f>
        <v>C0157</v>
      </c>
      <c r="F158" t="str">
        <f>Продажи_исходные!F158</f>
        <v>P019</v>
      </c>
      <c r="G158" t="str">
        <f>IFERROR(VLOOKUP(Продажи_исходные!G158,Справочники!$G$2:$H$50,2,FALSE),Продажи_исходные!G158)</f>
        <v>Отменен</v>
      </c>
      <c r="H158" s="4">
        <f>IFERROR(VLOOKUP(B158,Товары_очищенные!$A$1:$G$1000,6,FALSE),"нет в каталоге")</f>
        <v>72000</v>
      </c>
      <c r="I158" t="str">
        <f>IFERROR(VLOOKUP(B158,Товары_очищенные!$A$1:$G$1000,3,FALSE),"нет в каталоге")</f>
        <v>Смартфоны</v>
      </c>
      <c r="J158" t="str">
        <f t="shared" si="27"/>
        <v>OK</v>
      </c>
    </row>
    <row r="159">
      <c r="A159" s="8">
        <f>DATE(RIGHT(Продажи_исходные!A159,4),LEFT(Продажи_исходные!A159,2),MID(Продажи_исходные!A159,4,2))</f>
        <v>45750</v>
      </c>
      <c r="B159" t="str">
        <f>"АРТ-"&amp;LEFT(SUBSTITUTE(SUBSTITUTE(SUBSTITUTE(SUBSTITUTE(Продажи_исходные!B159,"№",""),"АРТ-",""),"АРТ_",""),"/","-"),3)</f>
        <v>АРТ-109</v>
      </c>
      <c r="C159" s="4">
        <f>IFERROR(VALUE(TRIM(SUBSTITUTE(SUBSTITUTE(SUBSTITUTE(SUBSTITUTE(Продажи_исходные!C159," шт.","")," шт",""),"шт.",""),"шт",""))),0)</f>
        <v>2</v>
      </c>
      <c r="D159" s="4">
        <f>IF(LEFT(Продажи_исходные!D159,1)="$",VALUE(MID(Продажи_исходные!D159,2,255))*95,IF(LEFT(Продажи_исходные!D159,1)="€",VALUE(MID(Продажи_исходные!D159,2,255))*100,VALUE(SUBSTITUTE(SUBSTITUTE(Продажи_исходные!D159,"₽","")," ",""))))</f>
        <v>10000</v>
      </c>
      <c r="E159" t="str">
        <f>Продажи_исходные!E159</f>
        <v>C0158</v>
      </c>
      <c r="F159" t="str">
        <f>Продажи_исходные!F159</f>
        <v>P042</v>
      </c>
      <c r="G159" t="str">
        <f>IFERROR(VLOOKUP(Продажи_исходные!G159,Справочники!$G$2:$H$50,2,FALSE),Продажи_исходные!G159)</f>
        <v>Отменен</v>
      </c>
      <c r="H159" s="4">
        <f>IFERROR(VLOOKUP(B159,Товары_очищенные!$A$1:$G$1000,6,FALSE),"нет в каталоге")</f>
        <v>119999</v>
      </c>
      <c r="I159" t="str">
        <f>IFERROR(VLOOKUP(B159,Товары_очищенные!$A$1:$G$1000,3,FALSE),"нет в каталоге")</f>
        <v>Телевизоры</v>
      </c>
      <c r="J159" t="str">
        <f t="shared" si="27"/>
        <v>OK</v>
      </c>
    </row>
    <row r="160">
      <c r="A160" s="8">
        <f>DATE(RIGHT(Продажи_исходные!A160,4),LEFT(Продажи_исходные!A160,2),MID(Продажи_исходные!A160,4,2))</f>
        <v>45751</v>
      </c>
      <c r="B160" t="str">
        <f>"АРТ-"&amp;LEFT(SUBSTITUTE(SUBSTITUTE(SUBSTITUTE(SUBSTITUTE(Продажи_исходные!B160,"№",""),"АРТ-",""),"АРТ_",""),"/","-"),3)</f>
        <v>АРТ-278</v>
      </c>
      <c r="C160" s="4">
        <f>IFERROR(VALUE(TRIM(SUBSTITUTE(SUBSTITUTE(SUBSTITUTE(SUBSTITUTE(Продажи_исходные!C160," шт.","")," шт",""),"шт.",""),"шт",""))),0)</f>
        <v>1</v>
      </c>
      <c r="D160" s="4">
        <f>IF(LEFT(Продажи_исходные!D160,1)="$",VALUE(MID(Продажи_исходные!D160,2,255))*95,IF(LEFT(Продажи_исходные!D160,1)="€",VALUE(MID(Продажи_исходные!D160,2,255))*100,VALUE(SUBSTITUTE(SUBSTITUTE(Продажи_исходные!D160,"₽","")," ",""))))</f>
        <v>8800</v>
      </c>
      <c r="E160" t="str">
        <f>Продажи_исходные!E160</f>
        <v>C0159</v>
      </c>
      <c r="F160" t="str">
        <f>Продажи_исходные!F160</f>
        <v>P005</v>
      </c>
      <c r="G160" t="str">
        <f>IFERROR(VLOOKUP(Продажи_исходные!G160,Справочники!$G$2:$H$50,2,FALSE),Продажи_исходные!G160)</f>
        <v>Завершен</v>
      </c>
      <c r="H160" s="4">
        <f>IFERROR(VLOOKUP(B160,Товары_очищенные!$A$1:$G$1000,6,FALSE),"нет в каталоге")</f>
        <v>112000</v>
      </c>
      <c r="I160" t="str">
        <f>IFERROR(VLOOKUP(B160,Товары_очищенные!$A$1:$G$1000,3,FALSE),"нет в каталоге")</f>
        <v>Телевизоры</v>
      </c>
      <c r="J160" t="str">
        <f t="shared" si="27"/>
        <v>OK</v>
      </c>
    </row>
    <row r="161">
      <c r="A161" s="8">
        <f>DATE(RIGHT(Продажи_исходные!A161,4),LEFT(Продажи_исходные!A161,2),MID(Продажи_исходные!A161,4,2))</f>
        <v>45751</v>
      </c>
      <c r="B161" t="str">
        <f>"АРТ-"&amp;LEFT(SUBSTITUTE(SUBSTITUTE(SUBSTITUTE(SUBSTITUTE(Продажи_исходные!B161,"№",""),"АРТ-",""),"АРТ_",""),"/","-"),3)</f>
        <v>АРТ-129</v>
      </c>
      <c r="C161" s="4">
        <f>IFERROR(VALUE(TRIM(SUBSTITUTE(SUBSTITUTE(SUBSTITUTE(SUBSTITUTE(Продажи_исходные!C161," шт.","")," шт",""),"шт.",""),"шт",""))),0)</f>
        <v>-1</v>
      </c>
      <c r="D161" s="4">
        <f>IF(LEFT(Продажи_исходные!D161,1)="$",VALUE(MID(Продажи_исходные!D161,2,255))*95,IF(LEFT(Продажи_исходные!D161,1)="€",VALUE(MID(Продажи_исходные!D161,2,255))*100,VALUE(SUBSTITUTE(SUBSTITUTE(Продажи_исходные!D161,"₽","")," ",""))))</f>
        <v>8075</v>
      </c>
      <c r="E161" t="str">
        <f>Продажи_исходные!E161</f>
        <v>C0160</v>
      </c>
      <c r="F161" t="str">
        <f>Продажи_исходные!F161</f>
        <v>P036</v>
      </c>
      <c r="G161" t="str">
        <f>IFERROR(VLOOKUP(Продажи_исходные!G161,Справочники!$G$2:$H$50,2,FALSE),Продажи_исходные!G161)</f>
        <v>Возврат</v>
      </c>
      <c r="H161" s="4">
        <f>IFERROR(VLOOKUP(B161,Товары_очищенные!$A$1:$G$1000,6,FALSE),"нет в каталоге")</f>
        <v>53500</v>
      </c>
      <c r="I161" t="str">
        <f>IFERROR(VLOOKUP(B161,Товары_очищенные!$A$1:$G$1000,3,FALSE),"нет в каталоге")</f>
        <v>Смартфоны</v>
      </c>
      <c r="J161" t="str">
        <f t="shared" si="27"/>
        <v>OK</v>
      </c>
    </row>
    <row r="162">
      <c r="A162" s="8">
        <f>DATE(RIGHT(Продажи_исходные!A162,4),LEFT(Продажи_исходные!A162,2),MID(Продажи_исходные!A162,4,2))</f>
        <v>45752</v>
      </c>
      <c r="B162" t="str">
        <f>"АРТ-"&amp;LEFT(SUBSTITUTE(SUBSTITUTE(SUBSTITUTE(SUBSTITUTE(Продажи_исходные!B162,"№",""),"АРТ-",""),"АРТ_",""),"/","-"),3)</f>
        <v>АРТ-424</v>
      </c>
      <c r="C162" s="4">
        <f>IFERROR(VALUE(TRIM(SUBSTITUTE(SUBSTITUTE(SUBSTITUTE(SUBSTITUTE(Продажи_исходные!C162," шт.","")," шт",""),"шт.",""),"шт",""))),0)</f>
        <v>3</v>
      </c>
      <c r="D162" s="4">
        <f>IF(LEFT(Продажи_исходные!D162,1)="$",VALUE(MID(Продажи_исходные!D162,2,255))*95,IF(LEFT(Продажи_исходные!D162,1)="€",VALUE(MID(Продажи_исходные!D162,2,255))*100,VALUE(SUBSTITUTE(SUBSTITUTE(Продажи_исходные!D162,"₽","")," ",""))))</f>
        <v>6500</v>
      </c>
      <c r="E162" t="str">
        <f>Продажи_исходные!E162</f>
        <v>C0161</v>
      </c>
      <c r="F162" t="str">
        <f>Продажи_исходные!F162</f>
        <v>P014</v>
      </c>
      <c r="G162" t="str">
        <f>IFERROR(VLOOKUP(Продажи_исходные!G162,Справочники!$G$2:$H$50,2,FALSE),Продажи_исходные!G162)</f>
        <v>Завершен</v>
      </c>
      <c r="H162" s="4">
        <f>IFERROR(VLOOKUP(B162,Товары_очищенные!$A$1:$G$1000,6,FALSE),"нет в каталоге")</f>
        <v>48990</v>
      </c>
      <c r="I162" t="str">
        <f>IFERROR(VLOOKUP(B162,Товары_очищенные!$A$1:$G$1000,3,FALSE),"нет в каталоге")</f>
        <v>Смартфоны</v>
      </c>
      <c r="J162" t="str">
        <f t="shared" si="27"/>
        <v>OK</v>
      </c>
    </row>
    <row r="163">
      <c r="A163" s="8">
        <f>DATE(RIGHT(Продажи_исходные!A163,4),LEFT(Продажи_исходные!A163,2),MID(Продажи_исходные!A163,4,2))</f>
        <v>45752</v>
      </c>
      <c r="B163" t="str">
        <f>"АРТ-"&amp;LEFT(SUBSTITUTE(SUBSTITUTE(SUBSTITUTE(SUBSTITUTE(Продажи_исходные!B163,"№",""),"АРТ-",""),"АРТ_",""),"/","-"),3)</f>
        <v>АРТ-046</v>
      </c>
      <c r="C163" s="4">
        <f>IFERROR(VALUE(TRIM(SUBSTITUTE(SUBSTITUTE(SUBSTITUTE(SUBSTITUTE(Продажи_исходные!C163," шт.","")," шт",""),"шт.",""),"шт",""))),0)</f>
        <v>2</v>
      </c>
      <c r="D163" s="4">
        <f>IF(LEFT(Продажи_исходные!D163,1)="$",VALUE(MID(Продажи_исходные!D163,2,255))*95,IF(LEFT(Продажи_исходные!D163,1)="€",VALUE(MID(Продажи_исходные!D163,2,255))*100,VALUE(SUBSTITUTE(SUBSTITUTE(Продажи_исходные!D163,"₽","")," ",""))))</f>
        <v>6500</v>
      </c>
      <c r="E163" t="str">
        <f>Продажи_исходные!E163</f>
        <v>C0162</v>
      </c>
      <c r="F163" t="str">
        <f>Продажи_исходные!F163</f>
        <v>P028</v>
      </c>
      <c r="G163" t="str">
        <f>IFERROR(VLOOKUP(Продажи_исходные!G163,Справочники!$G$2:$H$50,2,FALSE),Продажи_исходные!G163)</f>
        <v>Завершен</v>
      </c>
      <c r="H163" s="4">
        <f>IFERROR(VLOOKUP(B163,Товары_очищенные!$A$1:$G$1000,6,FALSE),"нет в каталоге")</f>
        <v>24990</v>
      </c>
      <c r="I163" t="str">
        <f>IFERROR(VLOOKUP(B163,Товары_очищенные!$A$1:$G$1000,3,FALSE),"нет в каталоге")</f>
        <v>Наушники</v>
      </c>
      <c r="J163" t="str">
        <f t="shared" si="27"/>
        <v>OK</v>
      </c>
    </row>
    <row r="164">
      <c r="A164" s="8">
        <f>DATE(RIGHT(Продажи_исходные!A164,4),LEFT(Продажи_исходные!A164,2),MID(Продажи_исходные!A164,4,2))</f>
        <v>45753</v>
      </c>
      <c r="B164" t="str">
        <f>"АРТ-"&amp;LEFT(SUBSTITUTE(SUBSTITUTE(SUBSTITUTE(SUBSTITUTE(Продажи_исходные!B164,"№",""),"АРТ-",""),"АРТ_",""),"/","-"),3)</f>
        <v>АРТ-353</v>
      </c>
      <c r="C164" s="4">
        <f>IFERROR(VALUE(TRIM(SUBSTITUTE(SUBSTITUTE(SUBSTITUTE(SUBSTITUTE(Продажи_исходные!C164," шт.","")," шт",""),"шт.",""),"шт",""))),0)</f>
        <v>1</v>
      </c>
      <c r="D164" s="4">
        <f>IF(LEFT(Продажи_исходные!D164,1)="$",VALUE(MID(Продажи_исходные!D164,2,255))*95,IF(LEFT(Продажи_исходные!D164,1)="€",VALUE(MID(Продажи_исходные!D164,2,255))*100,VALUE(SUBSTITUTE(SUBSTITUTE(Продажи_исходные!D164,"₽","")," ",""))))</f>
        <v>10925</v>
      </c>
      <c r="E164" t="str">
        <f>Продажи_исходные!E164</f>
        <v>C0163</v>
      </c>
      <c r="F164" t="str">
        <f>Продажи_исходные!F164</f>
        <v>P009</v>
      </c>
      <c r="G164" t="str">
        <f>IFERROR(VLOOKUP(Продажи_исходные!G164,Справочники!$G$2:$H$50,2,FALSE),Продажи_исходные!G164)</f>
        <v>Завершен</v>
      </c>
      <c r="H164" s="4">
        <f>IFERROR(VLOOKUP(B164,Товары_очищенные!$A$1:$G$1000,6,FALSE),"нет в каталоге")</f>
        <v>6500</v>
      </c>
      <c r="I164" t="str">
        <f>IFERROR(VLOOKUP(B164,Товары_очищенные!$A$1:$G$1000,3,FALSE),"нет в каталоге")</f>
        <v>Аксессуары</v>
      </c>
      <c r="J164" t="str">
        <f t="shared" ref="J164:J227" si="28">IF(D164&gt;0,"OK","Некорректная цена")</f>
        <v>OK</v>
      </c>
    </row>
    <row r="165">
      <c r="A165" s="8">
        <f>DATE(RIGHT(Продажи_исходные!A165,4),LEFT(Продажи_исходные!A165,2),MID(Продажи_исходные!A165,4,2))</f>
        <v>45753</v>
      </c>
      <c r="B165" t="str">
        <f>"АРТ-"&amp;LEFT(SUBSTITUTE(SUBSTITUTE(SUBSTITUTE(SUBSTITUTE(Продажи_исходные!B165,"№",""),"АРТ-",""),"АРТ_",""),"/","-"),3)</f>
        <v>АРТ-244</v>
      </c>
      <c r="C165" s="4">
        <f>IFERROR(VALUE(TRIM(SUBSTITUTE(SUBSTITUTE(SUBSTITUTE(SUBSTITUTE(Продажи_исходные!C165," шт.","")," шт",""),"шт.",""),"шт",""))),0)</f>
        <v>2</v>
      </c>
      <c r="D165" s="4">
        <f>IF(LEFT(Продажи_исходные!D165,1)="$",VALUE(MID(Продажи_исходные!D165,2,255))*95,IF(LEFT(Продажи_исходные!D165,1)="€",VALUE(MID(Продажи_исходные!D165,2,255))*100,VALUE(SUBSTITUTE(SUBSTITUTE(Продажи_исходные!D165,"₽","")," ",""))))</f>
        <v>9500</v>
      </c>
      <c r="E165" t="str">
        <f>Продажи_исходные!E165</f>
        <v>C0164</v>
      </c>
      <c r="F165" t="str">
        <f>Продажи_исходные!F165</f>
        <v>P041</v>
      </c>
      <c r="G165" t="str">
        <f>IFERROR(VLOOKUP(Продажи_исходные!G165,Справочники!$G$2:$H$50,2,FALSE),Продажи_исходные!G165)</f>
        <v>Отменен</v>
      </c>
      <c r="H165" s="4">
        <f>IFERROR(VLOOKUP(B165,Товары_очищенные!$A$1:$G$1000,6,FALSE),"нет в каталоге")</f>
        <v>77990</v>
      </c>
      <c r="I165" t="str">
        <f>IFERROR(VLOOKUP(B165,Товары_очищенные!$A$1:$G$1000,3,FALSE),"нет в каталоге")</f>
        <v>Мониторы</v>
      </c>
      <c r="J165" t="str">
        <f t="shared" si="28"/>
        <v>OK</v>
      </c>
    </row>
    <row r="166">
      <c r="A166" s="8">
        <f>DATE(RIGHT(Продажи_исходные!A166,4),LEFT(Продажи_исходные!A166,2),MID(Продажи_исходные!A166,4,2))</f>
        <v>45754</v>
      </c>
      <c r="B166" t="str">
        <f>"АРТ-"&amp;LEFT(SUBSTITUTE(SUBSTITUTE(SUBSTITUTE(SUBSTITUTE(Продажи_исходные!B166,"№",""),"АРТ-",""),"АРТ_",""),"/","-"),3)</f>
        <v>АРТ-193</v>
      </c>
      <c r="C166" s="4">
        <f>IFERROR(VALUE(TRIM(SUBSTITUTE(SUBSTITUTE(SUBSTITUTE(SUBSTITUTE(Продажи_исходные!C166," шт.","")," шт",""),"шт.",""),"шт",""))),0)</f>
        <v>3</v>
      </c>
      <c r="D166" s="4">
        <f>IF(LEFT(Продажи_исходные!D166,1)="$",VALUE(MID(Продажи_исходные!D166,2,255))*95,IF(LEFT(Продажи_исходные!D166,1)="€",VALUE(MID(Продажи_исходные!D166,2,255))*100,VALUE(SUBSTITUTE(SUBSTITUTE(Продажи_исходные!D166,"₽","")," ",""))))</f>
        <v>8500</v>
      </c>
      <c r="E166" t="str">
        <f>Продажи_исходные!E166</f>
        <v>C0165</v>
      </c>
      <c r="F166" t="str">
        <f>Продажи_исходные!F166</f>
        <v>P017</v>
      </c>
      <c r="G166" t="str">
        <f>IFERROR(VLOOKUP(Продажи_исходные!G166,Справочники!$G$2:$H$50,2,FALSE),Продажи_исходные!G166)</f>
        <v>Отменен</v>
      </c>
      <c r="H166" s="4">
        <f>IFERROR(VLOOKUP(B166,Товары_очищенные!$A$1:$G$1000,6,FALSE),"нет в каталоге")</f>
        <v>129990</v>
      </c>
      <c r="I166" t="str">
        <f>IFERROR(VLOOKUP(B166,Товары_очищенные!$A$1:$G$1000,3,FALSE),"нет в каталоге")</f>
        <v>Ноутбуки</v>
      </c>
      <c r="J166" t="str">
        <f t="shared" si="28"/>
        <v>OK</v>
      </c>
    </row>
    <row r="167">
      <c r="A167" s="8">
        <f>DATE(RIGHT(Продажи_исходные!A167,4),LEFT(Продажи_исходные!A167,2),MID(Продажи_исходные!A167,4,2))</f>
        <v>45754</v>
      </c>
      <c r="B167" t="str">
        <f>"АРТ-"&amp;LEFT(SUBSTITUTE(SUBSTITUTE(SUBSTITUTE(SUBSTITUTE(Продажи_исходные!B167,"№",""),"АРТ-",""),"АРТ_",""),"/","-"),3)</f>
        <v>АРТ-082</v>
      </c>
      <c r="C167" s="4">
        <f>IFERROR(VALUE(TRIM(SUBSTITUTE(SUBSTITUTE(SUBSTITUTE(SUBSTITUTE(Продажи_исходные!C167," шт.","")," шт",""),"шт.",""),"шт",""))),0)</f>
        <v>-2</v>
      </c>
      <c r="D167" s="4">
        <f>IF(LEFT(Продажи_исходные!D167,1)="$",VALUE(MID(Продажи_исходные!D167,2,255))*95,IF(LEFT(Продажи_исходные!D167,1)="€",VALUE(MID(Продажи_исходные!D167,2,255))*100,VALUE(SUBSTITUTE(SUBSTITUTE(Продажи_исходные!D167,"₽","")," ",""))))</f>
        <v>9500</v>
      </c>
      <c r="E167" t="str">
        <f>Продажи_исходные!E167</f>
        <v>C0166</v>
      </c>
      <c r="F167" t="str">
        <f>Продажи_исходные!F167</f>
        <v>P032</v>
      </c>
      <c r="G167" t="str">
        <f>IFERROR(VLOOKUP(Продажи_исходные!G167,Справочники!$G$2:$H$50,2,FALSE),Продажи_исходные!G167)</f>
        <v>Возврат</v>
      </c>
      <c r="H167" s="4">
        <f>IFERROR(VLOOKUP(B167,Товары_очищенные!$A$1:$G$1000,6,FALSE),"нет в каталоге")</f>
        <v>39990</v>
      </c>
      <c r="I167" t="str">
        <f>IFERROR(VLOOKUP(B167,Товары_очищенные!$A$1:$G$1000,3,FALSE),"нет в каталоге")</f>
        <v>Часы</v>
      </c>
      <c r="J167" t="str">
        <f t="shared" si="28"/>
        <v>OK</v>
      </c>
    </row>
    <row r="168">
      <c r="A168" s="8">
        <f>DATE(RIGHT(Продажи_исходные!A168,4),LEFT(Продажи_исходные!A168,2),MID(Продажи_исходные!A168,4,2))</f>
        <v>45755</v>
      </c>
      <c r="B168" t="str">
        <f>"АРТ-"&amp;LEFT(SUBSTITUTE(SUBSTITUTE(SUBSTITUTE(SUBSTITUTE(Продажи_исходные!B168,"№",""),"АРТ-",""),"АРТ_",""),"/","-"),3)</f>
        <v>АРТ-500</v>
      </c>
      <c r="C168" s="4">
        <f>IFERROR(VALUE(TRIM(SUBSTITUTE(SUBSTITUTE(SUBSTITUTE(SUBSTITUTE(Продажи_исходные!C168," шт.","")," шт",""),"шт.",""),"шт",""))),0)</f>
        <v>1</v>
      </c>
      <c r="D168" s="4">
        <f>IF(LEFT(Продажи_исходные!D168,1)="$",VALUE(MID(Продажи_исходные!D168,2,255))*95,IF(LEFT(Продажи_исходные!D168,1)="€",VALUE(MID(Продажи_исходные!D168,2,255))*100,VALUE(SUBSTITUTE(SUBSTITUTE(Продажи_исходные!D168,"₽","")," ",""))))</f>
        <v>8000</v>
      </c>
      <c r="E168" t="str">
        <f>Продажи_исходные!E168</f>
        <v>C0167</v>
      </c>
      <c r="F168" t="str">
        <f>Продажи_исходные!F168</f>
        <v>P049</v>
      </c>
      <c r="G168" t="str">
        <f>IFERROR(VLOOKUP(Продажи_исходные!G168,Справочники!$G$2:$H$50,2,FALSE),Продажи_исходные!G168)</f>
        <v>Завершен</v>
      </c>
      <c r="H168" s="4">
        <f>IFERROR(VLOOKUP(B168,Товары_очищенные!$A$1:$G$1000,6,FALSE),"нет в каталоге")</f>
        <v>5500</v>
      </c>
      <c r="I168" t="str">
        <f>IFERROR(VLOOKUP(B168,Товары_очищенные!$A$1:$G$1000,3,FALSE),"нет в каталоге")</f>
        <v>Аксессуары</v>
      </c>
      <c r="J168" t="str">
        <f t="shared" si="28"/>
        <v>OK</v>
      </c>
    </row>
    <row r="169">
      <c r="A169" s="8">
        <f>DATE(RIGHT(Продажи_исходные!A169,4),LEFT(Продажи_исходные!A169,2),MID(Продажи_исходные!A169,4,2))</f>
        <v>45755</v>
      </c>
      <c r="B169" t="str">
        <f>"АРТ-"&amp;LEFT(SUBSTITUTE(SUBSTITUTE(SUBSTITUTE(SUBSTITUTE(Продажи_исходные!B169,"№",""),"АРТ-",""),"АРТ_",""),"/","-"),3)</f>
        <v>АРТ-321</v>
      </c>
      <c r="C169" s="4">
        <f>IFERROR(VALUE(TRIM(SUBSTITUTE(SUBSTITUTE(SUBSTITUTE(SUBSTITUTE(Продажи_исходные!C169," шт.","")," шт",""),"шт.",""),"шт",""))),0)</f>
        <v>2</v>
      </c>
      <c r="D169" s="4">
        <f>IF(LEFT(Продажи_исходные!D169,1)="$",VALUE(MID(Продажи_исходные!D169,2,255))*95,IF(LEFT(Продажи_исходные!D169,1)="€",VALUE(MID(Продажи_исходные!D169,2,255))*100,VALUE(SUBSTITUTE(SUBSTITUTE(Продажи_исходные!D169,"₽","")," ",""))))</f>
        <v>7500</v>
      </c>
      <c r="E169" t="str">
        <f>Продажи_исходные!E169</f>
        <v>C0168</v>
      </c>
      <c r="F169" t="str">
        <f>Продажи_исходные!F169</f>
        <v>P006</v>
      </c>
      <c r="G169" t="str">
        <f>IFERROR(VLOOKUP(Продажи_исходные!G169,Справочники!$G$2:$H$50,2,FALSE),Продажи_исходные!G169)</f>
        <v>Завершен</v>
      </c>
      <c r="H169" s="4">
        <f>IFERROR(VLOOKUP(B169,Товары_очищенные!$A$1:$G$1000,6,FALSE),"нет в каталоге")</f>
        <v>188000</v>
      </c>
      <c r="I169" t="str">
        <f>IFERROR(VLOOKUP(B169,Товары_очищенные!$A$1:$G$1000,3,FALSE),"нет в каталоге")</f>
        <v>Телевизоры</v>
      </c>
      <c r="J169" t="str">
        <f t="shared" si="28"/>
        <v>OK</v>
      </c>
    </row>
    <row r="170">
      <c r="A170" s="8">
        <f>DATE(RIGHT(Продажи_исходные!A170,4),LEFT(Продажи_исходные!A170,2),MID(Продажи_исходные!A170,4,2))</f>
        <v>45756</v>
      </c>
      <c r="B170" t="str">
        <f>"АРТ-"&amp;LEFT(SUBSTITUTE(SUBSTITUTE(SUBSTITUTE(SUBSTITUTE(Продажи_исходные!B170,"№",""),"АРТ-",""),"АРТ_",""),"/","-"),3)</f>
        <v>АРТ-263</v>
      </c>
      <c r="C170" s="4">
        <f>IFERROR(VALUE(TRIM(SUBSTITUTE(SUBSTITUTE(SUBSTITUTE(SUBSTITUTE(Продажи_исходные!C170," шт.","")," шт",""),"шт.",""),"шт",""))),0)</f>
        <v>3</v>
      </c>
      <c r="D170" s="4">
        <f>IF(LEFT(Продажи_исходные!D170,1)="$",VALUE(MID(Продажи_исходные!D170,2,255))*95,IF(LEFT(Продажи_исходные!D170,1)="€",VALUE(MID(Продажи_исходные!D170,2,255))*100,VALUE(SUBSTITUTE(SUBSTITUTE(Продажи_исходные!D170,"₽","")," ",""))))</f>
        <v>9975</v>
      </c>
      <c r="E170" t="str">
        <f>Продажи_исходные!E170</f>
        <v>C0169</v>
      </c>
      <c r="F170" t="str">
        <f>Продажи_исходные!F170</f>
        <v>P024</v>
      </c>
      <c r="G170" t="str">
        <f>IFERROR(VLOOKUP(Продажи_исходные!G170,Справочники!$G$2:$H$50,2,FALSE),Продажи_исходные!G170)</f>
        <v>Завершен</v>
      </c>
      <c r="H170" s="4">
        <f>IFERROR(VLOOKUP(B170,Товары_очищенные!$A$1:$G$1000,6,FALSE),"нет в каталоге")</f>
        <v>11000</v>
      </c>
      <c r="I170" t="str">
        <f>IFERROR(VLOOKUP(B170,Товары_очищенные!$A$1:$G$1000,3,FALSE),"нет в каталоге")</f>
        <v>Наушники</v>
      </c>
      <c r="J170" t="str">
        <f t="shared" si="28"/>
        <v>OK</v>
      </c>
    </row>
    <row r="171">
      <c r="A171" s="8">
        <f>DATE(RIGHT(Продажи_исходные!A171,4),LEFT(Продажи_исходные!A171,2),MID(Продажи_исходные!A171,4,2))</f>
        <v>45756</v>
      </c>
      <c r="B171" t="str">
        <f>"АРТ-"&amp;LEFT(SUBSTITUTE(SUBSTITUTE(SUBSTITUTE(SUBSTITUTE(Продажи_исходные!B171,"№",""),"АРТ-",""),"АРТ_",""),"/","-"),3)</f>
        <v>АРТ-184</v>
      </c>
      <c r="C171" s="4">
        <f>IFERROR(VALUE(TRIM(SUBSTITUTE(SUBSTITUTE(SUBSTITUTE(SUBSTITUTE(Продажи_исходные!C171," шт.","")," шт",""),"шт.",""),"шт",""))),0)</f>
        <v>2</v>
      </c>
      <c r="D171" s="4">
        <f>IF(LEFT(Продажи_исходные!D171,1)="$",VALUE(MID(Продажи_исходные!D171,2,255))*95,IF(LEFT(Продажи_исходные!D171,1)="€",VALUE(MID(Продажи_исходные!D171,2,255))*100,VALUE(SUBSTITUTE(SUBSTITUTE(Продажи_исходные!D171,"₽","")," ",""))))</f>
        <v>8500</v>
      </c>
      <c r="E171" t="str">
        <f>Продажи_исходные!E171</f>
        <v>C0170</v>
      </c>
      <c r="F171" t="str">
        <f>Продажи_исходные!F171</f>
        <v>P015</v>
      </c>
      <c r="G171" t="str">
        <f>IFERROR(VLOOKUP(Продажи_исходные!G171,Справочники!$G$2:$H$50,2,FALSE),Продажи_исходные!G171)</f>
        <v>Отменен</v>
      </c>
      <c r="H171" s="4">
        <f>IFERROR(VLOOKUP(B171,Товары_очищенные!$A$1:$G$1000,6,FALSE),"нет в каталоге")</f>
        <v>19990</v>
      </c>
      <c r="I171" t="str">
        <f>IFERROR(VLOOKUP(B171,Товары_очищенные!$A$1:$G$1000,3,FALSE),"нет в каталоге")</f>
        <v>Аксессуары</v>
      </c>
      <c r="J171" t="str">
        <f t="shared" si="28"/>
        <v>OK</v>
      </c>
    </row>
    <row r="172">
      <c r="A172" s="8">
        <f>DATE(RIGHT(Продажи_исходные!A172,4),LEFT(Продажи_исходные!A172,2),MID(Продажи_исходные!A172,4,2))</f>
        <v>45757</v>
      </c>
      <c r="B172" t="str">
        <f>"АРТ-"&amp;LEFT(SUBSTITUTE(SUBSTITUTE(SUBSTITUTE(SUBSTITUTE(Продажи_исходные!B172,"№",""),"АРТ-",""),"АРТ_",""),"/","-"),3)</f>
        <v>АРТ-014</v>
      </c>
      <c r="C172" s="4">
        <f>IFERROR(VALUE(TRIM(SUBSTITUTE(SUBSTITUTE(SUBSTITUTE(SUBSTITUTE(Продажи_исходные!C172," шт.","")," шт",""),"шт.",""),"шт",""))),0)</f>
        <v>1</v>
      </c>
      <c r="D172" s="4">
        <f>IF(LEFT(Продажи_исходные!D172,1)="$",VALUE(MID(Продажи_исходные!D172,2,255))*95,IF(LEFT(Продажи_исходные!D172,1)="€",VALUE(MID(Продажи_исходные!D172,2,255))*100,VALUE(SUBSTITUTE(SUBSTITUTE(Продажи_исходные!D172,"₽","")," ",""))))</f>
        <v>7800</v>
      </c>
      <c r="E172" t="str">
        <f>Продажи_исходные!E172</f>
        <v>C0171</v>
      </c>
      <c r="F172" t="str">
        <f>Продажи_исходные!F172</f>
        <v>P037</v>
      </c>
      <c r="G172" t="str">
        <f>IFERROR(VLOOKUP(Продажи_исходные!G172,Справочники!$G$2:$H$50,2,FALSE),Продажи_исходные!G172)</f>
        <v>Отменен</v>
      </c>
      <c r="H172" s="4">
        <f>IFERROR(VLOOKUP(B172,Товары_очищенные!$A$1:$G$1000,6,FALSE),"нет в каталоге")</f>
        <v>147500</v>
      </c>
      <c r="I172" t="str">
        <f>IFERROR(VLOOKUP(B172,Товары_очищенные!$A$1:$G$1000,3,FALSE),"нет в каталоге")</f>
        <v>Телевизоры</v>
      </c>
      <c r="J172" t="str">
        <f t="shared" si="28"/>
        <v>OK</v>
      </c>
    </row>
    <row r="173">
      <c r="A173" s="8">
        <f>DATE(RIGHT(Продажи_исходные!A173,4),LEFT(Продажи_исходные!A173,2),MID(Продажи_исходные!A173,4,2))</f>
        <v>45757</v>
      </c>
      <c r="B173" t="str">
        <f>"АРТ-"&amp;LEFT(SUBSTITUTE(SUBSTITUTE(SUBSTITUTE(SUBSTITUTE(Продажи_исходные!B173,"№",""),"АРТ-",""),"АРТ_",""),"/","-"),3)</f>
        <v>АРТ-396</v>
      </c>
      <c r="C173" s="4">
        <f>IFERROR(VALUE(TRIM(SUBSTITUTE(SUBSTITUTE(SUBSTITUTE(SUBSTITUTE(Продажи_исходные!C173," шт.","")," шт",""),"шт.",""),"шт",""))),0)</f>
        <v>-3</v>
      </c>
      <c r="D173" s="4">
        <f>IF(LEFT(Продажи_исходные!D173,1)="$",VALUE(MID(Продажи_исходные!D173,2,255))*95,IF(LEFT(Продажи_исходные!D173,1)="€",VALUE(MID(Продажи_исходные!D173,2,255))*100,VALUE(SUBSTITUTE(SUBSTITUTE(Продажи_исходные!D173,"₽","")," ",""))))</f>
        <v>11400</v>
      </c>
      <c r="E173" t="str">
        <f>Продажи_исходные!E173</f>
        <v>C0172</v>
      </c>
      <c r="F173" t="str">
        <f>Продажи_исходные!F173</f>
        <v>P048</v>
      </c>
      <c r="G173" t="str">
        <f>IFERROR(VLOOKUP(Продажи_исходные!G173,Справочники!$G$2:$H$50,2,FALSE),Продажи_исходные!G173)</f>
        <v>Завершен</v>
      </c>
      <c r="H173" s="4">
        <f>IFERROR(VLOOKUP(B173,Товары_очищенные!$A$1:$G$1000,6,FALSE),"нет в каталоге")</f>
        <v>67000</v>
      </c>
      <c r="I173" t="str">
        <f>IFERROR(VLOOKUP(B173,Товары_очищенные!$A$1:$G$1000,3,FALSE),"нет в каталоге")</f>
        <v>Мониторы</v>
      </c>
      <c r="J173" t="str">
        <f t="shared" si="28"/>
        <v>OK</v>
      </c>
    </row>
    <row r="174">
      <c r="A174" s="8">
        <f>DATE(RIGHT(Продажи_исходные!A174,4),LEFT(Продажи_исходные!A174,2),MID(Продажи_исходные!A174,4,2))</f>
        <v>45758</v>
      </c>
      <c r="B174" t="str">
        <f>"АРТ-"&amp;LEFT(SUBSTITUTE(SUBSTITUTE(SUBSTITUTE(SUBSTITUTE(Продажи_исходные!B174,"№",""),"АРТ-",""),"АРТ_",""),"/","-"),3)</f>
        <v>АРТ-078</v>
      </c>
      <c r="C174" s="4">
        <f>IFERROR(VALUE(TRIM(SUBSTITUTE(SUBSTITUTE(SUBSTITUTE(SUBSTITUTE(Продажи_исходные!C174," шт.","")," шт",""),"шт.",""),"шт",""))),0)</f>
        <v>2</v>
      </c>
      <c r="D174" s="4">
        <f>IF(LEFT(Продажи_исходные!D174,1)="$",VALUE(MID(Продажи_исходные!D174,2,255))*95,IF(LEFT(Продажи_исходные!D174,1)="€",VALUE(MID(Продажи_исходные!D174,2,255))*100,VALUE(SUBSTITUTE(SUBSTITUTE(Продажи_исходные!D174,"₽","")," ",""))))</f>
        <v>10000</v>
      </c>
      <c r="E174" t="str">
        <f>Продажи_исходные!E174</f>
        <v>C0173</v>
      </c>
      <c r="F174" t="str">
        <f>Продажи_исходные!F174</f>
        <v>P004</v>
      </c>
      <c r="G174" t="str">
        <f>IFERROR(VLOOKUP(Продажи_исходные!G174,Справочники!$G$2:$H$50,2,FALSE),Продажи_исходные!G174)</f>
        <v>Возврат</v>
      </c>
      <c r="H174" s="4">
        <f>IFERROR(VLOOKUP(B174,Товары_очищенные!$A$1:$G$1000,6,FALSE),"нет в каталоге")</f>
        <v>13500</v>
      </c>
      <c r="I174" t="str">
        <f>IFERROR(VLOOKUP(B174,Товары_очищенные!$A$1:$G$1000,3,FALSE),"нет в каталоге")</f>
        <v>Аксессуары</v>
      </c>
      <c r="J174" t="str">
        <f t="shared" si="28"/>
        <v>OK</v>
      </c>
    </row>
    <row r="175">
      <c r="A175" s="8">
        <f>DATE(RIGHT(Продажи_исходные!A175,4),LEFT(Продажи_исходные!A175,2),MID(Продажи_исходные!A175,4,2))</f>
        <v>45758</v>
      </c>
      <c r="B175" t="str">
        <f>"АРТ-"&amp;LEFT(SUBSTITUTE(SUBSTITUTE(SUBSTITUTE(SUBSTITUTE(Продажи_исходные!B175,"№",""),"АРТ-",""),"АРТ_",""),"/","-"),3)</f>
        <v>АРТ-234</v>
      </c>
      <c r="C175" s="4">
        <f>IFERROR(VALUE(TRIM(SUBSTITUTE(SUBSTITUTE(SUBSTITUTE(SUBSTITUTE(Продажи_исходные!C175," шт.","")," шт",""),"шт.",""),"шт",""))),0)</f>
        <v>1</v>
      </c>
      <c r="D175" s="4">
        <f>IF(LEFT(Продажи_исходные!D175,1)="$",VALUE(MID(Продажи_исходные!D175,2,255))*95,IF(LEFT(Продажи_исходные!D175,1)="€",VALUE(MID(Продажи_исходные!D175,2,255))*100,VALUE(SUBSTITUTE(SUBSTITUTE(Продажи_исходные!D175,"₽","")," ",""))))</f>
        <v>9200</v>
      </c>
      <c r="E175" t="str">
        <f>Продажи_исходные!E175</f>
        <v>C0174</v>
      </c>
      <c r="F175" t="str">
        <f>Продажи_исходные!F175</f>
        <v>P026</v>
      </c>
      <c r="G175" t="str">
        <f>IFERROR(VLOOKUP(Продажи_исходные!G175,Справочники!$G$2:$H$50,2,FALSE),Продажи_исходные!G175)</f>
        <v>Завершен</v>
      </c>
      <c r="H175" s="4">
        <f>IFERROR(VLOOKUP(B175,Товары_очищенные!$A$1:$G$1000,6,FALSE),"нет в каталоге")</f>
        <v>44500</v>
      </c>
      <c r="I175" t="str">
        <f>IFERROR(VLOOKUP(B175,Товары_очищенные!$A$1:$G$1000,3,FALSE),"нет в каталоге")</f>
        <v>Смартфоны</v>
      </c>
      <c r="J175" t="str">
        <f t="shared" si="28"/>
        <v>OK</v>
      </c>
    </row>
    <row r="176">
      <c r="A176" s="8">
        <f>DATE(RIGHT(Продажи_исходные!A176,4),LEFT(Продажи_исходные!A176,2),MID(Продажи_исходные!A176,4,2))</f>
        <v>45759</v>
      </c>
      <c r="B176" t="str">
        <f>"АРТ-"&amp;LEFT(SUBSTITUTE(SUBSTITUTE(SUBSTITUTE(SUBSTITUTE(Продажи_исходные!B176,"№",""),"АРТ-",""),"АРТ_",""),"/","-"),3)</f>
        <v>АРТ-145</v>
      </c>
      <c r="C176" s="4">
        <f>IFERROR(VALUE(TRIM(SUBSTITUTE(SUBSTITUTE(SUBSTITUTE(SUBSTITUTE(Продажи_исходные!C176," шт.","")," шт",""),"шт.",""),"шт",""))),0)</f>
        <v>3</v>
      </c>
      <c r="D176" s="4">
        <f>IF(LEFT(Продажи_исходные!D176,1)="$",VALUE(MID(Продажи_исходные!D176,2,255))*95,IF(LEFT(Продажи_исходные!D176,1)="€",VALUE(MID(Продажи_исходные!D176,2,255))*100,VALUE(SUBSTITUTE(SUBSTITUTE(Продажи_исходные!D176,"₽","")," ",""))))</f>
        <v>8550</v>
      </c>
      <c r="E176" t="str">
        <f>Продажи_исходные!E176</f>
        <v>C0175</v>
      </c>
      <c r="F176" t="str">
        <f>Продажи_исходные!F176</f>
        <v>P013</v>
      </c>
      <c r="G176" t="str">
        <f>IFERROR(VLOOKUP(Продажи_исходные!G176,Справочники!$G$2:$H$50,2,FALSE),Продажи_исходные!G176)</f>
        <v>Завершен</v>
      </c>
      <c r="H176" s="4">
        <f>IFERROR(VLOOKUP(B176,Товары_очищенные!$A$1:$G$1000,6,FALSE),"нет в каталоге")</f>
        <v>45990</v>
      </c>
      <c r="I176" t="str">
        <f>IFERROR(VLOOKUP(B176,Товары_очищенные!$A$1:$G$1000,3,FALSE),"нет в каталоге")</f>
        <v>Смартфоны</v>
      </c>
      <c r="J176" t="str">
        <f t="shared" si="28"/>
        <v>OK</v>
      </c>
    </row>
    <row r="177">
      <c r="A177" s="8">
        <f>DATE(RIGHT(Продажи_исходные!A177,4),LEFT(Продажи_исходные!A177,2),MID(Продажи_исходные!A177,4,2))</f>
        <v>45759</v>
      </c>
      <c r="B177" t="str">
        <f>"АРТ-"&amp;LEFT(SUBSTITUTE(SUBSTITUTE(SUBSTITUTE(SUBSTITUTE(Продажи_исходные!B177,"№",""),"АРТ-",""),"АРТ_",""),"/","-"),3)</f>
        <v>АРТ-317</v>
      </c>
      <c r="C177" s="4">
        <f>IFERROR(VALUE(TRIM(SUBSTITUTE(SUBSTITUTE(SUBSTITUTE(SUBSTITUTE(Продажи_исходные!C177," шт.","")," шт",""),"шт.",""),"шт",""))),0)</f>
        <v>2</v>
      </c>
      <c r="D177" s="4">
        <f>IF(LEFT(Продажи_исходные!D177,1)="$",VALUE(MID(Продажи_исходные!D177,2,255))*95,IF(LEFT(Продажи_исходные!D177,1)="€",VALUE(MID(Продажи_исходные!D177,2,255))*100,VALUE(SUBSTITUTE(SUBSTITUTE(Продажи_исходные!D177,"₽","")," ",""))))</f>
        <v>7000</v>
      </c>
      <c r="E177" t="str">
        <f>Продажи_исходные!E177</f>
        <v>C0176</v>
      </c>
      <c r="F177" t="str">
        <f>Продажи_исходные!F177</f>
        <v>P034</v>
      </c>
      <c r="G177" t="str">
        <f>IFERROR(VLOOKUP(Продажи_исходные!G177,Справочники!$G$2:$H$50,2,FALSE),Продажи_исходные!G177)</f>
        <v>Завершен</v>
      </c>
      <c r="H177" s="4">
        <f>IFERROR(VLOOKUP(B177,Товары_очищенные!$A$1:$G$1000,6,FALSE),"нет в каталоге")</f>
        <v>107000</v>
      </c>
      <c r="I177" t="str">
        <f>IFERROR(VLOOKUP(B177,Товары_очищенные!$A$1:$G$1000,3,FALSE),"нет в каталоге")</f>
        <v>Ноутбуки</v>
      </c>
      <c r="J177" t="str">
        <f t="shared" si="28"/>
        <v>OK</v>
      </c>
    </row>
    <row r="178">
      <c r="A178" s="8">
        <f>DATE(RIGHT(Продажи_исходные!A178,4),LEFT(Продажи_исходные!A178,2),MID(Продажи_исходные!A178,4,2))</f>
        <v>45760</v>
      </c>
      <c r="B178" t="str">
        <f>"АРТ-"&amp;LEFT(SUBSTITUTE(SUBSTITUTE(SUBSTITUTE(SUBSTITUTE(Продажи_исходные!B178,"№",""),"АРТ-",""),"АРТ_",""),"/","-"),3)</f>
        <v>АРТ-456</v>
      </c>
      <c r="C178" s="4">
        <f>IFERROR(VALUE(TRIM(SUBSTITUTE(SUBSTITUTE(SUBSTITUTE(SUBSTITUTE(Продажи_исходные!C178," шт.","")," шт",""),"шт.",""),"шт",""))),0)</f>
        <v>1</v>
      </c>
      <c r="D178" s="4">
        <f>IF(LEFT(Продажи_исходные!D178,1)="$",VALUE(MID(Продажи_исходные!D178,2,255))*95,IF(LEFT(Продажи_исходные!D178,1)="€",VALUE(MID(Продажи_исходные!D178,2,255))*100,VALUE(SUBSTITUTE(SUBSTITUTE(Продажи_исходные!D178,"₽","")," ",""))))</f>
        <v>6500</v>
      </c>
      <c r="E178" t="str">
        <f>Продажи_исходные!E178</f>
        <v>C0177</v>
      </c>
      <c r="F178" t="str">
        <f>Продажи_исходные!F178</f>
        <v>P044</v>
      </c>
      <c r="G178" t="str">
        <f>IFERROR(VLOOKUP(Продажи_исходные!G178,Справочники!$G$2:$H$50,2,FALSE),Продажи_исходные!G178)</f>
        <v>Отменен</v>
      </c>
      <c r="H178" s="4">
        <f>IFERROR(VLOOKUP(B178,Товары_очищенные!$A$1:$G$1000,6,FALSE),"нет в каталоге")</f>
        <v>77500</v>
      </c>
      <c r="I178" t="str">
        <f>IFERROR(VLOOKUP(B178,Товары_очищенные!$A$1:$G$1000,3,FALSE),"нет в каталоге")</f>
        <v>Мониторы</v>
      </c>
      <c r="J178" t="str">
        <f t="shared" si="28"/>
        <v>OK</v>
      </c>
    </row>
    <row r="179">
      <c r="A179" s="8">
        <f>DATE(RIGHT(Продажи_исходные!A179,4),LEFT(Продажи_исходные!A179,2),MID(Продажи_исходные!A179,4,2))</f>
        <v>45760</v>
      </c>
      <c r="B179" t="str">
        <f>"АРТ-"&amp;LEFT(SUBSTITUTE(SUBSTITUTE(SUBSTITUTE(SUBSTITUTE(Продажи_исходные!B179,"№",""),"АРТ-",""),"АРТ_",""),"/","-"),3)</f>
        <v>АРТ-208</v>
      </c>
      <c r="C179" s="4">
        <f>IFERROR(VALUE(TRIM(SUBSTITUTE(SUBSTITUTE(SUBSTITUTE(SUBSTITUTE(Продажи_исходные!C179," шт.","")," шт",""),"шт.",""),"шт",""))),0)</f>
        <v>-1</v>
      </c>
      <c r="D179" s="4">
        <f>IF(LEFT(Продажи_исходные!D179,1)="$",VALUE(MID(Продажи_исходные!D179,2,255))*95,IF(LEFT(Продажи_исходные!D179,1)="€",VALUE(MID(Продажи_исходные!D179,2,255))*100,VALUE(SUBSTITUTE(SUBSTITUTE(Продажи_исходные!D179,"₽","")," ",""))))</f>
        <v>10450</v>
      </c>
      <c r="E179" t="str">
        <f>Продажи_исходные!E179</f>
        <v>C0178</v>
      </c>
      <c r="F179" t="str">
        <f>Продажи_исходные!F179</f>
        <v>P001</v>
      </c>
      <c r="G179" t="str">
        <f>IFERROR(VLOOKUP(Продажи_исходные!G179,Справочники!$G$2:$H$50,2,FALSE),Продажи_исходные!G179)</f>
        <v>Отменен</v>
      </c>
      <c r="H179" s="4">
        <f>IFERROR(VLOOKUP(B179,Товары_очищенные!$A$1:$G$1000,6,FALSE),"нет в каталоге")</f>
        <v>10990</v>
      </c>
      <c r="I179" t="str">
        <f>IFERROR(VLOOKUP(B179,Товары_очищенные!$A$1:$G$1000,3,FALSE),"нет в каталоге")</f>
        <v>Аксессуары</v>
      </c>
      <c r="J179" t="str">
        <f t="shared" si="28"/>
        <v>OK</v>
      </c>
    </row>
    <row r="180">
      <c r="A180" s="8">
        <f>DATE(RIGHT(Продажи_исходные!A180,4),LEFT(Продажи_исходные!A180,2),MID(Продажи_исходные!A180,4,2))</f>
        <v>45761</v>
      </c>
      <c r="B180" t="str">
        <f>"АРТ-"&amp;LEFT(SUBSTITUTE(SUBSTITUTE(SUBSTITUTE(SUBSTITUTE(Продажи_исходные!B180,"№",""),"АРТ-",""),"АРТ_",""),"/","-"),3)</f>
        <v>АРТ-374</v>
      </c>
      <c r="C180" s="4">
        <f>IFERROR(VALUE(TRIM(SUBSTITUTE(SUBSTITUTE(SUBSTITUTE(SUBSTITUTE(Продажи_исходные!C180," шт.","")," шт",""),"шт.",""),"шт",""))),0)</f>
        <v>3</v>
      </c>
      <c r="D180" s="4">
        <f>IF(LEFT(Продажи_исходные!D180,1)="$",VALUE(MID(Продажи_исходные!D180,2,255))*95,IF(LEFT(Продажи_исходные!D180,1)="€",VALUE(MID(Продажи_исходные!D180,2,255))*100,VALUE(SUBSTITUTE(SUBSTITUTE(Продажи_исходные!D180,"₽","")," ",""))))</f>
        <v>9000</v>
      </c>
      <c r="E180" t="str">
        <f>Продажи_исходные!E180</f>
        <v>C0179</v>
      </c>
      <c r="F180" t="str">
        <f>Продажи_исходные!F180</f>
        <v>P021</v>
      </c>
      <c r="G180" t="str">
        <f>IFERROR(VLOOKUP(Продажи_исходные!G180,Справочники!$G$2:$H$50,2,FALSE),Продажи_исходные!G180)</f>
        <v>Возврат</v>
      </c>
      <c r="H180" s="4">
        <f>IFERROR(VLOOKUP(B180,Товары_очищенные!$A$1:$G$1000,6,FALSE),"нет в каталоге")</f>
        <v>13500</v>
      </c>
      <c r="I180" t="str">
        <f>IFERROR(VLOOKUP(B180,Товары_очищенные!$A$1:$G$1000,3,FALSE),"нет в каталоге")</f>
        <v>Аксессуары</v>
      </c>
      <c r="J180" t="str">
        <f t="shared" si="28"/>
        <v>OK</v>
      </c>
    </row>
    <row r="181">
      <c r="A181" s="8">
        <f>DATE(RIGHT(Продажи_исходные!A181,4),LEFT(Продажи_исходные!A181,2),MID(Продажи_исходные!A181,4,2))</f>
        <v>45761</v>
      </c>
      <c r="B181" t="str">
        <f>"АРТ-"&amp;LEFT(SUBSTITUTE(SUBSTITUTE(SUBSTITUTE(SUBSTITUTE(Продажи_исходные!B181,"№",""),"АРТ-",""),"АРТ_",""),"/","-"),3)</f>
        <v>АРТ-091</v>
      </c>
      <c r="C181" s="4">
        <f>IFERROR(VALUE(TRIM(SUBSTITUTE(SUBSTITUTE(SUBSTITUTE(SUBSTITUTE(Продажи_исходные!C181," шт.","")," шт",""),"шт.",""),"шт",""))),0)</f>
        <v>2</v>
      </c>
      <c r="D181" s="4">
        <f>IF(LEFT(Продажи_исходные!D181,1)="$",VALUE(MID(Продажи_исходные!D181,2,255))*95,IF(LEFT(Продажи_исходные!D181,1)="€",VALUE(MID(Продажи_исходные!D181,2,255))*100,VALUE(SUBSTITUTE(SUBSTITUTE(Продажи_исходные!D181,"₽","")," ",""))))</f>
        <v>8000</v>
      </c>
      <c r="E181" t="str">
        <f>Продажи_исходные!E181</f>
        <v>C0180</v>
      </c>
      <c r="F181" t="str">
        <f>Продажи_исходные!F181</f>
        <v>P039</v>
      </c>
      <c r="G181" t="str">
        <f>IFERROR(VLOOKUP(Продажи_исходные!G181,Справочники!$G$2:$H$50,2,FALSE),Продажи_исходные!G181)</f>
        <v>Завершен</v>
      </c>
      <c r="H181" s="4">
        <f>IFERROR(VLOOKUP(B181,Товары_очищенные!$A$1:$G$1000,6,FALSE),"нет в каталоге")</f>
        <v>9990</v>
      </c>
      <c r="I181" t="str">
        <f>IFERROR(VLOOKUP(B181,Товары_очищенные!$A$1:$G$1000,3,FALSE),"нет в каталоге")</f>
        <v>Наушники</v>
      </c>
      <c r="J181" t="str">
        <f t="shared" si="28"/>
        <v>OK</v>
      </c>
    </row>
    <row r="182">
      <c r="A182" s="8">
        <f>DATE(RIGHT(Продажи_исходные!A182,4),LEFT(Продажи_исходные!A182,2),MID(Продажи_исходные!A182,4,2))</f>
        <v>45762</v>
      </c>
      <c r="B182" t="str">
        <f>"АРТ-"&amp;LEFT(SUBSTITUTE(SUBSTITUTE(SUBSTITUTE(SUBSTITUTE(Продажи_исходные!B182,"№",""),"АРТ-",""),"АРТ_",""),"/","-"),3)</f>
        <v>АРТ-323</v>
      </c>
      <c r="C182" s="4">
        <f>IFERROR(VALUE(TRIM(SUBSTITUTE(SUBSTITUTE(SUBSTITUTE(SUBSTITUTE(Продажи_исходные!C182," шт.","")," шт",""),"шт.",""),"шт",""))),0)</f>
        <v>1</v>
      </c>
      <c r="D182" s="4">
        <f>IF(LEFT(Продажи_исходные!D182,1)="$",VALUE(MID(Продажи_исходные!D182,2,255))*95,IF(LEFT(Продажи_исходные!D182,1)="€",VALUE(MID(Продажи_исходные!D182,2,255))*100,VALUE(SUBSTITUTE(SUBSTITUTE(Продажи_исходные!D182,"₽","")," ",""))))</f>
        <v>9025</v>
      </c>
      <c r="E182" t="str">
        <f>Продажи_исходные!E182</f>
        <v>C0181</v>
      </c>
      <c r="F182" t="str">
        <f>Продажи_исходные!F182</f>
        <v>P050</v>
      </c>
      <c r="G182" t="str">
        <f>IFERROR(VLOOKUP(Продажи_исходные!G182,Справочники!$G$2:$H$50,2,FALSE),Продажи_исходные!G182)</f>
        <v>Завершен</v>
      </c>
      <c r="H182" s="4">
        <f>IFERROR(VLOOKUP(B182,Товары_очищенные!$A$1:$G$1000,6,FALSE),"нет в каталоге")</f>
        <v>12500</v>
      </c>
      <c r="I182" t="str">
        <f>IFERROR(VLOOKUP(B182,Товары_очищенные!$A$1:$G$1000,3,FALSE),"нет в каталоге")</f>
        <v>Наушники</v>
      </c>
      <c r="J182" t="str">
        <f t="shared" si="28"/>
        <v>OK</v>
      </c>
    </row>
    <row r="183">
      <c r="A183" s="8">
        <f>DATE(RIGHT(Продажи_исходные!A183,4),LEFT(Продажи_исходные!A183,2),MID(Продажи_исходные!A183,4,2))</f>
        <v>45762</v>
      </c>
      <c r="B183" t="str">
        <f>"АРТ-"&amp;LEFT(SUBSTITUTE(SUBSTITUTE(SUBSTITUTE(SUBSTITUTE(Продажи_исходные!B183,"№",""),"АРТ-",""),"АРТ_",""),"/","-"),3)</f>
        <v>АРТ-468</v>
      </c>
      <c r="C183" s="4">
        <f>IFERROR(VALUE(TRIM(SUBSTITUTE(SUBSTITUTE(SUBSTITUTE(SUBSTITUTE(Продажи_исходные!C183," шт.","")," шт",""),"шт.",""),"шт",""))),0)</f>
        <v>2</v>
      </c>
      <c r="D183" s="4">
        <f>IF(LEFT(Продажи_исходные!D183,1)="$",VALUE(MID(Продажи_исходные!D183,2,255))*95,IF(LEFT(Продажи_исходные!D183,1)="€",VALUE(MID(Продажи_исходные!D183,2,255))*100,VALUE(SUBSTITUTE(SUBSTITUTE(Продажи_исходные!D183,"₽","")," ",""))))</f>
        <v>7500</v>
      </c>
      <c r="E183" t="str">
        <f>Продажи_исходные!E183</f>
        <v>C0182</v>
      </c>
      <c r="F183" t="str">
        <f>Продажи_исходные!F183</f>
        <v>P011</v>
      </c>
      <c r="G183" t="str">
        <f>IFERROR(VLOOKUP(Продажи_исходные!G183,Справочники!$G$2:$H$50,2,FALSE),Продажи_исходные!G183)</f>
        <v>Завершен</v>
      </c>
      <c r="H183" s="4">
        <f>IFERROR(VLOOKUP(B183,Товары_очищенные!$A$1:$G$1000,6,FALSE),"нет в каталоге")</f>
        <v>24500</v>
      </c>
      <c r="I183" t="str">
        <f>IFERROR(VLOOKUP(B183,Товары_очищенные!$A$1:$G$1000,3,FALSE),"нет в каталоге")</f>
        <v>Смартфоны</v>
      </c>
      <c r="J183" t="str">
        <f t="shared" si="28"/>
        <v>OK</v>
      </c>
    </row>
    <row r="184">
      <c r="A184" s="8">
        <f>DATE(RIGHT(Продажи_исходные!A184,4),LEFT(Продажи_исходные!A184,2),MID(Продажи_исходные!A184,4,2))</f>
        <v>45763</v>
      </c>
      <c r="B184" t="str">
        <f>"АРТ-"&amp;LEFT(SUBSTITUTE(SUBSTITUTE(SUBSTITUTE(SUBSTITUTE(Продажи_исходные!B184,"№",""),"АРТ-",""),"АРТ_",""),"/","-"),3)</f>
        <v>АРТ-358</v>
      </c>
      <c r="C184" s="4">
        <f>IFERROR(VALUE(TRIM(SUBSTITUTE(SUBSTITUTE(SUBSTITUTE(SUBSTITUTE(Продажи_исходные!C184," шт.","")," шт",""),"шт.",""),"шт",""))),0)</f>
        <v>3</v>
      </c>
      <c r="D184" s="4">
        <f>IF(LEFT(Продажи_исходные!D184,1)="$",VALUE(MID(Продажи_исходные!D184,2,255))*95,IF(LEFT(Продажи_исходные!D184,1)="€",VALUE(MID(Продажи_исходные!D184,2,255))*100,VALUE(SUBSTITUTE(SUBSTITUTE(Продажи_исходные!D184,"₽","")," ",""))))</f>
        <v>7000</v>
      </c>
      <c r="E184" t="str">
        <f>Продажи_исходные!E184</f>
        <v>C0183</v>
      </c>
      <c r="F184" t="str">
        <f>Продажи_исходные!F184</f>
        <v>P027</v>
      </c>
      <c r="G184" t="str">
        <f>IFERROR(VLOOKUP(Продажи_исходные!G184,Справочники!$G$2:$H$50,2,FALSE),Продажи_исходные!G184)</f>
        <v>Отменен</v>
      </c>
      <c r="H184" s="4">
        <f>IFERROR(VLOOKUP(B184,Товары_очищенные!$A$1:$G$1000,6,FALSE),"нет в каталоге")</f>
        <v>59990</v>
      </c>
      <c r="I184" t="str">
        <f>IFERROR(VLOOKUP(B184,Товары_очищенные!$A$1:$G$1000,3,FALSE),"нет в каталоге")</f>
        <v>Планшеты</v>
      </c>
      <c r="J184" t="str">
        <f t="shared" si="28"/>
        <v>OK</v>
      </c>
    </row>
    <row r="185">
      <c r="A185" s="8">
        <f>DATE(RIGHT(Продажи_исходные!A185,4),LEFT(Продажи_исходные!A185,2),MID(Продажи_исходные!A185,4,2))</f>
        <v>45763</v>
      </c>
      <c r="B185" t="str">
        <f>"АРТ-"&amp;LEFT(SUBSTITUTE(SUBSTITUTE(SUBSTITUTE(SUBSTITUTE(Продажи_исходные!B185,"№",""),"АРТ-",""),"АРТ_",""),"/","-"),3)</f>
        <v>АРТ-172</v>
      </c>
      <c r="C185" s="4">
        <f>IFERROR(VALUE(TRIM(SUBSTITUTE(SUBSTITUTE(SUBSTITUTE(SUBSTITUTE(Продажи_исходные!C185," шт.","")," шт",""),"шт.",""),"шт",""))),0)</f>
        <v>-2</v>
      </c>
      <c r="D185" s="4">
        <f>IF(LEFT(Продажи_исходные!D185,1)="$",VALUE(MID(Продажи_исходные!D185,2,255))*95,IF(LEFT(Продажи_исходные!D185,1)="€",VALUE(MID(Продажи_исходные!D185,2,255))*100,VALUE(SUBSTITUTE(SUBSTITUTE(Продажи_исходные!D185,"₽","")," ",""))))</f>
        <v>10925</v>
      </c>
      <c r="E185" t="str">
        <f>Продажи_исходные!E185</f>
        <v>C0184</v>
      </c>
      <c r="F185" t="str">
        <f>Продажи_исходные!F185</f>
        <v>P018</v>
      </c>
      <c r="G185" t="str">
        <f>IFERROR(VLOOKUP(Продажи_исходные!G185,Справочники!$G$2:$H$50,2,FALSE),Продажи_исходные!G185)</f>
        <v>Отменен</v>
      </c>
      <c r="H185" s="4">
        <f>IFERROR(VLOOKUP(B185,Товары_очищенные!$A$1:$G$1000,6,FALSE),"нет в каталоге")</f>
        <v>104990</v>
      </c>
      <c r="I185" t="str">
        <f>IFERROR(VLOOKUP(B185,Товары_очищенные!$A$1:$G$1000,3,FALSE),"нет в каталоге")</f>
        <v>Ноутбуки</v>
      </c>
      <c r="J185" t="str">
        <f t="shared" si="28"/>
        <v>OK</v>
      </c>
    </row>
    <row r="186">
      <c r="A186" s="8">
        <f>DATE(RIGHT(Продажи_исходные!A186,4),LEFT(Продажи_исходные!A186,2),MID(Продажи_исходные!A186,4,2))</f>
        <v>45764</v>
      </c>
      <c r="B186" t="str">
        <f>"АРТ-"&amp;LEFT(SUBSTITUTE(SUBSTITUTE(SUBSTITUTE(SUBSTITUTE(Продажи_исходные!B186,"№",""),"АРТ-",""),"АРТ_",""),"/","-"),3)</f>
        <v>АРТ-260</v>
      </c>
      <c r="C186" s="4">
        <f>IFERROR(VALUE(TRIM(SUBSTITUTE(SUBSTITUTE(SUBSTITUTE(SUBSTITUTE(Продажи_исходные!C186," шт.","")," шт",""),"шт.",""),"шт",""))),0)</f>
        <v>1</v>
      </c>
      <c r="D186" s="4">
        <f>IF(LEFT(Продажи_исходные!D186,1)="$",VALUE(MID(Продажи_исходные!D186,2,255))*95,IF(LEFT(Продажи_исходные!D186,1)="€",VALUE(MID(Продажи_исходные!D186,2,255))*100,VALUE(SUBSTITUTE(SUBSTITUTE(Продажи_исходные!D186,"₽","")," ",""))))</f>
        <v>9500</v>
      </c>
      <c r="E186" t="str">
        <f>Продажи_исходные!E186</f>
        <v>C0185</v>
      </c>
      <c r="F186" t="str">
        <f>Продажи_исходные!F186</f>
        <v>P040</v>
      </c>
      <c r="G186" t="str">
        <f>IFERROR(VLOOKUP(Продажи_исходные!G186,Справочники!$G$2:$H$50,2,FALSE),Продажи_исходные!G186)</f>
        <v>Завершен</v>
      </c>
      <c r="H186" s="4">
        <f>IFERROR(VLOOKUP(B186,Товары_очищенные!$A$1:$G$1000,6,FALSE),"нет в каталоге")</f>
        <v>90000</v>
      </c>
      <c r="I186" t="str">
        <f>IFERROR(VLOOKUP(B186,Товары_очищенные!$A$1:$G$1000,3,FALSE),"нет в каталоге")</f>
        <v>Телевизоры</v>
      </c>
      <c r="J186" t="str">
        <f t="shared" si="28"/>
        <v>OK</v>
      </c>
    </row>
    <row r="187">
      <c r="A187" s="8">
        <f>DATE(RIGHT(Продажи_исходные!A187,4),LEFT(Продажи_исходные!A187,2),MID(Продажи_исходные!A187,4,2))</f>
        <v>45764</v>
      </c>
      <c r="B187" t="str">
        <f>"АРТ-"&amp;LEFT(SUBSTITUTE(SUBSTITUTE(SUBSTITUTE(SUBSTITUTE(Продажи_исходные!B187,"№",""),"АРТ-",""),"АРТ_",""),"/","-"),3)</f>
        <v>АРТ-110</v>
      </c>
      <c r="C187" s="4">
        <f>IFERROR(VALUE(TRIM(SUBSTITUTE(SUBSTITUTE(SUBSTITUTE(SUBSTITUTE(Продажи_исходные!C187," шт.","")," шт",""),"шт.",""),"шт",""))),0)</f>
        <v>2</v>
      </c>
      <c r="D187" s="4">
        <f>IF(LEFT(Продажи_исходные!D187,1)="$",VALUE(MID(Продажи_исходные!D187,2,255))*95,IF(LEFT(Продажи_исходные!D187,1)="€",VALUE(MID(Продажи_исходные!D187,2,255))*100,VALUE(SUBSTITUTE(SUBSTITUTE(Продажи_исходные!D187,"₽","")," ",""))))</f>
        <v>8500</v>
      </c>
      <c r="E187" t="str">
        <f>Продажи_исходные!E187</f>
        <v>C0186</v>
      </c>
      <c r="F187" t="str">
        <f>Продажи_исходные!F187</f>
        <v>P003</v>
      </c>
      <c r="G187" t="str">
        <f>IFERROR(VLOOKUP(Продажи_исходные!G187,Справочники!$G$2:$H$50,2,FALSE),Продажи_исходные!G187)</f>
        <v>Возврат</v>
      </c>
      <c r="H187" s="4">
        <f>IFERROR(VLOOKUP(B187,Товары_очищенные!$A$1:$G$1000,6,FALSE),"нет в каталоге")</f>
        <v>117000</v>
      </c>
      <c r="I187" t="str">
        <f>IFERROR(VLOOKUP(B187,Товары_очищенные!$A$1:$G$1000,3,FALSE),"нет в каталоге")</f>
        <v>Телевизоры</v>
      </c>
      <c r="J187" t="str">
        <f t="shared" si="28"/>
        <v>OK</v>
      </c>
    </row>
    <row r="188">
      <c r="A188" s="8">
        <f>DATE(RIGHT(Продажи_исходные!A188,4),LEFT(Продажи_исходные!A188,2),MID(Продажи_исходные!A188,4,2))</f>
        <v>45765</v>
      </c>
      <c r="B188" t="str">
        <f>"АРТ-"&amp;LEFT(SUBSTITUTE(SUBSTITUTE(SUBSTITUTE(SUBSTITUTE(Продажи_исходные!B188,"№",""),"АРТ-",""),"АРТ_",""),"/","-"),3)</f>
        <v>АРТ-029</v>
      </c>
      <c r="C188" s="4">
        <f>IFERROR(VALUE(TRIM(SUBSTITUTE(SUBSTITUTE(SUBSTITUTE(SUBSTITUTE(Продажи_исходные!C188," шт.","")," шт",""),"шт.",""),"шт",""))),0)</f>
        <v>3</v>
      </c>
      <c r="D188" s="4">
        <f>IF(LEFT(Продажи_исходные!D188,1)="$",VALUE(MID(Продажи_исходные!D188,2,255))*95,IF(LEFT(Продажи_исходные!D188,1)="€",VALUE(MID(Продажи_исходные!D188,2,255))*100,VALUE(SUBSTITUTE(SUBSTITUTE(Продажи_исходные!D188,"₽","")," ",""))))</f>
        <v>9975</v>
      </c>
      <c r="E188" t="str">
        <f>Продажи_исходные!E188</f>
        <v>C0187</v>
      </c>
      <c r="F188" t="str">
        <f>Продажи_исходные!F188</f>
        <v>P025</v>
      </c>
      <c r="G188" t="str">
        <f>IFERROR(VLOOKUP(Продажи_исходные!G188,Справочники!$G$2:$H$50,2,FALSE),Продажи_исходные!G188)</f>
        <v>Завершен</v>
      </c>
      <c r="H188" s="4">
        <f>IFERROR(VLOOKUP(B188,Товары_очищенные!$A$1:$G$1000,6,FALSE),"нет в каталоге")</f>
        <v>9500</v>
      </c>
      <c r="I188" t="str">
        <f>IFERROR(VLOOKUP(B188,Товары_очищенные!$A$1:$G$1000,3,FALSE),"нет в каталоге")</f>
        <v>Аксессуары</v>
      </c>
      <c r="J188" t="str">
        <f t="shared" si="28"/>
        <v>OK</v>
      </c>
    </row>
    <row r="189">
      <c r="A189" s="8">
        <f>DATE(RIGHT(Продажи_исходные!A189,4),LEFT(Продажи_исходные!A189,2),MID(Продажи_исходные!A189,4,2))</f>
        <v>45765</v>
      </c>
      <c r="B189" t="str">
        <f>"АРТ-"&amp;LEFT(SUBSTITUTE(SUBSTITUTE(SUBSTITUTE(SUBSTITUTE(Продажи_исходные!B189,"№",""),"АРТ-",""),"АРТ_",""),"/","-"),3)</f>
        <v>АРТ-415</v>
      </c>
      <c r="C189" s="4">
        <f>IFERROR(VALUE(TRIM(SUBSTITUTE(SUBSTITUTE(SUBSTITUTE(SUBSTITUTE(Продажи_исходные!C189," шт.","")," шт",""),"шт.",""),"шт",""))),0)</f>
        <v>2</v>
      </c>
      <c r="D189" s="4">
        <f>IF(LEFT(Продажи_исходные!D189,1)="$",VALUE(MID(Продажи_исходные!D189,2,255))*95,IF(LEFT(Продажи_исходные!D189,1)="€",VALUE(MID(Продажи_исходные!D189,2,255))*100,VALUE(SUBSTITUTE(SUBSTITUTE(Продажи_исходные!D189,"₽","")," ",""))))</f>
        <v>8500</v>
      </c>
      <c r="E189" t="str">
        <f>Продажи_исходные!E189</f>
        <v>C0188</v>
      </c>
      <c r="F189" t="str">
        <f>Продажи_исходные!F189</f>
        <v>P010</v>
      </c>
      <c r="G189" t="str">
        <f>IFERROR(VLOOKUP(Продажи_исходные!G189,Справочники!$G$2:$H$50,2,FALSE),Продажи_исходные!G189)</f>
        <v>Завершен</v>
      </c>
      <c r="H189" s="4">
        <f>IFERROR(VLOOKUP(B189,Товары_очищенные!$A$1:$G$1000,6,FALSE),"нет в каталоге")</f>
        <v>14990</v>
      </c>
      <c r="I189" t="str">
        <f>IFERROR(VLOOKUP(B189,Товары_очищенные!$A$1:$G$1000,3,FALSE),"нет в каталоге")</f>
        <v>Аксессуары</v>
      </c>
      <c r="J189" t="str">
        <f t="shared" si="28"/>
        <v>OK</v>
      </c>
    </row>
    <row r="190">
      <c r="A190" s="8">
        <f>DATE(RIGHT(Продажи_исходные!A190,4),LEFT(Продажи_исходные!A190,2),MID(Продажи_исходные!A190,4,2))</f>
        <v>45766</v>
      </c>
      <c r="B190" t="str">
        <f>"АРТ-"&amp;LEFT(SUBSTITUTE(SUBSTITUTE(SUBSTITUTE(SUBSTITUTE(Продажи_исходные!B190,"№",""),"АРТ-",""),"АРТ_",""),"/","-"),3)</f>
        <v>АРТ-223</v>
      </c>
      <c r="C190" s="4">
        <f>IFERROR(VALUE(TRIM(SUBSTITUTE(SUBSTITUTE(SUBSTITUTE(SUBSTITUTE(Продажи_исходные!C190," шт.","")," шт",""),"шт.",""),"шт",""))),0)</f>
        <v>1</v>
      </c>
      <c r="D190" s="4">
        <f>IF(LEFT(Продажи_исходные!D190,1)="$",VALUE(MID(Продажи_исходные!D190,2,255))*95,IF(LEFT(Продажи_исходные!D190,1)="€",VALUE(MID(Продажи_исходные!D190,2,255))*100,VALUE(SUBSTITUTE(SUBSTITUTE(Продажи_исходные!D190,"₽","")," ",""))))</f>
        <v>7800</v>
      </c>
      <c r="E190" t="str">
        <f>Продажи_исходные!E190</f>
        <v>C0189</v>
      </c>
      <c r="F190" t="str">
        <f>Продажи_исходные!F190</f>
        <v>P033</v>
      </c>
      <c r="G190" t="str">
        <f>IFERROR(VLOOKUP(Продажи_исходные!G190,Справочники!$G$2:$H$50,2,FALSE),Продажи_исходные!G190)</f>
        <v>Завершен</v>
      </c>
      <c r="H190" s="4">
        <f>IFERROR(VLOOKUP(B190,Товары_очищенные!$A$1:$G$1000,6,FALSE),"нет в каталоге")</f>
        <v>54990</v>
      </c>
      <c r="I190" t="str">
        <f>IFERROR(VLOOKUP(B190,Товары_очищенные!$A$1:$G$1000,3,FALSE),"нет в каталоге")</f>
        <v>Мониторы</v>
      </c>
      <c r="J190" t="str">
        <f t="shared" si="28"/>
        <v>OK</v>
      </c>
    </row>
    <row r="191">
      <c r="A191" s="8">
        <f>DATE(RIGHT(Продажи_исходные!A191,4),LEFT(Продажи_исходные!A191,2),MID(Продажи_исходные!A191,4,2))</f>
        <v>45766</v>
      </c>
      <c r="B191" t="str">
        <f>"АРТ-"&amp;LEFT(SUBSTITUTE(SUBSTITUTE(SUBSTITUTE(SUBSTITUTE(Продажи_исходные!B191,"№",""),"АРТ-",""),"АРТ_",""),"/","-"),3)</f>
        <v>АРТ-358</v>
      </c>
      <c r="C191" s="4">
        <f>IFERROR(VALUE(TRIM(SUBSTITUTE(SUBSTITUTE(SUBSTITUTE(SUBSTITUTE(Продажи_исходные!C191," шт.","")," шт",""),"шт.",""),"шт",""))),0)</f>
        <v>-3</v>
      </c>
      <c r="D191" s="4">
        <f>IF(LEFT(Продажи_исходные!D191,1)="$",VALUE(MID(Продажи_исходные!D191,2,255))*95,IF(LEFT(Продажи_исходные!D191,1)="€",VALUE(MID(Продажи_исходные!D191,2,255))*100,VALUE(SUBSTITUTE(SUBSTITUTE(Продажи_исходные!D191,"₽","")," ",""))))</f>
        <v>11400</v>
      </c>
      <c r="E191" t="str">
        <f>Продажи_исходные!E191</f>
        <v>C0190</v>
      </c>
      <c r="F191" t="str">
        <f>Продажи_исходные!F191</f>
        <v>P047</v>
      </c>
      <c r="G191" t="str">
        <f>IFERROR(VLOOKUP(Продажи_исходные!G191,Справочники!$G$2:$H$50,2,FALSE),Продажи_исходные!G191)</f>
        <v>Отменен</v>
      </c>
      <c r="H191" s="4">
        <f>IFERROR(VLOOKUP(B191,Товары_очищенные!$A$1:$G$1000,6,FALSE),"нет в каталоге")</f>
        <v>59990</v>
      </c>
      <c r="I191" t="str">
        <f>IFERROR(VLOOKUP(B191,Товары_очищенные!$A$1:$G$1000,3,FALSE),"нет в каталоге")</f>
        <v>Планшеты</v>
      </c>
      <c r="J191" t="str">
        <f t="shared" si="28"/>
        <v>OK</v>
      </c>
    </row>
    <row r="192">
      <c r="A192" s="8">
        <f>DATE(RIGHT(Продажи_исходные!A192,4),LEFT(Продажи_исходные!A192,2),MID(Продажи_исходные!A192,4,2))</f>
        <v>45767</v>
      </c>
      <c r="B192" t="str">
        <f>"АРТ-"&amp;LEFT(SUBSTITUTE(SUBSTITUTE(SUBSTITUTE(SUBSTITUTE(Продажи_исходные!B192,"№",""),"АРТ-",""),"АРТ_",""),"/","-"),3)</f>
        <v>АРТ-196</v>
      </c>
      <c r="C192" s="4">
        <f>IFERROR(VALUE(TRIM(SUBSTITUTE(SUBSTITUTE(SUBSTITUTE(SUBSTITUTE(Продажи_исходные!C192," шт.","")," шт",""),"шт.",""),"шт",""))),0)</f>
        <v>2</v>
      </c>
      <c r="D192" s="4">
        <f>IF(LEFT(Продажи_исходные!D192,1)="$",VALUE(MID(Продажи_исходные!D192,2,255))*95,IF(LEFT(Продажи_исходные!D192,1)="€",VALUE(MID(Продажи_исходные!D192,2,255))*100,VALUE(SUBSTITUTE(SUBSTITUTE(Продажи_исходные!D192,"₽","")," ",""))))</f>
        <v>10000</v>
      </c>
      <c r="E192" t="str">
        <f>Продажи_исходные!E192</f>
        <v>C0191</v>
      </c>
      <c r="F192" t="str">
        <f>Продажи_исходные!F192</f>
        <v>P020</v>
      </c>
      <c r="G192" t="str">
        <f>IFERROR(VLOOKUP(Продажи_исходные!G192,Справочники!$G$2:$H$50,2,FALSE),Продажи_исходные!G192)</f>
        <v>Отменен</v>
      </c>
      <c r="H192" s="4">
        <f>IFERROR(VLOOKUP(B192,Товары_очищенные!$A$1:$G$1000,6,FALSE),"нет в каталоге")</f>
        <v>53990</v>
      </c>
      <c r="I192" t="str">
        <f>IFERROR(VLOOKUP(B192,Товары_очищенные!$A$1:$G$1000,3,FALSE),"нет в каталоге")</f>
        <v>Смартфоны</v>
      </c>
      <c r="J192" t="str">
        <f t="shared" si="28"/>
        <v>OK</v>
      </c>
    </row>
    <row r="193">
      <c r="A193" s="8">
        <f>DATE(RIGHT(Продажи_исходные!A193,4),LEFT(Продажи_исходные!A193,2),MID(Продажи_исходные!A193,4,2))</f>
        <v>45767</v>
      </c>
      <c r="B193" t="str">
        <f>"АРТ-"&amp;LEFT(SUBSTITUTE(SUBSTITUTE(SUBSTITUTE(SUBSTITUTE(Продажи_исходные!B193,"№",""),"АРТ-",""),"АРТ_",""),"/","-"),3)</f>
        <v>АРТ-289</v>
      </c>
      <c r="C193" s="4">
        <f>IFERROR(VALUE(TRIM(SUBSTITUTE(SUBSTITUTE(SUBSTITUTE(SUBSTITUTE(Продажи_исходные!C193," шт.","")," шт",""),"шт.",""),"шт",""))),0)</f>
        <v>1</v>
      </c>
      <c r="D193" s="4">
        <f>IF(LEFT(Продажи_исходные!D193,1)="$",VALUE(MID(Продажи_исходные!D193,2,255))*95,IF(LEFT(Продажи_исходные!D193,1)="€",VALUE(MID(Продажи_исходные!D193,2,255))*100,VALUE(SUBSTITUTE(SUBSTITUTE(Продажи_исходные!D193,"₽","")," ",""))))</f>
        <v>9200</v>
      </c>
      <c r="E193" t="str">
        <f>Продажи_исходные!E193</f>
        <v>C0192</v>
      </c>
      <c r="F193" t="str">
        <f>Продажи_исходные!F193</f>
        <v>P002</v>
      </c>
      <c r="G193" t="str">
        <f>IFERROR(VLOOKUP(Продажи_исходные!G193,Справочники!$G$2:$H$50,2,FALSE),Продажи_исходные!G193)</f>
        <v>Возврат</v>
      </c>
      <c r="H193" s="4">
        <f>IFERROR(VLOOKUP(B193,Товары_очищенные!$A$1:$G$1000,6,FALSE),"нет в каталоге")</f>
        <v>62990</v>
      </c>
      <c r="I193" t="str">
        <f>IFERROR(VLOOKUP(B193,Товары_очищенные!$A$1:$G$1000,3,FALSE),"нет в каталоге")</f>
        <v>Часы</v>
      </c>
      <c r="J193" t="str">
        <f t="shared" si="28"/>
        <v>OK</v>
      </c>
    </row>
    <row r="194">
      <c r="A194" s="8">
        <f>DATE(RIGHT(Продажи_исходные!A194,4),LEFT(Продажи_исходные!A194,2),MID(Продажи_исходные!A194,4,2))</f>
        <v>45768</v>
      </c>
      <c r="B194" t="str">
        <f>"АРТ-"&amp;LEFT(SUBSTITUTE(SUBSTITUTE(SUBSTITUTE(SUBSTITUTE(Продажи_исходные!B194,"№",""),"АРТ-",""),"АРТ_",""),"/","-"),3)</f>
        <v>АРТ-105</v>
      </c>
      <c r="C194" s="4">
        <f>IFERROR(VALUE(TRIM(SUBSTITUTE(SUBSTITUTE(SUBSTITUTE(SUBSTITUTE(Продажи_исходные!C194," шт.","")," шт",""),"шт.",""),"шт",""))),0)</f>
        <v>3</v>
      </c>
      <c r="D194" s="4">
        <f>IF(LEFT(Продажи_исходные!D194,1)="$",VALUE(MID(Продажи_исходные!D194,2,255))*95,IF(LEFT(Продажи_исходные!D194,1)="€",VALUE(MID(Продажи_исходные!D194,2,255))*100,VALUE(SUBSTITUTE(SUBSTITUTE(Продажи_исходные!D194,"₽","")," ",""))))</f>
        <v>8550</v>
      </c>
      <c r="E194" t="str">
        <f>Продажи_исходные!E194</f>
        <v>C0193</v>
      </c>
      <c r="F194" t="str">
        <f>Продажи_исходные!F194</f>
        <v>P038</v>
      </c>
      <c r="G194" t="str">
        <f>IFERROR(VLOOKUP(Продажи_исходные!G194,Справочники!$G$2:$H$50,2,FALSE),Продажи_исходные!G194)</f>
        <v>Завершен</v>
      </c>
      <c r="H194" s="4">
        <f>IFERROR(VLOOKUP(B194,Товары_очищенные!$A$1:$G$1000,6,FALSE),"нет в каталоге")</f>
        <v>152000</v>
      </c>
      <c r="I194" t="str">
        <f>IFERROR(VLOOKUP(B194,Товары_очищенные!$A$1:$G$1000,3,FALSE),"нет в каталоге")</f>
        <v>Ноутбуки</v>
      </c>
      <c r="J194" t="str">
        <f t="shared" si="28"/>
        <v>OK</v>
      </c>
    </row>
    <row r="195">
      <c r="A195" s="8">
        <f>DATE(RIGHT(Продажи_исходные!A195,4),LEFT(Продажи_исходные!A195,2),MID(Продажи_исходные!A195,4,2))</f>
        <v>45768</v>
      </c>
      <c r="B195" t="str">
        <f>"АРТ-"&amp;LEFT(SUBSTITUTE(SUBSTITUTE(SUBSTITUTE(SUBSTITUTE(Продажи_исходные!B195,"№",""),"АРТ-",""),"АРТ_",""),"/","-"),3)</f>
        <v>АРТ-437</v>
      </c>
      <c r="C195" s="4">
        <f>IFERROR(VALUE(TRIM(SUBSTITUTE(SUBSTITUTE(SUBSTITUTE(SUBSTITUTE(Продажи_исходные!C195," шт.","")," шт",""),"шт.",""),"шт",""))),0)</f>
        <v>2</v>
      </c>
      <c r="D195" s="4">
        <f>IF(LEFT(Продажи_исходные!D195,1)="$",VALUE(MID(Продажи_исходные!D195,2,255))*95,IF(LEFT(Продажи_исходные!D195,1)="€",VALUE(MID(Продажи_исходные!D195,2,255))*100,VALUE(SUBSTITUTE(SUBSTITUTE(Продажи_исходные!D195,"₽","")," ",""))))</f>
        <v>7000</v>
      </c>
      <c r="E195" t="str">
        <f>Продажи_исходные!E195</f>
        <v>C0194</v>
      </c>
      <c r="F195" t="str">
        <f>Продажи_исходные!F195</f>
        <v>P016</v>
      </c>
      <c r="G195" t="str">
        <f>IFERROR(VLOOKUP(Продажи_исходные!G195,Справочники!$G$2:$H$50,2,FALSE),Продажи_исходные!G195)</f>
        <v>Завершен</v>
      </c>
      <c r="H195" s="4">
        <f>IFERROR(VLOOKUP(B195,Товары_очищенные!$A$1:$G$1000,6,FALSE),"нет в каталоге")</f>
        <v>5500</v>
      </c>
      <c r="I195" t="str">
        <f>IFERROR(VLOOKUP(B195,Товары_очищенные!$A$1:$G$1000,3,FALSE),"нет в каталоге")</f>
        <v>Аксессуары</v>
      </c>
      <c r="J195" t="str">
        <f t="shared" si="28"/>
        <v>OK</v>
      </c>
    </row>
    <row r="196">
      <c r="A196" s="8">
        <f>DATE(RIGHT(Продажи_исходные!A196,4),LEFT(Продажи_исходные!A196,2),MID(Продажи_исходные!A196,4,2))</f>
        <v>45769</v>
      </c>
      <c r="B196" t="str">
        <f>"АРТ-"&amp;LEFT(SUBSTITUTE(SUBSTITUTE(SUBSTITUTE(SUBSTITUTE(Продажи_исходные!B196,"№",""),"АРТ-",""),"АРТ_",""),"/","-"),3)</f>
        <v>АРТ-371</v>
      </c>
      <c r="C196" s="4">
        <f>IFERROR(VALUE(TRIM(SUBSTITUTE(SUBSTITUTE(SUBSTITUTE(SUBSTITUTE(Продажи_исходные!C196," шт.","")," шт",""),"шт.",""),"шт",""))),0)</f>
        <v>1</v>
      </c>
      <c r="D196" s="4">
        <f>IF(LEFT(Продажи_исходные!D196,1)="$",VALUE(MID(Продажи_исходные!D196,2,255))*95,IF(LEFT(Продажи_исходные!D196,1)="€",VALUE(MID(Продажи_исходные!D196,2,255))*100,VALUE(SUBSTITUTE(SUBSTITUTE(Продажи_исходные!D196,"₽","")," ",""))))</f>
        <v>6500</v>
      </c>
      <c r="E196" t="str">
        <f>Продажи_исходные!E196</f>
        <v>C0195</v>
      </c>
      <c r="F196" t="str">
        <f>Продажи_исходные!F196</f>
        <v>P029</v>
      </c>
      <c r="G196" t="str">
        <f>IFERROR(VLOOKUP(Продажи_исходные!G196,Справочники!$G$2:$H$50,2,FALSE),Продажи_исходные!G196)</f>
        <v>Завершен</v>
      </c>
      <c r="H196" s="4">
        <f>IFERROR(VLOOKUP(B196,Товары_очищенные!$A$1:$G$1000,6,FALSE),"нет в каталоге")</f>
        <v>48000</v>
      </c>
      <c r="I196" t="str">
        <f>IFERROR(VLOOKUP(B196,Товары_очищенные!$A$1:$G$1000,3,FALSE),"нет в каталоге")</f>
        <v>Мониторы</v>
      </c>
      <c r="J196" t="str">
        <f t="shared" si="28"/>
        <v>OK</v>
      </c>
    </row>
    <row r="197">
      <c r="A197" s="8">
        <f>DATE(RIGHT(Продажи_исходные!A197,4),LEFT(Продажи_исходные!A197,2),MID(Продажи_исходные!A197,4,2))</f>
        <v>45769</v>
      </c>
      <c r="B197" t="str">
        <f>"АРТ-"&amp;LEFT(SUBSTITUTE(SUBSTITUTE(SUBSTITUTE(SUBSTITUTE(Продажи_исходные!B197,"№",""),"АРТ-",""),"АРТ_",""),"/","-"),3)</f>
        <v>АРТ-247</v>
      </c>
      <c r="C197" s="4">
        <f>IFERROR(VALUE(TRIM(SUBSTITUTE(SUBSTITUTE(SUBSTITUTE(SUBSTITUTE(Продажи_исходные!C197," шт.","")," шт",""),"шт.",""),"шт",""))),0)</f>
        <v>-1</v>
      </c>
      <c r="D197" s="4">
        <f>IF(LEFT(Продажи_исходные!D197,1)="$",VALUE(MID(Продажи_исходные!D197,2,255))*95,IF(LEFT(Продажи_исходные!D197,1)="€",VALUE(MID(Продажи_исходные!D197,2,255))*100,VALUE(SUBSTITUTE(SUBSTITUTE(Продажи_исходные!D197,"₽","")," ",""))))</f>
        <v>10450</v>
      </c>
      <c r="E197" t="str">
        <f>Продажи_исходные!E197</f>
        <v>C0196</v>
      </c>
      <c r="F197" t="str">
        <f>Продажи_исходные!F197</f>
        <v>P035</v>
      </c>
      <c r="G197" t="str">
        <f>IFERROR(VLOOKUP(Продажи_исходные!G197,Справочники!$G$2:$H$50,2,FALSE),Продажи_исходные!G197)</f>
        <v>Отменен</v>
      </c>
      <c r="H197" s="4">
        <f>IFERROR(VLOOKUP(B197,Товары_очищенные!$A$1:$G$1000,6,FALSE),"нет в каталоге")</f>
        <v>9990</v>
      </c>
      <c r="I197" t="str">
        <f>IFERROR(VLOOKUP(B197,Товары_очищенные!$A$1:$G$1000,3,FALSE),"нет в каталоге")</f>
        <v>Аксессуары</v>
      </c>
      <c r="J197" t="str">
        <f t="shared" si="28"/>
        <v>OK</v>
      </c>
    </row>
    <row r="198">
      <c r="A198" s="8">
        <f>DATE(RIGHT(Продажи_исходные!A198,4),LEFT(Продажи_исходные!A198,2),MID(Продажи_исходные!A198,4,2))</f>
        <v>45770</v>
      </c>
      <c r="B198" t="str">
        <f>"АРТ-"&amp;LEFT(SUBSTITUTE(SUBSTITUTE(SUBSTITUTE(SUBSTITUTE(Продажи_исходные!B198,"№",""),"АРТ-",""),"АРТ_",""),"/","-"),3)</f>
        <v>АРТ-311</v>
      </c>
      <c r="C198" s="4">
        <f>IFERROR(VALUE(TRIM(SUBSTITUTE(SUBSTITUTE(SUBSTITUTE(SUBSTITUTE(Продажи_исходные!C198," шт.","")," шт",""),"шт.",""),"шт",""))),0)</f>
        <v>3</v>
      </c>
      <c r="D198" s="4">
        <f>IF(LEFT(Продажи_исходные!D198,1)="$",VALUE(MID(Продажи_исходные!D198,2,255))*95,IF(LEFT(Продажи_исходные!D198,1)="€",VALUE(MID(Продажи_исходные!D198,2,255))*100,VALUE(SUBSTITUTE(SUBSTITUTE(Продажи_исходные!D198,"₽","")," ",""))))</f>
        <v>9000</v>
      </c>
      <c r="E198" t="str">
        <f>Продажи_исходные!E198</f>
        <v>C0197</v>
      </c>
      <c r="F198" t="str">
        <f>Продажи_исходные!F198</f>
        <v>P046</v>
      </c>
      <c r="G198" t="str">
        <f>IFERROR(VLOOKUP(Продажи_исходные!G198,Справочники!$G$2:$H$50,2,FALSE),Продажи_исходные!G198)</f>
        <v>Отменен</v>
      </c>
      <c r="H198" s="4">
        <f>IFERROR(VLOOKUP(B198,Товары_очищенные!$A$1:$G$1000,6,FALSE),"нет в каталоге")</f>
        <v>62500</v>
      </c>
      <c r="I198" t="str">
        <f>IFERROR(VLOOKUP(B198,Товары_очищенные!$A$1:$G$1000,3,FALSE),"нет в каталоге")</f>
        <v>Планшеты</v>
      </c>
      <c r="J198" t="str">
        <f t="shared" si="28"/>
        <v>OK</v>
      </c>
    </row>
    <row r="199">
      <c r="A199" s="8">
        <f>DATE(RIGHT(Продажи_исходные!A199,4),LEFT(Продажи_исходные!A199,2),MID(Продажи_исходные!A199,4,2))</f>
        <v>45770</v>
      </c>
      <c r="B199" t="str">
        <f>"АРТ-"&amp;LEFT(SUBSTITUTE(SUBSTITUTE(SUBSTITUTE(SUBSTITUTE(Продажи_исходные!B199,"№",""),"АРТ-",""),"АРТ_",""),"/","-"),3)</f>
        <v>АРТ-062</v>
      </c>
      <c r="C199" s="4">
        <f>IFERROR(VALUE(TRIM(SUBSTITUTE(SUBSTITUTE(SUBSTITUTE(SUBSTITUTE(Продажи_исходные!C199," шт.","")," шт",""),"шт.",""),"шт",""))),0)</f>
        <v>2</v>
      </c>
      <c r="D199" s="4">
        <f>IF(LEFT(Продажи_исходные!D199,1)="$",VALUE(MID(Продажи_исходные!D199,2,255))*95,IF(LEFT(Продажи_исходные!D199,1)="€",VALUE(MID(Продажи_исходные!D199,2,255))*100,VALUE(SUBSTITUTE(SUBSTITUTE(Продажи_исходные!D199,"₽","")," ",""))))</f>
        <v>8000</v>
      </c>
      <c r="E199" t="str">
        <f>Продажи_исходные!E199</f>
        <v>C0198</v>
      </c>
      <c r="F199" t="str">
        <f>Продажи_исходные!F199</f>
        <v>P022</v>
      </c>
      <c r="G199" t="str">
        <f>IFERROR(VLOOKUP(Продажи_исходные!G199,Справочники!$G$2:$H$50,2,FALSE),Продажи_исходные!G199)</f>
        <v>Завершен</v>
      </c>
      <c r="H199" s="4">
        <f>IFERROR(VLOOKUP(B199,Товары_очищенные!$A$1:$G$1000,6,FALSE),"нет в каталоге")</f>
        <v>122500</v>
      </c>
      <c r="I199" t="str">
        <f>IFERROR(VLOOKUP(B199,Товары_очищенные!$A$1:$G$1000,3,FALSE),"нет в каталоге")</f>
        <v>Ноутбуки</v>
      </c>
      <c r="J199" t="str">
        <f t="shared" si="28"/>
        <v>OK</v>
      </c>
    </row>
    <row r="200">
      <c r="A200" s="8">
        <f>DATE(RIGHT(Продажи_исходные!A200,4),LEFT(Продажи_исходные!A200,2),MID(Продажи_исходные!A200,4,2))</f>
        <v>45771</v>
      </c>
      <c r="B200" t="str">
        <f>"АРТ-"&amp;LEFT(SUBSTITUTE(SUBSTITUTE(SUBSTITUTE(SUBSTITUTE(Продажи_исходные!B200,"№",""),"АРТ-",""),"АРТ_",""),"/","-"),3)</f>
        <v>АРТ-134</v>
      </c>
      <c r="C200" s="4">
        <f>IFERROR(VALUE(TRIM(SUBSTITUTE(SUBSTITUTE(SUBSTITUTE(SUBSTITUTE(Продажи_исходные!C200," шт.","")," шт",""),"шт.",""),"шт",""))),0)</f>
        <v>1</v>
      </c>
      <c r="D200" s="4">
        <f>IF(LEFT(Продажи_исходные!D200,1)="$",VALUE(MID(Продажи_исходные!D200,2,255))*95,IF(LEFT(Продажи_исходные!D200,1)="€",VALUE(MID(Продажи_исходные!D200,2,255))*100,VALUE(SUBSTITUTE(SUBSTITUTE(Продажи_исходные!D200,"₽","")," ",""))))</f>
        <v>9025</v>
      </c>
      <c r="E200" t="str">
        <f>Продажи_исходные!E200</f>
        <v>C0199</v>
      </c>
      <c r="F200" t="str">
        <f>Продажи_исходные!F200</f>
        <v>P043</v>
      </c>
      <c r="G200" t="str">
        <f>IFERROR(VLOOKUP(Продажи_исходные!G200,Справочники!$G$2:$H$50,2,FALSE),Продажи_исходные!G200)</f>
        <v>Возврат</v>
      </c>
      <c r="H200" s="4">
        <f>IFERROR(VLOOKUP(B200,Товары_очищенные!$A$1:$G$1000,6,FALSE),"нет в каталоге")</f>
        <v>124000</v>
      </c>
      <c r="I200" t="str">
        <f>IFERROR(VLOOKUP(B200,Товары_очищенные!$A$1:$G$1000,3,FALSE),"нет в каталоге")</f>
        <v>Телевизоры</v>
      </c>
      <c r="J200" t="str">
        <f t="shared" si="28"/>
        <v>OK</v>
      </c>
    </row>
    <row r="201">
      <c r="A201" s="8">
        <f>DATE(RIGHT(Продажи_исходные!A201,4),LEFT(Продажи_исходные!A201,2),MID(Продажи_исходные!A201,4,2))</f>
        <v>45771</v>
      </c>
      <c r="B201" t="str">
        <f>"АРТ-"&amp;LEFT(SUBSTITUTE(SUBSTITUTE(SUBSTITUTE(SUBSTITUTE(Продажи_исходные!B201,"№",""),"АРТ-",""),"АРТ_",""),"/","-"),3)</f>
        <v>АРТ-452</v>
      </c>
      <c r="C201" s="4">
        <f>IFERROR(VALUE(TRIM(SUBSTITUTE(SUBSTITUTE(SUBSTITUTE(SUBSTITUTE(Продажи_исходные!C201," шт.","")," шт",""),"шт.",""),"шт",""))),0)</f>
        <v>2</v>
      </c>
      <c r="D201" s="4">
        <f>IF(LEFT(Продажи_исходные!D201,1)="$",VALUE(MID(Продажи_исходные!D201,2,255))*95,IF(LEFT(Продажи_исходные!D201,1)="€",VALUE(MID(Продажи_исходные!D201,2,255))*100,VALUE(SUBSTITUTE(SUBSTITUTE(Продажи_исходные!D201,"₽","")," ",""))))</f>
        <v>7500</v>
      </c>
      <c r="E201" t="str">
        <f>Продажи_исходные!E201</f>
        <v>C0200</v>
      </c>
      <c r="F201" t="str">
        <f>Продажи_исходные!F201</f>
        <v>P030</v>
      </c>
      <c r="G201" t="str">
        <f>IFERROR(VLOOKUP(Продажи_исходные!G201,Справочники!$G$2:$H$50,2,FALSE),Продажи_исходные!G201)</f>
        <v>Завершен</v>
      </c>
      <c r="H201" s="4">
        <f>IFERROR(VLOOKUP(B201,Товары_очищенные!$A$1:$G$1000,6,FALSE),"нет в каталоге")</f>
        <v>38500</v>
      </c>
      <c r="I201" t="str">
        <f>IFERROR(VLOOKUP(B201,Товары_очищенные!$A$1:$G$1000,3,FALSE),"нет в каталоге")</f>
        <v>Наушники</v>
      </c>
      <c r="J201" t="str">
        <f t="shared" si="28"/>
        <v>OK</v>
      </c>
    </row>
    <row r="202">
      <c r="A202" s="8">
        <f>DATE(RIGHT(Продажи_исходные!A202,4),LEFT(Продажи_исходные!A202,2),MID(Продажи_исходные!A202,4,2))</f>
        <v>45772</v>
      </c>
      <c r="B202" t="str">
        <f>"АРТ-"&amp;LEFT(SUBSTITUTE(SUBSTITUTE(SUBSTITUTE(SUBSTITUTE(Продажи_исходные!B202,"№",""),"АРТ-",""),"АРТ_",""),"/","-"),3)</f>
        <v>АРТ-333</v>
      </c>
      <c r="C202" s="4">
        <f>IFERROR(VALUE(TRIM(SUBSTITUTE(SUBSTITUTE(SUBSTITUTE(SUBSTITUTE(Продажи_исходные!C202," шт.","")," шт",""),"шт.",""),"шт",""))),0)</f>
        <v>3</v>
      </c>
      <c r="D202" s="4">
        <f>IF(LEFT(Продажи_исходные!D202,1)="$",VALUE(MID(Продажи_исходные!D202,2,255))*95,IF(LEFT(Продажи_исходные!D202,1)="€",VALUE(MID(Продажи_исходные!D202,2,255))*100,VALUE(SUBSTITUTE(SUBSTITUTE(Продажи_исходные!D202,"₽","")," ",""))))</f>
        <v>7000</v>
      </c>
      <c r="E202" t="str">
        <f>Продажи_исходные!E202</f>
        <v>C0201</v>
      </c>
      <c r="F202" t="str">
        <f>Продажи_исходные!F202</f>
        <v>P012</v>
      </c>
      <c r="G202" t="str">
        <f>IFERROR(VLOOKUP(Продажи_исходные!G202,Справочники!$G$2:$H$50,2,FALSE),Продажи_исходные!G202)</f>
        <v>Завершен</v>
      </c>
      <c r="H202" s="4">
        <f>IFERROR(VLOOKUP(B202,Товары_очищенные!$A$1:$G$1000,6,FALSE),"нет в каталоге")</f>
        <v>72000</v>
      </c>
      <c r="I202" t="str">
        <f>IFERROR(VLOOKUP(B202,Товары_очищенные!$A$1:$G$1000,3,FALSE),"нет в каталоге")</f>
        <v>Часы</v>
      </c>
      <c r="J202" t="str">
        <f t="shared" si="28"/>
        <v>OK</v>
      </c>
    </row>
    <row r="203">
      <c r="A203" s="8">
        <f>DATE(RIGHT(Продажи_исходные!A203,4),LEFT(Продажи_исходные!A203,2),MID(Продажи_исходные!A203,4,2))</f>
        <v>45772</v>
      </c>
      <c r="B203" t="str">
        <f>"АРТ-"&amp;LEFT(SUBSTITUTE(SUBSTITUTE(SUBSTITUTE(SUBSTITUTE(Продажи_исходные!B203,"№",""),"АРТ-",""),"АРТ_",""),"/","-"),3)</f>
        <v>АРТ-291</v>
      </c>
      <c r="C203" s="4">
        <f>IFERROR(VALUE(TRIM(SUBSTITUTE(SUBSTITUTE(SUBSTITUTE(SUBSTITUTE(Продажи_исходные!C203," шт.","")," шт",""),"шт.",""),"шт",""))),0)</f>
        <v>-2</v>
      </c>
      <c r="D203" s="4">
        <f>IF(LEFT(Продажи_исходные!D203,1)="$",VALUE(MID(Продажи_исходные!D203,2,255))*95,IF(LEFT(Продажи_исходные!D203,1)="€",VALUE(MID(Продажи_исходные!D203,2,255))*100,VALUE(SUBSTITUTE(SUBSTITUTE(Продажи_исходные!D203,"₽","")," ",""))))</f>
        <v>10925</v>
      </c>
      <c r="E203" t="str">
        <f>Продажи_исходные!E203</f>
        <v>C0202</v>
      </c>
      <c r="F203" t="str">
        <f>Продажи_исходные!F203</f>
        <v>P007</v>
      </c>
      <c r="G203" t="str">
        <f>IFERROR(VLOOKUP(Продажи_исходные!G203,Справочники!$G$2:$H$50,2,FALSE),Продажи_исходные!G203)</f>
        <v>Завершен</v>
      </c>
      <c r="H203" s="4">
        <f>IFERROR(VLOOKUP(B203,Товары_очищенные!$A$1:$G$1000,6,FALSE),"нет в каталоге")</f>
        <v>65000</v>
      </c>
      <c r="I203" t="str">
        <f>IFERROR(VLOOKUP(B203,Товары_очищенные!$A$1:$G$1000,3,FALSE),"нет в каталоге")</f>
        <v>Часы</v>
      </c>
      <c r="J203" t="str">
        <f t="shared" si="28"/>
        <v>OK</v>
      </c>
    </row>
    <row r="204">
      <c r="A204" s="8">
        <f>DATE(RIGHT(Продажи_исходные!A204,4),LEFT(Продажи_исходные!A204,2),MID(Продажи_исходные!A204,4,2))</f>
        <v>45773</v>
      </c>
      <c r="B204" t="str">
        <f>"АРТ-"&amp;LEFT(SUBSTITUTE(SUBSTITUTE(SUBSTITUTE(SUBSTITUTE(Продажи_исходные!B204,"№",""),"АРТ-",""),"АРТ_",""),"/","-"),3)</f>
        <v>АРТ-180</v>
      </c>
      <c r="C204" s="4">
        <f>IFERROR(VALUE(TRIM(SUBSTITUTE(SUBSTITUTE(SUBSTITUTE(SUBSTITUTE(Продажи_исходные!C204," шт.","")," шт",""),"шт.",""),"шт",""))),0)</f>
        <v>1</v>
      </c>
      <c r="D204" s="4">
        <f>IF(LEFT(Продажи_исходные!D204,1)="$",VALUE(MID(Продажи_исходные!D204,2,255))*95,IF(LEFT(Продажи_исходные!D204,1)="€",VALUE(MID(Продажи_исходные!D204,2,255))*100,VALUE(SUBSTITUTE(SUBSTITUTE(Продажи_исходные!D204,"₽","")," ",""))))</f>
        <v>9500</v>
      </c>
      <c r="E204" t="str">
        <f>Продажи_исходные!E204</f>
        <v>C0203</v>
      </c>
      <c r="F204" t="str">
        <f>Продажи_исходные!F204</f>
        <v>P023</v>
      </c>
      <c r="G204" t="str">
        <f>IFERROR(VLOOKUP(Продажи_исходные!G204,Справочники!$G$2:$H$50,2,FALSE),Продажи_исходные!G204)</f>
        <v>Отменен</v>
      </c>
      <c r="H204" s="4">
        <f>IFERROR(VLOOKUP(B204,Товары_очищенные!$A$1:$G$1000,6,FALSE),"нет в каталоге")</f>
        <v>14800</v>
      </c>
      <c r="I204" t="str">
        <f>IFERROR(VLOOKUP(B204,Товары_очищенные!$A$1:$G$1000,3,FALSE),"нет в каталоге")</f>
        <v>Наушники</v>
      </c>
      <c r="J204" t="str">
        <f t="shared" si="28"/>
        <v>OK</v>
      </c>
    </row>
    <row r="205">
      <c r="A205" s="8">
        <f>DATE(RIGHT(Продажи_исходные!A205,4),LEFT(Продажи_исходные!A205,2),MID(Продажи_исходные!A205,4,2))</f>
        <v>45773</v>
      </c>
      <c r="B205" t="str">
        <f>"АРТ-"&amp;LEFT(SUBSTITUTE(SUBSTITUTE(SUBSTITUTE(SUBSTITUTE(Продажи_исходные!B205,"№",""),"АРТ-",""),"АРТ_",""),"/","-"),3)</f>
        <v>АРТ-166</v>
      </c>
      <c r="C205" s="4">
        <f>IFERROR(VALUE(TRIM(SUBSTITUTE(SUBSTITUTE(SUBSTITUTE(SUBSTITUTE(Продажи_исходные!C205," шт.","")," шт",""),"шт.",""),"шт",""))),0)</f>
        <v>2</v>
      </c>
      <c r="D205" s="4">
        <f>IF(LEFT(Продажи_исходные!D205,1)="$",VALUE(MID(Продажи_исходные!D205,2,255))*95,IF(LEFT(Продажи_исходные!D205,1)="€",VALUE(MID(Продажи_исходные!D205,2,255))*100,VALUE(SUBSTITUTE(SUBSTITUTE(Продажи_исходные!D205,"₽","")," ",""))))</f>
        <v>8500</v>
      </c>
      <c r="E205" t="str">
        <f>Продажи_исходные!E205</f>
        <v>C0204</v>
      </c>
      <c r="F205" t="str">
        <f>Продажи_исходные!F205</f>
        <v>P045</v>
      </c>
      <c r="G205" t="str">
        <f>IFERROR(VLOOKUP(Продажи_исходные!G205,Справочники!$G$2:$H$50,2,FALSE),Продажи_исходные!G205)</f>
        <v>Отменен</v>
      </c>
      <c r="H205" s="4">
        <f>IFERROR(VLOOKUP(B205,Товары_очищенные!$A$1:$G$1000,6,FALSE),"нет в каталоге")</f>
        <v>82990</v>
      </c>
      <c r="I205" t="str">
        <f>IFERROR(VLOOKUP(B205,Товары_очищенные!$A$1:$G$1000,3,FALSE),"нет в каталоге")</f>
        <v>Планшеты</v>
      </c>
      <c r="J205" t="str">
        <f t="shared" si="28"/>
        <v>OK</v>
      </c>
    </row>
    <row r="206">
      <c r="A206" s="8">
        <f>DATE(RIGHT(Продажи_исходные!A206,4),LEFT(Продажи_исходные!A206,2),MID(Продажи_исходные!A206,4,2))</f>
        <v>45774</v>
      </c>
      <c r="B206" t="str">
        <f>"АРТ-"&amp;LEFT(SUBSTITUTE(SUBSTITUTE(SUBSTITUTE(SUBSTITUTE(Продажи_исходные!B206,"№",""),"АРТ-",""),"АРТ_",""),"/","-"),3)</f>
        <v>АРТ-060</v>
      </c>
      <c r="C206" s="4">
        <f>IFERROR(VALUE(TRIM(SUBSTITUTE(SUBSTITUTE(SUBSTITUTE(SUBSTITUTE(Продажи_исходные!C206," шт.","")," шт",""),"шт.",""),"шт",""))),0)</f>
        <v>3</v>
      </c>
      <c r="D206" s="4">
        <f>IF(LEFT(Продажи_исходные!D206,1)="$",VALUE(MID(Продажи_исходные!D206,2,255))*95,IF(LEFT(Продажи_исходные!D206,1)="€",VALUE(MID(Продажи_исходные!D206,2,255))*100,VALUE(SUBSTITUTE(SUBSTITUTE(Продажи_исходные!D206,"₽","")," ",""))))</f>
        <v>9975</v>
      </c>
      <c r="E206" t="str">
        <f>Продажи_исходные!E206</f>
        <v>C0205</v>
      </c>
      <c r="F206" t="str">
        <f>Продажи_исходные!F206</f>
        <v>P008</v>
      </c>
      <c r="G206" t="str">
        <f>IFERROR(VLOOKUP(Продажи_исходные!G206,Справочники!$G$2:$H$50,2,FALSE),Продажи_исходные!G206)</f>
        <v>Возврат</v>
      </c>
      <c r="H206" s="4">
        <f>IFERROR(VLOOKUP(B206,Товары_очищенные!$A$1:$G$1000,6,FALSE),"нет в каталоге")</f>
        <v>69500</v>
      </c>
      <c r="I206" t="str">
        <f>IFERROR(VLOOKUP(B206,Товары_очищенные!$A$1:$G$1000,3,FALSE),"нет в каталоге")</f>
        <v>Планшеты</v>
      </c>
      <c r="J206" t="str">
        <f t="shared" si="28"/>
        <v>OK</v>
      </c>
    </row>
    <row r="207">
      <c r="A207" s="8">
        <f>DATE(RIGHT(Продажи_исходные!A207,4),LEFT(Продажи_исходные!A207,2),MID(Продажи_исходные!A207,4,2))</f>
        <v>45774</v>
      </c>
      <c r="B207" t="str">
        <f>"АРТ-"&amp;LEFT(SUBSTITUTE(SUBSTITUTE(SUBSTITUTE(SUBSTITUTE(Продажи_исходные!B207,"№",""),"АРТ-",""),"АРТ_",""),"/","-"),3)</f>
        <v>АРТ-397</v>
      </c>
      <c r="C207" s="4">
        <f>IFERROR(VALUE(TRIM(SUBSTITUTE(SUBSTITUTE(SUBSTITUTE(SUBSTITUTE(Продажи_исходные!C207," шт.","")," шт",""),"шт.",""),"шт",""))),0)</f>
        <v>2</v>
      </c>
      <c r="D207" s="4">
        <f>IF(LEFT(Продажи_исходные!D207,1)="$",VALUE(MID(Продажи_исходные!D207,2,255))*95,IF(LEFT(Продажи_исходные!D207,1)="€",VALUE(MID(Продажи_исходные!D207,2,255))*100,VALUE(SUBSTITUTE(SUBSTITUTE(Продажи_исходные!D207,"₽","")," ",""))))</f>
        <v>8500</v>
      </c>
      <c r="E207" t="str">
        <f>Продажи_исходные!E207</f>
        <v>C0206</v>
      </c>
      <c r="F207" t="str">
        <f>Продажи_исходные!F207</f>
        <v>P031</v>
      </c>
      <c r="G207" t="str">
        <f>IFERROR(VLOOKUP(Продажи_исходные!G207,Справочники!$G$2:$H$50,2,FALSE),Продажи_исходные!G207)</f>
        <v>Завершен</v>
      </c>
      <c r="H207" s="4">
        <f>IFERROR(VLOOKUP(B207,Товары_очищенные!$A$1:$G$1000,6,FALSE),"нет в каталоге")</f>
        <v>7990</v>
      </c>
      <c r="I207" t="str">
        <f>IFERROR(VLOOKUP(B207,Товары_очищенные!$A$1:$G$1000,3,FALSE),"нет в каталоге")</f>
        <v>Аксессуары</v>
      </c>
      <c r="J207" t="str">
        <f t="shared" si="28"/>
        <v>OK</v>
      </c>
    </row>
    <row r="208">
      <c r="A208" s="8">
        <f>DATE(RIGHT(Продажи_исходные!A208,4),LEFT(Продажи_исходные!A208,2),MID(Продажи_исходные!A208,4,2))</f>
        <v>45775</v>
      </c>
      <c r="B208" t="str">
        <f>"АРТ-"&amp;LEFT(SUBSTITUTE(SUBSTITUTE(SUBSTITUTE(SUBSTITUTE(Продажи_исходные!B208,"№",""),"АРТ-",""),"АРТ_",""),"/","-"),3)</f>
        <v>АРТ-248</v>
      </c>
      <c r="C208" s="4">
        <f>IFERROR(VALUE(TRIM(SUBSTITUTE(SUBSTITUTE(SUBSTITUTE(SUBSTITUTE(Продажи_исходные!C208," шт.","")," шт",""),"шт.",""),"шт",""))),0)</f>
        <v>1</v>
      </c>
      <c r="D208" s="4">
        <f>IF(LEFT(Продажи_исходные!D208,1)="$",VALUE(MID(Продажи_исходные!D208,2,255))*95,IF(LEFT(Продажи_исходные!D208,1)="€",VALUE(MID(Продажи_исходные!D208,2,255))*100,VALUE(SUBSTITUTE(SUBSTITUTE(Продажи_исходные!D208,"₽","")," ",""))))</f>
        <v>7800</v>
      </c>
      <c r="E208" t="str">
        <f>Продажи_исходные!E208</f>
        <v>C0207</v>
      </c>
      <c r="F208" t="str">
        <f>Продажи_исходные!F208</f>
        <v>P019</v>
      </c>
      <c r="G208" t="str">
        <f>IFERROR(VLOOKUP(Продажи_исходные!G208,Справочники!$G$2:$H$50,2,FALSE),Продажи_исходные!G208)</f>
        <v>Завершен</v>
      </c>
      <c r="H208" s="4">
        <f>IFERROR(VLOOKUP(B208,Товары_очищенные!$A$1:$G$1000,6,FALSE),"нет в каталоге")</f>
        <v>9500</v>
      </c>
      <c r="I208" t="str">
        <f>IFERROR(VLOOKUP(B208,Товары_очищенные!$A$1:$G$1000,3,FALSE),"нет в каталоге")</f>
        <v>Аксессуары</v>
      </c>
      <c r="J208" t="str">
        <f t="shared" si="28"/>
        <v>OK</v>
      </c>
    </row>
    <row r="209">
      <c r="A209" s="8">
        <f>DATE(RIGHT(Продажи_исходные!A209,4),LEFT(Продажи_исходные!A209,2),MID(Продажи_исходные!A209,4,2))</f>
        <v>45775</v>
      </c>
      <c r="B209" t="str">
        <f>"АРТ-"&amp;LEFT(SUBSTITUTE(SUBSTITUTE(SUBSTITUTE(SUBSTITUTE(Продажи_исходные!B209,"№",""),"АРТ-",""),"АРТ_",""),"/","-"),3)</f>
        <v>АРТ-383</v>
      </c>
      <c r="C209" s="4">
        <f>IFERROR(VALUE(TRIM(SUBSTITUTE(SUBSTITUTE(SUBSTITUTE(SUBSTITUTE(Продажи_исходные!C209," шт.","")," шт",""),"шт.",""),"шт",""))),0)</f>
        <v>-3</v>
      </c>
      <c r="D209" s="4">
        <f>IF(LEFT(Продажи_исходные!D209,1)="$",VALUE(MID(Продажи_исходные!D209,2,255))*95,IF(LEFT(Продажи_исходные!D209,1)="€",VALUE(MID(Продажи_исходные!D209,2,255))*100,VALUE(SUBSTITUTE(SUBSTITUTE(Продажи_исходные!D209,"₽","")," ",""))))</f>
        <v>11400</v>
      </c>
      <c r="E209" t="str">
        <f>Продажи_исходные!E209</f>
        <v>C0208</v>
      </c>
      <c r="F209" t="str">
        <f>Продажи_исходные!F209</f>
        <v>P042</v>
      </c>
      <c r="G209" t="str">
        <f>IFERROR(VLOOKUP(Продажи_исходные!G209,Справочники!$G$2:$H$50,2,FALSE),Продажи_исходные!G209)</f>
        <v>Завершен</v>
      </c>
      <c r="H209" s="4">
        <f>IFERROR(VLOOKUP(B209,Товары_очищенные!$A$1:$G$1000,6,FALSE),"нет в каталоге")</f>
        <v>41500</v>
      </c>
      <c r="I209" t="str">
        <f>IFERROR(VLOOKUP(B209,Товары_очищенные!$A$1:$G$1000,3,FALSE),"нет в каталоге")</f>
        <v>Смартфоны</v>
      </c>
      <c r="J209" t="str">
        <f t="shared" si="28"/>
        <v>OK</v>
      </c>
    </row>
    <row r="210">
      <c r="A210" s="8">
        <f>DATE(RIGHT(Продажи_исходные!A210,4),LEFT(Продажи_исходные!A210,2),MID(Продажи_исходные!A210,4,2))</f>
        <v>45776</v>
      </c>
      <c r="B210" t="str">
        <f>"АРТ-"&amp;LEFT(SUBSTITUTE(SUBSTITUTE(SUBSTITUTE(SUBSTITUTE(Продажи_исходные!B210,"№",""),"АРТ-",""),"АРТ_",""),"/","-"),3)</f>
        <v>АРТ-229</v>
      </c>
      <c r="C210" s="4">
        <f>IFERROR(VALUE(TRIM(SUBSTITUTE(SUBSTITUTE(SUBSTITUTE(SUBSTITUTE(Продажи_исходные!C210," шт.","")," шт",""),"шт.",""),"шт",""))),0)</f>
        <v>2</v>
      </c>
      <c r="D210" s="4">
        <f>IF(LEFT(Продажи_исходные!D210,1)="$",VALUE(MID(Продажи_исходные!D210,2,255))*95,IF(LEFT(Продажи_исходные!D210,1)="€",VALUE(MID(Продажи_исходные!D210,2,255))*100,VALUE(SUBSTITUTE(SUBSTITUTE(Продажи_исходные!D210,"₽","")," ",""))))</f>
        <v>10000</v>
      </c>
      <c r="E210" t="str">
        <f>Продажи_исходные!E210</f>
        <v>C0209</v>
      </c>
      <c r="F210" t="str">
        <f>Продажи_исходные!F210</f>
        <v>P005</v>
      </c>
      <c r="G210" t="str">
        <f>IFERROR(VLOOKUP(Продажи_исходные!G210,Справочники!$G$2:$H$50,2,FALSE),Продажи_исходные!G210)</f>
        <v>Отменен</v>
      </c>
      <c r="H210" s="4">
        <f>IFERROR(VLOOKUP(B210,Товары_очищенные!$A$1:$G$1000,6,FALSE),"нет в каталоге")</f>
        <v>119990</v>
      </c>
      <c r="I210" t="str">
        <f>IFERROR(VLOOKUP(B210,Товары_очищенные!$A$1:$G$1000,3,FALSE),"нет в каталоге")</f>
        <v>Ноутбуки</v>
      </c>
      <c r="J210" t="str">
        <f t="shared" si="28"/>
        <v>OK</v>
      </c>
    </row>
    <row r="211">
      <c r="A211" s="8">
        <f>DATE(RIGHT(Продажи_исходные!A211,4),LEFT(Продажи_исходные!A211,2),MID(Продажи_исходные!A211,4,2))</f>
        <v>45776</v>
      </c>
      <c r="B211" t="str">
        <f>"АРТ-"&amp;LEFT(SUBSTITUTE(SUBSTITUTE(SUBSTITUTE(SUBSTITUTE(Продажи_исходные!B211,"№",""),"АРТ-",""),"АРТ_",""),"/","-"),3)</f>
        <v>АРТ-034</v>
      </c>
      <c r="C211" s="4">
        <f>IFERROR(VALUE(TRIM(SUBSTITUTE(SUBSTITUTE(SUBSTITUTE(SUBSTITUTE(Продажи_исходные!C211," шт.","")," шт",""),"шт.",""),"шт",""))),0)</f>
        <v>1</v>
      </c>
      <c r="D211" s="4">
        <f>IF(LEFT(Продажи_исходные!D211,1)="$",VALUE(MID(Продажи_исходные!D211,2,255))*95,IF(LEFT(Продажи_исходные!D211,1)="€",VALUE(MID(Продажи_исходные!D211,2,255))*100,VALUE(SUBSTITUTE(SUBSTITUTE(Продажи_исходные!D211,"₽","")," ",""))))</f>
        <v>9200</v>
      </c>
      <c r="E211" t="str">
        <f>Продажи_исходные!E211</f>
        <v>C0210</v>
      </c>
      <c r="F211" t="str">
        <f>Продажи_исходные!F211</f>
        <v>P036</v>
      </c>
      <c r="G211" t="str">
        <f>IFERROR(VLOOKUP(Продажи_исходные!G211,Справочники!$G$2:$H$50,2,FALSE),Продажи_исходные!G211)</f>
        <v>Отменен</v>
      </c>
      <c r="H211" s="4">
        <f>IFERROR(VLOOKUP(B211,Товары_очищенные!$A$1:$G$1000,6,FALSE),"нет в каталоге")</f>
        <v>64999</v>
      </c>
      <c r="I211" t="str">
        <f>IFERROR(VLOOKUP(B211,Товары_очищенные!$A$1:$G$1000,3,FALSE),"нет в каталоге")</f>
        <v>Планшеты</v>
      </c>
      <c r="J211" t="str">
        <f t="shared" si="28"/>
        <v>OK</v>
      </c>
    </row>
    <row r="212">
      <c r="A212" s="8">
        <f>DATE(RIGHT(Продажи_исходные!A212,4),LEFT(Продажи_исходные!A212,2),MID(Продажи_исходные!A212,4,2))</f>
        <v>45777</v>
      </c>
      <c r="B212" t="str">
        <f>"АРТ-"&amp;LEFT(SUBSTITUTE(SUBSTITUTE(SUBSTITUTE(SUBSTITUTE(Продажи_исходные!B212,"№",""),"АРТ-",""),"АРТ_",""),"/","-"),3)</f>
        <v>АРТ-159</v>
      </c>
      <c r="C212" s="4">
        <f>IFERROR(VALUE(TRIM(SUBSTITUTE(SUBSTITUTE(SUBSTITUTE(SUBSTITUTE(Продажи_исходные!C212," шт.","")," шт",""),"шт.",""),"шт",""))),0)</f>
        <v>3</v>
      </c>
      <c r="D212" s="4">
        <f>IF(LEFT(Продажи_исходные!D212,1)="$",VALUE(MID(Продажи_исходные!D212,2,255))*95,IF(LEFT(Продажи_исходные!D212,1)="€",VALUE(MID(Продажи_исходные!D212,2,255))*100,VALUE(SUBSTITUTE(SUBSTITUTE(Продажи_исходные!D212,"₽","")," ",""))))</f>
        <v>8550</v>
      </c>
      <c r="E212" t="str">
        <f>Продажи_исходные!E212</f>
        <v>C0211</v>
      </c>
      <c r="F212" t="str">
        <f>Продажи_исходные!F212</f>
        <v>P014</v>
      </c>
      <c r="G212" t="str">
        <f>IFERROR(VLOOKUP(Продажи_исходные!G212,Справочники!$G$2:$H$50,2,FALSE),Продажи_исходные!G212)</f>
        <v>Завершен</v>
      </c>
      <c r="H212" s="4">
        <f>IFERROR(VLOOKUP(B212,Товары_очищенные!$A$1:$G$1000,6,FALSE),"нет в каталоге")</f>
        <v>95500</v>
      </c>
      <c r="I212" t="str">
        <f>IFERROR(VLOOKUP(B212,Товары_очищенные!$A$1:$G$1000,3,FALSE),"нет в каталоге")</f>
        <v>Мониторы</v>
      </c>
      <c r="J212" t="str">
        <f t="shared" si="28"/>
        <v>OK</v>
      </c>
    </row>
    <row r="213">
      <c r="A213" s="8">
        <f>DATE(RIGHT(Продажи_исходные!A213,4),LEFT(Продажи_исходные!A213,2),MID(Продажи_исходные!A213,4,2))</f>
        <v>45777</v>
      </c>
      <c r="B213" t="str">
        <f>"АРТ-"&amp;LEFT(SUBSTITUTE(SUBSTITUTE(SUBSTITUTE(SUBSTITUTE(Продажи_исходные!B213,"№",""),"АРТ-",""),"АРТ_",""),"/","-"),3)</f>
        <v>АРТ-459</v>
      </c>
      <c r="C213" s="4">
        <f>IFERROR(VALUE(TRIM(SUBSTITUTE(SUBSTITUTE(SUBSTITUTE(SUBSTITUTE(Продажи_исходные!C213," шт.","")," шт",""),"шт.",""),"шт",""))),0)</f>
        <v>2</v>
      </c>
      <c r="D213" s="4">
        <f>IF(LEFT(Продажи_исходные!D213,1)="$",VALUE(MID(Продажи_исходные!D213,2,255))*95,IF(LEFT(Продажи_исходные!D213,1)="€",VALUE(MID(Продажи_исходные!D213,2,255))*100,VALUE(SUBSTITUTE(SUBSTITUTE(Продажи_исходные!D213,"₽","")," ",""))))</f>
        <v>7000</v>
      </c>
      <c r="E213" t="str">
        <f>Продажи_исходные!E213</f>
        <v>C0212</v>
      </c>
      <c r="F213" t="str">
        <f>Продажи_исходные!F213</f>
        <v>P028</v>
      </c>
      <c r="G213" t="str">
        <f>IFERROR(VLOOKUP(Продажи_исходные!G213,Справочники!$G$2:$H$50,2,FALSE),Продажи_исходные!G213)</f>
        <v>Возврат</v>
      </c>
      <c r="H213" s="4">
        <f>IFERROR(VLOOKUP(B213,Товары_очищенные!$A$1:$G$1000,6,FALSE),"нет в каталоге")</f>
        <v>7800</v>
      </c>
      <c r="I213" t="str">
        <f>IFERROR(VLOOKUP(B213,Товары_очищенные!$A$1:$G$1000,3,FALSE),"нет в каталоге")</f>
        <v>Аксессуары</v>
      </c>
      <c r="J213" t="str">
        <f t="shared" si="28"/>
        <v>OK</v>
      </c>
    </row>
    <row r="214">
      <c r="A214" s="8">
        <f>DATE(RIGHT(Продажи_исходные!A214,4),LEFT(Продажи_исходные!A214,2),MID(Продажи_исходные!A214,4,2))</f>
        <v>45778</v>
      </c>
      <c r="B214" t="str">
        <f>"АРТ-"&amp;LEFT(SUBSTITUTE(SUBSTITUTE(SUBSTITUTE(SUBSTITUTE(Продажи_исходные!B214,"№",""),"АРТ-",""),"АРТ_",""),"/","-"),3)</f>
        <v>АРТ-296</v>
      </c>
      <c r="C214" s="4">
        <f>IFERROR(VALUE(TRIM(SUBSTITUTE(SUBSTITUTE(SUBSTITUTE(SUBSTITUTE(Продажи_исходные!C214," шт.","")," шт",""),"шт.",""),"шт",""))),0)</f>
        <v>1</v>
      </c>
      <c r="D214" s="4">
        <f>IF(LEFT(Продажи_исходные!D214,1)="$",VALUE(MID(Продажи_исходные!D214,2,255))*95,IF(LEFT(Продажи_исходные!D214,1)="€",VALUE(MID(Продажи_исходные!D214,2,255))*100,VALUE(SUBSTITUTE(SUBSTITUTE(Продажи_исходные!D214,"₽","")," ",""))))</f>
        <v>6500</v>
      </c>
      <c r="E214" t="str">
        <f>Продажи_исходные!E214</f>
        <v>C0213</v>
      </c>
      <c r="F214" t="str">
        <f>Продажи_исходные!F214</f>
        <v>P009</v>
      </c>
      <c r="G214" t="str">
        <f>IFERROR(VLOOKUP(Продажи_исходные!G214,Справочники!$G$2:$H$50,2,FALSE),Продажи_исходные!G214)</f>
        <v>Завершен</v>
      </c>
      <c r="H214" s="4">
        <f>IFERROR(VLOOKUP(B214,Товары_очищенные!$A$1:$G$1000,6,FALSE),"нет в каталоге")</f>
        <v>33500</v>
      </c>
      <c r="I214" t="str">
        <f>IFERROR(VLOOKUP(B214,Товары_очищенные!$A$1:$G$1000,3,FALSE),"нет в каталоге")</f>
        <v>Смартфоны</v>
      </c>
      <c r="J214" t="str">
        <f t="shared" si="28"/>
        <v>OK</v>
      </c>
    </row>
    <row r="215">
      <c r="A215" s="8">
        <f>DATE(RIGHT(Продажи_исходные!A215,4),LEFT(Продажи_исходные!A215,2),MID(Продажи_исходные!A215,4,2))</f>
        <v>45778</v>
      </c>
      <c r="B215" t="str">
        <f>"АРТ-"&amp;LEFT(SUBSTITUTE(SUBSTITUTE(SUBSTITUTE(SUBSTITUTE(Продажи_исходные!B215,"№",""),"АРТ-",""),"АРТ_",""),"/","-"),3)</f>
        <v>АРТ-267</v>
      </c>
      <c r="C215" s="4">
        <f>IFERROR(VALUE(TRIM(SUBSTITUTE(SUBSTITUTE(SUBSTITUTE(SUBSTITUTE(Продажи_исходные!C215," шт.","")," шт",""),"шт.",""),"шт",""))),0)</f>
        <v>-1</v>
      </c>
      <c r="D215" s="4">
        <f>IF(LEFT(Продажи_исходные!D215,1)="$",VALUE(MID(Продажи_исходные!D215,2,255))*95,IF(LEFT(Продажи_исходные!D215,1)="€",VALUE(MID(Продажи_исходные!D215,2,255))*100,VALUE(SUBSTITUTE(SUBSTITUTE(Продажи_исходные!D215,"₽","")," ",""))))</f>
        <v>10450</v>
      </c>
      <c r="E215" t="str">
        <f>Продажи_исходные!E215</f>
        <v>C0214</v>
      </c>
      <c r="F215" t="str">
        <f>Продажи_исходные!F215</f>
        <v>P041</v>
      </c>
      <c r="G215" t="str">
        <f>IFERROR(VLOOKUP(Продажи_исходные!G215,Справочники!$G$2:$H$50,2,FALSE),Продажи_исходные!G215)</f>
        <v>Завершен</v>
      </c>
      <c r="H215" s="4">
        <f>IFERROR(VLOOKUP(B215,Товары_очищенные!$A$1:$G$1000,6,FALSE),"нет в каталоге")</f>
        <v>70000</v>
      </c>
      <c r="I215" t="str">
        <f>IFERROR(VLOOKUP(B215,Товары_очищенные!$A$1:$G$1000,3,FALSE),"нет в каталоге")</f>
        <v>Мониторы</v>
      </c>
      <c r="J215" t="str">
        <f t="shared" si="28"/>
        <v>OK</v>
      </c>
    </row>
    <row r="216">
      <c r="A216" s="8">
        <f>DATE(RIGHT(Продажи_исходные!A216,4),LEFT(Продажи_исходные!A216,2),MID(Продажи_исходные!A216,4,2))</f>
        <v>45779</v>
      </c>
      <c r="B216" t="str">
        <f>"АРТ-"&amp;LEFT(SUBSTITUTE(SUBSTITUTE(SUBSTITUTE(SUBSTITUTE(Продажи_исходные!B216,"№",""),"АРТ-",""),"АРТ_",""),"/","-"),3)</f>
        <v>АРТ-340</v>
      </c>
      <c r="C216" s="4">
        <f>IFERROR(VALUE(TRIM(SUBSTITUTE(SUBSTITUTE(SUBSTITUTE(SUBSTITUTE(Продажи_исходные!C216," шт.","")," шт",""),"шт.",""),"шт",""))),0)</f>
        <v>3</v>
      </c>
      <c r="D216" s="4">
        <f>IF(LEFT(Продажи_исходные!D216,1)="$",VALUE(MID(Продажи_исходные!D216,2,255))*95,IF(LEFT(Продажи_исходные!D216,1)="€",VALUE(MID(Продажи_исходные!D216,2,255))*100,VALUE(SUBSTITUTE(SUBSTITUTE(Продажи_исходные!D216,"₽","")," ",""))))</f>
        <v>9000</v>
      </c>
      <c r="E216" t="str">
        <f>Продажи_исходные!E216</f>
        <v>C0215</v>
      </c>
      <c r="F216" t="str">
        <f>Продажи_исходные!F216</f>
        <v>P017</v>
      </c>
      <c r="G216" t="str">
        <f>IFERROR(VLOOKUP(Продажи_исходные!G216,Справочники!$G$2:$H$50,2,FALSE),Продажи_исходные!G216)</f>
        <v>Завершен</v>
      </c>
      <c r="H216" s="4">
        <f>IFERROR(VLOOKUP(B216,Товары_очищенные!$A$1:$G$1000,6,FALSE),"нет в каталоге")</f>
        <v>134990</v>
      </c>
      <c r="I216" t="str">
        <f>IFERROR(VLOOKUP(B216,Товары_очищенные!$A$1:$G$1000,3,FALSE),"нет в каталоге")</f>
        <v>Ноутбуки</v>
      </c>
      <c r="J216" t="str">
        <f t="shared" si="28"/>
        <v>OK</v>
      </c>
    </row>
    <row r="217">
      <c r="A217" s="8">
        <f>DATE(RIGHT(Продажи_исходные!A217,4),LEFT(Продажи_исходные!A217,2),MID(Продажи_исходные!A217,4,2))</f>
        <v>45779</v>
      </c>
      <c r="B217" t="str">
        <f>"АРТ-"&amp;LEFT(SUBSTITUTE(SUBSTITUTE(SUBSTITUTE(SUBSTITUTE(Продажи_исходные!B217,"№",""),"АРТ-",""),"АРТ_",""),"/","-"),3)</f>
        <v>АРТ-084</v>
      </c>
      <c r="C217" s="4">
        <f>IFERROR(VALUE(TRIM(SUBSTITUTE(SUBSTITUTE(SUBSTITUTE(SUBSTITUTE(Продажи_исходные!C217," шт.","")," шт",""),"шт.",""),"шт",""))),0)</f>
        <v>2</v>
      </c>
      <c r="D217" s="4">
        <f>IF(LEFT(Продажи_исходные!D217,1)="$",VALUE(MID(Продажи_исходные!D217,2,255))*95,IF(LEFT(Продажи_исходные!D217,1)="€",VALUE(MID(Продажи_исходные!D217,2,255))*100,VALUE(SUBSTITUTE(SUBSTITUTE(Продажи_исходные!D217,"₽","")," ",""))))</f>
        <v>8000</v>
      </c>
      <c r="E217" t="str">
        <f>Продажи_исходные!E217</f>
        <v>C0216</v>
      </c>
      <c r="F217" t="str">
        <f>Продажи_исходные!F217</f>
        <v>P032</v>
      </c>
      <c r="G217" t="str">
        <f>IFERROR(VLOOKUP(Продажи_исходные!G217,Справочники!$G$2:$H$50,2,FALSE),Продажи_исходные!G217)</f>
        <v>Отменен</v>
      </c>
      <c r="H217" s="4">
        <f>IFERROR(VLOOKUP(B217,Товары_очищенные!$A$1:$G$1000,6,FALSE),"нет в каталоге")</f>
        <v>41000</v>
      </c>
      <c r="I217" t="str">
        <f>IFERROR(VLOOKUP(B217,Товары_очищенные!$A$1:$G$1000,3,FALSE),"нет в каталоге")</f>
        <v>Часы</v>
      </c>
      <c r="J217" t="str">
        <f t="shared" si="28"/>
        <v>OK</v>
      </c>
    </row>
    <row r="218">
      <c r="A218" s="8">
        <f>DATE(RIGHT(Продажи_исходные!A218,4),LEFT(Продажи_исходные!A218,2),MID(Продажи_исходные!A218,4,2))</f>
        <v>45780</v>
      </c>
      <c r="B218" t="str">
        <f>"АРТ-"&amp;LEFT(SUBSTITUTE(SUBSTITUTE(SUBSTITUTE(SUBSTITUTE(Продажи_исходные!B218,"№",""),"АРТ-",""),"АРТ_",""),"/","-"),3)</f>
        <v>АРТ-148</v>
      </c>
      <c r="C218" s="4">
        <f>IFERROR(VALUE(TRIM(SUBSTITUTE(SUBSTITUTE(SUBSTITUTE(SUBSTITUTE(Продажи_исходные!C218," шт.","")," шт",""),"шт.",""),"шт",""))),0)</f>
        <v>1</v>
      </c>
      <c r="D218" s="4">
        <f>IF(LEFT(Продажи_исходные!D218,1)="$",VALUE(MID(Продажи_исходные!D218,2,255))*95,IF(LEFT(Продажи_исходные!D218,1)="€",VALUE(MID(Продажи_исходные!D218,2,255))*100,VALUE(SUBSTITUTE(SUBSTITUTE(Продажи_исходные!D218,"₽","")," ",""))))</f>
        <v>9025</v>
      </c>
      <c r="E218" t="str">
        <f>Продажи_исходные!E218</f>
        <v>C0217</v>
      </c>
      <c r="F218" t="str">
        <f>Продажи_исходные!F218</f>
        <v>P049</v>
      </c>
      <c r="G218" t="str">
        <f>IFERROR(VLOOKUP(Продажи_исходные!G218,Справочники!$G$2:$H$50,2,FALSE),Продажи_исходные!G218)</f>
        <v>Отменен</v>
      </c>
      <c r="H218" s="4">
        <f>IFERROR(VLOOKUP(B218,Товары_очищенные!$A$1:$G$1000,6,FALSE),"нет в каталоге")</f>
        <v>139990</v>
      </c>
      <c r="I218" t="str">
        <f>IFERROR(VLOOKUP(B218,Товары_очищенные!$A$1:$G$1000,3,FALSE),"нет в каталоге")</f>
        <v>Ноутбуки</v>
      </c>
      <c r="J218" t="str">
        <f t="shared" si="28"/>
        <v>OK</v>
      </c>
    </row>
    <row r="219">
      <c r="A219" s="8">
        <f>DATE(RIGHT(Продажи_исходные!A219,4),LEFT(Продажи_исходные!A219,2),MID(Продажи_исходные!A219,4,2))</f>
        <v>45780</v>
      </c>
      <c r="B219" t="str">
        <f>"АРТ-"&amp;LEFT(SUBSTITUTE(SUBSTITUTE(SUBSTITUTE(SUBSTITUTE(Продажи_исходные!B219,"№",""),"АРТ-",""),"АРТ_",""),"/","-"),3)</f>
        <v>АРТ-474</v>
      </c>
      <c r="C219" s="4">
        <f>IFERROR(VALUE(TRIM(SUBSTITUTE(SUBSTITUTE(SUBSTITUTE(SUBSTITUTE(Продажи_исходные!C219," шт.","")," шт",""),"шт.",""),"шт",""))),0)</f>
        <v>2</v>
      </c>
      <c r="D219" s="4">
        <f>IF(LEFT(Продажи_исходные!D219,1)="$",VALUE(MID(Продажи_исходные!D219,2,255))*95,IF(LEFT(Продажи_исходные!D219,1)="€",VALUE(MID(Продажи_исходные!D219,2,255))*100,VALUE(SUBSTITUTE(SUBSTITUTE(Продажи_исходные!D219,"₽","")," ",""))))</f>
        <v>7500</v>
      </c>
      <c r="E219" t="str">
        <f>Продажи_исходные!E219</f>
        <v>C0218</v>
      </c>
      <c r="F219" t="str">
        <f>Продажи_исходные!F219</f>
        <v>P006</v>
      </c>
      <c r="G219" t="str">
        <f>IFERROR(VLOOKUP(Продажи_исходные!G219,Справочники!$G$2:$H$50,2,FALSE),Продажи_исходные!G219)</f>
        <v>Возврат</v>
      </c>
      <c r="H219" s="4">
        <f>IFERROR(VLOOKUP(B219,Товары_очищенные!$A$1:$G$1000,6,FALSE),"нет в каталоге")</f>
        <v>9800</v>
      </c>
      <c r="I219" t="str">
        <f>IFERROR(VLOOKUP(B219,Товары_очищенные!$A$1:$G$1000,3,FALSE),"нет в каталоге")</f>
        <v>Наушники</v>
      </c>
      <c r="J219" t="str">
        <f t="shared" si="28"/>
        <v>OK</v>
      </c>
    </row>
    <row r="220">
      <c r="A220" s="8">
        <f>DATE(RIGHT(Продажи_исходные!A220,4),LEFT(Продажи_исходные!A220,2),MID(Продажи_исходные!A220,4,2))</f>
        <v>45781</v>
      </c>
      <c r="B220" t="str">
        <f>"АРТ-"&amp;LEFT(SUBSTITUTE(SUBSTITUTE(SUBSTITUTE(SUBSTITUTE(Продажи_исходные!B220,"№",""),"АРТ-",""),"АРТ_",""),"/","-"),3)</f>
        <v>АРТ-357</v>
      </c>
      <c r="C220" s="4">
        <f>IFERROR(VALUE(TRIM(SUBSTITUTE(SUBSTITUTE(SUBSTITUTE(SUBSTITUTE(Продажи_исходные!C220," шт.","")," шт",""),"шт.",""),"шт",""))),0)</f>
        <v>3</v>
      </c>
      <c r="D220" s="4">
        <f>IF(LEFT(Продажи_исходные!D220,1)="$",VALUE(MID(Продажи_исходные!D220,2,255))*95,IF(LEFT(Продажи_исходные!D220,1)="€",VALUE(MID(Продажи_исходные!D220,2,255))*100,VALUE(SUBSTITUTE(SUBSTITUTE(Продажи_исходные!D220,"₽","")," ",""))))</f>
        <v>7000</v>
      </c>
      <c r="E220" t="str">
        <f>Продажи_исходные!E220</f>
        <v>C0219</v>
      </c>
      <c r="F220" t="str">
        <f>Продажи_исходные!F220</f>
        <v>P024</v>
      </c>
      <c r="G220" t="str">
        <f>IFERROR(VLOOKUP(Продажи_исходные!G220,Справочники!$G$2:$H$50,2,FALSE),Продажи_исходные!G220)</f>
        <v>Завершен</v>
      </c>
      <c r="H220" s="4">
        <f>IFERROR(VLOOKUP(B220,Товары_очищенные!$A$1:$G$1000,6,FALSE),"нет в каталоге")</f>
        <v>88000</v>
      </c>
      <c r="I220" t="str">
        <f>IFERROR(VLOOKUP(B220,Товары_очищенные!$A$1:$G$1000,3,FALSE),"нет в каталоге")</f>
        <v>Смартфоны</v>
      </c>
      <c r="J220" t="str">
        <f t="shared" si="28"/>
        <v>OK</v>
      </c>
    </row>
    <row r="221">
      <c r="A221" s="8">
        <f>DATE(RIGHT(Продажи_исходные!A221,4),LEFT(Продажи_исходные!A221,2),MID(Продажи_исходные!A221,4,2))</f>
        <v>45781</v>
      </c>
      <c r="B221" t="str">
        <f>"АРТ-"&amp;LEFT(SUBSTITUTE(SUBSTITUTE(SUBSTITUTE(SUBSTITUTE(Продажи_исходные!B221,"№",""),"АРТ-",""),"АРТ_",""),"/","-"),3)</f>
        <v>АРТ-312</v>
      </c>
      <c r="C221" s="4">
        <f>IFERROR(VALUE(TRIM(SUBSTITUTE(SUBSTITUTE(SUBSTITUTE(SUBSTITUTE(Продажи_исходные!C221," шт.","")," шт",""),"шт.",""),"шт",""))),0)</f>
        <v>-2</v>
      </c>
      <c r="D221" s="4">
        <f>IF(LEFT(Продажи_исходные!D221,1)="$",VALUE(MID(Продажи_исходные!D221,2,255))*95,IF(LEFT(Продажи_исходные!D221,1)="€",VALUE(MID(Продажи_исходные!D221,2,255))*100,VALUE(SUBSTITUTE(SUBSTITUTE(Продажи_исходные!D221,"₽","")," ",""))))</f>
        <v>10925</v>
      </c>
      <c r="E221" t="str">
        <f>Продажи_исходные!E221</f>
        <v>C0220</v>
      </c>
      <c r="F221" t="str">
        <f>Продажи_исходные!F221</f>
        <v>P015</v>
      </c>
      <c r="G221" t="str">
        <f>IFERROR(VLOOKUP(Продажи_исходные!G221,Справочники!$G$2:$H$50,2,FALSE),Продажи_исходные!G221)</f>
        <v>Завершен</v>
      </c>
      <c r="H221" s="4">
        <f>IFERROR(VLOOKUP(B221,Товары_очищенные!$A$1:$G$1000,6,FALSE),"нет в каталоге")</f>
        <v>67000</v>
      </c>
      <c r="I221" t="str">
        <f>IFERROR(VLOOKUP(B221,Товары_очищенные!$A$1:$G$1000,3,FALSE),"нет в каталоге")</f>
        <v>Планшеты</v>
      </c>
      <c r="J221" t="str">
        <f t="shared" si="28"/>
        <v>OK</v>
      </c>
    </row>
    <row r="222">
      <c r="A222" s="8">
        <f>DATE(RIGHT(Продажи_исходные!A222,4),LEFT(Продажи_исходные!A222,2),MID(Продажи_исходные!A222,4,2))</f>
        <v>45782</v>
      </c>
      <c r="B222" t="str">
        <f>"АРТ-"&amp;LEFT(SUBSTITUTE(SUBSTITUTE(SUBSTITUTE(SUBSTITUTE(Продажи_исходные!B222,"№",""),"АРТ-",""),"АРТ_",""),"/","-"),3)</f>
        <v>АРТ-202</v>
      </c>
      <c r="C222" s="4">
        <f>IFERROR(VALUE(TRIM(SUBSTITUTE(SUBSTITUTE(SUBSTITUTE(SUBSTITUTE(Продажи_исходные!C222," шт.","")," шт",""),"шт.",""),"шт",""))),0)</f>
        <v>1</v>
      </c>
      <c r="D222" s="4">
        <f>IF(LEFT(Продажи_исходные!D222,1)="$",VALUE(MID(Продажи_исходные!D222,2,255))*95,IF(LEFT(Продажи_исходные!D222,1)="€",VALUE(MID(Продажи_исходные!D222,2,255))*100,VALUE(SUBSTITUTE(SUBSTITUTE(Продажи_исходные!D222,"₽","")," ",""))))</f>
        <v>9500</v>
      </c>
      <c r="E222" t="str">
        <f>Продажи_исходные!E222</f>
        <v>C0221</v>
      </c>
      <c r="F222" t="str">
        <f>Продажи_исходные!F222</f>
        <v>P037</v>
      </c>
      <c r="G222" t="str">
        <f>IFERROR(VLOOKUP(Продажи_исходные!G222,Справочники!$G$2:$H$50,2,FALSE),Продажи_исходные!G222)</f>
        <v>Завершен</v>
      </c>
      <c r="H222" s="4">
        <f>IFERROR(VLOOKUP(B222,Товары_очищенные!$A$1:$G$1000,6,FALSE),"нет в каталоге")</f>
        <v>9990</v>
      </c>
      <c r="I222" t="str">
        <f>IFERROR(VLOOKUP(B222,Товары_очищенные!$A$1:$G$1000,3,FALSE),"нет в каталоге")</f>
        <v>Наушники</v>
      </c>
      <c r="J222" t="str">
        <f t="shared" si="28"/>
        <v>OK</v>
      </c>
    </row>
    <row r="223">
      <c r="A223" s="8">
        <f>DATE(RIGHT(Продажи_исходные!A223,4),LEFT(Продажи_исходные!A223,2),MID(Продажи_исходные!A223,4,2))</f>
        <v>45782</v>
      </c>
      <c r="B223" t="str">
        <f>"АРТ-"&amp;LEFT(SUBSTITUTE(SUBSTITUTE(SUBSTITUTE(SUBSTITUTE(Продажи_исходные!B223,"№",""),"АРТ-",""),"АРТ_",""),"/","-"),3)</f>
        <v>АРТ-133</v>
      </c>
      <c r="C223" s="4">
        <f>IFERROR(VALUE(TRIM(SUBSTITUTE(SUBSTITUTE(SUBSTITUTE(SUBSTITUTE(Продажи_исходные!C223," шт.","")," шт",""),"шт.",""),"шт",""))),0)</f>
        <v>2</v>
      </c>
      <c r="D223" s="4">
        <f>IF(LEFT(Продажи_исходные!D223,1)="$",VALUE(MID(Продажи_исходные!D223,2,255))*95,IF(LEFT(Продажи_исходные!D223,1)="€",VALUE(MID(Продажи_исходные!D223,2,255))*100,VALUE(SUBSTITUTE(SUBSTITUTE(Продажи_исходные!D223,"₽","")," ",""))))</f>
        <v>8500</v>
      </c>
      <c r="E223" t="str">
        <f>Продажи_исходные!E223</f>
        <v>C0222</v>
      </c>
      <c r="F223" t="str">
        <f>Продажи_исходные!F223</f>
        <v>P048</v>
      </c>
      <c r="G223" t="str">
        <f>IFERROR(VLOOKUP(Продажи_исходные!G223,Справочники!$G$2:$H$50,2,FALSE),Продажи_исходные!G223)</f>
        <v>Отменен</v>
      </c>
      <c r="H223" s="4">
        <f>IFERROR(VLOOKUP(B223,Товары_очищенные!$A$1:$G$1000,6,FALSE),"нет в каталоге")</f>
        <v>126990</v>
      </c>
      <c r="I223" t="str">
        <f>IFERROR(VLOOKUP(B223,Товары_очищенные!$A$1:$G$1000,3,FALSE),"нет в каталоге")</f>
        <v>Телевизоры</v>
      </c>
      <c r="J223" t="str">
        <f t="shared" si="28"/>
        <v>OK</v>
      </c>
    </row>
    <row r="224">
      <c r="A224" s="8">
        <f>DATE(RIGHT(Продажи_исходные!A224,4),LEFT(Продажи_исходные!A224,2),MID(Продажи_исходные!A224,4,2))</f>
        <v>45783</v>
      </c>
      <c r="B224" t="str">
        <f>"АРТ-"&amp;LEFT(SUBSTITUTE(SUBSTITUTE(SUBSTITUTE(SUBSTITUTE(Продажи_исходные!B224,"№",""),"АРТ-",""),"АРТ_",""),"/","-"),3)</f>
        <v>АРТ-081</v>
      </c>
      <c r="C224" s="4">
        <f>IFERROR(VALUE(TRIM(SUBSTITUTE(SUBSTITUTE(SUBSTITUTE(SUBSTITUTE(Продажи_исходные!C224," шт.","")," шт",""),"шт.",""),"шт",""))),0)</f>
        <v>3</v>
      </c>
      <c r="D224" s="4">
        <f>IF(LEFT(Продажи_исходные!D224,1)="$",VALUE(MID(Продажи_исходные!D224,2,255))*95,IF(LEFT(Продажи_исходные!D224,1)="€",VALUE(MID(Продажи_исходные!D224,2,255))*100,VALUE(SUBSTITUTE(SUBSTITUTE(Продажи_исходные!D224,"₽","")," ",""))))</f>
        <v>9975</v>
      </c>
      <c r="E224" t="str">
        <f>Продажи_исходные!E224</f>
        <v>C0223</v>
      </c>
      <c r="F224" t="str">
        <f>Продажи_исходные!F224</f>
        <v>P004</v>
      </c>
      <c r="G224" t="str">
        <f>IFERROR(VLOOKUP(Продажи_исходные!G224,Справочники!$G$2:$H$50,2,FALSE),Продажи_исходные!G224)</f>
        <v>Отменен</v>
      </c>
      <c r="H224" s="4">
        <f>IFERROR(VLOOKUP(B224,Товары_очищенные!$A$1:$G$1000,6,FALSE),"нет в каталоге")</f>
        <v>47500</v>
      </c>
      <c r="I224" t="str">
        <f>IFERROR(VLOOKUP(B224,Товары_очищенные!$A$1:$G$1000,3,FALSE),"нет в каталоге")</f>
        <v>Планшеты</v>
      </c>
      <c r="J224" t="str">
        <f t="shared" si="28"/>
        <v>OK</v>
      </c>
    </row>
    <row r="225">
      <c r="A225" s="8">
        <f>DATE(RIGHT(Продажи_исходные!A225,4),LEFT(Продажи_исходные!A225,2),MID(Продажи_исходные!A225,4,2))</f>
        <v>45783</v>
      </c>
      <c r="B225" t="str">
        <f>"АРТ-"&amp;LEFT(SUBSTITUTE(SUBSTITUTE(SUBSTITUTE(SUBSTITUTE(Продажи_исходные!B225,"№",""),"АРТ-",""),"АРТ_",""),"/","-"),3)</f>
        <v>АРТ-418</v>
      </c>
      <c r="C225" s="4">
        <f>IFERROR(VALUE(TRIM(SUBSTITUTE(SUBSTITUTE(SUBSTITUTE(SUBSTITUTE(Продажи_исходные!C225," шт.","")," шт",""),"шт.",""),"шт",""))),0)</f>
        <v>2</v>
      </c>
      <c r="D225" s="4">
        <f>IF(LEFT(Продажи_исходные!D225,1)="$",VALUE(MID(Продажи_исходные!D225,2,255))*95,IF(LEFT(Продажи_исходные!D225,1)="€",VALUE(MID(Продажи_исходные!D225,2,255))*100,VALUE(SUBSTITUTE(SUBSTITUTE(Продажи_исходные!D225,"₽","")," ",""))))</f>
        <v>8500</v>
      </c>
      <c r="E225" t="str">
        <f>Продажи_исходные!E225</f>
        <v>C0224</v>
      </c>
      <c r="F225" t="str">
        <f>Продажи_исходные!F225</f>
        <v>P026</v>
      </c>
      <c r="G225" t="str">
        <f>IFERROR(VLOOKUP(Продажи_исходные!G225,Справочники!$G$2:$H$50,2,FALSE),Продажи_исходные!G225)</f>
        <v>Завершен</v>
      </c>
      <c r="H225" s="4">
        <f>IFERROR(VLOOKUP(B225,Товары_очищенные!$A$1:$G$1000,6,FALSE),"нет в каталоге")</f>
        <v>29990</v>
      </c>
      <c r="I225" t="str">
        <f>IFERROR(VLOOKUP(B225,Товары_очищенные!$A$1:$G$1000,3,FALSE),"нет в каталоге")</f>
        <v>Часы</v>
      </c>
      <c r="J225" t="str">
        <f t="shared" si="28"/>
        <v>OK</v>
      </c>
    </row>
    <row r="226">
      <c r="A226" s="8">
        <f>DATE(RIGHT(Продажи_исходные!A226,4),LEFT(Продажи_исходные!A226,2),MID(Продажи_исходные!A226,4,2))</f>
        <v>45784</v>
      </c>
      <c r="B226" t="str">
        <f>"АРТ-"&amp;LEFT(SUBSTITUTE(SUBSTITUTE(SUBSTITUTE(SUBSTITUTE(Продажи_исходные!B226,"№",""),"АРТ-",""),"АРТ_",""),"/","-"),3)</f>
        <v>АРТ-272</v>
      </c>
      <c r="C226" s="4">
        <f>IFERROR(VALUE(TRIM(SUBSTITUTE(SUBSTITUTE(SUBSTITUTE(SUBSTITUTE(Продажи_исходные!C226," шт.","")," шт",""),"шт.",""),"шт",""))),0)</f>
        <v>1</v>
      </c>
      <c r="D226" s="4">
        <f>IF(LEFT(Продажи_исходные!D226,1)="$",VALUE(MID(Продажи_исходные!D226,2,255))*95,IF(LEFT(Продажи_исходные!D226,1)="€",VALUE(MID(Продажи_исходные!D226,2,255))*100,VALUE(SUBSTITUTE(SUBSTITUTE(Продажи_исходные!D226,"₽","")," ",""))))</f>
        <v>7800</v>
      </c>
      <c r="E226" t="str">
        <f>Продажи_исходные!E226</f>
        <v>C0225</v>
      </c>
      <c r="F226" t="str">
        <f>Продажи_исходные!F226</f>
        <v>P013</v>
      </c>
      <c r="G226" t="str">
        <f>IFERROR(VLOOKUP(Продажи_исходные!G226,Справочники!$G$2:$H$50,2,FALSE),Продажи_исходные!G226)</f>
        <v>Возврат</v>
      </c>
      <c r="H226" s="4">
        <f>IFERROR(VLOOKUP(B226,Товары_очищенные!$A$1:$G$1000,6,FALSE),"нет в каталоге")</f>
        <v>43500</v>
      </c>
      <c r="I226" t="str">
        <f>IFERROR(VLOOKUP(B226,Товары_очищенные!$A$1:$G$1000,3,FALSE),"нет в каталоге")</f>
        <v>Смартфоны</v>
      </c>
      <c r="J226" t="str">
        <f t="shared" si="28"/>
        <v>OK</v>
      </c>
    </row>
    <row r="227">
      <c r="A227" s="8">
        <f>DATE(RIGHT(Продажи_исходные!A227,4),LEFT(Продажи_исходные!A227,2),MID(Продажи_исходные!A227,4,2))</f>
        <v>45784</v>
      </c>
      <c r="B227" t="str">
        <f>"АРТ-"&amp;LEFT(SUBSTITUTE(SUBSTITUTE(SUBSTITUTE(SUBSTITUTE(Продажи_исходные!B227,"№",""),"АРТ-",""),"АРТ_",""),"/","-"),3)</f>
        <v>АРТ-407</v>
      </c>
      <c r="C227" s="4">
        <f>IFERROR(VALUE(TRIM(SUBSTITUTE(SUBSTITUTE(SUBSTITUTE(SUBSTITUTE(Продажи_исходные!C227," шт.","")," шт",""),"шт.",""),"шт",""))),0)</f>
        <v>-3</v>
      </c>
      <c r="D227" s="4">
        <f>IF(LEFT(Продажи_исходные!D227,1)="$",VALUE(MID(Продажи_исходные!D227,2,255))*95,IF(LEFT(Продажи_исходные!D227,1)="€",VALUE(MID(Продажи_исходные!D227,2,255))*100,VALUE(SUBSTITUTE(SUBSTITUTE(Продажи_исходные!D227,"₽","")," ",""))))</f>
        <v>11400</v>
      </c>
      <c r="E227" t="str">
        <f>Продажи_исходные!E227</f>
        <v>C0226</v>
      </c>
      <c r="F227" t="str">
        <f>Продажи_исходные!F227</f>
        <v>P034</v>
      </c>
      <c r="G227" t="str">
        <f>IFERROR(VLOOKUP(Продажи_исходные!G227,Справочники!$G$2:$H$50,2,FALSE),Продажи_исходные!G227)</f>
        <v>Завершен</v>
      </c>
      <c r="H227" s="4">
        <f>IFERROR(VLOOKUP(B227,Товары_очищенные!$A$1:$G$1000,6,FALSE),"нет в каталоге")</f>
        <v>102000</v>
      </c>
      <c r="I227" t="str">
        <f>IFERROR(VLOOKUP(B227,Товары_очищенные!$A$1:$G$1000,3,FALSE),"нет в каталоге")</f>
        <v>Телевизоры</v>
      </c>
      <c r="J227" t="str">
        <f t="shared" si="28"/>
        <v>OK</v>
      </c>
    </row>
    <row r="228">
      <c r="A228" s="8">
        <f>DATE(RIGHT(Продажи_исходные!A228,4),LEFT(Продажи_исходные!A228,2),MID(Продажи_исходные!A228,4,2))</f>
        <v>45785</v>
      </c>
      <c r="B228" t="str">
        <f>"АРТ-"&amp;LEFT(SUBSTITUTE(SUBSTITUTE(SUBSTITUTE(SUBSTITUTE(Продажи_исходные!B228,"№",""),"АРТ-",""),"АРТ_",""),"/","-"),3)</f>
        <v>АРТ-251</v>
      </c>
      <c r="C228" s="4">
        <f>IFERROR(VALUE(TRIM(SUBSTITUTE(SUBSTITUTE(SUBSTITUTE(SUBSTITUTE(Продажи_исходные!C228," шт.","")," шт",""),"шт.",""),"шт",""))),0)</f>
        <v>2</v>
      </c>
      <c r="D228" s="4">
        <f>IF(LEFT(Продажи_исходные!D228,1)="$",VALUE(MID(Продажи_исходные!D228,2,255))*95,IF(LEFT(Продажи_исходные!D228,1)="€",VALUE(MID(Продажи_исходные!D228,2,255))*100,VALUE(SUBSTITUTE(SUBSTITUTE(Продажи_исходные!D228,"₽","")," ",""))))</f>
        <v>10000</v>
      </c>
      <c r="E228" t="str">
        <f>Продажи_исходные!E228</f>
        <v>C0227</v>
      </c>
      <c r="F228" t="str">
        <f>Продажи_исходные!F228</f>
        <v>P044</v>
      </c>
      <c r="G228" t="str">
        <f>IFERROR(VLOOKUP(Продажи_исходные!G228,Справочники!$G$2:$H$50,2,FALSE),Продажи_исходные!G228)</f>
        <v>Завершен</v>
      </c>
      <c r="H228" s="4">
        <f>IFERROR(VLOOKUP(B228,Товары_очищенные!$A$1:$G$1000,6,FALSE),"нет в каталоге")</f>
        <v>53500</v>
      </c>
      <c r="I228" t="str">
        <f>IFERROR(VLOOKUP(B228,Товары_очищенные!$A$1:$G$1000,3,FALSE),"нет в каталоге")</f>
        <v>Часы</v>
      </c>
      <c r="J228" t="str">
        <f t="shared" ref="J228:J291" si="29">IF(D228&gt;0,"OK","Некорректная цена")</f>
        <v>OK</v>
      </c>
    </row>
    <row r="229">
      <c r="A229" s="8">
        <f>DATE(RIGHT(Продажи_исходные!A229,4),LEFT(Продажи_исходные!A229,2),MID(Продажи_исходные!A229,4,2))</f>
        <v>45785</v>
      </c>
      <c r="B229" t="str">
        <f>"АРТ-"&amp;LEFT(SUBSTITUTE(SUBSTITUTE(SUBSTITUTE(SUBSTITUTE(Продажи_исходные!B229,"№",""),"АРТ-",""),"АРТ_",""),"/","-"),3)</f>
        <v>АРТ-057</v>
      </c>
      <c r="C229" s="4">
        <f>IFERROR(VALUE(TRIM(SUBSTITUTE(SUBSTITUTE(SUBSTITUTE(SUBSTITUTE(Продажи_исходные!C229," шт.","")," шт",""),"шт.",""),"шт",""))),0)</f>
        <v>1</v>
      </c>
      <c r="D229" s="4">
        <f>IF(LEFT(Продажи_исходные!D229,1)="$",VALUE(MID(Продажи_исходные!D229,2,255))*95,IF(LEFT(Продажи_исходные!D229,1)="€",VALUE(MID(Продажи_исходные!D229,2,255))*100,VALUE(SUBSTITUTE(SUBSTITUTE(Продажи_исходные!D229,"₽","")," ",""))))</f>
        <v>9200</v>
      </c>
      <c r="E229" t="str">
        <f>Продажи_исходные!E229</f>
        <v>C0228</v>
      </c>
      <c r="F229" t="str">
        <f>Продажи_исходные!F229</f>
        <v>P001</v>
      </c>
      <c r="G229" t="str">
        <f>IFERROR(VLOOKUP(Продажи_исходные!G229,Справочники!$G$2:$H$50,2,FALSE),Продажи_исходные!G229)</f>
        <v>Завершен</v>
      </c>
      <c r="H229" s="4">
        <f>IFERROR(VLOOKUP(B229,Товары_очищенные!$A$1:$G$1000,6,FALSE),"нет в каталоге")</f>
        <v>11200</v>
      </c>
      <c r="I229" t="str">
        <f>IFERROR(VLOOKUP(B229,Товары_очищенные!$A$1:$G$1000,3,FALSE),"нет в каталоге")</f>
        <v>Аксессуары</v>
      </c>
      <c r="J229" t="str">
        <f t="shared" si="29"/>
        <v>OK</v>
      </c>
    </row>
    <row r="230">
      <c r="A230" s="8">
        <f>DATE(RIGHT(Продажи_исходные!A230,4),LEFT(Продажи_исходные!A230,2),MID(Продажи_исходные!A230,4,2))</f>
        <v>45786</v>
      </c>
      <c r="B230" t="str">
        <f>"АРТ-"&amp;LEFT(SUBSTITUTE(SUBSTITUTE(SUBSTITUTE(SUBSTITUTE(Продажи_исходные!B230,"№",""),"АРТ-",""),"АРТ_",""),"/","-"),3)</f>
        <v>АРТ-183</v>
      </c>
      <c r="C230" s="4">
        <f>IFERROR(VALUE(TRIM(SUBSTITUTE(SUBSTITUTE(SUBSTITUTE(SUBSTITUTE(Продажи_исходные!C230," шт.","")," шт",""),"шт.",""),"шт",""))),0)</f>
        <v>3</v>
      </c>
      <c r="D230" s="4">
        <f>IF(LEFT(Продажи_исходные!D230,1)="$",VALUE(MID(Продажи_исходные!D230,2,255))*95,IF(LEFT(Продажи_исходные!D230,1)="€",VALUE(MID(Продажи_исходные!D230,2,255))*100,VALUE(SUBSTITUTE(SUBSTITUTE(Продажи_исходные!D230,"₽","")," ",""))))</f>
        <v>8550</v>
      </c>
      <c r="E230" t="str">
        <f>Продажи_исходные!E230</f>
        <v>C0229</v>
      </c>
      <c r="F230" t="str">
        <f>Продажи_исходные!F230</f>
        <v>P021</v>
      </c>
      <c r="G230" t="str">
        <f>IFERROR(VLOOKUP(Продажи_исходные!G230,Справочники!$G$2:$H$50,2,FALSE),Продажи_исходные!G230)</f>
        <v>Отменен</v>
      </c>
      <c r="H230" s="4">
        <f>IFERROR(VLOOKUP(B230,Товары_очищенные!$A$1:$G$1000,6,FALSE),"нет в каталоге")</f>
        <v>173000</v>
      </c>
      <c r="I230" t="str">
        <f>IFERROR(VLOOKUP(B230,Товары_очищенные!$A$1:$G$1000,3,FALSE),"нет в каталоге")</f>
        <v>Мониторы</v>
      </c>
      <c r="J230" t="str">
        <f t="shared" si="29"/>
        <v>OK</v>
      </c>
    </row>
    <row r="231">
      <c r="A231" s="8">
        <f>DATE(RIGHT(Продажи_исходные!A231,4),LEFT(Продажи_исходные!A231,2),MID(Продажи_исходные!A231,4,2))</f>
        <v>45786</v>
      </c>
      <c r="B231" t="str">
        <f>"АРТ-"&amp;LEFT(SUBSTITUTE(SUBSTITUTE(SUBSTITUTE(SUBSTITUTE(Продажи_исходные!B231,"№",""),"АРТ-",""),"АРТ_",""),"/","-"),3)</f>
        <v>АРТ-481</v>
      </c>
      <c r="C231" s="4">
        <f>IFERROR(VALUE(TRIM(SUBSTITUTE(SUBSTITUTE(SUBSTITUTE(SUBSTITUTE(Продажи_исходные!C231," шт.","")," шт",""),"шт.",""),"шт",""))),0)</f>
        <v>2</v>
      </c>
      <c r="D231" s="4">
        <f>IF(LEFT(Продажи_исходные!D231,1)="$",VALUE(MID(Продажи_исходные!D231,2,255))*95,IF(LEFT(Продажи_исходные!D231,1)="€",VALUE(MID(Продажи_исходные!D231,2,255))*100,VALUE(SUBSTITUTE(SUBSTITUTE(Продажи_исходные!D231,"₽","")," ",""))))</f>
        <v>7000</v>
      </c>
      <c r="E231" t="str">
        <f>Продажи_исходные!E231</f>
        <v>C0230</v>
      </c>
      <c r="F231" t="str">
        <f>Продажи_исходные!F231</f>
        <v>P039</v>
      </c>
      <c r="G231" t="str">
        <f>IFERROR(VLOOKUP(Продажи_исходные!G231,Справочники!$G$2:$H$50,2,FALSE),Продажи_исходные!G231)</f>
        <v>Отменен</v>
      </c>
      <c r="H231" s="4">
        <f>IFERROR(VLOOKUP(B231,Товары_очищенные!$A$1:$G$1000,6,FALSE),"нет в каталоге")</f>
        <v>39990</v>
      </c>
      <c r="I231" t="str">
        <f>IFERROR(VLOOKUP(B231,Товары_очищенные!$A$1:$G$1000,3,FALSE),"нет в каталоге")</f>
        <v>Планшеты</v>
      </c>
      <c r="J231" t="str">
        <f t="shared" si="29"/>
        <v>OK</v>
      </c>
    </row>
    <row r="232">
      <c r="A232" s="8">
        <f>DATE(RIGHT(Продажи_исходные!A232,4),LEFT(Продажи_исходные!A232,2),MID(Продажи_исходные!A232,4,2))</f>
        <v>45787</v>
      </c>
      <c r="B232" t="str">
        <f>"АРТ-"&amp;LEFT(SUBSTITUTE(SUBSTITUTE(SUBSTITUTE(SUBSTITUTE(Продажи_исходные!B232,"№",""),"АРТ-",""),"АРТ_",""),"/","-"),3)</f>
        <v>АРТ-335</v>
      </c>
      <c r="C232" s="4">
        <f>IFERROR(VALUE(TRIM(SUBSTITUTE(SUBSTITUTE(SUBSTITUTE(SUBSTITUTE(Продажи_исходные!C232," шт.","")," шт",""),"шт.",""),"шт",""))),0)</f>
        <v>1</v>
      </c>
      <c r="D232" s="4">
        <f>IF(LEFT(Продажи_исходные!D232,1)="$",VALUE(MID(Продажи_исходные!D232,2,255))*95,IF(LEFT(Продажи_исходные!D232,1)="€",VALUE(MID(Продажи_исходные!D232,2,255))*100,VALUE(SUBSTITUTE(SUBSTITUTE(Продажи_исходные!D232,"₽","")," ",""))))</f>
        <v>6500</v>
      </c>
      <c r="E232" t="str">
        <f>Продажи_исходные!E232</f>
        <v>C0231</v>
      </c>
      <c r="F232" t="str">
        <f>Продажи_исходные!F232</f>
        <v>P050</v>
      </c>
      <c r="G232" t="str">
        <f>IFERROR(VLOOKUP(Продажи_исходные!G232,Справочники!$G$2:$H$50,2,FALSE),Продажи_исходные!G232)</f>
        <v>Возврат</v>
      </c>
      <c r="H232" s="4">
        <f>IFERROR(VLOOKUP(B232,Товары_очищенные!$A$1:$G$1000,6,FALSE),"нет в каталоге")</f>
        <v>47000</v>
      </c>
      <c r="I232" t="str">
        <f>IFERROR(VLOOKUP(B232,Товары_очищенные!$A$1:$G$1000,3,FALSE),"нет в каталоге")</f>
        <v>Планшеты</v>
      </c>
      <c r="J232" t="str">
        <f t="shared" si="29"/>
        <v>OK</v>
      </c>
    </row>
    <row r="233">
      <c r="A233" s="8">
        <f>DATE(RIGHT(Продажи_исходные!A233,4),LEFT(Продажи_исходные!A233,2),MID(Продажи_исходные!A233,4,2))</f>
        <v>45787</v>
      </c>
      <c r="B233" t="str">
        <f>"АРТ-"&amp;LEFT(SUBSTITUTE(SUBSTITUTE(SUBSTITUTE(SUBSTITUTE(Продажи_исходные!B233,"№",""),"АРТ-",""),"АРТ_",""),"/","-"),3)</f>
        <v>АРТ-021</v>
      </c>
      <c r="C233" s="4">
        <f>IFERROR(VALUE(TRIM(SUBSTITUTE(SUBSTITUTE(SUBSTITUTE(SUBSTITUTE(Продажи_исходные!C233," шт.","")," шт",""),"шт.",""),"шт",""))),0)</f>
        <v>-1</v>
      </c>
      <c r="D233" s="4">
        <f>IF(LEFT(Продажи_исходные!D233,1)="$",VALUE(MID(Продажи_исходные!D233,2,255))*95,IF(LEFT(Продажи_исходные!D233,1)="€",VALUE(MID(Продажи_исходные!D233,2,255))*100,VALUE(SUBSTITUTE(SUBSTITUTE(Продажи_исходные!D233,"₽","")," ",""))))</f>
        <v>10450</v>
      </c>
      <c r="E233" t="str">
        <f>Продажи_исходные!E233</f>
        <v>C0232</v>
      </c>
      <c r="F233" t="str">
        <f>Продажи_исходные!F233</f>
        <v>P011</v>
      </c>
      <c r="G233" t="str">
        <f>IFERROR(VLOOKUP(Продажи_исходные!G233,Справочники!$G$2:$H$50,2,FALSE),Продажи_исходные!G233)</f>
        <v>Завершен</v>
      </c>
      <c r="H233" s="4">
        <f>IFERROR(VLOOKUP(B233,Товары_очищенные!$A$1:$G$1000,6,FALSE),"нет в каталоге")</f>
        <v>137000</v>
      </c>
      <c r="I233" t="str">
        <f>IFERROR(VLOOKUP(B233,Товары_очищенные!$A$1:$G$1000,3,FALSE),"нет в каталоге")</f>
        <v>Ноутбуки</v>
      </c>
      <c r="J233" t="str">
        <f t="shared" si="29"/>
        <v>OK</v>
      </c>
    </row>
    <row r="234">
      <c r="A234" s="8">
        <f>DATE(RIGHT(Продажи_исходные!A234,4),LEFT(Продажи_исходные!A234,2),MID(Продажи_исходные!A234,4,2))</f>
        <v>45788</v>
      </c>
      <c r="B234" t="str">
        <f>"АРТ-"&amp;LEFT(SUBSTITUTE(SUBSTITUTE(SUBSTITUTE(SUBSTITUTE(Продажи_исходные!B234,"№",""),"АРТ-",""),"АРТ_",""),"/","-"),3)</f>
        <v>АРТ-390</v>
      </c>
      <c r="C234" s="4">
        <f>IFERROR(VALUE(TRIM(SUBSTITUTE(SUBSTITUTE(SUBSTITUTE(SUBSTITUTE(Продажи_исходные!C234," шт.","")," шт",""),"шт.",""),"шт",""))),0)</f>
        <v>3</v>
      </c>
      <c r="D234" s="4">
        <f>IF(LEFT(Продажи_исходные!D234,1)="$",VALUE(MID(Продажи_исходные!D234,2,255))*95,IF(LEFT(Продажи_исходные!D234,1)="€",VALUE(MID(Продажи_исходные!D234,2,255))*100,VALUE(SUBSTITUTE(SUBSTITUTE(Продажи_исходные!D234,"₽","")," ",""))))</f>
        <v>9000</v>
      </c>
      <c r="E234" t="str">
        <f>Продажи_исходные!E234</f>
        <v>C0233</v>
      </c>
      <c r="F234" t="str">
        <f>Продажи_исходные!F234</f>
        <v>P027</v>
      </c>
      <c r="G234" t="str">
        <f>IFERROR(VLOOKUP(Продажи_исходные!G234,Справочники!$G$2:$H$50,2,FALSE),Продажи_исходные!G234)</f>
        <v>Завершен</v>
      </c>
      <c r="H234" s="4">
        <f>IFERROR(VLOOKUP(B234,Товары_очищенные!$A$1:$G$1000,6,FALSE),"нет в каталоге")</f>
        <v>80000</v>
      </c>
      <c r="I234" t="str">
        <f>IFERROR(VLOOKUP(B234,Товары_очищенные!$A$1:$G$1000,3,FALSE),"нет в каталоге")</f>
        <v>Телевизоры</v>
      </c>
      <c r="J234" t="str">
        <f t="shared" si="29"/>
        <v>OK</v>
      </c>
    </row>
    <row r="235">
      <c r="A235" s="8">
        <f>DATE(RIGHT(Продажи_исходные!A235,4),LEFT(Продажи_исходные!A235,2),MID(Продажи_исходные!A235,4,2))</f>
        <v>45788</v>
      </c>
      <c r="B235" t="str">
        <f>"АРТ-"&amp;LEFT(SUBSTITUTE(SUBSTITUTE(SUBSTITUTE(SUBSTITUTE(Продажи_исходные!B235,"№",""),"АРТ-",""),"АРТ_",""),"/","-"),3)</f>
        <v>АРТ-098</v>
      </c>
      <c r="C235" s="4">
        <f>IFERROR(VALUE(TRIM(SUBSTITUTE(SUBSTITUTE(SUBSTITUTE(SUBSTITUTE(Продажи_исходные!C235," шт.","")," шт",""),"шт.",""),"шт",""))),0)</f>
        <v>2</v>
      </c>
      <c r="D235" s="4">
        <f>IF(LEFT(Продажи_исходные!D235,1)="$",VALUE(MID(Продажи_исходные!D235,2,255))*95,IF(LEFT(Продажи_исходные!D235,1)="€",VALUE(MID(Продажи_исходные!D235,2,255))*100,VALUE(SUBSTITUTE(SUBSTITUTE(Продажи_исходные!D235,"₽","")," ",""))))</f>
        <v>8000</v>
      </c>
      <c r="E235" t="str">
        <f>Продажи_исходные!E235</f>
        <v>C0234</v>
      </c>
      <c r="F235" t="str">
        <f>Продажи_исходные!F235</f>
        <v>P018</v>
      </c>
      <c r="G235" t="str">
        <f>IFERROR(VLOOKUP(Продажи_исходные!G235,Справочники!$G$2:$H$50,2,FALSE),Продажи_исходные!G235)</f>
        <v>Завершен</v>
      </c>
      <c r="H235" s="4">
        <f>IFERROR(VLOOKUP(B235,Товары_очищенные!$A$1:$G$1000,6,FALSE),"нет в каталоге")</f>
        <v>6500</v>
      </c>
      <c r="I235" t="str">
        <f>IFERROR(VLOOKUP(B235,Товары_очищенные!$A$1:$G$1000,3,FALSE),"нет в каталоге")</f>
        <v>Аксессуары</v>
      </c>
      <c r="J235" t="str">
        <f t="shared" si="29"/>
        <v>OK</v>
      </c>
    </row>
    <row r="236">
      <c r="A236" s="8">
        <f>DATE(RIGHT(Продажи_исходные!A236,4),LEFT(Продажи_исходные!A236,2),MID(Продажи_исходные!A236,4,2))</f>
        <v>45789</v>
      </c>
      <c r="B236" t="str">
        <f>"АРТ-"&amp;LEFT(SUBSTITUTE(SUBSTITUTE(SUBSTITUTE(SUBSTITUTE(Продажи_исходные!B236,"№",""),"АРТ-",""),"АРТ_",""),"/","-"),3)</f>
        <v>АРТ-154</v>
      </c>
      <c r="C236" s="4">
        <f>IFERROR(VALUE(TRIM(SUBSTITUTE(SUBSTITUTE(SUBSTITUTE(SUBSTITUTE(Продажи_исходные!C236," шт.","")," шт",""),"шт.",""),"шт",""))),0)</f>
        <v>1</v>
      </c>
      <c r="D236" s="4">
        <f>IF(LEFT(Продажи_исходные!D236,1)="$",VALUE(MID(Продажи_исходные!D236,2,255))*95,IF(LEFT(Продажи_исходные!D236,1)="€",VALUE(MID(Продажи_исходные!D236,2,255))*100,VALUE(SUBSTITUTE(SUBSTITUTE(Продажи_исходные!D236,"₽","")," ",""))))</f>
        <v>9025</v>
      </c>
      <c r="E236" t="str">
        <f>Продажи_исходные!E236</f>
        <v>C0235</v>
      </c>
      <c r="F236" t="str">
        <f>Продажи_исходные!F236</f>
        <v>P040</v>
      </c>
      <c r="G236" t="str">
        <f>IFERROR(VLOOKUP(Продажи_исходные!G236,Справочники!$G$2:$H$50,2,FALSE),Продажи_исходные!G236)</f>
        <v>Отменен</v>
      </c>
      <c r="H236" s="4">
        <f>IFERROR(VLOOKUP(B236,Товары_очищенные!$A$1:$G$1000,6,FALSE),"нет в каталоге")</f>
        <v>16990</v>
      </c>
      <c r="I236" t="str">
        <f>IFERROR(VLOOKUP(B236,Товары_очищенные!$A$1:$G$1000,3,FALSE),"нет в каталоге")</f>
        <v>Наушники</v>
      </c>
      <c r="J236" t="str">
        <f t="shared" si="29"/>
        <v>OK</v>
      </c>
    </row>
    <row r="237">
      <c r="A237" s="8">
        <f>DATE(RIGHT(Продажи_исходные!A237,4),LEFT(Продажи_исходные!A237,2),MID(Продажи_исходные!A237,4,2))</f>
        <v>45789</v>
      </c>
      <c r="B237" t="str">
        <f>"АРТ-"&amp;LEFT(SUBSTITUTE(SUBSTITUTE(SUBSTITUTE(SUBSTITUTE(Продажи_исходные!B237,"№",""),"АРТ-",""),"АРТ_",""),"/","-"),3)</f>
        <v>АРТ-296</v>
      </c>
      <c r="C237" s="4">
        <f>IFERROR(VALUE(TRIM(SUBSTITUTE(SUBSTITUTE(SUBSTITUTE(SUBSTITUTE(Продажи_исходные!C237," шт.","")," шт",""),"шт.",""),"шт",""))),0)</f>
        <v>2</v>
      </c>
      <c r="D237" s="4">
        <f>IF(LEFT(Продажи_исходные!D237,1)="$",VALUE(MID(Продажи_исходные!D237,2,255))*95,IF(LEFT(Продажи_исходные!D237,1)="€",VALUE(MID(Продажи_исходные!D237,2,255))*100,VALUE(SUBSTITUTE(SUBSTITUTE(Продажи_исходные!D237,"₽","")," ",""))))</f>
        <v>7500</v>
      </c>
      <c r="E237" t="str">
        <f>Продажи_исходные!E237</f>
        <v>C0236</v>
      </c>
      <c r="F237" t="str">
        <f>Продажи_исходные!F237</f>
        <v>P003</v>
      </c>
      <c r="G237" t="str">
        <f>IFERROR(VLOOKUP(Продажи_исходные!G237,Справочники!$G$2:$H$50,2,FALSE),Продажи_исходные!G237)</f>
        <v>Отменен</v>
      </c>
      <c r="H237" s="4">
        <f>IFERROR(VLOOKUP(B237,Товары_очищенные!$A$1:$G$1000,6,FALSE),"нет в каталоге")</f>
        <v>33500</v>
      </c>
      <c r="I237" t="str">
        <f>IFERROR(VLOOKUP(B237,Товары_очищенные!$A$1:$G$1000,3,FALSE),"нет в каталоге")</f>
        <v>Смартфоны</v>
      </c>
      <c r="J237" t="str">
        <f t="shared" si="29"/>
        <v>OK</v>
      </c>
    </row>
    <row r="238">
      <c r="A238" s="8">
        <f>DATE(RIGHT(Продажи_исходные!A238,4),LEFT(Продажи_исходные!A238,2),MID(Продажи_исходные!A238,4,2))</f>
        <v>45790</v>
      </c>
      <c r="B238" t="str">
        <f>"АРТ-"&amp;LEFT(SUBSTITUTE(SUBSTITUTE(SUBSTITUTE(SUBSTITUTE(Продажи_исходные!B238,"№",""),"АРТ-",""),"АРТ_",""),"/","-"),3)</f>
        <v>АРТ-381</v>
      </c>
      <c r="C238" s="4">
        <f>IFERROR(VALUE(TRIM(SUBSTITUTE(SUBSTITUTE(SUBSTITUTE(SUBSTITUTE(Продажи_исходные!C238," шт.","")," шт",""),"шт.",""),"шт",""))),0)</f>
        <v>3</v>
      </c>
      <c r="D238" s="4">
        <f>IF(LEFT(Продажи_исходные!D238,1)="$",VALUE(MID(Продажи_исходные!D238,2,255))*95,IF(LEFT(Продажи_исходные!D238,1)="€",VALUE(MID(Продажи_исходные!D238,2,255))*100,VALUE(SUBSTITUTE(SUBSTITUTE(Продажи_исходные!D238,"₽","")," ",""))))</f>
        <v>7000</v>
      </c>
      <c r="E238" t="str">
        <f>Продажи_исходные!E238</f>
        <v>C0237</v>
      </c>
      <c r="F238" t="str">
        <f>Продажи_исходные!F238</f>
        <v>P025</v>
      </c>
      <c r="G238" t="str">
        <f>IFERROR(VLOOKUP(Продажи_исходные!G238,Справочники!$G$2:$H$50,2,FALSE),Продажи_исходные!G238)</f>
        <v>Завершен</v>
      </c>
      <c r="H238" s="4">
        <f>IFERROR(VLOOKUP(B238,Товары_очищенные!$A$1:$G$1000,6,FALSE),"нет в каталоге")</f>
        <v>38500</v>
      </c>
      <c r="I238" t="str">
        <f>IFERROR(VLOOKUP(B238,Товары_очищенные!$A$1:$G$1000,3,FALSE),"нет в каталоге")</f>
        <v>Планшеты</v>
      </c>
      <c r="J238" t="str">
        <f t="shared" si="29"/>
        <v>OK</v>
      </c>
    </row>
    <row r="239">
      <c r="A239" s="8">
        <f>DATE(RIGHT(Продажи_исходные!A239,4),LEFT(Продажи_исходные!A239,2),MID(Продажи_исходные!A239,4,2))</f>
        <v>45790</v>
      </c>
      <c r="B239" t="str">
        <f>"АРТ-"&amp;LEFT(SUBSTITUTE(SUBSTITUTE(SUBSTITUTE(SUBSTITUTE(Продажи_исходные!B239,"№",""),"АРТ-",""),"АРТ_",""),"/","-"),3)</f>
        <v>АРТ-338</v>
      </c>
      <c r="C239" s="4">
        <f>IFERROR(VALUE(TRIM(SUBSTITUTE(SUBSTITUTE(SUBSTITUTE(SUBSTITUTE(Продажи_исходные!C239," шт.","")," шт",""),"шт.",""),"шт",""))),0)</f>
        <v>-2</v>
      </c>
      <c r="D239" s="4">
        <f>IF(LEFT(Продажи_исходные!D239,1)="$",VALUE(MID(Продажи_исходные!D239,2,255))*95,IF(LEFT(Продажи_исходные!D239,1)="€",VALUE(MID(Продажи_исходные!D239,2,255))*100,VALUE(SUBSTITUTE(SUBSTITUTE(Продажи_исходные!D239,"₽","")," ",""))))</f>
        <v>10925</v>
      </c>
      <c r="E239" t="str">
        <f>Продажи_исходные!E239</f>
        <v>C0238</v>
      </c>
      <c r="F239" t="str">
        <f>Продажи_исходные!F239</f>
        <v>P010</v>
      </c>
      <c r="G239" t="str">
        <f>IFERROR(VLOOKUP(Продажи_исходные!G239,Справочники!$G$2:$H$50,2,FALSE),Продажи_исходные!G239)</f>
        <v>Возврат</v>
      </c>
      <c r="H239" s="4">
        <f>IFERROR(VLOOKUP(B239,Товары_очищенные!$A$1:$G$1000,6,FALSE),"нет в каталоге")</f>
        <v>62500</v>
      </c>
      <c r="I239" t="str">
        <f>IFERROR(VLOOKUP(B239,Товары_очищенные!$A$1:$G$1000,3,FALSE),"нет в каталоге")</f>
        <v>Смартфоны</v>
      </c>
      <c r="J239" t="str">
        <f t="shared" si="29"/>
        <v>OK</v>
      </c>
    </row>
    <row r="240">
      <c r="A240" s="8">
        <f>DATE(RIGHT(Продажи_исходные!A240,4),LEFT(Продажи_исходные!A240,2),MID(Продажи_исходные!A240,4,2))</f>
        <v>45791</v>
      </c>
      <c r="B240" t="str">
        <f>"АРТ-"&amp;LEFT(SUBSTITUTE(SUBSTITUTE(SUBSTITUTE(SUBSTITUTE(Продажи_исходные!B240,"№",""),"АРТ-",""),"АРТ_",""),"/","-"),3)</f>
        <v>АРТ-214</v>
      </c>
      <c r="C240" s="4">
        <f>IFERROR(VALUE(TRIM(SUBSTITUTE(SUBSTITUTE(SUBSTITUTE(SUBSTITUTE(Продажи_исходные!C240," шт.","")," шт",""),"шт.",""),"шт",""))),0)</f>
        <v>1</v>
      </c>
      <c r="D240" s="4">
        <f>IF(LEFT(Продажи_исходные!D240,1)="$",VALUE(MID(Продажи_исходные!D240,2,255))*95,IF(LEFT(Продажи_исходные!D240,1)="€",VALUE(MID(Продажи_исходные!D240,2,255))*100,VALUE(SUBSTITUTE(SUBSTITUTE(Продажи_исходные!D240,"₽","")," ",""))))</f>
        <v>9500</v>
      </c>
      <c r="E240" t="str">
        <f>Продажи_исходные!E240</f>
        <v>C0239</v>
      </c>
      <c r="F240" t="str">
        <f>Продажи_исходные!F240</f>
        <v>P033</v>
      </c>
      <c r="G240" t="str">
        <f>IFERROR(VLOOKUP(Продажи_исходные!G240,Справочники!$G$2:$H$50,2,FALSE),Продажи_исходные!G240)</f>
        <v>Завершен</v>
      </c>
      <c r="H240" s="4">
        <f>IFERROR(VLOOKUP(B240,Товары_очищенные!$A$1:$G$1000,6,FALSE),"нет в каталоге")</f>
        <v>26990</v>
      </c>
      <c r="I240" t="str">
        <f>IFERROR(VLOOKUP(B240,Товары_очищенные!$A$1:$G$1000,3,FALSE),"нет в каталоге")</f>
        <v>Планшеты</v>
      </c>
      <c r="J240" t="str">
        <f t="shared" si="29"/>
        <v>OK</v>
      </c>
    </row>
    <row r="241">
      <c r="A241" s="8">
        <f>DATE(RIGHT(Продажи_исходные!A241,4),LEFT(Продажи_исходные!A241,2),MID(Продажи_исходные!A241,4,2))</f>
        <v>45791</v>
      </c>
      <c r="B241" t="str">
        <f>"АРТ-"&amp;LEFT(SUBSTITUTE(SUBSTITUTE(SUBSTITUTE(SUBSTITUTE(Продажи_исходные!B241,"№",""),"АРТ-",""),"АРТ_",""),"/","-"),3)</f>
        <v>АРТ-178</v>
      </c>
      <c r="C241" s="4">
        <f>IFERROR(VALUE(TRIM(SUBSTITUTE(SUBSTITUTE(SUBSTITUTE(SUBSTITUTE(Продажи_исходные!C241," шт.","")," шт",""),"шт.",""),"шт",""))),0)</f>
        <v>2</v>
      </c>
      <c r="D241" s="4">
        <f>IF(LEFT(Продажи_исходные!D241,1)="$",VALUE(MID(Продажи_исходные!D241,2,255))*95,IF(LEFT(Продажи_исходные!D241,1)="€",VALUE(MID(Продажи_исходные!D241,2,255))*100,VALUE(SUBSTITUTE(SUBSTITUTE(Продажи_исходные!D241,"₽","")," ",""))))</f>
        <v>8500</v>
      </c>
      <c r="E241" t="str">
        <f>Продажи_исходные!E241</f>
        <v>C0240</v>
      </c>
      <c r="F241" t="str">
        <f>Продажи_исходные!F241</f>
        <v>P047</v>
      </c>
      <c r="G241" t="str">
        <f>IFERROR(VLOOKUP(Продажи_исходные!G241,Справочники!$G$2:$H$50,2,FALSE),Продажи_исходные!G241)</f>
        <v>Завершен</v>
      </c>
      <c r="H241" s="4">
        <f>IFERROR(VLOOKUP(B241,Товары_очищенные!$A$1:$G$1000,6,FALSE),"нет в каталоге")</f>
        <v>13990</v>
      </c>
      <c r="I241" t="str">
        <f>IFERROR(VLOOKUP(B241,Товары_очищенные!$A$1:$G$1000,3,FALSE),"нет в каталоге")</f>
        <v>Наушники</v>
      </c>
      <c r="J241" t="str">
        <f t="shared" si="29"/>
        <v>OK</v>
      </c>
    </row>
    <row r="242">
      <c r="A242" s="8">
        <f>DATE(RIGHT(Продажи_исходные!A242,4),LEFT(Продажи_исходные!A242,2),MID(Продажи_исходные!A242,4,2))</f>
        <v>45792</v>
      </c>
      <c r="B242" t="str">
        <f>"АРТ-"&amp;LEFT(SUBSTITUTE(SUBSTITUTE(SUBSTITUTE(SUBSTITUTE(Продажи_исходные!B242,"№",""),"АРТ-",""),"АРТ_",""),"/","-"),3)</f>
        <v>АРТ-071</v>
      </c>
      <c r="C242" s="4">
        <f>IFERROR(VALUE(TRIM(SUBSTITUTE(SUBSTITUTE(SUBSTITUTE(SUBSTITUTE(Продажи_исходные!C242," шт.","")," шт",""),"шт.",""),"шт",""))),0)</f>
        <v>3</v>
      </c>
      <c r="D242" s="4">
        <f>IF(LEFT(Продажи_исходные!D242,1)="$",VALUE(MID(Продажи_исходные!D242,2,255))*95,IF(LEFT(Продажи_исходные!D242,1)="€",VALUE(MID(Продажи_исходные!D242,2,255))*100,VALUE(SUBSTITUTE(SUBSTITUTE(Продажи_исходные!D242,"₽","")," ",""))))</f>
        <v>9975</v>
      </c>
      <c r="E242" t="str">
        <f>Продажи_исходные!E242</f>
        <v>C0241</v>
      </c>
      <c r="F242" t="str">
        <f>Продажи_исходные!F242</f>
        <v>P020</v>
      </c>
      <c r="G242" t="str">
        <f>IFERROR(VLOOKUP(Продажи_исходные!G242,Справочники!$G$2:$H$50,2,FALSE),Продажи_исходные!G242)</f>
        <v>Завершен</v>
      </c>
      <c r="H242" s="4">
        <f>IFERROR(VLOOKUP(B242,Товары_очищенные!$A$1:$G$1000,6,FALSE),"нет в каталоге")</f>
        <v>19000</v>
      </c>
      <c r="I242" t="str">
        <f>IFERROR(VLOOKUP(B242,Товары_очищенные!$A$1:$G$1000,3,FALSE),"нет в каталоге")</f>
        <v>Наушники</v>
      </c>
      <c r="J242" t="str">
        <f t="shared" si="29"/>
        <v>OK</v>
      </c>
    </row>
    <row r="243">
      <c r="A243" s="8">
        <f>DATE(RIGHT(Продажи_исходные!A243,4),LEFT(Продажи_исходные!A243,2),MID(Продажи_исходные!A243,4,2))</f>
        <v>45792</v>
      </c>
      <c r="B243" t="str">
        <f>"АРТ-"&amp;LEFT(SUBSTITUTE(SUBSTITUTE(SUBSTITUTE(SUBSTITUTE(Продажи_исходные!B243,"№",""),"АРТ-",""),"АРТ_",""),"/","-"),3)</f>
        <v>АРТ-439</v>
      </c>
      <c r="C243" s="4">
        <f>IFERROR(VALUE(TRIM(SUBSTITUTE(SUBSTITUTE(SUBSTITUTE(SUBSTITUTE(Продажи_исходные!C243," шт.","")," шт",""),"шт.",""),"шт",""))),0)</f>
        <v>2</v>
      </c>
      <c r="D243" s="4">
        <f>IF(LEFT(Продажи_исходные!D243,1)="$",VALUE(MID(Продажи_исходные!D243,2,255))*95,IF(LEFT(Продажи_исходные!D243,1)="€",VALUE(MID(Продажи_исходные!D243,2,255))*100,VALUE(SUBSTITUTE(SUBSTITUTE(Продажи_исходные!D243,"₽","")," ",""))))</f>
        <v>8500</v>
      </c>
      <c r="E243" t="str">
        <f>Продажи_исходные!E243</f>
        <v>C0242</v>
      </c>
      <c r="F243" t="str">
        <f>Продажи_исходные!F243</f>
        <v>P002</v>
      </c>
      <c r="G243" t="str">
        <f>IFERROR(VLOOKUP(Продажи_исходные!G243,Справочники!$G$2:$H$50,2,FALSE),Продажи_исходные!G243)</f>
        <v>Отменен</v>
      </c>
      <c r="H243" s="4">
        <f>IFERROR(VLOOKUP(B243,Товары_очищенные!$A$1:$G$1000,6,FALSE),"нет в каталоге")</f>
        <v>29990</v>
      </c>
      <c r="I243" t="str">
        <f>IFERROR(VLOOKUP(B243,Товары_очищенные!$A$1:$G$1000,3,FALSE),"нет в каталоге")</f>
        <v>Планшеты</v>
      </c>
      <c r="J243" t="str">
        <f t="shared" si="29"/>
        <v>OK</v>
      </c>
    </row>
    <row r="244">
      <c r="A244" s="8">
        <f>DATE(RIGHT(Продажи_исходные!A244,4),LEFT(Продажи_исходные!A244,2),MID(Продажи_исходные!A244,4,2))</f>
        <v>45793</v>
      </c>
      <c r="B244" t="str">
        <f>"АРТ-"&amp;LEFT(SUBSTITUTE(SUBSTITUTE(SUBSTITUTE(SUBSTITUTE(Продажи_исходные!B244,"№",""),"АРТ-",""),"АРТ_",""),"/","-"),3)</f>
        <v>АРТ-309</v>
      </c>
      <c r="C244" s="4">
        <f>IFERROR(VALUE(TRIM(SUBSTITUTE(SUBSTITUTE(SUBSTITUTE(SUBSTITUTE(Продажи_исходные!C244," шт.","")," шт",""),"шт.",""),"шт",""))),0)</f>
        <v>1</v>
      </c>
      <c r="D244" s="4">
        <f>IF(LEFT(Продажи_исходные!D244,1)="$",VALUE(MID(Продажи_исходные!D244,2,255))*95,IF(LEFT(Продажи_исходные!D244,1)="€",VALUE(MID(Продажи_исходные!D244,2,255))*100,VALUE(SUBSTITUTE(SUBSTITUTE(Продажи_исходные!D244,"₽","")," ",""))))</f>
        <v>7800</v>
      </c>
      <c r="E244" t="str">
        <f>Продажи_исходные!E244</f>
        <v>C0243</v>
      </c>
      <c r="F244" t="str">
        <f>Продажи_исходные!F244</f>
        <v>P038</v>
      </c>
      <c r="G244" t="str">
        <f>IFERROR(VLOOKUP(Продажи_исходные!G244,Справочники!$G$2:$H$50,2,FALSE),Продажи_исходные!G244)</f>
        <v>Отменен</v>
      </c>
      <c r="H244" s="4">
        <f>IFERROR(VLOOKUP(B244,Товары_очищенные!$A$1:$G$1000,6,FALSE),"нет в каталоге")</f>
        <v>9800</v>
      </c>
      <c r="I244" t="str">
        <f>IFERROR(VLOOKUP(B244,Товары_очищенные!$A$1:$G$1000,3,FALSE),"нет в каталоге")</f>
        <v>Аксессуары</v>
      </c>
      <c r="J244" t="str">
        <f t="shared" si="29"/>
        <v>OK</v>
      </c>
    </row>
    <row r="245">
      <c r="A245" s="8">
        <f>DATE(RIGHT(Продажи_исходные!A245,4),LEFT(Продажи_исходные!A245,2),MID(Продажи_исходные!A245,4,2))</f>
        <v>45793</v>
      </c>
      <c r="B245" t="str">
        <f>"АРТ-"&amp;LEFT(SUBSTITUTE(SUBSTITUTE(SUBSTITUTE(SUBSTITUTE(Продажи_исходные!B245,"№",""),"АРТ-",""),"АРТ_",""),"/","-"),3)</f>
        <v>АРТ-423</v>
      </c>
      <c r="C245" s="4">
        <f>IFERROR(VALUE(TRIM(SUBSTITUTE(SUBSTITUTE(SUBSTITUTE(SUBSTITUTE(Продажи_исходные!C245," шт.","")," шт",""),"шт.",""),"шт",""))),0)</f>
        <v>-3</v>
      </c>
      <c r="D245" s="4">
        <f>IF(LEFT(Продажи_исходные!D245,1)="$",VALUE(MID(Продажи_исходные!D245,2,255))*95,IF(LEFT(Продажи_исходные!D245,1)="€",VALUE(MID(Продажи_исходные!D245,2,255))*100,VALUE(SUBSTITUTE(SUBSTITUTE(Продажи_исходные!D245,"₽","")," ",""))))</f>
        <v>11400</v>
      </c>
      <c r="E245" t="str">
        <f>Продажи_исходные!E245</f>
        <v>C0244</v>
      </c>
      <c r="F245" t="str">
        <f>Продажи_исходные!F245</f>
        <v>P016</v>
      </c>
      <c r="G245" t="str">
        <f>IFERROR(VLOOKUP(Продажи_исходные!G245,Справочники!$G$2:$H$50,2,FALSE),Продажи_исходные!G245)</f>
        <v>Возврат</v>
      </c>
      <c r="H245" s="4">
        <f>IFERROR(VLOOKUP(B245,Товары_очищенные!$A$1:$G$1000,6,FALSE),"нет в каталоге")</f>
        <v>129500</v>
      </c>
      <c r="I245" t="str">
        <f>IFERROR(VLOOKUP(B245,Товары_очищенные!$A$1:$G$1000,3,FALSE),"нет в каталоге")</f>
        <v>Ноутбуки</v>
      </c>
      <c r="J245" t="str">
        <f t="shared" si="29"/>
        <v>OK</v>
      </c>
    </row>
    <row r="246">
      <c r="A246" s="8">
        <f>DATE(RIGHT(Продажи_исходные!A246,4),LEFT(Продажи_исходные!A246,2),MID(Продажи_исходные!A246,4,2))</f>
        <v>45794</v>
      </c>
      <c r="B246" t="str">
        <f>"АРТ-"&amp;LEFT(SUBSTITUTE(SUBSTITUTE(SUBSTITUTE(SUBSTITUTE(Продажи_исходные!B246,"№",""),"АРТ-",""),"АРТ_",""),"/","-"),3)</f>
        <v>АРТ-276</v>
      </c>
      <c r="C246" s="4">
        <f>IFERROR(VALUE(TRIM(SUBSTITUTE(SUBSTITUTE(SUBSTITUTE(SUBSTITUTE(Продажи_исходные!C246," шт.","")," шт",""),"шт.",""),"шт",""))),0)</f>
        <v>2</v>
      </c>
      <c r="D246" s="4">
        <f>IF(LEFT(Продажи_исходные!D246,1)="$",VALUE(MID(Продажи_исходные!D246,2,255))*95,IF(LEFT(Продажи_исходные!D246,1)="€",VALUE(MID(Продажи_исходные!D246,2,255))*100,VALUE(SUBSTITUTE(SUBSTITUTE(Продажи_исходные!D246,"₽","")," ",""))))</f>
        <v>10000</v>
      </c>
      <c r="E246" t="str">
        <f>Продажи_исходные!E246</f>
        <v>C0245</v>
      </c>
      <c r="F246" t="str">
        <f>Продажи_исходные!F246</f>
        <v>P029</v>
      </c>
      <c r="G246" t="str">
        <f>IFERROR(VLOOKUP(Продажи_исходные!G246,Справочники!$G$2:$H$50,2,FALSE),Продажи_исходные!G246)</f>
        <v>Завершен</v>
      </c>
      <c r="H246" s="4">
        <f>IFERROR(VLOOKUP(B246,Товары_очищенные!$A$1:$G$1000,6,FALSE),"нет в каталоге")</f>
        <v>50500</v>
      </c>
      <c r="I246" t="str">
        <f>IFERROR(VLOOKUP(B246,Товары_очищенные!$A$1:$G$1000,3,FALSE),"нет в каталоге")</f>
        <v>Планшеты</v>
      </c>
      <c r="J246" t="str">
        <f t="shared" si="29"/>
        <v>OK</v>
      </c>
    </row>
    <row r="247">
      <c r="A247" s="8">
        <f>DATE(RIGHT(Продажи_исходные!A247,4),LEFT(Продажи_исходные!A247,2),MID(Продажи_исходные!A247,4,2))</f>
        <v>45794</v>
      </c>
      <c r="B247" t="str">
        <f>"АРТ-"&amp;LEFT(SUBSTITUTE(SUBSTITUTE(SUBSTITUTE(SUBSTITUTE(Продажи_исходные!B247,"№",""),"АРТ-",""),"АРТ_",""),"/","-"),3)</f>
        <v>АРТ-113</v>
      </c>
      <c r="C247" s="4">
        <f>IFERROR(VALUE(TRIM(SUBSTITUTE(SUBSTITUTE(SUBSTITUTE(SUBSTITUTE(Продажи_исходные!C247," шт.","")," шт",""),"шт.",""),"шт",""))),0)</f>
        <v>1</v>
      </c>
      <c r="D247" s="4">
        <f>IF(LEFT(Продажи_исходные!D247,1)="$",VALUE(MID(Продажи_исходные!D247,2,255))*95,IF(LEFT(Продажи_исходные!D247,1)="€",VALUE(MID(Продажи_исходные!D247,2,255))*100,VALUE(SUBSTITUTE(SUBSTITUTE(Продажи_исходные!D247,"₽","")," ",""))))</f>
        <v>9200</v>
      </c>
      <c r="E247" t="str">
        <f>Продажи_исходные!E247</f>
        <v>C0246</v>
      </c>
      <c r="F247" t="str">
        <f>Продажи_исходные!F247</f>
        <v>P035</v>
      </c>
      <c r="G247" t="str">
        <f>IFERROR(VLOOKUP(Продажи_исходные!G247,Справочники!$G$2:$H$50,2,FALSE),Продажи_исходные!G247)</f>
        <v>Завершен</v>
      </c>
      <c r="H247" s="4">
        <f>IFERROR(VLOOKUP(B247,Товары_очищенные!$A$1:$G$1000,6,FALSE),"нет в каталоге")</f>
        <v>33500</v>
      </c>
      <c r="I247" t="str">
        <f>IFERROR(VLOOKUP(B247,Товары_очищенные!$A$1:$G$1000,3,FALSE),"нет в каталоге")</f>
        <v>Наушники</v>
      </c>
      <c r="J247" t="str">
        <f t="shared" si="29"/>
        <v>OK</v>
      </c>
    </row>
    <row r="248">
      <c r="A248" s="8">
        <f>DATE(RIGHT(Продажи_исходные!A248,4),LEFT(Продажи_исходные!A248,2),MID(Продажи_исходные!A248,4,2))</f>
        <v>45795</v>
      </c>
      <c r="B248" t="str">
        <f>"АРТ-"&amp;LEFT(SUBSTITUTE(SUBSTITUTE(SUBSTITUTE(SUBSTITUTE(Продажи_исходные!B248,"№",""),"АРТ-",""),"АРТ_",""),"/","-"),3)</f>
        <v>АРТ-162</v>
      </c>
      <c r="C248" s="4">
        <f>IFERROR(VALUE(TRIM(SUBSTITUTE(SUBSTITUTE(SUBSTITUTE(SUBSTITUTE(Продажи_исходные!C248," шт.","")," шт",""),"шт.",""),"шт",""))),0)</f>
        <v>3</v>
      </c>
      <c r="D248" s="4">
        <f>IF(LEFT(Продажи_исходные!D248,1)="$",VALUE(MID(Продажи_исходные!D248,2,255))*95,IF(LEFT(Продажи_исходные!D248,1)="€",VALUE(MID(Продажи_исходные!D248,2,255))*100,VALUE(SUBSTITUTE(SUBSTITUTE(Продажи_исходные!D248,"₽","")," ",""))))</f>
        <v>8550</v>
      </c>
      <c r="E248" t="str">
        <f>Продажи_исходные!E248</f>
        <v>C0247</v>
      </c>
      <c r="F248" t="str">
        <f>Продажи_исходные!F248</f>
        <v>P046</v>
      </c>
      <c r="G248" t="str">
        <f>IFERROR(VLOOKUP(Продажи_исходные!G248,Справочники!$G$2:$H$50,2,FALSE),Продажи_исходные!G248)</f>
        <v>Завершен</v>
      </c>
      <c r="H248" s="4">
        <f>IFERROR(VLOOKUP(B248,Товары_очищенные!$A$1:$G$1000,6,FALSE),"нет в каталоге")</f>
        <v>9500</v>
      </c>
      <c r="I248" t="str">
        <f>IFERROR(VLOOKUP(B248,Товары_очищенные!$A$1:$G$1000,3,FALSE),"нет в каталоге")</f>
        <v>Аксессуары</v>
      </c>
      <c r="J248" t="str">
        <f t="shared" si="29"/>
        <v>OK</v>
      </c>
    </row>
    <row r="249">
      <c r="A249" s="8">
        <f>DATE(RIGHT(Продажи_исходные!A249,4),LEFT(Продажи_исходные!A249,2),MID(Продажи_исходные!A249,4,2))</f>
        <v>45795</v>
      </c>
      <c r="B249" t="str">
        <f>"АРТ-"&amp;LEFT(SUBSTITUTE(SUBSTITUTE(SUBSTITUTE(SUBSTITUTE(Продажи_исходные!B249,"№",""),"АРТ-",""),"АРТ_",""),"/","-"),3)</f>
        <v>АРТ-502</v>
      </c>
      <c r="C249" s="4">
        <f>IFERROR(VALUE(TRIM(SUBSTITUTE(SUBSTITUTE(SUBSTITUTE(SUBSTITUTE(Продажи_исходные!C249," шт.","")," шт",""),"шт.",""),"шт",""))),0)</f>
        <v>2</v>
      </c>
      <c r="D249" s="4">
        <f>IF(LEFT(Продажи_исходные!D249,1)="$",VALUE(MID(Продажи_исходные!D249,2,255))*95,IF(LEFT(Продажи_исходные!D249,1)="€",VALUE(MID(Продажи_исходные!D249,2,255))*100,VALUE(SUBSTITUTE(SUBSTITUTE(Продажи_исходные!D249,"₽","")," ",""))))</f>
        <v>7000</v>
      </c>
      <c r="E249" t="str">
        <f>Продажи_исходные!E249</f>
        <v>C0248</v>
      </c>
      <c r="F249" t="str">
        <f>Продажи_исходные!F249</f>
        <v>P022</v>
      </c>
      <c r="G249" t="str">
        <f>IFERROR(VLOOKUP(Продажи_исходные!G249,Справочники!$G$2:$H$50,2,FALSE),Продажи_исходные!G249)</f>
        <v>Отменен</v>
      </c>
      <c r="H249" s="4" t="str">
        <f>IFERROR(VLOOKUP(B249,Товары_очищенные!$A$1:$G$1000,6,FALSE),"нет в каталоге")</f>
        <v xml:space="preserve">нет в каталоге</v>
      </c>
      <c r="I249" t="str">
        <f>IFERROR(VLOOKUP(B249,Товары_очищенные!$A$1:$G$1000,3,FALSE),"нет в каталоге")</f>
        <v xml:space="preserve">нет в каталоге</v>
      </c>
      <c r="J249" t="str">
        <f t="shared" si="29"/>
        <v>OK</v>
      </c>
    </row>
    <row r="250">
      <c r="A250" s="8">
        <f>DATE(RIGHT(Продажи_исходные!A250,4),LEFT(Продажи_исходные!A250,2),MID(Продажи_исходные!A250,4,2))</f>
        <v>45796</v>
      </c>
      <c r="B250" t="str">
        <f>"АРТ-"&amp;LEFT(SUBSTITUTE(SUBSTITUTE(SUBSTITUTE(SUBSTITUTE(Продажи_исходные!B250,"№",""),"АРТ-",""),"АРТ_",""),"/","-"),3)</f>
        <v>АРТ-285</v>
      </c>
      <c r="C250" s="4">
        <f>IFERROR(VALUE(TRIM(SUBSTITUTE(SUBSTITUTE(SUBSTITUTE(SUBSTITUTE(Продажи_исходные!C250," шт.","")," шт",""),"шт.",""),"шт",""))),0)</f>
        <v>1</v>
      </c>
      <c r="D250" s="4">
        <f>IF(LEFT(Продажи_исходные!D250,1)="$",VALUE(MID(Продажи_исходные!D250,2,255))*95,IF(LEFT(Продажи_исходные!D250,1)="€",VALUE(MID(Продажи_исходные!D250,2,255))*100,VALUE(SUBSTITUTE(SUBSTITUTE(Продажи_исходные!D250,"₽","")," ",""))))</f>
        <v>6500</v>
      </c>
      <c r="E250" t="str">
        <f>Продажи_исходные!E250</f>
        <v>C0249</v>
      </c>
      <c r="F250" t="str">
        <f>Продажи_исходные!F250</f>
        <v>P043</v>
      </c>
      <c r="G250" t="str">
        <f>IFERROR(VLOOKUP(Продажи_исходные!G250,Справочники!$G$2:$H$50,2,FALSE),Продажи_исходные!G250)</f>
        <v>Отменен</v>
      </c>
      <c r="H250" s="4">
        <f>IFERROR(VLOOKUP(B250,Товары_очищенные!$A$1:$G$1000,6,FALSE),"нет в каталоге")</f>
        <v>87500</v>
      </c>
      <c r="I250" t="str">
        <f>IFERROR(VLOOKUP(B250,Товары_очищенные!$A$1:$G$1000,3,FALSE),"нет в каталоге")</f>
        <v>Мониторы</v>
      </c>
      <c r="J250" t="str">
        <f t="shared" si="29"/>
        <v>OK</v>
      </c>
    </row>
    <row r="251">
      <c r="A251" s="8">
        <f>DATE(RIGHT(Продажи_исходные!A251,4),LEFT(Продажи_исходные!A251,2),MID(Продажи_исходные!A251,4,2))</f>
        <v>45796</v>
      </c>
      <c r="B251" t="str">
        <f>"АРТ-"&amp;LEFT(SUBSTITUTE(SUBSTITUTE(SUBSTITUTE(SUBSTITUTE(Продажи_исходные!B251,"№",""),"АРТ-",""),"АРТ_",""),"/","-"),3)</f>
        <v>АРТ-241</v>
      </c>
      <c r="C251" s="4">
        <f>IFERROR(VALUE(TRIM(SUBSTITUTE(SUBSTITUTE(SUBSTITUTE(SUBSTITUTE(Продажи_исходные!C251," шт.","")," шт",""),"шт.",""),"шт",""))),0)</f>
        <v>-1</v>
      </c>
      <c r="D251" s="4">
        <f>IF(LEFT(Продажи_исходные!D251,1)="$",VALUE(MID(Продажи_исходные!D251,2,255))*95,IF(LEFT(Продажи_исходные!D251,1)="€",VALUE(MID(Продажи_исходные!D251,2,255))*100,VALUE(SUBSTITUTE(SUBSTITUTE(Продажи_исходные!D251,"₽","")," ",""))))</f>
        <v>10450</v>
      </c>
      <c r="E251" t="str">
        <f>Продажи_исходные!E251</f>
        <v>C0250</v>
      </c>
      <c r="F251" t="str">
        <f>Продажи_исходные!F251</f>
        <v>P030</v>
      </c>
      <c r="G251" t="str">
        <f>IFERROR(VLOOKUP(Продажи_исходные!G251,Справочники!$G$2:$H$50,2,FALSE),Продажи_исходные!G251)</f>
        <v>Завершен</v>
      </c>
      <c r="H251" s="4">
        <f>IFERROR(VLOOKUP(B251,Товары_очищенные!$A$1:$G$1000,6,FALSE),"нет в каталоге")</f>
        <v>59990</v>
      </c>
      <c r="I251" t="str">
        <f>IFERROR(VLOOKUP(B251,Товары_очищенные!$A$1:$G$1000,3,FALSE),"нет в каталоге")</f>
        <v>Наушники</v>
      </c>
      <c r="J251" t="str">
        <f t="shared" si="29"/>
        <v>OK</v>
      </c>
    </row>
    <row r="252">
      <c r="A252" s="8">
        <f>DATE(RIGHT(Продажи_исходные!A252,4),LEFT(Продажи_исходные!A252,2),MID(Продажи_исходные!A252,4,2))</f>
        <v>45797</v>
      </c>
      <c r="B252" t="str">
        <f>"АРТ-"&amp;LEFT(SUBSTITUTE(SUBSTITUTE(SUBSTITUTE(SUBSTITUTE(Продажи_исходные!B252,"№",""),"АРТ-",""),"АРТ_",""),"/","-"),3)</f>
        <v>АРТ-361</v>
      </c>
      <c r="C252" s="4">
        <f>IFERROR(VALUE(TRIM(SUBSTITUTE(SUBSTITUTE(SUBSTITUTE(SUBSTITUTE(Продажи_исходные!C252," шт.","")," шт",""),"шт.",""),"шт",""))),0)</f>
        <v>3</v>
      </c>
      <c r="D252" s="4">
        <f>IF(LEFT(Продажи_исходные!D252,1)="$",VALUE(MID(Продажи_исходные!D252,2,255))*95,IF(LEFT(Продажи_исходные!D252,1)="€",VALUE(MID(Продажи_исходные!D252,2,255))*100,VALUE(SUBSTITUTE(SUBSTITUTE(Продажи_исходные!D252,"₽","")," ",""))))</f>
        <v>9000</v>
      </c>
      <c r="E252" t="str">
        <f>Продажи_исходные!E252</f>
        <v>C0251</v>
      </c>
      <c r="F252" t="str">
        <f>Продажи_исходные!F252</f>
        <v>P012</v>
      </c>
      <c r="G252" t="str">
        <f>IFERROR(VLOOKUP(Продажи_исходные!G252,Справочники!$G$2:$H$50,2,FALSE),Продажи_исходные!G252)</f>
        <v>Возврат</v>
      </c>
      <c r="H252" s="4">
        <f>IFERROR(VLOOKUP(B252,Товары_очищенные!$A$1:$G$1000,6,FALSE),"нет в каталоге")</f>
        <v>145990</v>
      </c>
      <c r="I252" t="str">
        <f>IFERROR(VLOOKUP(B252,Товары_очищенные!$A$1:$G$1000,3,FALSE),"нет в каталоге")</f>
        <v>Ноутбуки</v>
      </c>
      <c r="J252" t="str">
        <f t="shared" si="29"/>
        <v>OK</v>
      </c>
    </row>
    <row r="253">
      <c r="A253" s="8">
        <f>DATE(RIGHT(Продажи_исходные!A253,4),LEFT(Продажи_исходные!A253,2),MID(Продажи_исходные!A253,4,2))</f>
        <v>45797</v>
      </c>
      <c r="B253" t="str">
        <f>"АРТ-"&amp;LEFT(SUBSTITUTE(SUBSTITUTE(SUBSTITUTE(SUBSTITUTE(Продажи_исходные!B253,"№",""),"АРТ-",""),"АРТ_",""),"/","-"),3)</f>
        <v>АРТ-075</v>
      </c>
      <c r="C253" s="4">
        <f>IFERROR(VALUE(TRIM(SUBSTITUTE(SUBSTITUTE(SUBSTITUTE(SUBSTITUTE(Продажи_исходные!C253," шт.","")," шт",""),"шт.",""),"шт",""))),0)</f>
        <v>2</v>
      </c>
      <c r="D253" s="4">
        <f>IF(LEFT(Продажи_исходные!D253,1)="$",VALUE(MID(Продажи_исходные!D253,2,255))*95,IF(LEFT(Продажи_исходные!D253,1)="€",VALUE(MID(Продажи_исходные!D253,2,255))*100,VALUE(SUBSTITUTE(SUBSTITUTE(Продажи_исходные!D253,"₽","")," ",""))))</f>
        <v>8000</v>
      </c>
      <c r="E253" t="str">
        <f>Продажи_исходные!E253</f>
        <v>C0252</v>
      </c>
      <c r="F253" t="str">
        <f>Продажи_исходные!F253</f>
        <v>P007</v>
      </c>
      <c r="G253" t="str">
        <f>IFERROR(VLOOKUP(Продажи_исходные!G253,Справочники!$G$2:$H$50,2,FALSE),Продажи_исходные!G253)</f>
        <v>Завершен</v>
      </c>
      <c r="H253" s="4">
        <f>IFERROR(VLOOKUP(B253,Товары_очищенные!$A$1:$G$1000,6,FALSE),"нет в каталоге")</f>
        <v>82000</v>
      </c>
      <c r="I253" t="str">
        <f>IFERROR(VLOOKUP(B253,Товары_очищенные!$A$1:$G$1000,3,FALSE),"нет в каталоге")</f>
        <v>Мониторы</v>
      </c>
      <c r="J253" t="str">
        <f t="shared" si="29"/>
        <v>OK</v>
      </c>
    </row>
    <row r="254">
      <c r="A254" s="8">
        <f>DATE(RIGHT(Продажи_исходные!A254,4),LEFT(Продажи_исходные!A254,2),MID(Продажи_исходные!A254,4,2))</f>
        <v>45798</v>
      </c>
      <c r="B254" t="str">
        <f>"АРТ-"&amp;LEFT(SUBSTITUTE(SUBSTITUTE(SUBSTITUTE(SUBSTITUTE(Продажи_исходные!B254,"№",""),"АРТ-",""),"АРТ_",""),"/","-"),3)</f>
        <v>АРТ-004</v>
      </c>
      <c r="C254" s="4">
        <f>IFERROR(VALUE(TRIM(SUBSTITUTE(SUBSTITUTE(SUBSTITUTE(SUBSTITUTE(Продажи_исходные!C254," шт.","")," шт",""),"шт.",""),"шт",""))),0)</f>
        <v>1</v>
      </c>
      <c r="D254" s="4">
        <f>IF(LEFT(Продажи_исходные!D254,1)="$",VALUE(MID(Продажи_исходные!D254,2,255))*95,IF(LEFT(Продажи_исходные!D254,1)="€",VALUE(MID(Продажи_исходные!D254,2,255))*100,VALUE(SUBSTITUTE(SUBSTITUTE(Продажи_исходные!D254,"₽","")," ",""))))</f>
        <v>9025</v>
      </c>
      <c r="E254" t="str">
        <f>Продажи_исходные!E254</f>
        <v>C0253</v>
      </c>
      <c r="F254" t="str">
        <f>Продажи_исходные!F254</f>
        <v>P023</v>
      </c>
      <c r="G254" t="str">
        <f>IFERROR(VLOOKUP(Продажи_исходные!G254,Справочники!$G$2:$H$50,2,FALSE),Продажи_исходные!G254)</f>
        <v>Завершен</v>
      </c>
      <c r="H254" s="4">
        <f>IFERROR(VLOOKUP(B254,Товары_очищенные!$A$1:$G$1000,6,FALSE),"нет в каталоге")</f>
        <v>129999.99000000001</v>
      </c>
      <c r="I254" t="str">
        <f>IFERROR(VLOOKUP(B254,Товары_очищенные!$A$1:$G$1000,3,FALSE),"нет в каталоге")</f>
        <v>Ноутбуки</v>
      </c>
      <c r="J254" t="str">
        <f t="shared" si="29"/>
        <v>OK</v>
      </c>
    </row>
    <row r="255">
      <c r="A255" s="8">
        <f>DATE(RIGHT(Продажи_исходные!A255,4),LEFT(Продажи_исходные!A255,2),MID(Продажи_исходные!A255,4,2))</f>
        <v>45798</v>
      </c>
      <c r="B255" t="str">
        <f>"АРТ-"&amp;LEFT(SUBSTITUTE(SUBSTITUTE(SUBSTITUTE(SUBSTITUTE(Продажи_исходные!B255,"№",""),"АРТ-",""),"АРТ_",""),"/","-"),3)</f>
        <v>АРТ-483</v>
      </c>
      <c r="C255" s="4">
        <f>IFERROR(VALUE(TRIM(SUBSTITUTE(SUBSTITUTE(SUBSTITUTE(SUBSTITUTE(Продажи_исходные!C255," шт.","")," шт",""),"шт.",""),"шт",""))),0)</f>
        <v>2</v>
      </c>
      <c r="D255" s="4">
        <f>IF(LEFT(Продажи_исходные!D255,1)="$",VALUE(MID(Продажи_исходные!D255,2,255))*95,IF(LEFT(Продажи_исходные!D255,1)="€",VALUE(MID(Продажи_исходные!D255,2,255))*100,VALUE(SUBSTITUTE(SUBSTITUTE(Продажи_исходные!D255,"₽","")," ",""))))</f>
        <v>7500</v>
      </c>
      <c r="E255" t="str">
        <f>Продажи_исходные!E255</f>
        <v>C0254</v>
      </c>
      <c r="F255" t="str">
        <f>Продажи_исходные!F255</f>
        <v>P045</v>
      </c>
      <c r="G255" t="str">
        <f>IFERROR(VLOOKUP(Продажи_исходные!G255,Справочники!$G$2:$H$50,2,FALSE),Продажи_исходные!G255)</f>
        <v>Завершен</v>
      </c>
      <c r="H255" s="4">
        <f>IFERROR(VLOOKUP(B255,Товары_очищенные!$A$1:$G$1000,6,FALSE),"нет в каталоге")</f>
        <v>41500</v>
      </c>
      <c r="I255" t="str">
        <f>IFERROR(VLOOKUP(B255,Товары_очищенные!$A$1:$G$1000,3,FALSE),"нет в каталоге")</f>
        <v>Планшеты</v>
      </c>
      <c r="J255" t="str">
        <f t="shared" si="29"/>
        <v>OK</v>
      </c>
    </row>
    <row r="256">
      <c r="A256" s="8">
        <f>DATE(RIGHT(Продажи_исходные!A256,4),LEFT(Продажи_исходные!A256,2),MID(Продажи_исходные!A256,4,2))</f>
        <v>45799</v>
      </c>
      <c r="B256" t="str">
        <f>"АРТ-"&amp;LEFT(SUBSTITUTE(SUBSTITUTE(SUBSTITUTE(SUBSTITUTE(Продажи_исходные!B256,"№",""),"АРТ-",""),"АРТ_",""),"/","-"),3)</f>
        <v>АРТ-346</v>
      </c>
      <c r="C256" s="4">
        <f>IFERROR(VALUE(TRIM(SUBSTITUTE(SUBSTITUTE(SUBSTITUTE(SUBSTITUTE(Продажи_исходные!C256," шт.","")," шт",""),"шт.",""),"шт",""))),0)</f>
        <v>3</v>
      </c>
      <c r="D256" s="4">
        <f>IF(LEFT(Продажи_исходные!D256,1)="$",VALUE(MID(Продажи_исходные!D256,2,255))*95,IF(LEFT(Продажи_исходные!D256,1)="€",VALUE(MID(Продажи_исходные!D256,2,255))*100,VALUE(SUBSTITUTE(SUBSTITUTE(Продажи_исходные!D256,"₽","")," ",""))))</f>
        <v>7000</v>
      </c>
      <c r="E256" t="str">
        <f>Продажи_исходные!E256</f>
        <v>C0255</v>
      </c>
      <c r="F256" t="str">
        <f>Продажи_исходные!F256</f>
        <v>P008</v>
      </c>
      <c r="G256" t="str">
        <f>IFERROR(VLOOKUP(Продажи_исходные!G256,Справочники!$G$2:$H$50,2,FALSE),Продажи_исходные!G256)</f>
        <v>Отменен</v>
      </c>
      <c r="H256" s="4">
        <f>IFERROR(VLOOKUP(B256,Товары_очищенные!$A$1:$G$1000,6,FALSE),"нет в каталоге")</f>
        <v>19990</v>
      </c>
      <c r="I256" t="str">
        <f>IFERROR(VLOOKUP(B256,Товары_очищенные!$A$1:$G$1000,3,FALSE),"нет в каталоге")</f>
        <v>Наушники</v>
      </c>
      <c r="J256" t="str">
        <f t="shared" si="29"/>
        <v>OK</v>
      </c>
    </row>
    <row r="257">
      <c r="A257" s="8">
        <f>DATE(RIGHT(Продажи_исходные!A257,4),LEFT(Продажи_исходные!A257,2),MID(Продажи_исходные!A257,4,2))</f>
        <v>45799</v>
      </c>
      <c r="B257" t="str">
        <f>"АРТ-"&amp;LEFT(SUBSTITUTE(SUBSTITUTE(SUBSTITUTE(SUBSTITUTE(Продажи_исходные!B257,"№",""),"АРТ-",""),"АРТ_",""),"/","-"),3)</f>
        <v>АРТ-374</v>
      </c>
      <c r="C257" s="4">
        <f>IFERROR(VALUE(TRIM(SUBSTITUTE(SUBSTITUTE(SUBSTITUTE(SUBSTITUTE(Продажи_исходные!C257," шт.","")," шт",""),"шт.",""),"шт",""))),0)</f>
        <v>-2</v>
      </c>
      <c r="D257" s="4">
        <f>IF(LEFT(Продажи_исходные!D257,1)="$",VALUE(MID(Продажи_исходные!D257,2,255))*95,IF(LEFT(Продажи_исходные!D257,1)="€",VALUE(MID(Продажи_исходные!D257,2,255))*100,VALUE(SUBSTITUTE(SUBSTITUTE(Продажи_исходные!D257,"₽","")," ",""))))</f>
        <v>10925</v>
      </c>
      <c r="E257" t="str">
        <f>Продажи_исходные!E257</f>
        <v>C0256</v>
      </c>
      <c r="F257" t="str">
        <f>Продажи_исходные!F257</f>
        <v>P031</v>
      </c>
      <c r="G257" t="str">
        <f>IFERROR(VLOOKUP(Продажи_исходные!G257,Справочники!$G$2:$H$50,2,FALSE),Продажи_исходные!G257)</f>
        <v>Отменен</v>
      </c>
      <c r="H257" s="4">
        <f>IFERROR(VLOOKUP(B257,Товары_очищенные!$A$1:$G$1000,6,FALSE),"нет в каталоге")</f>
        <v>13500</v>
      </c>
      <c r="I257" t="str">
        <f>IFERROR(VLOOKUP(B257,Товары_очищенные!$A$1:$G$1000,3,FALSE),"нет в каталоге")</f>
        <v>Аксессуары</v>
      </c>
      <c r="J257" t="str">
        <f t="shared" si="29"/>
        <v>OK</v>
      </c>
    </row>
    <row r="258">
      <c r="A258" s="8">
        <f>DATE(RIGHT(Продажи_исходные!A258,4),LEFT(Продажи_исходные!A258,2),MID(Продажи_исходные!A258,4,2))</f>
        <v>45800</v>
      </c>
      <c r="B258" t="str">
        <f>"АРТ-"&amp;LEFT(SUBSTITUTE(SUBSTITUTE(SUBSTITUTE(SUBSTITUTE(Продажи_исходные!B258,"№",""),"АРТ-",""),"АРТ_",""),"/","-"),3)</f>
        <v>АРТ-236</v>
      </c>
      <c r="C258" s="4">
        <f>IFERROR(VALUE(TRIM(SUBSTITUTE(SUBSTITUTE(SUBSTITUTE(SUBSTITUTE(Продажи_исходные!C258," шт.","")," шт",""),"шт.",""),"шт",""))),0)</f>
        <v>1</v>
      </c>
      <c r="D258" s="4">
        <f>IF(LEFT(Продажи_исходные!D258,1)="$",VALUE(MID(Продажи_исходные!D258,2,255))*95,IF(LEFT(Продажи_исходные!D258,1)="€",VALUE(MID(Продажи_исходные!D258,2,255))*100,VALUE(SUBSTITUTE(SUBSTITUTE(Продажи_исходные!D258,"₽","")," ",""))))</f>
        <v>9500</v>
      </c>
      <c r="E258" t="str">
        <f>Продажи_исходные!E258</f>
        <v>C0257</v>
      </c>
      <c r="F258" t="str">
        <f>Продажи_исходные!F258</f>
        <v>P019</v>
      </c>
      <c r="G258" t="str">
        <f>IFERROR(VLOOKUP(Продажи_исходные!G258,Справочники!$G$2:$H$50,2,FALSE),Продажи_исходные!G258)</f>
        <v>Возврат</v>
      </c>
      <c r="H258" s="4">
        <f>IFERROR(VLOOKUP(B258,Товары_очищенные!$A$1:$G$1000,6,FALSE),"нет в каталоге")</f>
        <v>58000</v>
      </c>
      <c r="I258" t="str">
        <f>IFERROR(VLOOKUP(B258,Товары_очищенные!$A$1:$G$1000,3,FALSE),"нет в каталоге")</f>
        <v>Планшеты</v>
      </c>
      <c r="J258" t="str">
        <f t="shared" si="29"/>
        <v>OK</v>
      </c>
    </row>
    <row r="259">
      <c r="A259" s="8">
        <f>DATE(RIGHT(Продажи_исходные!A259,4),LEFT(Продажи_исходные!A259,2),MID(Продажи_исходные!A259,4,2))</f>
        <v>45800</v>
      </c>
      <c r="B259" t="str">
        <f>"АРТ-"&amp;LEFT(SUBSTITUTE(SUBSTITUTE(SUBSTITUTE(SUBSTITUTE(Продажи_исходные!B259,"№",""),"АРТ-",""),"АРТ_",""),"/","-"),3)</f>
        <v>АРТ-189</v>
      </c>
      <c r="C259" s="4">
        <f>IFERROR(VALUE(TRIM(SUBSTITUTE(SUBSTITUTE(SUBSTITUTE(SUBSTITUTE(Продажи_исходные!C259," шт.","")," шт",""),"шт.",""),"шт",""))),0)</f>
        <v>2</v>
      </c>
      <c r="D259" s="4">
        <f>IF(LEFT(Продажи_исходные!D259,1)="$",VALUE(MID(Продажи_исходные!D259,2,255))*95,IF(LEFT(Продажи_исходные!D259,1)="€",VALUE(MID(Продажи_исходные!D259,2,255))*100,VALUE(SUBSTITUTE(SUBSTITUTE(Продажи_исходные!D259,"₽","")," ",""))))</f>
        <v>8500</v>
      </c>
      <c r="E259" t="str">
        <f>Продажи_исходные!E259</f>
        <v>C0258</v>
      </c>
      <c r="F259" t="str">
        <f>Продажи_исходные!F259</f>
        <v>P042</v>
      </c>
      <c r="G259" t="str">
        <f>IFERROR(VLOOKUP(Продажи_исходные!G259,Справочники!$G$2:$H$50,2,FALSE),Продажи_исходные!G259)</f>
        <v>Завершен</v>
      </c>
      <c r="H259" s="4">
        <f>IFERROR(VLOOKUP(B259,Товары_очищенные!$A$1:$G$1000,6,FALSE),"нет в каталоге")</f>
        <v>51500</v>
      </c>
      <c r="I259" t="str">
        <f>IFERROR(VLOOKUP(B259,Товары_очищенные!$A$1:$G$1000,3,FALSE),"нет в каталоге")</f>
        <v>Часы</v>
      </c>
      <c r="J259" t="str">
        <f t="shared" si="29"/>
        <v>OK</v>
      </c>
    </row>
    <row r="260">
      <c r="A260" s="8">
        <f>DATE(RIGHT(Продажи_исходные!A260,4),LEFT(Продажи_исходные!A260,2),MID(Продажи_исходные!A260,4,2))</f>
        <v>45801</v>
      </c>
      <c r="B260" t="str">
        <f>"АРТ-"&amp;LEFT(SUBSTITUTE(SUBSTITUTE(SUBSTITUTE(SUBSTITUTE(Продажи_исходные!B260,"№",""),"АРТ-",""),"АРТ_",""),"/","-"),3)</f>
        <v>АРТ-102</v>
      </c>
      <c r="C260" s="4">
        <f>IFERROR(VALUE(TRIM(SUBSTITUTE(SUBSTITUTE(SUBSTITUTE(SUBSTITUTE(Продажи_исходные!C260," шт.","")," шт",""),"шт.",""),"шт",""))),0)</f>
        <v>3</v>
      </c>
      <c r="D260" s="4">
        <f>IF(LEFT(Продажи_исходные!D260,1)="$",VALUE(MID(Продажи_исходные!D260,2,255))*95,IF(LEFT(Продажи_исходные!D260,1)="€",VALUE(MID(Продажи_исходные!D260,2,255))*100,VALUE(SUBSTITUTE(SUBSTITUTE(Продажи_исходные!D260,"₽","")," ",""))))</f>
        <v>9975</v>
      </c>
      <c r="E260" t="str">
        <f>Продажи_исходные!E260</f>
        <v>C0259</v>
      </c>
      <c r="F260" t="str">
        <f>Продажи_исходные!F260</f>
        <v>P005</v>
      </c>
      <c r="G260" t="str">
        <f>IFERROR(VLOOKUP(Продажи_исходные!G260,Справочники!$G$2:$H$50,2,FALSE),Продажи_исходные!G260)</f>
        <v>Завершен</v>
      </c>
      <c r="H260" s="4">
        <f>IFERROR(VLOOKUP(B260,Товары_очищенные!$A$1:$G$1000,6,FALSE),"нет в каталоге")</f>
        <v>58500</v>
      </c>
      <c r="I260" t="str">
        <f>IFERROR(VLOOKUP(B260,Товары_очищенные!$A$1:$G$1000,3,FALSE),"нет в каталоге")</f>
        <v>Планшеты</v>
      </c>
      <c r="J260" t="str">
        <f t="shared" si="29"/>
        <v>OK</v>
      </c>
    </row>
    <row r="261">
      <c r="A261" s="8">
        <f>DATE(RIGHT(Продажи_исходные!A261,4),LEFT(Продажи_исходные!A261,2),MID(Продажи_исходные!A261,4,2))</f>
        <v>45801</v>
      </c>
      <c r="B261" t="str">
        <f>"АРТ-"&amp;LEFT(SUBSTITUTE(SUBSTITUTE(SUBSTITUTE(SUBSTITUTE(Продажи_исходные!B261,"№",""),"АРТ-",""),"АРТ_",""),"/","-"),3)</f>
        <v>АРТ-451</v>
      </c>
      <c r="C261" s="4">
        <f>IFERROR(VALUE(TRIM(SUBSTITUTE(SUBSTITUTE(SUBSTITUTE(SUBSTITUTE(Продажи_исходные!C261," шт.","")," шт",""),"шт.",""),"шт",""))),0)</f>
        <v>2</v>
      </c>
      <c r="D261" s="4">
        <f>IF(LEFT(Продажи_исходные!D261,1)="$",VALUE(MID(Продажи_исходные!D261,2,255))*95,IF(LEFT(Продажи_исходные!D261,1)="€",VALUE(MID(Продажи_исходные!D261,2,255))*100,VALUE(SUBSTITUTE(SUBSTITUTE(Продажи_исходные!D261,"₽","")," ",""))))</f>
        <v>8500</v>
      </c>
      <c r="E261" t="str">
        <f>Продажи_исходные!E261</f>
        <v>C0260</v>
      </c>
      <c r="F261" t="str">
        <f>Продажи_исходные!F261</f>
        <v>P036</v>
      </c>
      <c r="G261" t="str">
        <f>IFERROR(VLOOKUP(Продажи_исходные!G261,Справочники!$G$2:$H$50,2,FALSE),Продажи_исходные!G261)</f>
        <v>Завершен</v>
      </c>
      <c r="H261" s="4">
        <f>IFERROR(VLOOKUP(B261,Товары_очищенные!$A$1:$G$1000,6,FALSE),"нет в каталоге")</f>
        <v>39990</v>
      </c>
      <c r="I261" t="str">
        <f>IFERROR(VLOOKUP(B261,Товары_очищенные!$A$1:$G$1000,3,FALSE),"нет в каталоге")</f>
        <v>Наушники</v>
      </c>
      <c r="J261" t="str">
        <f t="shared" si="29"/>
        <v>OK</v>
      </c>
    </row>
    <row r="262">
      <c r="A262" s="8">
        <f>DATE(RIGHT(Продажи_исходные!A262,4),LEFT(Продажи_исходные!A262,2),MID(Продажи_исходные!A262,4,2))</f>
        <v>45802</v>
      </c>
      <c r="B262" t="str">
        <f>"АРТ-"&amp;LEFT(SUBSTITUTE(SUBSTITUTE(SUBSTITUTE(SUBSTITUTE(Продажи_исходные!B262,"№",""),"АРТ-",""),"АРТ_",""),"/","-"),3)</f>
        <v>АРТ-312</v>
      </c>
      <c r="C262" s="4">
        <f>IFERROR(VALUE(TRIM(SUBSTITUTE(SUBSTITUTE(SUBSTITUTE(SUBSTITUTE(Продажи_исходные!C262," шт.","")," шт",""),"шт.",""),"шт",""))),0)</f>
        <v>1</v>
      </c>
      <c r="D262" s="4">
        <f>IF(LEFT(Продажи_исходные!D262,1)="$",VALUE(MID(Продажи_исходные!D262,2,255))*95,IF(LEFT(Продажи_исходные!D262,1)="€",VALUE(MID(Продажи_исходные!D262,2,255))*100,VALUE(SUBSTITUTE(SUBSTITUTE(Продажи_исходные!D262,"₽","")," ",""))))</f>
        <v>7800</v>
      </c>
      <c r="E262" t="str">
        <f>Продажи_исходные!E262</f>
        <v>C0261</v>
      </c>
      <c r="F262" t="str">
        <f>Продажи_исходные!F262</f>
        <v>P014</v>
      </c>
      <c r="G262" t="str">
        <f>IFERROR(VLOOKUP(Продажи_исходные!G262,Справочники!$G$2:$H$50,2,FALSE),Продажи_исходные!G262)</f>
        <v>Отменен</v>
      </c>
      <c r="H262" s="4">
        <f>IFERROR(VLOOKUP(B262,Товары_очищенные!$A$1:$G$1000,6,FALSE),"нет в каталоге")</f>
        <v>67000</v>
      </c>
      <c r="I262" t="str">
        <f>IFERROR(VLOOKUP(B262,Товары_очищенные!$A$1:$G$1000,3,FALSE),"нет в каталоге")</f>
        <v>Планшеты</v>
      </c>
      <c r="J262" t="str">
        <f t="shared" si="29"/>
        <v>OK</v>
      </c>
    </row>
    <row r="263">
      <c r="A263" s="8">
        <f>DATE(RIGHT(Продажи_исходные!A263,4),LEFT(Продажи_исходные!A263,2),MID(Продажи_исходные!A263,4,2))</f>
        <v>45802</v>
      </c>
      <c r="B263" t="str">
        <f>"АРТ-"&amp;LEFT(SUBSTITUTE(SUBSTITUTE(SUBSTITUTE(SUBSTITUTE(Продажи_исходные!B263,"№",""),"АРТ-",""),"АРТ_",""),"/","-"),3)</f>
        <v>АРТ-352</v>
      </c>
      <c r="C263" s="4">
        <f>IFERROR(VALUE(TRIM(SUBSTITUTE(SUBSTITUTE(SUBSTITUTE(SUBSTITUTE(Продажи_исходные!C263," шт.","")," шт",""),"шт.",""),"шт",""))),0)</f>
        <v>-3</v>
      </c>
      <c r="D263" s="4">
        <f>IF(LEFT(Продажи_исходные!D263,1)="$",VALUE(MID(Продажи_исходные!D263,2,255))*95,IF(LEFT(Продажи_исходные!D263,1)="€",VALUE(MID(Продажи_исходные!D263,2,255))*100,VALUE(SUBSTITUTE(SUBSTITUTE(Продажи_исходные!D263,"₽","")," ",""))))</f>
        <v>11400</v>
      </c>
      <c r="E263" t="str">
        <f>Продажи_исходные!E263</f>
        <v>C0262</v>
      </c>
      <c r="F263" t="str">
        <f>Продажи_исходные!F263</f>
        <v>P028</v>
      </c>
      <c r="G263" t="str">
        <f>IFERROR(VLOOKUP(Продажи_исходные!G263,Справочники!$G$2:$H$50,2,FALSE),Продажи_исходные!G263)</f>
        <v>Отменен</v>
      </c>
      <c r="H263" s="4">
        <f>IFERROR(VLOOKUP(B263,Товары_очищенные!$A$1:$G$1000,6,FALSE),"нет в каталоге")</f>
        <v>6990</v>
      </c>
      <c r="I263" t="str">
        <f>IFERROR(VLOOKUP(B263,Товары_очищенные!$A$1:$G$1000,3,FALSE),"нет в каталоге")</f>
        <v>Аксессуары</v>
      </c>
      <c r="J263" t="str">
        <f t="shared" si="29"/>
        <v>OK</v>
      </c>
    </row>
    <row r="264">
      <c r="A264" s="8">
        <f>DATE(RIGHT(Продажи_исходные!A264,4),LEFT(Продажи_исходные!A264,2),MID(Продажи_исходные!A264,4,2))</f>
        <v>45803</v>
      </c>
      <c r="B264" t="str">
        <f>"АРТ-"&amp;LEFT(SUBSTITUTE(SUBSTITUTE(SUBSTITUTE(SUBSTITUTE(Продажи_исходные!B264,"№",""),"АРТ-",""),"АРТ_",""),"/","-"),3)</f>
        <v>АРТ-283</v>
      </c>
      <c r="C264" s="4">
        <f>IFERROR(VALUE(TRIM(SUBSTITUTE(SUBSTITUTE(SUBSTITUTE(SUBSTITUTE(Продажи_исходные!C264," шт.","")," шт",""),"шт.",""),"шт",""))),0)</f>
        <v>2</v>
      </c>
      <c r="D264" s="4">
        <f>IF(LEFT(Продажи_исходные!D264,1)="$",VALUE(MID(Продажи_исходные!D264,2,255))*95,IF(LEFT(Продажи_исходные!D264,1)="€",VALUE(MID(Продажи_исходные!D264,2,255))*100,VALUE(SUBSTITUTE(SUBSTITUTE(Продажи_исходные!D264,"₽","")," ",""))))</f>
        <v>10000</v>
      </c>
      <c r="E264" t="str">
        <f>Продажи_исходные!E264</f>
        <v>C0263</v>
      </c>
      <c r="F264" t="str">
        <f>Продажи_исходные!F264</f>
        <v>P009</v>
      </c>
      <c r="G264" t="str">
        <f>IFERROR(VLOOKUP(Продажи_исходные!G264,Справочники!$G$2:$H$50,2,FALSE),Продажи_исходные!G264)</f>
        <v>Завершен</v>
      </c>
      <c r="H264" s="4">
        <f>IFERROR(VLOOKUP(B264,Товары_очищенные!$A$1:$G$1000,6,FALSE),"нет в каталоге")</f>
        <v>84990</v>
      </c>
      <c r="I264" t="str">
        <f>IFERROR(VLOOKUP(B264,Товары_очищенные!$A$1:$G$1000,3,FALSE),"нет в каталоге")</f>
        <v>Мониторы</v>
      </c>
      <c r="J264" t="str">
        <f t="shared" si="29"/>
        <v>OK</v>
      </c>
    </row>
    <row r="265">
      <c r="A265" s="8">
        <f>DATE(RIGHT(Продажи_исходные!A265,4),LEFT(Продажи_исходные!A265,2),MID(Продажи_исходные!A265,4,2))</f>
        <v>45803</v>
      </c>
      <c r="B265" t="str">
        <f>"АРТ-"&amp;LEFT(SUBSTITUTE(SUBSTITUTE(SUBSTITUTE(SUBSTITUTE(Продажи_исходные!B265,"№",""),"АРТ-",""),"АРТ_",""),"/","-"),3)</f>
        <v>АРТ-112</v>
      </c>
      <c r="C265" s="4">
        <f>IFERROR(VALUE(TRIM(SUBSTITUTE(SUBSTITUTE(SUBSTITUTE(SUBSTITUTE(Продажи_исходные!C265," шт.","")," шт",""),"шт.",""),"шт",""))),0)</f>
        <v>1</v>
      </c>
      <c r="D265" s="4">
        <f>IF(LEFT(Продажи_исходные!D265,1)="$",VALUE(MID(Продажи_исходные!D265,2,255))*95,IF(LEFT(Продажи_исходные!D265,1)="€",VALUE(MID(Продажи_исходные!D265,2,255))*100,VALUE(SUBSTITUTE(SUBSTITUTE(Продажи_исходные!D265,"₽","")," ",""))))</f>
        <v>9200</v>
      </c>
      <c r="E265" t="str">
        <f>Продажи_исходные!E265</f>
        <v>C0264</v>
      </c>
      <c r="F265" t="str">
        <f>Продажи_исходные!F265</f>
        <v>P041</v>
      </c>
      <c r="G265" t="str">
        <f>IFERROR(VLOOKUP(Продажи_исходные!G265,Справочники!$G$2:$H$50,2,FALSE),Продажи_исходные!G265)</f>
        <v>Возврат</v>
      </c>
      <c r="H265" s="4">
        <f>IFERROR(VLOOKUP(B265,Товары_очищенные!$A$1:$G$1000,6,FALSE),"нет в каталоге")</f>
        <v>34990</v>
      </c>
      <c r="I265" t="str">
        <f>IFERROR(VLOOKUP(B265,Товары_очищенные!$A$1:$G$1000,3,FALSE),"нет в каталоге")</f>
        <v>Наушники</v>
      </c>
      <c r="J265" t="str">
        <f t="shared" si="29"/>
        <v>OK</v>
      </c>
    </row>
    <row r="266">
      <c r="A266" s="8">
        <f>DATE(RIGHT(Продажи_исходные!A266,4),LEFT(Продажи_исходные!A266,2),MID(Продажи_исходные!A266,4,2))</f>
        <v>45804</v>
      </c>
      <c r="B266" t="str">
        <f>"АРТ-"&amp;LEFT(SUBSTITUTE(SUBSTITUTE(SUBSTITUTE(SUBSTITUTE(Продажи_исходные!B266,"№",""),"АРТ-",""),"АРТ_",""),"/","-"),3)</f>
        <v>АРТ-169</v>
      </c>
      <c r="C266" s="4">
        <f>IFERROR(VALUE(TRIM(SUBSTITUTE(SUBSTITUTE(SUBSTITUTE(SUBSTITUTE(Продажи_исходные!C266," шт.","")," шт",""),"шт.",""),"шт",""))),0)</f>
        <v>3</v>
      </c>
      <c r="D266" s="4">
        <f>IF(LEFT(Продажи_исходные!D266,1)="$",VALUE(MID(Продажи_исходные!D266,2,255))*95,IF(LEFT(Продажи_исходные!D266,1)="€",VALUE(MID(Продажи_исходные!D266,2,255))*100,VALUE(SUBSTITUTE(SUBSTITUTE(Продажи_исходные!D266,"₽","")," ",""))))</f>
        <v>8550</v>
      </c>
      <c r="E266" t="str">
        <f>Продажи_исходные!E266</f>
        <v>C0265</v>
      </c>
      <c r="F266" t="str">
        <f>Продажи_исходные!F266</f>
        <v>P017</v>
      </c>
      <c r="G266" t="str">
        <f>IFERROR(VLOOKUP(Продажи_исходные!G266,Справочники!$G$2:$H$50,2,FALSE),Продажи_исходные!G266)</f>
        <v>Завершен</v>
      </c>
      <c r="H266" s="4">
        <f>IFERROR(VLOOKUP(B266,Товары_очищенные!$A$1:$G$1000,6,FALSE),"нет в каталоге")</f>
        <v>57990</v>
      </c>
      <c r="I266" t="str">
        <f>IFERROR(VLOOKUP(B266,Товары_очищенные!$A$1:$G$1000,3,FALSE),"нет в каталоге")</f>
        <v>Смартфоны</v>
      </c>
      <c r="J266" t="str">
        <f t="shared" si="29"/>
        <v>OK</v>
      </c>
    </row>
    <row r="267">
      <c r="A267" s="8">
        <f>DATE(RIGHT(Продажи_исходные!A267,4),LEFT(Продажи_исходные!A267,2),MID(Продажи_исходные!A267,4,2))</f>
        <v>45804</v>
      </c>
      <c r="B267" t="str">
        <f>"АРТ-"&amp;LEFT(SUBSTITUTE(SUBSTITUTE(SUBSTITUTE(SUBSTITUTE(Продажи_исходные!B267,"№",""),"АРТ-",""),"АРТ_",""),"/","-"),3)</f>
        <v>АРТ-492</v>
      </c>
      <c r="C267" s="4">
        <f>IFERROR(VALUE(TRIM(SUBSTITUTE(SUBSTITUTE(SUBSTITUTE(SUBSTITUTE(Продажи_исходные!C267," шт.","")," шт",""),"шт.",""),"шт",""))),0)</f>
        <v>2</v>
      </c>
      <c r="D267" s="4">
        <f>IF(LEFT(Продажи_исходные!D267,1)="$",VALUE(MID(Продажи_исходные!D267,2,255))*95,IF(LEFT(Продажи_исходные!D267,1)="€",VALUE(MID(Продажи_исходные!D267,2,255))*100,VALUE(SUBSTITUTE(SUBSTITUTE(Продажи_исходные!D267,"₽","")," ",""))))</f>
        <v>7000</v>
      </c>
      <c r="E267" t="str">
        <f>Продажи_исходные!E267</f>
        <v>C0266</v>
      </c>
      <c r="F267" t="str">
        <f>Продажи_исходные!F267</f>
        <v>P032</v>
      </c>
      <c r="G267" t="str">
        <f>IFERROR(VLOOKUP(Продажи_исходные!G267,Справочники!$G$2:$H$50,2,FALSE),Продажи_исходные!G267)</f>
        <v>Завершен</v>
      </c>
      <c r="H267" s="4">
        <f>IFERROR(VLOOKUP(B267,Товары_очищенные!$A$1:$G$1000,6,FALSE),"нет в каталоге")</f>
        <v>64000</v>
      </c>
      <c r="I267" t="str">
        <f>IFERROR(VLOOKUP(B267,Товары_очищенные!$A$1:$G$1000,3,FALSE),"нет в каталоге")</f>
        <v>Телевизоры</v>
      </c>
      <c r="J267" t="str">
        <f t="shared" si="29"/>
        <v>OK</v>
      </c>
    </row>
    <row r="268">
      <c r="A268" s="8">
        <f>DATE(RIGHT(Продажи_исходные!A268,4),LEFT(Продажи_исходные!A268,2),MID(Продажи_исходные!A268,4,2))</f>
        <v>45805</v>
      </c>
      <c r="B268" t="str">
        <f>"АРТ-"&amp;LEFT(SUBSTITUTE(SUBSTITUTE(SUBSTITUTE(SUBSTITUTE(Продажи_исходные!B268,"№",""),"АРТ-",""),"АРТ_",""),"/","-"),3)</f>
        <v>АРТ-311</v>
      </c>
      <c r="C268" s="4">
        <f>IFERROR(VALUE(TRIM(SUBSTITUTE(SUBSTITUTE(SUBSTITUTE(SUBSTITUTE(Продажи_исходные!C268," шт.","")," шт",""),"шт.",""),"шт",""))),0)</f>
        <v>1</v>
      </c>
      <c r="D268" s="4">
        <f>IF(LEFT(Продажи_исходные!D268,1)="$",VALUE(MID(Продажи_исходные!D268,2,255))*95,IF(LEFT(Продажи_исходные!D268,1)="€",VALUE(MID(Продажи_исходные!D268,2,255))*100,VALUE(SUBSTITUTE(SUBSTITUTE(Продажи_исходные!D268,"₽","")," ",""))))</f>
        <v>6500</v>
      </c>
      <c r="E268" t="str">
        <f>Продажи_исходные!E268</f>
        <v>C0267</v>
      </c>
      <c r="F268" t="str">
        <f>Продажи_исходные!F268</f>
        <v>P049</v>
      </c>
      <c r="G268" t="str">
        <f>IFERROR(VLOOKUP(Продажи_исходные!G268,Справочники!$G$2:$H$50,2,FALSE),Продажи_исходные!G268)</f>
        <v>Завершен</v>
      </c>
      <c r="H268" s="4">
        <f>IFERROR(VLOOKUP(B268,Товары_очищенные!$A$1:$G$1000,6,FALSE),"нет в каталоге")</f>
        <v>62500</v>
      </c>
      <c r="I268" t="str">
        <f>IFERROR(VLOOKUP(B268,Товары_очищенные!$A$1:$G$1000,3,FALSE),"нет в каталоге")</f>
        <v>Планшеты</v>
      </c>
      <c r="J268" t="str">
        <f t="shared" si="29"/>
        <v>OK</v>
      </c>
    </row>
    <row r="269">
      <c r="A269" s="8">
        <f>DATE(RIGHT(Продажи_исходные!A269,4),LEFT(Продажи_исходные!A269,2),MID(Продажи_исходные!A269,4,2))</f>
        <v>45805</v>
      </c>
      <c r="B269" t="str">
        <f>"АРТ-"&amp;LEFT(SUBSTITUTE(SUBSTITUTE(SUBSTITUTE(SUBSTITUTE(Продажи_исходные!B269,"№",""),"АРТ-",""),"АРТ_",""),"/","-"),3)</f>
        <v>АРТ-409</v>
      </c>
      <c r="C269" s="4">
        <f>IFERROR(VALUE(TRIM(SUBSTITUTE(SUBSTITUTE(SUBSTITUTE(SUBSTITUTE(Продажи_исходные!C269," шт.","")," шт",""),"шт.",""),"шт",""))),0)</f>
        <v>-1</v>
      </c>
      <c r="D269" s="4">
        <f>IF(LEFT(Продажи_исходные!D269,1)="$",VALUE(MID(Продажи_исходные!D269,2,255))*95,IF(LEFT(Продажи_исходные!D269,1)="€",VALUE(MID(Продажи_исходные!D269,2,255))*100,VALUE(SUBSTITUTE(SUBSTITUTE(Продажи_исходные!D269,"₽","")," ",""))))</f>
        <v>10450</v>
      </c>
      <c r="E269" t="str">
        <f>Продажи_исходные!E269</f>
        <v>C0268</v>
      </c>
      <c r="F269" t="str">
        <f>Продажи_исходные!F269</f>
        <v>P006</v>
      </c>
      <c r="G269" t="str">
        <f>IFERROR(VLOOKUP(Продажи_исходные!G269,Справочники!$G$2:$H$50,2,FALSE),Продажи_исходные!G269)</f>
        <v>Отменен</v>
      </c>
      <c r="H269" s="4">
        <f>IFERROR(VLOOKUP(B269,Товары_очищенные!$A$1:$G$1000,6,FALSE),"нет в каталоге")</f>
        <v>39990</v>
      </c>
      <c r="I269" t="str">
        <f>IFERROR(VLOOKUP(B269,Товары_очищенные!$A$1:$G$1000,3,FALSE),"нет в каталоге")</f>
        <v>Наушники</v>
      </c>
      <c r="J269" t="str">
        <f t="shared" si="29"/>
        <v>OK</v>
      </c>
    </row>
    <row r="270">
      <c r="A270" s="8">
        <f>DATE(RIGHT(Продажи_исходные!A270,4),LEFT(Продажи_исходные!A270,2),MID(Продажи_исходные!A270,4,2))</f>
        <v>45806</v>
      </c>
      <c r="B270" t="str">
        <f>"АРТ-"&amp;LEFT(SUBSTITUTE(SUBSTITUTE(SUBSTITUTE(SUBSTITUTE(Продажи_исходные!B270,"№",""),"АРТ-",""),"АРТ_",""),"/","-"),3)</f>
        <v>АРТ-330</v>
      </c>
      <c r="C270" s="4">
        <f>IFERROR(VALUE(TRIM(SUBSTITUTE(SUBSTITUTE(SUBSTITUTE(SUBSTITUTE(Продажи_исходные!C270," шт.","")," шт",""),"шт.",""),"шт",""))),0)</f>
        <v>3</v>
      </c>
      <c r="D270" s="4">
        <f>IF(LEFT(Продажи_исходные!D270,1)="$",VALUE(MID(Продажи_исходные!D270,2,255))*95,IF(LEFT(Продажи_исходные!D270,1)="€",VALUE(MID(Продажи_исходные!D270,2,255))*100,VALUE(SUBSTITUTE(SUBSTITUTE(Продажи_исходные!D270,"₽","")," ",""))))</f>
        <v>9000</v>
      </c>
      <c r="E270" t="str">
        <f>Продажи_исходные!E270</f>
        <v>C0269</v>
      </c>
      <c r="F270" t="str">
        <f>Продажи_исходные!F270</f>
        <v>P024</v>
      </c>
      <c r="G270" t="str">
        <f>IFERROR(VLOOKUP(Продажи_исходные!G270,Справочники!$G$2:$H$50,2,FALSE),Продажи_исходные!G270)</f>
        <v>Отменен</v>
      </c>
      <c r="H270" s="4">
        <f>IFERROR(VLOOKUP(B270,Товары_очищенные!$A$1:$G$1000,6,FALSE),"нет в каталоге")</f>
        <v>12800</v>
      </c>
      <c r="I270" t="str">
        <f>IFERROR(VLOOKUP(B270,Товары_очищенные!$A$1:$G$1000,3,FALSE),"нет в каталоге")</f>
        <v>Аксессуары</v>
      </c>
      <c r="J270" t="str">
        <f t="shared" si="29"/>
        <v>OK</v>
      </c>
    </row>
    <row r="271">
      <c r="A271" s="8">
        <f>DATE(RIGHT(Продажи_исходные!A271,4),LEFT(Продажи_исходные!A271,2),MID(Продажи_исходные!A271,4,2))</f>
        <v>45806</v>
      </c>
      <c r="B271" t="str">
        <f>"АРТ-"&amp;LEFT(SUBSTITUTE(SUBSTITUTE(SUBSTITUTE(SUBSTITUTE(Продажи_исходные!B271,"№",""),"АРТ-",""),"АРТ_",""),"/","-"),3)</f>
        <v>АРТ-053</v>
      </c>
      <c r="C271" s="4">
        <f>IFERROR(VALUE(TRIM(SUBSTITUTE(SUBSTITUTE(SUBSTITUTE(SUBSTITUTE(Продажи_исходные!C271," шт.","")," шт",""),"шт.",""),"шт",""))),0)</f>
        <v>2</v>
      </c>
      <c r="D271" s="4">
        <f>IF(LEFT(Продажи_исходные!D271,1)="$",VALUE(MID(Продажи_исходные!D271,2,255))*95,IF(LEFT(Продажи_исходные!D271,1)="€",VALUE(MID(Продажи_исходные!D271,2,255))*100,VALUE(SUBSTITUTE(SUBSTITUTE(Продажи_исходные!D271,"₽","")," ",""))))</f>
        <v>8000</v>
      </c>
      <c r="E271" t="str">
        <f>Продажи_исходные!E271</f>
        <v>C0270</v>
      </c>
      <c r="F271" t="str">
        <f>Продажи_исходные!F271</f>
        <v>P015</v>
      </c>
      <c r="G271" t="str">
        <f>IFERROR(VLOOKUP(Продажи_исходные!G271,Справочники!$G$2:$H$50,2,FALSE),Продажи_исходные!G271)</f>
        <v>Возврат</v>
      </c>
      <c r="H271" s="4">
        <f>IFERROR(VLOOKUP(B271,Товары_очищенные!$A$1:$G$1000,6,FALSE),"нет в каталоге")</f>
        <v>68000</v>
      </c>
      <c r="I271" t="str">
        <f>IFERROR(VLOOKUP(B271,Товары_очищенные!$A$1:$G$1000,3,FALSE),"нет в каталоге")</f>
        <v>Мониторы</v>
      </c>
      <c r="J271" t="str">
        <f t="shared" si="29"/>
        <v>OK</v>
      </c>
    </row>
    <row r="272">
      <c r="A272" s="8">
        <f>DATE(RIGHT(Продажи_исходные!A272,4),LEFT(Продажи_исходные!A272,2),MID(Продажи_исходные!A272,4,2))</f>
        <v>45807</v>
      </c>
      <c r="B272" t="str">
        <f>"АРТ-"&amp;LEFT(SUBSTITUTE(SUBSTITUTE(SUBSTITUTE(SUBSTITUTE(Продажи_исходные!B272,"№",""),"АРТ-",""),"АРТ_",""),"/","-"),3)</f>
        <v>АРТ-130</v>
      </c>
      <c r="C272" s="4">
        <f>IFERROR(VALUE(TRIM(SUBSTITUTE(SUBSTITUTE(SUBSTITUTE(SUBSTITUTE(Продажи_исходные!C272," шт.","")," шт",""),"шт.",""),"шт",""))),0)</f>
        <v>1</v>
      </c>
      <c r="D272" s="4">
        <f>IF(LEFT(Продажи_исходные!D272,1)="$",VALUE(MID(Продажи_исходные!D272,2,255))*95,IF(LEFT(Продажи_исходные!D272,1)="€",VALUE(MID(Продажи_исходные!D272,2,255))*100,VALUE(SUBSTITUTE(SUBSTITUTE(Продажи_исходные!D272,"₽","")," ",""))))</f>
        <v>9025</v>
      </c>
      <c r="E272" t="str">
        <f>Продажи_исходные!E272</f>
        <v>C0271</v>
      </c>
      <c r="F272" t="str">
        <f>Продажи_исходные!F272</f>
        <v>P037</v>
      </c>
      <c r="G272" t="str">
        <f>IFERROR(VLOOKUP(Продажи_исходные!G272,Справочники!$G$2:$H$50,2,FALSE),Продажи_исходные!G272)</f>
        <v>Завершен</v>
      </c>
      <c r="H272" s="4">
        <f>IFERROR(VLOOKUP(B272,Товары_очищенные!$A$1:$G$1000,6,FALSE),"нет в каталоге")</f>
        <v>42990</v>
      </c>
      <c r="I272" t="str">
        <f>IFERROR(VLOOKUP(B272,Товары_очищенные!$A$1:$G$1000,3,FALSE),"нет в каталоге")</f>
        <v>Планшеты</v>
      </c>
      <c r="J272" t="str">
        <f t="shared" si="29"/>
        <v>OK</v>
      </c>
    </row>
    <row r="273">
      <c r="A273" s="8">
        <f>DATE(RIGHT(Продажи_исходные!A273,4),LEFT(Продажи_исходные!A273,2),MID(Продажи_исходные!A273,4,2))</f>
        <v>45807</v>
      </c>
      <c r="B273" t="str">
        <f>"АРТ-"&amp;LEFT(SUBSTITUTE(SUBSTITUTE(SUBSTITUTE(SUBSTITUTE(Продажи_исходные!B273,"№",""),"АРТ-",""),"АРТ_",""),"/","-"),3)</f>
        <v>АРТ-462</v>
      </c>
      <c r="C273" s="4">
        <f>IFERROR(VALUE(TRIM(SUBSTITUTE(SUBSTITUTE(SUBSTITUTE(SUBSTITUTE(Продажи_исходные!C273," шт.","")," шт",""),"шт.",""),"шт",""))),0)</f>
        <v>2</v>
      </c>
      <c r="D273" s="4">
        <f>IF(LEFT(Продажи_исходные!D273,1)="$",VALUE(MID(Продажи_исходные!D273,2,255))*95,IF(LEFT(Продажи_исходные!D273,1)="€",VALUE(MID(Продажи_исходные!D273,2,255))*100,VALUE(SUBSTITUTE(SUBSTITUTE(Продажи_исходные!D273,"₽","")," ",""))))</f>
        <v>7500</v>
      </c>
      <c r="E273" t="str">
        <f>Продажи_исходные!E273</f>
        <v>C0272</v>
      </c>
      <c r="F273" t="str">
        <f>Продажи_исходные!F273</f>
        <v>P048</v>
      </c>
      <c r="G273" t="str">
        <f>IFERROR(VLOOKUP(Продажи_исходные!G273,Справочники!$G$2:$H$50,2,FALSE),Продажи_исходные!G273)</f>
        <v>Завершен</v>
      </c>
      <c r="H273" s="4">
        <f>IFERROR(VLOOKUP(B273,Товары_очищенные!$A$1:$G$1000,6,FALSE),"нет в каталоге")</f>
        <v>49500</v>
      </c>
      <c r="I273" t="str">
        <f>IFERROR(VLOOKUP(B273,Товары_очищенные!$A$1:$G$1000,3,FALSE),"нет в каталоге")</f>
        <v>Часы</v>
      </c>
      <c r="J273" t="str">
        <f t="shared" si="29"/>
        <v>OK</v>
      </c>
    </row>
    <row r="274">
      <c r="A274" s="8">
        <f>DATE(RIGHT(Продажи_исходные!A274,4),LEFT(Продажи_исходные!A274,2),MID(Продажи_исходные!A274,4,2))</f>
        <v>45808</v>
      </c>
      <c r="B274" t="str">
        <f>"АРТ-"&amp;LEFT(SUBSTITUTE(SUBSTITUTE(SUBSTITUTE(SUBSTITUTE(Продажи_исходные!B274,"№",""),"АРТ-",""),"АРТ_",""),"/","-"),3)</f>
        <v>АРТ-388</v>
      </c>
      <c r="C274" s="4">
        <f>IFERROR(VALUE(TRIM(SUBSTITUTE(SUBSTITUTE(SUBSTITUTE(SUBSTITUTE(Продажи_исходные!C274," шт.","")," шт",""),"шт.",""),"шт",""))),0)</f>
        <v>3</v>
      </c>
      <c r="D274" s="4">
        <f>IF(LEFT(Продажи_исходные!D274,1)="$",VALUE(MID(Продажи_исходные!D274,2,255))*95,IF(LEFT(Продажи_исходные!D274,1)="€",VALUE(MID(Продажи_исходные!D274,2,255))*100,VALUE(SUBSTITUTE(SUBSTITUTE(Продажи_исходные!D274,"₽","")," ",""))))</f>
        <v>7000</v>
      </c>
      <c r="E274" t="str">
        <f>Продажи_исходные!E274</f>
        <v>C0273</v>
      </c>
      <c r="F274" t="str">
        <f>Продажи_исходные!F274</f>
        <v>P004</v>
      </c>
      <c r="G274" t="str">
        <f>IFERROR(VLOOKUP(Продажи_исходные!G274,Справочники!$G$2:$H$50,2,FALSE),Продажи_исходные!G274)</f>
        <v>Завершен</v>
      </c>
      <c r="H274" s="4">
        <f>IFERROR(VLOOKUP(B274,Товары_очищенные!$A$1:$G$1000,6,FALSE),"нет в каталоге")</f>
        <v>77990</v>
      </c>
      <c r="I274" t="str">
        <f>IFERROR(VLOOKUP(B274,Товары_очищенные!$A$1:$G$1000,3,FALSE),"нет в каталоге")</f>
        <v>Телевизоры</v>
      </c>
      <c r="J274" t="str">
        <f t="shared" si="29"/>
        <v>OK</v>
      </c>
    </row>
    <row r="275">
      <c r="A275" s="8">
        <f>DATE(RIGHT(Продажи_исходные!A275,4),LEFT(Продажи_исходные!A275,2),MID(Продажи_исходные!A275,4,2))</f>
        <v>45808</v>
      </c>
      <c r="B275" t="str">
        <f>"АРТ-"&amp;LEFT(SUBSTITUTE(SUBSTITUTE(SUBSTITUTE(SUBSTITUTE(Продажи_исходные!B275,"№",""),"АРТ-",""),"АРТ_",""),"/","-"),3)</f>
        <v>АРТ-206</v>
      </c>
      <c r="C275" s="4">
        <f>IFERROR(VALUE(TRIM(SUBSTITUTE(SUBSTITUTE(SUBSTITUTE(SUBSTITUTE(Продажи_исходные!C275," шт.","")," шт",""),"шт.",""),"шт",""))),0)</f>
        <v>-2</v>
      </c>
      <c r="D275" s="4">
        <f>IF(LEFT(Продажи_исходные!D275,1)="$",VALUE(MID(Продажи_исходные!D275,2,255))*95,IF(LEFT(Продажи_исходные!D275,1)="€",VALUE(MID(Продажи_исходные!D275,2,255))*100,VALUE(SUBSTITUTE(SUBSTITUTE(Продажи_исходные!D275,"₽","")," ",""))))</f>
        <v>10925</v>
      </c>
      <c r="E275" t="str">
        <f>Продажи_исходные!E275</f>
        <v>C0274</v>
      </c>
      <c r="F275" t="str">
        <f>Продажи_исходные!F275</f>
        <v>P026</v>
      </c>
      <c r="G275" t="str">
        <f>IFERROR(VLOOKUP(Продажи_исходные!G275,Справочники!$G$2:$H$50,2,FALSE),Продажи_исходные!G275)</f>
        <v>Отменен</v>
      </c>
      <c r="H275" s="4">
        <f>IFERROR(VLOOKUP(B275,Товары_очищенные!$A$1:$G$1000,6,FALSE),"нет в каталоге")</f>
        <v>62500</v>
      </c>
      <c r="I275" t="str">
        <f>IFERROR(VLOOKUP(B275,Товары_очищенные!$A$1:$G$1000,3,FALSE),"нет в каталоге")</f>
        <v>Мониторы</v>
      </c>
      <c r="J275" t="str">
        <f t="shared" si="29"/>
        <v>OK</v>
      </c>
    </row>
    <row r="276">
      <c r="A276" s="8">
        <f>DATE(RIGHT(Продажи_исходные!A276,4),LEFT(Продажи_исходные!A276,2),MID(Продажи_исходные!A276,4,2))</f>
        <v>45809</v>
      </c>
      <c r="B276" t="str">
        <f>"АРТ-"&amp;LEFT(SUBSTITUTE(SUBSTITUTE(SUBSTITUTE(SUBSTITUTE(Продажи_исходные!B276,"№",""),"АРТ-",""),"АРТ_",""),"/","-"),3)</f>
        <v>АРТ-274</v>
      </c>
      <c r="C276" s="4">
        <f>IFERROR(VALUE(TRIM(SUBSTITUTE(SUBSTITUTE(SUBSTITUTE(SUBSTITUTE(Продажи_исходные!C276," шт.","")," шт",""),"шт.",""),"шт",""))),0)</f>
        <v>1</v>
      </c>
      <c r="D276" s="4">
        <f>IF(LEFT(Продажи_исходные!D276,1)="$",VALUE(MID(Продажи_исходные!D276,2,255))*95,IF(LEFT(Продажи_исходные!D276,1)="€",VALUE(MID(Продажи_исходные!D276,2,255))*100,VALUE(SUBSTITUTE(SUBSTITUTE(Продажи_исходные!D276,"₽","")," ",""))))</f>
        <v>9500</v>
      </c>
      <c r="E276" t="str">
        <f>Продажи_исходные!E276</f>
        <v>C0275</v>
      </c>
      <c r="F276" t="str">
        <f>Продажи_исходные!F276</f>
        <v>P013</v>
      </c>
      <c r="G276" t="str">
        <f>IFERROR(VLOOKUP(Продажи_исходные!G276,Справочники!$G$2:$H$50,2,FALSE),Продажи_исходные!G276)</f>
        <v>Отменен</v>
      </c>
      <c r="H276" s="4">
        <f>IFERROR(VLOOKUP(B276,Товары_очищенные!$A$1:$G$1000,6,FALSE),"нет в каталоге")</f>
        <v>48990</v>
      </c>
      <c r="I276" t="str">
        <f>IFERROR(VLOOKUP(B276,Товары_очищенные!$A$1:$G$1000,3,FALSE),"нет в каталоге")</f>
        <v>Планшеты</v>
      </c>
      <c r="J276" t="str">
        <f t="shared" si="29"/>
        <v>OK</v>
      </c>
    </row>
    <row r="277">
      <c r="A277" s="8">
        <f>DATE(RIGHT(Продажи_исходные!A277,4),LEFT(Продажи_исходные!A277,2),MID(Продажи_исходные!A277,4,2))</f>
        <v>45809</v>
      </c>
      <c r="B277" t="str">
        <f>"АРТ-"&amp;LEFT(SUBSTITUTE(SUBSTITUTE(SUBSTITUTE(SUBSTITUTE(Продажи_исходные!B277,"№",""),"АРТ-",""),"АРТ_",""),"/","-"),3)</f>
        <v>АРТ-189</v>
      </c>
      <c r="C277" s="4">
        <f>IFERROR(VALUE(TRIM(SUBSTITUTE(SUBSTITUTE(SUBSTITUTE(SUBSTITUTE(Продажи_исходные!C277," шт.","")," шт",""),"шт.",""),"шт",""))),0)</f>
        <v>2</v>
      </c>
      <c r="D277" s="4">
        <f>IF(LEFT(Продажи_исходные!D277,1)="$",VALUE(MID(Продажи_исходные!D277,2,255))*95,IF(LEFT(Продажи_исходные!D277,1)="€",VALUE(MID(Продажи_исходные!D277,2,255))*100,VALUE(SUBSTITUTE(SUBSTITUTE(Продажи_исходные!D277,"₽","")," ",""))))</f>
        <v>8500</v>
      </c>
      <c r="E277" t="str">
        <f>Продажи_исходные!E277</f>
        <v>C0276</v>
      </c>
      <c r="F277" t="str">
        <f>Продажи_исходные!F277</f>
        <v>P034</v>
      </c>
      <c r="G277" t="str">
        <f>IFERROR(VLOOKUP(Продажи_исходные!G277,Справочники!$G$2:$H$50,2,FALSE),Продажи_исходные!G277)</f>
        <v>Завершен</v>
      </c>
      <c r="H277" s="4">
        <f>IFERROR(VLOOKUP(B277,Товары_очищенные!$A$1:$G$1000,6,FALSE),"нет в каталоге")</f>
        <v>51500</v>
      </c>
      <c r="I277" t="str">
        <f>IFERROR(VLOOKUP(B277,Товары_очищенные!$A$1:$G$1000,3,FALSE),"нет в каталоге")</f>
        <v>Часы</v>
      </c>
      <c r="J277" t="str">
        <f t="shared" si="29"/>
        <v>OK</v>
      </c>
    </row>
    <row r="278">
      <c r="A278" s="8">
        <f>DATE(RIGHT(Продажи_исходные!A278,4),LEFT(Продажи_исходные!A278,2),MID(Продажи_исходные!A278,4,2))</f>
        <v>45810</v>
      </c>
      <c r="B278" t="str">
        <f>"АРТ-"&amp;LEFT(SUBSTITUTE(SUBSTITUTE(SUBSTITUTE(SUBSTITUTE(Продажи_исходные!B278,"№",""),"АРТ-",""),"АРТ_",""),"/","-"),3)</f>
        <v>АРТ-062</v>
      </c>
      <c r="C278" s="4">
        <f>IFERROR(VALUE(TRIM(SUBSTITUTE(SUBSTITUTE(SUBSTITUTE(SUBSTITUTE(Продажи_исходные!C278," шт.","")," шт",""),"шт.",""),"шт",""))),0)</f>
        <v>3</v>
      </c>
      <c r="D278" s="4">
        <f>IF(LEFT(Продажи_исходные!D278,1)="$",VALUE(MID(Продажи_исходные!D278,2,255))*95,IF(LEFT(Продажи_исходные!D278,1)="€",VALUE(MID(Продажи_исходные!D278,2,255))*100,VALUE(SUBSTITUTE(SUBSTITUTE(Продажи_исходные!D278,"₽","")," ",""))))</f>
        <v>9975</v>
      </c>
      <c r="E278" t="str">
        <f>Продажи_исходные!E278</f>
        <v>C0277</v>
      </c>
      <c r="F278" t="str">
        <f>Продажи_исходные!F278</f>
        <v>P044</v>
      </c>
      <c r="G278" t="str">
        <f>IFERROR(VLOOKUP(Продажи_исходные!G278,Справочники!$G$2:$H$50,2,FALSE),Продажи_исходные!G278)</f>
        <v>Возврат</v>
      </c>
      <c r="H278" s="4">
        <f>IFERROR(VLOOKUP(B278,Товары_очищенные!$A$1:$G$1000,6,FALSE),"нет в каталоге")</f>
        <v>122500</v>
      </c>
      <c r="I278" t="str">
        <f>IFERROR(VLOOKUP(B278,Товары_очищенные!$A$1:$G$1000,3,FALSE),"нет в каталоге")</f>
        <v>Ноутбуки</v>
      </c>
      <c r="J278" t="str">
        <f t="shared" si="29"/>
        <v>OK</v>
      </c>
    </row>
    <row r="279">
      <c r="A279" s="8">
        <f>DATE(RIGHT(Продажи_исходные!A279,4),LEFT(Продажи_исходные!A279,2),MID(Продажи_исходные!A279,4,2))</f>
        <v>45810</v>
      </c>
      <c r="B279" t="str">
        <f>"АРТ-"&amp;LEFT(SUBSTITUTE(SUBSTITUTE(SUBSTITUTE(SUBSTITUTE(Продажи_исходные!B279,"№",""),"АРТ-",""),"АРТ_",""),"/","-"),3)</f>
        <v>АРТ-424</v>
      </c>
      <c r="C279" s="4">
        <f>IFERROR(VALUE(TRIM(SUBSTITUTE(SUBSTITUTE(SUBSTITUTE(SUBSTITUTE(Продажи_исходные!C279," шт.","")," шт",""),"шт.",""),"шт",""))),0)</f>
        <v>2</v>
      </c>
      <c r="D279" s="4">
        <f>IF(LEFT(Продажи_исходные!D279,1)="$",VALUE(MID(Продажи_исходные!D279,2,255))*95,IF(LEFT(Продажи_исходные!D279,1)="€",VALUE(MID(Продажи_исходные!D279,2,255))*100,VALUE(SUBSTITUTE(SUBSTITUTE(Продажи_исходные!D279,"₽","")," ",""))))</f>
        <v>8500</v>
      </c>
      <c r="E279" t="str">
        <f>Продажи_исходные!E279</f>
        <v>C0278</v>
      </c>
      <c r="F279" t="str">
        <f>Продажи_исходные!F279</f>
        <v>P001</v>
      </c>
      <c r="G279" t="str">
        <f>IFERROR(VLOOKUP(Продажи_исходные!G279,Справочники!$G$2:$H$50,2,FALSE),Продажи_исходные!G279)</f>
        <v>Завершен</v>
      </c>
      <c r="H279" s="4">
        <f>IFERROR(VLOOKUP(B279,Товары_очищенные!$A$1:$G$1000,6,FALSE),"нет в каталоге")</f>
        <v>48990</v>
      </c>
      <c r="I279" t="str">
        <f>IFERROR(VLOOKUP(B279,Товары_очищенные!$A$1:$G$1000,3,FALSE),"нет в каталоге")</f>
        <v>Смартфоны</v>
      </c>
      <c r="J279" t="str">
        <f t="shared" si="29"/>
        <v>OK</v>
      </c>
    </row>
    <row r="280">
      <c r="A280" s="8">
        <f>DATE(RIGHT(Продажи_исходные!A280,4),LEFT(Продажи_исходные!A280,2),MID(Продажи_исходные!A280,4,2))</f>
        <v>45811</v>
      </c>
      <c r="B280" t="str">
        <f>"АРТ-"&amp;LEFT(SUBSTITUTE(SUBSTITUTE(SUBSTITUTE(SUBSTITUTE(Продажи_исходные!B280,"№",""),"АРТ-",""),"АРТ_",""),"/","-"),3)</f>
        <v>АРТ-258</v>
      </c>
      <c r="C280" s="4">
        <f>IFERROR(VALUE(TRIM(SUBSTITUTE(SUBSTITUTE(SUBSTITUTE(SUBSTITUTE(Продажи_исходные!C280," шт.","")," шт",""),"шт.",""),"шт",""))),0)</f>
        <v>1</v>
      </c>
      <c r="D280" s="4">
        <f>IF(LEFT(Продажи_исходные!D280,1)="$",VALUE(MID(Продажи_исходные!D280,2,255))*95,IF(LEFT(Продажи_исходные!D280,1)="€",VALUE(MID(Продажи_исходные!D280,2,255))*100,VALUE(SUBSTITUTE(SUBSTITUTE(Продажи_исходные!D280,"₽","")," ",""))))</f>
        <v>7800</v>
      </c>
      <c r="E280" t="str">
        <f>Продажи_исходные!E280</f>
        <v>C0279</v>
      </c>
      <c r="F280" t="str">
        <f>Продажи_исходные!F280</f>
        <v>P021</v>
      </c>
      <c r="G280" t="str">
        <f>IFERROR(VLOOKUP(Продажи_исходные!G280,Справочники!$G$2:$H$50,2,FALSE),Продажи_исходные!G280)</f>
        <v>Завершен</v>
      </c>
      <c r="H280" s="4">
        <f>IFERROR(VLOOKUP(B280,Товары_очищенные!$A$1:$G$1000,6,FALSE),"нет в каталоге")</f>
        <v>39500</v>
      </c>
      <c r="I280" t="str">
        <f>IFERROR(VLOOKUP(B280,Товары_очищенные!$A$1:$G$1000,3,FALSE),"нет в каталоге")</f>
        <v>Смартфоны</v>
      </c>
      <c r="J280" t="str">
        <f t="shared" si="29"/>
        <v>OK</v>
      </c>
    </row>
    <row r="281">
      <c r="A281" s="8">
        <f>DATE(RIGHT(Продажи_исходные!A281,4),LEFT(Продажи_исходные!A281,2),MID(Продажи_исходные!A281,4,2))</f>
        <v>45811</v>
      </c>
      <c r="B281" t="str">
        <f>"АРТ-"&amp;LEFT(SUBSTITUTE(SUBSTITUTE(SUBSTITUTE(SUBSTITUTE(Продажи_исходные!B281,"№",""),"АРТ-",""),"АРТ_",""),"/","-"),3)</f>
        <v>АРТ-386</v>
      </c>
      <c r="C281" s="4">
        <f>IFERROR(VALUE(TRIM(SUBSTITUTE(SUBSTITUTE(SUBSTITUTE(SUBSTITUTE(Продажи_исходные!C281," шт.","")," шт",""),"шт.",""),"шт",""))),0)</f>
        <v>-3</v>
      </c>
      <c r="D281" s="4">
        <f>IF(LEFT(Продажи_исходные!D281,1)="$",VALUE(MID(Продажи_исходные!D281,2,255))*95,IF(LEFT(Продажи_исходные!D281,1)="€",VALUE(MID(Продажи_исходные!D281,2,255))*100,VALUE(SUBSTITUTE(SUBSTITUTE(Продажи_исходные!D281,"₽","")," ",""))))</f>
        <v>11400</v>
      </c>
      <c r="E281" t="str">
        <f>Продажи_исходные!E281</f>
        <v>C0280</v>
      </c>
      <c r="F281" t="str">
        <f>Продажи_исходные!F281</f>
        <v>P039</v>
      </c>
      <c r="G281" t="str">
        <f>IFERROR(VLOOKUP(Продажи_исходные!G281,Справочники!$G$2:$H$50,2,FALSE),Продажи_исходные!G281)</f>
        <v>Завершен</v>
      </c>
      <c r="H281" s="4">
        <f>IFERROR(VLOOKUP(B281,Товары_очищенные!$A$1:$G$1000,6,FALSE),"нет в каталоге")</f>
        <v>114000</v>
      </c>
      <c r="I281" t="str">
        <f>IFERROR(VLOOKUP(B281,Товары_очищенные!$A$1:$G$1000,3,FALSE),"нет в каталоге")</f>
        <v>Ноутбуки</v>
      </c>
      <c r="J281" t="str">
        <f t="shared" si="29"/>
        <v>OK</v>
      </c>
    </row>
    <row r="282">
      <c r="A282" s="8">
        <f>DATE(RIGHT(Продажи_исходные!A282,4),LEFT(Продажи_исходные!A282,2),MID(Продажи_исходные!A282,4,2))</f>
        <v>45812</v>
      </c>
      <c r="B282" t="str">
        <f>"АРТ-"&amp;LEFT(SUBSTITUTE(SUBSTITUTE(SUBSTITUTE(SUBSTITUTE(Продажи_исходные!B282,"№",""),"АРТ-",""),"АРТ_",""),"/","-"),3)</f>
        <v>АРТ-212</v>
      </c>
      <c r="C282" s="4">
        <f>IFERROR(VALUE(TRIM(SUBSTITUTE(SUBSTITUTE(SUBSTITUTE(SUBSTITUTE(Продажи_исходные!C282," шт.","")," шт",""),"шт.",""),"шт",""))),0)</f>
        <v>2</v>
      </c>
      <c r="D282" s="4">
        <f>IF(LEFT(Продажи_исходные!D282,1)="$",VALUE(MID(Продажи_исходные!D282,2,255))*95,IF(LEFT(Продажи_исходные!D282,1)="€",VALUE(MID(Продажи_исходные!D282,2,255))*100,VALUE(SUBSTITUTE(SUBSTITUTE(Продажи_исходные!D282,"₽","")," ",""))))</f>
        <v>10000</v>
      </c>
      <c r="E282" t="str">
        <f>Продажи_исходные!E282</f>
        <v>C0281</v>
      </c>
      <c r="F282" t="str">
        <f>Продажи_исходные!F282</f>
        <v>P050</v>
      </c>
      <c r="G282" t="str">
        <f>IFERROR(VLOOKUP(Продажи_исходные!G282,Справочники!$G$2:$H$50,2,FALSE),Продажи_исходные!G282)</f>
        <v>Отменен</v>
      </c>
      <c r="H282" s="4">
        <f>IFERROR(VLOOKUP(B282,Товары_очищенные!$A$1:$G$1000,6,FALSE),"нет в каталоге")</f>
        <v>58500</v>
      </c>
      <c r="I282" t="str">
        <f>IFERROR(VLOOKUP(B282,Товары_очищенные!$A$1:$G$1000,3,FALSE),"нет в каталоге")</f>
        <v>Смартфоны</v>
      </c>
      <c r="J282" t="str">
        <f t="shared" si="29"/>
        <v>OK</v>
      </c>
    </row>
    <row r="283">
      <c r="A283" s="8">
        <f>DATE(RIGHT(Продажи_исходные!A283,4),LEFT(Продажи_исходные!A283,2),MID(Продажи_исходные!A283,4,2))</f>
        <v>45812</v>
      </c>
      <c r="B283" t="str">
        <f>"АРТ-"&amp;LEFT(SUBSTITUTE(SUBSTITUTE(SUBSTITUTE(SUBSTITUTE(Продажи_исходные!B283,"№",""),"АРТ-",""),"АРТ_",""),"/","-"),3)</f>
        <v>АРТ-073</v>
      </c>
      <c r="C283" s="4">
        <f>IFERROR(VALUE(TRIM(SUBSTITUTE(SUBSTITUTE(SUBSTITUTE(SUBSTITUTE(Продажи_исходные!C283," шт.","")," шт",""),"шт.",""),"шт",""))),0)</f>
        <v>1</v>
      </c>
      <c r="D283" s="4">
        <f>IF(LEFT(Продажи_исходные!D283,1)="$",VALUE(MID(Продажи_исходные!D283,2,255))*95,IF(LEFT(Продажи_исходные!D283,1)="€",VALUE(MID(Продажи_исходные!D283,2,255))*100,VALUE(SUBSTITUTE(SUBSTITUTE(Продажи_исходные!D283,"₽","")," ",""))))</f>
        <v>9200</v>
      </c>
      <c r="E283" t="str">
        <f>Продажи_исходные!E283</f>
        <v>C0282</v>
      </c>
      <c r="F283" t="str">
        <f>Продажи_исходные!F283</f>
        <v>P011</v>
      </c>
      <c r="G283" t="str">
        <f>IFERROR(VLOOKUP(Продажи_исходные!G283,Справочники!$G$2:$H$50,2,FALSE),Продажи_исходные!G283)</f>
        <v>Отменен</v>
      </c>
      <c r="H283" s="4">
        <f>IFERROR(VLOOKUP(B283,Товары_очищенные!$A$1:$G$1000,6,FALSE),"нет в каталоге")</f>
        <v>79900</v>
      </c>
      <c r="I283" t="str">
        <f>IFERROR(VLOOKUP(B283,Товары_очищенные!$A$1:$G$1000,3,FALSE),"нет в каталоге")</f>
        <v>Мониторы</v>
      </c>
      <c r="J283" t="str">
        <f t="shared" si="29"/>
        <v>OK</v>
      </c>
    </row>
    <row r="284">
      <c r="A284" s="8">
        <f>DATE(RIGHT(Продажи_исходные!A284,4),LEFT(Продажи_исходные!A284,2),MID(Продажи_исходные!A284,4,2))</f>
        <v>45813</v>
      </c>
      <c r="B284" t="str">
        <f>"АРТ-"&amp;LEFT(SUBSTITUTE(SUBSTITUTE(SUBSTITUTE(SUBSTITUTE(Продажи_исходные!B284,"№",""),"АРТ-",""),"АРТ_",""),"/","-"),3)</f>
        <v>АРТ-331</v>
      </c>
      <c r="C284" s="4">
        <f>IFERROR(VALUE(TRIM(SUBSTITUTE(SUBSTITUTE(SUBSTITUTE(SUBSTITUTE(Продажи_исходные!C284," шт.","")," шт",""),"шт.",""),"шт",""))),0)</f>
        <v>3</v>
      </c>
      <c r="D284" s="4">
        <f>IF(LEFT(Продажи_исходные!D284,1)="$",VALUE(MID(Продажи_исходные!D284,2,255))*95,IF(LEFT(Продажи_исходные!D284,1)="€",VALUE(MID(Продажи_исходные!D284,2,255))*100,VALUE(SUBSTITUTE(SUBSTITUTE(Продажи_исходные!D284,"₽","")," ",""))))</f>
        <v>8550</v>
      </c>
      <c r="E284" t="str">
        <f>Продажи_исходные!E284</f>
        <v>C0283</v>
      </c>
      <c r="F284" t="str">
        <f>Продажи_исходные!F284</f>
        <v>P027</v>
      </c>
      <c r="G284" t="str">
        <f>IFERROR(VLOOKUP(Продажи_исходные!G284,Справочники!$G$2:$H$50,2,FALSE),Продажи_исходные!G284)</f>
        <v>Возврат</v>
      </c>
      <c r="H284" s="4">
        <f>IFERROR(VLOOKUP(B284,Товары_очищенные!$A$1:$G$1000,6,FALSE),"нет в каталоге")</f>
        <v>69990</v>
      </c>
      <c r="I284" t="str">
        <f>IFERROR(VLOOKUP(B284,Товары_очищенные!$A$1:$G$1000,3,FALSE),"нет в каталоге")</f>
        <v>Часы</v>
      </c>
      <c r="J284" t="str">
        <f t="shared" si="29"/>
        <v>OK</v>
      </c>
    </row>
    <row r="285">
      <c r="A285" s="8">
        <f>DATE(RIGHT(Продажи_исходные!A285,4),LEFT(Продажи_исходные!A285,2),MID(Продажи_исходные!A285,4,2))</f>
        <v>45813</v>
      </c>
      <c r="B285" t="str">
        <f>"АРТ-"&amp;LEFT(SUBSTITUTE(SUBSTITUTE(SUBSTITUTE(SUBSTITUTE(Продажи_исходные!B285,"№",""),"АРТ-",""),"АРТ_",""),"/","-"),3)</f>
        <v>АРТ-457</v>
      </c>
      <c r="C285" s="4">
        <f>IFERROR(VALUE(TRIM(SUBSTITUTE(SUBSTITUTE(SUBSTITUTE(SUBSTITUTE(Продажи_исходные!C285," шт.","")," шт",""),"шт.",""),"шт",""))),0)</f>
        <v>2</v>
      </c>
      <c r="D285" s="4">
        <f>IF(LEFT(Продажи_исходные!D285,1)="$",VALUE(MID(Продажи_исходные!D285,2,255))*95,IF(LEFT(Продажи_исходные!D285,1)="€",VALUE(MID(Продажи_исходные!D285,2,255))*100,VALUE(SUBSTITUTE(SUBSTITUTE(Продажи_исходные!D285,"₽","")," ",""))))</f>
        <v>7000</v>
      </c>
      <c r="E285" t="str">
        <f>Продажи_исходные!E285</f>
        <v>C0284</v>
      </c>
      <c r="F285" t="str">
        <f>Продажи_исходные!F285</f>
        <v>P018</v>
      </c>
      <c r="G285" t="str">
        <f>IFERROR(VLOOKUP(Продажи_исходные!G285,Справочники!$G$2:$H$50,2,FALSE),Продажи_исходные!G285)</f>
        <v>Завершен</v>
      </c>
      <c r="H285" s="4">
        <f>IFERROR(VLOOKUP(B285,Товары_очищенные!$A$1:$G$1000,6,FALSE),"нет в каталоге")</f>
        <v>6990</v>
      </c>
      <c r="I285" t="str">
        <f>IFERROR(VLOOKUP(B285,Товары_очищенные!$A$1:$G$1000,3,FALSE),"нет в каталоге")</f>
        <v>Аксессуары</v>
      </c>
      <c r="J285" t="str">
        <f t="shared" si="29"/>
        <v>OK</v>
      </c>
    </row>
    <row r="286">
      <c r="A286" s="8">
        <f>DATE(RIGHT(Продажи_исходные!A286,4),LEFT(Продажи_исходные!A286,2),MID(Продажи_исходные!A286,4,2))</f>
        <v>45814</v>
      </c>
      <c r="B286" t="str">
        <f>"АРТ-"&amp;LEFT(SUBSTITUTE(SUBSTITUTE(SUBSTITUTE(SUBSTITUTE(Продажи_исходные!B286,"№",""),"АРТ-",""),"АРТ_",""),"/","-"),3)</f>
        <v>АРТ-359</v>
      </c>
      <c r="C286" s="4">
        <f>IFERROR(VALUE(TRIM(SUBSTITUTE(SUBSTITUTE(SUBSTITUTE(SUBSTITUTE(Продажи_исходные!C286," шт.","")," шт",""),"шт.",""),"шт",""))),0)</f>
        <v>1</v>
      </c>
      <c r="D286" s="4">
        <f>IF(LEFT(Продажи_исходные!D286,1)="$",VALUE(MID(Продажи_исходные!D286,2,255))*95,IF(LEFT(Продажи_исходные!D286,1)="€",VALUE(MID(Продажи_исходные!D286,2,255))*100,VALUE(SUBSTITUTE(SUBSTITUTE(Продажи_исходные!D286,"₽","")," ",""))))</f>
        <v>6500</v>
      </c>
      <c r="E286" t="str">
        <f>Продажи_исходные!E286</f>
        <v>C0285</v>
      </c>
      <c r="F286" t="str">
        <f>Продажи_исходные!F286</f>
        <v>P040</v>
      </c>
      <c r="G286" t="str">
        <f>IFERROR(VLOOKUP(Продажи_исходные!G286,Справочники!$G$2:$H$50,2,FALSE),Продажи_исходные!G286)</f>
        <v>Завершен</v>
      </c>
      <c r="H286" s="4">
        <f>IFERROR(VLOOKUP(B286,Товары_очищенные!$A$1:$G$1000,6,FALSE),"нет в каталоге")</f>
        <v>58000</v>
      </c>
      <c r="I286" t="str">
        <f>IFERROR(VLOOKUP(B286,Товары_очищенные!$A$1:$G$1000,3,FALSE),"нет в каталоге")</f>
        <v>Планшеты</v>
      </c>
      <c r="J286" t="str">
        <f t="shared" si="29"/>
        <v>OK</v>
      </c>
    </row>
    <row r="287">
      <c r="A287" s="8">
        <f>DATE(RIGHT(Продажи_исходные!A287,4),LEFT(Продажи_исходные!A287,2),MID(Продажи_исходные!A287,4,2))</f>
        <v>45814</v>
      </c>
      <c r="B287" t="str">
        <f>"АРТ-"&amp;LEFT(SUBSTITUTE(SUBSTITUTE(SUBSTITUTE(SUBSTITUTE(Продажи_исходные!B287,"№",""),"АРТ-",""),"АРТ_",""),"/","-"),3)</f>
        <v>АРТ-053</v>
      </c>
      <c r="C287" s="4">
        <f>IFERROR(VALUE(TRIM(SUBSTITUTE(SUBSTITUTE(SUBSTITUTE(SUBSTITUTE(Продажи_исходные!C287," шт.","")," шт",""),"шт.",""),"шт",""))),0)</f>
        <v>-1</v>
      </c>
      <c r="D287" s="4">
        <f>IF(LEFT(Продажи_исходные!D287,1)="$",VALUE(MID(Продажи_исходные!D287,2,255))*95,IF(LEFT(Продажи_исходные!D287,1)="€",VALUE(MID(Продажи_исходные!D287,2,255))*100,VALUE(SUBSTITUTE(SUBSTITUTE(Продажи_исходные!D287,"₽","")," ",""))))</f>
        <v>10450</v>
      </c>
      <c r="E287" t="str">
        <f>Продажи_исходные!E287</f>
        <v>C0286</v>
      </c>
      <c r="F287" t="str">
        <f>Продажи_исходные!F287</f>
        <v>P003</v>
      </c>
      <c r="G287" t="str">
        <f>IFERROR(VLOOKUP(Продажи_исходные!G287,Справочники!$G$2:$H$50,2,FALSE),Продажи_исходные!G287)</f>
        <v>Завершен</v>
      </c>
      <c r="H287" s="4">
        <f>IFERROR(VLOOKUP(B287,Товары_очищенные!$A$1:$G$1000,6,FALSE),"нет в каталоге")</f>
        <v>68000</v>
      </c>
      <c r="I287" t="str">
        <f>IFERROR(VLOOKUP(B287,Товары_очищенные!$A$1:$G$1000,3,FALSE),"нет в каталоге")</f>
        <v>Мониторы</v>
      </c>
      <c r="J287" t="str">
        <f t="shared" si="29"/>
        <v>OK</v>
      </c>
    </row>
    <row r="288">
      <c r="A288" s="8">
        <f>DATE(RIGHT(Продажи_исходные!A288,4),LEFT(Продажи_исходные!A288,2),MID(Продажи_исходные!A288,4,2))</f>
        <v>45815</v>
      </c>
      <c r="B288" t="str">
        <f>"АРТ-"&amp;LEFT(SUBSTITUTE(SUBSTITUTE(SUBSTITUTE(SUBSTITUTE(Продажи_исходные!B288,"№",""),"АРТ-",""),"АРТ_",""),"/","-"),3)</f>
        <v>АРТ-395</v>
      </c>
      <c r="C288" s="4">
        <f>IFERROR(VALUE(TRIM(SUBSTITUTE(SUBSTITUTE(SUBSTITUTE(SUBSTITUTE(Продажи_исходные!C288," шт.","")," шт",""),"шт.",""),"шт",""))),0)</f>
        <v>3</v>
      </c>
      <c r="D288" s="4">
        <f>IF(LEFT(Продажи_исходные!D288,1)="$",VALUE(MID(Продажи_исходные!D288,2,255))*95,IF(LEFT(Продажи_исходные!D288,1)="€",VALUE(MID(Продажи_исходные!D288,2,255))*100,VALUE(SUBSTITUTE(SUBSTITUTE(Продажи_исходные!D288,"₽","")," ",""))))</f>
        <v>9000</v>
      </c>
      <c r="E288" t="str">
        <f>Продажи_исходные!E288</f>
        <v>C0287</v>
      </c>
      <c r="F288" t="str">
        <f>Продажи_исходные!F288</f>
        <v>P025</v>
      </c>
      <c r="G288" t="str">
        <f>IFERROR(VLOOKUP(Продажи_исходные!G288,Справочники!$G$2:$H$50,2,FALSE),Продажи_исходные!G288)</f>
        <v>Отменен</v>
      </c>
      <c r="H288" s="4">
        <f>IFERROR(VLOOKUP(B288,Товары_очищенные!$A$1:$G$1000,6,FALSE),"нет в каталоге")</f>
        <v>62500</v>
      </c>
      <c r="I288" t="str">
        <f>IFERROR(VLOOKUP(B288,Товары_очищенные!$A$1:$G$1000,3,FALSE),"нет в каталоге")</f>
        <v>Мониторы</v>
      </c>
      <c r="J288" t="str">
        <f t="shared" si="29"/>
        <v>OK</v>
      </c>
    </row>
    <row r="289">
      <c r="A289" s="8">
        <f>DATE(RIGHT(Продажи_исходные!A289,4),LEFT(Продажи_исходные!A289,2),MID(Продажи_исходные!A289,4,2))</f>
        <v>45815</v>
      </c>
      <c r="B289" t="str">
        <f>"АРТ-"&amp;LEFT(SUBSTITUTE(SUBSTITUTE(SUBSTITUTE(SUBSTITUTE(Продажи_исходные!B289,"№",""),"АРТ-",""),"АРТ_",""),"/","-"),3)</f>
        <v>АРТ-104</v>
      </c>
      <c r="C289" s="4">
        <f>IFERROR(VALUE(TRIM(SUBSTITUTE(SUBSTITUTE(SUBSTITUTE(SUBSTITUTE(Продажи_исходные!C289," шт.","")," шт",""),"шт.",""),"шт",""))),0)</f>
        <v>2</v>
      </c>
      <c r="D289" s="4">
        <f>IF(LEFT(Продажи_исходные!D289,1)="$",VALUE(MID(Продажи_исходные!D289,2,255))*95,IF(LEFT(Продажи_исходные!D289,1)="€",VALUE(MID(Продажи_исходные!D289,2,255))*100,VALUE(SUBSTITUTE(SUBSTITUTE(Продажи_исходные!D289,"₽","")," ",""))))</f>
        <v>8000</v>
      </c>
      <c r="E289" t="str">
        <f>Продажи_исходные!E289</f>
        <v>C0288</v>
      </c>
      <c r="F289" t="str">
        <f>Продажи_исходные!F289</f>
        <v>P010</v>
      </c>
      <c r="G289" t="str">
        <f>IFERROR(VLOOKUP(Продажи_исходные!G289,Справочники!$G$2:$H$50,2,FALSE),Продажи_исходные!G289)</f>
        <v>Отменен</v>
      </c>
      <c r="H289" s="4">
        <f>IFERROR(VLOOKUP(B289,Товары_очищенные!$A$1:$G$1000,6,FALSE),"нет в каталоге")</f>
        <v>147000</v>
      </c>
      <c r="I289" t="str">
        <f>IFERROR(VLOOKUP(B289,Товары_очищенные!$A$1:$G$1000,3,FALSE),"нет в каталоге")</f>
        <v>Ноутбуки</v>
      </c>
      <c r="J289" t="str">
        <f t="shared" si="29"/>
        <v>OK</v>
      </c>
    </row>
    <row r="290">
      <c r="A290" s="8">
        <f>DATE(RIGHT(Продажи_исходные!A290,4),LEFT(Продажи_исходные!A290,2),MID(Продажи_исходные!A290,4,2))</f>
        <v>45816</v>
      </c>
      <c r="B290" t="str">
        <f>"АРТ-"&amp;LEFT(SUBSTITUTE(SUBSTITUTE(SUBSTITUTE(SUBSTITUTE(Продажи_исходные!B290,"№",""),"АРТ-",""),"АРТ_",""),"/","-"),3)</f>
        <v>АРТ-203</v>
      </c>
      <c r="C290" s="4">
        <f>IFERROR(VALUE(TRIM(SUBSTITUTE(SUBSTITUTE(SUBSTITUTE(SUBSTITUTE(Продажи_исходные!C290," шт.","")," шт",""),"шт.",""),"шт",""))),0)</f>
        <v>1</v>
      </c>
      <c r="D290" s="4">
        <f>IF(LEFT(Продажи_исходные!D290,1)="$",VALUE(MID(Продажи_исходные!D290,2,255))*95,IF(LEFT(Продажи_исходные!D290,1)="€",VALUE(MID(Продажи_исходные!D290,2,255))*100,VALUE(SUBSTITUTE(SUBSTITUTE(Продажи_исходные!D290,"₽","")," ",""))))</f>
        <v>9025</v>
      </c>
      <c r="E290" t="str">
        <f>Продажи_исходные!E290</f>
        <v>C0289</v>
      </c>
      <c r="F290" t="str">
        <f>Продажи_исходные!F290</f>
        <v>P033</v>
      </c>
      <c r="G290" t="str">
        <f>IFERROR(VLOOKUP(Продажи_исходные!G290,Справочники!$G$2:$H$50,2,FALSE),Продажи_исходные!G290)</f>
        <v>Завершен</v>
      </c>
      <c r="H290" s="4">
        <f>IFERROR(VLOOKUP(B290,Товары_очищенные!$A$1:$G$1000,6,FALSE),"нет в каталоге")</f>
        <v>9200</v>
      </c>
      <c r="I290" t="str">
        <f>IFERROR(VLOOKUP(B290,Товары_очищенные!$A$1:$G$1000,3,FALSE),"нет в каталоге")</f>
        <v>Наушники</v>
      </c>
      <c r="J290" t="str">
        <f t="shared" si="29"/>
        <v>OK</v>
      </c>
    </row>
    <row r="291">
      <c r="A291" s="8">
        <f>DATE(RIGHT(Продажи_исходные!A291,4),LEFT(Продажи_исходные!A291,2),MID(Продажи_исходные!A291,4,2))</f>
        <v>45816</v>
      </c>
      <c r="B291" t="str">
        <f>"АРТ-"&amp;LEFT(SUBSTITUTE(SUBSTITUTE(SUBSTITUTE(SUBSTITUTE(Продажи_исходные!B291,"№",""),"АРТ-",""),"АРТ_",""),"/","-"),3)</f>
        <v>АРТ-303</v>
      </c>
      <c r="C291" s="4">
        <f>IFERROR(VALUE(TRIM(SUBSTITUTE(SUBSTITUTE(SUBSTITUTE(SUBSTITUTE(Продажи_исходные!C291," шт.","")," шт",""),"шт.",""),"шт",""))),0)</f>
        <v>2</v>
      </c>
      <c r="D291" s="4">
        <f>IF(LEFT(Продажи_исходные!D291,1)="$",VALUE(MID(Продажи_исходные!D291,2,255))*95,IF(LEFT(Продажи_исходные!D291,1)="€",VALUE(MID(Продажи_исходные!D291,2,255))*100,VALUE(SUBSTITUTE(SUBSTITUTE(Продажи_исходные!D291,"₽","")," ",""))))</f>
        <v>7500</v>
      </c>
      <c r="E291" t="str">
        <f>Продажи_исходные!E291</f>
        <v>C0290</v>
      </c>
      <c r="F291" t="str">
        <f>Продажи_исходные!F291</f>
        <v>P047</v>
      </c>
      <c r="G291" t="str">
        <f>IFERROR(VLOOKUP(Продажи_исходные!G291,Справочники!$G$2:$H$50,2,FALSE),Продажи_исходные!G291)</f>
        <v>Возврат</v>
      </c>
      <c r="H291" s="4">
        <f>IFERROR(VLOOKUP(B291,Товары_очищенные!$A$1:$G$1000,6,FALSE),"нет в каталоге")</f>
        <v>8800</v>
      </c>
      <c r="I291" t="str">
        <f>IFERROR(VLOOKUP(B291,Товары_очищенные!$A$1:$G$1000,3,FALSE),"нет в каталоге")</f>
        <v>Наушники</v>
      </c>
      <c r="J291" t="str">
        <f t="shared" si="29"/>
        <v>OK</v>
      </c>
    </row>
    <row r="292">
      <c r="A292" s="8">
        <f>DATE(RIGHT(Продажи_исходные!A292,4),LEFT(Продажи_исходные!A292,2),MID(Продажи_исходные!A292,4,2))</f>
        <v>45817</v>
      </c>
      <c r="B292" t="str">
        <f>"АРТ-"&amp;LEFT(SUBSTITUTE(SUBSTITUTE(SUBSTITUTE(SUBSTITUTE(Продажи_исходные!B292,"№",""),"АРТ-",""),"АРТ_",""),"/","-"),3)</f>
        <v>АРТ-259</v>
      </c>
      <c r="C292" s="4">
        <f>IFERROR(VALUE(TRIM(SUBSTITUTE(SUBSTITUTE(SUBSTITUTE(SUBSTITUTE(Продажи_исходные!C292," шт.","")," шт",""),"шт.",""),"шт",""))),0)</f>
        <v>3</v>
      </c>
      <c r="D292" s="4">
        <f>IF(LEFT(Продажи_исходные!D292,1)="$",VALUE(MID(Продажи_исходные!D292,2,255))*95,IF(LEFT(Продажи_исходные!D292,1)="€",VALUE(MID(Продажи_исходные!D292,2,255))*100,VALUE(SUBSTITUTE(SUBSTITUTE(Продажи_исходные!D292,"₽","")," ",""))))</f>
        <v>7000</v>
      </c>
      <c r="E292" t="str">
        <f>Продажи_исходные!E292</f>
        <v>C0291</v>
      </c>
      <c r="F292" t="str">
        <f>Продажи_исходные!F292</f>
        <v>P020</v>
      </c>
      <c r="G292" t="str">
        <f>IFERROR(VLOOKUP(Продажи_исходные!G292,Справочники!$G$2:$H$50,2,FALSE),Продажи_исходные!G292)</f>
        <v>Завершен</v>
      </c>
      <c r="H292" s="4">
        <f>IFERROR(VLOOKUP(B292,Товары_очищенные!$A$1:$G$1000,6,FALSE),"нет в каталоге")</f>
        <v>92990</v>
      </c>
      <c r="I292" t="str">
        <f>IFERROR(VLOOKUP(B292,Товары_очищенные!$A$1:$G$1000,3,FALSE),"нет в каталоге")</f>
        <v>Телевизоры</v>
      </c>
      <c r="J292" t="str">
        <f t="shared" ref="J292:J355" si="30">IF(D292&gt;0,"OK","Некорректная цена")</f>
        <v>OK</v>
      </c>
    </row>
    <row r="293">
      <c r="A293" s="8">
        <f>DATE(RIGHT(Продажи_исходные!A293,4),LEFT(Продажи_исходные!A293,2),MID(Продажи_исходные!A293,4,2))</f>
        <v>45817</v>
      </c>
      <c r="B293" t="str">
        <f>"АРТ-"&amp;LEFT(SUBSTITUTE(SUBSTITUTE(SUBSTITUTE(SUBSTITUTE(Продажи_исходные!B293,"№",""),"АРТ-",""),"АРТ_",""),"/","-"),3)</f>
        <v>АРТ-344</v>
      </c>
      <c r="C293" s="4">
        <f>IFERROR(VALUE(TRIM(SUBSTITUTE(SUBSTITUTE(SUBSTITUTE(SUBSTITUTE(Продажи_исходные!C293," шт.","")," шт",""),"шт.",""),"шт",""))),0)</f>
        <v>-2</v>
      </c>
      <c r="D293" s="4">
        <f>IF(LEFT(Продажи_исходные!D293,1)="$",VALUE(MID(Продажи_исходные!D293,2,255))*95,IF(LEFT(Продажи_исходные!D293,1)="€",VALUE(MID(Продажи_исходные!D293,2,255))*100,VALUE(SUBSTITUTE(SUBSTITUTE(Продажи_исходные!D293,"₽","")," ",""))))</f>
        <v>10925</v>
      </c>
      <c r="E293" t="str">
        <f>Продажи_исходные!E293</f>
        <v>C0292</v>
      </c>
      <c r="F293" t="str">
        <f>Продажи_исходные!F293</f>
        <v>P002</v>
      </c>
      <c r="G293" t="str">
        <f>IFERROR(VLOOKUP(Продажи_исходные!G293,Справочники!$G$2:$H$50,2,FALSE),Продажи_исходные!G293)</f>
        <v>Завершен</v>
      </c>
      <c r="H293" s="4">
        <f>IFERROR(VLOOKUP(B293,Товары_очищенные!$A$1:$G$1000,6,FALSE),"нет в каталоге")</f>
        <v>82000</v>
      </c>
      <c r="I293" t="str">
        <f>IFERROR(VLOOKUP(B293,Товары_очищенные!$A$1:$G$1000,3,FALSE),"нет в каталоге")</f>
        <v>Телевизоры</v>
      </c>
      <c r="J293" t="str">
        <f t="shared" si="30"/>
        <v>OK</v>
      </c>
    </row>
    <row r="294">
      <c r="A294" s="8">
        <f>DATE(RIGHT(Продажи_исходные!A294,4),LEFT(Продажи_исходные!A294,2),MID(Продажи_исходные!A294,4,2))</f>
        <v>45818</v>
      </c>
      <c r="B294" t="str">
        <f>"АРТ-"&amp;LEFT(SUBSTITUTE(SUBSTITUTE(SUBSTITUTE(SUBSTITUTE(Продажи_исходные!B294,"№",""),"АРТ-",""),"АРТ_",""),"/","-"),3)</f>
        <v>АРТ-179</v>
      </c>
      <c r="C294" s="4">
        <f>IFERROR(VALUE(TRIM(SUBSTITUTE(SUBSTITUTE(SUBSTITUTE(SUBSTITUTE(Продажи_исходные!C294," шт.","")," шт",""),"шт.",""),"шт",""))),0)</f>
        <v>1</v>
      </c>
      <c r="D294" s="4">
        <f>IF(LEFT(Продажи_исходные!D294,1)="$",VALUE(MID(Продажи_исходные!D294,2,255))*95,IF(LEFT(Продажи_исходные!D294,1)="€",VALUE(MID(Продажи_исходные!D294,2,255))*100,VALUE(SUBSTITUTE(SUBSTITUTE(Продажи_исходные!D294,"₽","")," ",""))))</f>
        <v>9500</v>
      </c>
      <c r="E294" t="str">
        <f>Продажи_исходные!E294</f>
        <v>C0293</v>
      </c>
      <c r="F294" t="str">
        <f>Продажи_исходные!F294</f>
        <v>P038</v>
      </c>
      <c r="G294" t="str">
        <f>IFERROR(VLOOKUP(Продажи_исходные!G294,Справочники!$G$2:$H$50,2,FALSE),Продажи_исходные!G294)</f>
        <v>Завершен</v>
      </c>
      <c r="H294" s="4">
        <f>IFERROR(VLOOKUP(B294,Товары_очищенные!$A$1:$G$1000,6,FALSE),"нет в каталоге")</f>
        <v>13000</v>
      </c>
      <c r="I294" t="str">
        <f>IFERROR(VLOOKUP(B294,Товары_очищенные!$A$1:$G$1000,3,FALSE),"нет в каталоге")</f>
        <v>Наушники</v>
      </c>
      <c r="J294" t="str">
        <f t="shared" si="30"/>
        <v>OK</v>
      </c>
    </row>
    <row r="295">
      <c r="A295" s="8">
        <f>DATE(RIGHT(Продажи_исходные!A295,4),LEFT(Продажи_исходные!A295,2),MID(Продажи_исходные!A295,4,2))</f>
        <v>45818</v>
      </c>
      <c r="B295" t="str">
        <f>"АРТ-"&amp;LEFT(SUBSTITUTE(SUBSTITUTE(SUBSTITUTE(SUBSTITUTE(Продажи_исходные!B295,"№",""),"АРТ-",""),"АРТ_",""),"/","-"),3)</f>
        <v>АРТ-168</v>
      </c>
      <c r="C295" s="4">
        <f>IFERROR(VALUE(TRIM(SUBSTITUTE(SUBSTITUTE(SUBSTITUTE(SUBSTITUTE(Продажи_исходные!C295," шт.","")," шт",""),"шт.",""),"шт",""))),0)</f>
        <v>2</v>
      </c>
      <c r="D295" s="4">
        <f>IF(LEFT(Продажи_исходные!D295,1)="$",VALUE(MID(Продажи_исходные!D295,2,255))*95,IF(LEFT(Продажи_исходные!D295,1)="€",VALUE(MID(Продажи_исходные!D295,2,255))*100,VALUE(SUBSTITUTE(SUBSTITUTE(Продажи_исходные!D295,"₽","")," ",""))))</f>
        <v>8500</v>
      </c>
      <c r="E295" t="str">
        <f>Продажи_исходные!E295</f>
        <v>C0294</v>
      </c>
      <c r="F295" t="str">
        <f>Продажи_исходные!F295</f>
        <v>P016</v>
      </c>
      <c r="G295" t="str">
        <f>IFERROR(VLOOKUP(Продажи_исходные!G295,Справочники!$G$2:$H$50,2,FALSE),Продажи_исходные!G295)</f>
        <v>Отменен</v>
      </c>
      <c r="H295" s="4">
        <f>IFERROR(VLOOKUP(B295,Товары_очищенные!$A$1:$G$1000,6,FALSE),"нет в каталоге")</f>
        <v>85000</v>
      </c>
      <c r="I295" t="str">
        <f>IFERROR(VLOOKUP(B295,Товары_очищенные!$A$1:$G$1000,3,FALSE),"нет в каталоге")</f>
        <v>Планшеты</v>
      </c>
      <c r="J295" t="str">
        <f t="shared" si="30"/>
        <v>OK</v>
      </c>
    </row>
    <row r="296">
      <c r="A296" s="8">
        <f>DATE(RIGHT(Продажи_исходные!A296,4),LEFT(Продажи_исходные!A296,2),MID(Продажи_исходные!A296,4,2))</f>
        <v>45819</v>
      </c>
      <c r="B296" t="str">
        <f>"АРТ-"&amp;LEFT(SUBSTITUTE(SUBSTITUTE(SUBSTITUTE(SUBSTITUTE(Продажи_исходные!B296,"№",""),"АРТ-",""),"АРТ_",""),"/","-"),3)</f>
        <v>АРТ-049</v>
      </c>
      <c r="C296" s="4">
        <f>IFERROR(VALUE(TRIM(SUBSTITUTE(SUBSTITUTE(SUBSTITUTE(SUBSTITUTE(Продажи_исходные!C296," шт.","")," шт",""),"шт.",""),"шт",""))),0)</f>
        <v>3</v>
      </c>
      <c r="D296" s="4">
        <f>IF(LEFT(Продажи_исходные!D296,1)="$",VALUE(MID(Продажи_исходные!D296,2,255))*95,IF(LEFT(Продажи_исходные!D296,1)="€",VALUE(MID(Продажи_исходные!D296,2,255))*100,VALUE(SUBSTITUTE(SUBSTITUTE(Продажи_исходные!D296,"₽","")," ",""))))</f>
        <v>9975</v>
      </c>
      <c r="E296" t="str">
        <f>Продажи_исходные!E296</f>
        <v>C0295</v>
      </c>
      <c r="F296" t="str">
        <f>Продажи_исходные!F296</f>
        <v>P029</v>
      </c>
      <c r="G296" t="str">
        <f>IFERROR(VLOOKUP(Продажи_исходные!G296,Справочники!$G$2:$H$50,2,FALSE),Продажи_исходные!G296)</f>
        <v>Отменен</v>
      </c>
      <c r="H296" s="4">
        <f>IFERROR(VLOOKUP(B296,Товары_очищенные!$A$1:$G$1000,6,FALSE),"нет в каталоге")</f>
        <v>54999</v>
      </c>
      <c r="I296" t="str">
        <f>IFERROR(VLOOKUP(B296,Товары_очищенные!$A$1:$G$1000,3,FALSE),"нет в каталоге")</f>
        <v>Смартфоны</v>
      </c>
      <c r="J296" t="str">
        <f t="shared" si="30"/>
        <v>OK</v>
      </c>
    </row>
    <row r="297">
      <c r="A297" s="8">
        <f>DATE(RIGHT(Продажи_исходные!A297,4),LEFT(Продажи_исходные!A297,2),MID(Продажи_исходные!A297,4,2))</f>
        <v>45819</v>
      </c>
      <c r="B297" t="str">
        <f>"АРТ-"&amp;LEFT(SUBSTITUTE(SUBSTITUTE(SUBSTITUTE(SUBSTITUTE(Продажи_исходные!B297,"№",""),"АРТ-",""),"АРТ_",""),"/","-"),3)</f>
        <v>АРТ-431</v>
      </c>
      <c r="C297" s="4">
        <f>IFERROR(VALUE(TRIM(SUBSTITUTE(SUBSTITUTE(SUBSTITUTE(SUBSTITUTE(Продажи_исходные!C297," шт.","")," шт",""),"шт.",""),"шт",""))),0)</f>
        <v>2</v>
      </c>
      <c r="D297" s="4">
        <f>IF(LEFT(Продажи_исходные!D297,1)="$",VALUE(MID(Продажи_исходные!D297,2,255))*95,IF(LEFT(Продажи_исходные!D297,1)="€",VALUE(MID(Продажи_исходные!D297,2,255))*100,VALUE(SUBSTITUTE(SUBSTITUTE(Продажи_исходные!D297,"₽","")," ",""))))</f>
        <v>8500</v>
      </c>
      <c r="E297" t="str">
        <f>Продажи_исходные!E297</f>
        <v>C0296</v>
      </c>
      <c r="F297" t="str">
        <f>Продажи_исходные!F297</f>
        <v>P035</v>
      </c>
      <c r="G297" t="str">
        <f>IFERROR(VLOOKUP(Продажи_исходные!G297,Справочники!$G$2:$H$50,2,FALSE),Продажи_исходные!G297)</f>
        <v>Возврат</v>
      </c>
      <c r="H297" s="4">
        <f>IFERROR(VLOOKUP(B297,Товары_очищенные!$A$1:$G$1000,6,FALSE),"нет в каталоге")</f>
        <v>14000</v>
      </c>
      <c r="I297" t="str">
        <f>IFERROR(VLOOKUP(B297,Товары_очищенные!$A$1:$G$1000,3,FALSE),"нет в каталоге")</f>
        <v>Наушники</v>
      </c>
      <c r="J297" t="str">
        <f t="shared" si="30"/>
        <v>OK</v>
      </c>
    </row>
    <row r="298">
      <c r="A298" s="8">
        <f>DATE(RIGHT(Продажи_исходные!A298,4),LEFT(Продажи_исходные!A298,2),MID(Продажи_исходные!A298,4,2))</f>
        <v>45820</v>
      </c>
      <c r="B298" t="str">
        <f>"АРТ-"&amp;LEFT(SUBSTITUTE(SUBSTITUTE(SUBSTITUTE(SUBSTITUTE(Продажи_исходные!B298,"№",""),"АРТ-",""),"АРТ_",""),"/","-"),3)</f>
        <v>АРТ-325</v>
      </c>
      <c r="C298" s="4">
        <f>IFERROR(VALUE(TRIM(SUBSTITUTE(SUBSTITUTE(SUBSTITUTE(SUBSTITUTE(Продажи_исходные!C298," шт.","")," шт",""),"шт.",""),"шт",""))),0)</f>
        <v>1</v>
      </c>
      <c r="D298" s="4">
        <f>IF(LEFT(Продажи_исходные!D298,1)="$",VALUE(MID(Продажи_исходные!D298,2,255))*95,IF(LEFT(Продажи_исходные!D298,1)="€",VALUE(MID(Продажи_исходные!D298,2,255))*100,VALUE(SUBSTITUTE(SUBSTITUTE(Продажи_исходные!D298,"₽","")," ",""))))</f>
        <v>7800</v>
      </c>
      <c r="E298" t="str">
        <f>Продажи_исходные!E298</f>
        <v>C0297</v>
      </c>
      <c r="F298" t="str">
        <f>Продажи_исходные!F298</f>
        <v>P046</v>
      </c>
      <c r="G298" t="str">
        <f>IFERROR(VLOOKUP(Продажи_исходные!G298,Справочники!$G$2:$H$50,2,FALSE),Продажи_исходные!G298)</f>
        <v>Завершен</v>
      </c>
      <c r="H298" s="4">
        <f>IFERROR(VLOOKUP(B298,Товары_очищенные!$A$1:$G$1000,6,FALSE),"нет в каталоге")</f>
        <v>66990</v>
      </c>
      <c r="I298" t="str">
        <f>IFERROR(VLOOKUP(B298,Товары_очищенные!$A$1:$G$1000,3,FALSE),"нет в каталоге")</f>
        <v>Мониторы</v>
      </c>
      <c r="J298" t="str">
        <f t="shared" si="30"/>
        <v>OK</v>
      </c>
    </row>
    <row r="299">
      <c r="A299" s="8">
        <f>DATE(RIGHT(Продажи_исходные!A299,4),LEFT(Продажи_исходные!A299,2),MID(Продажи_исходные!A299,4,2))</f>
        <v>45820</v>
      </c>
      <c r="B299" t="str">
        <f>"АРТ-"&amp;LEFT(SUBSTITUTE(SUBSTITUTE(SUBSTITUTE(SUBSTITUTE(Продажи_исходные!B299,"№",""),"АРТ-",""),"АРТ_",""),"/","-"),3)</f>
        <v>АРТ-291</v>
      </c>
      <c r="C299" s="4">
        <f>IFERROR(VALUE(TRIM(SUBSTITUTE(SUBSTITUTE(SUBSTITUTE(SUBSTITUTE(Продажи_исходные!C299," шт.","")," шт",""),"шт.",""),"шт",""))),0)</f>
        <v>-3</v>
      </c>
      <c r="D299" s="4">
        <f>IF(LEFT(Продажи_исходные!D299,1)="$",VALUE(MID(Продажи_исходные!D299,2,255))*95,IF(LEFT(Продажи_исходные!D299,1)="€",VALUE(MID(Продажи_исходные!D299,2,255))*100,VALUE(SUBSTITUTE(SUBSTITUTE(Продажи_исходные!D299,"₽","")," ",""))))</f>
        <v>11400</v>
      </c>
      <c r="E299" t="str">
        <f>Продажи_исходные!E299</f>
        <v>C0298</v>
      </c>
      <c r="F299" t="str">
        <f>Продажи_исходные!F299</f>
        <v>P022</v>
      </c>
      <c r="G299" t="str">
        <f>IFERROR(VLOOKUP(Продажи_исходные!G299,Справочники!$G$2:$H$50,2,FALSE),Продажи_исходные!G299)</f>
        <v>Завершен</v>
      </c>
      <c r="H299" s="4">
        <f>IFERROR(VLOOKUP(B299,Товары_очищенные!$A$1:$G$1000,6,FALSE),"нет в каталоге")</f>
        <v>65000</v>
      </c>
      <c r="I299" t="str">
        <f>IFERROR(VLOOKUP(B299,Товары_очищенные!$A$1:$G$1000,3,FALSE),"нет в каталоге")</f>
        <v>Часы</v>
      </c>
      <c r="J299" t="str">
        <f t="shared" si="30"/>
        <v>OK</v>
      </c>
    </row>
    <row r="300">
      <c r="A300" s="8">
        <f>DATE(RIGHT(Продажи_исходные!A300,4),LEFT(Продажи_исходные!A300,2),MID(Продажи_исходные!A300,4,2))</f>
        <v>45821</v>
      </c>
      <c r="B300" t="str">
        <f>"АРТ-"&amp;LEFT(SUBSTITUTE(SUBSTITUTE(SUBSTITUTE(SUBSTITUTE(Продажи_исходные!B300,"№",""),"АРТ-",""),"АРТ_",""),"/","-"),3)</f>
        <v>АРТ-268</v>
      </c>
      <c r="C300" s="4">
        <f>IFERROR(VALUE(TRIM(SUBSTITUTE(SUBSTITUTE(SUBSTITUTE(SUBSTITUTE(Продажи_исходные!C300," шт.","")," шт",""),"шт.",""),"шт",""))),0)</f>
        <v>2</v>
      </c>
      <c r="D300" s="4">
        <f>IF(LEFT(Продажи_исходные!D300,1)="$",VALUE(MID(Продажи_исходные!D300,2,255))*95,IF(LEFT(Продажи_исходные!D300,1)="€",VALUE(MID(Продажи_исходные!D300,2,255))*100,VALUE(SUBSTITUTE(SUBSTITUTE(Продажи_исходные!D300,"₽","")," ",""))))</f>
        <v>10000</v>
      </c>
      <c r="E300" t="str">
        <f>Продажи_исходные!E300</f>
        <v>C0299</v>
      </c>
      <c r="F300" t="str">
        <f>Продажи_исходные!F300</f>
        <v>P043</v>
      </c>
      <c r="G300" t="str">
        <f>IFERROR(VLOOKUP(Продажи_исходные!G300,Справочники!$G$2:$H$50,2,FALSE),Продажи_исходные!G300)</f>
        <v>Завершен</v>
      </c>
      <c r="H300" s="4">
        <f>IFERROR(VLOOKUP(B300,Товары_очищенные!$A$1:$G$1000,6,FALSE),"нет в каталоге")</f>
        <v>22990</v>
      </c>
      <c r="I300" t="str">
        <f>IFERROR(VLOOKUP(B300,Товары_очищенные!$A$1:$G$1000,3,FALSE),"нет в каталоге")</f>
        <v>Аксессуары</v>
      </c>
      <c r="J300" t="str">
        <f t="shared" si="30"/>
        <v>OK</v>
      </c>
    </row>
    <row r="301">
      <c r="A301" s="8">
        <f>DATE(RIGHT(Продажи_исходные!A301,4),LEFT(Продажи_исходные!A301,2),MID(Продажи_исходные!A301,4,2))</f>
        <v>45821</v>
      </c>
      <c r="B301" t="str">
        <f>"АРТ-"&amp;LEFT(SUBSTITUTE(SUBSTITUTE(SUBSTITUTE(SUBSTITUTE(Продажи_исходные!B301,"№",""),"АРТ-",""),"АРТ_",""),"/","-"),3)</f>
        <v>АРТ-187</v>
      </c>
      <c r="C301" s="4">
        <f>IFERROR(VALUE(TRIM(SUBSTITUTE(SUBSTITUTE(SUBSTITUTE(SUBSTITUTE(Продажи_исходные!C301," шт.","")," шт",""),"шт.",""),"шт",""))),0)</f>
        <v>1</v>
      </c>
      <c r="D301" s="4">
        <f>IF(LEFT(Продажи_исходные!D301,1)="$",VALUE(MID(Продажи_исходные!D301,2,255))*95,IF(LEFT(Продажи_исходные!D301,1)="€",VALUE(MID(Продажи_исходные!D301,2,255))*100,VALUE(SUBSTITUTE(SUBSTITUTE(Продажи_исходные!D301,"₽","")," ",""))))</f>
        <v>9200</v>
      </c>
      <c r="E301" t="str">
        <f>Продажи_исходные!E301</f>
        <v>C0300</v>
      </c>
      <c r="F301" t="str">
        <f>Продажи_исходные!F301</f>
        <v>P030</v>
      </c>
      <c r="G301" t="str">
        <f>IFERROR(VLOOKUP(Продажи_исходные!G301,Справочники!$G$2:$H$50,2,FALSE),Продажи_исходные!G301)</f>
        <v>Отменен</v>
      </c>
      <c r="H301" s="4">
        <f>IFERROR(VLOOKUP(B301,Товары_очищенные!$A$1:$G$1000,6,FALSE),"нет в каталоге")</f>
        <v>49990</v>
      </c>
      <c r="I301" t="str">
        <f>IFERROR(VLOOKUP(B301,Товары_очищенные!$A$1:$G$1000,3,FALSE),"нет в каталоге")</f>
        <v>Часы</v>
      </c>
      <c r="J301" t="str">
        <f t="shared" si="30"/>
        <v>OK</v>
      </c>
    </row>
    <row r="302">
      <c r="A302" s="8">
        <f>DATE(RIGHT(Продажи_исходные!A302,4),LEFT(Продажи_исходные!A302,2),MID(Продажи_исходные!A302,4,2))</f>
        <v>45822</v>
      </c>
      <c r="B302" t="str">
        <f>"АРТ-"&amp;LEFT(SUBSTITUTE(SUBSTITUTE(SUBSTITUTE(SUBSTITUTE(Продажи_исходные!B302,"№",""),"АРТ-",""),"АРТ_",""),"/","-"),3)</f>
        <v>АРТ-138</v>
      </c>
      <c r="C302" s="4">
        <f>IFERROR(VALUE(TRIM(SUBSTITUTE(SUBSTITUTE(SUBSTITUTE(SUBSTITUTE(Продажи_исходные!C302," шт.","")," шт",""),"шт.",""),"шт",""))),0)</f>
        <v>3</v>
      </c>
      <c r="D302" s="4">
        <f>IF(LEFT(Продажи_исходные!D302,1)="$",VALUE(MID(Продажи_исходные!D302,2,255))*95,IF(LEFT(Продажи_исходные!D302,1)="€",VALUE(MID(Продажи_исходные!D302,2,255))*100,VALUE(SUBSTITUTE(SUBSTITUTE(Продажи_исходные!D302,"₽","")," ",""))))</f>
        <v>8550</v>
      </c>
      <c r="E302" t="str">
        <f>Продажи_исходные!E302</f>
        <v>C0301</v>
      </c>
      <c r="F302" t="str">
        <f>Продажи_исходные!F302</f>
        <v>P012</v>
      </c>
      <c r="G302" t="str">
        <f>IFERROR(VLOOKUP(Продажи_исходные!G302,Справочники!$G$2:$H$50,2,FALSE),Продажи_исходные!G302)</f>
        <v>Отменен</v>
      </c>
      <c r="H302" s="4">
        <f>IFERROR(VLOOKUP(B302,Товары_очищенные!$A$1:$G$1000,6,FALSE),"нет в каталоге")</f>
        <v>24000</v>
      </c>
      <c r="I302" t="str">
        <f>IFERROR(VLOOKUP(B302,Товары_очищенные!$A$1:$G$1000,3,FALSE),"нет в каталоге")</f>
        <v>Наушники</v>
      </c>
      <c r="J302" t="str">
        <f t="shared" si="30"/>
        <v>OK</v>
      </c>
    </row>
    <row r="303">
      <c r="A303" s="8">
        <f>DATE(RIGHT(Продажи_исходные!A303,4),LEFT(Продажи_исходные!A303,2),MID(Продажи_исходные!A303,4,2))</f>
        <v>45822</v>
      </c>
      <c r="B303" t="str">
        <f>"АРТ-"&amp;LEFT(SUBSTITUTE(SUBSTITUTE(SUBSTITUTE(SUBSTITUTE(Продажи_исходные!B303,"№",""),"АРТ-",""),"АРТ_",""),"/","-"),3)</f>
        <v>АРТ-486</v>
      </c>
      <c r="C303" s="4">
        <f>IFERROR(VALUE(TRIM(SUBSTITUTE(SUBSTITUTE(SUBSTITUTE(SUBSTITUTE(Продажи_исходные!C303," шт.","")," шт",""),"шт.",""),"шт",""))),0)</f>
        <v>2</v>
      </c>
      <c r="D303" s="4">
        <f>IF(LEFT(Продажи_исходные!D303,1)="$",VALUE(MID(Продажи_исходные!D303,2,255))*95,IF(LEFT(Продажи_исходные!D303,1)="€",VALUE(MID(Продажи_исходные!D303,2,255))*100,VALUE(SUBSTITUTE(SUBSTITUTE(Продажи_исходные!D303,"₽","")," ",""))))</f>
        <v>7000</v>
      </c>
      <c r="E303" t="str">
        <f>Продажи_исходные!E303</f>
        <v>C0302</v>
      </c>
      <c r="F303" t="str">
        <f>Продажи_исходные!F303</f>
        <v>P007</v>
      </c>
      <c r="G303" t="str">
        <f>IFERROR(VLOOKUP(Продажи_исходные!G303,Справочники!$G$2:$H$50,2,FALSE),Продажи_исходные!G303)</f>
        <v>Завершен</v>
      </c>
      <c r="H303" s="4">
        <f>IFERROR(VLOOKUP(B303,Товары_очищенные!$A$1:$G$1000,6,FALSE),"нет в каталоге")</f>
        <v>35500</v>
      </c>
      <c r="I303" t="str">
        <f>IFERROR(VLOOKUP(B303,Товары_очищенные!$A$1:$G$1000,3,FALSE),"нет в каталоге")</f>
        <v>Смартфоны</v>
      </c>
      <c r="J303" t="str">
        <f t="shared" si="30"/>
        <v>OK</v>
      </c>
    </row>
    <row r="304">
      <c r="A304" s="8">
        <f>DATE(RIGHT(Продажи_исходные!A304,4),LEFT(Продажи_исходные!A304,2),MID(Продажи_исходные!A304,4,2))</f>
        <v>45823</v>
      </c>
      <c r="B304" t="str">
        <f>"АРТ-"&amp;LEFT(SUBSTITUTE(SUBSTITUTE(SUBSTITUTE(SUBSTITUTE(Продажи_исходные!B304,"№",""),"АРТ-",""),"АРТ_",""),"/","-"),3)</f>
        <v>АРТ-347</v>
      </c>
      <c r="C304" s="4">
        <f>IFERROR(VALUE(TRIM(SUBSTITUTE(SUBSTITUTE(SUBSTITUTE(SUBSTITUTE(Продажи_исходные!C304," шт.","")," шт",""),"шт.",""),"шт",""))),0)</f>
        <v>1</v>
      </c>
      <c r="D304" s="4">
        <f>IF(LEFT(Продажи_исходные!D304,1)="$",VALUE(MID(Продажи_исходные!D304,2,255))*95,IF(LEFT(Продажи_исходные!D304,1)="€",VALUE(MID(Продажи_исходные!D304,2,255))*100,VALUE(SUBSTITUTE(SUBSTITUTE(Продажи_исходные!D304,"₽","")," ",""))))</f>
        <v>6500</v>
      </c>
      <c r="E304" t="str">
        <f>Продажи_исходные!E304</f>
        <v>C0303</v>
      </c>
      <c r="F304" t="str">
        <f>Продажи_исходные!F304</f>
        <v>P023</v>
      </c>
      <c r="G304" t="str">
        <f>IFERROR(VLOOKUP(Продажи_исходные!G304,Справочники!$G$2:$H$50,2,FALSE),Продажи_исходные!G304)</f>
        <v>Возврат</v>
      </c>
      <c r="H304" s="4">
        <f>IFERROR(VLOOKUP(B304,Товары_очищенные!$A$1:$G$1000,6,FALSE),"нет в каталоге")</f>
        <v>19000</v>
      </c>
      <c r="I304" t="str">
        <f>IFERROR(VLOOKUP(B304,Товары_очищенные!$A$1:$G$1000,3,FALSE),"нет в каталоге")</f>
        <v>Наушники</v>
      </c>
      <c r="J304" t="str">
        <f t="shared" si="30"/>
        <v>OK</v>
      </c>
    </row>
    <row r="305">
      <c r="A305" s="8">
        <f>DATE(RIGHT(Продажи_исходные!A305,4),LEFT(Продажи_исходные!A305,2),MID(Продажи_исходные!A305,4,2))</f>
        <v>45823</v>
      </c>
      <c r="B305" t="str">
        <f>"АРТ-"&amp;LEFT(SUBSTITUTE(SUBSTITUTE(SUBSTITUTE(SUBSTITUTE(Продажи_исходные!B305,"№",""),"АРТ-",""),"АРТ_",""),"/","-"),3)</f>
        <v>АРТ-381</v>
      </c>
      <c r="C305" s="4">
        <f>IFERROR(VALUE(TRIM(SUBSTITUTE(SUBSTITUTE(SUBSTITUTE(SUBSTITUTE(Продажи_исходные!C305," шт.","")," шт",""),"шт.",""),"шт",""))),0)</f>
        <v>-1</v>
      </c>
      <c r="D305" s="4">
        <f>IF(LEFT(Продажи_исходные!D305,1)="$",VALUE(MID(Продажи_исходные!D305,2,255))*95,IF(LEFT(Продажи_исходные!D305,1)="€",VALUE(MID(Продажи_исходные!D305,2,255))*100,VALUE(SUBSTITUTE(SUBSTITUTE(Продажи_исходные!D305,"₽","")," ",""))))</f>
        <v>10450</v>
      </c>
      <c r="E305" t="str">
        <f>Продажи_исходные!E305</f>
        <v>C0304</v>
      </c>
      <c r="F305" t="str">
        <f>Продажи_исходные!F305</f>
        <v>P045</v>
      </c>
      <c r="G305" t="str">
        <f>IFERROR(VLOOKUP(Продажи_исходные!G305,Справочники!$G$2:$H$50,2,FALSE),Продажи_исходные!G305)</f>
        <v>Завершен</v>
      </c>
      <c r="H305" s="4">
        <f>IFERROR(VLOOKUP(B305,Товары_очищенные!$A$1:$G$1000,6,FALSE),"нет в каталоге")</f>
        <v>38500</v>
      </c>
      <c r="I305" t="str">
        <f>IFERROR(VLOOKUP(B305,Товары_очищенные!$A$1:$G$1000,3,FALSE),"нет в каталоге")</f>
        <v>Планшеты</v>
      </c>
      <c r="J305" t="str">
        <f t="shared" si="30"/>
        <v>OK</v>
      </c>
    </row>
    <row r="306">
      <c r="A306" s="8">
        <f>DATE(RIGHT(Продажи_исходные!A306,4),LEFT(Продажи_исходные!A306,2),MID(Продажи_исходные!A306,4,2))</f>
        <v>45824</v>
      </c>
      <c r="B306" t="str">
        <f>"АРТ-"&amp;LEFT(SUBSTITUTE(SUBSTITUTE(SUBSTITUTE(SUBSTITUTE(Продажи_исходные!B306,"№",""),"АРТ-",""),"АРТ_",""),"/","-"),3)</f>
        <v>АРТ-219</v>
      </c>
      <c r="C306" s="4">
        <f>IFERROR(VALUE(TRIM(SUBSTITUTE(SUBSTITUTE(SUBSTITUTE(SUBSTITUTE(Продажи_исходные!C306," шт.","")," шт",""),"шт.",""),"шт",""))),0)</f>
        <v>3</v>
      </c>
      <c r="D306" s="4">
        <f>IF(LEFT(Продажи_исходные!D306,1)="$",VALUE(MID(Продажи_исходные!D306,2,255))*95,IF(LEFT(Продажи_исходные!D306,1)="€",VALUE(MID(Продажи_исходные!D306,2,255))*100,VALUE(SUBSTITUTE(SUBSTITUTE(Продажи_исходные!D306,"₽","")," ",""))))</f>
        <v>9000</v>
      </c>
      <c r="E306" t="str">
        <f>Продажи_исходные!E306</f>
        <v>C0305</v>
      </c>
      <c r="F306" t="str">
        <f>Продажи_исходные!F306</f>
        <v>P008</v>
      </c>
      <c r="G306" t="str">
        <f>IFERROR(VLOOKUP(Продажи_исходные!G306,Справочники!$G$2:$H$50,2,FALSE),Продажи_исходные!G306)</f>
        <v>Завершен</v>
      </c>
      <c r="H306" s="4">
        <f>IFERROR(VLOOKUP(B306,Товары_очищенные!$A$1:$G$1000,6,FALSE),"нет в каталоге")</f>
        <v>72000</v>
      </c>
      <c r="I306" t="str">
        <f>IFERROR(VLOOKUP(B306,Товары_очищенные!$A$1:$G$1000,3,FALSE),"нет в каталоге")</f>
        <v>Телевизоры</v>
      </c>
      <c r="J306" t="str">
        <f t="shared" si="30"/>
        <v>OK</v>
      </c>
    </row>
    <row r="307">
      <c r="A307" s="8">
        <f>DATE(RIGHT(Продажи_исходные!A307,4),LEFT(Продажи_исходные!A307,2),MID(Продажи_исходные!A307,4,2))</f>
        <v>45824</v>
      </c>
      <c r="B307" t="str">
        <f>"АРТ-"&amp;LEFT(SUBSTITUTE(SUBSTITUTE(SUBSTITUTE(SUBSTITUTE(Продажи_исходные!B307,"№",""),"АРТ-",""),"АРТ_",""),"/","-"),3)</f>
        <v>АРТ-263</v>
      </c>
      <c r="C307" s="4">
        <f>IFERROR(VALUE(TRIM(SUBSTITUTE(SUBSTITUTE(SUBSTITUTE(SUBSTITUTE(Продажи_исходные!C307," шт.","")," шт",""),"шт.",""),"шт",""))),0)</f>
        <v>2</v>
      </c>
      <c r="D307" s="4">
        <f>IF(LEFT(Продажи_исходные!D307,1)="$",VALUE(MID(Продажи_исходные!D307,2,255))*95,IF(LEFT(Продажи_исходные!D307,1)="€",VALUE(MID(Продажи_исходные!D307,2,255))*100,VALUE(SUBSTITUTE(SUBSTITUTE(Продажи_исходные!D307,"₽","")," ",""))))</f>
        <v>8000</v>
      </c>
      <c r="E307" t="str">
        <f>Продажи_исходные!E307</f>
        <v>C0306</v>
      </c>
      <c r="F307" t="str">
        <f>Продажи_исходные!F307</f>
        <v>P031</v>
      </c>
      <c r="G307" t="str">
        <f>IFERROR(VLOOKUP(Продажи_исходные!G307,Справочники!$G$2:$H$50,2,FALSE),Продажи_исходные!G307)</f>
        <v>Завершен</v>
      </c>
      <c r="H307" s="4">
        <f>IFERROR(VLOOKUP(B307,Товары_очищенные!$A$1:$G$1000,6,FALSE),"нет в каталоге")</f>
        <v>11000</v>
      </c>
      <c r="I307" t="str">
        <f>IFERROR(VLOOKUP(B307,Товары_очищенные!$A$1:$G$1000,3,FALSE),"нет в каталоге")</f>
        <v>Наушники</v>
      </c>
      <c r="J307" t="str">
        <f t="shared" si="30"/>
        <v>OK</v>
      </c>
    </row>
    <row r="308">
      <c r="A308" s="8">
        <f>DATE(RIGHT(Продажи_исходные!A308,4),LEFT(Продажи_исходные!A308,2),MID(Продажи_исходные!A308,4,2))</f>
        <v>45825</v>
      </c>
      <c r="B308" t="str">
        <f>"АРТ-"&amp;LEFT(SUBSTITUTE(SUBSTITUTE(SUBSTITUTE(SUBSTITUTE(Продажи_исходные!B308,"№",""),"АРТ-",""),"АРТ_",""),"/","-"),3)</f>
        <v>АРТ-101</v>
      </c>
      <c r="C308" s="4">
        <f>IFERROR(VALUE(TRIM(SUBSTITUTE(SUBSTITUTE(SUBSTITUTE(SUBSTITUTE(Продажи_исходные!C308," шт.","")," шт",""),"шт.",""),"шт",""))),0)</f>
        <v>1</v>
      </c>
      <c r="D308" s="4">
        <f>IF(LEFT(Продажи_исходные!D308,1)="$",VALUE(MID(Продажи_исходные!D308,2,255))*95,IF(LEFT(Продажи_исходные!D308,1)="€",VALUE(MID(Продажи_исходные!D308,2,255))*100,VALUE(SUBSTITUTE(SUBSTITUTE(Продажи_исходные!D308,"₽","")," ",""))))</f>
        <v>9025</v>
      </c>
      <c r="E308" t="str">
        <f>Продажи_исходные!E308</f>
        <v>C0307</v>
      </c>
      <c r="F308" t="str">
        <f>Продажи_исходные!F308</f>
        <v>P019</v>
      </c>
      <c r="G308" t="str">
        <f>IFERROR(VLOOKUP(Продажи_исходные!G308,Справочники!$G$2:$H$50,2,FALSE),Продажи_исходные!G308)</f>
        <v>Отменен</v>
      </c>
      <c r="H308" s="4">
        <f>IFERROR(VLOOKUP(B308,Товары_очищенные!$A$1:$G$1000,6,FALSE),"нет в каталоге")</f>
        <v>55500</v>
      </c>
      <c r="I308" t="str">
        <f>IFERROR(VLOOKUP(B308,Товары_очищенные!$A$1:$G$1000,3,FALSE),"нет в каталоге")</f>
        <v>Планшеты</v>
      </c>
      <c r="J308" t="str">
        <f t="shared" si="30"/>
        <v>OK</v>
      </c>
    </row>
    <row r="309">
      <c r="A309" s="8">
        <f>DATE(RIGHT(Продажи_исходные!A309,4),LEFT(Продажи_исходные!A309,2),MID(Продажи_исходные!A309,4,2))</f>
        <v>45825</v>
      </c>
      <c r="B309" t="str">
        <f>"АРТ-"&amp;LEFT(SUBSTITUTE(SUBSTITUTE(SUBSTITUTE(SUBSTITUTE(Продажи_исходные!B309,"№",""),"АРТ-",""),"АРТ_",""),"/","-"),3)</f>
        <v>АРТ-457</v>
      </c>
      <c r="C309" s="4">
        <f>IFERROR(VALUE(TRIM(SUBSTITUTE(SUBSTITUTE(SUBSTITUTE(SUBSTITUTE(Продажи_исходные!C309," шт.","")," шт",""),"шт.",""),"шт",""))),0)</f>
        <v>2</v>
      </c>
      <c r="D309" s="4">
        <f>IF(LEFT(Продажи_исходные!D309,1)="$",VALUE(MID(Продажи_исходные!D309,2,255))*95,IF(LEFT(Продажи_исходные!D309,1)="€",VALUE(MID(Продажи_исходные!D309,2,255))*100,VALUE(SUBSTITUTE(SUBSTITUTE(Продажи_исходные!D309,"₽","")," ",""))))</f>
        <v>7500</v>
      </c>
      <c r="E309" t="str">
        <f>Продажи_исходные!E309</f>
        <v>C0308</v>
      </c>
      <c r="F309" t="str">
        <f>Продажи_исходные!F309</f>
        <v>P042</v>
      </c>
      <c r="G309" t="str">
        <f>IFERROR(VLOOKUP(Продажи_исходные!G309,Справочники!$G$2:$H$50,2,FALSE),Продажи_исходные!G309)</f>
        <v>Отменен</v>
      </c>
      <c r="H309" s="4">
        <f>IFERROR(VLOOKUP(B309,Товары_очищенные!$A$1:$G$1000,6,FALSE),"нет в каталоге")</f>
        <v>6990</v>
      </c>
      <c r="I309" t="str">
        <f>IFERROR(VLOOKUP(B309,Товары_очищенные!$A$1:$G$1000,3,FALSE),"нет в каталоге")</f>
        <v>Аксессуары</v>
      </c>
      <c r="J309" t="str">
        <f t="shared" si="30"/>
        <v>OK</v>
      </c>
    </row>
    <row r="310">
      <c r="A310" s="8">
        <f>DATE(RIGHT(Продажи_исходные!A310,4),LEFT(Продажи_исходные!A310,2),MID(Продажи_исходные!A310,4,2))</f>
        <v>45826</v>
      </c>
      <c r="B310" t="str">
        <f>"АРТ-"&amp;LEFT(SUBSTITUTE(SUBSTITUTE(SUBSTITUTE(SUBSTITUTE(Продажи_исходные!B310,"№",""),"АРТ-",""),"АРТ_",""),"/","-"),3)</f>
        <v>АРТ-380</v>
      </c>
      <c r="C310" s="4">
        <f>IFERROR(VALUE(TRIM(SUBSTITUTE(SUBSTITUTE(SUBSTITUTE(SUBSTITUTE(Продажи_исходные!C310," шт.","")," шт",""),"шт.",""),"шт",""))),0)</f>
        <v>3</v>
      </c>
      <c r="D310" s="4">
        <f>IF(LEFT(Продажи_исходные!D310,1)="$",VALUE(MID(Продажи_исходные!D310,2,255))*95,IF(LEFT(Продажи_исходные!D310,1)="€",VALUE(MID(Продажи_исходные!D310,2,255))*100,VALUE(SUBSTITUTE(SUBSTITUTE(Продажи_исходные!D310,"₽","")," ",""))))</f>
        <v>7000</v>
      </c>
      <c r="E310" t="str">
        <f>Продажи_исходные!E310</f>
        <v>C0309</v>
      </c>
      <c r="F310" t="str">
        <f>Продажи_исходные!F310</f>
        <v>P005</v>
      </c>
      <c r="G310" t="str">
        <f>IFERROR(VLOOKUP(Продажи_исходные!G310,Справочники!$G$2:$H$50,2,FALSE),Продажи_исходные!G310)</f>
        <v>Возврат</v>
      </c>
      <c r="H310" s="4">
        <f>IFERROR(VLOOKUP(B310,Товары_очищенные!$A$1:$G$1000,6,FALSE),"нет в каталоге")</f>
        <v>35500</v>
      </c>
      <c r="I310" t="str">
        <f>IFERROR(VLOOKUP(B310,Товары_очищенные!$A$1:$G$1000,3,FALSE),"нет в каталоге")</f>
        <v>Планшеты</v>
      </c>
      <c r="J310" t="str">
        <f t="shared" si="30"/>
        <v>OK</v>
      </c>
    </row>
    <row r="311">
      <c r="A311" s="8">
        <f>DATE(RIGHT(Продажи_исходные!A311,4),LEFT(Продажи_исходные!A311,2),MID(Продажи_исходные!A311,4,2))</f>
        <v>45826</v>
      </c>
      <c r="B311" t="str">
        <f>"АРТ-"&amp;LEFT(SUBSTITUTE(SUBSTITUTE(SUBSTITUTE(SUBSTITUTE(Продажи_исходные!B311,"№",""),"АРТ-",""),"АРТ_",""),"/","-"),3)</f>
        <v>АРТ-234</v>
      </c>
      <c r="C311" s="4">
        <f>IFERROR(VALUE(TRIM(SUBSTITUTE(SUBSTITUTE(SUBSTITUTE(SUBSTITUTE(Продажи_исходные!C311," шт.","")," шт",""),"шт.",""),"шт",""))),0)</f>
        <v>-2</v>
      </c>
      <c r="D311" s="4">
        <f>IF(LEFT(Продажи_исходные!D311,1)="$",VALUE(MID(Продажи_исходные!D311,2,255))*95,IF(LEFT(Продажи_исходные!D311,1)="€",VALUE(MID(Продажи_исходные!D311,2,255))*100,VALUE(SUBSTITUTE(SUBSTITUTE(Продажи_исходные!D311,"₽","")," ",""))))</f>
        <v>10925</v>
      </c>
      <c r="E311" t="str">
        <f>Продажи_исходные!E311</f>
        <v>C0310</v>
      </c>
      <c r="F311" t="str">
        <f>Продажи_исходные!F311</f>
        <v>P036</v>
      </c>
      <c r="G311" t="str">
        <f>IFERROR(VLOOKUP(Продажи_исходные!G311,Справочники!$G$2:$H$50,2,FALSE),Продажи_исходные!G311)</f>
        <v>Завершен</v>
      </c>
      <c r="H311" s="4">
        <f>IFERROR(VLOOKUP(B311,Товары_очищенные!$A$1:$G$1000,6,FALSE),"нет в каталоге")</f>
        <v>44500</v>
      </c>
      <c r="I311" t="str">
        <f>IFERROR(VLOOKUP(B311,Товары_очищенные!$A$1:$G$1000,3,FALSE),"нет в каталоге")</f>
        <v>Смартфоны</v>
      </c>
      <c r="J311" t="str">
        <f t="shared" si="30"/>
        <v>OK</v>
      </c>
    </row>
    <row r="312">
      <c r="A312" s="8">
        <f>DATE(RIGHT(Продажи_исходные!A312,4),LEFT(Продажи_исходные!A312,2),MID(Продажи_исходные!A312,4,2))</f>
        <v>45827</v>
      </c>
      <c r="B312" t="str">
        <f>"АРТ-"&amp;LEFT(SUBSTITUTE(SUBSTITUTE(SUBSTITUTE(SUBSTITUTE(Продажи_исходные!B312,"№",""),"АРТ-",""),"АРТ_",""),"/","-"),3)</f>
        <v>АРТ-306</v>
      </c>
      <c r="C312" s="4">
        <f>IFERROR(VALUE(TRIM(SUBSTITUTE(SUBSTITUTE(SUBSTITUTE(SUBSTITUTE(Продажи_исходные!C312," шт.","")," шт",""),"шт.",""),"шт",""))),0)</f>
        <v>1</v>
      </c>
      <c r="D312" s="4">
        <f>IF(LEFT(Продажи_исходные!D312,1)="$",VALUE(MID(Продажи_исходные!D312,2,255))*95,IF(LEFT(Продажи_исходные!D312,1)="€",VALUE(MID(Продажи_исходные!D312,2,255))*100,VALUE(SUBSTITUTE(SUBSTITUTE(Продажи_исходные!D312,"₽","")," ",""))))</f>
        <v>9500</v>
      </c>
      <c r="E312" t="str">
        <f>Продажи_исходные!E312</f>
        <v>C0311</v>
      </c>
      <c r="F312" t="str">
        <f>Продажи_исходные!F312</f>
        <v>P014</v>
      </c>
      <c r="G312" t="str">
        <f>IFERROR(VLOOKUP(Продажи_исходные!G312,Справочники!$G$2:$H$50,2,FALSE),Продажи_исходные!G312)</f>
        <v>Завершен</v>
      </c>
      <c r="H312" s="4">
        <f>IFERROR(VLOOKUP(B312,Товары_очищенные!$A$1:$G$1000,6,FALSE),"нет в каталоге")</f>
        <v>62000</v>
      </c>
      <c r="I312" t="str">
        <f>IFERROR(VLOOKUP(B312,Товары_очищенные!$A$1:$G$1000,3,FALSE),"нет в каталоге")</f>
        <v>Мониторы</v>
      </c>
      <c r="J312" t="str">
        <f t="shared" si="30"/>
        <v>OK</v>
      </c>
    </row>
    <row r="313">
      <c r="A313" s="8">
        <f>DATE(RIGHT(Продажи_исходные!A313,4),LEFT(Продажи_исходные!A313,2),MID(Продажи_исходные!A313,4,2))</f>
        <v>45827</v>
      </c>
      <c r="B313" t="str">
        <f>"АРТ-"&amp;LEFT(SUBSTITUTE(SUBSTITUTE(SUBSTITUTE(SUBSTITUTE(Продажи_исходные!B313,"№",""),"АРТ-",""),"АРТ_",""),"/","-"),3)</f>
        <v>АРТ-158</v>
      </c>
      <c r="C313" s="4">
        <f>IFERROR(VALUE(TRIM(SUBSTITUTE(SUBSTITUTE(SUBSTITUTE(SUBSTITUTE(Продажи_исходные!C313," шт.","")," шт",""),"шт.",""),"шт",""))),0)</f>
        <v>2</v>
      </c>
      <c r="D313" s="4">
        <f>IF(LEFT(Продажи_исходные!D313,1)="$",VALUE(MID(Продажи_исходные!D313,2,255))*95,IF(LEFT(Продажи_исходные!D313,1)="€",VALUE(MID(Продажи_исходные!D313,2,255))*100,VALUE(SUBSTITUTE(SUBSTITUTE(Продажи_исходные!D313,"₽","")," ",""))))</f>
        <v>8500</v>
      </c>
      <c r="E313" t="str">
        <f>Продажи_исходные!E313</f>
        <v>C0312</v>
      </c>
      <c r="F313" t="str">
        <f>Продажи_исходные!F313</f>
        <v>P028</v>
      </c>
      <c r="G313" t="str">
        <f>IFERROR(VLOOKUP(Продажи_исходные!G313,Справочники!$G$2:$H$50,2,FALSE),Продажи_исходные!G313)</f>
        <v>Завершен</v>
      </c>
      <c r="H313" s="4">
        <f>IFERROR(VLOOKUP(B313,Товары_очищенные!$A$1:$G$1000,6,FALSE),"нет в каталоге")</f>
        <v>90000</v>
      </c>
      <c r="I313" t="str">
        <f>IFERROR(VLOOKUP(B313,Товары_очищенные!$A$1:$G$1000,3,FALSE),"нет в каталоге")</f>
        <v>Мониторы</v>
      </c>
      <c r="J313" t="str">
        <f t="shared" si="30"/>
        <v>OK</v>
      </c>
    </row>
    <row r="314">
      <c r="A314" s="8">
        <f>DATE(RIGHT(Продажи_исходные!A314,4),LEFT(Продажи_исходные!A314,2),MID(Продажи_исходные!A314,4,2))</f>
        <v>45828</v>
      </c>
      <c r="B314" t="str">
        <f>"АРТ-"&amp;LEFT(SUBSTITUTE(SUBSTITUTE(SUBSTITUTE(SUBSTITUTE(Продажи_исходные!B314,"№",""),"АРТ-",""),"АРТ_",""),"/","-"),3)</f>
        <v>АРТ-074</v>
      </c>
      <c r="C314" s="4">
        <f>IFERROR(VALUE(TRIM(SUBSTITUTE(SUBSTITUTE(SUBSTITUTE(SUBSTITUTE(Продажи_исходные!C314," шт.","")," шт",""),"шт.",""),"шт",""))),0)</f>
        <v>3</v>
      </c>
      <c r="D314" s="4">
        <f>IF(LEFT(Продажи_исходные!D314,1)="$",VALUE(MID(Продажи_исходные!D314,2,255))*95,IF(LEFT(Продажи_исходные!D314,1)="€",VALUE(MID(Продажи_исходные!D314,2,255))*100,VALUE(SUBSTITUTE(SUBSTITUTE(Продажи_исходные!D314,"₽","")," ",""))))</f>
        <v>9975</v>
      </c>
      <c r="E314" t="str">
        <f>Продажи_исходные!E314</f>
        <v>C0313</v>
      </c>
      <c r="F314" t="str">
        <f>Продажи_исходные!F314</f>
        <v>P009</v>
      </c>
      <c r="G314" t="str">
        <f>IFERROR(VLOOKUP(Продажи_исходные!G314,Справочники!$G$2:$H$50,2,FALSE),Продажи_исходные!G314)</f>
        <v>Отменен</v>
      </c>
      <c r="H314" s="4">
        <f>IFERROR(VLOOKUP(B314,Товары_очищенные!$A$1:$G$1000,6,FALSE),"нет в каталоге")</f>
        <v>77500</v>
      </c>
      <c r="I314" t="str">
        <f>IFERROR(VLOOKUP(B314,Товары_очищенные!$A$1:$G$1000,3,FALSE),"нет в каталоге")</f>
        <v>Мониторы</v>
      </c>
      <c r="J314" t="str">
        <f t="shared" si="30"/>
        <v>OK</v>
      </c>
    </row>
    <row r="315">
      <c r="A315" s="8">
        <f>DATE(RIGHT(Продажи_исходные!A315,4),LEFT(Продажи_исходные!A315,2),MID(Продажи_исходные!A315,4,2))</f>
        <v>45828</v>
      </c>
      <c r="B315" t="str">
        <f>"АРТ-"&amp;LEFT(SUBSTITUTE(SUBSTITUTE(SUBSTITUTE(SUBSTITUTE(Продажи_исходные!B315,"№",""),"АРТ-",""),"АРТ_",""),"/","-"),3)</f>
        <v>АРТ-446</v>
      </c>
      <c r="C315" s="4">
        <f>IFERROR(VALUE(TRIM(SUBSTITUTE(SUBSTITUTE(SUBSTITUTE(SUBSTITUTE(Продажи_исходные!C315," шт.","")," шт",""),"шт.",""),"шт",""))),0)</f>
        <v>2</v>
      </c>
      <c r="D315" s="4">
        <f>IF(LEFT(Продажи_исходные!D315,1)="$",VALUE(MID(Продажи_исходные!D315,2,255))*95,IF(LEFT(Продажи_исходные!D315,1)="€",VALUE(MID(Продажи_исходные!D315,2,255))*100,VALUE(SUBSTITUTE(SUBSTITUTE(Продажи_исходные!D315,"₽","")," ",""))))</f>
        <v>8500</v>
      </c>
      <c r="E315" t="str">
        <f>Продажи_исходные!E315</f>
        <v>C0314</v>
      </c>
      <c r="F315" t="str">
        <f>Продажи_исходные!F315</f>
        <v>P041</v>
      </c>
      <c r="G315" t="str">
        <f>IFERROR(VLOOKUP(Продажи_исходные!G315,Справочники!$G$2:$H$50,2,FALSE),Продажи_исходные!G315)</f>
        <v>Отменен</v>
      </c>
      <c r="H315" s="4">
        <f>IFERROR(VLOOKUP(B315,Товары_очищенные!$A$1:$G$1000,6,FALSE),"нет в каталоге")</f>
        <v>139000</v>
      </c>
      <c r="I315" t="str">
        <f>IFERROR(VLOOKUP(B315,Товары_очищенные!$A$1:$G$1000,3,FALSE),"нет в каталоге")</f>
        <v>Ноутбуки</v>
      </c>
      <c r="J315" t="str">
        <f t="shared" si="30"/>
        <v>OK</v>
      </c>
    </row>
    <row r="316">
      <c r="A316" s="8">
        <f>DATE(RIGHT(Продажи_исходные!A316,4),LEFT(Продажи_исходные!A316,2),MID(Продажи_исходные!A316,4,2))</f>
        <v>45829</v>
      </c>
      <c r="B316" t="str">
        <f>"АРТ-"&amp;LEFT(SUBSTITUTE(SUBSTITUTE(SUBSTITUTE(SUBSTITUTE(Продажи_исходные!B316,"№",""),"АРТ-",""),"АРТ_",""),"/","-"),3)</f>
        <v>АРТ-293</v>
      </c>
      <c r="C316" s="4">
        <f>IFERROR(VALUE(TRIM(SUBSTITUTE(SUBSTITUTE(SUBSTITUTE(SUBSTITUTE(Продажи_исходные!C316," шт.","")," шт",""),"шт.",""),"шт",""))),0)</f>
        <v>1</v>
      </c>
      <c r="D316" s="4">
        <f>IF(LEFT(Продажи_исходные!D316,1)="$",VALUE(MID(Продажи_исходные!D316,2,255))*95,IF(LEFT(Продажи_исходные!D316,1)="€",VALUE(MID(Продажи_исходные!D316,2,255))*100,VALUE(SUBSTITUTE(SUBSTITUTE(Продажи_исходные!D316,"₽","")," ",""))))</f>
        <v>7800</v>
      </c>
      <c r="E316" t="str">
        <f>Продажи_исходные!E316</f>
        <v>C0315</v>
      </c>
      <c r="F316" t="str">
        <f>Продажи_исходные!F316</f>
        <v>P017</v>
      </c>
      <c r="G316" t="str">
        <f>IFERROR(VLOOKUP(Продажи_исходные!G316,Справочники!$G$2:$H$50,2,FALSE),Продажи_исходные!G316)</f>
        <v>Завершен</v>
      </c>
      <c r="H316" s="4">
        <f>IFERROR(VLOOKUP(B316,Товары_очищенные!$A$1:$G$1000,6,FALSE),"нет в каталоге")</f>
        <v>132000</v>
      </c>
      <c r="I316" t="str">
        <f>IFERROR(VLOOKUP(B316,Товары_очищенные!$A$1:$G$1000,3,FALSE),"нет в каталоге")</f>
        <v>Ноутбуки</v>
      </c>
      <c r="J316" t="str">
        <f t="shared" si="30"/>
        <v>OK</v>
      </c>
    </row>
    <row r="317">
      <c r="A317" s="8">
        <f>DATE(RIGHT(Продажи_исходные!A317,4),LEFT(Продажи_исходные!A317,2),MID(Продажи_исходные!A317,4,2))</f>
        <v>45829</v>
      </c>
      <c r="B317" t="str">
        <f>"АРТ-"&amp;LEFT(SUBSTITUTE(SUBSTITUTE(SUBSTITUTE(SUBSTITUTE(Продажи_исходные!B317,"№",""),"АРТ-",""),"АРТ_",""),"/","-"),3)</f>
        <v>АРТ-416</v>
      </c>
      <c r="C317" s="4">
        <f>IFERROR(VALUE(TRIM(SUBSTITUTE(SUBSTITUTE(SUBSTITUTE(SUBSTITUTE(Продажи_исходные!C317," шт.","")," шт",""),"шт.",""),"шт",""))),0)</f>
        <v>-3</v>
      </c>
      <c r="D317" s="4">
        <f>IF(LEFT(Продажи_исходные!D317,1)="$",VALUE(MID(Продажи_исходные!D317,2,255))*95,IF(LEFT(Продажи_исходные!D317,1)="€",VALUE(MID(Продажи_исходные!D317,2,255))*100,VALUE(SUBSTITUTE(SUBSTITUTE(Продажи_исходные!D317,"₽","")," ",""))))</f>
        <v>11400</v>
      </c>
      <c r="E317" t="str">
        <f>Продажи_исходные!E317</f>
        <v>C0316</v>
      </c>
      <c r="F317" t="str">
        <f>Продажи_исходные!F317</f>
        <v>P032</v>
      </c>
      <c r="G317" t="str">
        <f>IFERROR(VLOOKUP(Продажи_исходные!G317,Справочники!$G$2:$H$50,2,FALSE),Продажи_исходные!G317)</f>
        <v>Возврат</v>
      </c>
      <c r="H317" s="4">
        <f>IFERROR(VLOOKUP(B317,Товары_очищенные!$A$1:$G$1000,6,FALSE),"нет в каталоге")</f>
        <v>14000</v>
      </c>
      <c r="I317" t="str">
        <f>IFERROR(VLOOKUP(B317,Товары_очищенные!$A$1:$G$1000,3,FALSE),"нет в каталоге")</f>
        <v>Аксессуары</v>
      </c>
      <c r="J317" t="str">
        <f t="shared" si="30"/>
        <v>OK</v>
      </c>
    </row>
    <row r="318">
      <c r="A318" s="8">
        <f>DATE(RIGHT(Продажи_исходные!A318,4),LEFT(Продажи_исходные!A318,2),MID(Продажи_исходные!A318,4,2))</f>
        <v>45830</v>
      </c>
      <c r="B318" t="str">
        <f>"АРТ-"&amp;LEFT(SUBSTITUTE(SUBSTITUTE(SUBSTITUTE(SUBSTITUTE(Продажи_исходные!B318,"№",""),"АРТ-",""),"АРТ_",""),"/","-"),3)</f>
        <v>АРТ-302</v>
      </c>
      <c r="C318" s="4">
        <f>IFERROR(VALUE(TRIM(SUBSTITUTE(SUBSTITUTE(SUBSTITUTE(SUBSTITUTE(Продажи_исходные!C318," шт.","")," шт",""),"шт.",""),"шт",""))),0)</f>
        <v>2</v>
      </c>
      <c r="D318" s="4">
        <f>IF(LEFT(Продажи_исходные!D318,1)="$",VALUE(MID(Продажи_исходные!D318,2,255))*95,IF(LEFT(Продажи_исходные!D318,1)="€",VALUE(MID(Продажи_исходные!D318,2,255))*100,VALUE(SUBSTITUTE(SUBSTITUTE(Продажи_исходные!D318,"₽","")," ",""))))</f>
        <v>10000</v>
      </c>
      <c r="E318" t="str">
        <f>Продажи_исходные!E318</f>
        <v>C0317</v>
      </c>
      <c r="F318" t="str">
        <f>Продажи_исходные!F318</f>
        <v>P049</v>
      </c>
      <c r="G318" t="str">
        <f>IFERROR(VLOOKUP(Продажи_исходные!G318,Справочники!$G$2:$H$50,2,FALSE),Продажи_исходные!G318)</f>
        <v>Завершен</v>
      </c>
      <c r="H318" s="4">
        <f>IFERROR(VLOOKUP(B318,Товары_очищенные!$A$1:$G$1000,6,FALSE),"нет в каталоге")</f>
        <v>7500</v>
      </c>
      <c r="I318" t="str">
        <f>IFERROR(VLOOKUP(B318,Товары_очищенные!$A$1:$G$1000,3,FALSE),"нет в каталоге")</f>
        <v>Наушники</v>
      </c>
      <c r="J318" t="str">
        <f t="shared" si="30"/>
        <v>OK</v>
      </c>
    </row>
    <row r="319">
      <c r="A319" s="8">
        <f>DATE(RIGHT(Продажи_исходные!A319,4),LEFT(Продажи_исходные!A319,2),MID(Продажи_исходные!A319,4,2))</f>
        <v>45830</v>
      </c>
      <c r="B319" t="str">
        <f>"АРТ-"&amp;LEFT(SUBSTITUTE(SUBSTITUTE(SUBSTITUTE(SUBSTITUTE(Продажи_исходные!B319,"№",""),"АРТ-",""),"АРТ_",""),"/","-"),3)</f>
        <v>АРТ-243</v>
      </c>
      <c r="C319" s="4">
        <f>IFERROR(VALUE(TRIM(SUBSTITUTE(SUBSTITUTE(SUBSTITUTE(SUBSTITUTE(Продажи_исходные!C319," шт.","")," шт",""),"шт.",""),"шт",""))),0)</f>
        <v>1</v>
      </c>
      <c r="D319" s="4">
        <f>IF(LEFT(Продажи_исходные!D319,1)="$",VALUE(MID(Продажи_исходные!D319,2,255))*95,IF(LEFT(Продажи_исходные!D319,1)="€",VALUE(MID(Продажи_исходные!D319,2,255))*100,VALUE(SUBSTITUTE(SUBSTITUTE(Продажи_исходные!D319,"₽","")," ",""))))</f>
        <v>9200</v>
      </c>
      <c r="E319" t="str">
        <f>Продажи_исходные!E319</f>
        <v>C0318</v>
      </c>
      <c r="F319" t="str">
        <f>Продажи_исходные!F319</f>
        <v>P006</v>
      </c>
      <c r="G319" t="str">
        <f>IFERROR(VLOOKUP(Продажи_исходные!G319,Справочники!$G$2:$H$50,2,FALSE),Продажи_исходные!G319)</f>
        <v>Завершен</v>
      </c>
      <c r="H319" s="4">
        <f>IFERROR(VLOOKUP(B319,Товары_очищенные!$A$1:$G$1000,6,FALSE),"нет в каталоге")</f>
        <v>62000</v>
      </c>
      <c r="I319" t="str">
        <f>IFERROR(VLOOKUP(B319,Товары_очищенные!$A$1:$G$1000,3,FALSE),"нет в каталоге")</f>
        <v>Наушники</v>
      </c>
      <c r="J319" t="str">
        <f t="shared" si="30"/>
        <v>OK</v>
      </c>
    </row>
    <row r="320">
      <c r="A320" s="8">
        <f>DATE(RIGHT(Продажи_исходные!A320,4),LEFT(Продажи_исходные!A320,2),MID(Продажи_исходные!A320,4,2))</f>
        <v>45831</v>
      </c>
      <c r="B320" t="str">
        <f>"АРТ-"&amp;LEFT(SUBSTITUTE(SUBSTITUTE(SUBSTITUTE(SUBSTITUTE(Продажи_исходные!B320,"№",""),"АРТ-",""),"АРТ_",""),"/","-"),3)</f>
        <v>АРТ-061</v>
      </c>
      <c r="C320" s="4">
        <f>IFERROR(VALUE(TRIM(SUBSTITUTE(SUBSTITUTE(SUBSTITUTE(SUBSTITUTE(Продажи_исходные!C320," шт.","")," шт",""),"шт.",""),"шт",""))),0)</f>
        <v>3</v>
      </c>
      <c r="D320" s="4">
        <f>IF(LEFT(Продажи_исходные!D320,1)="$",VALUE(MID(Продажи_исходные!D320,2,255))*95,IF(LEFT(Продажи_исходные!D320,1)="€",VALUE(MID(Продажи_исходные!D320,2,255))*100,VALUE(SUBSTITUTE(SUBSTITUTE(Продажи_исходные!D320,"₽","")," ",""))))</f>
        <v>8550</v>
      </c>
      <c r="E320" t="str">
        <f>Продажи_исходные!E320</f>
        <v>C0319</v>
      </c>
      <c r="F320" t="str">
        <f>Продажи_исходные!F320</f>
        <v>P024</v>
      </c>
      <c r="G320" t="str">
        <f>IFERROR(VLOOKUP(Продажи_исходные!G320,Справочники!$G$2:$H$50,2,FALSE),Продажи_исходные!G320)</f>
        <v>Завершен</v>
      </c>
      <c r="H320" s="4">
        <f>IFERROR(VLOOKUP(B320,Товары_очищенные!$A$1:$G$1000,6,FALSE),"нет в каталоге")</f>
        <v>124999</v>
      </c>
      <c r="I320" t="str">
        <f>IFERROR(VLOOKUP(B320,Товары_очищенные!$A$1:$G$1000,3,FALSE),"нет в каталоге")</f>
        <v>Ноутбуки</v>
      </c>
      <c r="J320" t="str">
        <f t="shared" si="30"/>
        <v>OK</v>
      </c>
    </row>
    <row r="321">
      <c r="A321" s="8">
        <f>DATE(RIGHT(Продажи_исходные!A321,4),LEFT(Продажи_исходные!A321,2),MID(Продажи_исходные!A321,4,2))</f>
        <v>45831</v>
      </c>
      <c r="B321" t="str">
        <f>"АРТ-"&amp;LEFT(SUBSTITUTE(SUBSTITUTE(SUBSTITUTE(SUBSTITUTE(Продажи_исходные!B321,"№",""),"АРТ-",""),"АРТ_",""),"/","-"),3)</f>
        <v>АРТ-424</v>
      </c>
      <c r="C321" s="4">
        <f>IFERROR(VALUE(TRIM(SUBSTITUTE(SUBSTITUTE(SUBSTITUTE(SUBSTITUTE(Продажи_исходные!C321," шт.","")," шт",""),"шт.",""),"шт",""))),0)</f>
        <v>2</v>
      </c>
      <c r="D321" s="4">
        <f>IF(LEFT(Продажи_исходные!D321,1)="$",VALUE(MID(Продажи_исходные!D321,2,255))*95,IF(LEFT(Продажи_исходные!D321,1)="€",VALUE(MID(Продажи_исходные!D321,2,255))*100,VALUE(SUBSTITUTE(SUBSTITUTE(Продажи_исходные!D321,"₽","")," ",""))))</f>
        <v>7000</v>
      </c>
      <c r="E321" t="str">
        <f>Продажи_исходные!E321</f>
        <v>C0320</v>
      </c>
      <c r="F321" t="str">
        <f>Продажи_исходные!F321</f>
        <v>P015</v>
      </c>
      <c r="G321" t="str">
        <f>IFERROR(VLOOKUP(Продажи_исходные!G321,Справочники!$G$2:$H$50,2,FALSE),Продажи_исходные!G321)</f>
        <v>Отменен</v>
      </c>
      <c r="H321" s="4">
        <f>IFERROR(VLOOKUP(B321,Товары_очищенные!$A$1:$G$1000,6,FALSE),"нет в каталоге")</f>
        <v>48990</v>
      </c>
      <c r="I321" t="str">
        <f>IFERROR(VLOOKUP(B321,Товары_очищенные!$A$1:$G$1000,3,FALSE),"нет в каталоге")</f>
        <v>Смартфоны</v>
      </c>
      <c r="J321" t="str">
        <f t="shared" si="30"/>
        <v>OK</v>
      </c>
    </row>
    <row r="322">
      <c r="A322" s="8">
        <f>DATE(RIGHT(Продажи_исходные!A322,4),LEFT(Продажи_исходные!A322,2),MID(Продажи_исходные!A322,4,2))</f>
        <v>45832</v>
      </c>
      <c r="B322" t="str">
        <f>"АРТ-"&amp;LEFT(SUBSTITUTE(SUBSTITUTE(SUBSTITUTE(SUBSTITUTE(Продажи_исходные!B322,"№",""),"АРТ-",""),"АРТ_",""),"/","-"),3)</f>
        <v>АРТ-347</v>
      </c>
      <c r="C322" s="4">
        <f>IFERROR(VALUE(TRIM(SUBSTITUTE(SUBSTITUTE(SUBSTITUTE(SUBSTITUTE(Продажи_исходные!C322," шт.","")," шт",""),"шт.",""),"шт",""))),0)</f>
        <v>1</v>
      </c>
      <c r="D322" s="4">
        <f>IF(LEFT(Продажи_исходные!D322,1)="$",VALUE(MID(Продажи_исходные!D322,2,255))*95,IF(LEFT(Продажи_исходные!D322,1)="€",VALUE(MID(Продажи_исходные!D322,2,255))*100,VALUE(SUBSTITUTE(SUBSTITUTE(Продажи_исходные!D322,"₽","")," ",""))))</f>
        <v>6500</v>
      </c>
      <c r="E322" t="str">
        <f>Продажи_исходные!E322</f>
        <v>C0321</v>
      </c>
      <c r="F322" t="str">
        <f>Продажи_исходные!F322</f>
        <v>P037</v>
      </c>
      <c r="G322" t="str">
        <f>IFERROR(VLOOKUP(Продажи_исходные!G322,Справочники!$G$2:$H$50,2,FALSE),Продажи_исходные!G322)</f>
        <v>Отменен</v>
      </c>
      <c r="H322" s="4">
        <f>IFERROR(VLOOKUP(B322,Товары_очищенные!$A$1:$G$1000,6,FALSE),"нет в каталоге")</f>
        <v>19000</v>
      </c>
      <c r="I322" t="str">
        <f>IFERROR(VLOOKUP(B322,Товары_очищенные!$A$1:$G$1000,3,FALSE),"нет в каталоге")</f>
        <v>Наушники</v>
      </c>
      <c r="J322" t="str">
        <f t="shared" si="30"/>
        <v>OK</v>
      </c>
    </row>
    <row r="323">
      <c r="A323" s="8">
        <f>DATE(RIGHT(Продажи_исходные!A323,4),LEFT(Продажи_исходные!A323,2),MID(Продажи_исходные!A323,4,2))</f>
        <v>45832</v>
      </c>
      <c r="B323" t="str">
        <f>"АРТ-"&amp;LEFT(SUBSTITUTE(SUBSTITUTE(SUBSTITUTE(SUBSTITUTE(Продажи_исходные!B323,"№",""),"АРТ-",""),"АРТ_",""),"/","-"),3)</f>
        <v>АРТ-305</v>
      </c>
      <c r="C323" s="4">
        <f>IFERROR(VALUE(TRIM(SUBSTITUTE(SUBSTITUTE(SUBSTITUTE(SUBSTITUTE(Продажи_исходные!C323," шт.","")," шт",""),"шт.",""),"шт",""))),0)</f>
        <v>-1</v>
      </c>
      <c r="D323" s="4">
        <f>IF(LEFT(Продажи_исходные!D323,1)="$",VALUE(MID(Продажи_исходные!D323,2,255))*95,IF(LEFT(Продажи_исходные!D323,1)="€",VALUE(MID(Продажи_исходные!D323,2,255))*100,VALUE(SUBSTITUTE(SUBSTITUTE(Продажи_исходные!D323,"₽","")," ",""))))</f>
        <v>10450</v>
      </c>
      <c r="E323" t="str">
        <f>Продажи_исходные!E323</f>
        <v>C0322</v>
      </c>
      <c r="F323" t="str">
        <f>Продажи_исходные!F323</f>
        <v>P048</v>
      </c>
      <c r="G323" t="str">
        <f>IFERROR(VLOOKUP(Продажи_исходные!G323,Справочники!$G$2:$H$50,2,FALSE),Продажи_исходные!G323)</f>
        <v>Возврат</v>
      </c>
      <c r="H323" s="4">
        <f>IFERROR(VLOOKUP(B323,Товары_очищенные!$A$1:$G$1000,6,FALSE),"нет в каталоге")</f>
        <v>57500</v>
      </c>
      <c r="I323" t="str">
        <f>IFERROR(VLOOKUP(B323,Товары_очищенные!$A$1:$G$1000,3,FALSE),"нет в каталоге")</f>
        <v>Мониторы</v>
      </c>
      <c r="J323" t="str">
        <f t="shared" si="30"/>
        <v>OK</v>
      </c>
    </row>
    <row r="324">
      <c r="A324" s="8">
        <f>DATE(RIGHT(Продажи_исходные!A324,4),LEFT(Продажи_исходные!A324,2),MID(Продажи_исходные!A324,4,2))</f>
        <v>45833</v>
      </c>
      <c r="B324" t="str">
        <f>"АРТ-"&amp;LEFT(SUBSTITUTE(SUBSTITUTE(SUBSTITUTE(SUBSTITUTE(Продажи_исходные!B324,"№",""),"АРТ-",""),"АРТ_",""),"/","-"),3)</f>
        <v>АРТ-288</v>
      </c>
      <c r="C324" s="4">
        <f>IFERROR(VALUE(TRIM(SUBSTITUTE(SUBSTITUTE(SUBSTITUTE(SUBSTITUTE(Продажи_исходные!C324," шт.","")," шт",""),"шт.",""),"шт",""))),0)</f>
        <v>3</v>
      </c>
      <c r="D324" s="4">
        <f>IF(LEFT(Продажи_исходные!D324,1)="$",VALUE(MID(Продажи_исходные!D324,2,255))*95,IF(LEFT(Продажи_исходные!D324,1)="€",VALUE(MID(Продажи_исходные!D324,2,255))*100,VALUE(SUBSTITUTE(SUBSTITUTE(Продажи_исходные!D324,"₽","")," ",""))))</f>
        <v>9000</v>
      </c>
      <c r="E324" t="str">
        <f>Продажи_исходные!E324</f>
        <v>C0323</v>
      </c>
      <c r="F324" t="str">
        <f>Продажи_исходные!F324</f>
        <v>P004</v>
      </c>
      <c r="G324" t="str">
        <f>IFERROR(VLOOKUP(Продажи_исходные!G324,Справочники!$G$2:$H$50,2,FALSE),Продажи_исходные!G324)</f>
        <v>Завершен</v>
      </c>
      <c r="H324" s="4">
        <f>IFERROR(VLOOKUP(B324,Товары_очищенные!$A$1:$G$1000,6,FALSE),"нет в каталоге")</f>
        <v>8000</v>
      </c>
      <c r="I324" t="str">
        <f>IFERROR(VLOOKUP(B324,Товары_очищенные!$A$1:$G$1000,3,FALSE),"нет в каталоге")</f>
        <v>Аксессуары</v>
      </c>
      <c r="J324" t="str">
        <f t="shared" si="30"/>
        <v>OK</v>
      </c>
    </row>
    <row r="325">
      <c r="A325" s="8">
        <f>DATE(RIGHT(Продажи_исходные!A325,4),LEFT(Продажи_исходные!A325,2),MID(Продажи_исходные!A325,4,2))</f>
        <v>45833</v>
      </c>
      <c r="B325" t="str">
        <f>"АРТ-"&amp;LEFT(SUBSTITUTE(SUBSTITUTE(SUBSTITUTE(SUBSTITUTE(Продажи_исходные!B325,"№",""),"АРТ-",""),"АРТ_",""),"/","-"),3)</f>
        <v>АРТ-134</v>
      </c>
      <c r="C325" s="4">
        <f>IFERROR(VALUE(TRIM(SUBSTITUTE(SUBSTITUTE(SUBSTITUTE(SUBSTITUTE(Продажи_исходные!C325," шт.","")," шт",""),"шт.",""),"шт",""))),0)</f>
        <v>2</v>
      </c>
      <c r="D325" s="4">
        <f>IF(LEFT(Продажи_исходные!D325,1)="$",VALUE(MID(Продажи_исходные!D325,2,255))*95,IF(LEFT(Продажи_исходные!D325,1)="€",VALUE(MID(Продажи_исходные!D325,2,255))*100,VALUE(SUBSTITUTE(SUBSTITUTE(Продажи_исходные!D325,"₽","")," ",""))))</f>
        <v>8000</v>
      </c>
      <c r="E325" t="str">
        <f>Продажи_исходные!E325</f>
        <v>C0324</v>
      </c>
      <c r="F325" t="str">
        <f>Продажи_исходные!F325</f>
        <v>P026</v>
      </c>
      <c r="G325" t="str">
        <f>IFERROR(VLOOKUP(Продажи_исходные!G325,Справочники!$G$2:$H$50,2,FALSE),Продажи_исходные!G325)</f>
        <v>Завершен</v>
      </c>
      <c r="H325" s="4">
        <f>IFERROR(VLOOKUP(B325,Товары_очищенные!$A$1:$G$1000,6,FALSE),"нет в каталоге")</f>
        <v>124000</v>
      </c>
      <c r="I325" t="str">
        <f>IFERROR(VLOOKUP(B325,Товары_очищенные!$A$1:$G$1000,3,FALSE),"нет в каталоге")</f>
        <v>Телевизоры</v>
      </c>
      <c r="J325" t="str">
        <f t="shared" si="30"/>
        <v>OK</v>
      </c>
    </row>
    <row r="326">
      <c r="A326" s="8">
        <f>DATE(RIGHT(Продажи_исходные!A326,4),LEFT(Продажи_исходные!A326,2),MID(Продажи_исходные!A326,4,2))</f>
        <v>45834</v>
      </c>
      <c r="B326" t="str">
        <f>"АРТ-"&amp;LEFT(SUBSTITUTE(SUBSTITUTE(SUBSTITUTE(SUBSTITUTE(Продажи_исходные!B326,"№",""),"АРТ-",""),"АРТ_",""),"/","-"),3)</f>
        <v>АРТ-110</v>
      </c>
      <c r="C326" s="4">
        <f>IFERROR(VALUE(TRIM(SUBSTITUTE(SUBSTITUTE(SUBSTITUTE(SUBSTITUTE(Продажи_исходные!C326," шт.","")," шт",""),"шт.",""),"шт",""))),0)</f>
        <v>1</v>
      </c>
      <c r="D326" s="4">
        <f>IF(LEFT(Продажи_исходные!D326,1)="$",VALUE(MID(Продажи_исходные!D326,2,255))*95,IF(LEFT(Продажи_исходные!D326,1)="€",VALUE(MID(Продажи_исходные!D326,2,255))*100,VALUE(SUBSTITUTE(SUBSTITUTE(Продажи_исходные!D326,"₽","")," ",""))))</f>
        <v>9025</v>
      </c>
      <c r="E326" t="str">
        <f>Продажи_исходные!E326</f>
        <v>C0325</v>
      </c>
      <c r="F326" t="str">
        <f>Продажи_исходные!F326</f>
        <v>P013</v>
      </c>
      <c r="G326" t="str">
        <f>IFERROR(VLOOKUP(Продажи_исходные!G326,Справочники!$G$2:$H$50,2,FALSE),Продажи_исходные!G326)</f>
        <v>Завершен</v>
      </c>
      <c r="H326" s="4">
        <f>IFERROR(VLOOKUP(B326,Товары_очищенные!$A$1:$G$1000,6,FALSE),"нет в каталоге")</f>
        <v>117000</v>
      </c>
      <c r="I326" t="str">
        <f>IFERROR(VLOOKUP(B326,Товары_очищенные!$A$1:$G$1000,3,FALSE),"нет в каталоге")</f>
        <v>Телевизоры</v>
      </c>
      <c r="J326" t="str">
        <f t="shared" si="30"/>
        <v>OK</v>
      </c>
    </row>
    <row r="327">
      <c r="A327" s="8">
        <f>DATE(RIGHT(Продажи_исходные!A327,4),LEFT(Продажи_исходные!A327,2),MID(Продажи_исходные!A327,4,2))</f>
        <v>45834</v>
      </c>
      <c r="B327" t="str">
        <f>"АРТ-"&amp;LEFT(SUBSTITUTE(SUBSTITUTE(SUBSTITUTE(SUBSTITUTE(Продажи_исходные!B327,"№",""),"АРТ-",""),"АРТ_",""),"/","-"),3)</f>
        <v>АРТ-471</v>
      </c>
      <c r="C327" s="4">
        <f>IFERROR(VALUE(TRIM(SUBSTITUTE(SUBSTITUTE(SUBSTITUTE(SUBSTITUTE(Продажи_исходные!C327," шт.","")," шт",""),"шт.",""),"шт",""))),0)</f>
        <v>2</v>
      </c>
      <c r="D327" s="4">
        <f>IF(LEFT(Продажи_исходные!D327,1)="$",VALUE(MID(Продажи_исходные!D327,2,255))*95,IF(LEFT(Продажи_исходные!D327,1)="€",VALUE(MID(Продажи_исходные!D327,2,255))*100,VALUE(SUBSTITUTE(SUBSTITUTE(Продажи_исходные!D327,"₽","")," ",""))))</f>
        <v>7500</v>
      </c>
      <c r="E327" t="str">
        <f>Продажи_исходные!E327</f>
        <v>C0326</v>
      </c>
      <c r="F327" t="str">
        <f>Продажи_исходные!F327</f>
        <v>P034</v>
      </c>
      <c r="G327" t="str">
        <f>IFERROR(VLOOKUP(Продажи_исходные!G327,Справочники!$G$2:$H$50,2,FALSE),Продажи_исходные!G327)</f>
        <v>Отменен</v>
      </c>
      <c r="H327" s="4">
        <f>IFERROR(VLOOKUP(B327,Товары_очищенные!$A$1:$G$1000,6,FALSE),"нет в каталоге")</f>
        <v>61000</v>
      </c>
      <c r="I327" t="str">
        <f>IFERROR(VLOOKUP(B327,Товары_очищенные!$A$1:$G$1000,3,FALSE),"нет в каталоге")</f>
        <v>Телевизоры</v>
      </c>
      <c r="J327" t="str">
        <f t="shared" si="30"/>
        <v>OK</v>
      </c>
    </row>
    <row r="328">
      <c r="A328" s="8">
        <f>DATE(RIGHT(Продажи_исходные!A328,4),LEFT(Продажи_исходные!A328,2),MID(Продажи_исходные!A328,4,2))</f>
        <v>45835</v>
      </c>
      <c r="B328" t="str">
        <f>"АРТ-"&amp;LEFT(SUBSTITUTE(SUBSTITUTE(SUBSTITUTE(SUBSTITUTE(Продажи_исходные!B328,"№",""),"АРТ-",""),"АРТ_",""),"/","-"),3)</f>
        <v>АРТ-322</v>
      </c>
      <c r="C328" s="4">
        <f>IFERROR(VALUE(TRIM(SUBSTITUTE(SUBSTITUTE(SUBSTITUTE(SUBSTITUTE(Продажи_исходные!C328," шт.","")," шт",""),"шт.",""),"шт",""))),0)</f>
        <v>3</v>
      </c>
      <c r="D328" s="4">
        <f>IF(LEFT(Продажи_исходные!D328,1)="$",VALUE(MID(Продажи_исходные!D328,2,255))*95,IF(LEFT(Продажи_исходные!D328,1)="€",VALUE(MID(Продажи_исходные!D328,2,255))*100,VALUE(SUBSTITUTE(SUBSTITUTE(Продажи_исходные!D328,"₽","")," ",""))))</f>
        <v>7000</v>
      </c>
      <c r="E328" t="str">
        <f>Продажи_исходные!E328</f>
        <v>C0327</v>
      </c>
      <c r="F328" t="str">
        <f>Продажи_исходные!F328</f>
        <v>P044</v>
      </c>
      <c r="G328" t="str">
        <f>IFERROR(VLOOKUP(Продажи_исходные!G328,Справочники!$G$2:$H$50,2,FALSE),Продажи_исходные!G328)</f>
        <v>Отменен</v>
      </c>
      <c r="H328" s="4">
        <f>IFERROR(VLOOKUP(B328,Товары_очищенные!$A$1:$G$1000,6,FALSE),"нет в каталоге")</f>
        <v>12990</v>
      </c>
      <c r="I328" t="str">
        <f>IFERROR(VLOOKUP(B328,Товары_очищенные!$A$1:$G$1000,3,FALSE),"нет в каталоге")</f>
        <v>Наушники</v>
      </c>
      <c r="J328" t="str">
        <f t="shared" si="30"/>
        <v>OK</v>
      </c>
    </row>
    <row r="329">
      <c r="A329" s="8">
        <f>DATE(RIGHT(Продажи_исходные!A329,4),LEFT(Продажи_исходные!A329,2),MID(Продажи_исходные!A329,4,2))</f>
        <v>45835</v>
      </c>
      <c r="B329" t="str">
        <f>"АРТ-"&amp;LEFT(SUBSTITUTE(SUBSTITUTE(SUBSTITUTE(SUBSTITUTE(Продажи_исходные!B329,"№",""),"АРТ-",""),"АРТ_",""),"/","-"),3)</f>
        <v>АРТ-188</v>
      </c>
      <c r="C329" s="4">
        <f>IFERROR(VALUE(TRIM(SUBSTITUTE(SUBSTITUTE(SUBSTITUTE(SUBSTITUTE(Продажи_исходные!C329," шт.","")," шт",""),"шт.",""),"шт",""))),0)</f>
        <v>-2</v>
      </c>
      <c r="D329" s="4">
        <f>IF(LEFT(Продажи_исходные!D329,1)="$",VALUE(MID(Продажи_исходные!D329,2,255))*95,IF(LEFT(Продажи_исходные!D329,1)="€",VALUE(MID(Продажи_исходные!D329,2,255))*100,VALUE(SUBSTITUTE(SUBSTITUTE(Продажи_исходные!D329,"₽","")," ",""))))</f>
        <v>10925</v>
      </c>
      <c r="E329" t="str">
        <f>Продажи_исходные!E329</f>
        <v>C0328</v>
      </c>
      <c r="F329" t="str">
        <f>Продажи_исходные!F329</f>
        <v>P001</v>
      </c>
      <c r="G329" t="str">
        <f>IFERROR(VLOOKUP(Продажи_исходные!G329,Справочники!$G$2:$H$50,2,FALSE),Продажи_исходные!G329)</f>
        <v>Завершен</v>
      </c>
      <c r="H329" s="4">
        <f>IFERROR(VLOOKUP(B329,Товары_очищенные!$A$1:$G$1000,6,FALSE),"нет в каталоге")</f>
        <v>48500</v>
      </c>
      <c r="I329" t="str">
        <f>IFERROR(VLOOKUP(B329,Товары_очищенные!$A$1:$G$1000,3,FALSE),"нет в каталоге")</f>
        <v>Часы</v>
      </c>
      <c r="J329" t="str">
        <f t="shared" si="30"/>
        <v>OK</v>
      </c>
    </row>
    <row r="330">
      <c r="A330" s="8">
        <f>DATE(RIGHT(Продажи_исходные!A330,4),LEFT(Продажи_исходные!A330,2),MID(Продажи_исходные!A330,4,2))</f>
        <v>45836</v>
      </c>
      <c r="B330" t="str">
        <f>"АРТ-"&amp;LEFT(SUBSTITUTE(SUBSTITUTE(SUBSTITUTE(SUBSTITUTE(Продажи_исходные!B330,"№",""),"АРТ-",""),"АРТ_",""),"/","-"),3)</f>
        <v>АРТ-335</v>
      </c>
      <c r="C330" s="4">
        <f>IFERROR(VALUE(TRIM(SUBSTITUTE(SUBSTITUTE(SUBSTITUTE(SUBSTITUTE(Продажи_исходные!C330," шт.","")," шт",""),"шт.",""),"шт",""))),0)</f>
        <v>1</v>
      </c>
      <c r="D330" s="4">
        <f>IF(LEFT(Продажи_исходные!D330,1)="$",VALUE(MID(Продажи_исходные!D330,2,255))*95,IF(LEFT(Продажи_исходные!D330,1)="€",VALUE(MID(Продажи_исходные!D330,2,255))*100,VALUE(SUBSTITUTE(SUBSTITUTE(Продажи_исходные!D330,"₽","")," ",""))))</f>
        <v>9500</v>
      </c>
      <c r="E330" t="str">
        <f>Продажи_исходные!E330</f>
        <v>C0329</v>
      </c>
      <c r="F330" t="str">
        <f>Продажи_исходные!F330</f>
        <v>P021</v>
      </c>
      <c r="G330" t="str">
        <f>IFERROR(VLOOKUP(Продажи_исходные!G330,Справочники!$G$2:$H$50,2,FALSE),Продажи_исходные!G330)</f>
        <v>Возврат</v>
      </c>
      <c r="H330" s="4">
        <f>IFERROR(VLOOKUP(B330,Товары_очищенные!$A$1:$G$1000,6,FALSE),"нет в каталоге")</f>
        <v>47000</v>
      </c>
      <c r="I330" t="str">
        <f>IFERROR(VLOOKUP(B330,Товары_очищенные!$A$1:$G$1000,3,FALSE),"нет в каталоге")</f>
        <v>Планшеты</v>
      </c>
      <c r="J330" t="str">
        <f t="shared" si="30"/>
        <v>OK</v>
      </c>
    </row>
    <row r="331">
      <c r="A331" s="8">
        <f>DATE(RIGHT(Продажи_исходные!A331,4),LEFT(Продажи_исходные!A331,2),MID(Продажи_исходные!A331,4,2))</f>
        <v>45836</v>
      </c>
      <c r="B331" t="str">
        <f>"АРТ-"&amp;LEFT(SUBSTITUTE(SUBSTITUTE(SUBSTITUTE(SUBSTITUTE(Продажи_исходные!B331,"№",""),"АРТ-",""),"АРТ_",""),"/","-"),3)</f>
        <v>АРТ-063</v>
      </c>
      <c r="C331" s="4">
        <f>IFERROR(VALUE(TRIM(SUBSTITUTE(SUBSTITUTE(SUBSTITUTE(SUBSTITUTE(Продажи_исходные!C331," шт.","")," шт",""),"шт.",""),"шт",""))),0)</f>
        <v>2</v>
      </c>
      <c r="D331" s="4">
        <f>IF(LEFT(Продажи_исходные!D331,1)="$",VALUE(MID(Продажи_исходные!D331,2,255))*95,IF(LEFT(Продажи_исходные!D331,1)="€",VALUE(MID(Продажи_исходные!D331,2,255))*100,VALUE(SUBSTITUTE(SUBSTITUTE(Продажи_исходные!D331,"₽","")," ",""))))</f>
        <v>8500</v>
      </c>
      <c r="E331" t="str">
        <f>Продажи_исходные!E331</f>
        <v>C0330</v>
      </c>
      <c r="F331" t="str">
        <f>Продажи_исходные!F331</f>
        <v>P039</v>
      </c>
      <c r="G331" t="str">
        <f>IFERROR(VLOOKUP(Продажи_исходные!G331,Справочники!$G$2:$H$50,2,FALSE),Продажи_исходные!G331)</f>
        <v>Завершен</v>
      </c>
      <c r="H331" s="4">
        <f>IFERROR(VLOOKUP(B331,Товары_очищенные!$A$1:$G$1000,6,FALSE),"нет в каталоге")</f>
        <v>127000</v>
      </c>
      <c r="I331" t="str">
        <f>IFERROR(VLOOKUP(B331,Товары_очищенные!$A$1:$G$1000,3,FALSE),"нет в каталоге")</f>
        <v>Ноутбуки</v>
      </c>
      <c r="J331" t="str">
        <f t="shared" si="30"/>
        <v>OK</v>
      </c>
    </row>
    <row r="332">
      <c r="A332" s="8">
        <f>DATE(RIGHT(Продажи_исходные!A332,4),LEFT(Продажи_исходные!A332,2),MID(Продажи_исходные!A332,4,2))</f>
        <v>45837</v>
      </c>
      <c r="B332" t="str">
        <f>"АРТ-"&amp;LEFT(SUBSTITUTE(SUBSTITUTE(SUBSTITUTE(SUBSTITUTE(Продажи_исходные!B332,"№",""),"АРТ-",""),"АРТ_",""),"/","-"),3)</f>
        <v>АРТ-248</v>
      </c>
      <c r="C332" s="4">
        <f>IFERROR(VALUE(TRIM(SUBSTITUTE(SUBSTITUTE(SUBSTITUTE(SUBSTITUTE(Продажи_исходные!C332," шт.","")," шт",""),"шт.",""),"шт",""))),0)</f>
        <v>3</v>
      </c>
      <c r="D332" s="4">
        <f>IF(LEFT(Продажи_исходные!D332,1)="$",VALUE(MID(Продажи_исходные!D332,2,255))*95,IF(LEFT(Продажи_исходные!D332,1)="€",VALUE(MID(Продажи_исходные!D332,2,255))*100,VALUE(SUBSTITUTE(SUBSTITUTE(Продажи_исходные!D332,"₽","")," ",""))))</f>
        <v>9975</v>
      </c>
      <c r="E332" t="str">
        <f>Продажи_исходные!E332</f>
        <v>C0331</v>
      </c>
      <c r="F332" t="str">
        <f>Продажи_исходные!F332</f>
        <v>P050</v>
      </c>
      <c r="G332" t="str">
        <f>IFERROR(VLOOKUP(Продажи_исходные!G332,Справочники!$G$2:$H$50,2,FALSE),Продажи_исходные!G332)</f>
        <v>Завершен</v>
      </c>
      <c r="H332" s="4">
        <f>IFERROR(VLOOKUP(B332,Товары_очищенные!$A$1:$G$1000,6,FALSE),"нет в каталоге")</f>
        <v>9500</v>
      </c>
      <c r="I332" t="str">
        <f>IFERROR(VLOOKUP(B332,Товары_очищенные!$A$1:$G$1000,3,FALSE),"нет в каталоге")</f>
        <v>Аксессуары</v>
      </c>
      <c r="J332" t="str">
        <f t="shared" si="30"/>
        <v>OK</v>
      </c>
    </row>
    <row r="333">
      <c r="A333" s="8">
        <f>DATE(RIGHT(Продажи_исходные!A333,4),LEFT(Продажи_исходные!A333,2),MID(Продажи_исходные!A333,4,2))</f>
        <v>45837</v>
      </c>
      <c r="B333" t="str">
        <f>"АРТ-"&amp;LEFT(SUBSTITUTE(SUBSTITUTE(SUBSTITUTE(SUBSTITUTE(Продажи_исходные!B333,"№",""),"АРТ-",""),"АРТ_",""),"/","-"),3)</f>
        <v>АРТ-454</v>
      </c>
      <c r="C333" s="4">
        <f>IFERROR(VALUE(TRIM(SUBSTITUTE(SUBSTITUTE(SUBSTITUTE(SUBSTITUTE(Продажи_исходные!C333," шт.","")," шт",""),"шт.",""),"шт",""))),0)</f>
        <v>2</v>
      </c>
      <c r="D333" s="4">
        <f>IF(LEFT(Продажи_исходные!D333,1)="$",VALUE(MID(Продажи_исходные!D333,2,255))*95,IF(LEFT(Продажи_исходные!D333,1)="€",VALUE(MID(Продажи_исходные!D333,2,255))*100,VALUE(SUBSTITUTE(SUBSTITUTE(Продажи_исходные!D333,"₽","")," ",""))))</f>
        <v>8500</v>
      </c>
      <c r="E333" t="str">
        <f>Продажи_исходные!E333</f>
        <v>C0332</v>
      </c>
      <c r="F333" t="str">
        <f>Продажи_исходные!F333</f>
        <v>P011</v>
      </c>
      <c r="G333" t="str">
        <f>IFERROR(VLOOKUP(Продажи_исходные!G333,Справочники!$G$2:$H$50,2,FALSE),Продажи_исходные!G333)</f>
        <v>Завершен</v>
      </c>
      <c r="H333" s="4">
        <f>IFERROR(VLOOKUP(B333,Товары_очищенные!$A$1:$G$1000,6,FALSE),"нет в каталоге")</f>
        <v>74990</v>
      </c>
      <c r="I333" t="str">
        <f>IFERROR(VLOOKUP(B333,Товары_очищенные!$A$1:$G$1000,3,FALSE),"нет в каталоге")</f>
        <v>Мониторы</v>
      </c>
      <c r="J333" t="str">
        <f t="shared" si="30"/>
        <v>OK</v>
      </c>
    </row>
    <row r="334">
      <c r="A334" s="8">
        <f>DATE(RIGHT(Продажи_исходные!A334,4),LEFT(Продажи_исходные!A334,2),MID(Продажи_исходные!A334,4,2))</f>
        <v>45838</v>
      </c>
      <c r="B334" t="str">
        <f>"АРТ-"&amp;LEFT(SUBSTITUTE(SUBSTITUTE(SUBSTITUTE(SUBSTITUTE(Продажи_исходные!B334,"№",""),"АРТ-",""),"АРТ_",""),"/","-"),3)</f>
        <v>АРТ-281</v>
      </c>
      <c r="C334" s="4">
        <f>IFERROR(VALUE(TRIM(SUBSTITUTE(SUBSTITUTE(SUBSTITUTE(SUBSTITUTE(Продажи_исходные!C334," шт.","")," шт",""),"шт.",""),"шт",""))),0)</f>
        <v>1</v>
      </c>
      <c r="D334" s="4">
        <f>IF(LEFT(Продажи_исходные!D334,1)="$",VALUE(MID(Продажи_исходные!D334,2,255))*95,IF(LEFT(Продажи_исходные!D334,1)="€",VALUE(MID(Продажи_исходные!D334,2,255))*100,VALUE(SUBSTITUTE(SUBSTITUTE(Продажи_исходные!D334,"₽","")," ",""))))</f>
        <v>7800</v>
      </c>
      <c r="E334" t="str">
        <f>Продажи_исходные!E334</f>
        <v>C0333</v>
      </c>
      <c r="F334" t="str">
        <f>Продажи_исходные!F334</f>
        <v>P027</v>
      </c>
      <c r="G334" t="str">
        <f>IFERROR(VLOOKUP(Продажи_исходные!G334,Справочники!$G$2:$H$50,2,FALSE),Продажи_исходные!G334)</f>
        <v>Отменен</v>
      </c>
      <c r="H334" s="4">
        <f>IFERROR(VLOOKUP(B334,Товары_очищенные!$A$1:$G$1000,6,FALSE),"нет в каталоге")</f>
        <v>31500</v>
      </c>
      <c r="I334" t="str">
        <f>IFERROR(VLOOKUP(B334,Товары_очищенные!$A$1:$G$1000,3,FALSE),"нет в каталоге")</f>
        <v>Наушники</v>
      </c>
      <c r="J334" t="str">
        <f t="shared" si="30"/>
        <v>OK</v>
      </c>
    </row>
    <row r="335">
      <c r="A335" s="8">
        <f>DATE(RIGHT(Продажи_исходные!A335,4),LEFT(Продажи_исходные!A335,2),MID(Продажи_исходные!A335,4,2))</f>
        <v>45838</v>
      </c>
      <c r="B335" t="str">
        <f>"АРТ-"&amp;LEFT(SUBSTITUTE(SUBSTITUTE(SUBSTITUTE(SUBSTITUTE(Продажи_исходные!B335,"№",""),"АРТ-",""),"АРТ_",""),"/","-"),3)</f>
        <v>АРТ-401</v>
      </c>
      <c r="C335" s="4">
        <f>IFERROR(VALUE(TRIM(SUBSTITUTE(SUBSTITUTE(SUBSTITUTE(SUBSTITUTE(Продажи_исходные!C335," шт.","")," шт",""),"шт.",""),"шт",""))),0)</f>
        <v>-3</v>
      </c>
      <c r="D335" s="4">
        <f>IF(LEFT(Продажи_исходные!D335,1)="$",VALUE(MID(Продажи_исходные!D335,2,255))*95,IF(LEFT(Продажи_исходные!D335,1)="€",VALUE(MID(Продажи_исходные!D335,2,255))*100,VALUE(SUBSTITUTE(SUBSTITUTE(Продажи_исходные!D335,"₽","")," ",""))))</f>
        <v>11400</v>
      </c>
      <c r="E335" t="str">
        <f>Продажи_исходные!E335</f>
        <v>C0334</v>
      </c>
      <c r="F335" t="str">
        <f>Продажи_исходные!F335</f>
        <v>P018</v>
      </c>
      <c r="G335" t="str">
        <f>IFERROR(VLOOKUP(Продажи_исходные!G335,Справочники!$G$2:$H$50,2,FALSE),Продажи_исходные!G335)</f>
        <v>Отменен</v>
      </c>
      <c r="H335" s="4">
        <f>IFERROR(VLOOKUP(B335,Товары_очищенные!$A$1:$G$1000,6,FALSE),"нет в каталоге")</f>
        <v>19000</v>
      </c>
      <c r="I335" t="str">
        <f>IFERROR(VLOOKUP(B335,Товары_очищенные!$A$1:$G$1000,3,FALSE),"нет в каталоге")</f>
        <v>Смартфоны</v>
      </c>
      <c r="J335" t="str">
        <f t="shared" si="30"/>
        <v>OK</v>
      </c>
    </row>
    <row r="336">
      <c r="A336" s="8">
        <f>DATE(RIGHT(Продажи_исходные!A336,4),LEFT(Продажи_исходные!A336,2),MID(Продажи_исходные!A336,4,2))</f>
        <v>45839</v>
      </c>
      <c r="B336" t="str">
        <f>"АРТ-"&amp;LEFT(SUBSTITUTE(SUBSTITUTE(SUBSTITUTE(SUBSTITUTE(Продажи_исходные!B336,"№",""),"АРТ-",""),"АРТ_",""),"/","-"),3)</f>
        <v>АРТ-345</v>
      </c>
      <c r="C336" s="4">
        <f>IFERROR(VALUE(TRIM(SUBSTITUTE(SUBSTITUTE(SUBSTITUTE(SUBSTITUTE(Продажи_исходные!C336," шт.","")," шт",""),"шт.",""),"шт",""))),0)</f>
        <v>2</v>
      </c>
      <c r="D336" s="4">
        <f>IF(LEFT(Продажи_исходные!D336,1)="$",VALUE(MID(Продажи_исходные!D336,2,255))*95,IF(LEFT(Продажи_исходные!D336,1)="€",VALUE(MID(Продажи_исходные!D336,2,255))*100,VALUE(SUBSTITUTE(SUBSTITUTE(Продажи_исходные!D336,"₽","")," ",""))))</f>
        <v>10000</v>
      </c>
      <c r="E336" t="str">
        <f>Продажи_исходные!E336</f>
        <v>C0335</v>
      </c>
      <c r="F336" t="str">
        <f>Продажи_исходные!F336</f>
        <v>P040</v>
      </c>
      <c r="G336" t="str">
        <f>IFERROR(VLOOKUP(Продажи_исходные!G336,Справочники!$G$2:$H$50,2,FALSE),Продажи_исходные!G336)</f>
        <v>Возврат</v>
      </c>
      <c r="H336" s="4">
        <f>IFERROR(VLOOKUP(B336,Товары_очищенные!$A$1:$G$1000,6,FALSE),"нет в каталоге")</f>
        <v>87500</v>
      </c>
      <c r="I336" t="str">
        <f>IFERROR(VLOOKUP(B336,Товары_очищенные!$A$1:$G$1000,3,FALSE),"нет в каталоге")</f>
        <v>Телевизоры</v>
      </c>
      <c r="J336" t="str">
        <f t="shared" si="30"/>
        <v>OK</v>
      </c>
    </row>
    <row r="337">
      <c r="A337" s="8">
        <f>DATE(RIGHT(Продажи_исходные!A337,4),LEFT(Продажи_исходные!A337,2),MID(Продажи_исходные!A337,4,2))</f>
        <v>45839</v>
      </c>
      <c r="B337" t="str">
        <f>"АРТ-"&amp;LEFT(SUBSTITUTE(SUBSTITUTE(SUBSTITUTE(SUBSTITUTE(Продажи_исходные!B337,"№",""),"АРТ-",""),"АРТ_",""),"/","-"),3)</f>
        <v>АРТ-224</v>
      </c>
      <c r="C337" s="4">
        <f>IFERROR(VALUE(TRIM(SUBSTITUTE(SUBSTITUTE(SUBSTITUTE(SUBSTITUTE(Продажи_исходные!C337," шт.","")," шт",""),"шт.",""),"шт",""))),0)</f>
        <v>1</v>
      </c>
      <c r="D337" s="4">
        <f>IF(LEFT(Продажи_исходные!D337,1)="$",VALUE(MID(Продажи_исходные!D337,2,255))*95,IF(LEFT(Продажи_исходные!D337,1)="€",VALUE(MID(Продажи_исходные!D337,2,255))*100,VALUE(SUBSTITUTE(SUBSTITUTE(Продажи_исходные!D337,"₽","")," ",""))))</f>
        <v>9200</v>
      </c>
      <c r="E337" t="str">
        <f>Продажи_исходные!E337</f>
        <v>C0336</v>
      </c>
      <c r="F337" t="str">
        <f>Продажи_исходные!F337</f>
        <v>P003</v>
      </c>
      <c r="G337" t="str">
        <f>IFERROR(VLOOKUP(Продажи_исходные!G337,Справочники!$G$2:$H$50,2,FALSE),Продажи_исходные!G337)</f>
        <v>Завершен</v>
      </c>
      <c r="H337" s="4">
        <f>IFERROR(VLOOKUP(B337,Товары_очищенные!$A$1:$G$1000,6,FALSE),"нет в каталоге")</f>
        <v>52500</v>
      </c>
      <c r="I337" t="str">
        <f>IFERROR(VLOOKUP(B337,Товары_очищенные!$A$1:$G$1000,3,FALSE),"нет в каталоге")</f>
        <v>Мониторы</v>
      </c>
      <c r="J337" t="str">
        <f t="shared" si="30"/>
        <v>OK</v>
      </c>
    </row>
    <row r="338">
      <c r="A338" s="8">
        <f>DATE(RIGHT(Продажи_исходные!A338,4),LEFT(Продажи_исходные!A338,2),MID(Продажи_исходные!A338,4,2))</f>
        <v>45840</v>
      </c>
      <c r="B338" t="str">
        <f>"АРТ-"&amp;LEFT(SUBSTITUTE(SUBSTITUTE(SUBSTITUTE(SUBSTITUTE(Продажи_исходные!B338,"№",""),"АРТ-",""),"АРТ_",""),"/","-"),3)</f>
        <v>АРТ-205</v>
      </c>
      <c r="C338" s="4">
        <f>IFERROR(VALUE(TRIM(SUBSTITUTE(SUBSTITUTE(SUBSTITUTE(SUBSTITUTE(Продажи_исходные!C338," шт.","")," шт",""),"шт.",""),"шт",""))),0)</f>
        <v>3</v>
      </c>
      <c r="D338" s="4">
        <f>IF(LEFT(Продажи_исходные!D338,1)="$",VALUE(MID(Продажи_исходные!D338,2,255))*95,IF(LEFT(Продажи_исходные!D338,1)="€",VALUE(MID(Продажи_исходные!D338,2,255))*100,VALUE(SUBSTITUTE(SUBSTITUTE(Продажи_исходные!D338,"₽","")," ",""))))</f>
        <v>8550</v>
      </c>
      <c r="E338" t="str">
        <f>Продажи_исходные!E338</f>
        <v>C0337</v>
      </c>
      <c r="F338" t="str">
        <f>Продажи_исходные!F338</f>
        <v>P025</v>
      </c>
      <c r="G338" t="str">
        <f>IFERROR(VLOOKUP(Продажи_исходные!G338,Справочники!$G$2:$H$50,2,FALSE),Продажи_исходные!G338)</f>
        <v>Завершен</v>
      </c>
      <c r="H338" s="4">
        <f>IFERROR(VLOOKUP(B338,Товары_очищенные!$A$1:$G$1000,6,FALSE),"нет в каталоге")</f>
        <v>64990</v>
      </c>
      <c r="I338" t="str">
        <f>IFERROR(VLOOKUP(B338,Товары_очищенные!$A$1:$G$1000,3,FALSE),"нет в каталоге")</f>
        <v>Мониторы</v>
      </c>
      <c r="J338" t="str">
        <f t="shared" si="30"/>
        <v>OK</v>
      </c>
    </row>
    <row r="339">
      <c r="A339" s="8">
        <f>DATE(RIGHT(Продажи_исходные!A339,4),LEFT(Продажи_исходные!A339,2),MID(Продажи_исходные!A339,4,2))</f>
        <v>45840</v>
      </c>
      <c r="B339" t="str">
        <f>"АРТ-"&amp;LEFT(SUBSTITUTE(SUBSTITUTE(SUBSTITUTE(SUBSTITUTE(Продажи_исходные!B339,"№",""),"АРТ-",""),"АРТ_",""),"/","-"),3)</f>
        <v>АРТ-438</v>
      </c>
      <c r="C339" s="4">
        <f>IFERROR(VALUE(TRIM(SUBSTITUTE(SUBSTITUTE(SUBSTITUTE(SUBSTITUTE(Продажи_исходные!C339," шт.","")," шт",""),"шт.",""),"шт",""))),0)</f>
        <v>2</v>
      </c>
      <c r="D339" s="4">
        <f>IF(LEFT(Продажи_исходные!D339,1)="$",VALUE(MID(Продажи_исходные!D339,2,255))*95,IF(LEFT(Продажи_исходные!D339,1)="€",VALUE(MID(Продажи_исходные!D339,2,255))*100,VALUE(SUBSTITUTE(SUBSTITUTE(Продажи_исходные!D339,"₽","")," ",""))))</f>
        <v>7000</v>
      </c>
      <c r="E339" t="str">
        <f>Продажи_исходные!E339</f>
        <v>C0338</v>
      </c>
      <c r="F339" t="str">
        <f>Продажи_исходные!F339</f>
        <v>P010</v>
      </c>
      <c r="G339" t="str">
        <f>IFERROR(VLOOKUP(Продажи_исходные!G339,Справочники!$G$2:$H$50,2,FALSE),Продажи_исходные!G339)</f>
        <v>Завершен</v>
      </c>
      <c r="H339" s="4">
        <f>IFERROR(VLOOKUP(B339,Товары_очищенные!$A$1:$G$1000,6,FALSE),"нет в каталоге")</f>
        <v>6800</v>
      </c>
      <c r="I339" t="str">
        <f>IFERROR(VLOOKUP(B339,Товары_очищенные!$A$1:$G$1000,3,FALSE),"нет в каталоге")</f>
        <v>Аксессуары</v>
      </c>
      <c r="J339" t="str">
        <f t="shared" si="30"/>
        <v>OK</v>
      </c>
    </row>
    <row r="340">
      <c r="A340" s="8">
        <f>DATE(RIGHT(Продажи_исходные!A340,4),LEFT(Продажи_исходные!A340,2),MID(Продажи_исходные!A340,4,2))</f>
        <v>45841</v>
      </c>
      <c r="B340" t="str">
        <f>"АРТ-"&amp;LEFT(SUBSTITUTE(SUBSTITUTE(SUBSTITUTE(SUBSTITUTE(Продажи_исходные!B340,"№",""),"АРТ-",""),"АРТ_",""),"/","-"),3)</f>
        <v>АРТ-335</v>
      </c>
      <c r="C340" s="4">
        <f>IFERROR(VALUE(TRIM(SUBSTITUTE(SUBSTITUTE(SUBSTITUTE(SUBSTITUTE(Продажи_исходные!C340," шт.","")," шт",""),"шт.",""),"шт",""))),0)</f>
        <v>1</v>
      </c>
      <c r="D340" s="4">
        <f>IF(LEFT(Продажи_исходные!D340,1)="$",VALUE(MID(Продажи_исходные!D340,2,255))*95,IF(LEFT(Продажи_исходные!D340,1)="€",VALUE(MID(Продажи_исходные!D340,2,255))*100,VALUE(SUBSTITUTE(SUBSTITUTE(Продажи_исходные!D340,"₽","")," ",""))))</f>
        <v>6500</v>
      </c>
      <c r="E340" t="str">
        <f>Продажи_исходные!E340</f>
        <v>C0339</v>
      </c>
      <c r="F340" t="str">
        <f>Продажи_исходные!F340</f>
        <v>P033</v>
      </c>
      <c r="G340" t="str">
        <f>IFERROR(VLOOKUP(Продажи_исходные!G340,Справочники!$G$2:$H$50,2,FALSE),Продажи_исходные!G340)</f>
        <v>Отменен</v>
      </c>
      <c r="H340" s="4">
        <f>IFERROR(VLOOKUP(B340,Товары_очищенные!$A$1:$G$1000,6,FALSE),"нет в каталоге")</f>
        <v>47000</v>
      </c>
      <c r="I340" t="str">
        <f>IFERROR(VLOOKUP(B340,Товары_очищенные!$A$1:$G$1000,3,FALSE),"нет в каталоге")</f>
        <v>Планшеты</v>
      </c>
      <c r="J340" t="str">
        <f t="shared" si="30"/>
        <v>OK</v>
      </c>
    </row>
    <row r="341">
      <c r="A341" s="8">
        <f>DATE(RIGHT(Продажи_исходные!A341,4),LEFT(Продажи_исходные!A341,2),MID(Продажи_исходные!A341,4,2))</f>
        <v>45841</v>
      </c>
      <c r="B341" t="str">
        <f>"АРТ-"&amp;LEFT(SUBSTITUTE(SUBSTITUTE(SUBSTITUTE(SUBSTITUTE(Продажи_исходные!B341,"№",""),"АРТ-",""),"АРТ_",""),"/","-"),3)</f>
        <v>АРТ-385</v>
      </c>
      <c r="C341" s="4">
        <f>IFERROR(VALUE(TRIM(SUBSTITUTE(SUBSTITUTE(SUBSTITUTE(SUBSTITUTE(Продажи_исходные!C341," шт.","")," шт",""),"шт.",""),"шт",""))),0)</f>
        <v>-1</v>
      </c>
      <c r="D341" s="4">
        <f>IF(LEFT(Продажи_исходные!D341,1)="$",VALUE(MID(Продажи_исходные!D341,2,255))*95,IF(LEFT(Продажи_исходные!D341,1)="€",VALUE(MID(Продажи_исходные!D341,2,255))*100,VALUE(SUBSTITUTE(SUBSTITUTE(Продажи_исходные!D341,"₽","")," ",""))))</f>
        <v>10450</v>
      </c>
      <c r="E341" t="str">
        <f>Продажи_исходные!E341</f>
        <v>C0340</v>
      </c>
      <c r="F341" t="str">
        <f>Продажи_исходные!F341</f>
        <v>P047</v>
      </c>
      <c r="G341" t="str">
        <f>IFERROR(VLOOKUP(Продажи_исходные!G341,Справочники!$G$2:$H$50,2,FALSE),Продажи_исходные!G341)</f>
        <v>Отменен</v>
      </c>
      <c r="H341" s="4">
        <f>IFERROR(VLOOKUP(B341,Товары_очищенные!$A$1:$G$1000,6,FALSE),"нет в каталоге")</f>
        <v>116990</v>
      </c>
      <c r="I341" t="str">
        <f>IFERROR(VLOOKUP(B341,Товары_очищенные!$A$1:$G$1000,3,FALSE),"нет в каталоге")</f>
        <v>Ноутбуки</v>
      </c>
      <c r="J341" t="str">
        <f t="shared" si="30"/>
        <v>OK</v>
      </c>
    </row>
    <row r="342">
      <c r="A342" s="8">
        <f>DATE(RIGHT(Продажи_исходные!A342,4),LEFT(Продажи_исходные!A342,2),MID(Продажи_исходные!A342,4,2))</f>
        <v>45842</v>
      </c>
      <c r="B342" t="str">
        <f>"АРТ-"&amp;LEFT(SUBSTITUTE(SUBSTITUTE(SUBSTITUTE(SUBSTITUTE(Продажи_исходные!B342,"№",""),"АРТ-",""),"АРТ_",""),"/","-"),3)</f>
        <v>АРТ-267</v>
      </c>
      <c r="C342" s="4">
        <f>IFERROR(VALUE(TRIM(SUBSTITUTE(SUBSTITUTE(SUBSTITUTE(SUBSTITUTE(Продажи_исходные!C342," шт.","")," шт",""),"шт.",""),"шт",""))),0)</f>
        <v>3</v>
      </c>
      <c r="D342" s="4">
        <f>IF(LEFT(Продажи_исходные!D342,1)="$",VALUE(MID(Продажи_исходные!D342,2,255))*95,IF(LEFT(Продажи_исходные!D342,1)="€",VALUE(MID(Продажи_исходные!D342,2,255))*100,VALUE(SUBSTITUTE(SUBSTITUTE(Продажи_исходные!D342,"₽","")," ",""))))</f>
        <v>9000</v>
      </c>
      <c r="E342" t="str">
        <f>Продажи_исходные!E342</f>
        <v>C0341</v>
      </c>
      <c r="F342" t="str">
        <f>Продажи_исходные!F342</f>
        <v>P020</v>
      </c>
      <c r="G342" t="str">
        <f>IFERROR(VLOOKUP(Продажи_исходные!G342,Справочники!$G$2:$H$50,2,FALSE),Продажи_исходные!G342)</f>
        <v>Завершен</v>
      </c>
      <c r="H342" s="4">
        <f>IFERROR(VLOOKUP(B342,Товары_очищенные!$A$1:$G$1000,6,FALSE),"нет в каталоге")</f>
        <v>70000</v>
      </c>
      <c r="I342" t="str">
        <f>IFERROR(VLOOKUP(B342,Товары_очищенные!$A$1:$G$1000,3,FALSE),"нет в каталоге")</f>
        <v>Мониторы</v>
      </c>
      <c r="J342" t="str">
        <f t="shared" si="30"/>
        <v>OK</v>
      </c>
    </row>
    <row r="343">
      <c r="A343" s="8">
        <f>DATE(RIGHT(Продажи_исходные!A343,4),LEFT(Продажи_исходные!A343,2),MID(Продажи_исходные!A343,4,2))</f>
        <v>45842</v>
      </c>
      <c r="B343" t="str">
        <f>"АРТ-"&amp;LEFT(SUBSTITUTE(SUBSTITUTE(SUBSTITUTE(SUBSTITUTE(Продажи_исходные!B343,"№",""),"АРТ-",""),"АРТ_",""),"/","-"),3)</f>
        <v>АРТ-095</v>
      </c>
      <c r="C343" s="4">
        <f>IFERROR(VALUE(TRIM(SUBSTITUTE(SUBSTITUTE(SUBSTITUTE(SUBSTITUTE(Продажи_исходные!C343," шт.","")," шт",""),"шт.",""),"шт",""))),0)</f>
        <v>2</v>
      </c>
      <c r="D343" s="4">
        <f>IF(LEFT(Продажи_исходные!D343,1)="$",VALUE(MID(Продажи_исходные!D343,2,255))*95,IF(LEFT(Продажи_исходные!D343,1)="€",VALUE(MID(Продажи_исходные!D343,2,255))*100,VALUE(SUBSTITUTE(SUBSTITUTE(Продажи_исходные!D343,"₽","")," ",""))))</f>
        <v>8000</v>
      </c>
      <c r="E343" t="str">
        <f>Продажи_исходные!E343</f>
        <v>C0342</v>
      </c>
      <c r="F343" t="str">
        <f>Продажи_исходные!F343</f>
        <v>P002</v>
      </c>
      <c r="G343" t="str">
        <f>IFERROR(VLOOKUP(Продажи_исходные!G343,Справочники!$G$2:$H$50,2,FALSE),Продажи_исходные!G343)</f>
        <v>Возврат</v>
      </c>
      <c r="H343" s="4">
        <f>IFERROR(VLOOKUP(B343,Товары_очищенные!$A$1:$G$1000,6,FALSE),"нет в каталоге")</f>
        <v>92000</v>
      </c>
      <c r="I343" t="str">
        <f>IFERROR(VLOOKUP(B343,Товары_очищенные!$A$1:$G$1000,3,FALSE),"нет в каталоге")</f>
        <v>Мониторы</v>
      </c>
      <c r="J343" t="str">
        <f t="shared" si="30"/>
        <v>OK</v>
      </c>
    </row>
    <row r="344">
      <c r="A344" s="8">
        <f>DATE(RIGHT(Продажи_исходные!A344,4),LEFT(Продажи_исходные!A344,2),MID(Продажи_исходные!A344,4,2))</f>
        <v>45843</v>
      </c>
      <c r="B344" t="str">
        <f>"АРТ-"&amp;LEFT(SUBSTITUTE(SUBSTITUTE(SUBSTITUTE(SUBSTITUTE(Продажи_исходные!B344,"№",""),"АРТ-",""),"АРТ_",""),"/","-"),3)</f>
        <v>АРТ-030</v>
      </c>
      <c r="C344" s="4">
        <f>IFERROR(VALUE(TRIM(SUBSTITUTE(SUBSTITUTE(SUBSTITUTE(SUBSTITUTE(Продажи_исходные!C344," шт.","")," шт",""),"шт.",""),"шт",""))),0)</f>
        <v>1</v>
      </c>
      <c r="D344" s="4">
        <f>IF(LEFT(Продажи_исходные!D344,1)="$",VALUE(MID(Продажи_исходные!D344,2,255))*95,IF(LEFT(Продажи_исходные!D344,1)="€",VALUE(MID(Продажи_исходные!D344,2,255))*100,VALUE(SUBSTITUTE(SUBSTITUTE(Продажи_исходные!D344,"₽","")," ",""))))</f>
        <v>9025</v>
      </c>
      <c r="E344" t="str">
        <f>Продажи_исходные!E344</f>
        <v>C0343</v>
      </c>
      <c r="F344" t="str">
        <f>Продажи_исходные!F344</f>
        <v>P038</v>
      </c>
      <c r="G344" t="str">
        <f>IFERROR(VLOOKUP(Продажи_исходные!G344,Справочники!$G$2:$H$50,2,FALSE),Продажи_исходные!G344)</f>
        <v>Завершен</v>
      </c>
      <c r="H344" s="4">
        <f>IFERROR(VLOOKUP(B344,Товары_очищенные!$A$1:$G$1000,6,FALSE),"нет в каталоге")</f>
        <v>10500</v>
      </c>
      <c r="I344" t="str">
        <f>IFERROR(VLOOKUP(B344,Товары_очищенные!$A$1:$G$1000,3,FALSE),"нет в каталоге")</f>
        <v>Аксессуары</v>
      </c>
      <c r="J344" t="str">
        <f t="shared" si="30"/>
        <v>OK</v>
      </c>
    </row>
    <row r="345">
      <c r="A345" s="8">
        <f>DATE(RIGHT(Продажи_исходные!A345,4),LEFT(Продажи_исходные!A345,2),MID(Продажи_исходные!A345,4,2))</f>
        <v>45843</v>
      </c>
      <c r="B345" t="str">
        <f>"АРТ-"&amp;LEFT(SUBSTITUTE(SUBSTITUTE(SUBSTITUTE(SUBSTITUTE(Продажи_исходные!B345,"№",""),"АРТ-",""),"АРТ_",""),"/","-"),3)</f>
        <v>АРТ-493</v>
      </c>
      <c r="C345" s="4">
        <f>IFERROR(VALUE(TRIM(SUBSTITUTE(SUBSTITUTE(SUBSTITUTE(SUBSTITUTE(Продажи_исходные!C345," шт.","")," шт",""),"шт.",""),"шт",""))),0)</f>
        <v>2</v>
      </c>
      <c r="D345" s="4">
        <f>IF(LEFT(Продажи_исходные!D345,1)="$",VALUE(MID(Продажи_исходные!D345,2,255))*95,IF(LEFT(Продажи_исходные!D345,1)="€",VALUE(MID(Продажи_исходные!D345,2,255))*100,VALUE(SUBSTITUTE(SUBSTITUTE(Продажи_исходные!D345,"₽","")," ",""))))</f>
        <v>7500</v>
      </c>
      <c r="E345" t="str">
        <f>Продажи_исходные!E345</f>
        <v>C0344</v>
      </c>
      <c r="F345" t="str">
        <f>Продажи_исходные!F345</f>
        <v>P016</v>
      </c>
      <c r="G345" t="str">
        <f>IFERROR(VLOOKUP(Продажи_исходные!G345,Справочники!$G$2:$H$50,2,FALSE),Продажи_исходные!G345)</f>
        <v>Завершен</v>
      </c>
      <c r="H345" s="4">
        <f>IFERROR(VLOOKUP(B345,Товары_очищенные!$A$1:$G$1000,6,FALSE),"нет в каталоге")</f>
        <v>14990</v>
      </c>
      <c r="I345" t="str">
        <f>IFERROR(VLOOKUP(B345,Товары_очищенные!$A$1:$G$1000,3,FALSE),"нет в каталоге")</f>
        <v>Наушники</v>
      </c>
      <c r="J345" t="str">
        <f t="shared" si="30"/>
        <v>OK</v>
      </c>
    </row>
    <row r="346">
      <c r="A346" s="8">
        <f>DATE(RIGHT(Продажи_исходные!A346,4),LEFT(Продажи_исходные!A346,2),MID(Продажи_исходные!A346,4,2))</f>
        <v>45844</v>
      </c>
      <c r="B346" t="str">
        <f>"АРТ-"&amp;LEFT(SUBSTITUTE(SUBSTITUTE(SUBSTITUTE(SUBSTITUTE(Продажи_исходные!B346,"№",""),"АРТ-",""),"АРТ_",""),"/","-"),3)</f>
        <v>АРТ-313</v>
      </c>
      <c r="C346" s="4">
        <f>IFERROR(VALUE(TRIM(SUBSTITUTE(SUBSTITUTE(SUBSTITUTE(SUBSTITUTE(Продажи_исходные!C346," шт.","")," шт",""),"шт.",""),"шт",""))),0)</f>
        <v>3</v>
      </c>
      <c r="D346" s="4">
        <f>IF(LEFT(Продажи_исходные!D346,1)="$",VALUE(MID(Продажи_исходные!D346,2,255))*95,IF(LEFT(Продажи_исходные!D346,1)="€",VALUE(MID(Продажи_исходные!D346,2,255))*100,VALUE(SUBSTITUTE(SUBSTITUTE(Продажи_исходные!D346,"₽","")," ",""))))</f>
        <v>7000</v>
      </c>
      <c r="E346" t="str">
        <f>Продажи_исходные!E346</f>
        <v>C0345</v>
      </c>
      <c r="F346" t="str">
        <f>Продажи_исходные!F346</f>
        <v>P029</v>
      </c>
      <c r="G346" t="str">
        <f>IFERROR(VLOOKUP(Продажи_исходные!G346,Справочники!$G$2:$H$50,2,FALSE),Продажи_исходные!G346)</f>
        <v>Завершен</v>
      </c>
      <c r="H346" s="4">
        <f>IFERROR(VLOOKUP(B346,Товары_очищенные!$A$1:$G$1000,6,FALSE),"нет в каталоге")</f>
        <v>69990</v>
      </c>
      <c r="I346" t="str">
        <f>IFERROR(VLOOKUP(B346,Товары_очищенные!$A$1:$G$1000,3,FALSE),"нет в каталоге")</f>
        <v>Смартфоны</v>
      </c>
      <c r="J346" t="str">
        <f t="shared" si="30"/>
        <v>OK</v>
      </c>
    </row>
    <row r="347">
      <c r="A347" s="8">
        <f>DATE(RIGHT(Продажи_исходные!A347,4),LEFT(Продажи_исходные!A347,2),MID(Продажи_исходные!A347,4,2))</f>
        <v>45844</v>
      </c>
      <c r="B347" t="str">
        <f>"АРТ-"&amp;LEFT(SUBSTITUTE(SUBSTITUTE(SUBSTITUTE(SUBSTITUTE(Продажи_исходные!B347,"№",""),"АРТ-",""),"АРТ_",""),"/","-"),3)</f>
        <v>АРТ-200</v>
      </c>
      <c r="C347" s="4">
        <f>IFERROR(VALUE(TRIM(SUBSTITUTE(SUBSTITUTE(SUBSTITUTE(SUBSTITUTE(Продажи_исходные!C347," шт.","")," шт",""),"шт.",""),"шт",""))),0)</f>
        <v>-2</v>
      </c>
      <c r="D347" s="4">
        <f>IF(LEFT(Продажи_исходные!D347,1)="$",VALUE(MID(Продажи_исходные!D347,2,255))*95,IF(LEFT(Продажи_исходные!D347,1)="€",VALUE(MID(Продажи_исходные!D347,2,255))*100,VALUE(SUBSTITUTE(SUBSTITUTE(Продажи_исходные!D347,"₽","")," ",""))))</f>
        <v>10925</v>
      </c>
      <c r="E347" t="str">
        <f>Продажи_исходные!E347</f>
        <v>C0346</v>
      </c>
      <c r="F347" t="str">
        <f>Продажи_исходные!F347</f>
        <v>P035</v>
      </c>
      <c r="G347" t="str">
        <f>IFERROR(VLOOKUP(Продажи_исходные!G347,Справочники!$G$2:$H$50,2,FALSE),Продажи_исходные!G347)</f>
        <v>Отменен</v>
      </c>
      <c r="H347" s="4">
        <f>IFERROR(VLOOKUP(B347,Товары_очищенные!$A$1:$G$1000,6,FALSE),"нет в каталоге")</f>
        <v>93000</v>
      </c>
      <c r="I347" t="str">
        <f>IFERROR(VLOOKUP(B347,Товары_очищенные!$A$1:$G$1000,3,FALSE),"нет в каталоге")</f>
        <v>Телевизоры</v>
      </c>
      <c r="J347" t="str">
        <f t="shared" si="30"/>
        <v>OK</v>
      </c>
    </row>
    <row r="348">
      <c r="A348" s="8">
        <f>DATE(RIGHT(Продажи_исходные!A348,4),LEFT(Продажи_исходные!A348,2),MID(Продажи_исходные!A348,4,2))</f>
        <v>45845</v>
      </c>
      <c r="B348" t="str">
        <f>"АРТ-"&amp;LEFT(SUBSTITUTE(SUBSTITUTE(SUBSTITUTE(SUBSTITUTE(Продажи_исходные!B348,"№",""),"АРТ-",""),"АРТ_",""),"/","-"),3)</f>
        <v>АРТ-253</v>
      </c>
      <c r="C348" s="4">
        <f>IFERROR(VALUE(TRIM(SUBSTITUTE(SUBSTITUTE(SUBSTITUTE(SUBSTITUTE(Продажи_исходные!C348," шт.","")," шт",""),"шт.",""),"шт",""))),0)</f>
        <v>1</v>
      </c>
      <c r="D348" s="4">
        <f>IF(LEFT(Продажи_исходные!D348,1)="$",VALUE(MID(Продажи_исходные!D348,2,255))*95,IF(LEFT(Продажи_исходные!D348,1)="€",VALUE(MID(Продажи_исходные!D348,2,255))*100,VALUE(SUBSTITUTE(SUBSTITUTE(Продажи_исходные!D348,"₽","")," ",""))))</f>
        <v>9500</v>
      </c>
      <c r="E348" t="str">
        <f>Продажи_исходные!E348</f>
        <v>C0347</v>
      </c>
      <c r="F348" t="str">
        <f>Продажи_исходные!F348</f>
        <v>P046</v>
      </c>
      <c r="G348" t="str">
        <f>IFERROR(VLOOKUP(Продажи_исходные!G348,Справочники!$G$2:$H$50,2,FALSE),Продажи_исходные!G348)</f>
        <v>Отменен</v>
      </c>
      <c r="H348" s="4">
        <f>IFERROR(VLOOKUP(B348,Товары_очищенные!$A$1:$G$1000,6,FALSE),"нет в каталоге")</f>
        <v>159990</v>
      </c>
      <c r="I348" t="str">
        <f>IFERROR(VLOOKUP(B348,Товары_очищенные!$A$1:$G$1000,3,FALSE),"нет в каталоге")</f>
        <v>Ноутбуки</v>
      </c>
      <c r="J348" t="str">
        <f t="shared" si="30"/>
        <v>OK</v>
      </c>
    </row>
    <row r="349">
      <c r="A349" s="8">
        <f>DATE(RIGHT(Продажи_исходные!A349,4),LEFT(Продажи_исходные!A349,2),MID(Продажи_исходные!A349,4,2))</f>
        <v>45845</v>
      </c>
      <c r="B349" t="str">
        <f>"АРТ-"&amp;LEFT(SUBSTITUTE(SUBSTITUTE(SUBSTITUTE(SUBSTITUTE(Продажи_исходные!B349,"№",""),"АРТ-",""),"АРТ_",""),"/","-"),3)</f>
        <v>АРТ-105</v>
      </c>
      <c r="C349" s="4">
        <f>IFERROR(VALUE(TRIM(SUBSTITUTE(SUBSTITUTE(SUBSTITUTE(SUBSTITUTE(Продажи_исходные!C349," шт.","")," шт",""),"шт.",""),"шт",""))),0)</f>
        <v>2</v>
      </c>
      <c r="D349" s="4">
        <f>IF(LEFT(Продажи_исходные!D349,1)="$",VALUE(MID(Продажи_исходные!D349,2,255))*95,IF(LEFT(Продажи_исходные!D349,1)="€",VALUE(MID(Продажи_исходные!D349,2,255))*100,VALUE(SUBSTITUTE(SUBSTITUTE(Продажи_исходные!D349,"₽","")," ",""))))</f>
        <v>8500</v>
      </c>
      <c r="E349" t="str">
        <f>Продажи_исходные!E349</f>
        <v>C0348</v>
      </c>
      <c r="F349" t="str">
        <f>Продажи_исходные!F349</f>
        <v>P022</v>
      </c>
      <c r="G349" t="str">
        <f>IFERROR(VLOOKUP(Продажи_исходные!G349,Справочники!$G$2:$H$50,2,FALSE),Продажи_исходные!G349)</f>
        <v>Возврат</v>
      </c>
      <c r="H349" s="4">
        <f>IFERROR(VLOOKUP(B349,Товары_очищенные!$A$1:$G$1000,6,FALSE),"нет в каталоге")</f>
        <v>152000</v>
      </c>
      <c r="I349" t="str">
        <f>IFERROR(VLOOKUP(B349,Товары_очищенные!$A$1:$G$1000,3,FALSE),"нет в каталоге")</f>
        <v>Ноутбуки</v>
      </c>
      <c r="J349" t="str">
        <f t="shared" si="30"/>
        <v>OK</v>
      </c>
    </row>
    <row r="350">
      <c r="A350" s="8">
        <f>DATE(RIGHT(Продажи_исходные!A350,4),LEFT(Продажи_исходные!A350,2),MID(Продажи_исходные!A350,4,2))</f>
        <v>45846</v>
      </c>
      <c r="B350" t="str">
        <f>"АРТ-"&amp;LEFT(SUBSTITUTE(SUBSTITUTE(SUBSTITUTE(SUBSTITUTE(Продажи_исходные!B350,"№",""),"АРТ-",""),"АРТ_",""),"/","-"),3)</f>
        <v>АРТ-148</v>
      </c>
      <c r="C350" s="4">
        <f>IFERROR(VALUE(TRIM(SUBSTITUTE(SUBSTITUTE(SUBSTITUTE(SUBSTITUTE(Продажи_исходные!C350," шт.","")," шт",""),"шт.",""),"шт",""))),0)</f>
        <v>3</v>
      </c>
      <c r="D350" s="4">
        <f>IF(LEFT(Продажи_исходные!D350,1)="$",VALUE(MID(Продажи_исходные!D350,2,255))*95,IF(LEFT(Продажи_исходные!D350,1)="€",VALUE(MID(Продажи_исходные!D350,2,255))*100,VALUE(SUBSTITUTE(SUBSTITUTE(Продажи_исходные!D350,"₽","")," ",""))))</f>
        <v>9975</v>
      </c>
      <c r="E350" t="str">
        <f>Продажи_исходные!E350</f>
        <v>C0349</v>
      </c>
      <c r="F350" t="str">
        <f>Продажи_исходные!F350</f>
        <v>P043</v>
      </c>
      <c r="G350" t="str">
        <f>IFERROR(VLOOKUP(Продажи_исходные!G350,Справочники!$G$2:$H$50,2,FALSE),Продажи_исходные!G350)</f>
        <v>Завершен</v>
      </c>
      <c r="H350" s="4">
        <f>IFERROR(VLOOKUP(B350,Товары_очищенные!$A$1:$G$1000,6,FALSE),"нет в каталоге")</f>
        <v>139990</v>
      </c>
      <c r="I350" t="str">
        <f>IFERROR(VLOOKUP(B350,Товары_очищенные!$A$1:$G$1000,3,FALSE),"нет в каталоге")</f>
        <v>Ноутбуки</v>
      </c>
      <c r="J350" t="str">
        <f t="shared" si="30"/>
        <v>OK</v>
      </c>
    </row>
    <row r="351">
      <c r="A351" s="8">
        <f>DATE(RIGHT(Продажи_исходные!A351,4),LEFT(Продажи_исходные!A351,2),MID(Продажи_исходные!A351,4,2))</f>
        <v>45846</v>
      </c>
      <c r="B351" t="str">
        <f>"АРТ-"&amp;LEFT(SUBSTITUTE(SUBSTITUTE(SUBSTITUTE(SUBSTITUTE(Продажи_исходные!B351,"№",""),"АРТ-",""),"АРТ_",""),"/","-"),3)</f>
        <v>АРТ-490</v>
      </c>
      <c r="C351" s="4">
        <f>IFERROR(VALUE(TRIM(SUBSTITUTE(SUBSTITUTE(SUBSTITUTE(SUBSTITUTE(Продажи_исходные!C351," шт.","")," шт",""),"шт.",""),"шт",""))),0)</f>
        <v>2</v>
      </c>
      <c r="D351" s="4">
        <f>IF(LEFT(Продажи_исходные!D351,1)="$",VALUE(MID(Продажи_исходные!D351,2,255))*95,IF(LEFT(Продажи_исходные!D351,1)="€",VALUE(MID(Продажи_исходные!D351,2,255))*100,VALUE(SUBSTITUTE(SUBSTITUTE(Продажи_исходные!D351,"₽","")," ",""))))</f>
        <v>8500</v>
      </c>
      <c r="E351" t="str">
        <f>Продажи_исходные!E351</f>
        <v>C0350</v>
      </c>
      <c r="F351" t="str">
        <f>Продажи_исходные!F351</f>
        <v>P030</v>
      </c>
      <c r="G351" t="str">
        <f>IFERROR(VLOOKUP(Продажи_исходные!G351,Справочники!$G$2:$H$50,2,FALSE),Продажи_исходные!G351)</f>
        <v>Завершен</v>
      </c>
      <c r="H351" s="4">
        <f>IFERROR(VLOOKUP(B351,Товары_очищенные!$A$1:$G$1000,6,FALSE),"нет в каталоге")</f>
        <v>61990</v>
      </c>
      <c r="I351" t="str">
        <f>IFERROR(VLOOKUP(B351,Товары_очищенные!$A$1:$G$1000,3,FALSE),"нет в каталоге")</f>
        <v>Телевизоры</v>
      </c>
      <c r="J351" t="str">
        <f t="shared" si="30"/>
        <v>OK</v>
      </c>
    </row>
    <row r="352">
      <c r="A352" s="8">
        <f>DATE(RIGHT(Продажи_исходные!A352,4),LEFT(Продажи_исходные!A352,2),MID(Продажи_исходные!A352,4,2))</f>
        <v>45847</v>
      </c>
      <c r="B352" t="str">
        <f>"АРТ-"&amp;LEFT(SUBSTITUTE(SUBSTITUTE(SUBSTITUTE(SUBSTITUTE(Продажи_исходные!B352,"№",""),"АРТ-",""),"АРТ_",""),"/","-"),3)</f>
        <v>АРТ-369</v>
      </c>
      <c r="C352" s="4">
        <f>IFERROR(VALUE(TRIM(SUBSTITUTE(SUBSTITUTE(SUBSTITUTE(SUBSTITUTE(Продажи_исходные!C352," шт.","")," шт",""),"шт.",""),"шт",""))),0)</f>
        <v>1</v>
      </c>
      <c r="D352" s="4">
        <f>IF(LEFT(Продажи_исходные!D352,1)="$",VALUE(MID(Продажи_исходные!D352,2,255))*95,IF(LEFT(Продажи_исходные!D352,1)="€",VALUE(MID(Продажи_исходные!D352,2,255))*100,VALUE(SUBSTITUTE(SUBSTITUTE(Продажи_исходные!D352,"₽","")," ",""))))</f>
        <v>7800</v>
      </c>
      <c r="E352" t="str">
        <f>Продажи_исходные!E352</f>
        <v>C0351</v>
      </c>
      <c r="F352" t="str">
        <f>Продажи_исходные!F352</f>
        <v>P012</v>
      </c>
      <c r="G352" t="str">
        <f>IFERROR(VLOOKUP(Продажи_исходные!G352,Справочники!$G$2:$H$50,2,FALSE),Продажи_исходные!G352)</f>
        <v>Завершен</v>
      </c>
      <c r="H352" s="4">
        <f>IFERROR(VLOOKUP(B352,Товары_очищенные!$A$1:$G$1000,6,FALSE),"нет в каталоге")</f>
        <v>20800</v>
      </c>
      <c r="I352" t="str">
        <f>IFERROR(VLOOKUP(B352,Товары_очищенные!$A$1:$G$1000,3,FALSE),"нет в каталоге")</f>
        <v>Наушники</v>
      </c>
      <c r="J352" t="str">
        <f t="shared" si="30"/>
        <v>OK</v>
      </c>
    </row>
    <row r="353">
      <c r="A353" s="8">
        <f>DATE(RIGHT(Продажи_исходные!A353,4),LEFT(Продажи_исходные!A353,2),MID(Продажи_исходные!A353,4,2))</f>
        <v>45847</v>
      </c>
      <c r="B353" t="str">
        <f>"АРТ-"&amp;LEFT(SUBSTITUTE(SUBSTITUTE(SUBSTITUTE(SUBSTITUTE(Продажи_исходные!B353,"№",""),"АРТ-",""),"АРТ_",""),"/","-"),3)</f>
        <v>АРТ-423</v>
      </c>
      <c r="C353" s="4">
        <f>IFERROR(VALUE(TRIM(SUBSTITUTE(SUBSTITUTE(SUBSTITUTE(SUBSTITUTE(Продажи_исходные!C353," шт.","")," шт",""),"шт.",""),"шт",""))),0)</f>
        <v>-3</v>
      </c>
      <c r="D353" s="4">
        <f>IF(LEFT(Продажи_исходные!D353,1)="$",VALUE(MID(Продажи_исходные!D353,2,255))*95,IF(LEFT(Продажи_исходные!D353,1)="€",VALUE(MID(Продажи_исходные!D353,2,255))*100,VALUE(SUBSTITUTE(SUBSTITUTE(Продажи_исходные!D353,"₽","")," ",""))))</f>
        <v>11400</v>
      </c>
      <c r="E353" t="str">
        <f>Продажи_исходные!E353</f>
        <v>C0352</v>
      </c>
      <c r="F353" t="str">
        <f>Продажи_исходные!F353</f>
        <v>P007</v>
      </c>
      <c r="G353" t="str">
        <f>IFERROR(VLOOKUP(Продажи_исходные!G353,Справочники!$G$2:$H$50,2,FALSE),Продажи_исходные!G353)</f>
        <v>Отменен</v>
      </c>
      <c r="H353" s="4">
        <f>IFERROR(VLOOKUP(B353,Товары_очищенные!$A$1:$G$1000,6,FALSE),"нет в каталоге")</f>
        <v>129500</v>
      </c>
      <c r="I353" t="str">
        <f>IFERROR(VLOOKUP(B353,Товары_очищенные!$A$1:$G$1000,3,FALSE),"нет в каталоге")</f>
        <v>Ноутбуки</v>
      </c>
      <c r="J353" t="str">
        <f t="shared" si="30"/>
        <v>OK</v>
      </c>
    </row>
    <row r="354">
      <c r="A354" s="8">
        <f>DATE(RIGHT(Продажи_исходные!A354,4),LEFT(Продажи_исходные!A354,2),MID(Продажи_исходные!A354,4,2))</f>
        <v>45848</v>
      </c>
      <c r="B354" t="str">
        <f>"АРТ-"&amp;LEFT(SUBSTITUTE(SUBSTITUTE(SUBSTITUTE(SUBSTITUTE(Продажи_исходные!B354,"№",""),"АРТ-",""),"АРТ_",""),"/","-"),3)</f>
        <v>АРТ-328</v>
      </c>
      <c r="C354" s="4">
        <f>IFERROR(VALUE(TRIM(SUBSTITUTE(SUBSTITUTE(SUBSTITUTE(SUBSTITUTE(Продажи_исходные!C354," шт.","")," шт",""),"шт.",""),"шт",""))),0)</f>
        <v>2</v>
      </c>
      <c r="D354" s="4">
        <f>IF(LEFT(Продажи_исходные!D354,1)="$",VALUE(MID(Продажи_исходные!D354,2,255))*95,IF(LEFT(Продажи_исходные!D354,1)="€",VALUE(MID(Продажи_исходные!D354,2,255))*100,VALUE(SUBSTITUTE(SUBSTITUTE(Продажи_исходные!D354,"₽","")," ",""))))</f>
        <v>10000</v>
      </c>
      <c r="E354" t="str">
        <f>Продажи_исходные!E354</f>
        <v>C0353</v>
      </c>
      <c r="F354" t="str">
        <f>Продажи_исходные!F354</f>
        <v>P023</v>
      </c>
      <c r="G354" t="str">
        <f>IFERROR(VLOOKUP(Продажи_исходные!G354,Справочники!$G$2:$H$50,2,FALSE),Продажи_исходные!G354)</f>
        <v>Отменен</v>
      </c>
      <c r="H354" s="4">
        <f>IFERROR(VLOOKUP(B354,Товары_очищенные!$A$1:$G$1000,6,FALSE),"нет в каталоге")</f>
        <v>11990</v>
      </c>
      <c r="I354" t="str">
        <f>IFERROR(VLOOKUP(B354,Товары_очищенные!$A$1:$G$1000,3,FALSE),"нет в каталоге")</f>
        <v>Аксессуары</v>
      </c>
      <c r="J354" t="str">
        <f t="shared" si="30"/>
        <v>OK</v>
      </c>
    </row>
    <row r="355">
      <c r="A355" s="8">
        <f>DATE(RIGHT(Продажи_исходные!A355,4),LEFT(Продажи_исходные!A355,2),MID(Продажи_исходные!A355,4,2))</f>
        <v>45848</v>
      </c>
      <c r="B355" t="str">
        <f>"АРТ-"&amp;LEFT(SUBSTITUTE(SUBSTITUTE(SUBSTITUTE(SUBSTITUTE(Продажи_исходные!B355,"№",""),"АРТ-",""),"АРТ_",""),"/","-"),3)</f>
        <v>АРТ-289</v>
      </c>
      <c r="C355" s="4">
        <f>IFERROR(VALUE(TRIM(SUBSTITUTE(SUBSTITUTE(SUBSTITUTE(SUBSTITUTE(Продажи_исходные!C355," шт.","")," шт",""),"шт.",""),"шт",""))),0)</f>
        <v>1</v>
      </c>
      <c r="D355" s="4">
        <f>IF(LEFT(Продажи_исходные!D355,1)="$",VALUE(MID(Продажи_исходные!D355,2,255))*95,IF(LEFT(Продажи_исходные!D355,1)="€",VALUE(MID(Продажи_исходные!D355,2,255))*100,VALUE(SUBSTITUTE(SUBSTITUTE(Продажи_исходные!D355,"₽","")," ",""))))</f>
        <v>9200</v>
      </c>
      <c r="E355" t="str">
        <f>Продажи_исходные!E355</f>
        <v>C0354</v>
      </c>
      <c r="F355" t="str">
        <f>Продажи_исходные!F355</f>
        <v>P045</v>
      </c>
      <c r="G355" t="str">
        <f>IFERROR(VLOOKUP(Продажи_исходные!G355,Справочники!$G$2:$H$50,2,FALSE),Продажи_исходные!G355)</f>
        <v>Завершен</v>
      </c>
      <c r="H355" s="4">
        <f>IFERROR(VLOOKUP(B355,Товары_очищенные!$A$1:$G$1000,6,FALSE),"нет в каталоге")</f>
        <v>62990</v>
      </c>
      <c r="I355" t="str">
        <f>IFERROR(VLOOKUP(B355,Товары_очищенные!$A$1:$G$1000,3,FALSE),"нет в каталоге")</f>
        <v>Часы</v>
      </c>
      <c r="J355" t="str">
        <f t="shared" si="30"/>
        <v>OK</v>
      </c>
    </row>
    <row r="356">
      <c r="A356" s="8">
        <f>DATE(RIGHT(Продажи_исходные!A356,4),LEFT(Продажи_исходные!A356,2),MID(Продажи_исходные!A356,4,2))</f>
        <v>45849</v>
      </c>
      <c r="B356" t="str">
        <f>"АРТ-"&amp;LEFT(SUBSTITUTE(SUBSTITUTE(SUBSTITUTE(SUBSTITUTE(Продажи_исходные!B356,"№",""),"АРТ-",""),"АРТ_",""),"/","-"),3)</f>
        <v>АРТ-043</v>
      </c>
      <c r="C356" s="4">
        <f>IFERROR(VALUE(TRIM(SUBSTITUTE(SUBSTITUTE(SUBSTITUTE(SUBSTITUTE(Продажи_исходные!C356," шт.","")," шт",""),"шт.",""),"шт",""))),0)</f>
        <v>3</v>
      </c>
      <c r="D356" s="4">
        <f>IF(LEFT(Продажи_исходные!D356,1)="$",VALUE(MID(Продажи_исходные!D356,2,255))*95,IF(LEFT(Продажи_исходные!D356,1)="€",VALUE(MID(Продажи_исходные!D356,2,255))*100,VALUE(SUBSTITUTE(SUBSTITUTE(Продажи_исходные!D356,"₽","")," ",""))))</f>
        <v>8550</v>
      </c>
      <c r="E356" t="str">
        <f>Продажи_исходные!E356</f>
        <v>C0355</v>
      </c>
      <c r="F356" t="str">
        <f>Продажи_исходные!F356</f>
        <v>P008</v>
      </c>
      <c r="G356" t="str">
        <f>IFERROR(VLOOKUP(Продажи_исходные!G356,Справочники!$G$2:$H$50,2,FALSE),Продажи_исходные!G356)</f>
        <v>Возврат</v>
      </c>
      <c r="H356" s="4">
        <f>IFERROR(VLOOKUP(B356,Товары_очищенные!$A$1:$G$1000,6,FALSE),"нет в каталоге")</f>
        <v>134990</v>
      </c>
      <c r="I356" t="str">
        <f>IFERROR(VLOOKUP(B356,Товары_очищенные!$A$1:$G$1000,3,FALSE),"нет в каталоге")</f>
        <v>Телевизоры</v>
      </c>
      <c r="J356" t="str">
        <f t="shared" ref="J356:J419" si="31">IF(D356&gt;0,"OK","Некорректная цена")</f>
        <v>OK</v>
      </c>
    </row>
    <row r="357">
      <c r="A357" s="8">
        <f>DATE(RIGHT(Продажи_исходные!A357,4),LEFT(Продажи_исходные!A357,2),MID(Продажи_исходные!A357,4,2))</f>
        <v>45849</v>
      </c>
      <c r="B357" t="str">
        <f>"АРТ-"&amp;LEFT(SUBSTITUTE(SUBSTITUTE(SUBSTITUTE(SUBSTITUTE(Продажи_исходные!B357,"№",""),"АРТ-",""),"АРТ_",""),"/","-"),3)</f>
        <v>АРТ-466</v>
      </c>
      <c r="C357" s="4">
        <f>IFERROR(VALUE(TRIM(SUBSTITUTE(SUBSTITUTE(SUBSTITUTE(SUBSTITUTE(Продажи_исходные!C357," шт.","")," шт",""),"шт.",""),"шт",""))),0)</f>
        <v>2</v>
      </c>
      <c r="D357" s="4">
        <f>IF(LEFT(Продажи_исходные!D357,1)="$",VALUE(MID(Продажи_исходные!D357,2,255))*95,IF(LEFT(Продажи_исходные!D357,1)="€",VALUE(MID(Продажи_исходные!D357,2,255))*100,VALUE(SUBSTITUTE(SUBSTITUTE(Продажи_исходные!D357,"₽","")," ",""))))</f>
        <v>7000</v>
      </c>
      <c r="E357" t="str">
        <f>Продажи_исходные!E357</f>
        <v>C0356</v>
      </c>
      <c r="F357" t="str">
        <f>Продажи_исходные!F357</f>
        <v>P031</v>
      </c>
      <c r="G357" t="str">
        <f>IFERROR(VLOOKUP(Продажи_исходные!G357,Справочники!$G$2:$H$50,2,FALSE),Продажи_исходные!G357)</f>
        <v>Завершен</v>
      </c>
      <c r="H357" s="4">
        <f>IFERROR(VLOOKUP(B357,Товары_очищенные!$A$1:$G$1000,6,FALSE),"нет в каталоге")</f>
        <v>22990</v>
      </c>
      <c r="I357" t="str">
        <f>IFERROR(VLOOKUP(B357,Товары_очищенные!$A$1:$G$1000,3,FALSE),"нет в каталоге")</f>
        <v>Смартфоны</v>
      </c>
      <c r="J357" t="str">
        <f t="shared" si="31"/>
        <v>OK</v>
      </c>
    </row>
    <row r="358">
      <c r="A358" s="8">
        <f>DATE(RIGHT(Продажи_исходные!A358,4),LEFT(Продажи_исходные!A358,2),MID(Продажи_исходные!A358,4,2))</f>
        <v>45850</v>
      </c>
      <c r="B358" t="str">
        <f>"АРТ-"&amp;LEFT(SUBSTITUTE(SUBSTITUTE(SUBSTITUTE(SUBSTITUTE(Продажи_исходные!B358,"№",""),"АРТ-",""),"АРТ_",""),"/","-"),3)</f>
        <v>АРТ-334</v>
      </c>
      <c r="C358" s="4">
        <f>IFERROR(VALUE(TRIM(SUBSTITUTE(SUBSTITUTE(SUBSTITUTE(SUBSTITUTE(Продажи_исходные!C358," шт.","")," шт",""),"шт.",""),"шт",""))),0)</f>
        <v>1</v>
      </c>
      <c r="D358" s="4">
        <f>IF(LEFT(Продажи_исходные!D358,1)="$",VALUE(MID(Продажи_исходные!D358,2,255))*95,IF(LEFT(Продажи_исходные!D358,1)="€",VALUE(MID(Продажи_исходные!D358,2,255))*100,VALUE(SUBSTITUTE(SUBSTITUTE(Продажи_исходные!D358,"₽","")," ",""))))</f>
        <v>6500</v>
      </c>
      <c r="E358" t="str">
        <f>Продажи_исходные!E358</f>
        <v>C0357</v>
      </c>
      <c r="F358" t="str">
        <f>Продажи_исходные!F358</f>
        <v>P019</v>
      </c>
      <c r="G358" t="str">
        <f>IFERROR(VLOOKUP(Продажи_исходные!G358,Справочники!$G$2:$H$50,2,FALSE),Продажи_исходные!G358)</f>
        <v>Завершен</v>
      </c>
      <c r="H358" s="4">
        <f>IFERROR(VLOOKUP(B358,Товары_очищенные!$A$1:$G$1000,6,FALSE),"нет в каталоге")</f>
        <v>48990</v>
      </c>
      <c r="I358" t="str">
        <f>IFERROR(VLOOKUP(B358,Товары_очищенные!$A$1:$G$1000,3,FALSE),"нет в каталоге")</f>
        <v>Планшеты</v>
      </c>
      <c r="J358" t="str">
        <f t="shared" si="31"/>
        <v>OK</v>
      </c>
    </row>
    <row r="359">
      <c r="A359" s="8">
        <f>DATE(RIGHT(Продажи_исходные!A359,4),LEFT(Продажи_исходные!A359,2),MID(Продажи_исходные!A359,4,2))</f>
        <v>45850</v>
      </c>
      <c r="B359" t="str">
        <f>"АРТ-"&amp;LEFT(SUBSTITUTE(SUBSTITUTE(SUBSTITUTE(SUBSTITUTE(Продажи_исходные!B359,"№",""),"АРТ-",""),"АРТ_",""),"/","-"),3)</f>
        <v>АРТ-368</v>
      </c>
      <c r="C359" s="4">
        <f>IFERROR(VALUE(TRIM(SUBSTITUTE(SUBSTITUTE(SUBSTITUTE(SUBSTITUTE(Продажи_исходные!C359," шт.","")," шт",""),"шт.",""),"шт",""))),0)</f>
        <v>-1</v>
      </c>
      <c r="D359" s="4">
        <f>IF(LEFT(Продажи_исходные!D359,1)="$",VALUE(MID(Продажи_исходные!D359,2,255))*95,IF(LEFT(Продажи_исходные!D359,1)="€",VALUE(MID(Продажи_исходные!D359,2,255))*100,VALUE(SUBSTITUTE(SUBSTITUTE(Продажи_исходные!D359,"₽","")," ",""))))</f>
        <v>10450</v>
      </c>
      <c r="E359" t="str">
        <f>Продажи_исходные!E359</f>
        <v>C0358</v>
      </c>
      <c r="F359" t="str">
        <f>Продажи_исходные!F359</f>
        <v>P042</v>
      </c>
      <c r="G359" t="str">
        <f>IFERROR(VLOOKUP(Продажи_исходные!G359,Справочники!$G$2:$H$50,2,FALSE),Продажи_исходные!G359)</f>
        <v>Завершен</v>
      </c>
      <c r="H359" s="4">
        <f>IFERROR(VLOOKUP(B359,Товары_очищенные!$A$1:$G$1000,6,FALSE),"нет в каталоге")</f>
        <v>19000</v>
      </c>
      <c r="I359" t="str">
        <f>IFERROR(VLOOKUP(B359,Товары_очищенные!$A$1:$G$1000,3,FALSE),"нет в каталоге")</f>
        <v>Наушники</v>
      </c>
      <c r="J359" t="str">
        <f t="shared" si="31"/>
        <v>OK</v>
      </c>
    </row>
    <row r="360">
      <c r="A360" s="8">
        <f>DATE(RIGHT(Продажи_исходные!A360,4),LEFT(Продажи_исходные!A360,2),MID(Продажи_исходные!A360,4,2))</f>
        <v>45851</v>
      </c>
      <c r="B360" t="str">
        <f>"АРТ-"&amp;LEFT(SUBSTITUTE(SUBSTITUTE(SUBSTITUTE(SUBSTITUTE(Продажи_исходные!B360,"№",""),"АРТ-",""),"АРТ_",""),"/","-"),3)</f>
        <v>АРТ-223</v>
      </c>
      <c r="C360" s="4">
        <f>IFERROR(VALUE(TRIM(SUBSTITUTE(SUBSTITUTE(SUBSTITUTE(SUBSTITUTE(Продажи_исходные!C360," шт.","")," шт",""),"шт.",""),"шт",""))),0)</f>
        <v>3</v>
      </c>
      <c r="D360" s="4">
        <f>IF(LEFT(Продажи_исходные!D360,1)="$",VALUE(MID(Продажи_исходные!D360,2,255))*95,IF(LEFT(Продажи_исходные!D360,1)="€",VALUE(MID(Продажи_исходные!D360,2,255))*100,VALUE(SUBSTITUTE(SUBSTITUTE(Продажи_исходные!D360,"₽","")," ",""))))</f>
        <v>9000</v>
      </c>
      <c r="E360" t="str">
        <f>Продажи_исходные!E360</f>
        <v>C0359</v>
      </c>
      <c r="F360" t="str">
        <f>Продажи_исходные!F360</f>
        <v>P005</v>
      </c>
      <c r="G360" t="str">
        <f>IFERROR(VLOOKUP(Продажи_исходные!G360,Справочники!$G$2:$H$50,2,FALSE),Продажи_исходные!G360)</f>
        <v>Отменен</v>
      </c>
      <c r="H360" s="4">
        <f>IFERROR(VLOOKUP(B360,Товары_очищенные!$A$1:$G$1000,6,FALSE),"нет в каталоге")</f>
        <v>54990</v>
      </c>
      <c r="I360" t="str">
        <f>IFERROR(VLOOKUP(B360,Товары_очищенные!$A$1:$G$1000,3,FALSE),"нет в каталоге")</f>
        <v>Мониторы</v>
      </c>
      <c r="J360" t="str">
        <f t="shared" si="31"/>
        <v>OK</v>
      </c>
    </row>
    <row r="361">
      <c r="A361" s="8">
        <f>DATE(RIGHT(Продажи_исходные!A361,4),LEFT(Продажи_исходные!A361,2),MID(Продажи_исходные!A361,4,2))</f>
        <v>45851</v>
      </c>
      <c r="B361" t="str">
        <f>"АРТ-"&amp;LEFT(SUBSTITUTE(SUBSTITUTE(SUBSTITUTE(SUBSTITUTE(Продажи_исходные!B361,"№",""),"АРТ-",""),"АРТ_",""),"/","-"),3)</f>
        <v>АРТ-137</v>
      </c>
      <c r="C361" s="4">
        <f>IFERROR(VALUE(TRIM(SUBSTITUTE(SUBSTITUTE(SUBSTITUTE(SUBSTITUTE(Продажи_исходные!C361," шт.","")," шт",""),"шт.",""),"шт",""))),0)</f>
        <v>2</v>
      </c>
      <c r="D361" s="4">
        <f>IF(LEFT(Продажи_исходные!D361,1)="$",VALUE(MID(Продажи_исходные!D361,2,255))*95,IF(LEFT(Продажи_исходные!D361,1)="€",VALUE(MID(Продажи_исходные!D361,2,255))*100,VALUE(SUBSTITUTE(SUBSTITUTE(Продажи_исходные!D361,"₽","")," ",""))))</f>
        <v>8000</v>
      </c>
      <c r="E361" t="str">
        <f>Продажи_исходные!E361</f>
        <v>C0360</v>
      </c>
      <c r="F361" t="str">
        <f>Продажи_исходные!F361</f>
        <v>P036</v>
      </c>
      <c r="G361" t="str">
        <f>IFERROR(VLOOKUP(Продажи_исходные!G361,Справочники!$G$2:$H$50,2,FALSE),Продажи_исходные!G361)</f>
        <v>Отменен</v>
      </c>
      <c r="H361" s="4">
        <f>IFERROR(VLOOKUP(B361,Товары_очищенные!$A$1:$G$1000,6,FALSE),"нет в каталоге")</f>
        <v>22000</v>
      </c>
      <c r="I361" t="str">
        <f>IFERROR(VLOOKUP(B361,Товары_очищенные!$A$1:$G$1000,3,FALSE),"нет в каталоге")</f>
        <v>Наушники</v>
      </c>
      <c r="J361" t="str">
        <f t="shared" si="31"/>
        <v>OK</v>
      </c>
    </row>
    <row r="362">
      <c r="A362" s="8">
        <f>DATE(RIGHT(Продажи_исходные!A362,4),LEFT(Продажи_исходные!A362,2),MID(Продажи_исходные!A362,4,2))</f>
        <v>45852</v>
      </c>
      <c r="B362" t="str">
        <f>"АРТ-"&amp;LEFT(SUBSTITUTE(SUBSTITUTE(SUBSTITUTE(SUBSTITUTE(Продажи_исходные!B362,"№",""),"АРТ-",""),"АРТ_",""),"/","-"),3)</f>
        <v>АРТ-096</v>
      </c>
      <c r="C362" s="4">
        <f>IFERROR(VALUE(TRIM(SUBSTITUTE(SUBSTITUTE(SUBSTITUTE(SUBSTITUTE(Продажи_исходные!C362," шт.","")," шт",""),"шт.",""),"шт",""))),0)</f>
        <v>1</v>
      </c>
      <c r="D362" s="4">
        <f>IF(LEFT(Продажи_исходные!D362,1)="$",VALUE(MID(Продажи_исходные!D362,2,255))*95,IF(LEFT(Продажи_исходные!D362,1)="€",VALUE(MID(Продажи_исходные!D362,2,255))*100,VALUE(SUBSTITUTE(SUBSTITUTE(Продажи_исходные!D362,"₽","")," ",""))))</f>
        <v>9025</v>
      </c>
      <c r="E362" t="str">
        <f>Продажи_исходные!E362</f>
        <v>C0361</v>
      </c>
      <c r="F362" t="str">
        <f>Продажи_исходные!F362</f>
        <v>P014</v>
      </c>
      <c r="G362" t="str">
        <f>IFERROR(VLOOKUP(Продажи_исходные!G362,Справочники!$G$2:$H$50,2,FALSE),Продажи_исходные!G362)</f>
        <v>Возврат</v>
      </c>
      <c r="H362" s="4">
        <f>IFERROR(VLOOKUP(B362,Товары_очищенные!$A$1:$G$1000,6,FALSE),"нет в каталоге")</f>
        <v>97000</v>
      </c>
      <c r="I362" t="str">
        <f>IFERROR(VLOOKUP(B362,Товары_очищенные!$A$1:$G$1000,3,FALSE),"нет в каталоге")</f>
        <v>Мониторы</v>
      </c>
      <c r="J362" t="str">
        <f t="shared" si="31"/>
        <v>OK</v>
      </c>
    </row>
    <row r="363">
      <c r="A363" s="8">
        <f>DATE(RIGHT(Продажи_исходные!A363,4),LEFT(Продажи_исходные!A363,2),MID(Продажи_исходные!A363,4,2))</f>
        <v>45852</v>
      </c>
      <c r="B363" t="str">
        <f>"АРТ-"&amp;LEFT(SUBSTITUTE(SUBSTITUTE(SUBSTITUTE(SUBSTITUTE(Продажи_исходные!B363,"№",""),"АРТ-",""),"АРТ_",""),"/","-"),3)</f>
        <v>АРТ-439</v>
      </c>
      <c r="C363" s="4">
        <f>IFERROR(VALUE(TRIM(SUBSTITUTE(SUBSTITUTE(SUBSTITUTE(SUBSTITUTE(Продажи_исходные!C363," шт.","")," шт",""),"шт.",""),"шт",""))),0)</f>
        <v>2</v>
      </c>
      <c r="D363" s="4">
        <f>IF(LEFT(Продажи_исходные!D363,1)="$",VALUE(MID(Продажи_исходные!D363,2,255))*95,IF(LEFT(Продажи_исходные!D363,1)="€",VALUE(MID(Продажи_исходные!D363,2,255))*100,VALUE(SUBSTITUTE(SUBSTITUTE(Продажи_исходные!D363,"₽","")," ",""))))</f>
        <v>7500</v>
      </c>
      <c r="E363" t="str">
        <f>Продажи_исходные!E363</f>
        <v>C0362</v>
      </c>
      <c r="F363" t="str">
        <f>Продажи_исходные!F363</f>
        <v>P028</v>
      </c>
      <c r="G363" t="str">
        <f>IFERROR(VLOOKUP(Продажи_исходные!G363,Справочники!$G$2:$H$50,2,FALSE),Продажи_исходные!G363)</f>
        <v>Завершен</v>
      </c>
      <c r="H363" s="4">
        <f>IFERROR(VLOOKUP(B363,Товары_очищенные!$A$1:$G$1000,6,FALSE),"нет в каталоге")</f>
        <v>29990</v>
      </c>
      <c r="I363" t="str">
        <f>IFERROR(VLOOKUP(B363,Товары_очищенные!$A$1:$G$1000,3,FALSE),"нет в каталоге")</f>
        <v>Планшеты</v>
      </c>
      <c r="J363" t="str">
        <f t="shared" si="31"/>
        <v>OK</v>
      </c>
    </row>
    <row r="364">
      <c r="A364" s="8">
        <f>DATE(RIGHT(Продажи_исходные!A364,4),LEFT(Продажи_исходные!A364,2),MID(Продажи_исходные!A364,4,2))</f>
        <v>45853</v>
      </c>
      <c r="B364" t="str">
        <f>"АРТ-"&amp;LEFT(SUBSTITUTE(SUBSTITUTE(SUBSTITUTE(SUBSTITUTE(Продажи_исходные!B364,"№",""),"АРТ-",""),"АРТ_",""),"/","-"),3)</f>
        <v>АРТ-304</v>
      </c>
      <c r="C364" s="4">
        <f>IFERROR(VALUE(TRIM(SUBSTITUTE(SUBSTITUTE(SUBSTITUTE(SUBSTITUTE(Продажи_исходные!C364," шт.","")," шт",""),"шт.",""),"шт",""))),0)</f>
        <v>3</v>
      </c>
      <c r="D364" s="4">
        <f>IF(LEFT(Продажи_исходные!D364,1)="$",VALUE(MID(Продажи_исходные!D364,2,255))*95,IF(LEFT(Продажи_исходные!D364,1)="€",VALUE(MID(Продажи_исходные!D364,2,255))*100,VALUE(SUBSTITUTE(SUBSTITUTE(Продажи_исходные!D364,"₽","")," ",""))))</f>
        <v>7000</v>
      </c>
      <c r="E364" t="str">
        <f>Продажи_исходные!E364</f>
        <v>C0363</v>
      </c>
      <c r="F364" t="str">
        <f>Продажи_исходные!F364</f>
        <v>P009</v>
      </c>
      <c r="G364" t="str">
        <f>IFERROR(VLOOKUP(Продажи_исходные!G364,Справочники!$G$2:$H$50,2,FALSE),Продажи_исходные!G364)</f>
        <v>Завершен</v>
      </c>
      <c r="H364" s="4">
        <f>IFERROR(VLOOKUP(B364,Товары_очищенные!$A$1:$G$1000,6,FALSE),"нет в каталоге")</f>
        <v>59990</v>
      </c>
      <c r="I364" t="str">
        <f>IFERROR(VLOOKUP(B364,Товары_очищенные!$A$1:$G$1000,3,FALSE),"нет в каталоге")</f>
        <v>Мониторы</v>
      </c>
      <c r="J364" t="str">
        <f t="shared" si="31"/>
        <v>OK</v>
      </c>
    </row>
    <row r="365">
      <c r="A365" s="8">
        <f>DATE(RIGHT(Продажи_исходные!A365,4),LEFT(Продажи_исходные!A365,2),MID(Продажи_исходные!A365,4,2))</f>
        <v>45853</v>
      </c>
      <c r="B365" t="str">
        <f>"АРТ-"&amp;LEFT(SUBSTITUTE(SUBSTITUTE(SUBSTITUTE(SUBSTITUTE(Продажи_исходные!B365,"№",""),"АРТ-",""),"АРТ_",""),"/","-"),3)</f>
        <v>АРТ-179</v>
      </c>
      <c r="C365" s="4">
        <f>IFERROR(VALUE(TRIM(SUBSTITUTE(SUBSTITUTE(SUBSTITUTE(SUBSTITUTE(Продажи_исходные!C365," шт.","")," шт",""),"шт.",""),"шт",""))),0)</f>
        <v>-2</v>
      </c>
      <c r="D365" s="4">
        <f>IF(LEFT(Продажи_исходные!D365,1)="$",VALUE(MID(Продажи_исходные!D365,2,255))*95,IF(LEFT(Продажи_исходные!D365,1)="€",VALUE(MID(Продажи_исходные!D365,2,255))*100,VALUE(SUBSTITUTE(SUBSTITUTE(Продажи_исходные!D365,"₽","")," ",""))))</f>
        <v>10925</v>
      </c>
      <c r="E365" t="str">
        <f>Продажи_исходные!E365</f>
        <v>C0364</v>
      </c>
      <c r="F365" t="str">
        <f>Продажи_исходные!F365</f>
        <v>P041</v>
      </c>
      <c r="G365" t="str">
        <f>IFERROR(VLOOKUP(Продажи_исходные!G365,Справочники!$G$2:$H$50,2,FALSE),Продажи_исходные!G365)</f>
        <v>Завершен</v>
      </c>
      <c r="H365" s="4">
        <f>IFERROR(VLOOKUP(B365,Товары_очищенные!$A$1:$G$1000,6,FALSE),"нет в каталоге")</f>
        <v>13000</v>
      </c>
      <c r="I365" t="str">
        <f>IFERROR(VLOOKUP(B365,Товары_очищенные!$A$1:$G$1000,3,FALSE),"нет в каталоге")</f>
        <v>Наушники</v>
      </c>
      <c r="J365" t="str">
        <f t="shared" si="31"/>
        <v>OK</v>
      </c>
    </row>
    <row r="366">
      <c r="A366" s="8">
        <f>DATE(RIGHT(Продажи_исходные!A366,4),LEFT(Продажи_исходные!A366,2),MID(Продажи_исходные!A366,4,2))</f>
        <v>45854</v>
      </c>
      <c r="B366" t="str">
        <f>"АРТ-"&amp;LEFT(SUBSTITUTE(SUBSTITUTE(SUBSTITUTE(SUBSTITUTE(Продажи_исходные!B366,"№",""),"АРТ-",""),"АРТ_",""),"/","-"),3)</f>
        <v>АРТ-364</v>
      </c>
      <c r="C366" s="4">
        <f>IFERROR(VALUE(TRIM(SUBSTITUTE(SUBSTITUTE(SUBSTITUTE(SUBSTITUTE(Продажи_исходные!C366," шт.","")," шт",""),"шт.",""),"шт",""))),0)</f>
        <v>1</v>
      </c>
      <c r="D366" s="4">
        <f>IF(LEFT(Продажи_исходные!D366,1)="$",VALUE(MID(Продажи_исходные!D366,2,255))*95,IF(LEFT(Продажи_исходные!D366,1)="€",VALUE(MID(Продажи_исходные!D366,2,255))*100,VALUE(SUBSTITUTE(SUBSTITUTE(Продажи_исходные!D366,"₽","")," ",""))))</f>
        <v>9500</v>
      </c>
      <c r="E366" t="str">
        <f>Продажи_исходные!E366</f>
        <v>C0365</v>
      </c>
      <c r="F366" t="str">
        <f>Продажи_исходные!F366</f>
        <v>P017</v>
      </c>
      <c r="G366" t="str">
        <f>IFERROR(VLOOKUP(Продажи_исходные!G366,Справочники!$G$2:$H$50,2,FALSE),Продажи_исходные!G366)</f>
        <v>Отменен</v>
      </c>
      <c r="H366" s="4">
        <f>IFERROR(VLOOKUP(B366,Товары_очищенные!$A$1:$G$1000,6,FALSE),"нет в каталоге")</f>
        <v>139990</v>
      </c>
      <c r="I366" t="str">
        <f>IFERROR(VLOOKUP(B366,Товары_очищенные!$A$1:$G$1000,3,FALSE),"нет в каталоге")</f>
        <v>Телевизоры</v>
      </c>
      <c r="J366" t="str">
        <f t="shared" si="31"/>
        <v>OK</v>
      </c>
    </row>
    <row r="367">
      <c r="A367" s="8">
        <f>DATE(RIGHT(Продажи_исходные!A367,4),LEFT(Продажи_исходные!A367,2),MID(Продажи_исходные!A367,4,2))</f>
        <v>45854</v>
      </c>
      <c r="B367" t="str">
        <f>"АРТ-"&amp;LEFT(SUBSTITUTE(SUBSTITUTE(SUBSTITUTE(SUBSTITUTE(Продажи_исходные!B367,"№",""),"АРТ-",""),"АРТ_",""),"/","-"),3)</f>
        <v>АРТ-112</v>
      </c>
      <c r="C367" s="4">
        <f>IFERROR(VALUE(TRIM(SUBSTITUTE(SUBSTITUTE(SUBSTITUTE(SUBSTITUTE(Продажи_исходные!C367," шт.","")," шт",""),"шт.",""),"шт",""))),0)</f>
        <v>2</v>
      </c>
      <c r="D367" s="4">
        <f>IF(LEFT(Продажи_исходные!D367,1)="$",VALUE(MID(Продажи_исходные!D367,2,255))*95,IF(LEFT(Продажи_исходные!D367,1)="€",VALUE(MID(Продажи_исходные!D367,2,255))*100,VALUE(SUBSTITUTE(SUBSTITUTE(Продажи_исходные!D367,"₽","")," ",""))))</f>
        <v>8500</v>
      </c>
      <c r="E367" t="str">
        <f>Продажи_исходные!E367</f>
        <v>C0366</v>
      </c>
      <c r="F367" t="str">
        <f>Продажи_исходные!F367</f>
        <v>P032</v>
      </c>
      <c r="G367" t="str">
        <f>IFERROR(VLOOKUP(Продажи_исходные!G367,Справочники!$G$2:$H$50,2,FALSE),Продажи_исходные!G367)</f>
        <v>Отменен</v>
      </c>
      <c r="H367" s="4">
        <f>IFERROR(VLOOKUP(B367,Товары_очищенные!$A$1:$G$1000,6,FALSE),"нет в каталоге")</f>
        <v>34990</v>
      </c>
      <c r="I367" t="str">
        <f>IFERROR(VLOOKUP(B367,Товары_очищенные!$A$1:$G$1000,3,FALSE),"нет в каталоге")</f>
        <v>Наушники</v>
      </c>
      <c r="J367" t="str">
        <f t="shared" si="31"/>
        <v>OK</v>
      </c>
    </row>
    <row r="368">
      <c r="A368" s="8">
        <f>DATE(RIGHT(Продажи_исходные!A368,4),LEFT(Продажи_исходные!A368,2),MID(Продажи_исходные!A368,4,2))</f>
        <v>45855</v>
      </c>
      <c r="B368" t="str">
        <f>"АРТ-"&amp;LEFT(SUBSTITUTE(SUBSTITUTE(SUBSTITUTE(SUBSTITUTE(Продажи_исходные!B368,"№",""),"АРТ-",""),"АРТ_",""),"/","-"),3)</f>
        <v>АРТ-044</v>
      </c>
      <c r="C368" s="4">
        <f>IFERROR(VALUE(TRIM(SUBSTITUTE(SUBSTITUTE(SUBSTITUTE(SUBSTITUTE(Продажи_исходные!C368," шт.","")," шт",""),"шт.",""),"шт",""))),0)</f>
        <v>3</v>
      </c>
      <c r="D368" s="4">
        <f>IF(LEFT(Продажи_исходные!D368,1)="$",VALUE(MID(Продажи_исходные!D368,2,255))*95,IF(LEFT(Продажи_исходные!D368,1)="€",VALUE(MID(Продажи_исходные!D368,2,255))*100,VALUE(SUBSTITUTE(SUBSTITUTE(Продажи_исходные!D368,"₽","")," ",""))))</f>
        <v>9975</v>
      </c>
      <c r="E368" t="str">
        <f>Продажи_исходные!E368</f>
        <v>C0367</v>
      </c>
      <c r="F368" t="str">
        <f>Продажи_исходные!F368</f>
        <v>P049</v>
      </c>
      <c r="G368" t="str">
        <f>IFERROR(VLOOKUP(Продажи_исходные!G368,Справочники!$G$2:$H$50,2,FALSE),Продажи_исходные!G368)</f>
        <v>Завершен</v>
      </c>
      <c r="H368" s="4">
        <f>IFERROR(VLOOKUP(B368,Товары_очищенные!$A$1:$G$1000,6,FALSE),"нет в каталоге")</f>
        <v>132000</v>
      </c>
      <c r="I368" t="str">
        <f>IFERROR(VLOOKUP(B368,Товары_очищенные!$A$1:$G$1000,3,FALSE),"нет в каталоге")</f>
        <v>Телевизоры</v>
      </c>
      <c r="J368" t="str">
        <f t="shared" si="31"/>
        <v>OK</v>
      </c>
    </row>
    <row r="369">
      <c r="A369" s="8">
        <f>DATE(RIGHT(Продажи_исходные!A369,4),LEFT(Продажи_исходные!A369,2),MID(Продажи_исходные!A369,4,2))</f>
        <v>45855</v>
      </c>
      <c r="B369" t="str">
        <f>"АРТ-"&amp;LEFT(SUBSTITUTE(SUBSTITUTE(SUBSTITUTE(SUBSTITUTE(Продажи_исходные!B369,"№",""),"АРТ-",""),"АРТ_",""),"/","-"),3)</f>
        <v>АРТ-448</v>
      </c>
      <c r="C369" s="4">
        <f>IFERROR(VALUE(TRIM(SUBSTITUTE(SUBSTITUTE(SUBSTITUTE(SUBSTITUTE(Продажи_исходные!C369," шт.","")," шт",""),"шт.",""),"шт",""))),0)</f>
        <v>2</v>
      </c>
      <c r="D369" s="4">
        <f>IF(LEFT(Продажи_исходные!D369,1)="$",VALUE(MID(Продажи_исходные!D369,2,255))*95,IF(LEFT(Продажи_исходные!D369,1)="€",VALUE(MID(Продажи_исходные!D369,2,255))*100,VALUE(SUBSTITUTE(SUBSTITUTE(Продажи_исходные!D369,"₽","")," ",""))))</f>
        <v>8500</v>
      </c>
      <c r="E369" t="str">
        <f>Продажи_исходные!E369</f>
        <v>C0368</v>
      </c>
      <c r="F369" t="str">
        <f>Продажи_исходные!F369</f>
        <v>P006</v>
      </c>
      <c r="G369" t="str">
        <f>IFERROR(VLOOKUP(Продажи_исходные!G369,Справочники!$G$2:$H$50,2,FALSE),Продажи_исходные!G369)</f>
        <v>Возврат</v>
      </c>
      <c r="H369" s="4">
        <f>IFERROR(VLOOKUP(B369,Товары_очищенные!$A$1:$G$1000,6,FALSE),"нет в каталоге")</f>
        <v>73990</v>
      </c>
      <c r="I369" t="str">
        <f>IFERROR(VLOOKUP(B369,Товары_очищенные!$A$1:$G$1000,3,FALSE),"нет в каталоге")</f>
        <v>Телевизоры</v>
      </c>
      <c r="J369" t="str">
        <f t="shared" si="31"/>
        <v>OK</v>
      </c>
    </row>
    <row r="370">
      <c r="A370" s="8">
        <f>DATE(RIGHT(Продажи_исходные!A370,4),LEFT(Продажи_исходные!A370,2),MID(Продажи_исходные!A370,4,2))</f>
        <v>45856</v>
      </c>
      <c r="B370" t="str">
        <f>"АРТ-"&amp;LEFT(SUBSTITUTE(SUBSTITUTE(SUBSTITUTE(SUBSTITUTE(Продажи_исходные!B370,"№",""),"АРТ-",""),"АРТ_",""),"/","-"),3)</f>
        <v>АРТ-389</v>
      </c>
      <c r="C370" s="4">
        <f>IFERROR(VALUE(TRIM(SUBSTITUTE(SUBSTITUTE(SUBSTITUTE(SUBSTITUTE(Продажи_исходные!C370," шт.","")," шт",""),"шт.",""),"шт",""))),0)</f>
        <v>1</v>
      </c>
      <c r="D370" s="4">
        <f>IF(LEFT(Продажи_исходные!D370,1)="$",VALUE(MID(Продажи_исходные!D370,2,255))*95,IF(LEFT(Продажи_исходные!D370,1)="€",VALUE(MID(Продажи_исходные!D370,2,255))*100,VALUE(SUBSTITUTE(SUBSTITUTE(Продажи_исходные!D370,"₽","")," ",""))))</f>
        <v>7800</v>
      </c>
      <c r="E370" t="str">
        <f>Продажи_исходные!E370</f>
        <v>C0369</v>
      </c>
      <c r="F370" t="str">
        <f>Продажи_исходные!F370</f>
        <v>P024</v>
      </c>
      <c r="G370" t="str">
        <f>IFERROR(VLOOKUP(Продажи_исходные!G370,Справочники!$G$2:$H$50,2,FALSE),Продажи_исходные!G370)</f>
        <v>Завершен</v>
      </c>
      <c r="H370" s="4">
        <f>IFERROR(VLOOKUP(B370,Товары_очищенные!$A$1:$G$1000,6,FALSE),"нет в каталоге")</f>
        <v>75000</v>
      </c>
      <c r="I370" t="str">
        <f>IFERROR(VLOOKUP(B370,Товары_очищенные!$A$1:$G$1000,3,FALSE),"нет в каталоге")</f>
        <v>Телевизоры</v>
      </c>
      <c r="J370" t="str">
        <f t="shared" si="31"/>
        <v>OK</v>
      </c>
    </row>
    <row r="371">
      <c r="A371" s="8">
        <f>DATE(RIGHT(Продажи_исходные!A371,4),LEFT(Продажи_исходные!A371,2),MID(Продажи_исходные!A371,4,2))</f>
        <v>45856</v>
      </c>
      <c r="B371" t="str">
        <f>"АРТ-"&amp;LEFT(SUBSTITUTE(SUBSTITUTE(SUBSTITUTE(SUBSTITUTE(Продажи_исходные!B371,"№",""),"АРТ-",""),"АРТ_",""),"/","-"),3)</f>
        <v>АРТ-419</v>
      </c>
      <c r="C371" s="4">
        <f>IFERROR(VALUE(TRIM(SUBSTITUTE(SUBSTITUTE(SUBSTITUTE(SUBSTITUTE(Продажи_исходные!C371," шт.","")," шт",""),"шт.",""),"шт",""))),0)</f>
        <v>-3</v>
      </c>
      <c r="D371" s="4">
        <f>IF(LEFT(Продажи_исходные!D371,1)="$",VALUE(MID(Продажи_исходные!D371,2,255))*95,IF(LEFT(Продажи_исходные!D371,1)="€",VALUE(MID(Продажи_исходные!D371,2,255))*100,VALUE(SUBSTITUTE(SUBSTITUTE(Продажи_исходные!D371,"₽","")," ",""))))</f>
        <v>11400</v>
      </c>
      <c r="E371" t="str">
        <f>Продажи_исходные!E371</f>
        <v>C0370</v>
      </c>
      <c r="F371" t="str">
        <f>Продажи_исходные!F371</f>
        <v>P015</v>
      </c>
      <c r="G371" t="str">
        <f>IFERROR(VLOOKUP(Продажи_исходные!G371,Справочники!$G$2:$H$50,2,FALSE),Продажи_исходные!G371)</f>
        <v>Завершен</v>
      </c>
      <c r="H371" s="4">
        <f>IFERROR(VLOOKUP(B371,Товары_очищенные!$A$1:$G$1000,6,FALSE),"нет в каталоге")</f>
        <v>28500</v>
      </c>
      <c r="I371" t="str">
        <f>IFERROR(VLOOKUP(B371,Товары_очищенные!$A$1:$G$1000,3,FALSE),"нет в каталоге")</f>
        <v>Часы</v>
      </c>
      <c r="J371" t="str">
        <f t="shared" si="31"/>
        <v>OK</v>
      </c>
    </row>
    <row r="372">
      <c r="A372" s="8">
        <f>DATE(RIGHT(Продажи_исходные!A372,4),LEFT(Продажи_исходные!A372,2),MID(Продажи_исходные!A372,4,2))</f>
        <v>45857</v>
      </c>
      <c r="B372" t="str">
        <f>"АРТ-"&amp;LEFT(SUBSTITUTE(SUBSTITUTE(SUBSTITUTE(SUBSTITUTE(Продажи_исходные!B372,"№",""),"АРТ-",""),"АРТ_",""),"/","-"),3)</f>
        <v>АРТ-258</v>
      </c>
      <c r="C372" s="4">
        <f>IFERROR(VALUE(TRIM(SUBSTITUTE(SUBSTITUTE(SUBSTITUTE(SUBSTITUTE(Продажи_исходные!C372," шт.","")," шт",""),"шт.",""),"шт",""))),0)</f>
        <v>2</v>
      </c>
      <c r="D372" s="4">
        <f>IF(LEFT(Продажи_исходные!D372,1)="$",VALUE(MID(Продажи_исходные!D372,2,255))*95,IF(LEFT(Продажи_исходные!D372,1)="€",VALUE(MID(Продажи_исходные!D372,2,255))*100,VALUE(SUBSTITUTE(SUBSTITUTE(Продажи_исходные!D372,"₽","")," ",""))))</f>
        <v>10000</v>
      </c>
      <c r="E372" t="str">
        <f>Продажи_исходные!E372</f>
        <v>C0371</v>
      </c>
      <c r="F372" t="str">
        <f>Продажи_исходные!F372</f>
        <v>P037</v>
      </c>
      <c r="G372" t="str">
        <f>IFERROR(VLOOKUP(Продажи_исходные!G372,Справочники!$G$2:$H$50,2,FALSE),Продажи_исходные!G372)</f>
        <v>Завершен</v>
      </c>
      <c r="H372" s="4">
        <f>IFERROR(VLOOKUP(B372,Товары_очищенные!$A$1:$G$1000,6,FALSE),"нет в каталоге")</f>
        <v>39500</v>
      </c>
      <c r="I372" t="str">
        <f>IFERROR(VLOOKUP(B372,Товары_очищенные!$A$1:$G$1000,3,FALSE),"нет в каталоге")</f>
        <v>Смартфоны</v>
      </c>
      <c r="J372" t="str">
        <f t="shared" si="31"/>
        <v>OK</v>
      </c>
    </row>
    <row r="373">
      <c r="A373" s="8">
        <f>DATE(RIGHT(Продажи_исходные!A373,4),LEFT(Продажи_исходные!A373,2),MID(Продажи_исходные!A373,4,2))</f>
        <v>45857</v>
      </c>
      <c r="B373" t="str">
        <f>"АРТ-"&amp;LEFT(SUBSTITUTE(SUBSTITUTE(SUBSTITUTE(SUBSTITUTE(Продажи_исходные!B373,"№",""),"АРТ-",""),"АРТ_",""),"/","-"),3)</f>
        <v>АРТ-186</v>
      </c>
      <c r="C373" s="4">
        <f>IFERROR(VALUE(TRIM(SUBSTITUTE(SUBSTITUTE(SUBSTITUTE(SUBSTITUTE(Продажи_исходные!C373," шт.","")," шт",""),"шт.",""),"шт",""))),0)</f>
        <v>1</v>
      </c>
      <c r="D373" s="4">
        <f>IF(LEFT(Продажи_исходные!D373,1)="$",VALUE(MID(Продажи_исходные!D373,2,255))*95,IF(LEFT(Продажи_исходные!D373,1)="€",VALUE(MID(Продажи_исходные!D373,2,255))*100,VALUE(SUBSTITUTE(SUBSTITUTE(Продажи_исходные!D373,"₽","")," ",""))))</f>
        <v>9200</v>
      </c>
      <c r="E373" t="str">
        <f>Продажи_исходные!E373</f>
        <v>C0372</v>
      </c>
      <c r="F373" t="str">
        <f>Продажи_исходные!F373</f>
        <v>P048</v>
      </c>
      <c r="G373" t="str">
        <f>IFERROR(VLOOKUP(Продажи_исходные!G373,Справочники!$G$2:$H$50,2,FALSE),Продажи_исходные!G373)</f>
        <v>Отменен</v>
      </c>
      <c r="H373" s="4">
        <f>IFERROR(VLOOKUP(B373,Товары_очищенные!$A$1:$G$1000,6,FALSE),"нет в каталоге")</f>
        <v>20800</v>
      </c>
      <c r="I373" t="str">
        <f>IFERROR(VLOOKUP(B373,Товары_очищенные!$A$1:$G$1000,3,FALSE),"нет в каталоге")</f>
        <v>Аксессуары</v>
      </c>
      <c r="J373" t="str">
        <f t="shared" si="31"/>
        <v>OK</v>
      </c>
    </row>
    <row r="374">
      <c r="A374" s="8">
        <f>DATE(RIGHT(Продажи_исходные!A374,4),LEFT(Продажи_исходные!A374,2),MID(Продажи_исходные!A374,4,2))</f>
        <v>45858</v>
      </c>
      <c r="B374" t="str">
        <f>"АРТ-"&amp;LEFT(SUBSTITUTE(SUBSTITUTE(SUBSTITUTE(SUBSTITUTE(Продажи_исходные!B374,"№",""),"АРТ-",""),"АРТ_",""),"/","-"),3)</f>
        <v>АРТ-280</v>
      </c>
      <c r="C374" s="4">
        <f>IFERROR(VALUE(TRIM(SUBSTITUTE(SUBSTITUTE(SUBSTITUTE(SUBSTITUTE(Продажи_исходные!C374," шт.","")," шт",""),"шт.",""),"шт",""))),0)</f>
        <v>3</v>
      </c>
      <c r="D374" s="4">
        <f>IF(LEFT(Продажи_исходные!D374,1)="$",VALUE(MID(Продажи_исходные!D374,2,255))*95,IF(LEFT(Продажи_исходные!D374,1)="€",VALUE(MID(Продажи_исходные!D374,2,255))*100,VALUE(SUBSTITUTE(SUBSTITUTE(Продажи_исходные!D374,"₽","")," ",""))))</f>
        <v>8550</v>
      </c>
      <c r="E374" t="str">
        <f>Продажи_исходные!E374</f>
        <v>C0373</v>
      </c>
      <c r="F374" t="str">
        <f>Продажи_исходные!F374</f>
        <v>P004</v>
      </c>
      <c r="G374" t="str">
        <f>IFERROR(VLOOKUP(Продажи_исходные!G374,Справочники!$G$2:$H$50,2,FALSE),Продажи_исходные!G374)</f>
        <v>Отменен</v>
      </c>
      <c r="H374" s="4">
        <f>IFERROR(VLOOKUP(B374,Товары_очищенные!$A$1:$G$1000,6,FALSE),"нет в каталоге")</f>
        <v>32990</v>
      </c>
      <c r="I374" t="str">
        <f>IFERROR(VLOOKUP(B374,Товары_очищенные!$A$1:$G$1000,3,FALSE),"нет в каталоге")</f>
        <v>Наушники</v>
      </c>
      <c r="J374" t="str">
        <f t="shared" si="31"/>
        <v>OK</v>
      </c>
    </row>
    <row r="375">
      <c r="A375" s="8">
        <f>DATE(RIGHT(Продажи_исходные!A375,4),LEFT(Продажи_исходные!A375,2),MID(Продажи_исходные!A375,4,2))</f>
        <v>45858</v>
      </c>
      <c r="B375" t="str">
        <f>"АРТ-"&amp;LEFT(SUBSTITUTE(SUBSTITUTE(SUBSTITUTE(SUBSTITUTE(Продажи_исходные!B375,"№",""),"АРТ-",""),"АРТ_",""),"/","-"),3)</f>
        <v>АРТ-477</v>
      </c>
      <c r="C375" s="4">
        <f>IFERROR(VALUE(TRIM(SUBSTITUTE(SUBSTITUTE(SUBSTITUTE(SUBSTITUTE(Продажи_исходные!C375," шт.","")," шт",""),"шт.",""),"шт",""))),0)</f>
        <v>2</v>
      </c>
      <c r="D375" s="4">
        <f>IF(LEFT(Продажи_исходные!D375,1)="$",VALUE(MID(Продажи_исходные!D375,2,255))*95,IF(LEFT(Продажи_исходные!D375,1)="€",VALUE(MID(Продажи_исходные!D375,2,255))*100,VALUE(SUBSTITUTE(SUBSTITUTE(Продажи_исходные!D375,"₽","")," ",""))))</f>
        <v>7000</v>
      </c>
      <c r="E375" t="str">
        <f>Продажи_исходные!E375</f>
        <v>C0374</v>
      </c>
      <c r="F375" t="str">
        <f>Продажи_исходные!F375</f>
        <v>P026</v>
      </c>
      <c r="G375" t="str">
        <f>IFERROR(VLOOKUP(Продажи_исходные!G375,Справочники!$G$2:$H$50,2,FALSE),Продажи_исходные!G375)</f>
        <v>Возврат</v>
      </c>
      <c r="H375" s="4">
        <f>IFERROR(VLOOKUP(B375,Товары_очищенные!$A$1:$G$1000,6,FALSE),"нет в каталоге")</f>
        <v>55000</v>
      </c>
      <c r="I375" t="str">
        <f>IFERROR(VLOOKUP(B375,Товары_очищенные!$A$1:$G$1000,3,FALSE),"нет в каталоге")</f>
        <v>Мониторы</v>
      </c>
      <c r="J375" t="str">
        <f t="shared" si="31"/>
        <v>OK</v>
      </c>
    </row>
    <row r="376">
      <c r="A376" s="8">
        <f>DATE(RIGHT(Продажи_исходные!A376,4),LEFT(Продажи_исходные!A376,2),MID(Продажи_исходные!A376,4,2))</f>
        <v>45859</v>
      </c>
      <c r="B376" t="str">
        <f>"АРТ-"&amp;LEFT(SUBSTITUTE(SUBSTITUTE(SUBSTITUTE(SUBSTITUTE(Продажи_исходные!B376,"№",""),"АРТ-",""),"АРТ_",""),"/","-"),3)</f>
        <v>АРТ-342</v>
      </c>
      <c r="C376" s="4">
        <f>IFERROR(VALUE(TRIM(SUBSTITUTE(SUBSTITUTE(SUBSTITUTE(SUBSTITUTE(Продажи_исходные!C376," шт.","")," шт",""),"шт.",""),"шт",""))),0)</f>
        <v>1</v>
      </c>
      <c r="D376" s="4">
        <f>IF(LEFT(Продажи_исходные!D376,1)="$",VALUE(MID(Продажи_исходные!D376,2,255))*95,IF(LEFT(Продажи_исходные!D376,1)="€",VALUE(MID(Продажи_исходные!D376,2,255))*100,VALUE(SUBSTITUTE(SUBSTITUTE(Продажи_исходные!D376,"₽","")," ",""))))</f>
        <v>6500</v>
      </c>
      <c r="E376" t="str">
        <f>Продажи_исходные!E376</f>
        <v>C0375</v>
      </c>
      <c r="F376" t="str">
        <f>Продажи_исходные!F376</f>
        <v>P013</v>
      </c>
      <c r="G376" t="str">
        <f>IFERROR(VLOOKUP(Продажи_исходные!G376,Справочники!$G$2:$H$50,2,FALSE),Продажи_исходные!G376)</f>
        <v>Завершен</v>
      </c>
      <c r="H376" s="4">
        <f>IFERROR(VLOOKUP(B376,Товары_очищенные!$A$1:$G$1000,6,FALSE),"нет в каталоге")</f>
        <v>137500</v>
      </c>
      <c r="I376" t="str">
        <f>IFERROR(VLOOKUP(B376,Товары_очищенные!$A$1:$G$1000,3,FALSE),"нет в каталоге")</f>
        <v>Ноутбуки</v>
      </c>
      <c r="J376" t="str">
        <f t="shared" si="31"/>
        <v>OK</v>
      </c>
    </row>
    <row r="377">
      <c r="A377" s="8">
        <f>DATE(RIGHT(Продажи_исходные!A377,4),LEFT(Продажи_исходные!A377,2),MID(Продажи_исходные!A377,4,2))</f>
        <v>45859</v>
      </c>
      <c r="B377" t="str">
        <f>"АРТ-"&amp;LEFT(SUBSTITUTE(SUBSTITUTE(SUBSTITUTE(SUBSTITUTE(Продажи_исходные!B377,"№",""),"АРТ-",""),"АРТ_",""),"/","-"),3)</f>
        <v>АРТ-328</v>
      </c>
      <c r="C377" s="4">
        <f>IFERROR(VALUE(TRIM(SUBSTITUTE(SUBSTITUTE(SUBSTITUTE(SUBSTITUTE(Продажи_исходные!C377," шт.","")," шт",""),"шт.",""),"шт",""))),0)</f>
        <v>-1</v>
      </c>
      <c r="D377" s="4">
        <f>IF(LEFT(Продажи_исходные!D377,1)="$",VALUE(MID(Продажи_исходные!D377,2,255))*95,IF(LEFT(Продажи_исходные!D377,1)="€",VALUE(MID(Продажи_исходные!D377,2,255))*100,VALUE(SUBSTITUTE(SUBSTITUTE(Продажи_исходные!D377,"₽","")," ",""))))</f>
        <v>10450</v>
      </c>
      <c r="E377" t="str">
        <f>Продажи_исходные!E377</f>
        <v>C0376</v>
      </c>
      <c r="F377" t="str">
        <f>Продажи_исходные!F377</f>
        <v>P034</v>
      </c>
      <c r="G377" t="str">
        <f>IFERROR(VLOOKUP(Продажи_исходные!G377,Справочники!$G$2:$H$50,2,FALSE),Продажи_исходные!G377)</f>
        <v>Завершен</v>
      </c>
      <c r="H377" s="4">
        <f>IFERROR(VLOOKUP(B377,Товары_очищенные!$A$1:$G$1000,6,FALSE),"нет в каталоге")</f>
        <v>11990</v>
      </c>
      <c r="I377" t="str">
        <f>IFERROR(VLOOKUP(B377,Товары_очищенные!$A$1:$G$1000,3,FALSE),"нет в каталоге")</f>
        <v>Аксессуары</v>
      </c>
      <c r="J377" t="str">
        <f t="shared" si="31"/>
        <v>OK</v>
      </c>
    </row>
    <row r="378">
      <c r="A378" s="8">
        <f>DATE(RIGHT(Продажи_исходные!A378,4),LEFT(Продажи_исходные!A378,2),MID(Продажи_исходные!A378,4,2))</f>
        <v>45860</v>
      </c>
      <c r="B378" t="str">
        <f>"АРТ-"&amp;LEFT(SUBSTITUTE(SUBSTITUTE(SUBSTITUTE(SUBSTITUTE(Продажи_исходные!B378,"№",""),"АРТ-",""),"АРТ_",""),"/","-"),3)</f>
        <v>АРТ-216</v>
      </c>
      <c r="C378" s="4">
        <f>IFERROR(VALUE(TRIM(SUBSTITUTE(SUBSTITUTE(SUBSTITUTE(SUBSTITUTE(Продажи_исходные!C378," шт.","")," шт",""),"шт.",""),"шт",""))),0)</f>
        <v>3</v>
      </c>
      <c r="D378" s="4">
        <f>IF(LEFT(Продажи_исходные!D378,1)="$",VALUE(MID(Продажи_исходные!D378,2,255))*95,IF(LEFT(Продажи_исходные!D378,1)="€",VALUE(MID(Продажи_исходные!D378,2,255))*100,VALUE(SUBSTITUTE(SUBSTITUTE(Продажи_исходные!D378,"₽","")," ",""))))</f>
        <v>9000</v>
      </c>
      <c r="E378" t="str">
        <f>Продажи_исходные!E378</f>
        <v>C0377</v>
      </c>
      <c r="F378" t="str">
        <f>Продажи_исходные!F378</f>
        <v>P044</v>
      </c>
      <c r="G378" t="str">
        <f>IFERROR(VLOOKUP(Продажи_исходные!G378,Справочники!$G$2:$H$50,2,FALSE),Продажи_исходные!G378)</f>
        <v>Завершен</v>
      </c>
      <c r="H378" s="4">
        <f>IFERROR(VLOOKUP(B378,Товары_очищенные!$A$1:$G$1000,6,FALSE),"нет в каталоге")</f>
        <v>28500</v>
      </c>
      <c r="I378" t="str">
        <f>IFERROR(VLOOKUP(B378,Товары_очищенные!$A$1:$G$1000,3,FALSE),"нет в каталоге")</f>
        <v>Планшеты</v>
      </c>
      <c r="J378" t="str">
        <f t="shared" si="31"/>
        <v>OK</v>
      </c>
    </row>
    <row r="379">
      <c r="A379" s="8">
        <f>DATE(RIGHT(Продажи_исходные!A379,4),LEFT(Продажи_исходные!A379,2),MID(Продажи_исходные!A379,4,2))</f>
        <v>45860</v>
      </c>
      <c r="B379" t="str">
        <f>"АРТ-"&amp;LEFT(SUBSTITUTE(SUBSTITUTE(SUBSTITUTE(SUBSTITUTE(Продажи_исходные!B379,"№",""),"АРТ-",""),"АРТ_",""),"/","-"),3)</f>
        <v>АРТ-257</v>
      </c>
      <c r="C379" s="4">
        <f>IFERROR(VALUE(TRIM(SUBSTITUTE(SUBSTITUTE(SUBSTITUTE(SUBSTITUTE(Продажи_исходные!C379," шт.","")," шт",""),"шт.",""),"шт",""))),0)</f>
        <v>2</v>
      </c>
      <c r="D379" s="4">
        <f>IF(LEFT(Продажи_исходные!D379,1)="$",VALUE(MID(Продажи_исходные!D379,2,255))*95,IF(LEFT(Продажи_исходные!D379,1)="€",VALUE(MID(Продажи_исходные!D379,2,255))*100,VALUE(SUBSTITUTE(SUBSTITUTE(Продажи_исходные!D379,"₽","")," ",""))))</f>
        <v>8000</v>
      </c>
      <c r="E379" t="str">
        <f>Продажи_исходные!E379</f>
        <v>C0378</v>
      </c>
      <c r="F379" t="str">
        <f>Продажи_исходные!F379</f>
        <v>P001</v>
      </c>
      <c r="G379" t="str">
        <f>IFERROR(VLOOKUP(Продажи_исходные!G379,Справочники!$G$2:$H$50,2,FALSE),Продажи_исходные!G379)</f>
        <v>Отменен</v>
      </c>
      <c r="H379" s="4">
        <f>IFERROR(VLOOKUP(B379,Товары_очищенные!$A$1:$G$1000,6,FALSE),"нет в каталоге")</f>
        <v>36500</v>
      </c>
      <c r="I379" t="str">
        <f>IFERROR(VLOOKUP(B379,Товары_очищенные!$A$1:$G$1000,3,FALSE),"нет в каталоге")</f>
        <v>Смартфоны</v>
      </c>
      <c r="J379" t="str">
        <f t="shared" si="31"/>
        <v>OK</v>
      </c>
    </row>
    <row r="380">
      <c r="A380" s="8">
        <f>DATE(RIGHT(Продажи_исходные!A380,4),LEFT(Продажи_исходные!A380,2),MID(Продажи_исходные!A380,4,2))</f>
        <v>45861</v>
      </c>
      <c r="B380" t="str">
        <f>"АРТ-"&amp;LEFT(SUBSTITUTE(SUBSTITUTE(SUBSTITUTE(SUBSTITUTE(Продажи_исходные!B380,"№",""),"АРТ-",""),"АРТ_",""),"/","-"),3)</f>
        <v>АРТ-080</v>
      </c>
      <c r="C380" s="4">
        <f>IFERROR(VALUE(TRIM(SUBSTITUTE(SUBSTITUTE(SUBSTITUTE(SUBSTITUTE(Продажи_исходные!C380," шт.","")," шт",""),"шт.",""),"шт",""))),0)</f>
        <v>1</v>
      </c>
      <c r="D380" s="4">
        <f>IF(LEFT(Продажи_исходные!D380,1)="$",VALUE(MID(Продажи_исходные!D380,2,255))*95,IF(LEFT(Продажи_исходные!D380,1)="€",VALUE(MID(Продажи_исходные!D380,2,255))*100,VALUE(SUBSTITUTE(SUBSTITUTE(Продажи_исходные!D380,"₽","")," ",""))))</f>
        <v>9025</v>
      </c>
      <c r="E380" t="str">
        <f>Продажи_исходные!E380</f>
        <v>C0379</v>
      </c>
      <c r="F380" t="str">
        <f>Продажи_исходные!F380</f>
        <v>P021</v>
      </c>
      <c r="G380" t="str">
        <f>IFERROR(VLOOKUP(Продажи_исходные!G380,Справочники!$G$2:$H$50,2,FALSE),Продажи_исходные!G380)</f>
        <v>Отменен</v>
      </c>
      <c r="H380" s="4">
        <f>IFERROR(VLOOKUP(B380,Товары_очищенные!$A$1:$G$1000,6,FALSE),"нет в каталоге")</f>
        <v>44500</v>
      </c>
      <c r="I380" t="str">
        <f>IFERROR(VLOOKUP(B380,Товары_очищенные!$A$1:$G$1000,3,FALSE),"нет в каталоге")</f>
        <v>Планшеты</v>
      </c>
      <c r="J380" t="str">
        <f t="shared" si="31"/>
        <v>OK</v>
      </c>
    </row>
    <row r="381">
      <c r="A381" s="8">
        <f>DATE(RIGHT(Продажи_исходные!A381,4),LEFT(Продажи_исходные!A381,2),MID(Продажи_исходные!A381,4,2))</f>
        <v>45861</v>
      </c>
      <c r="B381" t="str">
        <f>"АРТ-"&amp;LEFT(SUBSTITUTE(SUBSTITUTE(SUBSTITUTE(SUBSTITUTE(Продажи_исходные!B381,"№",""),"АРТ-",""),"АРТ_",""),"/","-"),3)</f>
        <v>АРТ-493</v>
      </c>
      <c r="C381" s="4">
        <f>IFERROR(VALUE(TRIM(SUBSTITUTE(SUBSTITUTE(SUBSTITUTE(SUBSTITUTE(Продажи_исходные!C381," шт.","")," шт",""),"шт.",""),"шт",""))),0)</f>
        <v>2</v>
      </c>
      <c r="D381" s="4">
        <f>IF(LEFT(Продажи_исходные!D381,1)="$",VALUE(MID(Продажи_исходные!D381,2,255))*95,IF(LEFT(Продажи_исходные!D381,1)="€",VALUE(MID(Продажи_исходные!D381,2,255))*100,VALUE(SUBSTITUTE(SUBSTITUTE(Продажи_исходные!D381,"₽","")," ",""))))</f>
        <v>7500</v>
      </c>
      <c r="E381" t="str">
        <f>Продажи_исходные!E381</f>
        <v>C0380</v>
      </c>
      <c r="F381" t="str">
        <f>Продажи_исходные!F381</f>
        <v>P039</v>
      </c>
      <c r="G381" t="str">
        <f>IFERROR(VLOOKUP(Продажи_исходные!G381,Справочники!$G$2:$H$50,2,FALSE),Продажи_исходные!G381)</f>
        <v>Завершен</v>
      </c>
      <c r="H381" s="4">
        <f>IFERROR(VLOOKUP(B381,Товары_очищенные!$A$1:$G$1000,6,FALSE),"нет в каталоге")</f>
        <v>14990</v>
      </c>
      <c r="I381" t="str">
        <f>IFERROR(VLOOKUP(B381,Товары_очищенные!$A$1:$G$1000,3,FALSE),"нет в каталоге")</f>
        <v>Наушники</v>
      </c>
      <c r="J381" t="str">
        <f t="shared" si="31"/>
        <v>OK</v>
      </c>
    </row>
    <row r="382">
      <c r="A382" s="8">
        <f>DATE(RIGHT(Продажи_исходные!A382,4),LEFT(Продажи_исходные!A382,2),MID(Продажи_исходные!A382,4,2))</f>
        <v>45862</v>
      </c>
      <c r="B382" t="str">
        <f>"АРТ-"&amp;LEFT(SUBSTITUTE(SUBSTITUTE(SUBSTITUTE(SUBSTITUTE(Продажи_исходные!B382,"№",""),"АРТ-",""),"АРТ_",""),"/","-"),3)</f>
        <v>АРТ-328</v>
      </c>
      <c r="C382" s="4">
        <f>IFERROR(VALUE(TRIM(SUBSTITUTE(SUBSTITUTE(SUBSTITUTE(SUBSTITUTE(Продажи_исходные!C382," шт.","")," шт",""),"шт.",""),"шт",""))),0)</f>
        <v>3</v>
      </c>
      <c r="D382" s="4">
        <f>IF(LEFT(Продажи_исходные!D382,1)="$",VALUE(MID(Продажи_исходные!D382,2,255))*95,IF(LEFT(Продажи_исходные!D382,1)="€",VALUE(MID(Продажи_исходные!D382,2,255))*100,VALUE(SUBSTITUTE(SUBSTITUTE(Продажи_исходные!D382,"₽","")," ",""))))</f>
        <v>7000</v>
      </c>
      <c r="E382" t="str">
        <f>Продажи_исходные!E382</f>
        <v>C0381</v>
      </c>
      <c r="F382" t="str">
        <f>Продажи_исходные!F382</f>
        <v>P050</v>
      </c>
      <c r="G382" t="str">
        <f>IFERROR(VLOOKUP(Продажи_исходные!G382,Справочники!$G$2:$H$50,2,FALSE),Продажи_исходные!G382)</f>
        <v>Возврат</v>
      </c>
      <c r="H382" s="4">
        <f>IFERROR(VLOOKUP(B382,Товары_очищенные!$A$1:$G$1000,6,FALSE),"нет в каталоге")</f>
        <v>11990</v>
      </c>
      <c r="I382" t="str">
        <f>IFERROR(VLOOKUP(B382,Товары_очищенные!$A$1:$G$1000,3,FALSE),"нет в каталоге")</f>
        <v>Аксессуары</v>
      </c>
      <c r="J382" t="str">
        <f t="shared" si="31"/>
        <v>OK</v>
      </c>
    </row>
    <row r="383">
      <c r="A383" s="8">
        <f>DATE(RIGHT(Продажи_исходные!A383,4),LEFT(Продажи_исходные!A383,2),MID(Продажи_исходные!A383,4,2))</f>
        <v>45862</v>
      </c>
      <c r="B383" t="str">
        <f>"АРТ-"&amp;LEFT(SUBSTITUTE(SUBSTITUTE(SUBSTITUTE(SUBSTITUTE(Продажи_исходные!B383,"№",""),"АРТ-",""),"АРТ_",""),"/","-"),3)</f>
        <v>АРТ-127</v>
      </c>
      <c r="C383" s="4">
        <f>IFERROR(VALUE(TRIM(SUBSTITUTE(SUBSTITUTE(SUBSTITUTE(SUBSTITUTE(Продажи_исходные!C383," шт.","")," шт",""),"шт.",""),"шт",""))),0)</f>
        <v>-2</v>
      </c>
      <c r="D383" s="4">
        <f>IF(LEFT(Продажи_исходные!D383,1)="$",VALUE(MID(Продажи_исходные!D383,2,255))*95,IF(LEFT(Продажи_исходные!D383,1)="€",VALUE(MID(Продажи_исходные!D383,2,255))*100,VALUE(SUBSTITUTE(SUBSTITUTE(Продажи_исходные!D383,"₽","")," ",""))))</f>
        <v>10925</v>
      </c>
      <c r="E383" t="str">
        <f>Продажи_исходные!E383</f>
        <v>C0382</v>
      </c>
      <c r="F383" t="str">
        <f>Продажи_исходные!F383</f>
        <v>P011</v>
      </c>
      <c r="G383" t="str">
        <f>IFERROR(VLOOKUP(Продажи_исходные!G383,Справочники!$G$2:$H$50,2,FALSE),Продажи_исходные!G383)</f>
        <v>Завершен</v>
      </c>
      <c r="H383" s="4">
        <f>IFERROR(VLOOKUP(B383,Товары_очищенные!$A$1:$G$1000,6,FALSE),"нет в каталоге")</f>
        <v>51990</v>
      </c>
      <c r="I383" t="str">
        <f>IFERROR(VLOOKUP(B383,Товары_очищенные!$A$1:$G$1000,3,FALSE),"нет в каталоге")</f>
        <v>Смартфоны</v>
      </c>
      <c r="J383" t="str">
        <f t="shared" si="31"/>
        <v>OK</v>
      </c>
    </row>
    <row r="384">
      <c r="A384" s="8">
        <f>DATE(RIGHT(Продажи_исходные!A384,4),LEFT(Продажи_исходные!A384,2),MID(Продажи_исходные!A384,4,2))</f>
        <v>45863</v>
      </c>
      <c r="B384" t="str">
        <f>"АРТ-"&amp;LEFT(SUBSTITUTE(SUBSTITUTE(SUBSTITUTE(SUBSTITUTE(Продажи_исходные!B384,"№",""),"АРТ-",""),"АРТ_",""),"/","-"),3)</f>
        <v>АРТ-342</v>
      </c>
      <c r="C384" s="4">
        <f>IFERROR(VALUE(TRIM(SUBSTITUTE(SUBSTITUTE(SUBSTITUTE(SUBSTITUTE(Продажи_исходные!C384," шт.","")," шт",""),"шт.",""),"шт",""))),0)</f>
        <v>1</v>
      </c>
      <c r="D384" s="4">
        <f>IF(LEFT(Продажи_исходные!D384,1)="$",VALUE(MID(Продажи_исходные!D384,2,255))*95,IF(LEFT(Продажи_исходные!D384,1)="€",VALUE(MID(Продажи_исходные!D384,2,255))*100,VALUE(SUBSTITUTE(SUBSTITUTE(Продажи_исходные!D384,"₽","")," ",""))))</f>
        <v>9500</v>
      </c>
      <c r="E384" t="str">
        <f>Продажи_исходные!E384</f>
        <v>C0383</v>
      </c>
      <c r="F384" t="str">
        <f>Продажи_исходные!F384</f>
        <v>P027</v>
      </c>
      <c r="G384" t="str">
        <f>IFERROR(VLOOKUP(Продажи_исходные!G384,Справочники!$G$2:$H$50,2,FALSE),Продажи_исходные!G384)</f>
        <v>Завершен</v>
      </c>
      <c r="H384" s="4">
        <f>IFERROR(VLOOKUP(B384,Товары_очищенные!$A$1:$G$1000,6,FALSE),"нет в каталоге")</f>
        <v>137500</v>
      </c>
      <c r="I384" t="str">
        <f>IFERROR(VLOOKUP(B384,Товары_очищенные!$A$1:$G$1000,3,FALSE),"нет в каталоге")</f>
        <v>Ноутбуки</v>
      </c>
      <c r="J384" t="str">
        <f t="shared" si="31"/>
        <v>OK</v>
      </c>
    </row>
    <row r="385">
      <c r="A385" s="8">
        <f>DATE(RIGHT(Продажи_исходные!A385,4),LEFT(Продажи_исходные!A385,2),MID(Продажи_исходные!A385,4,2))</f>
        <v>45863</v>
      </c>
      <c r="B385" t="str">
        <f>"АРТ-"&amp;LEFT(SUBSTITUTE(SUBSTITUTE(SUBSTITUTE(SUBSTITUTE(Продажи_исходные!B385,"№",""),"АРТ-",""),"АРТ_",""),"/","-"),3)</f>
        <v>АРТ-181</v>
      </c>
      <c r="C385" s="4">
        <f>IFERROR(VALUE(TRIM(SUBSTITUTE(SUBSTITUTE(SUBSTITUTE(SUBSTITUTE(Продажи_исходные!C385," шт.","")," шт",""),"шт.",""),"шт",""))),0)</f>
        <v>2</v>
      </c>
      <c r="D385" s="4">
        <f>IF(LEFT(Продажи_исходные!D385,1)="$",VALUE(MID(Продажи_исходные!D385,2,255))*95,IF(LEFT(Продажи_исходные!D385,1)="€",VALUE(MID(Продажи_исходные!D385,2,255))*100,VALUE(SUBSTITUTE(SUBSTITUTE(Продажи_исходные!D385,"₽","")," ",""))))</f>
        <v>8500</v>
      </c>
      <c r="E385" t="str">
        <f>Продажи_исходные!E385</f>
        <v>C0384</v>
      </c>
      <c r="F385" t="str">
        <f>Продажи_исходные!F385</f>
        <v>P018</v>
      </c>
      <c r="G385" t="str">
        <f>IFERROR(VLOOKUP(Продажи_исходные!G385,Справочники!$G$2:$H$50,2,FALSE),Продажи_исходные!G385)</f>
        <v>Завершен</v>
      </c>
      <c r="H385" s="4">
        <f>IFERROR(VLOOKUP(B385,Товары_очищенные!$A$1:$G$1000,6,FALSE),"нет в каталоге")</f>
        <v>169990</v>
      </c>
      <c r="I385" t="str">
        <f>IFERROR(VLOOKUP(B385,Товары_очищенные!$A$1:$G$1000,3,FALSE),"нет в каталоге")</f>
        <v>Мониторы</v>
      </c>
      <c r="J385" t="str">
        <f t="shared" si="31"/>
        <v>OK</v>
      </c>
    </row>
    <row r="386">
      <c r="A386" s="8">
        <f>DATE(RIGHT(Продажи_исходные!A386,4),LEFT(Продажи_исходные!A386,2),MID(Продажи_исходные!A386,4,2))</f>
        <v>45864</v>
      </c>
      <c r="B386" t="str">
        <f>"АРТ-"&amp;LEFT(SUBSTITUTE(SUBSTITUTE(SUBSTITUTE(SUBSTITUTE(Продажи_исходные!B386,"№",""),"АРТ-",""),"АРТ_",""),"/","-"),3)</f>
        <v>АРТ-266</v>
      </c>
      <c r="C386" s="4">
        <f>IFERROR(VALUE(TRIM(SUBSTITUTE(SUBSTITUTE(SUBSTITUTE(SUBSTITUTE(Продажи_исходные!C386," шт.","")," шт",""),"шт.",""),"шт",""))),0)</f>
        <v>3</v>
      </c>
      <c r="D386" s="4">
        <f>IF(LEFT(Продажи_исходные!D386,1)="$",VALUE(MID(Продажи_исходные!D386,2,255))*95,IF(LEFT(Продажи_исходные!D386,1)="€",VALUE(MID(Продажи_исходные!D386,2,255))*100,VALUE(SUBSTITUTE(SUBSTITUTE(Продажи_исходные!D386,"₽","")," ",""))))</f>
        <v>9975</v>
      </c>
      <c r="E386" t="str">
        <f>Продажи_исходные!E386</f>
        <v>C0385</v>
      </c>
      <c r="F386" t="str">
        <f>Продажи_исходные!F386</f>
        <v>P040</v>
      </c>
      <c r="G386" t="str">
        <f>IFERROR(VLOOKUP(Продажи_исходные!G386,Справочники!$G$2:$H$50,2,FALSE),Продажи_исходные!G386)</f>
        <v>Отменен</v>
      </c>
      <c r="H386" s="4">
        <f>IFERROR(VLOOKUP(B386,Товары_очищенные!$A$1:$G$1000,6,FALSE),"нет в каталоге")</f>
        <v>65500</v>
      </c>
      <c r="I386" t="str">
        <f>IFERROR(VLOOKUP(B386,Товары_очищенные!$A$1:$G$1000,3,FALSE),"нет в каталоге")</f>
        <v>Мониторы</v>
      </c>
      <c r="J386" t="str">
        <f t="shared" si="31"/>
        <v>OK</v>
      </c>
    </row>
    <row r="387">
      <c r="A387" s="8">
        <f>DATE(RIGHT(Продажи_исходные!A387,4),LEFT(Продажи_исходные!A387,2),MID(Продажи_исходные!A387,4,2))</f>
        <v>45864</v>
      </c>
      <c r="B387" t="str">
        <f>"АРТ-"&amp;LEFT(SUBSTITUTE(SUBSTITUTE(SUBSTITUTE(SUBSTITUTE(Продажи_исходные!B387,"№",""),"АРТ-",""),"АРТ_",""),"/","-"),3)</f>
        <v>АРТ-489</v>
      </c>
      <c r="C387" s="4">
        <f>IFERROR(VALUE(TRIM(SUBSTITUTE(SUBSTITUTE(SUBSTITUTE(SUBSTITUTE(Продажи_исходные!C387," шт.","")," шт",""),"шт.",""),"шт",""))),0)</f>
        <v>2</v>
      </c>
      <c r="D387" s="4">
        <f>IF(LEFT(Продажи_исходные!D387,1)="$",VALUE(MID(Продажи_исходные!D387,2,255))*95,IF(LEFT(Продажи_исходные!D387,1)="€",VALUE(MID(Продажи_исходные!D387,2,255))*100,VALUE(SUBSTITUTE(SUBSTITUTE(Продажи_исходные!D387,"₽","")," ",""))))</f>
        <v>8500</v>
      </c>
      <c r="E387" t="str">
        <f>Продажи_исходные!E387</f>
        <v>C0386</v>
      </c>
      <c r="F387" t="str">
        <f>Продажи_исходные!F387</f>
        <v>P003</v>
      </c>
      <c r="G387" t="str">
        <f>IFERROR(VLOOKUP(Продажи_исходные!G387,Справочники!$G$2:$H$50,2,FALSE),Продажи_исходные!G387)</f>
        <v>Отменен</v>
      </c>
      <c r="H387" s="4">
        <f>IFERROR(VLOOKUP(B387,Товары_очищенные!$A$1:$G$1000,6,FALSE),"нет в каталоге")</f>
        <v>113500</v>
      </c>
      <c r="I387" t="str">
        <f>IFERROR(VLOOKUP(B387,Товары_очищенные!$A$1:$G$1000,3,FALSE),"нет в каталоге")</f>
        <v>Ноутбуки</v>
      </c>
      <c r="J387" t="str">
        <f t="shared" si="31"/>
        <v>OK</v>
      </c>
    </row>
    <row r="388">
      <c r="A388" s="8">
        <f>DATE(RIGHT(Продажи_исходные!A388,4),LEFT(Продажи_исходные!A388,2),MID(Продажи_исходные!A388,4,2))</f>
        <v>45865</v>
      </c>
      <c r="B388" t="str">
        <f>"АРТ-"&amp;LEFT(SUBSTITUTE(SUBSTITUTE(SUBSTITUTE(SUBSTITUTE(Продажи_исходные!B388,"№",""),"АРТ-",""),"АРТ_",""),"/","-"),3)</f>
        <v>АРТ-297</v>
      </c>
      <c r="C388" s="4">
        <f>IFERROR(VALUE(TRIM(SUBSTITUTE(SUBSTITUTE(SUBSTITUTE(SUBSTITUTE(Продажи_исходные!C388," шт.","")," шт",""),"шт.",""),"шт",""))),0)</f>
        <v>1</v>
      </c>
      <c r="D388" s="4">
        <f>IF(LEFT(Продажи_исходные!D388,1)="$",VALUE(MID(Продажи_исходные!D388,2,255))*95,IF(LEFT(Продажи_исходные!D388,1)="€",VALUE(MID(Продажи_исходные!D388,2,255))*100,VALUE(SUBSTITUTE(SUBSTITUTE(Продажи_исходные!D388,"₽","")," ",""))))</f>
        <v>7800</v>
      </c>
      <c r="E388" t="str">
        <f>Продажи_исходные!E388</f>
        <v>C0387</v>
      </c>
      <c r="F388" t="str">
        <f>Продажи_исходные!F388</f>
        <v>P025</v>
      </c>
      <c r="G388" t="str">
        <f>IFERROR(VLOOKUP(Продажи_исходные!G388,Справочники!$G$2:$H$50,2,FALSE),Продажи_исходные!G388)</f>
        <v>Возврат</v>
      </c>
      <c r="H388" s="4">
        <f>IFERROR(VLOOKUP(B388,Товары_очищенные!$A$1:$G$1000,6,FALSE),"нет в каталоге")</f>
        <v>36500</v>
      </c>
      <c r="I388" t="str">
        <f>IFERROR(VLOOKUP(B388,Товары_очищенные!$A$1:$G$1000,3,FALSE),"нет в каталоге")</f>
        <v>Смартфоны</v>
      </c>
      <c r="J388" t="str">
        <f t="shared" si="31"/>
        <v>OK</v>
      </c>
    </row>
    <row r="389">
      <c r="A389" s="8">
        <f>DATE(RIGHT(Продажи_исходные!A389,4),LEFT(Продажи_исходные!A389,2),MID(Продажи_исходные!A389,4,2))</f>
        <v>45865</v>
      </c>
      <c r="B389" t="str">
        <f>"АРТ-"&amp;LEFT(SUBSTITUTE(SUBSTITUTE(SUBSTITUTE(SUBSTITUTE(Продажи_исходные!B389,"№",""),"АРТ-",""),"АРТ_",""),"/","-"),3)</f>
        <v>АРТ-413</v>
      </c>
      <c r="C389" s="4">
        <f>IFERROR(VALUE(TRIM(SUBSTITUTE(SUBSTITUTE(SUBSTITUTE(SUBSTITUTE(Продажи_исходные!C389," шт.","")," шт",""),"шт.",""),"шт",""))),0)</f>
        <v>-3</v>
      </c>
      <c r="D389" s="4">
        <f>IF(LEFT(Продажи_исходные!D389,1)="$",VALUE(MID(Продажи_исходные!D389,2,255))*95,IF(LEFT(Продажи_исходные!D389,1)="€",VALUE(MID(Продажи_исходные!D389,2,255))*100,VALUE(SUBSTITUTE(SUBSTITUTE(Продажи_исходные!D389,"₽","")," ",""))))</f>
        <v>11400</v>
      </c>
      <c r="E389" t="str">
        <f>Продажи_исходные!E389</f>
        <v>C0388</v>
      </c>
      <c r="F389" t="str">
        <f>Продажи_исходные!F389</f>
        <v>P010</v>
      </c>
      <c r="G389" t="str">
        <f>IFERROR(VLOOKUP(Продажи_исходные!G389,Справочники!$G$2:$H$50,2,FALSE),Продажи_исходные!G389)</f>
        <v>Завершен</v>
      </c>
      <c r="H389" s="4">
        <f>IFERROR(VLOOKUP(B389,Товары_очищенные!$A$1:$G$1000,6,FALSE),"нет в каталоге")</f>
        <v>52500</v>
      </c>
      <c r="I389" t="str">
        <f>IFERROR(VLOOKUP(B389,Товары_очищенные!$A$1:$G$1000,3,FALSE),"нет в каталоге")</f>
        <v>Мониторы</v>
      </c>
      <c r="J389" t="str">
        <f t="shared" si="31"/>
        <v>OK</v>
      </c>
    </row>
    <row r="390">
      <c r="A390" s="8">
        <f>DATE(RIGHT(Продажи_исходные!A390,4),LEFT(Продажи_исходные!A390,2),MID(Продажи_исходные!A390,4,2))</f>
        <v>45866</v>
      </c>
      <c r="B390" t="str">
        <f>"АРТ-"&amp;LEFT(SUBSTITUTE(SUBSTITUTE(SUBSTITUTE(SUBSTITUTE(Продажи_исходные!B390,"№",""),"АРТ-",""),"АРТ_",""),"/","-"),3)</f>
        <v>АРТ-357</v>
      </c>
      <c r="C390" s="4">
        <f>IFERROR(VALUE(TRIM(SUBSTITUTE(SUBSTITUTE(SUBSTITUTE(SUBSTITUTE(Продажи_исходные!C390," шт.","")," шт",""),"шт.",""),"шт",""))),0)</f>
        <v>2</v>
      </c>
      <c r="D390" s="4">
        <f>IF(LEFT(Продажи_исходные!D390,1)="$",VALUE(MID(Продажи_исходные!D390,2,255))*95,IF(LEFT(Продажи_исходные!D390,1)="€",VALUE(MID(Продажи_исходные!D390,2,255))*100,VALUE(SUBSTITUTE(SUBSTITUTE(Продажи_исходные!D390,"₽","")," ",""))))</f>
        <v>10000</v>
      </c>
      <c r="E390" t="str">
        <f>Продажи_исходные!E390</f>
        <v>C0389</v>
      </c>
      <c r="F390" t="str">
        <f>Продажи_исходные!F390</f>
        <v>P033</v>
      </c>
      <c r="G390" t="str">
        <f>IFERROR(VLOOKUP(Продажи_исходные!G390,Справочники!$G$2:$H$50,2,FALSE),Продажи_исходные!G390)</f>
        <v>Завершен</v>
      </c>
      <c r="H390" s="4">
        <f>IFERROR(VLOOKUP(B390,Товары_очищенные!$A$1:$G$1000,6,FALSE),"нет в каталоге")</f>
        <v>88000</v>
      </c>
      <c r="I390" t="str">
        <f>IFERROR(VLOOKUP(B390,Товары_очищенные!$A$1:$G$1000,3,FALSE),"нет в каталоге")</f>
        <v>Смартфоны</v>
      </c>
      <c r="J390" t="str">
        <f t="shared" si="31"/>
        <v>OK</v>
      </c>
    </row>
    <row r="391">
      <c r="A391" s="8">
        <f>DATE(RIGHT(Продажи_исходные!A391,4),LEFT(Продажи_исходные!A391,2),MID(Продажи_исходные!A391,4,2))</f>
        <v>45866</v>
      </c>
      <c r="B391" t="str">
        <f>"АРТ-"&amp;LEFT(SUBSTITUTE(SUBSTITUTE(SUBSTITUTE(SUBSTITUTE(Продажи_исходные!B391,"№",""),"АРТ-",""),"АРТ_",""),"/","-"),3)</f>
        <v>АРТ-238</v>
      </c>
      <c r="C391" s="4">
        <f>IFERROR(VALUE(TRIM(SUBSTITUTE(SUBSTITUTE(SUBSTITUTE(SUBSTITUTE(Продажи_исходные!C391," шт.","")," шт",""),"шт.",""),"шт",""))),0)</f>
        <v>1</v>
      </c>
      <c r="D391" s="4">
        <f>IF(LEFT(Продажи_исходные!D391,1)="$",VALUE(MID(Продажи_исходные!D391,2,255))*95,IF(LEFT(Продажи_исходные!D391,1)="€",VALUE(MID(Продажи_исходные!D391,2,255))*100,VALUE(SUBSTITUTE(SUBSTITUTE(Продажи_исходные!D391,"₽","")," ",""))))</f>
        <v>9200</v>
      </c>
      <c r="E391" t="str">
        <f>Продажи_исходные!E391</f>
        <v>C0390</v>
      </c>
      <c r="F391" t="str">
        <f>Продажи_исходные!F391</f>
        <v>P047</v>
      </c>
      <c r="G391" t="str">
        <f>IFERROR(VLOOKUP(Продажи_исходные!G391,Справочники!$G$2:$H$50,2,FALSE),Продажи_исходные!G391)</f>
        <v>Завершен</v>
      </c>
      <c r="H391" s="4">
        <f>IFERROR(VLOOKUP(B391,Товары_очищенные!$A$1:$G$1000,6,FALSE),"нет в каталоге")</f>
        <v>110990</v>
      </c>
      <c r="I391" t="str">
        <f>IFERROR(VLOOKUP(B391,Товары_очищенные!$A$1:$G$1000,3,FALSE),"нет в каталоге")</f>
        <v>Телевизоры</v>
      </c>
      <c r="J391" t="str">
        <f t="shared" si="31"/>
        <v>OK</v>
      </c>
    </row>
    <row r="392">
      <c r="A392" s="8">
        <f>DATE(RIGHT(Продажи_исходные!A392,4),LEFT(Продажи_исходные!A392,2),MID(Продажи_исходные!A392,4,2))</f>
        <v>45867</v>
      </c>
      <c r="B392" t="str">
        <f>"АРТ-"&amp;LEFT(SUBSTITUTE(SUBSTITUTE(SUBSTITUTE(SUBSTITUTE(Продажи_исходные!B392,"№",""),"АРТ-",""),"АРТ_",""),"/","-"),3)</f>
        <v>АРТ-168</v>
      </c>
      <c r="C392" s="4">
        <f>IFERROR(VALUE(TRIM(SUBSTITUTE(SUBSTITUTE(SUBSTITUTE(SUBSTITUTE(Продажи_исходные!C392," шт.","")," шт",""),"шт.",""),"шт",""))),0)</f>
        <v>3</v>
      </c>
      <c r="D392" s="4">
        <f>IF(LEFT(Продажи_исходные!D392,1)="$",VALUE(MID(Продажи_исходные!D392,2,255))*95,IF(LEFT(Продажи_исходные!D392,1)="€",VALUE(MID(Продажи_исходные!D392,2,255))*100,VALUE(SUBSTITUTE(SUBSTITUTE(Продажи_исходные!D392,"₽","")," ",""))))</f>
        <v>8550</v>
      </c>
      <c r="E392" t="str">
        <f>Продажи_исходные!E392</f>
        <v>C0391</v>
      </c>
      <c r="F392" t="str">
        <f>Продажи_исходные!F392</f>
        <v>P020</v>
      </c>
      <c r="G392" t="str">
        <f>IFERROR(VLOOKUP(Продажи_исходные!G392,Справочники!$G$2:$H$50,2,FALSE),Продажи_исходные!G392)</f>
        <v>Отменен</v>
      </c>
      <c r="H392" s="4">
        <f>IFERROR(VLOOKUP(B392,Товары_очищенные!$A$1:$G$1000,6,FALSE),"нет в каталоге")</f>
        <v>85000</v>
      </c>
      <c r="I392" t="str">
        <f>IFERROR(VLOOKUP(B392,Товары_очищенные!$A$1:$G$1000,3,FALSE),"нет в каталоге")</f>
        <v>Планшеты</v>
      </c>
      <c r="J392" t="str">
        <f t="shared" si="31"/>
        <v>OK</v>
      </c>
    </row>
    <row r="393">
      <c r="A393" s="8">
        <f>DATE(RIGHT(Продажи_исходные!A393,4),LEFT(Продажи_исходные!A393,2),MID(Продажи_исходные!A393,4,2))</f>
        <v>45867</v>
      </c>
      <c r="B393" t="str">
        <f>"АРТ-"&amp;LEFT(SUBSTITUTE(SUBSTITUTE(SUBSTITUTE(SUBSTITUTE(Продажи_исходные!B393,"№",""),"АРТ-",""),"АРТ_",""),"/","-"),3)</f>
        <v>АРТ-426</v>
      </c>
      <c r="C393" s="4">
        <f>IFERROR(VALUE(TRIM(SUBSTITUTE(SUBSTITUTE(SUBSTITUTE(SUBSTITUTE(Продажи_исходные!C393," шт.","")," шт",""),"шт.",""),"шт",""))),0)</f>
        <v>2</v>
      </c>
      <c r="D393" s="4">
        <f>IF(LEFT(Продажи_исходные!D393,1)="$",VALUE(MID(Продажи_исходные!D393,2,255))*95,IF(LEFT(Продажи_исходные!D393,1)="€",VALUE(MID(Продажи_исходные!D393,2,255))*100,VALUE(SUBSTITUTE(SUBSTITUTE(Продажи_исходные!D393,"₽","")," ",""))))</f>
        <v>7000</v>
      </c>
      <c r="E393" t="str">
        <f>Продажи_исходные!E393</f>
        <v>C0392</v>
      </c>
      <c r="F393" t="str">
        <f>Продажи_исходные!F393</f>
        <v>P002</v>
      </c>
      <c r="G393" t="str">
        <f>IFERROR(VLOOKUP(Продажи_исходные!G393,Справочники!$G$2:$H$50,2,FALSE),Продажи_исходные!G393)</f>
        <v>Отменен</v>
      </c>
      <c r="H393" s="4">
        <f>IFERROR(VLOOKUP(B393,Товары_очищенные!$A$1:$G$1000,6,FALSE),"нет в каталоге")</f>
        <v>50500</v>
      </c>
      <c r="I393" t="str">
        <f>IFERROR(VLOOKUP(B393,Товары_очищенные!$A$1:$G$1000,3,FALSE),"нет в каталоге")</f>
        <v>Смартфоны</v>
      </c>
      <c r="J393" t="str">
        <f t="shared" si="31"/>
        <v>OK</v>
      </c>
    </row>
    <row r="394">
      <c r="A394" s="8">
        <f>DATE(RIGHT(Продажи_исходные!A394,4),LEFT(Продажи_исходные!A394,2),MID(Продажи_исходные!A394,4,2))</f>
        <v>45868</v>
      </c>
      <c r="B394" t="str">
        <f>"АРТ-"&amp;LEFT(SUBSTITUTE(SUBSTITUTE(SUBSTITUTE(SUBSTITUTE(Продажи_исходные!B394,"№",""),"АРТ-",""),"АРТ_",""),"/","-"),3)</f>
        <v>АРТ-351</v>
      </c>
      <c r="C394" s="4">
        <f>IFERROR(VALUE(TRIM(SUBSTITUTE(SUBSTITUTE(SUBSTITUTE(SUBSTITUTE(Продажи_исходные!C394," шт.","")," шт",""),"шт.",""),"шт",""))),0)</f>
        <v>1</v>
      </c>
      <c r="D394" s="4">
        <f>IF(LEFT(Продажи_исходные!D394,1)="$",VALUE(MID(Продажи_исходные!D394,2,255))*95,IF(LEFT(Продажи_исходные!D394,1)="€",VALUE(MID(Продажи_исходные!D394,2,255))*100,VALUE(SUBSTITUTE(SUBSTITUTE(Продажи_исходные!D394,"₽","")," ",""))))</f>
        <v>6500</v>
      </c>
      <c r="E394" t="str">
        <f>Продажи_исходные!E394</f>
        <v>C0393</v>
      </c>
      <c r="F394" t="str">
        <f>Продажи_исходные!F394</f>
        <v>P038</v>
      </c>
      <c r="G394" t="str">
        <f>IFERROR(VLOOKUP(Продажи_исходные!G394,Справочники!$G$2:$H$50,2,FALSE),Продажи_исходные!G394)</f>
        <v>Завершен</v>
      </c>
      <c r="H394" s="4">
        <f>IFERROR(VLOOKUP(B394,Товары_очищенные!$A$1:$G$1000,6,FALSE),"нет в каталоге")</f>
        <v>57000</v>
      </c>
      <c r="I394" t="str">
        <f>IFERROR(VLOOKUP(B394,Товары_очищенные!$A$1:$G$1000,3,FALSE),"нет в каталоге")</f>
        <v>Мониторы</v>
      </c>
      <c r="J394" t="str">
        <f t="shared" si="31"/>
        <v>OK</v>
      </c>
    </row>
    <row r="395">
      <c r="A395" s="8">
        <f>DATE(RIGHT(Продажи_исходные!A395,4),LEFT(Продажи_исходные!A395,2),MID(Продажи_исходные!A395,4,2))</f>
        <v>45868</v>
      </c>
      <c r="B395" t="str">
        <f>"АРТ-"&amp;LEFT(SUBSTITUTE(SUBSTITUTE(SUBSTITUTE(SUBSTITUTE(Продажи_исходные!B395,"№",""),"АРТ-",""),"АРТ_",""),"/","-"),3)</f>
        <v>АРТ-360</v>
      </c>
      <c r="C395" s="4">
        <f>IFERROR(VALUE(TRIM(SUBSTITUTE(SUBSTITUTE(SUBSTITUTE(SUBSTITUTE(Продажи_исходные!C395," шт.","")," шт",""),"шт.",""),"шт",""))),0)</f>
        <v>-1</v>
      </c>
      <c r="D395" s="4">
        <f>IF(LEFT(Продажи_исходные!D395,1)="$",VALUE(MID(Продажи_исходные!D395,2,255))*95,IF(LEFT(Продажи_исходные!D395,1)="€",VALUE(MID(Продажи_исходные!D395,2,255))*100,VALUE(SUBSTITUTE(SUBSTITUTE(Продажи_исходные!D395,"₽","")," ",""))))</f>
        <v>10450</v>
      </c>
      <c r="E395" t="str">
        <f>Продажи_исходные!E395</f>
        <v>C0394</v>
      </c>
      <c r="F395" t="str">
        <f>Продажи_исходные!F395</f>
        <v>P016</v>
      </c>
      <c r="G395" t="str">
        <f>IFERROR(VLOOKUP(Продажи_исходные!G395,Справочники!$G$2:$H$50,2,FALSE),Продажи_исходные!G395)</f>
        <v>Возврат</v>
      </c>
      <c r="H395" s="4">
        <f>IFERROR(VLOOKUP(B395,Товары_очищенные!$A$1:$G$1000,6,FALSE),"нет в каталоге")</f>
        <v>62000</v>
      </c>
      <c r="I395" t="str">
        <f>IFERROR(VLOOKUP(B395,Товары_очищенные!$A$1:$G$1000,3,FALSE),"нет в каталоге")</f>
        <v>Планшеты</v>
      </c>
      <c r="J395" t="str">
        <f t="shared" si="31"/>
        <v>OK</v>
      </c>
    </row>
    <row r="396">
      <c r="A396" s="8">
        <f>DATE(RIGHT(Продажи_исходные!A396,4),LEFT(Продажи_исходные!A396,2),MID(Продажи_исходные!A396,4,2))</f>
        <v>45869</v>
      </c>
      <c r="B396" t="str">
        <f>"АРТ-"&amp;LEFT(SUBSTITUTE(SUBSTITUTE(SUBSTITUTE(SUBSTITUTE(Продажи_исходные!B396,"№",""),"АРТ-",""),"АРТ_",""),"/","-"),3)</f>
        <v>АРТ-275</v>
      </c>
      <c r="C396" s="4">
        <f>IFERROR(VALUE(TRIM(SUBSTITUTE(SUBSTITUTE(SUBSTITUTE(SUBSTITUTE(Продажи_исходные!C396," шт.","")," шт",""),"шт.",""),"шт",""))),0)</f>
        <v>3</v>
      </c>
      <c r="D396" s="4">
        <f>IF(LEFT(Продажи_исходные!D396,1)="$",VALUE(MID(Продажи_исходные!D396,2,255))*95,IF(LEFT(Продажи_исходные!D396,1)="€",VALUE(MID(Продажи_исходные!D396,2,255))*100,VALUE(SUBSTITUTE(SUBSTITUTE(Продажи_исходные!D396,"₽","")," ",""))))</f>
        <v>9000</v>
      </c>
      <c r="E396" t="str">
        <f>Продажи_исходные!E396</f>
        <v>C0395</v>
      </c>
      <c r="F396" t="str">
        <f>Продажи_исходные!F396</f>
        <v>P029</v>
      </c>
      <c r="G396" t="str">
        <f>IFERROR(VLOOKUP(Продажи_исходные!G396,Справочники!$G$2:$H$50,2,FALSE),Продажи_исходные!G396)</f>
        <v>Завершен</v>
      </c>
      <c r="H396" s="4">
        <f>IFERROR(VLOOKUP(B396,Товары_очищенные!$A$1:$G$1000,6,FALSE),"нет в каталоге")</f>
        <v>47000</v>
      </c>
      <c r="I396" t="str">
        <f>IFERROR(VLOOKUP(B396,Товары_очищенные!$A$1:$G$1000,3,FALSE),"нет в каталоге")</f>
        <v>Планшеты</v>
      </c>
      <c r="J396" t="str">
        <f t="shared" si="31"/>
        <v>OK</v>
      </c>
    </row>
    <row r="397">
      <c r="A397" s="8">
        <f>DATE(RIGHT(Продажи_исходные!A397,4),LEFT(Продажи_исходные!A397,2),MID(Продажи_исходные!A397,4,2))</f>
        <v>45869</v>
      </c>
      <c r="B397" t="str">
        <f>"АРТ-"&amp;LEFT(SUBSTITUTE(SUBSTITUTE(SUBSTITUTE(SUBSTITUTE(Продажи_исходные!B397,"№",""),"АРТ-",""),"АРТ_",""),"/","-"),3)</f>
        <v>АРТ-098</v>
      </c>
      <c r="C397" s="4">
        <f>IFERROR(VALUE(TRIM(SUBSTITUTE(SUBSTITUTE(SUBSTITUTE(SUBSTITUTE(Продажи_исходные!C397," шт.","")," шт",""),"шт.",""),"шт",""))),0)</f>
        <v>2</v>
      </c>
      <c r="D397" s="4">
        <f>IF(LEFT(Продажи_исходные!D397,1)="$",VALUE(MID(Продажи_исходные!D397,2,255))*95,IF(LEFT(Продажи_исходные!D397,1)="€",VALUE(MID(Продажи_исходные!D397,2,255))*100,VALUE(SUBSTITUTE(SUBSTITUTE(Продажи_исходные!D397,"₽","")," ",""))))</f>
        <v>8000</v>
      </c>
      <c r="E397" t="str">
        <f>Продажи_исходные!E397</f>
        <v>C0396</v>
      </c>
      <c r="F397" t="str">
        <f>Продажи_исходные!F397</f>
        <v>P035</v>
      </c>
      <c r="G397" t="str">
        <f>IFERROR(VLOOKUP(Продажи_исходные!G397,Справочники!$G$2:$H$50,2,FALSE),Продажи_исходные!G397)</f>
        <v>Завершен</v>
      </c>
      <c r="H397" s="4">
        <f>IFERROR(VLOOKUP(B397,Товары_очищенные!$A$1:$G$1000,6,FALSE),"нет в каталоге")</f>
        <v>6500</v>
      </c>
      <c r="I397" t="str">
        <f>IFERROR(VLOOKUP(B397,Товары_очищенные!$A$1:$G$1000,3,FALSE),"нет в каталоге")</f>
        <v>Аксессуары</v>
      </c>
      <c r="J397" t="str">
        <f t="shared" si="31"/>
        <v>OK</v>
      </c>
    </row>
    <row r="398">
      <c r="A398" s="8">
        <f>DATE(RIGHT(Продажи_исходные!A398,4),LEFT(Продажи_исходные!A398,2),MID(Продажи_исходные!A398,4,2))</f>
        <v>45870</v>
      </c>
      <c r="B398" t="str">
        <f>"АРТ-"&amp;LEFT(SUBSTITUTE(SUBSTITUTE(SUBSTITUTE(SUBSTITUTE(Продажи_исходные!B398,"№",""),"АРТ-",""),"АРТ_",""),"/","-"),3)</f>
        <v>АРТ-141</v>
      </c>
      <c r="C398" s="4">
        <f>IFERROR(VALUE(TRIM(SUBSTITUTE(SUBSTITUTE(SUBSTITUTE(SUBSTITUTE(Продажи_исходные!C398," шт.","")," шт",""),"шт.",""),"шт",""))),0)</f>
        <v>1</v>
      </c>
      <c r="D398" s="4">
        <f>IF(LEFT(Продажи_исходные!D398,1)="$",VALUE(MID(Продажи_исходные!D398,2,255))*95,IF(LEFT(Продажи_исходные!D398,1)="€",VALUE(MID(Продажи_исходные!D398,2,255))*100,VALUE(SUBSTITUTE(SUBSTITUTE(Продажи_исходные!D398,"₽","")," ",""))))</f>
        <v>9025</v>
      </c>
      <c r="E398" t="str">
        <f>Продажи_исходные!E398</f>
        <v>C0397</v>
      </c>
      <c r="F398" t="str">
        <f>Продажи_исходные!F398</f>
        <v>P046</v>
      </c>
      <c r="G398" t="str">
        <f>IFERROR(VLOOKUP(Продажи_исходные!G398,Справочники!$G$2:$H$50,2,FALSE),Продажи_исходные!G398)</f>
        <v>Завершен</v>
      </c>
      <c r="H398" s="4">
        <f>IFERROR(VLOOKUP(B398,Товары_очищенные!$A$1:$G$1000,6,FALSE),"нет в каталоге")</f>
        <v>92500</v>
      </c>
      <c r="I398" t="str">
        <f>IFERROR(VLOOKUP(B398,Товары_очищенные!$A$1:$G$1000,3,FALSE),"нет в каталоге")</f>
        <v>Мониторы</v>
      </c>
      <c r="J398" t="str">
        <f t="shared" si="31"/>
        <v>OK</v>
      </c>
    </row>
    <row r="399">
      <c r="A399" s="8">
        <f>DATE(RIGHT(Продажи_исходные!A399,4),LEFT(Продажи_исходные!A399,2),MID(Продажи_исходные!A399,4,2))</f>
        <v>45870</v>
      </c>
      <c r="B399" t="str">
        <f>"АРТ-"&amp;LEFT(SUBSTITUTE(SUBSTITUTE(SUBSTITUTE(SUBSTITUTE(Продажи_исходные!B399,"№",""),"АРТ-",""),"АРТ_",""),"/","-"),3)</f>
        <v>АРТ-495</v>
      </c>
      <c r="C399" s="4">
        <f>IFERROR(VALUE(TRIM(SUBSTITUTE(SUBSTITUTE(SUBSTITUTE(SUBSTITUTE(Продажи_исходные!C399," шт.","")," шт",""),"шт.",""),"шт",""))),0)</f>
        <v>2</v>
      </c>
      <c r="D399" s="4">
        <f>IF(LEFT(Продажи_исходные!D399,1)="$",VALUE(MID(Продажи_исходные!D399,2,255))*95,IF(LEFT(Продажи_исходные!D399,1)="€",VALUE(MID(Продажи_исходные!D399,2,255))*100,VALUE(SUBSTITUTE(SUBSTITUTE(Продажи_исходные!D399,"₽","")," ",""))))</f>
        <v>7500</v>
      </c>
      <c r="E399" t="str">
        <f>Продажи_исходные!E399</f>
        <v>C0398</v>
      </c>
      <c r="F399" t="str">
        <f>Продажи_исходные!F399</f>
        <v>P022</v>
      </c>
      <c r="G399" t="str">
        <f>IFERROR(VLOOKUP(Продажи_исходные!G399,Справочники!$G$2:$H$50,2,FALSE),Продажи_исходные!G399)</f>
        <v>Отменен</v>
      </c>
      <c r="H399" s="4">
        <f>IFERROR(VLOOKUP(B399,Товары_очищенные!$A$1:$G$1000,6,FALSE),"нет в каталоге")</f>
        <v>15800</v>
      </c>
      <c r="I399" t="str">
        <f>IFERROR(VLOOKUP(B399,Товары_очищенные!$A$1:$G$1000,3,FALSE),"нет в каталоге")</f>
        <v>Наушники</v>
      </c>
      <c r="J399" t="str">
        <f t="shared" si="31"/>
        <v>OK</v>
      </c>
    </row>
    <row r="400">
      <c r="A400" s="8">
        <f>DATE(RIGHT(Продажи_исходные!A400,4),LEFT(Продажи_исходные!A400,2),MID(Продажи_исходные!A400,4,2))</f>
        <v>45871</v>
      </c>
      <c r="B400" t="str">
        <f>"АРТ-"&amp;LEFT(SUBSTITUTE(SUBSTITUTE(SUBSTITUTE(SUBSTITUTE(Продажи_исходные!B400,"№",""),"АРТ-",""),"АРТ_",""),"/","-"),3)</f>
        <v>АРТ-331</v>
      </c>
      <c r="C400" s="4">
        <f>IFERROR(VALUE(TRIM(SUBSTITUTE(SUBSTITUTE(SUBSTITUTE(SUBSTITUTE(Продажи_исходные!C400," шт.","")," шт",""),"шт.",""),"шт",""))),0)</f>
        <v>3</v>
      </c>
      <c r="D400" s="4">
        <f>IF(LEFT(Продажи_исходные!D400,1)="$",VALUE(MID(Продажи_исходные!D400,2,255))*95,IF(LEFT(Продажи_исходные!D400,1)="€",VALUE(MID(Продажи_исходные!D400,2,255))*100,VALUE(SUBSTITUTE(SUBSTITUTE(Продажи_исходные!D400,"₽","")," ",""))))</f>
        <v>7000</v>
      </c>
      <c r="E400" t="str">
        <f>Продажи_исходные!E400</f>
        <v>C0399</v>
      </c>
      <c r="F400" t="str">
        <f>Продажи_исходные!F400</f>
        <v>P043</v>
      </c>
      <c r="G400" t="str">
        <f>IFERROR(VLOOKUP(Продажи_исходные!G400,Справочники!$G$2:$H$50,2,FALSE),Продажи_исходные!G400)</f>
        <v>Отменен</v>
      </c>
      <c r="H400" s="4">
        <f>IFERROR(VLOOKUP(B400,Товары_очищенные!$A$1:$G$1000,6,FALSE),"нет в каталоге")</f>
        <v>69990</v>
      </c>
      <c r="I400" t="str">
        <f>IFERROR(VLOOKUP(B400,Товары_очищенные!$A$1:$G$1000,3,FALSE),"нет в каталоге")</f>
        <v>Часы</v>
      </c>
      <c r="J400" t="str">
        <f t="shared" si="31"/>
        <v>OK</v>
      </c>
    </row>
    <row r="401">
      <c r="A401" s="8">
        <f>DATE(RIGHT(Продажи_исходные!A401,4),LEFT(Продажи_исходные!A401,2),MID(Продажи_исходные!A401,4,2))</f>
        <v>45871</v>
      </c>
      <c r="B401" t="str">
        <f>"АРТ-"&amp;LEFT(SUBSTITUTE(SUBSTITUTE(SUBSTITUTE(SUBSTITUTE(Продажи_исходные!B401,"№",""),"АРТ-",""),"АРТ_",""),"/","-"),3)</f>
        <v>АРТ-368</v>
      </c>
      <c r="C401" s="4">
        <f>IFERROR(VALUE(TRIM(SUBSTITUTE(SUBSTITUTE(SUBSTITUTE(SUBSTITUTE(Продажи_исходные!C401," шт.","")," шт",""),"шт.",""),"шт",""))),0)</f>
        <v>-2</v>
      </c>
      <c r="D401" s="4">
        <f>IF(LEFT(Продажи_исходные!D401,1)="$",VALUE(MID(Продажи_исходные!D401,2,255))*95,IF(LEFT(Продажи_исходные!D401,1)="€",VALUE(MID(Продажи_исходные!D401,2,255))*100,VALUE(SUBSTITUTE(SUBSTITUTE(Продажи_исходные!D401,"₽","")," ",""))))</f>
        <v>10925</v>
      </c>
      <c r="E401" t="str">
        <f>Продажи_исходные!E401</f>
        <v>C0400</v>
      </c>
      <c r="F401" t="str">
        <f>Продажи_исходные!F401</f>
        <v>P030</v>
      </c>
      <c r="G401" t="str">
        <f>IFERROR(VLOOKUP(Продажи_исходные!G401,Справочники!$G$2:$H$50,2,FALSE),Продажи_исходные!G401)</f>
        <v>Возврат</v>
      </c>
      <c r="H401" s="4">
        <f>IFERROR(VLOOKUP(B401,Товары_очищенные!$A$1:$G$1000,6,FALSE),"нет в каталоге")</f>
        <v>19000</v>
      </c>
      <c r="I401" t="str">
        <f>IFERROR(VLOOKUP(B401,Товары_очищенные!$A$1:$G$1000,3,FALSE),"нет в каталоге")</f>
        <v>Наушники</v>
      </c>
      <c r="J401" t="str">
        <f t="shared" si="31"/>
        <v>OK</v>
      </c>
    </row>
    <row r="402">
      <c r="A402" s="8">
        <f>DATE(RIGHT(Продажи_исходные!A402,4),LEFT(Продажи_исходные!A402,2),MID(Продажи_исходные!A402,4,2))</f>
        <v>45872</v>
      </c>
      <c r="B402" t="str">
        <f>"АРТ-"&amp;LEFT(SUBSTITUTE(SUBSTITUTE(SUBSTITUTE(SUBSTITUTE(Продажи_исходные!B402,"№",""),"АРТ-",""),"АРТ_",""),"/","-"),3)</f>
        <v>АРТ-256</v>
      </c>
      <c r="C402" s="4">
        <f>IFERROR(VALUE(TRIM(SUBSTITUTE(SUBSTITUTE(SUBSTITUTE(SUBSTITUTE(Продажи_исходные!C402," шт.","")," шт",""),"шт.",""),"шт",""))),0)</f>
        <v>1</v>
      </c>
      <c r="D402" s="4">
        <f>IF(LEFT(Продажи_исходные!D402,1)="$",VALUE(MID(Продажи_исходные!D402,2,255))*95,IF(LEFT(Продажи_исходные!D402,1)="€",VALUE(MID(Продажи_исходные!D402,2,255))*100,VALUE(SUBSTITUTE(SUBSTITUTE(Продажи_исходные!D402,"₽","")," ",""))))</f>
        <v>9500</v>
      </c>
      <c r="E402" t="str">
        <f>Продажи_исходные!E402</f>
        <v>C0401</v>
      </c>
      <c r="F402" t="str">
        <f>Продажи_исходные!F402</f>
        <v>P012</v>
      </c>
      <c r="G402" t="str">
        <f>IFERROR(VLOOKUP(Продажи_исходные!G402,Справочники!$G$2:$H$50,2,FALSE),Продажи_исходные!G402)</f>
        <v>Завершен</v>
      </c>
      <c r="H402" s="4">
        <f>IFERROR(VLOOKUP(B402,Товары_очищенные!$A$1:$G$1000,6,FALSE),"нет в каталоге")</f>
        <v>37990</v>
      </c>
      <c r="I402" t="str">
        <f>IFERROR(VLOOKUP(B402,Товары_очищенные!$A$1:$G$1000,3,FALSE),"нет в каталоге")</f>
        <v>Смартфоны</v>
      </c>
      <c r="J402" t="str">
        <f t="shared" si="31"/>
        <v>OK</v>
      </c>
    </row>
    <row r="403">
      <c r="A403" s="8">
        <f>DATE(RIGHT(Продажи_исходные!A403,4),LEFT(Продажи_исходные!A403,2),MID(Продажи_исходные!A403,4,2))</f>
        <v>45872</v>
      </c>
      <c r="B403" t="str">
        <f>"АРТ-"&amp;LEFT(SUBSTITUTE(SUBSTITUTE(SUBSTITUTE(SUBSTITUTE(Продажи_исходные!B403,"№",""),"АРТ-",""),"АРТ_",""),"/","-"),3)</f>
        <v>АРТ-139</v>
      </c>
      <c r="C403" s="4">
        <f>IFERROR(VALUE(TRIM(SUBSTITUTE(SUBSTITUTE(SUBSTITUTE(SUBSTITUTE(Продажи_исходные!C403," шт.","")," шт",""),"шт.",""),"шт",""))),0)</f>
        <v>2</v>
      </c>
      <c r="D403" s="4">
        <f>IF(LEFT(Продажи_исходные!D403,1)="$",VALUE(MID(Продажи_исходные!D403,2,255))*95,IF(LEFT(Продажи_исходные!D403,1)="€",VALUE(MID(Продажи_исходные!D403,2,255))*100,VALUE(SUBSTITUTE(SUBSTITUTE(Продажи_исходные!D403,"₽","")," ",""))))</f>
        <v>8500</v>
      </c>
      <c r="E403" t="str">
        <f>Продажи_исходные!E403</f>
        <v>C0402</v>
      </c>
      <c r="F403" t="str">
        <f>Продажи_исходные!F403</f>
        <v>P007</v>
      </c>
      <c r="G403" t="str">
        <f>IFERROR(VLOOKUP(Продажи_исходные!G403,Справочники!$G$2:$H$50,2,FALSE),Продажи_исходные!G403)</f>
        <v>Завершен</v>
      </c>
      <c r="H403" s="4">
        <f>IFERROR(VLOOKUP(B403,Товары_очищенные!$A$1:$G$1000,6,FALSE),"нет в каталоге")</f>
        <v>89900</v>
      </c>
      <c r="I403" t="str">
        <f>IFERROR(VLOOKUP(B403,Товары_очищенные!$A$1:$G$1000,3,FALSE),"нет в каталоге")</f>
        <v>Мониторы</v>
      </c>
      <c r="J403" t="str">
        <f t="shared" si="31"/>
        <v>OK</v>
      </c>
    </row>
    <row r="404">
      <c r="A404" s="8">
        <f>DATE(RIGHT(Продажи_исходные!A404,4),LEFT(Продажи_исходные!A404,2),MID(Продажи_исходные!A404,4,2))</f>
        <v>45873</v>
      </c>
      <c r="B404" t="str">
        <f>"АРТ-"&amp;LEFT(SUBSTITUTE(SUBSTITUTE(SUBSTITUTE(SUBSTITUTE(Продажи_исходные!B404,"№",""),"АРТ-",""),"АРТ_",""),"/","-"),3)</f>
        <v>АРТ-118</v>
      </c>
      <c r="C404" s="4">
        <f>IFERROR(VALUE(TRIM(SUBSTITUTE(SUBSTITUTE(SUBSTITUTE(SUBSTITUTE(Продажи_исходные!C404," шт.","")," шт",""),"шт.",""),"шт",""))),0)</f>
        <v>3</v>
      </c>
      <c r="D404" s="4">
        <f>IF(LEFT(Продажи_исходные!D404,1)="$",VALUE(MID(Продажи_исходные!D404,2,255))*95,IF(LEFT(Продажи_исходные!D404,1)="€",VALUE(MID(Продажи_исходные!D404,2,255))*100,VALUE(SUBSTITUTE(SUBSTITUTE(Продажи_исходные!D404,"₽","")," ",""))))</f>
        <v>9975</v>
      </c>
      <c r="E404" t="str">
        <f>Продажи_исходные!E404</f>
        <v>C0403</v>
      </c>
      <c r="F404" t="str">
        <f>Продажи_исходные!F404</f>
        <v>P023</v>
      </c>
      <c r="G404" t="str">
        <f>IFERROR(VLOOKUP(Продажи_исходные!G404,Справочники!$G$2:$H$50,2,FALSE),Продажи_исходные!G404)</f>
        <v>Завершен</v>
      </c>
      <c r="H404" s="4">
        <f>IFERROR(VLOOKUP(B404,Товары_очищенные!$A$1:$G$1000,6,FALSE),"нет в каталоге")</f>
        <v>7990</v>
      </c>
      <c r="I404" t="str">
        <f>IFERROR(VLOOKUP(B404,Товары_очищенные!$A$1:$G$1000,3,FALSE),"нет в каталоге")</f>
        <v>Аксессуары</v>
      </c>
      <c r="J404" t="str">
        <f t="shared" si="31"/>
        <v>OK</v>
      </c>
    </row>
    <row r="405">
      <c r="A405" s="8">
        <f>DATE(RIGHT(Продажи_исходные!A405,4),LEFT(Продажи_исходные!A405,2),MID(Продажи_исходные!A405,4,2))</f>
        <v>45873</v>
      </c>
      <c r="B405" t="str">
        <f>"АРТ-"&amp;LEFT(SUBSTITUTE(SUBSTITUTE(SUBSTITUTE(SUBSTITUTE(Продажи_исходные!B405,"№",""),"АРТ-",""),"АРТ_",""),"/","-"),3)</f>
        <v>АРТ-436</v>
      </c>
      <c r="C405" s="4">
        <f>IFERROR(VALUE(TRIM(SUBSTITUTE(SUBSTITUTE(SUBSTITUTE(SUBSTITUTE(Продажи_исходные!C405," шт.","")," шт",""),"шт.",""),"шт",""))),0)</f>
        <v>2</v>
      </c>
      <c r="D405" s="4">
        <f>IF(LEFT(Продажи_исходные!D405,1)="$",VALUE(MID(Продажи_исходные!D405,2,255))*95,IF(LEFT(Продажи_исходные!D405,1)="€",VALUE(MID(Продажи_исходные!D405,2,255))*100,VALUE(SUBSTITUTE(SUBSTITUTE(Продажи_исходные!D405,"₽","")," ",""))))</f>
        <v>8500</v>
      </c>
      <c r="E405" t="str">
        <f>Продажи_исходные!E405</f>
        <v>C0404</v>
      </c>
      <c r="F405" t="str">
        <f>Продажи_исходные!F405</f>
        <v>P045</v>
      </c>
      <c r="G405" t="str">
        <f>IFERROR(VLOOKUP(Продажи_исходные!G405,Справочники!$G$2:$H$50,2,FALSE),Продажи_исходные!G405)</f>
        <v>Отменен</v>
      </c>
      <c r="H405" s="4">
        <f>IFERROR(VLOOKUP(B405,Товары_очищенные!$A$1:$G$1000,6,FALSE),"нет в каталоге")</f>
        <v>5990</v>
      </c>
      <c r="I405" t="str">
        <f>IFERROR(VLOOKUP(B405,Товары_очищенные!$A$1:$G$1000,3,FALSE),"нет в каталоге")</f>
        <v>Аксессуары</v>
      </c>
      <c r="J405" t="str">
        <f t="shared" si="31"/>
        <v>OK</v>
      </c>
    </row>
    <row r="406">
      <c r="A406" s="8">
        <f>DATE(RIGHT(Продажи_исходные!A406,4),LEFT(Продажи_исходные!A406,2),MID(Продажи_исходные!A406,4,2))</f>
        <v>45874</v>
      </c>
      <c r="B406" t="str">
        <f>"АРТ-"&amp;LEFT(SUBSTITUTE(SUBSTITUTE(SUBSTITUTE(SUBSTITUTE(Продажи_исходные!B406,"№",""),"АРТ-",""),"АРТ_",""),"/","-"),3)</f>
        <v>АРТ-311</v>
      </c>
      <c r="C406" s="4">
        <f>IFERROR(VALUE(TRIM(SUBSTITUTE(SUBSTITUTE(SUBSTITUTE(SUBSTITUTE(Продажи_исходные!C406," шт.","")," шт",""),"шт.",""),"шт",""))),0)</f>
        <v>1</v>
      </c>
      <c r="D406" s="4">
        <f>IF(LEFT(Продажи_исходные!D406,1)="$",VALUE(MID(Продажи_исходные!D406,2,255))*95,IF(LEFT(Продажи_исходные!D406,1)="€",VALUE(MID(Продажи_исходные!D406,2,255))*100,VALUE(SUBSTITUTE(SUBSTITUTE(Продажи_исходные!D406,"₽","")," ",""))))</f>
        <v>7800</v>
      </c>
      <c r="E406" t="str">
        <f>Продажи_исходные!E406</f>
        <v>C0405</v>
      </c>
      <c r="F406" t="str">
        <f>Продажи_исходные!F406</f>
        <v>P008</v>
      </c>
      <c r="G406" t="str">
        <f>IFERROR(VLOOKUP(Продажи_исходные!G406,Справочники!$G$2:$H$50,2,FALSE),Продажи_исходные!G406)</f>
        <v>Отменен</v>
      </c>
      <c r="H406" s="4">
        <f>IFERROR(VLOOKUP(B406,Товары_очищенные!$A$1:$G$1000,6,FALSE),"нет в каталоге")</f>
        <v>62500</v>
      </c>
      <c r="I406" t="str">
        <f>IFERROR(VLOOKUP(B406,Товары_очищенные!$A$1:$G$1000,3,FALSE),"нет в каталоге")</f>
        <v>Планшеты</v>
      </c>
      <c r="J406" t="str">
        <f t="shared" si="31"/>
        <v>OK</v>
      </c>
    </row>
    <row r="407">
      <c r="A407" s="8">
        <f>DATE(RIGHT(Продажи_исходные!A407,4),LEFT(Продажи_исходные!A407,2),MID(Продажи_исходные!A407,4,2))</f>
        <v>45874</v>
      </c>
      <c r="B407" t="str">
        <f>"АРТ-"&amp;LEFT(SUBSTITUTE(SUBSTITUTE(SUBSTITUTE(SUBSTITUTE(Продажи_исходные!B407,"№",""),"АРТ-",""),"АРТ_",""),"/","-"),3)</f>
        <v>АРТ-437</v>
      </c>
      <c r="C407" s="4">
        <f>IFERROR(VALUE(TRIM(SUBSTITUTE(SUBSTITUTE(SUBSTITUTE(SUBSTITUTE(Продажи_исходные!C407," шт.","")," шт",""),"шт.",""),"шт",""))),0)</f>
        <v>-3</v>
      </c>
      <c r="D407" s="4">
        <f>IF(LEFT(Продажи_исходные!D407,1)="$",VALUE(MID(Продажи_исходные!D407,2,255))*95,IF(LEFT(Продажи_исходные!D407,1)="€",VALUE(MID(Продажи_исходные!D407,2,255))*100,VALUE(SUBSTITUTE(SUBSTITUTE(Продажи_исходные!D407,"₽","")," ",""))))</f>
        <v>11400</v>
      </c>
      <c r="E407" t="str">
        <f>Продажи_исходные!E407</f>
        <v>C0406</v>
      </c>
      <c r="F407" t="str">
        <f>Продажи_исходные!F407</f>
        <v>P031</v>
      </c>
      <c r="G407" t="str">
        <f>IFERROR(VLOOKUP(Продажи_исходные!G407,Справочники!$G$2:$H$50,2,FALSE),Продажи_исходные!G407)</f>
        <v>Завершен</v>
      </c>
      <c r="H407" s="4">
        <f>IFERROR(VLOOKUP(B407,Товары_очищенные!$A$1:$G$1000,6,FALSE),"нет в каталоге")</f>
        <v>5500</v>
      </c>
      <c r="I407" t="str">
        <f>IFERROR(VLOOKUP(B407,Товары_очищенные!$A$1:$G$1000,3,FALSE),"нет в каталоге")</f>
        <v>Аксессуары</v>
      </c>
      <c r="J407" t="str">
        <f t="shared" si="31"/>
        <v>OK</v>
      </c>
    </row>
    <row r="408">
      <c r="A408" s="8">
        <f>DATE(RIGHT(Продажи_исходные!A408,4),LEFT(Продажи_исходные!A408,2),MID(Продажи_исходные!A408,4,2))</f>
        <v>45875</v>
      </c>
      <c r="B408" t="str">
        <f>"АРТ-"&amp;LEFT(SUBSTITUTE(SUBSTITUTE(SUBSTITUTE(SUBSTITUTE(Продажи_исходные!B408,"№",""),"АРТ-",""),"АРТ_",""),"/","-"),3)</f>
        <v>АРТ-299</v>
      </c>
      <c r="C408" s="4">
        <f>IFERROR(VALUE(TRIM(SUBSTITUTE(SUBSTITUTE(SUBSTITUTE(SUBSTITUTE(Продажи_исходные!C408," шт.","")," шт",""),"шт.",""),"шт",""))),0)</f>
        <v>2</v>
      </c>
      <c r="D408" s="4">
        <f>IF(LEFT(Продажи_исходные!D408,1)="$",VALUE(MID(Продажи_исходные!D408,2,255))*95,IF(LEFT(Продажи_исходные!D408,1)="€",VALUE(MID(Продажи_исходные!D408,2,255))*100,VALUE(SUBSTITUTE(SUBSTITUTE(Продажи_исходные!D408,"₽","")," ",""))))</f>
        <v>10000</v>
      </c>
      <c r="E408" t="str">
        <f>Продажи_исходные!E408</f>
        <v>C0407</v>
      </c>
      <c r="F408" t="str">
        <f>Продажи_исходные!F408</f>
        <v>P019</v>
      </c>
      <c r="G408" t="str">
        <f>IFERROR(VLOOKUP(Продажи_исходные!G408,Справочники!$G$2:$H$50,2,FALSE),Продажи_исходные!G408)</f>
        <v>Возврат</v>
      </c>
      <c r="H408" s="4">
        <f>IFERROR(VLOOKUP(B408,Товары_очищенные!$A$1:$G$1000,6,FALSE),"нет в каталоге")</f>
        <v>63500</v>
      </c>
      <c r="I408" t="str">
        <f>IFERROR(VLOOKUP(B408,Товары_очищенные!$A$1:$G$1000,3,FALSE),"нет в каталоге")</f>
        <v>Телевизоры</v>
      </c>
      <c r="J408" t="str">
        <f t="shared" si="31"/>
        <v>OK</v>
      </c>
    </row>
    <row r="409">
      <c r="A409" s="8">
        <f>DATE(RIGHT(Продажи_исходные!A409,4),LEFT(Продажи_исходные!A409,2),MID(Продажи_исходные!A409,4,2))</f>
        <v>45875</v>
      </c>
      <c r="B409" t="str">
        <f>"АРТ-"&amp;LEFT(SUBSTITUTE(SUBSTITUTE(SUBSTITUTE(SUBSTITUTE(Продажи_исходные!B409,"№",""),"АРТ-",""),"АРТ_",""),"/","-"),3)</f>
        <v>АРТ-217</v>
      </c>
      <c r="C409" s="4">
        <f>IFERROR(VALUE(TRIM(SUBSTITUTE(SUBSTITUTE(SUBSTITUTE(SUBSTITUTE(Продажи_исходные!C409," шт.","")," шт",""),"шт.",""),"шт",""))),0)</f>
        <v>1</v>
      </c>
      <c r="D409" s="4">
        <f>IF(LEFT(Продажи_исходные!D409,1)="$",VALUE(MID(Продажи_исходные!D409,2,255))*95,IF(LEFT(Продажи_исходные!D409,1)="€",VALUE(MID(Продажи_исходные!D409,2,255))*100,VALUE(SUBSTITUTE(SUBSTITUTE(Продажи_исходные!D409,"₽","")," ",""))))</f>
        <v>9200</v>
      </c>
      <c r="E409" t="str">
        <f>Продажи_исходные!E409</f>
        <v>C0408</v>
      </c>
      <c r="F409" t="str">
        <f>Продажи_исходные!F409</f>
        <v>P042</v>
      </c>
      <c r="G409" t="str">
        <f>IFERROR(VLOOKUP(Продажи_исходные!G409,Справочники!$G$2:$H$50,2,FALSE),Продажи_исходные!G409)</f>
        <v>Завершен</v>
      </c>
      <c r="H409" s="4">
        <f>IFERROR(VLOOKUP(B409,Товары_очищенные!$A$1:$G$1000,6,FALSE),"нет в каталоге")</f>
        <v>69990</v>
      </c>
      <c r="I409" t="str">
        <f>IFERROR(VLOOKUP(B409,Товары_очищенные!$A$1:$G$1000,3,FALSE),"нет в каталоге")</f>
        <v>Телевизоры</v>
      </c>
      <c r="J409" t="str">
        <f t="shared" si="31"/>
        <v>OK</v>
      </c>
    </row>
    <row r="410">
      <c r="A410" s="8">
        <f>DATE(RIGHT(Продажи_исходные!A410,4),LEFT(Продажи_исходные!A410,2),MID(Продажи_исходные!A410,4,2))</f>
        <v>45876</v>
      </c>
      <c r="B410" t="str">
        <f>"АРТ-"&amp;LEFT(SUBSTITUTE(SUBSTITUTE(SUBSTITUTE(SUBSTITUTE(Продажи_исходные!B410,"№",""),"АРТ-",""),"АРТ_",""),"/","-"),3)</f>
        <v>АРТ-223</v>
      </c>
      <c r="C410" s="4">
        <f>IFERROR(VALUE(TRIM(SUBSTITUTE(SUBSTITUTE(SUBSTITUTE(SUBSTITUTE(Продажи_исходные!C410," шт.","")," шт",""),"шт.",""),"шт",""))),0)</f>
        <v>3</v>
      </c>
      <c r="D410" s="4">
        <f>IF(LEFT(Продажи_исходные!D410,1)="$",VALUE(MID(Продажи_исходные!D410,2,255))*95,IF(LEFT(Продажи_исходные!D410,1)="€",VALUE(MID(Продажи_исходные!D410,2,255))*100,VALUE(SUBSTITUTE(SUBSTITUTE(Продажи_исходные!D410,"₽","")," ",""))))</f>
        <v>8550</v>
      </c>
      <c r="E410" t="str">
        <f>Продажи_исходные!E410</f>
        <v>C0409</v>
      </c>
      <c r="F410" t="str">
        <f>Продажи_исходные!F410</f>
        <v>P005</v>
      </c>
      <c r="G410" t="str">
        <f>IFERROR(VLOOKUP(Продажи_исходные!G410,Справочники!$G$2:$H$50,2,FALSE),Продажи_исходные!G410)</f>
        <v>Завершен</v>
      </c>
      <c r="H410" s="4">
        <f>IFERROR(VLOOKUP(B410,Товары_очищенные!$A$1:$G$1000,6,FALSE),"нет в каталоге")</f>
        <v>54990</v>
      </c>
      <c r="I410" t="str">
        <f>IFERROR(VLOOKUP(B410,Товары_очищенные!$A$1:$G$1000,3,FALSE),"нет в каталоге")</f>
        <v>Мониторы</v>
      </c>
      <c r="J410" t="str">
        <f t="shared" si="31"/>
        <v>OK</v>
      </c>
    </row>
    <row r="411">
      <c r="A411" s="8">
        <f>DATE(RIGHT(Продажи_исходные!A411,4),LEFT(Продажи_исходные!A411,2),MID(Продажи_исходные!A411,4,2))</f>
        <v>45876</v>
      </c>
      <c r="B411" t="str">
        <f>"АРТ-"&amp;LEFT(SUBSTITUTE(SUBSTITUTE(SUBSTITUTE(SUBSTITUTE(Продажи_исходные!B411,"№",""),"АРТ-",""),"АРТ_",""),"/","-"),3)</f>
        <v>АРТ-458</v>
      </c>
      <c r="C411" s="4">
        <f>IFERROR(VALUE(TRIM(SUBSTITUTE(SUBSTITUTE(SUBSTITUTE(SUBSTITUTE(Продажи_исходные!C411," шт.","")," шт",""),"шт.",""),"шт",""))),0)</f>
        <v>2</v>
      </c>
      <c r="D411" s="4">
        <f>IF(LEFT(Продажи_исходные!D411,1)="$",VALUE(MID(Продажи_исходные!D411,2,255))*95,IF(LEFT(Продажи_исходные!D411,1)="€",VALUE(MID(Продажи_исходные!D411,2,255))*100,VALUE(SUBSTITUTE(SUBSTITUTE(Продажи_исходные!D411,"₽","")," ",""))))</f>
        <v>7000</v>
      </c>
      <c r="E411" t="str">
        <f>Продажи_исходные!E411</f>
        <v>C0410</v>
      </c>
      <c r="F411" t="str">
        <f>Продажи_исходные!F411</f>
        <v>P036</v>
      </c>
      <c r="G411" t="str">
        <f>IFERROR(VLOOKUP(Продажи_исходные!G411,Справочники!$G$2:$H$50,2,FALSE),Продажи_исходные!G411)</f>
        <v>Завершен</v>
      </c>
      <c r="H411" s="4">
        <f>IFERROR(VLOOKUP(B411,Товары_очищенные!$A$1:$G$1000,6,FALSE),"нет в каталоге")</f>
        <v>6500</v>
      </c>
      <c r="I411" t="str">
        <f>IFERROR(VLOOKUP(B411,Товары_очищенные!$A$1:$G$1000,3,FALSE),"нет в каталоге")</f>
        <v>Аксессуары</v>
      </c>
      <c r="J411" t="str">
        <f t="shared" si="31"/>
        <v>OK</v>
      </c>
    </row>
    <row r="412">
      <c r="A412" s="8">
        <f>DATE(RIGHT(Продажи_исходные!A412,4),LEFT(Продажи_исходные!A412,2),MID(Продажи_исходные!A412,4,2))</f>
        <v>45877</v>
      </c>
      <c r="B412" t="str">
        <f>"АРТ-"&amp;LEFT(SUBSTITUTE(SUBSTITUTE(SUBSTITUTE(SUBSTITUTE(Продажи_исходные!B412,"№",""),"АРТ-",""),"АРТ_",""),"/","-"),3)</f>
        <v>АРТ-359</v>
      </c>
      <c r="C412" s="4">
        <f>IFERROR(VALUE(TRIM(SUBSTITUTE(SUBSTITUTE(SUBSTITUTE(SUBSTITUTE(Продажи_исходные!C412," шт.","")," шт",""),"шт.",""),"шт",""))),0)</f>
        <v>1</v>
      </c>
      <c r="D412" s="4">
        <f>IF(LEFT(Продажи_исходные!D412,1)="$",VALUE(MID(Продажи_исходные!D412,2,255))*95,IF(LEFT(Продажи_исходные!D412,1)="€",VALUE(MID(Продажи_исходные!D412,2,255))*100,VALUE(SUBSTITUTE(SUBSTITUTE(Продажи_исходные!D412,"₽","")," ",""))))</f>
        <v>6500</v>
      </c>
      <c r="E412" t="str">
        <f>Продажи_исходные!E412</f>
        <v>C0411</v>
      </c>
      <c r="F412" t="str">
        <f>Продажи_исходные!F412</f>
        <v>P014</v>
      </c>
      <c r="G412" t="str">
        <f>IFERROR(VLOOKUP(Продажи_исходные!G412,Справочники!$G$2:$H$50,2,FALSE),Продажи_исходные!G412)</f>
        <v>Отменен</v>
      </c>
      <c r="H412" s="4">
        <f>IFERROR(VLOOKUP(B412,Товары_очищенные!$A$1:$G$1000,6,FALSE),"нет в каталоге")</f>
        <v>58000</v>
      </c>
      <c r="I412" t="str">
        <f>IFERROR(VLOOKUP(B412,Товары_очищенные!$A$1:$G$1000,3,FALSE),"нет в каталоге")</f>
        <v>Планшеты</v>
      </c>
      <c r="J412" t="str">
        <f t="shared" si="31"/>
        <v>OK</v>
      </c>
    </row>
    <row r="413">
      <c r="A413" s="8">
        <f>DATE(RIGHT(Продажи_исходные!A413,4),LEFT(Продажи_исходные!A413,2),MID(Продажи_исходные!A413,4,2))</f>
        <v>45877</v>
      </c>
      <c r="B413" t="str">
        <f>"АРТ-"&amp;LEFT(SUBSTITUTE(SUBSTITUTE(SUBSTITUTE(SUBSTITUTE(Продажи_исходные!B413,"№",""),"АРТ-",""),"АРТ_",""),"/","-"),3)</f>
        <v>АРТ-408</v>
      </c>
      <c r="C413" s="4">
        <f>IFERROR(VALUE(TRIM(SUBSTITUTE(SUBSTITUTE(SUBSTITUTE(SUBSTITUTE(Продажи_исходные!C413," шт.","")," шт",""),"шт.",""),"шт",""))),0)</f>
        <v>-1</v>
      </c>
      <c r="D413" s="4">
        <f>IF(LEFT(Продажи_исходные!D413,1)="$",VALUE(MID(Продажи_исходные!D413,2,255))*95,IF(LEFT(Продажи_исходные!D413,1)="€",VALUE(MID(Продажи_исходные!D413,2,255))*100,VALUE(SUBSTITUTE(SUBSTITUTE(Продажи_исходные!D413,"₽","")," ",""))))</f>
        <v>10450</v>
      </c>
      <c r="E413" t="str">
        <f>Продажи_исходные!E413</f>
        <v>C0412</v>
      </c>
      <c r="F413" t="str">
        <f>Продажи_исходные!F413</f>
        <v>P028</v>
      </c>
      <c r="G413" t="str">
        <f>IFERROR(VLOOKUP(Продажи_исходные!G413,Справочники!$G$2:$H$50,2,FALSE),Продажи_исходные!G413)</f>
        <v>Отменен</v>
      </c>
      <c r="H413" s="4">
        <f>IFERROR(VLOOKUP(B413,Товары_очищенные!$A$1:$G$1000,6,FALSE),"нет в каталоге")</f>
        <v>107500</v>
      </c>
      <c r="I413" t="str">
        <f>IFERROR(VLOOKUP(B413,Товары_очищенные!$A$1:$G$1000,3,FALSE),"нет в каталоге")</f>
        <v>Телевизоры</v>
      </c>
      <c r="J413" t="str">
        <f t="shared" si="31"/>
        <v>OK</v>
      </c>
    </row>
    <row r="414">
      <c r="A414" s="8">
        <f>DATE(RIGHT(Продажи_исходные!A414,4),LEFT(Продажи_исходные!A414,2),MID(Продажи_исходные!A414,4,2))</f>
        <v>45878</v>
      </c>
      <c r="B414" t="str">
        <f>"АРТ-"&amp;LEFT(SUBSTITUTE(SUBSTITUTE(SUBSTITUTE(SUBSTITUTE(Продажи_исходные!B414,"№",""),"АРТ-",""),"АРТ_",""),"/","-"),3)</f>
        <v>АРТ-380</v>
      </c>
      <c r="C414" s="4">
        <f>IFERROR(VALUE(TRIM(SUBSTITUTE(SUBSTITUTE(SUBSTITUTE(SUBSTITUTE(Продажи_исходные!C414," шт.","")," шт",""),"шт.",""),"шт",""))),0)</f>
        <v>3</v>
      </c>
      <c r="D414" s="4">
        <f>IF(LEFT(Продажи_исходные!D414,1)="$",VALUE(MID(Продажи_исходные!D414,2,255))*95,IF(LEFT(Продажи_исходные!D414,1)="€",VALUE(MID(Продажи_исходные!D414,2,255))*100,VALUE(SUBSTITUTE(SUBSTITUTE(Продажи_исходные!D414,"₽","")," ",""))))</f>
        <v>9000</v>
      </c>
      <c r="E414" t="str">
        <f>Продажи_исходные!E414</f>
        <v>C0413</v>
      </c>
      <c r="F414" t="str">
        <f>Продажи_исходные!F414</f>
        <v>P009</v>
      </c>
      <c r="G414" t="str">
        <f>IFERROR(VLOOKUP(Продажи_исходные!G414,Справочники!$G$2:$H$50,2,FALSE),Продажи_исходные!G414)</f>
        <v>Возврат</v>
      </c>
      <c r="H414" s="4">
        <f>IFERROR(VLOOKUP(B414,Товары_очищенные!$A$1:$G$1000,6,FALSE),"нет в каталоге")</f>
        <v>35500</v>
      </c>
      <c r="I414" t="str">
        <f>IFERROR(VLOOKUP(B414,Товары_очищенные!$A$1:$G$1000,3,FALSE),"нет в каталоге")</f>
        <v>Планшеты</v>
      </c>
      <c r="J414" t="str">
        <f t="shared" si="31"/>
        <v>OK</v>
      </c>
    </row>
    <row r="415">
      <c r="A415" s="8">
        <f>DATE(RIGHT(Продажи_исходные!A415,4),LEFT(Продажи_исходные!A415,2),MID(Продажи_исходные!A415,4,2))</f>
        <v>45878</v>
      </c>
      <c r="B415" t="str">
        <f>"АРТ-"&amp;LEFT(SUBSTITUTE(SUBSTITUTE(SUBSTITUTE(SUBSTITUTE(Продажи_исходные!B415,"№",""),"АРТ-",""),"АРТ_",""),"/","-"),3)</f>
        <v>АРТ-278</v>
      </c>
      <c r="C415" s="4">
        <f>IFERROR(VALUE(TRIM(SUBSTITUTE(SUBSTITUTE(SUBSTITUTE(SUBSTITUTE(Продажи_исходные!C415," шт.","")," шт",""),"шт.",""),"шт",""))),0)</f>
        <v>2</v>
      </c>
      <c r="D415" s="4">
        <f>IF(LEFT(Продажи_исходные!D415,1)="$",VALUE(MID(Продажи_исходные!D415,2,255))*95,IF(LEFT(Продажи_исходные!D415,1)="€",VALUE(MID(Продажи_исходные!D415,2,255))*100,VALUE(SUBSTITUTE(SUBSTITUTE(Продажи_исходные!D415,"₽","")," ",""))))</f>
        <v>8000</v>
      </c>
      <c r="E415" t="str">
        <f>Продажи_исходные!E415</f>
        <v>C0414</v>
      </c>
      <c r="F415" t="str">
        <f>Продажи_исходные!F415</f>
        <v>P041</v>
      </c>
      <c r="G415" t="str">
        <f>IFERROR(VLOOKUP(Продажи_исходные!G415,Справочники!$G$2:$H$50,2,FALSE),Продажи_исходные!G415)</f>
        <v>Завершен</v>
      </c>
      <c r="H415" s="4">
        <f>IFERROR(VLOOKUP(B415,Товары_очищенные!$A$1:$G$1000,6,FALSE),"нет в каталоге")</f>
        <v>112000</v>
      </c>
      <c r="I415" t="str">
        <f>IFERROR(VLOOKUP(B415,Товары_очищенные!$A$1:$G$1000,3,FALSE),"нет в каталоге")</f>
        <v>Телевизоры</v>
      </c>
      <c r="J415" t="str">
        <f t="shared" si="31"/>
        <v>OK</v>
      </c>
    </row>
    <row r="416">
      <c r="A416" s="8">
        <f>DATE(RIGHT(Продажи_исходные!A416,4),LEFT(Продажи_исходные!A416,2),MID(Продажи_исходные!A416,4,2))</f>
        <v>45879</v>
      </c>
      <c r="B416" t="str">
        <f>"АРТ-"&amp;LEFT(SUBSTITUTE(SUBSTITUTE(SUBSTITUTE(SUBSTITUTE(Продажи_исходные!B416,"№",""),"АРТ-",""),"АРТ_",""),"/","-"),3)</f>
        <v>АРТ-038</v>
      </c>
      <c r="C416" s="4">
        <f>IFERROR(VALUE(TRIM(SUBSTITUTE(SUBSTITUTE(SUBSTITUTE(SUBSTITUTE(Продажи_исходные!C416," шт.","")," шт",""),"шт.",""),"шт",""))),0)</f>
        <v>1</v>
      </c>
      <c r="D416" s="4">
        <f>IF(LEFT(Продажи_исходные!D416,1)="$",VALUE(MID(Продажи_исходные!D416,2,255))*95,IF(LEFT(Продажи_исходные!D416,1)="€",VALUE(MID(Продажи_исходные!D416,2,255))*100,VALUE(SUBSTITUTE(SUBSTITUTE(Продажи_исходные!D416,"₽","")," ",""))))</f>
        <v>9025</v>
      </c>
      <c r="E416" t="str">
        <f>Продажи_исходные!E416</f>
        <v>C0415</v>
      </c>
      <c r="F416" t="str">
        <f>Продажи_исходные!F416</f>
        <v>P017</v>
      </c>
      <c r="G416" t="str">
        <f>IFERROR(VLOOKUP(Продажи_исходные!G416,Справочники!$G$2:$H$50,2,FALSE),Продажи_исходные!G416)</f>
        <v>Завершен</v>
      </c>
      <c r="H416" s="4">
        <f>IFERROR(VLOOKUP(B416,Товары_очищенные!$A$1:$G$1000,6,FALSE),"нет в каталоге")</f>
        <v>68500</v>
      </c>
      <c r="I416" t="str">
        <f>IFERROR(VLOOKUP(B416,Товары_очищенные!$A$1:$G$1000,3,FALSE),"нет в каталоге")</f>
        <v>Часы</v>
      </c>
      <c r="J416" t="str">
        <f t="shared" si="31"/>
        <v>OK</v>
      </c>
    </row>
    <row r="417">
      <c r="A417" s="8">
        <f>DATE(RIGHT(Продажи_исходные!A417,4),LEFT(Продажи_исходные!A417,2),MID(Продажи_исходные!A417,4,2))</f>
        <v>45879</v>
      </c>
      <c r="B417" t="str">
        <f>"АРТ-"&amp;LEFT(SUBSTITUTE(SUBSTITUTE(SUBSTITUTE(SUBSTITUTE(Продажи_исходные!B417,"№",""),"АРТ-",""),"АРТ_",""),"/","-"),3)</f>
        <v>АРТ-467</v>
      </c>
      <c r="C417" s="4">
        <f>IFERROR(VALUE(TRIM(SUBSTITUTE(SUBSTITUTE(SUBSTITUTE(SUBSTITUTE(Продажи_исходные!C417," шт.","")," шт",""),"шт.",""),"шт",""))),0)</f>
        <v>2</v>
      </c>
      <c r="D417" s="4">
        <f>IF(LEFT(Продажи_исходные!D417,1)="$",VALUE(MID(Продажи_исходные!D417,2,255))*95,IF(LEFT(Продажи_исходные!D417,1)="€",VALUE(MID(Продажи_исходные!D417,2,255))*100,VALUE(SUBSTITUTE(SUBSTITUTE(Продажи_исходные!D417,"₽","")," ",""))))</f>
        <v>7500</v>
      </c>
      <c r="E417" t="str">
        <f>Продажи_исходные!E417</f>
        <v>C0416</v>
      </c>
      <c r="F417" t="str">
        <f>Продажи_исходные!F417</f>
        <v>P032</v>
      </c>
      <c r="G417" t="str">
        <f>IFERROR(VLOOKUP(Продажи_исходные!G417,Справочники!$G$2:$H$50,2,FALSE),Продажи_исходные!G417)</f>
        <v>Завершен</v>
      </c>
      <c r="H417" s="4">
        <f>IFERROR(VLOOKUP(B417,Товары_очищенные!$A$1:$G$1000,6,FALSE),"нет в каталоге")</f>
        <v>21500</v>
      </c>
      <c r="I417" t="str">
        <f>IFERROR(VLOOKUP(B417,Товары_очищенные!$A$1:$G$1000,3,FALSE),"нет в каталоге")</f>
        <v>Смартфоны</v>
      </c>
      <c r="J417" t="str">
        <f t="shared" si="31"/>
        <v>OK</v>
      </c>
    </row>
    <row r="418">
      <c r="A418" s="8">
        <f>DATE(RIGHT(Продажи_исходные!A418,4),LEFT(Продажи_исходные!A418,2),MID(Продажи_исходные!A418,4,2))</f>
        <v>45880</v>
      </c>
      <c r="B418" t="str">
        <f>"АРТ-"&amp;LEFT(SUBSTITUTE(SUBSTITUTE(SUBSTITUTE(SUBSTITUTE(Продажи_исходные!B418,"№",""),"АРТ-",""),"АРТ_",""),"/","-"),3)</f>
        <v>АРТ-303</v>
      </c>
      <c r="C418" s="4">
        <f>IFERROR(VALUE(TRIM(SUBSTITUTE(SUBSTITUTE(SUBSTITUTE(SUBSTITUTE(Продажи_исходные!C418," шт.","")," шт",""),"шт.",""),"шт",""))),0)</f>
        <v>3</v>
      </c>
      <c r="D418" s="4">
        <f>IF(LEFT(Продажи_исходные!D418,1)="$",VALUE(MID(Продажи_исходные!D418,2,255))*95,IF(LEFT(Продажи_исходные!D418,1)="€",VALUE(MID(Продажи_исходные!D418,2,255))*100,VALUE(SUBSTITUTE(SUBSTITUTE(Продажи_исходные!D418,"₽","")," ",""))))</f>
        <v>7000</v>
      </c>
      <c r="E418" t="str">
        <f>Продажи_исходные!E418</f>
        <v>C0417</v>
      </c>
      <c r="F418" t="str">
        <f>Продажи_исходные!F418</f>
        <v>P049</v>
      </c>
      <c r="G418" t="str">
        <f>IFERROR(VLOOKUP(Продажи_исходные!G418,Справочники!$G$2:$H$50,2,FALSE),Продажи_исходные!G418)</f>
        <v>Отменен</v>
      </c>
      <c r="H418" s="4">
        <f>IFERROR(VLOOKUP(B418,Товары_очищенные!$A$1:$G$1000,6,FALSE),"нет в каталоге")</f>
        <v>8800</v>
      </c>
      <c r="I418" t="str">
        <f>IFERROR(VLOOKUP(B418,Товары_очищенные!$A$1:$G$1000,3,FALSE),"нет в каталоге")</f>
        <v>Наушники</v>
      </c>
      <c r="J418" t="str">
        <f t="shared" si="31"/>
        <v>OK</v>
      </c>
    </row>
    <row r="419">
      <c r="A419" s="8">
        <f>DATE(RIGHT(Продажи_исходные!A419,4),LEFT(Продажи_исходные!A419,2),MID(Продажи_исходные!A419,4,2))</f>
        <v>45880</v>
      </c>
      <c r="B419" t="str">
        <f>"АРТ-"&amp;LEFT(SUBSTITUTE(SUBSTITUTE(SUBSTITUTE(SUBSTITUTE(Продажи_исходные!B419,"№",""),"АРТ-",""),"АРТ_",""),"/","-"),3)</f>
        <v>АРТ-109</v>
      </c>
      <c r="C419" s="4">
        <f>IFERROR(VALUE(TRIM(SUBSTITUTE(SUBSTITUTE(SUBSTITUTE(SUBSTITUTE(Продажи_исходные!C419," шт.","")," шт",""),"шт.",""),"шт",""))),0)</f>
        <v>-2</v>
      </c>
      <c r="D419" s="4">
        <f>IF(LEFT(Продажи_исходные!D419,1)="$",VALUE(MID(Продажи_исходные!D419,2,255))*95,IF(LEFT(Продажи_исходные!D419,1)="€",VALUE(MID(Продажи_исходные!D419,2,255))*100,VALUE(SUBSTITUTE(SUBSTITUTE(Продажи_исходные!D419,"₽","")," ",""))))</f>
        <v>10925</v>
      </c>
      <c r="E419" t="str">
        <f>Продажи_исходные!E419</f>
        <v>C0418</v>
      </c>
      <c r="F419" t="str">
        <f>Продажи_исходные!F419</f>
        <v>P006</v>
      </c>
      <c r="G419" t="str">
        <f>IFERROR(VLOOKUP(Продажи_исходные!G419,Справочники!$G$2:$H$50,2,FALSE),Продажи_исходные!G419)</f>
        <v>Отменен</v>
      </c>
      <c r="H419" s="4">
        <f>IFERROR(VLOOKUP(B419,Товары_очищенные!$A$1:$G$1000,6,FALSE),"нет в каталоге")</f>
        <v>119999</v>
      </c>
      <c r="I419" t="str">
        <f>IFERROR(VLOOKUP(B419,Товары_очищенные!$A$1:$G$1000,3,FALSE),"нет в каталоге")</f>
        <v>Телевизоры</v>
      </c>
      <c r="J419" t="str">
        <f t="shared" si="31"/>
        <v>OK</v>
      </c>
    </row>
    <row r="420">
      <c r="A420" s="8">
        <f>DATE(RIGHT(Продажи_исходные!A420,4),LEFT(Продажи_исходные!A420,2),MID(Продажи_исходные!A420,4,2))</f>
        <v>45881</v>
      </c>
      <c r="B420" t="str">
        <f>"АРТ-"&amp;LEFT(SUBSTITUTE(SUBSTITUTE(SUBSTITUTE(SUBSTITUTE(Продажи_исходные!B420,"№",""),"АРТ-",""),"АРТ_",""),"/","-"),3)</f>
        <v>АРТ-286</v>
      </c>
      <c r="C420" s="4">
        <f>IFERROR(VALUE(TRIM(SUBSTITUTE(SUBSTITUTE(SUBSTITUTE(SUBSTITUTE(Продажи_исходные!C420," шт.","")," шт",""),"шт.",""),"шт",""))),0)</f>
        <v>1</v>
      </c>
      <c r="D420" s="4">
        <f>IF(LEFT(Продажи_исходные!D420,1)="$",VALUE(MID(Продажи_исходные!D420,2,255))*95,IF(LEFT(Продажи_исходные!D420,1)="€",VALUE(MID(Продажи_исходные!D420,2,255))*100,VALUE(SUBSTITUTE(SUBSTITUTE(Продажи_исходные!D420,"₽","")," ",""))))</f>
        <v>9500</v>
      </c>
      <c r="E420" t="str">
        <f>Продажи_исходные!E420</f>
        <v>C0419</v>
      </c>
      <c r="F420" t="str">
        <f>Продажи_исходные!F420</f>
        <v>P024</v>
      </c>
      <c r="G420" t="str">
        <f>IFERROR(VLOOKUP(Продажи_исходные!G420,Справочники!$G$2:$H$50,2,FALSE),Продажи_исходные!G420)</f>
        <v>Завершен</v>
      </c>
      <c r="H420" s="4">
        <f>IFERROR(VLOOKUP(B420,Товары_очищенные!$A$1:$G$1000,6,FALSE),"нет в каталоге")</f>
        <v>7490</v>
      </c>
      <c r="I420" t="str">
        <f>IFERROR(VLOOKUP(B420,Товары_очищенные!$A$1:$G$1000,3,FALSE),"нет в каталоге")</f>
        <v>Аксессуары</v>
      </c>
      <c r="J420" t="str">
        <f t="shared" ref="J420:J483" si="32">IF(D420&gt;0,"OK","Некорректная цена")</f>
        <v>OK</v>
      </c>
    </row>
    <row r="421">
      <c r="A421" s="8">
        <f>DATE(RIGHT(Продажи_исходные!A421,4),LEFT(Продажи_исходные!A421,2),MID(Продажи_исходные!A421,4,2))</f>
        <v>45881</v>
      </c>
      <c r="B421" t="str">
        <f>"АРТ-"&amp;LEFT(SUBSTITUTE(SUBSTITUTE(SUBSTITUTE(SUBSTITUTE(Продажи_исходные!B421,"№",""),"АРТ-",""),"АРТ_",""),"/","-"),3)</f>
        <v>АРТ-052</v>
      </c>
      <c r="C421" s="4">
        <f>IFERROR(VALUE(TRIM(SUBSTITUTE(SUBSTITUTE(SUBSTITUTE(SUBSTITUTE(Продажи_исходные!C421," шт.","")," шт",""),"шт.",""),"шт",""))),0)</f>
        <v>2</v>
      </c>
      <c r="D421" s="4">
        <f>IF(LEFT(Продажи_исходные!D421,1)="$",VALUE(MID(Продажи_исходные!D421,2,255))*95,IF(LEFT(Продажи_исходные!D421,1)="€",VALUE(MID(Продажи_исходные!D421,2,255))*100,VALUE(SUBSTITUTE(SUBSTITUTE(Продажи_исходные!D421,"₽","")," ",""))))</f>
        <v>8500</v>
      </c>
      <c r="E421" t="str">
        <f>Продажи_исходные!E421</f>
        <v>C0420</v>
      </c>
      <c r="F421" t="str">
        <f>Продажи_исходные!F421</f>
        <v>P015</v>
      </c>
      <c r="G421" t="str">
        <f>IFERROR(VLOOKUP(Продажи_исходные!G421,Справочники!$G$2:$H$50,2,FALSE),Продажи_исходные!G421)</f>
        <v>Возврат</v>
      </c>
      <c r="H421" s="4">
        <f>IFERROR(VLOOKUP(B421,Товары_очищенные!$A$1:$G$1000,6,FALSE),"нет в каталоге")</f>
        <v>69900</v>
      </c>
      <c r="I421" t="str">
        <f>IFERROR(VLOOKUP(B421,Товары_очищенные!$A$1:$G$1000,3,FALSE),"нет в каталоге")</f>
        <v>Мониторы</v>
      </c>
      <c r="J421" t="str">
        <f t="shared" si="32"/>
        <v>OK</v>
      </c>
    </row>
    <row r="422">
      <c r="A422" s="8">
        <f>DATE(RIGHT(Продажи_исходные!A422,4),LEFT(Продажи_исходные!A422,2),MID(Продажи_исходные!A422,4,2))</f>
        <v>45882</v>
      </c>
      <c r="B422" t="str">
        <f>"АРТ-"&amp;LEFT(SUBSTITUTE(SUBSTITUTE(SUBSTITUTE(SUBSTITUTE(Продажи_исходные!B422,"№",""),"АРТ-",""),"АРТ_",""),"/","-"),3)</f>
        <v>АРТ-197</v>
      </c>
      <c r="C422" s="4">
        <f>IFERROR(VALUE(TRIM(SUBSTITUTE(SUBSTITUTE(SUBSTITUTE(SUBSTITUTE(Продажи_исходные!C422," шт.","")," шт",""),"шт.",""),"шт",""))),0)</f>
        <v>3</v>
      </c>
      <c r="D422" s="4">
        <f>IF(LEFT(Продажи_исходные!D422,1)="$",VALUE(MID(Продажи_исходные!D422,2,255))*95,IF(LEFT(Продажи_исходные!D422,1)="€",VALUE(MID(Продажи_исходные!D422,2,255))*100,VALUE(SUBSTITUTE(SUBSTITUTE(Продажи_исходные!D422,"₽","")," ",""))))</f>
        <v>9975</v>
      </c>
      <c r="E422" t="str">
        <f>Продажи_исходные!E422</f>
        <v>C0421</v>
      </c>
      <c r="F422" t="str">
        <f>Продажи_исходные!F422</f>
        <v>P037</v>
      </c>
      <c r="G422" t="str">
        <f>IFERROR(VLOOKUP(Продажи_исходные!G422,Справочники!$G$2:$H$50,2,FALSE),Продажи_исходные!G422)</f>
        <v>Завершен</v>
      </c>
      <c r="H422" s="4">
        <f>IFERROR(VLOOKUP(B422,Товары_очищенные!$A$1:$G$1000,6,FALSE),"нет в каталоге")</f>
        <v>52500</v>
      </c>
      <c r="I422" t="str">
        <f>IFERROR(VLOOKUP(B422,Товары_очищенные!$A$1:$G$1000,3,FALSE),"нет в каталоге")</f>
        <v>Смартфоны</v>
      </c>
      <c r="J422" t="str">
        <f t="shared" si="32"/>
        <v>OK</v>
      </c>
    </row>
    <row r="423">
      <c r="A423" s="8">
        <f>DATE(RIGHT(Продажи_исходные!A423,4),LEFT(Продажи_исходные!A423,2),MID(Продажи_исходные!A423,4,2))</f>
        <v>45882</v>
      </c>
      <c r="B423" t="str">
        <f>"АРТ-"&amp;LEFT(SUBSTITUTE(SUBSTITUTE(SUBSTITUTE(SUBSTITUTE(Продажи_исходные!B423,"№",""),"АРТ-",""),"АРТ_",""),"/","-"),3)</f>
        <v>АРТ-414</v>
      </c>
      <c r="C423" s="4">
        <f>IFERROR(VALUE(TRIM(SUBSTITUTE(SUBSTITUTE(SUBSTITUTE(SUBSTITUTE(Продажи_исходные!C423," шт.","")," шт",""),"шт.",""),"шт",""))),0)</f>
        <v>2</v>
      </c>
      <c r="D423" s="4">
        <f>IF(LEFT(Продажи_исходные!D423,1)="$",VALUE(MID(Продажи_исходные!D423,2,255))*95,IF(LEFT(Продажи_исходные!D423,1)="€",VALUE(MID(Продажи_исходные!D423,2,255))*100,VALUE(SUBSTITUTE(SUBSTITUTE(Продажи_исходные!D423,"₽","")," ",""))))</f>
        <v>8500</v>
      </c>
      <c r="E423" t="str">
        <f>Продажи_исходные!E423</f>
        <v>C0422</v>
      </c>
      <c r="F423" t="str">
        <f>Продажи_исходные!F423</f>
        <v>P048</v>
      </c>
      <c r="G423" t="str">
        <f>IFERROR(VLOOKUP(Продажи_исходные!G423,Справочники!$G$2:$H$50,2,FALSE),Продажи_исходные!G423)</f>
        <v>Завершен</v>
      </c>
      <c r="H423" s="4">
        <f>IFERROR(VLOOKUP(B423,Товары_очищенные!$A$1:$G$1000,6,FALSE),"нет в каталоге")</f>
        <v>57000</v>
      </c>
      <c r="I423" t="str">
        <f>IFERROR(VLOOKUP(B423,Товары_очищенные!$A$1:$G$1000,3,FALSE),"нет в каталоге")</f>
        <v>Мониторы</v>
      </c>
      <c r="J423" t="str">
        <f t="shared" si="32"/>
        <v>OK</v>
      </c>
    </row>
    <row r="424">
      <c r="A424" s="8">
        <f>DATE(RIGHT(Продажи_исходные!A424,4),LEFT(Продажи_исходные!A424,2),MID(Продажи_исходные!A424,4,2))</f>
        <v>45883</v>
      </c>
      <c r="B424" t="str">
        <f>"АРТ-"&amp;LEFT(SUBSTITUTE(SUBSTITUTE(SUBSTITUTE(SUBSTITUTE(Продажи_исходные!B424,"№",""),"АРТ-",""),"АРТ_",""),"/","-"),3)</f>
        <v>АРТ-325</v>
      </c>
      <c r="C424" s="4">
        <f>IFERROR(VALUE(TRIM(SUBSTITUTE(SUBSTITUTE(SUBSTITUTE(SUBSTITUTE(Продажи_исходные!C424," шт.","")," шт",""),"шт.",""),"шт",""))),0)</f>
        <v>1</v>
      </c>
      <c r="D424" s="4">
        <f>IF(LEFT(Продажи_исходные!D424,1)="$",VALUE(MID(Продажи_исходные!D424,2,255))*95,IF(LEFT(Продажи_исходные!D424,1)="€",VALUE(MID(Продажи_исходные!D424,2,255))*100,VALUE(SUBSTITUTE(SUBSTITUTE(Продажи_исходные!D424,"₽","")," ",""))))</f>
        <v>7800</v>
      </c>
      <c r="E424" t="str">
        <f>Продажи_исходные!E424</f>
        <v>C0423</v>
      </c>
      <c r="F424" t="str">
        <f>Продажи_исходные!F424</f>
        <v>P004</v>
      </c>
      <c r="G424" t="str">
        <f>IFERROR(VLOOKUP(Продажи_исходные!G424,Справочники!$G$2:$H$50,2,FALSE),Продажи_исходные!G424)</f>
        <v>Завершен</v>
      </c>
      <c r="H424" s="4">
        <f>IFERROR(VLOOKUP(B424,Товары_очищенные!$A$1:$G$1000,6,FALSE),"нет в каталоге")</f>
        <v>66990</v>
      </c>
      <c r="I424" t="str">
        <f>IFERROR(VLOOKUP(B424,Товары_очищенные!$A$1:$G$1000,3,FALSE),"нет в каталоге")</f>
        <v>Мониторы</v>
      </c>
      <c r="J424" t="str">
        <f t="shared" si="32"/>
        <v>OK</v>
      </c>
    </row>
    <row r="425">
      <c r="A425" s="8">
        <f>DATE(RIGHT(Продажи_исходные!A425,4),LEFT(Продажи_исходные!A425,2),MID(Продажи_исходные!A425,4,2))</f>
        <v>45883</v>
      </c>
      <c r="B425" t="str">
        <f>"АРТ-"&amp;LEFT(SUBSTITUTE(SUBSTITUTE(SUBSTITUTE(SUBSTITUTE(Продажи_исходные!B425,"№",""),"АРТ-",""),"АРТ_",""),"/","-"),3)</f>
        <v>АРТ-211</v>
      </c>
      <c r="C425" s="4">
        <f>IFERROR(VALUE(TRIM(SUBSTITUTE(SUBSTITUTE(SUBSTITUTE(SUBSTITUTE(Продажи_исходные!C425," шт.","")," шт",""),"шт.",""),"шт",""))),0)</f>
        <v>-3</v>
      </c>
      <c r="D425" s="4">
        <f>IF(LEFT(Продажи_исходные!D425,1)="$",VALUE(MID(Продажи_исходные!D425,2,255))*95,IF(LEFT(Продажи_исходные!D425,1)="€",VALUE(MID(Продажи_исходные!D425,2,255))*100,VALUE(SUBSTITUTE(SUBSTITUTE(Продажи_исходные!D425,"₽","")," ",""))))</f>
        <v>11400</v>
      </c>
      <c r="E425" t="str">
        <f>Продажи_исходные!E425</f>
        <v>C0424</v>
      </c>
      <c r="F425" t="str">
        <f>Продажи_исходные!F425</f>
        <v>P026</v>
      </c>
      <c r="G425" t="str">
        <f>IFERROR(VLOOKUP(Продажи_исходные!G425,Справочники!$G$2:$H$50,2,FALSE),Продажи_исходные!G425)</f>
        <v>Отменен</v>
      </c>
      <c r="H425" s="4">
        <f>IFERROR(VLOOKUP(B425,Товары_очищенные!$A$1:$G$1000,6,FALSE),"нет в каталоге")</f>
        <v>59990</v>
      </c>
      <c r="I425" t="str">
        <f>IFERROR(VLOOKUP(B425,Товары_очищенные!$A$1:$G$1000,3,FALSE),"нет в каталоге")</f>
        <v>Смартфоны</v>
      </c>
      <c r="J425" t="str">
        <f t="shared" si="32"/>
        <v>OK</v>
      </c>
    </row>
    <row r="426">
      <c r="A426" s="8">
        <f>DATE(RIGHT(Продажи_исходные!A426,4),LEFT(Продажи_исходные!A426,2),MID(Продажи_исходные!A426,4,2))</f>
        <v>45884</v>
      </c>
      <c r="B426" t="str">
        <f>"АРТ-"&amp;LEFT(SUBSTITUTE(SUBSTITUTE(SUBSTITUTE(SUBSTITUTE(Продажи_исходные!B426,"№",""),"АРТ-",""),"АРТ_",""),"/","-"),3)</f>
        <v>АРТ-371</v>
      </c>
      <c r="C426" s="4">
        <f>IFERROR(VALUE(TRIM(SUBSTITUTE(SUBSTITUTE(SUBSTITUTE(SUBSTITUTE(Продажи_исходные!C426," шт.","")," шт",""),"шт.",""),"шт",""))),0)</f>
        <v>2</v>
      </c>
      <c r="D426" s="4">
        <f>IF(LEFT(Продажи_исходные!D426,1)="$",VALUE(MID(Продажи_исходные!D426,2,255))*95,IF(LEFT(Продажи_исходные!D426,1)="€",VALUE(MID(Продажи_исходные!D426,2,255))*100,VALUE(SUBSTITUTE(SUBSTITUTE(Продажи_исходные!D426,"₽","")," ",""))))</f>
        <v>10000</v>
      </c>
      <c r="E426" t="str">
        <f>Продажи_исходные!E426</f>
        <v>C0425</v>
      </c>
      <c r="F426" t="str">
        <f>Продажи_исходные!F426</f>
        <v>P013</v>
      </c>
      <c r="G426" t="str">
        <f>IFERROR(VLOOKUP(Продажи_исходные!G426,Справочники!$G$2:$H$50,2,FALSE),Продажи_исходные!G426)</f>
        <v>Отменен</v>
      </c>
      <c r="H426" s="4">
        <f>IFERROR(VLOOKUP(B426,Товары_очищенные!$A$1:$G$1000,6,FALSE),"нет в каталоге")</f>
        <v>48000</v>
      </c>
      <c r="I426" t="str">
        <f>IFERROR(VLOOKUP(B426,Товары_очищенные!$A$1:$G$1000,3,FALSE),"нет в каталоге")</f>
        <v>Мониторы</v>
      </c>
      <c r="J426" t="str">
        <f t="shared" si="32"/>
        <v>OK</v>
      </c>
    </row>
    <row r="427">
      <c r="A427" s="8">
        <f>DATE(RIGHT(Продажи_исходные!A427,4),LEFT(Продажи_исходные!A427,2),MID(Продажи_исходные!A427,4,2))</f>
        <v>45884</v>
      </c>
      <c r="B427" t="str">
        <f>"АРТ-"&amp;LEFT(SUBSTITUTE(SUBSTITUTE(SUBSTITUTE(SUBSTITUTE(Продажи_исходные!B427,"№",""),"АРТ-",""),"АРТ_",""),"/","-"),3)</f>
        <v>АРТ-254</v>
      </c>
      <c r="C427" s="4">
        <f>IFERROR(VALUE(TRIM(SUBSTITUTE(SUBSTITUTE(SUBSTITUTE(SUBSTITUTE(Продажи_исходные!C427," шт.","")," шт",""),"шт.",""),"шт",""))),0)</f>
        <v>1</v>
      </c>
      <c r="D427" s="4">
        <f>IF(LEFT(Продажи_исходные!D427,1)="$",VALUE(MID(Продажи_исходные!D427,2,255))*95,IF(LEFT(Продажи_исходные!D427,1)="€",VALUE(MID(Продажи_исходные!D427,2,255))*100,VALUE(SUBSTITUTE(SUBSTITUTE(Продажи_исходные!D427,"₽","")," ",""))))</f>
        <v>9200</v>
      </c>
      <c r="E427" t="str">
        <f>Продажи_исходные!E427</f>
        <v>C0426</v>
      </c>
      <c r="F427" t="str">
        <f>Продажи_исходные!F427</f>
        <v>P034</v>
      </c>
      <c r="G427" t="str">
        <f>IFERROR(VLOOKUP(Продажи_исходные!G427,Справочники!$G$2:$H$50,2,FALSE),Продажи_исходные!G427)</f>
        <v>Возврат</v>
      </c>
      <c r="H427" s="4">
        <f>IFERROR(VLOOKUP(B427,Товары_очищенные!$A$1:$G$1000,6,FALSE),"нет в каталоге")</f>
        <v>157000</v>
      </c>
      <c r="I427" t="str">
        <f>IFERROR(VLOOKUP(B427,Товары_очищенные!$A$1:$G$1000,3,FALSE),"нет в каталоге")</f>
        <v>Ноутбуки</v>
      </c>
      <c r="J427" t="str">
        <f t="shared" si="32"/>
        <v>OK</v>
      </c>
    </row>
    <row r="428">
      <c r="A428" s="8">
        <f>DATE(RIGHT(Продажи_исходные!A428,4),LEFT(Продажи_исходные!A428,2),MID(Продажи_исходные!A428,4,2))</f>
        <v>45885</v>
      </c>
      <c r="B428" t="str">
        <f>"АРТ-"&amp;LEFT(SUBSTITUTE(SUBSTITUTE(SUBSTITUTE(SUBSTITUTE(Продажи_исходные!B428,"№",""),"АРТ-",""),"АРТ_",""),"/","-"),3)</f>
        <v>АРТ-104</v>
      </c>
      <c r="C428" s="4">
        <f>IFERROR(VALUE(TRIM(SUBSTITUTE(SUBSTITUTE(SUBSTITUTE(SUBSTITUTE(Продажи_исходные!C428," шт.","")," шт",""),"шт.",""),"шт",""))),0)</f>
        <v>3</v>
      </c>
      <c r="D428" s="4">
        <f>IF(LEFT(Продажи_исходные!D428,1)="$",VALUE(MID(Продажи_исходные!D428,2,255))*95,IF(LEFT(Продажи_исходные!D428,1)="€",VALUE(MID(Продажи_исходные!D428,2,255))*100,VALUE(SUBSTITUTE(SUBSTITUTE(Продажи_исходные!D428,"₽","")," ",""))))</f>
        <v>8550</v>
      </c>
      <c r="E428" t="str">
        <f>Продажи_исходные!E428</f>
        <v>C0427</v>
      </c>
      <c r="F428" t="str">
        <f>Продажи_исходные!F428</f>
        <v>P044</v>
      </c>
      <c r="G428" t="str">
        <f>IFERROR(VLOOKUP(Продажи_исходные!G428,Справочники!$G$2:$H$50,2,FALSE),Продажи_исходные!G428)</f>
        <v>Завершен</v>
      </c>
      <c r="H428" s="4">
        <f>IFERROR(VLOOKUP(B428,Товары_очищенные!$A$1:$G$1000,6,FALSE),"нет в каталоге")</f>
        <v>147000</v>
      </c>
      <c r="I428" t="str">
        <f>IFERROR(VLOOKUP(B428,Товары_очищенные!$A$1:$G$1000,3,FALSE),"нет в каталоге")</f>
        <v>Ноутбуки</v>
      </c>
      <c r="J428" t="str">
        <f t="shared" si="32"/>
        <v>OK</v>
      </c>
    </row>
    <row r="429">
      <c r="A429" s="8">
        <f>DATE(RIGHT(Продажи_исходные!A429,4),LEFT(Продажи_исходные!A429,2),MID(Продажи_исходные!A429,4,2))</f>
        <v>45885</v>
      </c>
      <c r="B429" t="str">
        <f>"АРТ-"&amp;LEFT(SUBSTITUTE(SUBSTITUTE(SUBSTITUTE(SUBSTITUTE(Продажи_исходные!B429,"№",""),"АРТ-",""),"АРТ_",""),"/","-"),3)</f>
        <v>АРТ-442</v>
      </c>
      <c r="C429" s="4">
        <f>IFERROR(VALUE(TRIM(SUBSTITUTE(SUBSTITUTE(SUBSTITUTE(SUBSTITUTE(Продажи_исходные!C429," шт.","")," шт",""),"шт.",""),"шт",""))),0)</f>
        <v>2</v>
      </c>
      <c r="D429" s="4">
        <f>IF(LEFT(Продажи_исходные!D429,1)="$",VALUE(MID(Продажи_исходные!D429,2,255))*95,IF(LEFT(Продажи_исходные!D429,1)="€",VALUE(MID(Продажи_исходные!D429,2,255))*100,VALUE(SUBSTITUTE(SUBSTITUTE(Продажи_исходные!D429,"₽","")," ",""))))</f>
        <v>7000</v>
      </c>
      <c r="E429" t="str">
        <f>Продажи_исходные!E429</f>
        <v>C0428</v>
      </c>
      <c r="F429" t="str">
        <f>Продажи_исходные!F429</f>
        <v>P001</v>
      </c>
      <c r="G429" t="str">
        <f>IFERROR(VLOOKUP(Продажи_исходные!G429,Справочники!$G$2:$H$50,2,FALSE),Продажи_исходные!G429)</f>
        <v>Завершен</v>
      </c>
      <c r="H429" s="4">
        <f>IFERROR(VLOOKUP(B429,Товары_очищенные!$A$1:$G$1000,6,FALSE),"нет в каталоге")</f>
        <v>24990</v>
      </c>
      <c r="I429" t="str">
        <f>IFERROR(VLOOKUP(B429,Товары_очищенные!$A$1:$G$1000,3,FALSE),"нет в каталоге")</f>
        <v>Смартфоны</v>
      </c>
      <c r="J429" t="str">
        <f t="shared" si="32"/>
        <v>OK</v>
      </c>
    </row>
    <row r="430">
      <c r="A430" s="8">
        <f>DATE(RIGHT(Продажи_исходные!A430,4),LEFT(Продажи_исходные!A430,2),MID(Продажи_исходные!A430,4,2))</f>
        <v>45886</v>
      </c>
      <c r="B430" t="str">
        <f>"АРТ-"&amp;LEFT(SUBSTITUTE(SUBSTITUTE(SUBSTITUTE(SUBSTITUTE(Продажи_исходные!B430,"№",""),"АРТ-",""),"АРТ_",""),"/","-"),3)</f>
        <v>АРТ-286</v>
      </c>
      <c r="C430" s="4">
        <f>IFERROR(VALUE(TRIM(SUBSTITUTE(SUBSTITUTE(SUBSTITUTE(SUBSTITUTE(Продажи_исходные!C430," шт.","")," шт",""),"шт.",""),"шт",""))),0)</f>
        <v>1</v>
      </c>
      <c r="D430" s="4">
        <f>IF(LEFT(Продажи_исходные!D430,1)="$",VALUE(MID(Продажи_исходные!D430,2,255))*95,IF(LEFT(Продажи_исходные!D430,1)="€",VALUE(MID(Продажи_исходные!D430,2,255))*100,VALUE(SUBSTITUTE(SUBSTITUTE(Продажи_исходные!D430,"₽","")," ",""))))</f>
        <v>6500</v>
      </c>
      <c r="E430" t="str">
        <f>Продажи_исходные!E430</f>
        <v>C0429</v>
      </c>
      <c r="F430" t="str">
        <f>Продажи_исходные!F430</f>
        <v>P021</v>
      </c>
      <c r="G430" t="str">
        <f>IFERROR(VLOOKUP(Продажи_исходные!G430,Справочники!$G$2:$H$50,2,FALSE),Продажи_исходные!G430)</f>
        <v>Завершен</v>
      </c>
      <c r="H430" s="4">
        <f>IFERROR(VLOOKUP(B430,Товары_очищенные!$A$1:$G$1000,6,FALSE),"нет в каталоге")</f>
        <v>7490</v>
      </c>
      <c r="I430" t="str">
        <f>IFERROR(VLOOKUP(B430,Товары_очищенные!$A$1:$G$1000,3,FALSE),"нет в каталоге")</f>
        <v>Аксессуары</v>
      </c>
      <c r="J430" t="str">
        <f t="shared" si="32"/>
        <v>OK</v>
      </c>
    </row>
    <row r="431">
      <c r="A431" s="8">
        <f>DATE(RIGHT(Продажи_исходные!A431,4),LEFT(Продажи_исходные!A431,2),MID(Продажи_исходные!A431,4,2))</f>
        <v>45886</v>
      </c>
      <c r="B431" t="str">
        <f>"АРТ-"&amp;LEFT(SUBSTITUTE(SUBSTITUTE(SUBSTITUTE(SUBSTITUTE(Продажи_исходные!B431,"№",""),"АРТ-",""),"АРТ_",""),"/","-"),3)</f>
        <v>АРТ-333</v>
      </c>
      <c r="C431" s="4">
        <f>IFERROR(VALUE(TRIM(SUBSTITUTE(SUBSTITUTE(SUBSTITUTE(SUBSTITUTE(Продажи_исходные!C431," шт.","")," шт",""),"шт.",""),"шт",""))),0)</f>
        <v>-1</v>
      </c>
      <c r="D431" s="4">
        <f>IF(LEFT(Продажи_исходные!D431,1)="$",VALUE(MID(Продажи_исходные!D431,2,255))*95,IF(LEFT(Продажи_исходные!D431,1)="€",VALUE(MID(Продажи_исходные!D431,2,255))*100,VALUE(SUBSTITUTE(SUBSTITUTE(Продажи_исходные!D431,"₽","")," ",""))))</f>
        <v>10450</v>
      </c>
      <c r="E431" t="str">
        <f>Продажи_исходные!E431</f>
        <v>C0430</v>
      </c>
      <c r="F431" t="str">
        <f>Продажи_исходные!F431</f>
        <v>P039</v>
      </c>
      <c r="G431" t="str">
        <f>IFERROR(VLOOKUP(Продажи_исходные!G431,Справочники!$G$2:$H$50,2,FALSE),Продажи_исходные!G431)</f>
        <v>Отменен</v>
      </c>
      <c r="H431" s="4">
        <f>IFERROR(VLOOKUP(B431,Товары_очищенные!$A$1:$G$1000,6,FALSE),"нет в каталоге")</f>
        <v>72000</v>
      </c>
      <c r="I431" t="str">
        <f>IFERROR(VLOOKUP(B431,Товары_очищенные!$A$1:$G$1000,3,FALSE),"нет в каталоге")</f>
        <v>Часы</v>
      </c>
      <c r="J431" t="str">
        <f t="shared" si="32"/>
        <v>OK</v>
      </c>
    </row>
    <row r="432">
      <c r="A432" s="8">
        <f>DATE(RIGHT(Продажи_исходные!A432,4),LEFT(Продажи_исходные!A432,2),MID(Продажи_исходные!A432,4,2))</f>
        <v>45887</v>
      </c>
      <c r="B432" t="str">
        <f>"АРТ-"&amp;LEFT(SUBSTITUTE(SUBSTITUTE(SUBSTITUTE(SUBSTITUTE(Продажи_исходные!B432,"№",""),"АРТ-",""),"АРТ_",""),"/","-"),3)</f>
        <v>АРТ-359</v>
      </c>
      <c r="C432" s="4">
        <f>IFERROR(VALUE(TRIM(SUBSTITUTE(SUBSTITUTE(SUBSTITUTE(SUBSTITUTE(Продажи_исходные!C432," шт.","")," шт",""),"шт.",""),"шт",""))),0)</f>
        <v>3</v>
      </c>
      <c r="D432" s="4">
        <f>IF(LEFT(Продажи_исходные!D432,1)="$",VALUE(MID(Продажи_исходные!D432,2,255))*95,IF(LEFT(Продажи_исходные!D432,1)="€",VALUE(MID(Продажи_исходные!D432,2,255))*100,VALUE(SUBSTITUTE(SUBSTITUTE(Продажи_исходные!D432,"₽","")," ",""))))</f>
        <v>9000</v>
      </c>
      <c r="E432" t="str">
        <f>Продажи_исходные!E432</f>
        <v>C0431</v>
      </c>
      <c r="F432" t="str">
        <f>Продажи_исходные!F432</f>
        <v>P050</v>
      </c>
      <c r="G432" t="str">
        <f>IFERROR(VLOOKUP(Продажи_исходные!G432,Справочники!$G$2:$H$50,2,FALSE),Продажи_исходные!G432)</f>
        <v>Отменен</v>
      </c>
      <c r="H432" s="4">
        <f>IFERROR(VLOOKUP(B432,Товары_очищенные!$A$1:$G$1000,6,FALSE),"нет в каталоге")</f>
        <v>58000</v>
      </c>
      <c r="I432" t="str">
        <f>IFERROR(VLOOKUP(B432,Товары_очищенные!$A$1:$G$1000,3,FALSE),"нет в каталоге")</f>
        <v>Планшеты</v>
      </c>
      <c r="J432" t="str">
        <f t="shared" si="32"/>
        <v>OK</v>
      </c>
    </row>
    <row r="433">
      <c r="A433" s="8">
        <f>DATE(RIGHT(Продажи_исходные!A433,4),LEFT(Продажи_исходные!A433,2),MID(Продажи_исходные!A433,4,2))</f>
        <v>45887</v>
      </c>
      <c r="B433" t="str">
        <f>"АРТ-"&amp;LEFT(SUBSTITUTE(SUBSTITUTE(SUBSTITUTE(SUBSTITUTE(Продажи_исходные!B433,"№",""),"АРТ-",""),"АРТ_",""),"/","-"),3)</f>
        <v>АРТ-234</v>
      </c>
      <c r="C433" s="4">
        <f>IFERROR(VALUE(TRIM(SUBSTITUTE(SUBSTITUTE(SUBSTITUTE(SUBSTITUTE(Продажи_исходные!C433," шт.","")," шт",""),"шт.",""),"шт",""))),0)</f>
        <v>2</v>
      </c>
      <c r="D433" s="4">
        <f>IF(LEFT(Продажи_исходные!D433,1)="$",VALUE(MID(Продажи_исходные!D433,2,255))*95,IF(LEFT(Продажи_исходные!D433,1)="€",VALUE(MID(Продажи_исходные!D433,2,255))*100,VALUE(SUBSTITUTE(SUBSTITUTE(Продажи_исходные!D433,"₽","")," ",""))))</f>
        <v>8000</v>
      </c>
      <c r="E433" t="str">
        <f>Продажи_исходные!E433</f>
        <v>C0432</v>
      </c>
      <c r="F433" t="str">
        <f>Продажи_исходные!F433</f>
        <v>P011</v>
      </c>
      <c r="G433" t="str">
        <f>IFERROR(VLOOKUP(Продажи_исходные!G433,Справочники!$G$2:$H$50,2,FALSE),Продажи_исходные!G433)</f>
        <v>Завершен</v>
      </c>
      <c r="H433" s="4">
        <f>IFERROR(VLOOKUP(B433,Товары_очищенные!$A$1:$G$1000,6,FALSE),"нет в каталоге")</f>
        <v>44500</v>
      </c>
      <c r="I433" t="str">
        <f>IFERROR(VLOOKUP(B433,Товары_очищенные!$A$1:$G$1000,3,FALSE),"нет в каталоге")</f>
        <v>Смартфоны</v>
      </c>
      <c r="J433" t="str">
        <f t="shared" si="32"/>
        <v>OK</v>
      </c>
    </row>
    <row r="434">
      <c r="A434" s="8">
        <f>DATE(RIGHT(Продажи_исходные!A434,4),LEFT(Продажи_исходные!A434,2),MID(Продажи_исходные!A434,4,2))</f>
        <v>45888</v>
      </c>
      <c r="B434" t="str">
        <f>"АРТ-"&amp;LEFT(SUBSTITUTE(SUBSTITUTE(SUBSTITUTE(SUBSTITUTE(Продажи_исходные!B434,"№",""),"АРТ-",""),"АРТ_",""),"/","-"),3)</f>
        <v>АРТ-062</v>
      </c>
      <c r="C434" s="4">
        <f>IFERROR(VALUE(TRIM(SUBSTITUTE(SUBSTITUTE(SUBSTITUTE(SUBSTITUTE(Продажи_исходные!C434," шт.","")," шт",""),"шт.",""),"шт",""))),0)</f>
        <v>1</v>
      </c>
      <c r="D434" s="4">
        <f>IF(LEFT(Продажи_исходные!D434,1)="$",VALUE(MID(Продажи_исходные!D434,2,255))*95,IF(LEFT(Продажи_исходные!D434,1)="€",VALUE(MID(Продажи_исходные!D434,2,255))*100,VALUE(SUBSTITUTE(SUBSTITUTE(Продажи_исходные!D434,"₽","")," ",""))))</f>
        <v>9025</v>
      </c>
      <c r="E434" t="str">
        <f>Продажи_исходные!E434</f>
        <v>C0433</v>
      </c>
      <c r="F434" t="str">
        <f>Продажи_исходные!F434</f>
        <v>P027</v>
      </c>
      <c r="G434" t="str">
        <f>IFERROR(VLOOKUP(Продажи_исходные!G434,Справочники!$G$2:$H$50,2,FALSE),Продажи_исходные!G434)</f>
        <v>Возврат</v>
      </c>
      <c r="H434" s="4">
        <f>IFERROR(VLOOKUP(B434,Товары_очищенные!$A$1:$G$1000,6,FALSE),"нет в каталоге")</f>
        <v>122500</v>
      </c>
      <c r="I434" t="str">
        <f>IFERROR(VLOOKUP(B434,Товары_очищенные!$A$1:$G$1000,3,FALSE),"нет в каталоге")</f>
        <v>Ноутбуки</v>
      </c>
      <c r="J434" t="str">
        <f t="shared" si="32"/>
        <v>OK</v>
      </c>
    </row>
    <row r="435">
      <c r="A435" s="8">
        <f>DATE(RIGHT(Продажи_исходные!A435,4),LEFT(Продажи_исходные!A435,2),MID(Продажи_исходные!A435,4,2))</f>
        <v>45888</v>
      </c>
      <c r="B435" t="str">
        <f>"АРТ-"&amp;LEFT(SUBSTITUTE(SUBSTITUTE(SUBSTITUTE(SUBSTITUTE(Продажи_исходные!B435,"№",""),"АРТ-",""),"АРТ_",""),"/","-"),3)</f>
        <v>АРТ-470</v>
      </c>
      <c r="C435" s="4">
        <f>IFERROR(VALUE(TRIM(SUBSTITUTE(SUBSTITUTE(SUBSTITUTE(SUBSTITUTE(Продажи_исходные!C435," шт.","")," шт",""),"шт.",""),"шт",""))),0)</f>
        <v>2</v>
      </c>
      <c r="D435" s="4">
        <f>IF(LEFT(Продажи_исходные!D435,1)="$",VALUE(MID(Продажи_исходные!D435,2,255))*95,IF(LEFT(Продажи_исходные!D435,1)="€",VALUE(MID(Продажи_исходные!D435,2,255))*100,VALUE(SUBSTITUTE(SUBSTITUTE(Продажи_исходные!D435,"₽","")," ",""))))</f>
        <v>7500</v>
      </c>
      <c r="E435" t="str">
        <f>Продажи_исходные!E435</f>
        <v>C0434</v>
      </c>
      <c r="F435" t="str">
        <f>Продажи_исходные!F435</f>
        <v>P018</v>
      </c>
      <c r="G435" t="str">
        <f>IFERROR(VLOOKUP(Продажи_исходные!G435,Справочники!$G$2:$H$50,2,FALSE),Продажи_исходные!G435)</f>
        <v>Завершен</v>
      </c>
      <c r="H435" s="4">
        <f>IFERROR(VLOOKUP(B435,Товары_очищенные!$A$1:$G$1000,6,FALSE),"нет в каталоге")</f>
        <v>56500</v>
      </c>
      <c r="I435" t="str">
        <f>IFERROR(VLOOKUP(B435,Товары_очищенные!$A$1:$G$1000,3,FALSE),"нет в каталоге")</f>
        <v>Телевизоры</v>
      </c>
      <c r="J435" t="str">
        <f t="shared" si="32"/>
        <v>OK</v>
      </c>
    </row>
    <row r="436">
      <c r="A436" s="8">
        <f>DATE(RIGHT(Продажи_исходные!A436,4),LEFT(Продажи_исходные!A436,2),MID(Продажи_исходные!A436,4,2))</f>
        <v>45889</v>
      </c>
      <c r="B436" t="str">
        <f>"АРТ-"&amp;LEFT(SUBSTITUTE(SUBSTITUTE(SUBSTITUTE(SUBSTITUTE(Продажи_исходные!B436,"№",""),"АРТ-",""),"АРТ_",""),"/","-"),3)</f>
        <v>АРТ-307</v>
      </c>
      <c r="C436" s="4">
        <f>IFERROR(VALUE(TRIM(SUBSTITUTE(SUBSTITUTE(SUBSTITUTE(SUBSTITUTE(Продажи_исходные!C436," шт.","")," шт",""),"шт.",""),"шт",""))),0)</f>
        <v>3</v>
      </c>
      <c r="D436" s="4">
        <f>IF(LEFT(Продажи_исходные!D436,1)="$",VALUE(MID(Продажи_исходные!D436,2,255))*95,IF(LEFT(Продажи_исходные!D436,1)="€",VALUE(MID(Продажи_исходные!D436,2,255))*100,VALUE(SUBSTITUTE(SUBSTITUTE(Продажи_исходные!D436,"₽","")," ",""))))</f>
        <v>7000</v>
      </c>
      <c r="E436" t="str">
        <f>Продажи_исходные!E436</f>
        <v>C0435</v>
      </c>
      <c r="F436" t="str">
        <f>Продажи_исходные!F436</f>
        <v>P040</v>
      </c>
      <c r="G436" t="str">
        <f>IFERROR(VLOOKUP(Продажи_исходные!G436,Справочники!$G$2:$H$50,2,FALSE),Продажи_исходные!G436)</f>
        <v>Завершен</v>
      </c>
      <c r="H436" s="4">
        <f>IFERROR(VLOOKUP(B436,Товары_очищенные!$A$1:$G$1000,6,FALSE),"нет в каталоге")</f>
        <v>8990</v>
      </c>
      <c r="I436" t="str">
        <f>IFERROR(VLOOKUP(B436,Товары_очищенные!$A$1:$G$1000,3,FALSE),"нет в каталоге")</f>
        <v>Аксессуары</v>
      </c>
      <c r="J436" t="str">
        <f t="shared" si="32"/>
        <v>OK</v>
      </c>
    </row>
    <row r="437">
      <c r="A437" s="8">
        <f>DATE(RIGHT(Продажи_исходные!A437,4),LEFT(Продажи_исходные!A437,2),MID(Продажи_исходные!A437,4,2))</f>
        <v>45889</v>
      </c>
      <c r="B437" t="str">
        <f>"АРТ-"&amp;LEFT(SUBSTITUTE(SUBSTITUTE(SUBSTITUTE(SUBSTITUTE(Продажи_исходные!B437,"№",""),"АРТ-",""),"АРТ_",""),"/","-"),3)</f>
        <v>АРТ-201</v>
      </c>
      <c r="C437" s="4">
        <f>IFERROR(VALUE(TRIM(SUBSTITUTE(SUBSTITUTE(SUBSTITUTE(SUBSTITUTE(Продажи_исходные!C437," шт.","")," шт",""),"шт.",""),"шт",""))),0)</f>
        <v>-2</v>
      </c>
      <c r="D437" s="4">
        <f>IF(LEFT(Продажи_исходные!D437,1)="$",VALUE(MID(Продажи_исходные!D437,2,255))*95,IF(LEFT(Продажи_исходные!D437,1)="€",VALUE(MID(Продажи_исходные!D437,2,255))*100,VALUE(SUBSTITUTE(SUBSTITUTE(Продажи_исходные!D437,"₽","")," ",""))))</f>
        <v>10925</v>
      </c>
      <c r="E437" t="str">
        <f>Продажи_исходные!E437</f>
        <v>C0436</v>
      </c>
      <c r="F437" t="str">
        <f>Продажи_исходные!F437</f>
        <v>P003</v>
      </c>
      <c r="G437" t="str">
        <f>IFERROR(VLOOKUP(Продажи_исходные!G437,Справочники!$G$2:$H$50,2,FALSE),Продажи_исходные!G437)</f>
        <v>Завершен</v>
      </c>
      <c r="H437" s="4">
        <f>IFERROR(VLOOKUP(B437,Товары_очищенные!$A$1:$G$1000,6,FALSE),"нет в каталоге")</f>
        <v>98500</v>
      </c>
      <c r="I437" t="str">
        <f>IFERROR(VLOOKUP(B437,Товары_очищенные!$A$1:$G$1000,3,FALSE),"нет в каталоге")</f>
        <v>Телевизоры</v>
      </c>
      <c r="J437" t="str">
        <f t="shared" si="32"/>
        <v>OK</v>
      </c>
    </row>
    <row r="438">
      <c r="A438" s="8">
        <f>DATE(RIGHT(Продажи_исходные!A438,4),LEFT(Продажи_исходные!A438,2),MID(Продажи_исходные!A438,4,2))</f>
        <v>45890</v>
      </c>
      <c r="B438" t="str">
        <f>"АРТ-"&amp;LEFT(SUBSTITUTE(SUBSTITUTE(SUBSTITUTE(SUBSTITUTE(Продажи_исходные!B438,"№",""),"АРТ-",""),"АРТ_",""),"/","-"),3)</f>
        <v>АРТ-362</v>
      </c>
      <c r="C438" s="4">
        <f>IFERROR(VALUE(TRIM(SUBSTITUTE(SUBSTITUTE(SUBSTITUTE(SUBSTITUTE(Продажи_исходные!C438," шт.","")," шт",""),"шт.",""),"шт",""))),0)</f>
        <v>1</v>
      </c>
      <c r="D438" s="4">
        <f>IF(LEFT(Продажи_исходные!D438,1)="$",VALUE(MID(Продажи_исходные!D438,2,255))*95,IF(LEFT(Продажи_исходные!D438,1)="€",VALUE(MID(Продажи_исходные!D438,2,255))*100,VALUE(SUBSTITUTE(SUBSTITUTE(Продажи_исходные!D438,"₽","")," ",""))))</f>
        <v>9500</v>
      </c>
      <c r="E438" t="str">
        <f>Продажи_исходные!E438</f>
        <v>C0437</v>
      </c>
      <c r="F438" t="str">
        <f>Продажи_исходные!F438</f>
        <v>P025</v>
      </c>
      <c r="G438" t="str">
        <f>IFERROR(VLOOKUP(Продажи_исходные!G438,Справочники!$G$2:$H$50,2,FALSE),Продажи_исходные!G438)</f>
        <v>Отменен</v>
      </c>
      <c r="H438" s="4">
        <f>IFERROR(VLOOKUP(B438,Товары_очищенные!$A$1:$G$1000,6,FALSE),"нет в каталоге")</f>
        <v>142500</v>
      </c>
      <c r="I438" t="str">
        <f>IFERROR(VLOOKUP(B438,Товары_очищенные!$A$1:$G$1000,3,FALSE),"нет в каталоге")</f>
        <v>Ноутбуки</v>
      </c>
      <c r="J438" t="str">
        <f t="shared" si="32"/>
        <v>OK</v>
      </c>
    </row>
    <row r="439">
      <c r="A439" s="8">
        <f>DATE(RIGHT(Продажи_исходные!A439,4),LEFT(Продажи_исходные!A439,2),MID(Продажи_исходные!A439,4,2))</f>
        <v>45890</v>
      </c>
      <c r="B439" t="str">
        <f>"АРТ-"&amp;LEFT(SUBSTITUTE(SUBSTITUTE(SUBSTITUTE(SUBSTITUTE(Продажи_исходные!B439,"№",""),"АРТ-",""),"АРТ_",""),"/","-"),3)</f>
        <v>АРТ-041</v>
      </c>
      <c r="C439" s="4">
        <f>IFERROR(VALUE(TRIM(SUBSTITUTE(SUBSTITUTE(SUBSTITUTE(SUBSTITUTE(Продажи_исходные!C439," шт.","")," шт",""),"шт.",""),"шт",""))),0)</f>
        <v>2</v>
      </c>
      <c r="D439" s="4">
        <f>IF(LEFT(Продажи_исходные!D439,1)="$",VALUE(MID(Продажи_исходные!D439,2,255))*95,IF(LEFT(Продажи_исходные!D439,1)="€",VALUE(MID(Продажи_исходные!D439,2,255))*100,VALUE(SUBSTITUTE(SUBSTITUTE(Продажи_исходные!D439,"₽","")," ",""))))</f>
        <v>8500</v>
      </c>
      <c r="E439" t="str">
        <f>Продажи_исходные!E439</f>
        <v>C0438</v>
      </c>
      <c r="F439" t="str">
        <f>Продажи_исходные!F439</f>
        <v>P010</v>
      </c>
      <c r="G439" t="str">
        <f>IFERROR(VLOOKUP(Продажи_исходные!G439,Справочники!$G$2:$H$50,2,FALSE),Продажи_исходные!G439)</f>
        <v>Отменен</v>
      </c>
      <c r="H439" s="4">
        <f>IFERROR(VLOOKUP(B439,Товары_очищенные!$A$1:$G$1000,6,FALSE),"нет в каталоге")</f>
        <v>140500</v>
      </c>
      <c r="I439" t="str">
        <f>IFERROR(VLOOKUP(B439,Товары_очищенные!$A$1:$G$1000,3,FALSE),"нет в каталоге")</f>
        <v>Ноутбуки</v>
      </c>
      <c r="J439" t="str">
        <f t="shared" si="32"/>
        <v>OK</v>
      </c>
    </row>
    <row r="440">
      <c r="A440" s="8">
        <f>DATE(RIGHT(Продажи_исходные!A440,4),LEFT(Продажи_исходные!A440,2),MID(Продажи_исходные!A440,4,2))</f>
        <v>45891</v>
      </c>
      <c r="B440" t="str">
        <f>"АРТ-"&amp;LEFT(SUBSTITUTE(SUBSTITUTE(SUBSTITUTE(SUBSTITUTE(Продажи_исходные!B440,"№",""),"АРТ-",""),"АРТ_",""),"/","-"),3)</f>
        <v>АРТ-172</v>
      </c>
      <c r="C440" s="4">
        <f>IFERROR(VALUE(TRIM(SUBSTITUTE(SUBSTITUTE(SUBSTITUTE(SUBSTITUTE(Продажи_исходные!C440," шт.","")," шт",""),"шт.",""),"шт",""))),0)</f>
        <v>3</v>
      </c>
      <c r="D440" s="4">
        <f>IF(LEFT(Продажи_исходные!D440,1)="$",VALUE(MID(Продажи_исходные!D440,2,255))*95,IF(LEFT(Продажи_исходные!D440,1)="€",VALUE(MID(Продажи_исходные!D440,2,255))*100,VALUE(SUBSTITUTE(SUBSTITUTE(Продажи_исходные!D440,"₽","")," ",""))))</f>
        <v>9975</v>
      </c>
      <c r="E440" t="str">
        <f>Продажи_исходные!E440</f>
        <v>C0439</v>
      </c>
      <c r="F440" t="str">
        <f>Продажи_исходные!F440</f>
        <v>P033</v>
      </c>
      <c r="G440" t="str">
        <f>IFERROR(VLOOKUP(Продажи_исходные!G440,Справочники!$G$2:$H$50,2,FALSE),Продажи_исходные!G440)</f>
        <v>Возврат</v>
      </c>
      <c r="H440" s="4">
        <f>IFERROR(VLOOKUP(B440,Товары_очищенные!$A$1:$G$1000,6,FALSE),"нет в каталоге")</f>
        <v>104990</v>
      </c>
      <c r="I440" t="str">
        <f>IFERROR(VLOOKUP(B440,Товары_очищенные!$A$1:$G$1000,3,FALSE),"нет в каталоге")</f>
        <v>Ноутбуки</v>
      </c>
      <c r="J440" t="str">
        <f t="shared" si="32"/>
        <v>OK</v>
      </c>
    </row>
    <row r="441">
      <c r="A441" s="8">
        <f>DATE(RIGHT(Продажи_исходные!A441,4),LEFT(Продажи_исходные!A441,2),MID(Продажи_исходные!A441,4,2))</f>
        <v>45891</v>
      </c>
      <c r="B441" t="str">
        <f>"АРТ-"&amp;LEFT(SUBSTITUTE(SUBSTITUTE(SUBSTITUTE(SUBSTITUTE(Продажи_исходные!B441,"№",""),"АРТ-",""),"АРТ_",""),"/","-"),3)</f>
        <v>АРТ-451</v>
      </c>
      <c r="C441" s="4">
        <f>IFERROR(VALUE(TRIM(SUBSTITUTE(SUBSTITUTE(SUBSTITUTE(SUBSTITUTE(Продажи_исходные!C441," шт.","")," шт",""),"шт.",""),"шт",""))),0)</f>
        <v>2</v>
      </c>
      <c r="D441" s="4">
        <f>IF(LEFT(Продажи_исходные!D441,1)="$",VALUE(MID(Продажи_исходные!D441,2,255))*95,IF(LEFT(Продажи_исходные!D441,1)="€",VALUE(MID(Продажи_исходные!D441,2,255))*100,VALUE(SUBSTITUTE(SUBSTITUTE(Продажи_исходные!D441,"₽","")," ",""))))</f>
        <v>8500</v>
      </c>
      <c r="E441" t="str">
        <f>Продажи_исходные!E441</f>
        <v>C0440</v>
      </c>
      <c r="F441" t="str">
        <f>Продажи_исходные!F441</f>
        <v>P047</v>
      </c>
      <c r="G441" t="str">
        <f>IFERROR(VLOOKUP(Продажи_исходные!G441,Справочники!$G$2:$H$50,2,FALSE),Продажи_исходные!G441)</f>
        <v>Завершен</v>
      </c>
      <c r="H441" s="4">
        <f>IFERROR(VLOOKUP(B441,Товары_очищенные!$A$1:$G$1000,6,FALSE),"нет в каталоге")</f>
        <v>39990</v>
      </c>
      <c r="I441" t="str">
        <f>IFERROR(VLOOKUP(B441,Товары_очищенные!$A$1:$G$1000,3,FALSE),"нет в каталоге")</f>
        <v>Наушники</v>
      </c>
      <c r="J441" t="str">
        <f t="shared" si="32"/>
        <v>OK</v>
      </c>
    </row>
    <row r="442">
      <c r="A442" s="8">
        <f>DATE(RIGHT(Продажи_исходные!A442,4),LEFT(Продажи_исходные!A442,2),MID(Продажи_исходные!A442,4,2))</f>
        <v>45892</v>
      </c>
      <c r="B442" t="str">
        <f>"АРТ-"&amp;LEFT(SUBSTITUTE(SUBSTITUTE(SUBSTITUTE(SUBSTITUTE(Продажи_исходные!B442,"№",""),"АРТ-",""),"АРТ_",""),"/","-"),3)</f>
        <v>АРТ-291</v>
      </c>
      <c r="C442" s="4">
        <f>IFERROR(VALUE(TRIM(SUBSTITUTE(SUBSTITUTE(SUBSTITUTE(SUBSTITUTE(Продажи_исходные!C442," шт.","")," шт",""),"шт.",""),"шт",""))),0)</f>
        <v>1</v>
      </c>
      <c r="D442" s="4">
        <f>IF(LEFT(Продажи_исходные!D442,1)="$",VALUE(MID(Продажи_исходные!D442,2,255))*95,IF(LEFT(Продажи_исходные!D442,1)="€",VALUE(MID(Продажи_исходные!D442,2,255))*100,VALUE(SUBSTITUTE(SUBSTITUTE(Продажи_исходные!D442,"₽","")," ",""))))</f>
        <v>7800</v>
      </c>
      <c r="E442" t="str">
        <f>Продажи_исходные!E442</f>
        <v>C0441</v>
      </c>
      <c r="F442" t="str">
        <f>Продажи_исходные!F442</f>
        <v>P020</v>
      </c>
      <c r="G442" t="str">
        <f>IFERROR(VLOOKUP(Продажи_исходные!G442,Справочники!$G$2:$H$50,2,FALSE),Продажи_исходные!G442)</f>
        <v>Завершен</v>
      </c>
      <c r="H442" s="4">
        <f>IFERROR(VLOOKUP(B442,Товары_очищенные!$A$1:$G$1000,6,FALSE),"нет в каталоге")</f>
        <v>65000</v>
      </c>
      <c r="I442" t="str">
        <f>IFERROR(VLOOKUP(B442,Товары_очищенные!$A$1:$G$1000,3,FALSE),"нет в каталоге")</f>
        <v>Часы</v>
      </c>
      <c r="J442" t="str">
        <f t="shared" si="32"/>
        <v>OK</v>
      </c>
    </row>
    <row r="443">
      <c r="A443" s="8">
        <f>DATE(RIGHT(Продажи_исходные!A443,4),LEFT(Продажи_исходные!A443,2),MID(Продажи_исходные!A443,4,2))</f>
        <v>45892</v>
      </c>
      <c r="B443" t="str">
        <f>"АРТ-"&amp;LEFT(SUBSTITUTE(SUBSTITUTE(SUBSTITUTE(SUBSTITUTE(Продажи_исходные!B443,"№",""),"АРТ-",""),"АРТ_",""),"/","-"),3)</f>
        <v>АРТ-409</v>
      </c>
      <c r="C443" s="4">
        <f>IFERROR(VALUE(TRIM(SUBSTITUTE(SUBSTITUTE(SUBSTITUTE(SUBSTITUTE(Продажи_исходные!C443," шт.","")," шт",""),"шт.",""),"шт",""))),0)</f>
        <v>-3</v>
      </c>
      <c r="D443" s="4">
        <f>IF(LEFT(Продажи_исходные!D443,1)="$",VALUE(MID(Продажи_исходные!D443,2,255))*95,IF(LEFT(Продажи_исходные!D443,1)="€",VALUE(MID(Продажи_исходные!D443,2,255))*100,VALUE(SUBSTITUTE(SUBSTITUTE(Продажи_исходные!D443,"₽","")," ",""))))</f>
        <v>11400</v>
      </c>
      <c r="E443" t="str">
        <f>Продажи_исходные!E443</f>
        <v>C0442</v>
      </c>
      <c r="F443" t="str">
        <f>Продажи_исходные!F443</f>
        <v>P002</v>
      </c>
      <c r="G443" t="str">
        <f>IFERROR(VLOOKUP(Продажи_исходные!G443,Справочники!$G$2:$H$50,2,FALSE),Продажи_исходные!G443)</f>
        <v>Завершен</v>
      </c>
      <c r="H443" s="4">
        <f>IFERROR(VLOOKUP(B443,Товары_очищенные!$A$1:$G$1000,6,FALSE),"нет в каталоге")</f>
        <v>39990</v>
      </c>
      <c r="I443" t="str">
        <f>IFERROR(VLOOKUP(B443,Товары_очищенные!$A$1:$G$1000,3,FALSE),"нет в каталоге")</f>
        <v>Наушники</v>
      </c>
      <c r="J443" t="str">
        <f t="shared" si="32"/>
        <v>OK</v>
      </c>
    </row>
    <row r="444">
      <c r="A444" s="8">
        <f>DATE(RIGHT(Продажи_исходные!A444,4),LEFT(Продажи_исходные!A444,2),MID(Продажи_исходные!A444,4,2))</f>
        <v>45893</v>
      </c>
      <c r="B444" t="str">
        <f>"АРТ-"&amp;LEFT(SUBSTITUTE(SUBSTITUTE(SUBSTITUTE(SUBSTITUTE(Продажи_исходные!B444,"№",""),"АРТ-",""),"АРТ_",""),"/","-"),3)</f>
        <v>АРТ-327</v>
      </c>
      <c r="C444" s="4">
        <f>IFERROR(VALUE(TRIM(SUBSTITUTE(SUBSTITUTE(SUBSTITUTE(SUBSTITUTE(Продажи_исходные!C444," шт.","")," шт",""),"шт.",""),"шт",""))),0)</f>
        <v>2</v>
      </c>
      <c r="D444" s="4">
        <f>IF(LEFT(Продажи_исходные!D444,1)="$",VALUE(MID(Продажи_исходные!D444,2,255))*95,IF(LEFT(Продажи_исходные!D444,1)="€",VALUE(MID(Продажи_исходные!D444,2,255))*100,VALUE(SUBSTITUTE(SUBSTITUTE(Продажи_исходные!D444,"₽","")," ",""))))</f>
        <v>10000</v>
      </c>
      <c r="E444" t="str">
        <f>Продажи_исходные!E444</f>
        <v>C0443</v>
      </c>
      <c r="F444" t="str">
        <f>Продажи_исходные!F444</f>
        <v>P038</v>
      </c>
      <c r="G444" t="str">
        <f>IFERROR(VLOOKUP(Продажи_исходные!G444,Справочники!$G$2:$H$50,2,FALSE),Продажи_исходные!G444)</f>
        <v>Отменен</v>
      </c>
      <c r="H444" s="4">
        <f>IFERROR(VLOOKUP(B444,Товары_очищенные!$A$1:$G$1000,6,FALSE),"нет в каталоге")</f>
        <v>69000</v>
      </c>
      <c r="I444" t="str">
        <f>IFERROR(VLOOKUP(B444,Товары_очищенные!$A$1:$G$1000,3,FALSE),"нет в каталоге")</f>
        <v>Мониторы</v>
      </c>
      <c r="J444" t="str">
        <f t="shared" si="32"/>
        <v>OK</v>
      </c>
    </row>
    <row r="445">
      <c r="A445" s="8">
        <f>DATE(RIGHT(Продажи_исходные!A445,4),LEFT(Продажи_исходные!A445,2),MID(Продажи_исходные!A445,4,2))</f>
        <v>45893</v>
      </c>
      <c r="B445" t="str">
        <f>"АРТ-"&amp;LEFT(SUBSTITUTE(SUBSTITUTE(SUBSTITUTE(SUBSTITUTE(Продажи_исходные!B445,"№",""),"АРТ-",""),"АРТ_",""),"/","-"),3)</f>
        <v>АРТ-153</v>
      </c>
      <c r="C445" s="4">
        <f>IFERROR(VALUE(TRIM(SUBSTITUTE(SUBSTITUTE(SUBSTITUTE(SUBSTITUTE(Продажи_исходные!C445," шт.","")," шт",""),"шт.",""),"шт",""))),0)</f>
        <v>1</v>
      </c>
      <c r="D445" s="4">
        <f>IF(LEFT(Продажи_исходные!D445,1)="$",VALUE(MID(Продажи_исходные!D445,2,255))*95,IF(LEFT(Продажи_исходные!D445,1)="€",VALUE(MID(Продажи_исходные!D445,2,255))*100,VALUE(SUBSTITUTE(SUBSTITUTE(Продажи_исходные!D445,"₽","")," ",""))))</f>
        <v>9200</v>
      </c>
      <c r="E445" t="str">
        <f>Продажи_исходные!E445</f>
        <v>C0444</v>
      </c>
      <c r="F445" t="str">
        <f>Продажи_исходные!F445</f>
        <v>P016</v>
      </c>
      <c r="G445" t="str">
        <f>IFERROR(VLOOKUP(Продажи_исходные!G445,Справочники!$G$2:$H$50,2,FALSE),Продажи_исходные!G445)</f>
        <v>Отменен</v>
      </c>
      <c r="H445" s="4">
        <f>IFERROR(VLOOKUP(B445,Товары_очищенные!$A$1:$G$1000,6,FALSE),"нет в каталоге")</f>
        <v>158000</v>
      </c>
      <c r="I445" t="str">
        <f>IFERROR(VLOOKUP(B445,Товары_очищенные!$A$1:$G$1000,3,FALSE),"нет в каталоге")</f>
        <v>Телевизоры</v>
      </c>
      <c r="J445" t="str">
        <f t="shared" si="32"/>
        <v>OK</v>
      </c>
    </row>
    <row r="446">
      <c r="A446" s="8">
        <f>DATE(RIGHT(Продажи_исходные!A446,4),LEFT(Продажи_исходные!A446,2),MID(Продажи_исходные!A446,4,2))</f>
        <v>45894</v>
      </c>
      <c r="B446" t="str">
        <f>"АРТ-"&amp;LEFT(SUBSTITUTE(SUBSTITUTE(SUBSTITUTE(SUBSTITUTE(Продажи_исходные!B446,"№",""),"АРТ-",""),"АРТ_",""),"/","-"),3)</f>
        <v>АРТ-132</v>
      </c>
      <c r="C446" s="4">
        <f>IFERROR(VALUE(TRIM(SUBSTITUTE(SUBSTITUTE(SUBSTITUTE(SUBSTITUTE(Продажи_исходные!C446," шт.","")," шт",""),"шт.",""),"шт",""))),0)</f>
        <v>3</v>
      </c>
      <c r="D446" s="4">
        <f>IF(LEFT(Продажи_исходные!D446,1)="$",VALUE(MID(Продажи_исходные!D446,2,255))*95,IF(LEFT(Продажи_исходные!D446,1)="€",VALUE(MID(Продажи_исходные!D446,2,255))*100,VALUE(SUBSTITUTE(SUBSTITUTE(Продажи_исходные!D446,"₽","")," ",""))))</f>
        <v>8550</v>
      </c>
      <c r="E446" t="str">
        <f>Продажи_исходные!E446</f>
        <v>C0445</v>
      </c>
      <c r="F446" t="str">
        <f>Продажи_исходные!F446</f>
        <v>P029</v>
      </c>
      <c r="G446" t="str">
        <f>IFERROR(VLOOKUP(Продажи_исходные!G446,Справочники!$G$2:$H$50,2,FALSE),Продажи_исходные!G446)</f>
        <v>Завершен</v>
      </c>
      <c r="H446" s="4">
        <f>IFERROR(VLOOKUP(B446,Товары_очищенные!$A$1:$G$1000,6,FALSE),"нет в каталоге")</f>
        <v>44500</v>
      </c>
      <c r="I446" t="str">
        <f>IFERROR(VLOOKUP(B446,Товары_очищенные!$A$1:$G$1000,3,FALSE),"нет в каталоге")</f>
        <v>Планшеты</v>
      </c>
      <c r="J446" t="str">
        <f t="shared" si="32"/>
        <v>OK</v>
      </c>
    </row>
    <row r="447">
      <c r="A447" s="8">
        <f>DATE(RIGHT(Продажи_исходные!A447,4),LEFT(Продажи_исходные!A447,2),MID(Продажи_исходные!A447,4,2))</f>
        <v>45894</v>
      </c>
      <c r="B447" t="str">
        <f>"АРТ-"&amp;LEFT(SUBSTITUTE(SUBSTITUTE(SUBSTITUTE(SUBSTITUTE(Продажи_исходные!B447,"№",""),"АРТ-",""),"АРТ_",""),"/","-"),3)</f>
        <v>АРТ-455</v>
      </c>
      <c r="C447" s="4">
        <f>IFERROR(VALUE(TRIM(SUBSTITUTE(SUBSTITUTE(SUBSTITUTE(SUBSTITUTE(Продажи_исходные!C447," шт.","")," шт",""),"шт.",""),"шт",""))),0)</f>
        <v>2</v>
      </c>
      <c r="D447" s="4">
        <f>IF(LEFT(Продажи_исходные!D447,1)="$",VALUE(MID(Продажи_исходные!D447,2,255))*95,IF(LEFT(Продажи_исходные!D447,1)="€",VALUE(MID(Продажи_исходные!D447,2,255))*100,VALUE(SUBSTITUTE(SUBSTITUTE(Продажи_исходные!D447,"₽","")," ",""))))</f>
        <v>7000</v>
      </c>
      <c r="E447" t="str">
        <f>Продажи_исходные!E447</f>
        <v>C0446</v>
      </c>
      <c r="F447" t="str">
        <f>Продажи_исходные!F447</f>
        <v>P035</v>
      </c>
      <c r="G447" t="str">
        <f>IFERROR(VLOOKUP(Продажи_исходные!G447,Справочники!$G$2:$H$50,2,FALSE),Продажи_исходные!G447)</f>
        <v>Возврат</v>
      </c>
      <c r="H447" s="4">
        <f>IFERROR(VLOOKUP(B447,Товары_очищенные!$A$1:$G$1000,6,FALSE),"нет в каталоге")</f>
        <v>72000</v>
      </c>
      <c r="I447" t="str">
        <f>IFERROR(VLOOKUP(B447,Товары_очищенные!$A$1:$G$1000,3,FALSE),"нет в каталоге")</f>
        <v>Мониторы</v>
      </c>
      <c r="J447" t="str">
        <f t="shared" si="32"/>
        <v>OK</v>
      </c>
    </row>
    <row r="448">
      <c r="A448" s="8">
        <f>DATE(RIGHT(Продажи_исходные!A448,4),LEFT(Продажи_исходные!A448,2),MID(Продажи_исходные!A448,4,2))</f>
        <v>45895</v>
      </c>
      <c r="B448" t="str">
        <f>"АРТ-"&amp;LEFT(SUBSTITUTE(SUBSTITUTE(SUBSTITUTE(SUBSTITUTE(Продажи_исходные!B448,"№",""),"АРТ-",""),"АРТ_",""),"/","-"),3)</f>
        <v>АРТ-321</v>
      </c>
      <c r="C448" s="4">
        <f>IFERROR(VALUE(TRIM(SUBSTITUTE(SUBSTITUTE(SUBSTITUTE(SUBSTITUTE(Продажи_исходные!C448," шт.","")," шт",""),"шт.",""),"шт",""))),0)</f>
        <v>1</v>
      </c>
      <c r="D448" s="4">
        <f>IF(LEFT(Продажи_исходные!D448,1)="$",VALUE(MID(Продажи_исходные!D448,2,255))*95,IF(LEFT(Продажи_исходные!D448,1)="€",VALUE(MID(Продажи_исходные!D448,2,255))*100,VALUE(SUBSTITUTE(SUBSTITUTE(Продажи_исходные!D448,"₽","")," ",""))))</f>
        <v>6500</v>
      </c>
      <c r="E448" t="str">
        <f>Продажи_исходные!E448</f>
        <v>C0447</v>
      </c>
      <c r="F448" t="str">
        <f>Продажи_исходные!F448</f>
        <v>P046</v>
      </c>
      <c r="G448" t="str">
        <f>IFERROR(VLOOKUP(Продажи_исходные!G448,Справочники!$G$2:$H$50,2,FALSE),Продажи_исходные!G448)</f>
        <v>Завершен</v>
      </c>
      <c r="H448" s="4">
        <f>IFERROR(VLOOKUP(B448,Товары_очищенные!$A$1:$G$1000,6,FALSE),"нет в каталоге")</f>
        <v>188000</v>
      </c>
      <c r="I448" t="str">
        <f>IFERROR(VLOOKUP(B448,Товары_очищенные!$A$1:$G$1000,3,FALSE),"нет в каталоге")</f>
        <v>Телевизоры</v>
      </c>
      <c r="J448" t="str">
        <f t="shared" si="32"/>
        <v>OK</v>
      </c>
    </row>
    <row r="449">
      <c r="A449" s="8">
        <f>DATE(RIGHT(Продажи_исходные!A449,4),LEFT(Продажи_исходные!A449,2),MID(Продажи_исходные!A449,4,2))</f>
        <v>45895</v>
      </c>
      <c r="B449" t="str">
        <f>"АРТ-"&amp;LEFT(SUBSTITUTE(SUBSTITUTE(SUBSTITUTE(SUBSTITUTE(Продажи_исходные!B449,"№",""),"АРТ-",""),"АРТ_",""),"/","-"),3)</f>
        <v>АРТ-408</v>
      </c>
      <c r="C449" s="4">
        <f>IFERROR(VALUE(TRIM(SUBSTITUTE(SUBSTITUTE(SUBSTITUTE(SUBSTITUTE(Продажи_исходные!C449," шт.","")," шт",""),"шт.",""),"шт",""))),0)</f>
        <v>-1</v>
      </c>
      <c r="D449" s="4">
        <f>IF(LEFT(Продажи_исходные!D449,1)="$",VALUE(MID(Продажи_исходные!D449,2,255))*95,IF(LEFT(Продажи_исходные!D449,1)="€",VALUE(MID(Продажи_исходные!D449,2,255))*100,VALUE(SUBSTITUTE(SUBSTITUTE(Продажи_исходные!D449,"₽","")," ",""))))</f>
        <v>10450</v>
      </c>
      <c r="E449" t="str">
        <f>Продажи_исходные!E449</f>
        <v>C0448</v>
      </c>
      <c r="F449" t="str">
        <f>Продажи_исходные!F449</f>
        <v>P022</v>
      </c>
      <c r="G449" t="str">
        <f>IFERROR(VLOOKUP(Продажи_исходные!G449,Справочники!$G$2:$H$50,2,FALSE),Продажи_исходные!G449)</f>
        <v>Завершен</v>
      </c>
      <c r="H449" s="4">
        <f>IFERROR(VLOOKUP(B449,Товары_очищенные!$A$1:$G$1000,6,FALSE),"нет в каталоге")</f>
        <v>107500</v>
      </c>
      <c r="I449" t="str">
        <f>IFERROR(VLOOKUP(B449,Товары_очищенные!$A$1:$G$1000,3,FALSE),"нет в каталоге")</f>
        <v>Телевизоры</v>
      </c>
      <c r="J449" t="str">
        <f t="shared" si="32"/>
        <v>OK</v>
      </c>
    </row>
    <row r="450">
      <c r="A450" s="8">
        <f>DATE(RIGHT(Продажи_исходные!A450,4),LEFT(Продажи_исходные!A450,2),MID(Продажи_исходные!A450,4,2))</f>
        <v>45896</v>
      </c>
      <c r="B450" t="str">
        <f>"АРТ-"&amp;LEFT(SUBSTITUTE(SUBSTITUTE(SUBSTITUTE(SUBSTITUTE(Продажи_исходные!B450,"№",""),"АРТ-",""),"АРТ_",""),"/","-"),3)</f>
        <v>АРТ-293</v>
      </c>
      <c r="C450" s="4">
        <f>IFERROR(VALUE(TRIM(SUBSTITUTE(SUBSTITUTE(SUBSTITUTE(SUBSTITUTE(Продажи_исходные!C450," шт.","")," шт",""),"шт.",""),"шт",""))),0)</f>
        <v>3</v>
      </c>
      <c r="D450" s="4">
        <f>IF(LEFT(Продажи_исходные!D450,1)="$",VALUE(MID(Продажи_исходные!D450,2,255))*95,IF(LEFT(Продажи_исходные!D450,1)="€",VALUE(MID(Продажи_исходные!D450,2,255))*100,VALUE(SUBSTITUTE(SUBSTITUTE(Продажи_исходные!D450,"₽","")," ",""))))</f>
        <v>9000</v>
      </c>
      <c r="E450" t="str">
        <f>Продажи_исходные!E450</f>
        <v>C0449</v>
      </c>
      <c r="F450" t="str">
        <f>Продажи_исходные!F450</f>
        <v>P043</v>
      </c>
      <c r="G450" t="str">
        <f>IFERROR(VLOOKUP(Продажи_исходные!G450,Справочники!$G$2:$H$50,2,FALSE),Продажи_исходные!G450)</f>
        <v>Завершен</v>
      </c>
      <c r="H450" s="4">
        <f>IFERROR(VLOOKUP(B450,Товары_очищенные!$A$1:$G$1000,6,FALSE),"нет в каталоге")</f>
        <v>132000</v>
      </c>
      <c r="I450" t="str">
        <f>IFERROR(VLOOKUP(B450,Товары_очищенные!$A$1:$G$1000,3,FALSE),"нет в каталоге")</f>
        <v>Ноутбуки</v>
      </c>
      <c r="J450" t="str">
        <f t="shared" si="32"/>
        <v>OK</v>
      </c>
    </row>
    <row r="451">
      <c r="A451" s="8">
        <f>DATE(RIGHT(Продажи_исходные!A451,4),LEFT(Продажи_исходные!A451,2),MID(Продажи_исходные!A451,4,2))</f>
        <v>45896</v>
      </c>
      <c r="B451" t="str">
        <f>"АРТ-"&amp;LEFT(SUBSTITUTE(SUBSTITUTE(SUBSTITUTE(SUBSTITUTE(Продажи_исходные!B451,"№",""),"АРТ-",""),"АРТ_",""),"/","-"),3)</f>
        <v>АРТ-265</v>
      </c>
      <c r="C451" s="4">
        <f>IFERROR(VALUE(TRIM(SUBSTITUTE(SUBSTITUTE(SUBSTITUTE(SUBSTITUTE(Продажи_исходные!C451," шт.","")," шт",""),"шт.",""),"шт",""))),0)</f>
        <v>2</v>
      </c>
      <c r="D451" s="4">
        <f>IF(LEFT(Продажи_исходные!D451,1)="$",VALUE(MID(Продажи_исходные!D451,2,255))*95,IF(LEFT(Продажи_исходные!D451,1)="€",VALUE(MID(Продажи_исходные!D451,2,255))*100,VALUE(SUBSTITUTE(SUBSTITUTE(Продажи_исходные!D451,"₽","")," ",""))))</f>
        <v>8000</v>
      </c>
      <c r="E451" t="str">
        <f>Продажи_исходные!E451</f>
        <v>C0450</v>
      </c>
      <c r="F451" t="str">
        <f>Продажи_исходные!F451</f>
        <v>P030</v>
      </c>
      <c r="G451" t="str">
        <f>IFERROR(VLOOKUP(Продажи_исходные!G451,Справочники!$G$2:$H$50,2,FALSE),Продажи_исходные!G451)</f>
        <v>Отменен</v>
      </c>
      <c r="H451" s="4">
        <f>IFERROR(VLOOKUP(B451,Товары_очищенные!$A$1:$G$1000,6,FALSE),"нет в каталоге")</f>
        <v>67990</v>
      </c>
      <c r="I451" t="str">
        <f>IFERROR(VLOOKUP(B451,Товары_очищенные!$A$1:$G$1000,3,FALSE),"нет в каталоге")</f>
        <v>Мониторы</v>
      </c>
      <c r="J451" t="str">
        <f t="shared" si="32"/>
        <v>OK</v>
      </c>
    </row>
    <row r="452">
      <c r="A452" s="8">
        <f>DATE(RIGHT(Продажи_исходные!A452,4),LEFT(Продажи_исходные!A452,2),MID(Продажи_исходные!A452,4,2))</f>
        <v>45897</v>
      </c>
      <c r="B452" t="str">
        <f>"АРТ-"&amp;LEFT(SUBSTITUTE(SUBSTITUTE(SUBSTITUTE(SUBSTITUTE(Продажи_исходные!B452,"№",""),"АРТ-",""),"АРТ_",""),"/","-"),3)</f>
        <v>АРТ-064</v>
      </c>
      <c r="C452" s="4">
        <f>IFERROR(VALUE(TRIM(SUBSTITUTE(SUBSTITUTE(SUBSTITUTE(SUBSTITUTE(Продажи_исходные!C452," шт.","")," шт",""),"шт.",""),"шт",""))),0)</f>
        <v>1</v>
      </c>
      <c r="D452" s="4">
        <f>IF(LEFT(Продажи_исходные!D452,1)="$",VALUE(MID(Продажи_исходные!D452,2,255))*95,IF(LEFT(Продажи_исходные!D452,1)="€",VALUE(MID(Продажи_исходные!D452,2,255))*100,VALUE(SUBSTITUTE(SUBSTITUTE(Продажи_исходные!D452,"₽","")," ",""))))</f>
        <v>9025</v>
      </c>
      <c r="E452" t="str">
        <f>Продажи_исходные!E452</f>
        <v>C0451</v>
      </c>
      <c r="F452" t="str">
        <f>Продажи_исходные!F452</f>
        <v>P012</v>
      </c>
      <c r="G452" t="str">
        <f>IFERROR(VLOOKUP(Продажи_исходные!G452,Справочники!$G$2:$H$50,2,FALSE),Продажи_исходные!G452)</f>
        <v>Отменен</v>
      </c>
      <c r="H452" s="4">
        <f>IFERROR(VLOOKUP(B452,Товары_очищенные!$A$1:$G$1000,6,FALSE),"нет в каталоге")</f>
        <v>56990</v>
      </c>
      <c r="I452" t="str">
        <f>IFERROR(VLOOKUP(B452,Товары_очищенные!$A$1:$G$1000,3,FALSE),"нет в каталоге")</f>
        <v>Смартфоны</v>
      </c>
      <c r="J452" t="str">
        <f t="shared" si="32"/>
        <v>OK</v>
      </c>
    </row>
    <row r="453">
      <c r="A453" s="8">
        <f>DATE(RIGHT(Продажи_исходные!A453,4),LEFT(Продажи_исходные!A453,2),MID(Продажи_исходные!A453,4,2))</f>
        <v>45897</v>
      </c>
      <c r="B453" t="str">
        <f>"АРТ-"&amp;LEFT(SUBSTITUTE(SUBSTITUTE(SUBSTITUTE(SUBSTITUTE(Продажи_исходные!B453,"№",""),"АРТ-",""),"АРТ_",""),"/","-"),3)</f>
        <v>АРТ-491</v>
      </c>
      <c r="C453" s="4">
        <f>IFERROR(VALUE(TRIM(SUBSTITUTE(SUBSTITUTE(SUBSTITUTE(SUBSTITUTE(Продажи_исходные!C453," шт.","")," шт",""),"шт.",""),"шт",""))),0)</f>
        <v>2</v>
      </c>
      <c r="D453" s="4">
        <f>IF(LEFT(Продажи_исходные!D453,1)="$",VALUE(MID(Продажи_исходные!D453,2,255))*95,IF(LEFT(Продажи_исходные!D453,1)="€",VALUE(MID(Продажи_исходные!D453,2,255))*100,VALUE(SUBSTITUTE(SUBSTITUTE(Продажи_исходные!D453,"₽","")," ",""))))</f>
        <v>7500</v>
      </c>
      <c r="E453" t="str">
        <f>Продажи_исходные!E453</f>
        <v>C0452</v>
      </c>
      <c r="F453" t="str">
        <f>Продажи_исходные!F453</f>
        <v>P007</v>
      </c>
      <c r="G453" t="str">
        <f>IFERROR(VLOOKUP(Продажи_исходные!G453,Справочники!$G$2:$H$50,2,FALSE),Продажи_исходные!G453)</f>
        <v>Возврат</v>
      </c>
      <c r="H453" s="4">
        <f>IFERROR(VLOOKUP(B453,Товары_очищенные!$A$1:$G$1000,6,FALSE),"нет в каталоге")</f>
        <v>59500</v>
      </c>
      <c r="I453" t="str">
        <f>IFERROR(VLOOKUP(B453,Товары_очищенные!$A$1:$G$1000,3,FALSE),"нет в каталоге")</f>
        <v>Телевизоры</v>
      </c>
      <c r="J453" t="str">
        <f t="shared" si="32"/>
        <v>OK</v>
      </c>
    </row>
    <row r="454">
      <c r="A454" s="8">
        <f>DATE(RIGHT(Продажи_исходные!A454,4),LEFT(Продажи_исходные!A454,2),MID(Продажи_исходные!A454,4,2))</f>
        <v>45898</v>
      </c>
      <c r="B454" t="str">
        <f>"АРТ-"&amp;LEFT(SUBSTITUTE(SUBSTITUTE(SUBSTITUTE(SUBSTITUTE(Продажи_исходные!B454,"№",""),"АРТ-",""),"АРТ_",""),"/","-"),3)</f>
        <v>АРТ-361</v>
      </c>
      <c r="C454" s="4">
        <f>IFERROR(VALUE(TRIM(SUBSTITUTE(SUBSTITUTE(SUBSTITUTE(SUBSTITUTE(Продажи_исходные!C454," шт.","")," шт",""),"шт.",""),"шт",""))),0)</f>
        <v>3</v>
      </c>
      <c r="D454" s="4">
        <f>IF(LEFT(Продажи_исходные!D454,1)="$",VALUE(MID(Продажи_исходные!D454,2,255))*95,IF(LEFT(Продажи_исходные!D454,1)="€",VALUE(MID(Продажи_исходные!D454,2,255))*100,VALUE(SUBSTITUTE(SUBSTITUTE(Продажи_исходные!D454,"₽","")," ",""))))</f>
        <v>7000</v>
      </c>
      <c r="E454" t="str">
        <f>Продажи_исходные!E454</f>
        <v>C0453</v>
      </c>
      <c r="F454" t="str">
        <f>Продажи_исходные!F454</f>
        <v>P023</v>
      </c>
      <c r="G454" t="str">
        <f>IFERROR(VLOOKUP(Продажи_исходные!G454,Справочники!$G$2:$H$50,2,FALSE),Продажи_исходные!G454)</f>
        <v>Завершен</v>
      </c>
      <c r="H454" s="4">
        <f>IFERROR(VLOOKUP(B454,Товары_очищенные!$A$1:$G$1000,6,FALSE),"нет в каталоге")</f>
        <v>145990</v>
      </c>
      <c r="I454" t="str">
        <f>IFERROR(VLOOKUP(B454,Товары_очищенные!$A$1:$G$1000,3,FALSE),"нет в каталоге")</f>
        <v>Ноутбуки</v>
      </c>
      <c r="J454" t="str">
        <f t="shared" si="32"/>
        <v>OK</v>
      </c>
    </row>
    <row r="455">
      <c r="A455" s="8">
        <f>DATE(RIGHT(Продажи_исходные!A455,4),LEFT(Продажи_исходные!A455,2),MID(Продажи_исходные!A455,4,2))</f>
        <v>45898</v>
      </c>
      <c r="B455" t="str">
        <f>"АРТ-"&amp;LEFT(SUBSTITUTE(SUBSTITUTE(SUBSTITUTE(SUBSTITUTE(Продажи_исходные!B455,"№",""),"АРТ-",""),"АРТ_",""),"/","-"),3)</f>
        <v>АРТ-206</v>
      </c>
      <c r="C455" s="4">
        <f>IFERROR(VALUE(TRIM(SUBSTITUTE(SUBSTITUTE(SUBSTITUTE(SUBSTITUTE(Продажи_исходные!C455," шт.","")," шт",""),"шт.",""),"шт",""))),0)</f>
        <v>-2</v>
      </c>
      <c r="D455" s="4">
        <f>IF(LEFT(Продажи_исходные!D455,1)="$",VALUE(MID(Продажи_исходные!D455,2,255))*95,IF(LEFT(Продажи_исходные!D455,1)="€",VALUE(MID(Продажи_исходные!D455,2,255))*100,VALUE(SUBSTITUTE(SUBSTITUTE(Продажи_исходные!D455,"₽","")," ",""))))</f>
        <v>10925</v>
      </c>
      <c r="E455" t="str">
        <f>Продажи_исходные!E455</f>
        <v>C0454</v>
      </c>
      <c r="F455" t="str">
        <f>Продажи_исходные!F455</f>
        <v>P045</v>
      </c>
      <c r="G455" t="str">
        <f>IFERROR(VLOOKUP(Продажи_исходные!G455,Справочники!$G$2:$H$50,2,FALSE),Продажи_исходные!G455)</f>
        <v>Завершен</v>
      </c>
      <c r="H455" s="4">
        <f>IFERROR(VLOOKUP(B455,Товары_очищенные!$A$1:$G$1000,6,FALSE),"нет в каталоге")</f>
        <v>62500</v>
      </c>
      <c r="I455" t="str">
        <f>IFERROR(VLOOKUP(B455,Товары_очищенные!$A$1:$G$1000,3,FALSE),"нет в каталоге")</f>
        <v>Мониторы</v>
      </c>
      <c r="J455" t="str">
        <f t="shared" si="32"/>
        <v>OK</v>
      </c>
    </row>
    <row r="456">
      <c r="A456" s="8">
        <f>DATE(RIGHT(Продажи_исходные!A456,4),LEFT(Продажи_исходные!A456,2),MID(Продажи_исходные!A456,4,2))</f>
        <v>45899</v>
      </c>
      <c r="B456" t="str">
        <f>"АРТ-"&amp;LEFT(SUBSTITUTE(SUBSTITUTE(SUBSTITUTE(SUBSTITUTE(Продажи_исходные!B456,"№",""),"АРТ-",""),"АРТ_",""),"/","-"),3)</f>
        <v>АРТ-245</v>
      </c>
      <c r="C456" s="4">
        <f>IFERROR(VALUE(TRIM(SUBSTITUTE(SUBSTITUTE(SUBSTITUTE(SUBSTITUTE(Продажи_исходные!C456," шт.","")," шт",""),"шт.",""),"шт",""))),0)</f>
        <v>1</v>
      </c>
      <c r="D456" s="4">
        <f>IF(LEFT(Продажи_исходные!D456,1)="$",VALUE(MID(Продажи_исходные!D456,2,255))*95,IF(LEFT(Продажи_исходные!D456,1)="€",VALUE(MID(Продажи_исходные!D456,2,255))*100,VALUE(SUBSTITUTE(SUBSTITUTE(Продажи_исходные!D456,"₽","")," ",""))))</f>
        <v>9500</v>
      </c>
      <c r="E456" t="str">
        <f>Продажи_исходные!E456</f>
        <v>C0455</v>
      </c>
      <c r="F456" t="str">
        <f>Продажи_исходные!F456</f>
        <v>P008</v>
      </c>
      <c r="G456" t="str">
        <f>IFERROR(VLOOKUP(Продажи_исходные!G456,Справочники!$G$2:$H$50,2,FALSE),Продажи_исходные!G456)</f>
        <v>Завершен</v>
      </c>
      <c r="H456" s="4">
        <f>IFERROR(VLOOKUP(B456,Товары_очищенные!$A$1:$G$1000,6,FALSE),"нет в каталоге")</f>
        <v>75000</v>
      </c>
      <c r="I456" t="str">
        <f>IFERROR(VLOOKUP(B456,Товары_очищенные!$A$1:$G$1000,3,FALSE),"нет в каталоге")</f>
        <v>Мониторы</v>
      </c>
      <c r="J456" t="str">
        <f t="shared" si="32"/>
        <v>OK</v>
      </c>
    </row>
    <row r="457">
      <c r="A457" s="8">
        <f>DATE(RIGHT(Продажи_исходные!A457,4),LEFT(Продажи_исходные!A457,2),MID(Продажи_исходные!A457,4,2))</f>
        <v>45899</v>
      </c>
      <c r="B457" t="str">
        <f>"АРТ-"&amp;LEFT(SUBSTITUTE(SUBSTITUTE(SUBSTITUTE(SUBSTITUTE(Продажи_исходные!B457,"№",""),"АРТ-",""),"АРТ_",""),"/","-"),3)</f>
        <v>АРТ-088</v>
      </c>
      <c r="C457" s="4">
        <f>IFERROR(VALUE(TRIM(SUBSTITUTE(SUBSTITUTE(SUBSTITUTE(SUBSTITUTE(Продажи_исходные!C457," шт.","")," шт",""),"шт.",""),"шт",""))),0)</f>
        <v>2</v>
      </c>
      <c r="D457" s="4">
        <f>IF(LEFT(Продажи_исходные!D457,1)="$",VALUE(MID(Продажи_исходные!D457,2,255))*95,IF(LEFT(Продажи_исходные!D457,1)="€",VALUE(MID(Продажи_исходные!D457,2,255))*100,VALUE(SUBSTITUTE(SUBSTITUTE(Продажи_исходные!D457,"₽","")," ",""))))</f>
        <v>8500</v>
      </c>
      <c r="E457" t="str">
        <f>Продажи_исходные!E457</f>
        <v>C0456</v>
      </c>
      <c r="F457" t="str">
        <f>Продажи_исходные!F457</f>
        <v>P031</v>
      </c>
      <c r="G457" t="str">
        <f>IFERROR(VLOOKUP(Продажи_исходные!G457,Справочники!$G$2:$H$50,2,FALSE),Продажи_исходные!G457)</f>
        <v>Отменен</v>
      </c>
      <c r="H457" s="4">
        <f>IFERROR(VLOOKUP(B457,Товары_очищенные!$A$1:$G$1000,6,FALSE),"нет в каталоге")</f>
        <v>54999</v>
      </c>
      <c r="I457" t="str">
        <f>IFERROR(VLOOKUP(B457,Товары_очищенные!$A$1:$G$1000,3,FALSE),"нет в каталоге")</f>
        <v>Телевизоры</v>
      </c>
      <c r="J457" t="str">
        <f t="shared" si="32"/>
        <v>OK</v>
      </c>
    </row>
    <row r="458">
      <c r="A458" s="8">
        <f>DATE(RIGHT(Продажи_исходные!A458,4),LEFT(Продажи_исходные!A458,2),MID(Продажи_исходные!A458,4,2))</f>
        <v>45900</v>
      </c>
      <c r="B458" t="str">
        <f>"АРТ-"&amp;LEFT(SUBSTITUTE(SUBSTITUTE(SUBSTITUTE(SUBSTITUTE(Продажи_исходные!B458,"№",""),"АРТ-",""),"АРТ_",""),"/","-"),3)</f>
        <v>АРТ-171</v>
      </c>
      <c r="C458" s="4">
        <f>IFERROR(VALUE(TRIM(SUBSTITUTE(SUBSTITUTE(SUBSTITUTE(SUBSTITUTE(Продажи_исходные!C458," шт.","")," шт",""),"шт.",""),"шт",""))),0)</f>
        <v>3</v>
      </c>
      <c r="D458" s="4">
        <f>IF(LEFT(Продажи_исходные!D458,1)="$",VALUE(MID(Продажи_исходные!D458,2,255))*95,IF(LEFT(Продажи_исходные!D458,1)="€",VALUE(MID(Продажи_исходные!D458,2,255))*100,VALUE(SUBSTITUTE(SUBSTITUTE(Продажи_исходные!D458,"₽","")," ",""))))</f>
        <v>9975</v>
      </c>
      <c r="E458" t="str">
        <f>Продажи_исходные!E458</f>
        <v>C0457</v>
      </c>
      <c r="F458" t="str">
        <f>Продажи_исходные!F458</f>
        <v>P019</v>
      </c>
      <c r="G458" t="str">
        <f>IFERROR(VLOOKUP(Продажи_исходные!G458,Справочники!$G$2:$H$50,2,FALSE),Продажи_исходные!G458)</f>
        <v>Отменен</v>
      </c>
      <c r="H458" s="4">
        <f>IFERROR(VLOOKUP(B458,Товары_очищенные!$A$1:$G$1000,6,FALSE),"нет в каталоге")</f>
        <v>59500</v>
      </c>
      <c r="I458" t="str">
        <f>IFERROR(VLOOKUP(B458,Товары_очищенные!$A$1:$G$1000,3,FALSE),"нет в каталоге")</f>
        <v>Смартфоны</v>
      </c>
      <c r="J458" t="str">
        <f t="shared" si="32"/>
        <v>OK</v>
      </c>
    </row>
    <row r="459">
      <c r="A459" s="8">
        <f>DATE(RIGHT(Продажи_исходные!A459,4),LEFT(Продажи_исходные!A459,2),MID(Продажи_исходные!A459,4,2))</f>
        <v>45900</v>
      </c>
      <c r="B459" t="str">
        <f>"АРТ-"&amp;LEFT(SUBSTITUTE(SUBSTITUTE(SUBSTITUTE(SUBSTITUTE(Продажи_исходные!B459,"№",""),"АРТ-",""),"АРТ_",""),"/","-"),3)</f>
        <v>АРТ-433</v>
      </c>
      <c r="C459" s="4">
        <f>IFERROR(VALUE(TRIM(SUBSTITUTE(SUBSTITUTE(SUBSTITUTE(SUBSTITUTE(Продажи_исходные!C459," шт.","")," шт",""),"шт.",""),"шт",""))),0)</f>
        <v>2</v>
      </c>
      <c r="D459" s="4">
        <f>IF(LEFT(Продажи_исходные!D459,1)="$",VALUE(MID(Продажи_исходные!D459,2,255))*95,IF(LEFT(Продажи_исходные!D459,1)="€",VALUE(MID(Продажи_исходные!D459,2,255))*100,VALUE(SUBSTITUTE(SUBSTITUTE(Продажи_исходные!D459,"₽","")," ",""))))</f>
        <v>8500</v>
      </c>
      <c r="E459" t="str">
        <f>Продажи_исходные!E459</f>
        <v>C0458</v>
      </c>
      <c r="F459" t="str">
        <f>Продажи_исходные!F459</f>
        <v>P042</v>
      </c>
      <c r="G459" t="str">
        <f>IFERROR(VLOOKUP(Продажи_исходные!G459,Справочники!$G$2:$H$50,2,FALSE),Продажи_исходные!G459)</f>
        <v>Завершен</v>
      </c>
      <c r="H459" s="4">
        <f>IFERROR(VLOOKUP(B459,Товары_очищенные!$A$1:$G$1000,6,FALSE),"нет в каталоге")</f>
        <v>43990</v>
      </c>
      <c r="I459" t="str">
        <f>IFERROR(VLOOKUP(B459,Товары_очищенные!$A$1:$G$1000,3,FALSE),"нет в каталоге")</f>
        <v>Мониторы</v>
      </c>
      <c r="J459" t="str">
        <f t="shared" si="32"/>
        <v>OK</v>
      </c>
    </row>
    <row r="460">
      <c r="A460" s="8">
        <f>DATE(RIGHT(Продажи_исходные!A460,4),LEFT(Продажи_исходные!A460,2),MID(Продажи_исходные!A460,4,2))</f>
        <v>45901</v>
      </c>
      <c r="B460" t="str">
        <f>"АРТ-"&amp;LEFT(SUBSTITUTE(SUBSTITUTE(SUBSTITUTE(SUBSTITUTE(Продажи_исходные!B460,"№",""),"АРТ-",""),"АРТ_",""),"/","-"),3)</f>
        <v>АРТ-315</v>
      </c>
      <c r="C460" s="4">
        <f>IFERROR(VALUE(TRIM(SUBSTITUTE(SUBSTITUTE(SUBSTITUTE(SUBSTITUTE(Продажи_исходные!C460," шт.","")," шт",""),"шт.",""),"шт",""))),0)</f>
        <v>1</v>
      </c>
      <c r="D460" s="4">
        <f>IF(LEFT(Продажи_исходные!D460,1)="$",VALUE(MID(Продажи_исходные!D460,2,255))*95,IF(LEFT(Продажи_исходные!D460,1)="€",VALUE(MID(Продажи_исходные!D460,2,255))*100,VALUE(SUBSTITUTE(SUBSTITUTE(Продажи_исходные!D460,"₽","")," ",""))))</f>
        <v>7800</v>
      </c>
      <c r="E460" t="str">
        <f>Продажи_исходные!E460</f>
        <v>C0459</v>
      </c>
      <c r="F460" t="str">
        <f>Продажи_исходные!F460</f>
        <v>P005</v>
      </c>
      <c r="G460" t="str">
        <f>IFERROR(VLOOKUP(Продажи_исходные!G460,Справочники!$G$2:$H$50,2,FALSE),Продажи_исходные!G460)</f>
        <v>Возврат</v>
      </c>
      <c r="H460" s="4">
        <f>IFERROR(VLOOKUP(B460,Товары_очищенные!$A$1:$G$1000,6,FALSE),"нет в каталоге")</f>
        <v>72000</v>
      </c>
      <c r="I460" t="str">
        <f>IFERROR(VLOOKUP(B460,Товары_очищенные!$A$1:$G$1000,3,FALSE),"нет в каталоге")</f>
        <v>Смартфоны</v>
      </c>
      <c r="J460" t="str">
        <f t="shared" si="32"/>
        <v>OK</v>
      </c>
    </row>
    <row r="461">
      <c r="A461" s="8">
        <f>DATE(RIGHT(Продажи_исходные!A461,4),LEFT(Продажи_исходные!A461,2),MID(Продажи_исходные!A461,4,2))</f>
        <v>45901</v>
      </c>
      <c r="B461" t="str">
        <f>"АРТ-"&amp;LEFT(SUBSTITUTE(SUBSTITUTE(SUBSTITUTE(SUBSTITUTE(Продажи_исходные!B461,"№",""),"АРТ-",""),"АРТ_",""),"/","-"),3)</f>
        <v>АРТ-401</v>
      </c>
      <c r="C461" s="4">
        <f>IFERROR(VALUE(TRIM(SUBSTITUTE(SUBSTITUTE(SUBSTITUTE(SUBSTITUTE(Продажи_исходные!C461," шт.","")," шт",""),"шт.",""),"шт",""))),0)</f>
        <v>-3</v>
      </c>
      <c r="D461" s="4">
        <f>IF(LEFT(Продажи_исходные!D461,1)="$",VALUE(MID(Продажи_исходные!D461,2,255))*95,IF(LEFT(Продажи_исходные!D461,1)="€",VALUE(MID(Продажи_исходные!D461,2,255))*100,VALUE(SUBSTITUTE(SUBSTITUTE(Продажи_исходные!D461,"₽","")," ",""))))</f>
        <v>11400</v>
      </c>
      <c r="E461" t="str">
        <f>Продажи_исходные!E461</f>
        <v>C0460</v>
      </c>
      <c r="F461" t="str">
        <f>Продажи_исходные!F461</f>
        <v>P036</v>
      </c>
      <c r="G461" t="str">
        <f>IFERROR(VLOOKUP(Продажи_исходные!G461,Справочники!$G$2:$H$50,2,FALSE),Продажи_исходные!G461)</f>
        <v>Завершен</v>
      </c>
      <c r="H461" s="4">
        <f>IFERROR(VLOOKUP(B461,Товары_очищенные!$A$1:$G$1000,6,FALSE),"нет в каталоге")</f>
        <v>19000</v>
      </c>
      <c r="I461" t="str">
        <f>IFERROR(VLOOKUP(B461,Товары_очищенные!$A$1:$G$1000,3,FALSE),"нет в каталоге")</f>
        <v>Смартфоны</v>
      </c>
      <c r="J461" t="str">
        <f t="shared" si="32"/>
        <v>OK</v>
      </c>
    </row>
    <row r="462">
      <c r="A462" s="8">
        <f>DATE(RIGHT(Продажи_исходные!A462,4),LEFT(Продажи_исходные!A462,2),MID(Продажи_исходные!A462,4,2))</f>
        <v>45902</v>
      </c>
      <c r="B462" t="str">
        <f>"АРТ-"&amp;LEFT(SUBSTITUTE(SUBSTITUTE(SUBSTITUTE(SUBSTITUTE(Продажи_исходные!B462,"№",""),"АРТ-",""),"АРТ_",""),"/","-"),3)</f>
        <v>АРТ-312</v>
      </c>
      <c r="C462" s="4">
        <f>IFERROR(VALUE(TRIM(SUBSTITUTE(SUBSTITUTE(SUBSTITUTE(SUBSTITUTE(Продажи_исходные!C462," шт.","")," шт",""),"шт.",""),"шт",""))),0)</f>
        <v>2</v>
      </c>
      <c r="D462" s="4">
        <f>IF(LEFT(Продажи_исходные!D462,1)="$",VALUE(MID(Продажи_исходные!D462,2,255))*95,IF(LEFT(Продажи_исходные!D462,1)="€",VALUE(MID(Продажи_исходные!D462,2,255))*100,VALUE(SUBSTITUTE(SUBSTITUTE(Продажи_исходные!D462,"₽","")," ",""))))</f>
        <v>10000</v>
      </c>
      <c r="E462" t="str">
        <f>Продажи_исходные!E462</f>
        <v>C0461</v>
      </c>
      <c r="F462" t="str">
        <f>Продажи_исходные!F462</f>
        <v>P014</v>
      </c>
      <c r="G462" t="str">
        <f>IFERROR(VLOOKUP(Продажи_исходные!G462,Справочники!$G$2:$H$50,2,FALSE),Продажи_исходные!G462)</f>
        <v>Завершен</v>
      </c>
      <c r="H462" s="4">
        <f>IFERROR(VLOOKUP(B462,Товары_очищенные!$A$1:$G$1000,6,FALSE),"нет в каталоге")</f>
        <v>67000</v>
      </c>
      <c r="I462" t="str">
        <f>IFERROR(VLOOKUP(B462,Товары_очищенные!$A$1:$G$1000,3,FALSE),"нет в каталоге")</f>
        <v>Планшеты</v>
      </c>
      <c r="J462" t="str">
        <f t="shared" si="32"/>
        <v>OK</v>
      </c>
    </row>
    <row r="463">
      <c r="A463" s="8">
        <f>DATE(RIGHT(Продажи_исходные!A463,4),LEFT(Продажи_исходные!A463,2),MID(Продажи_исходные!A463,4,2))</f>
        <v>45902</v>
      </c>
      <c r="B463" t="str">
        <f>"АРТ-"&amp;LEFT(SUBSTITUTE(SUBSTITUTE(SUBSTITUTE(SUBSTITUTE(Продажи_исходные!B463,"№",""),"АРТ-",""),"АРТ_",""),"/","-"),3)</f>
        <v>АРТ-189</v>
      </c>
      <c r="C463" s="4">
        <f>IFERROR(VALUE(TRIM(SUBSTITUTE(SUBSTITUTE(SUBSTITUTE(SUBSTITUTE(Продажи_исходные!C463," шт.","")," шт",""),"шт.",""),"шт",""))),0)</f>
        <v>1</v>
      </c>
      <c r="D463" s="4">
        <f>IF(LEFT(Продажи_исходные!D463,1)="$",VALUE(MID(Продажи_исходные!D463,2,255))*95,IF(LEFT(Продажи_исходные!D463,1)="€",VALUE(MID(Продажи_исходные!D463,2,255))*100,VALUE(SUBSTITUTE(SUBSTITUTE(Продажи_исходные!D463,"₽","")," ",""))))</f>
        <v>9200</v>
      </c>
      <c r="E463" t="str">
        <f>Продажи_исходные!E463</f>
        <v>C0462</v>
      </c>
      <c r="F463" t="str">
        <f>Продажи_исходные!F463</f>
        <v>P028</v>
      </c>
      <c r="G463" t="str">
        <f>IFERROR(VLOOKUP(Продажи_исходные!G463,Справочники!$G$2:$H$50,2,FALSE),Продажи_исходные!G463)</f>
        <v>Завершен</v>
      </c>
      <c r="H463" s="4">
        <f>IFERROR(VLOOKUP(B463,Товары_очищенные!$A$1:$G$1000,6,FALSE),"нет в каталоге")</f>
        <v>51500</v>
      </c>
      <c r="I463" t="str">
        <f>IFERROR(VLOOKUP(B463,Товары_очищенные!$A$1:$G$1000,3,FALSE),"нет в каталоге")</f>
        <v>Часы</v>
      </c>
      <c r="J463" t="str">
        <f t="shared" si="32"/>
        <v>OK</v>
      </c>
    </row>
    <row r="464">
      <c r="A464" s="8">
        <f>DATE(RIGHT(Продажи_исходные!A464,4),LEFT(Продажи_исходные!A464,2),MID(Продажи_исходные!A464,4,2))</f>
        <v>45903</v>
      </c>
      <c r="B464" t="str">
        <f>"АРТ-"&amp;LEFT(SUBSTITUTE(SUBSTITUTE(SUBSTITUTE(SUBSTITUTE(Продажи_исходные!B464,"№",""),"АРТ-",""),"АРТ_",""),"/","-"),3)</f>
        <v>АРТ-104</v>
      </c>
      <c r="C464" s="4">
        <f>IFERROR(VALUE(TRIM(SUBSTITUTE(SUBSTITUTE(SUBSTITUTE(SUBSTITUTE(Продажи_исходные!C464," шт.","")," шт",""),"шт.",""),"шт",""))),0)</f>
        <v>3</v>
      </c>
      <c r="D464" s="4">
        <f>IF(LEFT(Продажи_исходные!D464,1)="$",VALUE(MID(Продажи_исходные!D464,2,255))*95,IF(LEFT(Продажи_исходные!D464,1)="€",VALUE(MID(Продажи_исходные!D464,2,255))*100,VALUE(SUBSTITUTE(SUBSTITUTE(Продажи_исходные!D464,"₽","")," ",""))))</f>
        <v>8550</v>
      </c>
      <c r="E464" t="str">
        <f>Продажи_исходные!E464</f>
        <v>C0463</v>
      </c>
      <c r="F464" t="str">
        <f>Продажи_исходные!F464</f>
        <v>P009</v>
      </c>
      <c r="G464" t="str">
        <f>IFERROR(VLOOKUP(Продажи_исходные!G464,Справочники!$G$2:$H$50,2,FALSE),Продажи_исходные!G464)</f>
        <v>Отменен</v>
      </c>
      <c r="H464" s="4">
        <f>IFERROR(VLOOKUP(B464,Товары_очищенные!$A$1:$G$1000,6,FALSE),"нет в каталоге")</f>
        <v>147000</v>
      </c>
      <c r="I464" t="str">
        <f>IFERROR(VLOOKUP(B464,Товары_очищенные!$A$1:$G$1000,3,FALSE),"нет в каталоге")</f>
        <v>Ноутбуки</v>
      </c>
      <c r="J464" t="str">
        <f t="shared" si="32"/>
        <v>OK</v>
      </c>
    </row>
    <row r="465">
      <c r="A465" s="8">
        <f>DATE(RIGHT(Продажи_исходные!A465,4),LEFT(Продажи_исходные!A465,2),MID(Продажи_исходные!A465,4,2))</f>
        <v>45903</v>
      </c>
      <c r="B465" t="str">
        <f>"АРТ-"&amp;LEFT(SUBSTITUTE(SUBSTITUTE(SUBSTITUTE(SUBSTITUTE(Продажи_исходные!B465,"№",""),"АРТ-",""),"АРТ_",""),"/","-"),3)</f>
        <v>АРТ-460</v>
      </c>
      <c r="C465" s="4">
        <f>IFERROR(VALUE(TRIM(SUBSTITUTE(SUBSTITUTE(SUBSTITUTE(SUBSTITUTE(Продажи_исходные!C465," шт.","")," шт",""),"шт.",""),"шт",""))),0)</f>
        <v>2</v>
      </c>
      <c r="D465" s="4">
        <f>IF(LEFT(Продажи_исходные!D465,1)="$",VALUE(MID(Продажи_исходные!D465,2,255))*95,IF(LEFT(Продажи_исходные!D465,1)="€",VALUE(MID(Продажи_исходные!D465,2,255))*100,VALUE(SUBSTITUTE(SUBSTITUTE(Продажи_исходные!D465,"₽","")," ",""))))</f>
        <v>7000</v>
      </c>
      <c r="E465" t="str">
        <f>Продажи_исходные!E465</f>
        <v>C0464</v>
      </c>
      <c r="F465" t="str">
        <f>Продажи_исходные!F465</f>
        <v>P041</v>
      </c>
      <c r="G465" t="str">
        <f>IFERROR(VLOOKUP(Продажи_исходные!G465,Справочники!$G$2:$H$50,2,FALSE),Продажи_исходные!G465)</f>
        <v>Отменен</v>
      </c>
      <c r="H465" s="4">
        <f>IFERROR(VLOOKUP(B465,Товары_очищенные!$A$1:$G$1000,6,FALSE),"нет в каталоге")</f>
        <v>47990</v>
      </c>
      <c r="I465" t="str">
        <f>IFERROR(VLOOKUP(B465,Товары_очищенные!$A$1:$G$1000,3,FALSE),"нет в каталоге")</f>
        <v>Часы</v>
      </c>
      <c r="J465" t="str">
        <f t="shared" si="32"/>
        <v>OK</v>
      </c>
    </row>
    <row r="466">
      <c r="A466" s="8">
        <f>DATE(RIGHT(Продажи_исходные!A466,4),LEFT(Продажи_исходные!A466,2),MID(Продажи_исходные!A466,4,2))</f>
        <v>45904</v>
      </c>
      <c r="B466" t="str">
        <f>"АРТ-"&amp;LEFT(SUBSTITUTE(SUBSTITUTE(SUBSTITUTE(SUBSTITUTE(Продажи_исходные!B466,"№",""),"АРТ-",""),"АРТ_",""),"/","-"),3)</f>
        <v>АРТ-366</v>
      </c>
      <c r="C466" s="4">
        <f>IFERROR(VALUE(TRIM(SUBSTITUTE(SUBSTITUTE(SUBSTITUTE(SUBSTITUTE(Продажи_исходные!C466," шт.","")," шт",""),"шт.",""),"шт",""))),0)</f>
        <v>1</v>
      </c>
      <c r="D466" s="4">
        <f>IF(LEFT(Продажи_исходные!D466,1)="$",VALUE(MID(Продажи_исходные!D466,2,255))*95,IF(LEFT(Продажи_исходные!D466,1)="€",VALUE(MID(Продажи_исходные!D466,2,255))*100,VALUE(SUBSTITUTE(SUBSTITUTE(Продажи_исходные!D466,"₽","")," ",""))))</f>
        <v>6500</v>
      </c>
      <c r="E466" t="str">
        <f>Продажи_исходные!E466</f>
        <v>C0465</v>
      </c>
      <c r="F466" t="str">
        <f>Продажи_исходные!F466</f>
        <v>P017</v>
      </c>
      <c r="G466" t="str">
        <f>IFERROR(VLOOKUP(Продажи_исходные!G466,Справочники!$G$2:$H$50,2,FALSE),Продажи_исходные!G466)</f>
        <v>Возврат</v>
      </c>
      <c r="H466" s="4">
        <f>IFERROR(VLOOKUP(B466,Товары_очищенные!$A$1:$G$1000,6,FALSE),"нет в каталоге")</f>
        <v>142500</v>
      </c>
      <c r="I466" t="str">
        <f>IFERROR(VLOOKUP(B466,Товары_очищенные!$A$1:$G$1000,3,FALSE),"нет в каталоге")</f>
        <v>Телевизоры</v>
      </c>
      <c r="J466" t="str">
        <f t="shared" si="32"/>
        <v>OK</v>
      </c>
    </row>
    <row r="467">
      <c r="A467" s="8">
        <f>DATE(RIGHT(Продажи_исходные!A467,4),LEFT(Продажи_исходные!A467,2),MID(Продажи_исходные!A467,4,2))</f>
        <v>45904</v>
      </c>
      <c r="B467" t="str">
        <f>"АРТ-"&amp;LEFT(SUBSTITUTE(SUBSTITUTE(SUBSTITUTE(SUBSTITUTE(Продажи_исходные!B467,"№",""),"АРТ-",""),"АРТ_",""),"/","-"),3)</f>
        <v>АРТ-384</v>
      </c>
      <c r="C467" s="4">
        <f>IFERROR(VALUE(TRIM(SUBSTITUTE(SUBSTITUTE(SUBSTITUTE(SUBSTITUTE(Продажи_исходные!C467," шт.","")," шт",""),"шт.",""),"шт",""))),0)</f>
        <v>-1</v>
      </c>
      <c r="D467" s="4">
        <f>IF(LEFT(Продажи_исходные!D467,1)="$",VALUE(MID(Продажи_исходные!D467,2,255))*95,IF(LEFT(Продажи_исходные!D467,1)="€",VALUE(MID(Продажи_исходные!D467,2,255))*100,VALUE(SUBSTITUTE(SUBSTITUTE(Продажи_исходные!D467,"₽","")," ",""))))</f>
        <v>10450</v>
      </c>
      <c r="E467" t="str">
        <f>Продажи_исходные!E467</f>
        <v>C0466</v>
      </c>
      <c r="F467" t="str">
        <f>Продажи_исходные!F467</f>
        <v>P032</v>
      </c>
      <c r="G467" t="str">
        <f>IFERROR(VLOOKUP(Продажи_исходные!G467,Справочники!$G$2:$H$50,2,FALSE),Продажи_исходные!G467)</f>
        <v>Завершен</v>
      </c>
      <c r="H467" s="4">
        <f>IFERROR(VLOOKUP(B467,Товары_очищенные!$A$1:$G$1000,6,FALSE),"нет в каталоге")</f>
        <v>44500</v>
      </c>
      <c r="I467" t="str">
        <f>IFERROR(VLOOKUP(B467,Товары_очищенные!$A$1:$G$1000,3,FALSE),"нет в каталоге")</f>
        <v>Смартфоны</v>
      </c>
      <c r="J467" t="str">
        <f t="shared" si="32"/>
        <v>OK</v>
      </c>
    </row>
    <row r="468">
      <c r="A468" s="8">
        <f>DATE(RIGHT(Продажи_исходные!A468,4),LEFT(Продажи_исходные!A468,2),MID(Продажи_исходные!A468,4,2))</f>
        <v>45905</v>
      </c>
      <c r="B468" t="str">
        <f>"АРТ-"&amp;LEFT(SUBSTITUTE(SUBSTITUTE(SUBSTITUTE(SUBSTITUTE(Продажи_исходные!B468,"№",""),"АРТ-",""),"АРТ_",""),"/","-"),3)</f>
        <v>АРТ-314</v>
      </c>
      <c r="C468" s="4">
        <f>IFERROR(VALUE(TRIM(SUBSTITUTE(SUBSTITUTE(SUBSTITUTE(SUBSTITUTE(Продажи_исходные!C468," шт.","")," шт",""),"шт.",""),"шт",""))),0)</f>
        <v>3</v>
      </c>
      <c r="D468" s="4">
        <f>IF(LEFT(Продажи_исходные!D468,1)="$",VALUE(MID(Продажи_исходные!D468,2,255))*95,IF(LEFT(Продажи_исходные!D468,1)="€",VALUE(MID(Продажи_исходные!D468,2,255))*100,VALUE(SUBSTITUTE(SUBSTITUTE(Продажи_исходные!D468,"₽","")," ",""))))</f>
        <v>9000</v>
      </c>
      <c r="E468" t="str">
        <f>Продажи_исходные!E468</f>
        <v>C0467</v>
      </c>
      <c r="F468" t="str">
        <f>Продажи_исходные!F468</f>
        <v>P049</v>
      </c>
      <c r="G468" t="str">
        <f>IFERROR(VLOOKUP(Продажи_исходные!G468,Справочники!$G$2:$H$50,2,FALSE),Продажи_исходные!G468)</f>
        <v>Завершен</v>
      </c>
      <c r="H468" s="4">
        <f>IFERROR(VLOOKUP(B468,Товары_очищенные!$A$1:$G$1000,6,FALSE),"нет в каталоге")</f>
        <v>67500</v>
      </c>
      <c r="I468" t="str">
        <f>IFERROR(VLOOKUP(B468,Товары_очищенные!$A$1:$G$1000,3,FALSE),"нет в каталоге")</f>
        <v>Смартфоны</v>
      </c>
      <c r="J468" t="str">
        <f t="shared" si="32"/>
        <v>OK</v>
      </c>
    </row>
    <row r="469">
      <c r="A469" s="8">
        <f>DATE(RIGHT(Продажи_исходные!A469,4),LEFT(Продажи_исходные!A469,2),MID(Продажи_исходные!A469,4,2))</f>
        <v>45905</v>
      </c>
      <c r="B469" t="str">
        <f>"АРТ-"&amp;LEFT(SUBSTITUTE(SUBSTITUTE(SUBSTITUTE(SUBSTITUTE(Продажи_исходные!B469,"№",""),"АРТ-",""),"АРТ_",""),"/","-"),3)</f>
        <v>АРТ-299</v>
      </c>
      <c r="C469" s="4">
        <f>IFERROR(VALUE(TRIM(SUBSTITUTE(SUBSTITUTE(SUBSTITUTE(SUBSTITUTE(Продажи_исходные!C469," шт.","")," шт",""),"шт.",""),"шт",""))),0)</f>
        <v>2</v>
      </c>
      <c r="D469" s="4">
        <f>IF(LEFT(Продажи_исходные!D469,1)="$",VALUE(MID(Продажи_исходные!D469,2,255))*95,IF(LEFT(Продажи_исходные!D469,1)="€",VALUE(MID(Продажи_исходные!D469,2,255))*100,VALUE(SUBSTITUTE(SUBSTITUTE(Продажи_исходные!D469,"₽","")," ",""))))</f>
        <v>8000</v>
      </c>
      <c r="E469" t="str">
        <f>Продажи_исходные!E469</f>
        <v>C0468</v>
      </c>
      <c r="F469" t="str">
        <f>Продажи_исходные!F469</f>
        <v>P006</v>
      </c>
      <c r="G469" t="str">
        <f>IFERROR(VLOOKUP(Продажи_исходные!G469,Справочники!$G$2:$H$50,2,FALSE),Продажи_исходные!G469)</f>
        <v>Завершен</v>
      </c>
      <c r="H469" s="4">
        <f>IFERROR(VLOOKUP(B469,Товары_очищенные!$A$1:$G$1000,6,FALSE),"нет в каталоге")</f>
        <v>63500</v>
      </c>
      <c r="I469" t="str">
        <f>IFERROR(VLOOKUP(B469,Товары_очищенные!$A$1:$G$1000,3,FALSE),"нет в каталоге")</f>
        <v>Телевизоры</v>
      </c>
      <c r="J469" t="str">
        <f t="shared" si="32"/>
        <v>OK</v>
      </c>
    </row>
    <row r="470">
      <c r="A470" s="8">
        <f>DATE(RIGHT(Продажи_исходные!A470,4),LEFT(Продажи_исходные!A470,2),MID(Продажи_исходные!A470,4,2))</f>
        <v>45906</v>
      </c>
      <c r="B470" t="str">
        <f>"АРТ-"&amp;LEFT(SUBSTITUTE(SUBSTITUTE(SUBSTITUTE(SUBSTITUTE(Продажи_исходные!B470,"№",""),"АРТ-",""),"АРТ_",""),"/","-"),3)</f>
        <v>АРТ-001</v>
      </c>
      <c r="C470" s="4">
        <f>IFERROR(VALUE(TRIM(SUBSTITUTE(SUBSTITUTE(SUBSTITUTE(SUBSTITUTE(Продажи_исходные!C470," шт.","")," шт",""),"шт.",""),"шт",""))),0)</f>
        <v>1</v>
      </c>
      <c r="D470" s="4">
        <f>IF(LEFT(Продажи_исходные!D470,1)="$",VALUE(MID(Продажи_исходные!D470,2,255))*95,IF(LEFT(Продажи_исходные!D470,1)="€",VALUE(MID(Продажи_исходные!D470,2,255))*100,VALUE(SUBSTITUTE(SUBSTITUTE(Продажи_исходные!D470,"₽","")," ",""))))</f>
        <v>9025</v>
      </c>
      <c r="E470" t="str">
        <f>Продажи_исходные!E470</f>
        <v>C0469</v>
      </c>
      <c r="F470" t="str">
        <f>Продажи_исходные!F470</f>
        <v>P024</v>
      </c>
      <c r="G470" t="str">
        <f>IFERROR(VLOOKUP(Продажи_исходные!G470,Справочники!$G$2:$H$50,2,FALSE),Продажи_исходные!G470)</f>
        <v>Отменен</v>
      </c>
      <c r="H470" s="4">
        <f>IFERROR(VLOOKUP(B470,Товары_очищенные!$A$1:$G$1000,6,FALSE),"нет в каталоге")</f>
        <v>79990</v>
      </c>
      <c r="I470" t="str">
        <f>IFERROR(VLOOKUP(B470,Товары_очищенные!$A$1:$G$1000,3,FALSE),"нет в каталоге")</f>
        <v>Смартфоны</v>
      </c>
      <c r="J470" t="str">
        <f t="shared" si="32"/>
        <v>OK</v>
      </c>
    </row>
    <row r="471">
      <c r="A471" s="8">
        <f>DATE(RIGHT(Продажи_исходные!A471,4),LEFT(Продажи_исходные!A471,2),MID(Продажи_исходные!A471,4,2))</f>
        <v>45906</v>
      </c>
      <c r="B471" t="str">
        <f>"АРТ-"&amp;LEFT(SUBSTITUTE(SUBSTITUTE(SUBSTITUTE(SUBSTITUTE(Продажи_исходные!B471,"№",""),"АРТ-",""),"АРТ_",""),"/","-"),3)</f>
        <v>АРТ-496</v>
      </c>
      <c r="C471" s="4">
        <f>IFERROR(VALUE(TRIM(SUBSTITUTE(SUBSTITUTE(SUBSTITUTE(SUBSTITUTE(Продажи_исходные!C471," шт.","")," шт",""),"шт.",""),"шт",""))),0)</f>
        <v>2</v>
      </c>
      <c r="D471" s="4">
        <f>IF(LEFT(Продажи_исходные!D471,1)="$",VALUE(MID(Продажи_исходные!D471,2,255))*95,IF(LEFT(Продажи_исходные!D471,1)="€",VALUE(MID(Продажи_исходные!D471,2,255))*100,VALUE(SUBSTITUTE(SUBSTITUTE(Продажи_исходные!D471,"₽","")," ",""))))</f>
        <v>7500</v>
      </c>
      <c r="E471" t="str">
        <f>Продажи_исходные!E471</f>
        <v>C0470</v>
      </c>
      <c r="F471" t="str">
        <f>Продажи_исходные!F471</f>
        <v>P015</v>
      </c>
      <c r="G471" t="str">
        <f>IFERROR(VLOOKUP(Продажи_исходные!G471,Справочники!$G$2:$H$50,2,FALSE),Продажи_исходные!G471)</f>
        <v>Отменен</v>
      </c>
      <c r="H471" s="4">
        <f>IFERROR(VLOOKUP(B471,Товары_очищенные!$A$1:$G$1000,6,FALSE),"нет в каталоге")</f>
        <v>59990</v>
      </c>
      <c r="I471" t="str">
        <f>IFERROR(VLOOKUP(B471,Товары_очищенные!$A$1:$G$1000,3,FALSE),"нет в каталоге")</f>
        <v>Мониторы</v>
      </c>
      <c r="J471" t="str">
        <f t="shared" si="32"/>
        <v>OK</v>
      </c>
    </row>
    <row r="472">
      <c r="A472" s="8">
        <f>DATE(RIGHT(Продажи_исходные!A472,4),LEFT(Продажи_исходные!A472,2),MID(Продажи_исходные!A472,4,2))</f>
        <v>45907</v>
      </c>
      <c r="B472" t="str">
        <f>"АРТ-"&amp;LEFT(SUBSTITUTE(SUBSTITUTE(SUBSTITUTE(SUBSTITUTE(Продажи_исходные!B472,"№",""),"АРТ-",""),"АРТ_",""),"/","-"),3)</f>
        <v>АРТ-305</v>
      </c>
      <c r="C472" s="4">
        <f>IFERROR(VALUE(TRIM(SUBSTITUTE(SUBSTITUTE(SUBSTITUTE(SUBSTITUTE(Продажи_исходные!C472," шт.","")," шт",""),"шт.",""),"шт",""))),0)</f>
        <v>3</v>
      </c>
      <c r="D472" s="4">
        <f>IF(LEFT(Продажи_исходные!D472,1)="$",VALUE(MID(Продажи_исходные!D472,2,255))*95,IF(LEFT(Продажи_исходные!D472,1)="€",VALUE(MID(Продажи_исходные!D472,2,255))*100,VALUE(SUBSTITUTE(SUBSTITUTE(Продажи_исходные!D472,"₽","")," ",""))))</f>
        <v>7000</v>
      </c>
      <c r="E472" t="str">
        <f>Продажи_исходные!E472</f>
        <v>C0471</v>
      </c>
      <c r="F472" t="str">
        <f>Продажи_исходные!F472</f>
        <v>P037</v>
      </c>
      <c r="G472" t="str">
        <f>IFERROR(VLOOKUP(Продажи_исходные!G472,Справочники!$G$2:$H$50,2,FALSE),Продажи_исходные!G472)</f>
        <v>Завершен</v>
      </c>
      <c r="H472" s="4">
        <f>IFERROR(VLOOKUP(B472,Товары_очищенные!$A$1:$G$1000,6,FALSE),"нет в каталоге")</f>
        <v>57500</v>
      </c>
      <c r="I472" t="str">
        <f>IFERROR(VLOOKUP(B472,Товары_очищенные!$A$1:$G$1000,3,FALSE),"нет в каталоге")</f>
        <v>Мониторы</v>
      </c>
      <c r="J472" t="str">
        <f t="shared" si="32"/>
        <v>OK</v>
      </c>
    </row>
    <row r="473">
      <c r="A473" s="8">
        <f>DATE(RIGHT(Продажи_исходные!A473,4),LEFT(Продажи_исходные!A473,2),MID(Продажи_исходные!A473,4,2))</f>
        <v>45907</v>
      </c>
      <c r="B473" t="str">
        <f>"АРТ-"&amp;LEFT(SUBSTITUTE(SUBSTITUTE(SUBSTITUTE(SUBSTITUTE(Продажи_исходные!B473,"№",""),"АРТ-",""),"АРТ_",""),"/","-"),3)</f>
        <v>АРТ-199</v>
      </c>
      <c r="C473" s="4">
        <f>IFERROR(VALUE(TRIM(SUBSTITUTE(SUBSTITUTE(SUBSTITUTE(SUBSTITUTE(Продажи_исходные!C473," шт.","")," шт",""),"шт.",""),"шт",""))),0)</f>
        <v>-2</v>
      </c>
      <c r="D473" s="4">
        <f>IF(LEFT(Продажи_исходные!D473,1)="$",VALUE(MID(Продажи_исходные!D473,2,255))*95,IF(LEFT(Продажи_исходные!D473,1)="€",VALUE(MID(Продажи_исходные!D473,2,255))*100,VALUE(SUBSTITUTE(SUBSTITUTE(Продажи_исходные!D473,"₽","")," ",""))))</f>
        <v>10925</v>
      </c>
      <c r="E473" t="str">
        <f>Продажи_исходные!E473</f>
        <v>C0472</v>
      </c>
      <c r="F473" t="str">
        <f>Продажи_исходные!F473</f>
        <v>P048</v>
      </c>
      <c r="G473" t="str">
        <f>IFERROR(VLOOKUP(Продажи_исходные!G473,Справочники!$G$2:$H$50,2,FALSE),Продажи_исходные!G473)</f>
        <v>Возврат</v>
      </c>
      <c r="H473" s="4">
        <f>IFERROR(VLOOKUP(B473,Товары_очищенные!$A$1:$G$1000,6,FALSE),"нет в каталоге")</f>
        <v>95990</v>
      </c>
      <c r="I473" t="str">
        <f>IFERROR(VLOOKUP(B473,Товары_очищенные!$A$1:$G$1000,3,FALSE),"нет в каталоге")</f>
        <v>Телевизоры</v>
      </c>
      <c r="J473" t="str">
        <f t="shared" si="32"/>
        <v>OK</v>
      </c>
    </row>
    <row r="474">
      <c r="A474" s="8">
        <f>DATE(RIGHT(Продажи_исходные!A474,4),LEFT(Продажи_исходные!A474,2),MID(Продажи_исходные!A474,4,2))</f>
        <v>45908</v>
      </c>
      <c r="B474" t="str">
        <f>"АРТ-"&amp;LEFT(SUBSTITUTE(SUBSTITUTE(SUBSTITUTE(SUBSTITUTE(Продажи_исходные!B474,"№",""),"АРТ-",""),"АРТ_",""),"/","-"),3)</f>
        <v>АРТ-351</v>
      </c>
      <c r="C474" s="4">
        <f>IFERROR(VALUE(TRIM(SUBSTITUTE(SUBSTITUTE(SUBSTITUTE(SUBSTITUTE(Продажи_исходные!C474," шт.","")," шт",""),"шт.",""),"шт",""))),0)</f>
        <v>1</v>
      </c>
      <c r="D474" s="4">
        <f>IF(LEFT(Продажи_исходные!D474,1)="$",VALUE(MID(Продажи_исходные!D474,2,255))*95,IF(LEFT(Продажи_исходные!D474,1)="€",VALUE(MID(Продажи_исходные!D474,2,255))*100,VALUE(SUBSTITUTE(SUBSTITUTE(Продажи_исходные!D474,"₽","")," ",""))))</f>
        <v>9500</v>
      </c>
      <c r="E474" t="str">
        <f>Продажи_исходные!E474</f>
        <v>C0473</v>
      </c>
      <c r="F474" t="str">
        <f>Продажи_исходные!F474</f>
        <v>P004</v>
      </c>
      <c r="G474" t="str">
        <f>IFERROR(VLOOKUP(Продажи_исходные!G474,Справочники!$G$2:$H$50,2,FALSE),Продажи_исходные!G474)</f>
        <v>Завершен</v>
      </c>
      <c r="H474" s="4">
        <f>IFERROR(VLOOKUP(B474,Товары_очищенные!$A$1:$G$1000,6,FALSE),"нет в каталоге")</f>
        <v>57000</v>
      </c>
      <c r="I474" t="str">
        <f>IFERROR(VLOOKUP(B474,Товары_очищенные!$A$1:$G$1000,3,FALSE),"нет в каталоге")</f>
        <v>Мониторы</v>
      </c>
      <c r="J474" t="str">
        <f t="shared" si="32"/>
        <v>OK</v>
      </c>
    </row>
    <row r="475">
      <c r="A475" s="8">
        <f>DATE(RIGHT(Продажи_исходные!A475,4),LEFT(Продажи_исходные!A475,2),MID(Продажи_исходные!A475,4,2))</f>
        <v>45908</v>
      </c>
      <c r="B475" t="str">
        <f>"АРТ-"&amp;LEFT(SUBSTITUTE(SUBSTITUTE(SUBSTITUTE(SUBSTITUTE(Продажи_исходные!B475,"№",""),"АРТ-",""),"АРТ_",""),"/","-"),3)</f>
        <v>АРТ-214</v>
      </c>
      <c r="C475" s="4">
        <f>IFERROR(VALUE(TRIM(SUBSTITUTE(SUBSTITUTE(SUBSTITUTE(SUBSTITUTE(Продажи_исходные!C475," шт.","")," шт",""),"шт.",""),"шт",""))),0)</f>
        <v>2</v>
      </c>
      <c r="D475" s="4">
        <f>IF(LEFT(Продажи_исходные!D475,1)="$",VALUE(MID(Продажи_исходные!D475,2,255))*95,IF(LEFT(Продажи_исходные!D475,1)="€",VALUE(MID(Продажи_исходные!D475,2,255))*100,VALUE(SUBSTITUTE(SUBSTITUTE(Продажи_исходные!D475,"₽","")," ",""))))</f>
        <v>8500</v>
      </c>
      <c r="E475" t="str">
        <f>Продажи_исходные!E475</f>
        <v>C0474</v>
      </c>
      <c r="F475" t="str">
        <f>Продажи_исходные!F475</f>
        <v>P026</v>
      </c>
      <c r="G475" t="str">
        <f>IFERROR(VLOOKUP(Продажи_исходные!G475,Справочники!$G$2:$H$50,2,FALSE),Продажи_исходные!G475)</f>
        <v>Завершен</v>
      </c>
      <c r="H475" s="4">
        <f>IFERROR(VLOOKUP(B475,Товары_очищенные!$A$1:$G$1000,6,FALSE),"нет в каталоге")</f>
        <v>26990</v>
      </c>
      <c r="I475" t="str">
        <f>IFERROR(VLOOKUP(B475,Товары_очищенные!$A$1:$G$1000,3,FALSE),"нет в каталоге")</f>
        <v>Планшеты</v>
      </c>
      <c r="J475" t="str">
        <f t="shared" si="32"/>
        <v>OK</v>
      </c>
    </row>
    <row r="476">
      <c r="A476" s="8">
        <f>DATE(RIGHT(Продажи_исходные!A476,4),LEFT(Продажи_исходные!A476,2),MID(Продажи_исходные!A476,4,2))</f>
        <v>45909</v>
      </c>
      <c r="B476" t="str">
        <f>"АРТ-"&amp;LEFT(SUBSTITUTE(SUBSTITUTE(SUBSTITUTE(SUBSTITUTE(Продажи_исходные!B476,"№",""),"АРТ-",""),"АРТ_",""),"/","-"),3)</f>
        <v>АРТ-135</v>
      </c>
      <c r="C476" s="4">
        <f>IFERROR(VALUE(TRIM(SUBSTITUTE(SUBSTITUTE(SUBSTITUTE(SUBSTITUTE(Продажи_исходные!C476," шт.","")," шт",""),"шт.",""),"шт",""))),0)</f>
        <v>3</v>
      </c>
      <c r="D476" s="4">
        <f>IF(LEFT(Продажи_исходные!D476,1)="$",VALUE(MID(Продажи_исходные!D476,2,255))*95,IF(LEFT(Продажи_исходные!D476,1)="€",VALUE(MID(Продажи_исходные!D476,2,255))*100,VALUE(SUBSTITUTE(SUBSTITUTE(Продажи_исходные!D476,"₽","")," ",""))))</f>
        <v>9975</v>
      </c>
      <c r="E476" t="str">
        <f>Продажи_исходные!E476</f>
        <v>C0475</v>
      </c>
      <c r="F476" t="str">
        <f>Продажи_исходные!F476</f>
        <v>P013</v>
      </c>
      <c r="G476" t="str">
        <f>IFERROR(VLOOKUP(Продажи_исходные!G476,Справочники!$G$2:$H$50,2,FALSE),Продажи_исходные!G476)</f>
        <v>Завершен</v>
      </c>
      <c r="H476" s="4">
        <f>IFERROR(VLOOKUP(B476,Товары_очищенные!$A$1:$G$1000,6,FALSE),"нет в каталоге")</f>
        <v>129500</v>
      </c>
      <c r="I476" t="str">
        <f>IFERROR(VLOOKUP(B476,Товары_очищенные!$A$1:$G$1000,3,FALSE),"нет в каталоге")</f>
        <v>Телевизоры</v>
      </c>
      <c r="J476" t="str">
        <f t="shared" si="32"/>
        <v>OK</v>
      </c>
    </row>
    <row r="477">
      <c r="A477" s="8">
        <f>DATE(RIGHT(Продажи_исходные!A477,4),LEFT(Продажи_исходные!A477,2),MID(Продажи_исходные!A477,4,2))</f>
        <v>45909</v>
      </c>
      <c r="B477" t="str">
        <f>"АРТ-"&amp;LEFT(SUBSTITUTE(SUBSTITUTE(SUBSTITUTE(SUBSTITUTE(Продажи_исходные!B477,"№",""),"АРТ-",""),"АРТ_",""),"/","-"),3)</f>
        <v>АРТ-415</v>
      </c>
      <c r="C477" s="4">
        <f>IFERROR(VALUE(TRIM(SUBSTITUTE(SUBSTITUTE(SUBSTITUTE(SUBSTITUTE(Продажи_исходные!C477," шт.","")," шт",""),"шт.",""),"шт",""))),0)</f>
        <v>2</v>
      </c>
      <c r="D477" s="4">
        <f>IF(LEFT(Продажи_исходные!D477,1)="$",VALUE(MID(Продажи_исходные!D477,2,255))*95,IF(LEFT(Продажи_исходные!D477,1)="€",VALUE(MID(Продажи_исходные!D477,2,255))*100,VALUE(SUBSTITUTE(SUBSTITUTE(Продажи_исходные!D477,"₽","")," ",""))))</f>
        <v>8500</v>
      </c>
      <c r="E477" t="str">
        <f>Продажи_исходные!E477</f>
        <v>C0476</v>
      </c>
      <c r="F477" t="str">
        <f>Продажи_исходные!F477</f>
        <v>P034</v>
      </c>
      <c r="G477" t="str">
        <f>IFERROR(VLOOKUP(Продажи_исходные!G477,Справочники!$G$2:$H$50,2,FALSE),Продажи_исходные!G477)</f>
        <v>Отменен</v>
      </c>
      <c r="H477" s="4">
        <f>IFERROR(VLOOKUP(B477,Товары_очищенные!$A$1:$G$1000,6,FALSE),"нет в каталоге")</f>
        <v>14990</v>
      </c>
      <c r="I477" t="str">
        <f>IFERROR(VLOOKUP(B477,Товары_очищенные!$A$1:$G$1000,3,FALSE),"нет в каталоге")</f>
        <v>Аксессуары</v>
      </c>
      <c r="J477" t="str">
        <f t="shared" si="32"/>
        <v>OK</v>
      </c>
    </row>
    <row r="478">
      <c r="A478" s="8">
        <f>DATE(RIGHT(Продажи_исходные!A478,4),LEFT(Продажи_исходные!A478,2),MID(Продажи_исходные!A478,4,2))</f>
        <v>45910</v>
      </c>
      <c r="B478" t="str">
        <f>"АРТ-"&amp;LEFT(SUBSTITUTE(SUBSTITUTE(SUBSTITUTE(SUBSTITUTE(Продажи_исходные!B478,"№",""),"АРТ-",""),"АРТ_",""),"/","-"),3)</f>
        <v>АРТ-333</v>
      </c>
      <c r="C478" s="4">
        <f>IFERROR(VALUE(TRIM(SUBSTITUTE(SUBSTITUTE(SUBSTITUTE(SUBSTITUTE(Продажи_исходные!C478," шт.","")," шт",""),"шт.",""),"шт",""))),0)</f>
        <v>1</v>
      </c>
      <c r="D478" s="4">
        <f>IF(LEFT(Продажи_исходные!D478,1)="$",VALUE(MID(Продажи_исходные!D478,2,255))*95,IF(LEFT(Продажи_исходные!D478,1)="€",VALUE(MID(Продажи_исходные!D478,2,255))*100,VALUE(SUBSTITUTE(SUBSTITUTE(Продажи_исходные!D478,"₽","")," ",""))))</f>
        <v>7800</v>
      </c>
      <c r="E478" t="str">
        <f>Продажи_исходные!E478</f>
        <v>C0477</v>
      </c>
      <c r="F478" t="str">
        <f>Продажи_исходные!F478</f>
        <v>P044</v>
      </c>
      <c r="G478" t="str">
        <f>IFERROR(VLOOKUP(Продажи_исходные!G478,Справочники!$G$2:$H$50,2,FALSE),Продажи_исходные!G478)</f>
        <v>Отменен</v>
      </c>
      <c r="H478" s="4">
        <f>IFERROR(VLOOKUP(B478,Товары_очищенные!$A$1:$G$1000,6,FALSE),"нет в каталоге")</f>
        <v>72000</v>
      </c>
      <c r="I478" t="str">
        <f>IFERROR(VLOOKUP(B478,Товары_очищенные!$A$1:$G$1000,3,FALSE),"нет в каталоге")</f>
        <v>Часы</v>
      </c>
      <c r="J478" t="str">
        <f t="shared" si="32"/>
        <v>OK</v>
      </c>
    </row>
    <row r="479">
      <c r="A479" s="8">
        <f>DATE(RIGHT(Продажи_исходные!A479,4),LEFT(Продажи_исходные!A479,2),MID(Продажи_исходные!A479,4,2))</f>
        <v>45910</v>
      </c>
      <c r="B479" t="str">
        <f>"АРТ-"&amp;LEFT(SUBSTITUTE(SUBSTITUTE(SUBSTITUTE(SUBSTITUTE(Продажи_исходные!B479,"№",""),"АРТ-",""),"АРТ_",""),"/","-"),3)</f>
        <v>АРТ-322</v>
      </c>
      <c r="C479" s="4">
        <f>IFERROR(VALUE(TRIM(SUBSTITUTE(SUBSTITUTE(SUBSTITUTE(SUBSTITUTE(Продажи_исходные!C479," шт.","")," шт",""),"шт.",""),"шт",""))),0)</f>
        <v>-3</v>
      </c>
      <c r="D479" s="4">
        <f>IF(LEFT(Продажи_исходные!D479,1)="$",VALUE(MID(Продажи_исходные!D479,2,255))*95,IF(LEFT(Продажи_исходные!D479,1)="€",VALUE(MID(Продажи_исходные!D479,2,255))*100,VALUE(SUBSTITUTE(SUBSTITUTE(Продажи_исходные!D479,"₽","")," ",""))))</f>
        <v>11400</v>
      </c>
      <c r="E479" t="str">
        <f>Продажи_исходные!E479</f>
        <v>C0478</v>
      </c>
      <c r="F479" t="str">
        <f>Продажи_исходные!F479</f>
        <v>P001</v>
      </c>
      <c r="G479" t="str">
        <f>IFERROR(VLOOKUP(Продажи_исходные!G479,Справочники!$G$2:$H$50,2,FALSE),Продажи_исходные!G479)</f>
        <v>Возврат</v>
      </c>
      <c r="H479" s="4">
        <f>IFERROR(VLOOKUP(B479,Товары_очищенные!$A$1:$G$1000,6,FALSE),"нет в каталоге")</f>
        <v>12990</v>
      </c>
      <c r="I479" t="str">
        <f>IFERROR(VLOOKUP(B479,Товары_очищенные!$A$1:$G$1000,3,FALSE),"нет в каталоге")</f>
        <v>Наушники</v>
      </c>
      <c r="J479" t="str">
        <f t="shared" si="32"/>
        <v>OK</v>
      </c>
    </row>
    <row r="480">
      <c r="A480" s="8">
        <f>DATE(RIGHT(Продажи_исходные!A480,4),LEFT(Продажи_исходные!A480,2),MID(Продажи_исходные!A480,4,2))</f>
        <v>45911</v>
      </c>
      <c r="B480" t="str">
        <f>"АРТ-"&amp;LEFT(SUBSTITUTE(SUBSTITUTE(SUBSTITUTE(SUBSTITUTE(Продажи_исходные!B480,"№",""),"АРТ-",""),"АРТ_",""),"/","-"),3)</f>
        <v>АРТ-392</v>
      </c>
      <c r="C480" s="4">
        <f>IFERROR(VALUE(TRIM(SUBSTITUTE(SUBSTITUTE(SUBSTITUTE(SUBSTITUTE(Продажи_исходные!C480," шт.","")," шт",""),"шт.",""),"шт",""))),0)</f>
        <v>2</v>
      </c>
      <c r="D480" s="4">
        <f>IF(LEFT(Продажи_исходные!D480,1)="$",VALUE(MID(Продажи_исходные!D480,2,255))*95,IF(LEFT(Продажи_исходные!D480,1)="€",VALUE(MID(Продажи_исходные!D480,2,255))*100,VALUE(SUBSTITUTE(SUBSTITUTE(Продажи_исходные!D480,"₽","")," ",""))))</f>
        <v>10000</v>
      </c>
      <c r="E480" t="str">
        <f>Продажи_исходные!E480</f>
        <v>C0479</v>
      </c>
      <c r="F480" t="str">
        <f>Продажи_исходные!F480</f>
        <v>P021</v>
      </c>
      <c r="G480" t="str">
        <f>IFERROR(VLOOKUP(Продажи_исходные!G480,Справочники!$G$2:$H$50,2,FALSE),Продажи_исходные!G480)</f>
        <v>Завершен</v>
      </c>
      <c r="H480" s="4">
        <f>IFERROR(VLOOKUP(B480,Товары_очищенные!$A$1:$G$1000,6,FALSE),"нет в каталоге")</f>
        <v>18000</v>
      </c>
      <c r="I480" t="str">
        <f>IFERROR(VLOOKUP(B480,Товары_очищенные!$A$1:$G$1000,3,FALSE),"нет в каталоге")</f>
        <v>Наушники</v>
      </c>
      <c r="J480" t="str">
        <f t="shared" si="32"/>
        <v>OK</v>
      </c>
    </row>
    <row r="481">
      <c r="A481" s="8">
        <f>DATE(RIGHT(Продажи_исходные!A481,4),LEFT(Продажи_исходные!A481,2),MID(Продажи_исходные!A481,4,2))</f>
        <v>45911</v>
      </c>
      <c r="B481" t="str">
        <f>"АРТ-"&amp;LEFT(SUBSTITUTE(SUBSTITUTE(SUBSTITUTE(SUBSTITUTE(Продажи_исходные!B481,"№",""),"АРТ-",""),"АРТ_",""),"/","-"),3)</f>
        <v>АРТ-129</v>
      </c>
      <c r="C481" s="4">
        <f>IFERROR(VALUE(TRIM(SUBSTITUTE(SUBSTITUTE(SUBSTITUTE(SUBSTITUTE(Продажи_исходные!C481," шт.","")," шт",""),"шт.",""),"шт",""))),0)</f>
        <v>1</v>
      </c>
      <c r="D481" s="4">
        <f>IF(LEFT(Продажи_исходные!D481,1)="$",VALUE(MID(Продажи_исходные!D481,2,255))*95,IF(LEFT(Продажи_исходные!D481,1)="€",VALUE(MID(Продажи_исходные!D481,2,255))*100,VALUE(SUBSTITUTE(SUBSTITUTE(Продажи_исходные!D481,"₽","")," ",""))))</f>
        <v>9200</v>
      </c>
      <c r="E481" t="str">
        <f>Продажи_исходные!E481</f>
        <v>C0480</v>
      </c>
      <c r="F481" t="str">
        <f>Продажи_исходные!F481</f>
        <v>P039</v>
      </c>
      <c r="G481" t="str">
        <f>IFERROR(VLOOKUP(Продажи_исходные!G481,Справочники!$G$2:$H$50,2,FALSE),Продажи_исходные!G481)</f>
        <v>Завершен</v>
      </c>
      <c r="H481" s="4">
        <f>IFERROR(VLOOKUP(B481,Товары_очищенные!$A$1:$G$1000,6,FALSE),"нет в каталоге")</f>
        <v>53500</v>
      </c>
      <c r="I481" t="str">
        <f>IFERROR(VLOOKUP(B481,Товары_очищенные!$A$1:$G$1000,3,FALSE),"нет в каталоге")</f>
        <v>Смартфоны</v>
      </c>
      <c r="J481" t="str">
        <f t="shared" si="32"/>
        <v>OK</v>
      </c>
    </row>
    <row r="482">
      <c r="A482" s="8">
        <f>DATE(RIGHT(Продажи_исходные!A482,4),LEFT(Продажи_исходные!A482,2),MID(Продажи_исходные!A482,4,2))</f>
        <v>45912</v>
      </c>
      <c r="B482" t="str">
        <f>"АРТ-"&amp;LEFT(SUBSTITUTE(SUBSTITUTE(SUBSTITUTE(SUBSTITUTE(Продажи_исходные!B482,"№",""),"АРТ-",""),"АРТ_",""),"/","-"),3)</f>
        <v>АРТ-074</v>
      </c>
      <c r="C482" s="4">
        <f>IFERROR(VALUE(TRIM(SUBSTITUTE(SUBSTITUTE(SUBSTITUTE(SUBSTITUTE(Продажи_исходные!C482," шт.","")," шт",""),"шт.",""),"шт",""))),0)</f>
        <v>3</v>
      </c>
      <c r="D482" s="4">
        <f>IF(LEFT(Продажи_исходные!D482,1)="$",VALUE(MID(Продажи_исходные!D482,2,255))*95,IF(LEFT(Продажи_исходные!D482,1)="€",VALUE(MID(Продажи_исходные!D482,2,255))*100,VALUE(SUBSTITUTE(SUBSTITUTE(Продажи_исходные!D482,"₽","")," ",""))))</f>
        <v>8550</v>
      </c>
      <c r="E482" t="str">
        <f>Продажи_исходные!E482</f>
        <v>C0481</v>
      </c>
      <c r="F482" t="str">
        <f>Продажи_исходные!F482</f>
        <v>P050</v>
      </c>
      <c r="G482" t="str">
        <f>IFERROR(VLOOKUP(Продажи_исходные!G482,Справочники!$G$2:$H$50,2,FALSE),Продажи_исходные!G482)</f>
        <v>Завершен</v>
      </c>
      <c r="H482" s="4">
        <f>IFERROR(VLOOKUP(B482,Товары_очищенные!$A$1:$G$1000,6,FALSE),"нет в каталоге")</f>
        <v>77500</v>
      </c>
      <c r="I482" t="str">
        <f>IFERROR(VLOOKUP(B482,Товары_очищенные!$A$1:$G$1000,3,FALSE),"нет в каталоге")</f>
        <v>Мониторы</v>
      </c>
      <c r="J482" t="str">
        <f t="shared" si="32"/>
        <v>OK</v>
      </c>
    </row>
    <row r="483">
      <c r="A483" s="8">
        <f>DATE(RIGHT(Продажи_исходные!A483,4),LEFT(Продажи_исходные!A483,2),MID(Продажи_исходные!A483,4,2))</f>
        <v>45912</v>
      </c>
      <c r="B483" t="str">
        <f>"АРТ-"&amp;LEFT(SUBSTITUTE(SUBSTITUTE(SUBSTITUTE(SUBSTITUTE(Продажи_исходные!B483,"№",""),"АРТ-",""),"АРТ_",""),"/","-"),3)</f>
        <v>АРТ-462</v>
      </c>
      <c r="C483" s="4">
        <f>IFERROR(VALUE(TRIM(SUBSTITUTE(SUBSTITUTE(SUBSTITUTE(SUBSTITUTE(Продажи_исходные!C483," шт.","")," шт",""),"шт.",""),"шт",""))),0)</f>
        <v>2</v>
      </c>
      <c r="D483" s="4">
        <f>IF(LEFT(Продажи_исходные!D483,1)="$",VALUE(MID(Продажи_исходные!D483,2,255))*95,IF(LEFT(Продажи_исходные!D483,1)="€",VALUE(MID(Продажи_исходные!D483,2,255))*100,VALUE(SUBSTITUTE(SUBSTITUTE(Продажи_исходные!D483,"₽","")," ",""))))</f>
        <v>7000</v>
      </c>
      <c r="E483" t="str">
        <f>Продажи_исходные!E483</f>
        <v>C0482</v>
      </c>
      <c r="F483" t="str">
        <f>Продажи_исходные!F483</f>
        <v>P011</v>
      </c>
      <c r="G483" t="str">
        <f>IFERROR(VLOOKUP(Продажи_исходные!G483,Справочники!$G$2:$H$50,2,FALSE),Продажи_исходные!G483)</f>
        <v>Отменен</v>
      </c>
      <c r="H483" s="4">
        <f>IFERROR(VLOOKUP(B483,Товары_очищенные!$A$1:$G$1000,6,FALSE),"нет в каталоге")</f>
        <v>49500</v>
      </c>
      <c r="I483" t="str">
        <f>IFERROR(VLOOKUP(B483,Товары_очищенные!$A$1:$G$1000,3,FALSE),"нет в каталоге")</f>
        <v>Часы</v>
      </c>
      <c r="J483" t="str">
        <f t="shared" si="32"/>
        <v>OK</v>
      </c>
    </row>
    <row r="484">
      <c r="A484" s="8">
        <f>DATE(RIGHT(Продажи_исходные!A484,4),LEFT(Продажи_исходные!A484,2),MID(Продажи_исходные!A484,4,2))</f>
        <v>45913</v>
      </c>
      <c r="B484" t="str">
        <f>"АРТ-"&amp;LEFT(SUBSTITUTE(SUBSTITUTE(SUBSTITUTE(SUBSTITUTE(Продажи_исходные!B484,"№",""),"АРТ-",""),"АРТ_",""),"/","-"),3)</f>
        <v>АРТ-362</v>
      </c>
      <c r="C484" s="4">
        <f>IFERROR(VALUE(TRIM(SUBSTITUTE(SUBSTITUTE(SUBSTITUTE(SUBSTITUTE(Продажи_исходные!C484," шт.","")," шт",""),"шт.",""),"шт",""))),0)</f>
        <v>1</v>
      </c>
      <c r="D484" s="4">
        <f>IF(LEFT(Продажи_исходные!D484,1)="$",VALUE(MID(Продажи_исходные!D484,2,255))*95,IF(LEFT(Продажи_исходные!D484,1)="€",VALUE(MID(Продажи_исходные!D484,2,255))*100,VALUE(SUBSTITUTE(SUBSTITUTE(Продажи_исходные!D484,"₽","")," ",""))))</f>
        <v>6500</v>
      </c>
      <c r="E484" t="str">
        <f>Продажи_исходные!E484</f>
        <v>C0483</v>
      </c>
      <c r="F484" t="str">
        <f>Продажи_исходные!F484</f>
        <v>P027</v>
      </c>
      <c r="G484" t="str">
        <f>IFERROR(VLOOKUP(Продажи_исходные!G484,Справочники!$G$2:$H$50,2,FALSE),Продажи_исходные!G484)</f>
        <v>Отменен</v>
      </c>
      <c r="H484" s="4">
        <f>IFERROR(VLOOKUP(B484,Товары_очищенные!$A$1:$G$1000,6,FALSE),"нет в каталоге")</f>
        <v>142500</v>
      </c>
      <c r="I484" t="str">
        <f>IFERROR(VLOOKUP(B484,Товары_очищенные!$A$1:$G$1000,3,FALSE),"нет в каталоге")</f>
        <v>Ноутбуки</v>
      </c>
      <c r="J484" t="str">
        <f t="shared" ref="J484:J547" si="33">IF(D484&gt;0,"OK","Некорректная цена")</f>
        <v>OK</v>
      </c>
    </row>
    <row r="485">
      <c r="A485" s="8">
        <f>DATE(RIGHT(Продажи_исходные!A485,4),LEFT(Продажи_исходные!A485,2),MID(Продажи_исходные!A485,4,2))</f>
        <v>45913</v>
      </c>
      <c r="B485" t="str">
        <f>"АРТ-"&amp;LEFT(SUBSTITUTE(SUBSTITUTE(SUBSTITUTE(SUBSTITUTE(Продажи_исходные!B485,"№",""),"АРТ-",""),"АРТ_",""),"/","-"),3)</f>
        <v>АРТ-383</v>
      </c>
      <c r="C485" s="4">
        <f>IFERROR(VALUE(TRIM(SUBSTITUTE(SUBSTITUTE(SUBSTITUTE(SUBSTITUTE(Продажи_исходные!C485," шт.","")," шт",""),"шт.",""),"шт",""))),0)</f>
        <v>-1</v>
      </c>
      <c r="D485" s="4">
        <f>IF(LEFT(Продажи_исходные!D485,1)="$",VALUE(MID(Продажи_исходные!D485,2,255))*95,IF(LEFT(Продажи_исходные!D485,1)="€",VALUE(MID(Продажи_исходные!D485,2,255))*100,VALUE(SUBSTITUTE(SUBSTITUTE(Продажи_исходные!D485,"₽","")," ",""))))</f>
        <v>10450</v>
      </c>
      <c r="E485" t="str">
        <f>Продажи_исходные!E485</f>
        <v>C0484</v>
      </c>
      <c r="F485" t="str">
        <f>Продажи_исходные!F485</f>
        <v>P018</v>
      </c>
      <c r="G485" t="str">
        <f>IFERROR(VLOOKUP(Продажи_исходные!G485,Справочники!$G$2:$H$50,2,FALSE),Продажи_исходные!G485)</f>
        <v>Завершен</v>
      </c>
      <c r="H485" s="4">
        <f>IFERROR(VLOOKUP(B485,Товары_очищенные!$A$1:$G$1000,6,FALSE),"нет в каталоге")</f>
        <v>41500</v>
      </c>
      <c r="I485" t="str">
        <f>IFERROR(VLOOKUP(B485,Товары_очищенные!$A$1:$G$1000,3,FALSE),"нет в каталоге")</f>
        <v>Смартфоны</v>
      </c>
      <c r="J485" t="str">
        <f t="shared" si="33"/>
        <v>OK</v>
      </c>
    </row>
    <row r="486">
      <c r="A486" s="8">
        <f>DATE(RIGHT(Продажи_исходные!A486,4),LEFT(Продажи_исходные!A486,2),MID(Продажи_исходные!A486,4,2))</f>
        <v>45914</v>
      </c>
      <c r="B486" t="str">
        <f>"АРТ-"&amp;LEFT(SUBSTITUTE(SUBSTITUTE(SUBSTITUTE(SUBSTITUTE(Продажи_исходные!B486,"№",""),"АРТ-",""),"АРТ_",""),"/","-"),3)</f>
        <v>АРТ-284</v>
      </c>
      <c r="C486" s="4">
        <f>IFERROR(VALUE(TRIM(SUBSTITUTE(SUBSTITUTE(SUBSTITUTE(SUBSTITUTE(Продажи_исходные!C486," шт.","")," шт",""),"шт.",""),"шт",""))),0)</f>
        <v>3</v>
      </c>
      <c r="D486" s="4">
        <f>IF(LEFT(Продажи_исходные!D486,1)="$",VALUE(MID(Продажи_исходные!D486,2,255))*95,IF(LEFT(Продажи_исходные!D486,1)="€",VALUE(MID(Продажи_исходные!D486,2,255))*100,VALUE(SUBSTITUTE(SUBSTITUTE(Продажи_исходные!D486,"₽","")," ",""))))</f>
        <v>9000</v>
      </c>
      <c r="E486" t="str">
        <f>Продажи_исходные!E486</f>
        <v>C0485</v>
      </c>
      <c r="F486" t="str">
        <f>Продажи_исходные!F486</f>
        <v>P040</v>
      </c>
      <c r="G486" t="str">
        <f>IFERROR(VLOOKUP(Продажи_исходные!G486,Справочники!$G$2:$H$50,2,FALSE),Продажи_исходные!G486)</f>
        <v>Возврат</v>
      </c>
      <c r="H486" s="4">
        <f>IFERROR(VLOOKUP(B486,Товары_очищенные!$A$1:$G$1000,6,FALSE),"нет в каталоге")</f>
        <v>82000</v>
      </c>
      <c r="I486" t="str">
        <f>IFERROR(VLOOKUP(B486,Товары_очищенные!$A$1:$G$1000,3,FALSE),"нет в каталоге")</f>
        <v>Мониторы</v>
      </c>
      <c r="J486" t="str">
        <f t="shared" si="33"/>
        <v>OK</v>
      </c>
    </row>
    <row r="487">
      <c r="A487" s="8">
        <f>DATE(RIGHT(Продажи_исходные!A487,4),LEFT(Продажи_исходные!A487,2),MID(Продажи_исходные!A487,4,2))</f>
        <v>45914</v>
      </c>
      <c r="B487" t="str">
        <f>"АРТ-"&amp;LEFT(SUBSTITUTE(SUBSTITUTE(SUBSTITUTE(SUBSTITUTE(Продажи_исходные!B487,"№",""),"АРТ-",""),"АРТ_",""),"/","-"),3)</f>
        <v>АРТ-276</v>
      </c>
      <c r="C487" s="4">
        <f>IFERROR(VALUE(TRIM(SUBSTITUTE(SUBSTITUTE(SUBSTITUTE(SUBSTITUTE(Продажи_исходные!C487," шт.","")," шт",""),"шт.",""),"шт",""))),0)</f>
        <v>2</v>
      </c>
      <c r="D487" s="4">
        <f>IF(LEFT(Продажи_исходные!D487,1)="$",VALUE(MID(Продажи_исходные!D487,2,255))*95,IF(LEFT(Продажи_исходные!D487,1)="€",VALUE(MID(Продажи_исходные!D487,2,255))*100,VALUE(SUBSTITUTE(SUBSTITUTE(Продажи_исходные!D487,"₽","")," ",""))))</f>
        <v>8000</v>
      </c>
      <c r="E487" t="str">
        <f>Продажи_исходные!E487</f>
        <v>C0486</v>
      </c>
      <c r="F487" t="str">
        <f>Продажи_исходные!F487</f>
        <v>P003</v>
      </c>
      <c r="G487" t="str">
        <f>IFERROR(VLOOKUP(Продажи_исходные!G487,Справочники!$G$2:$H$50,2,FALSE),Продажи_исходные!G487)</f>
        <v>Завершен</v>
      </c>
      <c r="H487" s="4">
        <f>IFERROR(VLOOKUP(B487,Товары_очищенные!$A$1:$G$1000,6,FALSE),"нет в каталоге")</f>
        <v>50500</v>
      </c>
      <c r="I487" t="str">
        <f>IFERROR(VLOOKUP(B487,Товары_очищенные!$A$1:$G$1000,3,FALSE),"нет в каталоге")</f>
        <v>Планшеты</v>
      </c>
      <c r="J487" t="str">
        <f t="shared" si="33"/>
        <v>OK</v>
      </c>
    </row>
    <row r="488">
      <c r="A488" s="8">
        <f>DATE(RIGHT(Продажи_исходные!A488,4),LEFT(Продажи_исходные!A488,2),MID(Продажи_исходные!A488,4,2))</f>
        <v>45915</v>
      </c>
      <c r="B488" t="str">
        <f>"АРТ-"&amp;LEFT(SUBSTITUTE(SUBSTITUTE(SUBSTITUTE(SUBSTITUTE(Продажи_исходные!B488,"№",""),"АРТ-",""),"АРТ_",""),"/","-"),3)</f>
        <v>АРТ-047</v>
      </c>
      <c r="C488" s="4">
        <f>IFERROR(VALUE(TRIM(SUBSTITUTE(SUBSTITUTE(SUBSTITUTE(SUBSTITUTE(Продажи_исходные!C488," шт.","")," шт",""),"шт.",""),"шт",""))),0)</f>
        <v>1</v>
      </c>
      <c r="D488" s="4">
        <f>IF(LEFT(Продажи_исходные!D488,1)="$",VALUE(MID(Продажи_исходные!D488,2,255))*95,IF(LEFT(Продажи_исходные!D488,1)="€",VALUE(MID(Продажи_исходные!D488,2,255))*100,VALUE(SUBSTITUTE(SUBSTITUTE(Продажи_исходные!D488,"₽","")," ",""))))</f>
        <v>9025</v>
      </c>
      <c r="E488" t="str">
        <f>Продажи_исходные!E488</f>
        <v>C0487</v>
      </c>
      <c r="F488" t="str">
        <f>Продажи_исходные!F488</f>
        <v>P025</v>
      </c>
      <c r="G488" t="str">
        <f>IFERROR(VLOOKUP(Продажи_исходные!G488,Справочники!$G$2:$H$50,2,FALSE),Продажи_исходные!G488)</f>
        <v>Завершен</v>
      </c>
      <c r="H488" s="4">
        <f>IFERROR(VLOOKUP(B488,Товары_очищенные!$A$1:$G$1000,6,FALSE),"нет в каталоге")</f>
        <v>23900</v>
      </c>
      <c r="I488" t="str">
        <f>IFERROR(VLOOKUP(B488,Товары_очищенные!$A$1:$G$1000,3,FALSE),"нет в каталоге")</f>
        <v>Наушники</v>
      </c>
      <c r="J488" t="str">
        <f t="shared" si="33"/>
        <v>OK</v>
      </c>
    </row>
    <row r="489">
      <c r="A489" s="8">
        <f>DATE(RIGHT(Продажи_исходные!A489,4),LEFT(Продажи_исходные!A489,2),MID(Продажи_исходные!A489,4,2))</f>
        <v>45915</v>
      </c>
      <c r="B489" t="str">
        <f>"АРТ-"&amp;LEFT(SUBSTITUTE(SUBSTITUTE(SUBSTITUTE(SUBSTITUTE(Продажи_исходные!B489,"№",""),"АРТ-",""),"АРТ_",""),"/","-"),3)</f>
        <v>АРТ-471</v>
      </c>
      <c r="C489" s="4">
        <f>IFERROR(VALUE(TRIM(SUBSTITUTE(SUBSTITUTE(SUBSTITUTE(SUBSTITUTE(Продажи_исходные!C489," шт.","")," шт",""),"шт.",""),"шт",""))),0)</f>
        <v>2</v>
      </c>
      <c r="D489" s="4">
        <f>IF(LEFT(Продажи_исходные!D489,1)="$",VALUE(MID(Продажи_исходные!D489,2,255))*95,IF(LEFT(Продажи_исходные!D489,1)="€",VALUE(MID(Продажи_исходные!D489,2,255))*100,VALUE(SUBSTITUTE(SUBSTITUTE(Продажи_исходные!D489,"₽","")," ",""))))</f>
        <v>7500</v>
      </c>
      <c r="E489" t="str">
        <f>Продажи_исходные!E489</f>
        <v>C0488</v>
      </c>
      <c r="F489" t="str">
        <f>Продажи_исходные!F489</f>
        <v>P010</v>
      </c>
      <c r="G489" t="str">
        <f>IFERROR(VLOOKUP(Продажи_исходные!G489,Справочники!$G$2:$H$50,2,FALSE),Продажи_исходные!G489)</f>
        <v>Завершен</v>
      </c>
      <c r="H489" s="4">
        <f>IFERROR(VLOOKUP(B489,Товары_очищенные!$A$1:$G$1000,6,FALSE),"нет в каталоге")</f>
        <v>61000</v>
      </c>
      <c r="I489" t="str">
        <f>IFERROR(VLOOKUP(B489,Товары_очищенные!$A$1:$G$1000,3,FALSE),"нет в каталоге")</f>
        <v>Телевизоры</v>
      </c>
      <c r="J489" t="str">
        <f t="shared" si="33"/>
        <v>OK</v>
      </c>
    </row>
    <row r="490">
      <c r="A490" s="8">
        <f>DATE(RIGHT(Продажи_исходные!A490,4),LEFT(Продажи_исходные!A490,2),MID(Продажи_исходные!A490,4,2))</f>
        <v>45916</v>
      </c>
      <c r="B490" t="str">
        <f>"АРТ-"&amp;LEFT(SUBSTITUTE(SUBSTITUTE(SUBSTITUTE(SUBSTITUTE(Продажи_исходные!B490,"№",""),"АРТ-",""),"АРТ_",""),"/","-"),3)</f>
        <v>АРТ-308</v>
      </c>
      <c r="C490" s="4">
        <f>IFERROR(VALUE(TRIM(SUBSTITUTE(SUBSTITUTE(SUBSTITUTE(SUBSTITUTE(Продажи_исходные!C490," шт.","")," шт",""),"шт.",""),"шт",""))),0)</f>
        <v>3</v>
      </c>
      <c r="D490" s="4">
        <f>IF(LEFT(Продажи_исходные!D490,1)="$",VALUE(MID(Продажи_исходные!D490,2,255))*95,IF(LEFT(Продажи_исходные!D490,1)="€",VALUE(MID(Продажи_исходные!D490,2,255))*100,VALUE(SUBSTITUTE(SUBSTITUTE(Продажи_исходные!D490,"₽","")," ",""))))</f>
        <v>7000</v>
      </c>
      <c r="E490" t="str">
        <f>Продажи_исходные!E490</f>
        <v>C0489</v>
      </c>
      <c r="F490" t="str">
        <f>Продажи_исходные!F490</f>
        <v>P033</v>
      </c>
      <c r="G490" t="str">
        <f>IFERROR(VLOOKUP(Продажи_исходные!G490,Справочники!$G$2:$H$50,2,FALSE),Продажи_исходные!G490)</f>
        <v>Отменен</v>
      </c>
      <c r="H490" s="4">
        <f>IFERROR(VLOOKUP(B490,Товары_очищенные!$A$1:$G$1000,6,FALSE),"нет в каталоге")</f>
        <v>8500</v>
      </c>
      <c r="I490" t="str">
        <f>IFERROR(VLOOKUP(B490,Товары_очищенные!$A$1:$G$1000,3,FALSE),"нет в каталоге")</f>
        <v>Аксессуары</v>
      </c>
      <c r="J490" t="str">
        <f t="shared" si="33"/>
        <v>OK</v>
      </c>
    </row>
    <row r="491">
      <c r="A491" s="8">
        <f>DATE(RIGHT(Продажи_исходные!A491,4),LEFT(Продажи_исходные!A491,2),MID(Продажи_исходные!A491,4,2))</f>
        <v>45916</v>
      </c>
      <c r="B491" t="str">
        <f>"АРТ-"&amp;LEFT(SUBSTITUTE(SUBSTITUTE(SUBSTITUTE(SUBSTITUTE(Продажи_исходные!B491,"№",""),"АРТ-",""),"АРТ_",""),"/","-"),3)</f>
        <v>АРТ-102</v>
      </c>
      <c r="C491" s="4">
        <f>IFERROR(VALUE(TRIM(SUBSTITUTE(SUBSTITUTE(SUBSTITUTE(SUBSTITUTE(Продажи_исходные!C491," шт.","")," шт",""),"шт.",""),"шт",""))),0)</f>
        <v>-2</v>
      </c>
      <c r="D491" s="4">
        <f>IF(LEFT(Продажи_исходные!D491,1)="$",VALUE(MID(Продажи_исходные!D491,2,255))*95,IF(LEFT(Продажи_исходные!D491,1)="€",VALUE(MID(Продажи_исходные!D491,2,255))*100,VALUE(SUBSTITUTE(SUBSTITUTE(Продажи_исходные!D491,"₽","")," ",""))))</f>
        <v>10925</v>
      </c>
      <c r="E491" t="str">
        <f>Продажи_исходные!E491</f>
        <v>C0490</v>
      </c>
      <c r="F491" t="str">
        <f>Продажи_исходные!F491</f>
        <v>P047</v>
      </c>
      <c r="G491" t="str">
        <f>IFERROR(VLOOKUP(Продажи_исходные!G491,Справочники!$G$2:$H$50,2,FALSE),Продажи_исходные!G491)</f>
        <v>Отменен</v>
      </c>
      <c r="H491" s="4">
        <f>IFERROR(VLOOKUP(B491,Товары_очищенные!$A$1:$G$1000,6,FALSE),"нет в каталоге")</f>
        <v>58500</v>
      </c>
      <c r="I491" t="str">
        <f>IFERROR(VLOOKUP(B491,Товары_очищенные!$A$1:$G$1000,3,FALSE),"нет в каталоге")</f>
        <v>Планшеты</v>
      </c>
      <c r="J491" t="str">
        <f t="shared" si="33"/>
        <v>OK</v>
      </c>
    </row>
    <row r="492">
      <c r="A492" s="8">
        <f>DATE(RIGHT(Продажи_исходные!A492,4),LEFT(Продажи_исходные!A492,2),MID(Продажи_исходные!A492,4,2))</f>
        <v>45917</v>
      </c>
      <c r="B492" t="str">
        <f>"АРТ-"&amp;LEFT(SUBSTITUTE(SUBSTITUTE(SUBSTITUTE(SUBSTITUTE(Продажи_исходные!B492,"№",""),"АРТ-",""),"АРТ_",""),"/","-"),3)</f>
        <v>АРТ-290</v>
      </c>
      <c r="C492" s="4">
        <f>IFERROR(VALUE(TRIM(SUBSTITUTE(SUBSTITUTE(SUBSTITUTE(SUBSTITUTE(Продажи_исходные!C492," шт.","")," шт",""),"шт.",""),"шт",""))),0)</f>
        <v>1</v>
      </c>
      <c r="D492" s="4">
        <f>IF(LEFT(Продажи_исходные!D492,1)="$",VALUE(MID(Продажи_исходные!D492,2,255))*95,IF(LEFT(Продажи_исходные!D492,1)="€",VALUE(MID(Продажи_исходные!D492,2,255))*100,VALUE(SUBSTITUTE(SUBSTITUTE(Продажи_исходные!D492,"₽","")," ",""))))</f>
        <v>9500</v>
      </c>
      <c r="E492" t="str">
        <f>Продажи_исходные!E492</f>
        <v>C0491</v>
      </c>
      <c r="F492" t="str">
        <f>Продажи_исходные!F492</f>
        <v>P020</v>
      </c>
      <c r="G492" t="str">
        <f>IFERROR(VLOOKUP(Продажи_исходные!G492,Справочники!$G$2:$H$50,2,FALSE),Продажи_исходные!G492)</f>
        <v>Возврат</v>
      </c>
      <c r="H492" s="4">
        <f>IFERROR(VLOOKUP(B492,Товары_очищенные!$A$1:$G$1000,6,FALSE),"нет в каталоге")</f>
        <v>60500</v>
      </c>
      <c r="I492" t="str">
        <f>IFERROR(VLOOKUP(B492,Товары_очищенные!$A$1:$G$1000,3,FALSE),"нет в каталоге")</f>
        <v>Часы</v>
      </c>
      <c r="J492" t="str">
        <f t="shared" si="33"/>
        <v>OK</v>
      </c>
    </row>
    <row r="493">
      <c r="A493" s="8">
        <f>DATE(RIGHT(Продажи_исходные!A493,4),LEFT(Продажи_исходные!A493,2),MID(Продажи_исходные!A493,4,2))</f>
        <v>45917</v>
      </c>
      <c r="B493" t="str">
        <f>"АРТ-"&amp;LEFT(SUBSTITUTE(SUBSTITUTE(SUBSTITUTE(SUBSTITUTE(Продажи_исходные!B493,"№",""),"АРТ-",""),"АРТ_",""),"/","-"),3)</f>
        <v>АРТ-063</v>
      </c>
      <c r="C493" s="4">
        <f>IFERROR(VALUE(TRIM(SUBSTITUTE(SUBSTITUTE(SUBSTITUTE(SUBSTITUTE(Продажи_исходные!C493," шт.","")," шт",""),"шт.",""),"шт",""))),0)</f>
        <v>2</v>
      </c>
      <c r="D493" s="4">
        <f>IF(LEFT(Продажи_исходные!D493,1)="$",VALUE(MID(Продажи_исходные!D493,2,255))*95,IF(LEFT(Продажи_исходные!D493,1)="€",VALUE(MID(Продажи_исходные!D493,2,255))*100,VALUE(SUBSTITUTE(SUBSTITUTE(Продажи_исходные!D493,"₽","")," ",""))))</f>
        <v>8500</v>
      </c>
      <c r="E493" t="str">
        <f>Продажи_исходные!E493</f>
        <v>C0492</v>
      </c>
      <c r="F493" t="str">
        <f>Продажи_исходные!F493</f>
        <v>P002</v>
      </c>
      <c r="G493" t="str">
        <f>IFERROR(VLOOKUP(Продажи_исходные!G493,Справочники!$G$2:$H$50,2,FALSE),Продажи_исходные!G493)</f>
        <v>Завершен</v>
      </c>
      <c r="H493" s="4">
        <f>IFERROR(VLOOKUP(B493,Товары_очищенные!$A$1:$G$1000,6,FALSE),"нет в каталоге")</f>
        <v>127000</v>
      </c>
      <c r="I493" t="str">
        <f>IFERROR(VLOOKUP(B493,Товары_очищенные!$A$1:$G$1000,3,FALSE),"нет в каталоге")</f>
        <v>Ноутбуки</v>
      </c>
      <c r="J493" t="str">
        <f t="shared" si="33"/>
        <v>OK</v>
      </c>
    </row>
    <row r="494">
      <c r="A494" s="8">
        <f>DATE(RIGHT(Продажи_исходные!A494,4),LEFT(Продажи_исходные!A494,2),MID(Продажи_исходные!A494,4,2))</f>
        <v>45918</v>
      </c>
      <c r="B494" t="str">
        <f>"АРТ-"&amp;LEFT(SUBSTITUTE(SUBSTITUTE(SUBSTITUTE(SUBSTITUTE(Продажи_исходные!B494,"№",""),"АРТ-",""),"АРТ_",""),"/","-"),3)</f>
        <v>АРТ-154</v>
      </c>
      <c r="C494" s="4">
        <f>IFERROR(VALUE(TRIM(SUBSTITUTE(SUBSTITUTE(SUBSTITUTE(SUBSTITUTE(Продажи_исходные!C494," шт.","")," шт",""),"шт.",""),"шт",""))),0)</f>
        <v>3</v>
      </c>
      <c r="D494" s="4">
        <f>IF(LEFT(Продажи_исходные!D494,1)="$",VALUE(MID(Продажи_исходные!D494,2,255))*95,IF(LEFT(Продажи_исходные!D494,1)="€",VALUE(MID(Продажи_исходные!D494,2,255))*100,VALUE(SUBSTITUTE(SUBSTITUTE(Продажи_исходные!D494,"₽","")," ",""))))</f>
        <v>9975</v>
      </c>
      <c r="E494" t="str">
        <f>Продажи_исходные!E494</f>
        <v>C0493</v>
      </c>
      <c r="F494" t="str">
        <f>Продажи_исходные!F494</f>
        <v>P038</v>
      </c>
      <c r="G494" t="str">
        <f>IFERROR(VLOOKUP(Продажи_исходные!G494,Справочники!$G$2:$H$50,2,FALSE),Продажи_исходные!G494)</f>
        <v>Завершен</v>
      </c>
      <c r="H494" s="4">
        <f>IFERROR(VLOOKUP(B494,Товары_очищенные!$A$1:$G$1000,6,FALSE),"нет в каталоге")</f>
        <v>16990</v>
      </c>
      <c r="I494" t="str">
        <f>IFERROR(VLOOKUP(B494,Товары_очищенные!$A$1:$G$1000,3,FALSE),"нет в каталоге")</f>
        <v>Наушники</v>
      </c>
      <c r="J494" t="str">
        <f t="shared" si="33"/>
        <v>OK</v>
      </c>
    </row>
    <row r="495">
      <c r="A495" s="8">
        <f>DATE(RIGHT(Продажи_исходные!A495,4),LEFT(Продажи_исходные!A495,2),MID(Продажи_исходные!A495,4,2))</f>
        <v>45918</v>
      </c>
      <c r="B495" t="str">
        <f>"АРТ-"&amp;LEFT(SUBSTITUTE(SUBSTITUTE(SUBSTITUTE(SUBSTITUTE(Продажи_исходные!B495,"№",""),"АРТ-",""),"АРТ_",""),"/","-"),3)</f>
        <v>АРТ-498</v>
      </c>
      <c r="C495" s="4">
        <f>IFERROR(VALUE(TRIM(SUBSTITUTE(SUBSTITUTE(SUBSTITUTE(SUBSTITUTE(Продажи_исходные!C495," шт.","")," шт",""),"шт.",""),"шт",""))),0)</f>
        <v>2</v>
      </c>
      <c r="D495" s="4">
        <f>IF(LEFT(Продажи_исходные!D495,1)="$",VALUE(MID(Продажи_исходные!D495,2,255))*95,IF(LEFT(Продажи_исходные!D495,1)="€",VALUE(MID(Продажи_исходные!D495,2,255))*100,VALUE(SUBSTITUTE(SUBSTITUTE(Продажи_исходные!D495,"₽","")," ",""))))</f>
        <v>8500</v>
      </c>
      <c r="E495" t="str">
        <f>Продажи_исходные!E495</f>
        <v>C0494</v>
      </c>
      <c r="F495" t="str">
        <f>Продажи_исходные!F495</f>
        <v>P016</v>
      </c>
      <c r="G495" t="str">
        <f>IFERROR(VLOOKUP(Продажи_исходные!G495,Справочники!$G$2:$H$50,2,FALSE),Продажи_исходные!G495)</f>
        <v>Завершен</v>
      </c>
      <c r="H495" s="4">
        <f>IFERROR(VLOOKUP(B495,Товары_очищенные!$A$1:$G$1000,6,FALSE),"нет в каталоге")</f>
        <v>62000</v>
      </c>
      <c r="I495" t="str">
        <f>IFERROR(VLOOKUP(B495,Товары_очищенные!$A$1:$G$1000,3,FALSE),"нет в каталоге")</f>
        <v>Мониторы</v>
      </c>
      <c r="J495" t="str">
        <f t="shared" si="33"/>
        <v>OK</v>
      </c>
    </row>
    <row r="496">
      <c r="A496" s="8">
        <f>DATE(RIGHT(Продажи_исходные!A496,4),LEFT(Продажи_исходные!A496,2),MID(Продажи_исходные!A496,4,2))</f>
        <v>45919</v>
      </c>
      <c r="B496" t="str">
        <f>"АРТ-"&amp;LEFT(SUBSTITUTE(SUBSTITUTE(SUBSTITUTE(SUBSTITUTE(Продажи_исходные!B496,"№",""),"АРТ-",""),"АРТ_",""),"/","-"),3)</f>
        <v>АРТ-309</v>
      </c>
      <c r="C496" s="4">
        <f>IFERROR(VALUE(TRIM(SUBSTITUTE(SUBSTITUTE(SUBSTITUTE(SUBSTITUTE(Продажи_исходные!C496," шт.","")," шт",""),"шт.",""),"шт",""))),0)</f>
        <v>1</v>
      </c>
      <c r="D496" s="4">
        <f>IF(LEFT(Продажи_исходные!D496,1)="$",VALUE(MID(Продажи_исходные!D496,2,255))*95,IF(LEFT(Продажи_исходные!D496,1)="€",VALUE(MID(Продажи_исходные!D496,2,255))*100,VALUE(SUBSTITUTE(SUBSTITUTE(Продажи_исходные!D496,"₽","")," ",""))))</f>
        <v>7800</v>
      </c>
      <c r="E496" t="str">
        <f>Продажи_исходные!E496</f>
        <v>C0495</v>
      </c>
      <c r="F496" t="str">
        <f>Продажи_исходные!F496</f>
        <v>P029</v>
      </c>
      <c r="G496" t="str">
        <f>IFERROR(VLOOKUP(Продажи_исходные!G496,Справочники!$G$2:$H$50,2,FALSE),Продажи_исходные!G496)</f>
        <v>Отменен</v>
      </c>
      <c r="H496" s="4">
        <f>IFERROR(VLOOKUP(B496,Товары_очищенные!$A$1:$G$1000,6,FALSE),"нет в каталоге")</f>
        <v>9800</v>
      </c>
      <c r="I496" t="str">
        <f>IFERROR(VLOOKUP(B496,Товары_очищенные!$A$1:$G$1000,3,FALSE),"нет в каталоге")</f>
        <v>Аксессуары</v>
      </c>
      <c r="J496" t="str">
        <f t="shared" si="33"/>
        <v>OK</v>
      </c>
    </row>
    <row r="497">
      <c r="A497" s="8">
        <f>DATE(RIGHT(Продажи_исходные!A497,4),LEFT(Продажи_исходные!A497,2),MID(Продажи_исходные!A497,4,2))</f>
        <v>45919</v>
      </c>
      <c r="B497" t="str">
        <f>"АРТ-"&amp;LEFT(SUBSTITUTE(SUBSTITUTE(SUBSTITUTE(SUBSTITUTE(Продажи_исходные!B497,"№",""),"АРТ-",""),"АРТ_",""),"/","-"),3)</f>
        <v>АРТ-259</v>
      </c>
      <c r="C497" s="4">
        <f>IFERROR(VALUE(TRIM(SUBSTITUTE(SUBSTITUTE(SUBSTITUTE(SUBSTITUTE(Продажи_исходные!C497," шт.","")," шт",""),"шт.",""),"шт",""))),0)</f>
        <v>-3</v>
      </c>
      <c r="D497" s="4">
        <f>IF(LEFT(Продажи_исходные!D497,1)="$",VALUE(MID(Продажи_исходные!D497,2,255))*95,IF(LEFT(Продажи_исходные!D497,1)="€",VALUE(MID(Продажи_исходные!D497,2,255))*100,VALUE(SUBSTITUTE(SUBSTITUTE(Продажи_исходные!D497,"₽","")," ",""))))</f>
        <v>11400</v>
      </c>
      <c r="E497" t="str">
        <f>Продажи_исходные!E497</f>
        <v>C0496</v>
      </c>
      <c r="F497" t="str">
        <f>Продажи_исходные!F497</f>
        <v>P035</v>
      </c>
      <c r="G497" t="str">
        <f>IFERROR(VLOOKUP(Продажи_исходные!G497,Справочники!$G$2:$H$50,2,FALSE),Продажи_исходные!G497)</f>
        <v>Отменен</v>
      </c>
      <c r="H497" s="4">
        <f>IFERROR(VLOOKUP(B497,Товары_очищенные!$A$1:$G$1000,6,FALSE),"нет в каталоге")</f>
        <v>92990</v>
      </c>
      <c r="I497" t="str">
        <f>IFERROR(VLOOKUP(B497,Товары_очищенные!$A$1:$G$1000,3,FALSE),"нет в каталоге")</f>
        <v>Телевизоры</v>
      </c>
      <c r="J497" t="str">
        <f t="shared" si="33"/>
        <v>OK</v>
      </c>
    </row>
    <row r="498">
      <c r="A498" s="8">
        <f>DATE(RIGHT(Продажи_исходные!A498,4),LEFT(Продажи_исходные!A498,2),MID(Продажи_исходные!A498,4,2))</f>
        <v>45920</v>
      </c>
      <c r="B498" t="str">
        <f>"АРТ-"&amp;LEFT(SUBSTITUTE(SUBSTITUTE(SUBSTITUTE(SUBSTITUTE(Продажи_исходные!B498,"№",""),"АРТ-",""),"АРТ_",""),"/","-"),3)</f>
        <v>АРТ-326</v>
      </c>
      <c r="C498" s="4">
        <f>IFERROR(VALUE(TRIM(SUBSTITUTE(SUBSTITUTE(SUBSTITUTE(SUBSTITUTE(Продажи_исходные!C498," шт.","")," шт",""),"шт.",""),"шт",""))),0)</f>
        <v>2</v>
      </c>
      <c r="D498" s="4">
        <f>IF(LEFT(Продажи_исходные!D498,1)="$",VALUE(MID(Продажи_исходные!D498,2,255))*95,IF(LEFT(Продажи_исходные!D498,1)="€",VALUE(MID(Продажи_исходные!D498,2,255))*100,VALUE(SUBSTITUTE(SUBSTITUTE(Продажи_исходные!D498,"₽","")," ",""))))</f>
        <v>10000</v>
      </c>
      <c r="E498" t="str">
        <f>Продажи_исходные!E498</f>
        <v>C0497</v>
      </c>
      <c r="F498" t="str">
        <f>Продажи_исходные!F498</f>
        <v>P046</v>
      </c>
      <c r="G498" t="str">
        <f>IFERROR(VLOOKUP(Продажи_исходные!G498,Справочники!$G$2:$H$50,2,FALSE),Продажи_исходные!G498)</f>
        <v>Завершен</v>
      </c>
      <c r="H498" s="4">
        <f>IFERROR(VLOOKUP(B498,Товары_очищенные!$A$1:$G$1000,6,FALSE),"нет в каталоге")</f>
        <v>64500</v>
      </c>
      <c r="I498" t="str">
        <f>IFERROR(VLOOKUP(B498,Товары_очищенные!$A$1:$G$1000,3,FALSE),"нет в каталоге")</f>
        <v>Мониторы</v>
      </c>
      <c r="J498" t="str">
        <f t="shared" si="33"/>
        <v>OK</v>
      </c>
    </row>
    <row r="499">
      <c r="A499" s="8">
        <f>DATE(RIGHT(Продажи_исходные!A499,4),LEFT(Продажи_исходные!A499,2),MID(Продажи_исходные!A499,4,2))</f>
        <v>45920</v>
      </c>
      <c r="B499" t="str">
        <f>"АРТ-"&amp;LEFT(SUBSTITUTE(SUBSTITUTE(SUBSTITUTE(SUBSTITUTE(Продажи_исходные!B499,"№",""),"АРТ-",""),"АРТ_",""),"/","-"),3)</f>
        <v>АРТ-145</v>
      </c>
      <c r="C499" s="4">
        <f>IFERROR(VALUE(TRIM(SUBSTITUTE(SUBSTITUTE(SUBSTITUTE(SUBSTITUTE(Продажи_исходные!C499," шт.","")," шт",""),"шт.",""),"шт",""))),0)</f>
        <v>1</v>
      </c>
      <c r="D499" s="4">
        <f>IF(LEFT(Продажи_исходные!D499,1)="$",VALUE(MID(Продажи_исходные!D499,2,255))*95,IF(LEFT(Продажи_исходные!D499,1)="€",VALUE(MID(Продажи_исходные!D499,2,255))*100,VALUE(SUBSTITUTE(SUBSTITUTE(Продажи_исходные!D499,"₽","")," ",""))))</f>
        <v>9200</v>
      </c>
      <c r="E499" t="str">
        <f>Продажи_исходные!E499</f>
        <v>C0498</v>
      </c>
      <c r="F499" t="str">
        <f>Продажи_исходные!F499</f>
        <v>P022</v>
      </c>
      <c r="G499" t="str">
        <f>IFERROR(VLOOKUP(Продажи_исходные!G499,Справочники!$G$2:$H$50,2,FALSE),Продажи_исходные!G499)</f>
        <v>Возврат</v>
      </c>
      <c r="H499" s="4">
        <f>IFERROR(VLOOKUP(B499,Товары_очищенные!$A$1:$G$1000,6,FALSE),"нет в каталоге")</f>
        <v>45990</v>
      </c>
      <c r="I499" t="str">
        <f>IFERROR(VLOOKUP(B499,Товары_очищенные!$A$1:$G$1000,3,FALSE),"нет в каталоге")</f>
        <v>Смартфоны</v>
      </c>
      <c r="J499" t="str">
        <f t="shared" si="33"/>
        <v>OK</v>
      </c>
    </row>
    <row r="500">
      <c r="A500" s="8">
        <f>DATE(RIGHT(Продажи_исходные!A500,4),LEFT(Продажи_исходные!A500,2),MID(Продажи_исходные!A500,4,2))</f>
        <v>45921</v>
      </c>
      <c r="B500" t="str">
        <f>"АРТ-"&amp;LEFT(SUBSTITUTE(SUBSTITUTE(SUBSTITUTE(SUBSTITUTE(Продажи_исходные!B500,"№",""),"АРТ-",""),"АРТ_",""),"/","-"),3)</f>
        <v>АРТ-020</v>
      </c>
      <c r="C500" s="4">
        <f>IFERROR(VALUE(TRIM(SUBSTITUTE(SUBSTITUTE(SUBSTITUTE(SUBSTITUTE(Продажи_исходные!C500," шт.","")," шт",""),"шт.",""),"шт",""))),0)</f>
        <v>3</v>
      </c>
      <c r="D500" s="4">
        <f>IF(LEFT(Продажи_исходные!D500,1)="$",VALUE(MID(Продажи_исходные!D500,2,255))*95,IF(LEFT(Продажи_исходные!D500,1)="€",VALUE(MID(Продажи_исходные!D500,2,255))*100,VALUE(SUBSTITUTE(SUBSTITUTE(Продажи_исходные!D500,"₽","")," ",""))))</f>
        <v>8550</v>
      </c>
      <c r="E500" t="str">
        <f>Продажи_исходные!E500</f>
        <v>C0499</v>
      </c>
      <c r="F500" t="str">
        <f>Продажи_исходные!F500</f>
        <v>P043</v>
      </c>
      <c r="G500" t="str">
        <f>IFERROR(VLOOKUP(Продажи_исходные!G500,Справочники!$G$2:$H$50,2,FALSE),Продажи_исходные!G500)</f>
        <v>Завершен</v>
      </c>
      <c r="H500" s="4">
        <f>IFERROR(VLOOKUP(B500,Товары_очищенные!$A$1:$G$1000,6,FALSE),"нет в каталоге")</f>
        <v>133500</v>
      </c>
      <c r="I500" t="str">
        <f>IFERROR(VLOOKUP(B500,Товары_очищенные!$A$1:$G$1000,3,FALSE),"нет в каталоге")</f>
        <v>Ноутбуки</v>
      </c>
      <c r="J500" t="str">
        <f t="shared" si="33"/>
        <v>OK</v>
      </c>
    </row>
    <row r="501">
      <c r="A501" s="8">
        <f>DATE(RIGHT(Продажи_исходные!A501,4),LEFT(Продажи_исходные!A501,2),MID(Продажи_исходные!A501,4,2))</f>
        <v>45921</v>
      </c>
      <c r="B501" t="str">
        <f>"АРТ-"&amp;LEFT(SUBSTITUTE(SUBSTITUTE(SUBSTITUTE(SUBSTITUTE(Продажи_исходные!B501,"№",""),"АРТ-",""),"АРТ_",""),"/","-"),3)</f>
        <v>АРТ-479</v>
      </c>
      <c r="C501" s="4">
        <f>IFERROR(VALUE(TRIM(SUBSTITUTE(SUBSTITUTE(SUBSTITUTE(SUBSTITUTE(Продажи_исходные!C501," шт.","")," шт",""),"шт.",""),"шт",""))),0)</f>
        <v>2</v>
      </c>
      <c r="D501" s="4">
        <f>IF(LEFT(Продажи_исходные!D501,1)="$",VALUE(MID(Продажи_исходные!D501,2,255))*95,IF(LEFT(Продажи_исходные!D501,1)="€",VALUE(MID(Продажи_исходные!D501,2,255))*100,VALUE(SUBSTITUTE(SUBSTITUTE(Продажи_исходные!D501,"₽","")," ",""))))</f>
        <v>7000</v>
      </c>
      <c r="E501" t="str">
        <f>Продажи_исходные!E501</f>
        <v>C0500</v>
      </c>
      <c r="F501" t="str">
        <f>Продажи_исходные!F501</f>
        <v>P030</v>
      </c>
      <c r="G501" t="str">
        <f>IFERROR(VLOOKUP(Продажи_исходные!G501,Справочники!$G$2:$H$50,2,FALSE),Продажи_исходные!G501)</f>
        <v>Завершен</v>
      </c>
      <c r="H501" s="4">
        <f>IFERROR(VLOOKUP(B501,Товары_очищенные!$A$1:$G$1000,6,FALSE),"нет в каталоге")</f>
        <v>12500</v>
      </c>
      <c r="I501" t="str">
        <f>IFERROR(VLOOKUP(B501,Товары_очищенные!$A$1:$G$1000,3,FALSE),"нет в каталоге")</f>
        <v>Аксессуары</v>
      </c>
      <c r="J501" t="str">
        <f t="shared" si="33"/>
        <v>OK</v>
      </c>
    </row>
    <row r="502">
      <c r="A502" s="8">
        <f>DATE(RIGHT(Продажи_исходные!A502,4),LEFT(Продажи_исходные!A502,2),MID(Продажи_исходные!A502,4,2))</f>
        <v>45922</v>
      </c>
      <c r="B502" t="str">
        <f>"АРТ-"&amp;LEFT(SUBSTITUTE(SUBSTITUTE(SUBSTITUTE(SUBSTITUTE(Продажи_исходные!B502,"№",""),"АРТ-",""),"АРТ_",""),"/","-"),3)</f>
        <v>АРТ-376</v>
      </c>
      <c r="C502" s="4">
        <f>IFERROR(VALUE(TRIM(SUBSTITUTE(SUBSTITUTE(SUBSTITUTE(SUBSTITUTE(Продажи_исходные!C502," шт.","")," шт",""),"шт.",""),"шт",""))),0)</f>
        <v>1</v>
      </c>
      <c r="D502" s="4">
        <f>IF(LEFT(Продажи_исходные!D502,1)="$",VALUE(MID(Продажи_исходные!D502,2,255))*95,IF(LEFT(Продажи_исходные!D502,1)="€",VALUE(MID(Продажи_исходные!D502,2,255))*100,VALUE(SUBSTITUTE(SUBSTITUTE(Продажи_исходные!D502,"₽","")," ",""))))</f>
        <v>6500</v>
      </c>
      <c r="E502" t="str">
        <f>Продажи_исходные!E502</f>
        <v>C0501</v>
      </c>
      <c r="F502" t="str">
        <f>Продажи_исходные!F502</f>
        <v>P012</v>
      </c>
      <c r="G502" t="str">
        <f>IFERROR(VLOOKUP(Продажи_исходные!G502,Справочники!$G$2:$H$50,2,FALSE),Продажи_исходные!G502)</f>
        <v>Завершен</v>
      </c>
      <c r="H502" s="4">
        <f>IFERROR(VLOOKUP(B502,Товары_очищенные!$A$1:$G$1000,6,FALSE),"нет в каталоге")</f>
        <v>24990</v>
      </c>
      <c r="I502" t="str">
        <f>IFERROR(VLOOKUP(B502,Товары_очищенные!$A$1:$G$1000,3,FALSE),"нет в каталоге")</f>
        <v>Часы</v>
      </c>
      <c r="J502" t="str">
        <f t="shared" si="33"/>
        <v>OK</v>
      </c>
    </row>
    <row r="503">
      <c r="A503" s="8">
        <f>DATE(RIGHT(Продажи_исходные!A503,4),LEFT(Продажи_исходные!A503,2),MID(Продажи_исходные!A503,4,2))</f>
        <v>45922</v>
      </c>
      <c r="B503" t="str">
        <f>"АРТ-"&amp;LEFT(SUBSTITUTE(SUBSTITUTE(SUBSTITUTE(SUBSTITUTE(Продажи_исходные!B503,"№",""),"АРТ-",""),"АРТ_",""),"/","-"),3)</f>
        <v>АРТ-364</v>
      </c>
      <c r="C503" s="4">
        <f>IFERROR(VALUE(TRIM(SUBSTITUTE(SUBSTITUTE(SUBSTITUTE(SUBSTITUTE(Продажи_исходные!C503," шт.","")," шт",""),"шт.",""),"шт",""))),0)</f>
        <v>-1</v>
      </c>
      <c r="D503" s="4">
        <f>IF(LEFT(Продажи_исходные!D503,1)="$",VALUE(MID(Продажи_исходные!D503,2,255))*95,IF(LEFT(Продажи_исходные!D503,1)="€",VALUE(MID(Продажи_исходные!D503,2,255))*100,VALUE(SUBSTITUTE(SUBSTITUTE(Продажи_исходные!D503,"₽","")," ",""))))</f>
        <v>10450</v>
      </c>
      <c r="E503" t="str">
        <f>Продажи_исходные!E503</f>
        <v>C0502</v>
      </c>
      <c r="F503" t="str">
        <f>Продажи_исходные!F503</f>
        <v>P007</v>
      </c>
      <c r="G503" t="str">
        <f>IFERROR(VLOOKUP(Продажи_исходные!G503,Справочники!$G$2:$H$50,2,FALSE),Продажи_исходные!G503)</f>
        <v>Отменен</v>
      </c>
      <c r="H503" s="4">
        <f>IFERROR(VLOOKUP(B503,Товары_очищенные!$A$1:$G$1000,6,FALSE),"нет в каталоге")</f>
        <v>139990</v>
      </c>
      <c r="I503" t="str">
        <f>IFERROR(VLOOKUP(B503,Товары_очищенные!$A$1:$G$1000,3,FALSE),"нет в каталоге")</f>
        <v>Телевизоры</v>
      </c>
      <c r="J503" t="str">
        <f t="shared" si="33"/>
        <v>OK</v>
      </c>
    </row>
    <row r="504">
      <c r="A504" s="8">
        <f>DATE(RIGHT(Продажи_исходные!A504,4),LEFT(Продажи_исходные!A504,2),MID(Продажи_исходные!A504,4,2))</f>
        <v>45923</v>
      </c>
      <c r="B504" t="str">
        <f>"АРТ-"&amp;LEFT(SUBSTITUTE(SUBSTITUTE(SUBSTITUTE(SUBSTITUTE(Продажи_исходные!B504,"№",""),"АРТ-",""),"АРТ_",""),"/","-"),3)</f>
        <v>АРТ-309</v>
      </c>
      <c r="C504" s="4">
        <f>IFERROR(VALUE(TRIM(SUBSTITUTE(SUBSTITUTE(SUBSTITUTE(SUBSTITUTE(Продажи_исходные!C504," шт.","")," шт",""),"шт.",""),"шт",""))),0)</f>
        <v>3</v>
      </c>
      <c r="D504" s="4">
        <f>IF(LEFT(Продажи_исходные!D504,1)="$",VALUE(MID(Продажи_исходные!D504,2,255))*95,IF(LEFT(Продажи_исходные!D504,1)="€",VALUE(MID(Продажи_исходные!D504,2,255))*100,VALUE(SUBSTITUTE(SUBSTITUTE(Продажи_исходные!D504,"₽","")," ",""))))</f>
        <v>9000</v>
      </c>
      <c r="E504" t="str">
        <f>Продажи_исходные!E504</f>
        <v>C0503</v>
      </c>
      <c r="F504" t="str">
        <f>Продажи_исходные!F504</f>
        <v>P023</v>
      </c>
      <c r="G504" t="str">
        <f>IFERROR(VLOOKUP(Продажи_исходные!G504,Справочники!$G$2:$H$50,2,FALSE),Продажи_исходные!G504)</f>
        <v>Отменен</v>
      </c>
      <c r="H504" s="4">
        <f>IFERROR(VLOOKUP(B504,Товары_очищенные!$A$1:$G$1000,6,FALSE),"нет в каталоге")</f>
        <v>9800</v>
      </c>
      <c r="I504" t="str">
        <f>IFERROR(VLOOKUP(B504,Товары_очищенные!$A$1:$G$1000,3,FALSE),"нет в каталоге")</f>
        <v>Аксессуары</v>
      </c>
      <c r="J504" t="str">
        <f t="shared" si="33"/>
        <v>OK</v>
      </c>
    </row>
    <row r="505">
      <c r="A505" s="8">
        <f>DATE(RIGHT(Продажи_исходные!A505,4),LEFT(Продажи_исходные!A505,2),MID(Продажи_исходные!A505,4,2))</f>
        <v>45923</v>
      </c>
      <c r="B505" t="str">
        <f>"АРТ-"&amp;LEFT(SUBSTITUTE(SUBSTITUTE(SUBSTITUTE(SUBSTITUTE(Продажи_исходные!B505,"№",""),"АРТ-",""),"АРТ_",""),"/","-"),3)</f>
        <v>АРТ-251</v>
      </c>
      <c r="C505" s="4">
        <f>IFERROR(VALUE(TRIM(SUBSTITUTE(SUBSTITUTE(SUBSTITUTE(SUBSTITUTE(Продажи_исходные!C505," шт.","")," шт",""),"шт.",""),"шт",""))),0)</f>
        <v>2</v>
      </c>
      <c r="D505" s="4">
        <f>IF(LEFT(Продажи_исходные!D505,1)="$",VALUE(MID(Продажи_исходные!D505,2,255))*95,IF(LEFT(Продажи_исходные!D505,1)="€",VALUE(MID(Продажи_исходные!D505,2,255))*100,VALUE(SUBSTITUTE(SUBSTITUTE(Продажи_исходные!D505,"₽","")," ",""))))</f>
        <v>8000</v>
      </c>
      <c r="E505" t="str">
        <f>Продажи_исходные!E505</f>
        <v>C0504</v>
      </c>
      <c r="F505" t="str">
        <f>Продажи_исходные!F505</f>
        <v>P045</v>
      </c>
      <c r="G505" t="str">
        <f>IFERROR(VLOOKUP(Продажи_исходные!G505,Справочники!$G$2:$H$50,2,FALSE),Продажи_исходные!G505)</f>
        <v>Возврат</v>
      </c>
      <c r="H505" s="4">
        <f>IFERROR(VLOOKUP(B505,Товары_очищенные!$A$1:$G$1000,6,FALSE),"нет в каталоге")</f>
        <v>53500</v>
      </c>
      <c r="I505" t="str">
        <f>IFERROR(VLOOKUP(B505,Товары_очищенные!$A$1:$G$1000,3,FALSE),"нет в каталоге")</f>
        <v>Часы</v>
      </c>
      <c r="J505" t="str">
        <f t="shared" si="33"/>
        <v>OK</v>
      </c>
    </row>
    <row r="506">
      <c r="A506" s="8">
        <f>DATE(RIGHT(Продажи_исходные!A506,4),LEFT(Продажи_исходные!A506,2),MID(Продажи_исходные!A506,4,2))</f>
        <v>45924</v>
      </c>
      <c r="B506" t="str">
        <f>"АРТ-"&amp;LEFT(SUBSTITUTE(SUBSTITUTE(SUBSTITUTE(SUBSTITUTE(Продажи_исходные!B506,"№",""),"АРТ-",""),"АРТ_",""),"/","-"),3)</f>
        <v>АРТ-074</v>
      </c>
      <c r="C506" s="4">
        <f>IFERROR(VALUE(TRIM(SUBSTITUTE(SUBSTITUTE(SUBSTITUTE(SUBSTITUTE(Продажи_исходные!C506," шт.","")," шт",""),"шт.",""),"шт",""))),0)</f>
        <v>1</v>
      </c>
      <c r="D506" s="4">
        <f>IF(LEFT(Продажи_исходные!D506,1)="$",VALUE(MID(Продажи_исходные!D506,2,255))*95,IF(LEFT(Продажи_исходные!D506,1)="€",VALUE(MID(Продажи_исходные!D506,2,255))*100,VALUE(SUBSTITUTE(SUBSTITUTE(Продажи_исходные!D506,"₽","")," ",""))))</f>
        <v>9025</v>
      </c>
      <c r="E506" t="str">
        <f>Продажи_исходные!E506</f>
        <v>C0505</v>
      </c>
      <c r="F506" t="str">
        <f>Продажи_исходные!F506</f>
        <v>P008</v>
      </c>
      <c r="G506" t="str">
        <f>IFERROR(VLOOKUP(Продажи_исходные!G506,Справочники!$G$2:$H$50,2,FALSE),Продажи_исходные!G506)</f>
        <v>Завершен</v>
      </c>
      <c r="H506" s="4">
        <f>IFERROR(VLOOKUP(B506,Товары_очищенные!$A$1:$G$1000,6,FALSE),"нет в каталоге")</f>
        <v>77500</v>
      </c>
      <c r="I506" t="str">
        <f>IFERROR(VLOOKUP(B506,Товары_очищенные!$A$1:$G$1000,3,FALSE),"нет в каталоге")</f>
        <v>Мониторы</v>
      </c>
      <c r="J506" t="str">
        <f t="shared" si="33"/>
        <v>OK</v>
      </c>
    </row>
    <row r="507">
      <c r="A507" s="8">
        <f>DATE(RIGHT(Продажи_исходные!A507,4),LEFT(Продажи_исходные!A507,2),MID(Продажи_исходные!A507,4,2))</f>
        <v>45924</v>
      </c>
      <c r="B507" t="str">
        <f>"АРТ-"&amp;LEFT(SUBSTITUTE(SUBSTITUTE(SUBSTITUTE(SUBSTITUTE(Продажи_исходные!B507,"№",""),"АРТ-",""),"АРТ_",""),"/","-"),3)</f>
        <v>АРТ-481</v>
      </c>
      <c r="C507" s="4">
        <f>IFERROR(VALUE(TRIM(SUBSTITUTE(SUBSTITUTE(SUBSTITUTE(SUBSTITUTE(Продажи_исходные!C507," шт.","")," шт",""),"шт.",""),"шт",""))),0)</f>
        <v>2</v>
      </c>
      <c r="D507" s="4">
        <f>IF(LEFT(Продажи_исходные!D507,1)="$",VALUE(MID(Продажи_исходные!D507,2,255))*95,IF(LEFT(Продажи_исходные!D507,1)="€",VALUE(MID(Продажи_исходные!D507,2,255))*100,VALUE(SUBSTITUTE(SUBSTITUTE(Продажи_исходные!D507,"₽","")," ",""))))</f>
        <v>7500</v>
      </c>
      <c r="E507" t="str">
        <f>Продажи_исходные!E507</f>
        <v>C0506</v>
      </c>
      <c r="F507" t="str">
        <f>Продажи_исходные!F507</f>
        <v>P031</v>
      </c>
      <c r="G507" t="str">
        <f>IFERROR(VLOOKUP(Продажи_исходные!G507,Справочники!$G$2:$H$50,2,FALSE),Продажи_исходные!G507)</f>
        <v>Завершен</v>
      </c>
      <c r="H507" s="4">
        <f>IFERROR(VLOOKUP(B507,Товары_очищенные!$A$1:$G$1000,6,FALSE),"нет в каталоге")</f>
        <v>39990</v>
      </c>
      <c r="I507" t="str">
        <f>IFERROR(VLOOKUP(B507,Товары_очищенные!$A$1:$G$1000,3,FALSE),"нет в каталоге")</f>
        <v>Планшеты</v>
      </c>
      <c r="J507" t="str">
        <f t="shared" si="33"/>
        <v>OK</v>
      </c>
    </row>
    <row r="508">
      <c r="A508" s="8">
        <f>DATE(RIGHT(Продажи_исходные!A508,4),LEFT(Продажи_исходные!A508,2),MID(Продажи_исходные!A508,4,2))</f>
        <v>45925</v>
      </c>
      <c r="B508" t="str">
        <f>"АРТ-"&amp;LEFT(SUBSTITUTE(SUBSTITUTE(SUBSTITUTE(SUBSTITUTE(Продажи_исходные!B508,"№",""),"АРТ-",""),"АРТ_",""),"/","-"),3)</f>
        <v>АРТ-335</v>
      </c>
      <c r="C508" s="4">
        <f>IFERROR(VALUE(TRIM(SUBSTITUTE(SUBSTITUTE(SUBSTITUTE(SUBSTITUTE(Продажи_исходные!C508," шт.","")," шт",""),"шт.",""),"шт",""))),0)</f>
        <v>3</v>
      </c>
      <c r="D508" s="4">
        <f>IF(LEFT(Продажи_исходные!D508,1)="$",VALUE(MID(Продажи_исходные!D508,2,255))*95,IF(LEFT(Продажи_исходные!D508,1)="€",VALUE(MID(Продажи_исходные!D508,2,255))*100,VALUE(SUBSTITUTE(SUBSTITUTE(Продажи_исходные!D508,"₽","")," ",""))))</f>
        <v>7000</v>
      </c>
      <c r="E508" t="str">
        <f>Продажи_исходные!E508</f>
        <v>C0507</v>
      </c>
      <c r="F508" t="str">
        <f>Продажи_исходные!F508</f>
        <v>P019</v>
      </c>
      <c r="G508" t="str">
        <f>IFERROR(VLOOKUP(Продажи_исходные!G508,Справочники!$G$2:$H$50,2,FALSE),Продажи_исходные!G508)</f>
        <v>Завершен</v>
      </c>
      <c r="H508" s="4">
        <f>IFERROR(VLOOKUP(B508,Товары_очищенные!$A$1:$G$1000,6,FALSE),"нет в каталоге")</f>
        <v>47000</v>
      </c>
      <c r="I508" t="str">
        <f>IFERROR(VLOOKUP(B508,Товары_очищенные!$A$1:$G$1000,3,FALSE),"нет в каталоге")</f>
        <v>Планшеты</v>
      </c>
      <c r="J508" t="str">
        <f t="shared" si="33"/>
        <v>OK</v>
      </c>
    </row>
    <row r="509">
      <c r="A509" s="8">
        <f>DATE(RIGHT(Продажи_исходные!A509,4),LEFT(Продажи_исходные!A509,2),MID(Продажи_исходные!A509,4,2))</f>
        <v>45925</v>
      </c>
      <c r="B509" t="str">
        <f>"АРТ-"&amp;LEFT(SUBSTITUTE(SUBSTITUTE(SUBSTITUTE(SUBSTITUTE(Продажи_исходные!B509,"№",""),"АРТ-",""),"АРТ_",""),"/","-"),3)</f>
        <v>АРТ-201</v>
      </c>
      <c r="C509" s="4">
        <f>IFERROR(VALUE(TRIM(SUBSTITUTE(SUBSTITUTE(SUBSTITUTE(SUBSTITUTE(Продажи_исходные!C509," шт.","")," шт",""),"шт.",""),"шт",""))),0)</f>
        <v>-2</v>
      </c>
      <c r="D509" s="4">
        <f>IF(LEFT(Продажи_исходные!D509,1)="$",VALUE(MID(Продажи_исходные!D509,2,255))*95,IF(LEFT(Продажи_исходные!D509,1)="€",VALUE(MID(Продажи_исходные!D509,2,255))*100,VALUE(SUBSTITUTE(SUBSTITUTE(Продажи_исходные!D509,"₽","")," ",""))))</f>
        <v>10925</v>
      </c>
      <c r="E509" t="str">
        <f>Продажи_исходные!E509</f>
        <v>C0508</v>
      </c>
      <c r="F509" t="str">
        <f>Продажи_исходные!F509</f>
        <v>P042</v>
      </c>
      <c r="G509" t="str">
        <f>IFERROR(VLOOKUP(Продажи_исходные!G509,Справочники!$G$2:$H$50,2,FALSE),Продажи_исходные!G509)</f>
        <v>Отменен</v>
      </c>
      <c r="H509" s="4">
        <f>IFERROR(VLOOKUP(B509,Товары_очищенные!$A$1:$G$1000,6,FALSE),"нет в каталоге")</f>
        <v>98500</v>
      </c>
      <c r="I509" t="str">
        <f>IFERROR(VLOOKUP(B509,Товары_очищенные!$A$1:$G$1000,3,FALSE),"нет в каталоге")</f>
        <v>Телевизоры</v>
      </c>
      <c r="J509" t="str">
        <f t="shared" si="33"/>
        <v>OK</v>
      </c>
    </row>
    <row r="510">
      <c r="A510" s="8">
        <f>DATE(RIGHT(Продажи_исходные!A510,4),LEFT(Продажи_исходные!A510,2),MID(Продажи_исходные!A510,4,2))</f>
        <v>45926</v>
      </c>
      <c r="B510" t="str">
        <f>"АРТ-"&amp;LEFT(SUBSTITUTE(SUBSTITUTE(SUBSTITUTE(SUBSTITUTE(Продажи_исходные!B510,"№",""),"АРТ-",""),"АРТ_",""),"/","-"),3)</f>
        <v>АРТ-367</v>
      </c>
      <c r="C510" s="4">
        <f>IFERROR(VALUE(TRIM(SUBSTITUTE(SUBSTITUTE(SUBSTITUTE(SUBSTITUTE(Продажи_исходные!C510," шт.","")," шт",""),"шт.",""),"шт",""))),0)</f>
        <v>1</v>
      </c>
      <c r="D510" s="4">
        <f>IF(LEFT(Продажи_исходные!D510,1)="$",VALUE(MID(Продажи_исходные!D510,2,255))*95,IF(LEFT(Продажи_исходные!D510,1)="€",VALUE(MID(Продажи_исходные!D510,2,255))*100,VALUE(SUBSTITUTE(SUBSTITUTE(Продажи_исходные!D510,"₽","")," ",""))))</f>
        <v>9500</v>
      </c>
      <c r="E510" t="str">
        <f>Продажи_исходные!E510</f>
        <v>C0509</v>
      </c>
      <c r="F510" t="str">
        <f>Продажи_исходные!F510</f>
        <v>P005</v>
      </c>
      <c r="G510" t="str">
        <f>IFERROR(VLOOKUP(Продажи_исходные!G510,Справочники!$G$2:$H$50,2,FALSE),Продажи_исходные!G510)</f>
        <v>Отменен</v>
      </c>
      <c r="H510" s="4">
        <f>IFERROR(VLOOKUP(B510,Товары_очищенные!$A$1:$G$1000,6,FALSE),"нет в каталоге")</f>
        <v>19990</v>
      </c>
      <c r="I510" t="str">
        <f>IFERROR(VLOOKUP(B510,Товары_очищенные!$A$1:$G$1000,3,FALSE),"нет в каталоге")</f>
        <v>Наушники</v>
      </c>
      <c r="J510" t="str">
        <f t="shared" si="33"/>
        <v>OK</v>
      </c>
    </row>
    <row r="511">
      <c r="A511" s="8">
        <f>DATE(RIGHT(Продажи_исходные!A511,4),LEFT(Продажи_исходные!A511,2),MID(Продажи_исходные!A511,4,2))</f>
        <v>45926</v>
      </c>
      <c r="B511" t="str">
        <f>"АРТ-"&amp;LEFT(SUBSTITUTE(SUBSTITUTE(SUBSTITUTE(SUBSTITUTE(Продажи_исходные!B511,"№",""),"АРТ-",""),"АРТ_",""),"/","-"),3)</f>
        <v>АРТ-112</v>
      </c>
      <c r="C511" s="4">
        <f>IFERROR(VALUE(TRIM(SUBSTITUTE(SUBSTITUTE(SUBSTITUTE(SUBSTITUTE(Продажи_исходные!C511," шт.","")," шт",""),"шт.",""),"шт",""))),0)</f>
        <v>2</v>
      </c>
      <c r="D511" s="4">
        <f>IF(LEFT(Продажи_исходные!D511,1)="$",VALUE(MID(Продажи_исходные!D511,2,255))*95,IF(LEFT(Продажи_исходные!D511,1)="€",VALUE(MID(Продажи_исходные!D511,2,255))*100,VALUE(SUBSTITUTE(SUBSTITUTE(Продажи_исходные!D511,"₽","")," ",""))))</f>
        <v>8500</v>
      </c>
      <c r="E511" t="str">
        <f>Продажи_исходные!E511</f>
        <v>C0510</v>
      </c>
      <c r="F511" t="str">
        <f>Продажи_исходные!F511</f>
        <v>P036</v>
      </c>
      <c r="G511" t="str">
        <f>IFERROR(VLOOKUP(Продажи_исходные!G511,Справочники!$G$2:$H$50,2,FALSE),Продажи_исходные!G511)</f>
        <v>Завершен</v>
      </c>
      <c r="H511" s="4">
        <f>IFERROR(VLOOKUP(B511,Товары_очищенные!$A$1:$G$1000,6,FALSE),"нет в каталоге")</f>
        <v>34990</v>
      </c>
      <c r="I511" t="str">
        <f>IFERROR(VLOOKUP(B511,Товары_очищенные!$A$1:$G$1000,3,FALSE),"нет в каталоге")</f>
        <v>Наушники</v>
      </c>
      <c r="J511" t="str">
        <f t="shared" si="33"/>
        <v>OK</v>
      </c>
    </row>
    <row r="512">
      <c r="A512" s="8">
        <f>DATE(RIGHT(Продажи_исходные!A512,4),LEFT(Продажи_исходные!A512,2),MID(Продажи_исходные!A512,4,2))</f>
        <v>45927</v>
      </c>
      <c r="B512" t="str">
        <f>"АРТ-"&amp;LEFT(SUBSTITUTE(SUBSTITUTE(SUBSTITUTE(SUBSTITUTE(Продажи_исходные!B512,"№",""),"АРТ-",""),"АРТ_",""),"/","-"),3)</f>
        <v>АРТ-050</v>
      </c>
      <c r="C512" s="4">
        <f>IFERROR(VALUE(TRIM(SUBSTITUTE(SUBSTITUTE(SUBSTITUTE(SUBSTITUTE(Продажи_исходные!C512," шт.","")," шт",""),"шт.",""),"шт",""))),0)</f>
        <v>3</v>
      </c>
      <c r="D512" s="4">
        <f>IF(LEFT(Продажи_исходные!D512,1)="$",VALUE(MID(Продажи_исходные!D512,2,255))*95,IF(LEFT(Продажи_исходные!D512,1)="€",VALUE(MID(Продажи_исходные!D512,2,255))*100,VALUE(SUBSTITUTE(SUBSTITUTE(Продажи_исходные!D512,"₽","")," ",""))))</f>
        <v>9975</v>
      </c>
      <c r="E512" t="str">
        <f>Продажи_исходные!E512</f>
        <v>C0511</v>
      </c>
      <c r="F512" t="str">
        <f>Продажи_исходные!F512</f>
        <v>P014</v>
      </c>
      <c r="G512" t="str">
        <f>IFERROR(VLOOKUP(Продажи_исходные!G512,Справочники!$G$2:$H$50,2,FALSE),Продажи_исходные!G512)</f>
        <v>Возврат</v>
      </c>
      <c r="H512" s="4">
        <f>IFERROR(VLOOKUP(B512,Товары_очищенные!$A$1:$G$1000,6,FALSE),"нет в каталоге")</f>
        <v>53500</v>
      </c>
      <c r="I512" t="str">
        <f>IFERROR(VLOOKUP(B512,Товары_очищенные!$A$1:$G$1000,3,FALSE),"нет в каталоге")</f>
        <v>Смартфоны</v>
      </c>
      <c r="J512" t="str">
        <f t="shared" si="33"/>
        <v>OK</v>
      </c>
    </row>
    <row r="513">
      <c r="A513" s="8">
        <f>DATE(RIGHT(Продажи_исходные!A513,4),LEFT(Продажи_исходные!A513,2),MID(Продажи_исходные!A513,4,2))</f>
        <v>45927</v>
      </c>
      <c r="B513" t="str">
        <f>"АРТ-"&amp;LEFT(SUBSTITUTE(SUBSTITUTE(SUBSTITUTE(SUBSTITUTE(Продажи_исходные!B513,"№",""),"АРТ-",""),"АРТ_",""),"/","-"),3)</f>
        <v>АРТ-443</v>
      </c>
      <c r="C513" s="4">
        <f>IFERROR(VALUE(TRIM(SUBSTITUTE(SUBSTITUTE(SUBSTITUTE(SUBSTITUTE(Продажи_исходные!C513," шт.","")," шт",""),"шт.",""),"шт",""))),0)</f>
        <v>2</v>
      </c>
      <c r="D513" s="4">
        <f>IF(LEFT(Продажи_исходные!D513,1)="$",VALUE(MID(Продажи_исходные!D513,2,255))*95,IF(LEFT(Продажи_исходные!D513,1)="€",VALUE(MID(Продажи_исходные!D513,2,255))*100,VALUE(SUBSTITUTE(SUBSTITUTE(Продажи_исходные!D513,"₽","")," ",""))))</f>
        <v>8500</v>
      </c>
      <c r="E513" t="str">
        <f>Продажи_исходные!E513</f>
        <v>C0512</v>
      </c>
      <c r="F513" t="str">
        <f>Продажи_исходные!F513</f>
        <v>P028</v>
      </c>
      <c r="G513" t="str">
        <f>IFERROR(VLOOKUP(Продажи_исходные!G513,Справочники!$G$2:$H$50,2,FALSE),Продажи_исходные!G513)</f>
        <v>Завершен</v>
      </c>
      <c r="H513" s="4">
        <f>IFERROR(VLOOKUP(B513,Товары_очищенные!$A$1:$G$1000,6,FALSE),"нет в каталоге")</f>
        <v>23500</v>
      </c>
      <c r="I513" t="str">
        <f>IFERROR(VLOOKUP(B513,Товары_очищенные!$A$1:$G$1000,3,FALSE),"нет в каталоге")</f>
        <v>Смартфоны</v>
      </c>
      <c r="J513" t="str">
        <f t="shared" si="33"/>
        <v>OK</v>
      </c>
    </row>
    <row r="514">
      <c r="A514" s="8">
        <f>DATE(RIGHT(Продажи_исходные!A514,4),LEFT(Продажи_исходные!A514,2),MID(Продажи_исходные!A514,4,2))</f>
        <v>45928</v>
      </c>
      <c r="B514" t="str">
        <f>"АРТ-"&amp;LEFT(SUBSTITUTE(SUBSTITUTE(SUBSTITUTE(SUBSTITUTE(Продажи_исходные!B514,"№",""),"АРТ-",""),"АРТ_",""),"/","-"),3)</f>
        <v>АРТ-322</v>
      </c>
      <c r="C514" s="4">
        <f>IFERROR(VALUE(TRIM(SUBSTITUTE(SUBSTITUTE(SUBSTITUTE(SUBSTITUTE(Продажи_исходные!C514," шт.","")," шт",""),"шт.",""),"шт",""))),0)</f>
        <v>1</v>
      </c>
      <c r="D514" s="4">
        <f>IF(LEFT(Продажи_исходные!D514,1)="$",VALUE(MID(Продажи_исходные!D514,2,255))*95,IF(LEFT(Продажи_исходные!D514,1)="€",VALUE(MID(Продажи_исходные!D514,2,255))*100,VALUE(SUBSTITUTE(SUBSTITUTE(Продажи_исходные!D514,"₽","")," ",""))))</f>
        <v>7800</v>
      </c>
      <c r="E514" t="str">
        <f>Продажи_исходные!E514</f>
        <v>C0513</v>
      </c>
      <c r="F514" t="str">
        <f>Продажи_исходные!F514</f>
        <v>P009</v>
      </c>
      <c r="G514" t="str">
        <f>IFERROR(VLOOKUP(Продажи_исходные!G514,Справочники!$G$2:$H$50,2,FALSE),Продажи_исходные!G514)</f>
        <v>Завершен</v>
      </c>
      <c r="H514" s="4">
        <f>IFERROR(VLOOKUP(B514,Товары_очищенные!$A$1:$G$1000,6,FALSE),"нет в каталоге")</f>
        <v>12990</v>
      </c>
      <c r="I514" t="str">
        <f>IFERROR(VLOOKUP(B514,Товары_очищенные!$A$1:$G$1000,3,FALSE),"нет в каталоге")</f>
        <v>Наушники</v>
      </c>
      <c r="J514" t="str">
        <f t="shared" si="33"/>
        <v>OK</v>
      </c>
    </row>
    <row r="515">
      <c r="A515" s="8">
        <f>DATE(RIGHT(Продажи_исходные!A515,4),LEFT(Продажи_исходные!A515,2),MID(Продажи_исходные!A515,4,2))</f>
        <v>45928</v>
      </c>
      <c r="B515" t="str">
        <f>"АРТ-"&amp;LEFT(SUBSTITUTE(SUBSTITUTE(SUBSTITUTE(SUBSTITUTE(Продажи_исходные!B515,"№",""),"АРТ-",""),"АРТ_",""),"/","-"),3)</f>
        <v>АРТ-398</v>
      </c>
      <c r="C515" s="4">
        <f>IFERROR(VALUE(TRIM(SUBSTITUTE(SUBSTITUTE(SUBSTITUTE(SUBSTITUTE(Продажи_исходные!C515," шт.","")," шт",""),"шт.",""),"шт",""))),0)</f>
        <v>-3</v>
      </c>
      <c r="D515" s="4">
        <f>IF(LEFT(Продажи_исходные!D515,1)="$",VALUE(MID(Продажи_исходные!D515,2,255))*95,IF(LEFT(Продажи_исходные!D515,1)="€",VALUE(MID(Продажи_исходные!D515,2,255))*100,VALUE(SUBSTITUTE(SUBSTITUTE(Продажи_исходные!D515,"₽","")," ",""))))</f>
        <v>11400</v>
      </c>
      <c r="E515" t="str">
        <f>Продажи_исходные!E515</f>
        <v>C0514</v>
      </c>
      <c r="F515" t="str">
        <f>Продажи_исходные!F515</f>
        <v>P041</v>
      </c>
      <c r="G515" t="str">
        <f>IFERROR(VLOOKUP(Продажи_исходные!G515,Справочники!$G$2:$H$50,2,FALSE),Продажи_исходные!G515)</f>
        <v>Завершен</v>
      </c>
      <c r="H515" s="4">
        <f>IFERROR(VLOOKUP(B515,Товары_очищенные!$A$1:$G$1000,6,FALSE),"нет в каталоге")</f>
        <v>7500</v>
      </c>
      <c r="I515" t="str">
        <f>IFERROR(VLOOKUP(B515,Товары_очищенные!$A$1:$G$1000,3,FALSE),"нет в каталоге")</f>
        <v>Аксессуары</v>
      </c>
      <c r="J515" t="str">
        <f t="shared" si="33"/>
        <v>OK</v>
      </c>
    </row>
    <row r="516">
      <c r="A516" s="8">
        <f>DATE(RIGHT(Продажи_исходные!A516,4),LEFT(Продажи_исходные!A516,2),MID(Продажи_исходные!A516,4,2))</f>
        <v>45929</v>
      </c>
      <c r="B516" t="str">
        <f>"АРТ-"&amp;LEFT(SUBSTITUTE(SUBSTITUTE(SUBSTITUTE(SUBSTITUTE(Продажи_исходные!B516,"№",""),"АРТ-",""),"АРТ_",""),"/","-"),3)</f>
        <v>АРТ-258</v>
      </c>
      <c r="C516" s="4">
        <f>IFERROR(VALUE(TRIM(SUBSTITUTE(SUBSTITUTE(SUBSTITUTE(SUBSTITUTE(Продажи_исходные!C516," шт.","")," шт",""),"шт.",""),"шт",""))),0)</f>
        <v>2</v>
      </c>
      <c r="D516" s="4">
        <f>IF(LEFT(Продажи_исходные!D516,1)="$",VALUE(MID(Продажи_исходные!D516,2,255))*95,IF(LEFT(Продажи_исходные!D516,1)="€",VALUE(MID(Продажи_исходные!D516,2,255))*100,VALUE(SUBSTITUTE(SUBSTITUTE(Продажи_исходные!D516,"₽","")," ",""))))</f>
        <v>10000</v>
      </c>
      <c r="E516" t="str">
        <f>Продажи_исходные!E516</f>
        <v>C0515</v>
      </c>
      <c r="F516" t="str">
        <f>Продажи_исходные!F516</f>
        <v>P017</v>
      </c>
      <c r="G516" t="str">
        <f>IFERROR(VLOOKUP(Продажи_исходные!G516,Справочники!$G$2:$H$50,2,FALSE),Продажи_исходные!G516)</f>
        <v>Отменен</v>
      </c>
      <c r="H516" s="4">
        <f>IFERROR(VLOOKUP(B516,Товары_очищенные!$A$1:$G$1000,6,FALSE),"нет в каталоге")</f>
        <v>39500</v>
      </c>
      <c r="I516" t="str">
        <f>IFERROR(VLOOKUP(B516,Товары_очищенные!$A$1:$G$1000,3,FALSE),"нет в каталоге")</f>
        <v>Смартфоны</v>
      </c>
      <c r="J516" t="str">
        <f t="shared" si="33"/>
        <v>OK</v>
      </c>
    </row>
    <row r="517">
      <c r="A517" s="8">
        <f>DATE(RIGHT(Продажи_исходные!A517,4),LEFT(Продажи_исходные!A517,2),MID(Продажи_исходные!A517,4,2))</f>
        <v>45929</v>
      </c>
      <c r="B517" t="str">
        <f>"АРТ-"&amp;LEFT(SUBSTITUTE(SUBSTITUTE(SUBSTITUTE(SUBSTITUTE(Продажи_исходные!B517,"№",""),"АРТ-",""),"АРТ_",""),"/","-"),3)</f>
        <v>АРТ-284</v>
      </c>
      <c r="C517" s="4">
        <f>IFERROR(VALUE(TRIM(SUBSTITUTE(SUBSTITUTE(SUBSTITUTE(SUBSTITUTE(Продажи_исходные!C517," шт.","")," шт",""),"шт.",""),"шт",""))),0)</f>
        <v>1</v>
      </c>
      <c r="D517" s="4">
        <f>IF(LEFT(Продажи_исходные!D517,1)="$",VALUE(MID(Продажи_исходные!D517,2,255))*95,IF(LEFT(Продажи_исходные!D517,1)="€",VALUE(MID(Продажи_исходные!D517,2,255))*100,VALUE(SUBSTITUTE(SUBSTITUTE(Продажи_исходные!D517,"₽","")," ",""))))</f>
        <v>9200</v>
      </c>
      <c r="E517" t="str">
        <f>Продажи_исходные!E517</f>
        <v>C0516</v>
      </c>
      <c r="F517" t="str">
        <f>Продажи_исходные!F517</f>
        <v>P032</v>
      </c>
      <c r="G517" t="str">
        <f>IFERROR(VLOOKUP(Продажи_исходные!G517,Справочники!$G$2:$H$50,2,FALSE),Продажи_исходные!G517)</f>
        <v>Отменен</v>
      </c>
      <c r="H517" s="4">
        <f>IFERROR(VLOOKUP(B517,Товары_очищенные!$A$1:$G$1000,6,FALSE),"нет в каталоге")</f>
        <v>82000</v>
      </c>
      <c r="I517" t="str">
        <f>IFERROR(VLOOKUP(B517,Товары_очищенные!$A$1:$G$1000,3,FALSE),"нет в каталоге")</f>
        <v>Мониторы</v>
      </c>
      <c r="J517" t="str">
        <f t="shared" si="33"/>
        <v>OK</v>
      </c>
    </row>
    <row r="518">
      <c r="A518" s="8">
        <f>DATE(RIGHT(Продажи_исходные!A518,4),LEFT(Продажи_исходные!A518,2),MID(Продажи_исходные!A518,4,2))</f>
        <v>45930</v>
      </c>
      <c r="B518" t="str">
        <f>"АРТ-"&amp;LEFT(SUBSTITUTE(SUBSTITUTE(SUBSTITUTE(SUBSTITUTE(Продажи_исходные!B518,"№",""),"АРТ-",""),"АРТ_",""),"/","-"),3)</f>
        <v>АРТ-093</v>
      </c>
      <c r="C518" s="4">
        <f>IFERROR(VALUE(TRIM(SUBSTITUTE(SUBSTITUTE(SUBSTITUTE(SUBSTITUTE(Продажи_исходные!C518," шт.","")," шт",""),"шт.",""),"шт",""))),0)</f>
        <v>3</v>
      </c>
      <c r="D518" s="4">
        <f>IF(LEFT(Продажи_исходные!D518,1)="$",VALUE(MID(Продажи_исходные!D518,2,255))*95,IF(LEFT(Продажи_исходные!D518,1)="€",VALUE(MID(Продажи_исходные!D518,2,255))*100,VALUE(SUBSTITUTE(SUBSTITUTE(Продажи_исходные!D518,"₽","")," ",""))))</f>
        <v>8550</v>
      </c>
      <c r="E518" t="str">
        <f>Продажи_исходные!E518</f>
        <v>C0517</v>
      </c>
      <c r="F518" t="str">
        <f>Продажи_исходные!F518</f>
        <v>P049</v>
      </c>
      <c r="G518" t="str">
        <f>IFERROR(VLOOKUP(Продажи_исходные!G518,Справочники!$G$2:$H$50,2,FALSE),Продажи_исходные!G518)</f>
        <v>Возврат</v>
      </c>
      <c r="H518" s="4">
        <f>IFERROR(VLOOKUP(B518,Товары_очищенные!$A$1:$G$1000,6,FALSE),"нет в каталоге")</f>
        <v>10500</v>
      </c>
      <c r="I518" t="str">
        <f>IFERROR(VLOOKUP(B518,Товары_очищенные!$A$1:$G$1000,3,FALSE),"нет в каталоге")</f>
        <v>Наушники</v>
      </c>
      <c r="J518" t="str">
        <f t="shared" si="33"/>
        <v>OK</v>
      </c>
    </row>
    <row r="519">
      <c r="A519" s="8">
        <f>DATE(RIGHT(Продажи_исходные!A519,4),LEFT(Продажи_исходные!A519,2),MID(Продажи_исходные!A519,4,2))</f>
        <v>45930</v>
      </c>
      <c r="B519" t="str">
        <f>"АРТ-"&amp;LEFT(SUBSTITUTE(SUBSTITUTE(SUBSTITUTE(SUBSTITUTE(Продажи_исходные!B519,"№",""),"АРТ-",""),"АРТ_",""),"/","-"),3)</f>
        <v>АРТ-488</v>
      </c>
      <c r="C519" s="4">
        <f>IFERROR(VALUE(TRIM(SUBSTITUTE(SUBSTITUTE(SUBSTITUTE(SUBSTITUTE(Продажи_исходные!C519," шт.","")," шт",""),"шт.",""),"шт",""))),0)</f>
        <v>2</v>
      </c>
      <c r="D519" s="4">
        <f>IF(LEFT(Продажи_исходные!D519,1)="$",VALUE(MID(Продажи_исходные!D519,2,255))*95,IF(LEFT(Продажи_исходные!D519,1)="€",VALUE(MID(Продажи_исходные!D519,2,255))*100,VALUE(SUBSTITUTE(SUBSTITUTE(Продажи_исходные!D519,"₽","")," ",""))))</f>
        <v>7000</v>
      </c>
      <c r="E519" t="str">
        <f>Продажи_исходные!E519</f>
        <v>C0518</v>
      </c>
      <c r="F519" t="str">
        <f>Продажи_исходные!F519</f>
        <v>P006</v>
      </c>
      <c r="G519" t="str">
        <f>IFERROR(VLOOKUP(Продажи_исходные!G519,Справочники!$G$2:$H$50,2,FALSE),Продажи_исходные!G519)</f>
        <v>Завершен</v>
      </c>
      <c r="H519" s="4">
        <f>IFERROR(VLOOKUP(B519,Товары_очищенные!$A$1:$G$1000,6,FALSE),"нет в каталоге")</f>
        <v>108000</v>
      </c>
      <c r="I519" t="str">
        <f>IFERROR(VLOOKUP(B519,Товары_очищенные!$A$1:$G$1000,3,FALSE),"нет в каталоге")</f>
        <v>Ноутбуки</v>
      </c>
      <c r="J519" t="str">
        <f t="shared" si="33"/>
        <v>OK</v>
      </c>
    </row>
    <row r="520">
      <c r="A520" s="8">
        <f>DATE(RIGHT(Продажи_исходные!A520,4),LEFT(Продажи_исходные!A520,2),MID(Продажи_исходные!A520,4,2))</f>
        <v>45931</v>
      </c>
      <c r="B520" t="str">
        <f>"АРТ-"&amp;LEFT(SUBSTITUTE(SUBSTITUTE(SUBSTITUTE(SUBSTITUTE(Продажи_исходные!B520,"№",""),"АРТ-",""),"АРТ_",""),"/","-"),3)</f>
        <v>АРТ-345</v>
      </c>
      <c r="C520" s="4">
        <f>IFERROR(VALUE(TRIM(SUBSTITUTE(SUBSTITUTE(SUBSTITUTE(SUBSTITUTE(Продажи_исходные!C520," шт.","")," шт",""),"шт.",""),"шт",""))),0)</f>
        <v>1</v>
      </c>
      <c r="D520" s="4">
        <f>IF(LEFT(Продажи_исходные!D520,1)="$",VALUE(MID(Продажи_исходные!D520,2,255))*95,IF(LEFT(Продажи_исходные!D520,1)="€",VALUE(MID(Продажи_исходные!D520,2,255))*100,VALUE(SUBSTITUTE(SUBSTITUTE(Продажи_исходные!D520,"₽","")," ",""))))</f>
        <v>6500</v>
      </c>
      <c r="E520" t="str">
        <f>Продажи_исходные!E520</f>
        <v>C0519</v>
      </c>
      <c r="F520" t="str">
        <f>Продажи_исходные!F520</f>
        <v>P024</v>
      </c>
      <c r="G520" t="str">
        <f>IFERROR(VLOOKUP(Продажи_исходные!G520,Справочники!$G$2:$H$50,2,FALSE),Продажи_исходные!G520)</f>
        <v>Завершен</v>
      </c>
      <c r="H520" s="4">
        <f>IFERROR(VLOOKUP(B520,Товары_очищенные!$A$1:$G$1000,6,FALSE),"нет в каталоге")</f>
        <v>87500</v>
      </c>
      <c r="I520" t="str">
        <f>IFERROR(VLOOKUP(B520,Товары_очищенные!$A$1:$G$1000,3,FALSE),"нет в каталоге")</f>
        <v>Телевизоры</v>
      </c>
      <c r="J520" t="str">
        <f t="shared" si="33"/>
        <v>OK</v>
      </c>
    </row>
    <row r="521">
      <c r="A521" s="8">
        <f>DATE(RIGHT(Продажи_исходные!A521,4),LEFT(Продажи_исходные!A521,2),MID(Продажи_исходные!A521,4,2))</f>
        <v>45931</v>
      </c>
      <c r="B521" t="str">
        <f>"АРТ-"&amp;LEFT(SUBSTITUTE(SUBSTITUTE(SUBSTITUTE(SUBSTITUTE(Продажи_исходные!B521,"№",""),"АРТ-",""),"АРТ_",""),"/","-"),3)</f>
        <v>АРТ-398</v>
      </c>
      <c r="C521" s="4">
        <f>IFERROR(VALUE(TRIM(SUBSTITUTE(SUBSTITUTE(SUBSTITUTE(SUBSTITUTE(Продажи_исходные!C521," шт.","")," шт",""),"шт.",""),"шт",""))),0)</f>
        <v>-1</v>
      </c>
      <c r="D521" s="4">
        <f>IF(LEFT(Продажи_исходные!D521,1)="$",VALUE(MID(Продажи_исходные!D521,2,255))*95,IF(LEFT(Продажи_исходные!D521,1)="€",VALUE(MID(Продажи_исходные!D521,2,255))*100,VALUE(SUBSTITUTE(SUBSTITUTE(Продажи_исходные!D521,"₽","")," ",""))))</f>
        <v>10450</v>
      </c>
      <c r="E521" t="str">
        <f>Продажи_исходные!E521</f>
        <v>C0520</v>
      </c>
      <c r="F521" t="str">
        <f>Продажи_исходные!F521</f>
        <v>P015</v>
      </c>
      <c r="G521" t="str">
        <f>IFERROR(VLOOKUP(Продажи_исходные!G521,Справочники!$G$2:$H$50,2,FALSE),Продажи_исходные!G521)</f>
        <v>Завершен</v>
      </c>
      <c r="H521" s="4">
        <f>IFERROR(VLOOKUP(B521,Товары_очищенные!$A$1:$G$1000,6,FALSE),"нет в каталоге")</f>
        <v>7500</v>
      </c>
      <c r="I521" t="str">
        <f>IFERROR(VLOOKUP(B521,Товары_очищенные!$A$1:$G$1000,3,FALSE),"нет в каталоге")</f>
        <v>Аксессуары</v>
      </c>
      <c r="J521" t="str">
        <f t="shared" si="33"/>
        <v>OK</v>
      </c>
    </row>
    <row r="522">
      <c r="A522" s="8">
        <f>DATE(RIGHT(Продажи_исходные!A522,4),LEFT(Продажи_исходные!A522,2),MID(Продажи_исходные!A522,4,2))</f>
        <v>45932</v>
      </c>
      <c r="B522" t="str">
        <f>"АРТ-"&amp;LEFT(SUBSTITUTE(SUBSTITUTE(SUBSTITUTE(SUBSTITUTE(Продажи_исходные!B522,"№",""),"АРТ-",""),"АРТ_",""),"/","-"),3)</f>
        <v>АРТ-357</v>
      </c>
      <c r="C522" s="4">
        <f>IFERROR(VALUE(TRIM(SUBSTITUTE(SUBSTITUTE(SUBSTITUTE(SUBSTITUTE(Продажи_исходные!C522," шт.","")," шт",""),"шт.",""),"шт",""))),0)</f>
        <v>3</v>
      </c>
      <c r="D522" s="4">
        <f>IF(LEFT(Продажи_исходные!D522,1)="$",VALUE(MID(Продажи_исходные!D522,2,255))*95,IF(LEFT(Продажи_исходные!D522,1)="€",VALUE(MID(Продажи_исходные!D522,2,255))*100,VALUE(SUBSTITUTE(SUBSTITUTE(Продажи_исходные!D522,"₽","")," ",""))))</f>
        <v>9000</v>
      </c>
      <c r="E522" t="str">
        <f>Продажи_исходные!E522</f>
        <v>C0521</v>
      </c>
      <c r="F522" t="str">
        <f>Продажи_исходные!F522</f>
        <v>P037</v>
      </c>
      <c r="G522" t="str">
        <f>IFERROR(VLOOKUP(Продажи_исходные!G522,Справочники!$G$2:$H$50,2,FALSE),Продажи_исходные!G522)</f>
        <v>Отменен</v>
      </c>
      <c r="H522" s="4">
        <f>IFERROR(VLOOKUP(B522,Товары_очищенные!$A$1:$G$1000,6,FALSE),"нет в каталоге")</f>
        <v>88000</v>
      </c>
      <c r="I522" t="str">
        <f>IFERROR(VLOOKUP(B522,Товары_очищенные!$A$1:$G$1000,3,FALSE),"нет в каталоге")</f>
        <v>Смартфоны</v>
      </c>
      <c r="J522" t="str">
        <f t="shared" si="33"/>
        <v>OK</v>
      </c>
    </row>
    <row r="523">
      <c r="A523" s="8">
        <f>DATE(RIGHT(Продажи_исходные!A523,4),LEFT(Продажи_исходные!A523,2),MID(Продажи_исходные!A523,4,2))</f>
        <v>45932</v>
      </c>
      <c r="B523" t="str">
        <f>"АРТ-"&amp;LEFT(SUBSTITUTE(SUBSTITUTE(SUBSTITUTE(SUBSTITUTE(Продажи_исходные!B523,"№",""),"АРТ-",""),"АРТ_",""),"/","-"),3)</f>
        <v>АРТ-225</v>
      </c>
      <c r="C523" s="4">
        <f>IFERROR(VALUE(TRIM(SUBSTITUTE(SUBSTITUTE(SUBSTITUTE(SUBSTITUTE(Продажи_исходные!C523," шт.","")," шт",""),"шт.",""),"шт",""))),0)</f>
        <v>2</v>
      </c>
      <c r="D523" s="4">
        <f>IF(LEFT(Продажи_исходные!D523,1)="$",VALUE(MID(Продажи_исходные!D523,2,255))*95,IF(LEFT(Продажи_исходные!D523,1)="€",VALUE(MID(Продажи_исходные!D523,2,255))*100,VALUE(SUBSTITUTE(SUBSTITUTE(Продажи_исходные!D523,"₽","")," ",""))))</f>
        <v>8000</v>
      </c>
      <c r="E523" t="str">
        <f>Продажи_исходные!E523</f>
        <v>C0522</v>
      </c>
      <c r="F523" t="str">
        <f>Продажи_исходные!F523</f>
        <v>P048</v>
      </c>
      <c r="G523" t="str">
        <f>IFERROR(VLOOKUP(Продажи_исходные!G523,Справочники!$G$2:$H$50,2,FALSE),Продажи_исходные!G523)</f>
        <v>Отменен</v>
      </c>
      <c r="H523" s="4">
        <f>IFERROR(VLOOKUP(B523,Товары_очищенные!$A$1:$G$1000,6,FALSE),"нет в каталоге")</f>
        <v>57000</v>
      </c>
      <c r="I523" t="str">
        <f>IFERROR(VLOOKUP(B523,Товары_очищенные!$A$1:$G$1000,3,FALSE),"нет в каталоге")</f>
        <v>Мониторы</v>
      </c>
      <c r="J523" t="str">
        <f t="shared" si="33"/>
        <v>OK</v>
      </c>
    </row>
    <row r="524">
      <c r="A524" s="8">
        <f>DATE(RIGHT(Продажи_исходные!A524,4),LEFT(Продажи_исходные!A524,2),MID(Продажи_исходные!A524,4,2))</f>
        <v>45933</v>
      </c>
      <c r="B524" t="str">
        <f>"АРТ-"&amp;LEFT(SUBSTITUTE(SUBSTITUTE(SUBSTITUTE(SUBSTITUTE(Продажи_исходные!B524,"№",""),"АРТ-",""),"АРТ_",""),"/","-"),3)</f>
        <v>АРТ-144</v>
      </c>
      <c r="C524" s="4">
        <f>IFERROR(VALUE(TRIM(SUBSTITUTE(SUBSTITUTE(SUBSTITUTE(SUBSTITUTE(Продажи_исходные!C524," шт.","")," шт",""),"шт.",""),"шт",""))),0)</f>
        <v>1</v>
      </c>
      <c r="D524" s="4">
        <f>IF(LEFT(Продажи_исходные!D524,1)="$",VALUE(MID(Продажи_исходные!D524,2,255))*95,IF(LEFT(Продажи_исходные!D524,1)="€",VALUE(MID(Продажи_исходные!D524,2,255))*100,VALUE(SUBSTITUTE(SUBSTITUTE(Продажи_исходные!D524,"₽","")," ",""))))</f>
        <v>9025</v>
      </c>
      <c r="E524" t="str">
        <f>Продажи_исходные!E524</f>
        <v>C0523</v>
      </c>
      <c r="F524" t="str">
        <f>Продажи_исходные!F524</f>
        <v>P004</v>
      </c>
      <c r="G524" t="str">
        <f>IFERROR(VLOOKUP(Продажи_исходные!G524,Справочники!$G$2:$H$50,2,FALSE),Продажи_исходные!G524)</f>
        <v>Завершен</v>
      </c>
      <c r="H524" s="4">
        <f>IFERROR(VLOOKUP(B524,Товары_очищенные!$A$1:$G$1000,6,FALSE),"нет в каталоге")</f>
        <v>8500</v>
      </c>
      <c r="I524" t="str">
        <f>IFERROR(VLOOKUP(B524,Товары_очищенные!$A$1:$G$1000,3,FALSE),"нет в каталоге")</f>
        <v>Аксессуары</v>
      </c>
      <c r="J524" t="str">
        <f t="shared" si="33"/>
        <v>OK</v>
      </c>
    </row>
    <row r="525">
      <c r="A525" s="8">
        <f>DATE(RIGHT(Продажи_исходные!A525,4),LEFT(Продажи_исходные!A525,2),MID(Продажи_исходные!A525,4,2))</f>
        <v>45933</v>
      </c>
      <c r="B525" t="str">
        <f>"АРТ-"&amp;LEFT(SUBSTITUTE(SUBSTITUTE(SUBSTITUTE(SUBSTITUTE(Продажи_исходные!B525,"№",""),"АРТ-",""),"АРТ_",""),"/","-"),3)</f>
        <v>АРТ-455</v>
      </c>
      <c r="C525" s="4">
        <f>IFERROR(VALUE(TRIM(SUBSTITUTE(SUBSTITUTE(SUBSTITUTE(SUBSTITUTE(Продажи_исходные!C525," шт.","")," шт",""),"шт.",""),"шт",""))),0)</f>
        <v>2</v>
      </c>
      <c r="D525" s="4">
        <f>IF(LEFT(Продажи_исходные!D525,1)="$",VALUE(MID(Продажи_исходные!D525,2,255))*95,IF(LEFT(Продажи_исходные!D525,1)="€",VALUE(MID(Продажи_исходные!D525,2,255))*100,VALUE(SUBSTITUTE(SUBSTITUTE(Продажи_исходные!D525,"₽","")," ",""))))</f>
        <v>7500</v>
      </c>
      <c r="E525" t="str">
        <f>Продажи_исходные!E525</f>
        <v>C0524</v>
      </c>
      <c r="F525" t="str">
        <f>Продажи_исходные!F525</f>
        <v>P026</v>
      </c>
      <c r="G525" t="str">
        <f>IFERROR(VLOOKUP(Продажи_исходные!G525,Справочники!$G$2:$H$50,2,FALSE),Продажи_исходные!G525)</f>
        <v>Возврат</v>
      </c>
      <c r="H525" s="4">
        <f>IFERROR(VLOOKUP(B525,Товары_очищенные!$A$1:$G$1000,6,FALSE),"нет в каталоге")</f>
        <v>72000</v>
      </c>
      <c r="I525" t="str">
        <f>IFERROR(VLOOKUP(B525,Товары_очищенные!$A$1:$G$1000,3,FALSE),"нет в каталоге")</f>
        <v>Мониторы</v>
      </c>
      <c r="J525" t="str">
        <f t="shared" si="33"/>
        <v>OK</v>
      </c>
    </row>
    <row r="526">
      <c r="A526" s="8">
        <f>DATE(RIGHT(Продажи_исходные!A526,4),LEFT(Продажи_исходные!A526,2),MID(Продажи_исходные!A526,4,2))</f>
        <v>45934</v>
      </c>
      <c r="B526" t="str">
        <f>"АРТ-"&amp;LEFT(SUBSTITUTE(SUBSTITUTE(SUBSTITUTE(SUBSTITUTE(Продажи_исходные!B526,"№",""),"АРТ-",""),"АРТ_",""),"/","-"),3)</f>
        <v>АРТ-331</v>
      </c>
      <c r="C526" s="4">
        <f>IFERROR(VALUE(TRIM(SUBSTITUTE(SUBSTITUTE(SUBSTITUTE(SUBSTITUTE(Продажи_исходные!C526," шт.","")," шт",""),"шт.",""),"шт",""))),0)</f>
        <v>3</v>
      </c>
      <c r="D526" s="4">
        <f>IF(LEFT(Продажи_исходные!D526,1)="$",VALUE(MID(Продажи_исходные!D526,2,255))*95,IF(LEFT(Продажи_исходные!D526,1)="€",VALUE(MID(Продажи_исходные!D526,2,255))*100,VALUE(SUBSTITUTE(SUBSTITUTE(Продажи_исходные!D526,"₽","")," ",""))))</f>
        <v>7000</v>
      </c>
      <c r="E526" t="str">
        <f>Продажи_исходные!E526</f>
        <v>C0525</v>
      </c>
      <c r="F526" t="str">
        <f>Продажи_исходные!F526</f>
        <v>P013</v>
      </c>
      <c r="G526" t="str">
        <f>IFERROR(VLOOKUP(Продажи_исходные!G526,Справочники!$G$2:$H$50,2,FALSE),Продажи_исходные!G526)</f>
        <v>Завершен</v>
      </c>
      <c r="H526" s="4">
        <f>IFERROR(VLOOKUP(B526,Товары_очищенные!$A$1:$G$1000,6,FALSE),"нет в каталоге")</f>
        <v>69990</v>
      </c>
      <c r="I526" t="str">
        <f>IFERROR(VLOOKUP(B526,Товары_очищенные!$A$1:$G$1000,3,FALSE),"нет в каталоге")</f>
        <v>Часы</v>
      </c>
      <c r="J526" t="str">
        <f t="shared" si="33"/>
        <v>OK</v>
      </c>
    </row>
    <row r="527">
      <c r="A527" s="8">
        <f>DATE(RIGHT(Продажи_исходные!A527,4),LEFT(Продажи_исходные!A527,2),MID(Продажи_исходные!A527,4,2))</f>
        <v>45934</v>
      </c>
      <c r="B527" t="str">
        <f>"АРТ-"&amp;LEFT(SUBSTITUTE(SUBSTITUTE(SUBSTITUTE(SUBSTITUTE(Продажи_исходные!B527,"№",""),"АРТ-",""),"АРТ_",""),"/","-"),3)</f>
        <v>АРТ-301</v>
      </c>
      <c r="C527" s="4">
        <f>IFERROR(VALUE(TRIM(SUBSTITUTE(SUBSTITUTE(SUBSTITUTE(SUBSTITUTE(Продажи_исходные!C527," шт.","")," шт",""),"шт.",""),"шт",""))),0)</f>
        <v>-2</v>
      </c>
      <c r="D527" s="4">
        <f>IF(LEFT(Продажи_исходные!D527,1)="$",VALUE(MID(Продажи_исходные!D527,2,255))*95,IF(LEFT(Продажи_исходные!D527,1)="€",VALUE(MID(Продажи_исходные!D527,2,255))*100,VALUE(SUBSTITUTE(SUBSTITUTE(Продажи_исходные!D527,"₽","")," ",""))))</f>
        <v>10925</v>
      </c>
      <c r="E527" t="str">
        <f>Продажи_исходные!E527</f>
        <v>C0526</v>
      </c>
      <c r="F527" t="str">
        <f>Продажи_исходные!F527</f>
        <v>P034</v>
      </c>
      <c r="G527" t="str">
        <f>IFERROR(VLOOKUP(Продажи_исходные!G527,Справочники!$G$2:$H$50,2,FALSE),Продажи_исходные!G527)</f>
        <v>Завершен</v>
      </c>
      <c r="H527" s="4">
        <f>IFERROR(VLOOKUP(B527,Товары_очищенные!$A$1:$G$1000,6,FALSE),"нет в каталоге")</f>
        <v>7990</v>
      </c>
      <c r="I527" t="str">
        <f>IFERROR(VLOOKUP(B527,Товары_очищенные!$A$1:$G$1000,3,FALSE),"нет в каталоге")</f>
        <v>Наушники</v>
      </c>
      <c r="J527" t="str">
        <f t="shared" si="33"/>
        <v>OK</v>
      </c>
    </row>
    <row r="528">
      <c r="A528" s="8">
        <f>DATE(RIGHT(Продажи_исходные!A528,4),LEFT(Продажи_исходные!A528,2),MID(Продажи_исходные!A528,4,2))</f>
        <v>45935</v>
      </c>
      <c r="B528" t="str">
        <f>"АРТ-"&amp;LEFT(SUBSTITUTE(SUBSTITUTE(SUBSTITUTE(SUBSTITUTE(Продажи_исходные!B528,"№",""),"АРТ-",""),"АРТ_",""),"/","-"),3)</f>
        <v>АРТ-338</v>
      </c>
      <c r="C528" s="4">
        <f>IFERROR(VALUE(TRIM(SUBSTITUTE(SUBSTITUTE(SUBSTITUTE(SUBSTITUTE(Продажи_исходные!C528," шт.","")," шт",""),"шт.",""),"шт",""))),0)</f>
        <v>1</v>
      </c>
      <c r="D528" s="4">
        <f>IF(LEFT(Продажи_исходные!D528,1)="$",VALUE(MID(Продажи_исходные!D528,2,255))*95,IF(LEFT(Продажи_исходные!D528,1)="€",VALUE(MID(Продажи_исходные!D528,2,255))*100,VALUE(SUBSTITUTE(SUBSTITUTE(Продажи_исходные!D528,"₽","")," ",""))))</f>
        <v>9500</v>
      </c>
      <c r="E528" t="str">
        <f>Продажи_исходные!E528</f>
        <v>C0527</v>
      </c>
      <c r="F528" t="str">
        <f>Продажи_исходные!F528</f>
        <v>P044</v>
      </c>
      <c r="G528" t="str">
        <f>IFERROR(VLOOKUP(Продажи_исходные!G528,Справочники!$G$2:$H$50,2,FALSE),Продажи_исходные!G528)</f>
        <v>Завершен</v>
      </c>
      <c r="H528" s="4">
        <f>IFERROR(VLOOKUP(B528,Товары_очищенные!$A$1:$G$1000,6,FALSE),"нет в каталоге")</f>
        <v>62500</v>
      </c>
      <c r="I528" t="str">
        <f>IFERROR(VLOOKUP(B528,Товары_очищенные!$A$1:$G$1000,3,FALSE),"нет в каталоге")</f>
        <v>Смартфоны</v>
      </c>
      <c r="J528" t="str">
        <f t="shared" si="33"/>
        <v>OK</v>
      </c>
    </row>
    <row r="529">
      <c r="A529" s="8">
        <f>DATE(RIGHT(Продажи_исходные!A529,4),LEFT(Продажи_исходные!A529,2),MID(Продажи_исходные!A529,4,2))</f>
        <v>45935</v>
      </c>
      <c r="B529" t="str">
        <f>"АРТ-"&amp;LEFT(SUBSTITUTE(SUBSTITUTE(SUBSTITUTE(SUBSTITUTE(Продажи_исходные!B529,"№",""),"АРТ-",""),"АРТ_",""),"/","-"),3)</f>
        <v>АРТ-267</v>
      </c>
      <c r="C529" s="4">
        <f>IFERROR(VALUE(TRIM(SUBSTITUTE(SUBSTITUTE(SUBSTITUTE(SUBSTITUTE(Продажи_исходные!C529," шт.","")," шт",""),"шт.",""),"шт",""))),0)</f>
        <v>2</v>
      </c>
      <c r="D529" s="4">
        <f>IF(LEFT(Продажи_исходные!D529,1)="$",VALUE(MID(Продажи_исходные!D529,2,255))*95,IF(LEFT(Продажи_исходные!D529,1)="€",VALUE(MID(Продажи_исходные!D529,2,255))*100,VALUE(SUBSTITUTE(SUBSTITUTE(Продажи_исходные!D529,"₽","")," ",""))))</f>
        <v>8500</v>
      </c>
      <c r="E529" t="str">
        <f>Продажи_исходные!E529</f>
        <v>C0528</v>
      </c>
      <c r="F529" t="str">
        <f>Продажи_исходные!F529</f>
        <v>P001</v>
      </c>
      <c r="G529" t="str">
        <f>IFERROR(VLOOKUP(Продажи_исходные!G529,Справочники!$G$2:$H$50,2,FALSE),Продажи_исходные!G529)</f>
        <v>Отменен</v>
      </c>
      <c r="H529" s="4">
        <f>IFERROR(VLOOKUP(B529,Товары_очищенные!$A$1:$G$1000,6,FALSE),"нет в каталоге")</f>
        <v>70000</v>
      </c>
      <c r="I529" t="str">
        <f>IFERROR(VLOOKUP(B529,Товары_очищенные!$A$1:$G$1000,3,FALSE),"нет в каталоге")</f>
        <v>Мониторы</v>
      </c>
      <c r="J529" t="str">
        <f t="shared" si="33"/>
        <v>OK</v>
      </c>
    </row>
    <row r="530">
      <c r="A530" s="8">
        <f>DATE(RIGHT(Продажи_исходные!A530,4),LEFT(Продажи_исходные!A530,2),MID(Продажи_исходные!A530,4,2))</f>
        <v>45936</v>
      </c>
      <c r="B530" t="str">
        <f>"АРТ-"&amp;LEFT(SUBSTITUTE(SUBSTITUTE(SUBSTITUTE(SUBSTITUTE(Продажи_исходные!B530,"№",""),"АРТ-",""),"АРТ_",""),"/","-"),3)</f>
        <v>АРТ-080</v>
      </c>
      <c r="C530" s="4">
        <f>IFERROR(VALUE(TRIM(SUBSTITUTE(SUBSTITUTE(SUBSTITUTE(SUBSTITUTE(Продажи_исходные!C530," шт.","")," шт",""),"шт.",""),"шт",""))),0)</f>
        <v>3</v>
      </c>
      <c r="D530" s="4">
        <f>IF(LEFT(Продажи_исходные!D530,1)="$",VALUE(MID(Продажи_исходные!D530,2,255))*95,IF(LEFT(Продажи_исходные!D530,1)="€",VALUE(MID(Продажи_исходные!D530,2,255))*100,VALUE(SUBSTITUTE(SUBSTITUTE(Продажи_исходные!D530,"₽","")," ",""))))</f>
        <v>9975</v>
      </c>
      <c r="E530" t="str">
        <f>Продажи_исходные!E530</f>
        <v>C0529</v>
      </c>
      <c r="F530" t="str">
        <f>Продажи_исходные!F530</f>
        <v>P021</v>
      </c>
      <c r="G530" t="str">
        <f>IFERROR(VLOOKUP(Продажи_исходные!G530,Справочники!$G$2:$H$50,2,FALSE),Продажи_исходные!G530)</f>
        <v>Отменен</v>
      </c>
      <c r="H530" s="4">
        <f>IFERROR(VLOOKUP(B530,Товары_очищенные!$A$1:$G$1000,6,FALSE),"нет в каталоге")</f>
        <v>44500</v>
      </c>
      <c r="I530" t="str">
        <f>IFERROR(VLOOKUP(B530,Товары_очищенные!$A$1:$G$1000,3,FALSE),"нет в каталоге")</f>
        <v>Планшеты</v>
      </c>
      <c r="J530" t="str">
        <f t="shared" si="33"/>
        <v>OK</v>
      </c>
    </row>
    <row r="531">
      <c r="A531" s="8">
        <f>DATE(RIGHT(Продажи_исходные!A531,4),LEFT(Продажи_исходные!A531,2),MID(Продажи_исходные!A531,4,2))</f>
        <v>45936</v>
      </c>
      <c r="B531" t="str">
        <f>"АРТ-"&amp;LEFT(SUBSTITUTE(SUBSTITUTE(SUBSTITUTE(SUBSTITUTE(Продажи_исходные!B531,"№",""),"АРТ-",""),"АРТ_",""),"/","-"),3)</f>
        <v>АРТ-445</v>
      </c>
      <c r="C531" s="4">
        <f>IFERROR(VALUE(TRIM(SUBSTITUTE(SUBSTITUTE(SUBSTITUTE(SUBSTITUTE(Продажи_исходные!C531," шт.","")," шт",""),"шт.",""),"шт",""))),0)</f>
        <v>2</v>
      </c>
      <c r="D531" s="4">
        <f>IF(LEFT(Продажи_исходные!D531,1)="$",VALUE(MID(Продажи_исходные!D531,2,255))*95,IF(LEFT(Продажи_исходные!D531,1)="€",VALUE(MID(Продажи_исходные!D531,2,255))*100,VALUE(SUBSTITUTE(SUBSTITUTE(Продажи_исходные!D531,"₽","")," ",""))))</f>
        <v>8500</v>
      </c>
      <c r="E531" t="str">
        <f>Продажи_исходные!E531</f>
        <v>C0530</v>
      </c>
      <c r="F531" t="str">
        <f>Продажи_исходные!F531</f>
        <v>P039</v>
      </c>
      <c r="G531" t="str">
        <f>IFERROR(VLOOKUP(Продажи_исходные!G531,Справочники!$G$2:$H$50,2,FALSE),Продажи_исходные!G531)</f>
        <v>Возврат</v>
      </c>
      <c r="H531" s="4">
        <f>IFERROR(VLOOKUP(B531,Товары_очищенные!$A$1:$G$1000,6,FALSE),"нет в каталоге")</f>
        <v>141990</v>
      </c>
      <c r="I531" t="str">
        <f>IFERROR(VLOOKUP(B531,Товары_очищенные!$A$1:$G$1000,3,FALSE),"нет в каталоге")</f>
        <v>Ноутбуки</v>
      </c>
      <c r="J531" t="str">
        <f t="shared" si="33"/>
        <v>OK</v>
      </c>
    </row>
    <row r="532">
      <c r="A532" s="8">
        <f>DATE(RIGHT(Продажи_исходные!A532,4),LEFT(Продажи_исходные!A532,2),MID(Продажи_исходные!A532,4,2))</f>
        <v>45937</v>
      </c>
      <c r="B532" t="str">
        <f>"АРТ-"&amp;LEFT(SUBSTITUTE(SUBSTITUTE(SUBSTITUTE(SUBSTITUTE(Продажи_исходные!B532,"№",""),"АРТ-",""),"АРТ_",""),"/","-"),3)</f>
        <v>АРТ-288</v>
      </c>
      <c r="C532" s="4">
        <f>IFERROR(VALUE(TRIM(SUBSTITUTE(SUBSTITUTE(SUBSTITUTE(SUBSTITUTE(Продажи_исходные!C532," шт.","")," шт",""),"шт.",""),"шт",""))),0)</f>
        <v>1</v>
      </c>
      <c r="D532" s="4">
        <f>IF(LEFT(Продажи_исходные!D532,1)="$",VALUE(MID(Продажи_исходные!D532,2,255))*95,IF(LEFT(Продажи_исходные!D532,1)="€",VALUE(MID(Продажи_исходные!D532,2,255))*100,VALUE(SUBSTITUTE(SUBSTITUTE(Продажи_исходные!D532,"₽","")," ",""))))</f>
        <v>7800</v>
      </c>
      <c r="E532" t="str">
        <f>Продажи_исходные!E532</f>
        <v>C0531</v>
      </c>
      <c r="F532" t="str">
        <f>Продажи_исходные!F532</f>
        <v>P050</v>
      </c>
      <c r="G532" t="str">
        <f>IFERROR(VLOOKUP(Продажи_исходные!G532,Справочники!$G$2:$H$50,2,FALSE),Продажи_исходные!G532)</f>
        <v>Завершен</v>
      </c>
      <c r="H532" s="4">
        <f>IFERROR(VLOOKUP(B532,Товары_очищенные!$A$1:$G$1000,6,FALSE),"нет в каталоге")</f>
        <v>8000</v>
      </c>
      <c r="I532" t="str">
        <f>IFERROR(VLOOKUP(B532,Товары_очищенные!$A$1:$G$1000,3,FALSE),"нет в каталоге")</f>
        <v>Аксессуары</v>
      </c>
      <c r="J532" t="str">
        <f t="shared" si="33"/>
        <v>OK</v>
      </c>
    </row>
    <row r="533">
      <c r="A533" s="8">
        <f>DATE(RIGHT(Продажи_исходные!A533,4),LEFT(Продажи_исходные!A533,2),MID(Продажи_исходные!A533,4,2))</f>
        <v>45937</v>
      </c>
      <c r="B533" t="str">
        <f>"АРТ-"&amp;LEFT(SUBSTITUTE(SUBSTITUTE(SUBSTITUTE(SUBSTITUTE(Продажи_исходные!B533,"№",""),"АРТ-",""),"АРТ_",""),"/","-"),3)</f>
        <v>АРТ-377</v>
      </c>
      <c r="C533" s="4">
        <f>IFERROR(VALUE(TRIM(SUBSTITUTE(SUBSTITUTE(SUBSTITUTE(SUBSTITUTE(Продажи_исходные!C533," шт.","")," шт",""),"шт.",""),"шт",""))),0)</f>
        <v>-3</v>
      </c>
      <c r="D533" s="4">
        <f>IF(LEFT(Продажи_исходные!D533,1)="$",VALUE(MID(Продажи_исходные!D533,2,255))*95,IF(LEFT(Продажи_исходные!D533,1)="€",VALUE(MID(Продажи_исходные!D533,2,255))*100,VALUE(SUBSTITUTE(SUBSTITUTE(Продажи_исходные!D533,"₽","")," ",""))))</f>
        <v>11400</v>
      </c>
      <c r="E533" t="str">
        <f>Продажи_исходные!E533</f>
        <v>C0532</v>
      </c>
      <c r="F533" t="str">
        <f>Продажи_исходные!F533</f>
        <v>P011</v>
      </c>
      <c r="G533" t="str">
        <f>IFERROR(VLOOKUP(Продажи_исходные!G533,Справочники!$G$2:$H$50,2,FALSE),Продажи_исходные!G533)</f>
        <v>Завершен</v>
      </c>
      <c r="H533" s="4">
        <f>IFERROR(VLOOKUP(B533,Товары_очищенные!$A$1:$G$1000,6,FALSE),"нет в каталоге")</f>
        <v>23500</v>
      </c>
      <c r="I533" t="str">
        <f>IFERROR(VLOOKUP(B533,Товары_очищенные!$A$1:$G$1000,3,FALSE),"нет в каталоге")</f>
        <v>Часы</v>
      </c>
      <c r="J533" t="str">
        <f t="shared" si="33"/>
        <v>OK</v>
      </c>
    </row>
    <row r="534">
      <c r="A534" s="8">
        <f>DATE(RIGHT(Продажи_исходные!A534,4),LEFT(Продажи_исходные!A534,2),MID(Продажи_исходные!A534,4,2))</f>
        <v>45938</v>
      </c>
      <c r="B534" t="str">
        <f>"АРТ-"&amp;LEFT(SUBSTITUTE(SUBSTITUTE(SUBSTITUTE(SUBSTITUTE(Продажи_исходные!B534,"№",""),"АРТ-",""),"АРТ_",""),"/","-"),3)</f>
        <v>АРТ-296</v>
      </c>
      <c r="C534" s="4">
        <f>IFERROR(VALUE(TRIM(SUBSTITUTE(SUBSTITUTE(SUBSTITUTE(SUBSTITUTE(Продажи_исходные!C534," шт.","")," шт",""),"шт.",""),"шт",""))),0)</f>
        <v>2</v>
      </c>
      <c r="D534" s="4">
        <f>IF(LEFT(Продажи_исходные!D534,1)="$",VALUE(MID(Продажи_исходные!D534,2,255))*95,IF(LEFT(Продажи_исходные!D534,1)="€",VALUE(MID(Продажи_исходные!D534,2,255))*100,VALUE(SUBSTITUTE(SUBSTITUTE(Продажи_исходные!D534,"₽","")," ",""))))</f>
        <v>10000</v>
      </c>
      <c r="E534" t="str">
        <f>Продажи_исходные!E534</f>
        <v>C0533</v>
      </c>
      <c r="F534" t="str">
        <f>Продажи_исходные!F534</f>
        <v>P027</v>
      </c>
      <c r="G534" t="str">
        <f>IFERROR(VLOOKUP(Продажи_исходные!G534,Справочники!$G$2:$H$50,2,FALSE),Продажи_исходные!G534)</f>
        <v>Завершен</v>
      </c>
      <c r="H534" s="4">
        <f>IFERROR(VLOOKUP(B534,Товары_очищенные!$A$1:$G$1000,6,FALSE),"нет в каталоге")</f>
        <v>33500</v>
      </c>
      <c r="I534" t="str">
        <f>IFERROR(VLOOKUP(B534,Товары_очищенные!$A$1:$G$1000,3,FALSE),"нет в каталоге")</f>
        <v>Смартфоны</v>
      </c>
      <c r="J534" t="str">
        <f t="shared" si="33"/>
        <v>OK</v>
      </c>
    </row>
    <row r="535">
      <c r="A535" s="8">
        <f>DATE(RIGHT(Продажи_исходные!A535,4),LEFT(Продажи_исходные!A535,2),MID(Продажи_исходные!A535,4,2))</f>
        <v>45938</v>
      </c>
      <c r="B535" t="str">
        <f>"АРТ-"&amp;LEFT(SUBSTITUTE(SUBSTITUTE(SUBSTITUTE(SUBSTITUTE(Продажи_исходные!B535,"№",""),"АРТ-",""),"АРТ_",""),"/","-"),3)</f>
        <v>АРТ-225</v>
      </c>
      <c r="C535" s="4">
        <f>IFERROR(VALUE(TRIM(SUBSTITUTE(SUBSTITUTE(SUBSTITUTE(SUBSTITUTE(Продажи_исходные!C535," шт.","")," шт",""),"шт.",""),"шт",""))),0)</f>
        <v>1</v>
      </c>
      <c r="D535" s="4">
        <f>IF(LEFT(Продажи_исходные!D535,1)="$",VALUE(MID(Продажи_исходные!D535,2,255))*95,IF(LEFT(Продажи_исходные!D535,1)="€",VALUE(MID(Продажи_исходные!D535,2,255))*100,VALUE(SUBSTITUTE(SUBSTITUTE(Продажи_исходные!D535,"₽","")," ",""))))</f>
        <v>9200</v>
      </c>
      <c r="E535" t="str">
        <f>Продажи_исходные!E535</f>
        <v>C0534</v>
      </c>
      <c r="F535" t="str">
        <f>Продажи_исходные!F535</f>
        <v>P018</v>
      </c>
      <c r="G535" t="str">
        <f>IFERROR(VLOOKUP(Продажи_исходные!G535,Справочники!$G$2:$H$50,2,FALSE),Продажи_исходные!G535)</f>
        <v>Отменен</v>
      </c>
      <c r="H535" s="4">
        <f>IFERROR(VLOOKUP(B535,Товары_очищенные!$A$1:$G$1000,6,FALSE),"нет в каталоге")</f>
        <v>57000</v>
      </c>
      <c r="I535" t="str">
        <f>IFERROR(VLOOKUP(B535,Товары_очищенные!$A$1:$G$1000,3,FALSE),"нет в каталоге")</f>
        <v>Мониторы</v>
      </c>
      <c r="J535" t="str">
        <f t="shared" si="33"/>
        <v>OK</v>
      </c>
    </row>
    <row r="536">
      <c r="A536" s="8">
        <f>DATE(RIGHT(Продажи_исходные!A536,4),LEFT(Продажи_исходные!A536,2),MID(Продажи_исходные!A536,4,2))</f>
        <v>45939</v>
      </c>
      <c r="B536" t="str">
        <f>"АРТ-"&amp;LEFT(SUBSTITUTE(SUBSTITUTE(SUBSTITUTE(SUBSTITUTE(Продажи_исходные!B536,"№",""),"АРТ-",""),"АРТ_",""),"/","-"),3)</f>
        <v>АРТ-064</v>
      </c>
      <c r="C536" s="4">
        <f>IFERROR(VALUE(TRIM(SUBSTITUTE(SUBSTITUTE(SUBSTITUTE(SUBSTITUTE(Продажи_исходные!C536," шт.","")," шт",""),"шт.",""),"шт",""))),0)</f>
        <v>3</v>
      </c>
      <c r="D536" s="4">
        <f>IF(LEFT(Продажи_исходные!D536,1)="$",VALUE(MID(Продажи_исходные!D536,2,255))*95,IF(LEFT(Продажи_исходные!D536,1)="€",VALUE(MID(Продажи_исходные!D536,2,255))*100,VALUE(SUBSTITUTE(SUBSTITUTE(Продажи_исходные!D536,"₽","")," ",""))))</f>
        <v>8550</v>
      </c>
      <c r="E536" t="str">
        <f>Продажи_исходные!E536</f>
        <v>C0535</v>
      </c>
      <c r="F536" t="str">
        <f>Продажи_исходные!F536</f>
        <v>P040</v>
      </c>
      <c r="G536" t="str">
        <f>IFERROR(VLOOKUP(Продажи_исходные!G536,Справочники!$G$2:$H$50,2,FALSE),Продажи_исходные!G536)</f>
        <v>Отменен</v>
      </c>
      <c r="H536" s="4">
        <f>IFERROR(VLOOKUP(B536,Товары_очищенные!$A$1:$G$1000,6,FALSE),"нет в каталоге")</f>
        <v>56990</v>
      </c>
      <c r="I536" t="str">
        <f>IFERROR(VLOOKUP(B536,Товары_очищенные!$A$1:$G$1000,3,FALSE),"нет в каталоге")</f>
        <v>Смартфоны</v>
      </c>
      <c r="J536" t="str">
        <f t="shared" si="33"/>
        <v>OK</v>
      </c>
    </row>
    <row r="537">
      <c r="A537" s="8">
        <f>DATE(RIGHT(Продажи_исходные!A537,4),LEFT(Продажи_исходные!A537,2),MID(Продажи_исходные!A537,4,2))</f>
        <v>45939</v>
      </c>
      <c r="B537" t="str">
        <f>"АРТ-"&amp;LEFT(SUBSTITUTE(SUBSTITUTE(SUBSTITUTE(SUBSTITUTE(Продажи_исходные!B537,"№",""),"АРТ-",""),"АРТ_",""),"/","-"),3)</f>
        <v>АРТ-490</v>
      </c>
      <c r="C537" s="4">
        <f>IFERROR(VALUE(TRIM(SUBSTITUTE(SUBSTITUTE(SUBSTITUTE(SUBSTITUTE(Продажи_исходные!C537," шт.","")," шт",""),"шт.",""),"шт",""))),0)</f>
        <v>2</v>
      </c>
      <c r="D537" s="4">
        <f>IF(LEFT(Продажи_исходные!D537,1)="$",VALUE(MID(Продажи_исходные!D537,2,255))*95,IF(LEFT(Продажи_исходные!D537,1)="€",VALUE(MID(Продажи_исходные!D537,2,255))*100,VALUE(SUBSTITUTE(SUBSTITUTE(Продажи_исходные!D537,"₽","")," ",""))))</f>
        <v>7000</v>
      </c>
      <c r="E537" t="str">
        <f>Продажи_исходные!E537</f>
        <v>C0536</v>
      </c>
      <c r="F537" t="str">
        <f>Продажи_исходные!F537</f>
        <v>P003</v>
      </c>
      <c r="G537" t="str">
        <f>IFERROR(VLOOKUP(Продажи_исходные!G537,Справочники!$G$2:$H$50,2,FALSE),Продажи_исходные!G537)</f>
        <v>Завершен</v>
      </c>
      <c r="H537" s="4">
        <f>IFERROR(VLOOKUP(B537,Товары_очищенные!$A$1:$G$1000,6,FALSE),"нет в каталоге")</f>
        <v>61990</v>
      </c>
      <c r="I537" t="str">
        <f>IFERROR(VLOOKUP(B537,Товары_очищенные!$A$1:$G$1000,3,FALSE),"нет в каталоге")</f>
        <v>Телевизоры</v>
      </c>
      <c r="J537" t="str">
        <f t="shared" si="33"/>
        <v>OK</v>
      </c>
    </row>
    <row r="538">
      <c r="A538" s="8">
        <f>DATE(RIGHT(Продажи_исходные!A538,4),LEFT(Продажи_исходные!A538,2),MID(Продажи_исходные!A538,4,2))</f>
        <v>45940</v>
      </c>
      <c r="B538" t="str">
        <f>"АРТ-"&amp;LEFT(SUBSTITUTE(SUBSTITUTE(SUBSTITUTE(SUBSTITUTE(Продажи_исходные!B538,"№",""),"АРТ-",""),"АРТ_",""),"/","-"),3)</f>
        <v>АРТ-386</v>
      </c>
      <c r="C538" s="4">
        <f>IFERROR(VALUE(TRIM(SUBSTITUTE(SUBSTITUTE(SUBSTITUTE(SUBSTITUTE(Продажи_исходные!C538," шт.","")," шт",""),"шт.",""),"шт",""))),0)</f>
        <v>1</v>
      </c>
      <c r="D538" s="4">
        <f>IF(LEFT(Продажи_исходные!D538,1)="$",VALUE(MID(Продажи_исходные!D538,2,255))*95,IF(LEFT(Продажи_исходные!D538,1)="€",VALUE(MID(Продажи_исходные!D538,2,255))*100,VALUE(SUBSTITUTE(SUBSTITUTE(Продажи_исходные!D538,"₽","")," ",""))))</f>
        <v>6500</v>
      </c>
      <c r="E538" t="str">
        <f>Продажи_исходные!E538</f>
        <v>C0537</v>
      </c>
      <c r="F538" t="str">
        <f>Продажи_исходные!F538</f>
        <v>P025</v>
      </c>
      <c r="G538" t="str">
        <f>IFERROR(VLOOKUP(Продажи_исходные!G538,Справочники!$G$2:$H$50,2,FALSE),Продажи_исходные!G538)</f>
        <v>Возврат</v>
      </c>
      <c r="H538" s="4">
        <f>IFERROR(VLOOKUP(B538,Товары_очищенные!$A$1:$G$1000,6,FALSE),"нет в каталоге")</f>
        <v>114000</v>
      </c>
      <c r="I538" t="str">
        <f>IFERROR(VLOOKUP(B538,Товары_очищенные!$A$1:$G$1000,3,FALSE),"нет в каталоге")</f>
        <v>Ноутбуки</v>
      </c>
      <c r="J538" t="str">
        <f t="shared" si="33"/>
        <v>OK</v>
      </c>
    </row>
    <row r="539">
      <c r="A539" s="8">
        <f>DATE(RIGHT(Продажи_исходные!A539,4),LEFT(Продажи_исходные!A539,2),MID(Продажи_исходные!A539,4,2))</f>
        <v>45940</v>
      </c>
      <c r="B539" t="str">
        <f>"АРТ-"&amp;LEFT(SUBSTITUTE(SUBSTITUTE(SUBSTITUTE(SUBSTITUTE(Продажи_исходные!B539,"№",""),"АРТ-",""),"АРТ_",""),"/","-"),3)</f>
        <v>АРТ-299</v>
      </c>
      <c r="C539" s="4">
        <f>IFERROR(VALUE(TRIM(SUBSTITUTE(SUBSTITUTE(SUBSTITUTE(SUBSTITUTE(Продажи_исходные!C539," шт.","")," шт",""),"шт.",""),"шт",""))),0)</f>
        <v>-1</v>
      </c>
      <c r="D539" s="4">
        <f>IF(LEFT(Продажи_исходные!D539,1)="$",VALUE(MID(Продажи_исходные!D539,2,255))*95,IF(LEFT(Продажи_исходные!D539,1)="€",VALUE(MID(Продажи_исходные!D539,2,255))*100,VALUE(SUBSTITUTE(SUBSTITUTE(Продажи_исходные!D539,"₽","")," ",""))))</f>
        <v>10450</v>
      </c>
      <c r="E539" t="str">
        <f>Продажи_исходные!E539</f>
        <v>C0538</v>
      </c>
      <c r="F539" t="str">
        <f>Продажи_исходные!F539</f>
        <v>P010</v>
      </c>
      <c r="G539" t="str">
        <f>IFERROR(VLOOKUP(Продажи_исходные!G539,Справочники!$G$2:$H$50,2,FALSE),Продажи_исходные!G539)</f>
        <v>Завершен</v>
      </c>
      <c r="H539" s="4">
        <f>IFERROR(VLOOKUP(B539,Товары_очищенные!$A$1:$G$1000,6,FALSE),"нет в каталоге")</f>
        <v>63500</v>
      </c>
      <c r="I539" t="str">
        <f>IFERROR(VLOOKUP(B539,Товары_очищенные!$A$1:$G$1000,3,FALSE),"нет в каталоге")</f>
        <v>Телевизоры</v>
      </c>
      <c r="J539" t="str">
        <f t="shared" si="33"/>
        <v>OK</v>
      </c>
    </row>
    <row r="540">
      <c r="A540" s="8">
        <f>DATE(RIGHT(Продажи_исходные!A540,4),LEFT(Продажи_исходные!A540,2),MID(Продажи_исходные!A540,4,2))</f>
        <v>45941</v>
      </c>
      <c r="B540" t="str">
        <f>"АРТ-"&amp;LEFT(SUBSTITUTE(SUBSTITUTE(SUBSTITUTE(SUBSTITUTE(Продажи_исходные!B540,"№",""),"АРТ-",""),"АРТ_",""),"/","-"),3)</f>
        <v>АРТ-419</v>
      </c>
      <c r="C540" s="4">
        <f>IFERROR(VALUE(TRIM(SUBSTITUTE(SUBSTITUTE(SUBSTITUTE(SUBSTITUTE(Продажи_исходные!C540," шт.","")," шт",""),"шт.",""),"шт",""))),0)</f>
        <v>3</v>
      </c>
      <c r="D540" s="4">
        <f>IF(LEFT(Продажи_исходные!D540,1)="$",VALUE(MID(Продажи_исходные!D540,2,255))*95,IF(LEFT(Продажи_исходные!D540,1)="€",VALUE(MID(Продажи_исходные!D540,2,255))*100,VALUE(SUBSTITUTE(SUBSTITUTE(Продажи_исходные!D540,"₽","")," ",""))))</f>
        <v>9000</v>
      </c>
      <c r="E540" t="str">
        <f>Продажи_исходные!E540</f>
        <v>C0539</v>
      </c>
      <c r="F540" t="str">
        <f>Продажи_исходные!F540</f>
        <v>P033</v>
      </c>
      <c r="G540" t="str">
        <f>IFERROR(VLOOKUP(Продажи_исходные!G540,Справочники!$G$2:$H$50,2,FALSE),Продажи_исходные!G540)</f>
        <v>Завершен</v>
      </c>
      <c r="H540" s="4">
        <f>IFERROR(VLOOKUP(B540,Товары_очищенные!$A$1:$G$1000,6,FALSE),"нет в каталоге")</f>
        <v>28500</v>
      </c>
      <c r="I540" t="str">
        <f>IFERROR(VLOOKUP(B540,Товары_очищенные!$A$1:$G$1000,3,FALSE),"нет в каталоге")</f>
        <v>Часы</v>
      </c>
      <c r="J540" t="str">
        <f t="shared" si="33"/>
        <v>OK</v>
      </c>
    </row>
    <row r="541">
      <c r="A541" s="8">
        <f>DATE(RIGHT(Продажи_исходные!A541,4),LEFT(Продажи_исходные!A541,2),MID(Продажи_исходные!A541,4,2))</f>
        <v>45941</v>
      </c>
      <c r="B541" t="str">
        <f>"АРТ-"&amp;LEFT(SUBSTITUTE(SUBSTITUTE(SUBSTITUTE(SUBSTITUTE(Продажи_исходные!B541,"№",""),"АРТ-",""),"АРТ_",""),"/","-"),3)</f>
        <v>АРТ-320</v>
      </c>
      <c r="C541" s="4">
        <f>IFERROR(VALUE(TRIM(SUBSTITUTE(SUBSTITUTE(SUBSTITUTE(SUBSTITUTE(Продажи_исходные!C541," шт.","")," шт",""),"шт.",""),"шт",""))),0)</f>
        <v>2</v>
      </c>
      <c r="D541" s="4">
        <f>IF(LEFT(Продажи_исходные!D541,1)="$",VALUE(MID(Продажи_исходные!D541,2,255))*95,IF(LEFT(Продажи_исходные!D541,1)="€",VALUE(MID(Продажи_исходные!D541,2,255))*100,VALUE(SUBSTITUTE(SUBSTITUTE(Продажи_исходные!D541,"₽","")," ",""))))</f>
        <v>8000</v>
      </c>
      <c r="E541" t="str">
        <f>Продажи_исходные!E541</f>
        <v>C0540</v>
      </c>
      <c r="F541" t="str">
        <f>Продажи_исходные!F541</f>
        <v>P047</v>
      </c>
      <c r="G541" t="str">
        <f>IFERROR(VLOOKUP(Продажи_исходные!G541,Справочники!$G$2:$H$50,2,FALSE),Продажи_исходные!G541)</f>
        <v>Завершен</v>
      </c>
      <c r="H541" s="4">
        <f>IFERROR(VLOOKUP(B541,Товары_очищенные!$A$1:$G$1000,6,FALSE),"нет в каталоге")</f>
        <v>181500</v>
      </c>
      <c r="I541" t="str">
        <f>IFERROR(VLOOKUP(B541,Товары_очищенные!$A$1:$G$1000,3,FALSE),"нет в каталоге")</f>
        <v>Телевизоры</v>
      </c>
      <c r="J541" t="str">
        <f t="shared" si="33"/>
        <v>OK</v>
      </c>
    </row>
    <row r="542">
      <c r="A542" s="8">
        <f>DATE(RIGHT(Продажи_исходные!A542,4),LEFT(Продажи_исходные!A542,2),MID(Продажи_исходные!A542,4,2))</f>
        <v>45942</v>
      </c>
      <c r="B542" t="str">
        <f>"АРТ-"&amp;LEFT(SUBSTITUTE(SUBSTITUTE(SUBSTITUTE(SUBSTITUTE(Продажи_исходные!B542,"№",""),"АРТ-",""),"АРТ_",""),"/","-"),3)</f>
        <v>АРТ-040</v>
      </c>
      <c r="C542" s="4">
        <f>IFERROR(VALUE(TRIM(SUBSTITUTE(SUBSTITUTE(SUBSTITUTE(SUBSTITUTE(Продажи_исходные!C542," шт.","")," шт",""),"шт.",""),"шт",""))),0)</f>
        <v>1</v>
      </c>
      <c r="D542" s="4">
        <f>IF(LEFT(Продажи_исходные!D542,1)="$",VALUE(MID(Продажи_исходные!D542,2,255))*95,IF(LEFT(Продажи_исходные!D542,1)="€",VALUE(MID(Продажи_исходные!D542,2,255))*100,VALUE(SUBSTITUTE(SUBSTITUTE(Продажи_исходные!D542,"₽","")," ",""))))</f>
        <v>9025</v>
      </c>
      <c r="E542" t="str">
        <f>Продажи_исходные!E542</f>
        <v>C0541</v>
      </c>
      <c r="F542" t="str">
        <f>Продажи_исходные!F542</f>
        <v>P020</v>
      </c>
      <c r="G542" t="str">
        <f>IFERROR(VLOOKUP(Продажи_исходные!G542,Справочники!$G$2:$H$50,2,FALSE),Продажи_исходные!G542)</f>
        <v>Отменен</v>
      </c>
      <c r="H542" s="4">
        <f>IFERROR(VLOOKUP(B542,Товары_очищенные!$A$1:$G$1000,6,FALSE),"нет в каталоге")</f>
        <v>142000</v>
      </c>
      <c r="I542" t="str">
        <f>IFERROR(VLOOKUP(B542,Товары_очищенные!$A$1:$G$1000,3,FALSE),"нет в каталоге")</f>
        <v>Ноутбуки</v>
      </c>
      <c r="J542" t="str">
        <f t="shared" si="33"/>
        <v>OK</v>
      </c>
    </row>
    <row r="543">
      <c r="A543" s="8">
        <f>DATE(RIGHT(Продажи_исходные!A543,4),LEFT(Продажи_исходные!A543,2),MID(Продажи_исходные!A543,4,2))</f>
        <v>45942</v>
      </c>
      <c r="B543" t="str">
        <f>"АРТ-"&amp;LEFT(SUBSTITUTE(SUBSTITUTE(SUBSTITUTE(SUBSTITUTE(Продажи_исходные!B543,"№",""),"АРТ-",""),"АРТ_",""),"/","-"),3)</f>
        <v>АРТ-462</v>
      </c>
      <c r="C543" s="4">
        <f>IFERROR(VALUE(TRIM(SUBSTITUTE(SUBSTITUTE(SUBSTITUTE(SUBSTITUTE(Продажи_исходные!C543," шт.","")," шт",""),"шт.",""),"шт",""))),0)</f>
        <v>2</v>
      </c>
      <c r="D543" s="4">
        <f>IF(LEFT(Продажи_исходные!D543,1)="$",VALUE(MID(Продажи_исходные!D543,2,255))*95,IF(LEFT(Продажи_исходные!D543,1)="€",VALUE(MID(Продажи_исходные!D543,2,255))*100,VALUE(SUBSTITUTE(SUBSTITUTE(Продажи_исходные!D543,"₽","")," ",""))))</f>
        <v>7500</v>
      </c>
      <c r="E543" t="str">
        <f>Продажи_исходные!E543</f>
        <v>C0542</v>
      </c>
      <c r="F543" t="str">
        <f>Продажи_исходные!F543</f>
        <v>P002</v>
      </c>
      <c r="G543" t="str">
        <f>IFERROR(VLOOKUP(Продажи_исходные!G543,Справочники!$G$2:$H$50,2,FALSE),Продажи_исходные!G543)</f>
        <v>Отменен</v>
      </c>
      <c r="H543" s="4">
        <f>IFERROR(VLOOKUP(B543,Товары_очищенные!$A$1:$G$1000,6,FALSE),"нет в каталоге")</f>
        <v>49500</v>
      </c>
      <c r="I543" t="str">
        <f>IFERROR(VLOOKUP(B543,Товары_очищенные!$A$1:$G$1000,3,FALSE),"нет в каталоге")</f>
        <v>Часы</v>
      </c>
      <c r="J543" t="str">
        <f t="shared" si="33"/>
        <v>OK</v>
      </c>
    </row>
    <row r="544">
      <c r="A544" s="8">
        <f>DATE(RIGHT(Продажи_исходные!A544,4),LEFT(Продажи_исходные!A544,2),MID(Продажи_исходные!A544,4,2))</f>
        <v>45943</v>
      </c>
      <c r="B544" t="str">
        <f>"АРТ-"&amp;LEFT(SUBSTITUTE(SUBSTITUTE(SUBSTITUTE(SUBSTITUTE(Продажи_исходные!B544,"№",""),"АРТ-",""),"АРТ_",""),"/","-"),3)</f>
        <v>АРТ-346</v>
      </c>
      <c r="C544" s="4">
        <f>IFERROR(VALUE(TRIM(SUBSTITUTE(SUBSTITUTE(SUBSTITUTE(SUBSTITUTE(Продажи_исходные!C544," шт.","")," шт",""),"шт.",""),"шт",""))),0)</f>
        <v>3</v>
      </c>
      <c r="D544" s="4">
        <f>IF(LEFT(Продажи_исходные!D544,1)="$",VALUE(MID(Продажи_исходные!D544,2,255))*95,IF(LEFT(Продажи_исходные!D544,1)="€",VALUE(MID(Продажи_исходные!D544,2,255))*100,VALUE(SUBSTITUTE(SUBSTITUTE(Продажи_исходные!D544,"₽","")," ",""))))</f>
        <v>7000</v>
      </c>
      <c r="E544" t="str">
        <f>Продажи_исходные!E544</f>
        <v>C0543</v>
      </c>
      <c r="F544" t="str">
        <f>Продажи_исходные!F544</f>
        <v>P038</v>
      </c>
      <c r="G544" t="str">
        <f>IFERROR(VLOOKUP(Продажи_исходные!G544,Справочники!$G$2:$H$50,2,FALSE),Продажи_исходные!G544)</f>
        <v>Возврат</v>
      </c>
      <c r="H544" s="4">
        <f>IFERROR(VLOOKUP(B544,Товары_очищенные!$A$1:$G$1000,6,FALSE),"нет в каталоге")</f>
        <v>19990</v>
      </c>
      <c r="I544" t="str">
        <f>IFERROR(VLOOKUP(B544,Товары_очищенные!$A$1:$G$1000,3,FALSE),"нет в каталоге")</f>
        <v>Наушники</v>
      </c>
      <c r="J544" t="str">
        <f t="shared" si="33"/>
        <v>OK</v>
      </c>
    </row>
    <row r="545">
      <c r="A545" s="8">
        <f>DATE(RIGHT(Продажи_исходные!A545,4),LEFT(Продажи_исходные!A545,2),MID(Продажи_исходные!A545,4,2))</f>
        <v>45943</v>
      </c>
      <c r="B545" t="str">
        <f>"АРТ-"&amp;LEFT(SUBSTITUTE(SUBSTITUTE(SUBSTITUTE(SUBSTITUTE(Продажи_исходные!B545,"№",""),"АРТ-",""),"АРТ_",""),"/","-"),3)</f>
        <v>АРТ-310</v>
      </c>
      <c r="C545" s="4">
        <f>IFERROR(VALUE(TRIM(SUBSTITUTE(SUBSTITUTE(SUBSTITUTE(SUBSTITUTE(Продажи_исходные!C545," шт.","")," шт",""),"шт.",""),"шт",""))),0)</f>
        <v>-2</v>
      </c>
      <c r="D545" s="4">
        <f>IF(LEFT(Продажи_исходные!D545,1)="$",VALUE(MID(Продажи_исходные!D545,2,255))*95,IF(LEFT(Продажи_исходные!D545,1)="€",VALUE(MID(Продажи_исходные!D545,2,255))*100,VALUE(SUBSTITUTE(SUBSTITUTE(Продажи_исходные!D545,"₽","")," ",""))))</f>
        <v>10925</v>
      </c>
      <c r="E545" t="str">
        <f>Продажи_исходные!E545</f>
        <v>C0544</v>
      </c>
      <c r="F545" t="str">
        <f>Продажи_исходные!F545</f>
        <v>P016</v>
      </c>
      <c r="G545" t="str">
        <f>IFERROR(VLOOKUP(Продажи_исходные!G545,Справочники!$G$2:$H$50,2,FALSE),Продажи_исходные!G545)</f>
        <v>Завершен</v>
      </c>
      <c r="H545" s="4">
        <f>IFERROR(VLOOKUP(B545,Товары_очищенные!$A$1:$G$1000,6,FALSE),"нет в каталоге")</f>
        <v>64990</v>
      </c>
      <c r="I545" t="str">
        <f>IFERROR(VLOOKUP(B545,Товары_очищенные!$A$1:$G$1000,3,FALSE),"нет в каталоге")</f>
        <v>Планшеты</v>
      </c>
      <c r="J545" t="str">
        <f t="shared" si="33"/>
        <v>OK</v>
      </c>
    </row>
    <row r="546">
      <c r="A546" s="8">
        <f>DATE(RIGHT(Продажи_исходные!A546,4),LEFT(Продажи_исходные!A546,2),MID(Продажи_исходные!A546,4,2))</f>
        <v>45944</v>
      </c>
      <c r="B546" t="str">
        <f>"АРТ-"&amp;LEFT(SUBSTITUTE(SUBSTITUTE(SUBSTITUTE(SUBSTITUTE(Продажи_исходные!B546,"№",""),"АРТ-",""),"АРТ_",""),"/","-"),3)</f>
        <v>АРТ-276</v>
      </c>
      <c r="C546" s="4">
        <f>IFERROR(VALUE(TRIM(SUBSTITUTE(SUBSTITUTE(SUBSTITUTE(SUBSTITUTE(Продажи_исходные!C546," шт.","")," шт",""),"шт.",""),"шт",""))),0)</f>
        <v>1</v>
      </c>
      <c r="D546" s="4">
        <f>IF(LEFT(Продажи_исходные!D546,1)="$",VALUE(MID(Продажи_исходные!D546,2,255))*95,IF(LEFT(Продажи_исходные!D546,1)="€",VALUE(MID(Продажи_исходные!D546,2,255))*100,VALUE(SUBSTITUTE(SUBSTITUTE(Продажи_исходные!D546,"₽","")," ",""))))</f>
        <v>9500</v>
      </c>
      <c r="E546" t="str">
        <f>Продажи_исходные!E546</f>
        <v>C0545</v>
      </c>
      <c r="F546" t="str">
        <f>Продажи_исходные!F546</f>
        <v>P029</v>
      </c>
      <c r="G546" t="str">
        <f>IFERROR(VLOOKUP(Продажи_исходные!G546,Справочники!$G$2:$H$50,2,FALSE),Продажи_исходные!G546)</f>
        <v>Завершен</v>
      </c>
      <c r="H546" s="4">
        <f>IFERROR(VLOOKUP(B546,Товары_очищенные!$A$1:$G$1000,6,FALSE),"нет в каталоге")</f>
        <v>50500</v>
      </c>
      <c r="I546" t="str">
        <f>IFERROR(VLOOKUP(B546,Товары_очищенные!$A$1:$G$1000,3,FALSE),"нет в каталоге")</f>
        <v>Планшеты</v>
      </c>
      <c r="J546" t="str">
        <f t="shared" si="33"/>
        <v>OK</v>
      </c>
    </row>
    <row r="547">
      <c r="A547" s="8">
        <f>DATE(RIGHT(Продажи_исходные!A547,4),LEFT(Продажи_исходные!A547,2),MID(Продажи_исходные!A547,4,2))</f>
        <v>45944</v>
      </c>
      <c r="B547" t="str">
        <f>"АРТ-"&amp;LEFT(SUBSTITUTE(SUBSTITUTE(SUBSTITUTE(SUBSTITUTE(Продажи_исходные!B547,"№",""),"АРТ-",""),"АРТ_",""),"/","-"),3)</f>
        <v>АРТ-083</v>
      </c>
      <c r="C547" s="4">
        <f>IFERROR(VALUE(TRIM(SUBSTITUTE(SUBSTITUTE(SUBSTITUTE(SUBSTITUTE(Продажи_исходные!C547," шт.","")," шт",""),"шт.",""),"шт",""))),0)</f>
        <v>2</v>
      </c>
      <c r="D547" s="4">
        <f>IF(LEFT(Продажи_исходные!D547,1)="$",VALUE(MID(Продажи_исходные!D547,2,255))*95,IF(LEFT(Продажи_исходные!D547,1)="€",VALUE(MID(Продажи_исходные!D547,2,255))*100,VALUE(SUBSTITUTE(SUBSTITUTE(Продажи_исходные!D547,"₽","")," ",""))))</f>
        <v>8500</v>
      </c>
      <c r="E547" t="str">
        <f>Продажи_исходные!E547</f>
        <v>C0546</v>
      </c>
      <c r="F547" t="str">
        <f>Продажи_исходные!F547</f>
        <v>P035</v>
      </c>
      <c r="G547" t="str">
        <f>IFERROR(VLOOKUP(Продажи_исходные!G547,Справочники!$G$2:$H$50,2,FALSE),Продажи_исходные!G547)</f>
        <v>Завершен</v>
      </c>
      <c r="H547" s="4">
        <f>IFERROR(VLOOKUP(B547,Товары_очищенные!$A$1:$G$1000,6,FALSE),"нет в каталоге")</f>
        <v>38500</v>
      </c>
      <c r="I547" t="str">
        <f>IFERROR(VLOOKUP(B547,Товары_очищенные!$A$1:$G$1000,3,FALSE),"нет в каталоге")</f>
        <v>Часы</v>
      </c>
      <c r="J547" t="str">
        <f t="shared" si="33"/>
        <v>OK</v>
      </c>
    </row>
    <row r="548">
      <c r="A548" s="8">
        <f>DATE(RIGHT(Продажи_исходные!A548,4),LEFT(Продажи_исходные!A548,2),MID(Продажи_исходные!A548,4,2))</f>
        <v>45945</v>
      </c>
      <c r="B548" t="str">
        <f>"АРТ-"&amp;LEFT(SUBSTITUTE(SUBSTITUTE(SUBSTITUTE(SUBSTITUTE(Продажи_исходные!B548,"№",""),"АРТ-",""),"АРТ_",""),"/","-"),3)</f>
        <v>АРТ-138</v>
      </c>
      <c r="C548" s="4">
        <f>IFERROR(VALUE(TRIM(SUBSTITUTE(SUBSTITUTE(SUBSTITUTE(SUBSTITUTE(Продажи_исходные!C548," шт.","")," шт",""),"шт.",""),"шт",""))),0)</f>
        <v>3</v>
      </c>
      <c r="D548" s="4">
        <f>IF(LEFT(Продажи_исходные!D548,1)="$",VALUE(MID(Продажи_исходные!D548,2,255))*95,IF(LEFT(Продажи_исходные!D548,1)="€",VALUE(MID(Продажи_исходные!D548,2,255))*100,VALUE(SUBSTITUTE(SUBSTITUTE(Продажи_исходные!D548,"₽","")," ",""))))</f>
        <v>9975</v>
      </c>
      <c r="E548" t="str">
        <f>Продажи_исходные!E548</f>
        <v>C0547</v>
      </c>
      <c r="F548" t="str">
        <f>Продажи_исходные!F548</f>
        <v>P046</v>
      </c>
      <c r="G548" t="str">
        <f>IFERROR(VLOOKUP(Продажи_исходные!G548,Справочники!$G$2:$H$50,2,FALSE),Продажи_исходные!G548)</f>
        <v>Отменен</v>
      </c>
      <c r="H548" s="4">
        <f>IFERROR(VLOOKUP(B548,Товары_очищенные!$A$1:$G$1000,6,FALSE),"нет в каталоге")</f>
        <v>24000</v>
      </c>
      <c r="I548" t="str">
        <f>IFERROR(VLOOKUP(B548,Товары_очищенные!$A$1:$G$1000,3,FALSE),"нет в каталоге")</f>
        <v>Наушники</v>
      </c>
      <c r="J548" t="str">
        <f t="shared" ref="J548:J611" si="34">IF(D548&gt;0,"OK","Некорректная цена")</f>
        <v>OK</v>
      </c>
    </row>
    <row r="549">
      <c r="A549" s="8">
        <f>DATE(RIGHT(Продажи_исходные!A549,4),LEFT(Продажи_исходные!A549,2),MID(Продажи_исходные!A549,4,2))</f>
        <v>45945</v>
      </c>
      <c r="B549" t="str">
        <f>"АРТ-"&amp;LEFT(SUBSTITUTE(SUBSTITUTE(SUBSTITUTE(SUBSTITUTE(Продажи_исходные!B549,"№",""),"АРТ-",""),"АРТ_",""),"/","-"),3)</f>
        <v>АРТ-443</v>
      </c>
      <c r="C549" s="4">
        <f>IFERROR(VALUE(TRIM(SUBSTITUTE(SUBSTITUTE(SUBSTITUTE(SUBSTITUTE(Продажи_исходные!C549," шт.","")," шт",""),"шт.",""),"шт",""))),0)</f>
        <v>2</v>
      </c>
      <c r="D549" s="4">
        <f>IF(LEFT(Продажи_исходные!D549,1)="$",VALUE(MID(Продажи_исходные!D549,2,255))*95,IF(LEFT(Продажи_исходные!D549,1)="€",VALUE(MID(Продажи_исходные!D549,2,255))*100,VALUE(SUBSTITUTE(SUBSTITUTE(Продажи_исходные!D549,"₽","")," ",""))))</f>
        <v>8500</v>
      </c>
      <c r="E549" t="str">
        <f>Продажи_исходные!E549</f>
        <v>C0548</v>
      </c>
      <c r="F549" t="str">
        <f>Продажи_исходные!F549</f>
        <v>P022</v>
      </c>
      <c r="G549" t="str">
        <f>IFERROR(VLOOKUP(Продажи_исходные!G549,Справочники!$G$2:$H$50,2,FALSE),Продажи_исходные!G549)</f>
        <v>Отменен</v>
      </c>
      <c r="H549" s="4">
        <f>IFERROR(VLOOKUP(B549,Товары_очищенные!$A$1:$G$1000,6,FALSE),"нет в каталоге")</f>
        <v>23500</v>
      </c>
      <c r="I549" t="str">
        <f>IFERROR(VLOOKUP(B549,Товары_очищенные!$A$1:$G$1000,3,FALSE),"нет в каталоге")</f>
        <v>Смартфоны</v>
      </c>
      <c r="J549" t="str">
        <f t="shared" si="34"/>
        <v>OK</v>
      </c>
    </row>
    <row r="550">
      <c r="A550" s="8">
        <f>DATE(RIGHT(Продажи_исходные!A550,4),LEFT(Продажи_исходные!A550,2),MID(Продажи_исходные!A550,4,2))</f>
        <v>45946</v>
      </c>
      <c r="B550" t="str">
        <f>"АРТ-"&amp;LEFT(SUBSTITUTE(SUBSTITUTE(SUBSTITUTE(SUBSTITUTE(Продажи_исходные!B550,"№",""),"АРТ-",""),"АРТ_",""),"/","-"),3)</f>
        <v>АРТ-330</v>
      </c>
      <c r="C550" s="4">
        <f>IFERROR(VALUE(TRIM(SUBSTITUTE(SUBSTITUTE(SUBSTITUTE(SUBSTITUTE(Продажи_исходные!C550," шт.","")," шт",""),"шт.",""),"шт",""))),0)</f>
        <v>1</v>
      </c>
      <c r="D550" s="4">
        <f>IF(LEFT(Продажи_исходные!D550,1)="$",VALUE(MID(Продажи_исходные!D550,2,255))*95,IF(LEFT(Продажи_исходные!D550,1)="€",VALUE(MID(Продажи_исходные!D550,2,255))*100,VALUE(SUBSTITUTE(SUBSTITUTE(Продажи_исходные!D550,"₽","")," ",""))))</f>
        <v>7800</v>
      </c>
      <c r="E550" t="str">
        <f>Продажи_исходные!E550</f>
        <v>C0549</v>
      </c>
      <c r="F550" t="str">
        <f>Продажи_исходные!F550</f>
        <v>P043</v>
      </c>
      <c r="G550" t="str">
        <f>IFERROR(VLOOKUP(Продажи_исходные!G550,Справочники!$G$2:$H$50,2,FALSE),Продажи_исходные!G550)</f>
        <v>Завершен</v>
      </c>
      <c r="H550" s="4">
        <f>IFERROR(VLOOKUP(B550,Товары_очищенные!$A$1:$G$1000,6,FALSE),"нет в каталоге")</f>
        <v>12800</v>
      </c>
      <c r="I550" t="str">
        <f>IFERROR(VLOOKUP(B550,Товары_очищенные!$A$1:$G$1000,3,FALSE),"нет в каталоге")</f>
        <v>Аксессуары</v>
      </c>
      <c r="J550" t="str">
        <f t="shared" si="34"/>
        <v>OK</v>
      </c>
    </row>
    <row r="551">
      <c r="A551" s="8">
        <f>DATE(RIGHT(Продажи_исходные!A551,4),LEFT(Продажи_исходные!A551,2),MID(Продажи_исходные!A551,4,2))</f>
        <v>45946</v>
      </c>
      <c r="B551" t="str">
        <f>"АРТ-"&amp;LEFT(SUBSTITUTE(SUBSTITUTE(SUBSTITUTE(SUBSTITUTE(Продажи_исходные!B551,"№",""),"АРТ-",""),"АРТ_",""),"/","-"),3)</f>
        <v>АРТ-296</v>
      </c>
      <c r="C551" s="4">
        <f>IFERROR(VALUE(TRIM(SUBSTITUTE(SUBSTITUTE(SUBSTITUTE(SUBSTITUTE(Продажи_исходные!C551," шт.","")," шт",""),"шт.",""),"шт",""))),0)</f>
        <v>-3</v>
      </c>
      <c r="D551" s="4">
        <f>IF(LEFT(Продажи_исходные!D551,1)="$",VALUE(MID(Продажи_исходные!D551,2,255))*95,IF(LEFT(Продажи_исходные!D551,1)="€",VALUE(MID(Продажи_исходные!D551,2,255))*100,VALUE(SUBSTITUTE(SUBSTITUTE(Продажи_исходные!D551,"₽","")," ",""))))</f>
        <v>11400</v>
      </c>
      <c r="E551" t="str">
        <f>Продажи_исходные!E551</f>
        <v>C0550</v>
      </c>
      <c r="F551" t="str">
        <f>Продажи_исходные!F551</f>
        <v>P030</v>
      </c>
      <c r="G551" t="str">
        <f>IFERROR(VLOOKUP(Продажи_исходные!G551,Справочники!$G$2:$H$50,2,FALSE),Продажи_исходные!G551)</f>
        <v>Возврат</v>
      </c>
      <c r="H551" s="4">
        <f>IFERROR(VLOOKUP(B551,Товары_очищенные!$A$1:$G$1000,6,FALSE),"нет в каталоге")</f>
        <v>33500</v>
      </c>
      <c r="I551" t="str">
        <f>IFERROR(VLOOKUP(B551,Товары_очищенные!$A$1:$G$1000,3,FALSE),"нет в каталоге")</f>
        <v>Смартфоны</v>
      </c>
      <c r="J551" t="str">
        <f t="shared" si="34"/>
        <v>OK</v>
      </c>
    </row>
    <row r="552">
      <c r="A552" s="8">
        <f>DATE(RIGHT(Продажи_исходные!A552,4),LEFT(Продажи_исходные!A552,2),MID(Продажи_исходные!A552,4,2))</f>
        <v>45947</v>
      </c>
      <c r="B552" t="str">
        <f>"АРТ-"&amp;LEFT(SUBSTITUTE(SUBSTITUTE(SUBSTITUTE(SUBSTITUTE(Продажи_исходные!B552,"№",""),"АРТ-",""),"АРТ_",""),"/","-"),3)</f>
        <v>АРТ-354</v>
      </c>
      <c r="C552" s="4">
        <f>IFERROR(VALUE(TRIM(SUBSTITUTE(SUBSTITUTE(SUBSTITUTE(SUBSTITUTE(Продажи_исходные!C552," шт.","")," шт",""),"шт.",""),"шт",""))),0)</f>
        <v>2</v>
      </c>
      <c r="D552" s="4">
        <f>IF(LEFT(Продажи_исходные!D552,1)="$",VALUE(MID(Продажи_исходные!D552,2,255))*95,IF(LEFT(Продажи_исходные!D552,1)="€",VALUE(MID(Продажи_исходные!D552,2,255))*100,VALUE(SUBSTITUTE(SUBSTITUTE(Продажи_исходные!D552,"₽","")," ",""))))</f>
        <v>10000</v>
      </c>
      <c r="E552" t="str">
        <f>Продажи_исходные!E552</f>
        <v>C0551</v>
      </c>
      <c r="F552" t="str">
        <f>Продажи_исходные!F552</f>
        <v>P012</v>
      </c>
      <c r="G552" t="str">
        <f>IFERROR(VLOOKUP(Продажи_исходные!G552,Справочники!$G$2:$H$50,2,FALSE),Продажи_исходные!G552)</f>
        <v>Завершен</v>
      </c>
      <c r="H552" s="4">
        <f>IFERROR(VLOOKUP(B552,Товары_очищенные!$A$1:$G$1000,6,FALSE),"нет в каталоге")</f>
        <v>7800</v>
      </c>
      <c r="I552" t="str">
        <f>IFERROR(VLOOKUP(B552,Товары_очищенные!$A$1:$G$1000,3,FALSE),"нет в каталоге")</f>
        <v>Аксессуары</v>
      </c>
      <c r="J552" t="str">
        <f t="shared" si="34"/>
        <v>OK</v>
      </c>
    </row>
    <row r="553">
      <c r="A553" s="8">
        <f>DATE(RIGHT(Продажи_исходные!A553,4),LEFT(Продажи_исходные!A553,2),MID(Продажи_исходные!A553,4,2))</f>
        <v>45947</v>
      </c>
      <c r="B553" t="str">
        <f>"АРТ-"&amp;LEFT(SUBSTITUTE(SUBSTITUTE(SUBSTITUTE(SUBSTITUTE(Продажи_исходные!B553,"№",""),"АРТ-",""),"АРТ_",""),"/","-"),3)</f>
        <v>АРТ-198</v>
      </c>
      <c r="C553" s="4">
        <f>IFERROR(VALUE(TRIM(SUBSTITUTE(SUBSTITUTE(SUBSTITUTE(SUBSTITUTE(Продажи_исходные!C553," шт.","")," шт",""),"шт.",""),"шт",""))),0)</f>
        <v>1</v>
      </c>
      <c r="D553" s="4">
        <f>IF(LEFT(Продажи_исходные!D553,1)="$",VALUE(MID(Продажи_исходные!D553,2,255))*95,IF(LEFT(Продажи_исходные!D553,1)="€",VALUE(MID(Продажи_исходные!D553,2,255))*100,VALUE(SUBSTITUTE(SUBSTITUTE(Продажи_исходные!D553,"₽","")," ",""))))</f>
        <v>9200</v>
      </c>
      <c r="E553" t="str">
        <f>Продажи_исходные!E553</f>
        <v>C0552</v>
      </c>
      <c r="F553" t="str">
        <f>Продажи_исходные!F553</f>
        <v>P007</v>
      </c>
      <c r="G553" t="str">
        <f>IFERROR(VLOOKUP(Продажи_исходные!G553,Справочники!$G$2:$H$50,2,FALSE),Продажи_исходные!G553)</f>
        <v>Завершен</v>
      </c>
      <c r="H553" s="4">
        <f>IFERROR(VLOOKUP(B553,Товары_очищенные!$A$1:$G$1000,6,FALSE),"нет в каталоге")</f>
        <v>55500</v>
      </c>
      <c r="I553" t="str">
        <f>IFERROR(VLOOKUP(B553,Товары_очищенные!$A$1:$G$1000,3,FALSE),"нет в каталоге")</f>
        <v>Смартфоны</v>
      </c>
      <c r="J553" t="str">
        <f t="shared" si="34"/>
        <v>OK</v>
      </c>
    </row>
    <row r="554">
      <c r="A554" s="8">
        <f>DATE(RIGHT(Продажи_исходные!A554,4),LEFT(Продажи_исходные!A554,2),MID(Продажи_исходные!A554,4,2))</f>
        <v>45948</v>
      </c>
      <c r="B554" t="str">
        <f>"АРТ-"&amp;LEFT(SUBSTITUTE(SUBSTITUTE(SUBSTITUTE(SUBSTITUTE(Продажи_исходные!B554,"№",""),"АРТ-",""),"АРТ_",""),"/","-"),3)</f>
        <v>АРТ-154</v>
      </c>
      <c r="C554" s="4">
        <f>IFERROR(VALUE(TRIM(SUBSTITUTE(SUBSTITUTE(SUBSTITUTE(SUBSTITUTE(Продажи_исходные!C554," шт.","")," шт",""),"шт.",""),"шт",""))),0)</f>
        <v>3</v>
      </c>
      <c r="D554" s="4">
        <f>IF(LEFT(Продажи_исходные!D554,1)="$",VALUE(MID(Продажи_исходные!D554,2,255))*95,IF(LEFT(Продажи_исходные!D554,1)="€",VALUE(MID(Продажи_исходные!D554,2,255))*100,VALUE(SUBSTITUTE(SUBSTITUTE(Продажи_исходные!D554,"₽","")," ",""))))</f>
        <v>8550</v>
      </c>
      <c r="E554" t="str">
        <f>Продажи_исходные!E554</f>
        <v>C0553</v>
      </c>
      <c r="F554" t="str">
        <f>Продажи_исходные!F554</f>
        <v>P023</v>
      </c>
      <c r="G554" t="str">
        <f>IFERROR(VLOOKUP(Продажи_исходные!G554,Справочники!$G$2:$H$50,2,FALSE),Продажи_исходные!G554)</f>
        <v>Завершен</v>
      </c>
      <c r="H554" s="4">
        <f>IFERROR(VLOOKUP(B554,Товары_очищенные!$A$1:$G$1000,6,FALSE),"нет в каталоге")</f>
        <v>16990</v>
      </c>
      <c r="I554" t="str">
        <f>IFERROR(VLOOKUP(B554,Товары_очищенные!$A$1:$G$1000,3,FALSE),"нет в каталоге")</f>
        <v>Наушники</v>
      </c>
      <c r="J554" t="str">
        <f t="shared" si="34"/>
        <v>OK</v>
      </c>
    </row>
    <row r="555">
      <c r="A555" s="8">
        <f>DATE(RIGHT(Продажи_исходные!A555,4),LEFT(Продажи_исходные!A555,2),MID(Продажи_исходные!A555,4,2))</f>
        <v>45948</v>
      </c>
      <c r="B555" t="str">
        <f>"АРТ-"&amp;LEFT(SUBSTITUTE(SUBSTITUTE(SUBSTITUTE(SUBSTITUTE(Продажи_исходные!B555,"№",""),"АРТ-",""),"АРТ_",""),"/","-"),3)</f>
        <v>АРТ-471</v>
      </c>
      <c r="C555" s="4">
        <f>IFERROR(VALUE(TRIM(SUBSTITUTE(SUBSTITUTE(SUBSTITUTE(SUBSTITUTE(Продажи_исходные!C555," шт.","")," шт",""),"шт.",""),"шт",""))),0)</f>
        <v>2</v>
      </c>
      <c r="D555" s="4">
        <f>IF(LEFT(Продажи_исходные!D555,1)="$",VALUE(MID(Продажи_исходные!D555,2,255))*95,IF(LEFT(Продажи_исходные!D555,1)="€",VALUE(MID(Продажи_исходные!D555,2,255))*100,VALUE(SUBSTITUTE(SUBSTITUTE(Продажи_исходные!D555,"₽","")," ",""))))</f>
        <v>7000</v>
      </c>
      <c r="E555" t="str">
        <f>Продажи_исходные!E555</f>
        <v>C0554</v>
      </c>
      <c r="F555" t="str">
        <f>Продажи_исходные!F555</f>
        <v>P045</v>
      </c>
      <c r="G555" t="str">
        <f>IFERROR(VLOOKUP(Продажи_исходные!G555,Справочники!$G$2:$H$50,2,FALSE),Продажи_исходные!G555)</f>
        <v>Отменен</v>
      </c>
      <c r="H555" s="4">
        <f>IFERROR(VLOOKUP(B555,Товары_очищенные!$A$1:$G$1000,6,FALSE),"нет в каталоге")</f>
        <v>61000</v>
      </c>
      <c r="I555" t="str">
        <f>IFERROR(VLOOKUP(B555,Товары_очищенные!$A$1:$G$1000,3,FALSE),"нет в каталоге")</f>
        <v>Телевизоры</v>
      </c>
      <c r="J555" t="str">
        <f t="shared" si="34"/>
        <v>OK</v>
      </c>
    </row>
    <row r="556">
      <c r="A556" s="8">
        <f>DATE(RIGHT(Продажи_исходные!A556,4),LEFT(Продажи_исходные!A556,2),MID(Продажи_исходные!A556,4,2))</f>
        <v>45949</v>
      </c>
      <c r="B556" t="str">
        <f>"АРТ-"&amp;LEFT(SUBSTITUTE(SUBSTITUTE(SUBSTITUTE(SUBSTITUTE(Продажи_исходные!B556,"№",""),"АРТ-",""),"АРТ_",""),"/","-"),3)</f>
        <v>АРТ-363</v>
      </c>
      <c r="C556" s="4">
        <f>IFERROR(VALUE(TRIM(SUBSTITUTE(SUBSTITUTE(SUBSTITUTE(SUBSTITUTE(Продажи_исходные!C556," шт.","")," шт",""),"шт.",""),"шт",""))),0)</f>
        <v>1</v>
      </c>
      <c r="D556" s="4">
        <f>IF(LEFT(Продажи_исходные!D556,1)="$",VALUE(MID(Продажи_исходные!D556,2,255))*95,IF(LEFT(Продажи_исходные!D556,1)="€",VALUE(MID(Продажи_исходные!D556,2,255))*100,VALUE(SUBSTITUTE(SUBSTITUTE(Продажи_исходные!D556,"₽","")," ",""))))</f>
        <v>6500</v>
      </c>
      <c r="E556" t="str">
        <f>Продажи_исходные!E556</f>
        <v>C0555</v>
      </c>
      <c r="F556" t="str">
        <f>Продажи_исходные!F556</f>
        <v>P008</v>
      </c>
      <c r="G556" t="str">
        <f>IFERROR(VLOOKUP(Продажи_исходные!G556,Справочники!$G$2:$H$50,2,FALSE),Продажи_исходные!G556)</f>
        <v>Отменен</v>
      </c>
      <c r="H556" s="4">
        <f>IFERROR(VLOOKUP(B556,Товары_очищенные!$A$1:$G$1000,6,FALSE),"нет в каталоге")</f>
        <v>149000</v>
      </c>
      <c r="I556" t="str">
        <f>IFERROR(VLOOKUP(B556,Товары_очищенные!$A$1:$G$1000,3,FALSE),"нет в каталоге")</f>
        <v>Ноутбуки</v>
      </c>
      <c r="J556" t="str">
        <f t="shared" si="34"/>
        <v>OK</v>
      </c>
    </row>
    <row r="557">
      <c r="A557" s="8">
        <f>DATE(RIGHT(Продажи_исходные!A557,4),LEFT(Продажи_исходные!A557,2),MID(Продажи_исходные!A557,4,2))</f>
        <v>45949</v>
      </c>
      <c r="B557" t="str">
        <f>"АРТ-"&amp;LEFT(SUBSTITUTE(SUBSTITUTE(SUBSTITUTE(SUBSTITUTE(Продажи_исходные!B557,"№",""),"АРТ-",""),"АРТ_",""),"/","-"),3)</f>
        <v>АРТ-370</v>
      </c>
      <c r="C557" s="4">
        <f>IFERROR(VALUE(TRIM(SUBSTITUTE(SUBSTITUTE(SUBSTITUTE(SUBSTITUTE(Продажи_исходные!C557," шт.","")," шт",""),"шт.",""),"шт",""))),0)</f>
        <v>-1</v>
      </c>
      <c r="D557" s="4">
        <f>IF(LEFT(Продажи_исходные!D557,1)="$",VALUE(MID(Продажи_исходные!D557,2,255))*95,IF(LEFT(Продажи_исходные!D557,1)="€",VALUE(MID(Продажи_исходные!D557,2,255))*100,VALUE(SUBSTITUTE(SUBSTITUTE(Продажи_исходные!D557,"₽","")," ",""))))</f>
        <v>10450</v>
      </c>
      <c r="E557" t="str">
        <f>Продажи_исходные!E557</f>
        <v>C0556</v>
      </c>
      <c r="F557" t="str">
        <f>Продажи_исходные!F557</f>
        <v>P031</v>
      </c>
      <c r="G557" t="str">
        <f>IFERROR(VLOOKUP(Продажи_исходные!G557,Справочники!$G$2:$H$50,2,FALSE),Продажи_исходные!G557)</f>
        <v>Возврат</v>
      </c>
      <c r="H557" s="4">
        <f>IFERROR(VLOOKUP(B557,Товары_очищенные!$A$1:$G$1000,6,FALSE),"нет в каталоге")</f>
        <v>49990</v>
      </c>
      <c r="I557" t="str">
        <f>IFERROR(VLOOKUP(B557,Товары_очищенные!$A$1:$G$1000,3,FALSE),"нет в каталоге")</f>
        <v>Мониторы</v>
      </c>
      <c r="J557" t="str">
        <f t="shared" si="34"/>
        <v>OK</v>
      </c>
    </row>
    <row r="558">
      <c r="A558" s="8">
        <f>DATE(RIGHT(Продажи_исходные!A558,4),LEFT(Продажи_исходные!A558,2),MID(Продажи_исходные!A558,4,2))</f>
        <v>45950</v>
      </c>
      <c r="B558" t="str">
        <f>"АРТ-"&amp;LEFT(SUBSTITUTE(SUBSTITUTE(SUBSTITUTE(SUBSTITUTE(Продажи_исходные!B558,"№",""),"АРТ-",""),"АРТ_",""),"/","-"),3)</f>
        <v>АРТ-332</v>
      </c>
      <c r="C558" s="4">
        <f>IFERROR(VALUE(TRIM(SUBSTITUTE(SUBSTITUTE(SUBSTITUTE(SUBSTITUTE(Продажи_исходные!C558," шт.","")," шт",""),"шт.",""),"шт",""))),0)</f>
        <v>3</v>
      </c>
      <c r="D558" s="4">
        <f>IF(LEFT(Продажи_исходные!D558,1)="$",VALUE(MID(Продажи_исходные!D558,2,255))*95,IF(LEFT(Продажи_исходные!D558,1)="€",VALUE(MID(Продажи_исходные!D558,2,255))*100,VALUE(SUBSTITUTE(SUBSTITUTE(Продажи_исходные!D558,"₽","")," ",""))))</f>
        <v>9000</v>
      </c>
      <c r="E558" t="str">
        <f>Продажи_исходные!E558</f>
        <v>C0557</v>
      </c>
      <c r="F558" t="str">
        <f>Продажи_исходные!F558</f>
        <v>P019</v>
      </c>
      <c r="G558" t="str">
        <f>IFERROR(VLOOKUP(Продажи_исходные!G558,Справочники!$G$2:$H$50,2,FALSE),Продажи_исходные!G558)</f>
        <v>Завершен</v>
      </c>
      <c r="H558" s="4">
        <f>IFERROR(VLOOKUP(B558,Товары_очищенные!$A$1:$G$1000,6,FALSE),"нет в каталоге")</f>
        <v>67500</v>
      </c>
      <c r="I558" t="str">
        <f>IFERROR(VLOOKUP(B558,Товары_очищенные!$A$1:$G$1000,3,FALSE),"нет в каталоге")</f>
        <v>Часы</v>
      </c>
      <c r="J558" t="str">
        <f t="shared" si="34"/>
        <v>OK</v>
      </c>
    </row>
    <row r="559">
      <c r="A559" s="8">
        <f>DATE(RIGHT(Продажи_исходные!A559,4),LEFT(Продажи_исходные!A559,2),MID(Продажи_исходные!A559,4,2))</f>
        <v>45950</v>
      </c>
      <c r="B559" t="str">
        <f>"АРТ-"&amp;LEFT(SUBSTITUTE(SUBSTITUTE(SUBSTITUTE(SUBSTITUTE(Продажи_исходные!B559,"№",""),"АРТ-",""),"АРТ_",""),"/","-"),3)</f>
        <v>АРТ-144</v>
      </c>
      <c r="C559" s="4">
        <f>IFERROR(VALUE(TRIM(SUBSTITUTE(SUBSTITUTE(SUBSTITUTE(SUBSTITUTE(Продажи_исходные!C559," шт.","")," шт",""),"шт.",""),"шт",""))),0)</f>
        <v>2</v>
      </c>
      <c r="D559" s="4">
        <f>IF(LEFT(Продажи_исходные!D559,1)="$",VALUE(MID(Продажи_исходные!D559,2,255))*95,IF(LEFT(Продажи_исходные!D559,1)="€",VALUE(MID(Продажи_исходные!D559,2,255))*100,VALUE(SUBSTITUTE(SUBSTITUTE(Продажи_исходные!D559,"₽","")," ",""))))</f>
        <v>8000</v>
      </c>
      <c r="E559" t="str">
        <f>Продажи_исходные!E559</f>
        <v>C0558</v>
      </c>
      <c r="F559" t="str">
        <f>Продажи_исходные!F559</f>
        <v>P042</v>
      </c>
      <c r="G559" t="str">
        <f>IFERROR(VLOOKUP(Продажи_исходные!G559,Справочники!$G$2:$H$50,2,FALSE),Продажи_исходные!G559)</f>
        <v>Завершен</v>
      </c>
      <c r="H559" s="4">
        <f>IFERROR(VLOOKUP(B559,Товары_очищенные!$A$1:$G$1000,6,FALSE),"нет в каталоге")</f>
        <v>8500</v>
      </c>
      <c r="I559" t="str">
        <f>IFERROR(VLOOKUP(B559,Товары_очищенные!$A$1:$G$1000,3,FALSE),"нет в каталоге")</f>
        <v>Аксессуары</v>
      </c>
      <c r="J559" t="str">
        <f t="shared" si="34"/>
        <v>OK</v>
      </c>
    </row>
    <row r="560">
      <c r="A560" s="8">
        <f>DATE(RIGHT(Продажи_исходные!A560,4),LEFT(Продажи_исходные!A560,2),MID(Продажи_исходные!A560,4,2))</f>
        <v>45951</v>
      </c>
      <c r="B560" t="str">
        <f>"АРТ-"&amp;LEFT(SUBSTITUTE(SUBSTITUTE(SUBSTITUTE(SUBSTITUTE(Продажи_исходные!B560,"№",""),"АРТ-",""),"АРТ_",""),"/","-"),3)</f>
        <v>АРТ-050</v>
      </c>
      <c r="C560" s="4">
        <f>IFERROR(VALUE(TRIM(SUBSTITUTE(SUBSTITUTE(SUBSTITUTE(SUBSTITUTE(Продажи_исходные!C560," шт.","")," шт",""),"шт.",""),"шт",""))),0)</f>
        <v>1</v>
      </c>
      <c r="D560" s="4">
        <f>IF(LEFT(Продажи_исходные!D560,1)="$",VALUE(MID(Продажи_исходные!D560,2,255))*95,IF(LEFT(Продажи_исходные!D560,1)="€",VALUE(MID(Продажи_исходные!D560,2,255))*100,VALUE(SUBSTITUTE(SUBSTITUTE(Продажи_исходные!D560,"₽","")," ",""))))</f>
        <v>9025</v>
      </c>
      <c r="E560" t="str">
        <f>Продажи_исходные!E560</f>
        <v>C0559</v>
      </c>
      <c r="F560" t="str">
        <f>Продажи_исходные!F560</f>
        <v>P005</v>
      </c>
      <c r="G560" t="str">
        <f>IFERROR(VLOOKUP(Продажи_исходные!G560,Справочники!$G$2:$H$50,2,FALSE),Продажи_исходные!G560)</f>
        <v>Завершен</v>
      </c>
      <c r="H560" s="4">
        <f>IFERROR(VLOOKUP(B560,Товары_очищенные!$A$1:$G$1000,6,FALSE),"нет в каталоге")</f>
        <v>53500</v>
      </c>
      <c r="I560" t="str">
        <f>IFERROR(VLOOKUP(B560,Товары_очищенные!$A$1:$G$1000,3,FALSE),"нет в каталоге")</f>
        <v>Смартфоны</v>
      </c>
      <c r="J560" t="str">
        <f t="shared" si="34"/>
        <v>OK</v>
      </c>
    </row>
    <row r="561">
      <c r="A561" s="8">
        <f>DATE(RIGHT(Продажи_исходные!A561,4),LEFT(Продажи_исходные!A561,2),MID(Продажи_исходные!A561,4,2))</f>
        <v>45951</v>
      </c>
      <c r="B561" t="str">
        <f>"АРТ-"&amp;LEFT(SUBSTITUTE(SUBSTITUTE(SUBSTITUTE(SUBSTITUTE(Продажи_исходные!B561,"№",""),"АРТ-",""),"АРТ_",""),"/","-"),3)</f>
        <v>АРТ-498</v>
      </c>
      <c r="C561" s="4">
        <f>IFERROR(VALUE(TRIM(SUBSTITUTE(SUBSTITUTE(SUBSTITUTE(SUBSTITUTE(Продажи_исходные!C561," шт.","")," шт",""),"шт.",""),"шт",""))),0)</f>
        <v>2</v>
      </c>
      <c r="D561" s="4">
        <f>IF(LEFT(Продажи_исходные!D561,1)="$",VALUE(MID(Продажи_исходные!D561,2,255))*95,IF(LEFT(Продажи_исходные!D561,1)="€",VALUE(MID(Продажи_исходные!D561,2,255))*100,VALUE(SUBSTITUTE(SUBSTITUTE(Продажи_исходные!D561,"₽","")," ",""))))</f>
        <v>7500</v>
      </c>
      <c r="E561" t="str">
        <f>Продажи_исходные!E561</f>
        <v>C0560</v>
      </c>
      <c r="F561" t="str">
        <f>Продажи_исходные!F561</f>
        <v>P036</v>
      </c>
      <c r="G561" t="str">
        <f>IFERROR(VLOOKUP(Продажи_исходные!G561,Справочники!$G$2:$H$50,2,FALSE),Продажи_исходные!G561)</f>
        <v>Отменен</v>
      </c>
      <c r="H561" s="4">
        <f>IFERROR(VLOOKUP(B561,Товары_очищенные!$A$1:$G$1000,6,FALSE),"нет в каталоге")</f>
        <v>62000</v>
      </c>
      <c r="I561" t="str">
        <f>IFERROR(VLOOKUP(B561,Товары_очищенные!$A$1:$G$1000,3,FALSE),"нет в каталоге")</f>
        <v>Мониторы</v>
      </c>
      <c r="J561" t="str">
        <f t="shared" si="34"/>
        <v>OK</v>
      </c>
    </row>
    <row r="562">
      <c r="A562" s="8">
        <f>DATE(RIGHT(Продажи_исходные!A562,4),LEFT(Продажи_исходные!A562,2),MID(Продажи_исходные!A562,4,2))</f>
        <v>45952</v>
      </c>
      <c r="B562" t="str">
        <f>"АРТ-"&amp;LEFT(SUBSTITUTE(SUBSTITUTE(SUBSTITUTE(SUBSTITUTE(Продажи_исходные!B562,"№",""),"АРТ-",""),"АРТ_",""),"/","-"),3)</f>
        <v>АРТ-342</v>
      </c>
      <c r="C562" s="4">
        <f>IFERROR(VALUE(TRIM(SUBSTITUTE(SUBSTITUTE(SUBSTITUTE(SUBSTITUTE(Продажи_исходные!C562," шт.","")," шт",""),"шт.",""),"шт",""))),0)</f>
        <v>3</v>
      </c>
      <c r="D562" s="4">
        <f>IF(LEFT(Продажи_исходные!D562,1)="$",VALUE(MID(Продажи_исходные!D562,2,255))*95,IF(LEFT(Продажи_исходные!D562,1)="€",VALUE(MID(Продажи_исходные!D562,2,255))*100,VALUE(SUBSTITUTE(SUBSTITUTE(Продажи_исходные!D562,"₽","")," ",""))))</f>
        <v>7000</v>
      </c>
      <c r="E562" t="str">
        <f>Продажи_исходные!E562</f>
        <v>C0561</v>
      </c>
      <c r="F562" t="str">
        <f>Продажи_исходные!F562</f>
        <v>P014</v>
      </c>
      <c r="G562" t="str">
        <f>IFERROR(VLOOKUP(Продажи_исходные!G562,Справочники!$G$2:$H$50,2,FALSE),Продажи_исходные!G562)</f>
        <v>Отменен</v>
      </c>
      <c r="H562" s="4">
        <f>IFERROR(VLOOKUP(B562,Товары_очищенные!$A$1:$G$1000,6,FALSE),"нет в каталоге")</f>
        <v>137500</v>
      </c>
      <c r="I562" t="str">
        <f>IFERROR(VLOOKUP(B562,Товары_очищенные!$A$1:$G$1000,3,FALSE),"нет в каталоге")</f>
        <v>Ноутбуки</v>
      </c>
      <c r="J562" t="str">
        <f t="shared" si="34"/>
        <v>OK</v>
      </c>
    </row>
    <row r="563">
      <c r="A563" s="8">
        <f>DATE(RIGHT(Продажи_исходные!A563,4),LEFT(Продажи_исходные!A563,2),MID(Продажи_исходные!A563,4,2))</f>
        <v>45952</v>
      </c>
      <c r="B563" t="str">
        <f>"АРТ-"&amp;LEFT(SUBSTITUTE(SUBSTITUTE(SUBSTITUTE(SUBSTITUTE(Продажи_исходные!B563,"№",""),"АРТ-",""),"АРТ_",""),"/","-"),3)</f>
        <v>АРТ-192</v>
      </c>
      <c r="C563" s="4">
        <f>IFERROR(VALUE(TRIM(SUBSTITUTE(SUBSTITUTE(SUBSTITUTE(SUBSTITUTE(Продажи_исходные!C563," шт.","")," шт",""),"шт.",""),"шт",""))),0)</f>
        <v>-2</v>
      </c>
      <c r="D563" s="4">
        <f>IF(LEFT(Продажи_исходные!D563,1)="$",VALUE(MID(Продажи_исходные!D563,2,255))*95,IF(LEFT(Продажи_исходные!D563,1)="€",VALUE(MID(Продажи_исходные!D563,2,255))*100,VALUE(SUBSTITUTE(SUBSTITUTE(Продажи_исходные!D563,"₽","")," ",""))))</f>
        <v>10925</v>
      </c>
      <c r="E563" t="str">
        <f>Продажи_исходные!E563</f>
        <v>C0562</v>
      </c>
      <c r="F563" t="str">
        <f>Продажи_исходные!F563</f>
        <v>P028</v>
      </c>
      <c r="G563" t="str">
        <f>IFERROR(VLOOKUP(Продажи_исходные!G563,Справочники!$G$2:$H$50,2,FALSE),Продажи_исходные!G563)</f>
        <v>Завершен</v>
      </c>
      <c r="H563" s="4">
        <f>IFERROR(VLOOKUP(B563,Товары_очищенные!$A$1:$G$1000,6,FALSE),"нет в каталоге")</f>
        <v>26500</v>
      </c>
      <c r="I563" t="str">
        <f>IFERROR(VLOOKUP(B563,Товары_очищенные!$A$1:$G$1000,3,FALSE),"нет в каталоге")</f>
        <v>Планшеты</v>
      </c>
      <c r="J563" t="str">
        <f t="shared" si="34"/>
        <v>OK</v>
      </c>
    </row>
    <row r="564">
      <c r="A564" s="8">
        <f>DATE(RIGHT(Продажи_исходные!A564,4),LEFT(Продажи_исходные!A564,2),MID(Продажи_исходные!A564,4,2))</f>
        <v>45953</v>
      </c>
      <c r="B564" t="str">
        <f>"АРТ-"&amp;LEFT(SUBSTITUTE(SUBSTITUTE(SUBSTITUTE(SUBSTITUTE(Продажи_исходные!B564,"№",""),"АРТ-",""),"АРТ_",""),"/","-"),3)</f>
        <v>АРТ-303</v>
      </c>
      <c r="C564" s="4">
        <f>IFERROR(VALUE(TRIM(SUBSTITUTE(SUBSTITUTE(SUBSTITUTE(SUBSTITUTE(Продажи_исходные!C564," шт.","")," шт",""),"шт.",""),"шт",""))),0)</f>
        <v>1</v>
      </c>
      <c r="D564" s="4">
        <f>IF(LEFT(Продажи_исходные!D564,1)="$",VALUE(MID(Продажи_исходные!D564,2,255))*95,IF(LEFT(Продажи_исходные!D564,1)="€",VALUE(MID(Продажи_исходные!D564,2,255))*100,VALUE(SUBSTITUTE(SUBSTITUTE(Продажи_исходные!D564,"₽","")," ",""))))</f>
        <v>9500</v>
      </c>
      <c r="E564" t="str">
        <f>Продажи_исходные!E564</f>
        <v>C0563</v>
      </c>
      <c r="F564" t="str">
        <f>Продажи_исходные!F564</f>
        <v>P009</v>
      </c>
      <c r="G564" t="str">
        <f>IFERROR(VLOOKUP(Продажи_исходные!G564,Справочники!$G$2:$H$50,2,FALSE),Продажи_исходные!G564)</f>
        <v>Возврат</v>
      </c>
      <c r="H564" s="4">
        <f>IFERROR(VLOOKUP(B564,Товары_очищенные!$A$1:$G$1000,6,FALSE),"нет в каталоге")</f>
        <v>8800</v>
      </c>
      <c r="I564" t="str">
        <f>IFERROR(VLOOKUP(B564,Товары_очищенные!$A$1:$G$1000,3,FALSE),"нет в каталоге")</f>
        <v>Наушники</v>
      </c>
      <c r="J564" t="str">
        <f t="shared" si="34"/>
        <v>OK</v>
      </c>
    </row>
    <row r="565">
      <c r="A565" s="8">
        <f>DATE(RIGHT(Продажи_исходные!A565,4),LEFT(Продажи_исходные!A565,2),MID(Продажи_исходные!A565,4,2))</f>
        <v>45953</v>
      </c>
      <c r="B565" t="str">
        <f>"АРТ-"&amp;LEFT(SUBSTITUTE(SUBSTITUTE(SUBSTITUTE(SUBSTITUTE(Продажи_исходные!B565,"№",""),"АРТ-",""),"АРТ_",""),"/","-"),3)</f>
        <v>АРТ-256</v>
      </c>
      <c r="C565" s="4">
        <f>IFERROR(VALUE(TRIM(SUBSTITUTE(SUBSTITUTE(SUBSTITUTE(SUBSTITUTE(Продажи_исходные!C565," шт.","")," шт",""),"шт.",""),"шт",""))),0)</f>
        <v>2</v>
      </c>
      <c r="D565" s="4">
        <f>IF(LEFT(Продажи_исходные!D565,1)="$",VALUE(MID(Продажи_исходные!D565,2,255))*95,IF(LEFT(Продажи_исходные!D565,1)="€",VALUE(MID(Продажи_исходные!D565,2,255))*100,VALUE(SUBSTITUTE(SUBSTITUTE(Продажи_исходные!D565,"₽","")," ",""))))</f>
        <v>8500</v>
      </c>
      <c r="E565" t="str">
        <f>Продажи_исходные!E565</f>
        <v>C0564</v>
      </c>
      <c r="F565" t="str">
        <f>Продажи_исходные!F565</f>
        <v>P041</v>
      </c>
      <c r="G565" t="str">
        <f>IFERROR(VLOOKUP(Продажи_исходные!G565,Справочники!$G$2:$H$50,2,FALSE),Продажи_исходные!G565)</f>
        <v>Завершен</v>
      </c>
      <c r="H565" s="4">
        <f>IFERROR(VLOOKUP(B565,Товары_очищенные!$A$1:$G$1000,6,FALSE),"нет в каталоге")</f>
        <v>37990</v>
      </c>
      <c r="I565" t="str">
        <f>IFERROR(VLOOKUP(B565,Товары_очищенные!$A$1:$G$1000,3,FALSE),"нет в каталоге")</f>
        <v>Смартфоны</v>
      </c>
      <c r="J565" t="str">
        <f t="shared" si="34"/>
        <v>OK</v>
      </c>
    </row>
    <row r="566">
      <c r="A566" s="8">
        <f>DATE(RIGHT(Продажи_исходные!A566,4),LEFT(Продажи_исходные!A566,2),MID(Продажи_исходные!A566,4,2))</f>
        <v>45954</v>
      </c>
      <c r="B566" t="str">
        <f>"АРТ-"&amp;LEFT(SUBSTITUTE(SUBSTITUTE(SUBSTITUTE(SUBSTITUTE(Продажи_исходные!B566,"№",""),"АРТ-",""),"АРТ_",""),"/","-"),3)</f>
        <v>АРТ-087</v>
      </c>
      <c r="C566" s="4">
        <f>IFERROR(VALUE(TRIM(SUBSTITUTE(SUBSTITUTE(SUBSTITUTE(SUBSTITUTE(Продажи_исходные!C566," шт.","")," шт",""),"шт.",""),"шт",""))),0)</f>
        <v>3</v>
      </c>
      <c r="D566" s="4">
        <f>IF(LEFT(Продажи_исходные!D566,1)="$",VALUE(MID(Продажи_исходные!D566,2,255))*95,IF(LEFT(Продажи_исходные!D566,1)="€",VALUE(MID(Продажи_исходные!D566,2,255))*100,VALUE(SUBSTITUTE(SUBSTITUTE(Продажи_исходные!D566,"₽","")," ",""))))</f>
        <v>9975</v>
      </c>
      <c r="E566" t="str">
        <f>Продажи_исходные!E566</f>
        <v>C0565</v>
      </c>
      <c r="F566" t="str">
        <f>Продажи_исходные!F566</f>
        <v>P017</v>
      </c>
      <c r="G566" t="str">
        <f>IFERROR(VLOOKUP(Продажи_исходные!G566,Справочники!$G$2:$H$50,2,FALSE),Продажи_исходные!G566)</f>
        <v>Завершен</v>
      </c>
      <c r="H566" s="4">
        <f>IFERROR(VLOOKUP(B566,Товары_очищенные!$A$1:$G$1000,6,FALSE),"нет в каталоге")</f>
        <v>112000</v>
      </c>
      <c r="I566" t="str">
        <f>IFERROR(VLOOKUP(B566,Товары_очищенные!$A$1:$G$1000,3,FALSE),"нет в каталоге")</f>
        <v>Ноутбуки</v>
      </c>
      <c r="J566" t="str">
        <f t="shared" si="34"/>
        <v>OK</v>
      </c>
    </row>
    <row r="567">
      <c r="A567" s="8">
        <f>DATE(RIGHT(Продажи_исходные!A567,4),LEFT(Продажи_исходные!A567,2),MID(Продажи_исходные!A567,4,2))</f>
        <v>45954</v>
      </c>
      <c r="B567" t="str">
        <f>"АРТ-"&amp;LEFT(SUBSTITUTE(SUBSTITUTE(SUBSTITUTE(SUBSTITUTE(Продажи_исходные!B567,"№",""),"АРТ-",""),"АРТ_",""),"/","-"),3)</f>
        <v>АРТ-422</v>
      </c>
      <c r="C567" s="4">
        <f>IFERROR(VALUE(TRIM(SUBSTITUTE(SUBSTITUTE(SUBSTITUTE(SUBSTITUTE(Продажи_исходные!C567," шт.","")," шт",""),"шт.",""),"шт",""))),0)</f>
        <v>2</v>
      </c>
      <c r="D567" s="4">
        <f>IF(LEFT(Продажи_исходные!D567,1)="$",VALUE(MID(Продажи_исходные!D567,2,255))*95,IF(LEFT(Продажи_исходные!D567,1)="€",VALUE(MID(Продажи_исходные!D567,2,255))*100,VALUE(SUBSTITUTE(SUBSTITUTE(Продажи_исходные!D567,"₽","")," ",""))))</f>
        <v>8500</v>
      </c>
      <c r="E567" t="str">
        <f>Продажи_исходные!E567</f>
        <v>C0566</v>
      </c>
      <c r="F567" t="str">
        <f>Продажи_исходные!F567</f>
        <v>P032</v>
      </c>
      <c r="G567" t="str">
        <f>IFERROR(VLOOKUP(Продажи_исходные!G567,Справочники!$G$2:$H$50,2,FALSE),Продажи_исходные!G567)</f>
        <v>Завершен</v>
      </c>
      <c r="H567" s="4">
        <f>IFERROR(VLOOKUP(B567,Товары_очищенные!$A$1:$G$1000,6,FALSE),"нет в каталоге")</f>
        <v>124000</v>
      </c>
      <c r="I567" t="str">
        <f>IFERROR(VLOOKUP(B567,Товары_очищенные!$A$1:$G$1000,3,FALSE),"нет в каталоге")</f>
        <v>Ноутбуки</v>
      </c>
      <c r="J567" t="str">
        <f t="shared" si="34"/>
        <v>OK</v>
      </c>
    </row>
    <row r="568">
      <c r="A568" s="8">
        <f>DATE(RIGHT(Продажи_исходные!A568,4),LEFT(Продажи_исходные!A568,2),MID(Продажи_исходные!A568,4,2))</f>
        <v>45955</v>
      </c>
      <c r="B568" t="str">
        <f>"АРТ-"&amp;LEFT(SUBSTITUTE(SUBSTITUTE(SUBSTITUTE(SUBSTITUTE(Продажи_исходные!B568,"№",""),"АРТ-",""),"АРТ_",""),"/","-"),3)</f>
        <v>АРТ-327</v>
      </c>
      <c r="C568" s="4">
        <f>IFERROR(VALUE(TRIM(SUBSTITUTE(SUBSTITUTE(SUBSTITUTE(SUBSTITUTE(Продажи_исходные!C568," шт.","")," шт",""),"шт.",""),"шт",""))),0)</f>
        <v>1</v>
      </c>
      <c r="D568" s="4">
        <f>IF(LEFT(Продажи_исходные!D568,1)="$",VALUE(MID(Продажи_исходные!D568,2,255))*95,IF(LEFT(Продажи_исходные!D568,1)="€",VALUE(MID(Продажи_исходные!D568,2,255))*100,VALUE(SUBSTITUTE(SUBSTITUTE(Продажи_исходные!D568,"₽","")," ",""))))</f>
        <v>7800</v>
      </c>
      <c r="E568" t="str">
        <f>Продажи_исходные!E568</f>
        <v>C0567</v>
      </c>
      <c r="F568" t="str">
        <f>Продажи_исходные!F568</f>
        <v>P049</v>
      </c>
      <c r="G568" t="str">
        <f>IFERROR(VLOOKUP(Продажи_исходные!G568,Справочники!$G$2:$H$50,2,FALSE),Продажи_исходные!G568)</f>
        <v>Отменен</v>
      </c>
      <c r="H568" s="4">
        <f>IFERROR(VLOOKUP(B568,Товары_очищенные!$A$1:$G$1000,6,FALSE),"нет в каталоге")</f>
        <v>69000</v>
      </c>
      <c r="I568" t="str">
        <f>IFERROR(VLOOKUP(B568,Товары_очищенные!$A$1:$G$1000,3,FALSE),"нет в каталоге")</f>
        <v>Мониторы</v>
      </c>
      <c r="J568" t="str">
        <f t="shared" si="34"/>
        <v>OK</v>
      </c>
    </row>
    <row r="569">
      <c r="A569" s="8">
        <f>DATE(RIGHT(Продажи_исходные!A569,4),LEFT(Продажи_исходные!A569,2),MID(Продажи_исходные!A569,4,2))</f>
        <v>45955</v>
      </c>
      <c r="B569" t="str">
        <f>"АРТ-"&amp;LEFT(SUBSTITUTE(SUBSTITUTE(SUBSTITUTE(SUBSTITUTE(Продажи_исходные!B569,"№",""),"АРТ-",""),"АРТ_",""),"/","-"),3)</f>
        <v>АРТ-226</v>
      </c>
      <c r="C569" s="4">
        <f>IFERROR(VALUE(TRIM(SUBSTITUTE(SUBSTITUTE(SUBSTITUTE(SUBSTITUTE(Продажи_исходные!C569," шт.","")," шт",""),"шт.",""),"шт",""))),0)</f>
        <v>-3</v>
      </c>
      <c r="D569" s="4">
        <f>IF(LEFT(Продажи_исходные!D569,1)="$",VALUE(MID(Продажи_исходные!D569,2,255))*95,IF(LEFT(Продажи_исходные!D569,1)="€",VALUE(MID(Продажи_исходные!D569,2,255))*100,VALUE(SUBSTITUTE(SUBSTITUTE(Продажи_исходные!D569,"₽","")," ",""))))</f>
        <v>11400</v>
      </c>
      <c r="E569" t="str">
        <f>Продажи_исходные!E569</f>
        <v>C0568</v>
      </c>
      <c r="F569" t="str">
        <f>Продажи_исходные!F569</f>
        <v>P006</v>
      </c>
      <c r="G569" t="str">
        <f>IFERROR(VLOOKUP(Продажи_исходные!G569,Справочники!$G$2:$H$50,2,FALSE),Продажи_исходные!G569)</f>
        <v>Отменен</v>
      </c>
      <c r="H569" s="4">
        <f>IFERROR(VLOOKUP(B569,Товары_очищенные!$A$1:$G$1000,6,FALSE),"нет в каталоге")</f>
        <v>5990</v>
      </c>
      <c r="I569" t="str">
        <f>IFERROR(VLOOKUP(B569,Товары_очищенные!$A$1:$G$1000,3,FALSE),"нет в каталоге")</f>
        <v>Аксессуары</v>
      </c>
      <c r="J569" t="str">
        <f t="shared" si="34"/>
        <v>OK</v>
      </c>
    </row>
    <row r="570">
      <c r="A570" s="8">
        <f>DATE(RIGHT(Продажи_исходные!A570,4),LEFT(Продажи_исходные!A570,2),MID(Продажи_исходные!A570,4,2))</f>
        <v>45956</v>
      </c>
      <c r="B570" t="str">
        <f>"АРТ-"&amp;LEFT(SUBSTITUTE(SUBSTITUTE(SUBSTITUTE(SUBSTITUTE(Продажи_исходные!B570,"№",""),"АРТ-",""),"АРТ_",""),"/","-"),3)</f>
        <v>АРТ-396</v>
      </c>
      <c r="C570" s="4">
        <f>IFERROR(VALUE(TRIM(SUBSTITUTE(SUBSTITUTE(SUBSTITUTE(SUBSTITUTE(Продажи_исходные!C570," шт.","")," шт",""),"шт.",""),"шт",""))),0)</f>
        <v>2</v>
      </c>
      <c r="D570" s="4">
        <f>IF(LEFT(Продажи_исходные!D570,1)="$",VALUE(MID(Продажи_исходные!D570,2,255))*95,IF(LEFT(Продажи_исходные!D570,1)="€",VALUE(MID(Продажи_исходные!D570,2,255))*100,VALUE(SUBSTITUTE(SUBSTITUTE(Продажи_исходные!D570,"₽","")," ",""))))</f>
        <v>10000</v>
      </c>
      <c r="E570" t="str">
        <f>Продажи_исходные!E570</f>
        <v>C0569</v>
      </c>
      <c r="F570" t="str">
        <f>Продажи_исходные!F570</f>
        <v>P024</v>
      </c>
      <c r="G570" t="str">
        <f>IFERROR(VLOOKUP(Продажи_исходные!G570,Справочники!$G$2:$H$50,2,FALSE),Продажи_исходные!G570)</f>
        <v>Возврат</v>
      </c>
      <c r="H570" s="4">
        <f>IFERROR(VLOOKUP(B570,Товары_очищенные!$A$1:$G$1000,6,FALSE),"нет в каталоге")</f>
        <v>67000</v>
      </c>
      <c r="I570" t="str">
        <f>IFERROR(VLOOKUP(B570,Товары_очищенные!$A$1:$G$1000,3,FALSE),"нет в каталоге")</f>
        <v>Мониторы</v>
      </c>
      <c r="J570" t="str">
        <f t="shared" si="34"/>
        <v>OK</v>
      </c>
    </row>
    <row r="571">
      <c r="A571" s="8">
        <f>DATE(RIGHT(Продажи_исходные!A571,4),LEFT(Продажи_исходные!A571,2),MID(Продажи_исходные!A571,4,2))</f>
        <v>45956</v>
      </c>
      <c r="B571" t="str">
        <f>"АРТ-"&amp;LEFT(SUBSTITUTE(SUBSTITUTE(SUBSTITUTE(SUBSTITUTE(Продажи_исходные!B571,"№",""),"АРТ-",""),"АРТ_",""),"/","-"),3)</f>
        <v>АРТ-253</v>
      </c>
      <c r="C571" s="4">
        <f>IFERROR(VALUE(TRIM(SUBSTITUTE(SUBSTITUTE(SUBSTITUTE(SUBSTITUTE(Продажи_исходные!C571," шт.","")," шт",""),"шт.",""),"шт",""))),0)</f>
        <v>1</v>
      </c>
      <c r="D571" s="4">
        <f>IF(LEFT(Продажи_исходные!D571,1)="$",VALUE(MID(Продажи_исходные!D571,2,255))*95,IF(LEFT(Продажи_исходные!D571,1)="€",VALUE(MID(Продажи_исходные!D571,2,255))*100,VALUE(SUBSTITUTE(SUBSTITUTE(Продажи_исходные!D571,"₽","")," ",""))))</f>
        <v>9200</v>
      </c>
      <c r="E571" t="str">
        <f>Продажи_исходные!E571</f>
        <v>C0570</v>
      </c>
      <c r="F571" t="str">
        <f>Продажи_исходные!F571</f>
        <v>P015</v>
      </c>
      <c r="G571" t="str">
        <f>IFERROR(VLOOKUP(Продажи_исходные!G571,Справочники!$G$2:$H$50,2,FALSE),Продажи_исходные!G571)</f>
        <v>Завершен</v>
      </c>
      <c r="H571" s="4">
        <f>IFERROR(VLOOKUP(B571,Товары_очищенные!$A$1:$G$1000,6,FALSE),"нет в каталоге")</f>
        <v>159990</v>
      </c>
      <c r="I571" t="str">
        <f>IFERROR(VLOOKUP(B571,Товары_очищенные!$A$1:$G$1000,3,FALSE),"нет в каталоге")</f>
        <v>Ноутбуки</v>
      </c>
      <c r="J571" t="str">
        <f t="shared" si="34"/>
        <v>OK</v>
      </c>
    </row>
    <row r="572">
      <c r="A572" s="8">
        <f>DATE(RIGHT(Продажи_исходные!A572,4),LEFT(Продажи_исходные!A572,2),MID(Продажи_исходные!A572,4,2))</f>
        <v>45957</v>
      </c>
      <c r="B572" t="str">
        <f>"АРТ-"&amp;LEFT(SUBSTITUTE(SUBSTITUTE(SUBSTITUTE(SUBSTITUTE(Продажи_исходные!B572,"№",""),"АРТ-",""),"АРТ_",""),"/","-"),3)</f>
        <v>АРТ-061</v>
      </c>
      <c r="C572" s="4">
        <f>IFERROR(VALUE(TRIM(SUBSTITUTE(SUBSTITUTE(SUBSTITUTE(SUBSTITUTE(Продажи_исходные!C572," шт.","")," шт",""),"шт.",""),"шт",""))),0)</f>
        <v>3</v>
      </c>
      <c r="D572" s="4">
        <f>IF(LEFT(Продажи_исходные!D572,1)="$",VALUE(MID(Продажи_исходные!D572,2,255))*95,IF(LEFT(Продажи_исходные!D572,1)="€",VALUE(MID(Продажи_исходные!D572,2,255))*100,VALUE(SUBSTITUTE(SUBSTITUTE(Продажи_исходные!D572,"₽","")," ",""))))</f>
        <v>8550</v>
      </c>
      <c r="E572" t="str">
        <f>Продажи_исходные!E572</f>
        <v>C0571</v>
      </c>
      <c r="F572" t="str">
        <f>Продажи_исходные!F572</f>
        <v>P037</v>
      </c>
      <c r="G572" t="str">
        <f>IFERROR(VLOOKUP(Продажи_исходные!G572,Справочники!$G$2:$H$50,2,FALSE),Продажи_исходные!G572)</f>
        <v>Завершен</v>
      </c>
      <c r="H572" s="4">
        <f>IFERROR(VLOOKUP(B572,Товары_очищенные!$A$1:$G$1000,6,FALSE),"нет в каталоге")</f>
        <v>124999</v>
      </c>
      <c r="I572" t="str">
        <f>IFERROR(VLOOKUP(B572,Товары_очищенные!$A$1:$G$1000,3,FALSE),"нет в каталоге")</f>
        <v>Ноутбуки</v>
      </c>
      <c r="J572" t="str">
        <f t="shared" si="34"/>
        <v>OK</v>
      </c>
    </row>
    <row r="573">
      <c r="A573" s="8">
        <f>DATE(RIGHT(Продажи_исходные!A573,4),LEFT(Продажи_исходные!A573,2),MID(Продажи_исходные!A573,4,2))</f>
        <v>45957</v>
      </c>
      <c r="B573" t="str">
        <f>"АРТ-"&amp;LEFT(SUBSTITUTE(SUBSTITUTE(SUBSTITUTE(SUBSTITUTE(Продажи_исходные!B573,"№",""),"АРТ-",""),"АРТ_",""),"/","-"),3)</f>
        <v>АРТ-484</v>
      </c>
      <c r="C573" s="4">
        <f>IFERROR(VALUE(TRIM(SUBSTITUTE(SUBSTITUTE(SUBSTITUTE(SUBSTITUTE(Продажи_исходные!C573," шт.","")," шт",""),"шт.",""),"шт",""))),0)</f>
        <v>2</v>
      </c>
      <c r="D573" s="4">
        <f>IF(LEFT(Продажи_исходные!D573,1)="$",VALUE(MID(Продажи_исходные!D573,2,255))*95,IF(LEFT(Продажи_исходные!D573,1)="€",VALUE(MID(Продажи_исходные!D573,2,255))*100,VALUE(SUBSTITUTE(SUBSTITUTE(Продажи_исходные!D573,"₽","")," ",""))))</f>
        <v>7000</v>
      </c>
      <c r="E573" t="str">
        <f>Продажи_исходные!E573</f>
        <v>C0572</v>
      </c>
      <c r="F573" t="str">
        <f>Продажи_исходные!F573</f>
        <v>P048</v>
      </c>
      <c r="G573" t="str">
        <f>IFERROR(VLOOKUP(Продажи_исходные!G573,Справочники!$G$2:$H$50,2,FALSE),Продажи_исходные!G573)</f>
        <v>Завершен</v>
      </c>
      <c r="H573" s="4">
        <f>IFERROR(VLOOKUP(B573,Товары_очищенные!$A$1:$G$1000,6,FALSE),"нет в каталоге")</f>
        <v>33990</v>
      </c>
      <c r="I573" t="str">
        <f>IFERROR(VLOOKUP(B573,Товары_очищенные!$A$1:$G$1000,3,FALSE),"нет в каталоге")</f>
        <v>Смартфоны</v>
      </c>
      <c r="J573" t="str">
        <f t="shared" si="34"/>
        <v>OK</v>
      </c>
    </row>
    <row r="574">
      <c r="A574" s="8">
        <f>DATE(RIGHT(Продажи_исходные!A574,4),LEFT(Продажи_исходные!A574,2),MID(Продажи_исходные!A574,4,2))</f>
        <v>45958</v>
      </c>
      <c r="B574" t="str">
        <f>"АРТ-"&amp;LEFT(SUBSTITUTE(SUBSTITUTE(SUBSTITUTE(SUBSTITUTE(Продажи_исходные!B574,"№",""),"АРТ-",""),"АРТ_",""),"/","-"),3)</f>
        <v>АРТ-389</v>
      </c>
      <c r="C574" s="4">
        <f>IFERROR(VALUE(TRIM(SUBSTITUTE(SUBSTITUTE(SUBSTITUTE(SUBSTITUTE(Продажи_исходные!C574," шт.","")," шт",""),"шт.",""),"шт",""))),0)</f>
        <v>1</v>
      </c>
      <c r="D574" s="4">
        <f>IF(LEFT(Продажи_исходные!D574,1)="$",VALUE(MID(Продажи_исходные!D574,2,255))*95,IF(LEFT(Продажи_исходные!D574,1)="€",VALUE(MID(Продажи_исходные!D574,2,255))*100,VALUE(SUBSTITUTE(SUBSTITUTE(Продажи_исходные!D574,"₽","")," ",""))))</f>
        <v>6500</v>
      </c>
      <c r="E574" t="str">
        <f>Продажи_исходные!E574</f>
        <v>C0573</v>
      </c>
      <c r="F574" t="str">
        <f>Продажи_исходные!F574</f>
        <v>P004</v>
      </c>
      <c r="G574" t="str">
        <f>IFERROR(VLOOKUP(Продажи_исходные!G574,Справочники!$G$2:$H$50,2,FALSE),Продажи_исходные!G574)</f>
        <v>Отменен</v>
      </c>
      <c r="H574" s="4">
        <f>IFERROR(VLOOKUP(B574,Товары_очищенные!$A$1:$G$1000,6,FALSE),"нет в каталоге")</f>
        <v>75000</v>
      </c>
      <c r="I574" t="str">
        <f>IFERROR(VLOOKUP(B574,Товары_очищенные!$A$1:$G$1000,3,FALSE),"нет в каталоге")</f>
        <v>Телевизоры</v>
      </c>
      <c r="J574" t="str">
        <f t="shared" si="34"/>
        <v>OK</v>
      </c>
    </row>
    <row r="575">
      <c r="A575" s="8">
        <f>DATE(RIGHT(Продажи_исходные!A575,4),LEFT(Продажи_исходные!A575,2),MID(Продажи_исходные!A575,4,2))</f>
        <v>45958</v>
      </c>
      <c r="B575" t="str">
        <f>"АРТ-"&amp;LEFT(SUBSTITUTE(SUBSTITUTE(SUBSTITUTE(SUBSTITUTE(Продажи_исходные!B575,"№",""),"АРТ-",""),"АРТ_",""),"/","-"),3)</f>
        <v>АРТ-280</v>
      </c>
      <c r="C575" s="4">
        <f>IFERROR(VALUE(TRIM(SUBSTITUTE(SUBSTITUTE(SUBSTITUTE(SUBSTITUTE(Продажи_исходные!C575," шт.","")," шт",""),"шт.",""),"шт",""))),0)</f>
        <v>-1</v>
      </c>
      <c r="D575" s="4">
        <f>IF(LEFT(Продажи_исходные!D575,1)="$",VALUE(MID(Продажи_исходные!D575,2,255))*95,IF(LEFT(Продажи_исходные!D575,1)="€",VALUE(MID(Продажи_исходные!D575,2,255))*100,VALUE(SUBSTITUTE(SUBSTITUTE(Продажи_исходные!D575,"₽","")," ",""))))</f>
        <v>10450</v>
      </c>
      <c r="E575" t="str">
        <f>Продажи_исходные!E575</f>
        <v>C0574</v>
      </c>
      <c r="F575" t="str">
        <f>Продажи_исходные!F575</f>
        <v>P026</v>
      </c>
      <c r="G575" t="str">
        <f>IFERROR(VLOOKUP(Продажи_исходные!G575,Справочники!$G$2:$H$50,2,FALSE),Продажи_исходные!G575)</f>
        <v>Отменен</v>
      </c>
      <c r="H575" s="4">
        <f>IFERROR(VLOOKUP(B575,Товары_очищенные!$A$1:$G$1000,6,FALSE),"нет в каталоге")</f>
        <v>32990</v>
      </c>
      <c r="I575" t="str">
        <f>IFERROR(VLOOKUP(B575,Товары_очищенные!$A$1:$G$1000,3,FALSE),"нет в каталоге")</f>
        <v>Наушники</v>
      </c>
      <c r="J575" t="str">
        <f t="shared" si="34"/>
        <v>OK</v>
      </c>
    </row>
    <row r="576">
      <c r="A576" s="8">
        <f>DATE(RIGHT(Продажи_исходные!A576,4),LEFT(Продажи_исходные!A576,2),MID(Продажи_исходные!A576,4,2))</f>
        <v>45959</v>
      </c>
      <c r="B576" t="str">
        <f>"АРТ-"&amp;LEFT(SUBSTITUTE(SUBSTITUTE(SUBSTITUTE(SUBSTITUTE(Продажи_исходные!B576,"№",""),"АРТ-",""),"АРТ_",""),"/","-"),3)</f>
        <v>АРТ-348</v>
      </c>
      <c r="C576" s="4">
        <f>IFERROR(VALUE(TRIM(SUBSTITUTE(SUBSTITUTE(SUBSTITUTE(SUBSTITUTE(Продажи_исходные!C576," шт.","")," шт",""),"шт.",""),"шт",""))),0)</f>
        <v>3</v>
      </c>
      <c r="D576" s="4">
        <f>IF(LEFT(Продажи_исходные!D576,1)="$",VALUE(MID(Продажи_исходные!D576,2,255))*95,IF(LEFT(Продажи_исходные!D576,1)="€",VALUE(MID(Продажи_исходные!D576,2,255))*100,VALUE(SUBSTITUTE(SUBSTITUTE(Продажи_исходные!D576,"₽","")," ",""))))</f>
        <v>9000</v>
      </c>
      <c r="E576" t="str">
        <f>Продажи_исходные!E576</f>
        <v>C0575</v>
      </c>
      <c r="F576" t="str">
        <f>Продажи_исходные!F576</f>
        <v>P013</v>
      </c>
      <c r="G576" t="str">
        <f>IFERROR(VLOOKUP(Продажи_исходные!G576,Справочники!$G$2:$H$50,2,FALSE),Продажи_исходные!G576)</f>
        <v>Завершен</v>
      </c>
      <c r="H576" s="4">
        <f>IFERROR(VLOOKUP(B576,Товары_очищенные!$A$1:$G$1000,6,FALSE),"нет в каталоге")</f>
        <v>20800</v>
      </c>
      <c r="I576" t="str">
        <f>IFERROR(VLOOKUP(B576,Товары_очищенные!$A$1:$G$1000,3,FALSE),"нет в каталоге")</f>
        <v>Наушники</v>
      </c>
      <c r="J576" t="str">
        <f t="shared" si="34"/>
        <v>OK</v>
      </c>
    </row>
    <row r="577">
      <c r="A577" s="8">
        <f>DATE(RIGHT(Продажи_исходные!A577,4),LEFT(Продажи_исходные!A577,2),MID(Продажи_исходные!A577,4,2))</f>
        <v>45959</v>
      </c>
      <c r="B577" t="str">
        <f>"АРТ-"&amp;LEFT(SUBSTITUTE(SUBSTITUTE(SUBSTITUTE(SUBSTITUTE(Продажи_исходные!B577,"№",""),"АРТ-",""),"АРТ_",""),"/","-"),3)</f>
        <v>АРТ-141</v>
      </c>
      <c r="C577" s="4">
        <f>IFERROR(VALUE(TRIM(SUBSTITUTE(SUBSTITUTE(SUBSTITUTE(SUBSTITUTE(Продажи_исходные!C577," шт.","")," шт",""),"шт.",""),"шт",""))),0)</f>
        <v>2</v>
      </c>
      <c r="D577" s="4">
        <f>IF(LEFT(Продажи_исходные!D577,1)="$",VALUE(MID(Продажи_исходные!D577,2,255))*95,IF(LEFT(Продажи_исходные!D577,1)="€",VALUE(MID(Продажи_исходные!D577,2,255))*100,VALUE(SUBSTITUTE(SUBSTITUTE(Продажи_исходные!D577,"₽","")," ",""))))</f>
        <v>8000</v>
      </c>
      <c r="E577" t="str">
        <f>Продажи_исходные!E577</f>
        <v>C0576</v>
      </c>
      <c r="F577" t="str">
        <f>Продажи_исходные!F577</f>
        <v>P034</v>
      </c>
      <c r="G577" t="str">
        <f>IFERROR(VLOOKUP(Продажи_исходные!G577,Справочники!$G$2:$H$50,2,FALSE),Продажи_исходные!G577)</f>
        <v>Возврат</v>
      </c>
      <c r="H577" s="4">
        <f>IFERROR(VLOOKUP(B577,Товары_очищенные!$A$1:$G$1000,6,FALSE),"нет в каталоге")</f>
        <v>92500</v>
      </c>
      <c r="I577" t="str">
        <f>IFERROR(VLOOKUP(B577,Товары_очищенные!$A$1:$G$1000,3,FALSE),"нет в каталоге")</f>
        <v>Мониторы</v>
      </c>
      <c r="J577" t="str">
        <f t="shared" si="34"/>
        <v>OK</v>
      </c>
    </row>
    <row r="578">
      <c r="A578" s="8">
        <f>DATE(RIGHT(Продажи_исходные!A578,4),LEFT(Продажи_исходные!A578,2),MID(Продажи_исходные!A578,4,2))</f>
        <v>45960</v>
      </c>
      <c r="B578" t="str">
        <f>"АРТ-"&amp;LEFT(SUBSTITUTE(SUBSTITUTE(SUBSTITUTE(SUBSTITUTE(Продажи_исходные!B578,"№",""),"АРТ-",""),"АРТ_",""),"/","-"),3)</f>
        <v>АРТ-045</v>
      </c>
      <c r="C578" s="4">
        <f>IFERROR(VALUE(TRIM(SUBSTITUTE(SUBSTITUTE(SUBSTITUTE(SUBSTITUTE(Продажи_исходные!C578," шт.","")," шт",""),"шт.",""),"шт",""))),0)</f>
        <v>1</v>
      </c>
      <c r="D578" s="4">
        <f>IF(LEFT(Продажи_исходные!D578,1)="$",VALUE(MID(Продажи_исходные!D578,2,255))*95,IF(LEFT(Продажи_исходные!D578,1)="€",VALUE(MID(Продажи_исходные!D578,2,255))*100,VALUE(SUBSTITUTE(SUBSTITUTE(Продажи_исходные!D578,"₽","")," ",""))))</f>
        <v>9025</v>
      </c>
      <c r="E578" t="str">
        <f>Продажи_исходные!E578</f>
        <v>C0577</v>
      </c>
      <c r="F578" t="str">
        <f>Продажи_исходные!F578</f>
        <v>P044</v>
      </c>
      <c r="G578" t="str">
        <f>IFERROR(VLOOKUP(Продажи_исходные!G578,Справочники!$G$2:$H$50,2,FALSE),Продажи_исходные!G578)</f>
        <v>Завершен</v>
      </c>
      <c r="H578" s="4">
        <f>IFERROR(VLOOKUP(B578,Товары_очищенные!$A$1:$G$1000,6,FALSE),"нет в каталоге")</f>
        <v>137000</v>
      </c>
      <c r="I578" t="str">
        <f>IFERROR(VLOOKUP(B578,Товары_очищенные!$A$1:$G$1000,3,FALSE),"нет в каталоге")</f>
        <v>Телевизоры</v>
      </c>
      <c r="J578" t="str">
        <f t="shared" si="34"/>
        <v>OK</v>
      </c>
    </row>
    <row r="579">
      <c r="A579" s="8">
        <f>DATE(RIGHT(Продажи_исходные!A579,4),LEFT(Продажи_исходные!A579,2),MID(Продажи_исходные!A579,4,2))</f>
        <v>45960</v>
      </c>
      <c r="B579" t="str">
        <f>"АРТ-"&amp;LEFT(SUBSTITUTE(SUBSTITUTE(SUBSTITUTE(SUBSTITUTE(Продажи_исходные!B579,"№",""),"АРТ-",""),"АРТ_",""),"/","-"),3)</f>
        <v>АРТ-475</v>
      </c>
      <c r="C579" s="4">
        <f>IFERROR(VALUE(TRIM(SUBSTITUTE(SUBSTITUTE(SUBSTITUTE(SUBSTITUTE(Продажи_исходные!C579," шт.","")," шт",""),"шт.",""),"шт",""))),0)</f>
        <v>2</v>
      </c>
      <c r="D579" s="4">
        <f>IF(LEFT(Продажи_исходные!D579,1)="$",VALUE(MID(Продажи_исходные!D579,2,255))*95,IF(LEFT(Продажи_исходные!D579,1)="€",VALUE(MID(Продажи_исходные!D579,2,255))*100,VALUE(SUBSTITUTE(SUBSTITUTE(Продажи_исходные!D579,"₽","")," ",""))))</f>
        <v>7500</v>
      </c>
      <c r="E579" t="str">
        <f>Продажи_исходные!E579</f>
        <v>C0578</v>
      </c>
      <c r="F579" t="str">
        <f>Продажи_исходные!F579</f>
        <v>P001</v>
      </c>
      <c r="G579" t="str">
        <f>IFERROR(VLOOKUP(Продажи_исходные!G579,Справочники!$G$2:$H$50,2,FALSE),Продажи_исходные!G579)</f>
        <v>Завершен</v>
      </c>
      <c r="H579" s="4">
        <f>IFERROR(VLOOKUP(B579,Товары_очищенные!$A$1:$G$1000,6,FALSE),"нет в каталоге")</f>
        <v>52990</v>
      </c>
      <c r="I579" t="str">
        <f>IFERROR(VLOOKUP(B579,Товары_очищенные!$A$1:$G$1000,3,FALSE),"нет в каталоге")</f>
        <v>Мониторы</v>
      </c>
      <c r="J579" t="str">
        <f t="shared" si="34"/>
        <v>OK</v>
      </c>
    </row>
    <row r="580">
      <c r="A580" s="8">
        <f>DATE(RIGHT(Продажи_исходные!A580,4),LEFT(Продажи_исходные!A580,2),MID(Продажи_исходные!A580,4,2))</f>
        <v>45961</v>
      </c>
      <c r="B580" t="str">
        <f>"АРТ-"&amp;LEFT(SUBSTITUTE(SUBSTITUTE(SUBSTITUTE(SUBSTITUTE(Продажи_исходные!B580,"№",""),"АРТ-",""),"АРТ_",""),"/","-"),3)</f>
        <v>АРТ-352</v>
      </c>
      <c r="C580" s="4">
        <f>IFERROR(VALUE(TRIM(SUBSTITUTE(SUBSTITUTE(SUBSTITUTE(SUBSTITUTE(Продажи_исходные!C580," шт.","")," шт",""),"шт.",""),"шт",""))),0)</f>
        <v>3</v>
      </c>
      <c r="D580" s="4">
        <f>IF(LEFT(Продажи_исходные!D580,1)="$",VALUE(MID(Продажи_исходные!D580,2,255))*95,IF(LEFT(Продажи_исходные!D580,1)="€",VALUE(MID(Продажи_исходные!D580,2,255))*100,VALUE(SUBSTITUTE(SUBSTITUTE(Продажи_исходные!D580,"₽","")," ",""))))</f>
        <v>7000</v>
      </c>
      <c r="E580" t="str">
        <f>Продажи_исходные!E580</f>
        <v>C0579</v>
      </c>
      <c r="F580" t="str">
        <f>Продажи_исходные!F580</f>
        <v>P021</v>
      </c>
      <c r="G580" t="str">
        <f>IFERROR(VLOOKUP(Продажи_исходные!G580,Справочники!$G$2:$H$50,2,FALSE),Продажи_исходные!G580)</f>
        <v>Завершен</v>
      </c>
      <c r="H580" s="4">
        <f>IFERROR(VLOOKUP(B580,Товары_очищенные!$A$1:$G$1000,6,FALSE),"нет в каталоге")</f>
        <v>6990</v>
      </c>
      <c r="I580" t="str">
        <f>IFERROR(VLOOKUP(B580,Товары_очищенные!$A$1:$G$1000,3,FALSE),"нет в каталоге")</f>
        <v>Аксессуары</v>
      </c>
      <c r="J580" t="str">
        <f t="shared" si="34"/>
        <v>OK</v>
      </c>
    </row>
    <row r="581">
      <c r="A581" s="8">
        <f>DATE(RIGHT(Продажи_исходные!A581,4),LEFT(Продажи_исходные!A581,2),MID(Продажи_исходные!A581,4,2))</f>
        <v>45961</v>
      </c>
      <c r="B581" t="str">
        <f>"АРТ-"&amp;LEFT(SUBSTITUTE(SUBSTITUTE(SUBSTITUTE(SUBSTITUTE(Продажи_исходные!B581,"№",""),"АРТ-",""),"АРТ_",""),"/","-"),3)</f>
        <v>АРТ-232</v>
      </c>
      <c r="C581" s="4">
        <f>IFERROR(VALUE(TRIM(SUBSTITUTE(SUBSTITUTE(SUBSTITUTE(SUBSTITUTE(Продажи_исходные!C581," шт.","")," шт",""),"шт.",""),"шт",""))),0)</f>
        <v>-2</v>
      </c>
      <c r="D581" s="4">
        <f>IF(LEFT(Продажи_исходные!D581,1)="$",VALUE(MID(Продажи_исходные!D581,2,255))*95,IF(LEFT(Продажи_исходные!D581,1)="€",VALUE(MID(Продажи_исходные!D581,2,255))*100,VALUE(SUBSTITUTE(SUBSTITUTE(Продажи_исходные!D581,"₽","")," ",""))))</f>
        <v>10925</v>
      </c>
      <c r="E581" t="str">
        <f>Продажи_исходные!E581</f>
        <v>C0580</v>
      </c>
      <c r="F581" t="str">
        <f>Продажи_исходные!F581</f>
        <v>P039</v>
      </c>
      <c r="G581" t="str">
        <f>IFERROR(VLOOKUP(Продажи_исходные!G581,Справочники!$G$2:$H$50,2,FALSE),Продажи_исходные!G581)</f>
        <v>Отменен</v>
      </c>
      <c r="H581" s="4">
        <f>IFERROR(VLOOKUP(B581,Товары_очищенные!$A$1:$G$1000,6,FALSE),"нет в каталоге")</f>
        <v>42990</v>
      </c>
      <c r="I581" t="str">
        <f>IFERROR(VLOOKUP(B581,Товары_очищенные!$A$1:$G$1000,3,FALSE),"нет в каталоге")</f>
        <v>Смартфоны</v>
      </c>
      <c r="J581" t="str">
        <f t="shared" si="34"/>
        <v>OK</v>
      </c>
    </row>
    <row r="582">
      <c r="A582" s="8">
        <f>DATE(RIGHT(Продажи_исходные!A582,4),LEFT(Продажи_исходные!A582,2),MID(Продажи_исходные!A582,4,2))</f>
        <v>45962</v>
      </c>
      <c r="B582" t="str">
        <f>"АРТ-"&amp;LEFT(SUBSTITUTE(SUBSTITUTE(SUBSTITUTE(SUBSTITUTE(Продажи_исходные!B582,"№",""),"АРТ-",""),"АРТ_",""),"/","-"),3)</f>
        <v>АРТ-290</v>
      </c>
      <c r="C582" s="4">
        <f>IFERROR(VALUE(TRIM(SUBSTITUTE(SUBSTITUTE(SUBSTITUTE(SUBSTITUTE(Продажи_исходные!C582," шт.","")," шт",""),"шт.",""),"шт",""))),0)</f>
        <v>1</v>
      </c>
      <c r="D582" s="4">
        <f>IF(LEFT(Продажи_исходные!D582,1)="$",VALUE(MID(Продажи_исходные!D582,2,255))*95,IF(LEFT(Продажи_исходные!D582,1)="€",VALUE(MID(Продажи_исходные!D582,2,255))*100,VALUE(SUBSTITUTE(SUBSTITUTE(Продажи_исходные!D582,"₽","")," ",""))))</f>
        <v>9500</v>
      </c>
      <c r="E582" t="str">
        <f>Продажи_исходные!E582</f>
        <v>C0581</v>
      </c>
      <c r="F582" t="str">
        <f>Продажи_исходные!F582</f>
        <v>P050</v>
      </c>
      <c r="G582" t="str">
        <f>IFERROR(VLOOKUP(Продажи_исходные!G582,Справочники!$G$2:$H$50,2,FALSE),Продажи_исходные!G582)</f>
        <v>Отменен</v>
      </c>
      <c r="H582" s="4">
        <f>IFERROR(VLOOKUP(B582,Товары_очищенные!$A$1:$G$1000,6,FALSE),"нет в каталоге")</f>
        <v>60500</v>
      </c>
      <c r="I582" t="str">
        <f>IFERROR(VLOOKUP(B582,Товары_очищенные!$A$1:$G$1000,3,FALSE),"нет в каталоге")</f>
        <v>Часы</v>
      </c>
      <c r="J582" t="str">
        <f t="shared" si="34"/>
        <v>OK</v>
      </c>
    </row>
    <row r="583">
      <c r="A583" s="8">
        <f>DATE(RIGHT(Продажи_исходные!A583,4),LEFT(Продажи_исходные!A583,2),MID(Продажи_исходные!A583,4,2))</f>
        <v>45962</v>
      </c>
      <c r="B583" t="str">
        <f>"АРТ-"&amp;LEFT(SUBSTITUTE(SUBSTITUTE(SUBSTITUTE(SUBSTITUTE(Продажи_исходные!B583,"№",""),"АРТ-",""),"АРТ_",""),"/","-"),3)</f>
        <v>АРТ-181</v>
      </c>
      <c r="C583" s="4">
        <f>IFERROR(VALUE(TRIM(SUBSTITUTE(SUBSTITUTE(SUBSTITUTE(SUBSTITUTE(Продажи_исходные!C583," шт.","")," шт",""),"шт.",""),"шт",""))),0)</f>
        <v>2</v>
      </c>
      <c r="D583" s="4">
        <f>IF(LEFT(Продажи_исходные!D583,1)="$",VALUE(MID(Продажи_исходные!D583,2,255))*95,IF(LEFT(Продажи_исходные!D583,1)="€",VALUE(MID(Продажи_исходные!D583,2,255))*100,VALUE(SUBSTITUTE(SUBSTITUTE(Продажи_исходные!D583,"₽","")," ",""))))</f>
        <v>8500</v>
      </c>
      <c r="E583" t="str">
        <f>Продажи_исходные!E583</f>
        <v>C0582</v>
      </c>
      <c r="F583" t="str">
        <f>Продажи_исходные!F583</f>
        <v>P011</v>
      </c>
      <c r="G583" t="str">
        <f>IFERROR(VLOOKUP(Продажи_исходные!G583,Справочники!$G$2:$H$50,2,FALSE),Продажи_исходные!G583)</f>
        <v>Возврат</v>
      </c>
      <c r="H583" s="4">
        <f>IFERROR(VLOOKUP(B583,Товары_очищенные!$A$1:$G$1000,6,FALSE),"нет в каталоге")</f>
        <v>169990</v>
      </c>
      <c r="I583" t="str">
        <f>IFERROR(VLOOKUP(B583,Товары_очищенные!$A$1:$G$1000,3,FALSE),"нет в каталоге")</f>
        <v>Мониторы</v>
      </c>
      <c r="J583" t="str">
        <f t="shared" si="34"/>
        <v>OK</v>
      </c>
    </row>
    <row r="584">
      <c r="A584" s="8">
        <f>DATE(RIGHT(Продажи_исходные!A584,4),LEFT(Продажи_исходные!A584,2),MID(Продажи_исходные!A584,4,2))</f>
        <v>45963</v>
      </c>
      <c r="B584" t="str">
        <f>"АРТ-"&amp;LEFT(SUBSTITUTE(SUBSTITUTE(SUBSTITUTE(SUBSTITUTE(Продажи_исходные!B584,"№",""),"АРТ-",""),"АРТ_",""),"/","-"),3)</f>
        <v>АРТ-116</v>
      </c>
      <c r="C584" s="4">
        <f>IFERROR(VALUE(TRIM(SUBSTITUTE(SUBSTITUTE(SUBSTITUTE(SUBSTITUTE(Продажи_исходные!C584," шт.","")," шт",""),"шт.",""),"шт",""))),0)</f>
        <v>3</v>
      </c>
      <c r="D584" s="4">
        <f>IF(LEFT(Продажи_исходные!D584,1)="$",VALUE(MID(Продажи_исходные!D584,2,255))*95,IF(LEFT(Продажи_исходные!D584,1)="€",VALUE(MID(Продажи_исходные!D584,2,255))*100,VALUE(SUBSTITUTE(SUBSTITUTE(Продажи_исходные!D584,"₽","")," ",""))))</f>
        <v>9975</v>
      </c>
      <c r="E584" t="str">
        <f>Продажи_исходные!E584</f>
        <v>C0583</v>
      </c>
      <c r="F584" t="str">
        <f>Продажи_исходные!F584</f>
        <v>P027</v>
      </c>
      <c r="G584" t="str">
        <f>IFERROR(VLOOKUP(Продажи_исходные!G584,Справочники!$G$2:$H$50,2,FALSE),Продажи_исходные!G584)</f>
        <v>Завершен</v>
      </c>
      <c r="H584" s="4">
        <f>IFERROR(VLOOKUP(B584,Товары_очищенные!$A$1:$G$1000,6,FALSE),"нет в каталоге")</f>
        <v>72500</v>
      </c>
      <c r="I584" t="str">
        <f>IFERROR(VLOOKUP(B584,Товары_очищенные!$A$1:$G$1000,3,FALSE),"нет в каталоге")</f>
        <v>Мониторы</v>
      </c>
      <c r="J584" t="str">
        <f t="shared" si="34"/>
        <v>OK</v>
      </c>
    </row>
    <row r="585">
      <c r="A585" s="8">
        <f>DATE(RIGHT(Продажи_исходные!A585,4),LEFT(Продажи_исходные!A585,2),MID(Продажи_исходные!A585,4,2))</f>
        <v>45963</v>
      </c>
      <c r="B585" t="str">
        <f>"АРТ-"&amp;LEFT(SUBSTITUTE(SUBSTITUTE(SUBSTITUTE(SUBSTITUTE(Продажи_исходные!B585,"№",""),"АРТ-",""),"АРТ_",""),"/","-"),3)</f>
        <v>АРТ-425</v>
      </c>
      <c r="C585" s="4">
        <f>IFERROR(VALUE(TRIM(SUBSTITUTE(SUBSTITUTE(SUBSTITUTE(SUBSTITUTE(Продажи_исходные!C585," шт.","")," шт",""),"шт.",""),"шт",""))),0)</f>
        <v>2</v>
      </c>
      <c r="D585" s="4">
        <f>IF(LEFT(Продажи_исходные!D585,1)="$",VALUE(MID(Продажи_исходные!D585,2,255))*95,IF(LEFT(Продажи_исходные!D585,1)="€",VALUE(MID(Продажи_исходные!D585,2,255))*100,VALUE(SUBSTITUTE(SUBSTITUTE(Продажи_исходные!D585,"₽","")," ",""))))</f>
        <v>8500</v>
      </c>
      <c r="E585" t="str">
        <f>Продажи_исходные!E585</f>
        <v>C0584</v>
      </c>
      <c r="F585" t="str">
        <f>Продажи_исходные!F585</f>
        <v>P018</v>
      </c>
      <c r="G585" t="str">
        <f>IFERROR(VLOOKUP(Продажи_исходные!G585,Справочники!$G$2:$H$50,2,FALSE),Продажи_исходные!G585)</f>
        <v>Завершен</v>
      </c>
      <c r="H585" s="4">
        <f>IFERROR(VLOOKUP(B585,Товары_очищенные!$A$1:$G$1000,6,FALSE),"нет в каталоге")</f>
        <v>47500</v>
      </c>
      <c r="I585" t="str">
        <f>IFERROR(VLOOKUP(B585,Товары_очищенные!$A$1:$G$1000,3,FALSE),"нет в каталоге")</f>
        <v>Смартфоны</v>
      </c>
      <c r="J585" t="str">
        <f t="shared" si="34"/>
        <v>OK</v>
      </c>
    </row>
    <row r="586">
      <c r="A586" s="8">
        <f>DATE(RIGHT(Продажи_исходные!A586,4),LEFT(Продажи_исходные!A586,2),MID(Продажи_исходные!A586,4,2))</f>
        <v>45964</v>
      </c>
      <c r="B586" t="str">
        <f>"АРТ-"&amp;LEFT(SUBSTITUTE(SUBSTITUTE(SUBSTITUTE(SUBSTITUTE(Продажи_исходные!B586,"№",""),"АРТ-",""),"АРТ_",""),"/","-"),3)</f>
        <v>АРТ-312</v>
      </c>
      <c r="C586" s="4">
        <f>IFERROR(VALUE(TRIM(SUBSTITUTE(SUBSTITUTE(SUBSTITUTE(SUBSTITUTE(Продажи_исходные!C586," шт.","")," шт",""),"шт.",""),"шт",""))),0)</f>
        <v>1</v>
      </c>
      <c r="D586" s="4">
        <f>IF(LEFT(Продажи_исходные!D586,1)="$",VALUE(MID(Продажи_исходные!D586,2,255))*95,IF(LEFT(Продажи_исходные!D586,1)="€",VALUE(MID(Продажи_исходные!D586,2,255))*100,VALUE(SUBSTITUTE(SUBSTITUTE(Продажи_исходные!D586,"₽","")," ",""))))</f>
        <v>7800</v>
      </c>
      <c r="E586" t="str">
        <f>Продажи_исходные!E586</f>
        <v>C0585</v>
      </c>
      <c r="F586" t="str">
        <f>Продажи_исходные!F586</f>
        <v>P040</v>
      </c>
      <c r="G586" t="str">
        <f>IFERROR(VLOOKUP(Продажи_исходные!G586,Справочники!$G$2:$H$50,2,FALSE),Продажи_исходные!G586)</f>
        <v>Завершен</v>
      </c>
      <c r="H586" s="4">
        <f>IFERROR(VLOOKUP(B586,Товары_очищенные!$A$1:$G$1000,6,FALSE),"нет в каталоге")</f>
        <v>67000</v>
      </c>
      <c r="I586" t="str">
        <f>IFERROR(VLOOKUP(B586,Товары_очищенные!$A$1:$G$1000,3,FALSE),"нет в каталоге")</f>
        <v>Планшеты</v>
      </c>
      <c r="J586" t="str">
        <f t="shared" si="34"/>
        <v>OK</v>
      </c>
    </row>
    <row r="587">
      <c r="A587" s="8">
        <f>DATE(RIGHT(Продажи_исходные!A587,4),LEFT(Продажи_исходные!A587,2),MID(Продажи_исходные!A587,4,2))</f>
        <v>45964</v>
      </c>
      <c r="B587" t="str">
        <f>"АРТ-"&amp;LEFT(SUBSTITUTE(SUBSTITUTE(SUBSTITUTE(SUBSTITUTE(Продажи_исходные!B587,"№",""),"АРТ-",""),"АРТ_",""),"/","-"),3)</f>
        <v>АРТ-223</v>
      </c>
      <c r="C587" s="4">
        <f>IFERROR(VALUE(TRIM(SUBSTITUTE(SUBSTITUTE(SUBSTITUTE(SUBSTITUTE(Продажи_исходные!C587," шт.","")," шт",""),"шт.",""),"шт",""))),0)</f>
        <v>-3</v>
      </c>
      <c r="D587" s="4">
        <f>IF(LEFT(Продажи_исходные!D587,1)="$",VALUE(MID(Продажи_исходные!D587,2,255))*95,IF(LEFT(Продажи_исходные!D587,1)="€",VALUE(MID(Продажи_исходные!D587,2,255))*100,VALUE(SUBSTITUTE(SUBSTITUTE(Продажи_исходные!D587,"₽","")," ",""))))</f>
        <v>11400</v>
      </c>
      <c r="E587" t="str">
        <f>Продажи_исходные!E587</f>
        <v>C0586</v>
      </c>
      <c r="F587" t="str">
        <f>Продажи_исходные!F587</f>
        <v>P003</v>
      </c>
      <c r="G587" t="str">
        <f>IFERROR(VLOOKUP(Продажи_исходные!G587,Справочники!$G$2:$H$50,2,FALSE),Продажи_исходные!G587)</f>
        <v>Отменен</v>
      </c>
      <c r="H587" s="4">
        <f>IFERROR(VLOOKUP(B587,Товары_очищенные!$A$1:$G$1000,6,FALSE),"нет в каталоге")</f>
        <v>54990</v>
      </c>
      <c r="I587" t="str">
        <f>IFERROR(VLOOKUP(B587,Товары_очищенные!$A$1:$G$1000,3,FALSE),"нет в каталоге")</f>
        <v>Мониторы</v>
      </c>
      <c r="J587" t="str">
        <f t="shared" si="34"/>
        <v>OK</v>
      </c>
    </row>
    <row r="588">
      <c r="A588" s="8">
        <f>DATE(RIGHT(Продажи_исходные!A588,4),LEFT(Продажи_исходные!A588,2),MID(Продажи_исходные!A588,4,2))</f>
        <v>45965</v>
      </c>
      <c r="B588" t="str">
        <f>"АРТ-"&amp;LEFT(SUBSTITUTE(SUBSTITUTE(SUBSTITUTE(SUBSTITUTE(Продажи_исходные!B588,"№",""),"АРТ-",""),"АРТ_",""),"/","-"),3)</f>
        <v>АРТ-386</v>
      </c>
      <c r="C588" s="4">
        <f>IFERROR(VALUE(TRIM(SUBSTITUTE(SUBSTITUTE(SUBSTITUTE(SUBSTITUTE(Продажи_исходные!C588," шт.","")," шт",""),"шт.",""),"шт",""))),0)</f>
        <v>2</v>
      </c>
      <c r="D588" s="4">
        <f>IF(LEFT(Продажи_исходные!D588,1)="$",VALUE(MID(Продажи_исходные!D588,2,255))*95,IF(LEFT(Продажи_исходные!D588,1)="€",VALUE(MID(Продажи_исходные!D588,2,255))*100,VALUE(SUBSTITUTE(SUBSTITUTE(Продажи_исходные!D588,"₽","")," ",""))))</f>
        <v>10000</v>
      </c>
      <c r="E588" t="str">
        <f>Продажи_исходные!E588</f>
        <v>C0587</v>
      </c>
      <c r="F588" t="str">
        <f>Продажи_исходные!F588</f>
        <v>P025</v>
      </c>
      <c r="G588" t="str">
        <f>IFERROR(VLOOKUP(Продажи_исходные!G588,Справочники!$G$2:$H$50,2,FALSE),Продажи_исходные!G588)</f>
        <v>Отменен</v>
      </c>
      <c r="H588" s="4">
        <f>IFERROR(VLOOKUP(B588,Товары_очищенные!$A$1:$G$1000,6,FALSE),"нет в каталоге")</f>
        <v>114000</v>
      </c>
      <c r="I588" t="str">
        <f>IFERROR(VLOOKUP(B588,Товары_очищенные!$A$1:$G$1000,3,FALSE),"нет в каталоге")</f>
        <v>Ноутбуки</v>
      </c>
      <c r="J588" t="str">
        <f t="shared" si="34"/>
        <v>OK</v>
      </c>
    </row>
    <row r="589">
      <c r="A589" s="8">
        <f>DATE(RIGHT(Продажи_исходные!A589,4),LEFT(Продажи_исходные!A589,2),MID(Продажи_исходные!A589,4,2))</f>
        <v>45965</v>
      </c>
      <c r="B589" t="str">
        <f>"АРТ-"&amp;LEFT(SUBSTITUTE(SUBSTITUTE(SUBSTITUTE(SUBSTITUTE(Продажи_исходные!B589,"№",""),"АРТ-",""),"АРТ_",""),"/","-"),3)</f>
        <v>АРТ-272</v>
      </c>
      <c r="C589" s="4">
        <f>IFERROR(VALUE(TRIM(SUBSTITUTE(SUBSTITUTE(SUBSTITUTE(SUBSTITUTE(Продажи_исходные!C589," шт.","")," шт",""),"шт.",""),"шт",""))),0)</f>
        <v>1</v>
      </c>
      <c r="D589" s="4">
        <f>IF(LEFT(Продажи_исходные!D589,1)="$",VALUE(MID(Продажи_исходные!D589,2,255))*95,IF(LEFT(Продажи_исходные!D589,1)="€",VALUE(MID(Продажи_исходные!D589,2,255))*100,VALUE(SUBSTITUTE(SUBSTITUTE(Продажи_исходные!D589,"₽","")," ",""))))</f>
        <v>9200</v>
      </c>
      <c r="E589" t="str">
        <f>Продажи_исходные!E589</f>
        <v>C0588</v>
      </c>
      <c r="F589" t="str">
        <f>Продажи_исходные!F589</f>
        <v>P010</v>
      </c>
      <c r="G589" t="str">
        <f>IFERROR(VLOOKUP(Продажи_исходные!G589,Справочники!$G$2:$H$50,2,FALSE),Продажи_исходные!G589)</f>
        <v>Завершен</v>
      </c>
      <c r="H589" s="4">
        <f>IFERROR(VLOOKUP(B589,Товары_очищенные!$A$1:$G$1000,6,FALSE),"нет в каталоге")</f>
        <v>43500</v>
      </c>
      <c r="I589" t="str">
        <f>IFERROR(VLOOKUP(B589,Товары_очищенные!$A$1:$G$1000,3,FALSE),"нет в каталоге")</f>
        <v>Смартфоны</v>
      </c>
      <c r="J589" t="str">
        <f t="shared" si="34"/>
        <v>OK</v>
      </c>
    </row>
    <row r="590">
      <c r="A590" s="8">
        <f>DATE(RIGHT(Продажи_исходные!A590,4),LEFT(Продажи_исходные!A590,2),MID(Продажи_исходные!A590,4,2))</f>
        <v>45966</v>
      </c>
      <c r="B590" t="str">
        <f>"АРТ-"&amp;LEFT(SUBSTITUTE(SUBSTITUTE(SUBSTITUTE(SUBSTITUTE(Продажи_исходные!B590,"№",""),"АРТ-",""),"АРТ_",""),"/","-"),3)</f>
        <v>АРТ-184</v>
      </c>
      <c r="C590" s="4">
        <f>IFERROR(VALUE(TRIM(SUBSTITUTE(SUBSTITUTE(SUBSTITUTE(SUBSTITUTE(Продажи_исходные!C590," шт.","")," шт",""),"шт.",""),"шт",""))),0)</f>
        <v>3</v>
      </c>
      <c r="D590" s="4">
        <f>IF(LEFT(Продажи_исходные!D590,1)="$",VALUE(MID(Продажи_исходные!D590,2,255))*95,IF(LEFT(Продажи_исходные!D590,1)="€",VALUE(MID(Продажи_исходные!D590,2,255))*100,VALUE(SUBSTITUTE(SUBSTITUTE(Продажи_исходные!D590,"₽","")," ",""))))</f>
        <v>8550</v>
      </c>
      <c r="E590" t="str">
        <f>Продажи_исходные!E590</f>
        <v>C0589</v>
      </c>
      <c r="F590" t="str">
        <f>Продажи_исходные!F590</f>
        <v>P033</v>
      </c>
      <c r="G590" t="str">
        <f>IFERROR(VLOOKUP(Продажи_исходные!G590,Справочники!$G$2:$H$50,2,FALSE),Продажи_исходные!G590)</f>
        <v>Возврат</v>
      </c>
      <c r="H590" s="4">
        <f>IFERROR(VLOOKUP(B590,Товары_очищенные!$A$1:$G$1000,6,FALSE),"нет в каталоге")</f>
        <v>19990</v>
      </c>
      <c r="I590" t="str">
        <f>IFERROR(VLOOKUP(B590,Товары_очищенные!$A$1:$G$1000,3,FALSE),"нет в каталоге")</f>
        <v>Аксессуары</v>
      </c>
      <c r="J590" t="str">
        <f t="shared" si="34"/>
        <v>OK</v>
      </c>
    </row>
    <row r="591">
      <c r="A591" s="8">
        <f>DATE(RIGHT(Продажи_исходные!A591,4),LEFT(Продажи_исходные!A591,2),MID(Продажи_исходные!A591,4,2))</f>
        <v>45966</v>
      </c>
      <c r="B591" t="str">
        <f>"АРТ-"&amp;LEFT(SUBSTITUTE(SUBSTITUTE(SUBSTITUTE(SUBSTITUTE(Продажи_исходные!B591,"№",""),"АРТ-",""),"АРТ_",""),"/","-"),3)</f>
        <v>АРТ-447</v>
      </c>
      <c r="C591" s="4">
        <f>IFERROR(VALUE(TRIM(SUBSTITUTE(SUBSTITUTE(SUBSTITUTE(SUBSTITUTE(Продажи_исходные!C591," шт.","")," шт",""),"шт.",""),"шт",""))),0)</f>
        <v>2</v>
      </c>
      <c r="D591" s="4">
        <f>IF(LEFT(Продажи_исходные!D591,1)="$",VALUE(MID(Продажи_исходные!D591,2,255))*95,IF(LEFT(Продажи_исходные!D591,1)="€",VALUE(MID(Продажи_исходные!D591,2,255))*100,VALUE(SUBSTITUTE(SUBSTITUTE(Продажи_исходные!D591,"₽","")," ",""))))</f>
        <v>7000</v>
      </c>
      <c r="E591" t="str">
        <f>Продажи_исходные!E591</f>
        <v>C0590</v>
      </c>
      <c r="F591" t="str">
        <f>Продажи_исходные!F591</f>
        <v>P047</v>
      </c>
      <c r="G591" t="str">
        <f>IFERROR(VLOOKUP(Продажи_исходные!G591,Справочники!$G$2:$H$50,2,FALSE),Продажи_исходные!G591)</f>
        <v>Завершен</v>
      </c>
      <c r="H591" s="4">
        <f>IFERROR(VLOOKUP(B591,Товары_очищенные!$A$1:$G$1000,6,FALSE),"нет в каталоге")</f>
        <v>144500</v>
      </c>
      <c r="I591" t="str">
        <f>IFERROR(VLOOKUP(B591,Товары_очищенные!$A$1:$G$1000,3,FALSE),"нет в каталоге")</f>
        <v>Ноутбуки</v>
      </c>
      <c r="J591" t="str">
        <f t="shared" si="34"/>
        <v>OK</v>
      </c>
    </row>
    <row r="592">
      <c r="A592" s="8">
        <f>DATE(RIGHT(Продажи_исходные!A592,4),LEFT(Продажи_исходные!A592,2),MID(Продажи_исходные!A592,4,2))</f>
        <v>45967</v>
      </c>
      <c r="B592" t="str">
        <f>"АРТ-"&amp;LEFT(SUBSTITUTE(SUBSTITUTE(SUBSTITUTE(SUBSTITUTE(Продажи_исходные!B592,"№",""),"АРТ-",""),"АРТ_",""),"/","-"),3)</f>
        <v>АРТ-379</v>
      </c>
      <c r="C592" s="4">
        <f>IFERROR(VALUE(TRIM(SUBSTITUTE(SUBSTITUTE(SUBSTITUTE(SUBSTITUTE(Продажи_исходные!C592," шт.","")," шт",""),"шт.",""),"шт",""))),0)</f>
        <v>1</v>
      </c>
      <c r="D592" s="4">
        <f>IF(LEFT(Продажи_исходные!D592,1)="$",VALUE(MID(Продажи_исходные!D592,2,255))*95,IF(LEFT(Продажи_исходные!D592,1)="€",VALUE(MID(Продажи_исходные!D592,2,255))*100,VALUE(SUBSTITUTE(SUBSTITUTE(Продажи_исходные!D592,"₽","")," ",""))))</f>
        <v>6500</v>
      </c>
      <c r="E592" t="str">
        <f>Продажи_исходные!E592</f>
        <v>C0591</v>
      </c>
      <c r="F592" t="str">
        <f>Продажи_исходные!F592</f>
        <v>P020</v>
      </c>
      <c r="G592" t="str">
        <f>IFERROR(VLOOKUP(Продажи_исходные!G592,Справочники!$G$2:$H$50,2,FALSE),Продажи_исходные!G592)</f>
        <v>Завершен</v>
      </c>
      <c r="H592" s="4">
        <f>IFERROR(VLOOKUP(B592,Товары_очищенные!$A$1:$G$1000,6,FALSE),"нет в каталоге")</f>
        <v>36990</v>
      </c>
      <c r="I592" t="str">
        <f>IFERROR(VLOOKUP(B592,Товары_очищенные!$A$1:$G$1000,3,FALSE),"нет в каталоге")</f>
        <v>Планшеты</v>
      </c>
      <c r="J592" t="str">
        <f t="shared" si="34"/>
        <v>OK</v>
      </c>
    </row>
    <row r="593">
      <c r="A593" s="8">
        <f>DATE(RIGHT(Продажи_исходные!A593,4),LEFT(Продажи_исходные!A593,2),MID(Продажи_исходные!A593,4,2))</f>
        <v>45967</v>
      </c>
      <c r="B593" t="str">
        <f>"АРТ-"&amp;LEFT(SUBSTITUTE(SUBSTITUTE(SUBSTITUTE(SUBSTITUTE(Продажи_исходные!B593,"№",""),"АРТ-",""),"АРТ_",""),"/","-"),3)</f>
        <v>АРТ-377</v>
      </c>
      <c r="C593" s="4">
        <f>IFERROR(VALUE(TRIM(SUBSTITUTE(SUBSTITUTE(SUBSTITUTE(SUBSTITUTE(Продажи_исходные!C593," шт.","")," шт",""),"шт.",""),"шт",""))),0)</f>
        <v>-1</v>
      </c>
      <c r="D593" s="4">
        <f>IF(LEFT(Продажи_исходные!D593,1)="$",VALUE(MID(Продажи_исходные!D593,2,255))*95,IF(LEFT(Продажи_исходные!D593,1)="€",VALUE(MID(Продажи_исходные!D593,2,255))*100,VALUE(SUBSTITUTE(SUBSTITUTE(Продажи_исходные!D593,"₽","")," ",""))))</f>
        <v>10450</v>
      </c>
      <c r="E593" t="str">
        <f>Продажи_исходные!E593</f>
        <v>C0592</v>
      </c>
      <c r="F593" t="str">
        <f>Продажи_исходные!F593</f>
        <v>P002</v>
      </c>
      <c r="G593" t="str">
        <f>IFERROR(VLOOKUP(Продажи_исходные!G593,Справочники!$G$2:$H$50,2,FALSE),Продажи_исходные!G593)</f>
        <v>Завершен</v>
      </c>
      <c r="H593" s="4">
        <f>IFERROR(VLOOKUP(B593,Товары_очищенные!$A$1:$G$1000,6,FALSE),"нет в каталоге")</f>
        <v>23500</v>
      </c>
      <c r="I593" t="str">
        <f>IFERROR(VLOOKUP(B593,Товары_очищенные!$A$1:$G$1000,3,FALSE),"нет в каталоге")</f>
        <v>Часы</v>
      </c>
      <c r="J593" t="str">
        <f t="shared" si="34"/>
        <v>OK</v>
      </c>
    </row>
    <row r="594">
      <c r="A594" s="8">
        <f>DATE(RIGHT(Продажи_исходные!A594,4),LEFT(Продажи_исходные!A594,2),MID(Продажи_исходные!A594,4,2))</f>
        <v>45968</v>
      </c>
      <c r="B594" t="str">
        <f>"АРТ-"&amp;LEFT(SUBSTITUTE(SUBSTITUTE(SUBSTITUTE(SUBSTITUTE(Продажи_исходные!B594,"№",""),"АРТ-",""),"АРТ_",""),"/","-"),3)</f>
        <v>АРТ-356</v>
      </c>
      <c r="C594" s="4">
        <f>IFERROR(VALUE(TRIM(SUBSTITUTE(SUBSTITUTE(SUBSTITUTE(SUBSTITUTE(Продажи_исходные!C594," шт.","")," шт",""),"шт.",""),"шт",""))),0)</f>
        <v>3</v>
      </c>
      <c r="D594" s="4">
        <f>IF(LEFT(Продажи_исходные!D594,1)="$",VALUE(MID(Продажи_исходные!D594,2,255))*95,IF(LEFT(Продажи_исходные!D594,1)="€",VALUE(MID(Продажи_исходные!D594,2,255))*100,VALUE(SUBSTITUTE(SUBSTITUTE(Продажи_исходные!D594,"₽","")," ",""))))</f>
        <v>9000</v>
      </c>
      <c r="E594" t="str">
        <f>Продажи_исходные!E594</f>
        <v>C0593</v>
      </c>
      <c r="F594" t="str">
        <f>Продажи_исходные!F594</f>
        <v>P038</v>
      </c>
      <c r="G594" t="str">
        <f>IFERROR(VLOOKUP(Продажи_исходные!G594,Справочники!$G$2:$H$50,2,FALSE),Продажи_исходные!G594)</f>
        <v>Отменен</v>
      </c>
      <c r="H594" s="4">
        <f>IFERROR(VLOOKUP(B594,Товары_очищенные!$A$1:$G$1000,6,FALSE),"нет в каталоге")</f>
        <v>83000</v>
      </c>
      <c r="I594" t="str">
        <f>IFERROR(VLOOKUP(B594,Товары_очищенные!$A$1:$G$1000,3,FALSE),"нет в каталоге")</f>
        <v>Смартфоны</v>
      </c>
      <c r="J594" t="str">
        <f t="shared" si="34"/>
        <v>OK</v>
      </c>
    </row>
    <row r="595">
      <c r="A595" s="8">
        <f>DATE(RIGHT(Продажи_исходные!A595,4),LEFT(Продажи_исходные!A595,2),MID(Продажи_исходные!A595,4,2))</f>
        <v>45968</v>
      </c>
      <c r="B595" t="str">
        <f>"АРТ-"&amp;LEFT(SUBSTITUTE(SUBSTITUTE(SUBSTITUTE(SUBSTITUTE(Продажи_исходные!B595,"№",""),"АРТ-",""),"АРТ_",""),"/","-"),3)</f>
        <v>АРТ-256</v>
      </c>
      <c r="C595" s="4">
        <f>IFERROR(VALUE(TRIM(SUBSTITUTE(SUBSTITUTE(SUBSTITUTE(SUBSTITUTE(Продажи_исходные!C595," шт.","")," шт",""),"шт.",""),"шт",""))),0)</f>
        <v>2</v>
      </c>
      <c r="D595" s="4">
        <f>IF(LEFT(Продажи_исходные!D595,1)="$",VALUE(MID(Продажи_исходные!D595,2,255))*95,IF(LEFT(Продажи_исходные!D595,1)="€",VALUE(MID(Продажи_исходные!D595,2,255))*100,VALUE(SUBSTITUTE(SUBSTITUTE(Продажи_исходные!D595,"₽","")," ",""))))</f>
        <v>8000</v>
      </c>
      <c r="E595" t="str">
        <f>Продажи_исходные!E595</f>
        <v>C0594</v>
      </c>
      <c r="F595" t="str">
        <f>Продажи_исходные!F595</f>
        <v>P016</v>
      </c>
      <c r="G595" t="str">
        <f>IFERROR(VLOOKUP(Продажи_исходные!G595,Справочники!$G$2:$H$50,2,FALSE),Продажи_исходные!G595)</f>
        <v>Отменен</v>
      </c>
      <c r="H595" s="4">
        <f>IFERROR(VLOOKUP(B595,Товары_очищенные!$A$1:$G$1000,6,FALSE),"нет в каталоге")</f>
        <v>37990</v>
      </c>
      <c r="I595" t="str">
        <f>IFERROR(VLOOKUP(B595,Товары_очищенные!$A$1:$G$1000,3,FALSE),"нет в каталоге")</f>
        <v>Смартфоны</v>
      </c>
      <c r="J595" t="str">
        <f t="shared" si="34"/>
        <v>OK</v>
      </c>
    </row>
    <row r="596">
      <c r="A596" s="8">
        <f>DATE(RIGHT(Продажи_исходные!A596,4),LEFT(Продажи_исходные!A596,2),MID(Продажи_исходные!A596,4,2))</f>
        <v>45969</v>
      </c>
      <c r="B596" t="str">
        <f>"АРТ-"&amp;LEFT(SUBSTITUTE(SUBSTITUTE(SUBSTITUTE(SUBSTITUTE(Продажи_исходные!B596,"№",""),"АРТ-",""),"АРТ_",""),"/","-"),3)</f>
        <v>АРТ-128</v>
      </c>
      <c r="C596" s="4">
        <f>IFERROR(VALUE(TRIM(SUBSTITUTE(SUBSTITUTE(SUBSTITUTE(SUBSTITUTE(Продажи_исходные!C596," шт.","")," шт",""),"шт.",""),"шт",""))),0)</f>
        <v>1</v>
      </c>
      <c r="D596" s="4">
        <f>IF(LEFT(Продажи_исходные!D596,1)="$",VALUE(MID(Продажи_исходные!D596,2,255))*95,IF(LEFT(Продажи_исходные!D596,1)="€",VALUE(MID(Продажи_исходные!D596,2,255))*100,VALUE(SUBSTITUTE(SUBSTITUTE(Продажи_исходные!D596,"₽","")," ",""))))</f>
        <v>9025</v>
      </c>
      <c r="E596" t="str">
        <f>Продажи_исходные!E596</f>
        <v>C0595</v>
      </c>
      <c r="F596" t="str">
        <f>Продажи_исходные!F596</f>
        <v>P029</v>
      </c>
      <c r="G596" t="str">
        <f>IFERROR(VLOOKUP(Продажи_исходные!G596,Справочники!$G$2:$H$50,2,FALSE),Продажи_исходные!G596)</f>
        <v>Возврат</v>
      </c>
      <c r="H596" s="4">
        <f>IFERROR(VLOOKUP(B596,Товары_очищенные!$A$1:$G$1000,6,FALSE),"нет в каталоге")</f>
        <v>50500</v>
      </c>
      <c r="I596" t="str">
        <f>IFERROR(VLOOKUP(B596,Товары_очищенные!$A$1:$G$1000,3,FALSE),"нет в каталоге")</f>
        <v>Смартфоны</v>
      </c>
      <c r="J596" t="str">
        <f t="shared" si="34"/>
        <v>OK</v>
      </c>
    </row>
    <row r="597">
      <c r="A597" s="8">
        <f>DATE(RIGHT(Продажи_исходные!A597,4),LEFT(Продажи_исходные!A597,2),MID(Продажи_исходные!A597,4,2))</f>
        <v>45969</v>
      </c>
      <c r="B597" t="str">
        <f>"АРТ-"&amp;LEFT(SUBSTITUTE(SUBSTITUTE(SUBSTITUTE(SUBSTITUTE(Продажи_исходные!B597,"№",""),"АРТ-",""),"АРТ_",""),"/","-"),3)</f>
        <v>АРТ-484</v>
      </c>
      <c r="C597" s="4">
        <f>IFERROR(VALUE(TRIM(SUBSTITUTE(SUBSTITUTE(SUBSTITUTE(SUBSTITUTE(Продажи_исходные!C597," шт.","")," шт",""),"шт.",""),"шт",""))),0)</f>
        <v>2</v>
      </c>
      <c r="D597" s="4">
        <f>IF(LEFT(Продажи_исходные!D597,1)="$",VALUE(MID(Продажи_исходные!D597,2,255))*95,IF(LEFT(Продажи_исходные!D597,1)="€",VALUE(MID(Продажи_исходные!D597,2,255))*100,VALUE(SUBSTITUTE(SUBSTITUTE(Продажи_исходные!D597,"₽","")," ",""))))</f>
        <v>7500</v>
      </c>
      <c r="E597" t="str">
        <f>Продажи_исходные!E597</f>
        <v>C0596</v>
      </c>
      <c r="F597" t="str">
        <f>Продажи_исходные!F597</f>
        <v>P035</v>
      </c>
      <c r="G597" t="str">
        <f>IFERROR(VLOOKUP(Продажи_исходные!G597,Справочники!$G$2:$H$50,2,FALSE),Продажи_исходные!G597)</f>
        <v>Завершен</v>
      </c>
      <c r="H597" s="4">
        <f>IFERROR(VLOOKUP(B597,Товары_очищенные!$A$1:$G$1000,6,FALSE),"нет в каталоге")</f>
        <v>33990</v>
      </c>
      <c r="I597" t="str">
        <f>IFERROR(VLOOKUP(B597,Товары_очищенные!$A$1:$G$1000,3,FALSE),"нет в каталоге")</f>
        <v>Смартфоны</v>
      </c>
      <c r="J597" t="str">
        <f t="shared" si="34"/>
        <v>OK</v>
      </c>
    </row>
    <row r="598">
      <c r="A598" s="8">
        <f>DATE(RIGHT(Продажи_исходные!A598,4),LEFT(Продажи_исходные!A598,2),MID(Продажи_исходные!A598,4,2))</f>
        <v>45970</v>
      </c>
      <c r="B598" t="str">
        <f>"АРТ-"&amp;LEFT(SUBSTITUTE(SUBSTITUTE(SUBSTITUTE(SUBSTITUTE(Продажи_исходные!B598,"№",""),"АРТ-",""),"АРТ_",""),"/","-"),3)</f>
        <v>АРТ-310</v>
      </c>
      <c r="C598" s="4">
        <f>IFERROR(VALUE(TRIM(SUBSTITUTE(SUBSTITUTE(SUBSTITUTE(SUBSTITUTE(Продажи_исходные!C598," шт.","")," шт",""),"шт.",""),"шт",""))),0)</f>
        <v>3</v>
      </c>
      <c r="D598" s="4">
        <f>IF(LEFT(Продажи_исходные!D598,1)="$",VALUE(MID(Продажи_исходные!D598,2,255))*95,IF(LEFT(Продажи_исходные!D598,1)="€",VALUE(MID(Продажи_исходные!D598,2,255))*100,VALUE(SUBSTITUTE(SUBSTITUTE(Продажи_исходные!D598,"₽","")," ",""))))</f>
        <v>7000</v>
      </c>
      <c r="E598" t="str">
        <f>Продажи_исходные!E598</f>
        <v>C0597</v>
      </c>
      <c r="F598" t="str">
        <f>Продажи_исходные!F598</f>
        <v>P046</v>
      </c>
      <c r="G598" t="str">
        <f>IFERROR(VLOOKUP(Продажи_исходные!G598,Справочники!$G$2:$H$50,2,FALSE),Продажи_исходные!G598)</f>
        <v>Завершен</v>
      </c>
      <c r="H598" s="4">
        <f>IFERROR(VLOOKUP(B598,Товары_очищенные!$A$1:$G$1000,6,FALSE),"нет в каталоге")</f>
        <v>64990</v>
      </c>
      <c r="I598" t="str">
        <f>IFERROR(VLOOKUP(B598,Товары_очищенные!$A$1:$G$1000,3,FALSE),"нет в каталоге")</f>
        <v>Планшеты</v>
      </c>
      <c r="J598" t="str">
        <f t="shared" si="34"/>
        <v>OK</v>
      </c>
    </row>
    <row r="599">
      <c r="A599" s="8">
        <f>DATE(RIGHT(Продажи_исходные!A599,4),LEFT(Продажи_исходные!A599,2),MID(Продажи_исходные!A599,4,2))</f>
        <v>45970</v>
      </c>
      <c r="B599" t="str">
        <f>"АРТ-"&amp;LEFT(SUBSTITUTE(SUBSTITUTE(SUBSTITUTE(SUBSTITUTE(Продажи_исходные!B599,"№",""),"АРТ-",""),"АРТ_",""),"/","-"),3)</f>
        <v>АРТ-205</v>
      </c>
      <c r="C599" s="4">
        <f>IFERROR(VALUE(TRIM(SUBSTITUTE(SUBSTITUTE(SUBSTITUTE(SUBSTITUTE(Продажи_исходные!C599," шт.","")," шт",""),"шт.",""),"шт",""))),0)</f>
        <v>-2</v>
      </c>
      <c r="D599" s="4">
        <f>IF(LEFT(Продажи_исходные!D599,1)="$",VALUE(MID(Продажи_исходные!D599,2,255))*95,IF(LEFT(Продажи_исходные!D599,1)="€",VALUE(MID(Продажи_исходные!D599,2,255))*100,VALUE(SUBSTITUTE(SUBSTITUTE(Продажи_исходные!D599,"₽","")," ",""))))</f>
        <v>10925</v>
      </c>
      <c r="E599" t="str">
        <f>Продажи_исходные!E599</f>
        <v>C0598</v>
      </c>
      <c r="F599" t="str">
        <f>Продажи_исходные!F599</f>
        <v>P022</v>
      </c>
      <c r="G599" t="str">
        <f>IFERROR(VLOOKUP(Продажи_исходные!G599,Справочники!$G$2:$H$50,2,FALSE),Продажи_исходные!G599)</f>
        <v>Завершен</v>
      </c>
      <c r="H599" s="4">
        <f>IFERROR(VLOOKUP(B599,Товары_очищенные!$A$1:$G$1000,6,FALSE),"нет в каталоге")</f>
        <v>64990</v>
      </c>
      <c r="I599" t="str">
        <f>IFERROR(VLOOKUP(B599,Товары_очищенные!$A$1:$G$1000,3,FALSE),"нет в каталоге")</f>
        <v>Мониторы</v>
      </c>
      <c r="J599" t="str">
        <f t="shared" si="34"/>
        <v>OK</v>
      </c>
    </row>
    <row r="600">
      <c r="A600" s="8">
        <f>DATE(RIGHT(Продажи_исходные!A600,4),LEFT(Продажи_исходные!A600,2),MID(Продажи_исходные!A600,4,2))</f>
        <v>45971</v>
      </c>
      <c r="B600" t="str">
        <f>"АРТ-"&amp;LEFT(SUBSTITUTE(SUBSTITUTE(SUBSTITUTE(SUBSTITUTE(Продажи_исходные!B600,"№",""),"АРТ-",""),"АРТ_",""),"/","-"),3)</f>
        <v>АРТ-372</v>
      </c>
      <c r="C600" s="4">
        <f>IFERROR(VALUE(TRIM(SUBSTITUTE(SUBSTITUTE(SUBSTITUTE(SUBSTITUTE(Продажи_исходные!C600," шт.","")," шт",""),"шт.",""),"шт",""))),0)</f>
        <v>1</v>
      </c>
      <c r="D600" s="4">
        <f>IF(LEFT(Продажи_исходные!D600,1)="$",VALUE(MID(Продажи_исходные!D600,2,255))*95,IF(LEFT(Продажи_исходные!D600,1)="€",VALUE(MID(Продажи_исходные!D600,2,255))*100,VALUE(SUBSTITUTE(SUBSTITUTE(Продажи_исходные!D600,"₽","")," ",""))))</f>
        <v>9500</v>
      </c>
      <c r="E600" t="str">
        <f>Продажи_исходные!E600</f>
        <v>C0599</v>
      </c>
      <c r="F600" t="str">
        <f>Продажи_исходные!F600</f>
        <v>P043</v>
      </c>
      <c r="G600" t="str">
        <f>IFERROR(VLOOKUP(Продажи_исходные!G600,Справочники!$G$2:$H$50,2,FALSE),Продажи_исходные!G600)</f>
        <v>Отменен</v>
      </c>
      <c r="H600" s="4">
        <f>IFERROR(VLOOKUP(B600,Товары_очищенные!$A$1:$G$1000,6,FALSE),"нет в каталоге")</f>
        <v>52000</v>
      </c>
      <c r="I600" t="str">
        <f>IFERROR(VLOOKUP(B600,Товары_очищенные!$A$1:$G$1000,3,FALSE),"нет в каталоге")</f>
        <v>Мониторы</v>
      </c>
      <c r="J600" t="str">
        <f t="shared" si="34"/>
        <v>OK</v>
      </c>
    </row>
    <row r="601">
      <c r="A601" s="8">
        <f>DATE(RIGHT(Продажи_исходные!A601,4),LEFT(Продажи_исходные!A601,2),MID(Продажи_исходные!A601,4,2))</f>
        <v>45971</v>
      </c>
      <c r="B601" t="str">
        <f>"АРТ-"&amp;LEFT(SUBSTITUTE(SUBSTITUTE(SUBSTITUTE(SUBSTITUTE(Продажи_исходные!B601,"№",""),"АРТ-",""),"АРТ_",""),"/","-"),3)</f>
        <v>АРТ-113</v>
      </c>
      <c r="C601" s="4">
        <f>IFERROR(VALUE(TRIM(SUBSTITUTE(SUBSTITUTE(SUBSTITUTE(SUBSTITUTE(Продажи_исходные!C601," шт.","")," шт",""),"шт.",""),"шт",""))),0)</f>
        <v>2</v>
      </c>
      <c r="D601" s="4">
        <f>IF(LEFT(Продажи_исходные!D601,1)="$",VALUE(MID(Продажи_исходные!D601,2,255))*95,IF(LEFT(Продажи_исходные!D601,1)="€",VALUE(MID(Продажи_исходные!D601,2,255))*100,VALUE(SUBSTITUTE(SUBSTITUTE(Продажи_исходные!D601,"₽","")," ",""))))</f>
        <v>8500</v>
      </c>
      <c r="E601" t="str">
        <f>Продажи_исходные!E601</f>
        <v>C0600</v>
      </c>
      <c r="F601" t="str">
        <f>Продажи_исходные!F601</f>
        <v>P030</v>
      </c>
      <c r="G601" t="str">
        <f>IFERROR(VLOOKUP(Продажи_исходные!G601,Справочники!$G$2:$H$50,2,FALSE),Продажи_исходные!G601)</f>
        <v>Отменен</v>
      </c>
      <c r="H601" s="4">
        <f>IFERROR(VLOOKUP(B601,Товары_очищенные!$A$1:$G$1000,6,FALSE),"нет в каталоге")</f>
        <v>33500</v>
      </c>
      <c r="I601" t="str">
        <f>IFERROR(VLOOKUP(B601,Товары_очищенные!$A$1:$G$1000,3,FALSE),"нет в каталоге")</f>
        <v>Наушники</v>
      </c>
      <c r="J601" t="str">
        <f t="shared" si="34"/>
        <v>OK</v>
      </c>
    </row>
    <row r="602">
      <c r="A602" s="8">
        <f>DATE(RIGHT(Продажи_исходные!A602,4),LEFT(Продажи_исходные!A602,2),MID(Продажи_исходные!A602,4,2))</f>
        <v>45972</v>
      </c>
      <c r="B602" t="str">
        <f>"АРТ-"&amp;LEFT(SUBSTITUTE(SUBSTITUTE(SUBSTITUTE(SUBSTITUTE(Продажи_исходные!B602,"№",""),"АРТ-",""),"АРТ_",""),"/","-"),3)</f>
        <v>АРТ-169</v>
      </c>
      <c r="C602" s="4">
        <f>IFERROR(VALUE(TRIM(SUBSTITUTE(SUBSTITUTE(SUBSTITUTE(SUBSTITUTE(Продажи_исходные!C602," шт.","")," шт",""),"шт.",""),"шт",""))),0)</f>
        <v>3</v>
      </c>
      <c r="D602" s="4">
        <f>IF(LEFT(Продажи_исходные!D602,1)="$",VALUE(MID(Продажи_исходные!D602,2,255))*95,IF(LEFT(Продажи_исходные!D602,1)="€",VALUE(MID(Продажи_исходные!D602,2,255))*100,VALUE(SUBSTITUTE(SUBSTITUTE(Продажи_исходные!D602,"₽","")," ",""))))</f>
        <v>9975</v>
      </c>
      <c r="E602" t="str">
        <f>Продажи_исходные!E602</f>
        <v>C0601</v>
      </c>
      <c r="F602" t="str">
        <f>Продажи_исходные!F602</f>
        <v>P012</v>
      </c>
      <c r="G602" t="str">
        <f>IFERROR(VLOOKUP(Продажи_исходные!G602,Справочники!$G$2:$H$50,2,FALSE),Продажи_исходные!G602)</f>
        <v>Завершен</v>
      </c>
      <c r="H602" s="4">
        <f>IFERROR(VLOOKUP(B602,Товары_очищенные!$A$1:$G$1000,6,FALSE),"нет в каталоге")</f>
        <v>57990</v>
      </c>
      <c r="I602" t="str">
        <f>IFERROR(VLOOKUP(B602,Товары_очищенные!$A$1:$G$1000,3,FALSE),"нет в каталоге")</f>
        <v>Смартфоны</v>
      </c>
      <c r="J602" t="str">
        <f t="shared" si="34"/>
        <v>OK</v>
      </c>
    </row>
    <row r="603">
      <c r="A603" s="8">
        <f>DATE(RIGHT(Продажи_исходные!A603,4),LEFT(Продажи_исходные!A603,2),MID(Продажи_исходные!A603,4,2))</f>
        <v>45972</v>
      </c>
      <c r="B603" t="str">
        <f>"АРТ-"&amp;LEFT(SUBSTITUTE(SUBSTITUTE(SUBSTITUTE(SUBSTITUTE(Продажи_исходные!B603,"№",""),"АРТ-",""),"АРТ_",""),"/","-"),3)</f>
        <v>АРТ-429</v>
      </c>
      <c r="C603" s="4">
        <f>IFERROR(VALUE(TRIM(SUBSTITUTE(SUBSTITUTE(SUBSTITUTE(SUBSTITUTE(Продажи_исходные!C603," шт.","")," шт",""),"шт.",""),"шт",""))),0)</f>
        <v>2</v>
      </c>
      <c r="D603" s="4">
        <f>IF(LEFT(Продажи_исходные!D603,1)="$",VALUE(MID(Продажи_исходные!D603,2,255))*95,IF(LEFT(Продажи_исходные!D603,1)="€",VALUE(MID(Продажи_исходные!D603,2,255))*100,VALUE(SUBSTITUTE(SUBSTITUTE(Продажи_исходные!D603,"₽","")," ",""))))</f>
        <v>8500</v>
      </c>
      <c r="E603" t="str">
        <f>Продажи_исходные!E603</f>
        <v>C0602</v>
      </c>
      <c r="F603" t="str">
        <f>Продажи_исходные!F603</f>
        <v>P007</v>
      </c>
      <c r="G603" t="str">
        <f>IFERROR(VLOOKUP(Продажи_исходные!G603,Справочники!$G$2:$H$50,2,FALSE),Продажи_исходные!G603)</f>
        <v>Возврат</v>
      </c>
      <c r="H603" s="4">
        <f>IFERROR(VLOOKUP(B603,Товары_очищенные!$A$1:$G$1000,6,FALSE),"нет в каталоге")</f>
        <v>52000</v>
      </c>
      <c r="I603" t="str">
        <f>IFERROR(VLOOKUP(B603,Товары_очищенные!$A$1:$G$1000,3,FALSE),"нет в каталоге")</f>
        <v>Телевизоры</v>
      </c>
      <c r="J603" t="str">
        <f t="shared" si="34"/>
        <v>OK</v>
      </c>
    </row>
    <row r="604">
      <c r="A604" s="8">
        <f>DATE(RIGHT(Продажи_исходные!A604,4),LEFT(Продажи_исходные!A604,2),MID(Продажи_исходные!A604,4,2))</f>
        <v>45973</v>
      </c>
      <c r="B604" t="str">
        <f>"АРТ-"&amp;LEFT(SUBSTITUTE(SUBSTITUTE(SUBSTITUTE(SUBSTITUTE(Продажи_исходные!B604,"№",""),"АРТ-",""),"АРТ_",""),"/","-"),3)</f>
        <v>АРТ-334</v>
      </c>
      <c r="C604" s="4">
        <f>IFERROR(VALUE(TRIM(SUBSTITUTE(SUBSTITUTE(SUBSTITUTE(SUBSTITUTE(Продажи_исходные!C604," шт.","")," шт",""),"шт.",""),"шт",""))),0)</f>
        <v>1</v>
      </c>
      <c r="D604" s="4">
        <f>IF(LEFT(Продажи_исходные!D604,1)="$",VALUE(MID(Продажи_исходные!D604,2,255))*95,IF(LEFT(Продажи_исходные!D604,1)="€",VALUE(MID(Продажи_исходные!D604,2,255))*100,VALUE(SUBSTITUTE(SUBSTITUTE(Продажи_исходные!D604,"₽","")," ",""))))</f>
        <v>7800</v>
      </c>
      <c r="E604" t="str">
        <f>Продажи_исходные!E604</f>
        <v>C0603</v>
      </c>
      <c r="F604" t="str">
        <f>Продажи_исходные!F604</f>
        <v>P023</v>
      </c>
      <c r="G604" t="str">
        <f>IFERROR(VLOOKUP(Продажи_исходные!G604,Справочники!$G$2:$H$50,2,FALSE),Продажи_исходные!G604)</f>
        <v>Завершен</v>
      </c>
      <c r="H604" s="4">
        <f>IFERROR(VLOOKUP(B604,Товары_очищенные!$A$1:$G$1000,6,FALSE),"нет в каталоге")</f>
        <v>48990</v>
      </c>
      <c r="I604" t="str">
        <f>IFERROR(VLOOKUP(B604,Товары_очищенные!$A$1:$G$1000,3,FALSE),"нет в каталоге")</f>
        <v>Планшеты</v>
      </c>
      <c r="J604" t="str">
        <f t="shared" si="34"/>
        <v>OK</v>
      </c>
    </row>
    <row r="605">
      <c r="A605" s="8">
        <f>DATE(RIGHT(Продажи_исходные!A605,4),LEFT(Продажи_исходные!A605,2),MID(Продажи_исходные!A605,4,2))</f>
        <v>45973</v>
      </c>
      <c r="B605" t="str">
        <f>"АРТ-"&amp;LEFT(SUBSTITUTE(SUBSTITUTE(SUBSTITUTE(SUBSTITUTE(Продажи_исходные!B605,"№",""),"АРТ-",""),"АРТ_",""),"/","-"),3)</f>
        <v>АРТ-355</v>
      </c>
      <c r="C605" s="4">
        <f>IFERROR(VALUE(TRIM(SUBSTITUTE(SUBSTITUTE(SUBSTITUTE(SUBSTITUTE(Продажи_исходные!C605," шт.","")," шт",""),"шт.",""),"шт",""))),0)</f>
        <v>-3</v>
      </c>
      <c r="D605" s="4">
        <f>IF(LEFT(Продажи_исходные!D605,1)="$",VALUE(MID(Продажи_исходные!D605,2,255))*95,IF(LEFT(Продажи_исходные!D605,1)="€",VALUE(MID(Продажи_исходные!D605,2,255))*100,VALUE(SUBSTITUTE(SUBSTITUTE(Продажи_исходные!D605,"₽","")," ",""))))</f>
        <v>11400</v>
      </c>
      <c r="E605" t="str">
        <f>Продажи_исходные!E605</f>
        <v>C0604</v>
      </c>
      <c r="F605" t="str">
        <f>Продажи_исходные!F605</f>
        <v>P045</v>
      </c>
      <c r="G605" t="str">
        <f>IFERROR(VLOOKUP(Продажи_исходные!G605,Справочники!$G$2:$H$50,2,FALSE),Продажи_исходные!G605)</f>
        <v>Завершен</v>
      </c>
      <c r="H605" s="4">
        <f>IFERROR(VLOOKUP(B605,Товары_очищенные!$A$1:$G$1000,6,FALSE),"нет в каталоге")</f>
        <v>85990</v>
      </c>
      <c r="I605" t="str">
        <f>IFERROR(VLOOKUP(B605,Товары_очищенные!$A$1:$G$1000,3,FALSE),"нет в каталоге")</f>
        <v>Смартфоны</v>
      </c>
      <c r="J605" t="str">
        <f t="shared" si="34"/>
        <v>OK</v>
      </c>
    </row>
    <row r="606">
      <c r="A606" s="8">
        <f>DATE(RIGHT(Продажи_исходные!A606,4),LEFT(Продажи_исходные!A606,2),MID(Продажи_исходные!A606,4,2))</f>
        <v>45974</v>
      </c>
      <c r="B606" t="str">
        <f>"АРТ-"&amp;LEFT(SUBSTITUTE(SUBSTITUTE(SUBSTITUTE(SUBSTITUTE(Продажи_исходные!B606,"№",""),"АРТ-",""),"АРТ_",""),"/","-"),3)</f>
        <v>АРТ-371</v>
      </c>
      <c r="C606" s="4">
        <f>IFERROR(VALUE(TRIM(SUBSTITUTE(SUBSTITUTE(SUBSTITUTE(SUBSTITUTE(Продажи_исходные!C606," шт.","")," шт",""),"шт.",""),"шт",""))),0)</f>
        <v>2</v>
      </c>
      <c r="D606" s="4">
        <f>IF(LEFT(Продажи_исходные!D606,1)="$",VALUE(MID(Продажи_исходные!D606,2,255))*95,IF(LEFT(Продажи_исходные!D606,1)="€",VALUE(MID(Продажи_исходные!D606,2,255))*100,VALUE(SUBSTITUTE(SUBSTITUTE(Продажи_исходные!D606,"₽","")," ",""))))</f>
        <v>10000</v>
      </c>
      <c r="E606" t="str">
        <f>Продажи_исходные!E606</f>
        <v>C0605</v>
      </c>
      <c r="F606" t="str">
        <f>Продажи_исходные!F606</f>
        <v>P008</v>
      </c>
      <c r="G606" t="str">
        <f>IFERROR(VLOOKUP(Продажи_исходные!G606,Справочники!$G$2:$H$50,2,FALSE),Продажи_исходные!G606)</f>
        <v>Завершен</v>
      </c>
      <c r="H606" s="4">
        <f>IFERROR(VLOOKUP(B606,Товары_очищенные!$A$1:$G$1000,6,FALSE),"нет в каталоге")</f>
        <v>48000</v>
      </c>
      <c r="I606" t="str">
        <f>IFERROR(VLOOKUP(B606,Товары_очищенные!$A$1:$G$1000,3,FALSE),"нет в каталоге")</f>
        <v>Мониторы</v>
      </c>
      <c r="J606" t="str">
        <f t="shared" si="34"/>
        <v>OK</v>
      </c>
    </row>
    <row r="607">
      <c r="A607" s="8">
        <f>DATE(RIGHT(Продажи_исходные!A607,4),LEFT(Продажи_исходные!A607,2),MID(Продажи_исходные!A607,4,2))</f>
        <v>45974</v>
      </c>
      <c r="B607" t="str">
        <f>"АРТ-"&amp;LEFT(SUBSTITUTE(SUBSTITUTE(SUBSTITUTE(SUBSTITUTE(Продажи_исходные!B607,"№",""),"АРТ-",""),"АРТ_",""),"/","-"),3)</f>
        <v>АРТ-293</v>
      </c>
      <c r="C607" s="4">
        <f>IFERROR(VALUE(TRIM(SUBSTITUTE(SUBSTITUTE(SUBSTITUTE(SUBSTITUTE(Продажи_исходные!C607," шт.","")," шт",""),"шт.",""),"шт",""))),0)</f>
        <v>1</v>
      </c>
      <c r="D607" s="4">
        <f>IF(LEFT(Продажи_исходные!D607,1)="$",VALUE(MID(Продажи_исходные!D607,2,255))*95,IF(LEFT(Продажи_исходные!D607,1)="€",VALUE(MID(Продажи_исходные!D607,2,255))*100,VALUE(SUBSTITUTE(SUBSTITUTE(Продажи_исходные!D607,"₽","")," ",""))))</f>
        <v>9200</v>
      </c>
      <c r="E607" t="str">
        <f>Продажи_исходные!E607</f>
        <v>C0606</v>
      </c>
      <c r="F607" t="str">
        <f>Продажи_исходные!F607</f>
        <v>P031</v>
      </c>
      <c r="G607" t="str">
        <f>IFERROR(VLOOKUP(Продажи_исходные!G607,Справочники!$G$2:$H$50,2,FALSE),Продажи_исходные!G607)</f>
        <v>Отменен</v>
      </c>
      <c r="H607" s="4">
        <f>IFERROR(VLOOKUP(B607,Товары_очищенные!$A$1:$G$1000,6,FALSE),"нет в каталоге")</f>
        <v>132000</v>
      </c>
      <c r="I607" t="str">
        <f>IFERROR(VLOOKUP(B607,Товары_очищенные!$A$1:$G$1000,3,FALSE),"нет в каталоге")</f>
        <v>Ноутбуки</v>
      </c>
      <c r="J607" t="str">
        <f t="shared" si="34"/>
        <v>OK</v>
      </c>
    </row>
    <row r="608">
      <c r="A608" s="8">
        <f>DATE(RIGHT(Продажи_исходные!A608,4),LEFT(Продажи_исходные!A608,2),MID(Продажи_исходные!A608,4,2))</f>
        <v>45975</v>
      </c>
      <c r="B608" t="str">
        <f>"АРТ-"&amp;LEFT(SUBSTITUTE(SUBSTITUTE(SUBSTITUTE(SUBSTITUTE(Продажи_исходные!B608,"№",""),"АРТ-",""),"АРТ_",""),"/","-"),3)</f>
        <v>АРТ-006</v>
      </c>
      <c r="C608" s="4">
        <f>IFERROR(VALUE(TRIM(SUBSTITUTE(SUBSTITUTE(SUBSTITUTE(SUBSTITUTE(Продажи_исходные!C608," шт.","")," шт",""),"шт.",""),"шт",""))),0)</f>
        <v>3</v>
      </c>
      <c r="D608" s="4">
        <f>IF(LEFT(Продажи_исходные!D608,1)="$",VALUE(MID(Продажи_исходные!D608,2,255))*95,IF(LEFT(Продажи_исходные!D608,1)="€",VALUE(MID(Продажи_исходные!D608,2,255))*100,VALUE(SUBSTITUTE(SUBSTITUTE(Продажи_исходные!D608,"₽","")," ",""))))</f>
        <v>8550</v>
      </c>
      <c r="E608" t="str">
        <f>Продажи_исходные!E608</f>
        <v>C0607</v>
      </c>
      <c r="F608" t="str">
        <f>Продажи_исходные!F608</f>
        <v>P019</v>
      </c>
      <c r="G608" t="str">
        <f>IFERROR(VLOOKUP(Продажи_исходные!G608,Справочники!$G$2:$H$50,2,FALSE),Продажи_исходные!G608)</f>
        <v>Отменен</v>
      </c>
      <c r="H608" s="4">
        <f>IFERROR(VLOOKUP(B608,Товары_очищенные!$A$1:$G$1000,6,FALSE),"нет в каталоге")</f>
        <v>131000</v>
      </c>
      <c r="I608" t="str">
        <f>IFERROR(VLOOKUP(B608,Товары_очищенные!$A$1:$G$1000,3,FALSE),"нет в каталоге")</f>
        <v>Ноутбуки</v>
      </c>
      <c r="J608" t="str">
        <f t="shared" si="34"/>
        <v>OK</v>
      </c>
    </row>
    <row r="609">
      <c r="A609" s="8">
        <f>DATE(RIGHT(Продажи_исходные!A609,4),LEFT(Продажи_исходные!A609,2),MID(Продажи_исходные!A609,4,2))</f>
        <v>45975</v>
      </c>
      <c r="B609" t="str">
        <f>"АРТ-"&amp;LEFT(SUBSTITUTE(SUBSTITUTE(SUBSTITUTE(SUBSTITUTE(Продажи_исходные!B609,"№",""),"АРТ-",""),"АРТ_",""),"/","-"),3)</f>
        <v>АРТ-488</v>
      </c>
      <c r="C609" s="4">
        <f>IFERROR(VALUE(TRIM(SUBSTITUTE(SUBSTITUTE(SUBSTITUTE(SUBSTITUTE(Продажи_исходные!C609," шт.","")," шт",""),"шт.",""),"шт",""))),0)</f>
        <v>2</v>
      </c>
      <c r="D609" s="4">
        <f>IF(LEFT(Продажи_исходные!D609,1)="$",VALUE(MID(Продажи_исходные!D609,2,255))*95,IF(LEFT(Продажи_исходные!D609,1)="€",VALUE(MID(Продажи_исходные!D609,2,255))*100,VALUE(SUBSTITUTE(SUBSTITUTE(Продажи_исходные!D609,"₽","")," ",""))))</f>
        <v>7000</v>
      </c>
      <c r="E609" t="str">
        <f>Продажи_исходные!E609</f>
        <v>C0608</v>
      </c>
      <c r="F609" t="str">
        <f>Продажи_исходные!F609</f>
        <v>P042</v>
      </c>
      <c r="G609" t="str">
        <f>IFERROR(VLOOKUP(Продажи_исходные!G609,Справочники!$G$2:$H$50,2,FALSE),Продажи_исходные!G609)</f>
        <v>Возврат</v>
      </c>
      <c r="H609" s="4">
        <f>IFERROR(VLOOKUP(B609,Товары_очищенные!$A$1:$G$1000,6,FALSE),"нет в каталоге")</f>
        <v>108000</v>
      </c>
      <c r="I609" t="str">
        <f>IFERROR(VLOOKUP(B609,Товары_очищенные!$A$1:$G$1000,3,FALSE),"нет в каталоге")</f>
        <v>Ноутбуки</v>
      </c>
      <c r="J609" t="str">
        <f t="shared" si="34"/>
        <v>OK</v>
      </c>
    </row>
    <row r="610">
      <c r="A610" s="8">
        <f>DATE(RIGHT(Продажи_исходные!A610,4),LEFT(Продажи_исходные!A610,2),MID(Продажи_исходные!A610,4,2))</f>
        <v>45976</v>
      </c>
      <c r="B610" t="str">
        <f>"АРТ-"&amp;LEFT(SUBSTITUTE(SUBSTITUTE(SUBSTITUTE(SUBSTITUTE(Продажи_исходные!B610,"№",""),"АРТ-",""),"АРТ_",""),"/","-"),3)</f>
        <v>АРТ-398</v>
      </c>
      <c r="C610" s="4">
        <f>IFERROR(VALUE(TRIM(SUBSTITUTE(SUBSTITUTE(SUBSTITUTE(SUBSTITUTE(Продажи_исходные!C610," шт.","")," шт",""),"шт.",""),"шт",""))),0)</f>
        <v>1</v>
      </c>
      <c r="D610" s="4">
        <f>IF(LEFT(Продажи_исходные!D610,1)="$",VALUE(MID(Продажи_исходные!D610,2,255))*95,IF(LEFT(Продажи_исходные!D610,1)="€",VALUE(MID(Продажи_исходные!D610,2,255))*100,VALUE(SUBSTITUTE(SUBSTITUTE(Продажи_исходные!D610,"₽","")," ",""))))</f>
        <v>6500</v>
      </c>
      <c r="E610" t="str">
        <f>Продажи_исходные!E610</f>
        <v>C0609</v>
      </c>
      <c r="F610" t="str">
        <f>Продажи_исходные!F610</f>
        <v>P005</v>
      </c>
      <c r="G610" t="str">
        <f>IFERROR(VLOOKUP(Продажи_исходные!G610,Справочники!$G$2:$H$50,2,FALSE),Продажи_исходные!G610)</f>
        <v>Завершен</v>
      </c>
      <c r="H610" s="4">
        <f>IFERROR(VLOOKUP(B610,Товары_очищенные!$A$1:$G$1000,6,FALSE),"нет в каталоге")</f>
        <v>7500</v>
      </c>
      <c r="I610" t="str">
        <f>IFERROR(VLOOKUP(B610,Товары_очищенные!$A$1:$G$1000,3,FALSE),"нет в каталоге")</f>
        <v>Аксессуары</v>
      </c>
      <c r="J610" t="str">
        <f t="shared" si="34"/>
        <v>OK</v>
      </c>
    </row>
    <row r="611">
      <c r="A611" s="8">
        <f>DATE(RIGHT(Продажи_исходные!A611,4),LEFT(Продажи_исходные!A611,2),MID(Продажи_исходные!A611,4,2))</f>
        <v>45976</v>
      </c>
      <c r="B611" t="str">
        <f>"АРТ-"&amp;LEFT(SUBSTITUTE(SUBSTITUTE(SUBSTITUTE(SUBSTITUTE(Продажи_исходные!B611,"№",""),"АРТ-",""),"АРТ_",""),"/","-"),3)</f>
        <v>АРТ-266</v>
      </c>
      <c r="C611" s="4">
        <f>IFERROR(VALUE(TRIM(SUBSTITUTE(SUBSTITUTE(SUBSTITUTE(SUBSTITUTE(Продажи_исходные!C611," шт.","")," шт",""),"шт.",""),"шт",""))),0)</f>
        <v>-1</v>
      </c>
      <c r="D611" s="4">
        <f>IF(LEFT(Продажи_исходные!D611,1)="$",VALUE(MID(Продажи_исходные!D611,2,255))*95,IF(LEFT(Продажи_исходные!D611,1)="€",VALUE(MID(Продажи_исходные!D611,2,255))*100,VALUE(SUBSTITUTE(SUBSTITUTE(Продажи_исходные!D611,"₽","")," ",""))))</f>
        <v>10450</v>
      </c>
      <c r="E611" t="str">
        <f>Продажи_исходные!E611</f>
        <v>C0610</v>
      </c>
      <c r="F611" t="str">
        <f>Продажи_исходные!F611</f>
        <v>P036</v>
      </c>
      <c r="G611" t="str">
        <f>IFERROR(VLOOKUP(Продажи_исходные!G611,Справочники!$G$2:$H$50,2,FALSE),Продажи_исходные!G611)</f>
        <v>Завершен</v>
      </c>
      <c r="H611" s="4">
        <f>IFERROR(VLOOKUP(B611,Товары_очищенные!$A$1:$G$1000,6,FALSE),"нет в каталоге")</f>
        <v>65500</v>
      </c>
      <c r="I611" t="str">
        <f>IFERROR(VLOOKUP(B611,Товары_очищенные!$A$1:$G$1000,3,FALSE),"нет в каталоге")</f>
        <v>Мониторы</v>
      </c>
      <c r="J611" t="str">
        <f t="shared" si="34"/>
        <v>OK</v>
      </c>
    </row>
    <row r="612">
      <c r="A612" s="8">
        <f>DATE(RIGHT(Продажи_исходные!A612,4),LEFT(Продажи_исходные!A612,2),MID(Продажи_исходные!A612,4,2))</f>
        <v>45977</v>
      </c>
      <c r="B612" t="str">
        <f>"АРТ-"&amp;LEFT(SUBSTITUTE(SUBSTITUTE(SUBSTITUTE(SUBSTITUTE(Продажи_исходные!B612,"№",""),"АРТ-",""),"АРТ_",""),"/","-"),3)</f>
        <v>АРТ-344</v>
      </c>
      <c r="C612" s="4">
        <f>IFERROR(VALUE(TRIM(SUBSTITUTE(SUBSTITUTE(SUBSTITUTE(SUBSTITUTE(Продажи_исходные!C612," шт.","")," шт",""),"шт.",""),"шт",""))),0)</f>
        <v>3</v>
      </c>
      <c r="D612" s="4">
        <f>IF(LEFT(Продажи_исходные!D612,1)="$",VALUE(MID(Продажи_исходные!D612,2,255))*95,IF(LEFT(Продажи_исходные!D612,1)="€",VALUE(MID(Продажи_исходные!D612,2,255))*100,VALUE(SUBSTITUTE(SUBSTITUTE(Продажи_исходные!D612,"₽","")," ",""))))</f>
        <v>9000</v>
      </c>
      <c r="E612" t="str">
        <f>Продажи_исходные!E612</f>
        <v>C0611</v>
      </c>
      <c r="F612" t="str">
        <f>Продажи_исходные!F612</f>
        <v>P014</v>
      </c>
      <c r="G612" t="str">
        <f>IFERROR(VLOOKUP(Продажи_исходные!G612,Справочники!$G$2:$H$50,2,FALSE),Продажи_исходные!G612)</f>
        <v>Завершен</v>
      </c>
      <c r="H612" s="4">
        <f>IFERROR(VLOOKUP(B612,Товары_очищенные!$A$1:$G$1000,6,FALSE),"нет в каталоге")</f>
        <v>82000</v>
      </c>
      <c r="I612" t="str">
        <f>IFERROR(VLOOKUP(B612,Товары_очищенные!$A$1:$G$1000,3,FALSE),"нет в каталоге")</f>
        <v>Телевизоры</v>
      </c>
      <c r="J612" t="str">
        <f t="shared" ref="J612:J675" si="35">IF(D612&gt;0,"OK","Некорректная цена")</f>
        <v>OK</v>
      </c>
    </row>
    <row r="613">
      <c r="A613" s="8">
        <f>DATE(RIGHT(Продажи_исходные!A613,4),LEFT(Продажи_исходные!A613,2),MID(Продажи_исходные!A613,4,2))</f>
        <v>45977</v>
      </c>
      <c r="B613" t="str">
        <f>"АРТ-"&amp;LEFT(SUBSTITUTE(SUBSTITUTE(SUBSTITUTE(SUBSTITUTE(Продажи_исходные!B613,"№",""),"АРТ-",""),"АРТ_",""),"/","-"),3)</f>
        <v>АРТ-265</v>
      </c>
      <c r="C613" s="4">
        <f>IFERROR(VALUE(TRIM(SUBSTITUTE(SUBSTITUTE(SUBSTITUTE(SUBSTITUTE(Продажи_исходные!C613," шт.","")," шт",""),"шт.",""),"шт",""))),0)</f>
        <v>2</v>
      </c>
      <c r="D613" s="4">
        <f>IF(LEFT(Продажи_исходные!D613,1)="$",VALUE(MID(Продажи_исходные!D613,2,255))*95,IF(LEFT(Продажи_исходные!D613,1)="€",VALUE(MID(Продажи_исходные!D613,2,255))*100,VALUE(SUBSTITUTE(SUBSTITUTE(Продажи_исходные!D613,"₽","")," ",""))))</f>
        <v>8000</v>
      </c>
      <c r="E613" t="str">
        <f>Продажи_исходные!E613</f>
        <v>C0612</v>
      </c>
      <c r="F613" t="str">
        <f>Продажи_исходные!F613</f>
        <v>P028</v>
      </c>
      <c r="G613" t="str">
        <f>IFERROR(VLOOKUP(Продажи_исходные!G613,Справочники!$G$2:$H$50,2,FALSE),Продажи_исходные!G613)</f>
        <v>Отменен</v>
      </c>
      <c r="H613" s="4">
        <f>IFERROR(VLOOKUP(B613,Товары_очищенные!$A$1:$G$1000,6,FALSE),"нет в каталоге")</f>
        <v>67990</v>
      </c>
      <c r="I613" t="str">
        <f>IFERROR(VLOOKUP(B613,Товары_очищенные!$A$1:$G$1000,3,FALSE),"нет в каталоге")</f>
        <v>Мониторы</v>
      </c>
      <c r="J613" t="str">
        <f t="shared" si="35"/>
        <v>OK</v>
      </c>
    </row>
    <row r="614">
      <c r="A614" s="8">
        <f>DATE(RIGHT(Продажи_исходные!A614,4),LEFT(Продажи_исходные!A614,2),MID(Продажи_исходные!A614,4,2))</f>
        <v>45978</v>
      </c>
      <c r="B614" t="str">
        <f>"АРТ-"&amp;LEFT(SUBSTITUTE(SUBSTITUTE(SUBSTITUTE(SUBSTITUTE(Продажи_исходные!B614,"№",""),"АРТ-",""),"АРТ_",""),"/","-"),3)</f>
        <v>АРТ-093</v>
      </c>
      <c r="C614" s="4">
        <f>IFERROR(VALUE(TRIM(SUBSTITUTE(SUBSTITUTE(SUBSTITUTE(SUBSTITUTE(Продажи_исходные!C614," шт.","")," шт",""),"шт.",""),"шт",""))),0)</f>
        <v>1</v>
      </c>
      <c r="D614" s="4">
        <f>IF(LEFT(Продажи_исходные!D614,1)="$",VALUE(MID(Продажи_исходные!D614,2,255))*95,IF(LEFT(Продажи_исходные!D614,1)="€",VALUE(MID(Продажи_исходные!D614,2,255))*100,VALUE(SUBSTITUTE(SUBSTITUTE(Продажи_исходные!D614,"₽","")," ",""))))</f>
        <v>9025</v>
      </c>
      <c r="E614" t="str">
        <f>Продажи_исходные!E614</f>
        <v>C0613</v>
      </c>
      <c r="F614" t="str">
        <f>Продажи_исходные!F614</f>
        <v>P009</v>
      </c>
      <c r="G614" t="str">
        <f>IFERROR(VLOOKUP(Продажи_исходные!G614,Справочники!$G$2:$H$50,2,FALSE),Продажи_исходные!G614)</f>
        <v>Отменен</v>
      </c>
      <c r="H614" s="4">
        <f>IFERROR(VLOOKUP(B614,Товары_очищенные!$A$1:$G$1000,6,FALSE),"нет в каталоге")</f>
        <v>10500</v>
      </c>
      <c r="I614" t="str">
        <f>IFERROR(VLOOKUP(B614,Товары_очищенные!$A$1:$G$1000,3,FALSE),"нет в каталоге")</f>
        <v>Наушники</v>
      </c>
      <c r="J614" t="str">
        <f t="shared" si="35"/>
        <v>OK</v>
      </c>
    </row>
    <row r="615">
      <c r="A615" s="8">
        <f>DATE(RIGHT(Продажи_исходные!A615,4),LEFT(Продажи_исходные!A615,2),MID(Продажи_исходные!A615,4,2))</f>
        <v>45978</v>
      </c>
      <c r="B615" t="str">
        <f>"АРТ-"&amp;LEFT(SUBSTITUTE(SUBSTITUTE(SUBSTITUTE(SUBSTITUTE(Продажи_исходные!B615,"№",""),"АРТ-",""),"АРТ_",""),"/","-"),3)</f>
        <v>АРТ-442</v>
      </c>
      <c r="C615" s="4">
        <f>IFERROR(VALUE(TRIM(SUBSTITUTE(SUBSTITUTE(SUBSTITUTE(SUBSTITUTE(Продажи_исходные!C615," шт.","")," шт",""),"шт.",""),"шт",""))),0)</f>
        <v>2</v>
      </c>
      <c r="D615" s="4">
        <f>IF(LEFT(Продажи_исходные!D615,1)="$",VALUE(MID(Продажи_исходные!D615,2,255))*95,IF(LEFT(Продажи_исходные!D615,1)="€",VALUE(MID(Продажи_исходные!D615,2,255))*100,VALUE(SUBSTITUTE(SUBSTITUTE(Продажи_исходные!D615,"₽","")," ",""))))</f>
        <v>7500</v>
      </c>
      <c r="E615" t="str">
        <f>Продажи_исходные!E615</f>
        <v>C0614</v>
      </c>
      <c r="F615" t="str">
        <f>Продажи_исходные!F615</f>
        <v>P041</v>
      </c>
      <c r="G615" t="str">
        <f>IFERROR(VLOOKUP(Продажи_исходные!G615,Справочники!$G$2:$H$50,2,FALSE),Продажи_исходные!G615)</f>
        <v>Завершен</v>
      </c>
      <c r="H615" s="4">
        <f>IFERROR(VLOOKUP(B615,Товары_очищенные!$A$1:$G$1000,6,FALSE),"нет в каталоге")</f>
        <v>24990</v>
      </c>
      <c r="I615" t="str">
        <f>IFERROR(VLOOKUP(B615,Товары_очищенные!$A$1:$G$1000,3,FALSE),"нет в каталоге")</f>
        <v>Смартфоны</v>
      </c>
      <c r="J615" t="str">
        <f t="shared" si="35"/>
        <v>OK</v>
      </c>
    </row>
    <row r="616">
      <c r="A616" s="8">
        <f>DATE(RIGHT(Продажи_исходные!A616,4),LEFT(Продажи_исходные!A616,2),MID(Продажи_исходные!A616,4,2))</f>
        <v>45979</v>
      </c>
      <c r="B616" t="str">
        <f>"АРТ-"&amp;LEFT(SUBSTITUTE(SUBSTITUTE(SUBSTITUTE(SUBSTITUTE(Продажи_исходные!B616,"№",""),"АРТ-",""),"АРТ_",""),"/","-"),3)</f>
        <v>АРТ-324</v>
      </c>
      <c r="C616" s="4">
        <f>IFERROR(VALUE(TRIM(SUBSTITUTE(SUBSTITUTE(SUBSTITUTE(SUBSTITUTE(Продажи_исходные!C616," шт.","")," шт",""),"шт.",""),"шт",""))),0)</f>
        <v>3</v>
      </c>
      <c r="D616" s="4">
        <f>IF(LEFT(Продажи_исходные!D616,1)="$",VALUE(MID(Продажи_исходные!D616,2,255))*95,IF(LEFT(Продажи_исходные!D616,1)="€",VALUE(MID(Продажи_исходные!D616,2,255))*100,VALUE(SUBSTITUTE(SUBSTITUTE(Продажи_исходные!D616,"₽","")," ",""))))</f>
        <v>7000</v>
      </c>
      <c r="E616" t="str">
        <f>Продажи_исходные!E616</f>
        <v>C0615</v>
      </c>
      <c r="F616" t="str">
        <f>Продажи_исходные!F616</f>
        <v>P017</v>
      </c>
      <c r="G616" t="str">
        <f>IFERROR(VLOOKUP(Продажи_исходные!G616,Справочники!$G$2:$H$50,2,FALSE),Продажи_исходные!G616)</f>
        <v>Возврат</v>
      </c>
      <c r="H616" s="4">
        <f>IFERROR(VLOOKUP(B616,Товары_очищенные!$A$1:$G$1000,6,FALSE),"нет в каталоге")</f>
        <v>13800</v>
      </c>
      <c r="I616" t="str">
        <f>IFERROR(VLOOKUP(B616,Товары_очищенные!$A$1:$G$1000,3,FALSE),"нет в каталоге")</f>
        <v>Наушники</v>
      </c>
      <c r="J616" t="str">
        <f t="shared" si="35"/>
        <v>OK</v>
      </c>
    </row>
    <row r="617">
      <c r="A617" s="8">
        <f>DATE(RIGHT(Продажи_исходные!A617,4),LEFT(Продажи_исходные!A617,2),MID(Продажи_исходные!A617,4,2))</f>
        <v>45979</v>
      </c>
      <c r="B617" t="str">
        <f>"АРТ-"&amp;LEFT(SUBSTITUTE(SUBSTITUTE(SUBSTITUTE(SUBSTITUTE(Продажи_исходные!B617,"№",""),"АРТ-",""),"АРТ_",""),"/","-"),3)</f>
        <v>АРТ-193</v>
      </c>
      <c r="C617" s="4">
        <f>IFERROR(VALUE(TRIM(SUBSTITUTE(SUBSTITUTE(SUBSTITUTE(SUBSTITUTE(Продажи_исходные!C617," шт.","")," шт",""),"шт.",""),"шт",""))),0)</f>
        <v>-2</v>
      </c>
      <c r="D617" s="4">
        <f>IF(LEFT(Продажи_исходные!D617,1)="$",VALUE(MID(Продажи_исходные!D617,2,255))*95,IF(LEFT(Продажи_исходные!D617,1)="€",VALUE(MID(Продажи_исходные!D617,2,255))*100,VALUE(SUBSTITUTE(SUBSTITUTE(Продажи_исходные!D617,"₽","")," ",""))))</f>
        <v>10925</v>
      </c>
      <c r="E617" t="str">
        <f>Продажи_исходные!E617</f>
        <v>C0616</v>
      </c>
      <c r="F617" t="str">
        <f>Продажи_исходные!F617</f>
        <v>P032</v>
      </c>
      <c r="G617" t="str">
        <f>IFERROR(VLOOKUP(Продажи_исходные!G617,Справочники!$G$2:$H$50,2,FALSE),Продажи_исходные!G617)</f>
        <v>Завершен</v>
      </c>
      <c r="H617" s="4">
        <f>IFERROR(VLOOKUP(B617,Товары_очищенные!$A$1:$G$1000,6,FALSE),"нет в каталоге")</f>
        <v>129990</v>
      </c>
      <c r="I617" t="str">
        <f>IFERROR(VLOOKUP(B617,Товары_очищенные!$A$1:$G$1000,3,FALSE),"нет в каталоге")</f>
        <v>Ноутбуки</v>
      </c>
      <c r="J617" t="str">
        <f t="shared" si="35"/>
        <v>OK</v>
      </c>
    </row>
    <row r="618">
      <c r="A618" s="8">
        <f>DATE(RIGHT(Продажи_исходные!A618,4),LEFT(Продажи_исходные!A618,2),MID(Продажи_исходные!A618,4,2))</f>
        <v>45980</v>
      </c>
      <c r="B618" t="str">
        <f>"АРТ-"&amp;LEFT(SUBSTITUTE(SUBSTITUTE(SUBSTITUTE(SUBSTITUTE(Продажи_исходные!B618,"№",""),"АРТ-",""),"АРТ_",""),"/","-"),3)</f>
        <v>АРТ-351</v>
      </c>
      <c r="C618" s="4">
        <f>IFERROR(VALUE(TRIM(SUBSTITUTE(SUBSTITUTE(SUBSTITUTE(SUBSTITUTE(Продажи_исходные!C618," шт.","")," шт",""),"шт.",""),"шт",""))),0)</f>
        <v>1</v>
      </c>
      <c r="D618" s="4">
        <f>IF(LEFT(Продажи_исходные!D618,1)="$",VALUE(MID(Продажи_исходные!D618,2,255))*95,IF(LEFT(Продажи_исходные!D618,1)="€",VALUE(MID(Продажи_исходные!D618,2,255))*100,VALUE(SUBSTITUTE(SUBSTITUTE(Продажи_исходные!D618,"₽","")," ",""))))</f>
        <v>9500</v>
      </c>
      <c r="E618" t="str">
        <f>Продажи_исходные!E618</f>
        <v>C0617</v>
      </c>
      <c r="F618" t="str">
        <f>Продажи_исходные!F618</f>
        <v>P049</v>
      </c>
      <c r="G618" t="str">
        <f>IFERROR(VLOOKUP(Продажи_исходные!G618,Справочники!$G$2:$H$50,2,FALSE),Продажи_исходные!G618)</f>
        <v>Завершен</v>
      </c>
      <c r="H618" s="4">
        <f>IFERROR(VLOOKUP(B618,Товары_очищенные!$A$1:$G$1000,6,FALSE),"нет в каталоге")</f>
        <v>57000</v>
      </c>
      <c r="I618" t="str">
        <f>IFERROR(VLOOKUP(B618,Товары_очищенные!$A$1:$G$1000,3,FALSE),"нет в каталоге")</f>
        <v>Мониторы</v>
      </c>
      <c r="J618" t="str">
        <f t="shared" si="35"/>
        <v>OK</v>
      </c>
    </row>
    <row r="619">
      <c r="A619" s="8">
        <f>DATE(RIGHT(Продажи_исходные!A619,4),LEFT(Продажи_исходные!A619,2),MID(Продажи_исходные!A619,4,2))</f>
        <v>45980</v>
      </c>
      <c r="B619" t="str">
        <f>"АРТ-"&amp;LEFT(SUBSTITUTE(SUBSTITUTE(SUBSTITUTE(SUBSTITUTE(Продажи_исходные!B619,"№",""),"АРТ-",""),"АРТ_",""),"/","-"),3)</f>
        <v>АРТ-218</v>
      </c>
      <c r="C619" s="4">
        <f>IFERROR(VALUE(TRIM(SUBSTITUTE(SUBSTITUTE(SUBSTITUTE(SUBSTITUTE(Продажи_исходные!C619," шт.","")," шт",""),"шт.",""),"шт",""))),0)</f>
        <v>2</v>
      </c>
      <c r="D619" s="4">
        <f>IF(LEFT(Продажи_исходные!D619,1)="$",VALUE(MID(Продажи_исходные!D619,2,255))*95,IF(LEFT(Продажи_исходные!D619,1)="€",VALUE(MID(Продажи_исходные!D619,2,255))*100,VALUE(SUBSTITUTE(SUBSTITUTE(Продажи_исходные!D619,"₽","")," ",""))))</f>
        <v>8500</v>
      </c>
      <c r="E619" t="str">
        <f>Продажи_исходные!E619</f>
        <v>C0618</v>
      </c>
      <c r="F619" t="str">
        <f>Продажи_исходные!F619</f>
        <v>P006</v>
      </c>
      <c r="G619" t="str">
        <f>IFERROR(VLOOKUP(Продажи_исходные!G619,Справочники!$G$2:$H$50,2,FALSE),Продажи_исходные!G619)</f>
        <v>Завершен</v>
      </c>
      <c r="H619" s="4">
        <f>IFERROR(VLOOKUP(B619,Товары_очищенные!$A$1:$G$1000,6,FALSE),"нет в каталоге")</f>
        <v>67500</v>
      </c>
      <c r="I619" t="str">
        <f>IFERROR(VLOOKUP(B619,Товары_очищенные!$A$1:$G$1000,3,FALSE),"нет в каталоге")</f>
        <v>Телевизоры</v>
      </c>
      <c r="J619" t="str">
        <f t="shared" si="35"/>
        <v>OK</v>
      </c>
    </row>
    <row r="620">
      <c r="A620" s="8">
        <f>DATE(RIGHT(Продажи_исходные!A620,4),LEFT(Продажи_исходные!A620,2),MID(Продажи_исходные!A620,4,2))</f>
        <v>45981</v>
      </c>
      <c r="B620" t="str">
        <f>"АРТ-"&amp;LEFT(SUBSTITUTE(SUBSTITUTE(SUBSTITUTE(SUBSTITUTE(Продажи_исходные!B620,"№",""),"АРТ-",""),"АРТ_",""),"/","-"),3)</f>
        <v>АРТ-052</v>
      </c>
      <c r="C620" s="4">
        <f>IFERROR(VALUE(TRIM(SUBSTITUTE(SUBSTITUTE(SUBSTITUTE(SUBSTITUTE(Продажи_исходные!C620," шт.","")," шт",""),"шт.",""),"шт",""))),0)</f>
        <v>3</v>
      </c>
      <c r="D620" s="4">
        <f>IF(LEFT(Продажи_исходные!D620,1)="$",VALUE(MID(Продажи_исходные!D620,2,255))*95,IF(LEFT(Продажи_исходные!D620,1)="€",VALUE(MID(Продажи_исходные!D620,2,255))*100,VALUE(SUBSTITUTE(SUBSTITUTE(Продажи_исходные!D620,"₽","")," ",""))))</f>
        <v>9975</v>
      </c>
      <c r="E620" t="str">
        <f>Продажи_исходные!E620</f>
        <v>C0619</v>
      </c>
      <c r="F620" t="str">
        <f>Продажи_исходные!F620</f>
        <v>P024</v>
      </c>
      <c r="G620" t="str">
        <f>IFERROR(VLOOKUP(Продажи_исходные!G620,Справочники!$G$2:$H$50,2,FALSE),Продажи_исходные!G620)</f>
        <v>Отменен</v>
      </c>
      <c r="H620" s="4">
        <f>IFERROR(VLOOKUP(B620,Товары_очищенные!$A$1:$G$1000,6,FALSE),"нет в каталоге")</f>
        <v>69900</v>
      </c>
      <c r="I620" t="str">
        <f>IFERROR(VLOOKUP(B620,Товары_очищенные!$A$1:$G$1000,3,FALSE),"нет в каталоге")</f>
        <v>Мониторы</v>
      </c>
      <c r="J620" t="str">
        <f t="shared" si="35"/>
        <v>OK</v>
      </c>
    </row>
    <row r="621">
      <c r="A621" s="8">
        <f>DATE(RIGHT(Продажи_исходные!A621,4),LEFT(Продажи_исходные!A621,2),MID(Продажи_исходные!A621,4,2))</f>
        <v>45981</v>
      </c>
      <c r="B621" t="str">
        <f>"АРТ-"&amp;LEFT(SUBSTITUTE(SUBSTITUTE(SUBSTITUTE(SUBSTITUTE(Продажи_исходные!B621,"№",""),"АРТ-",""),"АРТ_",""),"/","-"),3)</f>
        <v>АРТ-412</v>
      </c>
      <c r="C621" s="4">
        <f>IFERROR(VALUE(TRIM(SUBSTITUTE(SUBSTITUTE(SUBSTITUTE(SUBSTITUTE(Продажи_исходные!C621," шт.","")," шт",""),"шт.",""),"шт",""))),0)</f>
        <v>2</v>
      </c>
      <c r="D621" s="4">
        <f>IF(LEFT(Продажи_исходные!D621,1)="$",VALUE(MID(Продажи_исходные!D621,2,255))*95,IF(LEFT(Продажи_исходные!D621,1)="€",VALUE(MID(Продажи_исходные!D621,2,255))*100,VALUE(SUBSTITUTE(SUBSTITUTE(Продажи_исходные!D621,"₽","")," ",""))))</f>
        <v>8500</v>
      </c>
      <c r="E621" t="str">
        <f>Продажи_исходные!E621</f>
        <v>C0620</v>
      </c>
      <c r="F621" t="str">
        <f>Продажи_исходные!F621</f>
        <v>P015</v>
      </c>
      <c r="G621" t="str">
        <f>IFERROR(VLOOKUP(Продажи_исходные!G621,Справочники!$G$2:$H$50,2,FALSE),Продажи_исходные!G621)</f>
        <v>Отменен</v>
      </c>
      <c r="H621" s="4">
        <f>IFERROR(VLOOKUP(B621,Товары_очищенные!$A$1:$G$1000,6,FALSE),"нет в каталоге")</f>
        <v>54990</v>
      </c>
      <c r="I621" t="str">
        <f>IFERROR(VLOOKUP(B621,Товары_очищенные!$A$1:$G$1000,3,FALSE),"нет в каталоге")</f>
        <v>Мониторы</v>
      </c>
      <c r="J621" t="str">
        <f t="shared" si="35"/>
        <v>OK</v>
      </c>
    </row>
    <row r="622">
      <c r="A622" s="8">
        <f>DATE(RIGHT(Продажи_исходные!A622,4),LEFT(Продажи_исходные!A622,2),MID(Продажи_исходные!A622,4,2))</f>
        <v>45982</v>
      </c>
      <c r="B622" t="str">
        <f>"АРТ-"&amp;LEFT(SUBSTITUTE(SUBSTITUTE(SUBSTITUTE(SUBSTITUTE(Продажи_исходные!B622,"№",""),"АРТ-",""),"АРТ_",""),"/","-"),3)</f>
        <v>АРТ-385</v>
      </c>
      <c r="C622" s="4">
        <f>IFERROR(VALUE(TRIM(SUBSTITUTE(SUBSTITUTE(SUBSTITUTE(SUBSTITUTE(Продажи_исходные!C622," шт.","")," шт",""),"шт.",""),"шт",""))),0)</f>
        <v>1</v>
      </c>
      <c r="D622" s="4">
        <f>IF(LEFT(Продажи_исходные!D622,1)="$",VALUE(MID(Продажи_исходные!D622,2,255))*95,IF(LEFT(Продажи_исходные!D622,1)="€",VALUE(MID(Продажи_исходные!D622,2,255))*100,VALUE(SUBSTITUTE(SUBSTITUTE(Продажи_исходные!D622,"₽","")," ",""))))</f>
        <v>7800</v>
      </c>
      <c r="E622" t="str">
        <f>Продажи_исходные!E622</f>
        <v>C0621</v>
      </c>
      <c r="F622" t="str">
        <f>Продажи_исходные!F622</f>
        <v>P037</v>
      </c>
      <c r="G622" t="str">
        <f>IFERROR(VLOOKUP(Продажи_исходные!G622,Справочники!$G$2:$H$50,2,FALSE),Продажи_исходные!G622)</f>
        <v>Возврат</v>
      </c>
      <c r="H622" s="4">
        <f>IFERROR(VLOOKUP(B622,Товары_очищенные!$A$1:$G$1000,6,FALSE),"нет в каталоге")</f>
        <v>116990</v>
      </c>
      <c r="I622" t="str">
        <f>IFERROR(VLOOKUP(B622,Товары_очищенные!$A$1:$G$1000,3,FALSE),"нет в каталоге")</f>
        <v>Ноутбуки</v>
      </c>
      <c r="J622" t="str">
        <f t="shared" si="35"/>
        <v>OK</v>
      </c>
    </row>
    <row r="623">
      <c r="A623" s="8">
        <f>DATE(RIGHT(Продажи_исходные!A623,4),LEFT(Продажи_исходные!A623,2),MID(Продажи_исходные!A623,4,2))</f>
        <v>45982</v>
      </c>
      <c r="B623" t="str">
        <f>"АРТ-"&amp;LEFT(SUBSTITUTE(SUBSTITUTE(SUBSTITUTE(SUBSTITUTE(Продажи_исходные!B623,"№",""),"АРТ-",""),"АРТ_",""),"/","-"),3)</f>
        <v>АРТ-175</v>
      </c>
      <c r="C623" s="4">
        <f>IFERROR(VALUE(TRIM(SUBSTITUTE(SUBSTITUTE(SUBSTITUTE(SUBSTITUTE(Продажи_исходные!C623," шт.","")," шт",""),"шт.",""),"шт",""))),0)</f>
        <v>-3</v>
      </c>
      <c r="D623" s="4">
        <f>IF(LEFT(Продажи_исходные!D623,1)="$",VALUE(MID(Продажи_исходные!D623,2,255))*95,IF(LEFT(Продажи_исходные!D623,1)="€",VALUE(MID(Продажи_исходные!D623,2,255))*100,VALUE(SUBSTITUTE(SUBSTITUTE(Продажи_исходные!D623,"₽","")," ",""))))</f>
        <v>11400</v>
      </c>
      <c r="E623" t="str">
        <f>Продажи_исходные!E623</f>
        <v>C0622</v>
      </c>
      <c r="F623" t="str">
        <f>Продажи_исходные!F623</f>
        <v>P048</v>
      </c>
      <c r="G623" t="str">
        <f>IFERROR(VLOOKUP(Продажи_исходные!G623,Справочники!$G$2:$H$50,2,FALSE),Продажи_исходные!G623)</f>
        <v>Завершен</v>
      </c>
      <c r="H623" s="4">
        <f>IFERROR(VLOOKUP(B623,Товары_очищенные!$A$1:$G$1000,6,FALSE),"нет в каталоге")</f>
        <v>99990</v>
      </c>
      <c r="I623" t="str">
        <f>IFERROR(VLOOKUP(B623,Товары_очищенные!$A$1:$G$1000,3,FALSE),"нет в каталоге")</f>
        <v>Телевизоры</v>
      </c>
      <c r="J623" t="str">
        <f t="shared" si="35"/>
        <v>OK</v>
      </c>
    </row>
    <row r="624">
      <c r="A624" s="8">
        <f>DATE(RIGHT(Продажи_исходные!A624,4),LEFT(Продажи_исходные!A624,2),MID(Продажи_исходные!A624,4,2))</f>
        <v>45983</v>
      </c>
      <c r="B624" t="str">
        <f>"АРТ-"&amp;LEFT(SUBSTITUTE(SUBSTITUTE(SUBSTITUTE(SUBSTITUTE(Продажи_исходные!B624,"№",""),"АРТ-",""),"АРТ_",""),"/","-"),3)</f>
        <v>АРТ-371</v>
      </c>
      <c r="C624" s="4">
        <f>IFERROR(VALUE(TRIM(SUBSTITUTE(SUBSTITUTE(SUBSTITUTE(SUBSTITUTE(Продажи_исходные!C624," шт.","")," шт",""),"шт.",""),"шт",""))),0)</f>
        <v>2</v>
      </c>
      <c r="D624" s="4">
        <f>IF(LEFT(Продажи_исходные!D624,1)="$",VALUE(MID(Продажи_исходные!D624,2,255))*95,IF(LEFT(Продажи_исходные!D624,1)="€",VALUE(MID(Продажи_исходные!D624,2,255))*100,VALUE(SUBSTITUTE(SUBSTITUTE(Продажи_исходные!D624,"₽","")," ",""))))</f>
        <v>10000</v>
      </c>
      <c r="E624" t="str">
        <f>Продажи_исходные!E624</f>
        <v>C0623</v>
      </c>
      <c r="F624" t="str">
        <f>Продажи_исходные!F624</f>
        <v>P004</v>
      </c>
      <c r="G624" t="str">
        <f>IFERROR(VLOOKUP(Продажи_исходные!G624,Справочники!$G$2:$H$50,2,FALSE),Продажи_исходные!G624)</f>
        <v>Завершен</v>
      </c>
      <c r="H624" s="4">
        <f>IFERROR(VLOOKUP(B624,Товары_очищенные!$A$1:$G$1000,6,FALSE),"нет в каталоге")</f>
        <v>48000</v>
      </c>
      <c r="I624" t="str">
        <f>IFERROR(VLOOKUP(B624,Товары_очищенные!$A$1:$G$1000,3,FALSE),"нет в каталоге")</f>
        <v>Мониторы</v>
      </c>
      <c r="J624" t="str">
        <f t="shared" si="35"/>
        <v>OK</v>
      </c>
    </row>
    <row r="625">
      <c r="A625" s="8">
        <f>DATE(RIGHT(Продажи_исходные!A625,4),LEFT(Продажи_исходные!A625,2),MID(Продажи_исходные!A625,4,2))</f>
        <v>45983</v>
      </c>
      <c r="B625" t="str">
        <f>"АРТ-"&amp;LEFT(SUBSTITUTE(SUBSTITUTE(SUBSTITUTE(SUBSTITUTE(Продажи_исходные!B625,"№",""),"АРТ-",""),"АРТ_",""),"/","-"),3)</f>
        <v>АРТ-139</v>
      </c>
      <c r="C625" s="4">
        <f>IFERROR(VALUE(TRIM(SUBSTITUTE(SUBSTITUTE(SUBSTITUTE(SUBSTITUTE(Продажи_исходные!C625," шт.","")," шт",""),"шт.",""),"шт",""))),0)</f>
        <v>1</v>
      </c>
      <c r="D625" s="4">
        <f>IF(LEFT(Продажи_исходные!D625,1)="$",VALUE(MID(Продажи_исходные!D625,2,255))*95,IF(LEFT(Продажи_исходные!D625,1)="€",VALUE(MID(Продажи_исходные!D625,2,255))*100,VALUE(SUBSTITUTE(SUBSTITUTE(Продажи_исходные!D625,"₽","")," ",""))))</f>
        <v>9200</v>
      </c>
      <c r="E625" t="str">
        <f>Продажи_исходные!E625</f>
        <v>C0624</v>
      </c>
      <c r="F625" t="str">
        <f>Продажи_исходные!F625</f>
        <v>P026</v>
      </c>
      <c r="G625" t="str">
        <f>IFERROR(VLOOKUP(Продажи_исходные!G625,Справочники!$G$2:$H$50,2,FALSE),Продажи_исходные!G625)</f>
        <v>Завершен</v>
      </c>
      <c r="H625" s="4">
        <f>IFERROR(VLOOKUP(B625,Товары_очищенные!$A$1:$G$1000,6,FALSE),"нет в каталоге")</f>
        <v>89900</v>
      </c>
      <c r="I625" t="str">
        <f>IFERROR(VLOOKUP(B625,Товары_очищенные!$A$1:$G$1000,3,FALSE),"нет в каталоге")</f>
        <v>Мониторы</v>
      </c>
      <c r="J625" t="str">
        <f t="shared" si="35"/>
        <v>OK</v>
      </c>
    </row>
    <row r="626">
      <c r="A626" s="8">
        <f>DATE(RIGHT(Продажи_исходные!A626,4),LEFT(Продажи_исходные!A626,2),MID(Продажи_исходные!A626,4,2))</f>
        <v>45984</v>
      </c>
      <c r="B626" t="str">
        <f>"АРТ-"&amp;LEFT(SUBSTITUTE(SUBSTITUTE(SUBSTITUTE(SUBSTITUTE(Продажи_исходные!B626,"№",""),"АРТ-",""),"АРТ_",""),"/","-"),3)</f>
        <v>АРТ-095</v>
      </c>
      <c r="C626" s="4">
        <f>IFERROR(VALUE(TRIM(SUBSTITUTE(SUBSTITUTE(SUBSTITUTE(SUBSTITUTE(Продажи_исходные!C626," шт.","")," шт",""),"шт.",""),"шт",""))),0)</f>
        <v>3</v>
      </c>
      <c r="D626" s="4">
        <f>IF(LEFT(Продажи_исходные!D626,1)="$",VALUE(MID(Продажи_исходные!D626,2,255))*95,IF(LEFT(Продажи_исходные!D626,1)="€",VALUE(MID(Продажи_исходные!D626,2,255))*100,VALUE(SUBSTITUTE(SUBSTITUTE(Продажи_исходные!D626,"₽","")," ",""))))</f>
        <v>8550</v>
      </c>
      <c r="E626" t="str">
        <f>Продажи_исходные!E626</f>
        <v>C0625</v>
      </c>
      <c r="F626" t="str">
        <f>Продажи_исходные!F626</f>
        <v>P013</v>
      </c>
      <c r="G626" t="str">
        <f>IFERROR(VLOOKUP(Продажи_исходные!G626,Справочники!$G$2:$H$50,2,FALSE),Продажи_исходные!G626)</f>
        <v>Отменен</v>
      </c>
      <c r="H626" s="4">
        <f>IFERROR(VLOOKUP(B626,Товары_очищенные!$A$1:$G$1000,6,FALSE),"нет в каталоге")</f>
        <v>92000</v>
      </c>
      <c r="I626" t="str">
        <f>IFERROR(VLOOKUP(B626,Товары_очищенные!$A$1:$G$1000,3,FALSE),"нет в каталоге")</f>
        <v>Мониторы</v>
      </c>
      <c r="J626" t="str">
        <f t="shared" si="35"/>
        <v>OK</v>
      </c>
    </row>
    <row r="627">
      <c r="A627" s="8">
        <f>DATE(RIGHT(Продажи_исходные!A627,4),LEFT(Продажи_исходные!A627,2),MID(Продажи_исходные!A627,4,2))</f>
        <v>45984</v>
      </c>
      <c r="B627" t="str">
        <f>"АРТ-"&amp;LEFT(SUBSTITUTE(SUBSTITUTE(SUBSTITUTE(SUBSTITUTE(Продажи_исходные!B627,"№",""),"АРТ-",""),"АРТ_",""),"/","-"),3)</f>
        <v>АРТ-478</v>
      </c>
      <c r="C627" s="4">
        <f>IFERROR(VALUE(TRIM(SUBSTITUTE(SUBSTITUTE(SUBSTITUTE(SUBSTITUTE(Продажи_исходные!C627," шт.","")," шт",""),"шт.",""),"шт",""))),0)</f>
        <v>2</v>
      </c>
      <c r="D627" s="4">
        <f>IF(LEFT(Продажи_исходные!D627,1)="$",VALUE(MID(Продажи_исходные!D627,2,255))*95,IF(LEFT(Продажи_исходные!D627,1)="€",VALUE(MID(Продажи_исходные!D627,2,255))*100,VALUE(SUBSTITUTE(SUBSTITUTE(Продажи_исходные!D627,"₽","")," ",""))))</f>
        <v>7000</v>
      </c>
      <c r="E627" t="str">
        <f>Продажи_исходные!E627</f>
        <v>C0626</v>
      </c>
      <c r="F627" t="str">
        <f>Продажи_исходные!F627</f>
        <v>P034</v>
      </c>
      <c r="G627" t="str">
        <f>IFERROR(VLOOKUP(Продажи_исходные!G627,Справочники!$G$2:$H$50,2,FALSE),Продажи_исходные!G627)</f>
        <v>Отменен</v>
      </c>
      <c r="H627" s="4">
        <f>IFERROR(VLOOKUP(B627,Товары_очищенные!$A$1:$G$1000,6,FALSE),"нет в каталоге")</f>
        <v>12990</v>
      </c>
      <c r="I627" t="str">
        <f>IFERROR(VLOOKUP(B627,Товары_очищенные!$A$1:$G$1000,3,FALSE),"нет в каталоге")</f>
        <v>Аксессуары</v>
      </c>
      <c r="J627" t="str">
        <f t="shared" si="35"/>
        <v>OK</v>
      </c>
    </row>
    <row r="628">
      <c r="A628" s="8">
        <f>DATE(RIGHT(Продажи_исходные!A628,4),LEFT(Продажи_исходные!A628,2),MID(Продажи_исходные!A628,4,2))</f>
        <v>45985</v>
      </c>
      <c r="B628" t="str">
        <f>"АРТ-"&amp;LEFT(SUBSTITUTE(SUBSTITUTE(SUBSTITUTE(SUBSTITUTE(Продажи_исходные!B628,"№",""),"АРТ-",""),"АРТ_",""),"/","-"),3)</f>
        <v>АРТ-393</v>
      </c>
      <c r="C628" s="4">
        <f>IFERROR(VALUE(TRIM(SUBSTITUTE(SUBSTITUTE(SUBSTITUTE(SUBSTITUTE(Продажи_исходные!C628," шт.","")," шт",""),"шт.",""),"шт",""))),0)</f>
        <v>1</v>
      </c>
      <c r="D628" s="4">
        <f>IF(LEFT(Продажи_исходные!D628,1)="$",VALUE(MID(Продажи_исходные!D628,2,255))*95,IF(LEFT(Продажи_исходные!D628,1)="€",VALUE(MID(Продажи_исходные!D628,2,255))*100,VALUE(SUBSTITUTE(SUBSTITUTE(Продажи_исходные!D628,"₽","")," ",""))))</f>
        <v>6500</v>
      </c>
      <c r="E628" t="str">
        <f>Продажи_исходные!E628</f>
        <v>C0627</v>
      </c>
      <c r="F628" t="str">
        <f>Продажи_исходные!F628</f>
        <v>P044</v>
      </c>
      <c r="G628" t="str">
        <f>IFERROR(VLOOKUP(Продажи_исходные!G628,Справочники!$G$2:$H$50,2,FALSE),Продажи_исходные!G628)</f>
        <v>Завершен</v>
      </c>
      <c r="H628" s="4">
        <f>IFERROR(VLOOKUP(B628,Товары_очищенные!$A$1:$G$1000,6,FALSE),"нет в каталоге")</f>
        <v>19800</v>
      </c>
      <c r="I628" t="str">
        <f>IFERROR(VLOOKUP(B628,Товары_очищенные!$A$1:$G$1000,3,FALSE),"нет в каталоге")</f>
        <v>Наушники</v>
      </c>
      <c r="J628" t="str">
        <f t="shared" si="35"/>
        <v>OK</v>
      </c>
    </row>
    <row r="629">
      <c r="A629" s="8">
        <f>DATE(RIGHT(Продажи_исходные!A629,4),LEFT(Продажи_исходные!A629,2),MID(Продажи_исходные!A629,4,2))</f>
        <v>45985</v>
      </c>
      <c r="B629" t="str">
        <f>"АРТ-"&amp;LEFT(SUBSTITUTE(SUBSTITUTE(SUBSTITUTE(SUBSTITUTE(Продажи_исходные!B629,"№",""),"АРТ-",""),"АРТ_",""),"/","-"),3)</f>
        <v>АРТ-219</v>
      </c>
      <c r="C629" s="4">
        <f>IFERROR(VALUE(TRIM(SUBSTITUTE(SUBSTITUTE(SUBSTITUTE(SUBSTITUTE(Продажи_исходные!C629," шт.","")," шт",""),"шт.",""),"шт",""))),0)</f>
        <v>-1</v>
      </c>
      <c r="D629" s="4">
        <f>IF(LEFT(Продажи_исходные!D629,1)="$",VALUE(MID(Продажи_исходные!D629,2,255))*95,IF(LEFT(Продажи_исходные!D629,1)="€",VALUE(MID(Продажи_исходные!D629,2,255))*100,VALUE(SUBSTITUTE(SUBSTITUTE(Продажи_исходные!D629,"₽","")," ",""))))</f>
        <v>10450</v>
      </c>
      <c r="E629" t="str">
        <f>Продажи_исходные!E629</f>
        <v>C0628</v>
      </c>
      <c r="F629" t="str">
        <f>Продажи_исходные!F629</f>
        <v>P001</v>
      </c>
      <c r="G629" t="str">
        <f>IFERROR(VLOOKUP(Продажи_исходные!G629,Справочники!$G$2:$H$50,2,FALSE),Продажи_исходные!G629)</f>
        <v>Возврат</v>
      </c>
      <c r="H629" s="4">
        <f>IFERROR(VLOOKUP(B629,Товары_очищенные!$A$1:$G$1000,6,FALSE),"нет в каталоге")</f>
        <v>72000</v>
      </c>
      <c r="I629" t="str">
        <f>IFERROR(VLOOKUP(B629,Товары_очищенные!$A$1:$G$1000,3,FALSE),"нет в каталоге")</f>
        <v>Телевизоры</v>
      </c>
      <c r="J629" t="str">
        <f t="shared" si="35"/>
        <v>OK</v>
      </c>
    </row>
    <row r="630">
      <c r="A630" s="8">
        <f>DATE(RIGHT(Продажи_исходные!A630,4),LEFT(Продажи_исходные!A630,2),MID(Продажи_исходные!A630,4,2))</f>
        <v>45986</v>
      </c>
      <c r="B630" t="str">
        <f>"АРТ-"&amp;LEFT(SUBSTITUTE(SUBSTITUTE(SUBSTITUTE(SUBSTITUTE(Продажи_исходные!B630,"№",""),"АРТ-",""),"АРТ_",""),"/","-"),3)</f>
        <v>АРТ-336</v>
      </c>
      <c r="C630" s="4">
        <f>IFERROR(VALUE(TRIM(SUBSTITUTE(SUBSTITUTE(SUBSTITUTE(SUBSTITUTE(Продажи_исходные!C630," шт.","")," шт",""),"шт.",""),"шт",""))),0)</f>
        <v>3</v>
      </c>
      <c r="D630" s="4">
        <f>IF(LEFT(Продажи_исходные!D630,1)="$",VALUE(MID(Продажи_исходные!D630,2,255))*95,IF(LEFT(Продажи_исходные!D630,1)="€",VALUE(MID(Продажи_исходные!D630,2,255))*100,VALUE(SUBSTITUTE(SUBSTITUTE(Продажи_исходные!D630,"₽","")," ",""))))</f>
        <v>9000</v>
      </c>
      <c r="E630" t="str">
        <f>Продажи_исходные!E630</f>
        <v>C0629</v>
      </c>
      <c r="F630" t="str">
        <f>Продажи_исходные!F630</f>
        <v>P021</v>
      </c>
      <c r="G630" t="str">
        <f>IFERROR(VLOOKUP(Продажи_исходные!G630,Справочники!$G$2:$H$50,2,FALSE),Продажи_исходные!G630)</f>
        <v>Завершен</v>
      </c>
      <c r="H630" s="4">
        <f>IFERROR(VLOOKUP(B630,Товары_очищенные!$A$1:$G$1000,6,FALSE),"нет в каталоге")</f>
        <v>50500</v>
      </c>
      <c r="I630" t="str">
        <f>IFERROR(VLOOKUP(B630,Товары_очищенные!$A$1:$G$1000,3,FALSE),"нет в каталоге")</f>
        <v>Планшеты</v>
      </c>
      <c r="J630" t="str">
        <f t="shared" si="35"/>
        <v>OK</v>
      </c>
    </row>
    <row r="631">
      <c r="A631" s="8">
        <f>DATE(RIGHT(Продажи_исходные!A631,4),LEFT(Продажи_исходные!A631,2),MID(Продажи_исходные!A631,4,2))</f>
        <v>45986</v>
      </c>
      <c r="B631" t="str">
        <f>"АРТ-"&amp;LEFT(SUBSTITUTE(SUBSTITUTE(SUBSTITUTE(SUBSTITUTE(Продажи_исходные!B631,"№",""),"АРТ-",""),"АРТ_",""),"/","-"),3)</f>
        <v>АРТ-279</v>
      </c>
      <c r="C631" s="4">
        <f>IFERROR(VALUE(TRIM(SUBSTITUTE(SUBSTITUTE(SUBSTITUTE(SUBSTITUTE(Продажи_исходные!C631," шт.","")," шт",""),"шт.",""),"шт",""))),0)</f>
        <v>2</v>
      </c>
      <c r="D631" s="4">
        <f>IF(LEFT(Продажи_исходные!D631,1)="$",VALUE(MID(Продажи_исходные!D631,2,255))*95,IF(LEFT(Продажи_исходные!D631,1)="€",VALUE(MID(Продажи_исходные!D631,2,255))*100,VALUE(SUBSTITUTE(SUBSTITUTE(Продажи_исходные!D631,"₽","")," ",""))))</f>
        <v>8000</v>
      </c>
      <c r="E631" t="str">
        <f>Продажи_исходные!E631</f>
        <v>C0630</v>
      </c>
      <c r="F631" t="str">
        <f>Продажи_исходные!F631</f>
        <v>P039</v>
      </c>
      <c r="G631" t="str">
        <f>IFERROR(VLOOKUP(Продажи_исходные!G631,Справочники!$G$2:$H$50,2,FALSE),Продажи_исходные!G631)</f>
        <v>Завершен</v>
      </c>
      <c r="H631" s="4">
        <f>IFERROR(VLOOKUP(B631,Товары_очищенные!$A$1:$G$1000,6,FALSE),"нет в каталоге")</f>
        <v>117500</v>
      </c>
      <c r="I631" t="str">
        <f>IFERROR(VLOOKUP(B631,Товары_очищенные!$A$1:$G$1000,3,FALSE),"нет в каталоге")</f>
        <v>Телевизоры</v>
      </c>
      <c r="J631" t="str">
        <f t="shared" si="35"/>
        <v>OK</v>
      </c>
    </row>
    <row r="632">
      <c r="A632" s="8">
        <f>DATE(RIGHT(Продажи_исходные!A632,4),LEFT(Продажи_исходные!A632,2),MID(Продажи_исходные!A632,4,2))</f>
        <v>45987</v>
      </c>
      <c r="B632" t="str">
        <f>"АРТ-"&amp;LEFT(SUBSTITUTE(SUBSTITUTE(SUBSTITUTE(SUBSTITUTE(Продажи_исходные!B632,"№",""),"АРТ-",""),"АРТ_",""),"/","-"),3)</f>
        <v>АРТ-079</v>
      </c>
      <c r="C632" s="4">
        <f>IFERROR(VALUE(TRIM(SUBSTITUTE(SUBSTITUTE(SUBSTITUTE(SUBSTITUTE(Продажи_исходные!C632," шт.","")," шт",""),"шт.",""),"шт",""))),0)</f>
        <v>1</v>
      </c>
      <c r="D632" s="4">
        <f>IF(LEFT(Продажи_исходные!D632,1)="$",VALUE(MID(Продажи_исходные!D632,2,255))*95,IF(LEFT(Продажи_исходные!D632,1)="€",VALUE(MID(Продажи_исходные!D632,2,255))*100,VALUE(SUBSTITUTE(SUBSTITUTE(Продажи_исходные!D632,"₽","")," ",""))))</f>
        <v>9025</v>
      </c>
      <c r="E632" t="str">
        <f>Продажи_исходные!E632</f>
        <v>C0631</v>
      </c>
      <c r="F632" t="str">
        <f>Продажи_исходные!F632</f>
        <v>P050</v>
      </c>
      <c r="G632" t="str">
        <f>IFERROR(VLOOKUP(Продажи_исходные!G632,Справочники!$G$2:$H$50,2,FALSE),Продажи_исходные!G632)</f>
        <v>Завершен</v>
      </c>
      <c r="H632" s="4">
        <f>IFERROR(VLOOKUP(B632,Товары_очищенные!$A$1:$G$1000,6,FALSE),"нет в каталоге")</f>
        <v>45999</v>
      </c>
      <c r="I632" t="str">
        <f>IFERROR(VLOOKUP(B632,Товары_очищенные!$A$1:$G$1000,3,FALSE),"нет в каталоге")</f>
        <v>Планшеты</v>
      </c>
      <c r="J632" t="str">
        <f t="shared" si="35"/>
        <v>OK</v>
      </c>
    </row>
    <row r="633">
      <c r="A633" s="8">
        <f>DATE(RIGHT(Продажи_исходные!A633,4),LEFT(Продажи_исходные!A633,2),MID(Продажи_исходные!A633,4,2))</f>
        <v>45987</v>
      </c>
      <c r="B633" t="str">
        <f>"АРТ-"&amp;LEFT(SUBSTITUTE(SUBSTITUTE(SUBSTITUTE(SUBSTITUTE(Продажи_исходные!B633,"№",""),"АРТ-",""),"АРТ_",""),"/","-"),3)</f>
        <v>АРТ-465</v>
      </c>
      <c r="C633" s="4">
        <f>IFERROR(VALUE(TRIM(SUBSTITUTE(SUBSTITUTE(SUBSTITUTE(SUBSTITUTE(Продажи_исходные!C633," шт.","")," шт",""),"шт.",""),"шт",""))),0)</f>
        <v>2</v>
      </c>
      <c r="D633" s="4">
        <f>IF(LEFT(Продажи_исходные!D633,1)="$",VALUE(MID(Продажи_исходные!D633,2,255))*95,IF(LEFT(Продажи_исходные!D633,1)="€",VALUE(MID(Продажи_исходные!D633,2,255))*100,VALUE(SUBSTITUTE(SUBSTITUTE(Продажи_исходные!D633,"₽","")," ",""))))</f>
        <v>7500</v>
      </c>
      <c r="E633" t="str">
        <f>Продажи_исходные!E633</f>
        <v>C0632</v>
      </c>
      <c r="F633" t="str">
        <f>Продажи_исходные!F633</f>
        <v>P011</v>
      </c>
      <c r="G633" t="str">
        <f>IFERROR(VLOOKUP(Продажи_исходные!G633,Справочники!$G$2:$H$50,2,FALSE),Продажи_исходные!G633)</f>
        <v>Отменен</v>
      </c>
      <c r="H633" s="4">
        <f>IFERROR(VLOOKUP(B633,Товары_очищенные!$A$1:$G$1000,6,FALSE),"нет в каталоге")</f>
        <v>31500</v>
      </c>
      <c r="I633" t="str">
        <f>IFERROR(VLOOKUP(B633,Товары_очищенные!$A$1:$G$1000,3,FALSE),"нет в каталоге")</f>
        <v>Планшеты</v>
      </c>
      <c r="J633" t="str">
        <f t="shared" si="35"/>
        <v>OK</v>
      </c>
    </row>
    <row r="634">
      <c r="A634" s="8">
        <f>DATE(RIGHT(Продажи_исходные!A634,4),LEFT(Продажи_исходные!A634,2),MID(Продажи_исходные!A634,4,2))</f>
        <v>45988</v>
      </c>
      <c r="B634" t="str">
        <f>"АРТ-"&amp;LEFT(SUBSTITUTE(SUBSTITUTE(SUBSTITUTE(SUBSTITUTE(Продажи_исходные!B634,"№",""),"АРТ-",""),"АРТ_",""),"/","-"),3)</f>
        <v>АРТ-365</v>
      </c>
      <c r="C634" s="4">
        <f>IFERROR(VALUE(TRIM(SUBSTITUTE(SUBSTITUTE(SUBSTITUTE(SUBSTITUTE(Продажи_исходные!C634," шт.","")," шт",""),"шт.",""),"шт",""))),0)</f>
        <v>3</v>
      </c>
      <c r="D634" s="4">
        <f>IF(LEFT(Продажи_исходные!D634,1)="$",VALUE(MID(Продажи_исходные!D634,2,255))*95,IF(LEFT(Продажи_исходные!D634,1)="€",VALUE(MID(Продажи_исходные!D634,2,255))*100,VALUE(SUBSTITUTE(SUBSTITUTE(Продажи_исходные!D634,"₽","")," ",""))))</f>
        <v>7000</v>
      </c>
      <c r="E634" t="str">
        <f>Продажи_исходные!E634</f>
        <v>C0633</v>
      </c>
      <c r="F634" t="str">
        <f>Продажи_исходные!F634</f>
        <v>P027</v>
      </c>
      <c r="G634" t="str">
        <f>IFERROR(VLOOKUP(Продажи_исходные!G634,Справочники!$G$2:$H$50,2,FALSE),Продажи_исходные!G634)</f>
        <v>Отменен</v>
      </c>
      <c r="H634" s="4">
        <f>IFERROR(VLOOKUP(B634,Товары_очищенные!$A$1:$G$1000,6,FALSE),"нет в каталоге")</f>
        <v>137000</v>
      </c>
      <c r="I634" t="str">
        <f>IFERROR(VLOOKUP(B634,Товары_очищенные!$A$1:$G$1000,3,FALSE),"нет в каталоге")</f>
        <v>Телевизоры</v>
      </c>
      <c r="J634" t="str">
        <f t="shared" si="35"/>
        <v>OK</v>
      </c>
    </row>
    <row r="635">
      <c r="A635" s="8">
        <f>DATE(RIGHT(Продажи_исходные!A635,4),LEFT(Продажи_исходные!A635,2),MID(Продажи_исходные!A635,4,2))</f>
        <v>45988</v>
      </c>
      <c r="B635" t="str">
        <f>"АРТ-"&amp;LEFT(SUBSTITUTE(SUBSTITUTE(SUBSTITUTE(SUBSTITUTE(Продажи_исходные!B635,"№",""),"АРТ-",""),"АРТ_",""),"/","-"),3)</f>
        <v>АРТ-208</v>
      </c>
      <c r="C635" s="4">
        <f>IFERROR(VALUE(TRIM(SUBSTITUTE(SUBSTITUTE(SUBSTITUTE(SUBSTITUTE(Продажи_исходные!C635," шт.","")," шт",""),"шт.",""),"шт",""))),0)</f>
        <v>-2</v>
      </c>
      <c r="D635" s="4">
        <f>IF(LEFT(Продажи_исходные!D635,1)="$",VALUE(MID(Продажи_исходные!D635,2,255))*95,IF(LEFT(Продажи_исходные!D635,1)="€",VALUE(MID(Продажи_исходные!D635,2,255))*100,VALUE(SUBSTITUTE(SUBSTITUTE(Продажи_исходные!D635,"₽","")," ",""))))</f>
        <v>10925</v>
      </c>
      <c r="E635" t="str">
        <f>Продажи_исходные!E635</f>
        <v>C0634</v>
      </c>
      <c r="F635" t="str">
        <f>Продажи_исходные!F635</f>
        <v>P018</v>
      </c>
      <c r="G635" t="str">
        <f>IFERROR(VLOOKUP(Продажи_исходные!G635,Справочники!$G$2:$H$50,2,FALSE),Продажи_исходные!G635)</f>
        <v>Возврат</v>
      </c>
      <c r="H635" s="4">
        <f>IFERROR(VLOOKUP(B635,Товары_очищенные!$A$1:$G$1000,6,FALSE),"нет в каталоге")</f>
        <v>10990</v>
      </c>
      <c r="I635" t="str">
        <f>IFERROR(VLOOKUP(B635,Товары_очищенные!$A$1:$G$1000,3,FALSE),"нет в каталоге")</f>
        <v>Аксессуары</v>
      </c>
      <c r="J635" t="str">
        <f t="shared" si="35"/>
        <v>OK</v>
      </c>
    </row>
    <row r="636">
      <c r="A636" s="8">
        <f>DATE(RIGHT(Продажи_исходные!A636,4),LEFT(Продажи_исходные!A636,2),MID(Продажи_исходные!A636,4,2))</f>
        <v>45989</v>
      </c>
      <c r="B636" t="str">
        <f>"АРТ-"&amp;LEFT(SUBSTITUTE(SUBSTITUTE(SUBSTITUTE(SUBSTITUTE(Продажи_исходные!B636,"№",""),"АРТ-",""),"АРТ_",""),"/","-"),3)</f>
        <v>АРТ-364</v>
      </c>
      <c r="C636" s="4">
        <f>IFERROR(VALUE(TRIM(SUBSTITUTE(SUBSTITUTE(SUBSTITUTE(SUBSTITUTE(Продажи_исходные!C636," шт.","")," шт",""),"шт.",""),"шт",""))),0)</f>
        <v>1</v>
      </c>
      <c r="D636" s="4">
        <f>IF(LEFT(Продажи_исходные!D636,1)="$",VALUE(MID(Продажи_исходные!D636,2,255))*95,IF(LEFT(Продажи_исходные!D636,1)="€",VALUE(MID(Продажи_исходные!D636,2,255))*100,VALUE(SUBSTITUTE(SUBSTITUTE(Продажи_исходные!D636,"₽","")," ",""))))</f>
        <v>9500</v>
      </c>
      <c r="E636" t="str">
        <f>Продажи_исходные!E636</f>
        <v>C0635</v>
      </c>
      <c r="F636" t="str">
        <f>Продажи_исходные!F636</f>
        <v>P040</v>
      </c>
      <c r="G636" t="str">
        <f>IFERROR(VLOOKUP(Продажи_исходные!G636,Справочники!$G$2:$H$50,2,FALSE),Продажи_исходные!G636)</f>
        <v>Завершен</v>
      </c>
      <c r="H636" s="4">
        <f>IFERROR(VLOOKUP(B636,Товары_очищенные!$A$1:$G$1000,6,FALSE),"нет в каталоге")</f>
        <v>139990</v>
      </c>
      <c r="I636" t="str">
        <f>IFERROR(VLOOKUP(B636,Товары_очищенные!$A$1:$G$1000,3,FALSE),"нет в каталоге")</f>
        <v>Телевизоры</v>
      </c>
      <c r="J636" t="str">
        <f t="shared" si="35"/>
        <v>OK</v>
      </c>
    </row>
    <row r="637">
      <c r="A637" s="8">
        <f>DATE(RIGHT(Продажи_исходные!A637,4),LEFT(Продажи_исходные!A637,2),MID(Продажи_исходные!A637,4,2))</f>
        <v>45989</v>
      </c>
      <c r="B637" t="str">
        <f>"АРТ-"&amp;LEFT(SUBSTITUTE(SUBSTITUTE(SUBSTITUTE(SUBSTITUTE(Продажи_исходные!B637,"№",""),"АРТ-",""),"АРТ_",""),"/","-"),3)</f>
        <v>АРТ-263</v>
      </c>
      <c r="C637" s="4">
        <f>IFERROR(VALUE(TRIM(SUBSTITUTE(SUBSTITUTE(SUBSTITUTE(SUBSTITUTE(Продажи_исходные!C637," шт.","")," шт",""),"шт.",""),"шт",""))),0)</f>
        <v>2</v>
      </c>
      <c r="D637" s="4">
        <f>IF(LEFT(Продажи_исходные!D637,1)="$",VALUE(MID(Продажи_исходные!D637,2,255))*95,IF(LEFT(Продажи_исходные!D637,1)="€",VALUE(MID(Продажи_исходные!D637,2,255))*100,VALUE(SUBSTITUTE(SUBSTITUTE(Продажи_исходные!D637,"₽","")," ",""))))</f>
        <v>8500</v>
      </c>
      <c r="E637" t="str">
        <f>Продажи_исходные!E637</f>
        <v>C0636</v>
      </c>
      <c r="F637" t="str">
        <f>Продажи_исходные!F637</f>
        <v>P003</v>
      </c>
      <c r="G637" t="str">
        <f>IFERROR(VLOOKUP(Продажи_исходные!G637,Справочники!$G$2:$H$50,2,FALSE),Продажи_исходные!G637)</f>
        <v>Завершен</v>
      </c>
      <c r="H637" s="4">
        <f>IFERROR(VLOOKUP(B637,Товары_очищенные!$A$1:$G$1000,6,FALSE),"нет в каталоге")</f>
        <v>11000</v>
      </c>
      <c r="I637" t="str">
        <f>IFERROR(VLOOKUP(B637,Товары_очищенные!$A$1:$G$1000,3,FALSE),"нет в каталоге")</f>
        <v>Наушники</v>
      </c>
      <c r="J637" t="str">
        <f t="shared" si="35"/>
        <v>OK</v>
      </c>
    </row>
    <row r="638">
      <c r="A638" s="8">
        <f>DATE(RIGHT(Продажи_исходные!A638,4),LEFT(Продажи_исходные!A638,2),MID(Продажи_исходные!A638,4,2))</f>
        <v>45990</v>
      </c>
      <c r="B638" t="str">
        <f>"АРТ-"&amp;LEFT(SUBSTITUTE(SUBSTITUTE(SUBSTITUTE(SUBSTITUTE(Продажи_исходные!B638,"№",""),"АРТ-",""),"АРТ_",""),"/","-"),3)</f>
        <v>АРТ-150</v>
      </c>
      <c r="C638" s="4">
        <f>IFERROR(VALUE(TRIM(SUBSTITUTE(SUBSTITUTE(SUBSTITUTE(SUBSTITUTE(Продажи_исходные!C638," шт.","")," шт",""),"шт.",""),"шт",""))),0)</f>
        <v>3</v>
      </c>
      <c r="D638" s="4">
        <f>IF(LEFT(Продажи_исходные!D638,1)="$",VALUE(MID(Продажи_исходные!D638,2,255))*95,IF(LEFT(Продажи_исходные!D638,1)="€",VALUE(MID(Продажи_исходные!D638,2,255))*100,VALUE(SUBSTITUTE(SUBSTITUTE(Продажи_исходные!D638,"₽","")," ",""))))</f>
        <v>9975</v>
      </c>
      <c r="E638" t="str">
        <f>Продажи_исходные!E638</f>
        <v>C0637</v>
      </c>
      <c r="F638" t="str">
        <f>Продажи_исходные!F638</f>
        <v>P025</v>
      </c>
      <c r="G638" t="str">
        <f>IFERROR(VLOOKUP(Продажи_исходные!G638,Справочники!$G$2:$H$50,2,FALSE),Продажи_исходные!G638)</f>
        <v>Завершен</v>
      </c>
      <c r="H638" s="4">
        <f>IFERROR(VLOOKUP(B638,Товары_очищенные!$A$1:$G$1000,6,FALSE),"нет в каталоге")</f>
        <v>142500</v>
      </c>
      <c r="I638" t="str">
        <f>IFERROR(VLOOKUP(B638,Товары_очищенные!$A$1:$G$1000,3,FALSE),"нет в каталоге")</f>
        <v>Ноутбуки</v>
      </c>
      <c r="J638" t="str">
        <f t="shared" si="35"/>
        <v>OK</v>
      </c>
    </row>
    <row r="639">
      <c r="A639" s="8">
        <f>DATE(RIGHT(Продажи_исходные!A639,4),LEFT(Продажи_исходные!A639,2),MID(Продажи_исходные!A639,4,2))</f>
        <v>45990</v>
      </c>
      <c r="B639" t="str">
        <f>"АРТ-"&amp;LEFT(SUBSTITUTE(SUBSTITUTE(SUBSTITUTE(SUBSTITUTE(Продажи_исходные!B639,"№",""),"АРТ-",""),"АРТ_",""),"/","-"),3)</f>
        <v>АРТ-494</v>
      </c>
      <c r="C639" s="4">
        <f>IFERROR(VALUE(TRIM(SUBSTITUTE(SUBSTITUTE(SUBSTITUTE(SUBSTITUTE(Продажи_исходные!C639," шт.","")," шт",""),"шт.",""),"шт",""))),0)</f>
        <v>2</v>
      </c>
      <c r="D639" s="4">
        <f>IF(LEFT(Продажи_исходные!D639,1)="$",VALUE(MID(Продажи_исходные!D639,2,255))*95,IF(LEFT(Продажи_исходные!D639,1)="€",VALUE(MID(Продажи_исходные!D639,2,255))*100,VALUE(SUBSTITUTE(SUBSTITUTE(Продажи_исходные!D639,"₽","")," ",""))))</f>
        <v>8500</v>
      </c>
      <c r="E639" t="str">
        <f>Продажи_исходные!E639</f>
        <v>C0638</v>
      </c>
      <c r="F639" t="str">
        <f>Продажи_исходные!F639</f>
        <v>P010</v>
      </c>
      <c r="G639" t="str">
        <f>IFERROR(VLOOKUP(Продажи_исходные!G639,Справочники!$G$2:$H$50,2,FALSE),Продажи_исходные!G639)</f>
        <v>Отменен</v>
      </c>
      <c r="H639" s="4">
        <f>IFERROR(VLOOKUP(B639,Товары_очищенные!$A$1:$G$1000,6,FALSE),"нет в каталоге")</f>
        <v>14000</v>
      </c>
      <c r="I639" t="str">
        <f>IFERROR(VLOOKUP(B639,Товары_очищенные!$A$1:$G$1000,3,FALSE),"нет в каталоге")</f>
        <v>Наушники</v>
      </c>
      <c r="J639" t="str">
        <f t="shared" si="35"/>
        <v>OK</v>
      </c>
    </row>
    <row r="640">
      <c r="A640" s="8">
        <f>DATE(RIGHT(Продажи_исходные!A640,4),LEFT(Продажи_исходные!A640,2),MID(Продажи_исходные!A640,4,2))</f>
        <v>45991</v>
      </c>
      <c r="B640" t="str">
        <f>"АРТ-"&amp;LEFT(SUBSTITUTE(SUBSTITUTE(SUBSTITUTE(SUBSTITUTE(Продажи_исходные!B640,"№",""),"АРТ-",""),"АРТ_",""),"/","-"),3)</f>
        <v>АРТ-315</v>
      </c>
      <c r="C640" s="4">
        <f>IFERROR(VALUE(TRIM(SUBSTITUTE(SUBSTITUTE(SUBSTITUTE(SUBSTITUTE(Продажи_исходные!C640," шт.","")," шт",""),"шт.",""),"шт",""))),0)</f>
        <v>1</v>
      </c>
      <c r="D640" s="4">
        <f>IF(LEFT(Продажи_исходные!D640,1)="$",VALUE(MID(Продажи_исходные!D640,2,255))*95,IF(LEFT(Продажи_исходные!D640,1)="€",VALUE(MID(Продажи_исходные!D640,2,255))*100,VALUE(SUBSTITUTE(SUBSTITUTE(Продажи_исходные!D640,"₽","")," ",""))))</f>
        <v>7800</v>
      </c>
      <c r="E640" t="str">
        <f>Продажи_исходные!E640</f>
        <v>C0639</v>
      </c>
      <c r="F640" t="str">
        <f>Продажи_исходные!F640</f>
        <v>P033</v>
      </c>
      <c r="G640" t="str">
        <f>IFERROR(VLOOKUP(Продажи_исходные!G640,Справочники!$G$2:$H$50,2,FALSE),Продажи_исходные!G640)</f>
        <v>Отменен</v>
      </c>
      <c r="H640" s="4">
        <f>IFERROR(VLOOKUP(B640,Товары_очищенные!$A$1:$G$1000,6,FALSE),"нет в каталоге")</f>
        <v>72000</v>
      </c>
      <c r="I640" t="str">
        <f>IFERROR(VLOOKUP(B640,Товары_очищенные!$A$1:$G$1000,3,FALSE),"нет в каталоге")</f>
        <v>Смартфоны</v>
      </c>
      <c r="J640" t="str">
        <f t="shared" si="35"/>
        <v>OK</v>
      </c>
    </row>
    <row r="641">
      <c r="A641" s="8">
        <f>DATE(RIGHT(Продажи_исходные!A641,4),LEFT(Продажи_исходные!A641,2),MID(Продажи_исходные!A641,4,2))</f>
        <v>45991</v>
      </c>
      <c r="B641" t="str">
        <f>"АРТ-"&amp;LEFT(SUBSTITUTE(SUBSTITUTE(SUBSTITUTE(SUBSTITUTE(Продажи_исходные!B641,"№",""),"АРТ-",""),"АРТ_",""),"/","-"),3)</f>
        <v>АРТ-411</v>
      </c>
      <c r="C641" s="4">
        <f>IFERROR(VALUE(TRIM(SUBSTITUTE(SUBSTITUTE(SUBSTITUTE(SUBSTITUTE(Продажи_исходные!C641," шт.","")," шт",""),"шт.",""),"шт",""))),0)</f>
        <v>-3</v>
      </c>
      <c r="D641" s="4">
        <f>IF(LEFT(Продажи_исходные!D641,1)="$",VALUE(MID(Продажи_исходные!D641,2,255))*95,IF(LEFT(Продажи_исходные!D641,1)="€",VALUE(MID(Продажи_исходные!D641,2,255))*100,VALUE(SUBSTITUTE(SUBSTITUTE(Продажи_исходные!D641,"₽","")," ",""))))</f>
        <v>11400</v>
      </c>
      <c r="E641" t="str">
        <f>Продажи_исходные!E641</f>
        <v>C0640</v>
      </c>
      <c r="F641" t="str">
        <f>Продажи_исходные!F641</f>
        <v>P047</v>
      </c>
      <c r="G641" t="str">
        <f>IFERROR(VLOOKUP(Продажи_исходные!G641,Справочники!$G$2:$H$50,2,FALSE),Продажи_исходные!G641)</f>
        <v>Завершен</v>
      </c>
      <c r="H641" s="4">
        <f>IFERROR(VLOOKUP(B641,Товары_очищенные!$A$1:$G$1000,6,FALSE),"нет в каталоге")</f>
        <v>41500</v>
      </c>
      <c r="I641" t="str">
        <f>IFERROR(VLOOKUP(B641,Товары_очищенные!$A$1:$G$1000,3,FALSE),"нет в каталоге")</f>
        <v>Наушники</v>
      </c>
      <c r="J641" t="str">
        <f t="shared" si="35"/>
        <v>OK</v>
      </c>
    </row>
    <row r="642">
      <c r="A642" s="8">
        <f>DATE(RIGHT(Продажи_исходные!A642,4),LEFT(Продажи_исходные!A642,2),MID(Продажи_исходные!A642,4,2))</f>
        <v>45992</v>
      </c>
      <c r="B642" t="str">
        <f>"АРТ-"&amp;LEFT(SUBSTITUTE(SUBSTITUTE(SUBSTITUTE(SUBSTITUTE(Продажи_исходные!B642,"№",""),"АРТ-",""),"АРТ_",""),"/","-"),3)</f>
        <v>АРТ-321</v>
      </c>
      <c r="C642" s="4">
        <f>IFERROR(VALUE(TRIM(SUBSTITUTE(SUBSTITUTE(SUBSTITUTE(SUBSTITUTE(Продажи_исходные!C642," шт.","")," шт",""),"шт.",""),"шт",""))),0)</f>
        <v>2</v>
      </c>
      <c r="D642" s="4">
        <f>IF(LEFT(Продажи_исходные!D642,1)="$",VALUE(MID(Продажи_исходные!D642,2,255))*95,IF(LEFT(Продажи_исходные!D642,1)="€",VALUE(MID(Продажи_исходные!D642,2,255))*100,VALUE(SUBSTITUTE(SUBSTITUTE(Продажи_исходные!D642,"₽","")," ",""))))</f>
        <v>10000</v>
      </c>
      <c r="E642" t="str">
        <f>Продажи_исходные!E642</f>
        <v>C0641</v>
      </c>
      <c r="F642" t="str">
        <f>Продажи_исходные!F642</f>
        <v>P020</v>
      </c>
      <c r="G642" t="str">
        <f>IFERROR(VLOOKUP(Продажи_исходные!G642,Справочники!$G$2:$H$50,2,FALSE),Продажи_исходные!G642)</f>
        <v>Возврат</v>
      </c>
      <c r="H642" s="4">
        <f>IFERROR(VLOOKUP(B642,Товары_очищенные!$A$1:$G$1000,6,FALSE),"нет в каталоге")</f>
        <v>188000</v>
      </c>
      <c r="I642" t="str">
        <f>IFERROR(VLOOKUP(B642,Товары_очищенные!$A$1:$G$1000,3,FALSE),"нет в каталоге")</f>
        <v>Телевизоры</v>
      </c>
      <c r="J642" t="str">
        <f t="shared" si="35"/>
        <v>OK</v>
      </c>
    </row>
    <row r="643">
      <c r="A643" s="8">
        <f>DATE(RIGHT(Продажи_исходные!A643,4),LEFT(Продажи_исходные!A643,2),MID(Продажи_исходные!A643,4,2))</f>
        <v>45992</v>
      </c>
      <c r="B643" t="str">
        <f>"АРТ-"&amp;LEFT(SUBSTITUTE(SUBSTITUTE(SUBSTITUTE(SUBSTITUTE(Продажи_исходные!B643,"№",""),"АРТ-",""),"АРТ_",""),"/","-"),3)</f>
        <v>АРТ-155</v>
      </c>
      <c r="C643" s="4">
        <f>IFERROR(VALUE(TRIM(SUBSTITUTE(SUBSTITUTE(SUBSTITUTE(SUBSTITUTE(Продажи_исходные!C643," шт.","")," шт",""),"шт.",""),"шт",""))),0)</f>
        <v>1</v>
      </c>
      <c r="D643" s="4">
        <f>IF(LEFT(Продажи_исходные!D643,1)="$",VALUE(MID(Продажи_исходные!D643,2,255))*95,IF(LEFT(Продажи_исходные!D643,1)="€",VALUE(MID(Продажи_исходные!D643,2,255))*100,VALUE(SUBSTITUTE(SUBSTITUTE(Продажи_исходные!D643,"₽","")," ",""))))</f>
        <v>9200</v>
      </c>
      <c r="E643" t="str">
        <f>Продажи_исходные!E643</f>
        <v>C0642</v>
      </c>
      <c r="F643" t="str">
        <f>Продажи_исходные!F643</f>
        <v>P002</v>
      </c>
      <c r="G643" t="str">
        <f>IFERROR(VLOOKUP(Продажи_исходные!G643,Справочники!$G$2:$H$50,2,FALSE),Продажи_исходные!G643)</f>
        <v>Завершен</v>
      </c>
      <c r="H643" s="4">
        <f>IFERROR(VLOOKUP(B643,Товары_очищенные!$A$1:$G$1000,6,FALSE),"нет в каталоге")</f>
        <v>16000</v>
      </c>
      <c r="I643" t="str">
        <f>IFERROR(VLOOKUP(B643,Товары_очищенные!$A$1:$G$1000,3,FALSE),"нет в каталоге")</f>
        <v>Наушники</v>
      </c>
      <c r="J643" t="str">
        <f t="shared" si="35"/>
        <v>OK</v>
      </c>
    </row>
    <row r="644">
      <c r="A644" s="8">
        <f>DATE(RIGHT(Продажи_исходные!A644,4),LEFT(Продажи_исходные!A644,2),MID(Продажи_исходные!A644,4,2))</f>
        <v>45993</v>
      </c>
      <c r="B644" t="str">
        <f>"АРТ-"&amp;LEFT(SUBSTITUTE(SUBSTITUTE(SUBSTITUTE(SUBSTITUTE(Продажи_исходные!B644,"№",""),"АРТ-",""),"АРТ_",""),"/","-"),3)</f>
        <v>АРТ-056</v>
      </c>
      <c r="C644" s="4">
        <f>IFERROR(VALUE(TRIM(SUBSTITUTE(SUBSTITUTE(SUBSTITUTE(SUBSTITUTE(Продажи_исходные!C644," шт.","")," шт",""),"шт.",""),"шт",""))),0)</f>
        <v>3</v>
      </c>
      <c r="D644" s="4">
        <f>IF(LEFT(Продажи_исходные!D644,1)="$",VALUE(MID(Продажи_исходные!D644,2,255))*95,IF(LEFT(Продажи_исходные!D644,1)="€",VALUE(MID(Продажи_исходные!D644,2,255))*100,VALUE(SUBSTITUTE(SUBSTITUTE(Продажи_исходные!D644,"₽","")," ",""))))</f>
        <v>8550</v>
      </c>
      <c r="E644" t="str">
        <f>Продажи_исходные!E644</f>
        <v>C0643</v>
      </c>
      <c r="F644" t="str">
        <f>Продажи_исходные!F644</f>
        <v>P038</v>
      </c>
      <c r="G644" t="str">
        <f>IFERROR(VLOOKUP(Продажи_исходные!G644,Справочники!$G$2:$H$50,2,FALSE),Продажи_исходные!G644)</f>
        <v>Завершен</v>
      </c>
      <c r="H644" s="4">
        <f>IFERROR(VLOOKUP(B644,Товары_очищенные!$A$1:$G$1000,6,FALSE),"нет в каталоге")</f>
        <v>10500</v>
      </c>
      <c r="I644" t="str">
        <f>IFERROR(VLOOKUP(B644,Товары_очищенные!$A$1:$G$1000,3,FALSE),"нет в каталоге")</f>
        <v>Аксессуары</v>
      </c>
      <c r="J644" t="str">
        <f t="shared" si="35"/>
        <v>OK</v>
      </c>
    </row>
    <row r="645">
      <c r="A645" s="8">
        <f>DATE(RIGHT(Продажи_исходные!A645,4),LEFT(Продажи_исходные!A645,2),MID(Продажи_исходные!A645,4,2))</f>
        <v>45993</v>
      </c>
      <c r="B645" t="str">
        <f>"АРТ-"&amp;LEFT(SUBSTITUTE(SUBSTITUTE(SUBSTITUTE(SUBSTITUTE(Продажи_исходные!B645,"№",""),"АРТ-",""),"АРТ_",""),"/","-"),3)</f>
        <v>АРТ-492</v>
      </c>
      <c r="C645" s="4">
        <f>IFERROR(VALUE(TRIM(SUBSTITUTE(SUBSTITUTE(SUBSTITUTE(SUBSTITUTE(Продажи_исходные!C645," шт.","")," шт",""),"шт.",""),"шт",""))),0)</f>
        <v>2</v>
      </c>
      <c r="D645" s="4">
        <f>IF(LEFT(Продажи_исходные!D645,1)="$",VALUE(MID(Продажи_исходные!D645,2,255))*95,IF(LEFT(Продажи_исходные!D645,1)="€",VALUE(MID(Продажи_исходные!D645,2,255))*100,VALUE(SUBSTITUTE(SUBSTITUTE(Продажи_исходные!D645,"₽","")," ",""))))</f>
        <v>7000</v>
      </c>
      <c r="E645" t="str">
        <f>Продажи_исходные!E645</f>
        <v>C0644</v>
      </c>
      <c r="F645" t="str">
        <f>Продажи_исходные!F645</f>
        <v>P016</v>
      </c>
      <c r="G645" t="str">
        <f>IFERROR(VLOOKUP(Продажи_исходные!G645,Справочники!$G$2:$H$50,2,FALSE),Продажи_исходные!G645)</f>
        <v>Завершен</v>
      </c>
      <c r="H645" s="4">
        <f>IFERROR(VLOOKUP(B645,Товары_очищенные!$A$1:$G$1000,6,FALSE),"нет в каталоге")</f>
        <v>64000</v>
      </c>
      <c r="I645" t="str">
        <f>IFERROR(VLOOKUP(B645,Товары_очищенные!$A$1:$G$1000,3,FALSE),"нет в каталоге")</f>
        <v>Телевизоры</v>
      </c>
      <c r="J645" t="str">
        <f t="shared" si="35"/>
        <v>OK</v>
      </c>
    </row>
    <row r="646">
      <c r="A646" s="8">
        <f>DATE(RIGHT(Продажи_исходные!A646,4),LEFT(Продажи_исходные!A646,2),MID(Продажи_исходные!A646,4,2))</f>
        <v>45994</v>
      </c>
      <c r="B646" t="str">
        <f>"АРТ-"&amp;LEFT(SUBSTITUTE(SUBSTITUTE(SUBSTITUTE(SUBSTITUTE(Продажи_исходные!B646,"№",""),"АРТ-",""),"АРТ_",""),"/","-"),3)</f>
        <v>АРТ-300</v>
      </c>
      <c r="C646" s="4">
        <f>IFERROR(VALUE(TRIM(SUBSTITUTE(SUBSTITUTE(SUBSTITUTE(SUBSTITUTE(Продажи_исходные!C646," шт.","")," шт",""),"шт.",""),"шт",""))),0)</f>
        <v>1</v>
      </c>
      <c r="D646" s="4">
        <f>IF(LEFT(Продажи_исходные!D646,1)="$",VALUE(MID(Продажи_исходные!D646,2,255))*95,IF(LEFT(Продажи_исходные!D646,1)="€",VALUE(MID(Продажи_исходные!D646,2,255))*100,VALUE(SUBSTITUTE(SUBSTITUTE(Продажи_исходные!D646,"₽","")," ",""))))</f>
        <v>6500</v>
      </c>
      <c r="E646" t="str">
        <f>Продажи_исходные!E646</f>
        <v>C0645</v>
      </c>
      <c r="F646" t="str">
        <f>Продажи_исходные!F646</f>
        <v>P029</v>
      </c>
      <c r="G646" t="str">
        <f>IFERROR(VLOOKUP(Продажи_исходные!G646,Справочники!$G$2:$H$50,2,FALSE),Продажи_исходные!G646)</f>
        <v>Отменен</v>
      </c>
      <c r="H646" s="4">
        <f>IFERROR(VLOOKUP(B646,Товары_очищенные!$A$1:$G$1000,6,FALSE),"нет в каталоге")</f>
        <v>68000</v>
      </c>
      <c r="I646" t="str">
        <f>IFERROR(VLOOKUP(B646,Товары_очищенные!$A$1:$G$1000,3,FALSE),"нет в каталоге")</f>
        <v>Телевизоры</v>
      </c>
      <c r="J646" t="str">
        <f t="shared" si="35"/>
        <v>OK</v>
      </c>
    </row>
    <row r="647">
      <c r="A647" s="8">
        <f>DATE(RIGHT(Продажи_исходные!A647,4),LEFT(Продажи_исходные!A647,2),MID(Продажи_исходные!A647,4,2))</f>
        <v>45994</v>
      </c>
      <c r="B647" t="str">
        <f>"АРТ-"&amp;LEFT(SUBSTITUTE(SUBSTITUTE(SUBSTITUTE(SUBSTITUTE(Продажи_исходные!B647,"№",""),"АРТ-",""),"АРТ_",""),"/","-"),3)</f>
        <v>АРТ-391</v>
      </c>
      <c r="C647" s="4">
        <f>IFERROR(VALUE(TRIM(SUBSTITUTE(SUBSTITUTE(SUBSTITUTE(SUBSTITUTE(Продажи_исходные!C647," шт.","")," шт",""),"шт.",""),"шт",""))),0)</f>
        <v>-1</v>
      </c>
      <c r="D647" s="4">
        <f>IF(LEFT(Продажи_исходные!D647,1)="$",VALUE(MID(Продажи_исходные!D647,2,255))*95,IF(LEFT(Продажи_исходные!D647,1)="€",VALUE(MID(Продажи_исходные!D647,2,255))*100,VALUE(SUBSTITUTE(SUBSTITUTE(Продажи_исходные!D647,"₽","")," ",""))))</f>
        <v>10450</v>
      </c>
      <c r="E647" t="str">
        <f>Продажи_исходные!E647</f>
        <v>C0646</v>
      </c>
      <c r="F647" t="str">
        <f>Продажи_исходные!F647</f>
        <v>P035</v>
      </c>
      <c r="G647" t="str">
        <f>IFERROR(VLOOKUP(Продажи_исходные!G647,Справочники!$G$2:$H$50,2,FALSE),Продажи_исходные!G647)</f>
        <v>Отменен</v>
      </c>
      <c r="H647" s="4">
        <f>IFERROR(VLOOKUP(B647,Товары_очищенные!$A$1:$G$1000,6,FALSE),"нет в каталоге")</f>
        <v>18990</v>
      </c>
      <c r="I647" t="str">
        <f>IFERROR(VLOOKUP(B647,Товары_очищенные!$A$1:$G$1000,3,FALSE),"нет в каталоге")</f>
        <v>Наушники</v>
      </c>
      <c r="J647" t="str">
        <f t="shared" si="35"/>
        <v>OK</v>
      </c>
    </row>
    <row r="648">
      <c r="A648" s="8">
        <f>DATE(RIGHT(Продажи_исходные!A648,4),LEFT(Продажи_исходные!A648,2),MID(Продажи_исходные!A648,4,2))</f>
        <v>45995</v>
      </c>
      <c r="B648" t="str">
        <f>"АРТ-"&amp;LEFT(SUBSTITUTE(SUBSTITUTE(SUBSTITUTE(SUBSTITUTE(Продажи_исходные!B648,"№",""),"АРТ-",""),"АРТ_",""),"/","-"),3)</f>
        <v>АРТ-364</v>
      </c>
      <c r="C648" s="4">
        <f>IFERROR(VALUE(TRIM(SUBSTITUTE(SUBSTITUTE(SUBSTITUTE(SUBSTITUTE(Продажи_исходные!C648," шт.","")," шт",""),"шт.",""),"шт",""))),0)</f>
        <v>3</v>
      </c>
      <c r="D648" s="4">
        <f>IF(LEFT(Продажи_исходные!D648,1)="$",VALUE(MID(Продажи_исходные!D648,2,255))*95,IF(LEFT(Продажи_исходные!D648,1)="€",VALUE(MID(Продажи_исходные!D648,2,255))*100,VALUE(SUBSTITUTE(SUBSTITUTE(Продажи_исходные!D648,"₽","")," ",""))))</f>
        <v>9000</v>
      </c>
      <c r="E648" t="str">
        <f>Продажи_исходные!E648</f>
        <v>C0647</v>
      </c>
      <c r="F648" t="str">
        <f>Продажи_исходные!F648</f>
        <v>P046</v>
      </c>
      <c r="G648" t="str">
        <f>IFERROR(VLOOKUP(Продажи_исходные!G648,Справочники!$G$2:$H$50,2,FALSE),Продажи_исходные!G648)</f>
        <v>Возврат</v>
      </c>
      <c r="H648" s="4">
        <f>IFERROR(VLOOKUP(B648,Товары_очищенные!$A$1:$G$1000,6,FALSE),"нет в каталоге")</f>
        <v>139990</v>
      </c>
      <c r="I648" t="str">
        <f>IFERROR(VLOOKUP(B648,Товары_очищенные!$A$1:$G$1000,3,FALSE),"нет в каталоге")</f>
        <v>Телевизоры</v>
      </c>
      <c r="J648" t="str">
        <f t="shared" si="35"/>
        <v>OK</v>
      </c>
    </row>
    <row r="649">
      <c r="A649" s="8">
        <f>DATE(RIGHT(Продажи_исходные!A649,4),LEFT(Продажи_исходные!A649,2),MID(Продажи_исходные!A649,4,2))</f>
        <v>45995</v>
      </c>
      <c r="B649" t="str">
        <f>"АРТ-"&amp;LEFT(SUBSTITUTE(SUBSTITUTE(SUBSTITUTE(SUBSTITUTE(Продажи_исходные!B649,"№",""),"АРТ-",""),"АРТ_",""),"/","-"),3)</f>
        <v>АРТ-233</v>
      </c>
      <c r="C649" s="4">
        <f>IFERROR(VALUE(TRIM(SUBSTITUTE(SUBSTITUTE(SUBSTITUTE(SUBSTITUTE(Продажи_исходные!C649," шт.","")," шт",""),"шт.",""),"шт",""))),0)</f>
        <v>2</v>
      </c>
      <c r="D649" s="4">
        <f>IF(LEFT(Продажи_исходные!D649,1)="$",VALUE(MID(Продажи_исходные!D649,2,255))*95,IF(LEFT(Продажи_исходные!D649,1)="€",VALUE(MID(Продажи_исходные!D649,2,255))*100,VALUE(SUBSTITUTE(SUBSTITUTE(Продажи_исходные!D649,"₽","")," ",""))))</f>
        <v>8000</v>
      </c>
      <c r="E649" t="str">
        <f>Продажи_исходные!E649</f>
        <v>C0648</v>
      </c>
      <c r="F649" t="str">
        <f>Продажи_исходные!F649</f>
        <v>P022</v>
      </c>
      <c r="G649" t="str">
        <f>IFERROR(VLOOKUP(Продажи_исходные!G649,Справочники!$G$2:$H$50,2,FALSE),Продажи_исходные!G649)</f>
        <v>Завершен</v>
      </c>
      <c r="H649" s="4">
        <f>IFERROR(VLOOKUP(B649,Товары_очищенные!$A$1:$G$1000,6,FALSE),"нет в каталоге")</f>
        <v>41500</v>
      </c>
      <c r="I649" t="str">
        <f>IFERROR(VLOOKUP(B649,Товары_очищенные!$A$1:$G$1000,3,FALSE),"нет в каталоге")</f>
        <v>Смартфоны</v>
      </c>
      <c r="J649" t="str">
        <f t="shared" si="35"/>
        <v>OK</v>
      </c>
    </row>
    <row r="650">
      <c r="A650" s="8">
        <f>DATE(RIGHT(Продажи_исходные!A650,4),LEFT(Продажи_исходные!A650,2),MID(Продажи_исходные!A650,4,2))</f>
        <v>45996</v>
      </c>
      <c r="B650" t="str">
        <f>"АРТ-"&amp;LEFT(SUBSTITUTE(SUBSTITUTE(SUBSTITUTE(SUBSTITUTE(Продажи_исходные!B650,"№",""),"АРТ-",""),"АРТ_",""),"/","-"),3)</f>
        <v>АРТ-122</v>
      </c>
      <c r="C650" s="4">
        <f>IFERROR(VALUE(TRIM(SUBSTITUTE(SUBSTITUTE(SUBSTITUTE(SUBSTITUTE(Продажи_исходные!C650," шт.","")," шт",""),"шт.",""),"шт",""))),0)</f>
        <v>1</v>
      </c>
      <c r="D650" s="4">
        <f>IF(LEFT(Продажи_исходные!D650,1)="$",VALUE(MID(Продажи_исходные!D650,2,255))*95,IF(LEFT(Продажи_исходные!D650,1)="€",VALUE(MID(Продажи_исходные!D650,2,255))*100,VALUE(SUBSTITUTE(SUBSTITUTE(Продажи_исходные!D650,"₽","")," ",""))))</f>
        <v>9025</v>
      </c>
      <c r="E650" t="str">
        <f>Продажи_исходные!E650</f>
        <v>C0649</v>
      </c>
      <c r="F650" t="str">
        <f>Продажи_исходные!F650</f>
        <v>P043</v>
      </c>
      <c r="G650" t="str">
        <f>IFERROR(VLOOKUP(Продажи_исходные!G650,Справочники!$G$2:$H$50,2,FALSE),Продажи_исходные!G650)</f>
        <v>Завершен</v>
      </c>
      <c r="H650" s="4">
        <f>IFERROR(VLOOKUP(B650,Товары_очищенные!$A$1:$G$1000,6,FALSE),"нет в каталоге")</f>
        <v>82500</v>
      </c>
      <c r="I650" t="str">
        <f>IFERROR(VLOOKUP(B650,Товары_очищенные!$A$1:$G$1000,3,FALSE),"нет в каталоге")</f>
        <v>Часы</v>
      </c>
      <c r="J650" t="str">
        <f t="shared" si="35"/>
        <v>OK</v>
      </c>
    </row>
    <row r="651">
      <c r="A651" s="8">
        <f>DATE(RIGHT(Продажи_исходные!A651,4),LEFT(Продажи_исходные!A651,2),MID(Продажи_исходные!A651,4,2))</f>
        <v>45996</v>
      </c>
      <c r="B651" t="str">
        <f>"АРТ-"&amp;LEFT(SUBSTITUTE(SUBSTITUTE(SUBSTITUTE(SUBSTITUTE(Продажи_исходные!B651,"№",""),"АРТ-",""),"АРТ_",""),"/","-"),3)</f>
        <v>АРТ-486</v>
      </c>
      <c r="C651" s="4">
        <f>IFERROR(VALUE(TRIM(SUBSTITUTE(SUBSTITUTE(SUBSTITUTE(SUBSTITUTE(Продажи_исходные!C651," шт.","")," шт",""),"шт.",""),"шт",""))),0)</f>
        <v>2</v>
      </c>
      <c r="D651" s="4">
        <f>IF(LEFT(Продажи_исходные!D651,1)="$",VALUE(MID(Продажи_исходные!D651,2,255))*95,IF(LEFT(Продажи_исходные!D651,1)="€",VALUE(MID(Продажи_исходные!D651,2,255))*100,VALUE(SUBSTITUTE(SUBSTITUTE(Продажи_исходные!D651,"₽","")," ",""))))</f>
        <v>7500</v>
      </c>
      <c r="E651" t="str">
        <f>Продажи_исходные!E651</f>
        <v>C0650</v>
      </c>
      <c r="F651" t="str">
        <f>Продажи_исходные!F651</f>
        <v>P030</v>
      </c>
      <c r="G651" t="str">
        <f>IFERROR(VLOOKUP(Продажи_исходные!G651,Справочники!$G$2:$H$50,2,FALSE),Продажи_исходные!G651)</f>
        <v>Завершен</v>
      </c>
      <c r="H651" s="4">
        <f>IFERROR(VLOOKUP(B651,Товары_очищенные!$A$1:$G$1000,6,FALSE),"нет в каталоге")</f>
        <v>35500</v>
      </c>
      <c r="I651" t="str">
        <f>IFERROR(VLOOKUP(B651,Товары_очищенные!$A$1:$G$1000,3,FALSE),"нет в каталоге")</f>
        <v>Смартфоны</v>
      </c>
      <c r="J651" t="str">
        <f t="shared" si="35"/>
        <v>OK</v>
      </c>
    </row>
    <row r="652">
      <c r="A652" s="8">
        <f>DATE(RIGHT(Продажи_исходные!A652,4),LEFT(Продажи_исходные!A652,2),MID(Продажи_исходные!A652,4,2))</f>
        <v>45997</v>
      </c>
      <c r="B652" t="str">
        <f>"АРТ-"&amp;LEFT(SUBSTITUTE(SUBSTITUTE(SUBSTITUTE(SUBSTITUTE(Продажи_исходные!B652,"№",""),"АРТ-",""),"АРТ_",""),"/","-"),3)</f>
        <v>АРТ-367</v>
      </c>
      <c r="C652" s="4">
        <f>IFERROR(VALUE(TRIM(SUBSTITUTE(SUBSTITUTE(SUBSTITUTE(SUBSTITUTE(Продажи_исходные!C652," шт.","")," шт",""),"шт.",""),"шт",""))),0)</f>
        <v>3</v>
      </c>
      <c r="D652" s="4">
        <f>IF(LEFT(Продажи_исходные!D652,1)="$",VALUE(MID(Продажи_исходные!D652,2,255))*95,IF(LEFT(Продажи_исходные!D652,1)="€",VALUE(MID(Продажи_исходные!D652,2,255))*100,VALUE(SUBSTITUTE(SUBSTITUTE(Продажи_исходные!D652,"₽","")," ",""))))</f>
        <v>7000</v>
      </c>
      <c r="E652" t="str">
        <f>Продажи_исходные!E652</f>
        <v>C0651</v>
      </c>
      <c r="F652" t="str">
        <f>Продажи_исходные!F652</f>
        <v>P012</v>
      </c>
      <c r="G652" t="str">
        <f>IFERROR(VLOOKUP(Продажи_исходные!G652,Справочники!$G$2:$H$50,2,FALSE),Продажи_исходные!G652)</f>
        <v>Отменен</v>
      </c>
      <c r="H652" s="4">
        <f>IFERROR(VLOOKUP(B652,Товары_очищенные!$A$1:$G$1000,6,FALSE),"нет в каталоге")</f>
        <v>19990</v>
      </c>
      <c r="I652" t="str">
        <f>IFERROR(VLOOKUP(B652,Товары_очищенные!$A$1:$G$1000,3,FALSE),"нет в каталоге")</f>
        <v>Наушники</v>
      </c>
      <c r="J652" t="str">
        <f t="shared" si="35"/>
        <v>OK</v>
      </c>
    </row>
    <row r="653">
      <c r="A653" s="8">
        <f>DATE(RIGHT(Продажи_исходные!A653,4),LEFT(Продажи_исходные!A653,2),MID(Продажи_исходные!A653,4,2))</f>
        <v>45997</v>
      </c>
      <c r="B653" t="str">
        <f>"АРТ-"&amp;LEFT(SUBSTITUTE(SUBSTITUTE(SUBSTITUTE(SUBSTITUTE(Продажи_исходные!B653,"№",""),"АРТ-",""),"АРТ_",""),"/","-"),3)</f>
        <v>АРТ-196</v>
      </c>
      <c r="C653" s="4">
        <f>IFERROR(VALUE(TRIM(SUBSTITUTE(SUBSTITUTE(SUBSTITUTE(SUBSTITUTE(Продажи_исходные!C653," шт.","")," шт",""),"шт.",""),"шт",""))),0)</f>
        <v>-2</v>
      </c>
      <c r="D653" s="4">
        <f>IF(LEFT(Продажи_исходные!D653,1)="$",VALUE(MID(Продажи_исходные!D653,2,255))*95,IF(LEFT(Продажи_исходные!D653,1)="€",VALUE(MID(Продажи_исходные!D653,2,255))*100,VALUE(SUBSTITUTE(SUBSTITUTE(Продажи_исходные!D653,"₽","")," ",""))))</f>
        <v>10925</v>
      </c>
      <c r="E653" t="str">
        <f>Продажи_исходные!E653</f>
        <v>C0652</v>
      </c>
      <c r="F653" t="str">
        <f>Продажи_исходные!F653</f>
        <v>P007</v>
      </c>
      <c r="G653" t="str">
        <f>IFERROR(VLOOKUP(Продажи_исходные!G653,Справочники!$G$2:$H$50,2,FALSE),Продажи_исходные!G653)</f>
        <v>Отменен</v>
      </c>
      <c r="H653" s="4">
        <f>IFERROR(VLOOKUP(B653,Товары_очищенные!$A$1:$G$1000,6,FALSE),"нет в каталоге")</f>
        <v>53990</v>
      </c>
      <c r="I653" t="str">
        <f>IFERROR(VLOOKUP(B653,Товары_очищенные!$A$1:$G$1000,3,FALSE),"нет в каталоге")</f>
        <v>Смартфоны</v>
      </c>
      <c r="J653" t="str">
        <f t="shared" si="35"/>
        <v>OK</v>
      </c>
    </row>
    <row r="654">
      <c r="A654" s="8">
        <f>DATE(RIGHT(Продажи_исходные!A654,4),LEFT(Продажи_исходные!A654,2),MID(Продажи_исходные!A654,4,2))</f>
        <v>45998</v>
      </c>
      <c r="B654" t="str">
        <f>"АРТ-"&amp;LEFT(SUBSTITUTE(SUBSTITUTE(SUBSTITUTE(SUBSTITUTE(Продажи_исходные!B654,"№",""),"АРТ-",""),"АРТ_",""),"/","-"),3)</f>
        <v>АРТ-385</v>
      </c>
      <c r="C654" s="4">
        <f>IFERROR(VALUE(TRIM(SUBSTITUTE(SUBSTITUTE(SUBSTITUTE(SUBSTITUTE(Продажи_исходные!C654," шт.","")," шт",""),"шт.",""),"шт",""))),0)</f>
        <v>1</v>
      </c>
      <c r="D654" s="4">
        <f>IF(LEFT(Продажи_исходные!D654,1)="$",VALUE(MID(Продажи_исходные!D654,2,255))*95,IF(LEFT(Продажи_исходные!D654,1)="€",VALUE(MID(Продажи_исходные!D654,2,255))*100,VALUE(SUBSTITUTE(SUBSTITUTE(Продажи_исходные!D654,"₽","")," ",""))))</f>
        <v>9500</v>
      </c>
      <c r="E654" t="str">
        <f>Продажи_исходные!E654</f>
        <v>C0653</v>
      </c>
      <c r="F654" t="str">
        <f>Продажи_исходные!F654</f>
        <v>P023</v>
      </c>
      <c r="G654" t="str">
        <f>IFERROR(VLOOKUP(Продажи_исходные!G654,Справочники!$G$2:$H$50,2,FALSE),Продажи_исходные!G654)</f>
        <v>Завершен</v>
      </c>
      <c r="H654" s="4">
        <f>IFERROR(VLOOKUP(B654,Товары_очищенные!$A$1:$G$1000,6,FALSE),"нет в каталоге")</f>
        <v>116990</v>
      </c>
      <c r="I654" t="str">
        <f>IFERROR(VLOOKUP(B654,Товары_очищенные!$A$1:$G$1000,3,FALSE),"нет в каталоге")</f>
        <v>Ноутбуки</v>
      </c>
      <c r="J654" t="str">
        <f t="shared" si="35"/>
        <v>OK</v>
      </c>
    </row>
    <row r="655">
      <c r="A655" s="8">
        <f>DATE(RIGHT(Продажи_исходные!A655,4),LEFT(Продажи_исходные!A655,2),MID(Продажи_исходные!A655,4,2))</f>
        <v>45998</v>
      </c>
      <c r="B655" t="str">
        <f>"АРТ-"&amp;LEFT(SUBSTITUTE(SUBSTITUTE(SUBSTITUTE(SUBSTITUTE(Продажи_исходные!B655,"№",""),"АРТ-",""),"АРТ_",""),"/","-"),3)</f>
        <v>АРТ-242</v>
      </c>
      <c r="C655" s="4">
        <f>IFERROR(VALUE(TRIM(SUBSTITUTE(SUBSTITUTE(SUBSTITUTE(SUBSTITUTE(Продажи_исходные!C655," шт.","")," шт",""),"шт.",""),"шт",""))),0)</f>
        <v>2</v>
      </c>
      <c r="D655" s="4">
        <f>IF(LEFT(Продажи_исходные!D655,1)="$",VALUE(MID(Продажи_исходные!D655,2,255))*95,IF(LEFT(Продажи_исходные!D655,1)="€",VALUE(MID(Продажи_исходные!D655,2,255))*100,VALUE(SUBSTITUTE(SUBSTITUTE(Продажи_исходные!D655,"₽","")," ",""))))</f>
        <v>8500</v>
      </c>
      <c r="E655" t="str">
        <f>Продажи_исходные!E655</f>
        <v>C0654</v>
      </c>
      <c r="F655" t="str">
        <f>Продажи_исходные!F655</f>
        <v>P045</v>
      </c>
      <c r="G655" t="str">
        <f>IFERROR(VLOOKUP(Продажи_исходные!G655,Справочники!$G$2:$H$50,2,FALSE),Продажи_исходные!G655)</f>
        <v>Возврат</v>
      </c>
      <c r="H655" s="4">
        <f>IFERROR(VLOOKUP(B655,Товары_очищенные!$A$1:$G$1000,6,FALSE),"нет в каталоге")</f>
        <v>58000</v>
      </c>
      <c r="I655" t="str">
        <f>IFERROR(VLOOKUP(B655,Товары_очищенные!$A$1:$G$1000,3,FALSE),"нет в каталоге")</f>
        <v>Наушники</v>
      </c>
      <c r="J655" t="str">
        <f t="shared" si="35"/>
        <v>OK</v>
      </c>
    </row>
    <row r="656">
      <c r="A656" s="8">
        <f>DATE(RIGHT(Продажи_исходные!A656,4),LEFT(Продажи_исходные!A656,2),MID(Продажи_исходные!A656,4,2))</f>
        <v>45999</v>
      </c>
      <c r="B656" t="str">
        <f>"АРТ-"&amp;LEFT(SUBSTITUTE(SUBSTITUTE(SUBSTITUTE(SUBSTITUTE(Продажи_исходные!B656,"№",""),"АРТ-",""),"АРТ_",""),"/","-"),3)</f>
        <v>АРТ-089</v>
      </c>
      <c r="C656" s="4">
        <f>IFERROR(VALUE(TRIM(SUBSTITUTE(SUBSTITUTE(SUBSTITUTE(SUBSTITUTE(Продажи_исходные!C656," шт.","")," шт",""),"шт.",""),"шт",""))),0)</f>
        <v>3</v>
      </c>
      <c r="D656" s="4">
        <f>IF(LEFT(Продажи_исходные!D656,1)="$",VALUE(MID(Продажи_исходные!D656,2,255))*95,IF(LEFT(Продажи_исходные!D656,1)="€",VALUE(MID(Продажи_исходные!D656,2,255))*100,VALUE(SUBSTITUTE(SUBSTITUTE(Продажи_исходные!D656,"₽","")," ",""))))</f>
        <v>9975</v>
      </c>
      <c r="E656" t="str">
        <f>Продажи_исходные!E656</f>
        <v>C0655</v>
      </c>
      <c r="F656" t="str">
        <f>Продажи_исходные!F656</f>
        <v>P008</v>
      </c>
      <c r="G656" t="str">
        <f>IFERROR(VLOOKUP(Продажи_исходные!G656,Справочники!$G$2:$H$50,2,FALSE),Продажи_исходные!G656)</f>
        <v>Завершен</v>
      </c>
      <c r="H656" s="4">
        <f>IFERROR(VLOOKUP(B656,Товары_очищенные!$A$1:$G$1000,6,FALSE),"нет в каталоге")</f>
        <v>53500</v>
      </c>
      <c r="I656" t="str">
        <f>IFERROR(VLOOKUP(B656,Товары_очищенные!$A$1:$G$1000,3,FALSE),"нет в каталоге")</f>
        <v>Телевизоры</v>
      </c>
      <c r="J656" t="str">
        <f t="shared" si="35"/>
        <v>OK</v>
      </c>
    </row>
    <row r="657">
      <c r="A657" s="8">
        <f>DATE(RIGHT(Продажи_исходные!A657,4),LEFT(Продажи_исходные!A657,2),MID(Продажи_исходные!A657,4,2))</f>
        <v>45999</v>
      </c>
      <c r="B657" t="str">
        <f>"АРТ-"&amp;LEFT(SUBSTITUTE(SUBSTITUTE(SUBSTITUTE(SUBSTITUTE(Продажи_исходные!B657,"№",""),"АРТ-",""),"АРТ_",""),"/","-"),3)</f>
        <v>АРТ-434</v>
      </c>
      <c r="C657" s="4">
        <f>IFERROR(VALUE(TRIM(SUBSTITUTE(SUBSTITUTE(SUBSTITUTE(SUBSTITUTE(Продажи_исходные!C657," шт.","")," шт",""),"шт.",""),"шт",""))),0)</f>
        <v>2</v>
      </c>
      <c r="D657" s="4">
        <f>IF(LEFT(Продажи_исходные!D657,1)="$",VALUE(MID(Продажи_исходные!D657,2,255))*95,IF(LEFT(Продажи_исходные!D657,1)="€",VALUE(MID(Продажи_исходные!D657,2,255))*100,VALUE(SUBSTITUTE(SUBSTITUTE(Продажи_исходные!D657,"₽","")," ",""))))</f>
        <v>8500</v>
      </c>
      <c r="E657" t="str">
        <f>Продажи_исходные!E657</f>
        <v>C0656</v>
      </c>
      <c r="F657" t="str">
        <f>Продажи_исходные!F657</f>
        <v>P031</v>
      </c>
      <c r="G657" t="str">
        <f>IFERROR(VLOOKUP(Продажи_исходные!G657,Справочники!$G$2:$H$50,2,FALSE),Продажи_исходные!G657)</f>
        <v>Завершен</v>
      </c>
      <c r="H657" s="4">
        <f>IFERROR(VLOOKUP(B657,Товары_очищенные!$A$1:$G$1000,6,FALSE),"нет в каталоге")</f>
        <v>42000</v>
      </c>
      <c r="I657" t="str">
        <f>IFERROR(VLOOKUP(B657,Товары_очищенные!$A$1:$G$1000,3,FALSE),"нет в каталоге")</f>
        <v>Мониторы</v>
      </c>
      <c r="J657" t="str">
        <f t="shared" si="35"/>
        <v>OK</v>
      </c>
    </row>
    <row r="658">
      <c r="A658" s="8">
        <f>DATE(RIGHT(Продажи_исходные!A658,4),LEFT(Продажи_исходные!A658,2),MID(Продажи_исходные!A658,4,2))</f>
        <v>46000</v>
      </c>
      <c r="B658" t="str">
        <f>"АРТ-"&amp;LEFT(SUBSTITUTE(SUBSTITUTE(SUBSTITUTE(SUBSTITUTE(Продажи_исходные!B658,"№",""),"АРТ-",""),"АРТ_",""),"/","-"),3)</f>
        <v>АРТ-331</v>
      </c>
      <c r="C658" s="4">
        <f>IFERROR(VALUE(TRIM(SUBSTITUTE(SUBSTITUTE(SUBSTITUTE(SUBSTITUTE(Продажи_исходные!C658," шт.","")," шт",""),"шт.",""),"шт",""))),0)</f>
        <v>1</v>
      </c>
      <c r="D658" s="4">
        <f>IF(LEFT(Продажи_исходные!D658,1)="$",VALUE(MID(Продажи_исходные!D658,2,255))*95,IF(LEFT(Продажи_исходные!D658,1)="€",VALUE(MID(Продажи_исходные!D658,2,255))*100,VALUE(SUBSTITUTE(SUBSTITUTE(Продажи_исходные!D658,"₽","")," ",""))))</f>
        <v>7800</v>
      </c>
      <c r="E658" t="str">
        <f>Продажи_исходные!E658</f>
        <v>C0657</v>
      </c>
      <c r="F658" t="str">
        <f>Продажи_исходные!F658</f>
        <v>P019</v>
      </c>
      <c r="G658" t="str">
        <f>IFERROR(VLOOKUP(Продажи_исходные!G658,Справочники!$G$2:$H$50,2,FALSE),Продажи_исходные!G658)</f>
        <v>Завершен</v>
      </c>
      <c r="H658" s="4">
        <f>IFERROR(VLOOKUP(B658,Товары_очищенные!$A$1:$G$1000,6,FALSE),"нет в каталоге")</f>
        <v>69990</v>
      </c>
      <c r="I658" t="str">
        <f>IFERROR(VLOOKUP(B658,Товары_очищенные!$A$1:$G$1000,3,FALSE),"нет в каталоге")</f>
        <v>Часы</v>
      </c>
      <c r="J658" t="str">
        <f t="shared" si="35"/>
        <v>OK</v>
      </c>
    </row>
    <row r="659">
      <c r="A659" s="8">
        <f>DATE(RIGHT(Продажи_исходные!A659,4),LEFT(Продажи_исходные!A659,2),MID(Продажи_исходные!A659,4,2))</f>
        <v>46000</v>
      </c>
      <c r="B659" t="str">
        <f>"АРТ-"&amp;LEFT(SUBSTITUTE(SUBSTITUTE(SUBSTITUTE(SUBSTITUTE(Продажи_исходные!B659,"№",""),"АРТ-",""),"АРТ_",""),"/","-"),3)</f>
        <v>АРТ-194</v>
      </c>
      <c r="C659" s="4">
        <f>IFERROR(VALUE(TRIM(SUBSTITUTE(SUBSTITUTE(SUBSTITUTE(SUBSTITUTE(Продажи_исходные!C659," шт.","")," шт",""),"шт.",""),"шт",""))),0)</f>
        <v>-3</v>
      </c>
      <c r="D659" s="4">
        <f>IF(LEFT(Продажи_исходные!D659,1)="$",VALUE(MID(Продажи_исходные!D659,2,255))*95,IF(LEFT(Продажи_исходные!D659,1)="€",VALUE(MID(Продажи_исходные!D659,2,255))*100,VALUE(SUBSTITUTE(SUBSTITUTE(Продажи_исходные!D659,"₽","")," ",""))))</f>
        <v>11400</v>
      </c>
      <c r="E659" t="str">
        <f>Продажи_исходные!E659</f>
        <v>C0658</v>
      </c>
      <c r="F659" t="str">
        <f>Продажи_исходные!F659</f>
        <v>P042</v>
      </c>
      <c r="G659" t="str">
        <f>IFERROR(VLOOKUP(Продажи_исходные!G659,Справочники!$G$2:$H$50,2,FALSE),Продажи_исходные!G659)</f>
        <v>Отменен</v>
      </c>
      <c r="H659" s="4">
        <f>IFERROR(VLOOKUP(B659,Товары_очищенные!$A$1:$G$1000,6,FALSE),"нет в каталоге")</f>
        <v>127000</v>
      </c>
      <c r="I659" t="str">
        <f>IFERROR(VLOOKUP(B659,Товары_очищенные!$A$1:$G$1000,3,FALSE),"нет в каталоге")</f>
        <v>Ноутбуки</v>
      </c>
      <c r="J659" t="str">
        <f t="shared" si="35"/>
        <v>OK</v>
      </c>
    </row>
    <row r="660">
      <c r="A660" s="8">
        <f>DATE(RIGHT(Продажи_исходные!A660,4),LEFT(Продажи_исходные!A660,2),MID(Продажи_исходные!A660,4,2))</f>
        <v>46001</v>
      </c>
      <c r="B660" t="str">
        <f>"АРТ-"&amp;LEFT(SUBSTITUTE(SUBSTITUTE(SUBSTITUTE(SUBSTITUTE(Продажи_исходные!B660,"№",""),"АРТ-",""),"АРТ_",""),"/","-"),3)</f>
        <v>АРТ-291</v>
      </c>
      <c r="C660" s="4">
        <f>IFERROR(VALUE(TRIM(SUBSTITUTE(SUBSTITUTE(SUBSTITUTE(SUBSTITUTE(Продажи_исходные!C660," шт.","")," шт",""),"шт.",""),"шт",""))),0)</f>
        <v>2</v>
      </c>
      <c r="D660" s="4">
        <f>IF(LEFT(Продажи_исходные!D660,1)="$",VALUE(MID(Продажи_исходные!D660,2,255))*95,IF(LEFT(Продажи_исходные!D660,1)="€",VALUE(MID(Продажи_исходные!D660,2,255))*100,VALUE(SUBSTITUTE(SUBSTITUTE(Продажи_исходные!D660,"₽","")," ",""))))</f>
        <v>10000</v>
      </c>
      <c r="E660" t="str">
        <f>Продажи_исходные!E660</f>
        <v>C0659</v>
      </c>
      <c r="F660" t="str">
        <f>Продажи_исходные!F660</f>
        <v>P005</v>
      </c>
      <c r="G660" t="str">
        <f>IFERROR(VLOOKUP(Продажи_исходные!G660,Справочники!$G$2:$H$50,2,FALSE),Продажи_исходные!G660)</f>
        <v>Отменен</v>
      </c>
      <c r="H660" s="4">
        <f>IFERROR(VLOOKUP(B660,Товары_очищенные!$A$1:$G$1000,6,FALSE),"нет в каталоге")</f>
        <v>65000</v>
      </c>
      <c r="I660" t="str">
        <f>IFERROR(VLOOKUP(B660,Товары_очищенные!$A$1:$G$1000,3,FALSE),"нет в каталоге")</f>
        <v>Часы</v>
      </c>
      <c r="J660" t="str">
        <f t="shared" si="35"/>
        <v>OK</v>
      </c>
    </row>
    <row r="661">
      <c r="A661" s="8">
        <f>DATE(RIGHT(Продажи_исходные!A661,4),LEFT(Продажи_исходные!A661,2),MID(Продажи_исходные!A661,4,2))</f>
        <v>46001</v>
      </c>
      <c r="B661" t="str">
        <f>"АРТ-"&amp;LEFT(SUBSTITUTE(SUBSTITUTE(SUBSTITUTE(SUBSTITUTE(Продажи_исходные!B661,"№",""),"АРТ-",""),"АРТ_",""),"/","-"),3)</f>
        <v>АРТ-138</v>
      </c>
      <c r="C661" s="4">
        <f>IFERROR(VALUE(TRIM(SUBSTITUTE(SUBSTITUTE(SUBSTITUTE(SUBSTITUTE(Продажи_исходные!C661," шт.","")," шт",""),"шт.",""),"шт",""))),0)</f>
        <v>1</v>
      </c>
      <c r="D661" s="4">
        <f>IF(LEFT(Продажи_исходные!D661,1)="$",VALUE(MID(Продажи_исходные!D661,2,255))*95,IF(LEFT(Продажи_исходные!D661,1)="€",VALUE(MID(Продажи_исходные!D661,2,255))*100,VALUE(SUBSTITUTE(SUBSTITUTE(Продажи_исходные!D661,"₽","")," ",""))))</f>
        <v>9200</v>
      </c>
      <c r="E661" t="str">
        <f>Продажи_исходные!E661</f>
        <v>C0660</v>
      </c>
      <c r="F661" t="str">
        <f>Продажи_исходные!F661</f>
        <v>P036</v>
      </c>
      <c r="G661" t="str">
        <f>IFERROR(VLOOKUP(Продажи_исходные!G661,Справочники!$G$2:$H$50,2,FALSE),Продажи_исходные!G661)</f>
        <v>Возврат</v>
      </c>
      <c r="H661" s="4">
        <f>IFERROR(VLOOKUP(B661,Товары_очищенные!$A$1:$G$1000,6,FALSE),"нет в каталоге")</f>
        <v>24000</v>
      </c>
      <c r="I661" t="str">
        <f>IFERROR(VLOOKUP(B661,Товары_очищенные!$A$1:$G$1000,3,FALSE),"нет в каталоге")</f>
        <v>Наушники</v>
      </c>
      <c r="J661" t="str">
        <f t="shared" si="35"/>
        <v>OK</v>
      </c>
    </row>
    <row r="662">
      <c r="A662" s="8">
        <f>DATE(RIGHT(Продажи_исходные!A662,4),LEFT(Продажи_исходные!A662,2),MID(Продажи_исходные!A662,4,2))</f>
        <v>46002</v>
      </c>
      <c r="B662" t="str">
        <f>"АРТ-"&amp;LEFT(SUBSTITUTE(SUBSTITUTE(SUBSTITUTE(SUBSTITUTE(Продажи_исходные!B662,"№",""),"АРТ-",""),"АРТ_",""),"/","-"),3)</f>
        <v>АРТ-014</v>
      </c>
      <c r="C662" s="4">
        <f>IFERROR(VALUE(TRIM(SUBSTITUTE(SUBSTITUTE(SUBSTITUTE(SUBSTITUTE(Продажи_исходные!C662," шт.","")," шт",""),"шт.",""),"шт",""))),0)</f>
        <v>3</v>
      </c>
      <c r="D662" s="4">
        <f>IF(LEFT(Продажи_исходные!D662,1)="$",VALUE(MID(Продажи_исходные!D662,2,255))*95,IF(LEFT(Продажи_исходные!D662,1)="€",VALUE(MID(Продажи_исходные!D662,2,255))*100,VALUE(SUBSTITUTE(SUBSTITUTE(Продажи_исходные!D662,"₽","")," ",""))))</f>
        <v>8550</v>
      </c>
      <c r="E662" t="str">
        <f>Продажи_исходные!E662</f>
        <v>C0661</v>
      </c>
      <c r="F662" t="str">
        <f>Продажи_исходные!F662</f>
        <v>P014</v>
      </c>
      <c r="G662" t="str">
        <f>IFERROR(VLOOKUP(Продажи_исходные!G662,Справочники!$G$2:$H$50,2,FALSE),Продажи_исходные!G662)</f>
        <v>Завершен</v>
      </c>
      <c r="H662" s="4">
        <f>IFERROR(VLOOKUP(B662,Товары_очищенные!$A$1:$G$1000,6,FALSE),"нет в каталоге")</f>
        <v>147500</v>
      </c>
      <c r="I662" t="str">
        <f>IFERROR(VLOOKUP(B662,Товары_очищенные!$A$1:$G$1000,3,FALSE),"нет в каталоге")</f>
        <v>Телевизоры</v>
      </c>
      <c r="J662" t="str">
        <f t="shared" si="35"/>
        <v>OK</v>
      </c>
    </row>
    <row r="663">
      <c r="A663" s="8">
        <f>DATE(RIGHT(Продажи_исходные!A663,4),LEFT(Продажи_исходные!A663,2),MID(Продажи_исходные!A663,4,2))</f>
        <v>46002</v>
      </c>
      <c r="B663" t="str">
        <f>"АРТ-"&amp;LEFT(SUBSTITUTE(SUBSTITUTE(SUBSTITUTE(SUBSTITUTE(Продажи_исходные!B663,"№",""),"АРТ-",""),"АРТ_",""),"/","-"),3)</f>
        <v>АРТ-453</v>
      </c>
      <c r="C663" s="4">
        <f>IFERROR(VALUE(TRIM(SUBSTITUTE(SUBSTITUTE(SUBSTITUTE(SUBSTITUTE(Продажи_исходные!C663," шт.","")," шт",""),"шт.",""),"шт",""))),0)</f>
        <v>2</v>
      </c>
      <c r="D663" s="4">
        <f>IF(LEFT(Продажи_исходные!D663,1)="$",VALUE(MID(Продажи_исходные!D663,2,255))*95,IF(LEFT(Продажи_исходные!D663,1)="€",VALUE(MID(Продажи_исходные!D663,2,255))*100,VALUE(SUBSTITUTE(SUBSTITUTE(Продажи_исходные!D663,"₽","")," ",""))))</f>
        <v>7000</v>
      </c>
      <c r="E663" t="str">
        <f>Продажи_исходные!E663</f>
        <v>C0662</v>
      </c>
      <c r="F663" t="str">
        <f>Продажи_исходные!F663</f>
        <v>P028</v>
      </c>
      <c r="G663" t="str">
        <f>IFERROR(VLOOKUP(Продажи_исходные!G663,Справочники!$G$2:$H$50,2,FALSE),Продажи_исходные!G663)</f>
        <v>Завершен</v>
      </c>
      <c r="H663" s="4">
        <f>IFERROR(VLOOKUP(B663,Товары_очищенные!$A$1:$G$1000,6,FALSE),"нет в каталоге")</f>
        <v>41500</v>
      </c>
      <c r="I663" t="str">
        <f>IFERROR(VLOOKUP(B663,Товары_очищенные!$A$1:$G$1000,3,FALSE),"нет в каталоге")</f>
        <v>Наушники</v>
      </c>
      <c r="J663" t="str">
        <f t="shared" si="35"/>
        <v>OK</v>
      </c>
    </row>
    <row r="664">
      <c r="A664" s="8">
        <f>DATE(RIGHT(Продажи_исходные!A664,4),LEFT(Продажи_исходные!A664,2),MID(Продажи_исходные!A664,4,2))</f>
        <v>46003</v>
      </c>
      <c r="B664" t="str">
        <f>"АРТ-"&amp;LEFT(SUBSTITUTE(SUBSTITUTE(SUBSTITUTE(SUBSTITUTE(Продажи_исходные!B664,"№",""),"АРТ-",""),"АРТ_",""),"/","-"),3)</f>
        <v>АРТ-393</v>
      </c>
      <c r="C664" s="4">
        <f>IFERROR(VALUE(TRIM(SUBSTITUTE(SUBSTITUTE(SUBSTITUTE(SUBSTITUTE(Продажи_исходные!C664," шт.","")," шт",""),"шт.",""),"шт",""))),0)</f>
        <v>1</v>
      </c>
      <c r="D664" s="4">
        <f>IF(LEFT(Продажи_исходные!D664,1)="$",VALUE(MID(Продажи_исходные!D664,2,255))*95,IF(LEFT(Продажи_исходные!D664,1)="€",VALUE(MID(Продажи_исходные!D664,2,255))*100,VALUE(SUBSTITUTE(SUBSTITUTE(Продажи_исходные!D664,"₽","")," ",""))))</f>
        <v>6500</v>
      </c>
      <c r="E664" t="str">
        <f>Продажи_исходные!E664</f>
        <v>C0663</v>
      </c>
      <c r="F664" t="str">
        <f>Продажи_исходные!F664</f>
        <v>P009</v>
      </c>
      <c r="G664" t="str">
        <f>IFERROR(VLOOKUP(Продажи_исходные!G664,Справочники!$G$2:$H$50,2,FALSE),Продажи_исходные!G664)</f>
        <v>Завершен</v>
      </c>
      <c r="H664" s="4">
        <f>IFERROR(VLOOKUP(B664,Товары_очищенные!$A$1:$G$1000,6,FALSE),"нет в каталоге")</f>
        <v>19800</v>
      </c>
      <c r="I664" t="str">
        <f>IFERROR(VLOOKUP(B664,Товары_очищенные!$A$1:$G$1000,3,FALSE),"нет в каталоге")</f>
        <v>Наушники</v>
      </c>
      <c r="J664" t="str">
        <f t="shared" si="35"/>
        <v>OK</v>
      </c>
    </row>
    <row r="665">
      <c r="A665" s="8">
        <f>DATE(RIGHT(Продажи_исходные!A665,4),LEFT(Продажи_исходные!A665,2),MID(Продажи_исходные!A665,4,2))</f>
        <v>46003</v>
      </c>
      <c r="B665" t="str">
        <f>"АРТ-"&amp;LEFT(SUBSTITUTE(SUBSTITUTE(SUBSTITUTE(SUBSTITUTE(Продажи_исходные!B665,"№",""),"АРТ-",""),"АРТ_",""),"/","-"),3)</f>
        <v>АРТ-273</v>
      </c>
      <c r="C665" s="4">
        <f>IFERROR(VALUE(TRIM(SUBSTITUTE(SUBSTITUTE(SUBSTITUTE(SUBSTITUTE(Продажи_исходные!C665," шт.","")," шт",""),"шт.",""),"шт",""))),0)</f>
        <v>-1</v>
      </c>
      <c r="D665" s="4">
        <f>IF(LEFT(Продажи_исходные!D665,1)="$",VALUE(MID(Продажи_исходные!D665,2,255))*95,IF(LEFT(Продажи_исходные!D665,1)="€",VALUE(MID(Продажи_исходные!D665,2,255))*100,VALUE(SUBSTITUTE(SUBSTITUTE(Продажи_исходные!D665,"₽","")," ",""))))</f>
        <v>10450</v>
      </c>
      <c r="E665" t="str">
        <f>Продажи_исходные!E665</f>
        <v>C0664</v>
      </c>
      <c r="F665" t="str">
        <f>Продажи_исходные!F665</f>
        <v>P041</v>
      </c>
      <c r="G665" t="str">
        <f>IFERROR(VLOOKUP(Продажи_исходные!G665,Справочники!$G$2:$H$50,2,FALSE),Продажи_исходные!G665)</f>
        <v>Отменен</v>
      </c>
      <c r="H665" s="4">
        <f>IFERROR(VLOOKUP(B665,Товары_очищенные!$A$1:$G$1000,6,FALSE),"нет в каталоге")</f>
        <v>46500</v>
      </c>
      <c r="I665" t="str">
        <f>IFERROR(VLOOKUP(B665,Товары_очищенные!$A$1:$G$1000,3,FALSE),"нет в каталоге")</f>
        <v>Смартфоны</v>
      </c>
      <c r="J665" t="str">
        <f t="shared" si="35"/>
        <v>OK</v>
      </c>
    </row>
    <row r="666">
      <c r="A666" s="8">
        <f>DATE(RIGHT(Продажи_исходные!A666,4),LEFT(Продажи_исходные!A666,2),MID(Продажи_исходные!A666,4,2))</f>
        <v>46004</v>
      </c>
      <c r="B666" t="str">
        <f>"АРТ-"&amp;LEFT(SUBSTITUTE(SUBSTITUTE(SUBSTITUTE(SUBSTITUTE(Продажи_исходные!B666,"№",""),"АРТ-",""),"АРТ_",""),"/","-"),3)</f>
        <v>АРТ-371</v>
      </c>
      <c r="C666" s="4">
        <f>IFERROR(VALUE(TRIM(SUBSTITUTE(SUBSTITUTE(SUBSTITUTE(SUBSTITUTE(Продажи_исходные!C666," шт.","")," шт",""),"шт.",""),"шт",""))),0)</f>
        <v>3</v>
      </c>
      <c r="D666" s="4">
        <f>IF(LEFT(Продажи_исходные!D666,1)="$",VALUE(MID(Продажи_исходные!D666,2,255))*95,IF(LEFT(Продажи_исходные!D666,1)="€",VALUE(MID(Продажи_исходные!D666,2,255))*100,VALUE(SUBSTITUTE(SUBSTITUTE(Продажи_исходные!D666,"₽","")," ",""))))</f>
        <v>9000</v>
      </c>
      <c r="E666" t="str">
        <f>Продажи_исходные!E666</f>
        <v>C0665</v>
      </c>
      <c r="F666" t="str">
        <f>Продажи_исходные!F666</f>
        <v>P017</v>
      </c>
      <c r="G666" t="str">
        <f>IFERROR(VLOOKUP(Продажи_исходные!G666,Справочники!$G$2:$H$50,2,FALSE),Продажи_исходные!G666)</f>
        <v>Отменен</v>
      </c>
      <c r="H666" s="4">
        <f>IFERROR(VLOOKUP(B666,Товары_очищенные!$A$1:$G$1000,6,FALSE),"нет в каталоге")</f>
        <v>48000</v>
      </c>
      <c r="I666" t="str">
        <f>IFERROR(VLOOKUP(B666,Товары_очищенные!$A$1:$G$1000,3,FALSE),"нет в каталоге")</f>
        <v>Мониторы</v>
      </c>
      <c r="J666" t="str">
        <f t="shared" si="35"/>
        <v>OK</v>
      </c>
    </row>
    <row r="667">
      <c r="A667" s="8">
        <f>DATE(RIGHT(Продажи_исходные!A667,4),LEFT(Продажи_исходные!A667,2),MID(Продажи_исходные!A667,4,2))</f>
        <v>46004</v>
      </c>
      <c r="B667" t="str">
        <f>"АРТ-"&amp;LEFT(SUBSTITUTE(SUBSTITUTE(SUBSTITUTE(SUBSTITUTE(Продажи_исходные!B667,"№",""),"АРТ-",""),"АРТ_",""),"/","-"),3)</f>
        <v>АРТ-105</v>
      </c>
      <c r="C667" s="4">
        <f>IFERROR(VALUE(TRIM(SUBSTITUTE(SUBSTITUTE(SUBSTITUTE(SUBSTITUTE(Продажи_исходные!C667," шт.","")," шт",""),"шт.",""),"шт",""))),0)</f>
        <v>2</v>
      </c>
      <c r="D667" s="4">
        <f>IF(LEFT(Продажи_исходные!D667,1)="$",VALUE(MID(Продажи_исходные!D667,2,255))*95,IF(LEFT(Продажи_исходные!D667,1)="€",VALUE(MID(Продажи_исходные!D667,2,255))*100,VALUE(SUBSTITUTE(SUBSTITUTE(Продажи_исходные!D667,"₽","")," ",""))))</f>
        <v>8000</v>
      </c>
      <c r="E667" t="str">
        <f>Продажи_исходные!E667</f>
        <v>C0666</v>
      </c>
      <c r="F667" t="str">
        <f>Продажи_исходные!F667</f>
        <v>P032</v>
      </c>
      <c r="G667" t="str">
        <f>IFERROR(VLOOKUP(Продажи_исходные!G667,Справочники!$G$2:$H$50,2,FALSE),Продажи_исходные!G667)</f>
        <v>Завершен</v>
      </c>
      <c r="H667" s="4">
        <f>IFERROR(VLOOKUP(B667,Товары_очищенные!$A$1:$G$1000,6,FALSE),"нет в каталоге")</f>
        <v>152000</v>
      </c>
      <c r="I667" t="str">
        <f>IFERROR(VLOOKUP(B667,Товары_очищенные!$A$1:$G$1000,3,FALSE),"нет в каталоге")</f>
        <v>Ноутбуки</v>
      </c>
      <c r="J667" t="str">
        <f t="shared" si="35"/>
        <v>OK</v>
      </c>
    </row>
    <row r="668">
      <c r="A668" s="8">
        <f>DATE(RIGHT(Продажи_исходные!A668,4),LEFT(Продажи_исходные!A668,2),MID(Продажи_исходные!A668,4,2))</f>
        <v>46005</v>
      </c>
      <c r="B668" t="str">
        <f>"АРТ-"&amp;LEFT(SUBSTITUTE(SUBSTITUTE(SUBSTITUTE(SUBSTITUTE(Продажи_исходные!B668,"№",""),"АРТ-",""),"АРТ_",""),"/","-"),3)</f>
        <v>АРТ-039</v>
      </c>
      <c r="C668" s="4">
        <f>IFERROR(VALUE(TRIM(SUBSTITUTE(SUBSTITUTE(SUBSTITUTE(SUBSTITUTE(Продажи_исходные!C668," шт.","")," шт",""),"шт.",""),"шт",""))),0)</f>
        <v>1</v>
      </c>
      <c r="D668" s="4">
        <f>IF(LEFT(Продажи_исходные!D668,1)="$",VALUE(MID(Продажи_исходные!D668,2,255))*95,IF(LEFT(Продажи_исходные!D668,1)="€",VALUE(MID(Продажи_исходные!D668,2,255))*100,VALUE(SUBSTITUTE(SUBSTITUTE(Продажи_исходные!D668,"₽","")," ",""))))</f>
        <v>9025</v>
      </c>
      <c r="E668" t="str">
        <f>Продажи_исходные!E668</f>
        <v>C0667</v>
      </c>
      <c r="F668" t="str">
        <f>Продажи_исходные!F668</f>
        <v>P049</v>
      </c>
      <c r="G668" t="str">
        <f>IFERROR(VLOOKUP(Продажи_исходные!G668,Справочники!$G$2:$H$50,2,FALSE),Продажи_исходные!G668)</f>
        <v>Возврат</v>
      </c>
      <c r="H668" s="4">
        <f>IFERROR(VLOOKUP(B668,Товары_очищенные!$A$1:$G$1000,6,FALSE),"нет в каталоге")</f>
        <v>71000</v>
      </c>
      <c r="I668" t="str">
        <f>IFERROR(VLOOKUP(B668,Товары_очищенные!$A$1:$G$1000,3,FALSE),"нет в каталоге")</f>
        <v>Часы</v>
      </c>
      <c r="J668" t="str">
        <f t="shared" si="35"/>
        <v>OK</v>
      </c>
    </row>
    <row r="669">
      <c r="A669" s="8">
        <f>DATE(RIGHT(Продажи_исходные!A669,4),LEFT(Продажи_исходные!A669,2),MID(Продажи_исходные!A669,4,2))</f>
        <v>46005</v>
      </c>
      <c r="B669" t="str">
        <f>"АРТ-"&amp;LEFT(SUBSTITUTE(SUBSTITUTE(SUBSTITUTE(SUBSTITUTE(Продажи_исходные!B669,"№",""),"АРТ-",""),"АРТ_",""),"/","-"),3)</f>
        <v>АРТ-461</v>
      </c>
      <c r="C669" s="4">
        <f>IFERROR(VALUE(TRIM(SUBSTITUTE(SUBSTITUTE(SUBSTITUTE(SUBSTITUTE(Продажи_исходные!C669," шт.","")," шт",""),"шт.",""),"шт",""))),0)</f>
        <v>2</v>
      </c>
      <c r="D669" s="4">
        <f>IF(LEFT(Продажи_исходные!D669,1)="$",VALUE(MID(Продажи_исходные!D669,2,255))*95,IF(LEFT(Продажи_исходные!D669,1)="€",VALUE(MID(Продажи_исходные!D669,2,255))*100,VALUE(SUBSTITUTE(SUBSTITUTE(Продажи_исходные!D669,"₽","")," ",""))))</f>
        <v>7500</v>
      </c>
      <c r="E669" t="str">
        <f>Продажи_исходные!E669</f>
        <v>C0668</v>
      </c>
      <c r="F669" t="str">
        <f>Продажи_исходные!F669</f>
        <v>P006</v>
      </c>
      <c r="G669" t="str">
        <f>IFERROR(VLOOKUP(Продажи_исходные!G669,Справочники!$G$2:$H$50,2,FALSE),Продажи_исходные!G669)</f>
        <v>Завершен</v>
      </c>
      <c r="H669" s="4">
        <f>IFERROR(VLOOKUP(B669,Товары_очищенные!$A$1:$G$1000,6,FALSE),"нет в каталоге")</f>
        <v>46000</v>
      </c>
      <c r="I669" t="str">
        <f>IFERROR(VLOOKUP(B669,Товары_очищенные!$A$1:$G$1000,3,FALSE),"нет в каталоге")</f>
        <v>Часы</v>
      </c>
      <c r="J669" t="str">
        <f t="shared" si="35"/>
        <v>OK</v>
      </c>
    </row>
    <row r="670">
      <c r="A670" s="8">
        <f>DATE(RIGHT(Продажи_исходные!A670,4),LEFT(Продажи_исходные!A670,2),MID(Продажи_исходные!A670,4,2))</f>
        <v>46006</v>
      </c>
      <c r="B670" t="str">
        <f>"АРТ-"&amp;LEFT(SUBSTITUTE(SUBSTITUTE(SUBSTITUTE(SUBSTITUTE(Продажи_исходные!B670,"№",""),"АРТ-",""),"АРТ_",""),"/","-"),3)</f>
        <v>АРТ-377</v>
      </c>
      <c r="C670" s="4">
        <f>IFERROR(VALUE(TRIM(SUBSTITUTE(SUBSTITUTE(SUBSTITUTE(SUBSTITUTE(Продажи_исходные!C670," шт.","")," шт",""),"шт.",""),"шт",""))),0)</f>
        <v>3</v>
      </c>
      <c r="D670" s="4">
        <f>IF(LEFT(Продажи_исходные!D670,1)="$",VALUE(MID(Продажи_исходные!D670,2,255))*95,IF(LEFT(Продажи_исходные!D670,1)="€",VALUE(MID(Продажи_исходные!D670,2,255))*100,VALUE(SUBSTITUTE(SUBSTITUTE(Продажи_исходные!D670,"₽","")," ",""))))</f>
        <v>7000</v>
      </c>
      <c r="E670" t="str">
        <f>Продажи_исходные!E670</f>
        <v>C0669</v>
      </c>
      <c r="F670" t="str">
        <f>Продажи_исходные!F670</f>
        <v>P024</v>
      </c>
      <c r="G670" t="str">
        <f>IFERROR(VLOOKUP(Продажи_исходные!G670,Справочники!$G$2:$H$50,2,FALSE),Продажи_исходные!G670)</f>
        <v>Завершен</v>
      </c>
      <c r="H670" s="4">
        <f>IFERROR(VLOOKUP(B670,Товары_очищенные!$A$1:$G$1000,6,FALSE),"нет в каталоге")</f>
        <v>23500</v>
      </c>
      <c r="I670" t="str">
        <f>IFERROR(VLOOKUP(B670,Товары_очищенные!$A$1:$G$1000,3,FALSE),"нет в каталоге")</f>
        <v>Часы</v>
      </c>
      <c r="J670" t="str">
        <f t="shared" si="35"/>
        <v>OK</v>
      </c>
    </row>
    <row r="671">
      <c r="A671" s="8">
        <f>DATE(RIGHT(Продажи_исходные!A671,4),LEFT(Продажи_исходные!A671,2),MID(Продажи_исходные!A671,4,2))</f>
        <v>46006</v>
      </c>
      <c r="B671" t="str">
        <f>"АРТ-"&amp;LEFT(SUBSTITUTE(SUBSTITUTE(SUBSTITUTE(SUBSTITUTE(Продажи_исходные!B671,"№",""),"АРТ-",""),"АРТ_",""),"/","-"),3)</f>
        <v>АРТ-121</v>
      </c>
      <c r="C671" s="4">
        <f>IFERROR(VALUE(TRIM(SUBSTITUTE(SUBSTITUTE(SUBSTITUTE(SUBSTITUTE(Продажи_исходные!C671," шт.","")," шт",""),"шт.",""),"шт",""))),0)</f>
        <v>-2</v>
      </c>
      <c r="D671" s="4">
        <f>IF(LEFT(Продажи_исходные!D671,1)="$",VALUE(MID(Продажи_исходные!D671,2,255))*95,IF(LEFT(Продажи_исходные!D671,1)="€",VALUE(MID(Продажи_исходные!D671,2,255))*100,VALUE(SUBSTITUTE(SUBSTITUTE(Продажи_исходные!D671,"₽","")," ",""))))</f>
        <v>10925</v>
      </c>
      <c r="E671" t="str">
        <f>Продажи_исходные!E671</f>
        <v>C0670</v>
      </c>
      <c r="F671" t="str">
        <f>Продажи_исходные!F671</f>
        <v>P015</v>
      </c>
      <c r="G671" t="str">
        <f>IFERROR(VLOOKUP(Продажи_исходные!G671,Справочники!$G$2:$H$50,2,FALSE),Продажи_исходные!G671)</f>
        <v>Завершен</v>
      </c>
      <c r="H671" s="4">
        <f>IFERROR(VLOOKUP(B671,Товары_очищенные!$A$1:$G$1000,6,FALSE),"нет в каталоге")</f>
        <v>84990</v>
      </c>
      <c r="I671" t="str">
        <f>IFERROR(VLOOKUP(B671,Товары_очищенные!$A$1:$G$1000,3,FALSE),"нет в каталоге")</f>
        <v>Часы</v>
      </c>
      <c r="J671" t="str">
        <f t="shared" si="35"/>
        <v>OK</v>
      </c>
    </row>
    <row r="672">
      <c r="A672" s="8">
        <f>DATE(RIGHT(Продажи_исходные!A672,4),LEFT(Продажи_исходные!A672,2),MID(Продажи_исходные!A672,4,2))</f>
        <v>46007</v>
      </c>
      <c r="B672" t="str">
        <f>"АРТ-"&amp;LEFT(SUBSTITUTE(SUBSTITUTE(SUBSTITUTE(SUBSTITUTE(Продажи_исходные!B672,"№",""),"АРТ-",""),"АРТ_",""),"/","-"),3)</f>
        <v>АРТ-337</v>
      </c>
      <c r="C672" s="4">
        <f>IFERROR(VALUE(TRIM(SUBSTITUTE(SUBSTITUTE(SUBSTITUTE(SUBSTITUTE(Продажи_исходные!C672," шт.","")," шт",""),"шт.",""),"шт",""))),0)</f>
        <v>1</v>
      </c>
      <c r="D672" s="4">
        <f>IF(LEFT(Продажи_исходные!D672,1)="$",VALUE(MID(Продажи_исходные!D672,2,255))*95,IF(LEFT(Продажи_исходные!D672,1)="€",VALUE(MID(Продажи_исходные!D672,2,255))*100,VALUE(SUBSTITUTE(SUBSTITUTE(Продажи_исходные!D672,"₽","")," ",""))))</f>
        <v>9500</v>
      </c>
      <c r="E672" t="str">
        <f>Продажи_исходные!E672</f>
        <v>C0671</v>
      </c>
      <c r="F672" t="str">
        <f>Продажи_исходные!F672</f>
        <v>P037</v>
      </c>
      <c r="G672" t="str">
        <f>IFERROR(VLOOKUP(Продажи_исходные!G672,Справочники!$G$2:$H$50,2,FALSE),Продажи_исходные!G672)</f>
        <v>Отменен</v>
      </c>
      <c r="H672" s="4">
        <f>IFERROR(VLOOKUP(B672,Товары_очищенные!$A$1:$G$1000,6,FALSE),"нет в каталоге")</f>
        <v>64990</v>
      </c>
      <c r="I672" t="str">
        <f>IFERROR(VLOOKUP(B672,Товары_очищенные!$A$1:$G$1000,3,FALSE),"нет в каталоге")</f>
        <v>Смартфоны</v>
      </c>
      <c r="J672" t="str">
        <f t="shared" si="35"/>
        <v>OK</v>
      </c>
    </row>
    <row r="673">
      <c r="A673" s="8">
        <f>DATE(RIGHT(Продажи_исходные!A673,4),LEFT(Продажи_исходные!A673,2),MID(Продажи_исходные!A673,4,2))</f>
        <v>46007</v>
      </c>
      <c r="B673" t="str">
        <f>"АРТ-"&amp;LEFT(SUBSTITUTE(SUBSTITUTE(SUBSTITUTE(SUBSTITUTE(Продажи_исходные!B673,"№",""),"АРТ-",""),"АРТ_",""),"/","-"),3)</f>
        <v>АРТ-285</v>
      </c>
      <c r="C673" s="4">
        <f>IFERROR(VALUE(TRIM(SUBSTITUTE(SUBSTITUTE(SUBSTITUTE(SUBSTITUTE(Продажи_исходные!C673," шт.","")," шт",""),"шт.",""),"шт",""))),0)</f>
        <v>2</v>
      </c>
      <c r="D673" s="4">
        <f>IF(LEFT(Продажи_исходные!D673,1)="$",VALUE(MID(Продажи_исходные!D673,2,255))*95,IF(LEFT(Продажи_исходные!D673,1)="€",VALUE(MID(Продажи_исходные!D673,2,255))*100,VALUE(SUBSTITUTE(SUBSTITUTE(Продажи_исходные!D673,"₽","")," ",""))))</f>
        <v>8500</v>
      </c>
      <c r="E673" t="str">
        <f>Продажи_исходные!E673</f>
        <v>C0672</v>
      </c>
      <c r="F673" t="str">
        <f>Продажи_исходные!F673</f>
        <v>P048</v>
      </c>
      <c r="G673" t="str">
        <f>IFERROR(VLOOKUP(Продажи_исходные!G673,Справочники!$G$2:$H$50,2,FALSE),Продажи_исходные!G673)</f>
        <v>Отменен</v>
      </c>
      <c r="H673" s="4">
        <f>IFERROR(VLOOKUP(B673,Товары_очищенные!$A$1:$G$1000,6,FALSE),"нет в каталоге")</f>
        <v>87500</v>
      </c>
      <c r="I673" t="str">
        <f>IFERROR(VLOOKUP(B673,Товары_очищенные!$A$1:$G$1000,3,FALSE),"нет в каталоге")</f>
        <v>Мониторы</v>
      </c>
      <c r="J673" t="str">
        <f t="shared" si="35"/>
        <v>OK</v>
      </c>
    </row>
    <row r="674">
      <c r="A674" s="8">
        <f>DATE(RIGHT(Продажи_исходные!A674,4),LEFT(Продажи_исходные!A674,2),MID(Продажи_исходные!A674,4,2))</f>
        <v>46008</v>
      </c>
      <c r="B674" t="str">
        <f>"АРТ-"&amp;LEFT(SUBSTITUTE(SUBSTITUTE(SUBSTITUTE(SUBSTITUTE(Продажи_исходные!B674,"№",""),"АРТ-",""),"АРТ_",""),"/","-"),3)</f>
        <v>АРТ-160</v>
      </c>
      <c r="C674" s="4">
        <f>IFERROR(VALUE(TRIM(SUBSTITUTE(SUBSTITUTE(SUBSTITUTE(SUBSTITUTE(Продажи_исходные!C674," шт.","")," шт",""),"шт.",""),"шт",""))),0)</f>
        <v>3</v>
      </c>
      <c r="D674" s="4">
        <f>IF(LEFT(Продажи_исходные!D674,1)="$",VALUE(MID(Продажи_исходные!D674,2,255))*95,IF(LEFT(Продажи_исходные!D674,1)="€",VALUE(MID(Продажи_исходные!D674,2,255))*100,VALUE(SUBSTITUTE(SUBSTITUTE(Продажи_исходные!D674,"₽","")," ",""))))</f>
        <v>9975</v>
      </c>
      <c r="E674" t="str">
        <f>Продажи_исходные!E674</f>
        <v>C0673</v>
      </c>
      <c r="F674" t="str">
        <f>Продажи_исходные!F674</f>
        <v>P004</v>
      </c>
      <c r="G674" t="str">
        <f>IFERROR(VLOOKUP(Продажи_исходные!G674,Справочники!$G$2:$H$50,2,FALSE),Продажи_исходные!G674)</f>
        <v>Возврат</v>
      </c>
      <c r="H674" s="4">
        <f>IFERROR(VLOOKUP(B674,Товары_очищенные!$A$1:$G$1000,6,FALSE),"нет в каталоге")</f>
        <v>8990</v>
      </c>
      <c r="I674" t="str">
        <f>IFERROR(VLOOKUP(B674,Товары_очищенные!$A$1:$G$1000,3,FALSE),"нет в каталоге")</f>
        <v>Аксессуары</v>
      </c>
      <c r="J674" t="str">
        <f t="shared" si="35"/>
        <v>OK</v>
      </c>
    </row>
    <row r="675">
      <c r="A675" s="8">
        <f>DATE(RIGHT(Продажи_исходные!A675,4),LEFT(Продажи_исходные!A675,2),MID(Продажи_исходные!A675,4,2))</f>
        <v>46008</v>
      </c>
      <c r="B675" t="str">
        <f>"АРТ-"&amp;LEFT(SUBSTITUTE(SUBSTITUTE(SUBSTITUTE(SUBSTITUTE(Продажи_исходные!B675,"№",""),"АРТ-",""),"АРТ_",""),"/","-"),3)</f>
        <v>АРТ-430</v>
      </c>
      <c r="C675" s="4">
        <f>IFERROR(VALUE(TRIM(SUBSTITUTE(SUBSTITUTE(SUBSTITUTE(SUBSTITUTE(Продажи_исходные!C675," шт.","")," шт",""),"шт.",""),"шт",""))),0)</f>
        <v>2</v>
      </c>
      <c r="D675" s="4">
        <f>IF(LEFT(Продажи_исходные!D675,1)="$",VALUE(MID(Продажи_исходные!D675,2,255))*95,IF(LEFT(Продажи_исходные!D675,1)="€",VALUE(MID(Продажи_исходные!D675,2,255))*100,VALUE(SUBSTITUTE(SUBSTITUTE(Продажи_исходные!D675,"₽","")," ",""))))</f>
        <v>8500</v>
      </c>
      <c r="E675" t="str">
        <f>Продажи_исходные!E675</f>
        <v>C0674</v>
      </c>
      <c r="F675" t="str">
        <f>Продажи_исходные!F675</f>
        <v>P026</v>
      </c>
      <c r="G675" t="str">
        <f>IFERROR(VLOOKUP(Продажи_исходные!G675,Справочники!$G$2:$H$50,2,FALSE),Продажи_исходные!G675)</f>
        <v>Завершен</v>
      </c>
      <c r="H675" s="4">
        <f>IFERROR(VLOOKUP(B675,Товары_очищенные!$A$1:$G$1000,6,FALSE),"нет в каталоге")</f>
        <v>14990</v>
      </c>
      <c r="I675" t="str">
        <f>IFERROR(VLOOKUP(B675,Товары_очищенные!$A$1:$G$1000,3,FALSE),"нет в каталоге")</f>
        <v>Наушники</v>
      </c>
      <c r="J675" t="str">
        <f t="shared" si="35"/>
        <v>OK</v>
      </c>
    </row>
    <row r="676">
      <c r="A676" s="8">
        <f>DATE(RIGHT(Продажи_исходные!A676,4),LEFT(Продажи_исходные!A676,2),MID(Продажи_исходные!A676,4,2))</f>
        <v>46009</v>
      </c>
      <c r="B676" t="str">
        <f>"АРТ-"&amp;LEFT(SUBSTITUTE(SUBSTITUTE(SUBSTITUTE(SUBSTITUTE(Продажи_исходные!B676,"№",""),"АРТ-",""),"АРТ_",""),"/","-"),3)</f>
        <v>АРТ-335</v>
      </c>
      <c r="C676" s="4">
        <f>IFERROR(VALUE(TRIM(SUBSTITUTE(SUBSTITUTE(SUBSTITUTE(SUBSTITUTE(Продажи_исходные!C676," шт.","")," шт",""),"шт.",""),"шт",""))),0)</f>
        <v>1</v>
      </c>
      <c r="D676" s="4">
        <f>IF(LEFT(Продажи_исходные!D676,1)="$",VALUE(MID(Продажи_исходные!D676,2,255))*95,IF(LEFT(Продажи_исходные!D676,1)="€",VALUE(MID(Продажи_исходные!D676,2,255))*100,VALUE(SUBSTITUTE(SUBSTITUTE(Продажи_исходные!D676,"₽","")," ",""))))</f>
        <v>7800</v>
      </c>
      <c r="E676" t="str">
        <f>Продажи_исходные!E676</f>
        <v>C0675</v>
      </c>
      <c r="F676" t="str">
        <f>Продажи_исходные!F676</f>
        <v>P013</v>
      </c>
      <c r="G676" t="str">
        <f>IFERROR(VLOOKUP(Продажи_исходные!G676,Справочники!$G$2:$H$50,2,FALSE),Продажи_исходные!G676)</f>
        <v>Завершен</v>
      </c>
      <c r="H676" s="4">
        <f>IFERROR(VLOOKUP(B676,Товары_очищенные!$A$1:$G$1000,6,FALSE),"нет в каталоге")</f>
        <v>47000</v>
      </c>
      <c r="I676" t="str">
        <f>IFERROR(VLOOKUP(B676,Товары_очищенные!$A$1:$G$1000,3,FALSE),"нет в каталоге")</f>
        <v>Планшеты</v>
      </c>
      <c r="J676" t="str">
        <f t="shared" ref="J676:J739" si="36">IF(D676&gt;0,"OK","Некорректная цена")</f>
        <v>OK</v>
      </c>
    </row>
    <row r="677">
      <c r="A677" s="8">
        <f>DATE(RIGHT(Продажи_исходные!A677,4),LEFT(Продажи_исходные!A677,2),MID(Продажи_исходные!A677,4,2))</f>
        <v>46009</v>
      </c>
      <c r="B677" t="str">
        <f>"АРТ-"&amp;LEFT(SUBSTITUTE(SUBSTITUTE(SUBSTITUTE(SUBSTITUTE(Продажи_исходные!B677,"№",""),"АРТ-",""),"АРТ_",""),"/","-"),3)</f>
        <v>АРТ-198</v>
      </c>
      <c r="C677" s="4">
        <f>IFERROR(VALUE(TRIM(SUBSTITUTE(SUBSTITUTE(SUBSTITUTE(SUBSTITUTE(Продажи_исходные!C677," шт.","")," шт",""),"шт.",""),"шт",""))),0)</f>
        <v>-3</v>
      </c>
      <c r="D677" s="4">
        <f>IF(LEFT(Продажи_исходные!D677,1)="$",VALUE(MID(Продажи_исходные!D677,2,255))*95,IF(LEFT(Продажи_исходные!D677,1)="€",VALUE(MID(Продажи_исходные!D677,2,255))*100,VALUE(SUBSTITUTE(SUBSTITUTE(Продажи_исходные!D677,"₽","")," ",""))))</f>
        <v>11400</v>
      </c>
      <c r="E677" t="str">
        <f>Продажи_исходные!E677</f>
        <v>C0676</v>
      </c>
      <c r="F677" t="str">
        <f>Продажи_исходные!F677</f>
        <v>P034</v>
      </c>
      <c r="G677" t="str">
        <f>IFERROR(VLOOKUP(Продажи_исходные!G677,Справочники!$G$2:$H$50,2,FALSE),Продажи_исходные!G677)</f>
        <v>Завершен</v>
      </c>
      <c r="H677" s="4">
        <f>IFERROR(VLOOKUP(B677,Товары_очищенные!$A$1:$G$1000,6,FALSE),"нет в каталоге")</f>
        <v>55500</v>
      </c>
      <c r="I677" t="str">
        <f>IFERROR(VLOOKUP(B677,Товары_очищенные!$A$1:$G$1000,3,FALSE),"нет в каталоге")</f>
        <v>Смартфоны</v>
      </c>
      <c r="J677" t="str">
        <f t="shared" si="36"/>
        <v>OK</v>
      </c>
    </row>
    <row r="678">
      <c r="A678" s="8">
        <f>DATE(RIGHT(Продажи_исходные!A678,4),LEFT(Продажи_исходные!A678,2),MID(Продажи_исходные!A678,4,2))</f>
        <v>46010</v>
      </c>
      <c r="B678" t="str">
        <f>"АРТ-"&amp;LEFT(SUBSTITUTE(SUBSTITUTE(SUBSTITUTE(SUBSTITUTE(Продажи_исходные!B678,"№",""),"АРТ-",""),"АРТ_",""),"/","-"),3)</f>
        <v>АРТ-379</v>
      </c>
      <c r="C678" s="4">
        <f>IFERROR(VALUE(TRIM(SUBSTITUTE(SUBSTITUTE(SUBSTITUTE(SUBSTITUTE(Продажи_исходные!C678," шт.","")," шт",""),"шт.",""),"шт",""))),0)</f>
        <v>2</v>
      </c>
      <c r="D678" s="4">
        <f>IF(LEFT(Продажи_исходные!D678,1)="$",VALUE(MID(Продажи_исходные!D678,2,255))*95,IF(LEFT(Продажи_исходные!D678,1)="€",VALUE(MID(Продажи_исходные!D678,2,255))*100,VALUE(SUBSTITUTE(SUBSTITUTE(Продажи_исходные!D678,"₽","")," ",""))))</f>
        <v>10000</v>
      </c>
      <c r="E678" t="str">
        <f>Продажи_исходные!E678</f>
        <v>C0677</v>
      </c>
      <c r="F678" t="str">
        <f>Продажи_исходные!F678</f>
        <v>P044</v>
      </c>
      <c r="G678" t="str">
        <f>IFERROR(VLOOKUP(Продажи_исходные!G678,Справочники!$G$2:$H$50,2,FALSE),Продажи_исходные!G678)</f>
        <v>Отменен</v>
      </c>
      <c r="H678" s="4">
        <f>IFERROR(VLOOKUP(B678,Товары_очищенные!$A$1:$G$1000,6,FALSE),"нет в каталоге")</f>
        <v>36990</v>
      </c>
      <c r="I678" t="str">
        <f>IFERROR(VLOOKUP(B678,Товары_очищенные!$A$1:$G$1000,3,FALSE),"нет в каталоге")</f>
        <v>Планшеты</v>
      </c>
      <c r="J678" t="str">
        <f t="shared" si="36"/>
        <v>OK</v>
      </c>
    </row>
    <row r="679">
      <c r="A679" s="8">
        <f>DATE(RIGHT(Продажи_исходные!A679,4),LEFT(Продажи_исходные!A679,2),MID(Продажи_исходные!A679,4,2))</f>
        <v>46010</v>
      </c>
      <c r="B679" t="str">
        <f>"АРТ-"&amp;LEFT(SUBSTITUTE(SUBSTITUTE(SUBSTITUTE(SUBSTITUTE(Продажи_исходные!B679,"№",""),"АРТ-",""),"АРТ_",""),"/","-"),3)</f>
        <v>АРТ-116</v>
      </c>
      <c r="C679" s="4">
        <f>IFERROR(VALUE(TRIM(SUBSTITUTE(SUBSTITUTE(SUBSTITUTE(SUBSTITUTE(Продажи_исходные!C679," шт.","")," шт",""),"шт.",""),"шт",""))),0)</f>
        <v>1</v>
      </c>
      <c r="D679" s="4">
        <f>IF(LEFT(Продажи_исходные!D679,1)="$",VALUE(MID(Продажи_исходные!D679,2,255))*95,IF(LEFT(Продажи_исходные!D679,1)="€",VALUE(MID(Продажи_исходные!D679,2,255))*100,VALUE(SUBSTITUTE(SUBSTITUTE(Продажи_исходные!D679,"₽","")," ",""))))</f>
        <v>9200</v>
      </c>
      <c r="E679" t="str">
        <f>Продажи_исходные!E679</f>
        <v>C0678</v>
      </c>
      <c r="F679" t="str">
        <f>Продажи_исходные!F679</f>
        <v>P001</v>
      </c>
      <c r="G679" t="str">
        <f>IFERROR(VLOOKUP(Продажи_исходные!G679,Справочники!$G$2:$H$50,2,FALSE),Продажи_исходные!G679)</f>
        <v>Отменен</v>
      </c>
      <c r="H679" s="4">
        <f>IFERROR(VLOOKUP(B679,Товары_очищенные!$A$1:$G$1000,6,FALSE),"нет в каталоге")</f>
        <v>72500</v>
      </c>
      <c r="I679" t="str">
        <f>IFERROR(VLOOKUP(B679,Товары_очищенные!$A$1:$G$1000,3,FALSE),"нет в каталоге")</f>
        <v>Мониторы</v>
      </c>
      <c r="J679" t="str">
        <f t="shared" si="36"/>
        <v>OK</v>
      </c>
    </row>
    <row r="680">
      <c r="A680" s="8">
        <f>DATE(RIGHT(Продажи_исходные!A680,4),LEFT(Продажи_исходные!A680,2),MID(Продажи_исходные!A680,4,2))</f>
        <v>46011</v>
      </c>
      <c r="B680" t="str">
        <f>"АРТ-"&amp;LEFT(SUBSTITUTE(SUBSTITUTE(SUBSTITUTE(SUBSTITUTE(Продажи_исходные!B680,"№",""),"АРТ-",""),"АРТ_",""),"/","-"),3)</f>
        <v>АРТ-066</v>
      </c>
      <c r="C680" s="4">
        <f>IFERROR(VALUE(TRIM(SUBSTITUTE(SUBSTITUTE(SUBSTITUTE(SUBSTITUTE(Продажи_исходные!C680," шт.","")," шт",""),"шт.",""),"шт",""))),0)</f>
        <v>3</v>
      </c>
      <c r="D680" s="4">
        <f>IF(LEFT(Продажи_исходные!D680,1)="$",VALUE(MID(Продажи_исходные!D680,2,255))*95,IF(LEFT(Продажи_исходные!D680,1)="€",VALUE(MID(Продажи_исходные!D680,2,255))*100,VALUE(SUBSTITUTE(SUBSTITUTE(Продажи_исходные!D680,"₽","")," ",""))))</f>
        <v>8550</v>
      </c>
      <c r="E680" t="str">
        <f>Продажи_исходные!E680</f>
        <v>C0679</v>
      </c>
      <c r="F680" t="str">
        <f>Продажи_исходные!F680</f>
        <v>P021</v>
      </c>
      <c r="G680" t="str">
        <f>IFERROR(VLOOKUP(Продажи_исходные!G680,Справочники!$G$2:$H$50,2,FALSE),Продажи_исходные!G680)</f>
        <v>Завершен</v>
      </c>
      <c r="H680" s="4">
        <f>IFERROR(VLOOKUP(B680,Товары_очищенные!$A$1:$G$1000,6,FALSE),"нет в каталоге")</f>
        <v>57800</v>
      </c>
      <c r="I680" t="str">
        <f>IFERROR(VLOOKUP(B680,Товары_очищенные!$A$1:$G$1000,3,FALSE),"нет в каталоге")</f>
        <v>Смартфоны</v>
      </c>
      <c r="J680" t="str">
        <f t="shared" si="36"/>
        <v>OK</v>
      </c>
    </row>
    <row r="681">
      <c r="A681" s="8">
        <f>DATE(RIGHT(Продажи_исходные!A681,4),LEFT(Продажи_исходные!A681,2),MID(Продажи_исходные!A681,4,2))</f>
        <v>46011</v>
      </c>
      <c r="B681" t="str">
        <f>"АРТ-"&amp;LEFT(SUBSTITUTE(SUBSTITUTE(SUBSTITUTE(SUBSTITUTE(Продажи_исходные!B681,"№",""),"АРТ-",""),"АРТ_",""),"/","-"),3)</f>
        <v>АРТ-471</v>
      </c>
      <c r="C681" s="4">
        <f>IFERROR(VALUE(TRIM(SUBSTITUTE(SUBSTITUTE(SUBSTITUTE(SUBSTITUTE(Продажи_исходные!C681," шт.","")," шт",""),"шт.",""),"шт",""))),0)</f>
        <v>2</v>
      </c>
      <c r="D681" s="4">
        <f>IF(LEFT(Продажи_исходные!D681,1)="$",VALUE(MID(Продажи_исходные!D681,2,255))*95,IF(LEFT(Продажи_исходные!D681,1)="€",VALUE(MID(Продажи_исходные!D681,2,255))*100,VALUE(SUBSTITUTE(SUBSTITUTE(Продажи_исходные!D681,"₽","")," ",""))))</f>
        <v>7000</v>
      </c>
      <c r="E681" t="str">
        <f>Продажи_исходные!E681</f>
        <v>C0680</v>
      </c>
      <c r="F681" t="str">
        <f>Продажи_исходные!F681</f>
        <v>P039</v>
      </c>
      <c r="G681" t="str">
        <f>IFERROR(VLOOKUP(Продажи_исходные!G681,Справочники!$G$2:$H$50,2,FALSE),Продажи_исходные!G681)</f>
        <v>Возврат</v>
      </c>
      <c r="H681" s="4">
        <f>IFERROR(VLOOKUP(B681,Товары_очищенные!$A$1:$G$1000,6,FALSE),"нет в каталоге")</f>
        <v>61000</v>
      </c>
      <c r="I681" t="str">
        <f>IFERROR(VLOOKUP(B681,Товары_очищенные!$A$1:$G$1000,3,FALSE),"нет в каталоге")</f>
        <v>Телевизоры</v>
      </c>
      <c r="J681" t="str">
        <f t="shared" si="36"/>
        <v>OK</v>
      </c>
    </row>
    <row r="682">
      <c r="A682" s="8">
        <f>DATE(RIGHT(Продажи_исходные!A682,4),LEFT(Продажи_исходные!A682,2),MID(Продажи_исходные!A682,4,2))</f>
        <v>46012</v>
      </c>
      <c r="B682" t="str">
        <f>"АРТ-"&amp;LEFT(SUBSTITUTE(SUBSTITUTE(SUBSTITUTE(SUBSTITUTE(Продажи_исходные!B682,"№",""),"АРТ-",""),"АРТ_",""),"/","-"),3)</f>
        <v>АРТ-312</v>
      </c>
      <c r="C682" s="4">
        <f>IFERROR(VALUE(TRIM(SUBSTITUTE(SUBSTITUTE(SUBSTITUTE(SUBSTITUTE(Продажи_исходные!C682," шт.","")," шт",""),"шт.",""),"шт",""))),0)</f>
        <v>1</v>
      </c>
      <c r="D682" s="4">
        <f>IF(LEFT(Продажи_исходные!D682,1)="$",VALUE(MID(Продажи_исходные!D682,2,255))*95,IF(LEFT(Продажи_исходные!D682,1)="€",VALUE(MID(Продажи_исходные!D682,2,255))*100,VALUE(SUBSTITUTE(SUBSTITUTE(Продажи_исходные!D682,"₽","")," ",""))))</f>
        <v>6500</v>
      </c>
      <c r="E682" t="str">
        <f>Продажи_исходные!E682</f>
        <v>C0681</v>
      </c>
      <c r="F682" t="str">
        <f>Продажи_исходные!F682</f>
        <v>P050</v>
      </c>
      <c r="G682" t="str">
        <f>IFERROR(VLOOKUP(Продажи_исходные!G682,Справочники!$G$2:$H$50,2,FALSE),Продажи_исходные!G682)</f>
        <v>Завершен</v>
      </c>
      <c r="H682" s="4">
        <f>IFERROR(VLOOKUP(B682,Товары_очищенные!$A$1:$G$1000,6,FALSE),"нет в каталоге")</f>
        <v>67000</v>
      </c>
      <c r="I682" t="str">
        <f>IFERROR(VLOOKUP(B682,Товары_очищенные!$A$1:$G$1000,3,FALSE),"нет в каталоге")</f>
        <v>Планшеты</v>
      </c>
      <c r="J682" t="str">
        <f t="shared" si="36"/>
        <v>OK</v>
      </c>
    </row>
    <row r="683">
      <c r="A683" s="8">
        <f>DATE(RIGHT(Продажи_исходные!A683,4),LEFT(Продажи_исходные!A683,2),MID(Продажи_исходные!A683,4,2))</f>
        <v>46012</v>
      </c>
      <c r="B683" t="str">
        <f>"АРТ-"&amp;LEFT(SUBSTITUTE(SUBSTITUTE(SUBSTITUTE(SUBSTITUTE(Продажи_исходные!B683,"№",""),"АРТ-",""),"АРТ_",""),"/","-"),3)</f>
        <v>АРТ-328</v>
      </c>
      <c r="C683" s="4">
        <f>IFERROR(VALUE(TRIM(SUBSTITUTE(SUBSTITUTE(SUBSTITUTE(SUBSTITUTE(Продажи_исходные!C683," шт.","")," шт",""),"шт.",""),"шт",""))),0)</f>
        <v>-1</v>
      </c>
      <c r="D683" s="4">
        <f>IF(LEFT(Продажи_исходные!D683,1)="$",VALUE(MID(Продажи_исходные!D683,2,255))*95,IF(LEFT(Продажи_исходные!D683,1)="€",VALUE(MID(Продажи_исходные!D683,2,255))*100,VALUE(SUBSTITUTE(SUBSTITUTE(Продажи_исходные!D683,"₽","")," ",""))))</f>
        <v>10450</v>
      </c>
      <c r="E683" t="str">
        <f>Продажи_исходные!E683</f>
        <v>C0682</v>
      </c>
      <c r="F683" t="str">
        <f>Продажи_исходные!F683</f>
        <v>P011</v>
      </c>
      <c r="G683" t="str">
        <f>IFERROR(VLOOKUP(Продажи_исходные!G683,Справочники!$G$2:$H$50,2,FALSE),Продажи_исходные!G683)</f>
        <v>Завершен</v>
      </c>
      <c r="H683" s="4">
        <f>IFERROR(VLOOKUP(B683,Товары_очищенные!$A$1:$G$1000,6,FALSE),"нет в каталоге")</f>
        <v>11990</v>
      </c>
      <c r="I683" t="str">
        <f>IFERROR(VLOOKUP(B683,Товары_очищенные!$A$1:$G$1000,3,FALSE),"нет в каталоге")</f>
        <v>Аксессуары</v>
      </c>
      <c r="J683" t="str">
        <f t="shared" si="36"/>
        <v>OK</v>
      </c>
    </row>
    <row r="684">
      <c r="A684" s="8">
        <f>DATE(RIGHT(Продажи_исходные!A684,4),LEFT(Продажи_исходные!A684,2),MID(Продажи_исходные!A684,4,2))</f>
        <v>46013</v>
      </c>
      <c r="B684" t="str">
        <f>"АРТ-"&amp;LEFT(SUBSTITUTE(SUBSTITUTE(SUBSTITUTE(SUBSTITUTE(Продажи_исходные!B684,"№",""),"АРТ-",""),"АРТ_",""),"/","-"),3)</f>
        <v>АРТ-282</v>
      </c>
      <c r="C684" s="4">
        <f>IFERROR(VALUE(TRIM(SUBSTITUTE(SUBSTITUTE(SUBSTITUTE(SUBSTITUTE(Продажи_исходные!C684," шт.","")," шт",""),"шт.",""),"шт",""))),0)</f>
        <v>3</v>
      </c>
      <c r="D684" s="4">
        <f>IF(LEFT(Продажи_исходные!D684,1)="$",VALUE(MID(Продажи_исходные!D684,2,255))*95,IF(LEFT(Продажи_исходные!D684,1)="€",VALUE(MID(Продажи_исходные!D684,2,255))*100,VALUE(SUBSTITUTE(SUBSTITUTE(Продажи_исходные!D684,"₽","")," ",""))))</f>
        <v>9000</v>
      </c>
      <c r="E684" t="str">
        <f>Продажи_исходные!E684</f>
        <v>C0683</v>
      </c>
      <c r="F684" t="str">
        <f>Продажи_исходные!F684</f>
        <v>P027</v>
      </c>
      <c r="G684" t="str">
        <f>IFERROR(VLOOKUP(Продажи_исходные!G684,Справочники!$G$2:$H$50,2,FALSE),Продажи_исходные!G684)</f>
        <v>Завершен</v>
      </c>
      <c r="H684" s="4">
        <f>IFERROR(VLOOKUP(B684,Товары_очищенные!$A$1:$G$1000,6,FALSE),"нет в каталоге")</f>
        <v>34500</v>
      </c>
      <c r="I684" t="str">
        <f>IFERROR(VLOOKUP(B684,Товары_очищенные!$A$1:$G$1000,3,FALSE),"нет в каталоге")</f>
        <v>Наушники</v>
      </c>
      <c r="J684" t="str">
        <f t="shared" si="36"/>
        <v>OK</v>
      </c>
    </row>
    <row r="685">
      <c r="A685" s="8">
        <f>DATE(RIGHT(Продажи_исходные!A685,4),LEFT(Продажи_исходные!A685,2),MID(Продажи_исходные!A685,4,2))</f>
        <v>46013</v>
      </c>
      <c r="B685" t="str">
        <f>"АРТ-"&amp;LEFT(SUBSTITUTE(SUBSTITUTE(SUBSTITUTE(SUBSTITUTE(Продажи_исходные!B685,"№",""),"АРТ-",""),"АРТ_",""),"/","-"),3)</f>
        <v>АРТ-259</v>
      </c>
      <c r="C685" s="4">
        <f>IFERROR(VALUE(TRIM(SUBSTITUTE(SUBSTITUTE(SUBSTITUTE(SUBSTITUTE(Продажи_исходные!C685," шт.","")," шт",""),"шт.",""),"шт",""))),0)</f>
        <v>2</v>
      </c>
      <c r="D685" s="4">
        <f>IF(LEFT(Продажи_исходные!D685,1)="$",VALUE(MID(Продажи_исходные!D685,2,255))*95,IF(LEFT(Продажи_исходные!D685,1)="€",VALUE(MID(Продажи_исходные!D685,2,255))*100,VALUE(SUBSTITUTE(SUBSTITUTE(Продажи_исходные!D685,"₽","")," ",""))))</f>
        <v>8000</v>
      </c>
      <c r="E685" t="str">
        <f>Продажи_исходные!E685</f>
        <v>C0684</v>
      </c>
      <c r="F685" t="str">
        <f>Продажи_исходные!F685</f>
        <v>P018</v>
      </c>
      <c r="G685" t="str">
        <f>IFERROR(VLOOKUP(Продажи_исходные!G685,Справочники!$G$2:$H$50,2,FALSE),Продажи_исходные!G685)</f>
        <v>Отменен</v>
      </c>
      <c r="H685" s="4">
        <f>IFERROR(VLOOKUP(B685,Товары_очищенные!$A$1:$G$1000,6,FALSE),"нет в каталоге")</f>
        <v>92990</v>
      </c>
      <c r="I685" t="str">
        <f>IFERROR(VLOOKUP(B685,Товары_очищенные!$A$1:$G$1000,3,FALSE),"нет в каталоге")</f>
        <v>Телевизоры</v>
      </c>
      <c r="J685" t="str">
        <f t="shared" si="36"/>
        <v>OK</v>
      </c>
    </row>
    <row r="686">
      <c r="A686" s="8">
        <f>DATE(RIGHT(Продажи_исходные!A686,4),LEFT(Продажи_исходные!A686,2),MID(Продажи_исходные!A686,4,2))</f>
        <v>46014</v>
      </c>
      <c r="B686" t="str">
        <f>"АРТ-"&amp;LEFT(SUBSTITUTE(SUBSTITUTE(SUBSTITUTE(SUBSTITUTE(Продажи_исходные!B686,"№",""),"АРТ-",""),"АРТ_",""),"/","-"),3)</f>
        <v>АРТ-103</v>
      </c>
      <c r="C686" s="4">
        <f>IFERROR(VALUE(TRIM(SUBSTITUTE(SUBSTITUTE(SUBSTITUTE(SUBSTITUTE(Продажи_исходные!C686," шт.","")," шт",""),"шт.",""),"шт",""))),0)</f>
        <v>1</v>
      </c>
      <c r="D686" s="4">
        <f>IF(LEFT(Продажи_исходные!D686,1)="$",VALUE(MID(Продажи_исходные!D686,2,255))*95,IF(LEFT(Продажи_исходные!D686,1)="€",VALUE(MID(Продажи_исходные!D686,2,255))*100,VALUE(SUBSTITUTE(SUBSTITUTE(Продажи_исходные!D686,"₽","")," ",""))))</f>
        <v>9025</v>
      </c>
      <c r="E686" t="str">
        <f>Продажи_исходные!E686</f>
        <v>C0685</v>
      </c>
      <c r="F686" t="str">
        <f>Продажи_исходные!F686</f>
        <v>P040</v>
      </c>
      <c r="G686" t="str">
        <f>IFERROR(VLOOKUP(Продажи_исходные!G686,Справочники!$G$2:$H$50,2,FALSE),Продажи_исходные!G686)</f>
        <v>Отменен</v>
      </c>
      <c r="H686" s="4">
        <f>IFERROR(VLOOKUP(B686,Товары_очищенные!$A$1:$G$1000,6,FALSE),"нет в каталоге")</f>
        <v>149990</v>
      </c>
      <c r="I686" t="str">
        <f>IFERROR(VLOOKUP(B686,Товары_очищенные!$A$1:$G$1000,3,FALSE),"нет в каталоге")</f>
        <v>Ноутбуки</v>
      </c>
      <c r="J686" t="str">
        <f t="shared" si="36"/>
        <v>OK</v>
      </c>
    </row>
    <row r="687">
      <c r="A687" s="8">
        <f>DATE(RIGHT(Продажи_исходные!A687,4),LEFT(Продажи_исходные!A687,2),MID(Продажи_исходные!A687,4,2))</f>
        <v>46014</v>
      </c>
      <c r="B687" t="str">
        <f>"АРТ-"&amp;LEFT(SUBSTITUTE(SUBSTITUTE(SUBSTITUTE(SUBSTITUTE(Продажи_исходные!B687,"№",""),"АРТ-",""),"АРТ_",""),"/","-"),3)</f>
        <v>АРТ-490</v>
      </c>
      <c r="C687" s="4">
        <f>IFERROR(VALUE(TRIM(SUBSTITUTE(SUBSTITUTE(SUBSTITUTE(SUBSTITUTE(Продажи_исходные!C687," шт.","")," шт",""),"шт.",""),"шт",""))),0)</f>
        <v>2</v>
      </c>
      <c r="D687" s="4">
        <f>IF(LEFT(Продажи_исходные!D687,1)="$",VALUE(MID(Продажи_исходные!D687,2,255))*95,IF(LEFT(Продажи_исходные!D687,1)="€",VALUE(MID(Продажи_исходные!D687,2,255))*100,VALUE(SUBSTITUTE(SUBSTITUTE(Продажи_исходные!D687,"₽","")," ",""))))</f>
        <v>7500</v>
      </c>
      <c r="E687" t="str">
        <f>Продажи_исходные!E687</f>
        <v>C0686</v>
      </c>
      <c r="F687" t="str">
        <f>Продажи_исходные!F687</f>
        <v>P003</v>
      </c>
      <c r="G687" t="str">
        <f>IFERROR(VLOOKUP(Продажи_исходные!G687,Справочники!$G$2:$H$50,2,FALSE),Продажи_исходные!G687)</f>
        <v>Возврат</v>
      </c>
      <c r="H687" s="4">
        <f>IFERROR(VLOOKUP(B687,Товары_очищенные!$A$1:$G$1000,6,FALSE),"нет в каталоге")</f>
        <v>61990</v>
      </c>
      <c r="I687" t="str">
        <f>IFERROR(VLOOKUP(B687,Товары_очищенные!$A$1:$G$1000,3,FALSE),"нет в каталоге")</f>
        <v>Телевизоры</v>
      </c>
      <c r="J687" t="str">
        <f t="shared" si="36"/>
        <v>OK</v>
      </c>
    </row>
    <row r="688">
      <c r="A688" s="8">
        <f>DATE(RIGHT(Продажи_исходные!A688,4),LEFT(Продажи_исходные!A688,2),MID(Продажи_исходные!A688,4,2))</f>
        <v>46015</v>
      </c>
      <c r="B688" t="str">
        <f>"АРТ-"&amp;LEFT(SUBSTITUTE(SUBSTITUTE(SUBSTITUTE(SUBSTITUTE(Продажи_исходные!B688,"№",""),"АРТ-",""),"АРТ_",""),"/","-"),3)</f>
        <v>АРТ-378</v>
      </c>
      <c r="C688" s="4">
        <f>IFERROR(VALUE(TRIM(SUBSTITUTE(SUBSTITUTE(SUBSTITUTE(SUBSTITUTE(Продажи_исходные!C688," шт.","")," шт",""),"шт.",""),"шт",""))),0)</f>
        <v>3</v>
      </c>
      <c r="D688" s="4">
        <f>IF(LEFT(Продажи_исходные!D688,1)="$",VALUE(MID(Продажи_исходные!D688,2,255))*95,IF(LEFT(Продажи_исходные!D688,1)="€",VALUE(MID(Продажи_исходные!D688,2,255))*100,VALUE(SUBSTITUTE(SUBSTITUTE(Продажи_исходные!D688,"₽","")," ",""))))</f>
        <v>7000</v>
      </c>
      <c r="E688" t="str">
        <f>Продажи_исходные!E688</f>
        <v>C0687</v>
      </c>
      <c r="F688" t="str">
        <f>Продажи_исходные!F688</f>
        <v>P025</v>
      </c>
      <c r="G688" t="str">
        <f>IFERROR(VLOOKUP(Продажи_исходные!G688,Справочники!$G$2:$H$50,2,FALSE),Продажи_исходные!G688)</f>
        <v>Завершен</v>
      </c>
      <c r="H688" s="4">
        <f>IFERROR(VLOOKUP(B688,Товары_очищенные!$A$1:$G$1000,6,FALSE),"нет в каталоге")</f>
        <v>26500</v>
      </c>
      <c r="I688" t="str">
        <f>IFERROR(VLOOKUP(B688,Товары_очищенные!$A$1:$G$1000,3,FALSE),"нет в каталоге")</f>
        <v>Часы</v>
      </c>
      <c r="J688" t="str">
        <f t="shared" si="36"/>
        <v>OK</v>
      </c>
    </row>
    <row r="689">
      <c r="A689" s="8">
        <f>DATE(RIGHT(Продажи_исходные!A689,4),LEFT(Продажи_исходные!A689,2),MID(Продажи_исходные!A689,4,2))</f>
        <v>46015</v>
      </c>
      <c r="B689" t="str">
        <f>"АРТ-"&amp;LEFT(SUBSTITUTE(SUBSTITUTE(SUBSTITUTE(SUBSTITUTE(Продажи_исходные!B689,"№",""),"АРТ-",""),"АРТ_",""),"/","-"),3)</f>
        <v>АРТ-236</v>
      </c>
      <c r="C689" s="4">
        <f>IFERROR(VALUE(TRIM(SUBSTITUTE(SUBSTITUTE(SUBSTITUTE(SUBSTITUTE(Продажи_исходные!C689," шт.","")," шт",""),"шт.",""),"шт",""))),0)</f>
        <v>-2</v>
      </c>
      <c r="D689" s="4">
        <f>IF(LEFT(Продажи_исходные!D689,1)="$",VALUE(MID(Продажи_исходные!D689,2,255))*95,IF(LEFT(Продажи_исходные!D689,1)="€",VALUE(MID(Продажи_исходные!D689,2,255))*100,VALUE(SUBSTITUTE(SUBSTITUTE(Продажи_исходные!D689,"₽","")," ",""))))</f>
        <v>10925</v>
      </c>
      <c r="E689" t="str">
        <f>Продажи_исходные!E689</f>
        <v>C0688</v>
      </c>
      <c r="F689" t="str">
        <f>Продажи_исходные!F689</f>
        <v>P010</v>
      </c>
      <c r="G689" t="str">
        <f>IFERROR(VLOOKUP(Продажи_исходные!G689,Справочники!$G$2:$H$50,2,FALSE),Продажи_исходные!G689)</f>
        <v>Завершен</v>
      </c>
      <c r="H689" s="4">
        <f>IFERROR(VLOOKUP(B689,Товары_очищенные!$A$1:$G$1000,6,FALSE),"нет в каталоге")</f>
        <v>58000</v>
      </c>
      <c r="I689" t="str">
        <f>IFERROR(VLOOKUP(B689,Товары_очищенные!$A$1:$G$1000,3,FALSE),"нет в каталоге")</f>
        <v>Планшеты</v>
      </c>
      <c r="J689" t="str">
        <f t="shared" si="36"/>
        <v>OK</v>
      </c>
    </row>
    <row r="690">
      <c r="A690" s="8">
        <f>DATE(RIGHT(Продажи_исходные!A690,4),LEFT(Продажи_исходные!A690,2),MID(Продажи_исходные!A690,4,2))</f>
        <v>46016</v>
      </c>
      <c r="B690" t="str">
        <f>"АРТ-"&amp;LEFT(SUBSTITUTE(SUBSTITUTE(SUBSTITUTE(SUBSTITUTE(Продажи_исходные!B690,"№",""),"АРТ-",""),"АРТ_",""),"/","-"),3)</f>
        <v>АРТ-322</v>
      </c>
      <c r="C690" s="4">
        <f>IFERROR(VALUE(TRIM(SUBSTITUTE(SUBSTITUTE(SUBSTITUTE(SUBSTITUTE(Продажи_исходные!C690," шт.","")," шт",""),"шт.",""),"шт",""))),0)</f>
        <v>1</v>
      </c>
      <c r="D690" s="4">
        <f>IF(LEFT(Продажи_исходные!D690,1)="$",VALUE(MID(Продажи_исходные!D690,2,255))*95,IF(LEFT(Продажи_исходные!D690,1)="€",VALUE(MID(Продажи_исходные!D690,2,255))*100,VALUE(SUBSTITUTE(SUBSTITUTE(Продажи_исходные!D690,"₽","")," ",""))))</f>
        <v>9500</v>
      </c>
      <c r="E690" t="str">
        <f>Продажи_исходные!E690</f>
        <v>C0689</v>
      </c>
      <c r="F690" t="str">
        <f>Продажи_исходные!F690</f>
        <v>P033</v>
      </c>
      <c r="G690" t="str">
        <f>IFERROR(VLOOKUP(Продажи_исходные!G690,Справочники!$G$2:$H$50,2,FALSE),Продажи_исходные!G690)</f>
        <v>Завершен</v>
      </c>
      <c r="H690" s="4">
        <f>IFERROR(VLOOKUP(B690,Товары_очищенные!$A$1:$G$1000,6,FALSE),"нет в каталоге")</f>
        <v>12990</v>
      </c>
      <c r="I690" t="str">
        <f>IFERROR(VLOOKUP(B690,Товары_очищенные!$A$1:$G$1000,3,FALSE),"нет в каталоге")</f>
        <v>Наушники</v>
      </c>
      <c r="J690" t="str">
        <f t="shared" si="36"/>
        <v>OK</v>
      </c>
    </row>
    <row r="691">
      <c r="A691" s="8">
        <f>DATE(RIGHT(Продажи_исходные!A691,4),LEFT(Продажи_исходные!A691,2),MID(Продажи_исходные!A691,4,2))</f>
        <v>46016</v>
      </c>
      <c r="B691" t="str">
        <f>"АРТ-"&amp;LEFT(SUBSTITUTE(SUBSTITUTE(SUBSTITUTE(SUBSTITUTE(Продажи_исходные!B691,"№",""),"АРТ-",""),"АРТ_",""),"/","-"),3)</f>
        <v>АРТ-134</v>
      </c>
      <c r="C691" s="4">
        <f>IFERROR(VALUE(TRIM(SUBSTITUTE(SUBSTITUTE(SUBSTITUTE(SUBSTITUTE(Продажи_исходные!C691," шт.","")," шт",""),"шт.",""),"шт",""))),0)</f>
        <v>2</v>
      </c>
      <c r="D691" s="4">
        <f>IF(LEFT(Продажи_исходные!D691,1)="$",VALUE(MID(Продажи_исходные!D691,2,255))*95,IF(LEFT(Продажи_исходные!D691,1)="€",VALUE(MID(Продажи_исходные!D691,2,255))*100,VALUE(SUBSTITUTE(SUBSTITUTE(Продажи_исходные!D691,"₽","")," ",""))))</f>
        <v>8500</v>
      </c>
      <c r="E691" t="str">
        <f>Продажи_исходные!E691</f>
        <v>C0690</v>
      </c>
      <c r="F691" t="str">
        <f>Продажи_исходные!F691</f>
        <v>P047</v>
      </c>
      <c r="G691" t="str">
        <f>IFERROR(VLOOKUP(Продажи_исходные!G691,Справочники!$G$2:$H$50,2,FALSE),Продажи_исходные!G691)</f>
        <v>Отменен</v>
      </c>
      <c r="H691" s="4">
        <f>IFERROR(VLOOKUP(B691,Товары_очищенные!$A$1:$G$1000,6,FALSE),"нет в каталоге")</f>
        <v>124000</v>
      </c>
      <c r="I691" t="str">
        <f>IFERROR(VLOOKUP(B691,Товары_очищенные!$A$1:$G$1000,3,FALSE),"нет в каталоге")</f>
        <v>Телевизоры</v>
      </c>
      <c r="J691" t="str">
        <f t="shared" si="36"/>
        <v>OK</v>
      </c>
    </row>
    <row r="692">
      <c r="A692" s="8">
        <f>DATE(RIGHT(Продажи_исходные!A692,4),LEFT(Продажи_исходные!A692,2),MID(Продажи_исходные!A692,4,2))</f>
        <v>46017</v>
      </c>
      <c r="B692" t="str">
        <f>"АРТ-"&amp;LEFT(SUBSTITUTE(SUBSTITUTE(SUBSTITUTE(SUBSTITUTE(Продажи_исходные!B692,"№",""),"АРТ-",""),"АРТ_",""),"/","-"),3)</f>
        <v>АРТ-008</v>
      </c>
      <c r="C692" s="4">
        <f>IFERROR(VALUE(TRIM(SUBSTITUTE(SUBSTITUTE(SUBSTITUTE(SUBSTITUTE(Продажи_исходные!C692," шт.","")," шт",""),"шт.",""),"шт",""))),0)</f>
        <v>3</v>
      </c>
      <c r="D692" s="4">
        <f>IF(LEFT(Продажи_исходные!D692,1)="$",VALUE(MID(Продажи_исходные!D692,2,255))*95,IF(LEFT(Продажи_исходные!D692,1)="€",VALUE(MID(Продажи_исходные!D692,2,255))*100,VALUE(SUBSTITUTE(SUBSTITUTE(Продажи_исходные!D692,"₽","")," ",""))))</f>
        <v>9975</v>
      </c>
      <c r="E692" t="str">
        <f>Продажи_исходные!E692</f>
        <v>C0691</v>
      </c>
      <c r="F692" t="str">
        <f>Продажи_исходные!F692</f>
        <v>P020</v>
      </c>
      <c r="G692" t="str">
        <f>IFERROR(VLOOKUP(Продажи_исходные!G692,Справочники!$G$2:$H$50,2,FALSE),Продажи_исходные!G692)</f>
        <v>Отменен</v>
      </c>
      <c r="H692" s="4">
        <f>IFERROR(VLOOKUP(B692,Товары_очищенные!$A$1:$G$1000,6,FALSE),"нет в каталоге")</f>
        <v>68900</v>
      </c>
      <c r="I692" t="str">
        <f>IFERROR(VLOOKUP(B692,Товары_очищенные!$A$1:$G$1000,3,FALSE),"нет в каталоге")</f>
        <v>Смартфоны</v>
      </c>
      <c r="J692" t="str">
        <f t="shared" si="36"/>
        <v>OK</v>
      </c>
    </row>
    <row r="693">
      <c r="A693" s="8">
        <f>DATE(RIGHT(Продажи_исходные!A693,4),LEFT(Продажи_исходные!A693,2),MID(Продажи_исходные!A693,4,2))</f>
        <v>46017</v>
      </c>
      <c r="B693" t="str">
        <f>"АРТ-"&amp;LEFT(SUBSTITUTE(SUBSTITUTE(SUBSTITUTE(SUBSTITUTE(Продажи_исходные!B693,"№",""),"АРТ-",""),"АРТ_",""),"/","-"),3)</f>
        <v>АРТ-474</v>
      </c>
      <c r="C693" s="4">
        <f>IFERROR(VALUE(TRIM(SUBSTITUTE(SUBSTITUTE(SUBSTITUTE(SUBSTITUTE(Продажи_исходные!C693," шт.","")," шт",""),"шт.",""),"шт",""))),0)</f>
        <v>2</v>
      </c>
      <c r="D693" s="4">
        <f>IF(LEFT(Продажи_исходные!D693,1)="$",VALUE(MID(Продажи_исходные!D693,2,255))*95,IF(LEFT(Продажи_исходные!D693,1)="€",VALUE(MID(Продажи_исходные!D693,2,255))*100,VALUE(SUBSTITUTE(SUBSTITUTE(Продажи_исходные!D693,"₽","")," ",""))))</f>
        <v>8500</v>
      </c>
      <c r="E693" t="str">
        <f>Продажи_исходные!E693</f>
        <v>C0692</v>
      </c>
      <c r="F693" t="str">
        <f>Продажи_исходные!F693</f>
        <v>P002</v>
      </c>
      <c r="G693" t="str">
        <f>IFERROR(VLOOKUP(Продажи_исходные!G693,Справочники!$G$2:$H$50,2,FALSE),Продажи_исходные!G693)</f>
        <v>Завершен</v>
      </c>
      <c r="H693" s="4">
        <f>IFERROR(VLOOKUP(B693,Товары_очищенные!$A$1:$G$1000,6,FALSE),"нет в каталоге")</f>
        <v>9800</v>
      </c>
      <c r="I693" t="str">
        <f>IFERROR(VLOOKUP(B693,Товары_очищенные!$A$1:$G$1000,3,FALSE),"нет в каталоге")</f>
        <v>Наушники</v>
      </c>
      <c r="J693" t="str">
        <f t="shared" si="36"/>
        <v>OK</v>
      </c>
    </row>
    <row r="694">
      <c r="A694" s="8">
        <f>DATE(RIGHT(Продажи_исходные!A694,4),LEFT(Продажи_исходные!A694,2),MID(Продажи_исходные!A694,4,2))</f>
        <v>46018</v>
      </c>
      <c r="B694" t="str">
        <f>"АРТ-"&amp;LEFT(SUBSTITUTE(SUBSTITUTE(SUBSTITUTE(SUBSTITUTE(Продажи_исходные!B694,"№",""),"АРТ-",""),"АРТ_",""),"/","-"),3)</f>
        <v>АРТ-346</v>
      </c>
      <c r="C694" s="4">
        <f>IFERROR(VALUE(TRIM(SUBSTITUTE(SUBSTITUTE(SUBSTITUTE(SUBSTITUTE(Продажи_исходные!C694," шт.","")," шт",""),"шт.",""),"шт",""))),0)</f>
        <v>1</v>
      </c>
      <c r="D694" s="4">
        <f>IF(LEFT(Продажи_исходные!D694,1)="$",VALUE(MID(Продажи_исходные!D694,2,255))*95,IF(LEFT(Продажи_исходные!D694,1)="€",VALUE(MID(Продажи_исходные!D694,2,255))*100,VALUE(SUBSTITUTE(SUBSTITUTE(Продажи_исходные!D694,"₽","")," ",""))))</f>
        <v>7800</v>
      </c>
      <c r="E694" t="str">
        <f>Продажи_исходные!E694</f>
        <v>C0693</v>
      </c>
      <c r="F694" t="str">
        <f>Продажи_исходные!F694</f>
        <v>P038</v>
      </c>
      <c r="G694" t="str">
        <f>IFERROR(VLOOKUP(Продажи_исходные!G694,Справочники!$G$2:$H$50,2,FALSE),Продажи_исходные!G694)</f>
        <v>Возврат</v>
      </c>
      <c r="H694" s="4">
        <f>IFERROR(VLOOKUP(B694,Товары_очищенные!$A$1:$G$1000,6,FALSE),"нет в каталоге")</f>
        <v>19990</v>
      </c>
      <c r="I694" t="str">
        <f>IFERROR(VLOOKUP(B694,Товары_очищенные!$A$1:$G$1000,3,FALSE),"нет в каталоге")</f>
        <v>Наушники</v>
      </c>
      <c r="J694" t="str">
        <f t="shared" si="36"/>
        <v>OK</v>
      </c>
    </row>
    <row r="695">
      <c r="A695" s="8">
        <f>DATE(RIGHT(Продажи_исходные!A695,4),LEFT(Продажи_исходные!A695,2),MID(Продажи_исходные!A695,4,2))</f>
        <v>46018</v>
      </c>
      <c r="B695" t="str">
        <f>"АРТ-"&amp;LEFT(SUBSTITUTE(SUBSTITUTE(SUBSTITUTE(SUBSTITUTE(Продажи_исходные!B695,"№",""),"АРТ-",""),"АРТ_",""),"/","-"),3)</f>
        <v>АРТ-352</v>
      </c>
      <c r="C695" s="4">
        <f>IFERROR(VALUE(TRIM(SUBSTITUTE(SUBSTITUTE(SUBSTITUTE(SUBSTITUTE(Продажи_исходные!C695," шт.","")," шт",""),"шт.",""),"шт",""))),0)</f>
        <v>-3</v>
      </c>
      <c r="D695" s="4">
        <f>IF(LEFT(Продажи_исходные!D695,1)="$",VALUE(MID(Продажи_исходные!D695,2,255))*95,IF(LEFT(Продажи_исходные!D695,1)="€",VALUE(MID(Продажи_исходные!D695,2,255))*100,VALUE(SUBSTITUTE(SUBSTITUTE(Продажи_исходные!D695,"₽","")," ",""))))</f>
        <v>11400</v>
      </c>
      <c r="E695" t="str">
        <f>Продажи_исходные!E695</f>
        <v>C0694</v>
      </c>
      <c r="F695" t="str">
        <f>Продажи_исходные!F695</f>
        <v>P016</v>
      </c>
      <c r="G695" t="str">
        <f>IFERROR(VLOOKUP(Продажи_исходные!G695,Справочники!$G$2:$H$50,2,FALSE),Продажи_исходные!G695)</f>
        <v>Завершен</v>
      </c>
      <c r="H695" s="4">
        <f>IFERROR(VLOOKUP(B695,Товары_очищенные!$A$1:$G$1000,6,FALSE),"нет в каталоге")</f>
        <v>6990</v>
      </c>
      <c r="I695" t="str">
        <f>IFERROR(VLOOKUP(B695,Товары_очищенные!$A$1:$G$1000,3,FALSE),"нет в каталоге")</f>
        <v>Аксессуары</v>
      </c>
      <c r="J695" t="str">
        <f t="shared" si="36"/>
        <v>OK</v>
      </c>
    </row>
    <row r="696">
      <c r="A696" s="8">
        <f>DATE(RIGHT(Продажи_исходные!A696,4),LEFT(Продажи_исходные!A696,2),MID(Продажи_исходные!A696,4,2))</f>
        <v>46019</v>
      </c>
      <c r="B696" t="str">
        <f>"АРТ-"&amp;LEFT(SUBSTITUTE(SUBSTITUTE(SUBSTITUTE(SUBSTITUTE(Продажи_исходные!B696,"№",""),"АРТ-",""),"АРТ_",""),"/","-"),3)</f>
        <v>АРТ-303</v>
      </c>
      <c r="C696" s="4">
        <f>IFERROR(VALUE(TRIM(SUBSTITUTE(SUBSTITUTE(SUBSTITUTE(SUBSTITUTE(Продажи_исходные!C696," шт.","")," шт",""),"шт.",""),"шт",""))),0)</f>
        <v>2</v>
      </c>
      <c r="D696" s="4">
        <f>IF(LEFT(Продажи_исходные!D696,1)="$",VALUE(MID(Продажи_исходные!D696,2,255))*95,IF(LEFT(Продажи_исходные!D696,1)="€",VALUE(MID(Продажи_исходные!D696,2,255))*100,VALUE(SUBSTITUTE(SUBSTITUTE(Продажи_исходные!D696,"₽","")," ",""))))</f>
        <v>10000</v>
      </c>
      <c r="E696" t="str">
        <f>Продажи_исходные!E696</f>
        <v>C0695</v>
      </c>
      <c r="F696" t="str">
        <f>Продажи_исходные!F696</f>
        <v>P029</v>
      </c>
      <c r="G696" t="str">
        <f>IFERROR(VLOOKUP(Продажи_исходные!G696,Справочники!$G$2:$H$50,2,FALSE),Продажи_исходные!G696)</f>
        <v>Завершен</v>
      </c>
      <c r="H696" s="4">
        <f>IFERROR(VLOOKUP(B696,Товары_очищенные!$A$1:$G$1000,6,FALSE),"нет в каталоге")</f>
        <v>8800</v>
      </c>
      <c r="I696" t="str">
        <f>IFERROR(VLOOKUP(B696,Товары_очищенные!$A$1:$G$1000,3,FALSE),"нет в каталоге")</f>
        <v>Наушники</v>
      </c>
      <c r="J696" t="str">
        <f t="shared" si="36"/>
        <v>OK</v>
      </c>
    </row>
    <row r="697">
      <c r="A697" s="8">
        <f>DATE(RIGHT(Продажи_исходные!A697,4),LEFT(Продажи_исходные!A697,2),MID(Продажи_исходные!A697,4,2))</f>
        <v>46019</v>
      </c>
      <c r="B697" t="str">
        <f>"АРТ-"&amp;LEFT(SUBSTITUTE(SUBSTITUTE(SUBSTITUTE(SUBSTITUTE(Продажи_исходные!B697,"№",""),"АРТ-",""),"АРТ_",""),"/","-"),3)</f>
        <v>АРТ-283</v>
      </c>
      <c r="C697" s="4">
        <f>IFERROR(VALUE(TRIM(SUBSTITUTE(SUBSTITUTE(SUBSTITUTE(SUBSTITUTE(Продажи_исходные!C697," шт.","")," шт",""),"шт.",""),"шт",""))),0)</f>
        <v>1</v>
      </c>
      <c r="D697" s="4">
        <f>IF(LEFT(Продажи_исходные!D697,1)="$",VALUE(MID(Продажи_исходные!D697,2,255))*95,IF(LEFT(Продажи_исходные!D697,1)="€",VALUE(MID(Продажи_исходные!D697,2,255))*100,VALUE(SUBSTITUTE(SUBSTITUTE(Продажи_исходные!D697,"₽","")," ",""))))</f>
        <v>9200</v>
      </c>
      <c r="E697" t="str">
        <f>Продажи_исходные!E697</f>
        <v>C0696</v>
      </c>
      <c r="F697" t="str">
        <f>Продажи_исходные!F697</f>
        <v>P035</v>
      </c>
      <c r="G697" t="str">
        <f>IFERROR(VLOOKUP(Продажи_исходные!G697,Справочники!$G$2:$H$50,2,FALSE),Продажи_исходные!G697)</f>
        <v>Завершен</v>
      </c>
      <c r="H697" s="4">
        <f>IFERROR(VLOOKUP(B697,Товары_очищенные!$A$1:$G$1000,6,FALSE),"нет в каталоге")</f>
        <v>84990</v>
      </c>
      <c r="I697" t="str">
        <f>IFERROR(VLOOKUP(B697,Товары_очищенные!$A$1:$G$1000,3,FALSE),"нет в каталоге")</f>
        <v>Мониторы</v>
      </c>
      <c r="J697" t="str">
        <f t="shared" si="36"/>
        <v>OK</v>
      </c>
    </row>
    <row r="698">
      <c r="A698" s="8">
        <f>DATE(RIGHT(Продажи_исходные!A698,4),LEFT(Продажи_исходные!A698,2),MID(Продажи_исходные!A698,4,2))</f>
        <v>46020</v>
      </c>
      <c r="B698" t="str">
        <f>"АРТ-"&amp;LEFT(SUBSTITUTE(SUBSTITUTE(SUBSTITUTE(SUBSTITUTE(Продажи_исходные!B698,"№",""),"АРТ-",""),"АРТ_",""),"/","-"),3)</f>
        <v>АРТ-168</v>
      </c>
      <c r="C698" s="4">
        <f>IFERROR(VALUE(TRIM(SUBSTITUTE(SUBSTITUTE(SUBSTITUTE(SUBSTITUTE(Продажи_исходные!C698," шт.","")," шт",""),"шт.",""),"шт",""))),0)</f>
        <v>3</v>
      </c>
      <c r="D698" s="4">
        <f>IF(LEFT(Продажи_исходные!D698,1)="$",VALUE(MID(Продажи_исходные!D698,2,255))*95,IF(LEFT(Продажи_исходные!D698,1)="€",VALUE(MID(Продажи_исходные!D698,2,255))*100,VALUE(SUBSTITUTE(SUBSTITUTE(Продажи_исходные!D698,"₽","")," ",""))))</f>
        <v>8550</v>
      </c>
      <c r="E698" t="str">
        <f>Продажи_исходные!E698</f>
        <v>C0697</v>
      </c>
      <c r="F698" t="str">
        <f>Продажи_исходные!F698</f>
        <v>P046</v>
      </c>
      <c r="G698" t="str">
        <f>IFERROR(VLOOKUP(Продажи_исходные!G698,Справочники!$G$2:$H$50,2,FALSE),Продажи_исходные!G698)</f>
        <v>Отменен</v>
      </c>
      <c r="H698" s="4">
        <f>IFERROR(VLOOKUP(B698,Товары_очищенные!$A$1:$G$1000,6,FALSE),"нет в каталоге")</f>
        <v>85000</v>
      </c>
      <c r="I698" t="str">
        <f>IFERROR(VLOOKUP(B698,Товары_очищенные!$A$1:$G$1000,3,FALSE),"нет в каталоге")</f>
        <v>Планшеты</v>
      </c>
      <c r="J698" t="str">
        <f t="shared" si="36"/>
        <v>OK</v>
      </c>
    </row>
    <row r="699">
      <c r="A699" s="8">
        <f>DATE(RIGHT(Продажи_исходные!A699,4),LEFT(Продажи_исходные!A699,2),MID(Продажи_исходные!A699,4,2))</f>
        <v>46020</v>
      </c>
      <c r="B699" t="str">
        <f>"АРТ-"&amp;LEFT(SUBSTITUTE(SUBSTITUTE(SUBSTITUTE(SUBSTITUTE(Продажи_исходные!B699,"№",""),"АРТ-",""),"АРТ_",""),"/","-"),3)</f>
        <v>АРТ-492</v>
      </c>
      <c r="C699" s="4">
        <f>IFERROR(VALUE(TRIM(SUBSTITUTE(SUBSTITUTE(SUBSTITUTE(SUBSTITUTE(Продажи_исходные!C699," шт.","")," шт",""),"шт.",""),"шт",""))),0)</f>
        <v>2</v>
      </c>
      <c r="D699" s="4">
        <f>IF(LEFT(Продажи_исходные!D699,1)="$",VALUE(MID(Продажи_исходные!D699,2,255))*95,IF(LEFT(Продажи_исходные!D699,1)="€",VALUE(MID(Продажи_исходные!D699,2,255))*100,VALUE(SUBSTITUTE(SUBSTITUTE(Продажи_исходные!D699,"₽","")," ",""))))</f>
        <v>7000</v>
      </c>
      <c r="E699" t="str">
        <f>Продажи_исходные!E699</f>
        <v>C0698</v>
      </c>
      <c r="F699" t="str">
        <f>Продажи_исходные!F699</f>
        <v>P022</v>
      </c>
      <c r="G699" t="str">
        <f>IFERROR(VLOOKUP(Продажи_исходные!G699,Справочники!$G$2:$H$50,2,FALSE),Продажи_исходные!G699)</f>
        <v>Отменен</v>
      </c>
      <c r="H699" s="4">
        <f>IFERROR(VLOOKUP(B699,Товары_очищенные!$A$1:$G$1000,6,FALSE),"нет в каталоге")</f>
        <v>64000</v>
      </c>
      <c r="I699" t="str">
        <f>IFERROR(VLOOKUP(B699,Товары_очищенные!$A$1:$G$1000,3,FALSE),"нет в каталоге")</f>
        <v>Телевизоры</v>
      </c>
      <c r="J699" t="str">
        <f t="shared" si="36"/>
        <v>OK</v>
      </c>
    </row>
    <row r="700">
      <c r="A700" s="8">
        <f>DATE(RIGHT(Продажи_исходные!A700,4),LEFT(Продажи_исходные!A700,2),MID(Продажи_исходные!A700,4,2))</f>
        <v>46021</v>
      </c>
      <c r="B700" t="str">
        <f>"АРТ-"&amp;LEFT(SUBSTITUTE(SUBSTITUTE(SUBSTITUTE(SUBSTITUTE(Продажи_исходные!B700,"№",""),"АРТ-",""),"АРТ_",""),"/","-"),3)</f>
        <v>АРТ-306</v>
      </c>
      <c r="C700" s="4">
        <f>IFERROR(VALUE(TRIM(SUBSTITUTE(SUBSTITUTE(SUBSTITUTE(SUBSTITUTE(Продажи_исходные!C700," шт.","")," шт",""),"шт.",""),"шт",""))),0)</f>
        <v>1</v>
      </c>
      <c r="D700" s="4">
        <f>IF(LEFT(Продажи_исходные!D700,1)="$",VALUE(MID(Продажи_исходные!D700,2,255))*95,IF(LEFT(Продажи_исходные!D700,1)="€",VALUE(MID(Продажи_исходные!D700,2,255))*100,VALUE(SUBSTITUTE(SUBSTITUTE(Продажи_исходные!D700,"₽","")," ",""))))</f>
        <v>6500</v>
      </c>
      <c r="E700" t="str">
        <f>Продажи_исходные!E700</f>
        <v>C0699</v>
      </c>
      <c r="F700" t="str">
        <f>Продажи_исходные!F700</f>
        <v>P043</v>
      </c>
      <c r="G700" t="str">
        <f>IFERROR(VLOOKUP(Продажи_исходные!G700,Справочники!$G$2:$H$50,2,FALSE),Продажи_исходные!G700)</f>
        <v>Возврат</v>
      </c>
      <c r="H700" s="4">
        <f>IFERROR(VLOOKUP(B700,Товары_очищенные!$A$1:$G$1000,6,FALSE),"нет в каталоге")</f>
        <v>62000</v>
      </c>
      <c r="I700" t="str">
        <f>IFERROR(VLOOKUP(B700,Товары_очищенные!$A$1:$G$1000,3,FALSE),"нет в каталоге")</f>
        <v>Мониторы</v>
      </c>
      <c r="J700" t="str">
        <f t="shared" si="36"/>
        <v>OK</v>
      </c>
    </row>
    <row r="701">
      <c r="A701" s="8">
        <f>DATE(RIGHT(Продажи_исходные!A701,4),LEFT(Продажи_исходные!A701,2),MID(Продажи_исходные!A701,4,2))</f>
        <v>46021</v>
      </c>
      <c r="B701" t="str">
        <f>"АРТ-"&amp;LEFT(SUBSTITUTE(SUBSTITUTE(SUBSTITUTE(SUBSTITUTE(Продажи_исходные!B701,"№",""),"АРТ-",""),"АРТ_",""),"/","-"),3)</f>
        <v>АРТ-381</v>
      </c>
      <c r="C701" s="4">
        <f>IFERROR(VALUE(TRIM(SUBSTITUTE(SUBSTITUTE(SUBSTITUTE(SUBSTITUTE(Продажи_исходные!C701," шт.","")," шт",""),"шт.",""),"шт",""))),0)</f>
        <v>-1</v>
      </c>
      <c r="D701" s="4">
        <f>IF(LEFT(Продажи_исходные!D701,1)="$",VALUE(MID(Продажи_исходные!D701,2,255))*95,IF(LEFT(Продажи_исходные!D701,1)="€",VALUE(MID(Продажи_исходные!D701,2,255))*100,VALUE(SUBSTITUTE(SUBSTITUTE(Продажи_исходные!D701,"₽","")," ",""))))</f>
        <v>10450</v>
      </c>
      <c r="E701" t="str">
        <f>Продажи_исходные!E701</f>
        <v>C0700</v>
      </c>
      <c r="F701" t="str">
        <f>Продажи_исходные!F701</f>
        <v>P030</v>
      </c>
      <c r="G701" t="str">
        <f>IFERROR(VLOOKUP(Продажи_исходные!G701,Справочники!$G$2:$H$50,2,FALSE),Продажи_исходные!G701)</f>
        <v>Завершен</v>
      </c>
      <c r="H701" s="4">
        <f>IFERROR(VLOOKUP(B701,Товары_очищенные!$A$1:$G$1000,6,FALSE),"нет в каталоге")</f>
        <v>38500</v>
      </c>
      <c r="I701" t="str">
        <f>IFERROR(VLOOKUP(B701,Товары_очищенные!$A$1:$G$1000,3,FALSE),"нет в каталоге")</f>
        <v>Планшеты</v>
      </c>
      <c r="J701" t="str">
        <f t="shared" si="36"/>
        <v>OK</v>
      </c>
    </row>
    <row r="702">
      <c r="A702" s="8">
        <f>DATE(RIGHT(Продажи_исходные!A702,4),LEFT(Продажи_исходные!A702,2),MID(Продажи_исходные!A702,4,2))</f>
        <v>46022</v>
      </c>
      <c r="B702" t="str">
        <f>"АРТ-"&amp;LEFT(SUBSTITUTE(SUBSTITUTE(SUBSTITUTE(SUBSTITUTE(Продажи_исходные!B702,"№",""),"АРТ-",""),"АРТ_",""),"/","-"),3)</f>
        <v>АРТ-375</v>
      </c>
      <c r="C702" s="4">
        <f>IFERROR(VALUE(TRIM(SUBSTITUTE(SUBSTITUTE(SUBSTITUTE(SUBSTITUTE(Продажи_исходные!C702," шт.","")," шт",""),"шт.",""),"шт",""))),0)</f>
        <v>3</v>
      </c>
      <c r="D702" s="4">
        <f>IF(LEFT(Продажи_исходные!D702,1)="$",VALUE(MID(Продажи_исходные!D702,2,255))*95,IF(LEFT(Продажи_исходные!D702,1)="€",VALUE(MID(Продажи_исходные!D702,2,255))*100,VALUE(SUBSTITUTE(SUBSTITUTE(Продажи_исходные!D702,"₽","")," ",""))))</f>
        <v>9000</v>
      </c>
      <c r="E702" t="str">
        <f>Продажи_исходные!E702</f>
        <v>C0701</v>
      </c>
      <c r="F702" t="str">
        <f>Продажи_исходные!F702</f>
        <v>P012</v>
      </c>
      <c r="G702" t="str">
        <f>IFERROR(VLOOKUP(Продажи_исходные!G702,Справочники!$G$2:$H$50,2,FALSE),Продажи_исходные!G702)</f>
        <v>Завершен</v>
      </c>
      <c r="H702" s="4">
        <f>IFERROR(VLOOKUP(B702,Товары_очищенные!$A$1:$G$1000,6,FALSE),"нет в каталоге")</f>
        <v>14800</v>
      </c>
      <c r="I702" t="str">
        <f>IFERROR(VLOOKUP(B702,Товары_очищенные!$A$1:$G$1000,3,FALSE),"нет в каталоге")</f>
        <v>Аксессуары</v>
      </c>
      <c r="J702" t="str">
        <f t="shared" si="36"/>
        <v>OK</v>
      </c>
    </row>
    <row r="703">
      <c r="A703" s="8">
        <f>DATE(RIGHT(Продажи_исходные!A703,4),LEFT(Продажи_исходные!A703,2),MID(Продажи_исходные!A703,4,2))</f>
        <v>46022</v>
      </c>
      <c r="B703" t="str">
        <f>"АРТ-"&amp;LEFT(SUBSTITUTE(SUBSTITUTE(SUBSTITUTE(SUBSTITUTE(Продажи_исходные!B703,"№",""),"АРТ-",""),"АРТ_",""),"/","-"),3)</f>
        <v>АРТ-214</v>
      </c>
      <c r="C703" s="4">
        <f>IFERROR(VALUE(TRIM(SUBSTITUTE(SUBSTITUTE(SUBSTITUTE(SUBSTITUTE(Продажи_исходные!C703," шт.","")," шт",""),"шт.",""),"шт",""))),0)</f>
        <v>2</v>
      </c>
      <c r="D703" s="4">
        <f>IF(LEFT(Продажи_исходные!D703,1)="$",VALUE(MID(Продажи_исходные!D703,2,255))*95,IF(LEFT(Продажи_исходные!D703,1)="€",VALUE(MID(Продажи_исходные!D703,2,255))*100,VALUE(SUBSTITUTE(SUBSTITUTE(Продажи_исходные!D703,"₽","")," ",""))))</f>
        <v>8000</v>
      </c>
      <c r="E703" t="str">
        <f>Продажи_исходные!E703</f>
        <v>C0702</v>
      </c>
      <c r="F703" t="str">
        <f>Продажи_исходные!F703</f>
        <v>P007</v>
      </c>
      <c r="G703" t="str">
        <f>IFERROR(VLOOKUP(Продажи_исходные!G703,Справочники!$G$2:$H$50,2,FALSE),Продажи_исходные!G703)</f>
        <v>Завершен</v>
      </c>
      <c r="H703" s="4">
        <f>IFERROR(VLOOKUP(B703,Товары_очищенные!$A$1:$G$1000,6,FALSE),"нет в каталоге")</f>
        <v>26990</v>
      </c>
      <c r="I703" t="str">
        <f>IFERROR(VLOOKUP(B703,Товары_очищенные!$A$1:$G$1000,3,FALSE),"нет в каталоге")</f>
        <v>Планшеты</v>
      </c>
      <c r="J703" t="str">
        <f t="shared" si="36"/>
        <v>OK</v>
      </c>
    </row>
    <row r="704">
      <c r="A704" s="8">
        <f>DATE(RIGHT(Продажи_исходные!A704,4),LEFT(Продажи_исходные!A704,2),MID(Продажи_исходные!A704,4,2))</f>
        <v>46023</v>
      </c>
      <c r="B704" t="str">
        <f>"АРТ-"&amp;LEFT(SUBSTITUTE(SUBSTITUTE(SUBSTITUTE(SUBSTITUTE(Продажи_исходные!B704,"№",""),"АРТ-",""),"АРТ_",""),"/","-"),3)</f>
        <v>АРТ-021</v>
      </c>
      <c r="C704" s="4">
        <f>IFERROR(VALUE(TRIM(SUBSTITUTE(SUBSTITUTE(SUBSTITUTE(SUBSTITUTE(Продажи_исходные!C704," шт.","")," шт",""),"шт.",""),"шт",""))),0)</f>
        <v>1</v>
      </c>
      <c r="D704" s="4">
        <f>IF(LEFT(Продажи_исходные!D704,1)="$",VALUE(MID(Продажи_исходные!D704,2,255))*95,IF(LEFT(Продажи_исходные!D704,1)="€",VALUE(MID(Продажи_исходные!D704,2,255))*100,VALUE(SUBSTITUTE(SUBSTITUTE(Продажи_исходные!D704,"₽","")," ",""))))</f>
        <v>9025</v>
      </c>
      <c r="E704" t="str">
        <f>Продажи_исходные!E704</f>
        <v>C0703</v>
      </c>
      <c r="F704" t="str">
        <f>Продажи_исходные!F704</f>
        <v>P023</v>
      </c>
      <c r="G704" t="str">
        <f>IFERROR(VLOOKUP(Продажи_исходные!G704,Справочники!$G$2:$H$50,2,FALSE),Продажи_исходные!G704)</f>
        <v>Отменен</v>
      </c>
      <c r="H704" s="4">
        <f>IFERROR(VLOOKUP(B704,Товары_очищенные!$A$1:$G$1000,6,FALSE),"нет в каталоге")</f>
        <v>137000</v>
      </c>
      <c r="I704" t="str">
        <f>IFERROR(VLOOKUP(B704,Товары_очищенные!$A$1:$G$1000,3,FALSE),"нет в каталоге")</f>
        <v>Ноутбуки</v>
      </c>
      <c r="J704" t="str">
        <f t="shared" si="36"/>
        <v>OK</v>
      </c>
    </row>
    <row r="705">
      <c r="A705" s="8">
        <f>DATE(RIGHT(Продажи_исходные!A705,4),LEFT(Продажи_исходные!A705,2),MID(Продажи_исходные!A705,4,2))</f>
        <v>46023</v>
      </c>
      <c r="B705" t="str">
        <f>"АРТ-"&amp;LEFT(SUBSTITUTE(SUBSTITUTE(SUBSTITUTE(SUBSTITUTE(Продажи_исходные!B705,"№",""),"АРТ-",""),"АРТ_",""),"/","-"),3)</f>
        <v>АРТ-439</v>
      </c>
      <c r="C705" s="4">
        <f>IFERROR(VALUE(TRIM(SUBSTITUTE(SUBSTITUTE(SUBSTITUTE(SUBSTITUTE(Продажи_исходные!C705," шт.","")," шт",""),"шт.",""),"шт",""))),0)</f>
        <v>2</v>
      </c>
      <c r="D705" s="4">
        <f>IF(LEFT(Продажи_исходные!D705,1)="$",VALUE(MID(Продажи_исходные!D705,2,255))*95,IF(LEFT(Продажи_исходные!D705,1)="€",VALUE(MID(Продажи_исходные!D705,2,255))*100,VALUE(SUBSTITUTE(SUBSTITUTE(Продажи_исходные!D705,"₽","")," ",""))))</f>
        <v>7500</v>
      </c>
      <c r="E705" t="str">
        <f>Продажи_исходные!E705</f>
        <v>C0704</v>
      </c>
      <c r="F705" t="str">
        <f>Продажи_исходные!F705</f>
        <v>P045</v>
      </c>
      <c r="G705" t="str">
        <f>IFERROR(VLOOKUP(Продажи_исходные!G705,Справочники!$G$2:$H$50,2,FALSE),Продажи_исходные!G705)</f>
        <v>Отменен</v>
      </c>
      <c r="H705" s="4">
        <f>IFERROR(VLOOKUP(B705,Товары_очищенные!$A$1:$G$1000,6,FALSE),"нет в каталоге")</f>
        <v>29990</v>
      </c>
      <c r="I705" t="str">
        <f>IFERROR(VLOOKUP(B705,Товары_очищенные!$A$1:$G$1000,3,FALSE),"нет в каталоге")</f>
        <v>Планшеты</v>
      </c>
      <c r="J705" t="str">
        <f t="shared" si="36"/>
        <v>OK</v>
      </c>
    </row>
    <row r="706">
      <c r="A706" s="8">
        <f>DATE(RIGHT(Продажи_исходные!A706,4),LEFT(Продажи_исходные!A706,2),MID(Продажи_исходные!A706,4,2))</f>
        <v>46024</v>
      </c>
      <c r="B706" t="str">
        <f>"АРТ-"&amp;LEFT(SUBSTITUTE(SUBSTITUTE(SUBSTITUTE(SUBSTITUTE(Продажи_исходные!B706,"№",""),"АРТ-",""),"АРТ_",""),"/","-"),3)</f>
        <v>АРТ-323</v>
      </c>
      <c r="C706" s="4">
        <f>IFERROR(VALUE(TRIM(SUBSTITUTE(SUBSTITUTE(SUBSTITUTE(SUBSTITUTE(Продажи_исходные!C706," шт.","")," шт",""),"шт.",""),"шт",""))),0)</f>
        <v>3</v>
      </c>
      <c r="D706" s="4">
        <f>IF(LEFT(Продажи_исходные!D706,1)="$",VALUE(MID(Продажи_исходные!D706,2,255))*95,IF(LEFT(Продажи_исходные!D706,1)="€",VALUE(MID(Продажи_исходные!D706,2,255))*100,VALUE(SUBSTITUTE(SUBSTITUTE(Продажи_исходные!D706,"₽","")," ",""))))</f>
        <v>7000</v>
      </c>
      <c r="E706" t="str">
        <f>Продажи_исходные!E706</f>
        <v>C0705</v>
      </c>
      <c r="F706" t="str">
        <f>Продажи_исходные!F706</f>
        <v>P008</v>
      </c>
      <c r="G706" t="str">
        <f>IFERROR(VLOOKUP(Продажи_исходные!G706,Справочники!$G$2:$H$50,2,FALSE),Продажи_исходные!G706)</f>
        <v>Завершен</v>
      </c>
      <c r="H706" s="4">
        <f>IFERROR(VLOOKUP(B706,Товары_очищенные!$A$1:$G$1000,6,FALSE),"нет в каталоге")</f>
        <v>12500</v>
      </c>
      <c r="I706" t="str">
        <f>IFERROR(VLOOKUP(B706,Товары_очищенные!$A$1:$G$1000,3,FALSE),"нет в каталоге")</f>
        <v>Наушники</v>
      </c>
      <c r="J706" t="str">
        <f t="shared" si="36"/>
        <v>OK</v>
      </c>
    </row>
    <row r="707">
      <c r="A707" s="8">
        <f>DATE(RIGHT(Продажи_исходные!A707,4),LEFT(Продажи_исходные!A707,2),MID(Продажи_исходные!A707,4,2))</f>
        <v>46024</v>
      </c>
      <c r="B707" t="str">
        <f>"АРТ-"&amp;LEFT(SUBSTITUTE(SUBSTITUTE(SUBSTITUTE(SUBSTITUTE(Продажи_исходные!B707,"№",""),"АРТ-",""),"АРТ_",""),"/","-"),3)</f>
        <v>АРТ-192</v>
      </c>
      <c r="C707" s="4">
        <f>IFERROR(VALUE(TRIM(SUBSTITUTE(SUBSTITUTE(SUBSTITUTE(SUBSTITUTE(Продажи_исходные!C707," шт.","")," шт",""),"шт.",""),"шт",""))),0)</f>
        <v>-2</v>
      </c>
      <c r="D707" s="4">
        <f>IF(LEFT(Продажи_исходные!D707,1)="$",VALUE(MID(Продажи_исходные!D707,2,255))*95,IF(LEFT(Продажи_исходные!D707,1)="€",VALUE(MID(Продажи_исходные!D707,2,255))*100,VALUE(SUBSTITUTE(SUBSTITUTE(Продажи_исходные!D707,"₽","")," ",""))))</f>
        <v>10925</v>
      </c>
      <c r="E707" t="str">
        <f>Продажи_исходные!E707</f>
        <v>C0706</v>
      </c>
      <c r="F707" t="str">
        <f>Продажи_исходные!F707</f>
        <v>P031</v>
      </c>
      <c r="G707" t="str">
        <f>IFERROR(VLOOKUP(Продажи_исходные!G707,Справочники!$G$2:$H$50,2,FALSE),Продажи_исходные!G707)</f>
        <v>Возврат</v>
      </c>
      <c r="H707" s="4">
        <f>IFERROR(VLOOKUP(B707,Товары_очищенные!$A$1:$G$1000,6,FALSE),"нет в каталоге")</f>
        <v>26500</v>
      </c>
      <c r="I707" t="str">
        <f>IFERROR(VLOOKUP(B707,Товары_очищенные!$A$1:$G$1000,3,FALSE),"нет в каталоге")</f>
        <v>Планшеты</v>
      </c>
      <c r="J707" t="str">
        <f t="shared" si="36"/>
        <v>OK</v>
      </c>
    </row>
    <row r="708">
      <c r="A708" s="8">
        <f>DATE(RIGHT(Продажи_исходные!A708,4),LEFT(Продажи_исходные!A708,2),MID(Продажи_исходные!A708,4,2))</f>
        <v>46025</v>
      </c>
      <c r="B708" t="str">
        <f>"АРТ-"&amp;LEFT(SUBSTITUTE(SUBSTITUTE(SUBSTITUTE(SUBSTITUTE(Продажи_исходные!B708,"№",""),"АРТ-",""),"АРТ_",""),"/","-"),3)</f>
        <v>АРТ-343</v>
      </c>
      <c r="C708" s="4">
        <f>IFERROR(VALUE(TRIM(SUBSTITUTE(SUBSTITUTE(SUBSTITUTE(SUBSTITUTE(Продажи_исходные!C708," шт.","")," шт",""),"шт.",""),"шт",""))),0)</f>
        <v>1</v>
      </c>
      <c r="D708" s="4">
        <f>IF(LEFT(Продажи_исходные!D708,1)="$",VALUE(MID(Продажи_исходные!D708,2,255))*95,IF(LEFT(Продажи_исходные!D708,1)="€",VALUE(MID(Продажи_исходные!D708,2,255))*100,VALUE(SUBSTITUTE(SUBSTITUTE(Продажи_исходные!D708,"₽","")," ",""))))</f>
        <v>9500</v>
      </c>
      <c r="E708" t="str">
        <f>Продажи_исходные!E708</f>
        <v>C0707</v>
      </c>
      <c r="F708" t="str">
        <f>Продажи_исходные!F708</f>
        <v>P019</v>
      </c>
      <c r="G708" t="str">
        <f>IFERROR(VLOOKUP(Продажи_исходные!G708,Справочники!$G$2:$H$50,2,FALSE),Продажи_исходные!G708)</f>
        <v>Завершен</v>
      </c>
      <c r="H708" s="4">
        <f>IFERROR(VLOOKUP(B708,Товары_очищенные!$A$1:$G$1000,6,FALSE),"нет в каталоге")</f>
        <v>84990</v>
      </c>
      <c r="I708" t="str">
        <f>IFERROR(VLOOKUP(B708,Товары_очищенные!$A$1:$G$1000,3,FALSE),"нет в каталоге")</f>
        <v>Телевизоры</v>
      </c>
      <c r="J708" t="str">
        <f t="shared" si="36"/>
        <v>OK</v>
      </c>
    </row>
    <row r="709">
      <c r="A709" s="8">
        <f>DATE(RIGHT(Продажи_исходные!A709,4),LEFT(Продажи_исходные!A709,2),MID(Продажи_исходные!A709,4,2))</f>
        <v>46025</v>
      </c>
      <c r="B709" t="str">
        <f>"АРТ-"&amp;LEFT(SUBSTITUTE(SUBSTITUTE(SUBSTITUTE(SUBSTITUTE(Продажи_исходные!B709,"№",""),"АРТ-",""),"АРТ_",""),"/","-"),3)</f>
        <v>АРТ-133</v>
      </c>
      <c r="C709" s="4">
        <f>IFERROR(VALUE(TRIM(SUBSTITUTE(SUBSTITUTE(SUBSTITUTE(SUBSTITUTE(Продажи_исходные!C709," шт.","")," шт",""),"шт.",""),"шт",""))),0)</f>
        <v>2</v>
      </c>
      <c r="D709" s="4">
        <f>IF(LEFT(Продажи_исходные!D709,1)="$",VALUE(MID(Продажи_исходные!D709,2,255))*95,IF(LEFT(Продажи_исходные!D709,1)="€",VALUE(MID(Продажи_исходные!D709,2,255))*100,VALUE(SUBSTITUTE(SUBSTITUTE(Продажи_исходные!D709,"₽","")," ",""))))</f>
        <v>8500</v>
      </c>
      <c r="E709" t="str">
        <f>Продажи_исходные!E709</f>
        <v>C0708</v>
      </c>
      <c r="F709" t="str">
        <f>Продажи_исходные!F709</f>
        <v>P042</v>
      </c>
      <c r="G709" t="str">
        <f>IFERROR(VLOOKUP(Продажи_исходные!G709,Справочники!$G$2:$H$50,2,FALSE),Продажи_исходные!G709)</f>
        <v>Завершен</v>
      </c>
      <c r="H709" s="4">
        <f>IFERROR(VLOOKUP(B709,Товары_очищенные!$A$1:$G$1000,6,FALSE),"нет в каталоге")</f>
        <v>126990</v>
      </c>
      <c r="I709" t="str">
        <f>IFERROR(VLOOKUP(B709,Товары_очищенные!$A$1:$G$1000,3,FALSE),"нет в каталоге")</f>
        <v>Телевизоры</v>
      </c>
      <c r="J709" t="str">
        <f t="shared" si="36"/>
        <v>OK</v>
      </c>
    </row>
    <row r="710">
      <c r="A710" s="8">
        <f>DATE(RIGHT(Продажи_исходные!A710,4),LEFT(Продажи_исходные!A710,2),MID(Продажи_исходные!A710,4,2))</f>
        <v>46026</v>
      </c>
      <c r="B710" t="str">
        <f>"АРТ-"&amp;LEFT(SUBSTITUTE(SUBSTITUTE(SUBSTITUTE(SUBSTITUTE(Продажи_исходные!B710,"№",""),"АРТ-",""),"АРТ_",""),"/","-"),3)</f>
        <v>АРТ-097</v>
      </c>
      <c r="C710" s="4">
        <f>IFERROR(VALUE(TRIM(SUBSTITUTE(SUBSTITUTE(SUBSTITUTE(SUBSTITUTE(Продажи_исходные!C710," шт.","")," шт",""),"шт.",""),"шт",""))),0)</f>
        <v>3</v>
      </c>
      <c r="D710" s="4">
        <f>IF(LEFT(Продажи_исходные!D710,1)="$",VALUE(MID(Продажи_исходные!D710,2,255))*95,IF(LEFT(Продажи_исходные!D710,1)="€",VALUE(MID(Продажи_исходные!D710,2,255))*100,VALUE(SUBSTITUTE(SUBSTITUTE(Продажи_исходные!D710,"₽","")," ",""))))</f>
        <v>9975</v>
      </c>
      <c r="E710" t="str">
        <f>Продажи_исходные!E710</f>
        <v>C0709</v>
      </c>
      <c r="F710" t="str">
        <f>Продажи_исходные!F710</f>
        <v>P005</v>
      </c>
      <c r="G710" t="str">
        <f>IFERROR(VLOOKUP(Продажи_исходные!G710,Справочники!$G$2:$H$50,2,FALSE),Продажи_исходные!G710)</f>
        <v>Завершен</v>
      </c>
      <c r="H710" s="4">
        <f>IFERROR(VLOOKUP(B710,Товары_очищенные!$A$1:$G$1000,6,FALSE),"нет в каталоге")</f>
        <v>6990</v>
      </c>
      <c r="I710" t="str">
        <f>IFERROR(VLOOKUP(B710,Товары_очищенные!$A$1:$G$1000,3,FALSE),"нет в каталоге")</f>
        <v>Аксессуары</v>
      </c>
      <c r="J710" t="str">
        <f t="shared" si="36"/>
        <v>OK</v>
      </c>
    </row>
    <row r="711">
      <c r="A711" s="8">
        <f>DATE(RIGHT(Продажи_исходные!A711,4),LEFT(Продажи_исходные!A711,2),MID(Продажи_исходные!A711,4,2))</f>
        <v>46026</v>
      </c>
      <c r="B711" t="str">
        <f>"АРТ-"&amp;LEFT(SUBSTITUTE(SUBSTITUTE(SUBSTITUTE(SUBSTITUTE(Продажи_исходные!B711,"№",""),"АРТ-",""),"АРТ_",""),"/","-"),3)</f>
        <v>АРТ-461</v>
      </c>
      <c r="C711" s="4">
        <f>IFERROR(VALUE(TRIM(SUBSTITUTE(SUBSTITUTE(SUBSTITUTE(SUBSTITUTE(Продажи_исходные!C711," шт.","")," шт",""),"шт.",""),"шт",""))),0)</f>
        <v>2</v>
      </c>
      <c r="D711" s="4">
        <f>IF(LEFT(Продажи_исходные!D711,1)="$",VALUE(MID(Продажи_исходные!D711,2,255))*95,IF(LEFT(Продажи_исходные!D711,1)="€",VALUE(MID(Продажи_исходные!D711,2,255))*100,VALUE(SUBSTITUTE(SUBSTITUTE(Продажи_исходные!D711,"₽","")," ",""))))</f>
        <v>8500</v>
      </c>
      <c r="E711" t="str">
        <f>Продажи_исходные!E711</f>
        <v>C0710</v>
      </c>
      <c r="F711" t="str">
        <f>Продажи_исходные!F711</f>
        <v>P036</v>
      </c>
      <c r="G711" t="str">
        <f>IFERROR(VLOOKUP(Продажи_исходные!G711,Справочники!$G$2:$H$50,2,FALSE),Продажи_исходные!G711)</f>
        <v>Отменен</v>
      </c>
      <c r="H711" s="4">
        <f>IFERROR(VLOOKUP(B711,Товары_очищенные!$A$1:$G$1000,6,FALSE),"нет в каталоге")</f>
        <v>46000</v>
      </c>
      <c r="I711" t="str">
        <f>IFERROR(VLOOKUP(B711,Товары_очищенные!$A$1:$G$1000,3,FALSE),"нет в каталоге")</f>
        <v>Часы</v>
      </c>
      <c r="J711" t="str">
        <f t="shared" si="36"/>
        <v>OK</v>
      </c>
    </row>
    <row r="712">
      <c r="A712" s="8">
        <f>DATE(RIGHT(Продажи_исходные!A712,4),LEFT(Продажи_исходные!A712,2),MID(Продажи_исходные!A712,4,2))</f>
        <v>46027</v>
      </c>
      <c r="B712" t="str">
        <f>"АРТ-"&amp;LEFT(SUBSTITUTE(SUBSTITUTE(SUBSTITUTE(SUBSTITUTE(Продажи_исходные!B712,"№",""),"АРТ-",""),"АРТ_",""),"/","-"),3)</f>
        <v>АРТ-308</v>
      </c>
      <c r="C712" s="4">
        <f>IFERROR(VALUE(TRIM(SUBSTITUTE(SUBSTITUTE(SUBSTITUTE(SUBSTITUTE(Продажи_исходные!C712," шт.","")," шт",""),"шт.",""),"шт",""))),0)</f>
        <v>1</v>
      </c>
      <c r="D712" s="4">
        <f>IF(LEFT(Продажи_исходные!D712,1)="$",VALUE(MID(Продажи_исходные!D712,2,255))*95,IF(LEFT(Продажи_исходные!D712,1)="€",VALUE(MID(Продажи_исходные!D712,2,255))*100,VALUE(SUBSTITUTE(SUBSTITUTE(Продажи_исходные!D712,"₽","")," ",""))))</f>
        <v>7800</v>
      </c>
      <c r="E712" t="str">
        <f>Продажи_исходные!E712</f>
        <v>C0711</v>
      </c>
      <c r="F712" t="str">
        <f>Продажи_исходные!F712</f>
        <v>P014</v>
      </c>
      <c r="G712" t="str">
        <f>IFERROR(VLOOKUP(Продажи_исходные!G712,Справочники!$G$2:$H$50,2,FALSE),Продажи_исходные!G712)</f>
        <v>Отменен</v>
      </c>
      <c r="H712" s="4">
        <f>IFERROR(VLOOKUP(B712,Товары_очищенные!$A$1:$G$1000,6,FALSE),"нет в каталоге")</f>
        <v>8500</v>
      </c>
      <c r="I712" t="str">
        <f>IFERROR(VLOOKUP(B712,Товары_очищенные!$A$1:$G$1000,3,FALSE),"нет в каталоге")</f>
        <v>Аксессуары</v>
      </c>
      <c r="J712" t="str">
        <f t="shared" si="36"/>
        <v>OK</v>
      </c>
    </row>
    <row r="713">
      <c r="A713" s="8">
        <f>DATE(RIGHT(Продажи_исходные!A713,4),LEFT(Продажи_исходные!A713,2),MID(Продажи_исходные!A713,4,2))</f>
        <v>46027</v>
      </c>
      <c r="B713" t="str">
        <f>"АРТ-"&amp;LEFT(SUBSTITUTE(SUBSTITUTE(SUBSTITUTE(SUBSTITUTE(Продажи_исходные!B713,"№",""),"АРТ-",""),"АРТ_",""),"/","-"),3)</f>
        <v>АРТ-390</v>
      </c>
      <c r="C713" s="4">
        <f>IFERROR(VALUE(TRIM(SUBSTITUTE(SUBSTITUTE(SUBSTITUTE(SUBSTITUTE(Продажи_исходные!C713," шт.","")," шт",""),"шт.",""),"шт",""))),0)</f>
        <v>-3</v>
      </c>
      <c r="D713" s="4">
        <f>IF(LEFT(Продажи_исходные!D713,1)="$",VALUE(MID(Продажи_исходные!D713,2,255))*95,IF(LEFT(Продажи_исходные!D713,1)="€",VALUE(MID(Продажи_исходные!D713,2,255))*100,VALUE(SUBSTITUTE(SUBSTITUTE(Продажи_исходные!D713,"₽","")," ",""))))</f>
        <v>11400</v>
      </c>
      <c r="E713" t="str">
        <f>Продажи_исходные!E713</f>
        <v>C0712</v>
      </c>
      <c r="F713" t="str">
        <f>Продажи_исходные!F713</f>
        <v>P028</v>
      </c>
      <c r="G713" t="str">
        <f>IFERROR(VLOOKUP(Продажи_исходные!G713,Справочники!$G$2:$H$50,2,FALSE),Продажи_исходные!G713)</f>
        <v>Возврат</v>
      </c>
      <c r="H713" s="4">
        <f>IFERROR(VLOOKUP(B713,Товары_очищенные!$A$1:$G$1000,6,FALSE),"нет в каталоге")</f>
        <v>80000</v>
      </c>
      <c r="I713" t="str">
        <f>IFERROR(VLOOKUP(B713,Товары_очищенные!$A$1:$G$1000,3,FALSE),"нет в каталоге")</f>
        <v>Телевизоры</v>
      </c>
      <c r="J713" t="str">
        <f t="shared" si="36"/>
        <v>OK</v>
      </c>
    </row>
    <row r="714">
      <c r="A714" s="8">
        <f>DATE(RIGHT(Продажи_исходные!A714,4),LEFT(Продажи_исходные!A714,2),MID(Продажи_исходные!A714,4,2))</f>
        <v>46028</v>
      </c>
      <c r="B714" t="str">
        <f>"АРТ-"&amp;LEFT(SUBSTITUTE(SUBSTITUTE(SUBSTITUTE(SUBSTITUTE(Продажи_исходные!B714,"№",""),"АРТ-",""),"АРТ_",""),"/","-"),3)</f>
        <v>АРТ-301</v>
      </c>
      <c r="C714" s="4">
        <f>IFERROR(VALUE(TRIM(SUBSTITUTE(SUBSTITUTE(SUBSTITUTE(SUBSTITUTE(Продажи_исходные!C714," шт.","")," шт",""),"шт.",""),"шт",""))),0)</f>
        <v>2</v>
      </c>
      <c r="D714" s="4">
        <f>IF(LEFT(Продажи_исходные!D714,1)="$",VALUE(MID(Продажи_исходные!D714,2,255))*95,IF(LEFT(Продажи_исходные!D714,1)="€",VALUE(MID(Продажи_исходные!D714,2,255))*100,VALUE(SUBSTITUTE(SUBSTITUTE(Продажи_исходные!D714,"₽","")," ",""))))</f>
        <v>10000</v>
      </c>
      <c r="E714" t="str">
        <f>Продажи_исходные!E714</f>
        <v>C0713</v>
      </c>
      <c r="F714" t="str">
        <f>Продажи_исходные!F714</f>
        <v>P009</v>
      </c>
      <c r="G714" t="str">
        <f>IFERROR(VLOOKUP(Продажи_исходные!G714,Справочники!$G$2:$H$50,2,FALSE),Продажи_исходные!G714)</f>
        <v>Завершен</v>
      </c>
      <c r="H714" s="4">
        <f>IFERROR(VLOOKUP(B714,Товары_очищенные!$A$1:$G$1000,6,FALSE),"нет в каталоге")</f>
        <v>7990</v>
      </c>
      <c r="I714" t="str">
        <f>IFERROR(VLOOKUP(B714,Товары_очищенные!$A$1:$G$1000,3,FALSE),"нет в каталоге")</f>
        <v>Наушники</v>
      </c>
      <c r="J714" t="str">
        <f t="shared" si="36"/>
        <v>OK</v>
      </c>
    </row>
    <row r="715">
      <c r="A715" s="8">
        <f>DATE(RIGHT(Продажи_исходные!A715,4),LEFT(Продажи_исходные!A715,2),MID(Продажи_исходные!A715,4,2))</f>
        <v>46028</v>
      </c>
      <c r="B715" t="str">
        <f>"АРТ-"&amp;LEFT(SUBSTITUTE(SUBSTITUTE(SUBSTITUTE(SUBSTITUTE(Продажи_исходные!B715,"№",""),"АРТ-",""),"АРТ_",""),"/","-"),3)</f>
        <v>АРТ-158</v>
      </c>
      <c r="C715" s="4">
        <f>IFERROR(VALUE(TRIM(SUBSTITUTE(SUBSTITUTE(SUBSTITUTE(SUBSTITUTE(Продажи_исходные!C715," шт.","")," шт",""),"шт.",""),"шт",""))),0)</f>
        <v>1</v>
      </c>
      <c r="D715" s="4">
        <f>IF(LEFT(Продажи_исходные!D715,1)="$",VALUE(MID(Продажи_исходные!D715,2,255))*95,IF(LEFT(Продажи_исходные!D715,1)="€",VALUE(MID(Продажи_исходные!D715,2,255))*100,VALUE(SUBSTITUTE(SUBSTITUTE(Продажи_исходные!D715,"₽","")," ",""))))</f>
        <v>9200</v>
      </c>
      <c r="E715" t="str">
        <f>Продажи_исходные!E715</f>
        <v>C0714</v>
      </c>
      <c r="F715" t="str">
        <f>Продажи_исходные!F715</f>
        <v>P041</v>
      </c>
      <c r="G715" t="str">
        <f>IFERROR(VLOOKUP(Продажи_исходные!G715,Справочники!$G$2:$H$50,2,FALSE),Продажи_исходные!G715)</f>
        <v>Завершен</v>
      </c>
      <c r="H715" s="4">
        <f>IFERROR(VLOOKUP(B715,Товары_очищенные!$A$1:$G$1000,6,FALSE),"нет в каталоге")</f>
        <v>90000</v>
      </c>
      <c r="I715" t="str">
        <f>IFERROR(VLOOKUP(B715,Товары_очищенные!$A$1:$G$1000,3,FALSE),"нет в каталоге")</f>
        <v>Мониторы</v>
      </c>
      <c r="J715" t="str">
        <f t="shared" si="36"/>
        <v>OK</v>
      </c>
    </row>
    <row r="716">
      <c r="A716" s="8">
        <f>DATE(RIGHT(Продажи_исходные!A716,4),LEFT(Продажи_исходные!A716,2),MID(Продажи_исходные!A716,4,2))</f>
        <v>46029</v>
      </c>
      <c r="B716" t="str">
        <f>"АРТ-"&amp;LEFT(SUBSTITUTE(SUBSTITUTE(SUBSTITUTE(SUBSTITUTE(Продажи_исходные!B716,"№",""),"АРТ-",""),"АРТ_",""),"/","-"),3)</f>
        <v>АРТ-059</v>
      </c>
      <c r="C716" s="4">
        <f>IFERROR(VALUE(TRIM(SUBSTITUTE(SUBSTITUTE(SUBSTITUTE(SUBSTITUTE(Продажи_исходные!C716," шт.","")," шт",""),"шт.",""),"шт",""))),0)</f>
        <v>3</v>
      </c>
      <c r="D716" s="4">
        <f>IF(LEFT(Продажи_исходные!D716,1)="$",VALUE(MID(Продажи_исходные!D716,2,255))*95,IF(LEFT(Продажи_исходные!D716,1)="€",VALUE(MID(Продажи_исходные!D716,2,255))*100,VALUE(SUBSTITUTE(SUBSTITUTE(Продажи_исходные!D716,"₽","")," ",""))))</f>
        <v>8550</v>
      </c>
      <c r="E716" t="str">
        <f>Продажи_исходные!E716</f>
        <v>C0715</v>
      </c>
      <c r="F716" t="str">
        <f>Продажи_исходные!F716</f>
        <v>P017</v>
      </c>
      <c r="G716" t="str">
        <f>IFERROR(VLOOKUP(Продажи_исходные!G716,Справочники!$G$2:$H$50,2,FALSE),Продажи_исходные!G716)</f>
        <v>Завершен</v>
      </c>
      <c r="H716" s="4">
        <f>IFERROR(VLOOKUP(B716,Товары_очищенные!$A$1:$G$1000,6,FALSE),"нет в каталоге")</f>
        <v>66000</v>
      </c>
      <c r="I716" t="str">
        <f>IFERROR(VLOOKUP(B716,Товары_очищенные!$A$1:$G$1000,3,FALSE),"нет в каталоге")</f>
        <v>Планшеты</v>
      </c>
      <c r="J716" t="str">
        <f t="shared" si="36"/>
        <v>OK</v>
      </c>
    </row>
    <row r="717">
      <c r="A717" s="8">
        <f>DATE(RIGHT(Продажи_исходные!A717,4),LEFT(Продажи_исходные!A717,2),MID(Продажи_исходные!A717,4,2))</f>
        <v>46029</v>
      </c>
      <c r="B717" t="str">
        <f>"АРТ-"&amp;LEFT(SUBSTITUTE(SUBSTITUTE(SUBSTITUTE(SUBSTITUTE(Продажи_исходные!B717,"№",""),"АРТ-",""),"АРТ_",""),"/","-"),3)</f>
        <v>АРТ-469</v>
      </c>
      <c r="C717" s="4">
        <f>IFERROR(VALUE(TRIM(SUBSTITUTE(SUBSTITUTE(SUBSTITUTE(SUBSTITUTE(Продажи_исходные!C717," шт.","")," шт",""),"шт.",""),"шт",""))),0)</f>
        <v>2</v>
      </c>
      <c r="D717" s="4">
        <f>IF(LEFT(Продажи_исходные!D717,1)="$",VALUE(MID(Продажи_исходные!D717,2,255))*95,IF(LEFT(Продажи_исходные!D717,1)="€",VALUE(MID(Продажи_исходные!D717,2,255))*100,VALUE(SUBSTITUTE(SUBSTITUTE(Продажи_исходные!D717,"₽","")," ",""))))</f>
        <v>7000</v>
      </c>
      <c r="E717" t="str">
        <f>Продажи_исходные!E717</f>
        <v>C0716</v>
      </c>
      <c r="F717" t="str">
        <f>Продажи_исходные!F717</f>
        <v>P032</v>
      </c>
      <c r="G717" t="str">
        <f>IFERROR(VLOOKUP(Продажи_исходные!G717,Справочники!$G$2:$H$50,2,FALSE),Продажи_исходные!G717)</f>
        <v>Отменен</v>
      </c>
      <c r="H717" s="4">
        <f>IFERROR(VLOOKUP(B717,Товары_очищенные!$A$1:$G$1000,6,FALSE),"нет в каталоге")</f>
        <v>58990</v>
      </c>
      <c r="I717" t="str">
        <f>IFERROR(VLOOKUP(B717,Товары_очищенные!$A$1:$G$1000,3,FALSE),"нет в каталоге")</f>
        <v>Телевизоры</v>
      </c>
      <c r="J717" t="str">
        <f t="shared" si="36"/>
        <v>OK</v>
      </c>
    </row>
    <row r="718">
      <c r="A718" s="8">
        <f>DATE(RIGHT(Продажи_исходные!A718,4),LEFT(Продажи_исходные!A718,2),MID(Продажи_исходные!A718,4,2))</f>
        <v>46030</v>
      </c>
      <c r="B718" t="str">
        <f>"АРТ-"&amp;LEFT(SUBSTITUTE(SUBSTITUTE(SUBSTITUTE(SUBSTITUTE(Продажи_исходные!B718,"№",""),"АРТ-",""),"АРТ_",""),"/","-"),3)</f>
        <v>АРТ-379</v>
      </c>
      <c r="C718" s="4">
        <f>IFERROR(VALUE(TRIM(SUBSTITUTE(SUBSTITUTE(SUBSTITUTE(SUBSTITUTE(Продажи_исходные!C718," шт.","")," шт",""),"шт.",""),"шт",""))),0)</f>
        <v>1</v>
      </c>
      <c r="D718" s="4">
        <f>IF(LEFT(Продажи_исходные!D718,1)="$",VALUE(MID(Продажи_исходные!D718,2,255))*95,IF(LEFT(Продажи_исходные!D718,1)="€",VALUE(MID(Продажи_исходные!D718,2,255))*100,VALUE(SUBSTITUTE(SUBSTITUTE(Продажи_исходные!D718,"₽","")," ",""))))</f>
        <v>6500</v>
      </c>
      <c r="E718" t="str">
        <f>Продажи_исходные!E718</f>
        <v>C0717</v>
      </c>
      <c r="F718" t="str">
        <f>Продажи_исходные!F718</f>
        <v>P049</v>
      </c>
      <c r="G718" t="str">
        <f>IFERROR(VLOOKUP(Продажи_исходные!G718,Справочники!$G$2:$H$50,2,FALSE),Продажи_исходные!G718)</f>
        <v>Отменен</v>
      </c>
      <c r="H718" s="4">
        <f>IFERROR(VLOOKUP(B718,Товары_очищенные!$A$1:$G$1000,6,FALSE),"нет в каталоге")</f>
        <v>36990</v>
      </c>
      <c r="I718" t="str">
        <f>IFERROR(VLOOKUP(B718,Товары_очищенные!$A$1:$G$1000,3,FALSE),"нет в каталоге")</f>
        <v>Планшеты</v>
      </c>
      <c r="J718" t="str">
        <f t="shared" si="36"/>
        <v>OK</v>
      </c>
    </row>
    <row r="719">
      <c r="A719" s="8">
        <f>DATE(RIGHT(Продажи_исходные!A719,4),LEFT(Продажи_исходные!A719,2),MID(Продажи_исходные!A719,4,2))</f>
        <v>46030</v>
      </c>
      <c r="B719" t="str">
        <f>"АРТ-"&amp;LEFT(SUBSTITUTE(SUBSTITUTE(SUBSTITUTE(SUBSTITUTE(Продажи_исходные!B719,"№",""),"АРТ-",""),"АРТ_",""),"/","-"),3)</f>
        <v>АРТ-406</v>
      </c>
      <c r="C719" s="4">
        <f>IFERROR(VALUE(TRIM(SUBSTITUTE(SUBSTITUTE(SUBSTITUTE(SUBSTITUTE(Продажи_исходные!C719," шт.","")," шт",""),"шт.",""),"шт",""))),0)</f>
        <v>-1</v>
      </c>
      <c r="D719" s="4">
        <f>IF(LEFT(Продажи_исходные!D719,1)="$",VALUE(MID(Продажи_исходные!D719,2,255))*95,IF(LEFT(Продажи_исходные!D719,1)="€",VALUE(MID(Продажи_исходные!D719,2,255))*100,VALUE(SUBSTITUTE(SUBSTITUTE(Продажи_исходные!D719,"₽","")," ",""))))</f>
        <v>10450</v>
      </c>
      <c r="E719" t="str">
        <f>Продажи_исходные!E719</f>
        <v>C0718</v>
      </c>
      <c r="F719" t="str">
        <f>Продажи_исходные!F719</f>
        <v>P006</v>
      </c>
      <c r="G719" t="str">
        <f>IFERROR(VLOOKUP(Продажи_исходные!G719,Справочники!$G$2:$H$50,2,FALSE),Продажи_исходные!G719)</f>
        <v>Завершен</v>
      </c>
      <c r="H719" s="4">
        <f>IFERROR(VLOOKUP(B719,Товары_очищенные!$A$1:$G$1000,6,FALSE),"нет в каталоге")</f>
        <v>104990</v>
      </c>
      <c r="I719" t="str">
        <f>IFERROR(VLOOKUP(B719,Товары_очищенные!$A$1:$G$1000,3,FALSE),"нет в каталоге")</f>
        <v>Телевизоры</v>
      </c>
      <c r="J719" t="str">
        <f t="shared" si="36"/>
        <v>OK</v>
      </c>
    </row>
    <row r="720">
      <c r="A720" s="8">
        <f>DATE(RIGHT(Продажи_исходные!A720,4),LEFT(Продажи_исходные!A720,2),MID(Продажи_исходные!A720,4,2))</f>
        <v>46031</v>
      </c>
      <c r="B720" t="str">
        <f>"АРТ-"&amp;LEFT(SUBSTITUTE(SUBSTITUTE(SUBSTITUTE(SUBSTITUTE(Продажи_исходные!B720,"№",""),"АРТ-",""),"АРТ_",""),"/","-"),3)</f>
        <v>АРТ-310</v>
      </c>
      <c r="C720" s="4">
        <f>IFERROR(VALUE(TRIM(SUBSTITUTE(SUBSTITUTE(SUBSTITUTE(SUBSTITUTE(Продажи_исходные!C720," шт.","")," шт",""),"шт.",""),"шт",""))),0)</f>
        <v>3</v>
      </c>
      <c r="D720" s="4">
        <f>IF(LEFT(Продажи_исходные!D720,1)="$",VALUE(MID(Продажи_исходные!D720,2,255))*95,IF(LEFT(Продажи_исходные!D720,1)="€",VALUE(MID(Продажи_исходные!D720,2,255))*100,VALUE(SUBSTITUTE(SUBSTITUTE(Продажи_исходные!D720,"₽","")," ",""))))</f>
        <v>9000</v>
      </c>
      <c r="E720" t="str">
        <f>Продажи_исходные!E720</f>
        <v>C0719</v>
      </c>
      <c r="F720" t="str">
        <f>Продажи_исходные!F720</f>
        <v>P024</v>
      </c>
      <c r="G720" t="str">
        <f>IFERROR(VLOOKUP(Продажи_исходные!G720,Справочники!$G$2:$H$50,2,FALSE),Продажи_исходные!G720)</f>
        <v>Возврат</v>
      </c>
      <c r="H720" s="4">
        <f>IFERROR(VLOOKUP(B720,Товары_очищенные!$A$1:$G$1000,6,FALSE),"нет в каталоге")</f>
        <v>64990</v>
      </c>
      <c r="I720" t="str">
        <f>IFERROR(VLOOKUP(B720,Товары_очищенные!$A$1:$G$1000,3,FALSE),"нет в каталоге")</f>
        <v>Планшеты</v>
      </c>
      <c r="J720" t="str">
        <f t="shared" si="36"/>
        <v>OK</v>
      </c>
    </row>
    <row r="721">
      <c r="A721" s="8">
        <f>DATE(RIGHT(Продажи_исходные!A721,4),LEFT(Продажи_исходные!A721,2),MID(Продажи_исходные!A721,4,2))</f>
        <v>46031</v>
      </c>
      <c r="B721" t="str">
        <f>"АРТ-"&amp;LEFT(SUBSTITUTE(SUBSTITUTE(SUBSTITUTE(SUBSTITUTE(Продажи_исходные!B721,"№",""),"АРТ-",""),"АРТ_",""),"/","-"),3)</f>
        <v>АРТ-133</v>
      </c>
      <c r="C721" s="4">
        <f>IFERROR(VALUE(TRIM(SUBSTITUTE(SUBSTITUTE(SUBSTITUTE(SUBSTITUTE(Продажи_исходные!C721," шт.","")," шт",""),"шт.",""),"шт",""))),0)</f>
        <v>2</v>
      </c>
      <c r="D721" s="4">
        <f>IF(LEFT(Продажи_исходные!D721,1)="$",VALUE(MID(Продажи_исходные!D721,2,255))*95,IF(LEFT(Продажи_исходные!D721,1)="€",VALUE(MID(Продажи_исходные!D721,2,255))*100,VALUE(SUBSTITUTE(SUBSTITUTE(Продажи_исходные!D721,"₽","")," ",""))))</f>
        <v>8000</v>
      </c>
      <c r="E721" t="str">
        <f>Продажи_исходные!E721</f>
        <v>C0720</v>
      </c>
      <c r="F721" t="str">
        <f>Продажи_исходные!F721</f>
        <v>P015</v>
      </c>
      <c r="G721" t="str">
        <f>IFERROR(VLOOKUP(Продажи_исходные!G721,Справочники!$G$2:$H$50,2,FALSE),Продажи_исходные!G721)</f>
        <v>Завершен</v>
      </c>
      <c r="H721" s="4">
        <f>IFERROR(VLOOKUP(B721,Товары_очищенные!$A$1:$G$1000,6,FALSE),"нет в каталоге")</f>
        <v>126990</v>
      </c>
      <c r="I721" t="str">
        <f>IFERROR(VLOOKUP(B721,Товары_очищенные!$A$1:$G$1000,3,FALSE),"нет в каталоге")</f>
        <v>Телевизоры</v>
      </c>
      <c r="J721" t="str">
        <f t="shared" si="36"/>
        <v>OK</v>
      </c>
    </row>
    <row r="722">
      <c r="A722" s="8">
        <f>DATE(RIGHT(Продажи_исходные!A722,4),LEFT(Продажи_исходные!A722,2),MID(Продажи_исходные!A722,4,2))</f>
        <v>46032</v>
      </c>
      <c r="B722" t="str">
        <f>"АРТ-"&amp;LEFT(SUBSTITUTE(SUBSTITUTE(SUBSTITUTE(SUBSTITUTE(Продажи_исходные!B722,"№",""),"АРТ-",""),"АРТ_",""),"/","-"),3)</f>
        <v>АРТ-064</v>
      </c>
      <c r="C722" s="4">
        <f>IFERROR(VALUE(TRIM(SUBSTITUTE(SUBSTITUTE(SUBSTITUTE(SUBSTITUTE(Продажи_исходные!C722," шт.","")," шт",""),"шт.",""),"шт",""))),0)</f>
        <v>1</v>
      </c>
      <c r="D722" s="4">
        <f>IF(LEFT(Продажи_исходные!D722,1)="$",VALUE(MID(Продажи_исходные!D722,2,255))*95,IF(LEFT(Продажи_исходные!D722,1)="€",VALUE(MID(Продажи_исходные!D722,2,255))*100,VALUE(SUBSTITUTE(SUBSTITUTE(Продажи_исходные!D722,"₽","")," ",""))))</f>
        <v>9025</v>
      </c>
      <c r="E722" t="str">
        <f>Продажи_исходные!E722</f>
        <v>C0721</v>
      </c>
      <c r="F722" t="str">
        <f>Продажи_исходные!F722</f>
        <v>P037</v>
      </c>
      <c r="G722" t="str">
        <f>IFERROR(VLOOKUP(Продажи_исходные!G722,Справочники!$G$2:$H$50,2,FALSE),Продажи_исходные!G722)</f>
        <v>Завершен</v>
      </c>
      <c r="H722" s="4">
        <f>IFERROR(VLOOKUP(B722,Товары_очищенные!$A$1:$G$1000,6,FALSE),"нет в каталоге")</f>
        <v>56990</v>
      </c>
      <c r="I722" t="str">
        <f>IFERROR(VLOOKUP(B722,Товары_очищенные!$A$1:$G$1000,3,FALSE),"нет в каталоге")</f>
        <v>Смартфоны</v>
      </c>
      <c r="J722" t="str">
        <f t="shared" si="36"/>
        <v>OK</v>
      </c>
    </row>
    <row r="723">
      <c r="A723" s="8">
        <f>DATE(RIGHT(Продажи_исходные!A723,4),LEFT(Продажи_исходные!A723,2),MID(Продажи_исходные!A723,4,2))</f>
        <v>46032</v>
      </c>
      <c r="B723" t="str">
        <f>"АРТ-"&amp;LEFT(SUBSTITUTE(SUBSTITUTE(SUBSTITUTE(SUBSTITUTE(Продажи_исходные!B723,"№",""),"АРТ-",""),"АРТ_",""),"/","-"),3)</f>
        <v>АРТ-463</v>
      </c>
      <c r="C723" s="4">
        <f>IFERROR(VALUE(TRIM(SUBSTITUTE(SUBSTITUTE(SUBSTITUTE(SUBSTITUTE(Продажи_исходные!C723," шт.","")," шт",""),"шт.",""),"шт",""))),0)</f>
        <v>2</v>
      </c>
      <c r="D723" s="4">
        <f>IF(LEFT(Продажи_исходные!D723,1)="$",VALUE(MID(Продажи_исходные!D723,2,255))*95,IF(LEFT(Продажи_исходные!D723,1)="€",VALUE(MID(Продажи_исходные!D723,2,255))*100,VALUE(SUBSTITUTE(SUBSTITUTE(Продажи_исходные!D723,"₽","")," ",""))))</f>
        <v>7500</v>
      </c>
      <c r="E723" t="str">
        <f>Продажи_исходные!E723</f>
        <v>C0722</v>
      </c>
      <c r="F723" t="str">
        <f>Продажи_исходные!F723</f>
        <v>P048</v>
      </c>
      <c r="G723" t="str">
        <f>IFERROR(VLOOKUP(Продажи_исходные!G723,Справочники!$G$2:$H$50,2,FALSE),Продажи_исходные!G723)</f>
        <v>Завершен</v>
      </c>
      <c r="H723" s="4">
        <f>IFERROR(VLOOKUP(B723,Товары_очищенные!$A$1:$G$1000,6,FALSE),"нет в каталоге")</f>
        <v>29990</v>
      </c>
      <c r="I723" t="str">
        <f>IFERROR(VLOOKUP(B723,Товары_очищенные!$A$1:$G$1000,3,FALSE),"нет в каталоге")</f>
        <v>Планшеты</v>
      </c>
      <c r="J723" t="str">
        <f t="shared" si="36"/>
        <v>OK</v>
      </c>
    </row>
    <row r="724">
      <c r="A724" s="8">
        <f>DATE(RIGHT(Продажи_исходные!A724,4),LEFT(Продажи_исходные!A724,2),MID(Продажи_исходные!A724,4,2))</f>
        <v>46033</v>
      </c>
      <c r="B724" t="str">
        <f>"АРТ-"&amp;LEFT(SUBSTITUTE(SUBSTITUTE(SUBSTITUTE(SUBSTITUTE(Продажи_исходные!B724,"№",""),"АРТ-",""),"АРТ_",""),"/","-"),3)</f>
        <v>АРТ-386</v>
      </c>
      <c r="C724" s="4">
        <f>IFERROR(VALUE(TRIM(SUBSTITUTE(SUBSTITUTE(SUBSTITUTE(SUBSTITUTE(Продажи_исходные!C724," шт.","")," шт",""),"шт.",""),"шт",""))),0)</f>
        <v>3</v>
      </c>
      <c r="D724" s="4">
        <f>IF(LEFT(Продажи_исходные!D724,1)="$",VALUE(MID(Продажи_исходные!D724,2,255))*95,IF(LEFT(Продажи_исходные!D724,1)="€",VALUE(MID(Продажи_исходные!D724,2,255))*100,VALUE(SUBSTITUTE(SUBSTITUTE(Продажи_исходные!D724,"₽","")," ",""))))</f>
        <v>7000</v>
      </c>
      <c r="E724" t="str">
        <f>Продажи_исходные!E724</f>
        <v>C0723</v>
      </c>
      <c r="F724" t="str">
        <f>Продажи_исходные!F724</f>
        <v>P004</v>
      </c>
      <c r="G724" t="str">
        <f>IFERROR(VLOOKUP(Продажи_исходные!G724,Справочники!$G$2:$H$50,2,FALSE),Продажи_исходные!G724)</f>
        <v>Отменен</v>
      </c>
      <c r="H724" s="4">
        <f>IFERROR(VLOOKUP(B724,Товары_очищенные!$A$1:$G$1000,6,FALSE),"нет в каталоге")</f>
        <v>114000</v>
      </c>
      <c r="I724" t="str">
        <f>IFERROR(VLOOKUP(B724,Товары_очищенные!$A$1:$G$1000,3,FALSE),"нет в каталоге")</f>
        <v>Ноутбуки</v>
      </c>
      <c r="J724" t="str">
        <f t="shared" si="36"/>
        <v>OK</v>
      </c>
    </row>
    <row r="725">
      <c r="A725" s="8">
        <f>DATE(RIGHT(Продажи_исходные!A725,4),LEFT(Продажи_исходные!A725,2),MID(Продажи_исходные!A725,4,2))</f>
        <v>46033</v>
      </c>
      <c r="B725" t="str">
        <f>"АРТ-"&amp;LEFT(SUBSTITUTE(SUBSTITUTE(SUBSTITUTE(SUBSTITUTE(Продажи_исходные!B725,"№",""),"АРТ-",""),"АРТ_",""),"/","-"),3)</f>
        <v>АРТ-391</v>
      </c>
      <c r="C725" s="4">
        <f>IFERROR(VALUE(TRIM(SUBSTITUTE(SUBSTITUTE(SUBSTITUTE(SUBSTITUTE(Продажи_исходные!C725," шт.","")," шт",""),"шт.",""),"шт",""))),0)</f>
        <v>-2</v>
      </c>
      <c r="D725" s="4">
        <f>IF(LEFT(Продажи_исходные!D725,1)="$",VALUE(MID(Продажи_исходные!D725,2,255))*95,IF(LEFT(Продажи_исходные!D725,1)="€",VALUE(MID(Продажи_исходные!D725,2,255))*100,VALUE(SUBSTITUTE(SUBSTITUTE(Продажи_исходные!D725,"₽","")," ",""))))</f>
        <v>10925</v>
      </c>
      <c r="E725" t="str">
        <f>Продажи_исходные!E725</f>
        <v>C0724</v>
      </c>
      <c r="F725" t="str">
        <f>Продажи_исходные!F725</f>
        <v>P026</v>
      </c>
      <c r="G725" t="str">
        <f>IFERROR(VLOOKUP(Продажи_исходные!G725,Справочники!$G$2:$H$50,2,FALSE),Продажи_исходные!G725)</f>
        <v>Отменен</v>
      </c>
      <c r="H725" s="4">
        <f>IFERROR(VLOOKUP(B725,Товары_очищенные!$A$1:$G$1000,6,FALSE),"нет в каталоге")</f>
        <v>18990</v>
      </c>
      <c r="I725" t="str">
        <f>IFERROR(VLOOKUP(B725,Товары_очищенные!$A$1:$G$1000,3,FALSE),"нет в каталоге")</f>
        <v>Наушники</v>
      </c>
      <c r="J725" t="str">
        <f t="shared" si="36"/>
        <v>OK</v>
      </c>
    </row>
    <row r="726">
      <c r="A726" s="8">
        <f>DATE(RIGHT(Продажи_исходные!A726,4),LEFT(Продажи_исходные!A726,2),MID(Продажи_исходные!A726,4,2))</f>
        <v>46034</v>
      </c>
      <c r="B726" t="str">
        <f>"АРТ-"&amp;LEFT(SUBSTITUTE(SUBSTITUTE(SUBSTITUTE(SUBSTITUTE(Продажи_исходные!B726,"№",""),"АРТ-",""),"АРТ_",""),"/","-"),3)</f>
        <v>АРТ-246</v>
      </c>
      <c r="C726" s="4">
        <f>IFERROR(VALUE(TRIM(SUBSTITUTE(SUBSTITUTE(SUBSTITUTE(SUBSTITUTE(Продажи_исходные!C726," шт.","")," шт",""),"шт.",""),"шт",""))),0)</f>
        <v>1</v>
      </c>
      <c r="D726" s="4">
        <f>IF(LEFT(Продажи_исходные!D726,1)="$",VALUE(MID(Продажи_исходные!D726,2,255))*95,IF(LEFT(Продажи_исходные!D726,1)="€",VALUE(MID(Продажи_исходные!D726,2,255))*100,VALUE(SUBSTITUTE(SUBSTITUTE(Продажи_исходные!D726,"₽","")," ",""))))</f>
        <v>9500</v>
      </c>
      <c r="E726" t="str">
        <f>Продажи_исходные!E726</f>
        <v>C0725</v>
      </c>
      <c r="F726" t="str">
        <f>Продажи_исходные!F726</f>
        <v>P013</v>
      </c>
      <c r="G726" t="str">
        <f>IFERROR(VLOOKUP(Продажи_исходные!G726,Справочники!$G$2:$H$50,2,FALSE),Продажи_исходные!G726)</f>
        <v>Возврат</v>
      </c>
      <c r="H726" s="4">
        <f>IFERROR(VLOOKUP(B726,Товары_очищенные!$A$1:$G$1000,6,FALSE),"нет в каталоге")</f>
        <v>80000</v>
      </c>
      <c r="I726" t="str">
        <f>IFERROR(VLOOKUP(B726,Товары_очищенные!$A$1:$G$1000,3,FALSE),"нет в каталоге")</f>
        <v>Мониторы</v>
      </c>
      <c r="J726" t="str">
        <f t="shared" si="36"/>
        <v>OK</v>
      </c>
    </row>
    <row r="727">
      <c r="A727" s="8">
        <f>DATE(RIGHT(Продажи_исходные!A727,4),LEFT(Продажи_исходные!A727,2),MID(Продажи_исходные!A727,4,2))</f>
        <v>46034</v>
      </c>
      <c r="B727" t="str">
        <f>"АРТ-"&amp;LEFT(SUBSTITUTE(SUBSTITUTE(SUBSTITUTE(SUBSTITUTE(Продажи_исходные!B727,"№",""),"АРТ-",""),"АРТ_",""),"/","-"),3)</f>
        <v>АРТ-257</v>
      </c>
      <c r="C727" s="4">
        <f>IFERROR(VALUE(TRIM(SUBSTITUTE(SUBSTITUTE(SUBSTITUTE(SUBSTITUTE(Продажи_исходные!C727," шт.","")," шт",""),"шт.",""),"шт",""))),0)</f>
        <v>2</v>
      </c>
      <c r="D727" s="4">
        <f>IF(LEFT(Продажи_исходные!D727,1)="$",VALUE(MID(Продажи_исходные!D727,2,255))*95,IF(LEFT(Продажи_исходные!D727,1)="€",VALUE(MID(Продажи_исходные!D727,2,255))*100,VALUE(SUBSTITUTE(SUBSTITUTE(Продажи_исходные!D727,"₽","")," ",""))))</f>
        <v>8500</v>
      </c>
      <c r="E727" t="str">
        <f>Продажи_исходные!E727</f>
        <v>C0726</v>
      </c>
      <c r="F727" t="str">
        <f>Продажи_исходные!F727</f>
        <v>P034</v>
      </c>
      <c r="G727" t="str">
        <f>IFERROR(VLOOKUP(Продажи_исходные!G727,Справочники!$G$2:$H$50,2,FALSE),Продажи_исходные!G727)</f>
        <v>Завершен</v>
      </c>
      <c r="H727" s="4">
        <f>IFERROR(VLOOKUP(B727,Товары_очищенные!$A$1:$G$1000,6,FALSE),"нет в каталоге")</f>
        <v>36500</v>
      </c>
      <c r="I727" t="str">
        <f>IFERROR(VLOOKUP(B727,Товары_очищенные!$A$1:$G$1000,3,FALSE),"нет в каталоге")</f>
        <v>Смартфоны</v>
      </c>
      <c r="J727" t="str">
        <f t="shared" si="36"/>
        <v>OK</v>
      </c>
    </row>
    <row r="728">
      <c r="A728" s="8">
        <f>DATE(RIGHT(Продажи_исходные!A728,4),LEFT(Продажи_исходные!A728,2),MID(Продажи_исходные!A728,4,2))</f>
        <v>46035</v>
      </c>
      <c r="B728" t="str">
        <f>"АРТ-"&amp;LEFT(SUBSTITUTE(SUBSTITUTE(SUBSTITUTE(SUBSTITUTE(Продажи_исходные!B728,"№",""),"АРТ-",""),"АРТ_",""),"/","-"),3)</f>
        <v>АРТ-141</v>
      </c>
      <c r="C728" s="4">
        <f>IFERROR(VALUE(TRIM(SUBSTITUTE(SUBSTITUTE(SUBSTITUTE(SUBSTITUTE(Продажи_исходные!C728," шт.","")," шт",""),"шт.",""),"шт",""))),0)</f>
        <v>3</v>
      </c>
      <c r="D728" s="4">
        <f>IF(LEFT(Продажи_исходные!D728,1)="$",VALUE(MID(Продажи_исходные!D728,2,255))*95,IF(LEFT(Продажи_исходные!D728,1)="€",VALUE(MID(Продажи_исходные!D728,2,255))*100,VALUE(SUBSTITUTE(SUBSTITUTE(Продажи_исходные!D728,"₽","")," ",""))))</f>
        <v>9975</v>
      </c>
      <c r="E728" t="str">
        <f>Продажи_исходные!E728</f>
        <v>C0727</v>
      </c>
      <c r="F728" t="str">
        <f>Продажи_исходные!F728</f>
        <v>P044</v>
      </c>
      <c r="G728" t="str">
        <f>IFERROR(VLOOKUP(Продажи_исходные!G728,Справочники!$G$2:$H$50,2,FALSE),Продажи_исходные!G728)</f>
        <v>Завершен</v>
      </c>
      <c r="H728" s="4">
        <f>IFERROR(VLOOKUP(B728,Товары_очищенные!$A$1:$G$1000,6,FALSE),"нет в каталоге")</f>
        <v>92500</v>
      </c>
      <c r="I728" t="str">
        <f>IFERROR(VLOOKUP(B728,Товары_очищенные!$A$1:$G$1000,3,FALSE),"нет в каталоге")</f>
        <v>Мониторы</v>
      </c>
      <c r="J728" t="str">
        <f t="shared" si="36"/>
        <v>OK</v>
      </c>
    </row>
    <row r="729">
      <c r="A729" s="8">
        <f>DATE(RIGHT(Продажи_исходные!A729,4),LEFT(Продажи_исходные!A729,2),MID(Продажи_исходные!A729,4,2))</f>
        <v>46035</v>
      </c>
      <c r="B729" t="str">
        <f>"АРТ-"&amp;LEFT(SUBSTITUTE(SUBSTITUTE(SUBSTITUTE(SUBSTITUTE(Продажи_исходные!B729,"№",""),"АРТ-",""),"АРТ_",""),"/","-"),3)</f>
        <v>АРТ-476</v>
      </c>
      <c r="C729" s="4">
        <f>IFERROR(VALUE(TRIM(SUBSTITUTE(SUBSTITUTE(SUBSTITUTE(SUBSTITUTE(Продажи_исходные!C729," шт.","")," шт",""),"шт.",""),"шт",""))),0)</f>
        <v>2</v>
      </c>
      <c r="D729" s="4">
        <f>IF(LEFT(Продажи_исходные!D729,1)="$",VALUE(MID(Продажи_исходные!D729,2,255))*95,IF(LEFT(Продажи_исходные!D729,1)="€",VALUE(MID(Продажи_исходные!D729,2,255))*100,VALUE(SUBSTITUTE(SUBSTITUTE(Продажи_исходные!D729,"₽","")," ",""))))</f>
        <v>8500</v>
      </c>
      <c r="E729" t="str">
        <f>Продажи_исходные!E729</f>
        <v>C0728</v>
      </c>
      <c r="F729" t="str">
        <f>Продажи_исходные!F729</f>
        <v>P001</v>
      </c>
      <c r="G729" t="str">
        <f>IFERROR(VLOOKUP(Продажи_исходные!G729,Справочники!$G$2:$H$50,2,FALSE),Продажи_исходные!G729)</f>
        <v>Завершен</v>
      </c>
      <c r="H729" s="4">
        <f>IFERROR(VLOOKUP(B729,Товары_очищенные!$A$1:$G$1000,6,FALSE),"нет в каталоге")</f>
        <v>50500</v>
      </c>
      <c r="I729" t="str">
        <f>IFERROR(VLOOKUP(B729,Товары_очищенные!$A$1:$G$1000,3,FALSE),"нет в каталоге")</f>
        <v>Мониторы</v>
      </c>
      <c r="J729" t="str">
        <f t="shared" si="36"/>
        <v>OK</v>
      </c>
    </row>
    <row r="730">
      <c r="A730" s="8">
        <f>DATE(RIGHT(Продажи_исходные!A730,4),LEFT(Продажи_исходные!A730,2),MID(Продажи_исходные!A730,4,2))</f>
        <v>46036</v>
      </c>
      <c r="B730" t="str">
        <f>"АРТ-"&amp;LEFT(SUBSTITUTE(SUBSTITUTE(SUBSTITUTE(SUBSTITUTE(Продажи_исходные!B730,"№",""),"АРТ-",""),"АРТ_",""),"/","-"),3)</f>
        <v>АРТ-374</v>
      </c>
      <c r="C730" s="4">
        <f>IFERROR(VALUE(TRIM(SUBSTITUTE(SUBSTITUTE(SUBSTITUTE(SUBSTITUTE(Продажи_исходные!C730," шт.","")," шт",""),"шт.",""),"шт",""))),0)</f>
        <v>1</v>
      </c>
      <c r="D730" s="4">
        <f>IF(LEFT(Продажи_исходные!D730,1)="$",VALUE(MID(Продажи_исходные!D730,2,255))*95,IF(LEFT(Продажи_исходные!D730,1)="€",VALUE(MID(Продажи_исходные!D730,2,255))*100,VALUE(SUBSTITUTE(SUBSTITUTE(Продажи_исходные!D730,"₽","")," ",""))))</f>
        <v>7800</v>
      </c>
      <c r="E730" t="str">
        <f>Продажи_исходные!E730</f>
        <v>C0729</v>
      </c>
      <c r="F730" t="str">
        <f>Продажи_исходные!F730</f>
        <v>P021</v>
      </c>
      <c r="G730" t="str">
        <f>IFERROR(VLOOKUP(Продажи_исходные!G730,Справочники!$G$2:$H$50,2,FALSE),Продажи_исходные!G730)</f>
        <v>Отменен</v>
      </c>
      <c r="H730" s="4">
        <f>IFERROR(VLOOKUP(B730,Товары_очищенные!$A$1:$G$1000,6,FALSE),"нет в каталоге")</f>
        <v>13500</v>
      </c>
      <c r="I730" t="str">
        <f>IFERROR(VLOOKUP(B730,Товары_очищенные!$A$1:$G$1000,3,FALSE),"нет в каталоге")</f>
        <v>Аксессуары</v>
      </c>
      <c r="J730" t="str">
        <f t="shared" si="36"/>
        <v>OK</v>
      </c>
    </row>
    <row r="731">
      <c r="A731" s="8">
        <f>DATE(RIGHT(Продажи_исходные!A731,4),LEFT(Продажи_исходные!A731,2),MID(Продажи_исходные!A731,4,2))</f>
        <v>46036</v>
      </c>
      <c r="B731" t="str">
        <f>"АРТ-"&amp;LEFT(SUBSTITUTE(SUBSTITUTE(SUBSTITUTE(SUBSTITUTE(Продажи_исходные!B731,"№",""),"АРТ-",""),"АРТ_",""),"/","-"),3)</f>
        <v>АРТ-357</v>
      </c>
      <c r="C731" s="4">
        <f>IFERROR(VALUE(TRIM(SUBSTITUTE(SUBSTITUTE(SUBSTITUTE(SUBSTITUTE(Продажи_исходные!C731," шт.","")," шт",""),"шт.",""),"шт",""))),0)</f>
        <v>-3</v>
      </c>
      <c r="D731" s="4">
        <f>IF(LEFT(Продажи_исходные!D731,1)="$",VALUE(MID(Продажи_исходные!D731,2,255))*95,IF(LEFT(Продажи_исходные!D731,1)="€",VALUE(MID(Продажи_исходные!D731,2,255))*100,VALUE(SUBSTITUTE(SUBSTITUTE(Продажи_исходные!D731,"₽","")," ",""))))</f>
        <v>11400</v>
      </c>
      <c r="E731" t="str">
        <f>Продажи_исходные!E731</f>
        <v>C0730</v>
      </c>
      <c r="F731" t="str">
        <f>Продажи_исходные!F731</f>
        <v>P039</v>
      </c>
      <c r="G731" t="str">
        <f>IFERROR(VLOOKUP(Продажи_исходные!G731,Справочники!$G$2:$H$50,2,FALSE),Продажи_исходные!G731)</f>
        <v>Отменен</v>
      </c>
      <c r="H731" s="4">
        <f>IFERROR(VLOOKUP(B731,Товары_очищенные!$A$1:$G$1000,6,FALSE),"нет в каталоге")</f>
        <v>88000</v>
      </c>
      <c r="I731" t="str">
        <f>IFERROR(VLOOKUP(B731,Товары_очищенные!$A$1:$G$1000,3,FALSE),"нет в каталоге")</f>
        <v>Смартфоны</v>
      </c>
      <c r="J731" t="str">
        <f t="shared" si="36"/>
        <v>OK</v>
      </c>
    </row>
    <row r="732">
      <c r="A732" s="8">
        <f>DATE(RIGHT(Продажи_исходные!A732,4),LEFT(Продажи_исходные!A732,2),MID(Продажи_исходные!A732,4,2))</f>
        <v>46037</v>
      </c>
      <c r="B732" t="str">
        <f>"АРТ-"&amp;LEFT(SUBSTITUTE(SUBSTITUTE(SUBSTITUTE(SUBSTITUTE(Продажи_исходные!B732,"№",""),"АРТ-",""),"АРТ_",""),"/","-"),3)</f>
        <v>АРТ-278</v>
      </c>
      <c r="C732" s="4">
        <f>IFERROR(VALUE(TRIM(SUBSTITUTE(SUBSTITUTE(SUBSTITUTE(SUBSTITUTE(Продажи_исходные!C732," шт.","")," шт",""),"шт.",""),"шт",""))),0)</f>
        <v>2</v>
      </c>
      <c r="D732" s="4">
        <f>IF(LEFT(Продажи_исходные!D732,1)="$",VALUE(MID(Продажи_исходные!D732,2,255))*95,IF(LEFT(Продажи_исходные!D732,1)="€",VALUE(MID(Продажи_исходные!D732,2,255))*100,VALUE(SUBSTITUTE(SUBSTITUTE(Продажи_исходные!D732,"₽","")," ",""))))</f>
        <v>10000</v>
      </c>
      <c r="E732" t="str">
        <f>Продажи_исходные!E732</f>
        <v>C0731</v>
      </c>
      <c r="F732" t="str">
        <f>Продажи_исходные!F732</f>
        <v>P050</v>
      </c>
      <c r="G732" t="str">
        <f>IFERROR(VLOOKUP(Продажи_исходные!G732,Справочники!$G$2:$H$50,2,FALSE),Продажи_исходные!G732)</f>
        <v>Завершен</v>
      </c>
      <c r="H732" s="4">
        <f>IFERROR(VLOOKUP(B732,Товары_очищенные!$A$1:$G$1000,6,FALSE),"нет в каталоге")</f>
        <v>112000</v>
      </c>
      <c r="I732" t="str">
        <f>IFERROR(VLOOKUP(B732,Товары_очищенные!$A$1:$G$1000,3,FALSE),"нет в каталоге")</f>
        <v>Телевизоры</v>
      </c>
      <c r="J732" t="str">
        <f t="shared" si="36"/>
        <v>OK</v>
      </c>
    </row>
    <row r="733">
      <c r="A733" s="8">
        <f>DATE(RIGHT(Продажи_исходные!A733,4),LEFT(Продажи_исходные!A733,2),MID(Продажи_исходные!A733,4,2))</f>
        <v>46037</v>
      </c>
      <c r="B733" t="str">
        <f>"АРТ-"&amp;LEFT(SUBSTITUTE(SUBSTITUTE(SUBSTITUTE(SUBSTITUTE(Продажи_исходные!B733,"№",""),"АРТ-",""),"АРТ_",""),"/","-"),3)</f>
        <v>АРТ-174</v>
      </c>
      <c r="C733" s="4">
        <f>IFERROR(VALUE(TRIM(SUBSTITUTE(SUBSTITUTE(SUBSTITUTE(SUBSTITUTE(Продажи_исходные!C733," шт.","")," шт",""),"шт.",""),"шт",""))),0)</f>
        <v>1</v>
      </c>
      <c r="D733" s="4">
        <f>IF(LEFT(Продажи_исходные!D733,1)="$",VALUE(MID(Продажи_исходные!D733,2,255))*95,IF(LEFT(Продажи_исходные!D733,1)="€",VALUE(MID(Продажи_исходные!D733,2,255))*100,VALUE(SUBSTITUTE(SUBSTITUTE(Продажи_исходные!D733,"₽","")," ",""))))</f>
        <v>9200</v>
      </c>
      <c r="E733" t="str">
        <f>Продажи_исходные!E733</f>
        <v>C0732</v>
      </c>
      <c r="F733" t="str">
        <f>Продажи_исходные!F733</f>
        <v>P011</v>
      </c>
      <c r="G733" t="str">
        <f>IFERROR(VLOOKUP(Продажи_исходные!G733,Справочники!$G$2:$H$50,2,FALSE),Продажи_исходные!G733)</f>
        <v>Возврат</v>
      </c>
      <c r="H733" s="4">
        <f>IFERROR(VLOOKUP(B733,Товары_очищенные!$A$1:$G$1000,6,FALSE),"нет в каталоге")</f>
        <v>107500</v>
      </c>
      <c r="I733" t="str">
        <f>IFERROR(VLOOKUP(B733,Товары_очищенные!$A$1:$G$1000,3,FALSE),"нет в каталоге")</f>
        <v>Ноутбуки</v>
      </c>
      <c r="J733" t="str">
        <f t="shared" si="36"/>
        <v>OK</v>
      </c>
    </row>
    <row r="734">
      <c r="A734" s="8">
        <f>DATE(RIGHT(Продажи_исходные!A734,4),LEFT(Продажи_исходные!A734,2),MID(Продажи_исходные!A734,4,2))</f>
        <v>46038</v>
      </c>
      <c r="B734" t="str">
        <f>"АРТ-"&amp;LEFT(SUBSTITUTE(SUBSTITUTE(SUBSTITUTE(SUBSTITUTE(Продажи_исходные!B734,"№",""),"АРТ-",""),"АРТ_",""),"/","-"),3)</f>
        <v>АРТ-050</v>
      </c>
      <c r="C734" s="4">
        <f>IFERROR(VALUE(TRIM(SUBSTITUTE(SUBSTITUTE(SUBSTITUTE(SUBSTITUTE(Продажи_исходные!C734," шт.","")," шт",""),"шт.",""),"шт",""))),0)</f>
        <v>3</v>
      </c>
      <c r="D734" s="4">
        <f>IF(LEFT(Продажи_исходные!D734,1)="$",VALUE(MID(Продажи_исходные!D734,2,255))*95,IF(LEFT(Продажи_исходные!D734,1)="€",VALUE(MID(Продажи_исходные!D734,2,255))*100,VALUE(SUBSTITUTE(SUBSTITUTE(Продажи_исходные!D734,"₽","")," ",""))))</f>
        <v>8550</v>
      </c>
      <c r="E734" t="str">
        <f>Продажи_исходные!E734</f>
        <v>C0733</v>
      </c>
      <c r="F734" t="str">
        <f>Продажи_исходные!F734</f>
        <v>P027</v>
      </c>
      <c r="G734" t="str">
        <f>IFERROR(VLOOKUP(Продажи_исходные!G734,Справочники!$G$2:$H$50,2,FALSE),Продажи_исходные!G734)</f>
        <v>Завершен</v>
      </c>
      <c r="H734" s="4">
        <f>IFERROR(VLOOKUP(B734,Товары_очищенные!$A$1:$G$1000,6,FALSE),"нет в каталоге")</f>
        <v>53500</v>
      </c>
      <c r="I734" t="str">
        <f>IFERROR(VLOOKUP(B734,Товары_очищенные!$A$1:$G$1000,3,FALSE),"нет в каталоге")</f>
        <v>Смартфоны</v>
      </c>
      <c r="J734" t="str">
        <f t="shared" si="36"/>
        <v>OK</v>
      </c>
    </row>
    <row r="735">
      <c r="A735" s="8">
        <f>DATE(RIGHT(Продажи_исходные!A735,4),LEFT(Продажи_исходные!A735,2),MID(Продажи_исходные!A735,4,2))</f>
        <v>46038</v>
      </c>
      <c r="B735" t="str">
        <f>"АРТ-"&amp;LEFT(SUBSTITUTE(SUBSTITUTE(SUBSTITUTE(SUBSTITUTE(Продажи_исходные!B735,"№",""),"АРТ-",""),"АРТ_",""),"/","-"),3)</f>
        <v>АРТ-443</v>
      </c>
      <c r="C735" s="4">
        <f>IFERROR(VALUE(TRIM(SUBSTITUTE(SUBSTITUTE(SUBSTITUTE(SUBSTITUTE(Продажи_исходные!C735," шт.","")," шт",""),"шт.",""),"шт",""))),0)</f>
        <v>2</v>
      </c>
      <c r="D735" s="4">
        <f>IF(LEFT(Продажи_исходные!D735,1)="$",VALUE(MID(Продажи_исходные!D735,2,255))*95,IF(LEFT(Продажи_исходные!D735,1)="€",VALUE(MID(Продажи_исходные!D735,2,255))*100,VALUE(SUBSTITUTE(SUBSTITUTE(Продажи_исходные!D735,"₽","")," ",""))))</f>
        <v>7000</v>
      </c>
      <c r="E735" t="str">
        <f>Продажи_исходные!E735</f>
        <v>C0734</v>
      </c>
      <c r="F735" t="str">
        <f>Продажи_исходные!F735</f>
        <v>P018</v>
      </c>
      <c r="G735" t="str">
        <f>IFERROR(VLOOKUP(Продажи_исходные!G735,Справочники!$G$2:$H$50,2,FALSE),Продажи_исходные!G735)</f>
        <v>Завершен</v>
      </c>
      <c r="H735" s="4">
        <f>IFERROR(VLOOKUP(B735,Товары_очищенные!$A$1:$G$1000,6,FALSE),"нет в каталоге")</f>
        <v>23500</v>
      </c>
      <c r="I735" t="str">
        <f>IFERROR(VLOOKUP(B735,Товары_очищенные!$A$1:$G$1000,3,FALSE),"нет в каталоге")</f>
        <v>Смартфоны</v>
      </c>
      <c r="J735" t="str">
        <f t="shared" si="36"/>
        <v>OK</v>
      </c>
    </row>
    <row r="736">
      <c r="A736" s="8">
        <f>DATE(RIGHT(Продажи_исходные!A736,4),LEFT(Продажи_исходные!A736,2),MID(Продажи_исходные!A736,4,2))</f>
        <v>46039</v>
      </c>
      <c r="B736" t="str">
        <f>"АРТ-"&amp;LEFT(SUBSTITUTE(SUBSTITUTE(SUBSTITUTE(SUBSTITUTE(Продажи_исходные!B736,"№",""),"АРТ-",""),"АРТ_",""),"/","-"),3)</f>
        <v>АРТ-397</v>
      </c>
      <c r="C736" s="4">
        <f>IFERROR(VALUE(TRIM(SUBSTITUTE(SUBSTITUTE(SUBSTITUTE(SUBSTITUTE(Продажи_исходные!C736," шт.","")," шт",""),"шт.",""),"шт",""))),0)</f>
        <v>1</v>
      </c>
      <c r="D736" s="4">
        <f>IF(LEFT(Продажи_исходные!D736,1)="$",VALUE(MID(Продажи_исходные!D736,2,255))*95,IF(LEFT(Продажи_исходные!D736,1)="€",VALUE(MID(Продажи_исходные!D736,2,255))*100,VALUE(SUBSTITUTE(SUBSTITUTE(Продажи_исходные!D736,"₽","")," ",""))))</f>
        <v>6500</v>
      </c>
      <c r="E736" t="str">
        <f>Продажи_исходные!E736</f>
        <v>C0735</v>
      </c>
      <c r="F736" t="str">
        <f>Продажи_исходные!F736</f>
        <v>P040</v>
      </c>
      <c r="G736" t="str">
        <f>IFERROR(VLOOKUP(Продажи_исходные!G736,Справочники!$G$2:$H$50,2,FALSE),Продажи_исходные!G736)</f>
        <v>Завершен</v>
      </c>
      <c r="H736" s="4">
        <f>IFERROR(VLOOKUP(B736,Товары_очищенные!$A$1:$G$1000,6,FALSE),"нет в каталоге")</f>
        <v>7990</v>
      </c>
      <c r="I736" t="str">
        <f>IFERROR(VLOOKUP(B736,Товары_очищенные!$A$1:$G$1000,3,FALSE),"нет в каталоге")</f>
        <v>Аксессуары</v>
      </c>
      <c r="J736" t="str">
        <f t="shared" si="36"/>
        <v>OK</v>
      </c>
    </row>
    <row r="737">
      <c r="A737" s="8">
        <f>DATE(RIGHT(Продажи_исходные!A737,4),LEFT(Продажи_исходные!A737,2),MID(Продажи_исходные!A737,4,2))</f>
        <v>46039</v>
      </c>
      <c r="B737" t="str">
        <f>"АРТ-"&amp;LEFT(SUBSTITUTE(SUBSTITUTE(SUBSTITUTE(SUBSTITUTE(Продажи_исходные!B737,"№",""),"АРТ-",""),"АРТ_",""),"/","-"),3)</f>
        <v>АРТ-391</v>
      </c>
      <c r="C737" s="4">
        <f>IFERROR(VALUE(TRIM(SUBSTITUTE(SUBSTITUTE(SUBSTITUTE(SUBSTITUTE(Продажи_исходные!C737," шт.","")," шт",""),"шт.",""),"шт",""))),0)</f>
        <v>-1</v>
      </c>
      <c r="D737" s="4">
        <f>IF(LEFT(Продажи_исходные!D737,1)="$",VALUE(MID(Продажи_исходные!D737,2,255))*95,IF(LEFT(Продажи_исходные!D737,1)="€",VALUE(MID(Продажи_исходные!D737,2,255))*100,VALUE(SUBSTITUTE(SUBSTITUTE(Продажи_исходные!D737,"₽","")," ",""))))</f>
        <v>10450</v>
      </c>
      <c r="E737" t="str">
        <f>Продажи_исходные!E737</f>
        <v>C0736</v>
      </c>
      <c r="F737" t="str">
        <f>Продажи_исходные!F737</f>
        <v>P003</v>
      </c>
      <c r="G737" t="str">
        <f>IFERROR(VLOOKUP(Продажи_исходные!G737,Справочники!$G$2:$H$50,2,FALSE),Продажи_исходные!G737)</f>
        <v>Отменен</v>
      </c>
      <c r="H737" s="4">
        <f>IFERROR(VLOOKUP(B737,Товары_очищенные!$A$1:$G$1000,6,FALSE),"нет в каталоге")</f>
        <v>18990</v>
      </c>
      <c r="I737" t="str">
        <f>IFERROR(VLOOKUP(B737,Товары_очищенные!$A$1:$G$1000,3,FALSE),"нет в каталоге")</f>
        <v>Наушники</v>
      </c>
      <c r="J737" t="str">
        <f t="shared" si="36"/>
        <v>OK</v>
      </c>
    </row>
    <row r="738">
      <c r="A738" s="8">
        <f>DATE(RIGHT(Продажи_исходные!A738,4),LEFT(Продажи_исходные!A738,2),MID(Продажи_исходные!A738,4,2))</f>
        <v>46040</v>
      </c>
      <c r="B738" t="str">
        <f>"АРТ-"&amp;LEFT(SUBSTITUTE(SUBSTITUTE(SUBSTITUTE(SUBSTITUTE(Продажи_исходные!B738,"№",""),"АРТ-",""),"АРТ_",""),"/","-"),3)</f>
        <v>АРТ-347</v>
      </c>
      <c r="C738" s="4">
        <f>IFERROR(VALUE(TRIM(SUBSTITUTE(SUBSTITUTE(SUBSTITUTE(SUBSTITUTE(Продажи_исходные!C738," шт.","")," шт",""),"шт.",""),"шт",""))),0)</f>
        <v>3</v>
      </c>
      <c r="D738" s="4">
        <f>IF(LEFT(Продажи_исходные!D738,1)="$",VALUE(MID(Продажи_исходные!D738,2,255))*95,IF(LEFT(Продажи_исходные!D738,1)="€",VALUE(MID(Продажи_исходные!D738,2,255))*100,VALUE(SUBSTITUTE(SUBSTITUTE(Продажи_исходные!D738,"₽","")," ",""))))</f>
        <v>9000</v>
      </c>
      <c r="E738" t="str">
        <f>Продажи_исходные!E738</f>
        <v>C0737</v>
      </c>
      <c r="F738" t="str">
        <f>Продажи_исходные!F738</f>
        <v>P025</v>
      </c>
      <c r="G738" t="str">
        <f>IFERROR(VLOOKUP(Продажи_исходные!G738,Справочники!$G$2:$H$50,2,FALSE),Продажи_исходные!G738)</f>
        <v>Отменен</v>
      </c>
      <c r="H738" s="4">
        <f>IFERROR(VLOOKUP(B738,Товары_очищенные!$A$1:$G$1000,6,FALSE),"нет в каталоге")</f>
        <v>19000</v>
      </c>
      <c r="I738" t="str">
        <f>IFERROR(VLOOKUP(B738,Товары_очищенные!$A$1:$G$1000,3,FALSE),"нет в каталоге")</f>
        <v>Наушники</v>
      </c>
      <c r="J738" t="str">
        <f t="shared" si="36"/>
        <v>OK</v>
      </c>
    </row>
    <row r="739">
      <c r="A739" s="8">
        <f>DATE(RIGHT(Продажи_исходные!A739,4),LEFT(Продажи_исходные!A739,2),MID(Продажи_исходные!A739,4,2))</f>
        <v>46040</v>
      </c>
      <c r="B739" t="str">
        <f>"АРТ-"&amp;LEFT(SUBSTITUTE(SUBSTITUTE(SUBSTITUTE(SUBSTITUTE(Продажи_исходные!B739,"№",""),"АРТ-",""),"АРТ_",""),"/","-"),3)</f>
        <v>АРТ-131</v>
      </c>
      <c r="C739" s="4">
        <f>IFERROR(VALUE(TRIM(SUBSTITUTE(SUBSTITUTE(SUBSTITUTE(SUBSTITUTE(Продажи_исходные!C739," шт.","")," шт",""),"шт.",""),"шт",""))),0)</f>
        <v>2</v>
      </c>
      <c r="D739" s="4">
        <f>IF(LEFT(Продажи_исходные!D739,1)="$",VALUE(MID(Продажи_исходные!D739,2,255))*95,IF(LEFT(Продажи_исходные!D739,1)="€",VALUE(MID(Продажи_исходные!D739,2,255))*100,VALUE(SUBSTITUTE(SUBSTITUTE(Продажи_исходные!D739,"₽","")," ",""))))</f>
        <v>8000</v>
      </c>
      <c r="E739" t="str">
        <f>Продажи_исходные!E739</f>
        <v>C0738</v>
      </c>
      <c r="F739" t="str">
        <f>Продажи_исходные!F739</f>
        <v>P010</v>
      </c>
      <c r="G739" t="str">
        <f>IFERROR(VLOOKUP(Продажи_исходные!G739,Справочники!$G$2:$H$50,2,FALSE),Продажи_исходные!G739)</f>
        <v>Возврат</v>
      </c>
      <c r="H739" s="4">
        <f>IFERROR(VLOOKUP(B739,Товары_очищенные!$A$1:$G$1000,6,FALSE),"нет в каталоге")</f>
        <v>41500</v>
      </c>
      <c r="I739" t="str">
        <f>IFERROR(VLOOKUP(B739,Товары_очищенные!$A$1:$G$1000,3,FALSE),"нет в каталоге")</f>
        <v>Планшеты</v>
      </c>
      <c r="J739" t="str">
        <f t="shared" si="36"/>
        <v>OK</v>
      </c>
    </row>
    <row r="740">
      <c r="A740" s="8">
        <f>DATE(RIGHT(Продажи_исходные!A740,4),LEFT(Продажи_исходные!A740,2),MID(Продажи_исходные!A740,4,2))</f>
        <v>46041</v>
      </c>
      <c r="B740" t="str">
        <f>"АРТ-"&amp;LEFT(SUBSTITUTE(SUBSTITUTE(SUBSTITUTE(SUBSTITUTE(Продажи_исходные!B740,"№",""),"АРТ-",""),"АРТ_",""),"/","-"),3)</f>
        <v>АРТ-105</v>
      </c>
      <c r="C740" s="4">
        <f>IFERROR(VALUE(TRIM(SUBSTITUTE(SUBSTITUTE(SUBSTITUTE(SUBSTITUTE(Продажи_исходные!C740," шт.","")," шт",""),"шт.",""),"шт",""))),0)</f>
        <v>1</v>
      </c>
      <c r="D740" s="4">
        <f>IF(LEFT(Продажи_исходные!D740,1)="$",VALUE(MID(Продажи_исходные!D740,2,255))*95,IF(LEFT(Продажи_исходные!D740,1)="€",VALUE(MID(Продажи_исходные!D740,2,255))*100,VALUE(SUBSTITUTE(SUBSTITUTE(Продажи_исходные!D740,"₽","")," ",""))))</f>
        <v>9025</v>
      </c>
      <c r="E740" t="str">
        <f>Продажи_исходные!E740</f>
        <v>C0739</v>
      </c>
      <c r="F740" t="str">
        <f>Продажи_исходные!F740</f>
        <v>P033</v>
      </c>
      <c r="G740" t="str">
        <f>IFERROR(VLOOKUP(Продажи_исходные!G740,Справочники!$G$2:$H$50,2,FALSE),Продажи_исходные!G740)</f>
        <v>Завершен</v>
      </c>
      <c r="H740" s="4">
        <f>IFERROR(VLOOKUP(B740,Товары_очищенные!$A$1:$G$1000,6,FALSE),"нет в каталоге")</f>
        <v>152000</v>
      </c>
      <c r="I740" t="str">
        <f>IFERROR(VLOOKUP(B740,Товары_очищенные!$A$1:$G$1000,3,FALSE),"нет в каталоге")</f>
        <v>Ноутбуки</v>
      </c>
      <c r="J740" t="str">
        <f t="shared" ref="J740:J803" si="37">IF(D740&gt;0,"OK","Некорректная цена")</f>
        <v>OK</v>
      </c>
    </row>
    <row r="741">
      <c r="A741" s="8">
        <f>DATE(RIGHT(Продажи_исходные!A741,4),LEFT(Продажи_исходные!A741,2),MID(Продажи_исходные!A741,4,2))</f>
        <v>46041</v>
      </c>
      <c r="B741" t="str">
        <f>"АРТ-"&amp;LEFT(SUBSTITUTE(SUBSTITUTE(SUBSTITUTE(SUBSTITUTE(Продажи_исходные!B741,"№",""),"АРТ-",""),"АРТ_",""),"/","-"),3)</f>
        <v>АРТ-472</v>
      </c>
      <c r="C741" s="4">
        <f>IFERROR(VALUE(TRIM(SUBSTITUTE(SUBSTITUTE(SUBSTITUTE(SUBSTITUTE(Продажи_исходные!C741," шт.","")," шт",""),"шт.",""),"шт",""))),0)</f>
        <v>2</v>
      </c>
      <c r="D741" s="4">
        <f>IF(LEFT(Продажи_исходные!D741,1)="$",VALUE(MID(Продажи_исходные!D741,2,255))*95,IF(LEFT(Продажи_исходные!D741,1)="€",VALUE(MID(Продажи_исходные!D741,2,255))*100,VALUE(SUBSTITUTE(SUBSTITUTE(Продажи_исходные!D741,"₽","")," ",""))))</f>
        <v>7500</v>
      </c>
      <c r="E741" t="str">
        <f>Продажи_исходные!E741</f>
        <v>C0740</v>
      </c>
      <c r="F741" t="str">
        <f>Продажи_исходные!F741</f>
        <v>P047</v>
      </c>
      <c r="G741" t="str">
        <f>IFERROR(VLOOKUP(Продажи_исходные!G741,Справочники!$G$2:$H$50,2,FALSE),Продажи_исходные!G741)</f>
        <v>Завершен</v>
      </c>
      <c r="H741" s="4">
        <f>IFERROR(VLOOKUP(B741,Товары_очищенные!$A$1:$G$1000,6,FALSE),"нет в каталоге")</f>
        <v>8990</v>
      </c>
      <c r="I741" t="str">
        <f>IFERROR(VLOOKUP(B741,Товары_очищенные!$A$1:$G$1000,3,FALSE),"нет в каталоге")</f>
        <v>Наушники</v>
      </c>
      <c r="J741" t="str">
        <f t="shared" si="37"/>
        <v>OK</v>
      </c>
    </row>
    <row r="742">
      <c r="A742" s="8">
        <f>DATE(RIGHT(Продажи_исходные!A742,4),LEFT(Продажи_исходные!A742,2),MID(Продажи_исходные!A742,4,2))</f>
        <v>46042</v>
      </c>
      <c r="B742" t="str">
        <f>"АРТ-"&amp;LEFT(SUBSTITUTE(SUBSTITUTE(SUBSTITUTE(SUBSTITUTE(Продажи_исходные!B742,"№",""),"АРТ-",""),"АРТ_",""),"/","-"),3)</f>
        <v>АРТ-351</v>
      </c>
      <c r="C742" s="4">
        <f>IFERROR(VALUE(TRIM(SUBSTITUTE(SUBSTITUTE(SUBSTITUTE(SUBSTITUTE(Продажи_исходные!C742," шт.","")," шт",""),"шт.",""),"шт",""))),0)</f>
        <v>3</v>
      </c>
      <c r="D742" s="4">
        <f>IF(LEFT(Продажи_исходные!D742,1)="$",VALUE(MID(Продажи_исходные!D742,2,255))*95,IF(LEFT(Продажи_исходные!D742,1)="€",VALUE(MID(Продажи_исходные!D742,2,255))*100,VALUE(SUBSTITUTE(SUBSTITUTE(Продажи_исходные!D742,"₽","")," ",""))))</f>
        <v>7000</v>
      </c>
      <c r="E742" t="str">
        <f>Продажи_исходные!E742</f>
        <v>C0741</v>
      </c>
      <c r="F742" t="str">
        <f>Продажи_исходные!F742</f>
        <v>P020</v>
      </c>
      <c r="G742" t="str">
        <f>IFERROR(VLOOKUP(Продажи_исходные!G742,Справочники!$G$2:$H$50,2,FALSE),Продажи_исходные!G742)</f>
        <v>Завершен</v>
      </c>
      <c r="H742" s="4">
        <f>IFERROR(VLOOKUP(B742,Товары_очищенные!$A$1:$G$1000,6,FALSE),"нет в каталоге")</f>
        <v>57000</v>
      </c>
      <c r="I742" t="str">
        <f>IFERROR(VLOOKUP(B742,Товары_очищенные!$A$1:$G$1000,3,FALSE),"нет в каталоге")</f>
        <v>Мониторы</v>
      </c>
      <c r="J742" t="str">
        <f t="shared" si="37"/>
        <v>OK</v>
      </c>
    </row>
    <row r="743">
      <c r="A743" s="8">
        <f>DATE(RIGHT(Продажи_исходные!A743,4),LEFT(Продажи_исходные!A743,2),MID(Продажи_исходные!A743,4,2))</f>
        <v>46042</v>
      </c>
      <c r="B743" t="str">
        <f>"АРТ-"&amp;LEFT(SUBSTITUTE(SUBSTITUTE(SUBSTITUTE(SUBSTITUTE(Продажи_исходные!B743,"№",""),"АРТ-",""),"АРТ_",""),"/","-"),3)</f>
        <v>АРТ-351</v>
      </c>
      <c r="C743" s="4">
        <f>IFERROR(VALUE(TRIM(SUBSTITUTE(SUBSTITUTE(SUBSTITUTE(SUBSTITUTE(Продажи_исходные!C743," шт.","")," шт",""),"шт.",""),"шт",""))),0)</f>
        <v>-2</v>
      </c>
      <c r="D743" s="4">
        <f>IF(LEFT(Продажи_исходные!D743,1)="$",VALUE(MID(Продажи_исходные!D743,2,255))*95,IF(LEFT(Продажи_исходные!D743,1)="€",VALUE(MID(Продажи_исходные!D743,2,255))*100,VALUE(SUBSTITUTE(SUBSTITUTE(Продажи_исходные!D743,"₽","")," ",""))))</f>
        <v>10925</v>
      </c>
      <c r="E743" t="str">
        <f>Продажи_исходные!E743</f>
        <v>C0742</v>
      </c>
      <c r="F743" t="str">
        <f>Продажи_исходные!F743</f>
        <v>P002</v>
      </c>
      <c r="G743" t="str">
        <f>IFERROR(VLOOKUP(Продажи_исходные!G743,Справочники!$G$2:$H$50,2,FALSE),Продажи_исходные!G743)</f>
        <v>Отменен</v>
      </c>
      <c r="H743" s="4">
        <f>IFERROR(VLOOKUP(B743,Товары_очищенные!$A$1:$G$1000,6,FALSE),"нет в каталоге")</f>
        <v>57000</v>
      </c>
      <c r="I743" t="str">
        <f>IFERROR(VLOOKUP(B743,Товары_очищенные!$A$1:$G$1000,3,FALSE),"нет в каталоге")</f>
        <v>Мониторы</v>
      </c>
      <c r="J743" t="str">
        <f t="shared" si="37"/>
        <v>OK</v>
      </c>
    </row>
    <row r="744">
      <c r="A744" s="8">
        <f>DATE(RIGHT(Продажи_исходные!A744,4),LEFT(Продажи_исходные!A744,2),MID(Продажи_исходные!A744,4,2))</f>
        <v>46043</v>
      </c>
      <c r="B744" t="str">
        <f>"АРТ-"&amp;LEFT(SUBSTITUTE(SUBSTITUTE(SUBSTITUTE(SUBSTITUTE(Продажи_исходные!B744,"№",""),"АРТ-",""),"АРТ_",""),"/","-"),3)</f>
        <v>АРТ-324</v>
      </c>
      <c r="C744" s="4">
        <f>IFERROR(VALUE(TRIM(SUBSTITUTE(SUBSTITUTE(SUBSTITUTE(SUBSTITUTE(Продажи_исходные!C744," шт.","")," шт",""),"шт.",""),"шт",""))),0)</f>
        <v>1</v>
      </c>
      <c r="D744" s="4">
        <f>IF(LEFT(Продажи_исходные!D744,1)="$",VALUE(MID(Продажи_исходные!D744,2,255))*95,IF(LEFT(Продажи_исходные!D744,1)="€",VALUE(MID(Продажи_исходные!D744,2,255))*100,VALUE(SUBSTITUTE(SUBSTITUTE(Продажи_исходные!D744,"₽","")," ",""))))</f>
        <v>9500</v>
      </c>
      <c r="E744" t="str">
        <f>Продажи_исходные!E744</f>
        <v>C0743</v>
      </c>
      <c r="F744" t="str">
        <f>Продажи_исходные!F744</f>
        <v>P038</v>
      </c>
      <c r="G744" t="str">
        <f>IFERROR(VLOOKUP(Продажи_исходные!G744,Справочники!$G$2:$H$50,2,FALSE),Продажи_исходные!G744)</f>
        <v>Отменен</v>
      </c>
      <c r="H744" s="4">
        <f>IFERROR(VLOOKUP(B744,Товары_очищенные!$A$1:$G$1000,6,FALSE),"нет в каталоге")</f>
        <v>13800</v>
      </c>
      <c r="I744" t="str">
        <f>IFERROR(VLOOKUP(B744,Товары_очищенные!$A$1:$G$1000,3,FALSE),"нет в каталоге")</f>
        <v>Наушники</v>
      </c>
      <c r="J744" t="str">
        <f t="shared" si="37"/>
        <v>OK</v>
      </c>
    </row>
    <row r="745">
      <c r="A745" s="8">
        <f>DATE(RIGHT(Продажи_исходные!A745,4),LEFT(Продажи_исходные!A745,2),MID(Продажи_исходные!A745,4,2))</f>
        <v>46043</v>
      </c>
      <c r="B745" t="str">
        <f>"АРТ-"&amp;LEFT(SUBSTITUTE(SUBSTITUTE(SUBSTITUTE(SUBSTITUTE(Продажи_исходные!B745,"№",""),"АРТ-",""),"АРТ_",""),"/","-"),3)</f>
        <v>АРТ-196</v>
      </c>
      <c r="C745" s="4">
        <f>IFERROR(VALUE(TRIM(SUBSTITUTE(SUBSTITUTE(SUBSTITUTE(SUBSTITUTE(Продажи_исходные!C745," шт.","")," шт",""),"шт.",""),"шт",""))),0)</f>
        <v>2</v>
      </c>
      <c r="D745" s="4">
        <f>IF(LEFT(Продажи_исходные!D745,1)="$",VALUE(MID(Продажи_исходные!D745,2,255))*95,IF(LEFT(Продажи_исходные!D745,1)="€",VALUE(MID(Продажи_исходные!D745,2,255))*100,VALUE(SUBSTITUTE(SUBSTITUTE(Продажи_исходные!D745,"₽","")," ",""))))</f>
        <v>8500</v>
      </c>
      <c r="E745" t="str">
        <f>Продажи_исходные!E745</f>
        <v>C0744</v>
      </c>
      <c r="F745" t="str">
        <f>Продажи_исходные!F745</f>
        <v>P016</v>
      </c>
      <c r="G745" t="str">
        <f>IFERROR(VLOOKUP(Продажи_исходные!G745,Справочники!$G$2:$H$50,2,FALSE),Продажи_исходные!G745)</f>
        <v>Завершен</v>
      </c>
      <c r="H745" s="4">
        <f>IFERROR(VLOOKUP(B745,Товары_очищенные!$A$1:$G$1000,6,FALSE),"нет в каталоге")</f>
        <v>53990</v>
      </c>
      <c r="I745" t="str">
        <f>IFERROR(VLOOKUP(B745,Товары_очищенные!$A$1:$G$1000,3,FALSE),"нет в каталоге")</f>
        <v>Смартфоны</v>
      </c>
      <c r="J745" t="str">
        <f t="shared" si="37"/>
        <v>OK</v>
      </c>
    </row>
    <row r="746">
      <c r="A746" s="8">
        <f>DATE(RIGHT(Продажи_исходные!A746,4),LEFT(Продажи_исходные!A746,2),MID(Продажи_исходные!A746,4,2))</f>
        <v>46044</v>
      </c>
      <c r="B746" t="str">
        <f>"АРТ-"&amp;LEFT(SUBSTITUTE(SUBSTITUTE(SUBSTITUTE(SUBSTITUTE(Продажи_исходные!B746,"№",""),"АРТ-",""),"АРТ_",""),"/","-"),3)</f>
        <v>АРТ-083</v>
      </c>
      <c r="C746" s="4">
        <f>IFERROR(VALUE(TRIM(SUBSTITUTE(SUBSTITUTE(SUBSTITUTE(SUBSTITUTE(Продажи_исходные!C746," шт.","")," шт",""),"шт.",""),"шт",""))),0)</f>
        <v>3</v>
      </c>
      <c r="D746" s="4">
        <f>IF(LEFT(Продажи_исходные!D746,1)="$",VALUE(MID(Продажи_исходные!D746,2,255))*95,IF(LEFT(Продажи_исходные!D746,1)="€",VALUE(MID(Продажи_исходные!D746,2,255))*100,VALUE(SUBSTITUTE(SUBSTITUTE(Продажи_исходные!D746,"₽","")," ",""))))</f>
        <v>9975</v>
      </c>
      <c r="E746" t="str">
        <f>Продажи_исходные!E746</f>
        <v>C0745</v>
      </c>
      <c r="F746" t="str">
        <f>Продажи_исходные!F746</f>
        <v>P029</v>
      </c>
      <c r="G746" t="str">
        <f>IFERROR(VLOOKUP(Продажи_исходные!G746,Справочники!$G$2:$H$50,2,FALSE),Продажи_исходные!G746)</f>
        <v>Возврат</v>
      </c>
      <c r="H746" s="4">
        <f>IFERROR(VLOOKUP(B746,Товары_очищенные!$A$1:$G$1000,6,FALSE),"нет в каталоге")</f>
        <v>38500</v>
      </c>
      <c r="I746" t="str">
        <f>IFERROR(VLOOKUP(B746,Товары_очищенные!$A$1:$G$1000,3,FALSE),"нет в каталоге")</f>
        <v>Часы</v>
      </c>
      <c r="J746" t="str">
        <f t="shared" si="37"/>
        <v>OK</v>
      </c>
    </row>
    <row r="747">
      <c r="A747" s="8">
        <f>DATE(RIGHT(Продажи_исходные!A747,4),LEFT(Продажи_исходные!A747,2),MID(Продажи_исходные!A747,4,2))</f>
        <v>46044</v>
      </c>
      <c r="B747" t="str">
        <f>"АРТ-"&amp;LEFT(SUBSTITUTE(SUBSTITUTE(SUBSTITUTE(SUBSTITUTE(Продажи_исходные!B747,"№",""),"АРТ-",""),"АРТ_",""),"/","-"),3)</f>
        <v>АРТ-428</v>
      </c>
      <c r="C747" s="4">
        <f>IFERROR(VALUE(TRIM(SUBSTITUTE(SUBSTITUTE(SUBSTITUTE(SUBSTITUTE(Продажи_исходные!C747," шт.","")," шт",""),"шт.",""),"шт",""))),0)</f>
        <v>2</v>
      </c>
      <c r="D747" s="4">
        <f>IF(LEFT(Продажи_исходные!D747,1)="$",VALUE(MID(Продажи_исходные!D747,2,255))*95,IF(LEFT(Продажи_исходные!D747,1)="€",VALUE(MID(Продажи_исходные!D747,2,255))*100,VALUE(SUBSTITUTE(SUBSTITUTE(Продажи_исходные!D747,"₽","")," ",""))))</f>
        <v>8500</v>
      </c>
      <c r="E747" t="str">
        <f>Продажи_исходные!E747</f>
        <v>C0746</v>
      </c>
      <c r="F747" t="str">
        <f>Продажи_исходные!F747</f>
        <v>P035</v>
      </c>
      <c r="G747" t="str">
        <f>IFERROR(VLOOKUP(Продажи_исходные!G747,Справочники!$G$2:$H$50,2,FALSE),Продажи_исходные!G747)</f>
        <v>Завершен</v>
      </c>
      <c r="H747" s="4">
        <f>IFERROR(VLOOKUP(B747,Товары_очищенные!$A$1:$G$1000,6,FALSE),"нет в каталоге")</f>
        <v>48000</v>
      </c>
      <c r="I747" t="str">
        <f>IFERROR(VLOOKUP(B747,Товары_очищенные!$A$1:$G$1000,3,FALSE),"нет в каталоге")</f>
        <v>Телевизоры</v>
      </c>
      <c r="J747" t="str">
        <f t="shared" si="37"/>
        <v>OK</v>
      </c>
    </row>
    <row r="748">
      <c r="A748" s="8">
        <f>DATE(RIGHT(Продажи_исходные!A748,4),LEFT(Продажи_исходные!A748,2),MID(Продажи_исходные!A748,4,2))</f>
        <v>46045</v>
      </c>
      <c r="B748" t="str">
        <f>"АРТ-"&amp;LEFT(SUBSTITUTE(SUBSTITUTE(SUBSTITUTE(SUBSTITUTE(Продажи_исходные!B748,"№",""),"АРТ-",""),"АРТ_",""),"/","-"),3)</f>
        <v>АРТ-333</v>
      </c>
      <c r="C748" s="4">
        <f>IFERROR(VALUE(TRIM(SUBSTITUTE(SUBSTITUTE(SUBSTITUTE(SUBSTITUTE(Продажи_исходные!C748," шт.","")," шт",""),"шт.",""),"шт",""))),0)</f>
        <v>1</v>
      </c>
      <c r="D748" s="4">
        <f>IF(LEFT(Продажи_исходные!D748,1)="$",VALUE(MID(Продажи_исходные!D748,2,255))*95,IF(LEFT(Продажи_исходные!D748,1)="€",VALUE(MID(Продажи_исходные!D748,2,255))*100,VALUE(SUBSTITUTE(SUBSTITUTE(Продажи_исходные!D748,"₽","")," ",""))))</f>
        <v>7800</v>
      </c>
      <c r="E748" t="str">
        <f>Продажи_исходные!E748</f>
        <v>C0747</v>
      </c>
      <c r="F748" t="str">
        <f>Продажи_исходные!F748</f>
        <v>P046</v>
      </c>
      <c r="G748" t="str">
        <f>IFERROR(VLOOKUP(Продажи_исходные!G748,Справочники!$G$2:$H$50,2,FALSE),Продажи_исходные!G748)</f>
        <v>Завершен</v>
      </c>
      <c r="H748" s="4">
        <f>IFERROR(VLOOKUP(B748,Товары_очищенные!$A$1:$G$1000,6,FALSE),"нет в каталоге")</f>
        <v>72000</v>
      </c>
      <c r="I748" t="str">
        <f>IFERROR(VLOOKUP(B748,Товары_очищенные!$A$1:$G$1000,3,FALSE),"нет в каталоге")</f>
        <v>Часы</v>
      </c>
      <c r="J748" t="str">
        <f t="shared" si="37"/>
        <v>OK</v>
      </c>
    </row>
    <row r="749">
      <c r="A749" s="8">
        <f>DATE(RIGHT(Продажи_исходные!A749,4),LEFT(Продажи_исходные!A749,2),MID(Продажи_исходные!A749,4,2))</f>
        <v>46045</v>
      </c>
      <c r="B749" t="str">
        <f>"АРТ-"&amp;LEFT(SUBSTITUTE(SUBSTITUTE(SUBSTITUTE(SUBSTITUTE(Продажи_исходные!B749,"№",""),"АРТ-",""),"АРТ_",""),"/","-"),3)</f>
        <v>АРТ-326</v>
      </c>
      <c r="C749" s="4">
        <f>IFERROR(VALUE(TRIM(SUBSTITUTE(SUBSTITUTE(SUBSTITUTE(SUBSTITUTE(Продажи_исходные!C749," шт.","")," шт",""),"шт.",""),"шт",""))),0)</f>
        <v>-3</v>
      </c>
      <c r="D749" s="4">
        <f>IF(LEFT(Продажи_исходные!D749,1)="$",VALUE(MID(Продажи_исходные!D749,2,255))*95,IF(LEFT(Продажи_исходные!D749,1)="€",VALUE(MID(Продажи_исходные!D749,2,255))*100,VALUE(SUBSTITUTE(SUBSTITUTE(Продажи_исходные!D749,"₽","")," ",""))))</f>
        <v>11400</v>
      </c>
      <c r="E749" t="str">
        <f>Продажи_исходные!E749</f>
        <v>C0748</v>
      </c>
      <c r="F749" t="str">
        <f>Продажи_исходные!F749</f>
        <v>P022</v>
      </c>
      <c r="G749" t="str">
        <f>IFERROR(VLOOKUP(Продажи_исходные!G749,Справочники!$G$2:$H$50,2,FALSE),Продажи_исходные!G749)</f>
        <v>Завершен</v>
      </c>
      <c r="H749" s="4">
        <f>IFERROR(VLOOKUP(B749,Товары_очищенные!$A$1:$G$1000,6,FALSE),"нет в каталоге")</f>
        <v>64500</v>
      </c>
      <c r="I749" t="str">
        <f>IFERROR(VLOOKUP(B749,Товары_очищенные!$A$1:$G$1000,3,FALSE),"нет в каталоге")</f>
        <v>Мониторы</v>
      </c>
      <c r="J749" t="str">
        <f t="shared" si="37"/>
        <v>OK</v>
      </c>
    </row>
    <row r="750">
      <c r="A750" s="8">
        <f>DATE(RIGHT(Продажи_исходные!A750,4),LEFT(Продажи_исходные!A750,2),MID(Продажи_исходные!A750,4,2))</f>
        <v>46046</v>
      </c>
      <c r="B750" t="str">
        <f>"АРТ-"&amp;LEFT(SUBSTITUTE(SUBSTITUTE(SUBSTITUTE(SUBSTITUTE(Продажи_исходные!B750,"№",""),"АРТ-",""),"АРТ_",""),"/","-"),3)</f>
        <v>АРТ-315</v>
      </c>
      <c r="C750" s="4">
        <f>IFERROR(VALUE(TRIM(SUBSTITUTE(SUBSTITUTE(SUBSTITUTE(SUBSTITUTE(Продажи_исходные!C750," шт.","")," шт",""),"шт.",""),"шт",""))),0)</f>
        <v>2</v>
      </c>
      <c r="D750" s="4">
        <f>IF(LEFT(Продажи_исходные!D750,1)="$",VALUE(MID(Продажи_исходные!D750,2,255))*95,IF(LEFT(Продажи_исходные!D750,1)="€",VALUE(MID(Продажи_исходные!D750,2,255))*100,VALUE(SUBSTITUTE(SUBSTITUTE(Продажи_исходные!D750,"₽","")," ",""))))</f>
        <v>10000</v>
      </c>
      <c r="E750" t="str">
        <f>Продажи_исходные!E750</f>
        <v>C0749</v>
      </c>
      <c r="F750" t="str">
        <f>Продажи_исходные!F750</f>
        <v>P043</v>
      </c>
      <c r="G750" t="str">
        <f>IFERROR(VLOOKUP(Продажи_исходные!G750,Справочники!$G$2:$H$50,2,FALSE),Продажи_исходные!G750)</f>
        <v>Отменен</v>
      </c>
      <c r="H750" s="4">
        <f>IFERROR(VLOOKUP(B750,Товары_очищенные!$A$1:$G$1000,6,FALSE),"нет в каталоге")</f>
        <v>72000</v>
      </c>
      <c r="I750" t="str">
        <f>IFERROR(VLOOKUP(B750,Товары_очищенные!$A$1:$G$1000,3,FALSE),"нет в каталоге")</f>
        <v>Смартфоны</v>
      </c>
      <c r="J750" t="str">
        <f t="shared" si="37"/>
        <v>OK</v>
      </c>
    </row>
    <row r="751">
      <c r="A751" s="8">
        <f>DATE(RIGHT(Продажи_исходные!A751,4),LEFT(Продажи_исходные!A751,2),MID(Продажи_исходные!A751,4,2))</f>
        <v>46046</v>
      </c>
      <c r="B751" t="str">
        <f>"АРТ-"&amp;LEFT(SUBSTITUTE(SUBSTITUTE(SUBSTITUTE(SUBSTITUTE(Продажи_исходные!B751,"№",""),"АРТ-",""),"АРТ_",""),"/","-"),3)</f>
        <v>АРТ-221</v>
      </c>
      <c r="C751" s="4">
        <f>IFERROR(VALUE(TRIM(SUBSTITUTE(SUBSTITUTE(SUBSTITUTE(SUBSTITUTE(Продажи_исходные!C751," шт.","")," шт",""),"шт.",""),"шт",""))),0)</f>
        <v>1</v>
      </c>
      <c r="D751" s="4">
        <f>IF(LEFT(Продажи_исходные!D751,1)="$",VALUE(MID(Продажи_исходные!D751,2,255))*95,IF(LEFT(Продажи_исходные!D751,1)="€",VALUE(MID(Продажи_исходные!D751,2,255))*100,VALUE(SUBSTITUTE(SUBSTITUTE(Продажи_исходные!D751,"₽","")," ",""))))</f>
        <v>9200</v>
      </c>
      <c r="E751" t="str">
        <f>Продажи_исходные!E751</f>
        <v>C0750</v>
      </c>
      <c r="F751" t="str">
        <f>Продажи_исходные!F751</f>
        <v>P030</v>
      </c>
      <c r="G751" t="str">
        <f>IFERROR(VLOOKUP(Продажи_исходные!G751,Справочники!$G$2:$H$50,2,FALSE),Продажи_исходные!G751)</f>
        <v>Отменен</v>
      </c>
      <c r="H751" s="4">
        <f>IFERROR(VLOOKUP(B751,Товары_очищенные!$A$1:$G$1000,6,FALSE),"нет в каталоге")</f>
        <v>24000</v>
      </c>
      <c r="I751" t="str">
        <f>IFERROR(VLOOKUP(B751,Товары_очищенные!$A$1:$G$1000,3,FALSE),"нет в каталоге")</f>
        <v>Наушники</v>
      </c>
      <c r="J751" t="str">
        <f t="shared" si="37"/>
        <v>OK</v>
      </c>
    </row>
    <row r="752">
      <c r="A752" s="8">
        <f>DATE(RIGHT(Продажи_исходные!A752,4),LEFT(Продажи_исходные!A752,2),MID(Продажи_исходные!A752,4,2))</f>
        <v>46047</v>
      </c>
      <c r="B752" t="str">
        <f>"АРТ-"&amp;LEFT(SUBSTITUTE(SUBSTITUTE(SUBSTITUTE(SUBSTITUTE(Продажи_исходные!B752,"№",""),"АРТ-",""),"АРТ_",""),"/","-"),3)</f>
        <v>АРТ-043</v>
      </c>
      <c r="C752" s="4">
        <f>IFERROR(VALUE(TRIM(SUBSTITUTE(SUBSTITUTE(SUBSTITUTE(SUBSTITUTE(Продажи_исходные!C752," шт.","")," шт",""),"шт.",""),"шт",""))),0)</f>
        <v>3</v>
      </c>
      <c r="D752" s="4">
        <f>IF(LEFT(Продажи_исходные!D752,1)="$",VALUE(MID(Продажи_исходные!D752,2,255))*95,IF(LEFT(Продажи_исходные!D752,1)="€",VALUE(MID(Продажи_исходные!D752,2,255))*100,VALUE(SUBSTITUTE(SUBSTITUTE(Продажи_исходные!D752,"₽","")," ",""))))</f>
        <v>8550</v>
      </c>
      <c r="E752" t="str">
        <f>Продажи_исходные!E752</f>
        <v>C0751</v>
      </c>
      <c r="F752" t="str">
        <f>Продажи_исходные!F752</f>
        <v>P012</v>
      </c>
      <c r="G752" t="str">
        <f>IFERROR(VLOOKUP(Продажи_исходные!G752,Справочники!$G$2:$H$50,2,FALSE),Продажи_исходные!G752)</f>
        <v>Возврат</v>
      </c>
      <c r="H752" s="4">
        <f>IFERROR(VLOOKUP(B752,Товары_очищенные!$A$1:$G$1000,6,FALSE),"нет в каталоге")</f>
        <v>134990</v>
      </c>
      <c r="I752" t="str">
        <f>IFERROR(VLOOKUP(B752,Товары_очищенные!$A$1:$G$1000,3,FALSE),"нет в каталоге")</f>
        <v>Телевизоры</v>
      </c>
      <c r="J752" t="str">
        <f t="shared" si="37"/>
        <v>OK</v>
      </c>
    </row>
    <row r="753">
      <c r="A753" s="8">
        <f>DATE(RIGHT(Продажи_исходные!A753,4),LEFT(Продажи_исходные!A753,2),MID(Продажи_исходные!A753,4,2))</f>
        <v>46047</v>
      </c>
      <c r="B753" t="str">
        <f>"АРТ-"&amp;LEFT(SUBSTITUTE(SUBSTITUTE(SUBSTITUTE(SUBSTITUTE(Продажи_исходные!B753,"№",""),"АРТ-",""),"АРТ_",""),"/","-"),3)</f>
        <v>АРТ-448</v>
      </c>
      <c r="C753" s="4">
        <f>IFERROR(VALUE(TRIM(SUBSTITUTE(SUBSTITUTE(SUBSTITUTE(SUBSTITUTE(Продажи_исходные!C753," шт.","")," шт",""),"шт.",""),"шт",""))),0)</f>
        <v>2</v>
      </c>
      <c r="D753" s="4">
        <f>IF(LEFT(Продажи_исходные!D753,1)="$",VALUE(MID(Продажи_исходные!D753,2,255))*95,IF(LEFT(Продажи_исходные!D753,1)="€",VALUE(MID(Продажи_исходные!D753,2,255))*100,VALUE(SUBSTITUTE(SUBSTITUTE(Продажи_исходные!D753,"₽","")," ",""))))</f>
        <v>7000</v>
      </c>
      <c r="E753" t="str">
        <f>Продажи_исходные!E753</f>
        <v>C0752</v>
      </c>
      <c r="F753" t="str">
        <f>Продажи_исходные!F753</f>
        <v>P007</v>
      </c>
      <c r="G753" t="str">
        <f>IFERROR(VLOOKUP(Продажи_исходные!G753,Справочники!$G$2:$H$50,2,FALSE),Продажи_исходные!G753)</f>
        <v>Завершен</v>
      </c>
      <c r="H753" s="4">
        <f>IFERROR(VLOOKUP(B753,Товары_очищенные!$A$1:$G$1000,6,FALSE),"нет в каталоге")</f>
        <v>73990</v>
      </c>
      <c r="I753" t="str">
        <f>IFERROR(VLOOKUP(B753,Товары_очищенные!$A$1:$G$1000,3,FALSE),"нет в каталоге")</f>
        <v>Телевизоры</v>
      </c>
      <c r="J753" t="str">
        <f t="shared" si="37"/>
        <v>OK</v>
      </c>
    </row>
    <row r="754">
      <c r="A754" s="8">
        <f>DATE(RIGHT(Продажи_исходные!A754,4),LEFT(Продажи_исходные!A754,2),MID(Продажи_исходные!A754,4,2))</f>
        <v>46048</v>
      </c>
      <c r="B754" t="str">
        <f>"АРТ-"&amp;LEFT(SUBSTITUTE(SUBSTITUTE(SUBSTITUTE(SUBSTITUTE(Продажи_исходные!B754,"№",""),"АРТ-",""),"АРТ_",""),"/","-"),3)</f>
        <v>АРТ-342</v>
      </c>
      <c r="C754" s="4">
        <f>IFERROR(VALUE(TRIM(SUBSTITUTE(SUBSTITUTE(SUBSTITUTE(SUBSTITUTE(Продажи_исходные!C754," шт.","")," шт",""),"шт.",""),"шт",""))),0)</f>
        <v>1</v>
      </c>
      <c r="D754" s="4">
        <f>IF(LEFT(Продажи_исходные!D754,1)="$",VALUE(MID(Продажи_исходные!D754,2,255))*95,IF(LEFT(Продажи_исходные!D754,1)="€",VALUE(MID(Продажи_исходные!D754,2,255))*100,VALUE(SUBSTITUTE(SUBSTITUTE(Продажи_исходные!D754,"₽","")," ",""))))</f>
        <v>6500</v>
      </c>
      <c r="E754" t="str">
        <f>Продажи_исходные!E754</f>
        <v>C0753</v>
      </c>
      <c r="F754" t="str">
        <f>Продажи_исходные!F754</f>
        <v>P023</v>
      </c>
      <c r="G754" t="str">
        <f>IFERROR(VLOOKUP(Продажи_исходные!G754,Справочники!$G$2:$H$50,2,FALSE),Продажи_исходные!G754)</f>
        <v>Завершен</v>
      </c>
      <c r="H754" s="4">
        <f>IFERROR(VLOOKUP(B754,Товары_очищенные!$A$1:$G$1000,6,FALSE),"нет в каталоге")</f>
        <v>137500</v>
      </c>
      <c r="I754" t="str">
        <f>IFERROR(VLOOKUP(B754,Товары_очищенные!$A$1:$G$1000,3,FALSE),"нет в каталоге")</f>
        <v>Ноутбуки</v>
      </c>
      <c r="J754" t="str">
        <f t="shared" si="37"/>
        <v>OK</v>
      </c>
    </row>
    <row r="755">
      <c r="A755" s="8">
        <f>DATE(RIGHT(Продажи_исходные!A755,4),LEFT(Продажи_исходные!A755,2),MID(Продажи_исходные!A755,4,2))</f>
        <v>46048</v>
      </c>
      <c r="B755" t="str">
        <f>"АРТ-"&amp;LEFT(SUBSTITUTE(SUBSTITUTE(SUBSTITUTE(SUBSTITUTE(Продажи_исходные!B755,"№",""),"АРТ-",""),"АРТ_",""),"/","-"),3)</f>
        <v>АРТ-383</v>
      </c>
      <c r="C755" s="4">
        <f>IFERROR(VALUE(TRIM(SUBSTITUTE(SUBSTITUTE(SUBSTITUTE(SUBSTITUTE(Продажи_исходные!C755," шт.","")," шт",""),"шт.",""),"шт",""))),0)</f>
        <v>-1</v>
      </c>
      <c r="D755" s="4">
        <f>IF(LEFT(Продажи_исходные!D755,1)="$",VALUE(MID(Продажи_исходные!D755,2,255))*95,IF(LEFT(Продажи_исходные!D755,1)="€",VALUE(MID(Продажи_исходные!D755,2,255))*100,VALUE(SUBSTITUTE(SUBSTITUTE(Продажи_исходные!D755,"₽","")," ",""))))</f>
        <v>10450</v>
      </c>
      <c r="E755" t="str">
        <f>Продажи_исходные!E755</f>
        <v>C0754</v>
      </c>
      <c r="F755" t="str">
        <f>Продажи_исходные!F755</f>
        <v>P045</v>
      </c>
      <c r="G755" t="str">
        <f>IFERROR(VLOOKUP(Продажи_исходные!G755,Справочники!$G$2:$H$50,2,FALSE),Продажи_исходные!G755)</f>
        <v>Завершен</v>
      </c>
      <c r="H755" s="4">
        <f>IFERROR(VLOOKUP(B755,Товары_очищенные!$A$1:$G$1000,6,FALSE),"нет в каталоге")</f>
        <v>41500</v>
      </c>
      <c r="I755" t="str">
        <f>IFERROR(VLOOKUP(B755,Товары_очищенные!$A$1:$G$1000,3,FALSE),"нет в каталоге")</f>
        <v>Смартфоны</v>
      </c>
      <c r="J755" t="str">
        <f t="shared" si="37"/>
        <v>OK</v>
      </c>
    </row>
    <row r="756">
      <c r="A756" s="8">
        <f>DATE(RIGHT(Продажи_исходные!A756,4),LEFT(Продажи_исходные!A756,2),MID(Продажи_исходные!A756,4,2))</f>
        <v>46049</v>
      </c>
      <c r="B756" t="str">
        <f>"АРТ-"&amp;LEFT(SUBSTITUTE(SUBSTITUTE(SUBSTITUTE(SUBSTITUTE(Продажи_исходные!B756,"№",""),"АРТ-",""),"АРТ_",""),"/","-"),3)</f>
        <v>АРТ-296</v>
      </c>
      <c r="C756" s="4">
        <f>IFERROR(VALUE(TRIM(SUBSTITUTE(SUBSTITUTE(SUBSTITUTE(SUBSTITUTE(Продажи_исходные!C756," шт.","")," шт",""),"шт.",""),"шт",""))),0)</f>
        <v>3</v>
      </c>
      <c r="D756" s="4">
        <f>IF(LEFT(Продажи_исходные!D756,1)="$",VALUE(MID(Продажи_исходные!D756,2,255))*95,IF(LEFT(Продажи_исходные!D756,1)="€",VALUE(MID(Продажи_исходные!D756,2,255))*100,VALUE(SUBSTITUTE(SUBSTITUTE(Продажи_исходные!D756,"₽","")," ",""))))</f>
        <v>9000</v>
      </c>
      <c r="E756" t="str">
        <f>Продажи_исходные!E756</f>
        <v>C0755</v>
      </c>
      <c r="F756" t="str">
        <f>Продажи_исходные!F756</f>
        <v>P008</v>
      </c>
      <c r="G756" t="str">
        <f>IFERROR(VLOOKUP(Продажи_исходные!G756,Справочники!$G$2:$H$50,2,FALSE),Продажи_исходные!G756)</f>
        <v>Отменен</v>
      </c>
      <c r="H756" s="4">
        <f>IFERROR(VLOOKUP(B756,Товары_очищенные!$A$1:$G$1000,6,FALSE),"нет в каталоге")</f>
        <v>33500</v>
      </c>
      <c r="I756" t="str">
        <f>IFERROR(VLOOKUP(B756,Товары_очищенные!$A$1:$G$1000,3,FALSE),"нет в каталоге")</f>
        <v>Смартфоны</v>
      </c>
      <c r="J756" t="str">
        <f t="shared" si="37"/>
        <v>OK</v>
      </c>
    </row>
    <row r="757">
      <c r="A757" s="8">
        <f>DATE(RIGHT(Продажи_исходные!A757,4),LEFT(Продажи_исходные!A757,2),MID(Продажи_исходные!A757,4,2))</f>
        <v>46049</v>
      </c>
      <c r="B757" t="str">
        <f>"АРТ-"&amp;LEFT(SUBSTITUTE(SUBSTITUTE(SUBSTITUTE(SUBSTITUTE(Продажи_исходные!B757,"№",""),"АРТ-",""),"АРТ_",""),"/","-"),3)</f>
        <v>АРТ-124</v>
      </c>
      <c r="C757" s="4">
        <f>IFERROR(VALUE(TRIM(SUBSTITUTE(SUBSTITUTE(SUBSTITUTE(SUBSTITUTE(Продажи_исходные!C757," шт.","")," шт",""),"шт.",""),"шт",""))),0)</f>
        <v>2</v>
      </c>
      <c r="D757" s="4">
        <f>IF(LEFT(Продажи_исходные!D757,1)="$",VALUE(MID(Продажи_исходные!D757,2,255))*95,IF(LEFT(Продажи_исходные!D757,1)="€",VALUE(MID(Продажи_исходные!D757,2,255))*100,VALUE(SUBSTITUTE(SUBSTITUTE(Продажи_исходные!D757,"₽","")," ",""))))</f>
        <v>8000</v>
      </c>
      <c r="E757" t="str">
        <f>Продажи_исходные!E757</f>
        <v>C0756</v>
      </c>
      <c r="F757" t="str">
        <f>Продажи_исходные!F757</f>
        <v>P031</v>
      </c>
      <c r="G757" t="str">
        <f>IFERROR(VLOOKUP(Продажи_исходные!G757,Справочники!$G$2:$H$50,2,FALSE),Продажи_исходные!G757)</f>
        <v>Отменен</v>
      </c>
      <c r="H757" s="4">
        <f>IFERROR(VLOOKUP(B757,Товары_очищенные!$A$1:$G$1000,6,FALSE),"нет в каталоге")</f>
        <v>169990</v>
      </c>
      <c r="I757" t="str">
        <f>IFERROR(VLOOKUP(B757,Товары_очищенные!$A$1:$G$1000,3,FALSE),"нет в каталоге")</f>
        <v>Ноутбуки</v>
      </c>
      <c r="J757" t="str">
        <f t="shared" si="37"/>
        <v>OK</v>
      </c>
    </row>
    <row r="758">
      <c r="A758" s="8">
        <f>DATE(RIGHT(Продажи_исходные!A758,4),LEFT(Продажи_исходные!A758,2),MID(Продажи_исходные!A758,4,2))</f>
        <v>46050</v>
      </c>
      <c r="B758" t="str">
        <f>"АРТ-"&amp;LEFT(SUBSTITUTE(SUBSTITUTE(SUBSTITUTE(SUBSTITUTE(Продажи_исходные!B758,"№",""),"АРТ-",""),"АРТ_",""),"/","-"),3)</f>
        <v>АРТ-158</v>
      </c>
      <c r="C758" s="4">
        <f>IFERROR(VALUE(TRIM(SUBSTITUTE(SUBSTITUTE(SUBSTITUTE(SUBSTITUTE(Продажи_исходные!C758," шт.","")," шт",""),"шт.",""),"шт",""))),0)</f>
        <v>1</v>
      </c>
      <c r="D758" s="4">
        <f>IF(LEFT(Продажи_исходные!D758,1)="$",VALUE(MID(Продажи_исходные!D758,2,255))*95,IF(LEFT(Продажи_исходные!D758,1)="€",VALUE(MID(Продажи_исходные!D758,2,255))*100,VALUE(SUBSTITUTE(SUBSTITUTE(Продажи_исходные!D758,"₽","")," ",""))))</f>
        <v>9025</v>
      </c>
      <c r="E758" t="str">
        <f>Продажи_исходные!E758</f>
        <v>C0757</v>
      </c>
      <c r="F758" t="str">
        <f>Продажи_исходные!F758</f>
        <v>P019</v>
      </c>
      <c r="G758" t="str">
        <f>IFERROR(VLOOKUP(Продажи_исходные!G758,Справочники!$G$2:$H$50,2,FALSE),Продажи_исходные!G758)</f>
        <v>Завершен</v>
      </c>
      <c r="H758" s="4">
        <f>IFERROR(VLOOKUP(B758,Товары_очищенные!$A$1:$G$1000,6,FALSE),"нет в каталоге")</f>
        <v>90000</v>
      </c>
      <c r="I758" t="str">
        <f>IFERROR(VLOOKUP(B758,Товары_очищенные!$A$1:$G$1000,3,FALSE),"нет в каталоге")</f>
        <v>Мониторы</v>
      </c>
      <c r="J758" t="str">
        <f t="shared" si="37"/>
        <v>OK</v>
      </c>
    </row>
    <row r="759">
      <c r="A759" s="8">
        <f>DATE(RIGHT(Продажи_исходные!A759,4),LEFT(Продажи_исходные!A759,2),MID(Продажи_исходные!A759,4,2))</f>
        <v>46050</v>
      </c>
      <c r="B759" t="str">
        <f>"АРТ-"&amp;LEFT(SUBSTITUTE(SUBSTITUTE(SUBSTITUTE(SUBSTITUTE(Продажи_исходные!B759,"№",""),"АРТ-",""),"АРТ_",""),"/","-"),3)</f>
        <v>АРТ-419</v>
      </c>
      <c r="C759" s="4">
        <f>IFERROR(VALUE(TRIM(SUBSTITUTE(SUBSTITUTE(SUBSTITUTE(SUBSTITUTE(Продажи_исходные!C759," шт.","")," шт",""),"шт.",""),"шт",""))),0)</f>
        <v>2</v>
      </c>
      <c r="D759" s="4">
        <f>IF(LEFT(Продажи_исходные!D759,1)="$",VALUE(MID(Продажи_исходные!D759,2,255))*95,IF(LEFT(Продажи_исходные!D759,1)="€",VALUE(MID(Продажи_исходные!D759,2,255))*100,VALUE(SUBSTITUTE(SUBSTITUTE(Продажи_исходные!D759,"₽","")," ",""))))</f>
        <v>7500</v>
      </c>
      <c r="E759" t="str">
        <f>Продажи_исходные!E759</f>
        <v>C0758</v>
      </c>
      <c r="F759" t="str">
        <f>Продажи_исходные!F759</f>
        <v>P042</v>
      </c>
      <c r="G759" t="str">
        <f>IFERROR(VLOOKUP(Продажи_исходные!G759,Справочники!$G$2:$H$50,2,FALSE),Продажи_исходные!G759)</f>
        <v>Возврат</v>
      </c>
      <c r="H759" s="4">
        <f>IFERROR(VLOOKUP(B759,Товары_очищенные!$A$1:$G$1000,6,FALSE),"нет в каталоге")</f>
        <v>28500</v>
      </c>
      <c r="I759" t="str">
        <f>IFERROR(VLOOKUP(B759,Товары_очищенные!$A$1:$G$1000,3,FALSE),"нет в каталоге")</f>
        <v>Часы</v>
      </c>
      <c r="J759" t="str">
        <f t="shared" si="37"/>
        <v>OK</v>
      </c>
    </row>
    <row r="760">
      <c r="A760" s="8">
        <f>DATE(RIGHT(Продажи_исходные!A760,4),LEFT(Продажи_исходные!A760,2),MID(Продажи_исходные!A760,4,2))</f>
        <v>46051</v>
      </c>
      <c r="B760" t="str">
        <f>"АРТ-"&amp;LEFT(SUBSTITUTE(SUBSTITUTE(SUBSTITUTE(SUBSTITUTE(Продажи_исходные!B760,"№",""),"АРТ-",""),"АРТ_",""),"/","-"),3)</f>
        <v>АРТ-326</v>
      </c>
      <c r="C760" s="4">
        <f>IFERROR(VALUE(TRIM(SUBSTITUTE(SUBSTITUTE(SUBSTITUTE(SUBSTITUTE(Продажи_исходные!C760," шт.","")," шт",""),"шт.",""),"шт",""))),0)</f>
        <v>3</v>
      </c>
      <c r="D760" s="4">
        <f>IF(LEFT(Продажи_исходные!D760,1)="$",VALUE(MID(Продажи_исходные!D760,2,255))*95,IF(LEFT(Продажи_исходные!D760,1)="€",VALUE(MID(Продажи_исходные!D760,2,255))*100,VALUE(SUBSTITUTE(SUBSTITUTE(Продажи_исходные!D760,"₽","")," ",""))))</f>
        <v>7000</v>
      </c>
      <c r="E760" t="str">
        <f>Продажи_исходные!E760</f>
        <v>C0759</v>
      </c>
      <c r="F760" t="str">
        <f>Продажи_исходные!F760</f>
        <v>P005</v>
      </c>
      <c r="G760" t="str">
        <f>IFERROR(VLOOKUP(Продажи_исходные!G760,Справочники!$G$2:$H$50,2,FALSE),Продажи_исходные!G760)</f>
        <v>Завершен</v>
      </c>
      <c r="H760" s="4">
        <f>IFERROR(VLOOKUP(B760,Товары_очищенные!$A$1:$G$1000,6,FALSE),"нет в каталоге")</f>
        <v>64500</v>
      </c>
      <c r="I760" t="str">
        <f>IFERROR(VLOOKUP(B760,Товары_очищенные!$A$1:$G$1000,3,FALSE),"нет в каталоге")</f>
        <v>Мониторы</v>
      </c>
      <c r="J760" t="str">
        <f t="shared" si="37"/>
        <v>OK</v>
      </c>
    </row>
    <row r="761">
      <c r="A761" s="8">
        <f>DATE(RIGHT(Продажи_исходные!A761,4),LEFT(Продажи_исходные!A761,2),MID(Продажи_исходные!A761,4,2))</f>
        <v>46051</v>
      </c>
      <c r="B761" t="str">
        <f>"АРТ-"&amp;LEFT(SUBSTITUTE(SUBSTITUTE(SUBSTITUTE(SUBSTITUTE(Продажи_исходные!B761,"№",""),"АРТ-",""),"АРТ_",""),"/","-"),3)</f>
        <v>АРТ-250</v>
      </c>
      <c r="C761" s="4">
        <f>IFERROR(VALUE(TRIM(SUBSTITUTE(SUBSTITUTE(SUBSTITUTE(SUBSTITUTE(Продажи_исходные!C761," шт.","")," шт",""),"шт.",""),"шт",""))),0)</f>
        <v>-2</v>
      </c>
      <c r="D761" s="4">
        <f>IF(LEFT(Продажи_исходные!D761,1)="$",VALUE(MID(Продажи_исходные!D761,2,255))*95,IF(LEFT(Продажи_исходные!D761,1)="€",VALUE(MID(Продажи_исходные!D761,2,255))*100,VALUE(SUBSTITUTE(SUBSTITUTE(Продажи_исходные!D761,"₽","")," ",""))))</f>
        <v>10925</v>
      </c>
      <c r="E761" t="str">
        <f>Продажи_исходные!E761</f>
        <v>C0760</v>
      </c>
      <c r="F761" t="str">
        <f>Продажи_исходные!F761</f>
        <v>P036</v>
      </c>
      <c r="G761" t="str">
        <f>IFERROR(VLOOKUP(Продажи_исходные!G761,Справочники!$G$2:$H$50,2,FALSE),Продажи_исходные!G761)</f>
        <v>Завершен</v>
      </c>
      <c r="H761" s="4">
        <f>IFERROR(VLOOKUP(B761,Товары_очищенные!$A$1:$G$1000,6,FALSE),"нет в каталоге")</f>
        <v>54990</v>
      </c>
      <c r="I761" t="str">
        <f>IFERROR(VLOOKUP(B761,Товары_очищенные!$A$1:$G$1000,3,FALSE),"нет в каталоге")</f>
        <v>Часы</v>
      </c>
      <c r="J761" t="str">
        <f t="shared" si="37"/>
        <v>OK</v>
      </c>
    </row>
    <row r="762">
      <c r="A762" s="8">
        <f>DATE(RIGHT(Продажи_исходные!A762,4),LEFT(Продажи_исходные!A762,2),MID(Продажи_исходные!A762,4,2))</f>
        <v>46052</v>
      </c>
      <c r="B762" t="str">
        <f>"АРТ-"&amp;LEFT(SUBSTITUTE(SUBSTITUTE(SUBSTITUTE(SUBSTITUTE(Продажи_исходные!B762,"№",""),"АРТ-",""),"АРТ_",""),"/","-"),3)</f>
        <v>АРТ-338</v>
      </c>
      <c r="C762" s="4">
        <f>IFERROR(VALUE(TRIM(SUBSTITUTE(SUBSTITUTE(SUBSTITUTE(SUBSTITUTE(Продажи_исходные!C762," шт.","")," шт",""),"шт.",""),"шт",""))),0)</f>
        <v>1</v>
      </c>
      <c r="D762" s="4">
        <f>IF(LEFT(Продажи_исходные!D762,1)="$",VALUE(MID(Продажи_исходные!D762,2,255))*95,IF(LEFT(Продажи_исходные!D762,1)="€",VALUE(MID(Продажи_исходные!D762,2,255))*100,VALUE(SUBSTITUTE(SUBSTITUTE(Продажи_исходные!D762,"₽","")," ",""))))</f>
        <v>9500</v>
      </c>
      <c r="E762" t="str">
        <f>Продажи_исходные!E762</f>
        <v>C0761</v>
      </c>
      <c r="F762" t="str">
        <f>Продажи_исходные!F762</f>
        <v>P014</v>
      </c>
      <c r="G762" t="str">
        <f>IFERROR(VLOOKUP(Продажи_исходные!G762,Справочники!$G$2:$H$50,2,FALSE),Продажи_исходные!G762)</f>
        <v>Завершен</v>
      </c>
      <c r="H762" s="4">
        <f>IFERROR(VLOOKUP(B762,Товары_очищенные!$A$1:$G$1000,6,FALSE),"нет в каталоге")</f>
        <v>62500</v>
      </c>
      <c r="I762" t="str">
        <f>IFERROR(VLOOKUP(B762,Товары_очищенные!$A$1:$G$1000,3,FALSE),"нет в каталоге")</f>
        <v>Смартфоны</v>
      </c>
      <c r="J762" t="str">
        <f t="shared" si="37"/>
        <v>OK</v>
      </c>
    </row>
    <row r="763">
      <c r="A763" s="8">
        <f>DATE(RIGHT(Продажи_исходные!A763,4),LEFT(Продажи_исходные!A763,2),MID(Продажи_исходные!A763,4,2))</f>
        <v>46052</v>
      </c>
      <c r="B763" t="str">
        <f>"АРТ-"&amp;LEFT(SUBSTITUTE(SUBSTITUTE(SUBSTITUTE(SUBSTITUTE(Продажи_исходные!B763,"№",""),"АРТ-",""),"АРТ_",""),"/","-"),3)</f>
        <v>АРТ-277</v>
      </c>
      <c r="C763" s="4">
        <f>IFERROR(VALUE(TRIM(SUBSTITUTE(SUBSTITUTE(SUBSTITUTE(SUBSTITUTE(Продажи_исходные!C763," шт.","")," шт",""),"шт.",""),"шт",""))),0)</f>
        <v>2</v>
      </c>
      <c r="D763" s="4">
        <f>IF(LEFT(Продажи_исходные!D763,1)="$",VALUE(MID(Продажи_исходные!D763,2,255))*95,IF(LEFT(Продажи_исходные!D763,1)="€",VALUE(MID(Продажи_исходные!D763,2,255))*100,VALUE(SUBSTITUTE(SUBSTITUTE(Продажи_исходные!D763,"₽","")," ",""))))</f>
        <v>8500</v>
      </c>
      <c r="E763" t="str">
        <f>Продажи_исходные!E763</f>
        <v>C0762</v>
      </c>
      <c r="F763" t="str">
        <f>Продажи_исходные!F763</f>
        <v>P028</v>
      </c>
      <c r="G763" t="str">
        <f>IFERROR(VLOOKUP(Продажи_исходные!G763,Справочники!$G$2:$H$50,2,FALSE),Продажи_исходные!G763)</f>
        <v>Отменен</v>
      </c>
      <c r="H763" s="4">
        <f>IFERROR(VLOOKUP(B763,Товары_очищенные!$A$1:$G$1000,6,FALSE),"нет в каталоге")</f>
        <v>114990</v>
      </c>
      <c r="I763" t="str">
        <f>IFERROR(VLOOKUP(B763,Товары_очищенные!$A$1:$G$1000,3,FALSE),"нет в каталоге")</f>
        <v>Телевизоры</v>
      </c>
      <c r="J763" t="str">
        <f t="shared" si="37"/>
        <v>OK</v>
      </c>
    </row>
    <row r="764">
      <c r="A764" s="8">
        <f>DATE(RIGHT(Продажи_исходные!A764,4),LEFT(Продажи_исходные!A764,2),MID(Продажи_исходные!A764,4,2))</f>
        <v>46053</v>
      </c>
      <c r="B764" t="str">
        <f>"АРТ-"&amp;LEFT(SUBSTITUTE(SUBSTITUTE(SUBSTITUTE(SUBSTITUTE(Продажи_исходные!B764,"№",""),"АРТ-",""),"АРТ_",""),"/","-"),3)</f>
        <v>АРТ-069</v>
      </c>
      <c r="C764" s="4">
        <f>IFERROR(VALUE(TRIM(SUBSTITUTE(SUBSTITUTE(SUBSTITUTE(SUBSTITUTE(Продажи_исходные!C764," шт.","")," шт",""),"шт.",""),"шт",""))),0)</f>
        <v>3</v>
      </c>
      <c r="D764" s="4">
        <f>IF(LEFT(Продажи_исходные!D764,1)="$",VALUE(MID(Продажи_исходные!D764,2,255))*95,IF(LEFT(Продажи_исходные!D764,1)="€",VALUE(MID(Продажи_исходные!D764,2,255))*100,VALUE(SUBSTITUTE(SUBSTITUTE(Продажи_исходные!D764,"₽","")," ",""))))</f>
        <v>9975</v>
      </c>
      <c r="E764" t="str">
        <f>Продажи_исходные!E764</f>
        <v>C0763</v>
      </c>
      <c r="F764" t="str">
        <f>Продажи_исходные!F764</f>
        <v>P009</v>
      </c>
      <c r="G764" t="str">
        <f>IFERROR(VLOOKUP(Продажи_исходные!G764,Справочники!$G$2:$H$50,2,FALSE),Продажи_исходные!G764)</f>
        <v>Отменен</v>
      </c>
      <c r="H764" s="4">
        <f>IFERROR(VLOOKUP(B764,Товары_очищенные!$A$1:$G$1000,6,FALSE),"нет в каталоге")</f>
        <v>112000</v>
      </c>
      <c r="I764" t="str">
        <f>IFERROR(VLOOKUP(B764,Товары_очищенные!$A$1:$G$1000,3,FALSE),"нет в каталоге")</f>
        <v>Телевизоры</v>
      </c>
      <c r="J764" t="str">
        <f t="shared" si="37"/>
        <v>OK</v>
      </c>
    </row>
    <row r="765">
      <c r="A765" s="8">
        <f>DATE(RIGHT(Продажи_исходные!A765,4),LEFT(Продажи_исходные!A765,2),MID(Продажи_исходные!A765,4,2))</f>
        <v>46053</v>
      </c>
      <c r="B765" t="str">
        <f>"АРТ-"&amp;LEFT(SUBSTITUTE(SUBSTITUTE(SUBSTITUTE(SUBSTITUTE(Продажи_исходные!B765,"№",""),"АРТ-",""),"АРТ_",""),"/","-"),3)</f>
        <v>АРТ-442</v>
      </c>
      <c r="C765" s="4">
        <f>IFERROR(VALUE(TRIM(SUBSTITUTE(SUBSTITUTE(SUBSTITUTE(SUBSTITUTE(Продажи_исходные!C765," шт.","")," шт",""),"шт.",""),"шт",""))),0)</f>
        <v>2</v>
      </c>
      <c r="D765" s="4">
        <f>IF(LEFT(Продажи_исходные!D765,1)="$",VALUE(MID(Продажи_исходные!D765,2,255))*95,IF(LEFT(Продажи_исходные!D765,1)="€",VALUE(MID(Продажи_исходные!D765,2,255))*100,VALUE(SUBSTITUTE(SUBSTITUTE(Продажи_исходные!D765,"₽","")," ",""))))</f>
        <v>8500</v>
      </c>
      <c r="E765" t="str">
        <f>Продажи_исходные!E765</f>
        <v>C0764</v>
      </c>
      <c r="F765" t="str">
        <f>Продажи_исходные!F765</f>
        <v>P041</v>
      </c>
      <c r="G765" t="str">
        <f>IFERROR(VLOOKUP(Продажи_исходные!G765,Справочники!$G$2:$H$50,2,FALSE),Продажи_исходные!G765)</f>
        <v>Возврат</v>
      </c>
      <c r="H765" s="4">
        <f>IFERROR(VLOOKUP(B765,Товары_очищенные!$A$1:$G$1000,6,FALSE),"нет в каталоге")</f>
        <v>24990</v>
      </c>
      <c r="I765" t="str">
        <f>IFERROR(VLOOKUP(B765,Товары_очищенные!$A$1:$G$1000,3,FALSE),"нет в каталоге")</f>
        <v>Смартфоны</v>
      </c>
      <c r="J765" t="str">
        <f t="shared" si="37"/>
        <v>OK</v>
      </c>
    </row>
    <row r="766">
      <c r="A766" s="8">
        <f>DATE(RIGHT(Продажи_исходные!A766,4),LEFT(Продажи_исходные!A766,2),MID(Продажи_исходные!A766,4,2))</f>
        <v>46054</v>
      </c>
      <c r="B766" t="str">
        <f>"АРТ-"&amp;LEFT(SUBSTITUTE(SUBSTITUTE(SUBSTITUTE(SUBSTITUTE(Продажи_исходные!B766,"№",""),"АРТ-",""),"АРТ_",""),"/","-"),3)</f>
        <v>АРТ-349</v>
      </c>
      <c r="C766" s="4">
        <f>IFERROR(VALUE(TRIM(SUBSTITUTE(SUBSTITUTE(SUBSTITUTE(SUBSTITUTE(Продажи_исходные!C766," шт.","")," шт",""),"шт.",""),"шт",""))),0)</f>
        <v>1</v>
      </c>
      <c r="D766" s="4">
        <f>IF(LEFT(Продажи_исходные!D766,1)="$",VALUE(MID(Продажи_исходные!D766,2,255))*95,IF(LEFT(Продажи_исходные!D766,1)="€",VALUE(MID(Продажи_исходные!D766,2,255))*100,VALUE(SUBSTITUTE(SUBSTITUTE(Продажи_исходные!D766,"₽","")," ",""))))</f>
        <v>7800</v>
      </c>
      <c r="E766" t="str">
        <f>Продажи_исходные!E766</f>
        <v>C0765</v>
      </c>
      <c r="F766" t="str">
        <f>Продажи_исходные!F766</f>
        <v>P017</v>
      </c>
      <c r="G766" t="str">
        <f>IFERROR(VLOOKUP(Продажи_исходные!G766,Справочники!$G$2:$H$50,2,FALSE),Продажи_исходные!G766)</f>
        <v>Завершен</v>
      </c>
      <c r="H766" s="4">
        <f>IFERROR(VLOOKUP(B766,Товары_очищенные!$A$1:$G$1000,6,FALSE),"нет в каталоге")</f>
        <v>54990</v>
      </c>
      <c r="I766" t="str">
        <f>IFERROR(VLOOKUP(B766,Товары_очищенные!$A$1:$G$1000,3,FALSE),"нет в каталоге")</f>
        <v>Мониторы</v>
      </c>
      <c r="J766" t="str">
        <f t="shared" si="37"/>
        <v>OK</v>
      </c>
    </row>
    <row r="767">
      <c r="A767" s="8">
        <f>DATE(RIGHT(Продажи_исходные!A767,4),LEFT(Продажи_исходные!A767,2),MID(Продажи_исходные!A767,4,2))</f>
        <v>46054</v>
      </c>
      <c r="B767" t="str">
        <f>"АРТ-"&amp;LEFT(SUBSTITUTE(SUBSTITUTE(SUBSTITUTE(SUBSTITUTE(Продажи_исходные!B767,"№",""),"АРТ-",""),"АРТ_",""),"/","-"),3)</f>
        <v>АРТ-193</v>
      </c>
      <c r="C767" s="4">
        <f>IFERROR(VALUE(TRIM(SUBSTITUTE(SUBSTITUTE(SUBSTITUTE(SUBSTITUTE(Продажи_исходные!C767," шт.","")," шт",""),"шт.",""),"шт",""))),0)</f>
        <v>-3</v>
      </c>
      <c r="D767" s="4">
        <f>IF(LEFT(Продажи_исходные!D767,1)="$",VALUE(MID(Продажи_исходные!D767,2,255))*95,IF(LEFT(Продажи_исходные!D767,1)="€",VALUE(MID(Продажи_исходные!D767,2,255))*100,VALUE(SUBSTITUTE(SUBSTITUTE(Продажи_исходные!D767,"₽","")," ",""))))</f>
        <v>11400</v>
      </c>
      <c r="E767" t="str">
        <f>Продажи_исходные!E767</f>
        <v>C0766</v>
      </c>
      <c r="F767" t="str">
        <f>Продажи_исходные!F767</f>
        <v>P032</v>
      </c>
      <c r="G767" t="str">
        <f>IFERROR(VLOOKUP(Продажи_исходные!G767,Справочники!$G$2:$H$50,2,FALSE),Продажи_исходные!G767)</f>
        <v>Завершен</v>
      </c>
      <c r="H767" s="4">
        <f>IFERROR(VLOOKUP(B767,Товары_очищенные!$A$1:$G$1000,6,FALSE),"нет в каталоге")</f>
        <v>129990</v>
      </c>
      <c r="I767" t="str">
        <f>IFERROR(VLOOKUP(B767,Товары_очищенные!$A$1:$G$1000,3,FALSE),"нет в каталоге")</f>
        <v>Ноутбуки</v>
      </c>
      <c r="J767" t="str">
        <f t="shared" si="37"/>
        <v>OK</v>
      </c>
    </row>
    <row r="768">
      <c r="A768" s="8">
        <f>DATE(RIGHT(Продажи_исходные!A768,4),LEFT(Продажи_исходные!A768,2),MID(Продажи_исходные!A768,4,2))</f>
        <v>46055</v>
      </c>
      <c r="B768" t="str">
        <f>"АРТ-"&amp;LEFT(SUBSTITUTE(SUBSTITUTE(SUBSTITUTE(SUBSTITUTE(Продажи_исходные!B768,"№",""),"АРТ-",""),"АРТ_",""),"/","-"),3)</f>
        <v>АРТ-394</v>
      </c>
      <c r="C768" s="4">
        <f>IFERROR(VALUE(TRIM(SUBSTITUTE(SUBSTITUTE(SUBSTITUTE(SUBSTITUTE(Продажи_исходные!C768," шт.","")," шт",""),"шт.",""),"шт",""))),0)</f>
        <v>2</v>
      </c>
      <c r="D768" s="4">
        <f>IF(LEFT(Продажи_исходные!D768,1)="$",VALUE(MID(Продажи_исходные!D768,2,255))*95,IF(LEFT(Продажи_исходные!D768,1)="€",VALUE(MID(Продажи_исходные!D768,2,255))*100,VALUE(SUBSTITUTE(SUBSTITUTE(Продажи_исходные!D768,"₽","")," ",""))))</f>
        <v>10000</v>
      </c>
      <c r="E768" t="str">
        <f>Продажи_исходные!E768</f>
        <v>C0767</v>
      </c>
      <c r="F768" t="str">
        <f>Продажи_исходные!F768</f>
        <v>P049</v>
      </c>
      <c r="G768" t="str">
        <f>IFERROR(VLOOKUP(Продажи_исходные!G768,Справочники!$G$2:$H$50,2,FALSE),Продажи_исходные!G768)</f>
        <v>Завершен</v>
      </c>
      <c r="H768" s="4">
        <f>IFERROR(VLOOKUP(B768,Товары_очищенные!$A$1:$G$1000,6,FALSE),"нет в каталоге")</f>
        <v>64990</v>
      </c>
      <c r="I768" t="str">
        <f>IFERROR(VLOOKUP(B768,Товары_очищенные!$A$1:$G$1000,3,FALSE),"нет в каталоге")</f>
        <v>Мониторы</v>
      </c>
      <c r="J768" t="str">
        <f t="shared" si="37"/>
        <v>OK</v>
      </c>
    </row>
    <row r="769">
      <c r="A769" s="8">
        <f>DATE(RIGHT(Продажи_исходные!A769,4),LEFT(Продажи_исходные!A769,2),MID(Продажи_исходные!A769,4,2))</f>
        <v>46055</v>
      </c>
      <c r="B769" t="str">
        <f>"АРТ-"&amp;LEFT(SUBSTITUTE(SUBSTITUTE(SUBSTITUTE(SUBSTITUTE(Продажи_исходные!B769,"№",""),"АРТ-",""),"АРТ_",""),"/","-"),3)</f>
        <v>АРТ-256</v>
      </c>
      <c r="C769" s="4">
        <f>IFERROR(VALUE(TRIM(SUBSTITUTE(SUBSTITUTE(SUBSTITUTE(SUBSTITUTE(Продажи_исходные!C769," шт.","")," шт",""),"шт.",""),"шт",""))),0)</f>
        <v>1</v>
      </c>
      <c r="D769" s="4">
        <f>IF(LEFT(Продажи_исходные!D769,1)="$",VALUE(MID(Продажи_исходные!D769,2,255))*95,IF(LEFT(Продажи_исходные!D769,1)="€",VALUE(MID(Продажи_исходные!D769,2,255))*100,VALUE(SUBSTITUTE(SUBSTITUTE(Продажи_исходные!D769,"₽","")," ",""))))</f>
        <v>9200</v>
      </c>
      <c r="E769" t="str">
        <f>Продажи_исходные!E769</f>
        <v>C0768</v>
      </c>
      <c r="F769" t="str">
        <f>Продажи_исходные!F769</f>
        <v>P006</v>
      </c>
      <c r="G769" t="str">
        <f>IFERROR(VLOOKUP(Продажи_исходные!G769,Справочники!$G$2:$H$50,2,FALSE),Продажи_исходные!G769)</f>
        <v>Отменен</v>
      </c>
      <c r="H769" s="4">
        <f>IFERROR(VLOOKUP(B769,Товары_очищенные!$A$1:$G$1000,6,FALSE),"нет в каталоге")</f>
        <v>37990</v>
      </c>
      <c r="I769" t="str">
        <f>IFERROR(VLOOKUP(B769,Товары_очищенные!$A$1:$G$1000,3,FALSE),"нет в каталоге")</f>
        <v>Смартфоны</v>
      </c>
      <c r="J769" t="str">
        <f t="shared" si="37"/>
        <v>OK</v>
      </c>
    </row>
    <row r="770">
      <c r="A770" s="8">
        <f>DATE(RIGHT(Продажи_исходные!A770,4),LEFT(Продажи_исходные!A770,2),MID(Продажи_исходные!A770,4,2))</f>
        <v>46056</v>
      </c>
      <c r="B770" t="str">
        <f>"АРТ-"&amp;LEFT(SUBSTITUTE(SUBSTITUTE(SUBSTITUTE(SUBSTITUTE(Продажи_исходные!B770,"№",""),"АРТ-",""),"АРТ_",""),"/","-"),3)</f>
        <v>АРТ-128</v>
      </c>
      <c r="C770" s="4">
        <f>IFERROR(VALUE(TRIM(SUBSTITUTE(SUBSTITUTE(SUBSTITUTE(SUBSTITUTE(Продажи_исходные!C770," шт.","")," шт",""),"шт.",""),"шт",""))),0)</f>
        <v>3</v>
      </c>
      <c r="D770" s="4">
        <f>IF(LEFT(Продажи_исходные!D770,1)="$",VALUE(MID(Продажи_исходные!D770,2,255))*95,IF(LEFT(Продажи_исходные!D770,1)="€",VALUE(MID(Продажи_исходные!D770,2,255))*100,VALUE(SUBSTITUTE(SUBSTITUTE(Продажи_исходные!D770,"₽","")," ",""))))</f>
        <v>8550</v>
      </c>
      <c r="E770" t="str">
        <f>Продажи_исходные!E770</f>
        <v>C0769</v>
      </c>
      <c r="F770" t="str">
        <f>Продажи_исходные!F770</f>
        <v>P024</v>
      </c>
      <c r="G770" t="str">
        <f>IFERROR(VLOOKUP(Продажи_исходные!G770,Справочники!$G$2:$H$50,2,FALSE),Продажи_исходные!G770)</f>
        <v>Отменен</v>
      </c>
      <c r="H770" s="4">
        <f>IFERROR(VLOOKUP(B770,Товары_очищенные!$A$1:$G$1000,6,FALSE),"нет в каталоге")</f>
        <v>50500</v>
      </c>
      <c r="I770" t="str">
        <f>IFERROR(VLOOKUP(B770,Товары_очищенные!$A$1:$G$1000,3,FALSE),"нет в каталоге")</f>
        <v>Смартфоны</v>
      </c>
      <c r="J770" t="str">
        <f t="shared" si="37"/>
        <v>OK</v>
      </c>
    </row>
    <row r="771">
      <c r="A771" s="8">
        <f>DATE(RIGHT(Продажи_исходные!A771,4),LEFT(Продажи_исходные!A771,2),MID(Продажи_исходные!A771,4,2))</f>
        <v>46056</v>
      </c>
      <c r="B771" t="str">
        <f>"АРТ-"&amp;LEFT(SUBSTITUTE(SUBSTITUTE(SUBSTITUTE(SUBSTITUTE(Продажи_исходные!B771,"№",""),"АРТ-",""),"АРТ_",""),"/","-"),3)</f>
        <v>АРТ-465</v>
      </c>
      <c r="C771" s="4">
        <f>IFERROR(VALUE(TRIM(SUBSTITUTE(SUBSTITUTE(SUBSTITUTE(SUBSTITUTE(Продажи_исходные!C771," шт.","")," шт",""),"шт.",""),"шт",""))),0)</f>
        <v>2</v>
      </c>
      <c r="D771" s="4">
        <f>IF(LEFT(Продажи_исходные!D771,1)="$",VALUE(MID(Продажи_исходные!D771,2,255))*95,IF(LEFT(Продажи_исходные!D771,1)="€",VALUE(MID(Продажи_исходные!D771,2,255))*100,VALUE(SUBSTITUTE(SUBSTITUTE(Продажи_исходные!D771,"₽","")," ",""))))</f>
        <v>7000</v>
      </c>
      <c r="E771" t="str">
        <f>Продажи_исходные!E771</f>
        <v>C0770</v>
      </c>
      <c r="F771" t="str">
        <f>Продажи_исходные!F771</f>
        <v>P015</v>
      </c>
      <c r="G771" t="str">
        <f>IFERROR(VLOOKUP(Продажи_исходные!G771,Справочники!$G$2:$H$50,2,FALSE),Продажи_исходные!G771)</f>
        <v>Завершен</v>
      </c>
      <c r="H771" s="4">
        <f>IFERROR(VLOOKUP(B771,Товары_очищенные!$A$1:$G$1000,6,FALSE),"нет в каталоге")</f>
        <v>31500</v>
      </c>
      <c r="I771" t="str">
        <f>IFERROR(VLOOKUP(B771,Товары_очищенные!$A$1:$G$1000,3,FALSE),"нет в каталоге")</f>
        <v>Планшеты</v>
      </c>
      <c r="J771" t="str">
        <f t="shared" si="37"/>
        <v>OK</v>
      </c>
    </row>
    <row r="772">
      <c r="A772" s="8">
        <f>DATE(RIGHT(Продажи_исходные!A772,4),LEFT(Продажи_исходные!A772,2),MID(Продажи_исходные!A772,4,2))</f>
        <v>46057</v>
      </c>
      <c r="B772" t="str">
        <f>"АРТ-"&amp;LEFT(SUBSTITUTE(SUBSTITUTE(SUBSTITUTE(SUBSTITUTE(Продажи_исходные!B772,"№",""),"АРТ-",""),"АРТ_",""),"/","-"),3)</f>
        <v>АРТ-319</v>
      </c>
      <c r="C772" s="4">
        <f>IFERROR(VALUE(TRIM(SUBSTITUTE(SUBSTITUTE(SUBSTITUTE(SUBSTITUTE(Продажи_исходные!C772," шт.","")," шт",""),"шт.",""),"шт",""))),0)</f>
        <v>1</v>
      </c>
      <c r="D772" s="4">
        <f>IF(LEFT(Продажи_исходные!D772,1)="$",VALUE(MID(Продажи_исходные!D772,2,255))*95,IF(LEFT(Продажи_исходные!D772,1)="€",VALUE(MID(Продажи_исходные!D772,2,255))*100,VALUE(SUBSTITUTE(SUBSTITUTE(Продажи_исходные!D772,"₽","")," ",""))))</f>
        <v>6500</v>
      </c>
      <c r="E772" t="str">
        <f>Продажи_исходные!E772</f>
        <v>C0771</v>
      </c>
      <c r="F772" t="str">
        <f>Продажи_исходные!F772</f>
        <v>P037</v>
      </c>
      <c r="G772" t="str">
        <f>IFERROR(VLOOKUP(Продажи_исходные!G772,Справочники!$G$2:$H$50,2,FALSE),Продажи_исходные!G772)</f>
        <v>Возврат</v>
      </c>
      <c r="H772" s="4">
        <f>IFERROR(VLOOKUP(B772,Товары_очищенные!$A$1:$G$1000,6,FALSE),"нет в каталоге")</f>
        <v>184990</v>
      </c>
      <c r="I772" t="str">
        <f>IFERROR(VLOOKUP(B772,Товары_очищенные!$A$1:$G$1000,3,FALSE),"нет в каталоге")</f>
        <v>Телевизоры</v>
      </c>
      <c r="J772" t="str">
        <f t="shared" si="37"/>
        <v>OK</v>
      </c>
    </row>
    <row r="773">
      <c r="A773" s="8">
        <f>DATE(RIGHT(Продажи_исходные!A773,4),LEFT(Продажи_исходные!A773,2),MID(Продажи_исходные!A773,4,2))</f>
        <v>46057</v>
      </c>
      <c r="B773" t="str">
        <f>"АРТ-"&amp;LEFT(SUBSTITUTE(SUBSTITUTE(SUBSTITUTE(SUBSTITUTE(Продажи_исходные!B773,"№",""),"АРТ-",""),"АРТ_",""),"/","-"),3)</f>
        <v>АРТ-262</v>
      </c>
      <c r="C773" s="4">
        <f>IFERROR(VALUE(TRIM(SUBSTITUTE(SUBSTITUTE(SUBSTITUTE(SUBSTITUTE(Продажи_исходные!C773," шт.","")," шт",""),"шт.",""),"шт",""))),0)</f>
        <v>-1</v>
      </c>
      <c r="D773" s="4">
        <f>IF(LEFT(Продажи_исходные!D773,1)="$",VALUE(MID(Продажи_исходные!D773,2,255))*95,IF(LEFT(Продажи_исходные!D773,1)="€",VALUE(MID(Продажи_исходные!D773,2,255))*100,VALUE(SUBSTITUTE(SUBSTITUTE(Продажи_исходные!D773,"₽","")," ",""))))</f>
        <v>10450</v>
      </c>
      <c r="E773" t="str">
        <f>Продажи_исходные!E773</f>
        <v>C0772</v>
      </c>
      <c r="F773" t="str">
        <f>Продажи_исходные!F773</f>
        <v>P048</v>
      </c>
      <c r="G773" t="str">
        <f>IFERROR(VLOOKUP(Продажи_исходные!G773,Справочники!$G$2:$H$50,2,FALSE),Продажи_исходные!G773)</f>
        <v>Завершен</v>
      </c>
      <c r="H773" s="4">
        <f>IFERROR(VLOOKUP(B773,Товары_очищенные!$A$1:$G$1000,6,FALSE),"нет в каталоге")</f>
        <v>11990</v>
      </c>
      <c r="I773" t="str">
        <f>IFERROR(VLOOKUP(B773,Товары_очищенные!$A$1:$G$1000,3,FALSE),"нет в каталоге")</f>
        <v>Наушники</v>
      </c>
      <c r="J773" t="str">
        <f t="shared" si="37"/>
        <v>OK</v>
      </c>
    </row>
    <row r="774">
      <c r="A774" s="8">
        <f>DATE(RIGHT(Продажи_исходные!A774,4),LEFT(Продажи_исходные!A774,2),MID(Продажи_исходные!A774,4,2))</f>
        <v>46058</v>
      </c>
      <c r="B774" t="str">
        <f>"АРТ-"&amp;LEFT(SUBSTITUTE(SUBSTITUTE(SUBSTITUTE(SUBSTITUTE(Продажи_исходные!B774,"№",""),"АРТ-",""),"АРТ_",""),"/","-"),3)</f>
        <v>АРТ-305</v>
      </c>
      <c r="C774" s="4">
        <f>IFERROR(VALUE(TRIM(SUBSTITUTE(SUBSTITUTE(SUBSTITUTE(SUBSTITUTE(Продажи_исходные!C774," шт.","")," шт",""),"шт.",""),"шт",""))),0)</f>
        <v>3</v>
      </c>
      <c r="D774" s="4">
        <f>IF(LEFT(Продажи_исходные!D774,1)="$",VALUE(MID(Продажи_исходные!D774,2,255))*95,IF(LEFT(Продажи_исходные!D774,1)="€",VALUE(MID(Продажи_исходные!D774,2,255))*100,VALUE(SUBSTITUTE(SUBSTITUTE(Продажи_исходные!D774,"₽","")," ",""))))</f>
        <v>9000</v>
      </c>
      <c r="E774" t="str">
        <f>Продажи_исходные!E774</f>
        <v>C0773</v>
      </c>
      <c r="F774" t="str">
        <f>Продажи_исходные!F774</f>
        <v>P004</v>
      </c>
      <c r="G774" t="str">
        <f>IFERROR(VLOOKUP(Продажи_исходные!G774,Справочники!$G$2:$H$50,2,FALSE),Продажи_исходные!G774)</f>
        <v>Завершен</v>
      </c>
      <c r="H774" s="4">
        <f>IFERROR(VLOOKUP(B774,Товары_очищенные!$A$1:$G$1000,6,FALSE),"нет в каталоге")</f>
        <v>57500</v>
      </c>
      <c r="I774" t="str">
        <f>IFERROR(VLOOKUP(B774,Товары_очищенные!$A$1:$G$1000,3,FALSE),"нет в каталоге")</f>
        <v>Мониторы</v>
      </c>
      <c r="J774" t="str">
        <f t="shared" si="37"/>
        <v>OK</v>
      </c>
    </row>
    <row r="775">
      <c r="A775" s="8">
        <f>DATE(RIGHT(Продажи_исходные!A775,4),LEFT(Продажи_исходные!A775,2),MID(Продажи_исходные!A775,4,2))</f>
        <v>46058</v>
      </c>
      <c r="B775" t="str">
        <f>"АРТ-"&amp;LEFT(SUBSTITUTE(SUBSTITUTE(SUBSTITUTE(SUBSTITUTE(Продажи_исходные!B775,"№",""),"АРТ-",""),"АРТ_",""),"/","-"),3)</f>
        <v>АРТ-115</v>
      </c>
      <c r="C775" s="4">
        <f>IFERROR(VALUE(TRIM(SUBSTITUTE(SUBSTITUTE(SUBSTITUTE(SUBSTITUTE(Продажи_исходные!C775," шт.","")," шт",""),"шт.",""),"шт",""))),0)</f>
        <v>2</v>
      </c>
      <c r="D775" s="4">
        <f>IF(LEFT(Продажи_исходные!D775,1)="$",VALUE(MID(Продажи_исходные!D775,2,255))*95,IF(LEFT(Продажи_исходные!D775,1)="€",VALUE(MID(Продажи_исходные!D775,2,255))*100,VALUE(SUBSTITUTE(SUBSTITUTE(Продажи_исходные!D775,"₽","")," ",""))))</f>
        <v>8000</v>
      </c>
      <c r="E775" t="str">
        <f>Продажи_исходные!E775</f>
        <v>C0774</v>
      </c>
      <c r="F775" t="str">
        <f>Продажи_исходные!F775</f>
        <v>P026</v>
      </c>
      <c r="G775" t="str">
        <f>IFERROR(VLOOKUP(Продажи_исходные!G775,Справочники!$G$2:$H$50,2,FALSE),Продажи_исходные!G775)</f>
        <v>Завершен</v>
      </c>
      <c r="H775" s="4">
        <f>IFERROR(VLOOKUP(B775,Товары_очищенные!$A$1:$G$1000,6,FALSE),"нет в каталоге")</f>
        <v>74900</v>
      </c>
      <c r="I775" t="str">
        <f>IFERROR(VLOOKUP(B775,Товары_очищенные!$A$1:$G$1000,3,FALSE),"нет в каталоге")</f>
        <v>Мониторы</v>
      </c>
      <c r="J775" t="str">
        <f t="shared" si="37"/>
        <v>OK</v>
      </c>
    </row>
    <row r="776">
      <c r="A776" s="8">
        <f>DATE(RIGHT(Продажи_исходные!A776,4),LEFT(Продажи_исходные!A776,2),MID(Продажи_исходные!A776,4,2))</f>
        <v>46059</v>
      </c>
      <c r="B776" t="str">
        <f>"АРТ-"&amp;LEFT(SUBSTITUTE(SUBSTITUTE(SUBSTITUTE(SUBSTITUTE(Продажи_исходные!B776,"№",""),"АРТ-",""),"АРТ_",""),"/","-"),3)</f>
        <v>АРТ-148</v>
      </c>
      <c r="C776" s="4">
        <f>IFERROR(VALUE(TRIM(SUBSTITUTE(SUBSTITUTE(SUBSTITUTE(SUBSTITUTE(Продажи_исходные!C776," шт.","")," шт",""),"шт.",""),"шт",""))),0)</f>
        <v>1</v>
      </c>
      <c r="D776" s="4">
        <f>IF(LEFT(Продажи_исходные!D776,1)="$",VALUE(MID(Продажи_исходные!D776,2,255))*95,IF(LEFT(Продажи_исходные!D776,1)="€",VALUE(MID(Продажи_исходные!D776,2,255))*100,VALUE(SUBSTITUTE(SUBSTITUTE(Продажи_исходные!D776,"₽","")," ",""))))</f>
        <v>9025</v>
      </c>
      <c r="E776" t="str">
        <f>Продажи_исходные!E776</f>
        <v>C0775</v>
      </c>
      <c r="F776" t="str">
        <f>Продажи_исходные!F776</f>
        <v>P013</v>
      </c>
      <c r="G776" t="str">
        <f>IFERROR(VLOOKUP(Продажи_исходные!G776,Справочники!$G$2:$H$50,2,FALSE),Продажи_исходные!G776)</f>
        <v>Отменен</v>
      </c>
      <c r="H776" s="4">
        <f>IFERROR(VLOOKUP(B776,Товары_очищенные!$A$1:$G$1000,6,FALSE),"нет в каталоге")</f>
        <v>139990</v>
      </c>
      <c r="I776" t="str">
        <f>IFERROR(VLOOKUP(B776,Товары_очищенные!$A$1:$G$1000,3,FALSE),"нет в каталоге")</f>
        <v>Ноутбуки</v>
      </c>
      <c r="J776" t="str">
        <f t="shared" si="37"/>
        <v>OK</v>
      </c>
    </row>
    <row r="777">
      <c r="A777" s="8">
        <f>DATE(RIGHT(Продажи_исходные!A777,4),LEFT(Продажи_исходные!A777,2),MID(Продажи_исходные!A777,4,2))</f>
        <v>46059</v>
      </c>
      <c r="B777" t="str">
        <f>"АРТ-"&amp;LEFT(SUBSTITUTE(SUBSTITUTE(SUBSTITUTE(SUBSTITUTE(Продажи_исходные!B777,"№",""),"АРТ-",""),"АРТ_",""),"/","-"),3)</f>
        <v>АРТ-493</v>
      </c>
      <c r="C777" s="4">
        <f>IFERROR(VALUE(TRIM(SUBSTITUTE(SUBSTITUTE(SUBSTITUTE(SUBSTITUTE(Продажи_исходные!C777," шт.","")," шт",""),"шт.",""),"шт",""))),0)</f>
        <v>2</v>
      </c>
      <c r="D777" s="4">
        <f>IF(LEFT(Продажи_исходные!D777,1)="$",VALUE(MID(Продажи_исходные!D777,2,255))*95,IF(LEFT(Продажи_исходные!D777,1)="€",VALUE(MID(Продажи_исходные!D777,2,255))*100,VALUE(SUBSTITUTE(SUBSTITUTE(Продажи_исходные!D777,"₽","")," ",""))))</f>
        <v>7500</v>
      </c>
      <c r="E777" t="str">
        <f>Продажи_исходные!E777</f>
        <v>C0776</v>
      </c>
      <c r="F777" t="str">
        <f>Продажи_исходные!F777</f>
        <v>P034</v>
      </c>
      <c r="G777" t="str">
        <f>IFERROR(VLOOKUP(Продажи_исходные!G777,Справочники!$G$2:$H$50,2,FALSE),Продажи_исходные!G777)</f>
        <v>Отменен</v>
      </c>
      <c r="H777" s="4">
        <f>IFERROR(VLOOKUP(B777,Товары_очищенные!$A$1:$G$1000,6,FALSE),"нет в каталоге")</f>
        <v>14990</v>
      </c>
      <c r="I777" t="str">
        <f>IFERROR(VLOOKUP(B777,Товары_очищенные!$A$1:$G$1000,3,FALSE),"нет в каталоге")</f>
        <v>Наушники</v>
      </c>
      <c r="J777" t="str">
        <f t="shared" si="37"/>
        <v>OK</v>
      </c>
    </row>
    <row r="778">
      <c r="A778" s="8">
        <f>DATE(RIGHT(Продажи_исходные!A778,4),LEFT(Продажи_исходные!A778,2),MID(Продажи_исходные!A778,4,2))</f>
        <v>46060</v>
      </c>
      <c r="B778" t="str">
        <f>"АРТ-"&amp;LEFT(SUBSTITUTE(SUBSTITUTE(SUBSTITUTE(SUBSTITUTE(Продажи_исходные!B778,"№",""),"АРТ-",""),"АРТ_",""),"/","-"),3)</f>
        <v>АРТ-365</v>
      </c>
      <c r="C778" s="4">
        <f>IFERROR(VALUE(TRIM(SUBSTITUTE(SUBSTITUTE(SUBSTITUTE(SUBSTITUTE(Продажи_исходные!C778," шт.","")," шт",""),"шт.",""),"шт",""))),0)</f>
        <v>3</v>
      </c>
      <c r="D778" s="4">
        <f>IF(LEFT(Продажи_исходные!D778,1)="$",VALUE(MID(Продажи_исходные!D778,2,255))*95,IF(LEFT(Продажи_исходные!D778,1)="€",VALUE(MID(Продажи_исходные!D778,2,255))*100,VALUE(SUBSTITUTE(SUBSTITUTE(Продажи_исходные!D778,"₽","")," ",""))))</f>
        <v>7000</v>
      </c>
      <c r="E778" t="str">
        <f>Продажи_исходные!E778</f>
        <v>C0777</v>
      </c>
      <c r="F778" t="str">
        <f>Продажи_исходные!F778</f>
        <v>P044</v>
      </c>
      <c r="G778" t="str">
        <f>IFERROR(VLOOKUP(Продажи_исходные!G778,Справочники!$G$2:$H$50,2,FALSE),Продажи_исходные!G778)</f>
        <v>Возврат</v>
      </c>
      <c r="H778" s="4">
        <f>IFERROR(VLOOKUP(B778,Товары_очищенные!$A$1:$G$1000,6,FALSE),"нет в каталоге")</f>
        <v>137000</v>
      </c>
      <c r="I778" t="str">
        <f>IFERROR(VLOOKUP(B778,Товары_очищенные!$A$1:$G$1000,3,FALSE),"нет в каталоге")</f>
        <v>Телевизоры</v>
      </c>
      <c r="J778" t="str">
        <f t="shared" si="37"/>
        <v>OK</v>
      </c>
    </row>
    <row r="779">
      <c r="A779" s="8">
        <f>DATE(RIGHT(Продажи_исходные!A779,4),LEFT(Продажи_исходные!A779,2),MID(Продажи_исходные!A779,4,2))</f>
        <v>46060</v>
      </c>
      <c r="B779" t="str">
        <f>"АРТ-"&amp;LEFT(SUBSTITUTE(SUBSTITUTE(SUBSTITUTE(SUBSTITUTE(Продажи_исходные!B779,"№",""),"АРТ-",""),"АРТ_",""),"/","-"),3)</f>
        <v>АРТ-167</v>
      </c>
      <c r="C779" s="4">
        <f>IFERROR(VALUE(TRIM(SUBSTITUTE(SUBSTITUTE(SUBSTITUTE(SUBSTITUTE(Продажи_исходные!C779," шт.","")," шт",""),"шт.",""),"шт",""))),0)</f>
        <v>-2</v>
      </c>
      <c r="D779" s="4">
        <f>IF(LEFT(Продажи_исходные!D779,1)="$",VALUE(MID(Продажи_исходные!D779,2,255))*95,IF(LEFT(Продажи_исходные!D779,1)="€",VALUE(MID(Продажи_исходные!D779,2,255))*100,VALUE(SUBSTITUTE(SUBSTITUTE(Продажи_исходные!D779,"₽","")," ",""))))</f>
        <v>10925</v>
      </c>
      <c r="E779" t="str">
        <f>Продажи_исходные!E779</f>
        <v>C0778</v>
      </c>
      <c r="F779" t="str">
        <f>Продажи_исходные!F779</f>
        <v>P001</v>
      </c>
      <c r="G779" t="str">
        <f>IFERROR(VLOOKUP(Продажи_исходные!G779,Справочники!$G$2:$H$50,2,FALSE),Продажи_исходные!G779)</f>
        <v>Завершен</v>
      </c>
      <c r="H779" s="4">
        <f>IFERROR(VLOOKUP(B779,Товары_очищенные!$A$1:$G$1000,6,FALSE),"нет в каталоге")</f>
        <v>80000</v>
      </c>
      <c r="I779" t="str">
        <f>IFERROR(VLOOKUP(B779,Товары_очищенные!$A$1:$G$1000,3,FALSE),"нет в каталоге")</f>
        <v>Планшеты</v>
      </c>
      <c r="J779" t="str">
        <f t="shared" si="37"/>
        <v>OK</v>
      </c>
    </row>
    <row r="780">
      <c r="A780" s="8">
        <f>DATE(RIGHT(Продажи_исходные!A780,4),LEFT(Продажи_исходные!A780,2),MID(Продажи_исходные!A780,4,2))</f>
        <v>46061</v>
      </c>
      <c r="B780" t="str">
        <f>"АРТ-"&amp;LEFT(SUBSTITUTE(SUBSTITUTE(SUBSTITUTE(SUBSTITUTE(Продажи_исходные!B780,"№",""),"АРТ-",""),"АРТ_",""),"/","-"),3)</f>
        <v>АРТ-293</v>
      </c>
      <c r="C780" s="4">
        <f>IFERROR(VALUE(TRIM(SUBSTITUTE(SUBSTITUTE(SUBSTITUTE(SUBSTITUTE(Продажи_исходные!C780," шт.","")," шт",""),"шт.",""),"шт",""))),0)</f>
        <v>1</v>
      </c>
      <c r="D780" s="4">
        <f>IF(LEFT(Продажи_исходные!D780,1)="$",VALUE(MID(Продажи_исходные!D780,2,255))*95,IF(LEFT(Продажи_исходные!D780,1)="€",VALUE(MID(Продажи_исходные!D780,2,255))*100,VALUE(SUBSTITUTE(SUBSTITUTE(Продажи_исходные!D780,"₽","")," ",""))))</f>
        <v>9500</v>
      </c>
      <c r="E780" t="str">
        <f>Продажи_исходные!E780</f>
        <v>C0779</v>
      </c>
      <c r="F780" t="str">
        <f>Продажи_исходные!F780</f>
        <v>P021</v>
      </c>
      <c r="G780" t="str">
        <f>IFERROR(VLOOKUP(Продажи_исходные!G780,Справочники!$G$2:$H$50,2,FALSE),Продажи_исходные!G780)</f>
        <v>Завершен</v>
      </c>
      <c r="H780" s="4">
        <f>IFERROR(VLOOKUP(B780,Товары_очищенные!$A$1:$G$1000,6,FALSE),"нет в каталоге")</f>
        <v>132000</v>
      </c>
      <c r="I780" t="str">
        <f>IFERROR(VLOOKUP(B780,Товары_очищенные!$A$1:$G$1000,3,FALSE),"нет в каталоге")</f>
        <v>Ноутбуки</v>
      </c>
      <c r="J780" t="str">
        <f t="shared" si="37"/>
        <v>OK</v>
      </c>
    </row>
    <row r="781">
      <c r="A781" s="8">
        <f>DATE(RIGHT(Продажи_исходные!A781,4),LEFT(Продажи_исходные!A781,2),MID(Продажи_исходные!A781,4,2))</f>
        <v>46061</v>
      </c>
      <c r="B781" t="str">
        <f>"АРТ-"&amp;LEFT(SUBSTITUTE(SUBSTITUTE(SUBSTITUTE(SUBSTITUTE(Продажи_исходные!B781,"№",""),"АРТ-",""),"АРТ_",""),"/","-"),3)</f>
        <v>АРТ-193</v>
      </c>
      <c r="C781" s="4">
        <f>IFERROR(VALUE(TRIM(SUBSTITUTE(SUBSTITUTE(SUBSTITUTE(SUBSTITUTE(Продажи_исходные!C781," шт.","")," шт",""),"шт.",""),"шт",""))),0)</f>
        <v>2</v>
      </c>
      <c r="D781" s="4">
        <f>IF(LEFT(Продажи_исходные!D781,1)="$",VALUE(MID(Продажи_исходные!D781,2,255))*95,IF(LEFT(Продажи_исходные!D781,1)="€",VALUE(MID(Продажи_исходные!D781,2,255))*100,VALUE(SUBSTITUTE(SUBSTITUTE(Продажи_исходные!D781,"₽","")," ",""))))</f>
        <v>8500</v>
      </c>
      <c r="E781" t="str">
        <f>Продажи_исходные!E781</f>
        <v>C0780</v>
      </c>
      <c r="F781" t="str">
        <f>Продажи_исходные!F781</f>
        <v>P039</v>
      </c>
      <c r="G781" t="str">
        <f>IFERROR(VLOOKUP(Продажи_исходные!G781,Справочники!$G$2:$H$50,2,FALSE),Продажи_исходные!G781)</f>
        <v>Завершен</v>
      </c>
      <c r="H781" s="4">
        <f>IFERROR(VLOOKUP(B781,Товары_очищенные!$A$1:$G$1000,6,FALSE),"нет в каталоге")</f>
        <v>129990</v>
      </c>
      <c r="I781" t="str">
        <f>IFERROR(VLOOKUP(B781,Товары_очищенные!$A$1:$G$1000,3,FALSE),"нет в каталоге")</f>
        <v>Ноутбуки</v>
      </c>
      <c r="J781" t="str">
        <f t="shared" si="37"/>
        <v>OK</v>
      </c>
    </row>
    <row r="782">
      <c r="A782" s="8">
        <f>DATE(RIGHT(Продажи_исходные!A782,4),LEFT(Продажи_исходные!A782,2),MID(Продажи_исходные!A782,4,2))</f>
        <v>46062</v>
      </c>
      <c r="B782" t="str">
        <f>"АРТ-"&amp;LEFT(SUBSTITUTE(SUBSTITUTE(SUBSTITUTE(SUBSTITUTE(Продажи_исходные!B782,"№",""),"АРТ-",""),"АРТ_",""),"/","-"),3)</f>
        <v>АРТ-101</v>
      </c>
      <c r="C782" s="4">
        <f>IFERROR(VALUE(TRIM(SUBSTITUTE(SUBSTITUTE(SUBSTITUTE(SUBSTITUTE(Продажи_исходные!C782," шт.","")," шт",""),"шт.",""),"шт",""))),0)</f>
        <v>3</v>
      </c>
      <c r="D782" s="4">
        <f>IF(LEFT(Продажи_исходные!D782,1)="$",VALUE(MID(Продажи_исходные!D782,2,255))*95,IF(LEFT(Продажи_исходные!D782,1)="€",VALUE(MID(Продажи_исходные!D782,2,255))*100,VALUE(SUBSTITUTE(SUBSTITUTE(Продажи_исходные!D782,"₽","")," ",""))))</f>
        <v>9975</v>
      </c>
      <c r="E782" t="str">
        <f>Продажи_исходные!E782</f>
        <v>C0781</v>
      </c>
      <c r="F782" t="str">
        <f>Продажи_исходные!F782</f>
        <v>P050</v>
      </c>
      <c r="G782" t="str">
        <f>IFERROR(VLOOKUP(Продажи_исходные!G782,Справочники!$G$2:$H$50,2,FALSE),Продажи_исходные!G782)</f>
        <v>Отменен</v>
      </c>
      <c r="H782" s="4">
        <f>IFERROR(VLOOKUP(B782,Товары_очищенные!$A$1:$G$1000,6,FALSE),"нет в каталоге")</f>
        <v>55500</v>
      </c>
      <c r="I782" t="str">
        <f>IFERROR(VLOOKUP(B782,Товары_очищенные!$A$1:$G$1000,3,FALSE),"нет в каталоге")</f>
        <v>Планшеты</v>
      </c>
      <c r="J782" t="str">
        <f t="shared" si="37"/>
        <v>OK</v>
      </c>
    </row>
    <row r="783">
      <c r="A783" s="8">
        <f>DATE(RIGHT(Продажи_исходные!A783,4),LEFT(Продажи_исходные!A783,2),MID(Продажи_исходные!A783,4,2))</f>
        <v>46062</v>
      </c>
      <c r="B783" t="str">
        <f>"АРТ-"&amp;LEFT(SUBSTITUTE(SUBSTITUTE(SUBSTITUTE(SUBSTITUTE(Продажи_исходные!B783,"№",""),"АРТ-",""),"АРТ_",""),"/","-"),3)</f>
        <v>АРТ-447</v>
      </c>
      <c r="C783" s="4">
        <f>IFERROR(VALUE(TRIM(SUBSTITUTE(SUBSTITUTE(SUBSTITUTE(SUBSTITUTE(Продажи_исходные!C783," шт.","")," шт",""),"шт.",""),"шт",""))),0)</f>
        <v>2</v>
      </c>
      <c r="D783" s="4">
        <f>IF(LEFT(Продажи_исходные!D783,1)="$",VALUE(MID(Продажи_исходные!D783,2,255))*95,IF(LEFT(Продажи_исходные!D783,1)="€",VALUE(MID(Продажи_исходные!D783,2,255))*100,VALUE(SUBSTITUTE(SUBSTITUTE(Продажи_исходные!D783,"₽","")," ",""))))</f>
        <v>8500</v>
      </c>
      <c r="E783" t="str">
        <f>Продажи_исходные!E783</f>
        <v>C0782</v>
      </c>
      <c r="F783" t="str">
        <f>Продажи_исходные!F783</f>
        <v>P011</v>
      </c>
      <c r="G783" t="str">
        <f>IFERROR(VLOOKUP(Продажи_исходные!G783,Справочники!$G$2:$H$50,2,FALSE),Продажи_исходные!G783)</f>
        <v>Отменен</v>
      </c>
      <c r="H783" s="4">
        <f>IFERROR(VLOOKUP(B783,Товары_очищенные!$A$1:$G$1000,6,FALSE),"нет в каталоге")</f>
        <v>144500</v>
      </c>
      <c r="I783" t="str">
        <f>IFERROR(VLOOKUP(B783,Товары_очищенные!$A$1:$G$1000,3,FALSE),"нет в каталоге")</f>
        <v>Ноутбуки</v>
      </c>
      <c r="J783" t="str">
        <f t="shared" si="37"/>
        <v>OK</v>
      </c>
    </row>
    <row r="784">
      <c r="A784" s="8">
        <f>DATE(RIGHT(Продажи_исходные!A784,4),LEFT(Продажи_исходные!A784,2),MID(Продажи_исходные!A784,4,2))</f>
        <v>46063</v>
      </c>
      <c r="B784" t="str">
        <f>"АРТ-"&amp;LEFT(SUBSTITUTE(SUBSTITUTE(SUBSTITUTE(SUBSTITUTE(Продажи_исходные!B784,"№",""),"АРТ-",""),"АРТ_",""),"/","-"),3)</f>
        <v>АРТ-320</v>
      </c>
      <c r="C784" s="4">
        <f>IFERROR(VALUE(TRIM(SUBSTITUTE(SUBSTITUTE(SUBSTITUTE(SUBSTITUTE(Продажи_исходные!C784," шт.","")," шт",""),"шт.",""),"шт",""))),0)</f>
        <v>1</v>
      </c>
      <c r="D784" s="4">
        <f>IF(LEFT(Продажи_исходные!D784,1)="$",VALUE(MID(Продажи_исходные!D784,2,255))*95,IF(LEFT(Продажи_исходные!D784,1)="€",VALUE(MID(Продажи_исходные!D784,2,255))*100,VALUE(SUBSTITUTE(SUBSTITUTE(Продажи_исходные!D784,"₽","")," ",""))))</f>
        <v>7800</v>
      </c>
      <c r="E784" t="str">
        <f>Продажи_исходные!E784</f>
        <v>C0783</v>
      </c>
      <c r="F784" t="str">
        <f>Продажи_исходные!F784</f>
        <v>P027</v>
      </c>
      <c r="G784" t="str">
        <f>IFERROR(VLOOKUP(Продажи_исходные!G784,Справочники!$G$2:$H$50,2,FALSE),Продажи_исходные!G784)</f>
        <v>Завершен</v>
      </c>
      <c r="H784" s="4">
        <f>IFERROR(VLOOKUP(B784,Товары_очищенные!$A$1:$G$1000,6,FALSE),"нет в каталоге")</f>
        <v>181500</v>
      </c>
      <c r="I784" t="str">
        <f>IFERROR(VLOOKUP(B784,Товары_очищенные!$A$1:$G$1000,3,FALSE),"нет в каталоге")</f>
        <v>Телевизоры</v>
      </c>
      <c r="J784" t="str">
        <f t="shared" si="37"/>
        <v>OK</v>
      </c>
    </row>
    <row r="785">
      <c r="A785" s="8">
        <f>DATE(RIGHT(Продажи_исходные!A785,4),LEFT(Продажи_исходные!A785,2),MID(Продажи_исходные!A785,4,2))</f>
        <v>46063</v>
      </c>
      <c r="B785" t="str">
        <f>"АРТ-"&amp;LEFT(SUBSTITUTE(SUBSTITUTE(SUBSTITUTE(SUBSTITUTE(Продажи_исходные!B785,"№",""),"АРТ-",""),"АРТ_",""),"/","-"),3)</f>
        <v>АРТ-396</v>
      </c>
      <c r="C785" s="4">
        <f>IFERROR(VALUE(TRIM(SUBSTITUTE(SUBSTITUTE(SUBSTITUTE(SUBSTITUTE(Продажи_исходные!C785," шт.","")," шт",""),"шт.",""),"шт",""))),0)</f>
        <v>-3</v>
      </c>
      <c r="D785" s="4">
        <f>IF(LEFT(Продажи_исходные!D785,1)="$",VALUE(MID(Продажи_исходные!D785,2,255))*95,IF(LEFT(Продажи_исходные!D785,1)="€",VALUE(MID(Продажи_исходные!D785,2,255))*100,VALUE(SUBSTITUTE(SUBSTITUTE(Продажи_исходные!D785,"₽","")," ",""))))</f>
        <v>11400</v>
      </c>
      <c r="E785" t="str">
        <f>Продажи_исходные!E785</f>
        <v>C0784</v>
      </c>
      <c r="F785" t="str">
        <f>Продажи_исходные!F785</f>
        <v>P018</v>
      </c>
      <c r="G785" t="str">
        <f>IFERROR(VLOOKUP(Продажи_исходные!G785,Справочники!$G$2:$H$50,2,FALSE),Продажи_исходные!G785)</f>
        <v>Возврат</v>
      </c>
      <c r="H785" s="4">
        <f>IFERROR(VLOOKUP(B785,Товары_очищенные!$A$1:$G$1000,6,FALSE),"нет в каталоге")</f>
        <v>67000</v>
      </c>
      <c r="I785" t="str">
        <f>IFERROR(VLOOKUP(B785,Товары_очищенные!$A$1:$G$1000,3,FALSE),"нет в каталоге")</f>
        <v>Мониторы</v>
      </c>
      <c r="J785" t="str">
        <f t="shared" si="37"/>
        <v>OK</v>
      </c>
    </row>
    <row r="786">
      <c r="A786" s="8">
        <f>DATE(RIGHT(Продажи_исходные!A786,4),LEFT(Продажи_исходные!A786,2),MID(Продажи_исходные!A786,4,2))</f>
        <v>46064</v>
      </c>
      <c r="B786" t="str">
        <f>"АРТ-"&amp;LEFT(SUBSTITUTE(SUBSTITUTE(SUBSTITUTE(SUBSTITUTE(Продажи_исходные!B786,"№",""),"АРТ-",""),"АРТ_",""),"/","-"),3)</f>
        <v>АРТ-325</v>
      </c>
      <c r="C786" s="4">
        <f>IFERROR(VALUE(TRIM(SUBSTITUTE(SUBSTITUTE(SUBSTITUTE(SUBSTITUTE(Продажи_исходные!C786," шт.","")," шт",""),"шт.",""),"шт",""))),0)</f>
        <v>2</v>
      </c>
      <c r="D786" s="4">
        <f>IF(LEFT(Продажи_исходные!D786,1)="$",VALUE(MID(Продажи_исходные!D786,2,255))*95,IF(LEFT(Продажи_исходные!D786,1)="€",VALUE(MID(Продажи_исходные!D786,2,255))*100,VALUE(SUBSTITUTE(SUBSTITUTE(Продажи_исходные!D786,"₽","")," ",""))))</f>
        <v>10000</v>
      </c>
      <c r="E786" t="str">
        <f>Продажи_исходные!E786</f>
        <v>C0785</v>
      </c>
      <c r="F786" t="str">
        <f>Продажи_исходные!F786</f>
        <v>P040</v>
      </c>
      <c r="G786" t="str">
        <f>IFERROR(VLOOKUP(Продажи_исходные!G786,Справочники!$G$2:$H$50,2,FALSE),Продажи_исходные!G786)</f>
        <v>Завершен</v>
      </c>
      <c r="H786" s="4">
        <f>IFERROR(VLOOKUP(B786,Товары_очищенные!$A$1:$G$1000,6,FALSE),"нет в каталоге")</f>
        <v>66990</v>
      </c>
      <c r="I786" t="str">
        <f>IFERROR(VLOOKUP(B786,Товары_очищенные!$A$1:$G$1000,3,FALSE),"нет в каталоге")</f>
        <v>Мониторы</v>
      </c>
      <c r="J786" t="str">
        <f t="shared" si="37"/>
        <v>OK</v>
      </c>
    </row>
    <row r="787">
      <c r="A787" s="8">
        <f>DATE(RIGHT(Продажи_исходные!A787,4),LEFT(Продажи_исходные!A787,2),MID(Продажи_исходные!A787,4,2))</f>
        <v>46064</v>
      </c>
      <c r="B787" t="str">
        <f>"АРТ-"&amp;LEFT(SUBSTITUTE(SUBSTITUTE(SUBSTITUTE(SUBSTITUTE(Продажи_исходные!B787,"№",""),"АРТ-",""),"АРТ_",""),"/","-"),3)</f>
        <v>АРТ-253</v>
      </c>
      <c r="C787" s="4">
        <f>IFERROR(VALUE(TRIM(SUBSTITUTE(SUBSTITUTE(SUBSTITUTE(SUBSTITUTE(Продажи_исходные!C787," шт.","")," шт",""),"шт.",""),"шт",""))),0)</f>
        <v>1</v>
      </c>
      <c r="D787" s="4">
        <f>IF(LEFT(Продажи_исходные!D787,1)="$",VALUE(MID(Продажи_исходные!D787,2,255))*95,IF(LEFT(Продажи_исходные!D787,1)="€",VALUE(MID(Продажи_исходные!D787,2,255))*100,VALUE(SUBSTITUTE(SUBSTITUTE(Продажи_исходные!D787,"₽","")," ",""))))</f>
        <v>9200</v>
      </c>
      <c r="E787" t="str">
        <f>Продажи_исходные!E787</f>
        <v>C0786</v>
      </c>
      <c r="F787" t="str">
        <f>Продажи_исходные!F787</f>
        <v>P003</v>
      </c>
      <c r="G787" t="str">
        <f>IFERROR(VLOOKUP(Продажи_исходные!G787,Справочники!$G$2:$H$50,2,FALSE),Продажи_исходные!G787)</f>
        <v>Завершен</v>
      </c>
      <c r="H787" s="4">
        <f>IFERROR(VLOOKUP(B787,Товары_очищенные!$A$1:$G$1000,6,FALSE),"нет в каталоге")</f>
        <v>159990</v>
      </c>
      <c r="I787" t="str">
        <f>IFERROR(VLOOKUP(B787,Товары_очищенные!$A$1:$G$1000,3,FALSE),"нет в каталоге")</f>
        <v>Ноутбуки</v>
      </c>
      <c r="J787" t="str">
        <f t="shared" si="37"/>
        <v>OK</v>
      </c>
    </row>
    <row r="788">
      <c r="A788" s="8">
        <f>DATE(RIGHT(Продажи_исходные!A788,4),LEFT(Продажи_исходные!A788,2),MID(Продажи_исходные!A788,4,2))</f>
        <v>46065</v>
      </c>
      <c r="B788" t="str">
        <f>"АРТ-"&amp;LEFT(SUBSTITUTE(SUBSTITUTE(SUBSTITUTE(SUBSTITUTE(Продажи_исходные!B788,"№",""),"АРТ-",""),"АРТ_",""),"/","-"),3)</f>
        <v>АРТ-062</v>
      </c>
      <c r="C788" s="4">
        <f>IFERROR(VALUE(TRIM(SUBSTITUTE(SUBSTITUTE(SUBSTITUTE(SUBSTITUTE(Продажи_исходные!C788," шт.","")," шт",""),"шт.",""),"шт",""))),0)</f>
        <v>3</v>
      </c>
      <c r="D788" s="4">
        <f>IF(LEFT(Продажи_исходные!D788,1)="$",VALUE(MID(Продажи_исходные!D788,2,255))*95,IF(LEFT(Продажи_исходные!D788,1)="€",VALUE(MID(Продажи_исходные!D788,2,255))*100,VALUE(SUBSTITUTE(SUBSTITUTE(Продажи_исходные!D788,"₽","")," ",""))))</f>
        <v>8550</v>
      </c>
      <c r="E788" t="str">
        <f>Продажи_исходные!E788</f>
        <v>C0787</v>
      </c>
      <c r="F788" t="str">
        <f>Продажи_исходные!F788</f>
        <v>P025</v>
      </c>
      <c r="G788" t="str">
        <f>IFERROR(VLOOKUP(Продажи_исходные!G788,Справочники!$G$2:$H$50,2,FALSE),Продажи_исходные!G788)</f>
        <v>Завершен</v>
      </c>
      <c r="H788" s="4">
        <f>IFERROR(VLOOKUP(B788,Товары_очищенные!$A$1:$G$1000,6,FALSE),"нет в каталоге")</f>
        <v>122500</v>
      </c>
      <c r="I788" t="str">
        <f>IFERROR(VLOOKUP(B788,Товары_очищенные!$A$1:$G$1000,3,FALSE),"нет в каталоге")</f>
        <v>Ноутбуки</v>
      </c>
      <c r="J788" t="str">
        <f t="shared" si="37"/>
        <v>OK</v>
      </c>
    </row>
    <row r="789">
      <c r="A789" s="8">
        <f>DATE(RIGHT(Продажи_исходные!A789,4),LEFT(Продажи_исходные!A789,2),MID(Продажи_исходные!A789,4,2))</f>
        <v>46065</v>
      </c>
      <c r="B789" t="str">
        <f>"АРТ-"&amp;LEFT(SUBSTITUTE(SUBSTITUTE(SUBSTITUTE(SUBSTITUTE(Продажи_исходные!B789,"№",""),"АРТ-",""),"АРТ_",""),"/","-"),3)</f>
        <v>АРТ-418</v>
      </c>
      <c r="C789" s="4">
        <f>IFERROR(VALUE(TRIM(SUBSTITUTE(SUBSTITUTE(SUBSTITUTE(SUBSTITUTE(Продажи_исходные!C789," шт.","")," шт",""),"шт.",""),"шт",""))),0)</f>
        <v>2</v>
      </c>
      <c r="D789" s="4">
        <f>IF(LEFT(Продажи_исходные!D789,1)="$",VALUE(MID(Продажи_исходные!D789,2,255))*95,IF(LEFT(Продажи_исходные!D789,1)="€",VALUE(MID(Продажи_исходные!D789,2,255))*100,VALUE(SUBSTITUTE(SUBSTITUTE(Продажи_исходные!D789,"₽","")," ",""))))</f>
        <v>7000</v>
      </c>
      <c r="E789" t="str">
        <f>Продажи_исходные!E789</f>
        <v>C0788</v>
      </c>
      <c r="F789" t="str">
        <f>Продажи_исходные!F789</f>
        <v>P010</v>
      </c>
      <c r="G789" t="str">
        <f>IFERROR(VLOOKUP(Продажи_исходные!G789,Справочники!$G$2:$H$50,2,FALSE),Продажи_исходные!G789)</f>
        <v>Отменен</v>
      </c>
      <c r="H789" s="4">
        <f>IFERROR(VLOOKUP(B789,Товары_очищенные!$A$1:$G$1000,6,FALSE),"нет в каталоге")</f>
        <v>29990</v>
      </c>
      <c r="I789" t="str">
        <f>IFERROR(VLOOKUP(B789,Товары_очищенные!$A$1:$G$1000,3,FALSE),"нет в каталоге")</f>
        <v>Часы</v>
      </c>
      <c r="J789" t="str">
        <f t="shared" si="37"/>
        <v>OK</v>
      </c>
    </row>
    <row r="790">
      <c r="A790" s="8">
        <f>DATE(RIGHT(Продажи_исходные!A790,4),LEFT(Продажи_исходные!A790,2),MID(Продажи_исходные!A790,4,2))</f>
        <v>46066</v>
      </c>
      <c r="B790" t="str">
        <f>"АРТ-"&amp;LEFT(SUBSTITUTE(SUBSTITUTE(SUBSTITUTE(SUBSTITUTE(Продажи_исходные!B790,"№",""),"АРТ-",""),"АРТ_",""),"/","-"),3)</f>
        <v>АРТ-371</v>
      </c>
      <c r="C790" s="4">
        <f>IFERROR(VALUE(TRIM(SUBSTITUTE(SUBSTITUTE(SUBSTITUTE(SUBSTITUTE(Продажи_исходные!C790," шт.","")," шт",""),"шт.",""),"шт",""))),0)</f>
        <v>1</v>
      </c>
      <c r="D790" s="4">
        <f>IF(LEFT(Продажи_исходные!D790,1)="$",VALUE(MID(Продажи_исходные!D790,2,255))*95,IF(LEFT(Продажи_исходные!D790,1)="€",VALUE(MID(Продажи_исходные!D790,2,255))*100,VALUE(SUBSTITUTE(SUBSTITUTE(Продажи_исходные!D790,"₽","")," ",""))))</f>
        <v>6500</v>
      </c>
      <c r="E790" t="str">
        <f>Продажи_исходные!E790</f>
        <v>C0789</v>
      </c>
      <c r="F790" t="str">
        <f>Продажи_исходные!F790</f>
        <v>P033</v>
      </c>
      <c r="G790" t="str">
        <f>IFERROR(VLOOKUP(Продажи_исходные!G790,Справочники!$G$2:$H$50,2,FALSE),Продажи_исходные!G790)</f>
        <v>Отменен</v>
      </c>
      <c r="H790" s="4">
        <f>IFERROR(VLOOKUP(B790,Товары_очищенные!$A$1:$G$1000,6,FALSE),"нет в каталоге")</f>
        <v>48000</v>
      </c>
      <c r="I790" t="str">
        <f>IFERROR(VLOOKUP(B790,Товары_очищенные!$A$1:$G$1000,3,FALSE),"нет в каталоге")</f>
        <v>Мониторы</v>
      </c>
      <c r="J790" t="str">
        <f t="shared" si="37"/>
        <v>OK</v>
      </c>
    </row>
    <row r="791">
      <c r="A791" s="8">
        <f>DATE(RIGHT(Продажи_исходные!A791,4),LEFT(Продажи_исходные!A791,2),MID(Продажи_исходные!A791,4,2))</f>
        <v>46066</v>
      </c>
      <c r="B791" t="str">
        <f>"АРТ-"&amp;LEFT(SUBSTITUTE(SUBSTITUTE(SUBSTITUTE(SUBSTITUTE(Продажи_исходные!B791,"№",""),"АРТ-",""),"АРТ_",""),"/","-"),3)</f>
        <v>АРТ-388</v>
      </c>
      <c r="C791" s="4">
        <f>IFERROR(VALUE(TRIM(SUBSTITUTE(SUBSTITUTE(SUBSTITUTE(SUBSTITUTE(Продажи_исходные!C791," шт.","")," шт",""),"шт.",""),"шт",""))),0)</f>
        <v>-1</v>
      </c>
      <c r="D791" s="4">
        <f>IF(LEFT(Продажи_исходные!D791,1)="$",VALUE(MID(Продажи_исходные!D791,2,255))*95,IF(LEFT(Продажи_исходные!D791,1)="€",VALUE(MID(Продажи_исходные!D791,2,255))*100,VALUE(SUBSTITUTE(SUBSTITUTE(Продажи_исходные!D791,"₽","")," ",""))))</f>
        <v>10450</v>
      </c>
      <c r="E791" t="str">
        <f>Продажи_исходные!E791</f>
        <v>C0790</v>
      </c>
      <c r="F791" t="str">
        <f>Продажи_исходные!F791</f>
        <v>P047</v>
      </c>
      <c r="G791" t="str">
        <f>IFERROR(VLOOKUP(Продажи_исходные!G791,Справочники!$G$2:$H$50,2,FALSE),Продажи_исходные!G791)</f>
        <v>Возврат</v>
      </c>
      <c r="H791" s="4">
        <f>IFERROR(VLOOKUP(B791,Товары_очищенные!$A$1:$G$1000,6,FALSE),"нет в каталоге")</f>
        <v>77990</v>
      </c>
      <c r="I791" t="str">
        <f>IFERROR(VLOOKUP(B791,Товары_очищенные!$A$1:$G$1000,3,FALSE),"нет в каталоге")</f>
        <v>Телевизоры</v>
      </c>
      <c r="J791" t="str">
        <f t="shared" si="37"/>
        <v>OK</v>
      </c>
    </row>
    <row r="792">
      <c r="A792" s="8">
        <f>DATE(RIGHT(Продажи_исходные!A792,4),LEFT(Продажи_исходные!A792,2),MID(Продажи_исходные!A792,4,2))</f>
        <v>46067</v>
      </c>
      <c r="B792" t="str">
        <f>"АРТ-"&amp;LEFT(SUBSTITUTE(SUBSTITUTE(SUBSTITUTE(SUBSTITUTE(Продажи_исходные!B792,"№",""),"АРТ-",""),"АРТ_",""),"/","-"),3)</f>
        <v>АРТ-267</v>
      </c>
      <c r="C792" s="4">
        <f>IFERROR(VALUE(TRIM(SUBSTITUTE(SUBSTITUTE(SUBSTITUTE(SUBSTITUTE(Продажи_исходные!C792," шт.","")," шт",""),"шт.",""),"шт",""))),0)</f>
        <v>3</v>
      </c>
      <c r="D792" s="4">
        <f>IF(LEFT(Продажи_исходные!D792,1)="$",VALUE(MID(Продажи_исходные!D792,2,255))*95,IF(LEFT(Продажи_исходные!D792,1)="€",VALUE(MID(Продажи_исходные!D792,2,255))*100,VALUE(SUBSTITUTE(SUBSTITUTE(Продажи_исходные!D792,"₽","")," ",""))))</f>
        <v>9000</v>
      </c>
      <c r="E792" t="str">
        <f>Продажи_исходные!E792</f>
        <v>C0791</v>
      </c>
      <c r="F792" t="str">
        <f>Продажи_исходные!F792</f>
        <v>P020</v>
      </c>
      <c r="G792" t="str">
        <f>IFERROR(VLOOKUP(Продажи_исходные!G792,Справочники!$G$2:$H$50,2,FALSE),Продажи_исходные!G792)</f>
        <v>Завершен</v>
      </c>
      <c r="H792" s="4">
        <f>IFERROR(VLOOKUP(B792,Товары_очищенные!$A$1:$G$1000,6,FALSE),"нет в каталоге")</f>
        <v>70000</v>
      </c>
      <c r="I792" t="str">
        <f>IFERROR(VLOOKUP(B792,Товары_очищенные!$A$1:$G$1000,3,FALSE),"нет в каталоге")</f>
        <v>Мониторы</v>
      </c>
      <c r="J792" t="str">
        <f t="shared" si="37"/>
        <v>OK</v>
      </c>
    </row>
    <row r="793">
      <c r="A793" s="8">
        <f>DATE(RIGHT(Продажи_исходные!A793,4),LEFT(Продажи_исходные!A793,2),MID(Продажи_исходные!A793,4,2))</f>
        <v>46067</v>
      </c>
      <c r="B793" t="str">
        <f>"АРТ-"&amp;LEFT(SUBSTITUTE(SUBSTITUTE(SUBSTITUTE(SUBSTITUTE(Продажи_исходные!B793,"№",""),"АРТ-",""),"АРТ_",""),"/","-"),3)</f>
        <v>АРТ-120</v>
      </c>
      <c r="C793" s="4">
        <f>IFERROR(VALUE(TRIM(SUBSTITUTE(SUBSTITUTE(SUBSTITUTE(SUBSTITUTE(Продажи_исходные!C793," шт.","")," шт",""),"шт.",""),"шт",""))),0)</f>
        <v>2</v>
      </c>
      <c r="D793" s="4">
        <f>IF(LEFT(Продажи_исходные!D793,1)="$",VALUE(MID(Продажи_исходные!D793,2,255))*95,IF(LEFT(Продажи_исходные!D793,1)="€",VALUE(MID(Продажи_исходные!D793,2,255))*100,VALUE(SUBSTITUTE(SUBSTITUTE(Продажи_исходные!D793,"₽","")," ",""))))</f>
        <v>8000</v>
      </c>
      <c r="E793" t="str">
        <f>Продажи_исходные!E793</f>
        <v>C0792</v>
      </c>
      <c r="F793" t="str">
        <f>Продажи_исходные!F793</f>
        <v>P002</v>
      </c>
      <c r="G793" t="str">
        <f>IFERROR(VLOOKUP(Продажи_исходные!G793,Справочники!$G$2:$H$50,2,FALSE),Продажи_исходные!G793)</f>
        <v>Завершен</v>
      </c>
      <c r="H793" s="4">
        <f>IFERROR(VLOOKUP(B793,Товары_очищенные!$A$1:$G$1000,6,FALSE),"нет в каталоге")</f>
        <v>8500</v>
      </c>
      <c r="I793" t="str">
        <f>IFERROR(VLOOKUP(B793,Товары_очищенные!$A$1:$G$1000,3,FALSE),"нет в каталоге")</f>
        <v>Аксессуары</v>
      </c>
      <c r="J793" t="str">
        <f t="shared" si="37"/>
        <v>OK</v>
      </c>
    </row>
    <row r="794">
      <c r="A794" s="8">
        <f>DATE(RIGHT(Продажи_исходные!A794,4),LEFT(Продажи_исходные!A794,2),MID(Продажи_исходные!A794,4,2))</f>
        <v>46068</v>
      </c>
      <c r="B794" t="str">
        <f>"АРТ-"&amp;LEFT(SUBSTITUTE(SUBSTITUTE(SUBSTITUTE(SUBSTITUTE(Продажи_исходные!B794,"№",""),"АРТ-",""),"АРТ_",""),"/","-"),3)</f>
        <v>АРТ-047</v>
      </c>
      <c r="C794" s="4">
        <f>IFERROR(VALUE(TRIM(SUBSTITUTE(SUBSTITUTE(SUBSTITUTE(SUBSTITUTE(Продажи_исходные!C794," шт.","")," шт",""),"шт.",""),"шт",""))),0)</f>
        <v>1</v>
      </c>
      <c r="D794" s="4">
        <f>IF(LEFT(Продажи_исходные!D794,1)="$",VALUE(MID(Продажи_исходные!D794,2,255))*95,IF(LEFT(Продажи_исходные!D794,1)="€",VALUE(MID(Продажи_исходные!D794,2,255))*100,VALUE(SUBSTITUTE(SUBSTITUTE(Продажи_исходные!D794,"₽","")," ",""))))</f>
        <v>9025</v>
      </c>
      <c r="E794" t="str">
        <f>Продажи_исходные!E794</f>
        <v>C0793</v>
      </c>
      <c r="F794" t="str">
        <f>Продажи_исходные!F794</f>
        <v>P038</v>
      </c>
      <c r="G794" t="str">
        <f>IFERROR(VLOOKUP(Продажи_исходные!G794,Справочники!$G$2:$H$50,2,FALSE),Продажи_исходные!G794)</f>
        <v>Завершен</v>
      </c>
      <c r="H794" s="4">
        <f>IFERROR(VLOOKUP(B794,Товары_очищенные!$A$1:$G$1000,6,FALSE),"нет в каталоге")</f>
        <v>23900</v>
      </c>
      <c r="I794" t="str">
        <f>IFERROR(VLOOKUP(B794,Товары_очищенные!$A$1:$G$1000,3,FALSE),"нет в каталоге")</f>
        <v>Наушники</v>
      </c>
      <c r="J794" t="str">
        <f t="shared" si="37"/>
        <v>OK</v>
      </c>
    </row>
    <row r="795">
      <c r="A795" s="8">
        <f>DATE(RIGHT(Продажи_исходные!A795,4),LEFT(Продажи_исходные!A795,2),MID(Продажи_исходные!A795,4,2))</f>
        <v>46068</v>
      </c>
      <c r="B795" t="str">
        <f>"АРТ-"&amp;LEFT(SUBSTITUTE(SUBSTITUTE(SUBSTITUTE(SUBSTITUTE(Продажи_исходные!B795,"№",""),"АРТ-",""),"АРТ_",""),"/","-"),3)</f>
        <v>АРТ-495</v>
      </c>
      <c r="C795" s="4">
        <f>IFERROR(VALUE(TRIM(SUBSTITUTE(SUBSTITUTE(SUBSTITUTE(SUBSTITUTE(Продажи_исходные!C795," шт.","")," шт",""),"шт.",""),"шт",""))),0)</f>
        <v>2</v>
      </c>
      <c r="D795" s="4">
        <f>IF(LEFT(Продажи_исходные!D795,1)="$",VALUE(MID(Продажи_исходные!D795,2,255))*95,IF(LEFT(Продажи_исходные!D795,1)="€",VALUE(MID(Продажи_исходные!D795,2,255))*100,VALUE(SUBSTITUTE(SUBSTITUTE(Продажи_исходные!D795,"₽","")," ",""))))</f>
        <v>7500</v>
      </c>
      <c r="E795" t="str">
        <f>Продажи_исходные!E795</f>
        <v>C0794</v>
      </c>
      <c r="F795" t="str">
        <f>Продажи_исходные!F795</f>
        <v>P016</v>
      </c>
      <c r="G795" t="str">
        <f>IFERROR(VLOOKUP(Продажи_исходные!G795,Справочники!$G$2:$H$50,2,FALSE),Продажи_исходные!G795)</f>
        <v>Отменен</v>
      </c>
      <c r="H795" s="4">
        <f>IFERROR(VLOOKUP(B795,Товары_очищенные!$A$1:$G$1000,6,FALSE),"нет в каталоге")</f>
        <v>15800</v>
      </c>
      <c r="I795" t="str">
        <f>IFERROR(VLOOKUP(B795,Товары_очищенные!$A$1:$G$1000,3,FALSE),"нет в каталоге")</f>
        <v>Наушники</v>
      </c>
      <c r="J795" t="str">
        <f t="shared" si="37"/>
        <v>OK</v>
      </c>
    </row>
    <row r="796">
      <c r="A796" s="8">
        <f>DATE(RIGHT(Продажи_исходные!A796,4),LEFT(Продажи_исходные!A796,2),MID(Продажи_исходные!A796,4,2))</f>
        <v>46069</v>
      </c>
      <c r="B796" t="str">
        <f>"АРТ-"&amp;LEFT(SUBSTITUTE(SUBSTITUTE(SUBSTITUTE(SUBSTITUTE(Продажи_исходные!B796,"№",""),"АРТ-",""),"АРТ_",""),"/","-"),3)</f>
        <v>АРТ-367</v>
      </c>
      <c r="C796" s="4">
        <f>IFERROR(VALUE(TRIM(SUBSTITUTE(SUBSTITUTE(SUBSTITUTE(SUBSTITUTE(Продажи_исходные!C796," шт.","")," шт",""),"шт.",""),"шт",""))),0)</f>
        <v>3</v>
      </c>
      <c r="D796" s="4">
        <f>IF(LEFT(Продажи_исходные!D796,1)="$",VALUE(MID(Продажи_исходные!D796,2,255))*95,IF(LEFT(Продажи_исходные!D796,1)="€",VALUE(MID(Продажи_исходные!D796,2,255))*100,VALUE(SUBSTITUTE(SUBSTITUTE(Продажи_исходные!D796,"₽","")," ",""))))</f>
        <v>7000</v>
      </c>
      <c r="E796" t="str">
        <f>Продажи_исходные!E796</f>
        <v>C0795</v>
      </c>
      <c r="F796" t="str">
        <f>Продажи_исходные!F796</f>
        <v>P029</v>
      </c>
      <c r="G796" t="str">
        <f>IFERROR(VLOOKUP(Продажи_исходные!G796,Справочники!$G$2:$H$50,2,FALSE),Продажи_исходные!G796)</f>
        <v>Отменен</v>
      </c>
      <c r="H796" s="4">
        <f>IFERROR(VLOOKUP(B796,Товары_очищенные!$A$1:$G$1000,6,FALSE),"нет в каталоге")</f>
        <v>19990</v>
      </c>
      <c r="I796" t="str">
        <f>IFERROR(VLOOKUP(B796,Товары_очищенные!$A$1:$G$1000,3,FALSE),"нет в каталоге")</f>
        <v>Наушники</v>
      </c>
      <c r="J796" t="str">
        <f t="shared" si="37"/>
        <v>OK</v>
      </c>
    </row>
    <row r="797">
      <c r="A797" s="8">
        <f>DATE(RIGHT(Продажи_исходные!A797,4),LEFT(Продажи_исходные!A797,2),MID(Продажи_исходные!A797,4,2))</f>
        <v>46069</v>
      </c>
      <c r="B797" t="str">
        <f>"АРТ-"&amp;LEFT(SUBSTITUTE(SUBSTITUTE(SUBSTITUTE(SUBSTITUTE(Продажи_исходные!B797,"№",""),"АРТ-",""),"АРТ_",""),"/","-"),3)</f>
        <v>АРТ-264</v>
      </c>
      <c r="C797" s="4">
        <f>IFERROR(VALUE(TRIM(SUBSTITUTE(SUBSTITUTE(SUBSTITUTE(SUBSTITUTE(Продажи_исходные!C797," шт.","")," шт",""),"шт.",""),"шт",""))),0)</f>
        <v>-2</v>
      </c>
      <c r="D797" s="4">
        <f>IF(LEFT(Продажи_исходные!D797,1)="$",VALUE(MID(Продажи_исходные!D797,2,255))*95,IF(LEFT(Продажи_исходные!D797,1)="€",VALUE(MID(Продажи_исходные!D797,2,255))*100,VALUE(SUBSTITUTE(SUBSTITUTE(Продажи_исходные!D797,"₽","")," ",""))))</f>
        <v>10925</v>
      </c>
      <c r="E797" t="str">
        <f>Продажи_исходные!E797</f>
        <v>C0796</v>
      </c>
      <c r="F797" t="str">
        <f>Продажи_исходные!F797</f>
        <v>P035</v>
      </c>
      <c r="G797" t="str">
        <f>IFERROR(VLOOKUP(Продажи_исходные!G797,Справочники!$G$2:$H$50,2,FALSE),Продажи_исходные!G797)</f>
        <v>Завершен</v>
      </c>
      <c r="H797" s="4">
        <f>IFERROR(VLOOKUP(B797,Товары_очищенные!$A$1:$G$1000,6,FALSE),"нет в каталоге")</f>
        <v>12800</v>
      </c>
      <c r="I797" t="str">
        <f>IFERROR(VLOOKUP(B797,Товары_очищенные!$A$1:$G$1000,3,FALSE),"нет в каталоге")</f>
        <v>Наушники</v>
      </c>
      <c r="J797" t="str">
        <f t="shared" si="37"/>
        <v>OK</v>
      </c>
    </row>
    <row r="798">
      <c r="A798" s="8">
        <f>DATE(RIGHT(Продажи_исходные!A798,4),LEFT(Продажи_исходные!A798,2),MID(Продажи_исходные!A798,4,2))</f>
        <v>46070</v>
      </c>
      <c r="B798" t="str">
        <f>"АРТ-"&amp;LEFT(SUBSTITUTE(SUBSTITUTE(SUBSTITUTE(SUBSTITUTE(Продажи_исходные!B798,"№",""),"АРТ-",""),"АРТ_",""),"/","-"),3)</f>
        <v>АРТ-284</v>
      </c>
      <c r="C798" s="4">
        <f>IFERROR(VALUE(TRIM(SUBSTITUTE(SUBSTITUTE(SUBSTITUTE(SUBSTITUTE(Продажи_исходные!C798," шт.","")," шт",""),"шт.",""),"шт",""))),0)</f>
        <v>1</v>
      </c>
      <c r="D798" s="4">
        <f>IF(LEFT(Продажи_исходные!D798,1)="$",VALUE(MID(Продажи_исходные!D798,2,255))*95,IF(LEFT(Продажи_исходные!D798,1)="€",VALUE(MID(Продажи_исходные!D798,2,255))*100,VALUE(SUBSTITUTE(SUBSTITUTE(Продажи_исходные!D798,"₽","")," ",""))))</f>
        <v>9500</v>
      </c>
      <c r="E798" t="str">
        <f>Продажи_исходные!E798</f>
        <v>C0797</v>
      </c>
      <c r="F798" t="str">
        <f>Продажи_исходные!F798</f>
        <v>P046</v>
      </c>
      <c r="G798" t="str">
        <f>IFERROR(VLOOKUP(Продажи_исходные!G798,Справочники!$G$2:$H$50,2,FALSE),Продажи_исходные!G798)</f>
        <v>Возврат</v>
      </c>
      <c r="H798" s="4">
        <f>IFERROR(VLOOKUP(B798,Товары_очищенные!$A$1:$G$1000,6,FALSE),"нет в каталоге")</f>
        <v>82000</v>
      </c>
      <c r="I798" t="str">
        <f>IFERROR(VLOOKUP(B798,Товары_очищенные!$A$1:$G$1000,3,FALSE),"нет в каталоге")</f>
        <v>Мониторы</v>
      </c>
      <c r="J798" t="str">
        <f t="shared" si="37"/>
        <v>OK</v>
      </c>
    </row>
    <row r="799">
      <c r="A799" s="8">
        <f>DATE(RIGHT(Продажи_исходные!A799,4),LEFT(Продажи_исходные!A799,2),MID(Продажи_исходные!A799,4,2))</f>
        <v>46070</v>
      </c>
      <c r="B799" t="str">
        <f>"АРТ-"&amp;LEFT(SUBSTITUTE(SUBSTITUTE(SUBSTITUTE(SUBSTITUTE(Продажи_исходные!B799,"№",""),"АРТ-",""),"АРТ_",""),"/","-"),3)</f>
        <v>АРТ-191</v>
      </c>
      <c r="C799" s="4">
        <f>IFERROR(VALUE(TRIM(SUBSTITUTE(SUBSTITUTE(SUBSTITUTE(SUBSTITUTE(Продажи_исходные!C799," шт.","")," шт",""),"шт.",""),"шт",""))),0)</f>
        <v>2</v>
      </c>
      <c r="D799" s="4">
        <f>IF(LEFT(Продажи_исходные!D799,1)="$",VALUE(MID(Продажи_исходные!D799,2,255))*95,IF(LEFT(Продажи_исходные!D799,1)="€",VALUE(MID(Продажи_исходные!D799,2,255))*100,VALUE(SUBSTITUTE(SUBSTITUTE(Продажи_исходные!D799,"₽","")," ",""))))</f>
        <v>8500</v>
      </c>
      <c r="E799" t="str">
        <f>Продажи_исходные!E799</f>
        <v>C0798</v>
      </c>
      <c r="F799" t="str">
        <f>Продажи_исходные!F799</f>
        <v>P022</v>
      </c>
      <c r="G799" t="str">
        <f>IFERROR(VLOOKUP(Продажи_исходные!G799,Справочники!$G$2:$H$50,2,FALSE),Продажи_исходные!G799)</f>
        <v>Завершен</v>
      </c>
      <c r="H799" s="4">
        <f>IFERROR(VLOOKUP(B799,Товары_очищенные!$A$1:$G$1000,6,FALSE),"нет в каталоге")</f>
        <v>23500</v>
      </c>
      <c r="I799" t="str">
        <f>IFERROR(VLOOKUP(B799,Товары_очищенные!$A$1:$G$1000,3,FALSE),"нет в каталоге")</f>
        <v>Планшеты</v>
      </c>
      <c r="J799" t="str">
        <f t="shared" si="37"/>
        <v>OK</v>
      </c>
    </row>
    <row r="800">
      <c r="A800" s="8">
        <f>DATE(RIGHT(Продажи_исходные!A800,4),LEFT(Продажи_исходные!A800,2),MID(Продажи_исходные!A800,4,2))</f>
        <v>46071</v>
      </c>
      <c r="B800" t="str">
        <f>"АРТ-"&amp;LEFT(SUBSTITUTE(SUBSTITUTE(SUBSTITUTE(SUBSTITUTE(Продажи_исходные!B800,"№",""),"АРТ-",""),"АРТ_",""),"/","-"),3)</f>
        <v>АРТ-153</v>
      </c>
      <c r="C800" s="4">
        <f>IFERROR(VALUE(TRIM(SUBSTITUTE(SUBSTITUTE(SUBSTITUTE(SUBSTITUTE(Продажи_исходные!C800," шт.","")," шт",""),"шт.",""),"шт",""))),0)</f>
        <v>3</v>
      </c>
      <c r="D800" s="4">
        <f>IF(LEFT(Продажи_исходные!D800,1)="$",VALUE(MID(Продажи_исходные!D800,2,255))*95,IF(LEFT(Продажи_исходные!D800,1)="€",VALUE(MID(Продажи_исходные!D800,2,255))*100,VALUE(SUBSTITUTE(SUBSTITUTE(Продажи_исходные!D800,"₽","")," ",""))))</f>
        <v>9975</v>
      </c>
      <c r="E800" t="str">
        <f>Продажи_исходные!E800</f>
        <v>C0799</v>
      </c>
      <c r="F800" t="str">
        <f>Продажи_исходные!F800</f>
        <v>P043</v>
      </c>
      <c r="G800" t="str">
        <f>IFERROR(VLOOKUP(Продажи_исходные!G800,Справочники!$G$2:$H$50,2,FALSE),Продажи_исходные!G800)</f>
        <v>Завершен</v>
      </c>
      <c r="H800" s="4">
        <f>IFERROR(VLOOKUP(B800,Товары_очищенные!$A$1:$G$1000,6,FALSE),"нет в каталоге")</f>
        <v>158000</v>
      </c>
      <c r="I800" t="str">
        <f>IFERROR(VLOOKUP(B800,Товары_очищенные!$A$1:$G$1000,3,FALSE),"нет в каталоге")</f>
        <v>Телевизоры</v>
      </c>
      <c r="J800" t="str">
        <f t="shared" si="37"/>
        <v>OK</v>
      </c>
    </row>
    <row r="801">
      <c r="A801" s="8">
        <f>DATE(RIGHT(Продажи_исходные!A801,4),LEFT(Продажи_исходные!A801,2),MID(Продажи_исходные!A801,4,2))</f>
        <v>46071</v>
      </c>
      <c r="B801" t="str">
        <f>"АРТ-"&amp;LEFT(SUBSTITUTE(SUBSTITUTE(SUBSTITUTE(SUBSTITUTE(Продажи_исходные!B801,"№",""),"АРТ-",""),"АРТ_",""),"/","-"),3)</f>
        <v>АРТ-452</v>
      </c>
      <c r="C801" s="4">
        <f>IFERROR(VALUE(TRIM(SUBSTITUTE(SUBSTITUTE(SUBSTITUTE(SUBSTITUTE(Продажи_исходные!C801," шт.","")," шт",""),"шт.",""),"шт",""))),0)</f>
        <v>2</v>
      </c>
      <c r="D801" s="4">
        <f>IF(LEFT(Продажи_исходные!D801,1)="$",VALUE(MID(Продажи_исходные!D801,2,255))*95,IF(LEFT(Продажи_исходные!D801,1)="€",VALUE(MID(Продажи_исходные!D801,2,255))*100,VALUE(SUBSTITUTE(SUBSTITUTE(Продажи_исходные!D801,"₽","")," ",""))))</f>
        <v>8500</v>
      </c>
      <c r="E801" t="str">
        <f>Продажи_исходные!E801</f>
        <v>C0800</v>
      </c>
      <c r="F801" t="str">
        <f>Продажи_исходные!F801</f>
        <v>P030</v>
      </c>
      <c r="G801" t="str">
        <f>IFERROR(VLOOKUP(Продажи_исходные!G801,Справочники!$G$2:$H$50,2,FALSE),Продажи_исходные!G801)</f>
        <v>Завершен</v>
      </c>
      <c r="H801" s="4">
        <f>IFERROR(VLOOKUP(B801,Товары_очищенные!$A$1:$G$1000,6,FALSE),"нет в каталоге")</f>
        <v>38500</v>
      </c>
      <c r="I801" t="str">
        <f>IFERROR(VLOOKUP(B801,Товары_очищенные!$A$1:$G$1000,3,FALSE),"нет в каталоге")</f>
        <v>Наушники</v>
      </c>
      <c r="J801" t="str">
        <f t="shared" si="37"/>
        <v>OK</v>
      </c>
    </row>
    <row r="802">
      <c r="A802" s="8">
        <f>DATE(RIGHT(Продажи_исходные!A802,4),LEFT(Продажи_исходные!A802,2),MID(Продажи_исходные!A802,4,2))</f>
        <v>46072</v>
      </c>
      <c r="B802" t="str">
        <f>"АРТ-"&amp;LEFT(SUBSTITUTE(SUBSTITUTE(SUBSTITUTE(SUBSTITUTE(Продажи_исходные!B802,"№",""),"АРТ-",""),"АРТ_",""),"/","-"),3)</f>
        <v>АРТ-351</v>
      </c>
      <c r="C802" s="4">
        <f>IFERROR(VALUE(TRIM(SUBSTITUTE(SUBSTITUTE(SUBSTITUTE(SUBSTITUTE(Продажи_исходные!C802," шт.","")," шт",""),"шт.",""),"шт",""))),0)</f>
        <v>1</v>
      </c>
      <c r="D802" s="4">
        <f>IF(LEFT(Продажи_исходные!D802,1)="$",VALUE(MID(Продажи_исходные!D802,2,255))*95,IF(LEFT(Продажи_исходные!D802,1)="€",VALUE(MID(Продажи_исходные!D802,2,255))*100,VALUE(SUBSTITUTE(SUBSTITUTE(Продажи_исходные!D802,"₽","")," ",""))))</f>
        <v>7800</v>
      </c>
      <c r="E802" t="str">
        <f>Продажи_исходные!E802</f>
        <v>C0801</v>
      </c>
      <c r="F802" t="str">
        <f>Продажи_исходные!F802</f>
        <v>P012</v>
      </c>
      <c r="G802" t="str">
        <f>IFERROR(VLOOKUP(Продажи_исходные!G802,Справочники!$G$2:$H$50,2,FALSE),Продажи_исходные!G802)</f>
        <v>Отменен</v>
      </c>
      <c r="H802" s="4">
        <f>IFERROR(VLOOKUP(B802,Товары_очищенные!$A$1:$G$1000,6,FALSE),"нет в каталоге")</f>
        <v>57000</v>
      </c>
      <c r="I802" t="str">
        <f>IFERROR(VLOOKUP(B802,Товары_очищенные!$A$1:$G$1000,3,FALSE),"нет в каталоге")</f>
        <v>Мониторы</v>
      </c>
      <c r="J802" t="str">
        <f t="shared" si="37"/>
        <v>OK</v>
      </c>
    </row>
    <row r="803">
      <c r="A803" s="8">
        <f>DATE(RIGHT(Продажи_исходные!A803,4),LEFT(Продажи_исходные!A803,2),MID(Продажи_исходные!A803,4,2))</f>
        <v>46072</v>
      </c>
      <c r="B803" t="str">
        <f>"АРТ-"&amp;LEFT(SUBSTITUTE(SUBSTITUTE(SUBSTITUTE(SUBSTITUTE(Продажи_исходные!B803,"№",""),"АРТ-",""),"АРТ_",""),"/","-"),3)</f>
        <v>АРТ-393</v>
      </c>
      <c r="C803" s="4">
        <f>IFERROR(VALUE(TRIM(SUBSTITUTE(SUBSTITUTE(SUBSTITUTE(SUBSTITUTE(Продажи_исходные!C803," шт.","")," шт",""),"шт.",""),"шт",""))),0)</f>
        <v>-3</v>
      </c>
      <c r="D803" s="4">
        <f>IF(LEFT(Продажи_исходные!D803,1)="$",VALUE(MID(Продажи_исходные!D803,2,255))*95,IF(LEFT(Продажи_исходные!D803,1)="€",VALUE(MID(Продажи_исходные!D803,2,255))*100,VALUE(SUBSTITUTE(SUBSTITUTE(Продажи_исходные!D803,"₽","")," ",""))))</f>
        <v>11400</v>
      </c>
      <c r="E803" t="str">
        <f>Продажи_исходные!E803</f>
        <v>C0802</v>
      </c>
      <c r="F803" t="str">
        <f>Продажи_исходные!F803</f>
        <v>P007</v>
      </c>
      <c r="G803" t="str">
        <f>IFERROR(VLOOKUP(Продажи_исходные!G803,Справочники!$G$2:$H$50,2,FALSE),Продажи_исходные!G803)</f>
        <v>Отменен</v>
      </c>
      <c r="H803" s="4">
        <f>IFERROR(VLOOKUP(B803,Товары_очищенные!$A$1:$G$1000,6,FALSE),"нет в каталоге")</f>
        <v>19800</v>
      </c>
      <c r="I803" t="str">
        <f>IFERROR(VLOOKUP(B803,Товары_очищенные!$A$1:$G$1000,3,FALSE),"нет в каталоге")</f>
        <v>Наушники</v>
      </c>
      <c r="J803" t="str">
        <f t="shared" si="37"/>
        <v>OK</v>
      </c>
    </row>
    <row r="804">
      <c r="A804" s="8">
        <f>DATE(RIGHT(Продажи_исходные!A804,4),LEFT(Продажи_исходные!A804,2),MID(Продажи_исходные!A804,4,2))</f>
        <v>46073</v>
      </c>
      <c r="B804" t="str">
        <f>"АРТ-"&amp;LEFT(SUBSTITUTE(SUBSTITUTE(SUBSTITUTE(SUBSTITUTE(Продажи_исходные!B804,"№",""),"АРТ-",""),"АРТ_",""),"/","-"),3)</f>
        <v>АРТ-307</v>
      </c>
      <c r="C804" s="4">
        <f>IFERROR(VALUE(TRIM(SUBSTITUTE(SUBSTITUTE(SUBSTITUTE(SUBSTITUTE(Продажи_исходные!C804," шт.","")," шт",""),"шт.",""),"шт",""))),0)</f>
        <v>2</v>
      </c>
      <c r="D804" s="4">
        <f>IF(LEFT(Продажи_исходные!D804,1)="$",VALUE(MID(Продажи_исходные!D804,2,255))*95,IF(LEFT(Продажи_исходные!D804,1)="€",VALUE(MID(Продажи_исходные!D804,2,255))*100,VALUE(SUBSTITUTE(SUBSTITUTE(Продажи_исходные!D804,"₽","")," ",""))))</f>
        <v>10000</v>
      </c>
      <c r="E804" t="str">
        <f>Продажи_исходные!E804</f>
        <v>C0803</v>
      </c>
      <c r="F804" t="str">
        <f>Продажи_исходные!F804</f>
        <v>P023</v>
      </c>
      <c r="G804" t="str">
        <f>IFERROR(VLOOKUP(Продажи_исходные!G804,Справочники!$G$2:$H$50,2,FALSE),Продажи_исходные!G804)</f>
        <v>Возврат</v>
      </c>
      <c r="H804" s="4">
        <f>IFERROR(VLOOKUP(B804,Товары_очищенные!$A$1:$G$1000,6,FALSE),"нет в каталоге")</f>
        <v>8990</v>
      </c>
      <c r="I804" t="str">
        <f>IFERROR(VLOOKUP(B804,Товары_очищенные!$A$1:$G$1000,3,FALSE),"нет в каталоге")</f>
        <v>Аксессуары</v>
      </c>
      <c r="J804" t="str">
        <f t="shared" ref="J804:J867" si="38">IF(D804&gt;0,"OK","Некорректная цена")</f>
        <v>OK</v>
      </c>
    </row>
    <row r="805">
      <c r="A805" s="8">
        <f>DATE(RIGHT(Продажи_исходные!A805,4),LEFT(Продажи_исходные!A805,2),MID(Продажи_исходные!A805,4,2))</f>
        <v>46073</v>
      </c>
      <c r="B805" t="str">
        <f>"АРТ-"&amp;LEFT(SUBSTITUTE(SUBSTITUTE(SUBSTITUTE(SUBSTITUTE(Продажи_исходные!B805,"№",""),"АРТ-",""),"АРТ_",""),"/","-"),3)</f>
        <v>АРТ-156</v>
      </c>
      <c r="C805" s="4">
        <f>IFERROR(VALUE(TRIM(SUBSTITUTE(SUBSTITUTE(SUBSTITUTE(SUBSTITUTE(Продажи_исходные!C805," шт.","")," шт",""),"шт.",""),"шт",""))),0)</f>
        <v>1</v>
      </c>
      <c r="D805" s="4">
        <f>IF(LEFT(Продажи_исходные!D805,1)="$",VALUE(MID(Продажи_исходные!D805,2,255))*95,IF(LEFT(Продажи_исходные!D805,1)="€",VALUE(MID(Продажи_исходные!D805,2,255))*100,VALUE(SUBSTITUTE(SUBSTITUTE(Продажи_исходные!D805,"₽","")," ",""))))</f>
        <v>9200</v>
      </c>
      <c r="E805" t="str">
        <f>Продажи_исходные!E805</f>
        <v>C0804</v>
      </c>
      <c r="F805" t="str">
        <f>Продажи_исходные!F805</f>
        <v>P045</v>
      </c>
      <c r="G805" t="str">
        <f>IFERROR(VLOOKUP(Продажи_исходные!G805,Справочники!$G$2:$H$50,2,FALSE),Продажи_исходные!G805)</f>
        <v>Завершен</v>
      </c>
      <c r="H805" s="4">
        <f>IFERROR(VLOOKUP(B805,Товары_очищенные!$A$1:$G$1000,6,FALSE),"нет в каталоге")</f>
        <v>17800</v>
      </c>
      <c r="I805" t="str">
        <f>IFERROR(VLOOKUP(B805,Товары_очищенные!$A$1:$G$1000,3,FALSE),"нет в каталоге")</f>
        <v>Наушники</v>
      </c>
      <c r="J805" t="str">
        <f t="shared" si="38"/>
        <v>OK</v>
      </c>
    </row>
    <row r="806">
      <c r="A806" s="8">
        <f>DATE(RIGHT(Продажи_исходные!A806,4),LEFT(Продажи_исходные!A806,2),MID(Продажи_исходные!A806,4,2))</f>
        <v>46074</v>
      </c>
      <c r="B806" t="str">
        <f>"АРТ-"&amp;LEFT(SUBSTITUTE(SUBSTITUTE(SUBSTITUTE(SUBSTITUTE(Продажи_исходные!B806,"№",""),"АРТ-",""),"АРТ_",""),"/","-"),3)</f>
        <v>АРТ-080</v>
      </c>
      <c r="C806" s="4">
        <f>IFERROR(VALUE(TRIM(SUBSTITUTE(SUBSTITUTE(SUBSTITUTE(SUBSTITUTE(Продажи_исходные!C806," шт.","")," шт",""),"шт.",""),"шт",""))),0)</f>
        <v>3</v>
      </c>
      <c r="D806" s="4">
        <f>IF(LEFT(Продажи_исходные!D806,1)="$",VALUE(MID(Продажи_исходные!D806,2,255))*95,IF(LEFT(Продажи_исходные!D806,1)="€",VALUE(MID(Продажи_исходные!D806,2,255))*100,VALUE(SUBSTITUTE(SUBSTITUTE(Продажи_исходные!D806,"₽","")," ",""))))</f>
        <v>8550</v>
      </c>
      <c r="E806" t="str">
        <f>Продажи_исходные!E806</f>
        <v>C0805</v>
      </c>
      <c r="F806" t="str">
        <f>Продажи_исходные!F806</f>
        <v>P008</v>
      </c>
      <c r="G806" t="str">
        <f>IFERROR(VLOOKUP(Продажи_исходные!G806,Справочники!$G$2:$H$50,2,FALSE),Продажи_исходные!G806)</f>
        <v>Завершен</v>
      </c>
      <c r="H806" s="4">
        <f>IFERROR(VLOOKUP(B806,Товары_очищенные!$A$1:$G$1000,6,FALSE),"нет в каталоге")</f>
        <v>44500</v>
      </c>
      <c r="I806" t="str">
        <f>IFERROR(VLOOKUP(B806,Товары_очищенные!$A$1:$G$1000,3,FALSE),"нет в каталоге")</f>
        <v>Планшеты</v>
      </c>
      <c r="J806" t="str">
        <f t="shared" si="38"/>
        <v>OK</v>
      </c>
    </row>
    <row r="807">
      <c r="A807" s="8">
        <f>DATE(RIGHT(Продажи_исходные!A807,4),LEFT(Продажи_исходные!A807,2),MID(Продажи_исходные!A807,4,2))</f>
        <v>46074</v>
      </c>
      <c r="B807" t="str">
        <f>"АРТ-"&amp;LEFT(SUBSTITUTE(SUBSTITUTE(SUBSTITUTE(SUBSTITUTE(Продажи_исходные!B807,"№",""),"АРТ-",""),"АРТ_",""),"/","-"),3)</f>
        <v>АРТ-468</v>
      </c>
      <c r="C807" s="4">
        <f>IFERROR(VALUE(TRIM(SUBSTITUTE(SUBSTITUTE(SUBSTITUTE(SUBSTITUTE(Продажи_исходные!C807," шт.","")," шт",""),"шт.",""),"шт",""))),0)</f>
        <v>2</v>
      </c>
      <c r="D807" s="4">
        <f>IF(LEFT(Продажи_исходные!D807,1)="$",VALUE(MID(Продажи_исходные!D807,2,255))*95,IF(LEFT(Продажи_исходные!D807,1)="€",VALUE(MID(Продажи_исходные!D807,2,255))*100,VALUE(SUBSTITUTE(SUBSTITUTE(Продажи_исходные!D807,"₽","")," ",""))))</f>
        <v>7000</v>
      </c>
      <c r="E807" t="str">
        <f>Продажи_исходные!E807</f>
        <v>C0806</v>
      </c>
      <c r="F807" t="str">
        <f>Продажи_исходные!F807</f>
        <v>P031</v>
      </c>
      <c r="G807" t="str">
        <f>IFERROR(VLOOKUP(Продажи_исходные!G807,Справочники!$G$2:$H$50,2,FALSE),Продажи_исходные!G807)</f>
        <v>Завершен</v>
      </c>
      <c r="H807" s="4">
        <f>IFERROR(VLOOKUP(B807,Товары_очищенные!$A$1:$G$1000,6,FALSE),"нет в каталоге")</f>
        <v>24500</v>
      </c>
      <c r="I807" t="str">
        <f>IFERROR(VLOOKUP(B807,Товары_очищенные!$A$1:$G$1000,3,FALSE),"нет в каталоге")</f>
        <v>Смартфоны</v>
      </c>
      <c r="J807" t="str">
        <f t="shared" si="38"/>
        <v>OK</v>
      </c>
    </row>
    <row r="808">
      <c r="A808" s="8">
        <f>DATE(RIGHT(Продажи_исходные!A808,4),LEFT(Продажи_исходные!A808,2),MID(Продажи_исходные!A808,4,2))</f>
        <v>46075</v>
      </c>
      <c r="B808" t="str">
        <f>"АРТ-"&amp;LEFT(SUBSTITUTE(SUBSTITUTE(SUBSTITUTE(SUBSTITUTE(Продажи_исходные!B808,"№",""),"АРТ-",""),"АРТ_",""),"/","-"),3)</f>
        <v>АРТ-369</v>
      </c>
      <c r="C808" s="4">
        <f>IFERROR(VALUE(TRIM(SUBSTITUTE(SUBSTITUTE(SUBSTITUTE(SUBSTITUTE(Продажи_исходные!C808," шт.","")," шт",""),"шт.",""),"шт",""))),0)</f>
        <v>1</v>
      </c>
      <c r="D808" s="4">
        <f>IF(LEFT(Продажи_исходные!D808,1)="$",VALUE(MID(Продажи_исходные!D808,2,255))*95,IF(LEFT(Продажи_исходные!D808,1)="€",VALUE(MID(Продажи_исходные!D808,2,255))*100,VALUE(SUBSTITUTE(SUBSTITUTE(Продажи_исходные!D808,"₽","")," ",""))))</f>
        <v>6500</v>
      </c>
      <c r="E808" t="str">
        <f>Продажи_исходные!E808</f>
        <v>C0807</v>
      </c>
      <c r="F808" t="str">
        <f>Продажи_исходные!F808</f>
        <v>P019</v>
      </c>
      <c r="G808" t="str">
        <f>IFERROR(VLOOKUP(Продажи_исходные!G808,Справочники!$G$2:$H$50,2,FALSE),Продажи_исходные!G808)</f>
        <v>Отменен</v>
      </c>
      <c r="H808" s="4">
        <f>IFERROR(VLOOKUP(B808,Товары_очищенные!$A$1:$G$1000,6,FALSE),"нет в каталоге")</f>
        <v>20800</v>
      </c>
      <c r="I808" t="str">
        <f>IFERROR(VLOOKUP(B808,Товары_очищенные!$A$1:$G$1000,3,FALSE),"нет в каталоге")</f>
        <v>Наушники</v>
      </c>
      <c r="J808" t="str">
        <f t="shared" si="38"/>
        <v>OK</v>
      </c>
    </row>
    <row r="809">
      <c r="A809" s="8">
        <f>DATE(RIGHT(Продажи_исходные!A809,4),LEFT(Продажи_исходные!A809,2),MID(Продажи_исходные!A809,4,2))</f>
        <v>46075</v>
      </c>
      <c r="B809" t="str">
        <f>"АРТ-"&amp;LEFT(SUBSTITUTE(SUBSTITUTE(SUBSTITUTE(SUBSTITUTE(Продажи_исходные!B809,"№",""),"АРТ-",""),"АРТ_",""),"/","-"),3)</f>
        <v>АРТ-226</v>
      </c>
      <c r="C809" s="4">
        <f>IFERROR(VALUE(TRIM(SUBSTITUTE(SUBSTITUTE(SUBSTITUTE(SUBSTITUTE(Продажи_исходные!C809," шт.","")," шт",""),"шт.",""),"шт",""))),0)</f>
        <v>-1</v>
      </c>
      <c r="D809" s="4">
        <f>IF(LEFT(Продажи_исходные!D809,1)="$",VALUE(MID(Продажи_исходные!D809,2,255))*95,IF(LEFT(Продажи_исходные!D809,1)="€",VALUE(MID(Продажи_исходные!D809,2,255))*100,VALUE(SUBSTITUTE(SUBSTITUTE(Продажи_исходные!D809,"₽","")," ",""))))</f>
        <v>10450</v>
      </c>
      <c r="E809" t="str">
        <f>Продажи_исходные!E809</f>
        <v>C0808</v>
      </c>
      <c r="F809" t="str">
        <f>Продажи_исходные!F809</f>
        <v>P042</v>
      </c>
      <c r="G809" t="str">
        <f>IFERROR(VLOOKUP(Продажи_исходные!G809,Справочники!$G$2:$H$50,2,FALSE),Продажи_исходные!G809)</f>
        <v>Отменен</v>
      </c>
      <c r="H809" s="4">
        <f>IFERROR(VLOOKUP(B809,Товары_очищенные!$A$1:$G$1000,6,FALSE),"нет в каталоге")</f>
        <v>5990</v>
      </c>
      <c r="I809" t="str">
        <f>IFERROR(VLOOKUP(B809,Товары_очищенные!$A$1:$G$1000,3,FALSE),"нет в каталоге")</f>
        <v>Аксессуары</v>
      </c>
      <c r="J809" t="str">
        <f t="shared" si="38"/>
        <v>OK</v>
      </c>
    </row>
    <row r="810">
      <c r="A810" s="8">
        <f>DATE(RIGHT(Продажи_исходные!A810,4),LEFT(Продажи_исходные!A810,2),MID(Продажи_исходные!A810,4,2))</f>
        <v>46076</v>
      </c>
      <c r="B810" t="str">
        <f>"АРТ-"&amp;LEFT(SUBSTITUTE(SUBSTITUTE(SUBSTITUTE(SUBSTITUTE(Продажи_исходные!B810,"№",""),"АРТ-",""),"АРТ_",""),"/","-"),3)</f>
        <v>АРТ-324</v>
      </c>
      <c r="C810" s="4">
        <f>IFERROR(VALUE(TRIM(SUBSTITUTE(SUBSTITUTE(SUBSTITUTE(SUBSTITUTE(Продажи_исходные!C810," шт.","")," шт",""),"шт.",""),"шт",""))),0)</f>
        <v>3</v>
      </c>
      <c r="D810" s="4">
        <f>IF(LEFT(Продажи_исходные!D810,1)="$",VALUE(MID(Продажи_исходные!D810,2,255))*95,IF(LEFT(Продажи_исходные!D810,1)="€",VALUE(MID(Продажи_исходные!D810,2,255))*100,VALUE(SUBSTITUTE(SUBSTITUTE(Продажи_исходные!D810,"₽","")," ",""))))</f>
        <v>9000</v>
      </c>
      <c r="E810" t="str">
        <f>Продажи_исходные!E810</f>
        <v>C0809</v>
      </c>
      <c r="F810" t="str">
        <f>Продажи_исходные!F810</f>
        <v>P005</v>
      </c>
      <c r="G810" t="str">
        <f>IFERROR(VLOOKUP(Продажи_исходные!G810,Справочники!$G$2:$H$50,2,FALSE),Продажи_исходные!G810)</f>
        <v>Завершен</v>
      </c>
      <c r="H810" s="4">
        <f>IFERROR(VLOOKUP(B810,Товары_очищенные!$A$1:$G$1000,6,FALSE),"нет в каталоге")</f>
        <v>13800</v>
      </c>
      <c r="I810" t="str">
        <f>IFERROR(VLOOKUP(B810,Товары_очищенные!$A$1:$G$1000,3,FALSE),"нет в каталоге")</f>
        <v>Наушники</v>
      </c>
      <c r="J810" t="str">
        <f t="shared" si="38"/>
        <v>OK</v>
      </c>
    </row>
    <row r="811">
      <c r="A811" s="8">
        <f>DATE(RIGHT(Продажи_исходные!A811,4),LEFT(Продажи_исходные!A811,2),MID(Продажи_исходные!A811,4,2))</f>
        <v>46076</v>
      </c>
      <c r="B811" t="str">
        <f>"АРТ-"&amp;LEFT(SUBSTITUTE(SUBSTITUTE(SUBSTITUTE(SUBSTITUTE(Продажи_исходные!B811,"№",""),"АРТ-",""),"АРТ_",""),"/","-"),3)</f>
        <v>АРТ-214</v>
      </c>
      <c r="C811" s="4">
        <f>IFERROR(VALUE(TRIM(SUBSTITUTE(SUBSTITUTE(SUBSTITUTE(SUBSTITUTE(Продажи_исходные!C811," шт.","")," шт",""),"шт.",""),"шт",""))),0)</f>
        <v>2</v>
      </c>
      <c r="D811" s="4">
        <f>IF(LEFT(Продажи_исходные!D811,1)="$",VALUE(MID(Продажи_исходные!D811,2,255))*95,IF(LEFT(Продажи_исходные!D811,1)="€",VALUE(MID(Продажи_исходные!D811,2,255))*100,VALUE(SUBSTITUTE(SUBSTITUTE(Продажи_исходные!D811,"₽","")," ",""))))</f>
        <v>8000</v>
      </c>
      <c r="E811" t="str">
        <f>Продажи_исходные!E811</f>
        <v>C0810</v>
      </c>
      <c r="F811" t="str">
        <f>Продажи_исходные!F811</f>
        <v>P036</v>
      </c>
      <c r="G811" t="str">
        <f>IFERROR(VLOOKUP(Продажи_исходные!G811,Справочники!$G$2:$H$50,2,FALSE),Продажи_исходные!G811)</f>
        <v>Возврат</v>
      </c>
      <c r="H811" s="4">
        <f>IFERROR(VLOOKUP(B811,Товары_очищенные!$A$1:$G$1000,6,FALSE),"нет в каталоге")</f>
        <v>26990</v>
      </c>
      <c r="I811" t="str">
        <f>IFERROR(VLOOKUP(B811,Товары_очищенные!$A$1:$G$1000,3,FALSE),"нет в каталоге")</f>
        <v>Планшеты</v>
      </c>
      <c r="J811" t="str">
        <f t="shared" si="38"/>
        <v>OK</v>
      </c>
    </row>
    <row r="812">
      <c r="A812" s="8">
        <f>DATE(RIGHT(Продажи_исходные!A812,4),LEFT(Продажи_исходные!A812,2),MID(Продажи_исходные!A812,4,2))</f>
        <v>46077</v>
      </c>
      <c r="B812" t="str">
        <f>"АРТ-"&amp;LEFT(SUBSTITUTE(SUBSTITUTE(SUBSTITUTE(SUBSTITUTE(Продажи_исходные!B812,"№",""),"АРТ-",""),"АРТ_",""),"/","-"),3)</f>
        <v>АРТ-134</v>
      </c>
      <c r="C812" s="4">
        <f>IFERROR(VALUE(TRIM(SUBSTITUTE(SUBSTITUTE(SUBSTITUTE(SUBSTITUTE(Продажи_исходные!C812," шт.","")," шт",""),"шт.",""),"шт",""))),0)</f>
        <v>1</v>
      </c>
      <c r="D812" s="4">
        <f>IF(LEFT(Продажи_исходные!D812,1)="$",VALUE(MID(Продажи_исходные!D812,2,255))*95,IF(LEFT(Продажи_исходные!D812,1)="€",VALUE(MID(Продажи_исходные!D812,2,255))*100,VALUE(SUBSTITUTE(SUBSTITUTE(Продажи_исходные!D812,"₽","")," ",""))))</f>
        <v>9025</v>
      </c>
      <c r="E812" t="str">
        <f>Продажи_исходные!E812</f>
        <v>C0811</v>
      </c>
      <c r="F812" t="str">
        <f>Продажи_исходные!F812</f>
        <v>P014</v>
      </c>
      <c r="G812" t="str">
        <f>IFERROR(VLOOKUP(Продажи_исходные!G812,Справочники!$G$2:$H$50,2,FALSE),Продажи_исходные!G812)</f>
        <v>Завершен</v>
      </c>
      <c r="H812" s="4">
        <f>IFERROR(VLOOKUP(B812,Товары_очищенные!$A$1:$G$1000,6,FALSE),"нет в каталоге")</f>
        <v>124000</v>
      </c>
      <c r="I812" t="str">
        <f>IFERROR(VLOOKUP(B812,Товары_очищенные!$A$1:$G$1000,3,FALSE),"нет в каталоге")</f>
        <v>Телевизоры</v>
      </c>
      <c r="J812" t="str">
        <f t="shared" si="38"/>
        <v>OK</v>
      </c>
    </row>
    <row r="813">
      <c r="A813" s="8">
        <f>DATE(RIGHT(Продажи_исходные!A813,4),LEFT(Продажи_исходные!A813,2),MID(Продажи_исходные!A813,4,2))</f>
        <v>46077</v>
      </c>
      <c r="B813" t="str">
        <f>"АРТ-"&amp;LEFT(SUBSTITUTE(SUBSTITUTE(SUBSTITUTE(SUBSTITUTE(Продажи_исходные!B813,"№",""),"АРТ-",""),"АРТ_",""),"/","-"),3)</f>
        <v>АРТ-452</v>
      </c>
      <c r="C813" s="4">
        <f>IFERROR(VALUE(TRIM(SUBSTITUTE(SUBSTITUTE(SUBSTITUTE(SUBSTITUTE(Продажи_исходные!C813," шт.","")," шт",""),"шт.",""),"шт",""))),0)</f>
        <v>2</v>
      </c>
      <c r="D813" s="4">
        <f>IF(LEFT(Продажи_исходные!D813,1)="$",VALUE(MID(Продажи_исходные!D813,2,255))*95,IF(LEFT(Продажи_исходные!D813,1)="€",VALUE(MID(Продажи_исходные!D813,2,255))*100,VALUE(SUBSTITUTE(SUBSTITUTE(Продажи_исходные!D813,"₽","")," ",""))))</f>
        <v>7500</v>
      </c>
      <c r="E813" t="str">
        <f>Продажи_исходные!E813</f>
        <v>C0812</v>
      </c>
      <c r="F813" t="str">
        <f>Продажи_исходные!F813</f>
        <v>P028</v>
      </c>
      <c r="G813" t="str">
        <f>IFERROR(VLOOKUP(Продажи_исходные!G813,Справочники!$G$2:$H$50,2,FALSE),Продажи_исходные!G813)</f>
        <v>Завершен</v>
      </c>
      <c r="H813" s="4">
        <f>IFERROR(VLOOKUP(B813,Товары_очищенные!$A$1:$G$1000,6,FALSE),"нет в каталоге")</f>
        <v>38500</v>
      </c>
      <c r="I813" t="str">
        <f>IFERROR(VLOOKUP(B813,Товары_очищенные!$A$1:$G$1000,3,FALSE),"нет в каталоге")</f>
        <v>Наушники</v>
      </c>
      <c r="J813" t="str">
        <f t="shared" si="38"/>
        <v>OK</v>
      </c>
    </row>
    <row r="814">
      <c r="A814" s="8">
        <f>DATE(RIGHT(Продажи_исходные!A814,4),LEFT(Продажи_исходные!A814,2),MID(Продажи_исходные!A814,4,2))</f>
        <v>46078</v>
      </c>
      <c r="B814" t="str">
        <f>"АРТ-"&amp;LEFT(SUBSTITUTE(SUBSTITUTE(SUBSTITUTE(SUBSTITUTE(Продажи_исходные!B814,"№",""),"АРТ-",""),"АРТ_",""),"/","-"),3)</f>
        <v>АРТ-306</v>
      </c>
      <c r="C814" s="4">
        <f>IFERROR(VALUE(TRIM(SUBSTITUTE(SUBSTITUTE(SUBSTITUTE(SUBSTITUTE(Продажи_исходные!C814," шт.","")," шт",""),"шт.",""),"шт",""))),0)</f>
        <v>3</v>
      </c>
      <c r="D814" s="4">
        <f>IF(LEFT(Продажи_исходные!D814,1)="$",VALUE(MID(Продажи_исходные!D814,2,255))*95,IF(LEFT(Продажи_исходные!D814,1)="€",VALUE(MID(Продажи_исходные!D814,2,255))*100,VALUE(SUBSTITUTE(SUBSTITUTE(Продажи_исходные!D814,"₽","")," ",""))))</f>
        <v>7000</v>
      </c>
      <c r="E814" t="str">
        <f>Продажи_исходные!E814</f>
        <v>C0813</v>
      </c>
      <c r="F814" t="str">
        <f>Продажи_исходные!F814</f>
        <v>P009</v>
      </c>
      <c r="G814" t="str">
        <f>IFERROR(VLOOKUP(Продажи_исходные!G814,Справочники!$G$2:$H$50,2,FALSE),Продажи_исходные!G814)</f>
        <v>Завершен</v>
      </c>
      <c r="H814" s="4">
        <f>IFERROR(VLOOKUP(B814,Товары_очищенные!$A$1:$G$1000,6,FALSE),"нет в каталоге")</f>
        <v>62000</v>
      </c>
      <c r="I814" t="str">
        <f>IFERROR(VLOOKUP(B814,Товары_очищенные!$A$1:$G$1000,3,FALSE),"нет в каталоге")</f>
        <v>Мониторы</v>
      </c>
      <c r="J814" t="str">
        <f t="shared" si="38"/>
        <v>OK</v>
      </c>
    </row>
    <row r="815">
      <c r="A815" s="8">
        <f>DATE(RIGHT(Продажи_исходные!A815,4),LEFT(Продажи_исходные!A815,2),MID(Продажи_исходные!A815,4,2))</f>
        <v>46078</v>
      </c>
      <c r="B815" t="str">
        <f>"АРТ-"&amp;LEFT(SUBSTITUTE(SUBSTITUTE(SUBSTITUTE(SUBSTITUTE(Продажи_исходные!B815,"№",""),"АРТ-",""),"АРТ_",""),"/","-"),3)</f>
        <v>АРТ-203</v>
      </c>
      <c r="C815" s="4">
        <f>IFERROR(VALUE(TRIM(SUBSTITUTE(SUBSTITUTE(SUBSTITUTE(SUBSTITUTE(Продажи_исходные!C815," шт.","")," шт",""),"шт.",""),"шт",""))),0)</f>
        <v>-2</v>
      </c>
      <c r="D815" s="4">
        <f>IF(LEFT(Продажи_исходные!D815,1)="$",VALUE(MID(Продажи_исходные!D815,2,255))*95,IF(LEFT(Продажи_исходные!D815,1)="€",VALUE(MID(Продажи_исходные!D815,2,255))*100,VALUE(SUBSTITUTE(SUBSTITUTE(Продажи_исходные!D815,"₽","")," ",""))))</f>
        <v>10925</v>
      </c>
      <c r="E815" t="str">
        <f>Продажи_исходные!E815</f>
        <v>C0814</v>
      </c>
      <c r="F815" t="str">
        <f>Продажи_исходные!F815</f>
        <v>P041</v>
      </c>
      <c r="G815" t="str">
        <f>IFERROR(VLOOKUP(Продажи_исходные!G815,Справочники!$G$2:$H$50,2,FALSE),Продажи_исходные!G815)</f>
        <v>Отменен</v>
      </c>
      <c r="H815" s="4">
        <f>IFERROR(VLOOKUP(B815,Товары_очищенные!$A$1:$G$1000,6,FALSE),"нет в каталоге")</f>
        <v>9200</v>
      </c>
      <c r="I815" t="str">
        <f>IFERROR(VLOOKUP(B815,Товары_очищенные!$A$1:$G$1000,3,FALSE),"нет в каталоге")</f>
        <v>Наушники</v>
      </c>
      <c r="J815" t="str">
        <f t="shared" si="38"/>
        <v>OK</v>
      </c>
    </row>
    <row r="816">
      <c r="A816" s="8">
        <f>DATE(RIGHT(Продажи_исходные!A816,4),LEFT(Продажи_исходные!A816,2),MID(Продажи_исходные!A816,4,2))</f>
        <v>46079</v>
      </c>
      <c r="B816" t="str">
        <f>"АРТ-"&amp;LEFT(SUBSTITUTE(SUBSTITUTE(SUBSTITUTE(SUBSTITUTE(Продажи_исходные!B816,"№",""),"АРТ-",""),"АРТ_",""),"/","-"),3)</f>
        <v>АРТ-283</v>
      </c>
      <c r="C816" s="4">
        <f>IFERROR(VALUE(TRIM(SUBSTITUTE(SUBSTITUTE(SUBSTITUTE(SUBSTITUTE(Продажи_исходные!C816," шт.","")," шт",""),"шт.",""),"шт",""))),0)</f>
        <v>1</v>
      </c>
      <c r="D816" s="4">
        <f>IF(LEFT(Продажи_исходные!D816,1)="$",VALUE(MID(Продажи_исходные!D816,2,255))*95,IF(LEFT(Продажи_исходные!D816,1)="€",VALUE(MID(Продажи_исходные!D816,2,255))*100,VALUE(SUBSTITUTE(SUBSTITUTE(Продажи_исходные!D816,"₽","")," ",""))))</f>
        <v>9500</v>
      </c>
      <c r="E816" t="str">
        <f>Продажи_исходные!E816</f>
        <v>C0815</v>
      </c>
      <c r="F816" t="str">
        <f>Продажи_исходные!F816</f>
        <v>P017</v>
      </c>
      <c r="G816" t="str">
        <f>IFERROR(VLOOKUP(Продажи_исходные!G816,Справочники!$G$2:$H$50,2,FALSE),Продажи_исходные!G816)</f>
        <v>Отменен</v>
      </c>
      <c r="H816" s="4">
        <f>IFERROR(VLOOKUP(B816,Товары_очищенные!$A$1:$G$1000,6,FALSE),"нет в каталоге")</f>
        <v>84990</v>
      </c>
      <c r="I816" t="str">
        <f>IFERROR(VLOOKUP(B816,Товары_очищенные!$A$1:$G$1000,3,FALSE),"нет в каталоге")</f>
        <v>Мониторы</v>
      </c>
      <c r="J816" t="str">
        <f t="shared" si="38"/>
        <v>OK</v>
      </c>
    </row>
    <row r="817">
      <c r="A817" s="8">
        <f>DATE(RIGHT(Продажи_исходные!A817,4),LEFT(Продажи_исходные!A817,2),MID(Продажи_исходные!A817,4,2))</f>
        <v>46079</v>
      </c>
      <c r="B817" t="str">
        <f>"АРТ-"&amp;LEFT(SUBSTITUTE(SUBSTITUTE(SUBSTITUTE(SUBSTITUTE(Продажи_исходные!B817,"№",""),"АРТ-",""),"АРТ_",""),"/","-"),3)</f>
        <v>АРТ-136</v>
      </c>
      <c r="C817" s="4">
        <f>IFERROR(VALUE(TRIM(SUBSTITUTE(SUBSTITUTE(SUBSTITUTE(SUBSTITUTE(Продажи_исходные!C817," шт.","")," шт",""),"шт.",""),"шт",""))),0)</f>
        <v>2</v>
      </c>
      <c r="D817" s="4">
        <f>IF(LEFT(Продажи_исходные!D817,1)="$",VALUE(MID(Продажи_исходные!D817,2,255))*95,IF(LEFT(Продажи_исходные!D817,1)="€",VALUE(MID(Продажи_исходные!D817,2,255))*100,VALUE(SUBSTITUTE(SUBSTITUTE(Продажи_исходные!D817,"₽","")," ",""))))</f>
        <v>8500</v>
      </c>
      <c r="E817" t="str">
        <f>Продажи_исходные!E817</f>
        <v>C0816</v>
      </c>
      <c r="F817" t="str">
        <f>Продажи_исходные!F817</f>
        <v>P032</v>
      </c>
      <c r="G817" t="str">
        <f>IFERROR(VLOOKUP(Продажи_исходные!G817,Справочники!$G$2:$H$50,2,FALSE),Продажи_исходные!G817)</f>
        <v>Возврат</v>
      </c>
      <c r="H817" s="4">
        <f>IFERROR(VLOOKUP(B817,Товары_очищенные!$A$1:$G$1000,6,FALSE),"нет в каталоге")</f>
        <v>22990</v>
      </c>
      <c r="I817" t="str">
        <f>IFERROR(VLOOKUP(B817,Товары_очищенные!$A$1:$G$1000,3,FALSE),"нет в каталоге")</f>
        <v>Наушники</v>
      </c>
      <c r="J817" t="str">
        <f t="shared" si="38"/>
        <v>OK</v>
      </c>
    </row>
    <row r="818">
      <c r="A818" s="8">
        <f>DATE(RIGHT(Продажи_исходные!A818,4),LEFT(Продажи_исходные!A818,2),MID(Продажи_исходные!A818,4,2))</f>
        <v>46080</v>
      </c>
      <c r="B818" t="str">
        <f>"АРТ-"&amp;LEFT(SUBSTITUTE(SUBSTITUTE(SUBSTITUTE(SUBSTITUTE(Продажи_исходные!B818,"№",""),"АРТ-",""),"АРТ_",""),"/","-"),3)</f>
        <v>АРТ-117</v>
      </c>
      <c r="C818" s="4">
        <f>IFERROR(VALUE(TRIM(SUBSTITUTE(SUBSTITUTE(SUBSTITUTE(SUBSTITUTE(Продажи_исходные!C818," шт.","")," шт",""),"шт.",""),"шт",""))),0)</f>
        <v>3</v>
      </c>
      <c r="D818" s="4">
        <f>IF(LEFT(Продажи_исходные!D818,1)="$",VALUE(MID(Продажи_исходные!D818,2,255))*95,IF(LEFT(Продажи_исходные!D818,1)="€",VALUE(MID(Продажи_исходные!D818,2,255))*100,VALUE(SUBSTITUTE(SUBSTITUTE(Продажи_исходные!D818,"₽","")," ",""))))</f>
        <v>9975</v>
      </c>
      <c r="E818" t="str">
        <f>Продажи_исходные!E818</f>
        <v>C0817</v>
      </c>
      <c r="F818" t="str">
        <f>Продажи_исходные!F818</f>
        <v>P049</v>
      </c>
      <c r="G818" t="str">
        <f>IFERROR(VLOOKUP(Продажи_исходные!G818,Справочники!$G$2:$H$50,2,FALSE),Продажи_исходные!G818)</f>
        <v>Завершен</v>
      </c>
      <c r="H818" s="4">
        <f>IFERROR(VLOOKUP(B818,Товары_очищенные!$A$1:$G$1000,6,FALSE),"нет в каталоге")</f>
        <v>77000</v>
      </c>
      <c r="I818" t="str">
        <f>IFERROR(VLOOKUP(B818,Товары_очищенные!$A$1:$G$1000,3,FALSE),"нет в каталоге")</f>
        <v>Мониторы</v>
      </c>
      <c r="J818" t="str">
        <f t="shared" si="38"/>
        <v>OK</v>
      </c>
    </row>
    <row r="819">
      <c r="A819" s="8">
        <f>DATE(RIGHT(Продажи_исходные!A819,4),LEFT(Продажи_исходные!A819,2),MID(Продажи_исходные!A819,4,2))</f>
        <v>46080</v>
      </c>
      <c r="B819" t="str">
        <f>"АРТ-"&amp;LEFT(SUBSTITUTE(SUBSTITUTE(SUBSTITUTE(SUBSTITUTE(Продажи_исходные!B819,"№",""),"АРТ-",""),"АРТ_",""),"/","-"),3)</f>
        <v>АРТ-438</v>
      </c>
      <c r="C819" s="4">
        <f>IFERROR(VALUE(TRIM(SUBSTITUTE(SUBSTITUTE(SUBSTITUTE(SUBSTITUTE(Продажи_исходные!C819," шт.","")," шт",""),"шт.",""),"шт",""))),0)</f>
        <v>2</v>
      </c>
      <c r="D819" s="4">
        <f>IF(LEFT(Продажи_исходные!D819,1)="$",VALUE(MID(Продажи_исходные!D819,2,255))*95,IF(LEFT(Продажи_исходные!D819,1)="€",VALUE(MID(Продажи_исходные!D819,2,255))*100,VALUE(SUBSTITUTE(SUBSTITUTE(Продажи_исходные!D819,"₽","")," ",""))))</f>
        <v>8500</v>
      </c>
      <c r="E819" t="str">
        <f>Продажи_исходные!E819</f>
        <v>C0818</v>
      </c>
      <c r="F819" t="str">
        <f>Продажи_исходные!F819</f>
        <v>P006</v>
      </c>
      <c r="G819" t="str">
        <f>IFERROR(VLOOKUP(Продажи_исходные!G819,Справочники!$G$2:$H$50,2,FALSE),Продажи_исходные!G819)</f>
        <v>Завершен</v>
      </c>
      <c r="H819" s="4">
        <f>IFERROR(VLOOKUP(B819,Товары_очищенные!$A$1:$G$1000,6,FALSE),"нет в каталоге")</f>
        <v>6800</v>
      </c>
      <c r="I819" t="str">
        <f>IFERROR(VLOOKUP(B819,Товары_очищенные!$A$1:$G$1000,3,FALSE),"нет в каталоге")</f>
        <v>Аксессуары</v>
      </c>
      <c r="J819" t="str">
        <f t="shared" si="38"/>
        <v>OK</v>
      </c>
    </row>
    <row r="820">
      <c r="A820" s="8">
        <f>DATE(RIGHT(Продажи_исходные!A820,4),LEFT(Продажи_исходные!A820,2),MID(Продажи_исходные!A820,4,2))</f>
        <v>46081</v>
      </c>
      <c r="B820" t="str">
        <f>"АРТ-"&amp;LEFT(SUBSTITUTE(SUBSTITUTE(SUBSTITUTE(SUBSTITUTE(Продажи_исходные!B820,"№",""),"АРТ-",""),"АРТ_",""),"/","-"),3)</f>
        <v>АРТ-384</v>
      </c>
      <c r="C820" s="4">
        <f>IFERROR(VALUE(TRIM(SUBSTITUTE(SUBSTITUTE(SUBSTITUTE(SUBSTITUTE(Продажи_исходные!C820," шт.","")," шт",""),"шт.",""),"шт",""))),0)</f>
        <v>1</v>
      </c>
      <c r="D820" s="4">
        <f>IF(LEFT(Продажи_исходные!D820,1)="$",VALUE(MID(Продажи_исходные!D820,2,255))*95,IF(LEFT(Продажи_исходные!D820,1)="€",VALUE(MID(Продажи_исходные!D820,2,255))*100,VALUE(SUBSTITUTE(SUBSTITUTE(Продажи_исходные!D820,"₽","")," ",""))))</f>
        <v>7800</v>
      </c>
      <c r="E820" t="str">
        <f>Продажи_исходные!E820</f>
        <v>C0819</v>
      </c>
      <c r="F820" t="str">
        <f>Продажи_исходные!F820</f>
        <v>P024</v>
      </c>
      <c r="G820" t="str">
        <f>IFERROR(VLOOKUP(Продажи_исходные!G820,Справочники!$G$2:$H$50,2,FALSE),Продажи_исходные!G820)</f>
        <v>Завершен</v>
      </c>
      <c r="H820" s="4">
        <f>IFERROR(VLOOKUP(B820,Товары_очищенные!$A$1:$G$1000,6,FALSE),"нет в каталоге")</f>
        <v>44500</v>
      </c>
      <c r="I820" t="str">
        <f>IFERROR(VLOOKUP(B820,Товары_очищенные!$A$1:$G$1000,3,FALSE),"нет в каталоге")</f>
        <v>Смартфоны</v>
      </c>
      <c r="J820" t="str">
        <f t="shared" si="38"/>
        <v>OK</v>
      </c>
    </row>
    <row r="821">
      <c r="A821" s="8">
        <f>DATE(RIGHT(Продажи_исходные!A821,4),LEFT(Продажи_исходные!A821,2),MID(Продажи_исходные!A821,4,2))</f>
        <v>46081</v>
      </c>
      <c r="B821" t="str">
        <f>"АРТ-"&amp;LEFT(SUBSTITUTE(SUBSTITUTE(SUBSTITUTE(SUBSTITUTE(Продажи_исходные!B821,"№",""),"АРТ-",""),"АРТ_",""),"/","-"),3)</f>
        <v>АРТ-336</v>
      </c>
      <c r="C821" s="4">
        <f>IFERROR(VALUE(TRIM(SUBSTITUTE(SUBSTITUTE(SUBSTITUTE(SUBSTITUTE(Продажи_исходные!C821," шт.","")," шт",""),"шт.",""),"шт",""))),0)</f>
        <v>-3</v>
      </c>
      <c r="D821" s="4">
        <f>IF(LEFT(Продажи_исходные!D821,1)="$",VALUE(MID(Продажи_исходные!D821,2,255))*95,IF(LEFT(Продажи_исходные!D821,1)="€",VALUE(MID(Продажи_исходные!D821,2,255))*100,VALUE(SUBSTITUTE(SUBSTITUTE(Продажи_исходные!D821,"₽","")," ",""))))</f>
        <v>11400</v>
      </c>
      <c r="E821" t="str">
        <f>Продажи_исходные!E821</f>
        <v>C0820</v>
      </c>
      <c r="F821" t="str">
        <f>Продажи_исходные!F821</f>
        <v>P015</v>
      </c>
      <c r="G821" t="str">
        <f>IFERROR(VLOOKUP(Продажи_исходные!G821,Справочники!$G$2:$H$50,2,FALSE),Продажи_исходные!G821)</f>
        <v>Отменен</v>
      </c>
      <c r="H821" s="4">
        <f>IFERROR(VLOOKUP(B821,Товары_очищенные!$A$1:$G$1000,6,FALSE),"нет в каталоге")</f>
        <v>50500</v>
      </c>
      <c r="I821" t="str">
        <f>IFERROR(VLOOKUP(B821,Товары_очищенные!$A$1:$G$1000,3,FALSE),"нет в каталоге")</f>
        <v>Планшеты</v>
      </c>
      <c r="J821" t="str">
        <f t="shared" si="38"/>
        <v>OK</v>
      </c>
    </row>
    <row r="822">
      <c r="A822" s="8">
        <f>DATE(RIGHT(Продажи_исходные!A822,4),LEFT(Продажи_исходные!A822,2),MID(Продажи_исходные!A822,4,2))</f>
        <v>46082</v>
      </c>
      <c r="B822" t="str">
        <f>"АРТ-"&amp;LEFT(SUBSTITUTE(SUBSTITUTE(SUBSTITUTE(SUBSTITUTE(Продажи_исходные!B822,"№",""),"АРТ-",""),"АРТ_",""),"/","-"),3)</f>
        <v>АРТ-296</v>
      </c>
      <c r="C822" s="4">
        <f>IFERROR(VALUE(TRIM(SUBSTITUTE(SUBSTITUTE(SUBSTITUTE(SUBSTITUTE(Продажи_исходные!C822," шт.","")," шт",""),"шт.",""),"шт",""))),0)</f>
        <v>2</v>
      </c>
      <c r="D822" s="4">
        <f>IF(LEFT(Продажи_исходные!D822,1)="$",VALUE(MID(Продажи_исходные!D822,2,255))*95,IF(LEFT(Продажи_исходные!D822,1)="€",VALUE(MID(Продажи_исходные!D822,2,255))*100,VALUE(SUBSTITUTE(SUBSTITUTE(Продажи_исходные!D822,"₽","")," ",""))))</f>
        <v>10000</v>
      </c>
      <c r="E822" t="str">
        <f>Продажи_исходные!E822</f>
        <v>C0821</v>
      </c>
      <c r="F822" t="str">
        <f>Продажи_исходные!F822</f>
        <v>P037</v>
      </c>
      <c r="G822" t="str">
        <f>IFERROR(VLOOKUP(Продажи_исходные!G822,Справочники!$G$2:$H$50,2,FALSE),Продажи_исходные!G822)</f>
        <v>Отменен</v>
      </c>
      <c r="H822" s="4">
        <f>IFERROR(VLOOKUP(B822,Товары_очищенные!$A$1:$G$1000,6,FALSE),"нет в каталоге")</f>
        <v>33500</v>
      </c>
      <c r="I822" t="str">
        <f>IFERROR(VLOOKUP(B822,Товары_очищенные!$A$1:$G$1000,3,FALSE),"нет в каталоге")</f>
        <v>Смартфоны</v>
      </c>
      <c r="J822" t="str">
        <f t="shared" si="38"/>
        <v>OK</v>
      </c>
    </row>
    <row r="823">
      <c r="A823" s="8">
        <f>DATE(RIGHT(Продажи_исходные!A823,4),LEFT(Продажи_исходные!A823,2),MID(Продажи_исходные!A823,4,2))</f>
        <v>46082</v>
      </c>
      <c r="B823" t="str">
        <f>"АРТ-"&amp;LEFT(SUBSTITUTE(SUBSTITUTE(SUBSTITUTE(SUBSTITUTE(Продажи_исходные!B823,"№",""),"АРТ-",""),"АРТ_",""),"/","-"),3)</f>
        <v>АРТ-278</v>
      </c>
      <c r="C823" s="4">
        <f>IFERROR(VALUE(TRIM(SUBSTITUTE(SUBSTITUTE(SUBSTITUTE(SUBSTITUTE(Продажи_исходные!C823," шт.","")," шт",""),"шт.",""),"шт",""))),0)</f>
        <v>1</v>
      </c>
      <c r="D823" s="4">
        <f>IF(LEFT(Продажи_исходные!D823,1)="$",VALUE(MID(Продажи_исходные!D823,2,255))*95,IF(LEFT(Продажи_исходные!D823,1)="€",VALUE(MID(Продажи_исходные!D823,2,255))*100,VALUE(SUBSTITUTE(SUBSTITUTE(Продажи_исходные!D823,"₽","")," ",""))))</f>
        <v>9200</v>
      </c>
      <c r="E823" t="str">
        <f>Продажи_исходные!E823</f>
        <v>C0822</v>
      </c>
      <c r="F823" t="str">
        <f>Продажи_исходные!F823</f>
        <v>P048</v>
      </c>
      <c r="G823" t="str">
        <f>IFERROR(VLOOKUP(Продажи_исходные!G823,Справочники!$G$2:$H$50,2,FALSE),Продажи_исходные!G823)</f>
        <v>Завершен</v>
      </c>
      <c r="H823" s="4">
        <f>IFERROR(VLOOKUP(B823,Товары_очищенные!$A$1:$G$1000,6,FALSE),"нет в каталоге")</f>
        <v>112000</v>
      </c>
      <c r="I823" t="str">
        <f>IFERROR(VLOOKUP(B823,Товары_очищенные!$A$1:$G$1000,3,FALSE),"нет в каталоге")</f>
        <v>Телевизоры</v>
      </c>
      <c r="J823" t="str">
        <f t="shared" si="38"/>
        <v>OK</v>
      </c>
    </row>
    <row r="824">
      <c r="A824" s="8">
        <f>DATE(RIGHT(Продажи_исходные!A824,4),LEFT(Продажи_исходные!A824,2),MID(Продажи_исходные!A824,4,2))</f>
        <v>46083</v>
      </c>
      <c r="B824" t="str">
        <f>"АРТ-"&amp;LEFT(SUBSTITUTE(SUBSTITUTE(SUBSTITUTE(SUBSTITUTE(Продажи_исходные!B824,"№",""),"АРТ-",""),"АРТ_",""),"/","-"),3)</f>
        <v>АРТ-099</v>
      </c>
      <c r="C824" s="4">
        <f>IFERROR(VALUE(TRIM(SUBSTITUTE(SUBSTITUTE(SUBSTITUTE(SUBSTITUTE(Продажи_исходные!C824," шт.","")," шт",""),"шт.",""),"шт",""))),0)</f>
        <v>3</v>
      </c>
      <c r="D824" s="4">
        <f>IF(LEFT(Продажи_исходные!D824,1)="$",VALUE(MID(Продажи_исходные!D824,2,255))*95,IF(LEFT(Продажи_исходные!D824,1)="€",VALUE(MID(Продажи_исходные!D824,2,255))*100,VALUE(SUBSTITUTE(SUBSTITUTE(Продажи_исходные!D824,"₽","")," ",""))))</f>
        <v>8550</v>
      </c>
      <c r="E824" t="str">
        <f>Продажи_исходные!E824</f>
        <v>C0823</v>
      </c>
      <c r="F824" t="str">
        <f>Продажи_исходные!F824</f>
        <v>P004</v>
      </c>
      <c r="G824" t="str">
        <f>IFERROR(VLOOKUP(Продажи_исходные!G824,Справочники!$G$2:$H$50,2,FALSE),Продажи_исходные!G824)</f>
        <v>Возврат</v>
      </c>
      <c r="H824" s="4">
        <f>IFERROR(VLOOKUP(B824,Товары_очищенные!$A$1:$G$1000,6,FALSE),"нет в каталоге")</f>
        <v>7500</v>
      </c>
      <c r="I824" t="str">
        <f>IFERROR(VLOOKUP(B824,Товары_очищенные!$A$1:$G$1000,3,FALSE),"нет в каталоге")</f>
        <v>Аксессуары</v>
      </c>
      <c r="J824" t="str">
        <f t="shared" si="38"/>
        <v>OK</v>
      </c>
    </row>
    <row r="825">
      <c r="A825" s="8">
        <f>DATE(RIGHT(Продажи_исходные!A825,4),LEFT(Продажи_исходные!A825,2),MID(Продажи_исходные!A825,4,2))</f>
        <v>46083</v>
      </c>
      <c r="B825" t="str">
        <f>"АРТ-"&amp;LEFT(SUBSTITUTE(SUBSTITUTE(SUBSTITUTE(SUBSTITUTE(Продажи_исходные!B825,"№",""),"АРТ-",""),"АРТ_",""),"/","-"),3)</f>
        <v>АРТ-421</v>
      </c>
      <c r="C825" s="4">
        <f>IFERROR(VALUE(TRIM(SUBSTITUTE(SUBSTITUTE(SUBSTITUTE(SUBSTITUTE(Продажи_исходные!C825," шт.","")," шт",""),"шт.",""),"шт",""))),0)</f>
        <v>2</v>
      </c>
      <c r="D825" s="4">
        <f>IF(LEFT(Продажи_исходные!D825,1)="$",VALUE(MID(Продажи_исходные!D825,2,255))*95,IF(LEFT(Продажи_исходные!D825,1)="€",VALUE(MID(Продажи_исходные!D825,2,255))*100,VALUE(SUBSTITUTE(SUBSTITUTE(Продажи_исходные!D825,"₽","")," ",""))))</f>
        <v>7000</v>
      </c>
      <c r="E825" t="str">
        <f>Продажи_исходные!E825</f>
        <v>C0824</v>
      </c>
      <c r="F825" t="str">
        <f>Продажи_исходные!F825</f>
        <v>P026</v>
      </c>
      <c r="G825" t="str">
        <f>IFERROR(VLOOKUP(Продажи_исходные!G825,Справочники!$G$2:$H$50,2,FALSE),Продажи_исходные!G825)</f>
        <v>Завершен</v>
      </c>
      <c r="H825" s="4">
        <f>IFERROR(VLOOKUP(B825,Товары_очищенные!$A$1:$G$1000,6,FALSE),"нет в каталоге")</f>
        <v>126990</v>
      </c>
      <c r="I825" t="str">
        <f>IFERROR(VLOOKUP(B825,Товары_очищенные!$A$1:$G$1000,3,FALSE),"нет в каталоге")</f>
        <v>Ноутбуки</v>
      </c>
      <c r="J825" t="str">
        <f t="shared" si="38"/>
        <v>OK</v>
      </c>
    </row>
    <row r="826">
      <c r="A826" s="8">
        <f>DATE(RIGHT(Продажи_исходные!A826,4),LEFT(Продажи_исходные!A826,2),MID(Продажи_исходные!A826,4,2))</f>
        <v>46084</v>
      </c>
      <c r="B826" t="str">
        <f>"АРТ-"&amp;LEFT(SUBSTITUTE(SUBSTITUTE(SUBSTITUTE(SUBSTITUTE(Продажи_исходные!B826,"№",""),"АРТ-",""),"АРТ_",""),"/","-"),3)</f>
        <v>АРТ-342</v>
      </c>
      <c r="C826" s="4">
        <f>IFERROR(VALUE(TRIM(SUBSTITUTE(SUBSTITUTE(SUBSTITUTE(SUBSTITUTE(Продажи_исходные!C826," шт.","")," шт",""),"шт.",""),"шт",""))),0)</f>
        <v>1</v>
      </c>
      <c r="D826" s="4">
        <f>IF(LEFT(Продажи_исходные!D826,1)="$",VALUE(MID(Продажи_исходные!D826,2,255))*95,IF(LEFT(Продажи_исходные!D826,1)="€",VALUE(MID(Продажи_исходные!D826,2,255))*100,VALUE(SUBSTITUTE(SUBSTITUTE(Продажи_исходные!D826,"₽","")," ",""))))</f>
        <v>6500</v>
      </c>
      <c r="E826" t="str">
        <f>Продажи_исходные!E826</f>
        <v>C0825</v>
      </c>
      <c r="F826" t="str">
        <f>Продажи_исходные!F826</f>
        <v>P013</v>
      </c>
      <c r="G826" t="str">
        <f>IFERROR(VLOOKUP(Продажи_исходные!G826,Справочники!$G$2:$H$50,2,FALSE),Продажи_исходные!G826)</f>
        <v>Завершен</v>
      </c>
      <c r="H826" s="4">
        <f>IFERROR(VLOOKUP(B826,Товары_очищенные!$A$1:$G$1000,6,FALSE),"нет в каталоге")</f>
        <v>137500</v>
      </c>
      <c r="I826" t="str">
        <f>IFERROR(VLOOKUP(B826,Товары_очищенные!$A$1:$G$1000,3,FALSE),"нет в каталоге")</f>
        <v>Ноутбуки</v>
      </c>
      <c r="J826" t="str">
        <f t="shared" si="38"/>
        <v>OK</v>
      </c>
    </row>
    <row r="827">
      <c r="A827" s="8">
        <f>DATE(RIGHT(Продажи_исходные!A827,4),LEFT(Продажи_исходные!A827,2),MID(Продажи_исходные!A827,4,2))</f>
        <v>46084</v>
      </c>
      <c r="B827" t="str">
        <f>"АРТ-"&amp;LEFT(SUBSTITUTE(SUBSTITUTE(SUBSTITUTE(SUBSTITUTE(Продажи_исходные!B827,"№",""),"АРТ-",""),"АРТ_",""),"/","-"),3)</f>
        <v>АРТ-343</v>
      </c>
      <c r="C827" s="4">
        <f>IFERROR(VALUE(TRIM(SUBSTITUTE(SUBSTITUTE(SUBSTITUTE(SUBSTITUTE(Продажи_исходные!C827," шт.","")," шт",""),"шт.",""),"шт",""))),0)</f>
        <v>-1</v>
      </c>
      <c r="D827" s="4">
        <f>IF(LEFT(Продажи_исходные!D827,1)="$",VALUE(MID(Продажи_исходные!D827,2,255))*95,IF(LEFT(Продажи_исходные!D827,1)="€",VALUE(MID(Продажи_исходные!D827,2,255))*100,VALUE(SUBSTITUTE(SUBSTITUTE(Продажи_исходные!D827,"₽","")," ",""))))</f>
        <v>10450</v>
      </c>
      <c r="E827" t="str">
        <f>Продажи_исходные!E827</f>
        <v>C0826</v>
      </c>
      <c r="F827" t="str">
        <f>Продажи_исходные!F827</f>
        <v>P034</v>
      </c>
      <c r="G827" t="str">
        <f>IFERROR(VLOOKUP(Продажи_исходные!G827,Справочники!$G$2:$H$50,2,FALSE),Продажи_исходные!G827)</f>
        <v>Завершен</v>
      </c>
      <c r="H827" s="4">
        <f>IFERROR(VLOOKUP(B827,Товары_очищенные!$A$1:$G$1000,6,FALSE),"нет в каталоге")</f>
        <v>84990</v>
      </c>
      <c r="I827" t="str">
        <f>IFERROR(VLOOKUP(B827,Товары_очищенные!$A$1:$G$1000,3,FALSE),"нет в каталоге")</f>
        <v>Телевизоры</v>
      </c>
      <c r="J827" t="str">
        <f t="shared" si="38"/>
        <v>OK</v>
      </c>
    </row>
    <row r="828">
      <c r="A828" s="8">
        <f>DATE(RIGHT(Продажи_исходные!A828,4),LEFT(Продажи_исходные!A828,2),MID(Продажи_исходные!A828,4,2))</f>
        <v>46085</v>
      </c>
      <c r="B828" t="str">
        <f>"АРТ-"&amp;LEFT(SUBSTITUTE(SUBSTITUTE(SUBSTITUTE(SUBSTITUTE(Продажи_исходные!B828,"№",""),"АРТ-",""),"АРТ_",""),"/","-"),3)</f>
        <v>АРТ-281</v>
      </c>
      <c r="C828" s="4">
        <f>IFERROR(VALUE(TRIM(SUBSTITUTE(SUBSTITUTE(SUBSTITUTE(SUBSTITUTE(Продажи_исходные!C828," шт.","")," шт",""),"шт.",""),"шт",""))),0)</f>
        <v>3</v>
      </c>
      <c r="D828" s="4">
        <f>IF(LEFT(Продажи_исходные!D828,1)="$",VALUE(MID(Продажи_исходные!D828,2,255))*95,IF(LEFT(Продажи_исходные!D828,1)="€",VALUE(MID(Продажи_исходные!D828,2,255))*100,VALUE(SUBSTITUTE(SUBSTITUTE(Продажи_исходные!D828,"₽","")," ",""))))</f>
        <v>9000</v>
      </c>
      <c r="E828" t="str">
        <f>Продажи_исходные!E828</f>
        <v>C0827</v>
      </c>
      <c r="F828" t="str">
        <f>Продажи_исходные!F828</f>
        <v>P044</v>
      </c>
      <c r="G828" t="str">
        <f>IFERROR(VLOOKUP(Продажи_исходные!G828,Справочники!$G$2:$H$50,2,FALSE),Продажи_исходные!G828)</f>
        <v>Отменен</v>
      </c>
      <c r="H828" s="4">
        <f>IFERROR(VLOOKUP(B828,Товары_очищенные!$A$1:$G$1000,6,FALSE),"нет в каталоге")</f>
        <v>31500</v>
      </c>
      <c r="I828" t="str">
        <f>IFERROR(VLOOKUP(B828,Товары_очищенные!$A$1:$G$1000,3,FALSE),"нет в каталоге")</f>
        <v>Наушники</v>
      </c>
      <c r="J828" t="str">
        <f t="shared" si="38"/>
        <v>OK</v>
      </c>
    </row>
    <row r="829">
      <c r="A829" s="8">
        <f>DATE(RIGHT(Продажи_исходные!A829,4),LEFT(Продажи_исходные!A829,2),MID(Продажи_исходные!A829,4,2))</f>
        <v>46085</v>
      </c>
      <c r="B829" t="str">
        <f>"АРТ-"&amp;LEFT(SUBSTITUTE(SUBSTITUTE(SUBSTITUTE(SUBSTITUTE(Продажи_исходные!B829,"№",""),"АРТ-",""),"АРТ_",""),"/","-"),3)</f>
        <v>АРТ-101</v>
      </c>
      <c r="C829" s="4">
        <f>IFERROR(VALUE(TRIM(SUBSTITUTE(SUBSTITUTE(SUBSTITUTE(SUBSTITUTE(Продажи_исходные!C829," шт.","")," шт",""),"шт.",""),"шт",""))),0)</f>
        <v>2</v>
      </c>
      <c r="D829" s="4">
        <f>IF(LEFT(Продажи_исходные!D829,1)="$",VALUE(MID(Продажи_исходные!D829,2,255))*95,IF(LEFT(Продажи_исходные!D829,1)="€",VALUE(MID(Продажи_исходные!D829,2,255))*100,VALUE(SUBSTITUTE(SUBSTITUTE(Продажи_исходные!D829,"₽","")," ",""))))</f>
        <v>8000</v>
      </c>
      <c r="E829" t="str">
        <f>Продажи_исходные!E829</f>
        <v>C0828</v>
      </c>
      <c r="F829" t="str">
        <f>Продажи_исходные!F829</f>
        <v>P001</v>
      </c>
      <c r="G829" t="str">
        <f>IFERROR(VLOOKUP(Продажи_исходные!G829,Справочники!$G$2:$H$50,2,FALSE),Продажи_исходные!G829)</f>
        <v>Отменен</v>
      </c>
      <c r="H829" s="4">
        <f>IFERROR(VLOOKUP(B829,Товары_очищенные!$A$1:$G$1000,6,FALSE),"нет в каталоге")</f>
        <v>55500</v>
      </c>
      <c r="I829" t="str">
        <f>IFERROR(VLOOKUP(B829,Товары_очищенные!$A$1:$G$1000,3,FALSE),"нет в каталоге")</f>
        <v>Планшеты</v>
      </c>
      <c r="J829" t="str">
        <f t="shared" si="38"/>
        <v>OK</v>
      </c>
    </row>
    <row r="830">
      <c r="A830" s="8">
        <f>DATE(RIGHT(Продажи_исходные!A830,4),LEFT(Продажи_исходные!A830,2),MID(Продажи_исходные!A830,4,2))</f>
        <v>46086</v>
      </c>
      <c r="B830" t="str">
        <f>"АРТ-"&amp;LEFT(SUBSTITUTE(SUBSTITUTE(SUBSTITUTE(SUBSTITUTE(Продажи_исходные!B830,"№",""),"АРТ-",""),"АРТ_",""),"/","-"),3)</f>
        <v>АРТ-074</v>
      </c>
      <c r="C830" s="4">
        <f>IFERROR(VALUE(TRIM(SUBSTITUTE(SUBSTITUTE(SUBSTITUTE(SUBSTITUTE(Продажи_исходные!C830," шт.","")," шт",""),"шт.",""),"шт",""))),0)</f>
        <v>1</v>
      </c>
      <c r="D830" s="4">
        <f>IF(LEFT(Продажи_исходные!D830,1)="$",VALUE(MID(Продажи_исходные!D830,2,255))*95,IF(LEFT(Продажи_исходные!D830,1)="€",VALUE(MID(Продажи_исходные!D830,2,255))*100,VALUE(SUBSTITUTE(SUBSTITUTE(Продажи_исходные!D830,"₽","")," ",""))))</f>
        <v>9025</v>
      </c>
      <c r="E830" t="str">
        <f>Продажи_исходные!E830</f>
        <v>C0829</v>
      </c>
      <c r="F830" t="str">
        <f>Продажи_исходные!F830</f>
        <v>P021</v>
      </c>
      <c r="G830" t="str">
        <f>IFERROR(VLOOKUP(Продажи_исходные!G830,Справочники!$G$2:$H$50,2,FALSE),Продажи_исходные!G830)</f>
        <v>Возврат</v>
      </c>
      <c r="H830" s="4">
        <f>IFERROR(VLOOKUP(B830,Товары_очищенные!$A$1:$G$1000,6,FALSE),"нет в каталоге")</f>
        <v>77500</v>
      </c>
      <c r="I830" t="str">
        <f>IFERROR(VLOOKUP(B830,Товары_очищенные!$A$1:$G$1000,3,FALSE),"нет в каталоге")</f>
        <v>Мониторы</v>
      </c>
      <c r="J830" t="str">
        <f t="shared" si="38"/>
        <v>OK</v>
      </c>
    </row>
    <row r="831">
      <c r="A831" s="8">
        <f>DATE(RIGHT(Продажи_исходные!A831,4),LEFT(Продажи_исходные!A831,2),MID(Продажи_исходные!A831,4,2))</f>
        <v>46086</v>
      </c>
      <c r="B831" t="str">
        <f>"АРТ-"&amp;LEFT(SUBSTITUTE(SUBSTITUTE(SUBSTITUTE(SUBSTITUTE(Продажи_исходные!B831,"№",""),"АРТ-",""),"АРТ_",""),"/","-"),3)</f>
        <v>АРТ-442</v>
      </c>
      <c r="C831" s="4">
        <f>IFERROR(VALUE(TRIM(SUBSTITUTE(SUBSTITUTE(SUBSTITUTE(SUBSTITUTE(Продажи_исходные!C831," шт.","")," шт",""),"шт.",""),"шт",""))),0)</f>
        <v>2</v>
      </c>
      <c r="D831" s="4">
        <f>IF(LEFT(Продажи_исходные!D831,1)="$",VALUE(MID(Продажи_исходные!D831,2,255))*95,IF(LEFT(Продажи_исходные!D831,1)="€",VALUE(MID(Продажи_исходные!D831,2,255))*100,VALUE(SUBSTITUTE(SUBSTITUTE(Продажи_исходные!D831,"₽","")," ",""))))</f>
        <v>7500</v>
      </c>
      <c r="E831" t="str">
        <f>Продажи_исходные!E831</f>
        <v>C0830</v>
      </c>
      <c r="F831" t="str">
        <f>Продажи_исходные!F831</f>
        <v>P039</v>
      </c>
      <c r="G831" t="str">
        <f>IFERROR(VLOOKUP(Продажи_исходные!G831,Справочники!$G$2:$H$50,2,FALSE),Продажи_исходные!G831)</f>
        <v>Завершен</v>
      </c>
      <c r="H831" s="4">
        <f>IFERROR(VLOOKUP(B831,Товары_очищенные!$A$1:$G$1000,6,FALSE),"нет в каталоге")</f>
        <v>24990</v>
      </c>
      <c r="I831" t="str">
        <f>IFERROR(VLOOKUP(B831,Товары_очищенные!$A$1:$G$1000,3,FALSE),"нет в каталоге")</f>
        <v>Смартфоны</v>
      </c>
      <c r="J831" t="str">
        <f t="shared" si="38"/>
        <v>OK</v>
      </c>
    </row>
    <row r="832">
      <c r="A832" s="8">
        <f>DATE(RIGHT(Продажи_исходные!A832,4),LEFT(Продажи_исходные!A832,2),MID(Продажи_исходные!A832,4,2))</f>
        <v>46087</v>
      </c>
      <c r="B832" t="str">
        <f>"АРТ-"&amp;LEFT(SUBSTITUTE(SUBSTITUTE(SUBSTITUTE(SUBSTITUTE(Продажи_исходные!B832,"№",""),"АРТ-",""),"АРТ_",""),"/","-"),3)</f>
        <v>АРТ-361</v>
      </c>
      <c r="C832" s="4">
        <f>IFERROR(VALUE(TRIM(SUBSTITUTE(SUBSTITUTE(SUBSTITUTE(SUBSTITUTE(Продажи_исходные!C832," шт.","")," шт",""),"шт.",""),"шт",""))),0)</f>
        <v>3</v>
      </c>
      <c r="D832" s="4">
        <f>IF(LEFT(Продажи_исходные!D832,1)="$",VALUE(MID(Продажи_исходные!D832,2,255))*95,IF(LEFT(Продажи_исходные!D832,1)="€",VALUE(MID(Продажи_исходные!D832,2,255))*100,VALUE(SUBSTITUTE(SUBSTITUTE(Продажи_исходные!D832,"₽","")," ",""))))</f>
        <v>7000</v>
      </c>
      <c r="E832" t="str">
        <f>Продажи_исходные!E832</f>
        <v>C0831</v>
      </c>
      <c r="F832" t="str">
        <f>Продажи_исходные!F832</f>
        <v>P050</v>
      </c>
      <c r="G832" t="str">
        <f>IFERROR(VLOOKUP(Продажи_исходные!G832,Справочники!$G$2:$H$50,2,FALSE),Продажи_исходные!G832)</f>
        <v>Завершен</v>
      </c>
      <c r="H832" s="4">
        <f>IFERROR(VLOOKUP(B832,Товары_очищенные!$A$1:$G$1000,6,FALSE),"нет в каталоге")</f>
        <v>145990</v>
      </c>
      <c r="I832" t="str">
        <f>IFERROR(VLOOKUP(B832,Товары_очищенные!$A$1:$G$1000,3,FALSE),"нет в каталоге")</f>
        <v>Ноутбуки</v>
      </c>
      <c r="J832" t="str">
        <f t="shared" si="38"/>
        <v>OK</v>
      </c>
    </row>
    <row r="833">
      <c r="A833" s="8">
        <f>DATE(RIGHT(Продажи_исходные!A833,4),LEFT(Продажи_исходные!A833,2),MID(Продажи_исходные!A833,4,2))</f>
        <v>46087</v>
      </c>
      <c r="B833" t="str">
        <f>"АРТ-"&amp;LEFT(SUBSTITUTE(SUBSTITUTE(SUBSTITUTE(SUBSTITUTE(Продажи_исходные!B833,"№",""),"АРТ-",""),"АРТ_",""),"/","-"),3)</f>
        <v>АРТ-301</v>
      </c>
      <c r="C833" s="4">
        <f>IFERROR(VALUE(TRIM(SUBSTITUTE(SUBSTITUTE(SUBSTITUTE(SUBSTITUTE(Продажи_исходные!C833," шт.","")," шт",""),"шт.",""),"шт",""))),0)</f>
        <v>-2</v>
      </c>
      <c r="D833" s="4">
        <f>IF(LEFT(Продажи_исходные!D833,1)="$",VALUE(MID(Продажи_исходные!D833,2,255))*95,IF(LEFT(Продажи_исходные!D833,1)="€",VALUE(MID(Продажи_исходные!D833,2,255))*100,VALUE(SUBSTITUTE(SUBSTITUTE(Продажи_исходные!D833,"₽","")," ",""))))</f>
        <v>10925</v>
      </c>
      <c r="E833" t="str">
        <f>Продажи_исходные!E833</f>
        <v>C0832</v>
      </c>
      <c r="F833" t="str">
        <f>Продажи_исходные!F833</f>
        <v>P011</v>
      </c>
      <c r="G833" t="str">
        <f>IFERROR(VLOOKUP(Продажи_исходные!G833,Справочники!$G$2:$H$50,2,FALSE),Продажи_исходные!G833)</f>
        <v>Завершен</v>
      </c>
      <c r="H833" s="4">
        <f>IFERROR(VLOOKUP(B833,Товары_очищенные!$A$1:$G$1000,6,FALSE),"нет в каталоге")</f>
        <v>7990</v>
      </c>
      <c r="I833" t="str">
        <f>IFERROR(VLOOKUP(B833,Товары_очищенные!$A$1:$G$1000,3,FALSE),"нет в каталоге")</f>
        <v>Наушники</v>
      </c>
      <c r="J833" t="str">
        <f t="shared" si="38"/>
        <v>OK</v>
      </c>
    </row>
    <row r="834">
      <c r="A834" s="8">
        <f>DATE(RIGHT(Продажи_исходные!A834,4),LEFT(Продажи_исходные!A834,2),MID(Продажи_исходные!A834,4,2))</f>
        <v>46088</v>
      </c>
      <c r="B834" t="str">
        <f>"АРТ-"&amp;LEFT(SUBSTITUTE(SUBSTITUTE(SUBSTITUTE(SUBSTITUTE(Продажи_исходные!B834,"№",""),"АРТ-",""),"АРТ_",""),"/","-"),3)</f>
        <v>АРТ-396</v>
      </c>
      <c r="C834" s="4">
        <f>IFERROR(VALUE(TRIM(SUBSTITUTE(SUBSTITUTE(SUBSTITUTE(SUBSTITUTE(Продажи_исходные!C834," шт.","")," шт",""),"шт.",""),"шт",""))),0)</f>
        <v>1</v>
      </c>
      <c r="D834" s="4">
        <f>IF(LEFT(Продажи_исходные!D834,1)="$",VALUE(MID(Продажи_исходные!D834,2,255))*95,IF(LEFT(Продажи_исходные!D834,1)="€",VALUE(MID(Продажи_исходные!D834,2,255))*100,VALUE(SUBSTITUTE(SUBSTITUTE(Продажи_исходные!D834,"₽","")," ",""))))</f>
        <v>9500</v>
      </c>
      <c r="E834" t="str">
        <f>Продажи_исходные!E834</f>
        <v>C0833</v>
      </c>
      <c r="F834" t="str">
        <f>Продажи_исходные!F834</f>
        <v>P027</v>
      </c>
      <c r="G834" t="str">
        <f>IFERROR(VLOOKUP(Продажи_исходные!G834,Справочники!$G$2:$H$50,2,FALSE),Продажи_исходные!G834)</f>
        <v>Отменен</v>
      </c>
      <c r="H834" s="4">
        <f>IFERROR(VLOOKUP(B834,Товары_очищенные!$A$1:$G$1000,6,FALSE),"нет в каталоге")</f>
        <v>67000</v>
      </c>
      <c r="I834" t="str">
        <f>IFERROR(VLOOKUP(B834,Товары_очищенные!$A$1:$G$1000,3,FALSE),"нет в каталоге")</f>
        <v>Мониторы</v>
      </c>
      <c r="J834" t="str">
        <f t="shared" si="38"/>
        <v>OK</v>
      </c>
    </row>
    <row r="835">
      <c r="A835" s="8">
        <f>DATE(RIGHT(Продажи_исходные!A835,4),LEFT(Продажи_исходные!A835,2),MID(Продажи_исходные!A835,4,2))</f>
        <v>46088</v>
      </c>
      <c r="B835" t="str">
        <f>"АРТ-"&amp;LEFT(SUBSTITUTE(SUBSTITUTE(SUBSTITUTE(SUBSTITUTE(Продажи_исходные!B835,"№",""),"АРТ-",""),"АРТ_",""),"/","-"),3)</f>
        <v>АРТ-152</v>
      </c>
      <c r="C835" s="4">
        <f>IFERROR(VALUE(TRIM(SUBSTITUTE(SUBSTITUTE(SUBSTITUTE(SUBSTITUTE(Продажи_исходные!C835," шт.","")," шт",""),"шт.",""),"шт",""))),0)</f>
        <v>2</v>
      </c>
      <c r="D835" s="4">
        <f>IF(LEFT(Продажи_исходные!D835,1)="$",VALUE(MID(Продажи_исходные!D835,2,255))*95,IF(LEFT(Продажи_исходные!D835,1)="€",VALUE(MID(Продажи_исходные!D835,2,255))*100,VALUE(SUBSTITUTE(SUBSTITUTE(Продажи_исходные!D835,"₽","")," ",""))))</f>
        <v>8500</v>
      </c>
      <c r="E835" t="str">
        <f>Продажи_исходные!E835</f>
        <v>C0834</v>
      </c>
      <c r="F835" t="str">
        <f>Продажи_исходные!F835</f>
        <v>P018</v>
      </c>
      <c r="G835" t="str">
        <f>IFERROR(VLOOKUP(Продажи_исходные!G835,Справочники!$G$2:$H$50,2,FALSE),Продажи_исходные!G835)</f>
        <v>Отменен</v>
      </c>
      <c r="H835" s="4">
        <f>IFERROR(VLOOKUP(B835,Товары_очищенные!$A$1:$G$1000,6,FALSE),"нет в каталоге")</f>
        <v>151500</v>
      </c>
      <c r="I835" t="str">
        <f>IFERROR(VLOOKUP(B835,Товары_очищенные!$A$1:$G$1000,3,FALSE),"нет в каталоге")</f>
        <v>Телевизоры</v>
      </c>
      <c r="J835" t="str">
        <f t="shared" si="38"/>
        <v>OK</v>
      </c>
    </row>
    <row r="836">
      <c r="A836" s="8">
        <f>DATE(RIGHT(Продажи_исходные!A836,4),LEFT(Продажи_исходные!A836,2),MID(Продажи_исходные!A836,4,2))</f>
        <v>46089</v>
      </c>
      <c r="B836" t="str">
        <f>"АРТ-"&amp;LEFT(SUBSTITUTE(SUBSTITUTE(SUBSTITUTE(SUBSTITUTE(Продажи_исходные!B836,"№",""),"АРТ-",""),"АРТ_",""),"/","-"),3)</f>
        <v>АРТ-062</v>
      </c>
      <c r="C836" s="4">
        <f>IFERROR(VALUE(TRIM(SUBSTITUTE(SUBSTITUTE(SUBSTITUTE(SUBSTITUTE(Продажи_исходные!C836," шт.","")," шт",""),"шт.",""),"шт",""))),0)</f>
        <v>3</v>
      </c>
      <c r="D836" s="4">
        <f>IF(LEFT(Продажи_исходные!D836,1)="$",VALUE(MID(Продажи_исходные!D836,2,255))*95,IF(LEFT(Продажи_исходные!D836,1)="€",VALUE(MID(Продажи_исходные!D836,2,255))*100,VALUE(SUBSTITUTE(SUBSTITUTE(Продажи_исходные!D836,"₽","")," ",""))))</f>
        <v>9975</v>
      </c>
      <c r="E836" t="str">
        <f>Продажи_исходные!E836</f>
        <v>C0835</v>
      </c>
      <c r="F836" t="str">
        <f>Продажи_исходные!F836</f>
        <v>P040</v>
      </c>
      <c r="G836" t="str">
        <f>IFERROR(VLOOKUP(Продажи_исходные!G836,Справочники!$G$2:$H$50,2,FALSE),Продажи_исходные!G836)</f>
        <v>Завершен</v>
      </c>
      <c r="H836" s="4">
        <f>IFERROR(VLOOKUP(B836,Товары_очищенные!$A$1:$G$1000,6,FALSE),"нет в каталоге")</f>
        <v>122500</v>
      </c>
      <c r="I836" t="str">
        <f>IFERROR(VLOOKUP(B836,Товары_очищенные!$A$1:$G$1000,3,FALSE),"нет в каталоге")</f>
        <v>Ноутбуки</v>
      </c>
      <c r="J836" t="str">
        <f t="shared" si="38"/>
        <v>OK</v>
      </c>
    </row>
    <row r="837">
      <c r="A837" s="8">
        <f>DATE(RIGHT(Продажи_исходные!A837,4),LEFT(Продажи_исходные!A837,2),MID(Продажи_исходные!A837,4,2))</f>
        <v>46089</v>
      </c>
      <c r="B837" t="str">
        <f>"АРТ-"&amp;LEFT(SUBSTITUTE(SUBSTITUTE(SUBSTITUTE(SUBSTITUTE(Продажи_исходные!B837,"№",""),"АРТ-",""),"АРТ_",""),"/","-"),3)</f>
        <v>АРТ-489</v>
      </c>
      <c r="C837" s="4">
        <f>IFERROR(VALUE(TRIM(SUBSTITUTE(SUBSTITUTE(SUBSTITUTE(SUBSTITUTE(Продажи_исходные!C837," шт.","")," шт",""),"шт.",""),"шт",""))),0)</f>
        <v>2</v>
      </c>
      <c r="D837" s="4">
        <f>IF(LEFT(Продажи_исходные!D837,1)="$",VALUE(MID(Продажи_исходные!D837,2,255))*95,IF(LEFT(Продажи_исходные!D837,1)="€",VALUE(MID(Продажи_исходные!D837,2,255))*100,VALUE(SUBSTITUTE(SUBSTITUTE(Продажи_исходные!D837,"₽","")," ",""))))</f>
        <v>8500</v>
      </c>
      <c r="E837" t="str">
        <f>Продажи_исходные!E837</f>
        <v>C0836</v>
      </c>
      <c r="F837" t="str">
        <f>Продажи_исходные!F837</f>
        <v>P003</v>
      </c>
      <c r="G837" t="str">
        <f>IFERROR(VLOOKUP(Продажи_исходные!G837,Справочники!$G$2:$H$50,2,FALSE),Продажи_исходные!G837)</f>
        <v>Возврат</v>
      </c>
      <c r="H837" s="4">
        <f>IFERROR(VLOOKUP(B837,Товары_очищенные!$A$1:$G$1000,6,FALSE),"нет в каталоге")</f>
        <v>113500</v>
      </c>
      <c r="I837" t="str">
        <f>IFERROR(VLOOKUP(B837,Товары_очищенные!$A$1:$G$1000,3,FALSE),"нет в каталоге")</f>
        <v>Ноутбуки</v>
      </c>
      <c r="J837" t="str">
        <f t="shared" si="38"/>
        <v>OK</v>
      </c>
    </row>
    <row r="838">
      <c r="A838" s="8">
        <f>DATE(RIGHT(Продажи_исходные!A838,4),LEFT(Продажи_исходные!A838,2),MID(Продажи_исходные!A838,4,2))</f>
        <v>46090</v>
      </c>
      <c r="B838" t="str">
        <f>"АРТ-"&amp;LEFT(SUBSTITUTE(SUBSTITUTE(SUBSTITUTE(SUBSTITUTE(Продажи_исходные!B838,"№",""),"АРТ-",""),"АРТ_",""),"/","-"),3)</f>
        <v>АРТ-311</v>
      </c>
      <c r="C838" s="4">
        <f>IFERROR(VALUE(TRIM(SUBSTITUTE(SUBSTITUTE(SUBSTITUTE(SUBSTITUTE(Продажи_исходные!C838," шт.","")," шт",""),"шт.",""),"шт",""))),0)</f>
        <v>1</v>
      </c>
      <c r="D838" s="4">
        <f>IF(LEFT(Продажи_исходные!D838,1)="$",VALUE(MID(Продажи_исходные!D838,2,255))*95,IF(LEFT(Продажи_исходные!D838,1)="€",VALUE(MID(Продажи_исходные!D838,2,255))*100,VALUE(SUBSTITUTE(SUBSTITUTE(Продажи_исходные!D838,"₽","")," ",""))))</f>
        <v>7800</v>
      </c>
      <c r="E838" t="str">
        <f>Продажи_исходные!E838</f>
        <v>C0837</v>
      </c>
      <c r="F838" t="str">
        <f>Продажи_исходные!F838</f>
        <v>P025</v>
      </c>
      <c r="G838" t="str">
        <f>IFERROR(VLOOKUP(Продажи_исходные!G838,Справочники!$G$2:$H$50,2,FALSE),Продажи_исходные!G838)</f>
        <v>Завершен</v>
      </c>
      <c r="H838" s="4">
        <f>IFERROR(VLOOKUP(B838,Товары_очищенные!$A$1:$G$1000,6,FALSE),"нет в каталоге")</f>
        <v>62500</v>
      </c>
      <c r="I838" t="str">
        <f>IFERROR(VLOOKUP(B838,Товары_очищенные!$A$1:$G$1000,3,FALSE),"нет в каталоге")</f>
        <v>Планшеты</v>
      </c>
      <c r="J838" t="str">
        <f t="shared" si="38"/>
        <v>OK</v>
      </c>
    </row>
    <row r="839">
      <c r="A839" s="8">
        <f>DATE(RIGHT(Продажи_исходные!A839,4),LEFT(Продажи_исходные!A839,2),MID(Продажи_исходные!A839,4,2))</f>
        <v>46090</v>
      </c>
      <c r="B839" t="str">
        <f>"АРТ-"&amp;LEFT(SUBSTITUTE(SUBSTITUTE(SUBSTITUTE(SUBSTITUTE(Продажи_исходные!B839,"№",""),"АРТ-",""),"АРТ_",""),"/","-"),3)</f>
        <v>АРТ-270</v>
      </c>
      <c r="C839" s="4">
        <f>IFERROR(VALUE(TRIM(SUBSTITUTE(SUBSTITUTE(SUBSTITUTE(SUBSTITUTE(Продажи_исходные!C839," шт.","")," шт",""),"шт.",""),"шт",""))),0)</f>
        <v>-3</v>
      </c>
      <c r="D839" s="4">
        <f>IF(LEFT(Продажи_исходные!D839,1)="$",VALUE(MID(Продажи_исходные!D839,2,255))*95,IF(LEFT(Продажи_исходные!D839,1)="€",VALUE(MID(Продажи_исходные!D839,2,255))*100,VALUE(SUBSTITUTE(SUBSTITUTE(Продажи_исходные!D839,"₽","")," ",""))))</f>
        <v>11400</v>
      </c>
      <c r="E839" t="str">
        <f>Продажи_исходные!E839</f>
        <v>C0838</v>
      </c>
      <c r="F839" t="str">
        <f>Продажи_исходные!F839</f>
        <v>P010</v>
      </c>
      <c r="G839" t="str">
        <f>IFERROR(VLOOKUP(Продажи_исходные!G839,Справочники!$G$2:$H$50,2,FALSE),Продажи_исходные!G839)</f>
        <v>Завершен</v>
      </c>
      <c r="H839" s="4">
        <f>IFERROR(VLOOKUP(B839,Товары_очищенные!$A$1:$G$1000,6,FALSE),"нет в каталоге")</f>
        <v>24500</v>
      </c>
      <c r="I839" t="str">
        <f>IFERROR(VLOOKUP(B839,Товары_очищенные!$A$1:$G$1000,3,FALSE),"нет в каталоге")</f>
        <v>Аксессуары</v>
      </c>
      <c r="J839" t="str">
        <f t="shared" si="38"/>
        <v>OK</v>
      </c>
    </row>
    <row r="840">
      <c r="A840" s="8">
        <f>DATE(RIGHT(Продажи_исходные!A840,4),LEFT(Продажи_исходные!A840,2),MID(Продажи_исходные!A840,4,2))</f>
        <v>46091</v>
      </c>
      <c r="B840" t="str">
        <f>"АРТ-"&amp;LEFT(SUBSTITUTE(SUBSTITUTE(SUBSTITUTE(SUBSTITUTE(Продажи_исходные!B840,"№",""),"АРТ-",""),"АРТ_",""),"/","-"),3)</f>
        <v>АРТ-314</v>
      </c>
      <c r="C840" s="4">
        <f>IFERROR(VALUE(TRIM(SUBSTITUTE(SUBSTITUTE(SUBSTITUTE(SUBSTITUTE(Продажи_исходные!C840," шт.","")," шт",""),"шт.",""),"шт",""))),0)</f>
        <v>2</v>
      </c>
      <c r="D840" s="4">
        <f>IF(LEFT(Продажи_исходные!D840,1)="$",VALUE(MID(Продажи_исходные!D840,2,255))*95,IF(LEFT(Продажи_исходные!D840,1)="€",VALUE(MID(Продажи_исходные!D840,2,255))*100,VALUE(SUBSTITUTE(SUBSTITUTE(Продажи_исходные!D840,"₽","")," ",""))))</f>
        <v>10000</v>
      </c>
      <c r="E840" t="str">
        <f>Продажи_исходные!E840</f>
        <v>C0839</v>
      </c>
      <c r="F840" t="str">
        <f>Продажи_исходные!F840</f>
        <v>P033</v>
      </c>
      <c r="G840" t="str">
        <f>IFERROR(VLOOKUP(Продажи_исходные!G840,Справочники!$G$2:$H$50,2,FALSE),Продажи_исходные!G840)</f>
        <v>Завершен</v>
      </c>
      <c r="H840" s="4">
        <f>IFERROR(VLOOKUP(B840,Товары_очищенные!$A$1:$G$1000,6,FALSE),"нет в каталоге")</f>
        <v>67500</v>
      </c>
      <c r="I840" t="str">
        <f>IFERROR(VLOOKUP(B840,Товары_очищенные!$A$1:$G$1000,3,FALSE),"нет в каталоге")</f>
        <v>Смартфоны</v>
      </c>
      <c r="J840" t="str">
        <f t="shared" si="38"/>
        <v>OK</v>
      </c>
    </row>
    <row r="841">
      <c r="A841" s="8">
        <f>DATE(RIGHT(Продажи_исходные!A841,4),LEFT(Продажи_исходные!A841,2),MID(Продажи_исходные!A841,4,2))</f>
        <v>46091</v>
      </c>
      <c r="B841" t="str">
        <f>"АРТ-"&amp;LEFT(SUBSTITUTE(SUBSTITUTE(SUBSTITUTE(SUBSTITUTE(Продажи_исходные!B841,"№",""),"АРТ-",""),"АРТ_",""),"/","-"),3)</f>
        <v>АРТ-197</v>
      </c>
      <c r="C841" s="4">
        <f>IFERROR(VALUE(TRIM(SUBSTITUTE(SUBSTITUTE(SUBSTITUTE(SUBSTITUTE(Продажи_исходные!C841," шт.","")," шт",""),"шт.",""),"шт",""))),0)</f>
        <v>1</v>
      </c>
      <c r="D841" s="4">
        <f>IF(LEFT(Продажи_исходные!D841,1)="$",VALUE(MID(Продажи_исходные!D841,2,255))*95,IF(LEFT(Продажи_исходные!D841,1)="€",VALUE(MID(Продажи_исходные!D841,2,255))*100,VALUE(SUBSTITUTE(SUBSTITUTE(Продажи_исходные!D841,"₽","")," ",""))))</f>
        <v>9200</v>
      </c>
      <c r="E841" t="str">
        <f>Продажи_исходные!E841</f>
        <v>C0840</v>
      </c>
      <c r="F841" t="str">
        <f>Продажи_исходные!F841</f>
        <v>P047</v>
      </c>
      <c r="G841" t="str">
        <f>IFERROR(VLOOKUP(Продажи_исходные!G841,Справочники!$G$2:$H$50,2,FALSE),Продажи_исходные!G841)</f>
        <v>Отменен</v>
      </c>
      <c r="H841" s="4">
        <f>IFERROR(VLOOKUP(B841,Товары_очищенные!$A$1:$G$1000,6,FALSE),"нет в каталоге")</f>
        <v>52500</v>
      </c>
      <c r="I841" t="str">
        <f>IFERROR(VLOOKUP(B841,Товары_очищенные!$A$1:$G$1000,3,FALSE),"нет в каталоге")</f>
        <v>Смартфоны</v>
      </c>
      <c r="J841" t="str">
        <f t="shared" si="38"/>
        <v>OK</v>
      </c>
    </row>
    <row r="842">
      <c r="A842" s="8">
        <f>DATE(RIGHT(Продажи_исходные!A842,4),LEFT(Продажи_исходные!A842,2),MID(Продажи_исходные!A842,4,2))</f>
        <v>46092</v>
      </c>
      <c r="B842" t="str">
        <f>"АРТ-"&amp;LEFT(SUBSTITUTE(SUBSTITUTE(SUBSTITUTE(SUBSTITUTE(Продажи_исходные!B842,"№",""),"АРТ-",""),"АРТ_",""),"/","-"),3)</f>
        <v>АРТ-158</v>
      </c>
      <c r="C842" s="4">
        <f>IFERROR(VALUE(TRIM(SUBSTITUTE(SUBSTITUTE(SUBSTITUTE(SUBSTITUTE(Продажи_исходные!C842," шт.","")," шт",""),"шт.",""),"шт",""))),0)</f>
        <v>3</v>
      </c>
      <c r="D842" s="4">
        <f>IF(LEFT(Продажи_исходные!D842,1)="$",VALUE(MID(Продажи_исходные!D842,2,255))*95,IF(LEFT(Продажи_исходные!D842,1)="€",VALUE(MID(Продажи_исходные!D842,2,255))*100,VALUE(SUBSTITUTE(SUBSTITUTE(Продажи_исходные!D842,"₽","")," ",""))))</f>
        <v>8550</v>
      </c>
      <c r="E842" t="str">
        <f>Продажи_исходные!E842</f>
        <v>C0841</v>
      </c>
      <c r="F842" t="str">
        <f>Продажи_исходные!F842</f>
        <v>P020</v>
      </c>
      <c r="G842" t="str">
        <f>IFERROR(VLOOKUP(Продажи_исходные!G842,Справочники!$G$2:$H$50,2,FALSE),Продажи_исходные!G842)</f>
        <v>Отменен</v>
      </c>
      <c r="H842" s="4">
        <f>IFERROR(VLOOKUP(B842,Товары_очищенные!$A$1:$G$1000,6,FALSE),"нет в каталоге")</f>
        <v>90000</v>
      </c>
      <c r="I842" t="str">
        <f>IFERROR(VLOOKUP(B842,Товары_очищенные!$A$1:$G$1000,3,FALSE),"нет в каталоге")</f>
        <v>Мониторы</v>
      </c>
      <c r="J842" t="str">
        <f t="shared" si="38"/>
        <v>OK</v>
      </c>
    </row>
    <row r="843">
      <c r="A843" s="8">
        <f>DATE(RIGHT(Продажи_исходные!A843,4),LEFT(Продажи_исходные!A843,2),MID(Продажи_исходные!A843,4,2))</f>
        <v>46092</v>
      </c>
      <c r="B843" t="str">
        <f>"АРТ-"&amp;LEFT(SUBSTITUTE(SUBSTITUTE(SUBSTITUTE(SUBSTITUTE(Продажи_исходные!B843,"№",""),"АРТ-",""),"АРТ_",""),"/","-"),3)</f>
        <v>АРТ-496</v>
      </c>
      <c r="C843" s="4">
        <f>IFERROR(VALUE(TRIM(SUBSTITUTE(SUBSTITUTE(SUBSTITUTE(SUBSTITUTE(Продажи_исходные!C843," шт.","")," шт",""),"шт.",""),"шт",""))),0)</f>
        <v>2</v>
      </c>
      <c r="D843" s="4">
        <f>IF(LEFT(Продажи_исходные!D843,1)="$",VALUE(MID(Продажи_исходные!D843,2,255))*95,IF(LEFT(Продажи_исходные!D843,1)="€",VALUE(MID(Продажи_исходные!D843,2,255))*100,VALUE(SUBSTITUTE(SUBSTITUTE(Продажи_исходные!D843,"₽","")," ",""))))</f>
        <v>7000</v>
      </c>
      <c r="E843" t="str">
        <f>Продажи_исходные!E843</f>
        <v>C0842</v>
      </c>
      <c r="F843" t="str">
        <f>Продажи_исходные!F843</f>
        <v>P002</v>
      </c>
      <c r="G843" t="str">
        <f>IFERROR(VLOOKUP(Продажи_исходные!G843,Справочники!$G$2:$H$50,2,FALSE),Продажи_исходные!G843)</f>
        <v>Возврат</v>
      </c>
      <c r="H843" s="4">
        <f>IFERROR(VLOOKUP(B843,Товары_очищенные!$A$1:$G$1000,6,FALSE),"нет в каталоге")</f>
        <v>59990</v>
      </c>
      <c r="I843" t="str">
        <f>IFERROR(VLOOKUP(B843,Товары_очищенные!$A$1:$G$1000,3,FALSE),"нет в каталоге")</f>
        <v>Мониторы</v>
      </c>
      <c r="J843" t="str">
        <f t="shared" si="38"/>
        <v>OK</v>
      </c>
    </row>
    <row r="844">
      <c r="A844" s="8">
        <f>DATE(RIGHT(Продажи_исходные!A844,4),LEFT(Продажи_исходные!A844,2),MID(Продажи_исходные!A844,4,2))</f>
        <v>46093</v>
      </c>
      <c r="B844" t="str">
        <f>"АРТ-"&amp;LEFT(SUBSTITUTE(SUBSTITUTE(SUBSTITUTE(SUBSTITUTE(Продажи_исходные!B844,"№",""),"АРТ-",""),"АРТ_",""),"/","-"),3)</f>
        <v>АРТ-349</v>
      </c>
      <c r="C844" s="4">
        <f>IFERROR(VALUE(TRIM(SUBSTITUTE(SUBSTITUTE(SUBSTITUTE(SUBSTITUTE(Продажи_исходные!C844," шт.","")," шт",""),"шт.",""),"шт",""))),0)</f>
        <v>1</v>
      </c>
      <c r="D844" s="4">
        <f>IF(LEFT(Продажи_исходные!D844,1)="$",VALUE(MID(Продажи_исходные!D844,2,255))*95,IF(LEFT(Продажи_исходные!D844,1)="€",VALUE(MID(Продажи_исходные!D844,2,255))*100,VALUE(SUBSTITUTE(SUBSTITUTE(Продажи_исходные!D844,"₽","")," ",""))))</f>
        <v>6500</v>
      </c>
      <c r="E844" t="str">
        <f>Продажи_исходные!E844</f>
        <v>C0843</v>
      </c>
      <c r="F844" t="str">
        <f>Продажи_исходные!F844</f>
        <v>P038</v>
      </c>
      <c r="G844" t="str">
        <f>IFERROR(VLOOKUP(Продажи_исходные!G844,Справочники!$G$2:$H$50,2,FALSE),Продажи_исходные!G844)</f>
        <v>Завершен</v>
      </c>
      <c r="H844" s="4">
        <f>IFERROR(VLOOKUP(B844,Товары_очищенные!$A$1:$G$1000,6,FALSE),"нет в каталоге")</f>
        <v>54990</v>
      </c>
      <c r="I844" t="str">
        <f>IFERROR(VLOOKUP(B844,Товары_очищенные!$A$1:$G$1000,3,FALSE),"нет в каталоге")</f>
        <v>Мониторы</v>
      </c>
      <c r="J844" t="str">
        <f t="shared" si="38"/>
        <v>OK</v>
      </c>
    </row>
    <row r="845">
      <c r="A845" s="8">
        <f>DATE(RIGHT(Продажи_исходные!A845,4),LEFT(Продажи_исходные!A845,2),MID(Продажи_исходные!A845,4,2))</f>
        <v>46093</v>
      </c>
      <c r="B845" t="str">
        <f>"АРТ-"&amp;LEFT(SUBSTITUTE(SUBSTITUTE(SUBSTITUTE(SUBSTITUTE(Продажи_исходные!B845,"№",""),"АРТ-",""),"АРТ_",""),"/","-"),3)</f>
        <v>АРТ-386</v>
      </c>
      <c r="C845" s="4">
        <f>IFERROR(VALUE(TRIM(SUBSTITUTE(SUBSTITUTE(SUBSTITUTE(SUBSTITUTE(Продажи_исходные!C845," шт.","")," шт",""),"шт.",""),"шт",""))),0)</f>
        <v>-1</v>
      </c>
      <c r="D845" s="4">
        <f>IF(LEFT(Продажи_исходные!D845,1)="$",VALUE(MID(Продажи_исходные!D845,2,255))*95,IF(LEFT(Продажи_исходные!D845,1)="€",VALUE(MID(Продажи_исходные!D845,2,255))*100,VALUE(SUBSTITUTE(SUBSTITUTE(Продажи_исходные!D845,"₽","")," ",""))))</f>
        <v>10450</v>
      </c>
      <c r="E845" t="str">
        <f>Продажи_исходные!E845</f>
        <v>C0844</v>
      </c>
      <c r="F845" t="str">
        <f>Продажи_исходные!F845</f>
        <v>P016</v>
      </c>
      <c r="G845" t="str">
        <f>IFERROR(VLOOKUP(Продажи_исходные!G845,Справочники!$G$2:$H$50,2,FALSE),Продажи_исходные!G845)</f>
        <v>Завершен</v>
      </c>
      <c r="H845" s="4">
        <f>IFERROR(VLOOKUP(B845,Товары_очищенные!$A$1:$G$1000,6,FALSE),"нет в каталоге")</f>
        <v>114000</v>
      </c>
      <c r="I845" t="str">
        <f>IFERROR(VLOOKUP(B845,Товары_очищенные!$A$1:$G$1000,3,FALSE),"нет в каталоге")</f>
        <v>Ноутбуки</v>
      </c>
      <c r="J845" t="str">
        <f t="shared" si="38"/>
        <v>OK</v>
      </c>
    </row>
    <row r="846">
      <c r="A846" s="8">
        <f>DATE(RIGHT(Продажи_исходные!A846,4),LEFT(Продажи_исходные!A846,2),MID(Продажи_исходные!A846,4,2))</f>
        <v>46094</v>
      </c>
      <c r="B846" t="str">
        <f>"АРТ-"&amp;LEFT(SUBSTITUTE(SUBSTITUTE(SUBSTITUTE(SUBSTITUTE(Продажи_исходные!B846,"№",""),"АРТ-",""),"АРТ_",""),"/","-"),3)</f>
        <v>АРТ-275</v>
      </c>
      <c r="C846" s="4">
        <f>IFERROR(VALUE(TRIM(SUBSTITUTE(SUBSTITUTE(SUBSTITUTE(SUBSTITUTE(Продажи_исходные!C846," шт.","")," шт",""),"шт.",""),"шт",""))),0)</f>
        <v>3</v>
      </c>
      <c r="D846" s="4">
        <f>IF(LEFT(Продажи_исходные!D846,1)="$",VALUE(MID(Продажи_исходные!D846,2,255))*95,IF(LEFT(Продажи_исходные!D846,1)="€",VALUE(MID(Продажи_исходные!D846,2,255))*100,VALUE(SUBSTITUTE(SUBSTITUTE(Продажи_исходные!D846,"₽","")," ",""))))</f>
        <v>9000</v>
      </c>
      <c r="E846" t="str">
        <f>Продажи_исходные!E846</f>
        <v>C0845</v>
      </c>
      <c r="F846" t="str">
        <f>Продажи_исходные!F846</f>
        <v>P029</v>
      </c>
      <c r="G846" t="str">
        <f>IFERROR(VLOOKUP(Продажи_исходные!G846,Справочники!$G$2:$H$50,2,FALSE),Продажи_исходные!G846)</f>
        <v>Завершен</v>
      </c>
      <c r="H846" s="4">
        <f>IFERROR(VLOOKUP(B846,Товары_очищенные!$A$1:$G$1000,6,FALSE),"нет в каталоге")</f>
        <v>47000</v>
      </c>
      <c r="I846" t="str">
        <f>IFERROR(VLOOKUP(B846,Товары_очищенные!$A$1:$G$1000,3,FALSE),"нет в каталоге")</f>
        <v>Планшеты</v>
      </c>
      <c r="J846" t="str">
        <f t="shared" si="38"/>
        <v>OK</v>
      </c>
    </row>
    <row r="847">
      <c r="A847" s="8">
        <f>DATE(RIGHT(Продажи_исходные!A847,4),LEFT(Продажи_исходные!A847,2),MID(Продажи_исходные!A847,4,2))</f>
        <v>46094</v>
      </c>
      <c r="B847" t="str">
        <f>"АРТ-"&amp;LEFT(SUBSTITUTE(SUBSTITUTE(SUBSTITUTE(SUBSTITUTE(Продажи_исходные!B847,"№",""),"АРТ-",""),"АРТ_",""),"/","-"),3)</f>
        <v>АРТ-151</v>
      </c>
      <c r="C847" s="4">
        <f>IFERROR(VALUE(TRIM(SUBSTITUTE(SUBSTITUTE(SUBSTITUTE(SUBSTITUTE(Продажи_исходные!C847," шт.","")," шт",""),"шт.",""),"шт",""))),0)</f>
        <v>2</v>
      </c>
      <c r="D847" s="4">
        <f>IF(LEFT(Продажи_исходные!D847,1)="$",VALUE(MID(Продажи_исходные!D847,2,255))*95,IF(LEFT(Продажи_исходные!D847,1)="€",VALUE(MID(Продажи_исходные!D847,2,255))*100,VALUE(SUBSTITUTE(SUBSTITUTE(Продажи_исходные!D847,"₽","")," ",""))))</f>
        <v>8000</v>
      </c>
      <c r="E847" t="str">
        <f>Продажи_исходные!E847</f>
        <v>C0846</v>
      </c>
      <c r="F847" t="str">
        <f>Продажи_исходные!F847</f>
        <v>P035</v>
      </c>
      <c r="G847" t="str">
        <f>IFERROR(VLOOKUP(Продажи_исходные!G847,Справочники!$G$2:$H$50,2,FALSE),Продажи_исходные!G847)</f>
        <v>Отменен</v>
      </c>
      <c r="H847" s="4">
        <f>IFERROR(VLOOKUP(B847,Товары_очищенные!$A$1:$G$1000,6,FALSE),"нет в каталоге")</f>
        <v>154990</v>
      </c>
      <c r="I847" t="str">
        <f>IFERROR(VLOOKUP(B847,Товары_очищенные!$A$1:$G$1000,3,FALSE),"нет в каталоге")</f>
        <v>Телевизоры</v>
      </c>
      <c r="J847" t="str">
        <f t="shared" si="38"/>
        <v>OK</v>
      </c>
    </row>
    <row r="848">
      <c r="A848" s="8">
        <f>DATE(RIGHT(Продажи_исходные!A848,4),LEFT(Продажи_исходные!A848,2),MID(Продажи_исходные!A848,4,2))</f>
        <v>46095</v>
      </c>
      <c r="B848" t="str">
        <f>"АРТ-"&amp;LEFT(SUBSTITUTE(SUBSTITUTE(SUBSTITUTE(SUBSTITUTE(Продажи_исходные!B848,"№",""),"АРТ-",""),"АРТ_",""),"/","-"),3)</f>
        <v>АРТ-031</v>
      </c>
      <c r="C848" s="4">
        <f>IFERROR(VALUE(TRIM(SUBSTITUTE(SUBSTITUTE(SUBSTITUTE(SUBSTITUTE(Продажи_исходные!C848," шт.","")," шт",""),"шт.",""),"шт",""))),0)</f>
        <v>1</v>
      </c>
      <c r="D848" s="4">
        <f>IF(LEFT(Продажи_исходные!D848,1)="$",VALUE(MID(Продажи_исходные!D848,2,255))*95,IF(LEFT(Продажи_исходные!D848,1)="€",VALUE(MID(Продажи_исходные!D848,2,255))*100,VALUE(SUBSTITUTE(SUBSTITUTE(Продажи_исходные!D848,"₽","")," ",""))))</f>
        <v>9025</v>
      </c>
      <c r="E848" t="str">
        <f>Продажи_исходные!E848</f>
        <v>C0847</v>
      </c>
      <c r="F848" t="str">
        <f>Продажи_исходные!F848</f>
        <v>P046</v>
      </c>
      <c r="G848" t="str">
        <f>IFERROR(VLOOKUP(Продажи_исходные!G848,Справочники!$G$2:$H$50,2,FALSE),Продажи_исходные!G848)</f>
        <v>Отменен</v>
      </c>
      <c r="H848" s="4">
        <f>IFERROR(VLOOKUP(B848,Товары_очищенные!$A$1:$G$1000,6,FALSE),"нет в каталоге")</f>
        <v>8990</v>
      </c>
      <c r="I848" t="str">
        <f>IFERROR(VLOOKUP(B848,Товары_очищенные!$A$1:$G$1000,3,FALSE),"нет в каталоге")</f>
        <v>Аксессуары</v>
      </c>
      <c r="J848" t="str">
        <f t="shared" si="38"/>
        <v>OK</v>
      </c>
    </row>
    <row r="849">
      <c r="A849" s="8">
        <f>DATE(RIGHT(Продажи_исходные!A849,4),LEFT(Продажи_исходные!A849,2),MID(Продажи_исходные!A849,4,2))</f>
        <v>46095</v>
      </c>
      <c r="B849" t="str">
        <f>"АРТ-"&amp;LEFT(SUBSTITUTE(SUBSTITUTE(SUBSTITUTE(SUBSTITUTE(Продажи_исходные!B849,"№",""),"АРТ-",""),"АРТ_",""),"/","-"),3)</f>
        <v>АРТ-414</v>
      </c>
      <c r="C849" s="4">
        <f>IFERROR(VALUE(TRIM(SUBSTITUTE(SUBSTITUTE(SUBSTITUTE(SUBSTITUTE(Продажи_исходные!C849," шт.","")," шт",""),"шт.",""),"шт",""))),0)</f>
        <v>2</v>
      </c>
      <c r="D849" s="4">
        <f>IF(LEFT(Продажи_исходные!D849,1)="$",VALUE(MID(Продажи_исходные!D849,2,255))*95,IF(LEFT(Продажи_исходные!D849,1)="€",VALUE(MID(Продажи_исходные!D849,2,255))*100,VALUE(SUBSTITUTE(SUBSTITUTE(Продажи_исходные!D849,"₽","")," ",""))))</f>
        <v>7500</v>
      </c>
      <c r="E849" t="str">
        <f>Продажи_исходные!E849</f>
        <v>C0848</v>
      </c>
      <c r="F849" t="str">
        <f>Продажи_исходные!F849</f>
        <v>P022</v>
      </c>
      <c r="G849" t="str">
        <f>IFERROR(VLOOKUP(Продажи_исходные!G849,Справочники!$G$2:$H$50,2,FALSE),Продажи_исходные!G849)</f>
        <v>Завершен</v>
      </c>
      <c r="H849" s="4">
        <f>IFERROR(VLOOKUP(B849,Товары_очищенные!$A$1:$G$1000,6,FALSE),"нет в каталоге")</f>
        <v>57000</v>
      </c>
      <c r="I849" t="str">
        <f>IFERROR(VLOOKUP(B849,Товары_очищенные!$A$1:$G$1000,3,FALSE),"нет в каталоге")</f>
        <v>Мониторы</v>
      </c>
      <c r="J849" t="str">
        <f t="shared" si="38"/>
        <v>OK</v>
      </c>
    </row>
    <row r="850">
      <c r="A850" s="8">
        <f>DATE(RIGHT(Продажи_исходные!A850,4),LEFT(Продажи_исходные!A850,2),MID(Продажи_исходные!A850,4,2))</f>
        <v>46096</v>
      </c>
      <c r="B850" t="str">
        <f>"АРТ-"&amp;LEFT(SUBSTITUTE(SUBSTITUTE(SUBSTITUTE(SUBSTITUTE(Продажи_исходные!B850,"№",""),"АРТ-",""),"АРТ_",""),"/","-"),3)</f>
        <v>АРТ-333</v>
      </c>
      <c r="C850" s="4">
        <f>IFERROR(VALUE(TRIM(SUBSTITUTE(SUBSTITUTE(SUBSTITUTE(SUBSTITUTE(Продажи_исходные!C850," шт.","")," шт",""),"шт.",""),"шт",""))),0)</f>
        <v>3</v>
      </c>
      <c r="D850" s="4">
        <f>IF(LEFT(Продажи_исходные!D850,1)="$",VALUE(MID(Продажи_исходные!D850,2,255))*95,IF(LEFT(Продажи_исходные!D850,1)="€",VALUE(MID(Продажи_исходные!D850,2,255))*100,VALUE(SUBSTITUTE(SUBSTITUTE(Продажи_исходные!D850,"₽","")," ",""))))</f>
        <v>7000</v>
      </c>
      <c r="E850" t="str">
        <f>Продажи_исходные!E850</f>
        <v>C0849</v>
      </c>
      <c r="F850" t="str">
        <f>Продажи_исходные!F850</f>
        <v>P043</v>
      </c>
      <c r="G850" t="str">
        <f>IFERROR(VLOOKUP(Продажи_исходные!G850,Справочники!$G$2:$H$50,2,FALSE),Продажи_исходные!G850)</f>
        <v>Возврат</v>
      </c>
      <c r="H850" s="4">
        <f>IFERROR(VLOOKUP(B850,Товары_очищенные!$A$1:$G$1000,6,FALSE),"нет в каталоге")</f>
        <v>72000</v>
      </c>
      <c r="I850" t="str">
        <f>IFERROR(VLOOKUP(B850,Товары_очищенные!$A$1:$G$1000,3,FALSE),"нет в каталоге")</f>
        <v>Часы</v>
      </c>
      <c r="J850" t="str">
        <f t="shared" si="38"/>
        <v>OK</v>
      </c>
    </row>
    <row r="851">
      <c r="A851" s="8">
        <f>DATE(RIGHT(Продажи_исходные!A851,4),LEFT(Продажи_исходные!A851,2),MID(Продажи_исходные!A851,4,2))</f>
        <v>46096</v>
      </c>
      <c r="B851" t="str">
        <f>"АРТ-"&amp;LEFT(SUBSTITUTE(SUBSTITUTE(SUBSTITUTE(SUBSTITUTE(Продажи_исходные!B851,"№",""),"АРТ-",""),"АРТ_",""),"/","-"),3)</f>
        <v>АРТ-391</v>
      </c>
      <c r="C851" s="4">
        <f>IFERROR(VALUE(TRIM(SUBSTITUTE(SUBSTITUTE(SUBSTITUTE(SUBSTITUTE(Продажи_исходные!C851," шт.","")," шт",""),"шт.",""),"шт",""))),0)</f>
        <v>-2</v>
      </c>
      <c r="D851" s="4">
        <f>IF(LEFT(Продажи_исходные!D851,1)="$",VALUE(MID(Продажи_исходные!D851,2,255))*95,IF(LEFT(Продажи_исходные!D851,1)="€",VALUE(MID(Продажи_исходные!D851,2,255))*100,VALUE(SUBSTITUTE(SUBSTITUTE(Продажи_исходные!D851,"₽","")," ",""))))</f>
        <v>10925</v>
      </c>
      <c r="E851" t="str">
        <f>Продажи_исходные!E851</f>
        <v>C0850</v>
      </c>
      <c r="F851" t="str">
        <f>Продажи_исходные!F851</f>
        <v>P030</v>
      </c>
      <c r="G851" t="str">
        <f>IFERROR(VLOOKUP(Продажи_исходные!G851,Справочники!$G$2:$H$50,2,FALSE),Продажи_исходные!G851)</f>
        <v>Завершен</v>
      </c>
      <c r="H851" s="4">
        <f>IFERROR(VLOOKUP(B851,Товары_очищенные!$A$1:$G$1000,6,FALSE),"нет в каталоге")</f>
        <v>18990</v>
      </c>
      <c r="I851" t="str">
        <f>IFERROR(VLOOKUP(B851,Товары_очищенные!$A$1:$G$1000,3,FALSE),"нет в каталоге")</f>
        <v>Наушники</v>
      </c>
      <c r="J851" t="str">
        <f t="shared" si="38"/>
        <v>OK</v>
      </c>
    </row>
    <row r="852">
      <c r="A852" s="8">
        <f>DATE(RIGHT(Продажи_исходные!A852,4),LEFT(Продажи_исходные!A852,2),MID(Продажи_исходные!A852,4,2))</f>
        <v>46097</v>
      </c>
      <c r="B852" t="str">
        <f>"АРТ-"&amp;LEFT(SUBSTITUTE(SUBSTITUTE(SUBSTITUTE(SUBSTITUTE(Продажи_исходные!B852,"№",""),"АРТ-",""),"АРТ_",""),"/","-"),3)</f>
        <v>АРТ-348</v>
      </c>
      <c r="C852" s="4">
        <f>IFERROR(VALUE(TRIM(SUBSTITUTE(SUBSTITUTE(SUBSTITUTE(SUBSTITUTE(Продажи_исходные!C852," шт.","")," шт",""),"шт.",""),"шт",""))),0)</f>
        <v>1</v>
      </c>
      <c r="D852" s="4">
        <f>IF(LEFT(Продажи_исходные!D852,1)="$",VALUE(MID(Продажи_исходные!D852,2,255))*95,IF(LEFT(Продажи_исходные!D852,1)="€",VALUE(MID(Продажи_исходные!D852,2,255))*100,VALUE(SUBSTITUTE(SUBSTITUTE(Продажи_исходные!D852,"₽","")," ",""))))</f>
        <v>9500</v>
      </c>
      <c r="E852" t="str">
        <f>Продажи_исходные!E852</f>
        <v>C0851</v>
      </c>
      <c r="F852" t="str">
        <f>Продажи_исходные!F852</f>
        <v>P012</v>
      </c>
      <c r="G852" t="str">
        <f>IFERROR(VLOOKUP(Продажи_исходные!G852,Справочники!$G$2:$H$50,2,FALSE),Продажи_исходные!G852)</f>
        <v>Завершен</v>
      </c>
      <c r="H852" s="4">
        <f>IFERROR(VLOOKUP(B852,Товары_очищенные!$A$1:$G$1000,6,FALSE),"нет в каталоге")</f>
        <v>20800</v>
      </c>
      <c r="I852" t="str">
        <f>IFERROR(VLOOKUP(B852,Товары_очищенные!$A$1:$G$1000,3,FALSE),"нет в каталоге")</f>
        <v>Наушники</v>
      </c>
      <c r="J852" t="str">
        <f t="shared" si="38"/>
        <v>OK</v>
      </c>
    </row>
    <row r="853">
      <c r="A853" s="8">
        <f>DATE(RIGHT(Продажи_исходные!A853,4),LEFT(Продажи_исходные!A853,2),MID(Продажи_исходные!A853,4,2))</f>
        <v>46097</v>
      </c>
      <c r="B853" t="str">
        <f>"АРТ-"&amp;LEFT(SUBSTITUTE(SUBSTITUTE(SUBSTITUTE(SUBSTITUTE(Продажи_исходные!B853,"№",""),"АРТ-",""),"АРТ_",""),"/","-"),3)</f>
        <v>АРТ-248</v>
      </c>
      <c r="C853" s="4">
        <f>IFERROR(VALUE(TRIM(SUBSTITUTE(SUBSTITUTE(SUBSTITUTE(SUBSTITUTE(Продажи_исходные!C853," шт.","")," шт",""),"шт.",""),"шт",""))),0)</f>
        <v>2</v>
      </c>
      <c r="D853" s="4">
        <f>IF(LEFT(Продажи_исходные!D853,1)="$",VALUE(MID(Продажи_исходные!D853,2,255))*95,IF(LEFT(Продажи_исходные!D853,1)="€",VALUE(MID(Продажи_исходные!D853,2,255))*100,VALUE(SUBSTITUTE(SUBSTITUTE(Продажи_исходные!D853,"₽","")," ",""))))</f>
        <v>8500</v>
      </c>
      <c r="E853" t="str">
        <f>Продажи_исходные!E853</f>
        <v>C0852</v>
      </c>
      <c r="F853" t="str">
        <f>Продажи_исходные!F853</f>
        <v>P007</v>
      </c>
      <c r="G853" t="str">
        <f>IFERROR(VLOOKUP(Продажи_исходные!G853,Справочники!$G$2:$H$50,2,FALSE),Продажи_исходные!G853)</f>
        <v>Завершен</v>
      </c>
      <c r="H853" s="4">
        <f>IFERROR(VLOOKUP(B853,Товары_очищенные!$A$1:$G$1000,6,FALSE),"нет в каталоге")</f>
        <v>9500</v>
      </c>
      <c r="I853" t="str">
        <f>IFERROR(VLOOKUP(B853,Товары_очищенные!$A$1:$G$1000,3,FALSE),"нет в каталоге")</f>
        <v>Аксессуары</v>
      </c>
      <c r="J853" t="str">
        <f t="shared" si="38"/>
        <v>OK</v>
      </c>
    </row>
    <row r="854">
      <c r="A854" s="8">
        <f>DATE(RIGHT(Продажи_исходные!A854,4),LEFT(Продажи_исходные!A854,2),MID(Продажи_исходные!A854,4,2))</f>
        <v>46098</v>
      </c>
      <c r="B854" t="str">
        <f>"АРТ-"&amp;LEFT(SUBSTITUTE(SUBSTITUTE(SUBSTITUTE(SUBSTITUTE(Продажи_исходные!B854,"№",""),"АРТ-",""),"АРТ_",""),"/","-"),3)</f>
        <v>АРТ-075</v>
      </c>
      <c r="C854" s="4">
        <f>IFERROR(VALUE(TRIM(SUBSTITUTE(SUBSTITUTE(SUBSTITUTE(SUBSTITUTE(Продажи_исходные!C854," шт.","")," шт",""),"шт.",""),"шт",""))),0)</f>
        <v>3</v>
      </c>
      <c r="D854" s="4">
        <f>IF(LEFT(Продажи_исходные!D854,1)="$",VALUE(MID(Продажи_исходные!D854,2,255))*95,IF(LEFT(Продажи_исходные!D854,1)="€",VALUE(MID(Продажи_исходные!D854,2,255))*100,VALUE(SUBSTITUTE(SUBSTITUTE(Продажи_исходные!D854,"₽","")," ",""))))</f>
        <v>9975</v>
      </c>
      <c r="E854" t="str">
        <f>Продажи_исходные!E854</f>
        <v>C0853</v>
      </c>
      <c r="F854" t="str">
        <f>Продажи_исходные!F854</f>
        <v>P023</v>
      </c>
      <c r="G854" t="str">
        <f>IFERROR(VLOOKUP(Продажи_исходные!G854,Справочники!$G$2:$H$50,2,FALSE),Продажи_исходные!G854)</f>
        <v>Отменен</v>
      </c>
      <c r="H854" s="4">
        <f>IFERROR(VLOOKUP(B854,Товары_очищенные!$A$1:$G$1000,6,FALSE),"нет в каталоге")</f>
        <v>82000</v>
      </c>
      <c r="I854" t="str">
        <f>IFERROR(VLOOKUP(B854,Товары_очищенные!$A$1:$G$1000,3,FALSE),"нет в каталоге")</f>
        <v>Мониторы</v>
      </c>
      <c r="J854" t="str">
        <f t="shared" si="38"/>
        <v>OK</v>
      </c>
    </row>
    <row r="855">
      <c r="A855" s="8">
        <f>DATE(RIGHT(Продажи_исходные!A855,4),LEFT(Продажи_исходные!A855,2),MID(Продажи_исходные!A855,4,2))</f>
        <v>46098</v>
      </c>
      <c r="B855" t="str">
        <f>"АРТ-"&amp;LEFT(SUBSTITUTE(SUBSTITUTE(SUBSTITUTE(SUBSTITUTE(Продажи_исходные!B855,"№",""),"АРТ-",""),"АРТ_",""),"/","-"),3)</f>
        <v>АРТ-466</v>
      </c>
      <c r="C855" s="4">
        <f>IFERROR(VALUE(TRIM(SUBSTITUTE(SUBSTITUTE(SUBSTITUTE(SUBSTITUTE(Продажи_исходные!C855," шт.","")," шт",""),"шт.",""),"шт",""))),0)</f>
        <v>2</v>
      </c>
      <c r="D855" s="4">
        <f>IF(LEFT(Продажи_исходные!D855,1)="$",VALUE(MID(Продажи_исходные!D855,2,255))*95,IF(LEFT(Продажи_исходные!D855,1)="€",VALUE(MID(Продажи_исходные!D855,2,255))*100,VALUE(SUBSTITUTE(SUBSTITUTE(Продажи_исходные!D855,"₽","")," ",""))))</f>
        <v>8500</v>
      </c>
      <c r="E855" t="str">
        <f>Продажи_исходные!E855</f>
        <v>C0854</v>
      </c>
      <c r="F855" t="str">
        <f>Продажи_исходные!F855</f>
        <v>P045</v>
      </c>
      <c r="G855" t="str">
        <f>IFERROR(VLOOKUP(Продажи_исходные!G855,Справочники!$G$2:$H$50,2,FALSE),Продажи_исходные!G855)</f>
        <v>Отменен</v>
      </c>
      <c r="H855" s="4">
        <f>IFERROR(VLOOKUP(B855,Товары_очищенные!$A$1:$G$1000,6,FALSE),"нет в каталоге")</f>
        <v>22990</v>
      </c>
      <c r="I855" t="str">
        <f>IFERROR(VLOOKUP(B855,Товары_очищенные!$A$1:$G$1000,3,FALSE),"нет в каталоге")</f>
        <v>Смартфоны</v>
      </c>
      <c r="J855" t="str">
        <f t="shared" si="38"/>
        <v>OK</v>
      </c>
    </row>
    <row r="856">
      <c r="A856" s="8">
        <f>DATE(RIGHT(Продажи_исходные!A856,4),LEFT(Продажи_исходные!A856,2),MID(Продажи_исходные!A856,4,2))</f>
        <v>46099</v>
      </c>
      <c r="B856" t="str">
        <f>"АРТ-"&amp;LEFT(SUBSTITUTE(SUBSTITUTE(SUBSTITUTE(SUBSTITUTE(Продажи_исходные!B856,"№",""),"АРТ-",""),"АРТ_",""),"/","-"),3)</f>
        <v>АРТ-324</v>
      </c>
      <c r="C856" s="4">
        <f>IFERROR(VALUE(TRIM(SUBSTITUTE(SUBSTITUTE(SUBSTITUTE(SUBSTITUTE(Продажи_исходные!C856," шт.","")," шт",""),"шт.",""),"шт",""))),0)</f>
        <v>1</v>
      </c>
      <c r="D856" s="4">
        <f>IF(LEFT(Продажи_исходные!D856,1)="$",VALUE(MID(Продажи_исходные!D856,2,255))*95,IF(LEFT(Продажи_исходные!D856,1)="€",VALUE(MID(Продажи_исходные!D856,2,255))*100,VALUE(SUBSTITUTE(SUBSTITUTE(Продажи_исходные!D856,"₽","")," ",""))))</f>
        <v>7800</v>
      </c>
      <c r="E856" t="str">
        <f>Продажи_исходные!E856</f>
        <v>C0855</v>
      </c>
      <c r="F856" t="str">
        <f>Продажи_исходные!F856</f>
        <v>P008</v>
      </c>
      <c r="G856" t="str">
        <f>IFERROR(VLOOKUP(Продажи_исходные!G856,Справочники!$G$2:$H$50,2,FALSE),Продажи_исходные!G856)</f>
        <v>Возврат</v>
      </c>
      <c r="H856" s="4">
        <f>IFERROR(VLOOKUP(B856,Товары_очищенные!$A$1:$G$1000,6,FALSE),"нет в каталоге")</f>
        <v>13800</v>
      </c>
      <c r="I856" t="str">
        <f>IFERROR(VLOOKUP(B856,Товары_очищенные!$A$1:$G$1000,3,FALSE),"нет в каталоге")</f>
        <v>Наушники</v>
      </c>
      <c r="J856" t="str">
        <f t="shared" si="38"/>
        <v>OK</v>
      </c>
    </row>
    <row r="857">
      <c r="A857" s="8">
        <f>DATE(RIGHT(Продажи_исходные!A857,4),LEFT(Продажи_исходные!A857,2),MID(Продажи_исходные!A857,4,2))</f>
        <v>46099</v>
      </c>
      <c r="B857" t="str">
        <f>"АРТ-"&amp;LEFT(SUBSTITUTE(SUBSTITUTE(SUBSTITUTE(SUBSTITUTE(Продажи_исходные!B857,"№",""),"АРТ-",""),"АРТ_",""),"/","-"),3)</f>
        <v>АРТ-306</v>
      </c>
      <c r="C857" s="4">
        <f>IFERROR(VALUE(TRIM(SUBSTITUTE(SUBSTITUTE(SUBSTITUTE(SUBSTITUTE(Продажи_исходные!C857," шт.","")," шт",""),"шт.",""),"шт",""))),0)</f>
        <v>-3</v>
      </c>
      <c r="D857" s="4">
        <f>IF(LEFT(Продажи_исходные!D857,1)="$",VALUE(MID(Продажи_исходные!D857,2,255))*95,IF(LEFT(Продажи_исходные!D857,1)="€",VALUE(MID(Продажи_исходные!D857,2,255))*100,VALUE(SUBSTITUTE(SUBSTITUTE(Продажи_исходные!D857,"₽","")," ",""))))</f>
        <v>11400</v>
      </c>
      <c r="E857" t="str">
        <f>Продажи_исходные!E857</f>
        <v>C0856</v>
      </c>
      <c r="F857" t="str">
        <f>Продажи_исходные!F857</f>
        <v>P031</v>
      </c>
      <c r="G857" t="str">
        <f>IFERROR(VLOOKUP(Продажи_исходные!G857,Справочники!$G$2:$H$50,2,FALSE),Продажи_исходные!G857)</f>
        <v>Завершен</v>
      </c>
      <c r="H857" s="4">
        <f>IFERROR(VLOOKUP(B857,Товары_очищенные!$A$1:$G$1000,6,FALSE),"нет в каталоге")</f>
        <v>62000</v>
      </c>
      <c r="I857" t="str">
        <f>IFERROR(VLOOKUP(B857,Товары_очищенные!$A$1:$G$1000,3,FALSE),"нет в каталоге")</f>
        <v>Мониторы</v>
      </c>
      <c r="J857" t="str">
        <f t="shared" si="38"/>
        <v>OK</v>
      </c>
    </row>
    <row r="858">
      <c r="A858" s="8">
        <f>DATE(RIGHT(Продажи_исходные!A858,4),LEFT(Продажи_исходные!A858,2),MID(Продажи_исходные!A858,4,2))</f>
        <v>46100</v>
      </c>
      <c r="B858" t="str">
        <f>"АРТ-"&amp;LEFT(SUBSTITUTE(SUBSTITUTE(SUBSTITUTE(SUBSTITUTE(Продажи_исходные!B858,"№",""),"АРТ-",""),"АРТ_",""),"/","-"),3)</f>
        <v>АРТ-291</v>
      </c>
      <c r="C858" s="4">
        <f>IFERROR(VALUE(TRIM(SUBSTITUTE(SUBSTITUTE(SUBSTITUTE(SUBSTITUTE(Продажи_исходные!C858," шт.","")," шт",""),"шт.",""),"шт",""))),0)</f>
        <v>2</v>
      </c>
      <c r="D858" s="4">
        <f>IF(LEFT(Продажи_исходные!D858,1)="$",VALUE(MID(Продажи_исходные!D858,2,255))*95,IF(LEFT(Продажи_исходные!D858,1)="€",VALUE(MID(Продажи_исходные!D858,2,255))*100,VALUE(SUBSTITUTE(SUBSTITUTE(Продажи_исходные!D858,"₽","")," ",""))))</f>
        <v>10000</v>
      </c>
      <c r="E858" t="str">
        <f>Продажи_исходные!E858</f>
        <v>C0857</v>
      </c>
      <c r="F858" t="str">
        <f>Продажи_исходные!F858</f>
        <v>P019</v>
      </c>
      <c r="G858" t="str">
        <f>IFERROR(VLOOKUP(Продажи_исходные!G858,Справочники!$G$2:$H$50,2,FALSE),Продажи_исходные!G858)</f>
        <v>Завершен</v>
      </c>
      <c r="H858" s="4">
        <f>IFERROR(VLOOKUP(B858,Товары_очищенные!$A$1:$G$1000,6,FALSE),"нет в каталоге")</f>
        <v>65000</v>
      </c>
      <c r="I858" t="str">
        <f>IFERROR(VLOOKUP(B858,Товары_очищенные!$A$1:$G$1000,3,FALSE),"нет в каталоге")</f>
        <v>Часы</v>
      </c>
      <c r="J858" t="str">
        <f t="shared" si="38"/>
        <v>OK</v>
      </c>
    </row>
    <row r="859">
      <c r="A859" s="8">
        <f>DATE(RIGHT(Продажи_исходные!A859,4),LEFT(Продажи_исходные!A859,2),MID(Продажи_исходные!A859,4,2))</f>
        <v>46100</v>
      </c>
      <c r="B859" t="str">
        <f>"АРТ-"&amp;LEFT(SUBSTITUTE(SUBSTITUTE(SUBSTITUTE(SUBSTITUTE(Продажи_исходные!B859,"№",""),"АРТ-",""),"АРТ_",""),"/","-"),3)</f>
        <v>АРТ-293</v>
      </c>
      <c r="C859" s="4">
        <f>IFERROR(VALUE(TRIM(SUBSTITUTE(SUBSTITUTE(SUBSTITUTE(SUBSTITUTE(Продажи_исходные!C859," шт.","")," шт",""),"шт.",""),"шт",""))),0)</f>
        <v>1</v>
      </c>
      <c r="D859" s="4">
        <f>IF(LEFT(Продажи_исходные!D859,1)="$",VALUE(MID(Продажи_исходные!D859,2,255))*95,IF(LEFT(Продажи_исходные!D859,1)="€",VALUE(MID(Продажи_исходные!D859,2,255))*100,VALUE(SUBSTITUTE(SUBSTITUTE(Продажи_исходные!D859,"₽","")," ",""))))</f>
        <v>9200</v>
      </c>
      <c r="E859" t="str">
        <f>Продажи_исходные!E859</f>
        <v>C0858</v>
      </c>
      <c r="F859" t="str">
        <f>Продажи_исходные!F859</f>
        <v>P042</v>
      </c>
      <c r="G859" t="str">
        <f>IFERROR(VLOOKUP(Продажи_исходные!G859,Справочники!$G$2:$H$50,2,FALSE),Продажи_исходные!G859)</f>
        <v>Завершен</v>
      </c>
      <c r="H859" s="4">
        <f>IFERROR(VLOOKUP(B859,Товары_очищенные!$A$1:$G$1000,6,FALSE),"нет в каталоге")</f>
        <v>132000</v>
      </c>
      <c r="I859" t="str">
        <f>IFERROR(VLOOKUP(B859,Товары_очищенные!$A$1:$G$1000,3,FALSE),"нет в каталоге")</f>
        <v>Ноутбуки</v>
      </c>
      <c r="J859" t="str">
        <f t="shared" si="38"/>
        <v>OK</v>
      </c>
    </row>
    <row r="860">
      <c r="A860" s="8">
        <f>DATE(RIGHT(Продажи_исходные!A860,4),LEFT(Продажи_исходные!A860,2),MID(Продажи_исходные!A860,4,2))</f>
        <v>46101</v>
      </c>
      <c r="B860" t="str">
        <f>"АРТ-"&amp;LEFT(SUBSTITUTE(SUBSTITUTE(SUBSTITUTE(SUBSTITUTE(Продажи_исходные!B860,"№",""),"АРТ-",""),"АРТ_",""),"/","-"),3)</f>
        <v>АРТ-113</v>
      </c>
      <c r="C860" s="4">
        <f>IFERROR(VALUE(TRIM(SUBSTITUTE(SUBSTITUTE(SUBSTITUTE(SUBSTITUTE(Продажи_исходные!C860," шт.","")," шт",""),"шт.",""),"шт",""))),0)</f>
        <v>3</v>
      </c>
      <c r="D860" s="4">
        <f>IF(LEFT(Продажи_исходные!D860,1)="$",VALUE(MID(Продажи_исходные!D860,2,255))*95,IF(LEFT(Продажи_исходные!D860,1)="€",VALUE(MID(Продажи_исходные!D860,2,255))*100,VALUE(SUBSTITUTE(SUBSTITUTE(Продажи_исходные!D860,"₽","")," ",""))))</f>
        <v>8550</v>
      </c>
      <c r="E860" t="str">
        <f>Продажи_исходные!E860</f>
        <v>C0859</v>
      </c>
      <c r="F860" t="str">
        <f>Продажи_исходные!F860</f>
        <v>P005</v>
      </c>
      <c r="G860" t="str">
        <f>IFERROR(VLOOKUP(Продажи_исходные!G860,Справочники!$G$2:$H$50,2,FALSE),Продажи_исходные!G860)</f>
        <v>Отменен</v>
      </c>
      <c r="H860" s="4">
        <f>IFERROR(VLOOKUP(B860,Товары_очищенные!$A$1:$G$1000,6,FALSE),"нет в каталоге")</f>
        <v>33500</v>
      </c>
      <c r="I860" t="str">
        <f>IFERROR(VLOOKUP(B860,Товары_очищенные!$A$1:$G$1000,3,FALSE),"нет в каталоге")</f>
        <v>Наушники</v>
      </c>
      <c r="J860" t="str">
        <f t="shared" si="38"/>
        <v>OK</v>
      </c>
    </row>
    <row r="861">
      <c r="A861" s="8">
        <f>DATE(RIGHT(Продажи_исходные!A861,4),LEFT(Продажи_исходные!A861,2),MID(Продажи_исходные!A861,4,2))</f>
        <v>46101</v>
      </c>
      <c r="B861" t="str">
        <f>"АРТ-"&amp;LEFT(SUBSTITUTE(SUBSTITUTE(SUBSTITUTE(SUBSTITUTE(Продажи_исходные!B861,"№",""),"АРТ-",""),"АРТ_",""),"/","-"),3)</f>
        <v>АРТ-438</v>
      </c>
      <c r="C861" s="4">
        <f>IFERROR(VALUE(TRIM(SUBSTITUTE(SUBSTITUTE(SUBSTITUTE(SUBSTITUTE(Продажи_исходные!C861," шт.","")," шт",""),"шт.",""),"шт",""))),0)</f>
        <v>2</v>
      </c>
      <c r="D861" s="4">
        <f>IF(LEFT(Продажи_исходные!D861,1)="$",VALUE(MID(Продажи_исходные!D861,2,255))*95,IF(LEFT(Продажи_исходные!D861,1)="€",VALUE(MID(Продажи_исходные!D861,2,255))*100,VALUE(SUBSTITUTE(SUBSTITUTE(Продажи_исходные!D861,"₽","")," ",""))))</f>
        <v>7000</v>
      </c>
      <c r="E861" t="str">
        <f>Продажи_исходные!E861</f>
        <v>C0860</v>
      </c>
      <c r="F861" t="str">
        <f>Продажи_исходные!F861</f>
        <v>P036</v>
      </c>
      <c r="G861" t="str">
        <f>IFERROR(VLOOKUP(Продажи_исходные!G861,Справочники!$G$2:$H$50,2,FALSE),Продажи_исходные!G861)</f>
        <v>Отменен</v>
      </c>
      <c r="H861" s="4">
        <f>IFERROR(VLOOKUP(B861,Товары_очищенные!$A$1:$G$1000,6,FALSE),"нет в каталоге")</f>
        <v>6800</v>
      </c>
      <c r="I861" t="str">
        <f>IFERROR(VLOOKUP(B861,Товары_очищенные!$A$1:$G$1000,3,FALSE),"нет в каталоге")</f>
        <v>Аксессуары</v>
      </c>
      <c r="J861" t="str">
        <f t="shared" si="38"/>
        <v>OK</v>
      </c>
    </row>
    <row r="862">
      <c r="A862" s="8">
        <f>DATE(RIGHT(Продажи_исходные!A862,4),LEFT(Продажи_исходные!A862,2),MID(Продажи_исходные!A862,4,2))</f>
        <v>46102</v>
      </c>
      <c r="B862" t="str">
        <f>"АРТ-"&amp;LEFT(SUBSTITUTE(SUBSTITUTE(SUBSTITUTE(SUBSTITUTE(Продажи_исходные!B862,"№",""),"АРТ-",""),"АРТ_",""),"/","-"),3)</f>
        <v>АРТ-334</v>
      </c>
      <c r="C862" s="4">
        <f>IFERROR(VALUE(TRIM(SUBSTITUTE(SUBSTITUTE(SUBSTITUTE(SUBSTITUTE(Продажи_исходные!C862," шт.","")," шт",""),"шт.",""),"шт",""))),0)</f>
        <v>1</v>
      </c>
      <c r="D862" s="4">
        <f>IF(LEFT(Продажи_исходные!D862,1)="$",VALUE(MID(Продажи_исходные!D862,2,255))*95,IF(LEFT(Продажи_исходные!D862,1)="€",VALUE(MID(Продажи_исходные!D862,2,255))*100,VALUE(SUBSTITUTE(SUBSTITUTE(Продажи_исходные!D862,"₽","")," ",""))))</f>
        <v>6500</v>
      </c>
      <c r="E862" t="str">
        <f>Продажи_исходные!E862</f>
        <v>C0861</v>
      </c>
      <c r="F862" t="str">
        <f>Продажи_исходные!F862</f>
        <v>P014</v>
      </c>
      <c r="G862" t="str">
        <f>IFERROR(VLOOKUP(Продажи_исходные!G862,Справочники!$G$2:$H$50,2,FALSE),Продажи_исходные!G862)</f>
        <v>Завершен</v>
      </c>
      <c r="H862" s="4">
        <f>IFERROR(VLOOKUP(B862,Товары_очищенные!$A$1:$G$1000,6,FALSE),"нет в каталоге")</f>
        <v>48990</v>
      </c>
      <c r="I862" t="str">
        <f>IFERROR(VLOOKUP(B862,Товары_очищенные!$A$1:$G$1000,3,FALSE),"нет в каталоге")</f>
        <v>Планшеты</v>
      </c>
      <c r="J862" t="str">
        <f t="shared" si="38"/>
        <v>OK</v>
      </c>
    </row>
    <row r="863">
      <c r="A863" s="8">
        <f>DATE(RIGHT(Продажи_исходные!A863,4),LEFT(Продажи_исходные!A863,2),MID(Продажи_исходные!A863,4,2))</f>
        <v>46102</v>
      </c>
      <c r="B863" t="str">
        <f>"АРТ-"&amp;LEFT(SUBSTITUTE(SUBSTITUTE(SUBSTITUTE(SUBSTITUTE(Продажи_исходные!B863,"№",""),"АРТ-",""),"АРТ_",""),"/","-"),3)</f>
        <v>АРТ-402</v>
      </c>
      <c r="C863" s="4">
        <f>IFERROR(VALUE(TRIM(SUBSTITUTE(SUBSTITUTE(SUBSTITUTE(SUBSTITUTE(Продажи_исходные!C863," шт.","")," шт",""),"шт.",""),"шт",""))),0)</f>
        <v>-1</v>
      </c>
      <c r="D863" s="4">
        <f>IF(LEFT(Продажи_исходные!D863,1)="$",VALUE(MID(Продажи_исходные!D863,2,255))*95,IF(LEFT(Продажи_исходные!D863,1)="€",VALUE(MID(Продажи_исходные!D863,2,255))*100,VALUE(SUBSTITUTE(SUBSTITUTE(Продажи_исходные!D863,"₽","")," ",""))))</f>
        <v>10450</v>
      </c>
      <c r="E863" t="str">
        <f>Продажи_исходные!E863</f>
        <v>C0862</v>
      </c>
      <c r="F863" t="str">
        <f>Продажи_исходные!F863</f>
        <v>P028</v>
      </c>
      <c r="G863" t="str">
        <f>IFERROR(VLOOKUP(Продажи_исходные!G863,Справочники!$G$2:$H$50,2,FALSE),Продажи_исходные!G863)</f>
        <v>Возврат</v>
      </c>
      <c r="H863" s="4">
        <f>IFERROR(VLOOKUP(B863,Товары_очищенные!$A$1:$G$1000,6,FALSE),"нет в каталоге")</f>
        <v>21000</v>
      </c>
      <c r="I863" t="str">
        <f>IFERROR(VLOOKUP(B863,Товары_очищенные!$A$1:$G$1000,3,FALSE),"нет в каталоге")</f>
        <v>Смартфоны</v>
      </c>
      <c r="J863" t="str">
        <f t="shared" si="38"/>
        <v>OK</v>
      </c>
    </row>
    <row r="864">
      <c r="A864" s="8">
        <f>DATE(RIGHT(Продажи_исходные!A864,4),LEFT(Продажи_исходные!A864,2),MID(Продажи_исходные!A864,4,2))</f>
        <v>46103</v>
      </c>
      <c r="B864" t="str">
        <f>"АРТ-"&amp;LEFT(SUBSTITUTE(SUBSTITUTE(SUBSTITUTE(SUBSTITUTE(Продажи_исходные!B864,"№",""),"АРТ-",""),"АРТ_",""),"/","-"),3)</f>
        <v>АРТ-296</v>
      </c>
      <c r="C864" s="4">
        <f>IFERROR(VALUE(TRIM(SUBSTITUTE(SUBSTITUTE(SUBSTITUTE(SUBSTITUTE(Продажи_исходные!C864," шт.","")," шт",""),"шт.",""),"шт",""))),0)</f>
        <v>3</v>
      </c>
      <c r="D864" s="4">
        <f>IF(LEFT(Продажи_исходные!D864,1)="$",VALUE(MID(Продажи_исходные!D864,2,255))*95,IF(LEFT(Продажи_исходные!D864,1)="€",VALUE(MID(Продажи_исходные!D864,2,255))*100,VALUE(SUBSTITUTE(SUBSTITUTE(Продажи_исходные!D864,"₽","")," ",""))))</f>
        <v>9000</v>
      </c>
      <c r="E864" t="str">
        <f>Продажи_исходные!E864</f>
        <v>C0863</v>
      </c>
      <c r="F864" t="str">
        <f>Продажи_исходные!F864</f>
        <v>P009</v>
      </c>
      <c r="G864" t="str">
        <f>IFERROR(VLOOKUP(Продажи_исходные!G864,Справочники!$G$2:$H$50,2,FALSE),Продажи_исходные!G864)</f>
        <v>Завершен</v>
      </c>
      <c r="H864" s="4">
        <f>IFERROR(VLOOKUP(B864,Товары_очищенные!$A$1:$G$1000,6,FALSE),"нет в каталоге")</f>
        <v>33500</v>
      </c>
      <c r="I864" t="str">
        <f>IFERROR(VLOOKUP(B864,Товары_очищенные!$A$1:$G$1000,3,FALSE),"нет в каталоге")</f>
        <v>Смартфоны</v>
      </c>
      <c r="J864" t="str">
        <f t="shared" si="38"/>
        <v>OK</v>
      </c>
    </row>
    <row r="865">
      <c r="A865" s="8">
        <f>DATE(RIGHT(Продажи_исходные!A865,4),LEFT(Продажи_исходные!A865,2),MID(Продажи_исходные!A865,4,2))</f>
        <v>46103</v>
      </c>
      <c r="B865" t="str">
        <f>"АРТ-"&amp;LEFT(SUBSTITUTE(SUBSTITUTE(SUBSTITUTE(SUBSTITUTE(Продажи_исходные!B865,"№",""),"АРТ-",""),"АРТ_",""),"/","-"),3)</f>
        <v>АРТ-132</v>
      </c>
      <c r="C865" s="4">
        <f>IFERROR(VALUE(TRIM(SUBSTITUTE(SUBSTITUTE(SUBSTITUTE(SUBSTITUTE(Продажи_исходные!C865," шт.","")," шт",""),"шт.",""),"шт",""))),0)</f>
        <v>2</v>
      </c>
      <c r="D865" s="4">
        <f>IF(LEFT(Продажи_исходные!D865,1)="$",VALUE(MID(Продажи_исходные!D865,2,255))*95,IF(LEFT(Продажи_исходные!D865,1)="€",VALUE(MID(Продажи_исходные!D865,2,255))*100,VALUE(SUBSTITUTE(SUBSTITUTE(Продажи_исходные!D865,"₽","")," ",""))))</f>
        <v>8000</v>
      </c>
      <c r="E865" t="str">
        <f>Продажи_исходные!E865</f>
        <v>C0864</v>
      </c>
      <c r="F865" t="str">
        <f>Продажи_исходные!F865</f>
        <v>P041</v>
      </c>
      <c r="G865" t="str">
        <f>IFERROR(VLOOKUP(Продажи_исходные!G865,Справочники!$G$2:$H$50,2,FALSE),Продажи_исходные!G865)</f>
        <v>Завершен</v>
      </c>
      <c r="H865" s="4">
        <f>IFERROR(VLOOKUP(B865,Товары_очищенные!$A$1:$G$1000,6,FALSE),"нет в каталоге")</f>
        <v>44500</v>
      </c>
      <c r="I865" t="str">
        <f>IFERROR(VLOOKUP(B865,Товары_очищенные!$A$1:$G$1000,3,FALSE),"нет в каталоге")</f>
        <v>Планшеты</v>
      </c>
      <c r="J865" t="str">
        <f t="shared" si="38"/>
        <v>OK</v>
      </c>
    </row>
    <row r="866">
      <c r="A866" s="8">
        <f>DATE(RIGHT(Продажи_исходные!A866,4),LEFT(Продажи_исходные!A866,2),MID(Продажи_исходные!A866,4,2))</f>
        <v>46104</v>
      </c>
      <c r="B866" t="str">
        <f>"АРТ-"&amp;LEFT(SUBSTITUTE(SUBSTITUTE(SUBSTITUTE(SUBSTITUTE(Продажи_исходные!B866,"№",""),"АРТ-",""),"АРТ_",""),"/","-"),3)</f>
        <v>АРТ-150</v>
      </c>
      <c r="C866" s="4">
        <f>IFERROR(VALUE(TRIM(SUBSTITUTE(SUBSTITUTE(SUBSTITUTE(SUBSTITUTE(Продажи_исходные!C866," шт.","")," шт",""),"шт.",""),"шт",""))),0)</f>
        <v>1</v>
      </c>
      <c r="D866" s="4">
        <f>IF(LEFT(Продажи_исходные!D866,1)="$",VALUE(MID(Продажи_исходные!D866,2,255))*95,IF(LEFT(Продажи_исходные!D866,1)="€",VALUE(MID(Продажи_исходные!D866,2,255))*100,VALUE(SUBSTITUTE(SUBSTITUTE(Продажи_исходные!D866,"₽","")," ",""))))</f>
        <v>9025</v>
      </c>
      <c r="E866" t="str">
        <f>Продажи_исходные!E866</f>
        <v>C0865</v>
      </c>
      <c r="F866" t="str">
        <f>Продажи_исходные!F866</f>
        <v>P017</v>
      </c>
      <c r="G866" t="str">
        <f>IFERROR(VLOOKUP(Продажи_исходные!G866,Справочники!$G$2:$H$50,2,FALSE),Продажи_исходные!G866)</f>
        <v>Завершен</v>
      </c>
      <c r="H866" s="4">
        <f>IFERROR(VLOOKUP(B866,Товары_очищенные!$A$1:$G$1000,6,FALSE),"нет в каталоге")</f>
        <v>142500</v>
      </c>
      <c r="I866" t="str">
        <f>IFERROR(VLOOKUP(B866,Товары_очищенные!$A$1:$G$1000,3,FALSE),"нет в каталоге")</f>
        <v>Ноутбуки</v>
      </c>
      <c r="J866" t="str">
        <f t="shared" si="38"/>
        <v>OK</v>
      </c>
    </row>
    <row r="867">
      <c r="A867" s="8">
        <f>DATE(RIGHT(Продажи_исходные!A867,4),LEFT(Продажи_исходные!A867,2),MID(Продажи_исходные!A867,4,2))</f>
        <v>46104</v>
      </c>
      <c r="B867" t="str">
        <f>"АРТ-"&amp;LEFT(SUBSTITUTE(SUBSTITUTE(SUBSTITUTE(SUBSTITUTE(Продажи_исходные!B867,"№",""),"АРТ-",""),"АРТ_",""),"/","-"),3)</f>
        <v>АРТ-478</v>
      </c>
      <c r="C867" s="4">
        <f>IFERROR(VALUE(TRIM(SUBSTITUTE(SUBSTITUTE(SUBSTITUTE(SUBSTITUTE(Продажи_исходные!C867," шт.","")," шт",""),"шт.",""),"шт",""))),0)</f>
        <v>2</v>
      </c>
      <c r="D867" s="4">
        <f>IF(LEFT(Продажи_исходные!D867,1)="$",VALUE(MID(Продажи_исходные!D867,2,255))*95,IF(LEFT(Продажи_исходные!D867,1)="€",VALUE(MID(Продажи_исходные!D867,2,255))*100,VALUE(SUBSTITUTE(SUBSTITUTE(Продажи_исходные!D867,"₽","")," ",""))))</f>
        <v>7500</v>
      </c>
      <c r="E867" t="str">
        <f>Продажи_исходные!E867</f>
        <v>C0866</v>
      </c>
      <c r="F867" t="str">
        <f>Продажи_исходные!F867</f>
        <v>P032</v>
      </c>
      <c r="G867" t="str">
        <f>IFERROR(VLOOKUP(Продажи_исходные!G867,Справочники!$G$2:$H$50,2,FALSE),Продажи_исходные!G867)</f>
        <v>Отменен</v>
      </c>
      <c r="H867" s="4">
        <f>IFERROR(VLOOKUP(B867,Товары_очищенные!$A$1:$G$1000,6,FALSE),"нет в каталоге")</f>
        <v>12990</v>
      </c>
      <c r="I867" t="str">
        <f>IFERROR(VLOOKUP(B867,Товары_очищенные!$A$1:$G$1000,3,FALSE),"нет в каталоге")</f>
        <v>Аксессуары</v>
      </c>
      <c r="J867" t="str">
        <f t="shared" si="38"/>
        <v>OK</v>
      </c>
    </row>
    <row r="868">
      <c r="A868" s="8">
        <f>DATE(RIGHT(Продажи_исходные!A868,4),LEFT(Продажи_исходные!A868,2),MID(Продажи_исходные!A868,4,2))</f>
        <v>46105</v>
      </c>
      <c r="B868" t="str">
        <f>"АРТ-"&amp;LEFT(SUBSTITUTE(SUBSTITUTE(SUBSTITUTE(SUBSTITUTE(Продажи_исходные!B868,"№",""),"АРТ-",""),"АРТ_",""),"/","-"),3)</f>
        <v>АРТ-300</v>
      </c>
      <c r="C868" s="4">
        <f>IFERROR(VALUE(TRIM(SUBSTITUTE(SUBSTITUTE(SUBSTITUTE(SUBSTITUTE(Продажи_исходные!C868," шт.","")," шт",""),"шт.",""),"шт",""))),0)</f>
        <v>3</v>
      </c>
      <c r="D868" s="4">
        <f>IF(LEFT(Продажи_исходные!D868,1)="$",VALUE(MID(Продажи_исходные!D868,2,255))*95,IF(LEFT(Продажи_исходные!D868,1)="€",VALUE(MID(Продажи_исходные!D868,2,255))*100,VALUE(SUBSTITUTE(SUBSTITUTE(Продажи_исходные!D868,"₽","")," ",""))))</f>
        <v>7000</v>
      </c>
      <c r="E868" t="str">
        <f>Продажи_исходные!E868</f>
        <v>C0867</v>
      </c>
      <c r="F868" t="str">
        <f>Продажи_исходные!F868</f>
        <v>P049</v>
      </c>
      <c r="G868" t="str">
        <f>IFERROR(VLOOKUP(Продажи_исходные!G868,Справочники!$G$2:$H$50,2,FALSE),Продажи_исходные!G868)</f>
        <v>Отменен</v>
      </c>
      <c r="H868" s="4">
        <f>IFERROR(VLOOKUP(B868,Товары_очищенные!$A$1:$G$1000,6,FALSE),"нет в каталоге")</f>
        <v>68000</v>
      </c>
      <c r="I868" t="str">
        <f>IFERROR(VLOOKUP(B868,Товары_очищенные!$A$1:$G$1000,3,FALSE),"нет в каталоге")</f>
        <v>Телевизоры</v>
      </c>
      <c r="J868" t="str">
        <f t="shared" ref="J868:J931" si="39">IF(D868&gt;0,"OK","Некорректная цена")</f>
        <v>OK</v>
      </c>
    </row>
    <row r="869">
      <c r="A869" s="8">
        <f>DATE(RIGHT(Продажи_исходные!A869,4),LEFT(Продажи_исходные!A869,2),MID(Продажи_исходные!A869,4,2))</f>
        <v>46105</v>
      </c>
      <c r="B869" t="str">
        <f>"АРТ-"&amp;LEFT(SUBSTITUTE(SUBSTITUTE(SUBSTITUTE(SUBSTITUTE(Продажи_исходные!B869,"№",""),"АРТ-",""),"АРТ_",""),"/","-"),3)</f>
        <v>АРТ-236</v>
      </c>
      <c r="C869" s="4">
        <f>IFERROR(VALUE(TRIM(SUBSTITUTE(SUBSTITUTE(SUBSTITUTE(SUBSTITUTE(Продажи_исходные!C869," шт.","")," шт",""),"шт.",""),"шт",""))),0)</f>
        <v>-2</v>
      </c>
      <c r="D869" s="4">
        <f>IF(LEFT(Продажи_исходные!D869,1)="$",VALUE(MID(Продажи_исходные!D869,2,255))*95,IF(LEFT(Продажи_исходные!D869,1)="€",VALUE(MID(Продажи_исходные!D869,2,255))*100,VALUE(SUBSTITUTE(SUBSTITUTE(Продажи_исходные!D869,"₽","")," ",""))))</f>
        <v>10925</v>
      </c>
      <c r="E869" t="str">
        <f>Продажи_исходные!E869</f>
        <v>C0868</v>
      </c>
      <c r="F869" t="str">
        <f>Продажи_исходные!F869</f>
        <v>P006</v>
      </c>
      <c r="G869" t="str">
        <f>IFERROR(VLOOKUP(Продажи_исходные!G869,Справочники!$G$2:$H$50,2,FALSE),Продажи_исходные!G869)</f>
        <v>Возврат</v>
      </c>
      <c r="H869" s="4">
        <f>IFERROR(VLOOKUP(B869,Товары_очищенные!$A$1:$G$1000,6,FALSE),"нет в каталоге")</f>
        <v>58000</v>
      </c>
      <c r="I869" t="str">
        <f>IFERROR(VLOOKUP(B869,Товары_очищенные!$A$1:$G$1000,3,FALSE),"нет в каталоге")</f>
        <v>Планшеты</v>
      </c>
      <c r="J869" t="str">
        <f t="shared" si="39"/>
        <v>OK</v>
      </c>
    </row>
    <row r="870">
      <c r="A870" s="8">
        <f>DATE(RIGHT(Продажи_исходные!A870,4),LEFT(Продажи_исходные!A870,2),MID(Продажи_исходные!A870,4,2))</f>
        <v>46106</v>
      </c>
      <c r="B870" t="str">
        <f>"АРТ-"&amp;LEFT(SUBSTITUTE(SUBSTITUTE(SUBSTITUTE(SUBSTITUTE(Продажи_исходные!B870,"№",""),"АРТ-",""),"АРТ_",""),"/","-"),3)</f>
        <v>АРТ-355</v>
      </c>
      <c r="C870" s="4">
        <f>IFERROR(VALUE(TRIM(SUBSTITUTE(SUBSTITUTE(SUBSTITUTE(SUBSTITUTE(Продажи_исходные!C870," шт.","")," шт",""),"шт.",""),"шт",""))),0)</f>
        <v>1</v>
      </c>
      <c r="D870" s="4">
        <f>IF(LEFT(Продажи_исходные!D870,1)="$",VALUE(MID(Продажи_исходные!D870,2,255))*95,IF(LEFT(Продажи_исходные!D870,1)="€",VALUE(MID(Продажи_исходные!D870,2,255))*100,VALUE(SUBSTITUTE(SUBSTITUTE(Продажи_исходные!D870,"₽","")," ",""))))</f>
        <v>9500</v>
      </c>
      <c r="E870" t="str">
        <f>Продажи_исходные!E870</f>
        <v>C0869</v>
      </c>
      <c r="F870" t="str">
        <f>Продажи_исходные!F870</f>
        <v>P024</v>
      </c>
      <c r="G870" t="str">
        <f>IFERROR(VLOOKUP(Продажи_исходные!G870,Справочники!$G$2:$H$50,2,FALSE),Продажи_исходные!G870)</f>
        <v>Завершен</v>
      </c>
      <c r="H870" s="4">
        <f>IFERROR(VLOOKUP(B870,Товары_очищенные!$A$1:$G$1000,6,FALSE),"нет в каталоге")</f>
        <v>85990</v>
      </c>
      <c r="I870" t="str">
        <f>IFERROR(VLOOKUP(B870,Товары_очищенные!$A$1:$G$1000,3,FALSE),"нет в каталоге")</f>
        <v>Смартфоны</v>
      </c>
      <c r="J870" t="str">
        <f t="shared" si="39"/>
        <v>OK</v>
      </c>
    </row>
    <row r="871">
      <c r="A871" s="8">
        <f>DATE(RIGHT(Продажи_исходные!A871,4),LEFT(Продажи_исходные!A871,2),MID(Продажи_исходные!A871,4,2))</f>
        <v>46106</v>
      </c>
      <c r="B871" t="str">
        <f>"АРТ-"&amp;LEFT(SUBSTITUTE(SUBSTITUTE(SUBSTITUTE(SUBSTITUTE(Продажи_исходные!B871,"№",""),"АРТ-",""),"АРТ_",""),"/","-"),3)</f>
        <v>АРТ-184</v>
      </c>
      <c r="C871" s="4">
        <f>IFERROR(VALUE(TRIM(SUBSTITUTE(SUBSTITUTE(SUBSTITUTE(SUBSTITUTE(Продажи_исходные!C871," шт.","")," шт",""),"шт.",""),"шт",""))),0)</f>
        <v>2</v>
      </c>
      <c r="D871" s="4">
        <f>IF(LEFT(Продажи_исходные!D871,1)="$",VALUE(MID(Продажи_исходные!D871,2,255))*95,IF(LEFT(Продажи_исходные!D871,1)="€",VALUE(MID(Продажи_исходные!D871,2,255))*100,VALUE(SUBSTITUTE(SUBSTITUTE(Продажи_исходные!D871,"₽","")," ",""))))</f>
        <v>8500</v>
      </c>
      <c r="E871" t="str">
        <f>Продажи_исходные!E871</f>
        <v>C0870</v>
      </c>
      <c r="F871" t="str">
        <f>Продажи_исходные!F871</f>
        <v>P015</v>
      </c>
      <c r="G871" t="str">
        <f>IFERROR(VLOOKUP(Продажи_исходные!G871,Справочники!$G$2:$H$50,2,FALSE),Продажи_исходные!G871)</f>
        <v>Завершен</v>
      </c>
      <c r="H871" s="4">
        <f>IFERROR(VLOOKUP(B871,Товары_очищенные!$A$1:$G$1000,6,FALSE),"нет в каталоге")</f>
        <v>19990</v>
      </c>
      <c r="I871" t="str">
        <f>IFERROR(VLOOKUP(B871,Товары_очищенные!$A$1:$G$1000,3,FALSE),"нет в каталоге")</f>
        <v>Аксессуары</v>
      </c>
      <c r="J871" t="str">
        <f t="shared" si="39"/>
        <v>OK</v>
      </c>
    </row>
    <row r="872">
      <c r="A872" s="8">
        <f>DATE(RIGHT(Продажи_исходные!A872,4),LEFT(Продажи_исходные!A872,2),MID(Продажи_исходные!A872,4,2))</f>
        <v>46107</v>
      </c>
      <c r="B872" t="str">
        <f>"АРТ-"&amp;LEFT(SUBSTITUTE(SUBSTITUTE(SUBSTITUTE(SUBSTITUTE(Продажи_исходные!B872,"№",""),"АРТ-",""),"АРТ_",""),"/","-"),3)</f>
        <v>АРТ-083</v>
      </c>
      <c r="C872" s="4">
        <f>IFERROR(VALUE(TRIM(SUBSTITUTE(SUBSTITUTE(SUBSTITUTE(SUBSTITUTE(Продажи_исходные!C872," шт.","")," шт",""),"шт.",""),"шт",""))),0)</f>
        <v>3</v>
      </c>
      <c r="D872" s="4">
        <f>IF(LEFT(Продажи_исходные!D872,1)="$",VALUE(MID(Продажи_исходные!D872,2,255))*95,IF(LEFT(Продажи_исходные!D872,1)="€",VALUE(MID(Продажи_исходные!D872,2,255))*100,VALUE(SUBSTITUTE(SUBSTITUTE(Продажи_исходные!D872,"₽","")," ",""))))</f>
        <v>9975</v>
      </c>
      <c r="E872" t="str">
        <f>Продажи_исходные!E872</f>
        <v>C0871</v>
      </c>
      <c r="F872" t="str">
        <f>Продажи_исходные!F872</f>
        <v>P037</v>
      </c>
      <c r="G872" t="str">
        <f>IFERROR(VLOOKUP(Продажи_исходные!G872,Справочники!$G$2:$H$50,2,FALSE),Продажи_исходные!G872)</f>
        <v>Завершен</v>
      </c>
      <c r="H872" s="4">
        <f>IFERROR(VLOOKUP(B872,Товары_очищенные!$A$1:$G$1000,6,FALSE),"нет в каталоге")</f>
        <v>38500</v>
      </c>
      <c r="I872" t="str">
        <f>IFERROR(VLOOKUP(B872,Товары_очищенные!$A$1:$G$1000,3,FALSE),"нет в каталоге")</f>
        <v>Часы</v>
      </c>
      <c r="J872" t="str">
        <f t="shared" si="39"/>
        <v>OK</v>
      </c>
    </row>
    <row r="873">
      <c r="A873" s="8">
        <f>DATE(RIGHT(Продажи_исходные!A873,4),LEFT(Продажи_исходные!A873,2),MID(Продажи_исходные!A873,4,2))</f>
        <v>46107</v>
      </c>
      <c r="B873" t="str">
        <f>"АРТ-"&amp;LEFT(SUBSTITUTE(SUBSTITUTE(SUBSTITUTE(SUBSTITUTE(Продажи_исходные!B873,"№",""),"АРТ-",""),"АРТ_",""),"/","-"),3)</f>
        <v>АРТ-442</v>
      </c>
      <c r="C873" s="4">
        <f>IFERROR(VALUE(TRIM(SUBSTITUTE(SUBSTITUTE(SUBSTITUTE(SUBSTITUTE(Продажи_исходные!C873," шт.","")," шт",""),"шт.",""),"шт",""))),0)</f>
        <v>2</v>
      </c>
      <c r="D873" s="4">
        <f>IF(LEFT(Продажи_исходные!D873,1)="$",VALUE(MID(Продажи_исходные!D873,2,255))*95,IF(LEFT(Продажи_исходные!D873,1)="€",VALUE(MID(Продажи_исходные!D873,2,255))*100,VALUE(SUBSTITUTE(SUBSTITUTE(Продажи_исходные!D873,"₽","")," ",""))))</f>
        <v>8500</v>
      </c>
      <c r="E873" t="str">
        <f>Продажи_исходные!E873</f>
        <v>C0872</v>
      </c>
      <c r="F873" t="str">
        <f>Продажи_исходные!F873</f>
        <v>P048</v>
      </c>
      <c r="G873" t="str">
        <f>IFERROR(VLOOKUP(Продажи_исходные!G873,Справочники!$G$2:$H$50,2,FALSE),Продажи_исходные!G873)</f>
        <v>Отменен</v>
      </c>
      <c r="H873" s="4">
        <f>IFERROR(VLOOKUP(B873,Товары_очищенные!$A$1:$G$1000,6,FALSE),"нет в каталоге")</f>
        <v>24990</v>
      </c>
      <c r="I873" t="str">
        <f>IFERROR(VLOOKUP(B873,Товары_очищенные!$A$1:$G$1000,3,FALSE),"нет в каталоге")</f>
        <v>Смартфоны</v>
      </c>
      <c r="J873" t="str">
        <f t="shared" si="39"/>
        <v>OK</v>
      </c>
    </row>
    <row r="874">
      <c r="A874" s="8">
        <f>DATE(RIGHT(Продажи_исходные!A874,4),LEFT(Продажи_исходные!A874,2),MID(Продажи_исходные!A874,4,2))</f>
        <v>46108</v>
      </c>
      <c r="B874" t="str">
        <f>"АРТ-"&amp;LEFT(SUBSTITUTE(SUBSTITUTE(SUBSTITUTE(SUBSTITUTE(Продажи_исходные!B874,"№",""),"АРТ-",""),"АРТ_",""),"/","-"),3)</f>
        <v>АРТ-386</v>
      </c>
      <c r="C874" s="4">
        <f>IFERROR(VALUE(TRIM(SUBSTITUTE(SUBSTITUTE(SUBSTITUTE(SUBSTITUTE(Продажи_исходные!C874," шт.","")," шт",""),"шт.",""),"шт",""))),0)</f>
        <v>1</v>
      </c>
      <c r="D874" s="4">
        <f>IF(LEFT(Продажи_исходные!D874,1)="$",VALUE(MID(Продажи_исходные!D874,2,255))*95,IF(LEFT(Продажи_исходные!D874,1)="€",VALUE(MID(Продажи_исходные!D874,2,255))*100,VALUE(SUBSTITUTE(SUBSTITUTE(Продажи_исходные!D874,"₽","")," ",""))))</f>
        <v>7800</v>
      </c>
      <c r="E874" t="str">
        <f>Продажи_исходные!E874</f>
        <v>C0873</v>
      </c>
      <c r="F874" t="str">
        <f>Продажи_исходные!F874</f>
        <v>P004</v>
      </c>
      <c r="G874" t="str">
        <f>IFERROR(VLOOKUP(Продажи_исходные!G874,Справочники!$G$2:$H$50,2,FALSE),Продажи_исходные!G874)</f>
        <v>Отменен</v>
      </c>
      <c r="H874" s="4">
        <f>IFERROR(VLOOKUP(B874,Товары_очищенные!$A$1:$G$1000,6,FALSE),"нет в каталоге")</f>
        <v>114000</v>
      </c>
      <c r="I874" t="str">
        <f>IFERROR(VLOOKUP(B874,Товары_очищенные!$A$1:$G$1000,3,FALSE),"нет в каталоге")</f>
        <v>Ноутбуки</v>
      </c>
      <c r="J874" t="str">
        <f t="shared" si="39"/>
        <v>OK</v>
      </c>
    </row>
    <row r="875">
      <c r="A875" s="8">
        <f>DATE(RIGHT(Продажи_исходные!A875,4),LEFT(Продажи_исходные!A875,2),MID(Продажи_исходные!A875,4,2))</f>
        <v>46108</v>
      </c>
      <c r="B875" t="str">
        <f>"АРТ-"&amp;LEFT(SUBSTITUTE(SUBSTITUTE(SUBSTITUTE(SUBSTITUTE(Продажи_исходные!B875,"№",""),"АРТ-",""),"АРТ_",""),"/","-"),3)</f>
        <v>АРТ-213</v>
      </c>
      <c r="C875" s="4">
        <f>IFERROR(VALUE(TRIM(SUBSTITUTE(SUBSTITUTE(SUBSTITUTE(SUBSTITUTE(Продажи_исходные!C875," шт.","")," шт",""),"шт.",""),"шт",""))),0)</f>
        <v>-3</v>
      </c>
      <c r="D875" s="4">
        <f>IF(LEFT(Продажи_исходные!D875,1)="$",VALUE(MID(Продажи_исходные!D875,2,255))*95,IF(LEFT(Продажи_исходные!D875,1)="€",VALUE(MID(Продажи_исходные!D875,2,255))*100,VALUE(SUBSTITUTE(SUBSTITUTE(Продажи_исходные!D875,"₽","")," ",""))))</f>
        <v>11400</v>
      </c>
      <c r="E875" t="str">
        <f>Продажи_исходные!E875</f>
        <v>C0874</v>
      </c>
      <c r="F875" t="str">
        <f>Продажи_исходные!F875</f>
        <v>P026</v>
      </c>
      <c r="G875" t="str">
        <f>IFERROR(VLOOKUP(Продажи_исходные!G875,Справочники!$G$2:$H$50,2,FALSE),Продажи_исходные!G875)</f>
        <v>Завершен</v>
      </c>
      <c r="H875" s="4">
        <f>IFERROR(VLOOKUP(B875,Товары_очищенные!$A$1:$G$1000,6,FALSE),"нет в каталоге")</f>
        <v>61500</v>
      </c>
      <c r="I875" t="str">
        <f>IFERROR(VLOOKUP(B875,Товары_очищенные!$A$1:$G$1000,3,FALSE),"нет в каталоге")</f>
        <v>Смартфоны</v>
      </c>
      <c r="J875" t="str">
        <f t="shared" si="39"/>
        <v>OK</v>
      </c>
    </row>
    <row r="876">
      <c r="A876" s="8">
        <f>DATE(RIGHT(Продажи_исходные!A876,4),LEFT(Продажи_исходные!A876,2),MID(Продажи_исходные!A876,4,2))</f>
        <v>46109</v>
      </c>
      <c r="B876" t="str">
        <f>"АРТ-"&amp;LEFT(SUBSTITUTE(SUBSTITUTE(SUBSTITUTE(SUBSTITUTE(Продажи_исходные!B876,"№",""),"АРТ-",""),"АРТ_",""),"/","-"),3)</f>
        <v>АРТ-303</v>
      </c>
      <c r="C876" s="4">
        <f>IFERROR(VALUE(TRIM(SUBSTITUTE(SUBSTITUTE(SUBSTITUTE(SUBSTITUTE(Продажи_исходные!C876," шт.","")," шт",""),"шт.",""),"шт",""))),0)</f>
        <v>2</v>
      </c>
      <c r="D876" s="4">
        <f>IF(LEFT(Продажи_исходные!D876,1)="$",VALUE(MID(Продажи_исходные!D876,2,255))*95,IF(LEFT(Продажи_исходные!D876,1)="€",VALUE(MID(Продажи_исходные!D876,2,255))*100,VALUE(SUBSTITUTE(SUBSTITUTE(Продажи_исходные!D876,"₽","")," ",""))))</f>
        <v>10000</v>
      </c>
      <c r="E876" t="str">
        <f>Продажи_исходные!E876</f>
        <v>C0875</v>
      </c>
      <c r="F876" t="str">
        <f>Продажи_исходные!F876</f>
        <v>P013</v>
      </c>
      <c r="G876" t="str">
        <f>IFERROR(VLOOKUP(Продажи_исходные!G876,Справочники!$G$2:$H$50,2,FALSE),Продажи_исходные!G876)</f>
        <v>Возврат</v>
      </c>
      <c r="H876" s="4">
        <f>IFERROR(VLOOKUP(B876,Товары_очищенные!$A$1:$G$1000,6,FALSE),"нет в каталоге")</f>
        <v>8800</v>
      </c>
      <c r="I876" t="str">
        <f>IFERROR(VLOOKUP(B876,Товары_очищенные!$A$1:$G$1000,3,FALSE),"нет в каталоге")</f>
        <v>Наушники</v>
      </c>
      <c r="J876" t="str">
        <f t="shared" si="39"/>
        <v>OK</v>
      </c>
    </row>
    <row r="877">
      <c r="A877" s="8">
        <f>DATE(RIGHT(Продажи_исходные!A877,4),LEFT(Продажи_исходные!A877,2),MID(Продажи_исходные!A877,4,2))</f>
        <v>46109</v>
      </c>
      <c r="B877" t="str">
        <f>"АРТ-"&amp;LEFT(SUBSTITUTE(SUBSTITUTE(SUBSTITUTE(SUBSTITUTE(Продажи_исходные!B877,"№",""),"АРТ-",""),"АРТ_",""),"/","-"),3)</f>
        <v>АРТ-152</v>
      </c>
      <c r="C877" s="4">
        <f>IFERROR(VALUE(TRIM(SUBSTITUTE(SUBSTITUTE(SUBSTITUTE(SUBSTITUTE(Продажи_исходные!C877," шт.","")," шт",""),"шт.",""),"шт",""))),0)</f>
        <v>1</v>
      </c>
      <c r="D877" s="4">
        <f>IF(LEFT(Продажи_исходные!D877,1)="$",VALUE(MID(Продажи_исходные!D877,2,255))*95,IF(LEFT(Продажи_исходные!D877,1)="€",VALUE(MID(Продажи_исходные!D877,2,255))*100,VALUE(SUBSTITUTE(SUBSTITUTE(Продажи_исходные!D877,"₽","")," ",""))))</f>
        <v>9200</v>
      </c>
      <c r="E877" t="str">
        <f>Продажи_исходные!E877</f>
        <v>C0876</v>
      </c>
      <c r="F877" t="str">
        <f>Продажи_исходные!F877</f>
        <v>P034</v>
      </c>
      <c r="G877" t="str">
        <f>IFERROR(VLOOKUP(Продажи_исходные!G877,Справочники!$G$2:$H$50,2,FALSE),Продажи_исходные!G877)</f>
        <v>Завершен</v>
      </c>
      <c r="H877" s="4">
        <f>IFERROR(VLOOKUP(B877,Товары_очищенные!$A$1:$G$1000,6,FALSE),"нет в каталоге")</f>
        <v>151500</v>
      </c>
      <c r="I877" t="str">
        <f>IFERROR(VLOOKUP(B877,Товары_очищенные!$A$1:$G$1000,3,FALSE),"нет в каталоге")</f>
        <v>Телевизоры</v>
      </c>
      <c r="J877" t="str">
        <f t="shared" si="39"/>
        <v>OK</v>
      </c>
    </row>
    <row r="878">
      <c r="A878" s="8">
        <f>DATE(RIGHT(Продажи_исходные!A878,4),LEFT(Продажи_исходные!A878,2),MID(Продажи_исходные!A878,4,2))</f>
        <v>46110</v>
      </c>
      <c r="B878" t="str">
        <f>"АРТ-"&amp;LEFT(SUBSTITUTE(SUBSTITUTE(SUBSTITUTE(SUBSTITUTE(Продажи_исходные!B878,"№",""),"АРТ-",""),"АРТ_",""),"/","-"),3)</f>
        <v>АРТ-103</v>
      </c>
      <c r="C878" s="4">
        <f>IFERROR(VALUE(TRIM(SUBSTITUTE(SUBSTITUTE(SUBSTITUTE(SUBSTITUTE(Продажи_исходные!C878," шт.","")," шт",""),"шт.",""),"шт",""))),0)</f>
        <v>3</v>
      </c>
      <c r="D878" s="4">
        <f>IF(LEFT(Продажи_исходные!D878,1)="$",VALUE(MID(Продажи_исходные!D878,2,255))*95,IF(LEFT(Продажи_исходные!D878,1)="€",VALUE(MID(Продажи_исходные!D878,2,255))*100,VALUE(SUBSTITUTE(SUBSTITUTE(Продажи_исходные!D878,"₽","")," ",""))))</f>
        <v>8550</v>
      </c>
      <c r="E878" t="str">
        <f>Продажи_исходные!E878</f>
        <v>C0877</v>
      </c>
      <c r="F878" t="str">
        <f>Продажи_исходные!F878</f>
        <v>P044</v>
      </c>
      <c r="G878" t="str">
        <f>IFERROR(VLOOKUP(Продажи_исходные!G878,Справочники!$G$2:$H$50,2,FALSE),Продажи_исходные!G878)</f>
        <v>Завершен</v>
      </c>
      <c r="H878" s="4">
        <f>IFERROR(VLOOKUP(B878,Товары_очищенные!$A$1:$G$1000,6,FALSE),"нет в каталоге")</f>
        <v>149990</v>
      </c>
      <c r="I878" t="str">
        <f>IFERROR(VLOOKUP(B878,Товары_очищенные!$A$1:$G$1000,3,FALSE),"нет в каталоге")</f>
        <v>Ноутбуки</v>
      </c>
      <c r="J878" t="str">
        <f t="shared" si="39"/>
        <v>OK</v>
      </c>
    </row>
    <row r="879">
      <c r="A879" s="8">
        <f>DATE(RIGHT(Продажи_исходные!A879,4),LEFT(Продажи_исходные!A879,2),MID(Продажи_исходные!A879,4,2))</f>
        <v>46110</v>
      </c>
      <c r="B879" t="str">
        <f>"АРТ-"&amp;LEFT(SUBSTITUTE(SUBSTITUTE(SUBSTITUTE(SUBSTITUTE(Продажи_исходные!B879,"№",""),"АРТ-",""),"АРТ_",""),"/","-"),3)</f>
        <v>АРТ-460</v>
      </c>
      <c r="C879" s="4">
        <f>IFERROR(VALUE(TRIM(SUBSTITUTE(SUBSTITUTE(SUBSTITUTE(SUBSTITUTE(Продажи_исходные!C879," шт.","")," шт",""),"шт.",""),"шт",""))),0)</f>
        <v>2</v>
      </c>
      <c r="D879" s="4">
        <f>IF(LEFT(Продажи_исходные!D879,1)="$",VALUE(MID(Продажи_исходные!D879,2,255))*95,IF(LEFT(Продажи_исходные!D879,1)="€",VALUE(MID(Продажи_исходные!D879,2,255))*100,VALUE(SUBSTITUTE(SUBSTITUTE(Продажи_исходные!D879,"₽","")," ",""))))</f>
        <v>7000</v>
      </c>
      <c r="E879" t="str">
        <f>Продажи_исходные!E879</f>
        <v>C0878</v>
      </c>
      <c r="F879" t="str">
        <f>Продажи_исходные!F879</f>
        <v>P001</v>
      </c>
      <c r="G879" t="str">
        <f>IFERROR(VLOOKUP(Продажи_исходные!G879,Справочники!$G$2:$H$50,2,FALSE),Продажи_исходные!G879)</f>
        <v>Завершен</v>
      </c>
      <c r="H879" s="4">
        <f>IFERROR(VLOOKUP(B879,Товары_очищенные!$A$1:$G$1000,6,FALSE),"нет в каталоге")</f>
        <v>47990</v>
      </c>
      <c r="I879" t="str">
        <f>IFERROR(VLOOKUP(B879,Товары_очищенные!$A$1:$G$1000,3,FALSE),"нет в каталоге")</f>
        <v>Часы</v>
      </c>
      <c r="J879" t="str">
        <f t="shared" si="39"/>
        <v>OK</v>
      </c>
    </row>
    <row r="880">
      <c r="A880" s="8">
        <f>DATE(RIGHT(Продажи_исходные!A880,4),LEFT(Продажи_исходные!A880,2),MID(Продажи_исходные!A880,4,2))</f>
        <v>46111</v>
      </c>
      <c r="B880" t="str">
        <f>"АРТ-"&amp;LEFT(SUBSTITUTE(SUBSTITUTE(SUBSTITUTE(SUBSTITUTE(Продажи_исходные!B880,"№",""),"АРТ-",""),"АРТ_",""),"/","-"),3)</f>
        <v>АРТ-337</v>
      </c>
      <c r="C880" s="4">
        <f>IFERROR(VALUE(TRIM(SUBSTITUTE(SUBSTITUTE(SUBSTITUTE(SUBSTITUTE(Продажи_исходные!C880," шт.","")," шт",""),"шт.",""),"шт",""))),0)</f>
        <v>1</v>
      </c>
      <c r="D880" s="4">
        <f>IF(LEFT(Продажи_исходные!D880,1)="$",VALUE(MID(Продажи_исходные!D880,2,255))*95,IF(LEFT(Продажи_исходные!D880,1)="€",VALUE(MID(Продажи_исходные!D880,2,255))*100,VALUE(SUBSTITUTE(SUBSTITUTE(Продажи_исходные!D880,"₽","")," ",""))))</f>
        <v>6500</v>
      </c>
      <c r="E880" t="str">
        <f>Продажи_исходные!E880</f>
        <v>C0879</v>
      </c>
      <c r="F880" t="str">
        <f>Продажи_исходные!F880</f>
        <v>P021</v>
      </c>
      <c r="G880" t="str">
        <f>IFERROR(VLOOKUP(Продажи_исходные!G880,Справочники!$G$2:$H$50,2,FALSE),Продажи_исходные!G880)</f>
        <v>Отменен</v>
      </c>
      <c r="H880" s="4">
        <f>IFERROR(VLOOKUP(B880,Товары_очищенные!$A$1:$G$1000,6,FALSE),"нет в каталоге")</f>
        <v>64990</v>
      </c>
      <c r="I880" t="str">
        <f>IFERROR(VLOOKUP(B880,Товары_очищенные!$A$1:$G$1000,3,FALSE),"нет в каталоге")</f>
        <v>Смартфоны</v>
      </c>
      <c r="J880" t="str">
        <f t="shared" si="39"/>
        <v>OK</v>
      </c>
    </row>
    <row r="881">
      <c r="A881" s="8">
        <f>DATE(RIGHT(Продажи_исходные!A881,4),LEFT(Продажи_исходные!A881,2),MID(Продажи_исходные!A881,4,2))</f>
        <v>46111</v>
      </c>
      <c r="B881" t="str">
        <f>"АРТ-"&amp;LEFT(SUBSTITUTE(SUBSTITUTE(SUBSTITUTE(SUBSTITUTE(Продажи_исходные!B881,"№",""),"АРТ-",""),"АРТ_",""),"/","-"),3)</f>
        <v>АРТ-244</v>
      </c>
      <c r="C881" s="4">
        <f>IFERROR(VALUE(TRIM(SUBSTITUTE(SUBSTITUTE(SUBSTITUTE(SUBSTITUTE(Продажи_исходные!C881," шт.","")," шт",""),"шт.",""),"шт",""))),0)</f>
        <v>-1</v>
      </c>
      <c r="D881" s="4">
        <f>IF(LEFT(Продажи_исходные!D881,1)="$",VALUE(MID(Продажи_исходные!D881,2,255))*95,IF(LEFT(Продажи_исходные!D881,1)="€",VALUE(MID(Продажи_исходные!D881,2,255))*100,VALUE(SUBSTITUTE(SUBSTITUTE(Продажи_исходные!D881,"₽","")," ",""))))</f>
        <v>10450</v>
      </c>
      <c r="E881" t="str">
        <f>Продажи_исходные!E881</f>
        <v>C0880</v>
      </c>
      <c r="F881" t="str">
        <f>Продажи_исходные!F881</f>
        <v>P039</v>
      </c>
      <c r="G881" t="str">
        <f>IFERROR(VLOOKUP(Продажи_исходные!G881,Справочники!$G$2:$H$50,2,FALSE),Продажи_исходные!G881)</f>
        <v>Отменен</v>
      </c>
      <c r="H881" s="4">
        <f>IFERROR(VLOOKUP(B881,Товары_очищенные!$A$1:$G$1000,6,FALSE),"нет в каталоге")</f>
        <v>77990</v>
      </c>
      <c r="I881" t="str">
        <f>IFERROR(VLOOKUP(B881,Товары_очищенные!$A$1:$G$1000,3,FALSE),"нет в каталоге")</f>
        <v>Мониторы</v>
      </c>
      <c r="J881" t="str">
        <f t="shared" si="39"/>
        <v>OK</v>
      </c>
    </row>
    <row r="882">
      <c r="A882" s="8">
        <f>DATE(RIGHT(Продажи_исходные!A882,4),LEFT(Продажи_исходные!A882,2),MID(Продажи_исходные!A882,4,2))</f>
        <v>46112</v>
      </c>
      <c r="B882" t="str">
        <f>"АРТ-"&amp;LEFT(SUBSTITUTE(SUBSTITUTE(SUBSTITUTE(SUBSTITUTE(Продажи_исходные!B882,"№",""),"АРТ-",""),"АРТ_",""),"/","-"),3)</f>
        <v>АРТ-383</v>
      </c>
      <c r="C882" s="4">
        <f>IFERROR(VALUE(TRIM(SUBSTITUTE(SUBSTITUTE(SUBSTITUTE(SUBSTITUTE(Продажи_исходные!C882," шт.","")," шт",""),"шт.",""),"шт",""))),0)</f>
        <v>3</v>
      </c>
      <c r="D882" s="4">
        <f>IF(LEFT(Продажи_исходные!D882,1)="$",VALUE(MID(Продажи_исходные!D882,2,255))*95,IF(LEFT(Продажи_исходные!D882,1)="€",VALUE(MID(Продажи_исходные!D882,2,255))*100,VALUE(SUBSTITUTE(SUBSTITUTE(Продажи_исходные!D882,"₽","")," ",""))))</f>
        <v>9000</v>
      </c>
      <c r="E882" t="str">
        <f>Продажи_исходные!E882</f>
        <v>C0881</v>
      </c>
      <c r="F882" t="str">
        <f>Продажи_исходные!F882</f>
        <v>P050</v>
      </c>
      <c r="G882" t="str">
        <f>IFERROR(VLOOKUP(Продажи_исходные!G882,Справочники!$G$2:$H$50,2,FALSE),Продажи_исходные!G882)</f>
        <v>Возврат</v>
      </c>
      <c r="H882" s="4">
        <f>IFERROR(VLOOKUP(B882,Товары_очищенные!$A$1:$G$1000,6,FALSE),"нет в каталоге")</f>
        <v>41500</v>
      </c>
      <c r="I882" t="str">
        <f>IFERROR(VLOOKUP(B882,Товары_очищенные!$A$1:$G$1000,3,FALSE),"нет в каталоге")</f>
        <v>Смартфоны</v>
      </c>
      <c r="J882" t="str">
        <f t="shared" si="39"/>
        <v>OK</v>
      </c>
    </row>
    <row r="883">
      <c r="A883" s="8">
        <f>DATE(RIGHT(Продажи_исходные!A883,4),LEFT(Продажи_исходные!A883,2),MID(Продажи_исходные!A883,4,2))</f>
        <v>46112</v>
      </c>
      <c r="B883" t="str">
        <f>"АРТ-"&amp;LEFT(SUBSTITUTE(SUBSTITUTE(SUBSTITUTE(SUBSTITUTE(Продажи_исходные!B883,"№",""),"АРТ-",""),"АРТ_",""),"/","-"),3)</f>
        <v>АРТ-229</v>
      </c>
      <c r="C883" s="4">
        <f>IFERROR(VALUE(TRIM(SUBSTITUTE(SUBSTITUTE(SUBSTITUTE(SUBSTITUTE(Продажи_исходные!C883," шт.","")," шт",""),"шт.",""),"шт",""))),0)</f>
        <v>2</v>
      </c>
      <c r="D883" s="4">
        <f>IF(LEFT(Продажи_исходные!D883,1)="$",VALUE(MID(Продажи_исходные!D883,2,255))*95,IF(LEFT(Продажи_исходные!D883,1)="€",VALUE(MID(Продажи_исходные!D883,2,255))*100,VALUE(SUBSTITUTE(SUBSTITUTE(Продажи_исходные!D883,"₽","")," ",""))))</f>
        <v>8000</v>
      </c>
      <c r="E883" t="str">
        <f>Продажи_исходные!E883</f>
        <v>C0882</v>
      </c>
      <c r="F883" t="str">
        <f>Продажи_исходные!F883</f>
        <v>P011</v>
      </c>
      <c r="G883" t="str">
        <f>IFERROR(VLOOKUP(Продажи_исходные!G883,Справочники!$G$2:$H$50,2,FALSE),Продажи_исходные!G883)</f>
        <v>Завершен</v>
      </c>
      <c r="H883" s="4">
        <f>IFERROR(VLOOKUP(B883,Товары_очищенные!$A$1:$G$1000,6,FALSE),"нет в каталоге")</f>
        <v>119990</v>
      </c>
      <c r="I883" t="str">
        <f>IFERROR(VLOOKUP(B883,Товары_очищенные!$A$1:$G$1000,3,FALSE),"нет в каталоге")</f>
        <v>Ноутбуки</v>
      </c>
      <c r="J883" t="str">
        <f t="shared" si="39"/>
        <v>OK</v>
      </c>
    </row>
    <row r="884">
      <c r="A884" s="8">
        <f>DATE(RIGHT(Продажи_исходные!A884,4),LEFT(Продажи_исходные!A884,2),MID(Продажи_исходные!A884,4,2))</f>
        <v>46113</v>
      </c>
      <c r="B884" t="str">
        <f>"АРТ-"&amp;LEFT(SUBSTITUTE(SUBSTITUTE(SUBSTITUTE(SUBSTITUTE(Продажи_исходные!B884,"№",""),"АРТ-",""),"АРТ_",""),"/","-"),3)</f>
        <v>АРТ-066</v>
      </c>
      <c r="C884" s="4">
        <f>IFERROR(VALUE(TRIM(SUBSTITUTE(SUBSTITUTE(SUBSTITUTE(SUBSTITUTE(Продажи_исходные!C884," шт.","")," шт",""),"шт.",""),"шт",""))),0)</f>
        <v>1</v>
      </c>
      <c r="D884" s="4">
        <f>IF(LEFT(Продажи_исходные!D884,1)="$",VALUE(MID(Продажи_исходные!D884,2,255))*95,IF(LEFT(Продажи_исходные!D884,1)="€",VALUE(MID(Продажи_исходные!D884,2,255))*100,VALUE(SUBSTITUTE(SUBSTITUTE(Продажи_исходные!D884,"₽","")," ",""))))</f>
        <v>9025</v>
      </c>
      <c r="E884" t="str">
        <f>Продажи_исходные!E884</f>
        <v>C0883</v>
      </c>
      <c r="F884" t="str">
        <f>Продажи_исходные!F884</f>
        <v>P027</v>
      </c>
      <c r="G884" t="str">
        <f>IFERROR(VLOOKUP(Продажи_исходные!G884,Справочники!$G$2:$H$50,2,FALSE),Продажи_исходные!G884)</f>
        <v>Завершен</v>
      </c>
      <c r="H884" s="4">
        <f>IFERROR(VLOOKUP(B884,Товары_очищенные!$A$1:$G$1000,6,FALSE),"нет в каталоге")</f>
        <v>57800</v>
      </c>
      <c r="I884" t="str">
        <f>IFERROR(VLOOKUP(B884,Товары_очищенные!$A$1:$G$1000,3,FALSE),"нет в каталоге")</f>
        <v>Смартфоны</v>
      </c>
      <c r="J884" t="str">
        <f t="shared" si="39"/>
        <v>OK</v>
      </c>
    </row>
    <row r="885">
      <c r="A885" s="8">
        <f>DATE(RIGHT(Продажи_исходные!A885,4),LEFT(Продажи_исходные!A885,2),MID(Продажи_исходные!A885,4,2))</f>
        <v>46113</v>
      </c>
      <c r="B885" t="str">
        <f>"АРТ-"&amp;LEFT(SUBSTITUTE(SUBSTITUTE(SUBSTITUTE(SUBSTITUTE(Продажи_исходные!B885,"№",""),"АРТ-",""),"АРТ_",""),"/","-"),3)</f>
        <v>АРТ-452</v>
      </c>
      <c r="C885" s="4">
        <f>IFERROR(VALUE(TRIM(SUBSTITUTE(SUBSTITUTE(SUBSTITUTE(SUBSTITUTE(Продажи_исходные!C885," шт.","")," шт",""),"шт.",""),"шт",""))),0)</f>
        <v>2</v>
      </c>
      <c r="D885" s="4">
        <f>IF(LEFT(Продажи_исходные!D885,1)="$",VALUE(MID(Продажи_исходные!D885,2,255))*95,IF(LEFT(Продажи_исходные!D885,1)="€",VALUE(MID(Продажи_исходные!D885,2,255))*100,VALUE(SUBSTITUTE(SUBSTITUTE(Продажи_исходные!D885,"₽","")," ",""))))</f>
        <v>7500</v>
      </c>
      <c r="E885" t="str">
        <f>Продажи_исходные!E885</f>
        <v>C0884</v>
      </c>
      <c r="F885" t="str">
        <f>Продажи_исходные!F885</f>
        <v>P018</v>
      </c>
      <c r="G885" t="str">
        <f>IFERROR(VLOOKUP(Продажи_исходные!G885,Справочники!$G$2:$H$50,2,FALSE),Продажи_исходные!G885)</f>
        <v>Завершен</v>
      </c>
      <c r="H885" s="4">
        <f>IFERROR(VLOOKUP(B885,Товары_очищенные!$A$1:$G$1000,6,FALSE),"нет в каталоге")</f>
        <v>38500</v>
      </c>
      <c r="I885" t="str">
        <f>IFERROR(VLOOKUP(B885,Товары_очищенные!$A$1:$G$1000,3,FALSE),"нет в каталоге")</f>
        <v>Наушники</v>
      </c>
      <c r="J885" t="str">
        <f t="shared" si="39"/>
        <v>OK</v>
      </c>
    </row>
    <row r="886">
      <c r="A886" s="8">
        <f>DATE(RIGHT(Продажи_исходные!A886,4),LEFT(Продажи_исходные!A886,2),MID(Продажи_исходные!A886,4,2))</f>
        <v>46114</v>
      </c>
      <c r="B886" t="str">
        <f>"АРТ-"&amp;LEFT(SUBSTITUTE(SUBSTITUTE(SUBSTITUTE(SUBSTITUTE(Продажи_исходные!B886,"№",""),"АРТ-",""),"АРТ_",""),"/","-"),3)</f>
        <v>АРТ-392</v>
      </c>
      <c r="C886" s="4">
        <f>IFERROR(VALUE(TRIM(SUBSTITUTE(SUBSTITUTE(SUBSTITUTE(SUBSTITUTE(Продажи_исходные!C886," шт.","")," шт",""),"шт.",""),"шт",""))),0)</f>
        <v>3</v>
      </c>
      <c r="D886" s="4">
        <f>IF(LEFT(Продажи_исходные!D886,1)="$",VALUE(MID(Продажи_исходные!D886,2,255))*95,IF(LEFT(Продажи_исходные!D886,1)="€",VALUE(MID(Продажи_исходные!D886,2,255))*100,VALUE(SUBSTITUTE(SUBSTITUTE(Продажи_исходные!D886,"₽","")," ",""))))</f>
        <v>7000</v>
      </c>
      <c r="E886" t="str">
        <f>Продажи_исходные!E886</f>
        <v>C0885</v>
      </c>
      <c r="F886" t="str">
        <f>Продажи_исходные!F886</f>
        <v>P040</v>
      </c>
      <c r="G886" t="str">
        <f>IFERROR(VLOOKUP(Продажи_исходные!G886,Справочники!$G$2:$H$50,2,FALSE),Продажи_исходные!G886)</f>
        <v>Отменен</v>
      </c>
      <c r="H886" s="4">
        <f>IFERROR(VLOOKUP(B886,Товары_очищенные!$A$1:$G$1000,6,FALSE),"нет в каталоге")</f>
        <v>18000</v>
      </c>
      <c r="I886" t="str">
        <f>IFERROR(VLOOKUP(B886,Товары_очищенные!$A$1:$G$1000,3,FALSE),"нет в каталоге")</f>
        <v>Наушники</v>
      </c>
      <c r="J886" t="str">
        <f t="shared" si="39"/>
        <v>OK</v>
      </c>
    </row>
    <row r="887">
      <c r="A887" s="8">
        <f>DATE(RIGHT(Продажи_исходные!A887,4),LEFT(Продажи_исходные!A887,2),MID(Продажи_исходные!A887,4,2))</f>
        <v>46114</v>
      </c>
      <c r="B887" t="str">
        <f>"АРТ-"&amp;LEFT(SUBSTITUTE(SUBSTITUTE(SUBSTITUTE(SUBSTITUTE(Продажи_исходные!B887,"№",""),"АРТ-",""),"АРТ_",""),"/","-"),3)</f>
        <v>АРТ-240</v>
      </c>
      <c r="C887" s="4">
        <f>IFERROR(VALUE(TRIM(SUBSTITUTE(SUBSTITUTE(SUBSTITUTE(SUBSTITUTE(Продажи_исходные!C887," шт.","")," шт",""),"шт.",""),"шт",""))),0)</f>
        <v>-2</v>
      </c>
      <c r="D887" s="4">
        <f>IF(LEFT(Продажи_исходные!D887,1)="$",VALUE(MID(Продажи_исходные!D887,2,255))*95,IF(LEFT(Продажи_исходные!D887,1)="€",VALUE(MID(Продажи_исходные!D887,2,255))*100,VALUE(SUBSTITUTE(SUBSTITUTE(Продажи_исходные!D887,"₽","")," ",""))))</f>
        <v>10925</v>
      </c>
      <c r="E887" t="str">
        <f>Продажи_исходные!E887</f>
        <v>C0886</v>
      </c>
      <c r="F887" t="str">
        <f>Продажи_исходные!F887</f>
        <v>P003</v>
      </c>
      <c r="G887" t="str">
        <f>IFERROR(VLOOKUP(Продажи_исходные!G887,Справочники!$G$2:$H$50,2,FALSE),Продажи_исходные!G887)</f>
        <v>Отменен</v>
      </c>
      <c r="H887" s="4">
        <f>IFERROR(VLOOKUP(B887,Товары_очищенные!$A$1:$G$1000,6,FALSE),"нет в каталоге")</f>
        <v>113500</v>
      </c>
      <c r="I887" t="str">
        <f>IFERROR(VLOOKUP(B887,Товары_очищенные!$A$1:$G$1000,3,FALSE),"нет в каталоге")</f>
        <v>Телевизоры</v>
      </c>
      <c r="J887" t="str">
        <f t="shared" si="39"/>
        <v>OK</v>
      </c>
    </row>
    <row r="888">
      <c r="A888" s="8">
        <f>DATE(RIGHT(Продажи_исходные!A888,4),LEFT(Продажи_исходные!A888,2),MID(Продажи_исходные!A888,4,2))</f>
        <v>46115</v>
      </c>
      <c r="B888" t="str">
        <f>"АРТ-"&amp;LEFT(SUBSTITUTE(SUBSTITUTE(SUBSTITUTE(SUBSTITUTE(Продажи_исходные!B888,"№",""),"АРТ-",""),"АРТ_",""),"/","-"),3)</f>
        <v>АРТ-301</v>
      </c>
      <c r="C888" s="4">
        <f>IFERROR(VALUE(TRIM(SUBSTITUTE(SUBSTITUTE(SUBSTITUTE(SUBSTITUTE(Продажи_исходные!C888," шт.","")," шт",""),"шт.",""),"шт",""))),0)</f>
        <v>1</v>
      </c>
      <c r="D888" s="4">
        <f>IF(LEFT(Продажи_исходные!D888,1)="$",VALUE(MID(Продажи_исходные!D888,2,255))*95,IF(LEFT(Продажи_исходные!D888,1)="€",VALUE(MID(Продажи_исходные!D888,2,255))*100,VALUE(SUBSTITUTE(SUBSTITUTE(Продажи_исходные!D888,"₽","")," ",""))))</f>
        <v>9500</v>
      </c>
      <c r="E888" t="str">
        <f>Продажи_исходные!E888</f>
        <v>C0887</v>
      </c>
      <c r="F888" t="str">
        <f>Продажи_исходные!F888</f>
        <v>P025</v>
      </c>
      <c r="G888" t="str">
        <f>IFERROR(VLOOKUP(Продажи_исходные!G888,Справочники!$G$2:$H$50,2,FALSE),Продажи_исходные!G888)</f>
        <v>Завершен</v>
      </c>
      <c r="H888" s="4">
        <f>IFERROR(VLOOKUP(B888,Товары_очищенные!$A$1:$G$1000,6,FALSE),"нет в каталоге")</f>
        <v>7990</v>
      </c>
      <c r="I888" t="str">
        <f>IFERROR(VLOOKUP(B888,Товары_очищенные!$A$1:$G$1000,3,FALSE),"нет в каталоге")</f>
        <v>Наушники</v>
      </c>
      <c r="J888" t="str">
        <f t="shared" si="39"/>
        <v>OK</v>
      </c>
    </row>
    <row r="889">
      <c r="A889" s="8">
        <f>DATE(RIGHT(Продажи_исходные!A889,4),LEFT(Продажи_исходные!A889,2),MID(Продажи_исходные!A889,4,2))</f>
        <v>46115</v>
      </c>
      <c r="B889" t="str">
        <f>"АРТ-"&amp;LEFT(SUBSTITUTE(SUBSTITUTE(SUBSTITUTE(SUBSTITUTE(Продажи_исходные!B889,"№",""),"АРТ-",""),"АРТ_",""),"/","-"),3)</f>
        <v>АРТ-134</v>
      </c>
      <c r="C889" s="4">
        <f>IFERROR(VALUE(TRIM(SUBSTITUTE(SUBSTITUTE(SUBSTITUTE(SUBSTITUTE(Продажи_исходные!C889," шт.","")," шт",""),"шт.",""),"шт",""))),0)</f>
        <v>2</v>
      </c>
      <c r="D889" s="4">
        <f>IF(LEFT(Продажи_исходные!D889,1)="$",VALUE(MID(Продажи_исходные!D889,2,255))*95,IF(LEFT(Продажи_исходные!D889,1)="€",VALUE(MID(Продажи_исходные!D889,2,255))*100,VALUE(SUBSTITUTE(SUBSTITUTE(Продажи_исходные!D889,"₽","")," ",""))))</f>
        <v>8500</v>
      </c>
      <c r="E889" t="str">
        <f>Продажи_исходные!E889</f>
        <v>C0888</v>
      </c>
      <c r="F889" t="str">
        <f>Продажи_исходные!F889</f>
        <v>P010</v>
      </c>
      <c r="G889" t="str">
        <f>IFERROR(VLOOKUP(Продажи_исходные!G889,Справочники!$G$2:$H$50,2,FALSE),Продажи_исходные!G889)</f>
        <v>Возврат</v>
      </c>
      <c r="H889" s="4">
        <f>IFERROR(VLOOKUP(B889,Товары_очищенные!$A$1:$G$1000,6,FALSE),"нет в каталоге")</f>
        <v>124000</v>
      </c>
      <c r="I889" t="str">
        <f>IFERROR(VLOOKUP(B889,Товары_очищенные!$A$1:$G$1000,3,FALSE),"нет в каталоге")</f>
        <v>Телевизоры</v>
      </c>
      <c r="J889" t="str">
        <f t="shared" si="39"/>
        <v>OK</v>
      </c>
    </row>
    <row r="890">
      <c r="A890" s="8">
        <f>DATE(RIGHT(Продажи_исходные!A890,4),LEFT(Продажи_исходные!A890,2),MID(Продажи_исходные!A890,4,2))</f>
        <v>46116</v>
      </c>
      <c r="B890" t="str">
        <f>"АРТ-"&amp;LEFT(SUBSTITUTE(SUBSTITUTE(SUBSTITUTE(SUBSTITUTE(Продажи_исходные!B890,"№",""),"АРТ-",""),"АРТ_",""),"/","-"),3)</f>
        <v>АРТ-111</v>
      </c>
      <c r="C890" s="4">
        <f>IFERROR(VALUE(TRIM(SUBSTITUTE(SUBSTITUTE(SUBSTITUTE(SUBSTITUTE(Продажи_исходные!C890," шт.","")," шт",""),"шт.",""),"шт",""))),0)</f>
        <v>3</v>
      </c>
      <c r="D890" s="4">
        <f>IF(LEFT(Продажи_исходные!D890,1)="$",VALUE(MID(Продажи_исходные!D890,2,255))*95,IF(LEFT(Продажи_исходные!D890,1)="€",VALUE(MID(Продажи_исходные!D890,2,255))*100,VALUE(SUBSTITUTE(SUBSTITUTE(Продажи_исходные!D890,"₽","")," ",""))))</f>
        <v>9975</v>
      </c>
      <c r="E890" t="str">
        <f>Продажи_исходные!E890</f>
        <v>C0889</v>
      </c>
      <c r="F890" t="str">
        <f>Продажи_исходные!F890</f>
        <v>P033</v>
      </c>
      <c r="G890" t="str">
        <f>IFERROR(VLOOKUP(Продажи_исходные!G890,Справочники!$G$2:$H$50,2,FALSE),Продажи_исходные!G890)</f>
        <v>Завершен</v>
      </c>
      <c r="H890" s="4">
        <f>IFERROR(VLOOKUP(B890,Товары_очищенные!$A$1:$G$1000,6,FALSE),"нет в каталоге")</f>
        <v>122500</v>
      </c>
      <c r="I890" t="str">
        <f>IFERROR(VLOOKUP(B890,Товары_очищенные!$A$1:$G$1000,3,FALSE),"нет в каталоге")</f>
        <v>Телевизоры</v>
      </c>
      <c r="J890" t="str">
        <f t="shared" si="39"/>
        <v>OK</v>
      </c>
    </row>
    <row r="891">
      <c r="A891" s="8">
        <f>DATE(RIGHT(Продажи_исходные!A891,4),LEFT(Продажи_исходные!A891,2),MID(Продажи_исходные!A891,4,2))</f>
        <v>46116</v>
      </c>
      <c r="B891" t="str">
        <f>"АРТ-"&amp;LEFT(SUBSTITUTE(SUBSTITUTE(SUBSTITUTE(SUBSTITUTE(Продажи_исходные!B891,"№",""),"АРТ-",""),"АРТ_",""),"/","-"),3)</f>
        <v>АРТ-498</v>
      </c>
      <c r="C891" s="4">
        <f>IFERROR(VALUE(TRIM(SUBSTITUTE(SUBSTITUTE(SUBSTITUTE(SUBSTITUTE(Продажи_исходные!C891," шт.","")," шт",""),"шт.",""),"шт",""))),0)</f>
        <v>2</v>
      </c>
      <c r="D891" s="4">
        <f>IF(LEFT(Продажи_исходные!D891,1)="$",VALUE(MID(Продажи_исходные!D891,2,255))*95,IF(LEFT(Продажи_исходные!D891,1)="€",VALUE(MID(Продажи_исходные!D891,2,255))*100,VALUE(SUBSTITUTE(SUBSTITUTE(Продажи_исходные!D891,"₽","")," ",""))))</f>
        <v>8500</v>
      </c>
      <c r="E891" t="str">
        <f>Продажи_исходные!E891</f>
        <v>C0890</v>
      </c>
      <c r="F891" t="str">
        <f>Продажи_исходные!F891</f>
        <v>P047</v>
      </c>
      <c r="G891" t="str">
        <f>IFERROR(VLOOKUP(Продажи_исходные!G891,Справочники!$G$2:$H$50,2,FALSE),Продажи_исходные!G891)</f>
        <v>Завершен</v>
      </c>
      <c r="H891" s="4">
        <f>IFERROR(VLOOKUP(B891,Товары_очищенные!$A$1:$G$1000,6,FALSE),"нет в каталоге")</f>
        <v>62000</v>
      </c>
      <c r="I891" t="str">
        <f>IFERROR(VLOOKUP(B891,Товары_очищенные!$A$1:$G$1000,3,FALSE),"нет в каталоге")</f>
        <v>Мониторы</v>
      </c>
      <c r="J891" t="str">
        <f t="shared" si="39"/>
        <v>OK</v>
      </c>
    </row>
    <row r="892">
      <c r="A892" s="8">
        <f>DATE(RIGHT(Продажи_исходные!A892,4),LEFT(Продажи_исходные!A892,2),MID(Продажи_исходные!A892,4,2))</f>
        <v>46117</v>
      </c>
      <c r="B892" t="str">
        <f>"АРТ-"&amp;LEFT(SUBSTITUTE(SUBSTITUTE(SUBSTITUTE(SUBSTITUTE(Продажи_исходные!B892,"№",""),"АРТ-",""),"АРТ_",""),"/","-"),3)</f>
        <v>АРТ-375</v>
      </c>
      <c r="C892" s="4">
        <f>IFERROR(VALUE(TRIM(SUBSTITUTE(SUBSTITUTE(SUBSTITUTE(SUBSTITUTE(Продажи_исходные!C892," шт.","")," шт",""),"шт.",""),"шт",""))),0)</f>
        <v>1</v>
      </c>
      <c r="D892" s="4">
        <f>IF(LEFT(Продажи_исходные!D892,1)="$",VALUE(MID(Продажи_исходные!D892,2,255))*95,IF(LEFT(Продажи_исходные!D892,1)="€",VALUE(MID(Продажи_исходные!D892,2,255))*100,VALUE(SUBSTITUTE(SUBSTITUTE(Продажи_исходные!D892,"₽","")," ",""))))</f>
        <v>7800</v>
      </c>
      <c r="E892" t="str">
        <f>Продажи_исходные!E892</f>
        <v>C0891</v>
      </c>
      <c r="F892" t="str">
        <f>Продажи_исходные!F892</f>
        <v>P020</v>
      </c>
      <c r="G892" t="str">
        <f>IFERROR(VLOOKUP(Продажи_исходные!G892,Справочники!$G$2:$H$50,2,FALSE),Продажи_исходные!G892)</f>
        <v>Завершен</v>
      </c>
      <c r="H892" s="4">
        <f>IFERROR(VLOOKUP(B892,Товары_очищенные!$A$1:$G$1000,6,FALSE),"нет в каталоге")</f>
        <v>14800</v>
      </c>
      <c r="I892" t="str">
        <f>IFERROR(VLOOKUP(B892,Товары_очищенные!$A$1:$G$1000,3,FALSE),"нет в каталоге")</f>
        <v>Аксессуары</v>
      </c>
      <c r="J892" t="str">
        <f t="shared" si="39"/>
        <v>OK</v>
      </c>
    </row>
    <row r="893">
      <c r="A893" s="8">
        <f>DATE(RIGHT(Продажи_исходные!A893,4),LEFT(Продажи_исходные!A893,2),MID(Продажи_исходные!A893,4,2))</f>
        <v>46117</v>
      </c>
      <c r="B893" t="str">
        <f>"АРТ-"&amp;LEFT(SUBSTITUTE(SUBSTITUTE(SUBSTITUTE(SUBSTITUTE(Продажи_исходные!B893,"№",""),"АРТ-",""),"АРТ_",""),"/","-"),3)</f>
        <v>АРТ-383</v>
      </c>
      <c r="C893" s="4">
        <f>IFERROR(VALUE(TRIM(SUBSTITUTE(SUBSTITUTE(SUBSTITUTE(SUBSTITUTE(Продажи_исходные!C893," шт.","")," шт",""),"шт.",""),"шт",""))),0)</f>
        <v>-3</v>
      </c>
      <c r="D893" s="4">
        <f>IF(LEFT(Продажи_исходные!D893,1)="$",VALUE(MID(Продажи_исходные!D893,2,255))*95,IF(LEFT(Продажи_исходные!D893,1)="€",VALUE(MID(Продажи_исходные!D893,2,255))*100,VALUE(SUBSTITUTE(SUBSTITUTE(Продажи_исходные!D893,"₽","")," ",""))))</f>
        <v>11400</v>
      </c>
      <c r="E893" t="str">
        <f>Продажи_исходные!E893</f>
        <v>C0892</v>
      </c>
      <c r="F893" t="str">
        <f>Продажи_исходные!F893</f>
        <v>P002</v>
      </c>
      <c r="G893" t="str">
        <f>IFERROR(VLOOKUP(Продажи_исходные!G893,Справочники!$G$2:$H$50,2,FALSE),Продажи_исходные!G893)</f>
        <v>Отменен</v>
      </c>
      <c r="H893" s="4">
        <f>IFERROR(VLOOKUP(B893,Товары_очищенные!$A$1:$G$1000,6,FALSE),"нет в каталоге")</f>
        <v>41500</v>
      </c>
      <c r="I893" t="str">
        <f>IFERROR(VLOOKUP(B893,Товары_очищенные!$A$1:$G$1000,3,FALSE),"нет в каталоге")</f>
        <v>Смартфоны</v>
      </c>
      <c r="J893" t="str">
        <f t="shared" si="39"/>
        <v>OK</v>
      </c>
    </row>
    <row r="894">
      <c r="A894" s="8">
        <f>DATE(RIGHT(Продажи_исходные!A894,4),LEFT(Продажи_исходные!A894,2),MID(Продажи_исходные!A894,4,2))</f>
        <v>46118</v>
      </c>
      <c r="B894" t="str">
        <f>"АРТ-"&amp;LEFT(SUBSTITUTE(SUBSTITUTE(SUBSTITUTE(SUBSTITUTE(Продажи_исходные!B894,"№",""),"АРТ-",""),"АРТ_",""),"/","-"),3)</f>
        <v>АРТ-334</v>
      </c>
      <c r="C894" s="4">
        <f>IFERROR(VALUE(TRIM(SUBSTITUTE(SUBSTITUTE(SUBSTITUTE(SUBSTITUTE(Продажи_исходные!C894," шт.","")," шт",""),"шт.",""),"шт",""))),0)</f>
        <v>2</v>
      </c>
      <c r="D894" s="4">
        <f>IF(LEFT(Продажи_исходные!D894,1)="$",VALUE(MID(Продажи_исходные!D894,2,255))*95,IF(LEFT(Продажи_исходные!D894,1)="€",VALUE(MID(Продажи_исходные!D894,2,255))*100,VALUE(SUBSTITUTE(SUBSTITUTE(Продажи_исходные!D894,"₽","")," ",""))))</f>
        <v>10000</v>
      </c>
      <c r="E894" t="str">
        <f>Продажи_исходные!E894</f>
        <v>C0893</v>
      </c>
      <c r="F894" t="str">
        <f>Продажи_исходные!F894</f>
        <v>P038</v>
      </c>
      <c r="G894" t="str">
        <f>IFERROR(VLOOKUP(Продажи_исходные!G894,Справочники!$G$2:$H$50,2,FALSE),Продажи_исходные!G894)</f>
        <v>Отменен</v>
      </c>
      <c r="H894" s="4">
        <f>IFERROR(VLOOKUP(B894,Товары_очищенные!$A$1:$G$1000,6,FALSE),"нет в каталоге")</f>
        <v>48990</v>
      </c>
      <c r="I894" t="str">
        <f>IFERROR(VLOOKUP(B894,Товары_очищенные!$A$1:$G$1000,3,FALSE),"нет в каталоге")</f>
        <v>Планшеты</v>
      </c>
      <c r="J894" t="str">
        <f t="shared" si="39"/>
        <v>OK</v>
      </c>
    </row>
    <row r="895">
      <c r="A895" s="8">
        <f>DATE(RIGHT(Продажи_исходные!A895,4),LEFT(Продажи_исходные!A895,2),MID(Продажи_исходные!A895,4,2))</f>
        <v>46118</v>
      </c>
      <c r="B895" t="str">
        <f>"АРТ-"&amp;LEFT(SUBSTITUTE(SUBSTITUTE(SUBSTITUTE(SUBSTITUTE(Продажи_исходные!B895,"№",""),"АРТ-",""),"АРТ_",""),"/","-"),3)</f>
        <v>АРТ-266</v>
      </c>
      <c r="C895" s="4">
        <f>IFERROR(VALUE(TRIM(SUBSTITUTE(SUBSTITUTE(SUBSTITUTE(SUBSTITUTE(Продажи_исходные!C895," шт.","")," шт",""),"шт.",""),"шт",""))),0)</f>
        <v>1</v>
      </c>
      <c r="D895" s="4">
        <f>IF(LEFT(Продажи_исходные!D895,1)="$",VALUE(MID(Продажи_исходные!D895,2,255))*95,IF(LEFT(Продажи_исходные!D895,1)="€",VALUE(MID(Продажи_исходные!D895,2,255))*100,VALUE(SUBSTITUTE(SUBSTITUTE(Продажи_исходные!D895,"₽","")," ",""))))</f>
        <v>9200</v>
      </c>
      <c r="E895" t="str">
        <f>Продажи_исходные!E895</f>
        <v>C0894</v>
      </c>
      <c r="F895" t="str">
        <f>Продажи_исходные!F895</f>
        <v>P016</v>
      </c>
      <c r="G895" t="str">
        <f>IFERROR(VLOOKUP(Продажи_исходные!G895,Справочники!$G$2:$H$50,2,FALSE),Продажи_исходные!G895)</f>
        <v>Возврат</v>
      </c>
      <c r="H895" s="4">
        <f>IFERROR(VLOOKUP(B895,Товары_очищенные!$A$1:$G$1000,6,FALSE),"нет в каталоге")</f>
        <v>65500</v>
      </c>
      <c r="I895" t="str">
        <f>IFERROR(VLOOKUP(B895,Товары_очищенные!$A$1:$G$1000,3,FALSE),"нет в каталоге")</f>
        <v>Мониторы</v>
      </c>
      <c r="J895" t="str">
        <f t="shared" si="39"/>
        <v>OK</v>
      </c>
    </row>
    <row r="896">
      <c r="A896" s="8">
        <f>DATE(RIGHT(Продажи_исходные!A896,4),LEFT(Продажи_исходные!A896,2),MID(Продажи_исходные!A896,4,2))</f>
        <v>46119</v>
      </c>
      <c r="B896" t="str">
        <f>"АРТ-"&amp;LEFT(SUBSTITUTE(SUBSTITUTE(SUBSTITUTE(SUBSTITUTE(Продажи_исходные!B896,"№",""),"АРТ-",""),"АРТ_",""),"/","-"),3)</f>
        <v>АРТ-090</v>
      </c>
      <c r="C896" s="4">
        <f>IFERROR(VALUE(TRIM(SUBSTITUTE(SUBSTITUTE(SUBSTITUTE(SUBSTITUTE(Продажи_исходные!C896," шт.","")," шт",""),"шт.",""),"шт",""))),0)</f>
        <v>3</v>
      </c>
      <c r="D896" s="4">
        <f>IF(LEFT(Продажи_исходные!D896,1)="$",VALUE(MID(Продажи_исходные!D896,2,255))*95,IF(LEFT(Продажи_исходные!D896,1)="€",VALUE(MID(Продажи_исходные!D896,2,255))*100,VALUE(SUBSTITUTE(SUBSTITUTE(Продажи_исходные!D896,"₽","")," ",""))))</f>
        <v>8550</v>
      </c>
      <c r="E896" t="str">
        <f>Продажи_исходные!E896</f>
        <v>C0895</v>
      </c>
      <c r="F896" t="str">
        <f>Продажи_исходные!F896</f>
        <v>P029</v>
      </c>
      <c r="G896" t="str">
        <f>IFERROR(VLOOKUP(Продажи_исходные!G896,Справочники!$G$2:$H$50,2,FALSE),Продажи_исходные!G896)</f>
        <v>Завершен</v>
      </c>
      <c r="H896" s="4">
        <f>IFERROR(VLOOKUP(B896,Товары_очищенные!$A$1:$G$1000,6,FALSE),"нет в каталоге")</f>
        <v>56500</v>
      </c>
      <c r="I896" t="str">
        <f>IFERROR(VLOOKUP(B896,Товары_очищенные!$A$1:$G$1000,3,FALSE),"нет в каталоге")</f>
        <v>Телевизоры</v>
      </c>
      <c r="J896" t="str">
        <f t="shared" si="39"/>
        <v>OK</v>
      </c>
    </row>
    <row r="897">
      <c r="A897" s="8">
        <f>DATE(RIGHT(Продажи_исходные!A897,4),LEFT(Продажи_исходные!A897,2),MID(Продажи_исходные!A897,4,2))</f>
        <v>46119</v>
      </c>
      <c r="B897" t="str">
        <f>"АРТ-"&amp;LEFT(SUBSTITUTE(SUBSTITUTE(SUBSTITUTE(SUBSTITUTE(Продажи_исходные!B897,"№",""),"АРТ-",""),"АРТ_",""),"/","-"),3)</f>
        <v>АРТ-456</v>
      </c>
      <c r="C897" s="4">
        <f>IFERROR(VALUE(TRIM(SUBSTITUTE(SUBSTITUTE(SUBSTITUTE(SUBSTITUTE(Продажи_исходные!C897," шт.","")," шт",""),"шт.",""),"шт",""))),0)</f>
        <v>2</v>
      </c>
      <c r="D897" s="4">
        <f>IF(LEFT(Продажи_исходные!D897,1)="$",VALUE(MID(Продажи_исходные!D897,2,255))*95,IF(LEFT(Продажи_исходные!D897,1)="€",VALUE(MID(Продажи_исходные!D897,2,255))*100,VALUE(SUBSTITUTE(SUBSTITUTE(Продажи_исходные!D897,"₽","")," ",""))))</f>
        <v>7000</v>
      </c>
      <c r="E897" t="str">
        <f>Продажи_исходные!E897</f>
        <v>C0896</v>
      </c>
      <c r="F897" t="str">
        <f>Продажи_исходные!F897</f>
        <v>P035</v>
      </c>
      <c r="G897" t="str">
        <f>IFERROR(VLOOKUP(Продажи_исходные!G897,Справочники!$G$2:$H$50,2,FALSE),Продажи_исходные!G897)</f>
        <v>Завершен</v>
      </c>
      <c r="H897" s="4">
        <f>IFERROR(VLOOKUP(B897,Товары_очищенные!$A$1:$G$1000,6,FALSE),"нет в каталоге")</f>
        <v>77500</v>
      </c>
      <c r="I897" t="str">
        <f>IFERROR(VLOOKUP(B897,Товары_очищенные!$A$1:$G$1000,3,FALSE),"нет в каталоге")</f>
        <v>Мониторы</v>
      </c>
      <c r="J897" t="str">
        <f t="shared" si="39"/>
        <v>OK</v>
      </c>
    </row>
    <row r="898">
      <c r="A898" s="8">
        <f>DATE(RIGHT(Продажи_исходные!A898,4),LEFT(Продажи_исходные!A898,2),MID(Продажи_исходные!A898,4,2))</f>
        <v>46120</v>
      </c>
      <c r="B898" t="str">
        <f>"АРТ-"&amp;LEFT(SUBSTITUTE(SUBSTITUTE(SUBSTITUTE(SUBSTITUTE(Продажи_исходные!B898,"№",""),"АРТ-",""),"АРТ_",""),"/","-"),3)</f>
        <v>АРТ-324</v>
      </c>
      <c r="C898" s="4">
        <f>IFERROR(VALUE(TRIM(SUBSTITUTE(SUBSTITUTE(SUBSTITUTE(SUBSTITUTE(Продажи_исходные!C898," шт.","")," шт",""),"шт.",""),"шт",""))),0)</f>
        <v>1</v>
      </c>
      <c r="D898" s="4">
        <f>IF(LEFT(Продажи_исходные!D898,1)="$",VALUE(MID(Продажи_исходные!D898,2,255))*95,IF(LEFT(Продажи_исходные!D898,1)="€",VALUE(MID(Продажи_исходные!D898,2,255))*100,VALUE(SUBSTITUTE(SUBSTITUTE(Продажи_исходные!D898,"₽","")," ",""))))</f>
        <v>6500</v>
      </c>
      <c r="E898" t="str">
        <f>Продажи_исходные!E898</f>
        <v>C0897</v>
      </c>
      <c r="F898" t="str">
        <f>Продажи_исходные!F898</f>
        <v>P046</v>
      </c>
      <c r="G898" t="str">
        <f>IFERROR(VLOOKUP(Продажи_исходные!G898,Справочники!$G$2:$H$50,2,FALSE),Продажи_исходные!G898)</f>
        <v>Завершен</v>
      </c>
      <c r="H898" s="4">
        <f>IFERROR(VLOOKUP(B898,Товары_очищенные!$A$1:$G$1000,6,FALSE),"нет в каталоге")</f>
        <v>13800</v>
      </c>
      <c r="I898" t="str">
        <f>IFERROR(VLOOKUP(B898,Товары_очищенные!$A$1:$G$1000,3,FALSE),"нет в каталоге")</f>
        <v>Наушники</v>
      </c>
      <c r="J898" t="str">
        <f t="shared" si="39"/>
        <v>OK</v>
      </c>
    </row>
    <row r="899">
      <c r="A899" s="8">
        <f>DATE(RIGHT(Продажи_исходные!A899,4),LEFT(Продажи_исходные!A899,2),MID(Продажи_исходные!A899,4,2))</f>
        <v>46120</v>
      </c>
      <c r="B899" t="str">
        <f>"АРТ-"&amp;LEFT(SUBSTITUTE(SUBSTITUTE(SUBSTITUTE(SUBSTITUTE(Продажи_исходные!B899,"№",""),"АРТ-",""),"АРТ_",""),"/","-"),3)</f>
        <v>АРТ-184</v>
      </c>
      <c r="C899" s="4">
        <f>IFERROR(VALUE(TRIM(SUBSTITUTE(SUBSTITUTE(SUBSTITUTE(SUBSTITUTE(Продажи_исходные!C899," шт.","")," шт",""),"шт.",""),"шт",""))),0)</f>
        <v>-1</v>
      </c>
      <c r="D899" s="4">
        <f>IF(LEFT(Продажи_исходные!D899,1)="$",VALUE(MID(Продажи_исходные!D899,2,255))*95,IF(LEFT(Продажи_исходные!D899,1)="€",VALUE(MID(Продажи_исходные!D899,2,255))*100,VALUE(SUBSTITUTE(SUBSTITUTE(Продажи_исходные!D899,"₽","")," ",""))))</f>
        <v>10450</v>
      </c>
      <c r="E899" t="str">
        <f>Продажи_исходные!E899</f>
        <v>C0898</v>
      </c>
      <c r="F899" t="str">
        <f>Продажи_исходные!F899</f>
        <v>P022</v>
      </c>
      <c r="G899" t="str">
        <f>IFERROR(VLOOKUP(Продажи_исходные!G899,Справочники!$G$2:$H$50,2,FALSE),Продажи_исходные!G899)</f>
        <v>Отменен</v>
      </c>
      <c r="H899" s="4">
        <f>IFERROR(VLOOKUP(B899,Товары_очищенные!$A$1:$G$1000,6,FALSE),"нет в каталоге")</f>
        <v>19990</v>
      </c>
      <c r="I899" t="str">
        <f>IFERROR(VLOOKUP(B899,Товары_очищенные!$A$1:$G$1000,3,FALSE),"нет в каталоге")</f>
        <v>Аксессуары</v>
      </c>
      <c r="J899" t="str">
        <f t="shared" si="39"/>
        <v>OK</v>
      </c>
    </row>
    <row r="900">
      <c r="A900" s="8">
        <f>DATE(RIGHT(Продажи_исходные!A900,4),LEFT(Продажи_исходные!A900,2),MID(Продажи_исходные!A900,4,2))</f>
        <v>46121</v>
      </c>
      <c r="B900" t="str">
        <f>"АРТ-"&amp;LEFT(SUBSTITUTE(SUBSTITUTE(SUBSTITUTE(SUBSTITUTE(Продажи_исходные!B900,"№",""),"АРТ-",""),"АРТ_",""),"/","-"),3)</f>
        <v>АРТ-391</v>
      </c>
      <c r="C900" s="4">
        <f>IFERROR(VALUE(TRIM(SUBSTITUTE(SUBSTITUTE(SUBSTITUTE(SUBSTITUTE(Продажи_исходные!C900," шт.","")," шт",""),"шт.",""),"шт",""))),0)</f>
        <v>3</v>
      </c>
      <c r="D900" s="4">
        <f>IF(LEFT(Продажи_исходные!D900,1)="$",VALUE(MID(Продажи_исходные!D900,2,255))*95,IF(LEFT(Продажи_исходные!D900,1)="€",VALUE(MID(Продажи_исходные!D900,2,255))*100,VALUE(SUBSTITUTE(SUBSTITUTE(Продажи_исходные!D900,"₽","")," ",""))))</f>
        <v>9000</v>
      </c>
      <c r="E900" t="str">
        <f>Продажи_исходные!E900</f>
        <v>C0899</v>
      </c>
      <c r="F900" t="str">
        <f>Продажи_исходные!F900</f>
        <v>P043</v>
      </c>
      <c r="G900" t="str">
        <f>IFERROR(VLOOKUP(Продажи_исходные!G900,Справочники!$G$2:$H$50,2,FALSE),Продажи_исходные!G900)</f>
        <v>Отменен</v>
      </c>
      <c r="H900" s="4">
        <f>IFERROR(VLOOKUP(B900,Товары_очищенные!$A$1:$G$1000,6,FALSE),"нет в каталоге")</f>
        <v>18990</v>
      </c>
      <c r="I900" t="str">
        <f>IFERROR(VLOOKUP(B900,Товары_очищенные!$A$1:$G$1000,3,FALSE),"нет в каталоге")</f>
        <v>Наушники</v>
      </c>
      <c r="J900" t="str">
        <f t="shared" si="39"/>
        <v>OK</v>
      </c>
    </row>
    <row r="901">
      <c r="A901" s="8">
        <f>DATE(RIGHT(Продажи_исходные!A901,4),LEFT(Продажи_исходные!A901,2),MID(Продажи_исходные!A901,4,2))</f>
        <v>46121</v>
      </c>
      <c r="B901" t="str">
        <f>"АРТ-"&amp;LEFT(SUBSTITUTE(SUBSTITUTE(SUBSTITUTE(SUBSTITUTE(Продажи_исходные!B901,"№",""),"АРТ-",""),"АРТ_",""),"/","-"),3)</f>
        <v>АРТ-176</v>
      </c>
      <c r="C901" s="4">
        <f>IFERROR(VALUE(TRIM(SUBSTITUTE(SUBSTITUTE(SUBSTITUTE(SUBSTITUTE(Продажи_исходные!C901," шт.","")," шт",""),"шт.",""),"шт",""))),0)</f>
        <v>2</v>
      </c>
      <c r="D901" s="4">
        <f>IF(LEFT(Продажи_исходные!D901,1)="$",VALUE(MID(Продажи_исходные!D901,2,255))*95,IF(LEFT(Продажи_исходные!D901,1)="€",VALUE(MID(Продажи_исходные!D901,2,255))*100,VALUE(SUBSTITUTE(SUBSTITUTE(Продажи_исходные!D901,"₽","")," ",""))))</f>
        <v>8000</v>
      </c>
      <c r="E901" t="str">
        <f>Продажи_исходные!E901</f>
        <v>C0900</v>
      </c>
      <c r="F901" t="str">
        <f>Продажи_исходные!F901</f>
        <v>P030</v>
      </c>
      <c r="G901" t="str">
        <f>IFERROR(VLOOKUP(Продажи_исходные!G901,Справочники!$G$2:$H$50,2,FALSE),Продажи_исходные!G901)</f>
        <v>Завершен</v>
      </c>
      <c r="H901" s="4">
        <f>IFERROR(VLOOKUP(B901,Товары_очищенные!$A$1:$G$1000,6,FALSE),"нет в каталоге")</f>
        <v>97000</v>
      </c>
      <c r="I901" t="str">
        <f>IFERROR(VLOOKUP(B901,Товары_очищенные!$A$1:$G$1000,3,FALSE),"нет в каталоге")</f>
        <v>Телевизоры</v>
      </c>
      <c r="J901" t="str">
        <f t="shared" si="39"/>
        <v>OK</v>
      </c>
    </row>
    <row r="902">
      <c r="A902" s="8">
        <f>DATE(RIGHT(Продажи_исходные!A902,4),LEFT(Продажи_исходные!A902,2),MID(Продажи_исходные!A902,4,2))</f>
        <v>46122</v>
      </c>
      <c r="B902" t="str">
        <f>"АРТ-"&amp;LEFT(SUBSTITUTE(SUBSTITUTE(SUBSTITUTE(SUBSTITUTE(Продажи_исходные!B902,"№",""),"АРТ-",""),"АРТ_",""),"/","-"),3)</f>
        <v>АРТ-055</v>
      </c>
      <c r="C902" s="4">
        <f>IFERROR(VALUE(TRIM(SUBSTITUTE(SUBSTITUTE(SUBSTITUTE(SUBSTITUTE(Продажи_исходные!C902," шт.","")," шт",""),"шт.",""),"шт",""))),0)</f>
        <v>1</v>
      </c>
      <c r="D902" s="4">
        <f>IF(LEFT(Продажи_исходные!D902,1)="$",VALUE(MID(Продажи_исходные!D902,2,255))*95,IF(LEFT(Продажи_исходные!D902,1)="€",VALUE(MID(Продажи_исходные!D902,2,255))*100,VALUE(SUBSTITUTE(SUBSTITUTE(Продажи_исходные!D902,"₽","")," ",""))))</f>
        <v>9025</v>
      </c>
      <c r="E902" t="str">
        <f>Продажи_исходные!E902</f>
        <v>C0901</v>
      </c>
      <c r="F902" t="str">
        <f>Продажи_исходные!F902</f>
        <v>P012</v>
      </c>
      <c r="G902" t="str">
        <f>IFERROR(VLOOKUP(Продажи_исходные!G902,Справочники!$G$2:$H$50,2,FALSE),Продажи_исходные!G902)</f>
        <v>Возврат</v>
      </c>
      <c r="H902" s="4">
        <f>IFERROR(VLOOKUP(B902,Товары_очищенные!$A$1:$G$1000,6,FALSE),"нет в каталоге")</f>
        <v>10990</v>
      </c>
      <c r="I902" t="str">
        <f>IFERROR(VLOOKUP(B902,Товары_очищенные!$A$1:$G$1000,3,FALSE),"нет в каталоге")</f>
        <v>Аксессуары</v>
      </c>
      <c r="J902" t="str">
        <f t="shared" si="39"/>
        <v>OK</v>
      </c>
    </row>
    <row r="903">
      <c r="A903" s="8">
        <f>DATE(RIGHT(Продажи_исходные!A903,4),LEFT(Продажи_исходные!A903,2),MID(Продажи_исходные!A903,4,2))</f>
        <v>46122</v>
      </c>
      <c r="B903" t="str">
        <f>"АРТ-"&amp;LEFT(SUBSTITUTE(SUBSTITUTE(SUBSTITUTE(SUBSTITUTE(Продажи_исходные!B903,"№",""),"АРТ-",""),"АРТ_",""),"/","-"),3)</f>
        <v>АРТ-463</v>
      </c>
      <c r="C903" s="4">
        <f>IFERROR(VALUE(TRIM(SUBSTITUTE(SUBSTITUTE(SUBSTITUTE(SUBSTITUTE(Продажи_исходные!C903," шт.","")," шт",""),"шт.",""),"шт",""))),0)</f>
        <v>2</v>
      </c>
      <c r="D903" s="4">
        <f>IF(LEFT(Продажи_исходные!D903,1)="$",VALUE(MID(Продажи_исходные!D903,2,255))*95,IF(LEFT(Продажи_исходные!D903,1)="€",VALUE(MID(Продажи_исходные!D903,2,255))*100,VALUE(SUBSTITUTE(SUBSTITUTE(Продажи_исходные!D903,"₽","")," ",""))))</f>
        <v>7500</v>
      </c>
      <c r="E903" t="str">
        <f>Продажи_исходные!E903</f>
        <v>C0902</v>
      </c>
      <c r="F903" t="str">
        <f>Продажи_исходные!F903</f>
        <v>P007</v>
      </c>
      <c r="G903" t="str">
        <f>IFERROR(VLOOKUP(Продажи_исходные!G903,Справочники!$G$2:$H$50,2,FALSE),Продажи_исходные!G903)</f>
        <v>Завершен</v>
      </c>
      <c r="H903" s="4">
        <f>IFERROR(VLOOKUP(B903,Товары_очищенные!$A$1:$G$1000,6,FALSE),"нет в каталоге")</f>
        <v>29990</v>
      </c>
      <c r="I903" t="str">
        <f>IFERROR(VLOOKUP(B903,Товары_очищенные!$A$1:$G$1000,3,FALSE),"нет в каталоге")</f>
        <v>Планшеты</v>
      </c>
      <c r="J903" t="str">
        <f t="shared" si="39"/>
        <v>OK</v>
      </c>
    </row>
    <row r="904">
      <c r="A904" s="8">
        <f>DATE(RIGHT(Продажи_исходные!A904,4),LEFT(Продажи_исходные!A904,2),MID(Продажи_исходные!A904,4,2))</f>
        <v>46123</v>
      </c>
      <c r="B904" t="str">
        <f>"АРТ-"&amp;LEFT(SUBSTITUTE(SUBSTITUTE(SUBSTITUTE(SUBSTITUTE(Продажи_исходные!B904,"№",""),"АРТ-",""),"АРТ_",""),"/","-"),3)</f>
        <v>АРТ-386</v>
      </c>
      <c r="C904" s="4">
        <f>IFERROR(VALUE(TRIM(SUBSTITUTE(SUBSTITUTE(SUBSTITUTE(SUBSTITUTE(Продажи_исходные!C904," шт.","")," шт",""),"шт.",""),"шт",""))),0)</f>
        <v>3</v>
      </c>
      <c r="D904" s="4">
        <f>IF(LEFT(Продажи_исходные!D904,1)="$",VALUE(MID(Продажи_исходные!D904,2,255))*95,IF(LEFT(Продажи_исходные!D904,1)="€",VALUE(MID(Продажи_исходные!D904,2,255))*100,VALUE(SUBSTITUTE(SUBSTITUTE(Продажи_исходные!D904,"₽","")," ",""))))</f>
        <v>7000</v>
      </c>
      <c r="E904" t="str">
        <f>Продажи_исходные!E904</f>
        <v>C0903</v>
      </c>
      <c r="F904" t="str">
        <f>Продажи_исходные!F904</f>
        <v>P023</v>
      </c>
      <c r="G904" t="str">
        <f>IFERROR(VLOOKUP(Продажи_исходные!G904,Справочники!$G$2:$H$50,2,FALSE),Продажи_исходные!G904)</f>
        <v>Завершен</v>
      </c>
      <c r="H904" s="4">
        <f>IFERROR(VLOOKUP(B904,Товары_очищенные!$A$1:$G$1000,6,FALSE),"нет в каталоге")</f>
        <v>114000</v>
      </c>
      <c r="I904" t="str">
        <f>IFERROR(VLOOKUP(B904,Товары_очищенные!$A$1:$G$1000,3,FALSE),"нет в каталоге")</f>
        <v>Ноутбуки</v>
      </c>
      <c r="J904" t="str">
        <f t="shared" si="39"/>
        <v>OK</v>
      </c>
    </row>
    <row r="905">
      <c r="A905" s="8">
        <f>DATE(RIGHT(Продажи_исходные!A905,4),LEFT(Продажи_исходные!A905,2),MID(Продажи_исходные!A905,4,2))</f>
        <v>46123</v>
      </c>
      <c r="B905" t="str">
        <f>"АРТ-"&amp;LEFT(SUBSTITUTE(SUBSTITUTE(SUBSTITUTE(SUBSTITUTE(Продажи_исходные!B905,"№",""),"АРТ-",""),"АРТ_",""),"/","-"),3)</f>
        <v>АРТ-279</v>
      </c>
      <c r="C905" s="4">
        <f>IFERROR(VALUE(TRIM(SUBSTITUTE(SUBSTITUTE(SUBSTITUTE(SUBSTITUTE(Продажи_исходные!C905," шт.","")," шт",""),"шт.",""),"шт",""))),0)</f>
        <v>-2</v>
      </c>
      <c r="D905" s="4">
        <f>IF(LEFT(Продажи_исходные!D905,1)="$",VALUE(MID(Продажи_исходные!D905,2,255))*95,IF(LEFT(Продажи_исходные!D905,1)="€",VALUE(MID(Продажи_исходные!D905,2,255))*100,VALUE(SUBSTITUTE(SUBSTITUTE(Продажи_исходные!D905,"₽","")," ",""))))</f>
        <v>10925</v>
      </c>
      <c r="E905" t="str">
        <f>Продажи_исходные!E905</f>
        <v>C0904</v>
      </c>
      <c r="F905" t="str">
        <f>Продажи_исходные!F905</f>
        <v>P045</v>
      </c>
      <c r="G905" t="str">
        <f>IFERROR(VLOOKUP(Продажи_исходные!G905,Справочники!$G$2:$H$50,2,FALSE),Продажи_исходные!G905)</f>
        <v>Завершен</v>
      </c>
      <c r="H905" s="4">
        <f>IFERROR(VLOOKUP(B905,Товары_очищенные!$A$1:$G$1000,6,FALSE),"нет в каталоге")</f>
        <v>117500</v>
      </c>
      <c r="I905" t="str">
        <f>IFERROR(VLOOKUP(B905,Товары_очищенные!$A$1:$G$1000,3,FALSE),"нет в каталоге")</f>
        <v>Телевизоры</v>
      </c>
      <c r="J905" t="str">
        <f t="shared" si="39"/>
        <v>OK</v>
      </c>
    </row>
    <row r="906">
      <c r="A906" s="8">
        <f>DATE(RIGHT(Продажи_исходные!A906,4),LEFT(Продажи_исходные!A906,2),MID(Продажи_исходные!A906,4,2))</f>
        <v>46124</v>
      </c>
      <c r="B906" t="str">
        <f>"АРТ-"&amp;LEFT(SUBSTITUTE(SUBSTITUTE(SUBSTITUTE(SUBSTITUTE(Продажи_исходные!B906,"№",""),"АРТ-",""),"АРТ_",""),"/","-"),3)</f>
        <v>АРТ-271</v>
      </c>
      <c r="C906" s="4">
        <f>IFERROR(VALUE(TRIM(SUBSTITUTE(SUBSTITUTE(SUBSTITUTE(SUBSTITUTE(Продажи_исходные!C906," шт.","")," шт",""),"шт.",""),"шт",""))),0)</f>
        <v>1</v>
      </c>
      <c r="D906" s="4">
        <f>IF(LEFT(Продажи_исходные!D906,1)="$",VALUE(MID(Продажи_исходные!D906,2,255))*95,IF(LEFT(Продажи_исходные!D906,1)="€",VALUE(MID(Продажи_исходные!D906,2,255))*100,VALUE(SUBSTITUTE(SUBSTITUTE(Продажи_исходные!D906,"₽","")," ",""))))</f>
        <v>9500</v>
      </c>
      <c r="E906" t="str">
        <f>Продажи_исходные!E906</f>
        <v>C0905</v>
      </c>
      <c r="F906" t="str">
        <f>Продажи_исходные!F906</f>
        <v>P008</v>
      </c>
      <c r="G906" t="str">
        <f>IFERROR(VLOOKUP(Продажи_исходные!G906,Справочники!$G$2:$H$50,2,FALSE),Продажи_исходные!G906)</f>
        <v>Отменен</v>
      </c>
      <c r="H906" s="4">
        <f>IFERROR(VLOOKUP(B906,Товары_очищенные!$A$1:$G$1000,6,FALSE),"нет в каталоге")</f>
        <v>44990</v>
      </c>
      <c r="I906" t="str">
        <f>IFERROR(VLOOKUP(B906,Товары_очищенные!$A$1:$G$1000,3,FALSE),"нет в каталоге")</f>
        <v>Смартфоны</v>
      </c>
      <c r="J906" t="str">
        <f t="shared" si="39"/>
        <v>OK</v>
      </c>
    </row>
    <row r="907">
      <c r="A907" s="8">
        <f>DATE(RIGHT(Продажи_исходные!A907,4),LEFT(Продажи_исходные!A907,2),MID(Продажи_исходные!A907,4,2))</f>
        <v>46124</v>
      </c>
      <c r="B907" t="str">
        <f>"АРТ-"&amp;LEFT(SUBSTITUTE(SUBSTITUTE(SUBSTITUTE(SUBSTITUTE(Продажи_исходные!B907,"№",""),"АРТ-",""),"АРТ_",""),"/","-"),3)</f>
        <v>АРТ-139</v>
      </c>
      <c r="C907" s="4">
        <f>IFERROR(VALUE(TRIM(SUBSTITUTE(SUBSTITUTE(SUBSTITUTE(SUBSTITUTE(Продажи_исходные!C907," шт.","")," шт",""),"шт.",""),"шт",""))),0)</f>
        <v>2</v>
      </c>
      <c r="D907" s="4">
        <f>IF(LEFT(Продажи_исходные!D907,1)="$",VALUE(MID(Продажи_исходные!D907,2,255))*95,IF(LEFT(Продажи_исходные!D907,1)="€",VALUE(MID(Продажи_исходные!D907,2,255))*100,VALUE(SUBSTITUTE(SUBSTITUTE(Продажи_исходные!D907,"₽","")," ",""))))</f>
        <v>8500</v>
      </c>
      <c r="E907" t="str">
        <f>Продажи_исходные!E907</f>
        <v>C0906</v>
      </c>
      <c r="F907" t="str">
        <f>Продажи_исходные!F907</f>
        <v>P031</v>
      </c>
      <c r="G907" t="str">
        <f>IFERROR(VLOOKUP(Продажи_исходные!G907,Справочники!$G$2:$H$50,2,FALSE),Продажи_исходные!G907)</f>
        <v>Отменен</v>
      </c>
      <c r="H907" s="4">
        <f>IFERROR(VLOOKUP(B907,Товары_очищенные!$A$1:$G$1000,6,FALSE),"нет в каталоге")</f>
        <v>89900</v>
      </c>
      <c r="I907" t="str">
        <f>IFERROR(VLOOKUP(B907,Товары_очищенные!$A$1:$G$1000,3,FALSE),"нет в каталоге")</f>
        <v>Мониторы</v>
      </c>
      <c r="J907" t="str">
        <f t="shared" si="39"/>
        <v>OK</v>
      </c>
    </row>
    <row r="908">
      <c r="A908" s="8">
        <f>DATE(RIGHT(Продажи_исходные!A908,4),LEFT(Продажи_исходные!A908,2),MID(Продажи_исходные!A908,4,2))</f>
        <v>46125</v>
      </c>
      <c r="B908" t="str">
        <f>"АРТ-"&amp;LEFT(SUBSTITUTE(SUBSTITUTE(SUBSTITUTE(SUBSTITUTE(Продажи_исходные!B908,"№",""),"АРТ-",""),"АРТ_",""),"/","-"),3)</f>
        <v>АРТ-015</v>
      </c>
      <c r="C908" s="4">
        <f>IFERROR(VALUE(TRIM(SUBSTITUTE(SUBSTITUTE(SUBSTITUTE(SUBSTITUTE(Продажи_исходные!C908," шт.","")," шт",""),"шт.",""),"шт",""))),0)</f>
        <v>3</v>
      </c>
      <c r="D908" s="4">
        <f>IF(LEFT(Продажи_исходные!D908,1)="$",VALUE(MID(Продажи_исходные!D908,2,255))*95,IF(LEFT(Продажи_исходные!D908,1)="€",VALUE(MID(Продажи_исходные!D908,2,255))*100,VALUE(SUBSTITUTE(SUBSTITUTE(Продажи_исходные!D908,"₽","")," ",""))))</f>
        <v>9975</v>
      </c>
      <c r="E908" t="str">
        <f>Продажи_исходные!E908</f>
        <v>C0907</v>
      </c>
      <c r="F908" t="str">
        <f>Продажи_исходные!F908</f>
        <v>P019</v>
      </c>
      <c r="G908" t="str">
        <f>IFERROR(VLOOKUP(Продажи_исходные!G908,Справочники!$G$2:$H$50,2,FALSE),Продажи_исходные!G908)</f>
        <v>Возврат</v>
      </c>
      <c r="H908" s="4">
        <f>IFERROR(VLOOKUP(B908,Товары_очищенные!$A$1:$G$1000,6,FALSE),"нет в каталоге")</f>
        <v>151000</v>
      </c>
      <c r="I908" t="str">
        <f>IFERROR(VLOOKUP(B908,Товары_очищенные!$A$1:$G$1000,3,FALSE),"нет в каталоге")</f>
        <v>Телевизоры</v>
      </c>
      <c r="J908" t="str">
        <f t="shared" si="39"/>
        <v>OK</v>
      </c>
    </row>
    <row r="909">
      <c r="A909" s="8">
        <f>DATE(RIGHT(Продажи_исходные!A909,4),LEFT(Продажи_исходные!A909,2),MID(Продажи_исходные!A909,4,2))</f>
        <v>46125</v>
      </c>
      <c r="B909" t="str">
        <f>"АРТ-"&amp;LEFT(SUBSTITUTE(SUBSTITUTE(SUBSTITUTE(SUBSTITUTE(Продажи_исходные!B909,"№",""),"АРТ-",""),"АРТ_",""),"/","-"),3)</f>
        <v>АРТ-417</v>
      </c>
      <c r="C909" s="4">
        <f>IFERROR(VALUE(TRIM(SUBSTITUTE(SUBSTITUTE(SUBSTITUTE(SUBSTITUTE(Продажи_исходные!C909," шт.","")," шт",""),"шт.",""),"шт",""))),0)</f>
        <v>2</v>
      </c>
      <c r="D909" s="4">
        <f>IF(LEFT(Продажи_исходные!D909,1)="$",VALUE(MID(Продажи_исходные!D909,2,255))*95,IF(LEFT(Продажи_исходные!D909,1)="€",VALUE(MID(Продажи_исходные!D909,2,255))*100,VALUE(SUBSTITUTE(SUBSTITUTE(Продажи_исходные!D909,"₽","")," ",""))))</f>
        <v>8500</v>
      </c>
      <c r="E909" t="str">
        <f>Продажи_исходные!E909</f>
        <v>C0908</v>
      </c>
      <c r="F909" t="str">
        <f>Продажи_исходные!F909</f>
        <v>P042</v>
      </c>
      <c r="G909" t="str">
        <f>IFERROR(VLOOKUP(Продажи_исходные!G909,Справочники!$G$2:$H$50,2,FALSE),Продажи_исходные!G909)</f>
        <v>Завершен</v>
      </c>
      <c r="H909" s="4">
        <f>IFERROR(VLOOKUP(B909,Товары_очищенные!$A$1:$G$1000,6,FALSE),"нет в каталоге")</f>
        <v>15800</v>
      </c>
      <c r="I909" t="str">
        <f>IFERROR(VLOOKUP(B909,Товары_очищенные!$A$1:$G$1000,3,FALSE),"нет в каталоге")</f>
        <v>Аксессуары</v>
      </c>
      <c r="J909" t="str">
        <f t="shared" si="39"/>
        <v>OK</v>
      </c>
    </row>
    <row r="910">
      <c r="A910" s="8">
        <f>DATE(RIGHT(Продажи_исходные!A910,4),LEFT(Продажи_исходные!A910,2),MID(Продажи_исходные!A910,4,2))</f>
        <v>46126</v>
      </c>
      <c r="B910" t="str">
        <f>"АРТ-"&amp;LEFT(SUBSTITUTE(SUBSTITUTE(SUBSTITUTE(SUBSTITUTE(Продажи_исходные!B910,"№",""),"АРТ-",""),"АРТ_",""),"/","-"),3)</f>
        <v>АРТ-307</v>
      </c>
      <c r="C910" s="4">
        <f>IFERROR(VALUE(TRIM(SUBSTITUTE(SUBSTITUTE(SUBSTITUTE(SUBSTITUTE(Продажи_исходные!C910," шт.","")," шт",""),"шт.",""),"шт",""))),0)</f>
        <v>1</v>
      </c>
      <c r="D910" s="4">
        <f>IF(LEFT(Продажи_исходные!D910,1)="$",VALUE(MID(Продажи_исходные!D910,2,255))*95,IF(LEFT(Продажи_исходные!D910,1)="€",VALUE(MID(Продажи_исходные!D910,2,255))*100,VALUE(SUBSTITUTE(SUBSTITUTE(Продажи_исходные!D910,"₽","")," ",""))))</f>
        <v>7800</v>
      </c>
      <c r="E910" t="str">
        <f>Продажи_исходные!E910</f>
        <v>C0909</v>
      </c>
      <c r="F910" t="str">
        <f>Продажи_исходные!F910</f>
        <v>P005</v>
      </c>
      <c r="G910" t="str">
        <f>IFERROR(VLOOKUP(Продажи_исходные!G910,Справочники!$G$2:$H$50,2,FALSE),Продажи_исходные!G910)</f>
        <v>Завершен</v>
      </c>
      <c r="H910" s="4">
        <f>IFERROR(VLOOKUP(B910,Товары_очищенные!$A$1:$G$1000,6,FALSE),"нет в каталоге")</f>
        <v>8990</v>
      </c>
      <c r="I910" t="str">
        <f>IFERROR(VLOOKUP(B910,Товары_очищенные!$A$1:$G$1000,3,FALSE),"нет в каталоге")</f>
        <v>Аксессуары</v>
      </c>
      <c r="J910" t="str">
        <f t="shared" si="39"/>
        <v>OK</v>
      </c>
    </row>
    <row r="911">
      <c r="A911" s="8">
        <f>DATE(RIGHT(Продажи_исходные!A911,4),LEFT(Продажи_исходные!A911,2),MID(Продажи_исходные!A911,4,2))</f>
        <v>46126</v>
      </c>
      <c r="B911" t="str">
        <f>"АРТ-"&amp;LEFT(SUBSTITUTE(SUBSTITUTE(SUBSTITUTE(SUBSTITUTE(Продажи_исходные!B911,"№",""),"АРТ-",""),"АРТ_",""),"/","-"),3)</f>
        <v>АРТ-407</v>
      </c>
      <c r="C911" s="4">
        <f>IFERROR(VALUE(TRIM(SUBSTITUTE(SUBSTITUTE(SUBSTITUTE(SUBSTITUTE(Продажи_исходные!C911," шт.","")," шт",""),"шт.",""),"шт",""))),0)</f>
        <v>-3</v>
      </c>
      <c r="D911" s="4">
        <f>IF(LEFT(Продажи_исходные!D911,1)="$",VALUE(MID(Продажи_исходные!D911,2,255))*95,IF(LEFT(Продажи_исходные!D911,1)="€",VALUE(MID(Продажи_исходные!D911,2,255))*100,VALUE(SUBSTITUTE(SUBSTITUTE(Продажи_исходные!D911,"₽","")," ",""))))</f>
        <v>11400</v>
      </c>
      <c r="E911" t="str">
        <f>Продажи_исходные!E911</f>
        <v>C0910</v>
      </c>
      <c r="F911" t="str">
        <f>Продажи_исходные!F911</f>
        <v>P036</v>
      </c>
      <c r="G911" t="str">
        <f>IFERROR(VLOOKUP(Продажи_исходные!G911,Справочники!$G$2:$H$50,2,FALSE),Продажи_исходные!G911)</f>
        <v>Завершен</v>
      </c>
      <c r="H911" s="4">
        <f>IFERROR(VLOOKUP(B911,Товары_очищенные!$A$1:$G$1000,6,FALSE),"нет в каталоге")</f>
        <v>102000</v>
      </c>
      <c r="I911" t="str">
        <f>IFERROR(VLOOKUP(B911,Товары_очищенные!$A$1:$G$1000,3,FALSE),"нет в каталоге")</f>
        <v>Телевизоры</v>
      </c>
      <c r="J911" t="str">
        <f t="shared" si="39"/>
        <v>OK</v>
      </c>
    </row>
    <row r="912">
      <c r="A912" s="8">
        <f>DATE(RIGHT(Продажи_исходные!A912,4),LEFT(Продажи_исходные!A912,2),MID(Продажи_исходные!A912,4,2))</f>
        <v>46127</v>
      </c>
      <c r="B912" t="str">
        <f>"АРТ-"&amp;LEFT(SUBSTITUTE(SUBSTITUTE(SUBSTITUTE(SUBSTITUTE(Продажи_исходные!B912,"№",""),"АРТ-",""),"АРТ_",""),"/","-"),3)</f>
        <v>АРТ-364</v>
      </c>
      <c r="C912" s="4">
        <f>IFERROR(VALUE(TRIM(SUBSTITUTE(SUBSTITUTE(SUBSTITUTE(SUBSTITUTE(Продажи_исходные!C912," шт.","")," шт",""),"шт.",""),"шт",""))),0)</f>
        <v>2</v>
      </c>
      <c r="D912" s="4">
        <f>IF(LEFT(Продажи_исходные!D912,1)="$",VALUE(MID(Продажи_исходные!D912,2,255))*95,IF(LEFT(Продажи_исходные!D912,1)="€",VALUE(MID(Продажи_исходные!D912,2,255))*100,VALUE(SUBSTITUTE(SUBSTITUTE(Продажи_исходные!D912,"₽","")," ",""))))</f>
        <v>10000</v>
      </c>
      <c r="E912" t="str">
        <f>Продажи_исходные!E912</f>
        <v>C0911</v>
      </c>
      <c r="F912" t="str">
        <f>Продажи_исходные!F912</f>
        <v>P014</v>
      </c>
      <c r="G912" t="str">
        <f>IFERROR(VLOOKUP(Продажи_исходные!G912,Справочники!$G$2:$H$50,2,FALSE),Продажи_исходные!G912)</f>
        <v>Отменен</v>
      </c>
      <c r="H912" s="4">
        <f>IFERROR(VLOOKUP(B912,Товары_очищенные!$A$1:$G$1000,6,FALSE),"нет в каталоге")</f>
        <v>139990</v>
      </c>
      <c r="I912" t="str">
        <f>IFERROR(VLOOKUP(B912,Товары_очищенные!$A$1:$G$1000,3,FALSE),"нет в каталоге")</f>
        <v>Телевизоры</v>
      </c>
      <c r="J912" t="str">
        <f t="shared" si="39"/>
        <v>OK</v>
      </c>
    </row>
    <row r="913">
      <c r="A913" s="8">
        <f>DATE(RIGHT(Продажи_исходные!A913,4),LEFT(Продажи_исходные!A913,2),MID(Продажи_исходные!A913,4,2))</f>
        <v>46127</v>
      </c>
      <c r="B913" t="str">
        <f>"АРТ-"&amp;LEFT(SUBSTITUTE(SUBSTITUTE(SUBSTITUTE(SUBSTITUTE(Продажи_исходные!B913,"№",""),"АРТ-",""),"АРТ_",""),"/","-"),3)</f>
        <v>АРТ-209</v>
      </c>
      <c r="C913" s="4">
        <f>IFERROR(VALUE(TRIM(SUBSTITUTE(SUBSTITUTE(SUBSTITUTE(SUBSTITUTE(Продажи_исходные!C913," шт.","")," шт",""),"шт.",""),"шт",""))),0)</f>
        <v>1</v>
      </c>
      <c r="D913" s="4">
        <f>IF(LEFT(Продажи_исходные!D913,1)="$",VALUE(MID(Продажи_исходные!D913,2,255))*95,IF(LEFT(Продажи_исходные!D913,1)="€",VALUE(MID(Продажи_исходные!D913,2,255))*100,VALUE(SUBSTITUTE(SUBSTITUTE(Продажи_исходные!D913,"₽","")," ",""))))</f>
        <v>9200</v>
      </c>
      <c r="E913" t="str">
        <f>Продажи_исходные!E913</f>
        <v>C0912</v>
      </c>
      <c r="F913" t="str">
        <f>Продажи_исходные!F913</f>
        <v>P028</v>
      </c>
      <c r="G913" t="str">
        <f>IFERROR(VLOOKUP(Продажи_исходные!G913,Справочники!$G$2:$H$50,2,FALSE),Продажи_исходные!G913)</f>
        <v>Отменен</v>
      </c>
      <c r="H913" s="4">
        <f>IFERROR(VLOOKUP(B913,Товары_очищенные!$A$1:$G$1000,6,FALSE),"нет в каталоге")</f>
        <v>10500</v>
      </c>
      <c r="I913" t="str">
        <f>IFERROR(VLOOKUP(B913,Товары_очищенные!$A$1:$G$1000,3,FALSE),"нет в каталоге")</f>
        <v>Аксессуары</v>
      </c>
      <c r="J913" t="str">
        <f t="shared" si="39"/>
        <v>OK</v>
      </c>
    </row>
    <row r="914">
      <c r="A914" s="8">
        <f>DATE(RIGHT(Продажи_исходные!A914,4),LEFT(Продажи_исходные!A914,2),MID(Продажи_исходные!A914,4,2))</f>
        <v>46128</v>
      </c>
      <c r="B914" t="str">
        <f>"АРТ-"&amp;LEFT(SUBSTITUTE(SUBSTITUTE(SUBSTITUTE(SUBSTITUTE(Продажи_исходные!B914,"№",""),"АРТ-",""),"АРТ_",""),"/","-"),3)</f>
        <v>АРТ-143</v>
      </c>
      <c r="C914" s="4">
        <f>IFERROR(VALUE(TRIM(SUBSTITUTE(SUBSTITUTE(SUBSTITUTE(SUBSTITUTE(Продажи_исходные!C914," шт.","")," шт",""),"шт.",""),"шт",""))),0)</f>
        <v>3</v>
      </c>
      <c r="D914" s="4">
        <f>IF(LEFT(Продажи_исходные!D914,1)="$",VALUE(MID(Продажи_исходные!D914,2,255))*95,IF(LEFT(Продажи_исходные!D914,1)="€",VALUE(MID(Продажи_исходные!D914,2,255))*100,VALUE(SUBSTITUTE(SUBSTITUTE(Продажи_исходные!D914,"₽","")," ",""))))</f>
        <v>8550</v>
      </c>
      <c r="E914" t="str">
        <f>Продажи_исходные!E914</f>
        <v>C0913</v>
      </c>
      <c r="F914" t="str">
        <f>Продажи_исходные!F914</f>
        <v>P009</v>
      </c>
      <c r="G914" t="str">
        <f>IFERROR(VLOOKUP(Продажи_исходные!G914,Справочники!$G$2:$H$50,2,FALSE),Продажи_исходные!G914)</f>
        <v>Завершен</v>
      </c>
      <c r="H914" s="4">
        <f>IFERROR(VLOOKUP(B914,Товары_очищенные!$A$1:$G$1000,6,FALSE),"нет в каталоге")</f>
        <v>7500</v>
      </c>
      <c r="I914" t="str">
        <f>IFERROR(VLOOKUP(B914,Товары_очищенные!$A$1:$G$1000,3,FALSE),"нет в каталоге")</f>
        <v>Аксессуары</v>
      </c>
      <c r="J914" t="str">
        <f t="shared" si="39"/>
        <v>OK</v>
      </c>
    </row>
    <row r="915">
      <c r="A915" s="8">
        <f>DATE(RIGHT(Продажи_исходные!A915,4),LEFT(Продажи_исходные!A915,2),MID(Продажи_исходные!A915,4,2))</f>
        <v>46128</v>
      </c>
      <c r="B915" t="str">
        <f>"АРТ-"&amp;LEFT(SUBSTITUTE(SUBSTITUTE(SUBSTITUTE(SUBSTITUTE(Продажи_исходные!B915,"№",""),"АРТ-",""),"АРТ_",""),"/","-"),3)</f>
        <v>АРТ-482</v>
      </c>
      <c r="C915" s="4">
        <f>IFERROR(VALUE(TRIM(SUBSTITUTE(SUBSTITUTE(SUBSTITUTE(SUBSTITUTE(Продажи_исходные!C915," шт.","")," шт",""),"шт.",""),"шт",""))),0)</f>
        <v>2</v>
      </c>
      <c r="D915" s="4">
        <f>IF(LEFT(Продажи_исходные!D915,1)="$",VALUE(MID(Продажи_исходные!D915,2,255))*95,IF(LEFT(Продажи_исходные!D915,1)="€",VALUE(MID(Продажи_исходные!D915,2,255))*100,VALUE(SUBSTITUTE(SUBSTITUTE(Продажи_исходные!D915,"₽","")," ",""))))</f>
        <v>7000</v>
      </c>
      <c r="E915" t="str">
        <f>Продажи_исходные!E915</f>
        <v>C0914</v>
      </c>
      <c r="F915" t="str">
        <f>Продажи_исходные!F915</f>
        <v>P041</v>
      </c>
      <c r="G915" t="str">
        <f>IFERROR(VLOOKUP(Продажи_исходные!G915,Справочники!$G$2:$H$50,2,FALSE),Продажи_исходные!G915)</f>
        <v>Возврат</v>
      </c>
      <c r="H915" s="4">
        <f>IFERROR(VLOOKUP(B915,Товары_очищенные!$A$1:$G$1000,6,FALSE),"нет в каталоге")</f>
        <v>38500</v>
      </c>
      <c r="I915" t="str">
        <f>IFERROR(VLOOKUP(B915,Товары_очищенные!$A$1:$G$1000,3,FALSE),"нет в каталоге")</f>
        <v>Планшеты</v>
      </c>
      <c r="J915" t="str">
        <f t="shared" si="39"/>
        <v>OK</v>
      </c>
    </row>
    <row r="916">
      <c r="A916" s="8">
        <f>DATE(RIGHT(Продажи_исходные!A916,4),LEFT(Продажи_исходные!A916,2),MID(Продажи_исходные!A916,4,2))</f>
        <v>46129</v>
      </c>
      <c r="B916" t="str">
        <f>"АРТ-"&amp;LEFT(SUBSTITUTE(SUBSTITUTE(SUBSTITUTE(SUBSTITUTE(Продажи_исходные!B916,"№",""),"АРТ-",""),"АРТ_",""),"/","-"),3)</f>
        <v>АРТ-311</v>
      </c>
      <c r="C916" s="4">
        <f>IFERROR(VALUE(TRIM(SUBSTITUTE(SUBSTITUTE(SUBSTITUTE(SUBSTITUTE(Продажи_исходные!C916," шт.","")," шт",""),"шт.",""),"шт",""))),0)</f>
        <v>1</v>
      </c>
      <c r="D916" s="4">
        <f>IF(LEFT(Продажи_исходные!D916,1)="$",VALUE(MID(Продажи_исходные!D916,2,255))*95,IF(LEFT(Продажи_исходные!D916,1)="€",VALUE(MID(Продажи_исходные!D916,2,255))*100,VALUE(SUBSTITUTE(SUBSTITUTE(Продажи_исходные!D916,"₽","")," ",""))))</f>
        <v>6500</v>
      </c>
      <c r="E916" t="str">
        <f>Продажи_исходные!E916</f>
        <v>C0915</v>
      </c>
      <c r="F916" t="str">
        <f>Продажи_исходные!F916</f>
        <v>P017</v>
      </c>
      <c r="G916" t="str">
        <f>IFERROR(VLOOKUP(Продажи_исходные!G916,Справочники!$G$2:$H$50,2,FALSE),Продажи_исходные!G916)</f>
        <v>Завершен</v>
      </c>
      <c r="H916" s="4">
        <f>IFERROR(VLOOKUP(B916,Товары_очищенные!$A$1:$G$1000,6,FALSE),"нет в каталоге")</f>
        <v>62500</v>
      </c>
      <c r="I916" t="str">
        <f>IFERROR(VLOOKUP(B916,Товары_очищенные!$A$1:$G$1000,3,FALSE),"нет в каталоге")</f>
        <v>Планшеты</v>
      </c>
      <c r="J916" t="str">
        <f t="shared" si="39"/>
        <v>OK</v>
      </c>
    </row>
    <row r="917">
      <c r="A917" s="8">
        <f>DATE(RIGHT(Продажи_исходные!A917,4),LEFT(Продажи_исходные!A917,2),MID(Продажи_исходные!A917,4,2))</f>
        <v>46129</v>
      </c>
      <c r="B917" t="str">
        <f>"АРТ-"&amp;LEFT(SUBSTITUTE(SUBSTITUTE(SUBSTITUTE(SUBSTITUTE(Продажи_исходные!B917,"№",""),"АРТ-",""),"АРТ_",""),"/","-"),3)</f>
        <v>АРТ-309</v>
      </c>
      <c r="C917" s="4">
        <f>IFERROR(VALUE(TRIM(SUBSTITUTE(SUBSTITUTE(SUBSTITUTE(SUBSTITUTE(Продажи_исходные!C917," шт.","")," шт",""),"шт.",""),"шт",""))),0)</f>
        <v>-1</v>
      </c>
      <c r="D917" s="4">
        <f>IF(LEFT(Продажи_исходные!D917,1)="$",VALUE(MID(Продажи_исходные!D917,2,255))*95,IF(LEFT(Продажи_исходные!D917,1)="€",VALUE(MID(Продажи_исходные!D917,2,255))*100,VALUE(SUBSTITUTE(SUBSTITUTE(Продажи_исходные!D917,"₽","")," ",""))))</f>
        <v>10450</v>
      </c>
      <c r="E917" t="str">
        <f>Продажи_исходные!E917</f>
        <v>C0916</v>
      </c>
      <c r="F917" t="str">
        <f>Продажи_исходные!F917</f>
        <v>P032</v>
      </c>
      <c r="G917" t="str">
        <f>IFERROR(VLOOKUP(Продажи_исходные!G917,Справочники!$G$2:$H$50,2,FALSE),Продажи_исходные!G917)</f>
        <v>Завершен</v>
      </c>
      <c r="H917" s="4">
        <f>IFERROR(VLOOKUP(B917,Товары_очищенные!$A$1:$G$1000,6,FALSE),"нет в каталоге")</f>
        <v>9800</v>
      </c>
      <c r="I917" t="str">
        <f>IFERROR(VLOOKUP(B917,Товары_очищенные!$A$1:$G$1000,3,FALSE),"нет в каталоге")</f>
        <v>Аксессуары</v>
      </c>
      <c r="J917" t="str">
        <f t="shared" si="39"/>
        <v>OK</v>
      </c>
    </row>
    <row r="918">
      <c r="A918" s="8">
        <f>DATE(RIGHT(Продажи_исходные!A918,4),LEFT(Продажи_исходные!A918,2),MID(Продажи_исходные!A918,4,2))</f>
        <v>46130</v>
      </c>
      <c r="B918" t="str">
        <f>"АРТ-"&amp;LEFT(SUBSTITUTE(SUBSTITUTE(SUBSTITUTE(SUBSTITUTE(Продажи_исходные!B918,"№",""),"АРТ-",""),"АРТ_",""),"/","-"),3)</f>
        <v>АРТ-282</v>
      </c>
      <c r="C918" s="4">
        <f>IFERROR(VALUE(TRIM(SUBSTITUTE(SUBSTITUTE(SUBSTITUTE(SUBSTITUTE(Продажи_исходные!C918," шт.","")," шт",""),"шт.",""),"шт",""))),0)</f>
        <v>3</v>
      </c>
      <c r="D918" s="4">
        <f>IF(LEFT(Продажи_исходные!D918,1)="$",VALUE(MID(Продажи_исходные!D918,2,255))*95,IF(LEFT(Продажи_исходные!D918,1)="€",VALUE(MID(Продажи_исходные!D918,2,255))*100,VALUE(SUBSTITUTE(SUBSTITUTE(Продажи_исходные!D918,"₽","")," ",""))))</f>
        <v>9000</v>
      </c>
      <c r="E918" t="str">
        <f>Продажи_исходные!E918</f>
        <v>C0917</v>
      </c>
      <c r="F918" t="str">
        <f>Продажи_исходные!F918</f>
        <v>P049</v>
      </c>
      <c r="G918" t="str">
        <f>IFERROR(VLOOKUP(Продажи_исходные!G918,Справочники!$G$2:$H$50,2,FALSE),Продажи_исходные!G918)</f>
        <v>Завершен</v>
      </c>
      <c r="H918" s="4">
        <f>IFERROR(VLOOKUP(B918,Товары_очищенные!$A$1:$G$1000,6,FALSE),"нет в каталоге")</f>
        <v>34500</v>
      </c>
      <c r="I918" t="str">
        <f>IFERROR(VLOOKUP(B918,Товары_очищенные!$A$1:$G$1000,3,FALSE),"нет в каталоге")</f>
        <v>Наушники</v>
      </c>
      <c r="J918" t="str">
        <f t="shared" si="39"/>
        <v>OK</v>
      </c>
    </row>
    <row r="919">
      <c r="A919" s="8">
        <f>DATE(RIGHT(Продажи_исходные!A919,4),LEFT(Продажи_исходные!A919,2),MID(Продажи_исходные!A919,4,2))</f>
        <v>46130</v>
      </c>
      <c r="B919" t="str">
        <f>"АРТ-"&amp;LEFT(SUBSTITUTE(SUBSTITUTE(SUBSTITUTE(SUBSTITUTE(Продажи_исходные!B919,"№",""),"АРТ-",""),"АРТ_",""),"/","-"),3)</f>
        <v>АРТ-242</v>
      </c>
      <c r="C919" s="4">
        <f>IFERROR(VALUE(TRIM(SUBSTITUTE(SUBSTITUTE(SUBSTITUTE(SUBSTITUTE(Продажи_исходные!C919," шт.","")," шт",""),"шт.",""),"шт",""))),0)</f>
        <v>2</v>
      </c>
      <c r="D919" s="4">
        <f>IF(LEFT(Продажи_исходные!D919,1)="$",VALUE(MID(Продажи_исходные!D919,2,255))*95,IF(LEFT(Продажи_исходные!D919,1)="€",VALUE(MID(Продажи_исходные!D919,2,255))*100,VALUE(SUBSTITUTE(SUBSTITUTE(Продажи_исходные!D919,"₽","")," ",""))))</f>
        <v>8000</v>
      </c>
      <c r="E919" t="str">
        <f>Продажи_исходные!E919</f>
        <v>C0918</v>
      </c>
      <c r="F919" t="str">
        <f>Продажи_исходные!F919</f>
        <v>P006</v>
      </c>
      <c r="G919" t="str">
        <f>IFERROR(VLOOKUP(Продажи_исходные!G919,Справочники!$G$2:$H$50,2,FALSE),Продажи_исходные!G919)</f>
        <v>Отменен</v>
      </c>
      <c r="H919" s="4">
        <f>IFERROR(VLOOKUP(B919,Товары_очищенные!$A$1:$G$1000,6,FALSE),"нет в каталоге")</f>
        <v>58000</v>
      </c>
      <c r="I919" t="str">
        <f>IFERROR(VLOOKUP(B919,Товары_очищенные!$A$1:$G$1000,3,FALSE),"нет в каталоге")</f>
        <v>Наушники</v>
      </c>
      <c r="J919" t="str">
        <f t="shared" si="39"/>
        <v>OK</v>
      </c>
    </row>
    <row r="920">
      <c r="A920" s="8">
        <f>DATE(RIGHT(Продажи_исходные!A920,4),LEFT(Продажи_исходные!A920,2),MID(Продажи_исходные!A920,4,2))</f>
        <v>46131</v>
      </c>
      <c r="B920" t="str">
        <f>"АРТ-"&amp;LEFT(SUBSTITUTE(SUBSTITUTE(SUBSTITUTE(SUBSTITUTE(Продажи_исходные!B920,"№",""),"АРТ-",""),"АРТ_",""),"/","-"),3)</f>
        <v>АРТ-159</v>
      </c>
      <c r="C920" s="4">
        <f>IFERROR(VALUE(TRIM(SUBSTITUTE(SUBSTITUTE(SUBSTITUTE(SUBSTITUTE(Продажи_исходные!C920," шт.","")," шт",""),"шт.",""),"шт",""))),0)</f>
        <v>1</v>
      </c>
      <c r="D920" s="4">
        <f>IF(LEFT(Продажи_исходные!D920,1)="$",VALUE(MID(Продажи_исходные!D920,2,255))*95,IF(LEFT(Продажи_исходные!D920,1)="€",VALUE(MID(Продажи_исходные!D920,2,255))*100,VALUE(SUBSTITUTE(SUBSTITUTE(Продажи_исходные!D920,"₽","")," ",""))))</f>
        <v>9025</v>
      </c>
      <c r="E920" t="str">
        <f>Продажи_исходные!E920</f>
        <v>C0919</v>
      </c>
      <c r="F920" t="str">
        <f>Продажи_исходные!F920</f>
        <v>P024</v>
      </c>
      <c r="G920" t="str">
        <f>IFERROR(VLOOKUP(Продажи_исходные!G920,Справочники!$G$2:$H$50,2,FALSE),Продажи_исходные!G920)</f>
        <v>Отменен</v>
      </c>
      <c r="H920" s="4">
        <f>IFERROR(VLOOKUP(B920,Товары_очищенные!$A$1:$G$1000,6,FALSE),"нет в каталоге")</f>
        <v>95500</v>
      </c>
      <c r="I920" t="str">
        <f>IFERROR(VLOOKUP(B920,Товары_очищенные!$A$1:$G$1000,3,FALSE),"нет в каталоге")</f>
        <v>Мониторы</v>
      </c>
      <c r="J920" t="str">
        <f t="shared" si="39"/>
        <v>OK</v>
      </c>
    </row>
    <row r="921">
      <c r="A921" s="8">
        <f>DATE(RIGHT(Продажи_исходные!A921,4),LEFT(Продажи_исходные!A921,2),MID(Продажи_исходные!A921,4,2))</f>
        <v>46131</v>
      </c>
      <c r="B921" t="str">
        <f>"АРТ-"&amp;LEFT(SUBSTITUTE(SUBSTITUTE(SUBSTITUTE(SUBSTITUTE(Продажи_исходные!B921,"№",""),"АРТ-",""),"АРТ_",""),"/","-"),3)</f>
        <v>АРТ-482</v>
      </c>
      <c r="C921" s="4">
        <f>IFERROR(VALUE(TRIM(SUBSTITUTE(SUBSTITUTE(SUBSTITUTE(SUBSTITUTE(Продажи_исходные!C921," шт.","")," шт",""),"шт.",""),"шт",""))),0)</f>
        <v>2</v>
      </c>
      <c r="D921" s="4">
        <f>IF(LEFT(Продажи_исходные!D921,1)="$",VALUE(MID(Продажи_исходные!D921,2,255))*95,IF(LEFT(Продажи_исходные!D921,1)="€",VALUE(MID(Продажи_исходные!D921,2,255))*100,VALUE(SUBSTITUTE(SUBSTITUTE(Продажи_исходные!D921,"₽","")," ",""))))</f>
        <v>7500</v>
      </c>
      <c r="E921" t="str">
        <f>Продажи_исходные!E921</f>
        <v>C0920</v>
      </c>
      <c r="F921" t="str">
        <f>Продажи_исходные!F921</f>
        <v>P015</v>
      </c>
      <c r="G921" t="str">
        <f>IFERROR(VLOOKUP(Продажи_исходные!G921,Справочники!$G$2:$H$50,2,FALSE),Продажи_исходные!G921)</f>
        <v>Возврат</v>
      </c>
      <c r="H921" s="4">
        <f>IFERROR(VLOOKUP(B921,Товары_очищенные!$A$1:$G$1000,6,FALSE),"нет в каталоге")</f>
        <v>38500</v>
      </c>
      <c r="I921" t="str">
        <f>IFERROR(VLOOKUP(B921,Товары_очищенные!$A$1:$G$1000,3,FALSE),"нет в каталоге")</f>
        <v>Планшеты</v>
      </c>
      <c r="J921" t="str">
        <f t="shared" si="39"/>
        <v>OK</v>
      </c>
    </row>
    <row r="922">
      <c r="A922" s="8">
        <f>DATE(RIGHT(Продажи_исходные!A922,4),LEFT(Продажи_исходные!A922,2),MID(Продажи_исходные!A922,4,2))</f>
        <v>46132</v>
      </c>
      <c r="B922" t="str">
        <f>"АРТ-"&amp;LEFT(SUBSTITUTE(SUBSTITUTE(SUBSTITUTE(SUBSTITUTE(Продажи_исходные!B922,"№",""),"АРТ-",""),"АРТ_",""),"/","-"),3)</f>
        <v>АРТ-335</v>
      </c>
      <c r="C922" s="4">
        <f>IFERROR(VALUE(TRIM(SUBSTITUTE(SUBSTITUTE(SUBSTITUTE(SUBSTITUTE(Продажи_исходные!C922," шт.","")," шт",""),"шт.",""),"шт",""))),0)</f>
        <v>3</v>
      </c>
      <c r="D922" s="4">
        <f>IF(LEFT(Продажи_исходные!D922,1)="$",VALUE(MID(Продажи_исходные!D922,2,255))*95,IF(LEFT(Продажи_исходные!D922,1)="€",VALUE(MID(Продажи_исходные!D922,2,255))*100,VALUE(SUBSTITUTE(SUBSTITUTE(Продажи_исходные!D922,"₽","")," ",""))))</f>
        <v>7000</v>
      </c>
      <c r="E922" t="str">
        <f>Продажи_исходные!E922</f>
        <v>C0921</v>
      </c>
      <c r="F922" t="str">
        <f>Продажи_исходные!F922</f>
        <v>P037</v>
      </c>
      <c r="G922" t="str">
        <f>IFERROR(VLOOKUP(Продажи_исходные!G922,Справочники!$G$2:$H$50,2,FALSE),Продажи_исходные!G922)</f>
        <v>Завершен</v>
      </c>
      <c r="H922" s="4">
        <f>IFERROR(VLOOKUP(B922,Товары_очищенные!$A$1:$G$1000,6,FALSE),"нет в каталоге")</f>
        <v>47000</v>
      </c>
      <c r="I922" t="str">
        <f>IFERROR(VLOOKUP(B922,Товары_очищенные!$A$1:$G$1000,3,FALSE),"нет в каталоге")</f>
        <v>Планшеты</v>
      </c>
      <c r="J922" t="str">
        <f t="shared" si="39"/>
        <v>OK</v>
      </c>
    </row>
    <row r="923">
      <c r="A923" s="8">
        <f>DATE(RIGHT(Продажи_исходные!A923,4),LEFT(Продажи_исходные!A923,2),MID(Продажи_исходные!A923,4,2))</f>
        <v>46132</v>
      </c>
      <c r="B923" t="str">
        <f>"АРТ-"&amp;LEFT(SUBSTITUTE(SUBSTITUTE(SUBSTITUTE(SUBSTITUTE(Продажи_исходные!B923,"№",""),"АРТ-",""),"АРТ_",""),"/","-"),3)</f>
        <v>АРТ-314</v>
      </c>
      <c r="C923" s="4">
        <f>IFERROR(VALUE(TRIM(SUBSTITUTE(SUBSTITUTE(SUBSTITUTE(SUBSTITUTE(Продажи_исходные!C923," шт.","")," шт",""),"шт.",""),"шт",""))),0)</f>
        <v>-2</v>
      </c>
      <c r="D923" s="4">
        <f>IF(LEFT(Продажи_исходные!D923,1)="$",VALUE(MID(Продажи_исходные!D923,2,255))*95,IF(LEFT(Продажи_исходные!D923,1)="€",VALUE(MID(Продажи_исходные!D923,2,255))*100,VALUE(SUBSTITUTE(SUBSTITUTE(Продажи_исходные!D923,"₽","")," ",""))))</f>
        <v>10925</v>
      </c>
      <c r="E923" t="str">
        <f>Продажи_исходные!E923</f>
        <v>C0922</v>
      </c>
      <c r="F923" t="str">
        <f>Продажи_исходные!F923</f>
        <v>P048</v>
      </c>
      <c r="G923" t="str">
        <f>IFERROR(VLOOKUP(Продажи_исходные!G923,Справочники!$G$2:$H$50,2,FALSE),Продажи_исходные!G923)</f>
        <v>Завершен</v>
      </c>
      <c r="H923" s="4">
        <f>IFERROR(VLOOKUP(B923,Товары_очищенные!$A$1:$G$1000,6,FALSE),"нет в каталоге")</f>
        <v>67500</v>
      </c>
      <c r="I923" t="str">
        <f>IFERROR(VLOOKUP(B923,Товары_очищенные!$A$1:$G$1000,3,FALSE),"нет в каталоге")</f>
        <v>Смартфоны</v>
      </c>
      <c r="J923" t="str">
        <f t="shared" si="39"/>
        <v>OK</v>
      </c>
    </row>
    <row r="924">
      <c r="A924" s="8">
        <f>DATE(RIGHT(Продажи_исходные!A924,4),LEFT(Продажи_исходные!A924,2),MID(Продажи_исходные!A924,4,2))</f>
        <v>46133</v>
      </c>
      <c r="B924" t="str">
        <f>"АРТ-"&amp;LEFT(SUBSTITUTE(SUBSTITUTE(SUBSTITUTE(SUBSTITUTE(Продажи_исходные!B924,"№",""),"АРТ-",""),"АРТ_",""),"/","-"),3)</f>
        <v>АРТ-268</v>
      </c>
      <c r="C924" s="4">
        <f>IFERROR(VALUE(TRIM(SUBSTITUTE(SUBSTITUTE(SUBSTITUTE(SUBSTITUTE(Продажи_исходные!C924," шт.","")," шт",""),"шт.",""),"шт",""))),0)</f>
        <v>1</v>
      </c>
      <c r="D924" s="4">
        <f>IF(LEFT(Продажи_исходные!D924,1)="$",VALUE(MID(Продажи_исходные!D924,2,255))*95,IF(LEFT(Продажи_исходные!D924,1)="€",VALUE(MID(Продажи_исходные!D924,2,255))*100,VALUE(SUBSTITUTE(SUBSTITUTE(Продажи_исходные!D924,"₽","")," ",""))))</f>
        <v>9500</v>
      </c>
      <c r="E924" t="str">
        <f>Продажи_исходные!E924</f>
        <v>C0923</v>
      </c>
      <c r="F924" t="str">
        <f>Продажи_исходные!F924</f>
        <v>P004</v>
      </c>
      <c r="G924" t="str">
        <f>IFERROR(VLOOKUP(Продажи_исходные!G924,Справочники!$G$2:$H$50,2,FALSE),Продажи_исходные!G924)</f>
        <v>Завершен</v>
      </c>
      <c r="H924" s="4">
        <f>IFERROR(VLOOKUP(B924,Товары_очищенные!$A$1:$G$1000,6,FALSE),"нет в каталоге")</f>
        <v>22990</v>
      </c>
      <c r="I924" t="str">
        <f>IFERROR(VLOOKUP(B924,Товары_очищенные!$A$1:$G$1000,3,FALSE),"нет в каталоге")</f>
        <v>Аксессуары</v>
      </c>
      <c r="J924" t="str">
        <f t="shared" si="39"/>
        <v>OK</v>
      </c>
    </row>
    <row r="925">
      <c r="A925" s="8">
        <f>DATE(RIGHT(Продажи_исходные!A925,4),LEFT(Продажи_исходные!A925,2),MID(Продажи_исходные!A925,4,2))</f>
        <v>46133</v>
      </c>
      <c r="B925" t="str">
        <f>"АРТ-"&amp;LEFT(SUBSTITUTE(SUBSTITUTE(SUBSTITUTE(SUBSTITUTE(Продажи_исходные!B925,"№",""),"АРТ-",""),"АРТ_",""),"/","-"),3)</f>
        <v>АРТ-287</v>
      </c>
      <c r="C925" s="4">
        <f>IFERROR(VALUE(TRIM(SUBSTITUTE(SUBSTITUTE(SUBSTITUTE(SUBSTITUTE(Продажи_исходные!C925," шт.","")," шт",""),"шт.",""),"шт",""))),0)</f>
        <v>2</v>
      </c>
      <c r="D925" s="4">
        <f>IF(LEFT(Продажи_исходные!D925,1)="$",VALUE(MID(Продажи_исходные!D925,2,255))*95,IF(LEFT(Продажи_исходные!D925,1)="€",VALUE(MID(Продажи_исходные!D925,2,255))*100,VALUE(SUBSTITUTE(SUBSTITUTE(Продажи_исходные!D925,"₽","")," ",""))))</f>
        <v>8500</v>
      </c>
      <c r="E925" t="str">
        <f>Продажи_исходные!E925</f>
        <v>C0924</v>
      </c>
      <c r="F925" t="str">
        <f>Продажи_исходные!F925</f>
        <v>P026</v>
      </c>
      <c r="G925" t="str">
        <f>IFERROR(VLOOKUP(Продажи_исходные!G925,Справочники!$G$2:$H$50,2,FALSE),Продажи_исходные!G925)</f>
        <v>Отменен</v>
      </c>
      <c r="H925" s="4">
        <f>IFERROR(VLOOKUP(B925,Товары_очищенные!$A$1:$G$1000,6,FALSE),"нет в каталоге")</f>
        <v>7000</v>
      </c>
      <c r="I925" t="str">
        <f>IFERROR(VLOOKUP(B925,Товары_очищенные!$A$1:$G$1000,3,FALSE),"нет в каталоге")</f>
        <v>Аксессуары</v>
      </c>
      <c r="J925" t="str">
        <f t="shared" si="39"/>
        <v>OK</v>
      </c>
    </row>
    <row r="926">
      <c r="A926" s="8">
        <f>DATE(RIGHT(Продажи_исходные!A926,4),LEFT(Продажи_исходные!A926,2),MID(Продажи_исходные!A926,4,2))</f>
        <v>46134</v>
      </c>
      <c r="B926" t="str">
        <f>"АРТ-"&amp;LEFT(SUBSTITUTE(SUBSTITUTE(SUBSTITUTE(SUBSTITUTE(Продажи_исходные!B926,"№",""),"АРТ-",""),"АРТ_",""),"/","-"),3)</f>
        <v>АРТ-048</v>
      </c>
      <c r="C926" s="4">
        <f>IFERROR(VALUE(TRIM(SUBSTITUTE(SUBSTITUTE(SUBSTITUTE(SUBSTITUTE(Продажи_исходные!C926," шт.","")," шт",""),"шт.",""),"шт",""))),0)</f>
        <v>3</v>
      </c>
      <c r="D926" s="4">
        <f>IF(LEFT(Продажи_исходные!D926,1)="$",VALUE(MID(Продажи_исходные!D926,2,255))*95,IF(LEFT(Продажи_исходные!D926,1)="€",VALUE(MID(Продажи_исходные!D926,2,255))*100,VALUE(SUBSTITUTE(SUBSTITUTE(Продажи_исходные!D926,"₽","")," ",""))))</f>
        <v>9975</v>
      </c>
      <c r="E926" t="str">
        <f>Продажи_исходные!E926</f>
        <v>C0925</v>
      </c>
      <c r="F926" t="str">
        <f>Продажи_исходные!F926</f>
        <v>P013</v>
      </c>
      <c r="G926" t="str">
        <f>IFERROR(VLOOKUP(Продажи_исходные!G926,Справочники!$G$2:$H$50,2,FALSE),Продажи_исходные!G926)</f>
        <v>Отменен</v>
      </c>
      <c r="H926" s="4">
        <f>IFERROR(VLOOKUP(B926,Товары_очищенные!$A$1:$G$1000,6,FALSE),"нет в каталоге")</f>
        <v>25800</v>
      </c>
      <c r="I926" t="str">
        <f>IFERROR(VLOOKUP(B926,Товары_очищенные!$A$1:$G$1000,3,FALSE),"нет в каталоге")</f>
        <v>Наушники</v>
      </c>
      <c r="J926" t="str">
        <f t="shared" si="39"/>
        <v>OK</v>
      </c>
    </row>
    <row r="927">
      <c r="A927" s="8">
        <f>DATE(RIGHT(Продажи_исходные!A927,4),LEFT(Продажи_исходные!A927,2),MID(Продажи_исходные!A927,4,2))</f>
        <v>46134</v>
      </c>
      <c r="B927" t="str">
        <f>"АРТ-"&amp;LEFT(SUBSTITUTE(SUBSTITUTE(SUBSTITUTE(SUBSTITUTE(Продажи_исходные!B927,"№",""),"АРТ-",""),"АРТ_",""),"/","-"),3)</f>
        <v>АРТ-458</v>
      </c>
      <c r="C927" s="4">
        <f>IFERROR(VALUE(TRIM(SUBSTITUTE(SUBSTITUTE(SUBSTITUTE(SUBSTITUTE(Продажи_исходные!C927," шт.","")," шт",""),"шт.",""),"шт",""))),0)</f>
        <v>2</v>
      </c>
      <c r="D927" s="4">
        <f>IF(LEFT(Продажи_исходные!D927,1)="$",VALUE(MID(Продажи_исходные!D927,2,255))*95,IF(LEFT(Продажи_исходные!D927,1)="€",VALUE(MID(Продажи_исходные!D927,2,255))*100,VALUE(SUBSTITUTE(SUBSTITUTE(Продажи_исходные!D927,"₽","")," ",""))))</f>
        <v>8500</v>
      </c>
      <c r="E927" t="str">
        <f>Продажи_исходные!E927</f>
        <v>C0926</v>
      </c>
      <c r="F927" t="str">
        <f>Продажи_исходные!F927</f>
        <v>P034</v>
      </c>
      <c r="G927" t="str">
        <f>IFERROR(VLOOKUP(Продажи_исходные!G927,Справочники!$G$2:$H$50,2,FALSE),Продажи_исходные!G927)</f>
        <v>Завершен</v>
      </c>
      <c r="H927" s="4">
        <f>IFERROR(VLOOKUP(B927,Товары_очищенные!$A$1:$G$1000,6,FALSE),"нет в каталоге")</f>
        <v>6500</v>
      </c>
      <c r="I927" t="str">
        <f>IFERROR(VLOOKUP(B927,Товары_очищенные!$A$1:$G$1000,3,FALSE),"нет в каталоге")</f>
        <v>Аксессуары</v>
      </c>
      <c r="J927" t="str">
        <f t="shared" si="39"/>
        <v>OK</v>
      </c>
    </row>
    <row r="928">
      <c r="A928" s="8">
        <f>DATE(RIGHT(Продажи_исходные!A928,4),LEFT(Продажи_исходные!A928,2),MID(Продажи_исходные!A928,4,2))</f>
        <v>46135</v>
      </c>
      <c r="B928" t="str">
        <f>"АРТ-"&amp;LEFT(SUBSTITUTE(SUBSTITUTE(SUBSTITUTE(SUBSTITUTE(Продажи_исходные!B928,"№",""),"АРТ-",""),"АРТ_",""),"/","-"),3)</f>
        <v>АРТ-365</v>
      </c>
      <c r="C928" s="4">
        <f>IFERROR(VALUE(TRIM(SUBSTITUTE(SUBSTITUTE(SUBSTITUTE(SUBSTITUTE(Продажи_исходные!C928," шт.","")," шт",""),"шт.",""),"шт",""))),0)</f>
        <v>1</v>
      </c>
      <c r="D928" s="4">
        <f>IF(LEFT(Продажи_исходные!D928,1)="$",VALUE(MID(Продажи_исходные!D928,2,255))*95,IF(LEFT(Продажи_исходные!D928,1)="€",VALUE(MID(Продажи_исходные!D928,2,255))*100,VALUE(SUBSTITUTE(SUBSTITUTE(Продажи_исходные!D928,"₽","")," ",""))))</f>
        <v>7800</v>
      </c>
      <c r="E928" t="str">
        <f>Продажи_исходные!E928</f>
        <v>C0927</v>
      </c>
      <c r="F928" t="str">
        <f>Продажи_исходные!F928</f>
        <v>P044</v>
      </c>
      <c r="G928" t="str">
        <f>IFERROR(VLOOKUP(Продажи_исходные!G928,Справочники!$G$2:$H$50,2,FALSE),Продажи_исходные!G928)</f>
        <v>Возврат</v>
      </c>
      <c r="H928" s="4">
        <f>IFERROR(VLOOKUP(B928,Товары_очищенные!$A$1:$G$1000,6,FALSE),"нет в каталоге")</f>
        <v>137000</v>
      </c>
      <c r="I928" t="str">
        <f>IFERROR(VLOOKUP(B928,Товары_очищенные!$A$1:$G$1000,3,FALSE),"нет в каталоге")</f>
        <v>Телевизоры</v>
      </c>
      <c r="J928" t="str">
        <f t="shared" si="39"/>
        <v>OK</v>
      </c>
    </row>
    <row r="929">
      <c r="A929" s="8">
        <f>DATE(RIGHT(Продажи_исходные!A929,4),LEFT(Продажи_исходные!A929,2),MID(Продажи_исходные!A929,4,2))</f>
        <v>46135</v>
      </c>
      <c r="B929" t="str">
        <f>"АРТ-"&amp;LEFT(SUBSTITUTE(SUBSTITUTE(SUBSTITUTE(SUBSTITUTE(Продажи_исходные!B929,"№",""),"АРТ-",""),"АРТ_",""),"/","-"),3)</f>
        <v>АРТ-395</v>
      </c>
      <c r="C929" s="4">
        <f>IFERROR(VALUE(TRIM(SUBSTITUTE(SUBSTITUTE(SUBSTITUTE(SUBSTITUTE(Продажи_исходные!C929," шт.","")," шт",""),"шт.",""),"шт",""))),0)</f>
        <v>-3</v>
      </c>
      <c r="D929" s="4">
        <f>IF(LEFT(Продажи_исходные!D929,1)="$",VALUE(MID(Продажи_исходные!D929,2,255))*95,IF(LEFT(Продажи_исходные!D929,1)="€",VALUE(MID(Продажи_исходные!D929,2,255))*100,VALUE(SUBSTITUTE(SUBSTITUTE(Продажи_исходные!D929,"₽","")," ",""))))</f>
        <v>11400</v>
      </c>
      <c r="E929" t="str">
        <f>Продажи_исходные!E929</f>
        <v>C0928</v>
      </c>
      <c r="F929" t="str">
        <f>Продажи_исходные!F929</f>
        <v>P001</v>
      </c>
      <c r="G929" t="str">
        <f>IFERROR(VLOOKUP(Продажи_исходные!G929,Справочники!$G$2:$H$50,2,FALSE),Продажи_исходные!G929)</f>
        <v>Завершен</v>
      </c>
      <c r="H929" s="4">
        <f>IFERROR(VLOOKUP(B929,Товары_очищенные!$A$1:$G$1000,6,FALSE),"нет в каталоге")</f>
        <v>62500</v>
      </c>
      <c r="I929" t="str">
        <f>IFERROR(VLOOKUP(B929,Товары_очищенные!$A$1:$G$1000,3,FALSE),"нет в каталоге")</f>
        <v>Мониторы</v>
      </c>
      <c r="J929" t="str">
        <f t="shared" si="39"/>
        <v>OK</v>
      </c>
    </row>
    <row r="930">
      <c r="A930" s="8">
        <f>DATE(RIGHT(Продажи_исходные!A930,4),LEFT(Продажи_исходные!A930,2),MID(Продажи_исходные!A930,4,2))</f>
        <v>46136</v>
      </c>
      <c r="B930" t="str">
        <f>"АРТ-"&amp;LEFT(SUBSTITUTE(SUBSTITUTE(SUBSTITUTE(SUBSTITUTE(Продажи_исходные!B930,"№",""),"АРТ-",""),"АРТ_",""),"/","-"),3)</f>
        <v>АРТ-284</v>
      </c>
      <c r="C930" s="4">
        <f>IFERROR(VALUE(TRIM(SUBSTITUTE(SUBSTITUTE(SUBSTITUTE(SUBSTITUTE(Продажи_исходные!C930," шт.","")," шт",""),"шт.",""),"шт",""))),0)</f>
        <v>2</v>
      </c>
      <c r="D930" s="4">
        <f>IF(LEFT(Продажи_исходные!D930,1)="$",VALUE(MID(Продажи_исходные!D930,2,255))*95,IF(LEFT(Продажи_исходные!D930,1)="€",VALUE(MID(Продажи_исходные!D930,2,255))*100,VALUE(SUBSTITUTE(SUBSTITUTE(Продажи_исходные!D930,"₽","")," ",""))))</f>
        <v>10000</v>
      </c>
      <c r="E930" t="str">
        <f>Продажи_исходные!E930</f>
        <v>C0929</v>
      </c>
      <c r="F930" t="str">
        <f>Продажи_исходные!F930</f>
        <v>P021</v>
      </c>
      <c r="G930" t="str">
        <f>IFERROR(VLOOKUP(Продажи_исходные!G930,Справочники!$G$2:$H$50,2,FALSE),Продажи_исходные!G930)</f>
        <v>Завершен</v>
      </c>
      <c r="H930" s="4">
        <f>IFERROR(VLOOKUP(B930,Товары_очищенные!$A$1:$G$1000,6,FALSE),"нет в каталоге")</f>
        <v>82000</v>
      </c>
      <c r="I930" t="str">
        <f>IFERROR(VLOOKUP(B930,Товары_очищенные!$A$1:$G$1000,3,FALSE),"нет в каталоге")</f>
        <v>Мониторы</v>
      </c>
      <c r="J930" t="str">
        <f t="shared" si="39"/>
        <v>OK</v>
      </c>
    </row>
    <row r="931">
      <c r="A931" s="8">
        <f>DATE(RIGHT(Продажи_исходные!A931,4),LEFT(Продажи_исходные!A931,2),MID(Продажи_исходные!A931,4,2))</f>
        <v>46136</v>
      </c>
      <c r="B931" t="str">
        <f>"АРТ-"&amp;LEFT(SUBSTITUTE(SUBSTITUTE(SUBSTITUTE(SUBSTITUTE(Продажи_исходные!B931,"№",""),"АРТ-",""),"АРТ_",""),"/","-"),3)</f>
        <v>АРТ-230</v>
      </c>
      <c r="C931" s="4">
        <f>IFERROR(VALUE(TRIM(SUBSTITUTE(SUBSTITUTE(SUBSTITUTE(SUBSTITUTE(Продажи_исходные!C931," шт.","")," шт",""),"шт.",""),"шт",""))),0)</f>
        <v>1</v>
      </c>
      <c r="D931" s="4">
        <f>IF(LEFT(Продажи_исходные!D931,1)="$",VALUE(MID(Продажи_исходные!D931,2,255))*95,IF(LEFT(Продажи_исходные!D931,1)="€",VALUE(MID(Продажи_исходные!D931,2,255))*100,VALUE(SUBSTITUTE(SUBSTITUTE(Продажи_исходные!D931,"₽","")," ",""))))</f>
        <v>9200</v>
      </c>
      <c r="E931" t="str">
        <f>Продажи_исходные!E931</f>
        <v>C0930</v>
      </c>
      <c r="F931" t="str">
        <f>Продажи_исходные!F931</f>
        <v>P039</v>
      </c>
      <c r="G931" t="str">
        <f>IFERROR(VLOOKUP(Продажи_исходные!G931,Справочники!$G$2:$H$50,2,FALSE),Продажи_исходные!G931)</f>
        <v>Завершен</v>
      </c>
      <c r="H931" s="4">
        <f>IFERROR(VLOOKUP(B931,Товары_очищенные!$A$1:$G$1000,6,FALSE),"нет в каталоге")</f>
        <v>117000</v>
      </c>
      <c r="I931" t="str">
        <f>IFERROR(VLOOKUP(B931,Товары_очищенные!$A$1:$G$1000,3,FALSE),"нет в каталоге")</f>
        <v>Ноутбуки</v>
      </c>
      <c r="J931" t="str">
        <f t="shared" si="39"/>
        <v>OK</v>
      </c>
    </row>
    <row r="932">
      <c r="A932" s="8">
        <f>DATE(RIGHT(Продажи_исходные!A932,4),LEFT(Продажи_исходные!A932,2),MID(Продажи_исходные!A932,4,2))</f>
        <v>46137</v>
      </c>
      <c r="B932" t="str">
        <f>"АРТ-"&amp;LEFT(SUBSTITUTE(SUBSTITUTE(SUBSTITUTE(SUBSTITUTE(Продажи_исходные!B932,"№",""),"АРТ-",""),"АРТ_",""),"/","-"),3)</f>
        <v>АРТ-066</v>
      </c>
      <c r="C932" s="4">
        <f>IFERROR(VALUE(TRIM(SUBSTITUTE(SUBSTITUTE(SUBSTITUTE(SUBSTITUTE(Продажи_исходные!C932," шт.","")," шт",""),"шт.",""),"шт",""))),0)</f>
        <v>3</v>
      </c>
      <c r="D932" s="4">
        <f>IF(LEFT(Продажи_исходные!D932,1)="$",VALUE(MID(Продажи_исходные!D932,2,255))*95,IF(LEFT(Продажи_исходные!D932,1)="€",VALUE(MID(Продажи_исходные!D932,2,255))*100,VALUE(SUBSTITUTE(SUBSTITUTE(Продажи_исходные!D932,"₽","")," ",""))))</f>
        <v>8550</v>
      </c>
      <c r="E932" t="str">
        <f>Продажи_исходные!E932</f>
        <v>C0931</v>
      </c>
      <c r="F932" t="str">
        <f>Продажи_исходные!F932</f>
        <v>P050</v>
      </c>
      <c r="G932" t="str">
        <f>IFERROR(VLOOKUP(Продажи_исходные!G932,Справочники!$G$2:$H$50,2,FALSE),Продажи_исходные!G932)</f>
        <v>Отменен</v>
      </c>
      <c r="H932" s="4">
        <f>IFERROR(VLOOKUP(B932,Товары_очищенные!$A$1:$G$1000,6,FALSE),"нет в каталоге")</f>
        <v>57800</v>
      </c>
      <c r="I932" t="str">
        <f>IFERROR(VLOOKUP(B932,Товары_очищенные!$A$1:$G$1000,3,FALSE),"нет в каталоге")</f>
        <v>Смартфоны</v>
      </c>
      <c r="J932" t="str">
        <f t="shared" ref="J932:J995" si="40">IF(D932&gt;0,"OK","Некорректная цена")</f>
        <v>OK</v>
      </c>
    </row>
    <row r="933">
      <c r="A933" s="8">
        <f>DATE(RIGHT(Продажи_исходные!A933,4),LEFT(Продажи_исходные!A933,2),MID(Продажи_исходные!A933,4,2))</f>
        <v>46137</v>
      </c>
      <c r="B933" t="str">
        <f>"АРТ-"&amp;LEFT(SUBSTITUTE(SUBSTITUTE(SUBSTITUTE(SUBSTITUTE(Продажи_исходные!B933,"№",""),"АРТ-",""),"АРТ_",""),"/","-"),3)</f>
        <v>АРТ-440</v>
      </c>
      <c r="C933" s="4">
        <f>IFERROR(VALUE(TRIM(SUBSTITUTE(SUBSTITUTE(SUBSTITUTE(SUBSTITUTE(Продажи_исходные!C933," шт.","")," шт",""),"шт.",""),"шт",""))),0)</f>
        <v>2</v>
      </c>
      <c r="D933" s="4">
        <f>IF(LEFT(Продажи_исходные!D933,1)="$",VALUE(MID(Продажи_исходные!D933,2,255))*95,IF(LEFT(Продажи_исходные!D933,1)="€",VALUE(MID(Продажи_исходные!D933,2,255))*100,VALUE(SUBSTITUTE(SUBSTITUTE(Продажи_исходные!D933,"₽","")," ",""))))</f>
        <v>7000</v>
      </c>
      <c r="E933" t="str">
        <f>Продажи_исходные!E933</f>
        <v>C0932</v>
      </c>
      <c r="F933" t="str">
        <f>Продажи_исходные!F933</f>
        <v>P011</v>
      </c>
      <c r="G933" t="str">
        <f>IFERROR(VLOOKUP(Продажи_исходные!G933,Справочники!$G$2:$H$50,2,FALSE),Продажи_исходные!G933)</f>
        <v>Отменен</v>
      </c>
      <c r="H933" s="4">
        <f>IFERROR(VLOOKUP(B933,Товары_очищенные!$A$1:$G$1000,6,FALSE),"нет в каталоге")</f>
        <v>28500</v>
      </c>
      <c r="I933" t="str">
        <f>IFERROR(VLOOKUP(B933,Товары_очищенные!$A$1:$G$1000,3,FALSE),"нет в каталоге")</f>
        <v>Планшеты</v>
      </c>
      <c r="J933" t="str">
        <f t="shared" si="40"/>
        <v>OK</v>
      </c>
    </row>
    <row r="934">
      <c r="A934" s="8">
        <f>DATE(RIGHT(Продажи_исходные!A934,4),LEFT(Продажи_исходные!A934,2),MID(Продажи_исходные!A934,4,2))</f>
        <v>46138</v>
      </c>
      <c r="B934" t="str">
        <f>"АРТ-"&amp;LEFT(SUBSTITUTE(SUBSTITUTE(SUBSTITUTE(SUBSTITUTE(Продажи_исходные!B934,"№",""),"АРТ-",""),"АРТ_",""),"/","-"),3)</f>
        <v>АРТ-332</v>
      </c>
      <c r="C934" s="4">
        <f>IFERROR(VALUE(TRIM(SUBSTITUTE(SUBSTITUTE(SUBSTITUTE(SUBSTITUTE(Продажи_исходные!C934," шт.","")," шт",""),"шт.",""),"шт",""))),0)</f>
        <v>1</v>
      </c>
      <c r="D934" s="4">
        <f>IF(LEFT(Продажи_исходные!D934,1)="$",VALUE(MID(Продажи_исходные!D934,2,255))*95,IF(LEFT(Продажи_исходные!D934,1)="€",VALUE(MID(Продажи_исходные!D934,2,255))*100,VALUE(SUBSTITUTE(SUBSTITUTE(Продажи_исходные!D934,"₽","")," ",""))))</f>
        <v>6500</v>
      </c>
      <c r="E934" t="str">
        <f>Продажи_исходные!E934</f>
        <v>C0933</v>
      </c>
      <c r="F934" t="str">
        <f>Продажи_исходные!F934</f>
        <v>P027</v>
      </c>
      <c r="G934" t="str">
        <f>IFERROR(VLOOKUP(Продажи_исходные!G934,Справочники!$G$2:$H$50,2,FALSE),Продажи_исходные!G934)</f>
        <v>Возврат</v>
      </c>
      <c r="H934" s="4">
        <f>IFERROR(VLOOKUP(B934,Товары_очищенные!$A$1:$G$1000,6,FALSE),"нет в каталоге")</f>
        <v>67500</v>
      </c>
      <c r="I934" t="str">
        <f>IFERROR(VLOOKUP(B934,Товары_очищенные!$A$1:$G$1000,3,FALSE),"нет в каталоге")</f>
        <v>Часы</v>
      </c>
      <c r="J934" t="str">
        <f t="shared" si="40"/>
        <v>OK</v>
      </c>
    </row>
    <row r="935">
      <c r="A935" s="8">
        <f>DATE(RIGHT(Продажи_исходные!A935,4),LEFT(Продажи_исходные!A935,2),MID(Продажи_исходные!A935,4,2))</f>
        <v>46138</v>
      </c>
      <c r="B935" t="str">
        <f>"АРТ-"&amp;LEFT(SUBSTITUTE(SUBSTITUTE(SUBSTITUTE(SUBSTITUTE(Продажи_исходные!B935,"№",""),"АРТ-",""),"АРТ_",""),"/","-"),3)</f>
        <v>АРТ-278</v>
      </c>
      <c r="C935" s="4">
        <f>IFERROR(VALUE(TRIM(SUBSTITUTE(SUBSTITUTE(SUBSTITUTE(SUBSTITUTE(Продажи_исходные!C935," шт.","")," шт",""),"шт.",""),"шт",""))),0)</f>
        <v>-1</v>
      </c>
      <c r="D935" s="4">
        <f>IF(LEFT(Продажи_исходные!D935,1)="$",VALUE(MID(Продажи_исходные!D935,2,255))*95,IF(LEFT(Продажи_исходные!D935,1)="€",VALUE(MID(Продажи_исходные!D935,2,255))*100,VALUE(SUBSTITUTE(SUBSTITUTE(Продажи_исходные!D935,"₽","")," ",""))))</f>
        <v>10450</v>
      </c>
      <c r="E935" t="str">
        <f>Продажи_исходные!E935</f>
        <v>C0934</v>
      </c>
      <c r="F935" t="str">
        <f>Продажи_исходные!F935</f>
        <v>P018</v>
      </c>
      <c r="G935" t="str">
        <f>IFERROR(VLOOKUP(Продажи_исходные!G935,Справочники!$G$2:$H$50,2,FALSE),Продажи_исходные!G935)</f>
        <v>Завершен</v>
      </c>
      <c r="H935" s="4">
        <f>IFERROR(VLOOKUP(B935,Товары_очищенные!$A$1:$G$1000,6,FALSE),"нет в каталоге")</f>
        <v>112000</v>
      </c>
      <c r="I935" t="str">
        <f>IFERROR(VLOOKUP(B935,Товары_очищенные!$A$1:$G$1000,3,FALSE),"нет в каталоге")</f>
        <v>Телевизоры</v>
      </c>
      <c r="J935" t="str">
        <f t="shared" si="40"/>
        <v>OK</v>
      </c>
    </row>
    <row r="936">
      <c r="A936" s="8">
        <f>DATE(RIGHT(Продажи_исходные!A936,4),LEFT(Продажи_исходные!A936,2),MID(Продажи_исходные!A936,4,2))</f>
        <v>46139</v>
      </c>
      <c r="B936" t="str">
        <f>"АРТ-"&amp;LEFT(SUBSTITUTE(SUBSTITUTE(SUBSTITUTE(SUBSTITUTE(Продажи_исходные!B936,"№",""),"АРТ-",""),"АРТ_",""),"/","-"),3)</f>
        <v>АРТ-379</v>
      </c>
      <c r="C936" s="4">
        <f>IFERROR(VALUE(TRIM(SUBSTITUTE(SUBSTITUTE(SUBSTITUTE(SUBSTITUTE(Продажи_исходные!C936," шт.","")," шт",""),"шт.",""),"шт",""))),0)</f>
        <v>3</v>
      </c>
      <c r="D936" s="4">
        <f>IF(LEFT(Продажи_исходные!D936,1)="$",VALUE(MID(Продажи_исходные!D936,2,255))*95,IF(LEFT(Продажи_исходные!D936,1)="€",VALUE(MID(Продажи_исходные!D936,2,255))*100,VALUE(SUBSTITUTE(SUBSTITUTE(Продажи_исходные!D936,"₽","")," ",""))))</f>
        <v>9000</v>
      </c>
      <c r="E936" t="str">
        <f>Продажи_исходные!E936</f>
        <v>C0935</v>
      </c>
      <c r="F936" t="str">
        <f>Продажи_исходные!F936</f>
        <v>P040</v>
      </c>
      <c r="G936" t="str">
        <f>IFERROR(VLOOKUP(Продажи_исходные!G936,Справочники!$G$2:$H$50,2,FALSE),Продажи_исходные!G936)</f>
        <v>Завершен</v>
      </c>
      <c r="H936" s="4">
        <f>IFERROR(VLOOKUP(B936,Товары_очищенные!$A$1:$G$1000,6,FALSE),"нет в каталоге")</f>
        <v>36990</v>
      </c>
      <c r="I936" t="str">
        <f>IFERROR(VLOOKUP(B936,Товары_очищенные!$A$1:$G$1000,3,FALSE),"нет в каталоге")</f>
        <v>Планшеты</v>
      </c>
      <c r="J936" t="str">
        <f t="shared" si="40"/>
        <v>OK</v>
      </c>
    </row>
    <row r="937">
      <c r="A937" s="8">
        <f>DATE(RIGHT(Продажи_исходные!A937,4),LEFT(Продажи_исходные!A937,2),MID(Продажи_исходные!A937,4,2))</f>
        <v>46139</v>
      </c>
      <c r="B937" t="str">
        <f>"АРТ-"&amp;LEFT(SUBSTITUTE(SUBSTITUTE(SUBSTITUTE(SUBSTITUTE(Продажи_исходные!B937,"№",""),"АРТ-",""),"АРТ_",""),"/","-"),3)</f>
        <v>АРТ-109</v>
      </c>
      <c r="C937" s="4">
        <f>IFERROR(VALUE(TRIM(SUBSTITUTE(SUBSTITUTE(SUBSTITUTE(SUBSTITUTE(Продажи_исходные!C937," шт.","")," шт",""),"шт.",""),"шт",""))),0)</f>
        <v>2</v>
      </c>
      <c r="D937" s="4">
        <f>IF(LEFT(Продажи_исходные!D937,1)="$",VALUE(MID(Продажи_исходные!D937,2,255))*95,IF(LEFT(Продажи_исходные!D937,1)="€",VALUE(MID(Продажи_исходные!D937,2,255))*100,VALUE(SUBSTITUTE(SUBSTITUTE(Продажи_исходные!D937,"₽","")," ",""))))</f>
        <v>8000</v>
      </c>
      <c r="E937" t="str">
        <f>Продажи_исходные!E937</f>
        <v>C0936</v>
      </c>
      <c r="F937" t="str">
        <f>Продажи_исходные!F937</f>
        <v>P003</v>
      </c>
      <c r="G937" t="str">
        <f>IFERROR(VLOOKUP(Продажи_исходные!G937,Справочники!$G$2:$H$50,2,FALSE),Продажи_исходные!G937)</f>
        <v>Завершен</v>
      </c>
      <c r="H937" s="4">
        <f>IFERROR(VLOOKUP(B937,Товары_очищенные!$A$1:$G$1000,6,FALSE),"нет в каталоге")</f>
        <v>119999</v>
      </c>
      <c r="I937" t="str">
        <f>IFERROR(VLOOKUP(B937,Товары_очищенные!$A$1:$G$1000,3,FALSE),"нет в каталоге")</f>
        <v>Телевизоры</v>
      </c>
      <c r="J937" t="str">
        <f t="shared" si="40"/>
        <v>OK</v>
      </c>
    </row>
    <row r="938">
      <c r="A938" s="8">
        <f>DATE(RIGHT(Продажи_исходные!A938,4),LEFT(Продажи_исходные!A938,2),MID(Продажи_исходные!A938,4,2))</f>
        <v>46140</v>
      </c>
      <c r="B938" t="str">
        <f>"АРТ-"&amp;LEFT(SUBSTITUTE(SUBSTITUTE(SUBSTITUTE(SUBSTITUTE(Продажи_исходные!B938,"№",""),"АРТ-",""),"АРТ_",""),"/","-"),3)</f>
        <v>АРТ-098</v>
      </c>
      <c r="C938" s="4">
        <f>IFERROR(VALUE(TRIM(SUBSTITUTE(SUBSTITUTE(SUBSTITUTE(SUBSTITUTE(Продажи_исходные!C938," шт.","")," шт",""),"шт.",""),"шт",""))),0)</f>
        <v>1</v>
      </c>
      <c r="D938" s="4">
        <f>IF(LEFT(Продажи_исходные!D938,1)="$",VALUE(MID(Продажи_исходные!D938,2,255))*95,IF(LEFT(Продажи_исходные!D938,1)="€",VALUE(MID(Продажи_исходные!D938,2,255))*100,VALUE(SUBSTITUTE(SUBSTITUTE(Продажи_исходные!D938,"₽","")," ",""))))</f>
        <v>9025</v>
      </c>
      <c r="E938" t="str">
        <f>Продажи_исходные!E938</f>
        <v>C0937</v>
      </c>
      <c r="F938" t="str">
        <f>Продажи_исходные!F938</f>
        <v>P025</v>
      </c>
      <c r="G938" t="str">
        <f>IFERROR(VLOOKUP(Продажи_исходные!G938,Справочники!$G$2:$H$50,2,FALSE),Продажи_исходные!G938)</f>
        <v>Отменен</v>
      </c>
      <c r="H938" s="4">
        <f>IFERROR(VLOOKUP(B938,Товары_очищенные!$A$1:$G$1000,6,FALSE),"нет в каталоге")</f>
        <v>6500</v>
      </c>
      <c r="I938" t="str">
        <f>IFERROR(VLOOKUP(B938,Товары_очищенные!$A$1:$G$1000,3,FALSE),"нет в каталоге")</f>
        <v>Аксессуары</v>
      </c>
      <c r="J938" t="str">
        <f t="shared" si="40"/>
        <v>OK</v>
      </c>
    </row>
    <row r="939">
      <c r="A939" s="8">
        <f>DATE(RIGHT(Продажи_исходные!A939,4),LEFT(Продажи_исходные!A939,2),MID(Продажи_исходные!A939,4,2))</f>
        <v>46140</v>
      </c>
      <c r="B939" t="str">
        <f>"АРТ-"&amp;LEFT(SUBSTITUTE(SUBSTITUTE(SUBSTITUTE(SUBSTITUTE(Продажи_исходные!B939,"№",""),"АРТ-",""),"АРТ_",""),"/","-"),3)</f>
        <v>АРТ-462</v>
      </c>
      <c r="C939" s="4">
        <f>IFERROR(VALUE(TRIM(SUBSTITUTE(SUBSTITUTE(SUBSTITUTE(SUBSTITUTE(Продажи_исходные!C939," шт.","")," шт",""),"шт.",""),"шт",""))),0)</f>
        <v>2</v>
      </c>
      <c r="D939" s="4">
        <f>IF(LEFT(Продажи_исходные!D939,1)="$",VALUE(MID(Продажи_исходные!D939,2,255))*95,IF(LEFT(Продажи_исходные!D939,1)="€",VALUE(MID(Продажи_исходные!D939,2,255))*100,VALUE(SUBSTITUTE(SUBSTITUTE(Продажи_исходные!D939,"₽","")," ",""))))</f>
        <v>7500</v>
      </c>
      <c r="E939" t="str">
        <f>Продажи_исходные!E939</f>
        <v>C0938</v>
      </c>
      <c r="F939" t="str">
        <f>Продажи_исходные!F939</f>
        <v>P010</v>
      </c>
      <c r="G939" t="str">
        <f>IFERROR(VLOOKUP(Продажи_исходные!G939,Справочники!$G$2:$H$50,2,FALSE),Продажи_исходные!G939)</f>
        <v>Отменен</v>
      </c>
      <c r="H939" s="4">
        <f>IFERROR(VLOOKUP(B939,Товары_очищенные!$A$1:$G$1000,6,FALSE),"нет в каталоге")</f>
        <v>49500</v>
      </c>
      <c r="I939" t="str">
        <f>IFERROR(VLOOKUP(B939,Товары_очищенные!$A$1:$G$1000,3,FALSE),"нет в каталоге")</f>
        <v>Часы</v>
      </c>
      <c r="J939" t="str">
        <f t="shared" si="40"/>
        <v>OK</v>
      </c>
    </row>
    <row r="940">
      <c r="A940" s="8">
        <f>DATE(RIGHT(Продажи_исходные!A940,4),LEFT(Продажи_исходные!A940,2),MID(Продажи_исходные!A940,4,2))</f>
        <v>46141</v>
      </c>
      <c r="B940" t="str">
        <f>"АРТ-"&amp;LEFT(SUBSTITUTE(SUBSTITUTE(SUBSTITUTE(SUBSTITUTE(Продажи_исходные!B940,"№",""),"АРТ-",""),"АРТ_",""),"/","-"),3)</f>
        <v>АРТ-336</v>
      </c>
      <c r="C940" s="4">
        <f>IFERROR(VALUE(TRIM(SUBSTITUTE(SUBSTITUTE(SUBSTITUTE(SUBSTITUTE(Продажи_исходные!C940," шт.","")," шт",""),"шт.",""),"шт",""))),0)</f>
        <v>3</v>
      </c>
      <c r="D940" s="4">
        <f>IF(LEFT(Продажи_исходные!D940,1)="$",VALUE(MID(Продажи_исходные!D940,2,255))*95,IF(LEFT(Продажи_исходные!D940,1)="€",VALUE(MID(Продажи_исходные!D940,2,255))*100,VALUE(SUBSTITUTE(SUBSTITUTE(Продажи_исходные!D940,"₽","")," ",""))))</f>
        <v>7000</v>
      </c>
      <c r="E940" t="str">
        <f>Продажи_исходные!E940</f>
        <v>C0939</v>
      </c>
      <c r="F940" t="str">
        <f>Продажи_исходные!F940</f>
        <v>P033</v>
      </c>
      <c r="G940" t="str">
        <f>IFERROR(VLOOKUP(Продажи_исходные!G940,Справочники!$G$2:$H$50,2,FALSE),Продажи_исходные!G940)</f>
        <v>Завершен</v>
      </c>
      <c r="H940" s="4">
        <f>IFERROR(VLOOKUP(B940,Товары_очищенные!$A$1:$G$1000,6,FALSE),"нет в каталоге")</f>
        <v>50500</v>
      </c>
      <c r="I940" t="str">
        <f>IFERROR(VLOOKUP(B940,Товары_очищенные!$A$1:$G$1000,3,FALSE),"нет в каталоге")</f>
        <v>Планшеты</v>
      </c>
      <c r="J940" t="str">
        <f t="shared" si="40"/>
        <v>OK</v>
      </c>
    </row>
    <row r="941">
      <c r="A941" s="8">
        <f>DATE(RIGHT(Продажи_исходные!A941,4),LEFT(Продажи_исходные!A941,2),MID(Продажи_исходные!A941,4,2))</f>
        <v>46141</v>
      </c>
      <c r="B941" t="str">
        <f>"АРТ-"&amp;LEFT(SUBSTITUTE(SUBSTITUTE(SUBSTITUTE(SUBSTITUTE(Продажи_исходные!B941,"№",""),"АРТ-",""),"АРТ_",""),"/","-"),3)</f>
        <v>АРТ-333</v>
      </c>
      <c r="C941" s="4">
        <f>IFERROR(VALUE(TRIM(SUBSTITUTE(SUBSTITUTE(SUBSTITUTE(SUBSTITUTE(Продажи_исходные!C941," шт.","")," шт",""),"шт.",""),"шт",""))),0)</f>
        <v>-2</v>
      </c>
      <c r="D941" s="4">
        <f>IF(LEFT(Продажи_исходные!D941,1)="$",VALUE(MID(Продажи_исходные!D941,2,255))*95,IF(LEFT(Продажи_исходные!D941,1)="€",VALUE(MID(Продажи_исходные!D941,2,255))*100,VALUE(SUBSTITUTE(SUBSTITUTE(Продажи_исходные!D941,"₽","")," ",""))))</f>
        <v>10925</v>
      </c>
      <c r="E941" t="str">
        <f>Продажи_исходные!E941</f>
        <v>C0940</v>
      </c>
      <c r="F941" t="str">
        <f>Продажи_исходные!F941</f>
        <v>P047</v>
      </c>
      <c r="G941" t="str">
        <f>IFERROR(VLOOKUP(Продажи_исходные!G941,Справочники!$G$2:$H$50,2,FALSE),Продажи_исходные!G941)</f>
        <v>Возврат</v>
      </c>
      <c r="H941" s="4">
        <f>IFERROR(VLOOKUP(B941,Товары_очищенные!$A$1:$G$1000,6,FALSE),"нет в каталоге")</f>
        <v>72000</v>
      </c>
      <c r="I941" t="str">
        <f>IFERROR(VLOOKUP(B941,Товары_очищенные!$A$1:$G$1000,3,FALSE),"нет в каталоге")</f>
        <v>Часы</v>
      </c>
      <c r="J941" t="str">
        <f t="shared" si="40"/>
        <v>OK</v>
      </c>
    </row>
    <row r="942">
      <c r="A942" s="8">
        <f>DATE(RIGHT(Продажи_исходные!A942,4),LEFT(Продажи_исходные!A942,2),MID(Продажи_исходные!A942,4,2))</f>
        <v>46142</v>
      </c>
      <c r="B942" t="str">
        <f>"АРТ-"&amp;LEFT(SUBSTITUTE(SUBSTITUTE(SUBSTITUTE(SUBSTITUTE(Продажи_исходные!B942,"№",""),"АРТ-",""),"АРТ_",""),"/","-"),3)</f>
        <v>АРТ-293</v>
      </c>
      <c r="C942" s="4">
        <f>IFERROR(VALUE(TRIM(SUBSTITUTE(SUBSTITUTE(SUBSTITUTE(SUBSTITUTE(Продажи_исходные!C942," шт.","")," шт",""),"шт.",""),"шт",""))),0)</f>
        <v>1</v>
      </c>
      <c r="D942" s="4">
        <f>IF(LEFT(Продажи_исходные!D942,1)="$",VALUE(MID(Продажи_исходные!D942,2,255))*95,IF(LEFT(Продажи_исходные!D942,1)="€",VALUE(MID(Продажи_исходные!D942,2,255))*100,VALUE(SUBSTITUTE(SUBSTITUTE(Продажи_исходные!D942,"₽","")," ",""))))</f>
        <v>9500</v>
      </c>
      <c r="E942" t="str">
        <f>Продажи_исходные!E942</f>
        <v>C0941</v>
      </c>
      <c r="F942" t="str">
        <f>Продажи_исходные!F942</f>
        <v>P020</v>
      </c>
      <c r="G942" t="str">
        <f>IFERROR(VLOOKUP(Продажи_исходные!G942,Справочники!$G$2:$H$50,2,FALSE),Продажи_исходные!G942)</f>
        <v>Завершен</v>
      </c>
      <c r="H942" s="4">
        <f>IFERROR(VLOOKUP(B942,Товары_очищенные!$A$1:$G$1000,6,FALSE),"нет в каталоге")</f>
        <v>132000</v>
      </c>
      <c r="I942" t="str">
        <f>IFERROR(VLOOKUP(B942,Товары_очищенные!$A$1:$G$1000,3,FALSE),"нет в каталоге")</f>
        <v>Ноутбуки</v>
      </c>
      <c r="J942" t="str">
        <f t="shared" si="40"/>
        <v>OK</v>
      </c>
    </row>
    <row r="943">
      <c r="A943" s="8">
        <f>DATE(RIGHT(Продажи_исходные!A943,4),LEFT(Продажи_исходные!A943,2),MID(Продажи_исходные!A943,4,2))</f>
        <v>46142</v>
      </c>
      <c r="B943" t="str">
        <f>"АРТ-"&amp;LEFT(SUBSTITUTE(SUBSTITUTE(SUBSTITUTE(SUBSTITUTE(Продажи_исходные!B943,"№",""),"АРТ-",""),"АРТ_",""),"/","-"),3)</f>
        <v>АРТ-244</v>
      </c>
      <c r="C943" s="4">
        <f>IFERROR(VALUE(TRIM(SUBSTITUTE(SUBSTITUTE(SUBSTITUTE(SUBSTITUTE(Продажи_исходные!C943," шт.","")," шт",""),"шт.",""),"шт",""))),0)</f>
        <v>2</v>
      </c>
      <c r="D943" s="4">
        <f>IF(LEFT(Продажи_исходные!D943,1)="$",VALUE(MID(Продажи_исходные!D943,2,255))*95,IF(LEFT(Продажи_исходные!D943,1)="€",VALUE(MID(Продажи_исходные!D943,2,255))*100,VALUE(SUBSTITUTE(SUBSTITUTE(Продажи_исходные!D943,"₽","")," ",""))))</f>
        <v>8500</v>
      </c>
      <c r="E943" t="str">
        <f>Продажи_исходные!E943</f>
        <v>C0942</v>
      </c>
      <c r="F943" t="str">
        <f>Продажи_исходные!F943</f>
        <v>P002</v>
      </c>
      <c r="G943" t="str">
        <f>IFERROR(VLOOKUP(Продажи_исходные!G943,Справочники!$G$2:$H$50,2,FALSE),Продажи_исходные!G943)</f>
        <v>Завершен</v>
      </c>
      <c r="H943" s="4">
        <f>IFERROR(VLOOKUP(B943,Товары_очищенные!$A$1:$G$1000,6,FALSE),"нет в каталоге")</f>
        <v>77990</v>
      </c>
      <c r="I943" t="str">
        <f>IFERROR(VLOOKUP(B943,Товары_очищенные!$A$1:$G$1000,3,FALSE),"нет в каталоге")</f>
        <v>Мониторы</v>
      </c>
      <c r="J943" t="str">
        <f t="shared" si="40"/>
        <v>OK</v>
      </c>
    </row>
    <row r="944">
      <c r="A944" s="8">
        <f>DATE(RIGHT(Продажи_исходные!A944,4),LEFT(Продажи_исходные!A944,2),MID(Продажи_исходные!A944,4,2))</f>
        <v>46143</v>
      </c>
      <c r="B944" t="str">
        <f>"АРТ-"&amp;LEFT(SUBSTITUTE(SUBSTITUTE(SUBSTITUTE(SUBSTITUTE(Продажи_исходные!B944,"№",""),"АРТ-",""),"АРТ_",""),"/","-"),3)</f>
        <v>АРТ-179</v>
      </c>
      <c r="C944" s="4">
        <f>IFERROR(VALUE(TRIM(SUBSTITUTE(SUBSTITUTE(SUBSTITUTE(SUBSTITUTE(Продажи_исходные!C944," шт.","")," шт",""),"шт.",""),"шт",""))),0)</f>
        <v>3</v>
      </c>
      <c r="D944" s="4">
        <f>IF(LEFT(Продажи_исходные!D944,1)="$",VALUE(MID(Продажи_исходные!D944,2,255))*95,IF(LEFT(Продажи_исходные!D944,1)="€",VALUE(MID(Продажи_исходные!D944,2,255))*100,VALUE(SUBSTITUTE(SUBSTITUTE(Продажи_исходные!D944,"₽","")," ",""))))</f>
        <v>9975</v>
      </c>
      <c r="E944" t="str">
        <f>Продажи_исходные!E944</f>
        <v>C0943</v>
      </c>
      <c r="F944" t="str">
        <f>Продажи_исходные!F944</f>
        <v>P038</v>
      </c>
      <c r="G944" t="str">
        <f>IFERROR(VLOOKUP(Продажи_исходные!G944,Справочники!$G$2:$H$50,2,FALSE),Продажи_исходные!G944)</f>
        <v>Завершен</v>
      </c>
      <c r="H944" s="4">
        <f>IFERROR(VLOOKUP(B944,Товары_очищенные!$A$1:$G$1000,6,FALSE),"нет в каталоге")</f>
        <v>13000</v>
      </c>
      <c r="I944" t="str">
        <f>IFERROR(VLOOKUP(B944,Товары_очищенные!$A$1:$G$1000,3,FALSE),"нет в каталоге")</f>
        <v>Наушники</v>
      </c>
      <c r="J944" t="str">
        <f t="shared" si="40"/>
        <v>OK</v>
      </c>
    </row>
    <row r="945">
      <c r="A945" s="8">
        <f>DATE(RIGHT(Продажи_исходные!A945,4),LEFT(Продажи_исходные!A945,2),MID(Продажи_исходные!A945,4,2))</f>
        <v>46143</v>
      </c>
      <c r="B945" t="str">
        <f>"АРТ-"&amp;LEFT(SUBSTITUTE(SUBSTITUTE(SUBSTITUTE(SUBSTITUTE(Продажи_исходные!B945,"№",""),"АРТ-",""),"АРТ_",""),"/","-"),3)</f>
        <v>АРТ-421</v>
      </c>
      <c r="C945" s="4">
        <f>IFERROR(VALUE(TRIM(SUBSTITUTE(SUBSTITUTE(SUBSTITUTE(SUBSTITUTE(Продажи_исходные!C945," шт.","")," шт",""),"шт.",""),"шт",""))),0)</f>
        <v>2</v>
      </c>
      <c r="D945" s="4">
        <f>IF(LEFT(Продажи_исходные!D945,1)="$",VALUE(MID(Продажи_исходные!D945,2,255))*95,IF(LEFT(Продажи_исходные!D945,1)="€",VALUE(MID(Продажи_исходные!D945,2,255))*100,VALUE(SUBSTITUTE(SUBSTITUTE(Продажи_исходные!D945,"₽","")," ",""))))</f>
        <v>8500</v>
      </c>
      <c r="E945" t="str">
        <f>Продажи_исходные!E945</f>
        <v>C0944</v>
      </c>
      <c r="F945" t="str">
        <f>Продажи_исходные!F945</f>
        <v>P016</v>
      </c>
      <c r="G945" t="str">
        <f>IFERROR(VLOOKUP(Продажи_исходные!G945,Справочники!$G$2:$H$50,2,FALSE),Продажи_исходные!G945)</f>
        <v>Отменен</v>
      </c>
      <c r="H945" s="4">
        <f>IFERROR(VLOOKUP(B945,Товары_очищенные!$A$1:$G$1000,6,FALSE),"нет в каталоге")</f>
        <v>126990</v>
      </c>
      <c r="I945" t="str">
        <f>IFERROR(VLOOKUP(B945,Товары_очищенные!$A$1:$G$1000,3,FALSE),"нет в каталоге")</f>
        <v>Ноутбуки</v>
      </c>
      <c r="J945" t="str">
        <f t="shared" si="40"/>
        <v>OK</v>
      </c>
    </row>
    <row r="946">
      <c r="A946" s="8">
        <f>DATE(RIGHT(Продажи_исходные!A946,4),LEFT(Продажи_исходные!A946,2),MID(Продажи_исходные!A946,4,2))</f>
        <v>46144</v>
      </c>
      <c r="B946" t="str">
        <f>"АРТ-"&amp;LEFT(SUBSTITUTE(SUBSTITUTE(SUBSTITUTE(SUBSTITUTE(Продажи_исходные!B946,"№",""),"АРТ-",""),"АРТ_",""),"/","-"),3)</f>
        <v>АРТ-369</v>
      </c>
      <c r="C946" s="4">
        <f>IFERROR(VALUE(TRIM(SUBSTITUTE(SUBSTITUTE(SUBSTITUTE(SUBSTITUTE(Продажи_исходные!C946," шт.","")," шт",""),"шт.",""),"шт",""))),0)</f>
        <v>1</v>
      </c>
      <c r="D946" s="4">
        <f>IF(LEFT(Продажи_исходные!D946,1)="$",VALUE(MID(Продажи_исходные!D946,2,255))*95,IF(LEFT(Продажи_исходные!D946,1)="€",VALUE(MID(Продажи_исходные!D946,2,255))*100,VALUE(SUBSTITUTE(SUBSTITUTE(Продажи_исходные!D946,"₽","")," ",""))))</f>
        <v>7800</v>
      </c>
      <c r="E946" t="str">
        <f>Продажи_исходные!E946</f>
        <v>C0945</v>
      </c>
      <c r="F946" t="str">
        <f>Продажи_исходные!F946</f>
        <v>P029</v>
      </c>
      <c r="G946" t="str">
        <f>IFERROR(VLOOKUP(Продажи_исходные!G946,Справочники!$G$2:$H$50,2,FALSE),Продажи_исходные!G946)</f>
        <v>Отменен</v>
      </c>
      <c r="H946" s="4">
        <f>IFERROR(VLOOKUP(B946,Товары_очищенные!$A$1:$G$1000,6,FALSE),"нет в каталоге")</f>
        <v>20800</v>
      </c>
      <c r="I946" t="str">
        <f>IFERROR(VLOOKUP(B946,Товары_очищенные!$A$1:$G$1000,3,FALSE),"нет в каталоге")</f>
        <v>Наушники</v>
      </c>
      <c r="J946" t="str">
        <f t="shared" si="40"/>
        <v>OK</v>
      </c>
    </row>
    <row r="947">
      <c r="A947" s="8">
        <f>DATE(RIGHT(Продажи_исходные!A947,4),LEFT(Продажи_исходные!A947,2),MID(Продажи_исходные!A947,4,2))</f>
        <v>46144</v>
      </c>
      <c r="B947" t="str">
        <f>"АРТ-"&amp;LEFT(SUBSTITUTE(SUBSTITUTE(SUBSTITUTE(SUBSTITUTE(Продажи_исходные!B947,"№",""),"АРТ-",""),"АРТ_",""),"/","-"),3)</f>
        <v>АРТ-170</v>
      </c>
      <c r="C947" s="4">
        <f>IFERROR(VALUE(TRIM(SUBSTITUTE(SUBSTITUTE(SUBSTITUTE(SUBSTITUTE(Продажи_исходные!C947," шт.","")," шт",""),"шт.",""),"шт",""))),0)</f>
        <v>-3</v>
      </c>
      <c r="D947" s="4">
        <f>IF(LEFT(Продажи_исходные!D947,1)="$",VALUE(MID(Продажи_исходные!D947,2,255))*95,IF(LEFT(Продажи_исходные!D947,1)="€",VALUE(MID(Продажи_исходные!D947,2,255))*100,VALUE(SUBSTITUTE(SUBSTITUTE(Продажи_исходные!D947,"₽","")," ",""))))</f>
        <v>11400</v>
      </c>
      <c r="E947" t="str">
        <f>Продажи_исходные!E947</f>
        <v>C0946</v>
      </c>
      <c r="F947" t="str">
        <f>Продажи_исходные!F947</f>
        <v>P035</v>
      </c>
      <c r="G947" t="str">
        <f>IFERROR(VLOOKUP(Продажи_исходные!G947,Справочники!$G$2:$H$50,2,FALSE),Продажи_исходные!G947)</f>
        <v>Возврат</v>
      </c>
      <c r="H947" s="4">
        <f>IFERROR(VLOOKUP(B947,Товары_очищенные!$A$1:$G$1000,6,FALSE),"нет в каталоге")</f>
        <v>56500</v>
      </c>
      <c r="I947" t="str">
        <f>IFERROR(VLOOKUP(B947,Товары_очищенные!$A$1:$G$1000,3,FALSE),"нет в каталоге")</f>
        <v>Смартфоны</v>
      </c>
      <c r="J947" t="str">
        <f t="shared" si="40"/>
        <v>OK</v>
      </c>
    </row>
    <row r="948">
      <c r="A948" s="8">
        <f>DATE(RIGHT(Продажи_исходные!A948,4),LEFT(Продажи_исходные!A948,2),MID(Продажи_исходные!A948,4,2))</f>
        <v>46145</v>
      </c>
      <c r="B948" t="str">
        <f>"АРТ-"&amp;LEFT(SUBSTITUTE(SUBSTITUTE(SUBSTITUTE(SUBSTITUTE(Продажи_исходные!B948,"№",""),"АРТ-",""),"АРТ_",""),"/","-"),3)</f>
        <v>АРТ-315</v>
      </c>
      <c r="C948" s="4">
        <f>IFERROR(VALUE(TRIM(SUBSTITUTE(SUBSTITUTE(SUBSTITUTE(SUBSTITUTE(Продажи_исходные!C948," шт.","")," шт",""),"шт.",""),"шт",""))),0)</f>
        <v>2</v>
      </c>
      <c r="D948" s="4">
        <f>IF(LEFT(Продажи_исходные!D948,1)="$",VALUE(MID(Продажи_исходные!D948,2,255))*95,IF(LEFT(Продажи_исходные!D948,1)="€",VALUE(MID(Продажи_исходные!D948,2,255))*100,VALUE(SUBSTITUTE(SUBSTITUTE(Продажи_исходные!D948,"₽","")," ",""))))</f>
        <v>10000</v>
      </c>
      <c r="E948" t="str">
        <f>Продажи_исходные!E948</f>
        <v>C0947</v>
      </c>
      <c r="F948" t="str">
        <f>Продажи_исходные!F948</f>
        <v>P046</v>
      </c>
      <c r="G948" t="str">
        <f>IFERROR(VLOOKUP(Продажи_исходные!G948,Справочники!$G$2:$H$50,2,FALSE),Продажи_исходные!G948)</f>
        <v>Завершен</v>
      </c>
      <c r="H948" s="4">
        <f>IFERROR(VLOOKUP(B948,Товары_очищенные!$A$1:$G$1000,6,FALSE),"нет в каталоге")</f>
        <v>72000</v>
      </c>
      <c r="I948" t="str">
        <f>IFERROR(VLOOKUP(B948,Товары_очищенные!$A$1:$G$1000,3,FALSE),"нет в каталоге")</f>
        <v>Смартфоны</v>
      </c>
      <c r="J948" t="str">
        <f t="shared" si="40"/>
        <v>OK</v>
      </c>
    </row>
    <row r="949">
      <c r="A949" s="8">
        <f>DATE(RIGHT(Продажи_исходные!A949,4),LEFT(Продажи_исходные!A949,2),MID(Продажи_исходные!A949,4,2))</f>
        <v>46145</v>
      </c>
      <c r="B949" t="str">
        <f>"АРТ-"&amp;LEFT(SUBSTITUTE(SUBSTITUTE(SUBSTITUTE(SUBSTITUTE(Продажи_исходные!B949,"№",""),"АРТ-",""),"АРТ_",""),"/","-"),3)</f>
        <v>АРТ-273</v>
      </c>
      <c r="C949" s="4">
        <f>IFERROR(VALUE(TRIM(SUBSTITUTE(SUBSTITUTE(SUBSTITUTE(SUBSTITUTE(Продажи_исходные!C949," шт.","")," шт",""),"шт.",""),"шт",""))),0)</f>
        <v>1</v>
      </c>
      <c r="D949" s="4">
        <f>IF(LEFT(Продажи_исходные!D949,1)="$",VALUE(MID(Продажи_исходные!D949,2,255))*95,IF(LEFT(Продажи_исходные!D949,1)="€",VALUE(MID(Продажи_исходные!D949,2,255))*100,VALUE(SUBSTITUTE(SUBSTITUTE(Продажи_исходные!D949,"₽","")," ",""))))</f>
        <v>9200</v>
      </c>
      <c r="E949" t="str">
        <f>Продажи_исходные!E949</f>
        <v>C0948</v>
      </c>
      <c r="F949" t="str">
        <f>Продажи_исходные!F949</f>
        <v>P022</v>
      </c>
      <c r="G949" t="str">
        <f>IFERROR(VLOOKUP(Продажи_исходные!G949,Справочники!$G$2:$H$50,2,FALSE),Продажи_исходные!G949)</f>
        <v>Завершен</v>
      </c>
      <c r="H949" s="4">
        <f>IFERROR(VLOOKUP(B949,Товары_очищенные!$A$1:$G$1000,6,FALSE),"нет в каталоге")</f>
        <v>46500</v>
      </c>
      <c r="I949" t="str">
        <f>IFERROR(VLOOKUP(B949,Товары_очищенные!$A$1:$G$1000,3,FALSE),"нет в каталоге")</f>
        <v>Смартфоны</v>
      </c>
      <c r="J949" t="str">
        <f t="shared" si="40"/>
        <v>OK</v>
      </c>
    </row>
    <row r="950">
      <c r="A950" s="8">
        <f>DATE(RIGHT(Продажи_исходные!A950,4),LEFT(Продажи_исходные!A950,2),MID(Продажи_исходные!A950,4,2))</f>
        <v>46146</v>
      </c>
      <c r="B950" t="str">
        <f>"АРТ-"&amp;LEFT(SUBSTITUTE(SUBSTITUTE(SUBSTITUTE(SUBSTITUTE(Продажи_исходные!B950,"№",""),"АРТ-",""),"АРТ_",""),"/","-"),3)</f>
        <v>АРТ-133</v>
      </c>
      <c r="C950" s="4">
        <f>IFERROR(VALUE(TRIM(SUBSTITUTE(SUBSTITUTE(SUBSTITUTE(SUBSTITUTE(Продажи_исходные!C950," шт.","")," шт",""),"шт.",""),"шт",""))),0)</f>
        <v>3</v>
      </c>
      <c r="D950" s="4">
        <f>IF(LEFT(Продажи_исходные!D950,1)="$",VALUE(MID(Продажи_исходные!D950,2,255))*95,IF(LEFT(Продажи_исходные!D950,1)="€",VALUE(MID(Продажи_исходные!D950,2,255))*100,VALUE(SUBSTITUTE(SUBSTITUTE(Продажи_исходные!D950,"₽","")," ",""))))</f>
        <v>8550</v>
      </c>
      <c r="E950" t="str">
        <f>Продажи_исходные!E950</f>
        <v>C0949</v>
      </c>
      <c r="F950" t="str">
        <f>Продажи_исходные!F950</f>
        <v>P043</v>
      </c>
      <c r="G950" t="str">
        <f>IFERROR(VLOOKUP(Продажи_исходные!G950,Справочники!$G$2:$H$50,2,FALSE),Продажи_исходные!G950)</f>
        <v>Завершен</v>
      </c>
      <c r="H950" s="4">
        <f>IFERROR(VLOOKUP(B950,Товары_очищенные!$A$1:$G$1000,6,FALSE),"нет в каталоге")</f>
        <v>126990</v>
      </c>
      <c r="I950" t="str">
        <f>IFERROR(VLOOKUP(B950,Товары_очищенные!$A$1:$G$1000,3,FALSE),"нет в каталоге")</f>
        <v>Телевизоры</v>
      </c>
      <c r="J950" t="str">
        <f t="shared" si="40"/>
        <v>OK</v>
      </c>
    </row>
    <row r="951">
      <c r="A951" s="8">
        <f>DATE(RIGHT(Продажи_исходные!A951,4),LEFT(Продажи_исходные!A951,2),MID(Продажи_исходные!A951,4,2))</f>
        <v>46146</v>
      </c>
      <c r="B951" t="str">
        <f>"АРТ-"&amp;LEFT(SUBSTITUTE(SUBSTITUTE(SUBSTITUTE(SUBSTITUTE(Продажи_исходные!B951,"№",""),"АРТ-",""),"АРТ_",""),"/","-"),3)</f>
        <v>АРТ-480</v>
      </c>
      <c r="C951" s="4">
        <f>IFERROR(VALUE(TRIM(SUBSTITUTE(SUBSTITUTE(SUBSTITUTE(SUBSTITUTE(Продажи_исходные!C951," шт.","")," шт",""),"шт.",""),"шт",""))),0)</f>
        <v>2</v>
      </c>
      <c r="D951" s="4">
        <f>IF(LEFT(Продажи_исходные!D951,1)="$",VALUE(MID(Продажи_исходные!D951,2,255))*95,IF(LEFT(Продажи_исходные!D951,1)="€",VALUE(MID(Продажи_исходные!D951,2,255))*100,VALUE(SUBSTITUTE(SUBSTITUTE(Продажи_исходные!D951,"₽","")," ",""))))</f>
        <v>7000</v>
      </c>
      <c r="E951" t="str">
        <f>Продажи_исходные!E951</f>
        <v>C0950</v>
      </c>
      <c r="F951" t="str">
        <f>Продажи_исходные!F951</f>
        <v>P030</v>
      </c>
      <c r="G951" t="str">
        <f>IFERROR(VLOOKUP(Продажи_исходные!G951,Справочники!$G$2:$H$50,2,FALSE),Продажи_исходные!G951)</f>
        <v>Отменен</v>
      </c>
      <c r="H951" s="4">
        <f>IFERROR(VLOOKUP(B951,Товары_очищенные!$A$1:$G$1000,6,FALSE),"нет в каталоге")</f>
        <v>13800</v>
      </c>
      <c r="I951" t="str">
        <f>IFERROR(VLOOKUP(B951,Товары_очищенные!$A$1:$G$1000,3,FALSE),"нет в каталоге")</f>
        <v>Аксессуары</v>
      </c>
      <c r="J951" t="str">
        <f t="shared" si="40"/>
        <v>OK</v>
      </c>
    </row>
    <row r="952">
      <c r="A952" s="8">
        <f>DATE(RIGHT(Продажи_исходные!A952,4),LEFT(Продажи_исходные!A952,2),MID(Продажи_исходные!A952,4,2))</f>
        <v>46147</v>
      </c>
      <c r="B952" t="str">
        <f>"АРТ-"&amp;LEFT(SUBSTITUTE(SUBSTITUTE(SUBSTITUTE(SUBSTITUTE(Продажи_исходные!B952,"№",""),"АРТ-",""),"АРТ_",""),"/","-"),3)</f>
        <v>АРТ-389</v>
      </c>
      <c r="C952" s="4">
        <f>IFERROR(VALUE(TRIM(SUBSTITUTE(SUBSTITUTE(SUBSTITUTE(SUBSTITUTE(Продажи_исходные!C952," шт.","")," шт",""),"шт.",""),"шт",""))),0)</f>
        <v>1</v>
      </c>
      <c r="D952" s="4">
        <f>IF(LEFT(Продажи_исходные!D952,1)="$",VALUE(MID(Продажи_исходные!D952,2,255))*95,IF(LEFT(Продажи_исходные!D952,1)="€",VALUE(MID(Продажи_исходные!D952,2,255))*100,VALUE(SUBSTITUTE(SUBSTITUTE(Продажи_исходные!D952,"₽","")," ",""))))</f>
        <v>6500</v>
      </c>
      <c r="E952" t="str">
        <f>Продажи_исходные!E952</f>
        <v>C0951</v>
      </c>
      <c r="F952" t="str">
        <f>Продажи_исходные!F952</f>
        <v>P012</v>
      </c>
      <c r="G952" t="str">
        <f>IFERROR(VLOOKUP(Продажи_исходные!G952,Справочники!$G$2:$H$50,2,FALSE),Продажи_исходные!G952)</f>
        <v>Отменен</v>
      </c>
      <c r="H952" s="4">
        <f>IFERROR(VLOOKUP(B952,Товары_очищенные!$A$1:$G$1000,6,FALSE),"нет в каталоге")</f>
        <v>75000</v>
      </c>
      <c r="I952" t="str">
        <f>IFERROR(VLOOKUP(B952,Товары_очищенные!$A$1:$G$1000,3,FALSE),"нет в каталоге")</f>
        <v>Телевизоры</v>
      </c>
      <c r="J952" t="str">
        <f t="shared" si="40"/>
        <v>OK</v>
      </c>
    </row>
    <row r="953">
      <c r="A953" s="8">
        <f>DATE(RIGHT(Продажи_исходные!A953,4),LEFT(Продажи_исходные!A953,2),MID(Продажи_исходные!A953,4,2))</f>
        <v>46147</v>
      </c>
      <c r="B953" t="str">
        <f>"АРТ-"&amp;LEFT(SUBSTITUTE(SUBSTITUTE(SUBSTITUTE(SUBSTITUTE(Продажи_исходные!B953,"№",""),"АРТ-",""),"АРТ_",""),"/","-"),3)</f>
        <v>АРТ-369</v>
      </c>
      <c r="C953" s="4">
        <f>IFERROR(VALUE(TRIM(SUBSTITUTE(SUBSTITUTE(SUBSTITUTE(SUBSTITUTE(Продажи_исходные!C953," шт.","")," шт",""),"шт.",""),"шт",""))),0)</f>
        <v>-1</v>
      </c>
      <c r="D953" s="4">
        <f>IF(LEFT(Продажи_исходные!D953,1)="$",VALUE(MID(Продажи_исходные!D953,2,255))*95,IF(LEFT(Продажи_исходные!D953,1)="€",VALUE(MID(Продажи_исходные!D953,2,255))*100,VALUE(SUBSTITUTE(SUBSTITUTE(Продажи_исходные!D953,"₽","")," ",""))))</f>
        <v>10450</v>
      </c>
      <c r="E953" t="str">
        <f>Продажи_исходные!E953</f>
        <v>C0952</v>
      </c>
      <c r="F953" t="str">
        <f>Продажи_исходные!F953</f>
        <v>P007</v>
      </c>
      <c r="G953" t="str">
        <f>IFERROR(VLOOKUP(Продажи_исходные!G953,Справочники!$G$2:$H$50,2,FALSE),Продажи_исходные!G953)</f>
        <v>Завершен</v>
      </c>
      <c r="H953" s="4">
        <f>IFERROR(VLOOKUP(B953,Товары_очищенные!$A$1:$G$1000,6,FALSE),"нет в каталоге")</f>
        <v>20800</v>
      </c>
      <c r="I953" t="str">
        <f>IFERROR(VLOOKUP(B953,Товары_очищенные!$A$1:$G$1000,3,FALSE),"нет в каталоге")</f>
        <v>Наушники</v>
      </c>
      <c r="J953" t="str">
        <f t="shared" si="40"/>
        <v>OK</v>
      </c>
    </row>
    <row r="954">
      <c r="A954" s="8">
        <f>DATE(RIGHT(Продажи_исходные!A954,4),LEFT(Продажи_исходные!A954,2),MID(Продажи_исходные!A954,4,2))</f>
        <v>46148</v>
      </c>
      <c r="B954" t="str">
        <f>"АРТ-"&amp;LEFT(SUBSTITUTE(SUBSTITUTE(SUBSTITUTE(SUBSTITUTE(Продажи_исходные!B954,"№",""),"АРТ-",""),"АРТ_",""),"/","-"),3)</f>
        <v>АРТ-245</v>
      </c>
      <c r="C954" s="4">
        <f>IFERROR(VALUE(TRIM(SUBSTITUTE(SUBSTITUTE(SUBSTITUTE(SUBSTITUTE(Продажи_исходные!C954," шт.","")," шт",""),"шт.",""),"шт",""))),0)</f>
        <v>3</v>
      </c>
      <c r="D954" s="4">
        <f>IF(LEFT(Продажи_исходные!D954,1)="$",VALUE(MID(Продажи_исходные!D954,2,255))*95,IF(LEFT(Продажи_исходные!D954,1)="€",VALUE(MID(Продажи_исходные!D954,2,255))*100,VALUE(SUBSTITUTE(SUBSTITUTE(Продажи_исходные!D954,"₽","")," ",""))))</f>
        <v>9000</v>
      </c>
      <c r="E954" t="str">
        <f>Продажи_исходные!E954</f>
        <v>C0953</v>
      </c>
      <c r="F954" t="str">
        <f>Продажи_исходные!F954</f>
        <v>P023</v>
      </c>
      <c r="G954" t="str">
        <f>IFERROR(VLOOKUP(Продажи_исходные!G954,Справочники!$G$2:$H$50,2,FALSE),Продажи_исходные!G954)</f>
        <v>Возврат</v>
      </c>
      <c r="H954" s="4">
        <f>IFERROR(VLOOKUP(B954,Товары_очищенные!$A$1:$G$1000,6,FALSE),"нет в каталоге")</f>
        <v>75000</v>
      </c>
      <c r="I954" t="str">
        <f>IFERROR(VLOOKUP(B954,Товары_очищенные!$A$1:$G$1000,3,FALSE),"нет в каталоге")</f>
        <v>Мониторы</v>
      </c>
      <c r="J954" t="str">
        <f t="shared" si="40"/>
        <v>OK</v>
      </c>
    </row>
    <row r="955">
      <c r="A955" s="8">
        <f>DATE(RIGHT(Продажи_исходные!A955,4),LEFT(Продажи_исходные!A955,2),MID(Продажи_исходные!A955,4,2))</f>
        <v>46148</v>
      </c>
      <c r="B955" t="str">
        <f>"АРТ-"&amp;LEFT(SUBSTITUTE(SUBSTITUTE(SUBSTITUTE(SUBSTITUTE(Продажи_исходные!B955,"№",""),"АРТ-",""),"АРТ_",""),"/","-"),3)</f>
        <v>АРТ-289</v>
      </c>
      <c r="C955" s="4">
        <f>IFERROR(VALUE(TRIM(SUBSTITUTE(SUBSTITUTE(SUBSTITUTE(SUBSTITUTE(Продажи_исходные!C955," шт.","")," шт",""),"шт.",""),"шт",""))),0)</f>
        <v>2</v>
      </c>
      <c r="D955" s="4">
        <f>IF(LEFT(Продажи_исходные!D955,1)="$",VALUE(MID(Продажи_исходные!D955,2,255))*95,IF(LEFT(Продажи_исходные!D955,1)="€",VALUE(MID(Продажи_исходные!D955,2,255))*100,VALUE(SUBSTITUTE(SUBSTITUTE(Продажи_исходные!D955,"₽","")," ",""))))</f>
        <v>8000</v>
      </c>
      <c r="E955" t="str">
        <f>Продажи_исходные!E955</f>
        <v>C0954</v>
      </c>
      <c r="F955" t="str">
        <f>Продажи_исходные!F955</f>
        <v>P045</v>
      </c>
      <c r="G955" t="str">
        <f>IFERROR(VLOOKUP(Продажи_исходные!G955,Справочники!$G$2:$H$50,2,FALSE),Продажи_исходные!G955)</f>
        <v>Завершен</v>
      </c>
      <c r="H955" s="4">
        <f>IFERROR(VLOOKUP(B955,Товары_очищенные!$A$1:$G$1000,6,FALSE),"нет в каталоге")</f>
        <v>62990</v>
      </c>
      <c r="I955" t="str">
        <f>IFERROR(VLOOKUP(B955,Товары_очищенные!$A$1:$G$1000,3,FALSE),"нет в каталоге")</f>
        <v>Часы</v>
      </c>
      <c r="J955" t="str">
        <f t="shared" si="40"/>
        <v>OK</v>
      </c>
    </row>
    <row r="956">
      <c r="A956" s="8">
        <f>DATE(RIGHT(Продажи_исходные!A956,4),LEFT(Продажи_исходные!A956,2),MID(Продажи_исходные!A956,4,2))</f>
        <v>46149</v>
      </c>
      <c r="B956" t="str">
        <f>"АРТ-"&amp;LEFT(SUBSTITUTE(SUBSTITUTE(SUBSTITUTE(SUBSTITUTE(Продажи_исходные!B956,"№",""),"АРТ-",""),"АРТ_",""),"/","-"),3)</f>
        <v>АРТ-064</v>
      </c>
      <c r="C956" s="4">
        <f>IFERROR(VALUE(TRIM(SUBSTITUTE(SUBSTITUTE(SUBSTITUTE(SUBSTITUTE(Продажи_исходные!C956," шт.","")," шт",""),"шт.",""),"шт",""))),0)</f>
        <v>1</v>
      </c>
      <c r="D956" s="4">
        <f>IF(LEFT(Продажи_исходные!D956,1)="$",VALUE(MID(Продажи_исходные!D956,2,255))*95,IF(LEFT(Продажи_исходные!D956,1)="€",VALUE(MID(Продажи_исходные!D956,2,255))*100,VALUE(SUBSTITUTE(SUBSTITUTE(Продажи_исходные!D956,"₽","")," ",""))))</f>
        <v>9025</v>
      </c>
      <c r="E956" t="str">
        <f>Продажи_исходные!E956</f>
        <v>C0955</v>
      </c>
      <c r="F956" t="str">
        <f>Продажи_исходные!F956</f>
        <v>P008</v>
      </c>
      <c r="G956" t="str">
        <f>IFERROR(VLOOKUP(Продажи_исходные!G956,Справочники!$G$2:$H$50,2,FALSE),Продажи_исходные!G956)</f>
        <v>Завершен</v>
      </c>
      <c r="H956" s="4">
        <f>IFERROR(VLOOKUP(B956,Товары_очищенные!$A$1:$G$1000,6,FALSE),"нет в каталоге")</f>
        <v>56990</v>
      </c>
      <c r="I956" t="str">
        <f>IFERROR(VLOOKUP(B956,Товары_очищенные!$A$1:$G$1000,3,FALSE),"нет в каталоге")</f>
        <v>Смартфоны</v>
      </c>
      <c r="J956" t="str">
        <f t="shared" si="40"/>
        <v>OK</v>
      </c>
    </row>
    <row r="957">
      <c r="A957" s="8">
        <f>DATE(RIGHT(Продажи_исходные!A957,4),LEFT(Продажи_исходные!A957,2),MID(Продажи_исходные!A957,4,2))</f>
        <v>46149</v>
      </c>
      <c r="B957" t="str">
        <f>"АРТ-"&amp;LEFT(SUBSTITUTE(SUBSTITUTE(SUBSTITUTE(SUBSTITUTE(Продажи_исходные!B957,"№",""),"АРТ-",""),"АРТ_",""),"/","-"),3)</f>
        <v>АРТ-499</v>
      </c>
      <c r="C957" s="4">
        <f>IFERROR(VALUE(TRIM(SUBSTITUTE(SUBSTITUTE(SUBSTITUTE(SUBSTITUTE(Продажи_исходные!C957," шт.","")," шт",""),"шт.",""),"шт",""))),0)</f>
        <v>2</v>
      </c>
      <c r="D957" s="4">
        <f>IF(LEFT(Продажи_исходные!D957,1)="$",VALUE(MID(Продажи_исходные!D957,2,255))*95,IF(LEFT(Продажи_исходные!D957,1)="€",VALUE(MID(Продажи_исходные!D957,2,255))*100,VALUE(SUBSTITUTE(SUBSTITUTE(Продажи_исходные!D957,"₽","")," ",""))))</f>
        <v>7500</v>
      </c>
      <c r="E957" t="str">
        <f>Продажи_исходные!E957</f>
        <v>C0956</v>
      </c>
      <c r="F957" t="str">
        <f>Продажи_исходные!F957</f>
        <v>P031</v>
      </c>
      <c r="G957" t="str">
        <f>IFERROR(VLOOKUP(Продажи_исходные!G957,Справочники!$G$2:$H$50,2,FALSE),Продажи_исходные!G957)</f>
        <v>Завершен</v>
      </c>
      <c r="H957" s="4">
        <f>IFERROR(VLOOKUP(B957,Товары_очищенные!$A$1:$G$1000,6,FALSE),"нет в каталоге")</f>
        <v>5990</v>
      </c>
      <c r="I957" t="str">
        <f>IFERROR(VLOOKUP(B957,Товары_очищенные!$A$1:$G$1000,3,FALSE),"нет в каталоге")</f>
        <v>Аксессуары</v>
      </c>
      <c r="J957" t="str">
        <f t="shared" si="40"/>
        <v>OK</v>
      </c>
    </row>
    <row r="958">
      <c r="A958" s="8">
        <f>DATE(RIGHT(Продажи_исходные!A958,4),LEFT(Продажи_исходные!A958,2),MID(Продажи_исходные!A958,4,2))</f>
        <v>46150</v>
      </c>
      <c r="B958" t="str">
        <f>"АРТ-"&amp;LEFT(SUBSTITUTE(SUBSTITUTE(SUBSTITUTE(SUBSTITUTE(Продажи_исходные!B958,"№",""),"АРТ-",""),"АРТ_",""),"/","-"),3)</f>
        <v>АРТ-375</v>
      </c>
      <c r="C958" s="4">
        <f>IFERROR(VALUE(TRIM(SUBSTITUTE(SUBSTITUTE(SUBSTITUTE(SUBSTITUTE(Продажи_исходные!C958," шт.","")," шт",""),"шт.",""),"шт",""))),0)</f>
        <v>3</v>
      </c>
      <c r="D958" s="4">
        <f>IF(LEFT(Продажи_исходные!D958,1)="$",VALUE(MID(Продажи_исходные!D958,2,255))*95,IF(LEFT(Продажи_исходные!D958,1)="€",VALUE(MID(Продажи_исходные!D958,2,255))*100,VALUE(SUBSTITUTE(SUBSTITUTE(Продажи_исходные!D958,"₽","")," ",""))))</f>
        <v>7000</v>
      </c>
      <c r="E958" t="str">
        <f>Продажи_исходные!E958</f>
        <v>C0957</v>
      </c>
      <c r="F958" t="str">
        <f>Продажи_исходные!F958</f>
        <v>P019</v>
      </c>
      <c r="G958" t="str">
        <f>IFERROR(VLOOKUP(Продажи_исходные!G958,Справочники!$G$2:$H$50,2,FALSE),Продажи_исходные!G958)</f>
        <v>Отменен</v>
      </c>
      <c r="H958" s="4">
        <f>IFERROR(VLOOKUP(B958,Товары_очищенные!$A$1:$G$1000,6,FALSE),"нет в каталоге")</f>
        <v>14800</v>
      </c>
      <c r="I958" t="str">
        <f>IFERROR(VLOOKUP(B958,Товары_очищенные!$A$1:$G$1000,3,FALSE),"нет в каталоге")</f>
        <v>Аксессуары</v>
      </c>
      <c r="J958" t="str">
        <f t="shared" si="40"/>
        <v>OK</v>
      </c>
    </row>
    <row r="959">
      <c r="A959" s="8">
        <f>DATE(RIGHT(Продажи_исходные!A959,4),LEFT(Продажи_исходные!A959,2),MID(Продажи_исходные!A959,4,2))</f>
        <v>46150</v>
      </c>
      <c r="B959" t="str">
        <f>"АРТ-"&amp;LEFT(SUBSTITUTE(SUBSTITUTE(SUBSTITUTE(SUBSTITUTE(Продажи_исходные!B959,"№",""),"АРТ-",""),"АРТ_",""),"/","-"),3)</f>
        <v>АРТ-295</v>
      </c>
      <c r="C959" s="4">
        <f>IFERROR(VALUE(TRIM(SUBSTITUTE(SUBSTITUTE(SUBSTITUTE(SUBSTITUTE(Продажи_исходные!C959," шт.","")," шт",""),"шт.",""),"шт",""))),0)</f>
        <v>-2</v>
      </c>
      <c r="D959" s="4">
        <f>IF(LEFT(Продажи_исходные!D959,1)="$",VALUE(MID(Продажи_исходные!D959,2,255))*95,IF(LEFT(Продажи_исходные!D959,1)="€",VALUE(MID(Продажи_исходные!D959,2,255))*100,VALUE(SUBSTITUTE(SUBSTITUTE(Продажи_исходные!D959,"₽","")," ",""))))</f>
        <v>10925</v>
      </c>
      <c r="E959" t="str">
        <f>Продажи_исходные!E959</f>
        <v>C0958</v>
      </c>
      <c r="F959" t="str">
        <f>Продажи_исходные!F959</f>
        <v>P042</v>
      </c>
      <c r="G959" t="str">
        <f>IFERROR(VLOOKUP(Продажи_исходные!G959,Справочники!$G$2:$H$50,2,FALSE),Продажи_исходные!G959)</f>
        <v>Отменен</v>
      </c>
      <c r="H959" s="4">
        <f>IFERROR(VLOOKUP(B959,Товары_очищенные!$A$1:$G$1000,6,FALSE),"нет в каталоге")</f>
        <v>34990</v>
      </c>
      <c r="I959" t="str">
        <f>IFERROR(VLOOKUP(B959,Товары_очищенные!$A$1:$G$1000,3,FALSE),"нет в каталоге")</f>
        <v>Смартфоны</v>
      </c>
      <c r="J959" t="str">
        <f t="shared" si="40"/>
        <v>OK</v>
      </c>
    </row>
    <row r="960">
      <c r="A960" s="8">
        <f>DATE(RIGHT(Продажи_исходные!A960,4),LEFT(Продажи_исходные!A960,2),MID(Продажи_исходные!A960,4,2))</f>
        <v>46151</v>
      </c>
      <c r="B960" t="str">
        <f>"АРТ-"&amp;LEFT(SUBSTITUTE(SUBSTITUTE(SUBSTITUTE(SUBSTITUTE(Продажи_исходные!B960,"№",""),"АРТ-",""),"АРТ_",""),"/","-"),3)</f>
        <v>АРТ-309</v>
      </c>
      <c r="C960" s="4">
        <f>IFERROR(VALUE(TRIM(SUBSTITUTE(SUBSTITUTE(SUBSTITUTE(SUBSTITUTE(Продажи_исходные!C960," шт.","")," шт",""),"шт.",""),"шт",""))),0)</f>
        <v>1</v>
      </c>
      <c r="D960" s="4">
        <f>IF(LEFT(Продажи_исходные!D960,1)="$",VALUE(MID(Продажи_исходные!D960,2,255))*95,IF(LEFT(Продажи_исходные!D960,1)="€",VALUE(MID(Продажи_исходные!D960,2,255))*100,VALUE(SUBSTITUTE(SUBSTITUTE(Продажи_исходные!D960,"₽","")," ",""))))</f>
        <v>9500</v>
      </c>
      <c r="E960" t="str">
        <f>Продажи_исходные!E960</f>
        <v>C0959</v>
      </c>
      <c r="F960" t="str">
        <f>Продажи_исходные!F960</f>
        <v>P005</v>
      </c>
      <c r="G960" t="str">
        <f>IFERROR(VLOOKUP(Продажи_исходные!G960,Справочники!$G$2:$H$50,2,FALSE),Продажи_исходные!G960)</f>
        <v>Возврат</v>
      </c>
      <c r="H960" s="4">
        <f>IFERROR(VLOOKUP(B960,Товары_очищенные!$A$1:$G$1000,6,FALSE),"нет в каталоге")</f>
        <v>9800</v>
      </c>
      <c r="I960" t="str">
        <f>IFERROR(VLOOKUP(B960,Товары_очищенные!$A$1:$G$1000,3,FALSE),"нет в каталоге")</f>
        <v>Аксессуары</v>
      </c>
      <c r="J960" t="str">
        <f t="shared" si="40"/>
        <v>OK</v>
      </c>
    </row>
    <row r="961">
      <c r="A961" s="8">
        <f>DATE(RIGHT(Продажи_исходные!A961,4),LEFT(Продажи_исходные!A961,2),MID(Продажи_исходные!A961,4,2))</f>
        <v>46151</v>
      </c>
      <c r="B961" t="str">
        <f>"АРТ-"&amp;LEFT(SUBSTITUTE(SUBSTITUTE(SUBSTITUTE(SUBSTITUTE(Продажи_исходные!B961,"№",""),"АРТ-",""),"АРТ_",""),"/","-"),3)</f>
        <v>АРТ-132</v>
      </c>
      <c r="C961" s="4">
        <f>IFERROR(VALUE(TRIM(SUBSTITUTE(SUBSTITUTE(SUBSTITUTE(SUBSTITUTE(Продажи_исходные!C961," шт.","")," шт",""),"шт.",""),"шт",""))),0)</f>
        <v>2</v>
      </c>
      <c r="D961" s="4">
        <f>IF(LEFT(Продажи_исходные!D961,1)="$",VALUE(MID(Продажи_исходные!D961,2,255))*95,IF(LEFT(Продажи_исходные!D961,1)="€",VALUE(MID(Продажи_исходные!D961,2,255))*100,VALUE(SUBSTITUTE(SUBSTITUTE(Продажи_исходные!D961,"₽","")," ",""))))</f>
        <v>8500</v>
      </c>
      <c r="E961" t="str">
        <f>Продажи_исходные!E961</f>
        <v>C0960</v>
      </c>
      <c r="F961" t="str">
        <f>Продажи_исходные!F961</f>
        <v>P036</v>
      </c>
      <c r="G961" t="str">
        <f>IFERROR(VLOOKUP(Продажи_исходные!G961,Справочники!$G$2:$H$50,2,FALSE),Продажи_исходные!G961)</f>
        <v>Завершен</v>
      </c>
      <c r="H961" s="4">
        <f>IFERROR(VLOOKUP(B961,Товары_очищенные!$A$1:$G$1000,6,FALSE),"нет в каталоге")</f>
        <v>44500</v>
      </c>
      <c r="I961" t="str">
        <f>IFERROR(VLOOKUP(B961,Товары_очищенные!$A$1:$G$1000,3,FALSE),"нет в каталоге")</f>
        <v>Планшеты</v>
      </c>
      <c r="J961" t="str">
        <f t="shared" si="40"/>
        <v>OK</v>
      </c>
    </row>
    <row r="962">
      <c r="A962" s="8">
        <f>DATE(RIGHT(Продажи_исходные!A962,4),LEFT(Продажи_исходные!A962,2),MID(Продажи_исходные!A962,4,2))</f>
        <v>46152</v>
      </c>
      <c r="B962" t="str">
        <f>"АРТ-"&amp;LEFT(SUBSTITUTE(SUBSTITUTE(SUBSTITUTE(SUBSTITUTE(Продажи_исходные!B962,"№",""),"АРТ-",""),"АРТ_",""),"/","-"),3)</f>
        <v>АРТ-076</v>
      </c>
      <c r="C962" s="4">
        <f>IFERROR(VALUE(TRIM(SUBSTITUTE(SUBSTITUTE(SUBSTITUTE(SUBSTITUTE(Продажи_исходные!C962," шт.","")," шт",""),"шт.",""),"шт",""))),0)</f>
        <v>3</v>
      </c>
      <c r="D962" s="4">
        <f>IF(LEFT(Продажи_исходные!D962,1)="$",VALUE(MID(Продажи_исходные!D962,2,255))*95,IF(LEFT(Продажи_исходные!D962,1)="€",VALUE(MID(Продажи_исходные!D962,2,255))*100,VALUE(SUBSTITUTE(SUBSTITUTE(Продажи_исходные!D962,"₽","")," ",""))))</f>
        <v>9975</v>
      </c>
      <c r="E962" t="str">
        <f>Продажи_исходные!E962</f>
        <v>C0961</v>
      </c>
      <c r="F962" t="str">
        <f>Продажи_исходные!F962</f>
        <v>P014</v>
      </c>
      <c r="G962" t="str">
        <f>IFERROR(VLOOKUP(Продажи_исходные!G962,Справочники!$G$2:$H$50,2,FALSE),Продажи_исходные!G962)</f>
        <v>Завершен</v>
      </c>
      <c r="H962" s="4">
        <f>IFERROR(VLOOKUP(B962,Товары_очищенные!$A$1:$G$1000,6,FALSE),"нет в каталоге")</f>
        <v>12990</v>
      </c>
      <c r="I962" t="str">
        <f>IFERROR(VLOOKUP(B962,Товары_очищенные!$A$1:$G$1000,3,FALSE),"нет в каталоге")</f>
        <v>Аксессуары</v>
      </c>
      <c r="J962" t="str">
        <f t="shared" si="40"/>
        <v>OK</v>
      </c>
    </row>
    <row r="963">
      <c r="A963" s="8">
        <f>DATE(RIGHT(Продажи_исходные!A963,4),LEFT(Продажи_исходные!A963,2),MID(Продажи_исходные!A963,4,2))</f>
        <v>46152</v>
      </c>
      <c r="B963" t="str">
        <f>"АРТ-"&amp;LEFT(SUBSTITUTE(SUBSTITUTE(SUBSTITUTE(SUBSTITUTE(Продажи_исходные!B963,"№",""),"АРТ-",""),"АРТ_",""),"/","-"),3)</f>
        <v>АРТ-454</v>
      </c>
      <c r="C963" s="4">
        <f>IFERROR(VALUE(TRIM(SUBSTITUTE(SUBSTITUTE(SUBSTITUTE(SUBSTITUTE(Продажи_исходные!C963," шт.","")," шт",""),"шт.",""),"шт",""))),0)</f>
        <v>2</v>
      </c>
      <c r="D963" s="4">
        <f>IF(LEFT(Продажи_исходные!D963,1)="$",VALUE(MID(Продажи_исходные!D963,2,255))*95,IF(LEFT(Продажи_исходные!D963,1)="€",VALUE(MID(Продажи_исходные!D963,2,255))*100,VALUE(SUBSTITUTE(SUBSTITUTE(Продажи_исходные!D963,"₽","")," ",""))))</f>
        <v>8500</v>
      </c>
      <c r="E963" t="str">
        <f>Продажи_исходные!E963</f>
        <v>C0962</v>
      </c>
      <c r="F963" t="str">
        <f>Продажи_исходные!F963</f>
        <v>P028</v>
      </c>
      <c r="G963" t="str">
        <f>IFERROR(VLOOKUP(Продажи_исходные!G963,Справочники!$G$2:$H$50,2,FALSE),Продажи_исходные!G963)</f>
        <v>Завершен</v>
      </c>
      <c r="H963" s="4">
        <f>IFERROR(VLOOKUP(B963,Товары_очищенные!$A$1:$G$1000,6,FALSE),"нет в каталоге")</f>
        <v>74990</v>
      </c>
      <c r="I963" t="str">
        <f>IFERROR(VLOOKUP(B963,Товары_очищенные!$A$1:$G$1000,3,FALSE),"нет в каталоге")</f>
        <v>Мониторы</v>
      </c>
      <c r="J963" t="str">
        <f t="shared" si="40"/>
        <v>OK</v>
      </c>
    </row>
    <row r="964">
      <c r="A964" s="8">
        <f>DATE(RIGHT(Продажи_исходные!A964,4),LEFT(Продажи_исходные!A964,2),MID(Продажи_исходные!A964,4,2))</f>
        <v>46153</v>
      </c>
      <c r="B964" t="str">
        <f>"АРТ-"&amp;LEFT(SUBSTITUTE(SUBSTITUTE(SUBSTITUTE(SUBSTITUTE(Продажи_исходные!B964,"№",""),"АРТ-",""),"АРТ_",""),"/","-"),3)</f>
        <v>АРТ-330</v>
      </c>
      <c r="C964" s="4">
        <f>IFERROR(VALUE(TRIM(SUBSTITUTE(SUBSTITUTE(SUBSTITUTE(SUBSTITUTE(Продажи_исходные!C964," шт.","")," шт",""),"шт.",""),"шт",""))),0)</f>
        <v>1</v>
      </c>
      <c r="D964" s="4">
        <f>IF(LEFT(Продажи_исходные!D964,1)="$",VALUE(MID(Продажи_исходные!D964,2,255))*95,IF(LEFT(Продажи_исходные!D964,1)="€",VALUE(MID(Продажи_исходные!D964,2,255))*100,VALUE(SUBSTITUTE(SUBSTITUTE(Продажи_исходные!D964,"₽","")," ",""))))</f>
        <v>7800</v>
      </c>
      <c r="E964" t="str">
        <f>Продажи_исходные!E964</f>
        <v>C0963</v>
      </c>
      <c r="F964" t="str">
        <f>Продажи_исходные!F964</f>
        <v>P009</v>
      </c>
      <c r="G964" t="str">
        <f>IFERROR(VLOOKUP(Продажи_исходные!G964,Справочники!$G$2:$H$50,2,FALSE),Продажи_исходные!G964)</f>
        <v>Отменен</v>
      </c>
      <c r="H964" s="4">
        <f>IFERROR(VLOOKUP(B964,Товары_очищенные!$A$1:$G$1000,6,FALSE),"нет в каталоге")</f>
        <v>12800</v>
      </c>
      <c r="I964" t="str">
        <f>IFERROR(VLOOKUP(B964,Товары_очищенные!$A$1:$G$1000,3,FALSE),"нет в каталоге")</f>
        <v>Аксессуары</v>
      </c>
      <c r="J964" t="str">
        <f t="shared" si="40"/>
        <v>OK</v>
      </c>
    </row>
    <row r="965">
      <c r="A965" s="8">
        <f>DATE(RIGHT(Продажи_исходные!A965,4),LEFT(Продажи_исходные!A965,2),MID(Продажи_исходные!A965,4,2))</f>
        <v>46153</v>
      </c>
      <c r="B965" t="str">
        <f>"АРТ-"&amp;LEFT(SUBSTITUTE(SUBSTITUTE(SUBSTITUTE(SUBSTITUTE(Продажи_исходные!B965,"№",""),"АРТ-",""),"АРТ_",""),"/","-"),3)</f>
        <v>АРТ-346</v>
      </c>
      <c r="C965" s="4">
        <f>IFERROR(VALUE(TRIM(SUBSTITUTE(SUBSTITUTE(SUBSTITUTE(SUBSTITUTE(Продажи_исходные!C965," шт.","")," шт",""),"шт.",""),"шт",""))),0)</f>
        <v>-3</v>
      </c>
      <c r="D965" s="4">
        <f>IF(LEFT(Продажи_исходные!D965,1)="$",VALUE(MID(Продажи_исходные!D965,2,255))*95,IF(LEFT(Продажи_исходные!D965,1)="€",VALUE(MID(Продажи_исходные!D965,2,255))*100,VALUE(SUBSTITUTE(SUBSTITUTE(Продажи_исходные!D965,"₽","")," ",""))))</f>
        <v>11400</v>
      </c>
      <c r="E965" t="str">
        <f>Продажи_исходные!E965</f>
        <v>C0964</v>
      </c>
      <c r="F965" t="str">
        <f>Продажи_исходные!F965</f>
        <v>P041</v>
      </c>
      <c r="G965" t="str">
        <f>IFERROR(VLOOKUP(Продажи_исходные!G965,Справочники!$G$2:$H$50,2,FALSE),Продажи_исходные!G965)</f>
        <v>Отменен</v>
      </c>
      <c r="H965" s="4">
        <f>IFERROR(VLOOKUP(B965,Товары_очищенные!$A$1:$G$1000,6,FALSE),"нет в каталоге")</f>
        <v>19990</v>
      </c>
      <c r="I965" t="str">
        <f>IFERROR(VLOOKUP(B965,Товары_очищенные!$A$1:$G$1000,3,FALSE),"нет в каталоге")</f>
        <v>Наушники</v>
      </c>
      <c r="J965" t="str">
        <f t="shared" si="40"/>
        <v>OK</v>
      </c>
    </row>
    <row r="966">
      <c r="A966" s="8">
        <f>DATE(RIGHT(Продажи_исходные!A966,4),LEFT(Продажи_исходные!A966,2),MID(Продажи_исходные!A966,4,2))</f>
        <v>46154</v>
      </c>
      <c r="B966" t="str">
        <f>"АРТ-"&amp;LEFT(SUBSTITUTE(SUBSTITUTE(SUBSTITUTE(SUBSTITUTE(Продажи_исходные!B966,"№",""),"АРТ-",""),"АРТ_",""),"/","-"),3)</f>
        <v>АРТ-263</v>
      </c>
      <c r="C966" s="4">
        <f>IFERROR(VALUE(TRIM(SUBSTITUTE(SUBSTITUTE(SUBSTITUTE(SUBSTITUTE(Продажи_исходные!C966," шт.","")," шт",""),"шт.",""),"шт",""))),0)</f>
        <v>2</v>
      </c>
      <c r="D966" s="4">
        <f>IF(LEFT(Продажи_исходные!D966,1)="$",VALUE(MID(Продажи_исходные!D966,2,255))*95,IF(LEFT(Продажи_исходные!D966,1)="€",VALUE(MID(Продажи_исходные!D966,2,255))*100,VALUE(SUBSTITUTE(SUBSTITUTE(Продажи_исходные!D966,"₽","")," ",""))))</f>
        <v>10000</v>
      </c>
      <c r="E966" t="str">
        <f>Продажи_исходные!E966</f>
        <v>C0965</v>
      </c>
      <c r="F966" t="str">
        <f>Продажи_исходные!F966</f>
        <v>P017</v>
      </c>
      <c r="G966" t="str">
        <f>IFERROR(VLOOKUP(Продажи_исходные!G966,Справочники!$G$2:$H$50,2,FALSE),Продажи_исходные!G966)</f>
        <v>Завершен</v>
      </c>
      <c r="H966" s="4">
        <f>IFERROR(VLOOKUP(B966,Товары_очищенные!$A$1:$G$1000,6,FALSE),"нет в каталоге")</f>
        <v>11000</v>
      </c>
      <c r="I966" t="str">
        <f>IFERROR(VLOOKUP(B966,Товары_очищенные!$A$1:$G$1000,3,FALSE),"нет в каталоге")</f>
        <v>Наушники</v>
      </c>
      <c r="J966" t="str">
        <f t="shared" si="40"/>
        <v>OK</v>
      </c>
    </row>
    <row r="967">
      <c r="A967" s="8">
        <f>DATE(RIGHT(Продажи_исходные!A967,4),LEFT(Продажи_исходные!A967,2),MID(Продажи_исходные!A967,4,2))</f>
        <v>46154</v>
      </c>
      <c r="B967" t="str">
        <f>"АРТ-"&amp;LEFT(SUBSTITUTE(SUBSTITUTE(SUBSTITUTE(SUBSTITUTE(Продажи_исходные!B967,"№",""),"АРТ-",""),"АРТ_",""),"/","-"),3)</f>
        <v>АРТ-222</v>
      </c>
      <c r="C967" s="4">
        <f>IFERROR(VALUE(TRIM(SUBSTITUTE(SUBSTITUTE(SUBSTITUTE(SUBSTITUTE(Продажи_исходные!C967," шт.","")," шт",""),"шт.",""),"шт",""))),0)</f>
        <v>1</v>
      </c>
      <c r="D967" s="4">
        <f>IF(LEFT(Продажи_исходные!D967,1)="$",VALUE(MID(Продажи_исходные!D967,2,255))*95,IF(LEFT(Продажи_исходные!D967,1)="€",VALUE(MID(Продажи_исходные!D967,2,255))*100,VALUE(SUBSTITUTE(SUBSTITUTE(Продажи_исходные!D967,"₽","")," ",""))))</f>
        <v>9200</v>
      </c>
      <c r="E967" t="str">
        <f>Продажи_исходные!E967</f>
        <v>C0966</v>
      </c>
      <c r="F967" t="str">
        <f>Продажи_исходные!F967</f>
        <v>P032</v>
      </c>
      <c r="G967" t="str">
        <f>IFERROR(VLOOKUP(Продажи_исходные!G967,Справочники!$G$2:$H$50,2,FALSE),Продажи_исходные!G967)</f>
        <v>Возврат</v>
      </c>
      <c r="H967" s="4">
        <f>IFERROR(VLOOKUP(B967,Товары_очищенные!$A$1:$G$1000,6,FALSE),"нет в каталоге")</f>
        <v>26000</v>
      </c>
      <c r="I967" t="str">
        <f>IFERROR(VLOOKUP(B967,Товары_очищенные!$A$1:$G$1000,3,FALSE),"нет в каталоге")</f>
        <v>Наушники</v>
      </c>
      <c r="J967" t="str">
        <f t="shared" si="40"/>
        <v>OK</v>
      </c>
    </row>
    <row r="968">
      <c r="A968" s="8">
        <f>DATE(RIGHT(Продажи_исходные!A968,4),LEFT(Продажи_исходные!A968,2),MID(Продажи_исходные!A968,4,2))</f>
        <v>46155</v>
      </c>
      <c r="B968" t="str">
        <f>"АРТ-"&amp;LEFT(SUBSTITUTE(SUBSTITUTE(SUBSTITUTE(SUBSTITUTE(Продажи_исходные!B968,"№",""),"АРТ-",""),"АРТ_",""),"/","-"),3)</f>
        <v>АРТ-083</v>
      </c>
      <c r="C968" s="4">
        <f>IFERROR(VALUE(TRIM(SUBSTITUTE(SUBSTITUTE(SUBSTITUTE(SUBSTITUTE(Продажи_исходные!C968," шт.","")," шт",""),"шт.",""),"шт",""))),0)</f>
        <v>3</v>
      </c>
      <c r="D968" s="4">
        <f>IF(LEFT(Продажи_исходные!D968,1)="$",VALUE(MID(Продажи_исходные!D968,2,255))*95,IF(LEFT(Продажи_исходные!D968,1)="€",VALUE(MID(Продажи_исходные!D968,2,255))*100,VALUE(SUBSTITUTE(SUBSTITUTE(Продажи_исходные!D968,"₽","")," ",""))))</f>
        <v>8550</v>
      </c>
      <c r="E968" t="str">
        <f>Продажи_исходные!E968</f>
        <v>C0967</v>
      </c>
      <c r="F968" t="str">
        <f>Продажи_исходные!F968</f>
        <v>P049</v>
      </c>
      <c r="G968" t="str">
        <f>IFERROR(VLOOKUP(Продажи_исходные!G968,Справочники!$G$2:$H$50,2,FALSE),Продажи_исходные!G968)</f>
        <v>Завершен</v>
      </c>
      <c r="H968" s="4">
        <f>IFERROR(VLOOKUP(B968,Товары_очищенные!$A$1:$G$1000,6,FALSE),"нет в каталоге")</f>
        <v>38500</v>
      </c>
      <c r="I968" t="str">
        <f>IFERROR(VLOOKUP(B968,Товары_очищенные!$A$1:$G$1000,3,FALSE),"нет в каталоге")</f>
        <v>Часы</v>
      </c>
      <c r="J968" t="str">
        <f t="shared" si="40"/>
        <v>OK</v>
      </c>
    </row>
    <row r="969">
      <c r="A969" s="8">
        <f>DATE(RIGHT(Продажи_исходные!A969,4),LEFT(Продажи_исходные!A969,2),MID(Продажи_исходные!A969,4,2))</f>
        <v>46155</v>
      </c>
      <c r="B969" t="str">
        <f>"АРТ-"&amp;LEFT(SUBSTITUTE(SUBSTITUTE(SUBSTITUTE(SUBSTITUTE(Продажи_исходные!B969,"№",""),"АРТ-",""),"АРТ_",""),"/","-"),3)</f>
        <v>АРТ-410</v>
      </c>
      <c r="C969" s="4">
        <f>IFERROR(VALUE(TRIM(SUBSTITUTE(SUBSTITUTE(SUBSTITUTE(SUBSTITUTE(Продажи_исходные!C969," шт.","")," шт",""),"шт.",""),"шт",""))),0)</f>
        <v>2</v>
      </c>
      <c r="D969" s="4">
        <f>IF(LEFT(Продажи_исходные!D969,1)="$",VALUE(MID(Продажи_исходные!D969,2,255))*95,IF(LEFT(Продажи_исходные!D969,1)="€",VALUE(MID(Продажи_исходные!D969,2,255))*100,VALUE(SUBSTITUTE(SUBSTITUTE(Продажи_исходные!D969,"₽","")," ",""))))</f>
        <v>7000</v>
      </c>
      <c r="E969" t="str">
        <f>Продажи_исходные!E969</f>
        <v>C0968</v>
      </c>
      <c r="F969" t="str">
        <f>Продажи_исходные!F969</f>
        <v>P006</v>
      </c>
      <c r="G969" t="str">
        <f>IFERROR(VLOOKUP(Продажи_исходные!G969,Справочники!$G$2:$H$50,2,FALSE),Продажи_исходные!G969)</f>
        <v>Завершен</v>
      </c>
      <c r="H969" s="4">
        <f>IFERROR(VLOOKUP(B969,Товары_очищенные!$A$1:$G$1000,6,FALSE),"нет в каталоге")</f>
        <v>38500</v>
      </c>
      <c r="I969" t="str">
        <f>IFERROR(VLOOKUP(B969,Товары_очищенные!$A$1:$G$1000,3,FALSE),"нет в каталоге")</f>
        <v>Наушники</v>
      </c>
      <c r="J969" t="str">
        <f t="shared" si="40"/>
        <v>OK</v>
      </c>
    </row>
    <row r="970">
      <c r="A970" s="8">
        <f>DATE(RIGHT(Продажи_исходные!A970,4),LEFT(Продажи_исходные!A970,2),MID(Продажи_исходные!A970,4,2))</f>
        <v>46156</v>
      </c>
      <c r="B970" t="str">
        <f>"АРТ-"&amp;LEFT(SUBSTITUTE(SUBSTITUTE(SUBSTITUTE(SUBSTITUTE(Продажи_исходные!B970,"№",""),"АРТ-",""),"АРТ_",""),"/","-"),3)</f>
        <v>АРТ-312</v>
      </c>
      <c r="C970" s="4">
        <f>IFERROR(VALUE(TRIM(SUBSTITUTE(SUBSTITUTE(SUBSTITUTE(SUBSTITUTE(Продажи_исходные!C970," шт.","")," шт",""),"шт.",""),"шт",""))),0)</f>
        <v>1</v>
      </c>
      <c r="D970" s="4">
        <f>IF(LEFT(Продажи_исходные!D970,1)="$",VALUE(MID(Продажи_исходные!D970,2,255))*95,IF(LEFT(Продажи_исходные!D970,1)="€",VALUE(MID(Продажи_исходные!D970,2,255))*100,VALUE(SUBSTITUTE(SUBSTITUTE(Продажи_исходные!D970,"₽","")," ",""))))</f>
        <v>6500</v>
      </c>
      <c r="E970" t="str">
        <f>Продажи_исходные!E970</f>
        <v>C0969</v>
      </c>
      <c r="F970" t="str">
        <f>Продажи_исходные!F970</f>
        <v>P024</v>
      </c>
      <c r="G970" t="str">
        <f>IFERROR(VLOOKUP(Продажи_исходные!G970,Справочники!$G$2:$H$50,2,FALSE),Продажи_исходные!G970)</f>
        <v>Завершен</v>
      </c>
      <c r="H970" s="4">
        <f>IFERROR(VLOOKUP(B970,Товары_очищенные!$A$1:$G$1000,6,FALSE),"нет в каталоге")</f>
        <v>67000</v>
      </c>
      <c r="I970" t="str">
        <f>IFERROR(VLOOKUP(B970,Товары_очищенные!$A$1:$G$1000,3,FALSE),"нет в каталоге")</f>
        <v>Планшеты</v>
      </c>
      <c r="J970" t="str">
        <f t="shared" si="40"/>
        <v>OK</v>
      </c>
    </row>
    <row r="971">
      <c r="A971" s="8">
        <f>DATE(RIGHT(Продажи_исходные!A971,4),LEFT(Продажи_исходные!A971,2),MID(Продажи_исходные!A971,4,2))</f>
        <v>46156</v>
      </c>
      <c r="B971" t="str">
        <f>"АРТ-"&amp;LEFT(SUBSTITUTE(SUBSTITUTE(SUBSTITUTE(SUBSTITUTE(Продажи_исходные!B971,"№",""),"АРТ-",""),"АРТ_",""),"/","-"),3)</f>
        <v>АРТ-344</v>
      </c>
      <c r="C971" s="4">
        <f>IFERROR(VALUE(TRIM(SUBSTITUTE(SUBSTITUTE(SUBSTITUTE(SUBSTITUTE(Продажи_исходные!C971," шт.","")," шт",""),"шт.",""),"шт",""))),0)</f>
        <v>-1</v>
      </c>
      <c r="D971" s="4">
        <f>IF(LEFT(Продажи_исходные!D971,1)="$",VALUE(MID(Продажи_исходные!D971,2,255))*95,IF(LEFT(Продажи_исходные!D971,1)="€",VALUE(MID(Продажи_исходные!D971,2,255))*100,VALUE(SUBSTITUTE(SUBSTITUTE(Продажи_исходные!D971,"₽","")," ",""))))</f>
        <v>10450</v>
      </c>
      <c r="E971" t="str">
        <f>Продажи_исходные!E971</f>
        <v>C0970</v>
      </c>
      <c r="F971" t="str">
        <f>Продажи_исходные!F971</f>
        <v>P015</v>
      </c>
      <c r="G971" t="str">
        <f>IFERROR(VLOOKUP(Продажи_исходные!G971,Справочники!$G$2:$H$50,2,FALSE),Продажи_исходные!G971)</f>
        <v>Отменен</v>
      </c>
      <c r="H971" s="4">
        <f>IFERROR(VLOOKUP(B971,Товары_очищенные!$A$1:$G$1000,6,FALSE),"нет в каталоге")</f>
        <v>82000</v>
      </c>
      <c r="I971" t="str">
        <f>IFERROR(VLOOKUP(B971,Товары_очищенные!$A$1:$G$1000,3,FALSE),"нет в каталоге")</f>
        <v>Телевизоры</v>
      </c>
      <c r="J971" t="str">
        <f t="shared" si="40"/>
        <v>OK</v>
      </c>
    </row>
    <row r="972">
      <c r="A972" s="8">
        <f>DATE(RIGHT(Продажи_исходные!A972,4),LEFT(Продажи_исходные!A972,2),MID(Продажи_исходные!A972,4,2))</f>
        <v>46157</v>
      </c>
      <c r="B972" t="str">
        <f>"АРТ-"&amp;LEFT(SUBSTITUTE(SUBSTITUTE(SUBSTITUTE(SUBSTITUTE(Продажи_исходные!B972,"№",""),"АРТ-",""),"АРТ_",""),"/","-"),3)</f>
        <v>АРТ-371</v>
      </c>
      <c r="C972" s="4">
        <f>IFERROR(VALUE(TRIM(SUBSTITUTE(SUBSTITUTE(SUBSTITUTE(SUBSTITUTE(Продажи_исходные!C972," шт.","")," шт",""),"шт.",""),"шт",""))),0)</f>
        <v>3</v>
      </c>
      <c r="D972" s="4">
        <f>IF(LEFT(Продажи_исходные!D972,1)="$",VALUE(MID(Продажи_исходные!D972,2,255))*95,IF(LEFT(Продажи_исходные!D972,1)="€",VALUE(MID(Продажи_исходные!D972,2,255))*100,VALUE(SUBSTITUTE(SUBSTITUTE(Продажи_исходные!D972,"₽","")," ",""))))</f>
        <v>9000</v>
      </c>
      <c r="E972" t="str">
        <f>Продажи_исходные!E972</f>
        <v>C0971</v>
      </c>
      <c r="F972" t="str">
        <f>Продажи_исходные!F972</f>
        <v>P037</v>
      </c>
      <c r="G972" t="str">
        <f>IFERROR(VLOOKUP(Продажи_исходные!G972,Справочники!$G$2:$H$50,2,FALSE),Продажи_исходные!G972)</f>
        <v>Отменен</v>
      </c>
      <c r="H972" s="4">
        <f>IFERROR(VLOOKUP(B972,Товары_очищенные!$A$1:$G$1000,6,FALSE),"нет в каталоге")</f>
        <v>48000</v>
      </c>
      <c r="I972" t="str">
        <f>IFERROR(VLOOKUP(B972,Товары_очищенные!$A$1:$G$1000,3,FALSE),"нет в каталоге")</f>
        <v>Мониторы</v>
      </c>
      <c r="J972" t="str">
        <f t="shared" si="40"/>
        <v>OK</v>
      </c>
    </row>
    <row r="973">
      <c r="A973" s="8">
        <f>DATE(RIGHT(Продажи_исходные!A973,4),LEFT(Продажи_исходные!A973,2),MID(Продажи_исходные!A973,4,2))</f>
        <v>46157</v>
      </c>
      <c r="B973" t="str">
        <f>"АРТ-"&amp;LEFT(SUBSTITUTE(SUBSTITUTE(SUBSTITUTE(SUBSTITUTE(Продажи_исходные!B973,"№",""),"АРТ-",""),"АРТ_",""),"/","-"),3)</f>
        <v>АРТ-154</v>
      </c>
      <c r="C973" s="4">
        <f>IFERROR(VALUE(TRIM(SUBSTITUTE(SUBSTITUTE(SUBSTITUTE(SUBSTITUTE(Продажи_исходные!C973," шт.","")," шт",""),"шт.",""),"шт",""))),0)</f>
        <v>2</v>
      </c>
      <c r="D973" s="4">
        <f>IF(LEFT(Продажи_исходные!D973,1)="$",VALUE(MID(Продажи_исходные!D973,2,255))*95,IF(LEFT(Продажи_исходные!D973,1)="€",VALUE(MID(Продажи_исходные!D973,2,255))*100,VALUE(SUBSTITUTE(SUBSTITUTE(Продажи_исходные!D973,"₽","")," ",""))))</f>
        <v>8000</v>
      </c>
      <c r="E973" t="str">
        <f>Продажи_исходные!E973</f>
        <v>C0972</v>
      </c>
      <c r="F973" t="str">
        <f>Продажи_исходные!F973</f>
        <v>P048</v>
      </c>
      <c r="G973" t="str">
        <f>IFERROR(VLOOKUP(Продажи_исходные!G973,Справочники!$G$2:$H$50,2,FALSE),Продажи_исходные!G973)</f>
        <v>Возврат</v>
      </c>
      <c r="H973" s="4">
        <f>IFERROR(VLOOKUP(B973,Товары_очищенные!$A$1:$G$1000,6,FALSE),"нет в каталоге")</f>
        <v>16990</v>
      </c>
      <c r="I973" t="str">
        <f>IFERROR(VLOOKUP(B973,Товары_очищенные!$A$1:$G$1000,3,FALSE),"нет в каталоге")</f>
        <v>Наушники</v>
      </c>
      <c r="J973" t="str">
        <f t="shared" si="40"/>
        <v>OK</v>
      </c>
    </row>
    <row r="974">
      <c r="A974" s="8">
        <f>DATE(RIGHT(Продажи_исходные!A974,4),LEFT(Продажи_исходные!A974,2),MID(Продажи_исходные!A974,4,2))</f>
        <v>46158</v>
      </c>
      <c r="B974" t="str">
        <f>"АРТ-"&amp;LEFT(SUBSTITUTE(SUBSTITUTE(SUBSTITUTE(SUBSTITUTE(Продажи_исходные!B974,"№",""),"АРТ-",""),"АРТ_",""),"/","-"),3)</f>
        <v>АРТ-039</v>
      </c>
      <c r="C974" s="4">
        <f>IFERROR(VALUE(TRIM(SUBSTITUTE(SUBSTITUTE(SUBSTITUTE(SUBSTITUTE(Продажи_исходные!C974," шт.","")," шт",""),"шт.",""),"шт",""))),0)</f>
        <v>1</v>
      </c>
      <c r="D974" s="4">
        <f>IF(LEFT(Продажи_исходные!D974,1)="$",VALUE(MID(Продажи_исходные!D974,2,255))*95,IF(LEFT(Продажи_исходные!D974,1)="€",VALUE(MID(Продажи_исходные!D974,2,255))*100,VALUE(SUBSTITUTE(SUBSTITUTE(Продажи_исходные!D974,"₽","")," ",""))))</f>
        <v>9025</v>
      </c>
      <c r="E974" t="str">
        <f>Продажи_исходные!E974</f>
        <v>C0973</v>
      </c>
      <c r="F974" t="str">
        <f>Продажи_исходные!F974</f>
        <v>P004</v>
      </c>
      <c r="G974" t="str">
        <f>IFERROR(VLOOKUP(Продажи_исходные!G974,Справочники!$G$2:$H$50,2,FALSE),Продажи_исходные!G974)</f>
        <v>Завершен</v>
      </c>
      <c r="H974" s="4">
        <f>IFERROR(VLOOKUP(B974,Товары_очищенные!$A$1:$G$1000,6,FALSE),"нет в каталоге")</f>
        <v>71000</v>
      </c>
      <c r="I974" t="str">
        <f>IFERROR(VLOOKUP(B974,Товары_очищенные!$A$1:$G$1000,3,FALSE),"нет в каталоге")</f>
        <v>Часы</v>
      </c>
      <c r="J974" t="str">
        <f t="shared" si="40"/>
        <v>OK</v>
      </c>
    </row>
    <row r="975">
      <c r="A975" s="8">
        <f>DATE(RIGHT(Продажи_исходные!A975,4),LEFT(Продажи_исходные!A975,2),MID(Продажи_исходные!A975,4,2))</f>
        <v>46158</v>
      </c>
      <c r="B975" t="str">
        <f>"АРТ-"&amp;LEFT(SUBSTITUTE(SUBSTITUTE(SUBSTITUTE(SUBSTITUTE(Продажи_исходные!B975,"№",""),"АРТ-",""),"АРТ_",""),"/","-"),3)</f>
        <v>АРТ-495</v>
      </c>
      <c r="C975" s="4">
        <f>IFERROR(VALUE(TRIM(SUBSTITUTE(SUBSTITUTE(SUBSTITUTE(SUBSTITUTE(Продажи_исходные!C975," шт.","")," шт",""),"шт.",""),"шт",""))),0)</f>
        <v>2</v>
      </c>
      <c r="D975" s="4">
        <f>IF(LEFT(Продажи_исходные!D975,1)="$",VALUE(MID(Продажи_исходные!D975,2,255))*95,IF(LEFT(Продажи_исходные!D975,1)="€",VALUE(MID(Продажи_исходные!D975,2,255))*100,VALUE(SUBSTITUTE(SUBSTITUTE(Продажи_исходные!D975,"₽","")," ",""))))</f>
        <v>7500</v>
      </c>
      <c r="E975" t="str">
        <f>Продажи_исходные!E975</f>
        <v>C0974</v>
      </c>
      <c r="F975" t="str">
        <f>Продажи_исходные!F975</f>
        <v>P026</v>
      </c>
      <c r="G975" t="str">
        <f>IFERROR(VLOOKUP(Продажи_исходные!G975,Справочники!$G$2:$H$50,2,FALSE),Продажи_исходные!G975)</f>
        <v>Завершен</v>
      </c>
      <c r="H975" s="4">
        <f>IFERROR(VLOOKUP(B975,Товары_очищенные!$A$1:$G$1000,6,FALSE),"нет в каталоге")</f>
        <v>15800</v>
      </c>
      <c r="I975" t="str">
        <f>IFERROR(VLOOKUP(B975,Товары_очищенные!$A$1:$G$1000,3,FALSE),"нет в каталоге")</f>
        <v>Наушники</v>
      </c>
      <c r="J975" t="str">
        <f t="shared" si="40"/>
        <v>OK</v>
      </c>
    </row>
    <row r="976">
      <c r="A976" s="8">
        <f>DATE(RIGHT(Продажи_исходные!A976,4),LEFT(Продажи_исходные!A976,2),MID(Продажи_исходные!A976,4,2))</f>
        <v>46159</v>
      </c>
      <c r="B976" t="str">
        <f>"АРТ-"&amp;LEFT(SUBSTITUTE(SUBSTITUTE(SUBSTITUTE(SUBSTITUTE(Продажи_исходные!B976,"№",""),"АРТ-",""),"АРТ_",""),"/","-"),3)</f>
        <v>АРТ-377</v>
      </c>
      <c r="C976" s="4">
        <f>IFERROR(VALUE(TRIM(SUBSTITUTE(SUBSTITUTE(SUBSTITUTE(SUBSTITUTE(Продажи_исходные!C976," шт.","")," шт",""),"шт.",""),"шт",""))),0)</f>
        <v>3</v>
      </c>
      <c r="D976" s="4">
        <f>IF(LEFT(Продажи_исходные!D976,1)="$",VALUE(MID(Продажи_исходные!D976,2,255))*95,IF(LEFT(Продажи_исходные!D976,1)="€",VALUE(MID(Продажи_исходные!D976,2,255))*100,VALUE(SUBSTITUTE(SUBSTITUTE(Продажи_исходные!D976,"₽","")," ",""))))</f>
        <v>7000</v>
      </c>
      <c r="E976" t="str">
        <f>Продажи_исходные!E976</f>
        <v>C0975</v>
      </c>
      <c r="F976" t="str">
        <f>Продажи_исходные!F976</f>
        <v>P013</v>
      </c>
      <c r="G976" t="str">
        <f>IFERROR(VLOOKUP(Продажи_исходные!G976,Справочники!$G$2:$H$50,2,FALSE),Продажи_исходные!G976)</f>
        <v>Завершен</v>
      </c>
      <c r="H976" s="4">
        <f>IFERROR(VLOOKUP(B976,Товары_очищенные!$A$1:$G$1000,6,FALSE),"нет в каталоге")</f>
        <v>23500</v>
      </c>
      <c r="I976" t="str">
        <f>IFERROR(VLOOKUP(B976,Товары_очищенные!$A$1:$G$1000,3,FALSE),"нет в каталоге")</f>
        <v>Часы</v>
      </c>
      <c r="J976" t="str">
        <f t="shared" si="40"/>
        <v>OK</v>
      </c>
    </row>
    <row r="977">
      <c r="A977" s="8">
        <f>DATE(RIGHT(Продажи_исходные!A977,4),LEFT(Продажи_исходные!A977,2),MID(Продажи_исходные!A977,4,2))</f>
        <v>46159</v>
      </c>
      <c r="B977" t="str">
        <f>"АРТ-"&amp;LEFT(SUBSTITUTE(SUBSTITUTE(SUBSTITUTE(SUBSTITUTE(Продажи_исходные!B977,"№",""),"АРТ-",""),"АРТ_",""),"/","-"),3)</f>
        <v>АРТ-208</v>
      </c>
      <c r="C977" s="4">
        <f>IFERROR(VALUE(TRIM(SUBSTITUTE(SUBSTITUTE(SUBSTITUTE(SUBSTITUTE(Продажи_исходные!C977," шт.","")," шт",""),"шт.",""),"шт",""))),0)</f>
        <v>-2</v>
      </c>
      <c r="D977" s="4">
        <f>IF(LEFT(Продажи_исходные!D977,1)="$",VALUE(MID(Продажи_исходные!D977,2,255))*95,IF(LEFT(Продажи_исходные!D977,1)="€",VALUE(MID(Продажи_исходные!D977,2,255))*100,VALUE(SUBSTITUTE(SUBSTITUTE(Продажи_исходные!D977,"₽","")," ",""))))</f>
        <v>10925</v>
      </c>
      <c r="E977" t="str">
        <f>Продажи_исходные!E977</f>
        <v>C0976</v>
      </c>
      <c r="F977" t="str">
        <f>Продажи_исходные!F977</f>
        <v>P034</v>
      </c>
      <c r="G977" t="str">
        <f>IFERROR(VLOOKUP(Продажи_исходные!G977,Справочники!$G$2:$H$50,2,FALSE),Продажи_исходные!G977)</f>
        <v>Отменен</v>
      </c>
      <c r="H977" s="4">
        <f>IFERROR(VLOOKUP(B977,Товары_очищенные!$A$1:$G$1000,6,FALSE),"нет в каталоге")</f>
        <v>10990</v>
      </c>
      <c r="I977" t="str">
        <f>IFERROR(VLOOKUP(B977,Товары_очищенные!$A$1:$G$1000,3,FALSE),"нет в каталоге")</f>
        <v>Аксессуары</v>
      </c>
      <c r="J977" t="str">
        <f t="shared" si="40"/>
        <v>OK</v>
      </c>
    </row>
    <row r="978">
      <c r="A978" s="8">
        <f>DATE(RIGHT(Продажи_исходные!A978,4),LEFT(Продажи_исходные!A978,2),MID(Продажи_исходные!A978,4,2))</f>
        <v>46160</v>
      </c>
      <c r="B978" t="str">
        <f>"АРТ-"&amp;LEFT(SUBSTITUTE(SUBSTITUTE(SUBSTITUTE(SUBSTITUTE(Продажи_исходные!B978,"№",""),"АРТ-",""),"АРТ_",""),"/","-"),3)</f>
        <v>АРТ-263</v>
      </c>
      <c r="C978" s="4">
        <f>IFERROR(VALUE(TRIM(SUBSTITUTE(SUBSTITUTE(SUBSTITUTE(SUBSTITUTE(Продажи_исходные!C978," шт.","")," шт",""),"шт.",""),"шт",""))),0)</f>
        <v>1</v>
      </c>
      <c r="D978" s="4">
        <f>IF(LEFT(Продажи_исходные!D978,1)="$",VALUE(MID(Продажи_исходные!D978,2,255))*95,IF(LEFT(Продажи_исходные!D978,1)="€",VALUE(MID(Продажи_исходные!D978,2,255))*100,VALUE(SUBSTITUTE(SUBSTITUTE(Продажи_исходные!D978,"₽","")," ",""))))</f>
        <v>9500</v>
      </c>
      <c r="E978" t="str">
        <f>Продажи_исходные!E978</f>
        <v>C0977</v>
      </c>
      <c r="F978" t="str">
        <f>Продажи_исходные!F978</f>
        <v>P044</v>
      </c>
      <c r="G978" t="str">
        <f>IFERROR(VLOOKUP(Продажи_исходные!G978,Справочники!$G$2:$H$50,2,FALSE),Продажи_исходные!G978)</f>
        <v>Отменен</v>
      </c>
      <c r="H978" s="4">
        <f>IFERROR(VLOOKUP(B978,Товары_очищенные!$A$1:$G$1000,6,FALSE),"нет в каталоге")</f>
        <v>11000</v>
      </c>
      <c r="I978" t="str">
        <f>IFERROR(VLOOKUP(B978,Товары_очищенные!$A$1:$G$1000,3,FALSE),"нет в каталоге")</f>
        <v>Наушники</v>
      </c>
      <c r="J978" t="str">
        <f t="shared" si="40"/>
        <v>OK</v>
      </c>
    </row>
    <row r="979">
      <c r="A979" s="8">
        <f>DATE(RIGHT(Продажи_исходные!A979,4),LEFT(Продажи_исходные!A979,2),MID(Продажи_исходные!A979,4,2))</f>
        <v>46160</v>
      </c>
      <c r="B979" t="str">
        <f>"АРТ-"&amp;LEFT(SUBSTITUTE(SUBSTITUTE(SUBSTITUTE(SUBSTITUTE(Продажи_исходные!B979,"№",""),"АРТ-",""),"АРТ_",""),"/","-"),3)</f>
        <v>АРТ-193</v>
      </c>
      <c r="C979" s="4">
        <f>IFERROR(VALUE(TRIM(SUBSTITUTE(SUBSTITUTE(SUBSTITUTE(SUBSTITUTE(Продажи_исходные!C979," шт.","")," шт",""),"шт.",""),"шт",""))),0)</f>
        <v>2</v>
      </c>
      <c r="D979" s="4">
        <f>IF(LEFT(Продажи_исходные!D979,1)="$",VALUE(MID(Продажи_исходные!D979,2,255))*95,IF(LEFT(Продажи_исходные!D979,1)="€",VALUE(MID(Продажи_исходные!D979,2,255))*100,VALUE(SUBSTITUTE(SUBSTITUTE(Продажи_исходные!D979,"₽","")," ",""))))</f>
        <v>8500</v>
      </c>
      <c r="E979" t="str">
        <f>Продажи_исходные!E979</f>
        <v>C0978</v>
      </c>
      <c r="F979" t="str">
        <f>Продажи_исходные!F979</f>
        <v>P001</v>
      </c>
      <c r="G979" t="str">
        <f>IFERROR(VLOOKUP(Продажи_исходные!G979,Справочники!$G$2:$H$50,2,FALSE),Продажи_исходные!G979)</f>
        <v>Завершен</v>
      </c>
      <c r="H979" s="4">
        <f>IFERROR(VLOOKUP(B979,Товары_очищенные!$A$1:$G$1000,6,FALSE),"нет в каталоге")</f>
        <v>129990</v>
      </c>
      <c r="I979" t="str">
        <f>IFERROR(VLOOKUP(B979,Товары_очищенные!$A$1:$G$1000,3,FALSE),"нет в каталоге")</f>
        <v>Ноутбуки</v>
      </c>
      <c r="J979" t="str">
        <f t="shared" si="40"/>
        <v>OK</v>
      </c>
    </row>
    <row r="980">
      <c r="A980" s="8">
        <f>DATE(RIGHT(Продажи_исходные!A980,4),LEFT(Продажи_исходные!A980,2),MID(Продажи_исходные!A980,4,2))</f>
        <v>46161</v>
      </c>
      <c r="B980" t="str">
        <f>"АРТ-"&amp;LEFT(SUBSTITUTE(SUBSTITUTE(SUBSTITUTE(SUBSTITUTE(Продажи_исходные!B980,"№",""),"АРТ-",""),"АРТ_",""),"/","-"),3)</f>
        <v>АРТ-111</v>
      </c>
      <c r="C980" s="4">
        <f>IFERROR(VALUE(TRIM(SUBSTITUTE(SUBSTITUTE(SUBSTITUTE(SUBSTITUTE(Продажи_исходные!C980," шт.","")," шт",""),"шт.",""),"шт",""))),0)</f>
        <v>3</v>
      </c>
      <c r="D980" s="4">
        <f>IF(LEFT(Продажи_исходные!D980,1)="$",VALUE(MID(Продажи_исходные!D980,2,255))*95,IF(LEFT(Продажи_исходные!D980,1)="€",VALUE(MID(Продажи_исходные!D980,2,255))*100,VALUE(SUBSTITUTE(SUBSTITUTE(Продажи_исходные!D980,"₽","")," ",""))))</f>
        <v>9975</v>
      </c>
      <c r="E980" t="str">
        <f>Продажи_исходные!E980</f>
        <v>C0979</v>
      </c>
      <c r="F980" t="str">
        <f>Продажи_исходные!F980</f>
        <v>P021</v>
      </c>
      <c r="G980" t="str">
        <f>IFERROR(VLOOKUP(Продажи_исходные!G980,Справочники!$G$2:$H$50,2,FALSE),Продажи_исходные!G980)</f>
        <v>Возврат</v>
      </c>
      <c r="H980" s="4">
        <f>IFERROR(VLOOKUP(B980,Товары_очищенные!$A$1:$G$1000,6,FALSE),"нет в каталоге")</f>
        <v>122500</v>
      </c>
      <c r="I980" t="str">
        <f>IFERROR(VLOOKUP(B980,Товары_очищенные!$A$1:$G$1000,3,FALSE),"нет в каталоге")</f>
        <v>Телевизоры</v>
      </c>
      <c r="J980" t="str">
        <f t="shared" si="40"/>
        <v>OK</v>
      </c>
    </row>
    <row r="981">
      <c r="A981" s="8">
        <f>DATE(RIGHT(Продажи_исходные!A981,4),LEFT(Продажи_исходные!A981,2),MID(Продажи_исходные!A981,4,2))</f>
        <v>46161</v>
      </c>
      <c r="B981" t="str">
        <f>"АРТ-"&amp;LEFT(SUBSTITUTE(SUBSTITUTE(SUBSTITUTE(SUBSTITUTE(Продажи_исходные!B981,"№",""),"АРТ-",""),"АРТ_",""),"/","-"),3)</f>
        <v>АРТ-423</v>
      </c>
      <c r="C981" s="4">
        <f>IFERROR(VALUE(TRIM(SUBSTITUTE(SUBSTITUTE(SUBSTITUTE(SUBSTITUTE(Продажи_исходные!C981," шт.","")," шт",""),"шт.",""),"шт",""))),0)</f>
        <v>2</v>
      </c>
      <c r="D981" s="4">
        <f>IF(LEFT(Продажи_исходные!D981,1)="$",VALUE(MID(Продажи_исходные!D981,2,255))*95,IF(LEFT(Продажи_исходные!D981,1)="€",VALUE(MID(Продажи_исходные!D981,2,255))*100,VALUE(SUBSTITUTE(SUBSTITUTE(Продажи_исходные!D981,"₽","")," ",""))))</f>
        <v>8500</v>
      </c>
      <c r="E981" t="str">
        <f>Продажи_исходные!E981</f>
        <v>C0980</v>
      </c>
      <c r="F981" t="str">
        <f>Продажи_исходные!F981</f>
        <v>P039</v>
      </c>
      <c r="G981" t="str">
        <f>IFERROR(VLOOKUP(Продажи_исходные!G981,Справочники!$G$2:$H$50,2,FALSE),Продажи_исходные!G981)</f>
        <v>Завершен</v>
      </c>
      <c r="H981" s="4">
        <f>IFERROR(VLOOKUP(B981,Товары_очищенные!$A$1:$G$1000,6,FALSE),"нет в каталоге")</f>
        <v>129500</v>
      </c>
      <c r="I981" t="str">
        <f>IFERROR(VLOOKUP(B981,Товары_очищенные!$A$1:$G$1000,3,FALSE),"нет в каталоге")</f>
        <v>Ноутбуки</v>
      </c>
      <c r="J981" t="str">
        <f t="shared" si="40"/>
        <v>OK</v>
      </c>
    </row>
    <row r="982">
      <c r="A982" s="8">
        <f>DATE(RIGHT(Продажи_исходные!A982,4),LEFT(Продажи_исходные!A982,2),MID(Продажи_исходные!A982,4,2))</f>
        <v>46162</v>
      </c>
      <c r="B982" t="str">
        <f>"АРТ-"&amp;LEFT(SUBSTITUTE(SUBSTITUTE(SUBSTITUTE(SUBSTITUTE(Продажи_исходные!B982,"№",""),"АРТ-",""),"АРТ_",""),"/","-"),3)</f>
        <v>АРТ-315</v>
      </c>
      <c r="C982" s="4">
        <f>IFERROR(VALUE(TRIM(SUBSTITUTE(SUBSTITUTE(SUBSTITUTE(SUBSTITUTE(Продажи_исходные!C982," шт.","")," шт",""),"шт.",""),"шт",""))),0)</f>
        <v>1</v>
      </c>
      <c r="D982" s="4">
        <f>IF(LEFT(Продажи_исходные!D982,1)="$",VALUE(MID(Продажи_исходные!D982,2,255))*95,IF(LEFT(Продажи_исходные!D982,1)="€",VALUE(MID(Продажи_исходные!D982,2,255))*100,VALUE(SUBSTITUTE(SUBSTITUTE(Продажи_исходные!D982,"₽","")," ",""))))</f>
        <v>7800</v>
      </c>
      <c r="E982" t="str">
        <f>Продажи_исходные!E982</f>
        <v>C0981</v>
      </c>
      <c r="F982" t="str">
        <f>Продажи_исходные!F982</f>
        <v>P050</v>
      </c>
      <c r="G982" t="str">
        <f>IFERROR(VLOOKUP(Продажи_исходные!G982,Справочники!$G$2:$H$50,2,FALSE),Продажи_исходные!G982)</f>
        <v>Завершен</v>
      </c>
      <c r="H982" s="4">
        <f>IFERROR(VLOOKUP(B982,Товары_очищенные!$A$1:$G$1000,6,FALSE),"нет в каталоге")</f>
        <v>72000</v>
      </c>
      <c r="I982" t="str">
        <f>IFERROR(VLOOKUP(B982,Товары_очищенные!$A$1:$G$1000,3,FALSE),"нет в каталоге")</f>
        <v>Смартфоны</v>
      </c>
      <c r="J982" t="str">
        <f t="shared" si="40"/>
        <v>OK</v>
      </c>
    </row>
    <row r="983">
      <c r="A983" s="8">
        <f>DATE(RIGHT(Продажи_исходные!A983,4),LEFT(Продажи_исходные!A983,2),MID(Продажи_исходные!A983,4,2))</f>
        <v>46162</v>
      </c>
      <c r="B983" t="str">
        <f>"АРТ-"&amp;LEFT(SUBSTITUTE(SUBSTITUTE(SUBSTITUTE(SUBSTITUTE(Продажи_исходные!B983,"№",""),"АРТ-",""),"АРТ_",""),"/","-"),3)</f>
        <v>АРТ-289</v>
      </c>
      <c r="C983" s="4">
        <f>IFERROR(VALUE(TRIM(SUBSTITUTE(SUBSTITUTE(SUBSTITUTE(SUBSTITUTE(Продажи_исходные!C983," шт.","")," шт",""),"шт.",""),"шт",""))),0)</f>
        <v>-3</v>
      </c>
      <c r="D983" s="4">
        <f>IF(LEFT(Продажи_исходные!D983,1)="$",VALUE(MID(Продажи_исходные!D983,2,255))*95,IF(LEFT(Продажи_исходные!D983,1)="€",VALUE(MID(Продажи_исходные!D983,2,255))*100,VALUE(SUBSTITUTE(SUBSTITUTE(Продажи_исходные!D983,"₽","")," ",""))))</f>
        <v>11400</v>
      </c>
      <c r="E983" t="str">
        <f>Продажи_исходные!E983</f>
        <v>C0982</v>
      </c>
      <c r="F983" t="str">
        <f>Продажи_исходные!F983</f>
        <v>P011</v>
      </c>
      <c r="G983" t="str">
        <f>IFERROR(VLOOKUP(Продажи_исходные!G983,Справочники!$G$2:$H$50,2,FALSE),Продажи_исходные!G983)</f>
        <v>Завершен</v>
      </c>
      <c r="H983" s="4">
        <f>IFERROR(VLOOKUP(B983,Товары_очищенные!$A$1:$G$1000,6,FALSE),"нет в каталоге")</f>
        <v>62990</v>
      </c>
      <c r="I983" t="str">
        <f>IFERROR(VLOOKUP(B983,Товары_очищенные!$A$1:$G$1000,3,FALSE),"нет в каталоге")</f>
        <v>Часы</v>
      </c>
      <c r="J983" t="str">
        <f t="shared" si="40"/>
        <v>OK</v>
      </c>
    </row>
    <row r="984">
      <c r="A984" s="8">
        <f>DATE(RIGHT(Продажи_исходные!A984,4),LEFT(Продажи_исходные!A984,2),MID(Продажи_исходные!A984,4,2))</f>
        <v>46163</v>
      </c>
      <c r="B984" t="str">
        <f>"АРТ-"&amp;LEFT(SUBSTITUTE(SUBSTITUTE(SUBSTITUTE(SUBSTITUTE(Продажи_исходные!B984,"№",""),"АРТ-",""),"АРТ_",""),"/","-"),3)</f>
        <v>АРТ-359</v>
      </c>
      <c r="C984" s="4">
        <f>IFERROR(VALUE(TRIM(SUBSTITUTE(SUBSTITUTE(SUBSTITUTE(SUBSTITUTE(Продажи_исходные!C984," шт.","")," шт",""),"шт.",""),"шт",""))),0)</f>
        <v>2</v>
      </c>
      <c r="D984" s="4">
        <f>IF(LEFT(Продажи_исходные!D984,1)="$",VALUE(MID(Продажи_исходные!D984,2,255))*95,IF(LEFT(Продажи_исходные!D984,1)="€",VALUE(MID(Продажи_исходные!D984,2,255))*100,VALUE(SUBSTITUTE(SUBSTITUTE(Продажи_исходные!D984,"₽","")," ",""))))</f>
        <v>10000</v>
      </c>
      <c r="E984" t="str">
        <f>Продажи_исходные!E984</f>
        <v>C0983</v>
      </c>
      <c r="F984" t="str">
        <f>Продажи_исходные!F984</f>
        <v>P027</v>
      </c>
      <c r="G984" t="str">
        <f>IFERROR(VLOOKUP(Продажи_исходные!G984,Справочники!$G$2:$H$50,2,FALSE),Продажи_исходные!G984)</f>
        <v>Отменен</v>
      </c>
      <c r="H984" s="4">
        <f>IFERROR(VLOOKUP(B984,Товары_очищенные!$A$1:$G$1000,6,FALSE),"нет в каталоге")</f>
        <v>58000</v>
      </c>
      <c r="I984" t="str">
        <f>IFERROR(VLOOKUP(B984,Товары_очищенные!$A$1:$G$1000,3,FALSE),"нет в каталоге")</f>
        <v>Планшеты</v>
      </c>
      <c r="J984" t="str">
        <f t="shared" si="40"/>
        <v>OK</v>
      </c>
    </row>
    <row r="985">
      <c r="A985" s="8">
        <f>DATE(RIGHT(Продажи_исходные!A985,4),LEFT(Продажи_исходные!A985,2),MID(Продажи_исходные!A985,4,2))</f>
        <v>46163</v>
      </c>
      <c r="B985" t="str">
        <f>"АРТ-"&amp;LEFT(SUBSTITUTE(SUBSTITUTE(SUBSTITUTE(SUBSTITUTE(Продажи_исходные!B985,"№",""),"АРТ-",""),"АРТ_",""),"/","-"),3)</f>
        <v>АРТ-282</v>
      </c>
      <c r="C985" s="4">
        <f>IFERROR(VALUE(TRIM(SUBSTITUTE(SUBSTITUTE(SUBSTITUTE(SUBSTITUTE(Продажи_исходные!C985," шт.","")," шт",""),"шт.",""),"шт",""))),0)</f>
        <v>1</v>
      </c>
      <c r="D985" s="4">
        <f>IF(LEFT(Продажи_исходные!D985,1)="$",VALUE(MID(Продажи_исходные!D985,2,255))*95,IF(LEFT(Продажи_исходные!D985,1)="€",VALUE(MID(Продажи_исходные!D985,2,255))*100,VALUE(SUBSTITUTE(SUBSTITUTE(Продажи_исходные!D985,"₽","")," ",""))))</f>
        <v>9200</v>
      </c>
      <c r="E985" t="str">
        <f>Продажи_исходные!E985</f>
        <v>C0984</v>
      </c>
      <c r="F985" t="str">
        <f>Продажи_исходные!F985</f>
        <v>P018</v>
      </c>
      <c r="G985" t="str">
        <f>IFERROR(VLOOKUP(Продажи_исходные!G985,Справочники!$G$2:$H$50,2,FALSE),Продажи_исходные!G985)</f>
        <v>Отменен</v>
      </c>
      <c r="H985" s="4">
        <f>IFERROR(VLOOKUP(B985,Товары_очищенные!$A$1:$G$1000,6,FALSE),"нет в каталоге")</f>
        <v>34500</v>
      </c>
      <c r="I985" t="str">
        <f>IFERROR(VLOOKUP(B985,Товары_очищенные!$A$1:$G$1000,3,FALSE),"нет в каталоге")</f>
        <v>Наушники</v>
      </c>
      <c r="J985" t="str">
        <f t="shared" si="40"/>
        <v>OK</v>
      </c>
    </row>
    <row r="986">
      <c r="A986" s="8">
        <f>DATE(RIGHT(Продажи_исходные!A986,4),LEFT(Продажи_исходные!A986,2),MID(Продажи_исходные!A986,4,2))</f>
        <v>46164</v>
      </c>
      <c r="B986" t="str">
        <f>"АРТ-"&amp;LEFT(SUBSTITUTE(SUBSTITUTE(SUBSTITUTE(SUBSTITUTE(Продажи_исходные!B986,"№",""),"АРТ-",""),"АРТ_",""),"/","-"),3)</f>
        <v>АРТ-048</v>
      </c>
      <c r="C986" s="4">
        <f>IFERROR(VALUE(TRIM(SUBSTITUTE(SUBSTITUTE(SUBSTITUTE(SUBSTITUTE(Продажи_исходные!C986," шт.","")," шт",""),"шт.",""),"шт",""))),0)</f>
        <v>3</v>
      </c>
      <c r="D986" s="4">
        <f>IF(LEFT(Продажи_исходные!D986,1)="$",VALUE(MID(Продажи_исходные!D986,2,255))*95,IF(LEFT(Продажи_исходные!D986,1)="€",VALUE(MID(Продажи_исходные!D986,2,255))*100,VALUE(SUBSTITUTE(SUBSTITUTE(Продажи_исходные!D986,"₽","")," ",""))))</f>
        <v>8550</v>
      </c>
      <c r="E986" t="str">
        <f>Продажи_исходные!E986</f>
        <v>C0985</v>
      </c>
      <c r="F986" t="str">
        <f>Продажи_исходные!F986</f>
        <v>P040</v>
      </c>
      <c r="G986" t="str">
        <f>IFERROR(VLOOKUP(Продажи_исходные!G986,Справочники!$G$2:$H$50,2,FALSE),Продажи_исходные!G986)</f>
        <v>Возврат</v>
      </c>
      <c r="H986" s="4">
        <f>IFERROR(VLOOKUP(B986,Товары_очищенные!$A$1:$G$1000,6,FALSE),"нет в каталоге")</f>
        <v>25800</v>
      </c>
      <c r="I986" t="str">
        <f>IFERROR(VLOOKUP(B986,Товары_очищенные!$A$1:$G$1000,3,FALSE),"нет в каталоге")</f>
        <v>Наушники</v>
      </c>
      <c r="J986" t="str">
        <f t="shared" si="40"/>
        <v>OK</v>
      </c>
    </row>
    <row r="987">
      <c r="A987" s="8">
        <f>DATE(RIGHT(Продажи_исходные!A987,4),LEFT(Продажи_исходные!A987,2),MID(Продажи_исходные!A987,4,2))</f>
        <v>46164</v>
      </c>
      <c r="B987" t="str">
        <f>"АРТ-"&amp;LEFT(SUBSTITUTE(SUBSTITUTE(SUBSTITUTE(SUBSTITUTE(Продажи_исходные!B987,"№",""),"АРТ-",""),"АРТ_",""),"/","-"),3)</f>
        <v>АРТ-446</v>
      </c>
      <c r="C987" s="4">
        <f>IFERROR(VALUE(TRIM(SUBSTITUTE(SUBSTITUTE(SUBSTITUTE(SUBSTITUTE(Продажи_исходные!C987," шт.","")," шт",""),"шт.",""),"шт",""))),0)</f>
        <v>2</v>
      </c>
      <c r="D987" s="4">
        <f>IF(LEFT(Продажи_исходные!D987,1)="$",VALUE(MID(Продажи_исходные!D987,2,255))*95,IF(LEFT(Продажи_исходные!D987,1)="€",VALUE(MID(Продажи_исходные!D987,2,255))*100,VALUE(SUBSTITUTE(SUBSTITUTE(Продажи_исходные!D987,"₽","")," ",""))))</f>
        <v>7000</v>
      </c>
      <c r="E987" t="str">
        <f>Продажи_исходные!E987</f>
        <v>C0986</v>
      </c>
      <c r="F987" t="str">
        <f>Продажи_исходные!F987</f>
        <v>P003</v>
      </c>
      <c r="G987" t="str">
        <f>IFERROR(VLOOKUP(Продажи_исходные!G987,Справочники!$G$2:$H$50,2,FALSE),Продажи_исходные!G987)</f>
        <v>Завершен</v>
      </c>
      <c r="H987" s="4">
        <f>IFERROR(VLOOKUP(B987,Товары_очищенные!$A$1:$G$1000,6,FALSE),"нет в каталоге")</f>
        <v>139000</v>
      </c>
      <c r="I987" t="str">
        <f>IFERROR(VLOOKUP(B987,Товары_очищенные!$A$1:$G$1000,3,FALSE),"нет в каталоге")</f>
        <v>Ноутбуки</v>
      </c>
      <c r="J987" t="str">
        <f t="shared" si="40"/>
        <v>OK</v>
      </c>
    </row>
    <row r="988">
      <c r="A988" s="8">
        <f>DATE(RIGHT(Продажи_исходные!A988,4),LEFT(Продажи_исходные!A988,2),MID(Продажи_исходные!A988,4,2))</f>
        <v>46165</v>
      </c>
      <c r="B988" t="str">
        <f>"АРТ-"&amp;LEFT(SUBSTITUTE(SUBSTITUTE(SUBSTITUTE(SUBSTITUTE(Продажи_исходные!B988,"№",""),"АРТ-",""),"АРТ_",""),"/","-"),3)</f>
        <v>АРТ-358</v>
      </c>
      <c r="C988" s="4">
        <f>IFERROR(VALUE(TRIM(SUBSTITUTE(SUBSTITUTE(SUBSTITUTE(SUBSTITUTE(Продажи_исходные!C988," шт.","")," шт",""),"шт.",""),"шт",""))),0)</f>
        <v>1</v>
      </c>
      <c r="D988" s="4">
        <f>IF(LEFT(Продажи_исходные!D988,1)="$",VALUE(MID(Продажи_исходные!D988,2,255))*95,IF(LEFT(Продажи_исходные!D988,1)="€",VALUE(MID(Продажи_исходные!D988,2,255))*100,VALUE(SUBSTITUTE(SUBSTITUTE(Продажи_исходные!D988,"₽","")," ",""))))</f>
        <v>6500</v>
      </c>
      <c r="E988" t="str">
        <f>Продажи_исходные!E988</f>
        <v>C0987</v>
      </c>
      <c r="F988" t="str">
        <f>Продажи_исходные!F988</f>
        <v>P025</v>
      </c>
      <c r="G988" t="str">
        <f>IFERROR(VLOOKUP(Продажи_исходные!G988,Справочники!$G$2:$H$50,2,FALSE),Продажи_исходные!G988)</f>
        <v>Завершен</v>
      </c>
      <c r="H988" s="4">
        <f>IFERROR(VLOOKUP(B988,Товары_очищенные!$A$1:$G$1000,6,FALSE),"нет в каталоге")</f>
        <v>59990</v>
      </c>
      <c r="I988" t="str">
        <f>IFERROR(VLOOKUP(B988,Товары_очищенные!$A$1:$G$1000,3,FALSE),"нет в каталоге")</f>
        <v>Планшеты</v>
      </c>
      <c r="J988" t="str">
        <f t="shared" si="40"/>
        <v>OK</v>
      </c>
    </row>
    <row r="989">
      <c r="A989" s="8">
        <f>DATE(RIGHT(Продажи_исходные!A989,4),LEFT(Продажи_исходные!A989,2),MID(Продажи_исходные!A989,4,2))</f>
        <v>46165</v>
      </c>
      <c r="B989" t="str">
        <f>"АРТ-"&amp;LEFT(SUBSTITUTE(SUBSTITUTE(SUBSTITUTE(SUBSTITUTE(Продажи_исходные!B989,"№",""),"АРТ-",""),"АРТ_",""),"/","-"),3)</f>
        <v>АРТ-140</v>
      </c>
      <c r="C989" s="4">
        <f>IFERROR(VALUE(TRIM(SUBSTITUTE(SUBSTITUTE(SUBSTITUTE(SUBSTITUTE(Продажи_исходные!C989," шт.","")," шт",""),"шт.",""),"шт",""))),0)</f>
        <v>-1</v>
      </c>
      <c r="D989" s="4">
        <f>IF(LEFT(Продажи_исходные!D989,1)="$",VALUE(MID(Продажи_исходные!D989,2,255))*95,IF(LEFT(Продажи_исходные!D989,1)="€",VALUE(MID(Продажи_исходные!D989,2,255))*100,VALUE(SUBSTITUTE(SUBSTITUTE(Продажи_исходные!D989,"₽","")," ",""))))</f>
        <v>10450</v>
      </c>
      <c r="E989" t="str">
        <f>Продажи_исходные!E989</f>
        <v>C0988</v>
      </c>
      <c r="F989" t="str">
        <f>Продажи_исходные!F989</f>
        <v>P010</v>
      </c>
      <c r="G989" t="str">
        <f>IFERROR(VLOOKUP(Продажи_исходные!G989,Справочники!$G$2:$H$50,2,FALSE),Продажи_исходные!G989)</f>
        <v>Завершен</v>
      </c>
      <c r="H989" s="4">
        <f>IFERROR(VLOOKUP(B989,Товары_очищенные!$A$1:$G$1000,6,FALSE),"нет в каталоге")</f>
        <v>87000</v>
      </c>
      <c r="I989" t="str">
        <f>IFERROR(VLOOKUP(B989,Товары_очищенные!$A$1:$G$1000,3,FALSE),"нет в каталоге")</f>
        <v>Мониторы</v>
      </c>
      <c r="J989" t="str">
        <f t="shared" si="40"/>
        <v>OK</v>
      </c>
    </row>
    <row r="990">
      <c r="A990" s="8">
        <f>DATE(RIGHT(Продажи_исходные!A990,4),LEFT(Продажи_исходные!A990,2),MID(Продажи_исходные!A990,4,2))</f>
        <v>46166</v>
      </c>
      <c r="B990" t="str">
        <f>"АРТ-"&amp;LEFT(SUBSTITUTE(SUBSTITUTE(SUBSTITUTE(SUBSTITUTE(Продажи_исходные!B990,"№",""),"АРТ-",""),"АРТ_",""),"/","-"),3)</f>
        <v>АРТ-270</v>
      </c>
      <c r="C990" s="4">
        <f>IFERROR(VALUE(TRIM(SUBSTITUTE(SUBSTITUTE(SUBSTITUTE(SUBSTITUTE(Продажи_исходные!C990," шт.","")," шт",""),"шт.",""),"шт",""))),0)</f>
        <v>3</v>
      </c>
      <c r="D990" s="4">
        <f>IF(LEFT(Продажи_исходные!D990,1)="$",VALUE(MID(Продажи_исходные!D990,2,255))*95,IF(LEFT(Продажи_исходные!D990,1)="€",VALUE(MID(Продажи_исходные!D990,2,255))*100,VALUE(SUBSTITUTE(SUBSTITUTE(Продажи_исходные!D990,"₽","")," ",""))))</f>
        <v>9000</v>
      </c>
      <c r="E990" t="str">
        <f>Продажи_исходные!E990</f>
        <v>C0989</v>
      </c>
      <c r="F990" t="str">
        <f>Продажи_исходные!F990</f>
        <v>P033</v>
      </c>
      <c r="G990" t="str">
        <f>IFERROR(VLOOKUP(Продажи_исходные!G990,Справочники!$G$2:$H$50,2,FALSE),Продажи_исходные!G990)</f>
        <v>Отменен</v>
      </c>
      <c r="H990" s="4">
        <f>IFERROR(VLOOKUP(B990,Товары_очищенные!$A$1:$G$1000,6,FALSE),"нет в каталоге")</f>
        <v>24500</v>
      </c>
      <c r="I990" t="str">
        <f>IFERROR(VLOOKUP(B990,Товары_очищенные!$A$1:$G$1000,3,FALSE),"нет в каталоге")</f>
        <v>Аксессуары</v>
      </c>
      <c r="J990" t="str">
        <f t="shared" si="40"/>
        <v>OK</v>
      </c>
    </row>
    <row r="991">
      <c r="A991" s="8">
        <f>DATE(RIGHT(Продажи_исходные!A991,4),LEFT(Продажи_исходные!A991,2),MID(Продажи_исходные!A991,4,2))</f>
        <v>46166</v>
      </c>
      <c r="B991" t="str">
        <f>"АРТ-"&amp;LEFT(SUBSTITUTE(SUBSTITUTE(SUBSTITUTE(SUBSTITUTE(Продажи_исходные!B991,"№",""),"АРТ-",""),"АРТ_",""),"/","-"),3)</f>
        <v>АРТ-187</v>
      </c>
      <c r="C991" s="4">
        <f>IFERROR(VALUE(TRIM(SUBSTITUTE(SUBSTITUTE(SUBSTITUTE(SUBSTITUTE(Продажи_исходные!C991," шт.","")," шт",""),"шт.",""),"шт",""))),0)</f>
        <v>2</v>
      </c>
      <c r="D991" s="4">
        <f>IF(LEFT(Продажи_исходные!D991,1)="$",VALUE(MID(Продажи_исходные!D991,2,255))*95,IF(LEFT(Продажи_исходные!D991,1)="€",VALUE(MID(Продажи_исходные!D991,2,255))*100,VALUE(SUBSTITUTE(SUBSTITUTE(Продажи_исходные!D991,"₽","")," ",""))))</f>
        <v>8000</v>
      </c>
      <c r="E991" t="str">
        <f>Продажи_исходные!E991</f>
        <v>C0990</v>
      </c>
      <c r="F991" t="str">
        <f>Продажи_исходные!F991</f>
        <v>P047</v>
      </c>
      <c r="G991" t="str">
        <f>IFERROR(VLOOKUP(Продажи_исходные!G991,Справочники!$G$2:$H$50,2,FALSE),Продажи_исходные!G991)</f>
        <v>Отменен</v>
      </c>
      <c r="H991" s="4">
        <f>IFERROR(VLOOKUP(B991,Товары_очищенные!$A$1:$G$1000,6,FALSE),"нет в каталоге")</f>
        <v>49990</v>
      </c>
      <c r="I991" t="str">
        <f>IFERROR(VLOOKUP(B991,Товары_очищенные!$A$1:$G$1000,3,FALSE),"нет в каталоге")</f>
        <v>Часы</v>
      </c>
      <c r="J991" t="str">
        <f t="shared" si="40"/>
        <v>OK</v>
      </c>
    </row>
    <row r="992">
      <c r="A992" s="8">
        <f>DATE(RIGHT(Продажи_исходные!A992,4),LEFT(Продажи_исходные!A992,2),MID(Продажи_исходные!A992,4,2))</f>
        <v>46167</v>
      </c>
      <c r="B992" t="str">
        <f>"АРТ-"&amp;LEFT(SUBSTITUTE(SUBSTITUTE(SUBSTITUTE(SUBSTITUTE(Продажи_исходные!B992,"№",""),"АРТ-",""),"АРТ_",""),"/","-"),3)</f>
        <v>АРТ-163</v>
      </c>
      <c r="C992" s="4">
        <f>IFERROR(VALUE(TRIM(SUBSTITUTE(SUBSTITUTE(SUBSTITUTE(SUBSTITUTE(Продажи_исходные!C992," шт.","")," шт",""),"шт.",""),"шт",""))),0)</f>
        <v>1</v>
      </c>
      <c r="D992" s="4">
        <f>IF(LEFT(Продажи_исходные!D992,1)="$",VALUE(MID(Продажи_исходные!D992,2,255))*95,IF(LEFT(Продажи_исходные!D992,1)="€",VALUE(MID(Продажи_исходные!D992,2,255))*100,VALUE(SUBSTITUTE(SUBSTITUTE(Продажи_исходные!D992,"₽","")," ",""))))</f>
        <v>9025</v>
      </c>
      <c r="E992" t="str">
        <f>Продажи_исходные!E992</f>
        <v>C0991</v>
      </c>
      <c r="F992" t="str">
        <f>Продажи_исходные!F992</f>
        <v>P020</v>
      </c>
      <c r="G992" t="str">
        <f>IFERROR(VLOOKUP(Продажи_исходные!G992,Справочники!$G$2:$H$50,2,FALSE),Продажи_исходные!G992)</f>
        <v>Завершен</v>
      </c>
      <c r="H992" s="4">
        <f>IFERROR(VLOOKUP(B992,Товары_очищенные!$A$1:$G$1000,6,FALSE),"нет в каталоге")</f>
        <v>29990</v>
      </c>
      <c r="I992" t="str">
        <f>IFERROR(VLOOKUP(B992,Товары_очищенные!$A$1:$G$1000,3,FALSE),"нет в каталоге")</f>
        <v>Часы</v>
      </c>
      <c r="J992" t="str">
        <f t="shared" si="40"/>
        <v>OK</v>
      </c>
    </row>
    <row r="993">
      <c r="A993" s="8">
        <f>DATE(RIGHT(Продажи_исходные!A993,4),LEFT(Продажи_исходные!A993,2),MID(Продажи_исходные!A993,4,2))</f>
        <v>46167</v>
      </c>
      <c r="B993" t="str">
        <f>"АРТ-"&amp;LEFT(SUBSTITUTE(SUBSTITUTE(SUBSTITUTE(SUBSTITUTE(Продажи_исходные!B993,"№",""),"АРТ-",""),"АРТ_",""),"/","-"),3)</f>
        <v>АРТ-497</v>
      </c>
      <c r="C993" s="4">
        <f>IFERROR(VALUE(TRIM(SUBSTITUTE(SUBSTITUTE(SUBSTITUTE(SUBSTITUTE(Продажи_исходные!C993," шт.","")," шт",""),"шт.",""),"шт",""))),0)</f>
        <v>2</v>
      </c>
      <c r="D993" s="4">
        <f>IF(LEFT(Продажи_исходные!D993,1)="$",VALUE(MID(Продажи_исходные!D993,2,255))*95,IF(LEFT(Продажи_исходные!D993,1)="€",VALUE(MID(Продажи_исходные!D993,2,255))*100,VALUE(SUBSTITUTE(SUBSTITUTE(Продажи_исходные!D993,"₽","")," ",""))))</f>
        <v>7500</v>
      </c>
      <c r="E993" t="str">
        <f>Продажи_исходные!E993</f>
        <v>C0992</v>
      </c>
      <c r="F993" t="str">
        <f>Продажи_исходные!F993</f>
        <v>P002</v>
      </c>
      <c r="G993" t="str">
        <f>IFERROR(VLOOKUP(Продажи_исходные!G993,Справочники!$G$2:$H$50,2,FALSE),Продажи_исходные!G993)</f>
        <v>Возврат</v>
      </c>
      <c r="H993" s="4">
        <f>IFERROR(VLOOKUP(B993,Товары_очищенные!$A$1:$G$1000,6,FALSE),"нет в каталоге")</f>
        <v>57500</v>
      </c>
      <c r="I993" t="str">
        <f>IFERROR(VLOOKUP(B993,Товары_очищенные!$A$1:$G$1000,3,FALSE),"нет в каталоге")</f>
        <v>Мониторы</v>
      </c>
      <c r="J993" t="str">
        <f t="shared" si="40"/>
        <v>OK</v>
      </c>
    </row>
    <row r="994">
      <c r="A994" s="8">
        <f>DATE(RIGHT(Продажи_исходные!A994,4),LEFT(Продажи_исходные!A994,2),MID(Продажи_исходные!A994,4,2))</f>
        <v>46168</v>
      </c>
      <c r="B994" t="str">
        <f>"АРТ-"&amp;LEFT(SUBSTITUTE(SUBSTITUTE(SUBSTITUTE(SUBSTITUTE(Продажи_исходные!B994,"№",""),"АРТ-",""),"АРТ_",""),"/","-"),3)</f>
        <v>АРТ-315</v>
      </c>
      <c r="C994" s="4">
        <f>IFERROR(VALUE(TRIM(SUBSTITUTE(SUBSTITUTE(SUBSTITUTE(SUBSTITUTE(Продажи_исходные!C994," шт.","")," шт",""),"шт.",""),"шт",""))),0)</f>
        <v>3</v>
      </c>
      <c r="D994" s="4">
        <f>IF(LEFT(Продажи_исходные!D994,1)="$",VALUE(MID(Продажи_исходные!D994,2,255))*95,IF(LEFT(Продажи_исходные!D994,1)="€",VALUE(MID(Продажи_исходные!D994,2,255))*100,VALUE(SUBSTITUTE(SUBSTITUTE(Продажи_исходные!D994,"₽","")," ",""))))</f>
        <v>7000</v>
      </c>
      <c r="E994" t="str">
        <f>Продажи_исходные!E994</f>
        <v>C0993</v>
      </c>
      <c r="F994" t="str">
        <f>Продажи_исходные!F994</f>
        <v>P038</v>
      </c>
      <c r="G994" t="str">
        <f>IFERROR(VLOOKUP(Продажи_исходные!G994,Справочники!$G$2:$H$50,2,FALSE),Продажи_исходные!G994)</f>
        <v>Завершен</v>
      </c>
      <c r="H994" s="4">
        <f>IFERROR(VLOOKUP(B994,Товары_очищенные!$A$1:$G$1000,6,FALSE),"нет в каталоге")</f>
        <v>72000</v>
      </c>
      <c r="I994" t="str">
        <f>IFERROR(VLOOKUP(B994,Товары_очищенные!$A$1:$G$1000,3,FALSE),"нет в каталоге")</f>
        <v>Смартфоны</v>
      </c>
      <c r="J994" t="str">
        <f t="shared" si="40"/>
        <v>OK</v>
      </c>
    </row>
    <row r="995">
      <c r="A995" s="8">
        <f>DATE(RIGHT(Продажи_исходные!A995,4),LEFT(Продажи_исходные!A995,2),MID(Продажи_исходные!A995,4,2))</f>
        <v>46168</v>
      </c>
      <c r="B995" t="str">
        <f>"АРТ-"&amp;LEFT(SUBSTITUTE(SUBSTITUTE(SUBSTITUTE(SUBSTITUTE(Продажи_исходные!B995,"№",""),"АРТ-",""),"АРТ_",""),"/","-"),3)</f>
        <v>АРТ-174</v>
      </c>
      <c r="C995" s="4">
        <f>IFERROR(VALUE(TRIM(SUBSTITUTE(SUBSTITUTE(SUBSTITUTE(SUBSTITUTE(Продажи_исходные!C995," шт.","")," шт",""),"шт.",""),"шт",""))),0)</f>
        <v>-2</v>
      </c>
      <c r="D995" s="4">
        <f>IF(LEFT(Продажи_исходные!D995,1)="$",VALUE(MID(Продажи_исходные!D995,2,255))*95,IF(LEFT(Продажи_исходные!D995,1)="€",VALUE(MID(Продажи_исходные!D995,2,255))*100,VALUE(SUBSTITUTE(SUBSTITUTE(Продажи_исходные!D995,"₽","")," ",""))))</f>
        <v>10925</v>
      </c>
      <c r="E995" t="str">
        <f>Продажи_исходные!E995</f>
        <v>C0994</v>
      </c>
      <c r="F995" t="str">
        <f>Продажи_исходные!F995</f>
        <v>P016</v>
      </c>
      <c r="G995" t="str">
        <f>IFERROR(VLOOKUP(Продажи_исходные!G995,Справочники!$G$2:$H$50,2,FALSE),Продажи_исходные!G995)</f>
        <v>Завершен</v>
      </c>
      <c r="H995" s="4">
        <f>IFERROR(VLOOKUP(B995,Товары_очищенные!$A$1:$G$1000,6,FALSE),"нет в каталоге")</f>
        <v>107500</v>
      </c>
      <c r="I995" t="str">
        <f>IFERROR(VLOOKUP(B995,Товары_очищенные!$A$1:$G$1000,3,FALSE),"нет в каталоге")</f>
        <v>Ноутбуки</v>
      </c>
      <c r="J995" t="str">
        <f t="shared" si="40"/>
        <v>OK</v>
      </c>
    </row>
    <row r="996">
      <c r="A996" s="8">
        <f>DATE(RIGHT(Продажи_исходные!A996,4),LEFT(Продажи_исходные!A996,2),MID(Продажи_исходные!A996,4,2))</f>
        <v>46169</v>
      </c>
      <c r="B996" t="str">
        <f>"АРТ-"&amp;LEFT(SUBSTITUTE(SUBSTITUTE(SUBSTITUTE(SUBSTITUTE(Продажи_исходные!B996,"№",""),"АРТ-",""),"АРТ_",""),"/","-"),3)</f>
        <v>АРТ-269</v>
      </c>
      <c r="C996" s="4">
        <f>IFERROR(VALUE(TRIM(SUBSTITUTE(SUBSTITUTE(SUBSTITUTE(SUBSTITUTE(Продажи_исходные!C996," шт.","")," шт",""),"шт.",""),"шт",""))),0)</f>
        <v>1</v>
      </c>
      <c r="D996" s="4">
        <f>IF(LEFT(Продажи_исходные!D996,1)="$",VALUE(MID(Продажи_исходные!D996,2,255))*95,IF(LEFT(Продажи_исходные!D996,1)="€",VALUE(MID(Продажи_исходные!D996,2,255))*100,VALUE(SUBSTITUTE(SUBSTITUTE(Продажи_исходные!D996,"₽","")," ",""))))</f>
        <v>9500</v>
      </c>
      <c r="E996" t="str">
        <f>Продажи_исходные!E996</f>
        <v>C0995</v>
      </c>
      <c r="F996" t="str">
        <f>Продажи_исходные!F996</f>
        <v>P029</v>
      </c>
      <c r="G996" t="str">
        <f>IFERROR(VLOOKUP(Продажи_исходные!G996,Справочники!$G$2:$H$50,2,FALSE),Продажи_исходные!G996)</f>
        <v>Завершен</v>
      </c>
      <c r="H996" s="4">
        <f>IFERROR(VLOOKUP(B996,Товары_очищенные!$A$1:$G$1000,6,FALSE),"нет в каталоге")</f>
        <v>21500</v>
      </c>
      <c r="I996" t="str">
        <f>IFERROR(VLOOKUP(B996,Товары_очищенные!$A$1:$G$1000,3,FALSE),"нет в каталоге")</f>
        <v>Аксессуары</v>
      </c>
      <c r="J996" t="str">
        <f t="shared" ref="J996:J999" si="41">IF(D996&gt;0,"OK","Некорректная цена")</f>
        <v>OK</v>
      </c>
    </row>
    <row r="997">
      <c r="A997" s="8">
        <f>DATE(RIGHT(Продажи_исходные!A997,4),LEFT(Продажи_исходные!A997,2),MID(Продажи_исходные!A997,4,2))</f>
        <v>46169</v>
      </c>
      <c r="B997" t="str">
        <f>"АРТ-"&amp;LEFT(SUBSTITUTE(SUBSTITUTE(SUBSTITUTE(SUBSTITUTE(Продажи_исходные!B997,"№",""),"АРТ-",""),"АРТ_",""),"/","-"),3)</f>
        <v>АРТ-289</v>
      </c>
      <c r="C997" s="4">
        <f>IFERROR(VALUE(TRIM(SUBSTITUTE(SUBSTITUTE(SUBSTITUTE(SUBSTITUTE(Продажи_исходные!C997," шт.","")," шт",""),"шт.",""),"шт",""))),0)</f>
        <v>2</v>
      </c>
      <c r="D997" s="4">
        <f>IF(LEFT(Продажи_исходные!D997,1)="$",VALUE(MID(Продажи_исходные!D997,2,255))*95,IF(LEFT(Продажи_исходные!D997,1)="€",VALUE(MID(Продажи_исходные!D997,2,255))*100,VALUE(SUBSTITUTE(SUBSTITUTE(Продажи_исходные!D997,"₽","")," ",""))))</f>
        <v>8500</v>
      </c>
      <c r="E997" t="str">
        <f>Продажи_исходные!E997</f>
        <v>C0996</v>
      </c>
      <c r="F997" t="str">
        <f>Продажи_исходные!F997</f>
        <v>P035</v>
      </c>
      <c r="G997" t="str">
        <f>IFERROR(VLOOKUP(Продажи_исходные!G997,Справочники!$G$2:$H$50,2,FALSE),Продажи_исходные!G997)</f>
        <v>Отменен</v>
      </c>
      <c r="H997" s="4">
        <f>IFERROR(VLOOKUP(B997,Товары_очищенные!$A$1:$G$1000,6,FALSE),"нет в каталоге")</f>
        <v>62990</v>
      </c>
      <c r="I997" t="str">
        <f>IFERROR(VLOOKUP(B997,Товары_очищенные!$A$1:$G$1000,3,FALSE),"нет в каталоге")</f>
        <v>Часы</v>
      </c>
      <c r="J997" t="str">
        <f t="shared" si="41"/>
        <v>OK</v>
      </c>
    </row>
    <row r="998">
      <c r="A998" s="8">
        <f>DATE(RIGHT(Продажи_исходные!A998,4),LEFT(Продажи_исходные!A998,2),MID(Продажи_исходные!A998,4,2))</f>
        <v>46170</v>
      </c>
      <c r="B998" t="str">
        <f>"АРТ-"&amp;LEFT(SUBSTITUTE(SUBSTITUTE(SUBSTITUTE(SUBSTITUTE(Продажи_исходные!B998,"№",""),"АРТ-",""),"АРТ_",""),"/","-"),3)</f>
        <v>АРТ-097</v>
      </c>
      <c r="C998" s="4">
        <f>IFERROR(VALUE(TRIM(SUBSTITUTE(SUBSTITUTE(SUBSTITUTE(SUBSTITUTE(Продажи_исходные!C998," шт.","")," шт",""),"шт.",""),"шт",""))),0)</f>
        <v>3</v>
      </c>
      <c r="D998" s="4">
        <f>IF(LEFT(Продажи_исходные!D998,1)="$",VALUE(MID(Продажи_исходные!D998,2,255))*95,IF(LEFT(Продажи_исходные!D998,1)="€",VALUE(MID(Продажи_исходные!D998,2,255))*100,VALUE(SUBSTITUTE(SUBSTITUTE(Продажи_исходные!D998,"₽","")," ",""))))</f>
        <v>9975</v>
      </c>
      <c r="E998" t="str">
        <f>Продажи_исходные!E998</f>
        <v>C0997</v>
      </c>
      <c r="F998" t="str">
        <f>Продажи_исходные!F998</f>
        <v>P046</v>
      </c>
      <c r="G998" t="str">
        <f>IFERROR(VLOOKUP(Продажи_исходные!G998,Справочники!$G$2:$H$50,2,FALSE),Продажи_исходные!G998)</f>
        <v>Отменен</v>
      </c>
      <c r="H998" s="4">
        <f>IFERROR(VLOOKUP(B998,Товары_очищенные!$A$1:$G$1000,6,FALSE),"нет в каталоге")</f>
        <v>6990</v>
      </c>
      <c r="I998" t="str">
        <f>IFERROR(VLOOKUP(B998,Товары_очищенные!$A$1:$G$1000,3,FALSE),"нет в каталоге")</f>
        <v>Аксессуары</v>
      </c>
      <c r="J998" t="str">
        <f t="shared" si="41"/>
        <v>OK</v>
      </c>
    </row>
    <row r="999">
      <c r="A999" s="8">
        <f>DATE(RIGHT(Продажи_исходные!A999,4),LEFT(Продажи_исходные!A999,2),MID(Продажи_исходные!A999,4,2))</f>
        <v>46170</v>
      </c>
      <c r="B999" t="str">
        <f>"АРТ-"&amp;LEFT(SUBSTITUTE(SUBSTITUTE(SUBSTITUTE(SUBSTITUTE(Продажи_исходные!B999,"№",""),"АРТ-",""),"АРТ_",""),"/","-"),3)</f>
        <v>АРТ-411</v>
      </c>
      <c r="C999" s="4">
        <f>IFERROR(VALUE(TRIM(SUBSTITUTE(SUBSTITUTE(SUBSTITUTE(SUBSTITUTE(Продажи_исходные!C999," шт.","")," шт",""),"шт.",""),"шт",""))),0)</f>
        <v>2</v>
      </c>
      <c r="D999" s="4">
        <f>IF(LEFT(Продажи_исходные!D999,1)="$",VALUE(MID(Продажи_исходные!D999,2,255))*95,IF(LEFT(Продажи_исходные!D999,1)="€",VALUE(MID(Продажи_исходные!D999,2,255))*100,VALUE(SUBSTITUTE(SUBSTITUTE(Продажи_исходные!D999,"₽","")," ",""))))</f>
        <v>8500</v>
      </c>
      <c r="E999" t="str">
        <f>Продажи_исходные!E999</f>
        <v>C0998</v>
      </c>
      <c r="F999" t="str">
        <f>Продажи_исходные!F999</f>
        <v>P022</v>
      </c>
      <c r="G999" t="str">
        <f>IFERROR(VLOOKUP(Продажи_исходные!G999,Справочники!$G$2:$H$50,2,FALSE),Продажи_исходные!G999)</f>
        <v>Возврат</v>
      </c>
      <c r="H999" s="4">
        <f>IFERROR(VLOOKUP(B999,Товары_очищенные!$A$1:$G$1000,6,FALSE),"нет в каталоге")</f>
        <v>41500</v>
      </c>
      <c r="I999" t="str">
        <f>IFERROR(VLOOKUP(B999,Товары_очищенные!$A$1:$G$1000,3,FALSE),"нет в каталоге")</f>
        <v>Наушники</v>
      </c>
      <c r="J999" t="str">
        <f t="shared" si="41"/>
        <v>OK</v>
      </c>
    </row>
    <row r="1000">
      <c r="A1000" s="8">
        <f>DATE(RIGHT('Продажи_исходные'!A1000,4),LEFT('Продажи_исходные'!A1000,2),MID('Продажи_исходные'!A1000,4,2))</f>
        <v>46171</v>
      </c>
      <c r="B1000" t="str">
        <f>"АРТ-"&amp;LEFT(SUBSTITUTE(SUBSTITUTE(SUBSTITUTE(SUBSTITUTE('Продажи_исходные'!B1000,"№",""),"АРТ-",""),"АРТ_",""),"/","-"),3)</f>
        <v>АРТ-372</v>
      </c>
      <c r="C1000" s="4">
        <f>IFERROR(VALUE(TRIM(SUBSTITUTE(SUBSTITUTE(SUBSTITUTE(SUBSTITUTE('Продажи_исходные'!C1000," шт.","")," шт",""),"шт.",""),"шт",""))),0)</f>
        <v>1</v>
      </c>
      <c r="D1000" s="4">
        <f>IF(LEFT('Продажи_исходные'!D1000,1)="$",VALUE(MID('Продажи_исходные'!D1000,2,255))*95,IF(LEFT('Продажи_исходные'!D1000,1)="€",VALUE(MID('Продажи_исходные'!D1000,2,255))*100,VALUE(SUBSTITUTE(SUBSTITUTE('Продажи_исходные'!D1000,"₽","")," ",""))))</f>
        <v>7800</v>
      </c>
      <c r="E1000" t="str">
        <f>'Продажи_исходные'!E1000</f>
        <v>C0999</v>
      </c>
      <c r="F1000" t="str">
        <f>'Продажи_исходные'!F1000</f>
        <v>P043</v>
      </c>
      <c r="G1000" t="str">
        <f>IFERROR(VLOOKUP('Продажи_исходные'!G1000,Справочники!$G$2:$H$50,2,FALSE),'Продажи_исходные'!G1000)</f>
        <v>Завершен</v>
      </c>
      <c r="H1000" s="4">
        <f>IFERROR(VLOOKUP(B1000,'Товары_очищенные'!$A$1:$G$1000,6,FALSE),"нет в каталоге")</f>
        <v>52000</v>
      </c>
      <c r="I1000" t="str">
        <f>IFERROR(VLOOKUP(B1000,'Товары_очищенные'!$A$1:$G$1000,3,FALSE),"нет в каталоге")</f>
        <v>Мониторы</v>
      </c>
      <c r="J1000" t="str">
        <f t="shared" ref="J1000:J1001" si="42">IF(D1000&gt;0,"OK","Некорректная цена")</f>
        <v>OK</v>
      </c>
    </row>
    <row r="1001">
      <c r="A1001" s="8">
        <f>DATE(RIGHT(Продажи_исходные!A1001,4),LEFT(Продажи_исходные!A1001,2),MID(Продажи_исходные!A1001,4,2))</f>
        <v>46171</v>
      </c>
      <c r="B1001" t="str">
        <f>"АРТ-"&amp;LEFT(SUBSTITUTE(SUBSTITUTE(SUBSTITUTE(SUBSTITUTE(Продажи_исходные!B1001,"№",""),"АРТ-",""),"АРТ_",""),"/","-"),3)</f>
        <v>АРТ-357</v>
      </c>
      <c r="C1001" s="4">
        <f>IFERROR(VALUE(TRIM(SUBSTITUTE(SUBSTITUTE(SUBSTITUTE(SUBSTITUTE(Продажи_исходные!C1001," шт.","")," шт",""),"шт.",""),"шт",""))),0)</f>
        <v>-3</v>
      </c>
      <c r="D1001" s="4">
        <f>IF(LEFT(Продажи_исходные!D1001,1)="$",VALUE(MID(Продажи_исходные!D1001,2,255))*95,IF(LEFT(Продажи_исходные!D1001,1)="€",VALUE(MID(Продажи_исходные!D1001,2,255))*100,VALUE(SUBSTITUTE(SUBSTITUTE(Продажи_исходные!D1001,"₽","")," ",""))))</f>
        <v>11400</v>
      </c>
      <c r="E1001" t="str">
        <f>Продажи_исходные!E1001</f>
        <v>C1000</v>
      </c>
      <c r="F1001" t="str">
        <f>Продажи_исходные!F1001</f>
        <v>P030</v>
      </c>
      <c r="G1001" t="str">
        <f>IFERROR(VLOOKUP(Продажи_исходные!G1001,Справочники!$G$2:$H$50,2,FALSE),Продажи_исходные!G1001)</f>
        <v>Завершен</v>
      </c>
      <c r="H1001" s="4">
        <f>IFERROR(VLOOKUP(B1001,Товары_очищенные!$A$1:$G$1000,6,FALSE),"нет в каталоге")</f>
        <v>88000</v>
      </c>
      <c r="I1001" t="str">
        <f>IFERROR(VLOOKUP(B1001,Товары_очищенные!$A$1:$G$1000,3,FALSE),"нет в каталоге")</f>
        <v>Смартфоны</v>
      </c>
      <c r="J1001" t="str">
        <f t="shared" si="42"/>
        <v>OK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8" defaultRowHeight="14.25"/>
  <cols>
    <col bestFit="1" min="1" max="1" width="10.90234375"/>
    <col bestFit="1" min="2" max="2" width="35.47265625"/>
    <col bestFit="1" min="3" max="3" width="15.19140625"/>
    <col bestFit="1" min="4" max="4" width="15.57421875"/>
    <col bestFit="1" min="5" max="5" width="21.28125"/>
    <col bestFit="1" min="6" max="6" width="22.140625"/>
    <col bestFit="1" min="7" max="7" width="17.47265625"/>
  </cols>
  <sheetData>
    <row r="1">
      <c r="A1" s="2" t="s">
        <v>1879</v>
      </c>
      <c r="B1" s="2" t="s">
        <v>3933</v>
      </c>
      <c r="C1" s="2" t="s">
        <v>3934</v>
      </c>
      <c r="D1" s="2" t="s">
        <v>1550</v>
      </c>
      <c r="E1" s="2" t="s">
        <v>1551</v>
      </c>
      <c r="F1" s="2" t="s">
        <v>3935</v>
      </c>
      <c r="G1" s="2" t="s">
        <v>3936</v>
      </c>
    </row>
    <row r="2">
      <c r="A2" t="s">
        <v>1885</v>
      </c>
      <c r="B2" t="s">
        <v>3937</v>
      </c>
      <c r="C2" t="s">
        <v>3938</v>
      </c>
      <c r="D2" t="s">
        <v>1557</v>
      </c>
      <c r="E2" t="s">
        <v>3939</v>
      </c>
      <c r="F2" t="s">
        <v>3940</v>
      </c>
      <c r="G2" t="s">
        <v>3941</v>
      </c>
    </row>
    <row r="3">
      <c r="A3" t="s">
        <v>1890</v>
      </c>
      <c r="B3" t="s">
        <v>3942</v>
      </c>
      <c r="C3" t="s">
        <v>3943</v>
      </c>
      <c r="D3" t="s">
        <v>1564</v>
      </c>
      <c r="E3" t="s">
        <v>3944</v>
      </c>
      <c r="F3" t="s">
        <v>3945</v>
      </c>
      <c r="G3" t="s">
        <v>3946</v>
      </c>
    </row>
    <row r="4">
      <c r="A4" t="s">
        <v>1895</v>
      </c>
      <c r="B4" t="s">
        <v>3947</v>
      </c>
      <c r="C4" t="s">
        <v>3948</v>
      </c>
      <c r="D4" t="s">
        <v>1571</v>
      </c>
      <c r="E4" t="s">
        <v>3949</v>
      </c>
      <c r="F4" t="s">
        <v>3950</v>
      </c>
      <c r="G4" t="s">
        <v>3951</v>
      </c>
    </row>
    <row r="5">
      <c r="A5" t="s">
        <v>1900</v>
      </c>
      <c r="B5" t="s">
        <v>3952</v>
      </c>
      <c r="C5" t="s">
        <v>3953</v>
      </c>
      <c r="D5" t="s">
        <v>1578</v>
      </c>
      <c r="E5" t="s">
        <v>3954</v>
      </c>
      <c r="F5" t="s">
        <v>3955</v>
      </c>
      <c r="G5" t="s">
        <v>3956</v>
      </c>
    </row>
    <row r="6">
      <c r="A6" t="s">
        <v>1906</v>
      </c>
      <c r="B6" t="s">
        <v>3957</v>
      </c>
      <c r="C6" t="s">
        <v>3958</v>
      </c>
      <c r="D6" t="s">
        <v>1647</v>
      </c>
      <c r="E6" t="s">
        <v>3959</v>
      </c>
      <c r="F6" t="s">
        <v>3960</v>
      </c>
      <c r="G6" t="s">
        <v>3961</v>
      </c>
    </row>
    <row r="7">
      <c r="A7" t="s">
        <v>1909</v>
      </c>
      <c r="B7" t="s">
        <v>3962</v>
      </c>
      <c r="C7" t="s">
        <v>3963</v>
      </c>
      <c r="D7" t="s">
        <v>3964</v>
      </c>
      <c r="E7" t="s">
        <v>3965</v>
      </c>
      <c r="F7" t="s">
        <v>3966</v>
      </c>
      <c r="G7" t="s">
        <v>3967</v>
      </c>
    </row>
    <row r="8">
      <c r="A8" t="s">
        <v>1915</v>
      </c>
      <c r="B8" t="s">
        <v>3968</v>
      </c>
      <c r="C8" t="s">
        <v>3969</v>
      </c>
      <c r="D8" t="s">
        <v>3970</v>
      </c>
      <c r="E8" t="s">
        <v>3971</v>
      </c>
      <c r="F8" t="s">
        <v>3972</v>
      </c>
      <c r="G8" t="s">
        <v>3973</v>
      </c>
    </row>
    <row r="9">
      <c r="A9" t="s">
        <v>1918</v>
      </c>
      <c r="B9" t="s">
        <v>3974</v>
      </c>
      <c r="C9" t="s">
        <v>3975</v>
      </c>
      <c r="D9" t="s">
        <v>1592</v>
      </c>
      <c r="E9" t="s">
        <v>3976</v>
      </c>
      <c r="F9" t="s">
        <v>3977</v>
      </c>
      <c r="G9" t="s">
        <v>3978</v>
      </c>
    </row>
    <row r="10">
      <c r="A10" t="s">
        <v>1923</v>
      </c>
      <c r="B10" t="s">
        <v>3979</v>
      </c>
      <c r="C10" t="s">
        <v>3980</v>
      </c>
      <c r="D10" t="s">
        <v>3981</v>
      </c>
      <c r="E10" t="s">
        <v>3982</v>
      </c>
      <c r="F10" t="s">
        <v>3983</v>
      </c>
      <c r="G10" t="s">
        <v>3984</v>
      </c>
    </row>
    <row r="11">
      <c r="A11" t="s">
        <v>1927</v>
      </c>
      <c r="B11" t="s">
        <v>3985</v>
      </c>
      <c r="C11" t="s">
        <v>3986</v>
      </c>
      <c r="D11" t="s">
        <v>3987</v>
      </c>
      <c r="E11" t="s">
        <v>3988</v>
      </c>
      <c r="F11" t="s">
        <v>3989</v>
      </c>
      <c r="G11" t="s">
        <v>3990</v>
      </c>
    </row>
    <row r="12">
      <c r="A12" t="s">
        <v>1932</v>
      </c>
      <c r="B12" t="s">
        <v>3991</v>
      </c>
      <c r="C12" t="s">
        <v>3992</v>
      </c>
      <c r="D12" t="s">
        <v>1606</v>
      </c>
      <c r="E12" t="s">
        <v>3993</v>
      </c>
      <c r="F12" t="s">
        <v>3994</v>
      </c>
      <c r="G12" t="s">
        <v>3995</v>
      </c>
    </row>
    <row r="13">
      <c r="A13" t="s">
        <v>1935</v>
      </c>
      <c r="B13" t="s">
        <v>3996</v>
      </c>
      <c r="C13" t="s">
        <v>3997</v>
      </c>
      <c r="D13" t="s">
        <v>3998</v>
      </c>
      <c r="E13" t="s">
        <v>3999</v>
      </c>
      <c r="F13" t="s">
        <v>4000</v>
      </c>
      <c r="G13" t="s">
        <v>4001</v>
      </c>
    </row>
    <row r="14">
      <c r="A14" t="s">
        <v>1939</v>
      </c>
      <c r="B14" t="s">
        <v>4002</v>
      </c>
      <c r="C14" t="s">
        <v>4003</v>
      </c>
      <c r="D14" t="s">
        <v>1613</v>
      </c>
      <c r="E14" t="s">
        <v>4004</v>
      </c>
      <c r="F14" t="s">
        <v>4005</v>
      </c>
      <c r="G14" t="s">
        <v>4006</v>
      </c>
    </row>
    <row r="15">
      <c r="A15" t="s">
        <v>1942</v>
      </c>
      <c r="B15" t="s">
        <v>4007</v>
      </c>
      <c r="C15" t="s">
        <v>4008</v>
      </c>
      <c r="D15" t="s">
        <v>1620</v>
      </c>
      <c r="E15" t="s">
        <v>4009</v>
      </c>
      <c r="F15" t="s">
        <v>4010</v>
      </c>
      <c r="G15" t="s">
        <v>4011</v>
      </c>
    </row>
    <row r="16">
      <c r="A16" t="s">
        <v>1946</v>
      </c>
      <c r="B16" t="s">
        <v>4012</v>
      </c>
      <c r="C16" t="s">
        <v>4013</v>
      </c>
      <c r="D16" t="s">
        <v>4014</v>
      </c>
      <c r="E16" t="s">
        <v>4015</v>
      </c>
      <c r="F16" t="s">
        <v>4016</v>
      </c>
      <c r="G16" t="s">
        <v>4017</v>
      </c>
    </row>
    <row r="17">
      <c r="A17" t="s">
        <v>1948</v>
      </c>
      <c r="B17" t="s">
        <v>4018</v>
      </c>
      <c r="C17" t="s">
        <v>4019</v>
      </c>
      <c r="D17" t="s">
        <v>4020</v>
      </c>
      <c r="E17" t="s">
        <v>4021</v>
      </c>
      <c r="F17" t="s">
        <v>4022</v>
      </c>
      <c r="G17" t="s">
        <v>4023</v>
      </c>
    </row>
    <row r="18">
      <c r="A18" t="s">
        <v>1952</v>
      </c>
      <c r="B18" t="s">
        <v>4024</v>
      </c>
      <c r="C18" t="s">
        <v>4025</v>
      </c>
      <c r="D18" t="s">
        <v>1557</v>
      </c>
      <c r="E18" t="s">
        <v>4026</v>
      </c>
      <c r="F18" t="s">
        <v>4027</v>
      </c>
      <c r="G18" t="s">
        <v>4028</v>
      </c>
    </row>
    <row r="19">
      <c r="A19" t="s">
        <v>1955</v>
      </c>
      <c r="B19" t="s">
        <v>4029</v>
      </c>
      <c r="C19" t="s">
        <v>4030</v>
      </c>
      <c r="D19" t="s">
        <v>4031</v>
      </c>
      <c r="E19" t="s">
        <v>4032</v>
      </c>
      <c r="F19" t="s">
        <v>4033</v>
      </c>
      <c r="G19" t="s">
        <v>4034</v>
      </c>
    </row>
    <row r="20">
      <c r="A20" t="s">
        <v>1959</v>
      </c>
      <c r="B20" t="s">
        <v>4035</v>
      </c>
      <c r="C20" t="s">
        <v>4036</v>
      </c>
      <c r="D20" t="s">
        <v>4037</v>
      </c>
      <c r="E20" t="s">
        <v>4038</v>
      </c>
      <c r="F20" t="s">
        <v>4039</v>
      </c>
      <c r="G20" t="s">
        <v>4040</v>
      </c>
    </row>
    <row r="21">
      <c r="A21" t="s">
        <v>1962</v>
      </c>
      <c r="B21" t="s">
        <v>4041</v>
      </c>
      <c r="C21" t="s">
        <v>4042</v>
      </c>
      <c r="D21" t="s">
        <v>1699</v>
      </c>
      <c r="E21" t="s">
        <v>4043</v>
      </c>
      <c r="F21" t="s">
        <v>4044</v>
      </c>
      <c r="G21" t="s">
        <v>4045</v>
      </c>
    </row>
    <row r="22">
      <c r="A22" t="s">
        <v>1966</v>
      </c>
      <c r="B22" t="s">
        <v>4046</v>
      </c>
      <c r="C22" t="s">
        <v>4047</v>
      </c>
      <c r="D22" t="s">
        <v>1571</v>
      </c>
      <c r="E22" t="s">
        <v>4048</v>
      </c>
      <c r="F22" t="s">
        <v>4049</v>
      </c>
      <c r="G22" t="s">
        <v>4050</v>
      </c>
    </row>
    <row r="23">
      <c r="A23" t="s">
        <v>1970</v>
      </c>
      <c r="B23" t="s">
        <v>4051</v>
      </c>
      <c r="C23" t="s">
        <v>4052</v>
      </c>
      <c r="D23" t="s">
        <v>4053</v>
      </c>
      <c r="E23" t="s">
        <v>4054</v>
      </c>
      <c r="F23" t="s">
        <v>4055</v>
      </c>
      <c r="G23" t="s">
        <v>4056</v>
      </c>
    </row>
    <row r="24">
      <c r="A24" t="s">
        <v>1973</v>
      </c>
      <c r="B24" t="s">
        <v>4057</v>
      </c>
      <c r="C24" t="s">
        <v>4058</v>
      </c>
      <c r="D24" t="s">
        <v>4059</v>
      </c>
      <c r="E24" t="s">
        <v>4060</v>
      </c>
      <c r="F24" t="s">
        <v>4061</v>
      </c>
      <c r="G24" t="s">
        <v>4062</v>
      </c>
    </row>
    <row r="25">
      <c r="A25" t="s">
        <v>1976</v>
      </c>
      <c r="B25" t="s">
        <v>4063</v>
      </c>
      <c r="C25" t="s">
        <v>4064</v>
      </c>
      <c r="D25" t="s">
        <v>4065</v>
      </c>
      <c r="E25" t="s">
        <v>4066</v>
      </c>
      <c r="F25" t="s">
        <v>4067</v>
      </c>
      <c r="G25" t="s">
        <v>4068</v>
      </c>
    </row>
    <row r="26">
      <c r="A26" t="s">
        <v>1979</v>
      </c>
      <c r="B26" t="s">
        <v>4069</v>
      </c>
      <c r="C26" t="s">
        <v>4070</v>
      </c>
      <c r="D26" t="s">
        <v>1578</v>
      </c>
      <c r="E26" t="s">
        <v>4071</v>
      </c>
      <c r="F26" t="s">
        <v>4072</v>
      </c>
      <c r="G26" t="s">
        <v>4073</v>
      </c>
    </row>
    <row r="27">
      <c r="A27" t="s">
        <v>1982</v>
      </c>
      <c r="B27" t="s">
        <v>4074</v>
      </c>
      <c r="C27" t="s">
        <v>4075</v>
      </c>
      <c r="D27" t="s">
        <v>1647</v>
      </c>
      <c r="E27" t="s">
        <v>4076</v>
      </c>
      <c r="F27" t="s">
        <v>4077</v>
      </c>
      <c r="G27" t="s">
        <v>4078</v>
      </c>
    </row>
    <row r="28">
      <c r="A28" t="s">
        <v>1986</v>
      </c>
      <c r="B28" t="s">
        <v>4079</v>
      </c>
      <c r="C28" t="s">
        <v>4080</v>
      </c>
      <c r="D28" t="s">
        <v>3964</v>
      </c>
      <c r="E28" t="s">
        <v>4081</v>
      </c>
      <c r="F28" t="s">
        <v>4082</v>
      </c>
      <c r="G28" t="s">
        <v>4083</v>
      </c>
    </row>
    <row r="29">
      <c r="A29" t="s">
        <v>1988</v>
      </c>
      <c r="B29" t="s">
        <v>4084</v>
      </c>
      <c r="C29" t="s">
        <v>4085</v>
      </c>
      <c r="D29" t="s">
        <v>3970</v>
      </c>
      <c r="E29" t="s">
        <v>4086</v>
      </c>
      <c r="F29" t="s">
        <v>4087</v>
      </c>
      <c r="G29" t="s">
        <v>4088</v>
      </c>
    </row>
    <row r="30">
      <c r="A30" t="s">
        <v>1992</v>
      </c>
      <c r="B30" t="s">
        <v>4089</v>
      </c>
      <c r="C30" t="s">
        <v>4090</v>
      </c>
      <c r="D30" t="s">
        <v>1585</v>
      </c>
      <c r="E30" t="s">
        <v>4091</v>
      </c>
      <c r="F30" t="s">
        <v>4092</v>
      </c>
      <c r="G30" t="s">
        <v>4093</v>
      </c>
    </row>
    <row r="31">
      <c r="A31" t="s">
        <v>1995</v>
      </c>
      <c r="B31" t="s">
        <v>4094</v>
      </c>
      <c r="C31" t="s">
        <v>4095</v>
      </c>
      <c r="D31" t="s">
        <v>4096</v>
      </c>
      <c r="E31" t="s">
        <v>4097</v>
      </c>
      <c r="F31" t="s">
        <v>4098</v>
      </c>
      <c r="G31" t="s">
        <v>4099</v>
      </c>
    </row>
    <row r="32">
      <c r="A32" t="s">
        <v>1998</v>
      </c>
      <c r="B32" t="s">
        <v>4100</v>
      </c>
      <c r="C32" t="s">
        <v>4101</v>
      </c>
      <c r="D32" t="s">
        <v>4102</v>
      </c>
      <c r="E32" t="s">
        <v>4103</v>
      </c>
      <c r="F32" t="s">
        <v>4104</v>
      </c>
      <c r="G32" t="s">
        <v>4105</v>
      </c>
    </row>
    <row r="33">
      <c r="A33" t="s">
        <v>2000</v>
      </c>
      <c r="B33" t="s">
        <v>4106</v>
      </c>
      <c r="C33" t="s">
        <v>4107</v>
      </c>
      <c r="D33" t="s">
        <v>1592</v>
      </c>
      <c r="E33" t="s">
        <v>4108</v>
      </c>
      <c r="F33" t="s">
        <v>4109</v>
      </c>
      <c r="G33" t="s">
        <v>4110</v>
      </c>
    </row>
    <row r="34">
      <c r="A34" t="s">
        <v>2004</v>
      </c>
      <c r="B34" t="s">
        <v>4111</v>
      </c>
      <c r="C34" t="s">
        <v>4112</v>
      </c>
      <c r="D34" t="s">
        <v>3981</v>
      </c>
      <c r="E34" t="s">
        <v>4113</v>
      </c>
      <c r="F34" t="s">
        <v>4114</v>
      </c>
      <c r="G34" t="s">
        <v>4115</v>
      </c>
    </row>
    <row r="35">
      <c r="A35" t="s">
        <v>2005</v>
      </c>
      <c r="B35" t="s">
        <v>4116</v>
      </c>
      <c r="C35" t="s">
        <v>4117</v>
      </c>
      <c r="D35" t="s">
        <v>4118</v>
      </c>
      <c r="E35" t="s">
        <v>4119</v>
      </c>
      <c r="F35" t="s">
        <v>4120</v>
      </c>
      <c r="G35" t="s">
        <v>4121</v>
      </c>
    </row>
    <row r="36">
      <c r="A36" t="s">
        <v>2008</v>
      </c>
      <c r="B36" t="s">
        <v>4122</v>
      </c>
      <c r="C36" t="s">
        <v>4123</v>
      </c>
      <c r="D36" t="s">
        <v>4124</v>
      </c>
      <c r="E36" t="s">
        <v>4125</v>
      </c>
      <c r="F36" t="s">
        <v>4126</v>
      </c>
      <c r="G36" t="s">
        <v>4127</v>
      </c>
    </row>
    <row r="37">
      <c r="A37" t="s">
        <v>2009</v>
      </c>
      <c r="B37" t="s">
        <v>4128</v>
      </c>
      <c r="C37" t="s">
        <v>4129</v>
      </c>
      <c r="D37" t="s">
        <v>4130</v>
      </c>
      <c r="E37" t="s">
        <v>4131</v>
      </c>
      <c r="F37" t="s">
        <v>4132</v>
      </c>
      <c r="G37" t="s">
        <v>4133</v>
      </c>
    </row>
    <row r="38">
      <c r="A38" t="s">
        <v>2012</v>
      </c>
      <c r="B38" t="s">
        <v>4134</v>
      </c>
      <c r="C38" t="s">
        <v>4135</v>
      </c>
      <c r="D38" t="s">
        <v>3987</v>
      </c>
      <c r="E38" t="s">
        <v>4136</v>
      </c>
      <c r="F38" t="s">
        <v>4137</v>
      </c>
      <c r="G38" t="s">
        <v>4138</v>
      </c>
    </row>
    <row r="39">
      <c r="A39" t="s">
        <v>2015</v>
      </c>
      <c r="B39" t="s">
        <v>4139</v>
      </c>
      <c r="C39" t="s">
        <v>4140</v>
      </c>
      <c r="D39" t="s">
        <v>1606</v>
      </c>
      <c r="E39" t="s">
        <v>4141</v>
      </c>
      <c r="F39" t="s">
        <v>4142</v>
      </c>
      <c r="G39" t="s">
        <v>4143</v>
      </c>
    </row>
    <row r="40">
      <c r="A40" t="s">
        <v>2017</v>
      </c>
      <c r="B40" t="s">
        <v>4144</v>
      </c>
      <c r="C40" t="s">
        <v>4145</v>
      </c>
      <c r="D40" t="s">
        <v>3998</v>
      </c>
      <c r="E40" t="s">
        <v>4146</v>
      </c>
      <c r="F40" t="s">
        <v>4147</v>
      </c>
      <c r="G40" t="s">
        <v>4148</v>
      </c>
    </row>
    <row r="41">
      <c r="A41" t="s">
        <v>2019</v>
      </c>
      <c r="B41" t="s">
        <v>4149</v>
      </c>
      <c r="C41" t="s">
        <v>4150</v>
      </c>
      <c r="D41" t="s">
        <v>1613</v>
      </c>
      <c r="E41" t="s">
        <v>4151</v>
      </c>
      <c r="F41" t="s">
        <v>4152</v>
      </c>
      <c r="G41" t="s">
        <v>4153</v>
      </c>
    </row>
    <row r="42">
      <c r="A42" t="s">
        <v>2022</v>
      </c>
      <c r="B42" t="s">
        <v>4154</v>
      </c>
      <c r="C42" t="s">
        <v>4155</v>
      </c>
      <c r="D42" t="s">
        <v>4156</v>
      </c>
      <c r="E42" t="s">
        <v>4157</v>
      </c>
      <c r="F42" t="s">
        <v>4158</v>
      </c>
      <c r="G42" t="s">
        <v>4159</v>
      </c>
    </row>
    <row r="43">
      <c r="A43" t="s">
        <v>2024</v>
      </c>
      <c r="B43" t="s">
        <v>4160</v>
      </c>
      <c r="C43" t="s">
        <v>4161</v>
      </c>
      <c r="D43" t="s">
        <v>4162</v>
      </c>
      <c r="E43" t="s">
        <v>4163</v>
      </c>
      <c r="F43" t="s">
        <v>4164</v>
      </c>
      <c r="G43" t="s">
        <v>4165</v>
      </c>
    </row>
    <row r="44">
      <c r="A44" t="s">
        <v>2028</v>
      </c>
      <c r="B44" t="s">
        <v>4166</v>
      </c>
      <c r="C44" t="s">
        <v>4167</v>
      </c>
      <c r="D44" t="s">
        <v>4168</v>
      </c>
      <c r="E44" t="s">
        <v>4169</v>
      </c>
      <c r="F44" t="s">
        <v>4170</v>
      </c>
      <c r="G44" t="s">
        <v>4171</v>
      </c>
    </row>
    <row r="45">
      <c r="A45" t="s">
        <v>2030</v>
      </c>
      <c r="B45" t="s">
        <v>4172</v>
      </c>
      <c r="C45" t="s">
        <v>4173</v>
      </c>
      <c r="D45" t="s">
        <v>1620</v>
      </c>
      <c r="E45" t="s">
        <v>4174</v>
      </c>
      <c r="F45" t="s">
        <v>4175</v>
      </c>
      <c r="G45" t="s">
        <v>4176</v>
      </c>
    </row>
    <row r="46">
      <c r="A46" t="s">
        <v>2034</v>
      </c>
      <c r="B46" t="s">
        <v>4177</v>
      </c>
      <c r="C46" t="s">
        <v>4178</v>
      </c>
      <c r="D46" t="s">
        <v>4014</v>
      </c>
      <c r="E46" t="s">
        <v>4179</v>
      </c>
      <c r="F46" t="s">
        <v>4180</v>
      </c>
      <c r="G46" t="s">
        <v>4181</v>
      </c>
    </row>
    <row r="47">
      <c r="A47" t="s">
        <v>2036</v>
      </c>
      <c r="B47" t="s">
        <v>4182</v>
      </c>
      <c r="C47" t="s">
        <v>4183</v>
      </c>
      <c r="D47" t="s">
        <v>4020</v>
      </c>
      <c r="E47" t="s">
        <v>4184</v>
      </c>
      <c r="F47" t="s">
        <v>4185</v>
      </c>
      <c r="G47" t="s">
        <v>4186</v>
      </c>
    </row>
    <row r="48">
      <c r="A48" t="s">
        <v>2039</v>
      </c>
      <c r="B48" t="s">
        <v>4187</v>
      </c>
      <c r="C48" t="s">
        <v>4188</v>
      </c>
      <c r="D48" t="s">
        <v>1557</v>
      </c>
      <c r="E48" t="s">
        <v>4189</v>
      </c>
      <c r="F48" t="s">
        <v>4190</v>
      </c>
      <c r="G48" t="s">
        <v>4191</v>
      </c>
    </row>
    <row r="49">
      <c r="A49" t="s">
        <v>2041</v>
      </c>
      <c r="B49" t="s">
        <v>4192</v>
      </c>
      <c r="C49" t="s">
        <v>4193</v>
      </c>
      <c r="D49" t="s">
        <v>4031</v>
      </c>
      <c r="E49" t="s">
        <v>4194</v>
      </c>
      <c r="F49" t="s">
        <v>4195</v>
      </c>
      <c r="G49" t="s">
        <v>4196</v>
      </c>
    </row>
    <row r="50">
      <c r="A50" t="s">
        <v>2044</v>
      </c>
      <c r="B50" t="s">
        <v>4197</v>
      </c>
      <c r="C50" t="s">
        <v>4198</v>
      </c>
      <c r="D50" t="s">
        <v>4037</v>
      </c>
      <c r="E50" t="s">
        <v>4199</v>
      </c>
      <c r="F50" t="s">
        <v>4200</v>
      </c>
      <c r="G50" t="s">
        <v>4201</v>
      </c>
    </row>
    <row r="51">
      <c r="A51" t="s">
        <v>2046</v>
      </c>
      <c r="B51" t="s">
        <v>4202</v>
      </c>
      <c r="C51" t="s">
        <v>4203</v>
      </c>
      <c r="D51" t="s">
        <v>1699</v>
      </c>
      <c r="E51" t="s">
        <v>4204</v>
      </c>
      <c r="F51" t="s">
        <v>4205</v>
      </c>
      <c r="G51" t="s">
        <v>4206</v>
      </c>
    </row>
    <row r="52">
      <c r="A52" t="s">
        <v>2049</v>
      </c>
      <c r="B52" t="s">
        <v>4207</v>
      </c>
      <c r="C52" t="s">
        <v>4208</v>
      </c>
      <c r="D52" t="s">
        <v>1571</v>
      </c>
      <c r="E52" t="s">
        <v>4209</v>
      </c>
      <c r="F52" t="s">
        <v>4210</v>
      </c>
      <c r="G52" t="s">
        <v>4211</v>
      </c>
    </row>
    <row r="53">
      <c r="A53" t="s">
        <v>2051</v>
      </c>
      <c r="B53" t="s">
        <v>4212</v>
      </c>
      <c r="C53" t="s">
        <v>4213</v>
      </c>
      <c r="D53" t="s">
        <v>4053</v>
      </c>
      <c r="E53" t="s">
        <v>4214</v>
      </c>
      <c r="F53" t="s">
        <v>4215</v>
      </c>
      <c r="G53" t="s">
        <v>4216</v>
      </c>
    </row>
    <row r="54">
      <c r="A54" t="s">
        <v>2053</v>
      </c>
      <c r="B54" t="s">
        <v>4217</v>
      </c>
      <c r="C54" t="s">
        <v>4218</v>
      </c>
      <c r="D54" t="s">
        <v>4059</v>
      </c>
      <c r="E54" t="s">
        <v>4219</v>
      </c>
      <c r="F54" t="s">
        <v>4220</v>
      </c>
      <c r="G54" t="s">
        <v>4221</v>
      </c>
    </row>
    <row r="55">
      <c r="A55" t="s">
        <v>2055</v>
      </c>
      <c r="B55" t="s">
        <v>4222</v>
      </c>
      <c r="C55" t="s">
        <v>4223</v>
      </c>
      <c r="D55" t="s">
        <v>4065</v>
      </c>
      <c r="E55" t="s">
        <v>4224</v>
      </c>
      <c r="F55" t="s">
        <v>4225</v>
      </c>
      <c r="G55" t="s">
        <v>4226</v>
      </c>
    </row>
    <row r="56">
      <c r="A56" t="s">
        <v>2057</v>
      </c>
      <c r="B56" t="s">
        <v>4227</v>
      </c>
      <c r="C56" t="s">
        <v>4228</v>
      </c>
      <c r="D56" t="s">
        <v>1578</v>
      </c>
      <c r="E56" t="s">
        <v>4229</v>
      </c>
      <c r="F56" t="s">
        <v>4230</v>
      </c>
      <c r="G56" t="s">
        <v>4231</v>
      </c>
    </row>
    <row r="57">
      <c r="A57" t="s">
        <v>2059</v>
      </c>
      <c r="B57" t="s">
        <v>4232</v>
      </c>
      <c r="C57" t="s">
        <v>4233</v>
      </c>
      <c r="D57" t="s">
        <v>1647</v>
      </c>
      <c r="E57" t="s">
        <v>4234</v>
      </c>
      <c r="F57" t="s">
        <v>4235</v>
      </c>
      <c r="G57" t="s">
        <v>4236</v>
      </c>
    </row>
    <row r="58">
      <c r="A58" t="s">
        <v>2063</v>
      </c>
      <c r="B58" t="s">
        <v>4237</v>
      </c>
      <c r="C58" t="s">
        <v>4238</v>
      </c>
      <c r="D58" t="s">
        <v>3964</v>
      </c>
      <c r="E58" t="s">
        <v>4239</v>
      </c>
      <c r="F58" t="s">
        <v>4240</v>
      </c>
      <c r="G58" t="s">
        <v>4241</v>
      </c>
    </row>
    <row r="59">
      <c r="A59" t="s">
        <v>2065</v>
      </c>
      <c r="B59" t="s">
        <v>4242</v>
      </c>
      <c r="C59" t="s">
        <v>4243</v>
      </c>
      <c r="D59" t="s">
        <v>3970</v>
      </c>
      <c r="E59" t="s">
        <v>4244</v>
      </c>
      <c r="F59" t="s">
        <v>4245</v>
      </c>
      <c r="G59" t="s">
        <v>4246</v>
      </c>
    </row>
    <row r="60">
      <c r="A60" t="s">
        <v>2068</v>
      </c>
      <c r="B60" t="s">
        <v>4247</v>
      </c>
      <c r="C60" t="s">
        <v>4248</v>
      </c>
      <c r="D60" t="s">
        <v>1585</v>
      </c>
      <c r="E60" t="s">
        <v>4249</v>
      </c>
      <c r="F60" t="s">
        <v>4250</v>
      </c>
      <c r="G60" t="s">
        <v>4251</v>
      </c>
    </row>
    <row r="61">
      <c r="A61" t="s">
        <v>2071</v>
      </c>
      <c r="B61" t="s">
        <v>4252</v>
      </c>
      <c r="C61" t="s">
        <v>4253</v>
      </c>
      <c r="D61" t="s">
        <v>4096</v>
      </c>
      <c r="E61" t="s">
        <v>4254</v>
      </c>
      <c r="F61" t="s">
        <v>4255</v>
      </c>
      <c r="G61" t="s">
        <v>4256</v>
      </c>
    </row>
    <row r="62">
      <c r="A62" t="s">
        <v>2074</v>
      </c>
      <c r="B62" t="s">
        <v>4257</v>
      </c>
      <c r="C62" t="s">
        <v>4258</v>
      </c>
      <c r="D62" t="s">
        <v>4102</v>
      </c>
      <c r="E62" t="s">
        <v>4259</v>
      </c>
      <c r="F62" t="s">
        <v>4260</v>
      </c>
      <c r="G62" t="s">
        <v>4261</v>
      </c>
    </row>
    <row r="63">
      <c r="A63" t="s">
        <v>2077</v>
      </c>
      <c r="B63" t="s">
        <v>4262</v>
      </c>
      <c r="C63" t="s">
        <v>4263</v>
      </c>
      <c r="D63" t="s">
        <v>1592</v>
      </c>
      <c r="E63" t="s">
        <v>4264</v>
      </c>
      <c r="F63" t="s">
        <v>4265</v>
      </c>
      <c r="G63" t="s">
        <v>4266</v>
      </c>
    </row>
    <row r="64">
      <c r="A64" t="s">
        <v>2080</v>
      </c>
      <c r="B64" t="s">
        <v>4267</v>
      </c>
      <c r="C64" t="s">
        <v>4268</v>
      </c>
      <c r="D64" t="s">
        <v>3981</v>
      </c>
      <c r="E64" t="s">
        <v>4269</v>
      </c>
      <c r="F64" t="s">
        <v>4270</v>
      </c>
      <c r="G64" t="s">
        <v>4271</v>
      </c>
    </row>
    <row r="65">
      <c r="A65" t="s">
        <v>2082</v>
      </c>
      <c r="B65" t="s">
        <v>4272</v>
      </c>
      <c r="C65" t="s">
        <v>4273</v>
      </c>
      <c r="D65" t="s">
        <v>4118</v>
      </c>
      <c r="E65" t="s">
        <v>4274</v>
      </c>
      <c r="F65" t="s">
        <v>4275</v>
      </c>
      <c r="G65" t="s">
        <v>4276</v>
      </c>
    </row>
    <row r="66">
      <c r="A66" t="s">
        <v>2084</v>
      </c>
      <c r="B66" t="s">
        <v>4277</v>
      </c>
      <c r="C66" t="s">
        <v>4278</v>
      </c>
      <c r="D66" t="s">
        <v>4124</v>
      </c>
      <c r="E66" t="s">
        <v>4279</v>
      </c>
      <c r="F66" t="s">
        <v>4280</v>
      </c>
      <c r="G66" t="s">
        <v>4281</v>
      </c>
    </row>
    <row r="67">
      <c r="A67" t="s">
        <v>2086</v>
      </c>
      <c r="B67" t="s">
        <v>4282</v>
      </c>
      <c r="C67" t="s">
        <v>4283</v>
      </c>
      <c r="D67" t="s">
        <v>4130</v>
      </c>
      <c r="E67" t="s">
        <v>4284</v>
      </c>
      <c r="F67" t="s">
        <v>4285</v>
      </c>
      <c r="G67" t="s">
        <v>4286</v>
      </c>
    </row>
    <row r="68">
      <c r="A68" t="s">
        <v>2089</v>
      </c>
      <c r="B68" t="s">
        <v>4287</v>
      </c>
      <c r="C68" t="s">
        <v>4288</v>
      </c>
      <c r="D68" t="s">
        <v>3987</v>
      </c>
      <c r="E68" t="s">
        <v>4289</v>
      </c>
      <c r="F68" t="s">
        <v>4290</v>
      </c>
      <c r="G68" t="s">
        <v>4291</v>
      </c>
    </row>
    <row r="69">
      <c r="A69" t="s">
        <v>2090</v>
      </c>
      <c r="B69" t="s">
        <v>4292</v>
      </c>
      <c r="C69" t="s">
        <v>4293</v>
      </c>
      <c r="D69" t="s">
        <v>1606</v>
      </c>
      <c r="E69" t="s">
        <v>4294</v>
      </c>
      <c r="F69" t="s">
        <v>4295</v>
      </c>
      <c r="G69" t="s">
        <v>4296</v>
      </c>
    </row>
    <row r="70">
      <c r="A70" t="s">
        <v>2094</v>
      </c>
      <c r="B70" t="s">
        <v>4297</v>
      </c>
      <c r="C70" t="s">
        <v>4298</v>
      </c>
      <c r="D70" t="s">
        <v>3998</v>
      </c>
      <c r="E70" t="s">
        <v>4299</v>
      </c>
      <c r="F70" t="s">
        <v>4300</v>
      </c>
      <c r="G70" t="s">
        <v>4301</v>
      </c>
    </row>
    <row r="71">
      <c r="A71" t="s">
        <v>2095</v>
      </c>
      <c r="B71" t="s">
        <v>4302</v>
      </c>
      <c r="C71" t="s">
        <v>4303</v>
      </c>
      <c r="D71" t="s">
        <v>1613</v>
      </c>
      <c r="E71" t="s">
        <v>4304</v>
      </c>
      <c r="F71" t="s">
        <v>4305</v>
      </c>
      <c r="G71" t="s">
        <v>4306</v>
      </c>
    </row>
    <row r="72">
      <c r="A72" t="s">
        <v>2098</v>
      </c>
      <c r="B72" t="s">
        <v>4307</v>
      </c>
      <c r="C72" t="s">
        <v>4308</v>
      </c>
      <c r="D72" t="s">
        <v>4156</v>
      </c>
      <c r="E72" t="s">
        <v>4309</v>
      </c>
      <c r="F72" t="s">
        <v>4310</v>
      </c>
      <c r="G72" t="s">
        <v>4311</v>
      </c>
    </row>
    <row r="73">
      <c r="A73" t="s">
        <v>2100</v>
      </c>
      <c r="B73" t="s">
        <v>4312</v>
      </c>
      <c r="C73" t="s">
        <v>4313</v>
      </c>
      <c r="D73" t="s">
        <v>4162</v>
      </c>
      <c r="E73" t="s">
        <v>4314</v>
      </c>
      <c r="F73" t="s">
        <v>4315</v>
      </c>
      <c r="G73" t="s">
        <v>4316</v>
      </c>
    </row>
    <row r="74">
      <c r="A74" t="s">
        <v>2102</v>
      </c>
      <c r="B74" t="s">
        <v>4317</v>
      </c>
      <c r="C74" t="s">
        <v>4318</v>
      </c>
      <c r="D74" t="s">
        <v>4168</v>
      </c>
      <c r="E74" t="s">
        <v>4319</v>
      </c>
      <c r="F74" t="s">
        <v>4320</v>
      </c>
      <c r="G74" t="s">
        <v>4321</v>
      </c>
    </row>
    <row r="75">
      <c r="A75" t="s">
        <v>2104</v>
      </c>
      <c r="B75" t="s">
        <v>4322</v>
      </c>
      <c r="C75" t="s">
        <v>4323</v>
      </c>
      <c r="D75" t="s">
        <v>1620</v>
      </c>
      <c r="E75" t="s">
        <v>4324</v>
      </c>
      <c r="F75" t="s">
        <v>4325</v>
      </c>
      <c r="G75" t="s">
        <v>4326</v>
      </c>
    </row>
    <row r="76">
      <c r="A76" t="s">
        <v>2108</v>
      </c>
      <c r="B76" t="s">
        <v>4327</v>
      </c>
      <c r="C76" t="s">
        <v>4328</v>
      </c>
      <c r="D76" t="s">
        <v>4014</v>
      </c>
      <c r="E76" t="s">
        <v>4329</v>
      </c>
      <c r="F76" t="s">
        <v>4330</v>
      </c>
      <c r="G76" t="s">
        <v>4331</v>
      </c>
    </row>
    <row r="77">
      <c r="A77" t="s">
        <v>2110</v>
      </c>
      <c r="B77" t="s">
        <v>4332</v>
      </c>
      <c r="C77" t="s">
        <v>4333</v>
      </c>
      <c r="D77" t="s">
        <v>4020</v>
      </c>
      <c r="E77" t="s">
        <v>4334</v>
      </c>
      <c r="F77" t="s">
        <v>4335</v>
      </c>
      <c r="G77" t="s">
        <v>4336</v>
      </c>
    </row>
    <row r="78">
      <c r="A78" t="s">
        <v>2112</v>
      </c>
      <c r="B78" t="s">
        <v>4337</v>
      </c>
      <c r="C78" t="s">
        <v>4338</v>
      </c>
      <c r="D78" t="s">
        <v>1557</v>
      </c>
      <c r="E78" t="s">
        <v>4339</v>
      </c>
      <c r="F78" t="s">
        <v>4340</v>
      </c>
      <c r="G78" t="s">
        <v>4341</v>
      </c>
    </row>
    <row r="79">
      <c r="A79" t="s">
        <v>2114</v>
      </c>
      <c r="B79" t="s">
        <v>4342</v>
      </c>
      <c r="C79" t="s">
        <v>4343</v>
      </c>
      <c r="D79" t="s">
        <v>4031</v>
      </c>
      <c r="E79" t="s">
        <v>4344</v>
      </c>
      <c r="F79" t="s">
        <v>4345</v>
      </c>
      <c r="G79" t="s">
        <v>4346</v>
      </c>
    </row>
    <row r="80">
      <c r="A80" t="s">
        <v>2117</v>
      </c>
      <c r="B80" t="s">
        <v>4347</v>
      </c>
      <c r="C80" t="s">
        <v>4348</v>
      </c>
      <c r="D80" t="s">
        <v>4037</v>
      </c>
      <c r="E80" t="s">
        <v>4349</v>
      </c>
      <c r="F80" t="s">
        <v>4350</v>
      </c>
      <c r="G80" t="s">
        <v>4351</v>
      </c>
    </row>
    <row r="81">
      <c r="A81" t="s">
        <v>2118</v>
      </c>
      <c r="B81" t="s">
        <v>4352</v>
      </c>
      <c r="C81" t="s">
        <v>4353</v>
      </c>
      <c r="D81" t="s">
        <v>1699</v>
      </c>
      <c r="E81" t="s">
        <v>4354</v>
      </c>
      <c r="F81" t="s">
        <v>4355</v>
      </c>
      <c r="G81" t="s">
        <v>4356</v>
      </c>
    </row>
    <row r="82">
      <c r="A82" t="s">
        <v>2120</v>
      </c>
      <c r="B82" t="s">
        <v>4357</v>
      </c>
      <c r="C82" t="s">
        <v>4358</v>
      </c>
      <c r="D82" t="s">
        <v>1571</v>
      </c>
      <c r="E82" t="s">
        <v>4359</v>
      </c>
      <c r="F82" t="s">
        <v>4360</v>
      </c>
      <c r="G82" t="s">
        <v>4361</v>
      </c>
    </row>
    <row r="83">
      <c r="A83" t="s">
        <v>2122</v>
      </c>
      <c r="B83" t="s">
        <v>4362</v>
      </c>
      <c r="C83" t="s">
        <v>4363</v>
      </c>
      <c r="D83" t="s">
        <v>4053</v>
      </c>
      <c r="E83" t="s">
        <v>4364</v>
      </c>
      <c r="F83" t="s">
        <v>4365</v>
      </c>
      <c r="G83" t="s">
        <v>4366</v>
      </c>
    </row>
    <row r="84">
      <c r="A84" t="s">
        <v>2125</v>
      </c>
      <c r="B84" t="s">
        <v>4367</v>
      </c>
      <c r="C84" t="s">
        <v>4368</v>
      </c>
      <c r="D84" t="s">
        <v>4059</v>
      </c>
      <c r="E84" t="s">
        <v>4369</v>
      </c>
      <c r="F84" t="s">
        <v>4370</v>
      </c>
      <c r="G84" t="s">
        <v>4371</v>
      </c>
    </row>
    <row r="85">
      <c r="A85" t="s">
        <v>2127</v>
      </c>
      <c r="B85" t="s">
        <v>4372</v>
      </c>
      <c r="C85" t="s">
        <v>4373</v>
      </c>
      <c r="D85" t="s">
        <v>4065</v>
      </c>
      <c r="E85" t="s">
        <v>4374</v>
      </c>
      <c r="F85" t="s">
        <v>4375</v>
      </c>
      <c r="G85" t="s">
        <v>4376</v>
      </c>
    </row>
    <row r="86">
      <c r="A86" t="s">
        <v>2130</v>
      </c>
      <c r="B86" t="s">
        <v>4377</v>
      </c>
      <c r="C86" t="s">
        <v>4378</v>
      </c>
      <c r="D86" t="s">
        <v>1578</v>
      </c>
      <c r="E86" t="s">
        <v>4379</v>
      </c>
      <c r="F86" t="s">
        <v>4380</v>
      </c>
      <c r="G86" t="s">
        <v>4381</v>
      </c>
    </row>
    <row r="87">
      <c r="A87" t="s">
        <v>2132</v>
      </c>
      <c r="B87" t="s">
        <v>4382</v>
      </c>
      <c r="C87" t="s">
        <v>4383</v>
      </c>
      <c r="D87" t="s">
        <v>1647</v>
      </c>
      <c r="E87" t="s">
        <v>4384</v>
      </c>
      <c r="F87" t="s">
        <v>4385</v>
      </c>
      <c r="G87" t="s">
        <v>4386</v>
      </c>
    </row>
    <row r="88">
      <c r="A88" t="s">
        <v>2136</v>
      </c>
      <c r="B88" t="s">
        <v>4387</v>
      </c>
      <c r="C88" t="s">
        <v>4388</v>
      </c>
      <c r="D88" t="s">
        <v>3964</v>
      </c>
      <c r="E88" t="s">
        <v>4389</v>
      </c>
      <c r="F88" t="s">
        <v>4390</v>
      </c>
      <c r="G88" t="s">
        <v>4391</v>
      </c>
    </row>
    <row r="89">
      <c r="A89" t="s">
        <v>2137</v>
      </c>
      <c r="B89" t="s">
        <v>4392</v>
      </c>
      <c r="C89" t="s">
        <v>4393</v>
      </c>
      <c r="D89" t="s">
        <v>3970</v>
      </c>
      <c r="E89" t="s">
        <v>4394</v>
      </c>
      <c r="F89" t="s">
        <v>4395</v>
      </c>
      <c r="G89" t="s">
        <v>4396</v>
      </c>
    </row>
    <row r="90">
      <c r="A90" t="s">
        <v>2140</v>
      </c>
      <c r="B90" t="s">
        <v>4397</v>
      </c>
      <c r="C90" t="s">
        <v>4398</v>
      </c>
      <c r="D90" t="s">
        <v>1585</v>
      </c>
      <c r="E90" t="s">
        <v>4399</v>
      </c>
      <c r="F90" t="s">
        <v>4164</v>
      </c>
      <c r="G90" t="s">
        <v>4400</v>
      </c>
    </row>
    <row r="91">
      <c r="A91" t="s">
        <v>2142</v>
      </c>
      <c r="B91" t="s">
        <v>4401</v>
      </c>
      <c r="C91" t="s">
        <v>4402</v>
      </c>
      <c r="D91" t="s">
        <v>4096</v>
      </c>
      <c r="E91" t="s">
        <v>4403</v>
      </c>
      <c r="F91" t="s">
        <v>4185</v>
      </c>
      <c r="G91" t="s">
        <v>4404</v>
      </c>
    </row>
    <row r="92">
      <c r="A92" t="s">
        <v>2145</v>
      </c>
      <c r="B92" t="s">
        <v>4405</v>
      </c>
      <c r="C92" t="s">
        <v>4406</v>
      </c>
      <c r="D92" t="s">
        <v>4102</v>
      </c>
      <c r="E92" t="s">
        <v>4407</v>
      </c>
      <c r="F92" t="s">
        <v>4132</v>
      </c>
      <c r="G92" t="s">
        <v>4408</v>
      </c>
    </row>
    <row r="93">
      <c r="A93" t="s">
        <v>2146</v>
      </c>
      <c r="B93" t="s">
        <v>4409</v>
      </c>
      <c r="C93" t="s">
        <v>4410</v>
      </c>
      <c r="D93" t="s">
        <v>1592</v>
      </c>
      <c r="E93" t="s">
        <v>4411</v>
      </c>
      <c r="F93" t="s">
        <v>4225</v>
      </c>
      <c r="G93" t="s">
        <v>4412</v>
      </c>
    </row>
    <row r="94">
      <c r="A94" t="s">
        <v>2150</v>
      </c>
      <c r="B94" t="s">
        <v>4413</v>
      </c>
      <c r="C94" t="s">
        <v>4414</v>
      </c>
      <c r="D94" t="s">
        <v>3981</v>
      </c>
      <c r="E94" t="s">
        <v>4415</v>
      </c>
      <c r="F94" t="s">
        <v>4215</v>
      </c>
      <c r="G94" t="s">
        <v>4416</v>
      </c>
    </row>
    <row r="95">
      <c r="A95" t="s">
        <v>2151</v>
      </c>
      <c r="B95" t="s">
        <v>4417</v>
      </c>
      <c r="C95" t="s">
        <v>4418</v>
      </c>
      <c r="D95" t="s">
        <v>4118</v>
      </c>
      <c r="E95" t="s">
        <v>4419</v>
      </c>
      <c r="F95" t="s">
        <v>4200</v>
      </c>
      <c r="G95" t="s">
        <v>4420</v>
      </c>
    </row>
    <row r="96">
      <c r="A96" t="s">
        <v>2154</v>
      </c>
      <c r="B96" t="s">
        <v>4421</v>
      </c>
      <c r="C96" t="s">
        <v>4422</v>
      </c>
      <c r="D96" t="s">
        <v>4124</v>
      </c>
      <c r="E96" t="s">
        <v>4423</v>
      </c>
      <c r="F96" t="s">
        <v>4205</v>
      </c>
      <c r="G96" t="s">
        <v>4424</v>
      </c>
    </row>
    <row r="97">
      <c r="A97" t="s">
        <v>2156</v>
      </c>
      <c r="B97" t="s">
        <v>4425</v>
      </c>
      <c r="C97" t="s">
        <v>4426</v>
      </c>
      <c r="D97" t="s">
        <v>4130</v>
      </c>
      <c r="E97" t="s">
        <v>4427</v>
      </c>
      <c r="F97" t="s">
        <v>4072</v>
      </c>
      <c r="G97" t="s">
        <v>4428</v>
      </c>
    </row>
    <row r="98">
      <c r="A98" t="s">
        <v>2158</v>
      </c>
      <c r="B98" t="s">
        <v>4429</v>
      </c>
      <c r="C98" t="s">
        <v>4430</v>
      </c>
      <c r="D98" t="s">
        <v>3987</v>
      </c>
      <c r="E98" t="s">
        <v>4431</v>
      </c>
      <c r="F98" t="s">
        <v>4005</v>
      </c>
      <c r="G98" t="s">
        <v>4432</v>
      </c>
    </row>
    <row r="99">
      <c r="A99" t="s">
        <v>2160</v>
      </c>
      <c r="B99" t="s">
        <v>4433</v>
      </c>
      <c r="C99" t="s">
        <v>4434</v>
      </c>
      <c r="D99" t="s">
        <v>1606</v>
      </c>
      <c r="E99" t="s">
        <v>4435</v>
      </c>
      <c r="F99" t="s">
        <v>4142</v>
      </c>
      <c r="G99" t="s">
        <v>4436</v>
      </c>
    </row>
    <row r="100">
      <c r="A100" t="s">
        <v>2163</v>
      </c>
      <c r="B100" t="s">
        <v>4437</v>
      </c>
      <c r="C100" t="s">
        <v>4438</v>
      </c>
      <c r="D100" t="s">
        <v>3998</v>
      </c>
      <c r="E100" t="s">
        <v>4439</v>
      </c>
      <c r="F100" t="s">
        <v>4022</v>
      </c>
      <c r="G100" t="s">
        <v>4440</v>
      </c>
    </row>
    <row r="101">
      <c r="A101" t="s">
        <v>2164</v>
      </c>
      <c r="B101" t="s">
        <v>4441</v>
      </c>
      <c r="C101" t="s">
        <v>4442</v>
      </c>
      <c r="D101" t="s">
        <v>1613</v>
      </c>
      <c r="E101" t="s">
        <v>4443</v>
      </c>
      <c r="F101" t="s">
        <v>4027</v>
      </c>
      <c r="G101" t="s">
        <v>4444</v>
      </c>
    </row>
    <row r="102">
      <c r="A102" t="s">
        <v>2167</v>
      </c>
      <c r="B102" t="s">
        <v>4445</v>
      </c>
      <c r="C102" t="s">
        <v>4446</v>
      </c>
      <c r="D102" t="s">
        <v>4156</v>
      </c>
      <c r="E102" t="s">
        <v>4447</v>
      </c>
      <c r="F102" t="s">
        <v>4049</v>
      </c>
      <c r="G102" t="s">
        <v>4448</v>
      </c>
    </row>
    <row r="103">
      <c r="A103" t="s">
        <v>2169</v>
      </c>
      <c r="B103" t="s">
        <v>4449</v>
      </c>
      <c r="C103" t="s">
        <v>4450</v>
      </c>
      <c r="D103" t="s">
        <v>4162</v>
      </c>
      <c r="E103" t="s">
        <v>4451</v>
      </c>
      <c r="F103" t="s">
        <v>4061</v>
      </c>
      <c r="G103" t="s">
        <v>4452</v>
      </c>
    </row>
    <row r="104">
      <c r="A104" t="s">
        <v>2172</v>
      </c>
      <c r="B104" t="s">
        <v>4453</v>
      </c>
      <c r="C104" t="s">
        <v>4454</v>
      </c>
      <c r="D104" t="s">
        <v>4168</v>
      </c>
      <c r="E104" t="s">
        <v>4455</v>
      </c>
      <c r="F104" t="s">
        <v>3972</v>
      </c>
      <c r="G104" t="s">
        <v>4456</v>
      </c>
    </row>
    <row r="105">
      <c r="A105" t="s">
        <v>2174</v>
      </c>
      <c r="B105" t="s">
        <v>4457</v>
      </c>
      <c r="C105" t="s">
        <v>4458</v>
      </c>
      <c r="D105" t="s">
        <v>1620</v>
      </c>
      <c r="E105" t="s">
        <v>4459</v>
      </c>
      <c r="F105" t="s">
        <v>3983</v>
      </c>
      <c r="G105" t="s">
        <v>4460</v>
      </c>
    </row>
    <row r="106">
      <c r="A106" t="s">
        <v>2176</v>
      </c>
      <c r="B106" t="s">
        <v>4461</v>
      </c>
      <c r="C106" t="s">
        <v>4462</v>
      </c>
      <c r="D106" t="s">
        <v>4014</v>
      </c>
      <c r="E106" t="s">
        <v>4463</v>
      </c>
      <c r="F106" t="s">
        <v>3989</v>
      </c>
      <c r="G106" t="s">
        <v>4464</v>
      </c>
    </row>
    <row r="107">
      <c r="A107" t="s">
        <v>2178</v>
      </c>
      <c r="B107" t="s">
        <v>4465</v>
      </c>
      <c r="C107" t="s">
        <v>4466</v>
      </c>
      <c r="D107" t="s">
        <v>4020</v>
      </c>
      <c r="E107" t="s">
        <v>4467</v>
      </c>
      <c r="F107" t="s">
        <v>3994</v>
      </c>
      <c r="G107" t="s">
        <v>4468</v>
      </c>
    </row>
    <row r="108">
      <c r="A108" t="s">
        <v>2181</v>
      </c>
      <c r="B108" t="s">
        <v>4469</v>
      </c>
      <c r="C108" t="s">
        <v>4470</v>
      </c>
      <c r="D108" t="s">
        <v>1557</v>
      </c>
      <c r="E108" t="s">
        <v>4471</v>
      </c>
      <c r="F108" t="s">
        <v>4000</v>
      </c>
      <c r="G108" t="s">
        <v>4472</v>
      </c>
    </row>
    <row r="109">
      <c r="A109" t="s">
        <v>2183</v>
      </c>
      <c r="B109" t="s">
        <v>4473</v>
      </c>
      <c r="C109" t="s">
        <v>4474</v>
      </c>
      <c r="D109" t="s">
        <v>4031</v>
      </c>
      <c r="E109" t="s">
        <v>4475</v>
      </c>
      <c r="F109" t="s">
        <v>4010</v>
      </c>
      <c r="G109" t="s">
        <v>4476</v>
      </c>
    </row>
    <row r="110">
      <c r="A110" t="s">
        <v>2186</v>
      </c>
      <c r="B110" t="s">
        <v>4477</v>
      </c>
      <c r="C110" t="s">
        <v>4478</v>
      </c>
      <c r="D110" t="s">
        <v>4037</v>
      </c>
      <c r="E110" t="s">
        <v>4479</v>
      </c>
      <c r="F110" t="s">
        <v>4016</v>
      </c>
      <c r="G110" t="s">
        <v>4480</v>
      </c>
    </row>
    <row r="111">
      <c r="A111" t="s">
        <v>2187</v>
      </c>
      <c r="B111" t="s">
        <v>4481</v>
      </c>
      <c r="C111" t="s">
        <v>4482</v>
      </c>
      <c r="D111" t="s">
        <v>1699</v>
      </c>
      <c r="E111" t="s">
        <v>4483</v>
      </c>
      <c r="F111" t="s">
        <v>3966</v>
      </c>
      <c r="G111" t="s">
        <v>4484</v>
      </c>
    </row>
    <row r="112">
      <c r="A112" t="s">
        <v>2190</v>
      </c>
      <c r="B112" t="s">
        <v>4485</v>
      </c>
      <c r="C112" t="s">
        <v>4486</v>
      </c>
      <c r="D112" t="s">
        <v>1571</v>
      </c>
      <c r="E112" t="s">
        <v>4487</v>
      </c>
      <c r="F112" t="s">
        <v>3955</v>
      </c>
      <c r="G112" t="s">
        <v>4488</v>
      </c>
    </row>
    <row r="113">
      <c r="A113" t="s">
        <v>2192</v>
      </c>
      <c r="B113" t="s">
        <v>4489</v>
      </c>
      <c r="C113" t="s">
        <v>4490</v>
      </c>
      <c r="D113" t="s">
        <v>4053</v>
      </c>
      <c r="E113" t="s">
        <v>4491</v>
      </c>
      <c r="F113" t="s">
        <v>3950</v>
      </c>
      <c r="G113" t="s">
        <v>4492</v>
      </c>
    </row>
    <row r="114">
      <c r="A114" t="s">
        <v>2194</v>
      </c>
      <c r="B114" t="s">
        <v>4493</v>
      </c>
      <c r="C114" t="s">
        <v>4494</v>
      </c>
      <c r="D114" t="s">
        <v>4059</v>
      </c>
      <c r="E114" t="s">
        <v>4495</v>
      </c>
      <c r="F114" t="s">
        <v>3960</v>
      </c>
      <c r="G114" t="s">
        <v>4496</v>
      </c>
    </row>
    <row r="115">
      <c r="A115" t="s">
        <v>2196</v>
      </c>
      <c r="B115" t="s">
        <v>4497</v>
      </c>
      <c r="C115" t="s">
        <v>4498</v>
      </c>
      <c r="D115" t="s">
        <v>4065</v>
      </c>
      <c r="E115" t="s">
        <v>4499</v>
      </c>
      <c r="F115" t="s">
        <v>3977</v>
      </c>
      <c r="G115" t="s">
        <v>4500</v>
      </c>
    </row>
    <row r="116">
      <c r="A116" t="s">
        <v>2198</v>
      </c>
      <c r="B116" t="s">
        <v>4501</v>
      </c>
      <c r="C116" t="s">
        <v>4502</v>
      </c>
      <c r="D116" t="s">
        <v>1578</v>
      </c>
      <c r="E116" t="s">
        <v>4503</v>
      </c>
      <c r="F116" t="s">
        <v>3972</v>
      </c>
      <c r="G116" t="s">
        <v>4504</v>
      </c>
    </row>
    <row r="117">
      <c r="A117" t="s">
        <v>2200</v>
      </c>
      <c r="B117" t="s">
        <v>4505</v>
      </c>
      <c r="C117" t="s">
        <v>4506</v>
      </c>
      <c r="D117" t="s">
        <v>1647</v>
      </c>
      <c r="E117" t="s">
        <v>4507</v>
      </c>
      <c r="F117" t="s">
        <v>3983</v>
      </c>
      <c r="G117" t="s">
        <v>4508</v>
      </c>
    </row>
    <row r="118">
      <c r="A118" t="s">
        <v>2202</v>
      </c>
      <c r="B118" t="s">
        <v>4509</v>
      </c>
      <c r="C118" t="s">
        <v>4510</v>
      </c>
      <c r="D118" t="s">
        <v>3964</v>
      </c>
      <c r="E118" t="s">
        <v>4511</v>
      </c>
      <c r="F118" t="s">
        <v>3989</v>
      </c>
      <c r="G118" t="s">
        <v>4512</v>
      </c>
    </row>
    <row r="119">
      <c r="A119" t="s">
        <v>2204</v>
      </c>
      <c r="B119" t="s">
        <v>4513</v>
      </c>
      <c r="C119" t="s">
        <v>3980</v>
      </c>
      <c r="D119" t="s">
        <v>3970</v>
      </c>
      <c r="E119" t="s">
        <v>4514</v>
      </c>
      <c r="F119" t="s">
        <v>3994</v>
      </c>
      <c r="G119" t="s">
        <v>4515</v>
      </c>
    </row>
    <row r="120">
      <c r="A120" t="s">
        <v>2207</v>
      </c>
      <c r="B120" t="s">
        <v>4516</v>
      </c>
      <c r="C120" t="s">
        <v>4517</v>
      </c>
      <c r="D120" t="s">
        <v>1585</v>
      </c>
      <c r="E120" t="s">
        <v>4518</v>
      </c>
      <c r="F120" t="s">
        <v>4000</v>
      </c>
      <c r="G120" t="s">
        <v>4519</v>
      </c>
    </row>
    <row r="121">
      <c r="A121" t="s">
        <v>2209</v>
      </c>
      <c r="B121" t="s">
        <v>4520</v>
      </c>
      <c r="C121" t="s">
        <v>4521</v>
      </c>
      <c r="D121" t="s">
        <v>4096</v>
      </c>
      <c r="E121" t="s">
        <v>4522</v>
      </c>
      <c r="F121" t="s">
        <v>4010</v>
      </c>
      <c r="G121" t="s">
        <v>4523</v>
      </c>
    </row>
    <row r="122">
      <c r="A122" t="s">
        <v>2211</v>
      </c>
      <c r="B122" t="s">
        <v>4524</v>
      </c>
      <c r="C122" t="s">
        <v>4525</v>
      </c>
      <c r="D122" t="s">
        <v>4102</v>
      </c>
      <c r="E122" t="s">
        <v>4526</v>
      </c>
      <c r="F122" t="s">
        <v>4016</v>
      </c>
      <c r="G122" t="s">
        <v>4527</v>
      </c>
    </row>
    <row r="123">
      <c r="A123" t="s">
        <v>2212</v>
      </c>
      <c r="B123" t="s">
        <v>4528</v>
      </c>
      <c r="C123" t="s">
        <v>4529</v>
      </c>
      <c r="D123" t="s">
        <v>1592</v>
      </c>
      <c r="E123" t="s">
        <v>4530</v>
      </c>
      <c r="F123" t="s">
        <v>4022</v>
      </c>
      <c r="G123" t="s">
        <v>4531</v>
      </c>
    </row>
    <row r="124">
      <c r="A124" t="s">
        <v>2215</v>
      </c>
      <c r="B124" t="s">
        <v>4532</v>
      </c>
      <c r="C124" t="s">
        <v>4533</v>
      </c>
      <c r="D124" t="s">
        <v>3981</v>
      </c>
      <c r="E124" t="s">
        <v>4534</v>
      </c>
      <c r="F124" t="s">
        <v>4027</v>
      </c>
      <c r="G124" t="s">
        <v>4535</v>
      </c>
    </row>
    <row r="125">
      <c r="A125" t="s">
        <v>2217</v>
      </c>
      <c r="B125" t="s">
        <v>4536</v>
      </c>
      <c r="C125" t="s">
        <v>4537</v>
      </c>
      <c r="D125" t="s">
        <v>4118</v>
      </c>
      <c r="E125" t="s">
        <v>4538</v>
      </c>
      <c r="F125" t="s">
        <v>4033</v>
      </c>
      <c r="G125" t="s">
        <v>4539</v>
      </c>
    </row>
    <row r="126">
      <c r="A126" t="s">
        <v>2220</v>
      </c>
      <c r="B126" t="s">
        <v>4540</v>
      </c>
      <c r="C126" t="s">
        <v>4541</v>
      </c>
      <c r="D126" t="s">
        <v>4124</v>
      </c>
      <c r="E126" t="s">
        <v>4542</v>
      </c>
      <c r="F126" t="s">
        <v>4039</v>
      </c>
      <c r="G126" t="s">
        <v>4543</v>
      </c>
    </row>
    <row r="127">
      <c r="A127" t="s">
        <v>2222</v>
      </c>
      <c r="B127" t="s">
        <v>4544</v>
      </c>
      <c r="C127" t="s">
        <v>4545</v>
      </c>
      <c r="D127" t="s">
        <v>4130</v>
      </c>
      <c r="E127" t="s">
        <v>4546</v>
      </c>
      <c r="F127" t="s">
        <v>4044</v>
      </c>
      <c r="G127" t="s">
        <v>4547</v>
      </c>
    </row>
    <row r="128">
      <c r="A128" t="s">
        <v>2225</v>
      </c>
      <c r="B128" t="s">
        <v>4548</v>
      </c>
      <c r="C128" t="s">
        <v>4549</v>
      </c>
      <c r="D128" t="s">
        <v>3987</v>
      </c>
      <c r="E128" t="s">
        <v>4550</v>
      </c>
      <c r="F128" t="s">
        <v>4049</v>
      </c>
      <c r="G128" t="s">
        <v>4551</v>
      </c>
    </row>
    <row r="129">
      <c r="A129" t="s">
        <v>2226</v>
      </c>
      <c r="B129" t="s">
        <v>4552</v>
      </c>
      <c r="C129" t="s">
        <v>4553</v>
      </c>
      <c r="D129" t="s">
        <v>1606</v>
      </c>
      <c r="E129" t="s">
        <v>4554</v>
      </c>
      <c r="F129" t="s">
        <v>4055</v>
      </c>
      <c r="G129" t="s">
        <v>4555</v>
      </c>
    </row>
    <row r="130">
      <c r="A130" t="s">
        <v>2229</v>
      </c>
      <c r="B130" t="s">
        <v>4556</v>
      </c>
      <c r="C130" t="s">
        <v>4557</v>
      </c>
      <c r="D130" t="s">
        <v>3998</v>
      </c>
      <c r="E130" t="s">
        <v>4558</v>
      </c>
      <c r="F130" t="s">
        <v>4061</v>
      </c>
      <c r="G130" t="s">
        <v>4559</v>
      </c>
    </row>
    <row r="131">
      <c r="A131" t="s">
        <v>2231</v>
      </c>
      <c r="B131" t="s">
        <v>4560</v>
      </c>
      <c r="C131" t="s">
        <v>4561</v>
      </c>
      <c r="D131" t="s">
        <v>1613</v>
      </c>
      <c r="E131" t="s">
        <v>4562</v>
      </c>
      <c r="F131" t="s">
        <v>4067</v>
      </c>
      <c r="G131" t="s">
        <v>4563</v>
      </c>
    </row>
    <row r="132">
      <c r="A132" t="s">
        <v>2234</v>
      </c>
      <c r="B132" t="s">
        <v>4564</v>
      </c>
      <c r="C132" t="s">
        <v>4565</v>
      </c>
      <c r="D132" t="s">
        <v>4156</v>
      </c>
      <c r="E132" t="s">
        <v>4566</v>
      </c>
      <c r="F132" t="s">
        <v>4072</v>
      </c>
      <c r="G132" t="s">
        <v>4567</v>
      </c>
    </row>
    <row r="133">
      <c r="A133" t="s">
        <v>2236</v>
      </c>
      <c r="B133" t="s">
        <v>4568</v>
      </c>
      <c r="C133" t="s">
        <v>4569</v>
      </c>
      <c r="D133" t="s">
        <v>4162</v>
      </c>
      <c r="E133" t="s">
        <v>4570</v>
      </c>
      <c r="F133" t="s">
        <v>4077</v>
      </c>
      <c r="G133" t="s">
        <v>4571</v>
      </c>
    </row>
    <row r="134">
      <c r="A134" t="s">
        <v>2239</v>
      </c>
      <c r="B134" t="s">
        <v>4572</v>
      </c>
      <c r="C134" t="s">
        <v>4167</v>
      </c>
      <c r="D134" t="s">
        <v>4168</v>
      </c>
      <c r="E134" t="s">
        <v>4573</v>
      </c>
      <c r="F134" t="s">
        <v>4082</v>
      </c>
      <c r="G134" t="s">
        <v>4574</v>
      </c>
    </row>
    <row r="135">
      <c r="A135" t="s">
        <v>2240</v>
      </c>
      <c r="B135" t="s">
        <v>4575</v>
      </c>
      <c r="C135" t="s">
        <v>4576</v>
      </c>
      <c r="D135" t="s">
        <v>1620</v>
      </c>
      <c r="E135" t="s">
        <v>4577</v>
      </c>
      <c r="F135" t="s">
        <v>4087</v>
      </c>
      <c r="G135" t="s">
        <v>4578</v>
      </c>
    </row>
    <row r="136">
      <c r="A136" t="s">
        <v>2243</v>
      </c>
      <c r="B136" t="s">
        <v>4579</v>
      </c>
      <c r="C136" t="s">
        <v>4580</v>
      </c>
      <c r="D136" t="s">
        <v>4014</v>
      </c>
      <c r="E136" t="s">
        <v>4581</v>
      </c>
      <c r="F136" t="s">
        <v>4092</v>
      </c>
      <c r="G136" t="s">
        <v>4582</v>
      </c>
    </row>
    <row r="137">
      <c r="A137" t="s">
        <v>2245</v>
      </c>
      <c r="B137" t="s">
        <v>4583</v>
      </c>
      <c r="C137" t="s">
        <v>4584</v>
      </c>
      <c r="D137" t="s">
        <v>4020</v>
      </c>
      <c r="E137" t="s">
        <v>4585</v>
      </c>
      <c r="F137" t="s">
        <v>4098</v>
      </c>
      <c r="G137" t="s">
        <v>4586</v>
      </c>
    </row>
    <row r="138">
      <c r="A138" t="s">
        <v>2248</v>
      </c>
      <c r="B138" t="s">
        <v>4587</v>
      </c>
      <c r="C138" t="s">
        <v>4588</v>
      </c>
      <c r="D138" t="s">
        <v>1557</v>
      </c>
      <c r="E138" t="s">
        <v>4589</v>
      </c>
      <c r="F138" t="s">
        <v>4104</v>
      </c>
      <c r="G138" t="s">
        <v>4590</v>
      </c>
    </row>
    <row r="139">
      <c r="A139" t="s">
        <v>2250</v>
      </c>
      <c r="B139" t="s">
        <v>4591</v>
      </c>
      <c r="C139" t="s">
        <v>4592</v>
      </c>
      <c r="D139" t="s">
        <v>4031</v>
      </c>
      <c r="E139" t="s">
        <v>4593</v>
      </c>
      <c r="F139" t="s">
        <v>4109</v>
      </c>
      <c r="G139" t="s">
        <v>4594</v>
      </c>
    </row>
    <row r="140">
      <c r="A140" t="s">
        <v>2253</v>
      </c>
      <c r="B140" t="s">
        <v>4595</v>
      </c>
      <c r="C140" t="s">
        <v>4596</v>
      </c>
      <c r="D140" t="s">
        <v>4037</v>
      </c>
      <c r="E140" t="s">
        <v>4597</v>
      </c>
      <c r="F140" t="s">
        <v>4114</v>
      </c>
      <c r="G140" t="s">
        <v>4598</v>
      </c>
    </row>
    <row r="141">
      <c r="A141" t="s">
        <v>2255</v>
      </c>
      <c r="B141" t="s">
        <v>4599</v>
      </c>
      <c r="C141" t="s">
        <v>4600</v>
      </c>
      <c r="D141" t="s">
        <v>1699</v>
      </c>
      <c r="E141" t="s">
        <v>4601</v>
      </c>
      <c r="F141" t="s">
        <v>4120</v>
      </c>
      <c r="G141" t="s">
        <v>4602</v>
      </c>
    </row>
    <row r="142">
      <c r="A142" t="s">
        <v>2258</v>
      </c>
      <c r="B142" t="s">
        <v>4603</v>
      </c>
      <c r="C142" t="s">
        <v>4604</v>
      </c>
      <c r="D142" t="s">
        <v>1571</v>
      </c>
      <c r="E142" t="s">
        <v>4605</v>
      </c>
      <c r="F142" t="s">
        <v>4126</v>
      </c>
      <c r="G142" t="s">
        <v>4606</v>
      </c>
    </row>
    <row r="143">
      <c r="A143" t="s">
        <v>2260</v>
      </c>
      <c r="B143" t="s">
        <v>4607</v>
      </c>
      <c r="C143" t="s">
        <v>4608</v>
      </c>
      <c r="D143" t="s">
        <v>4053</v>
      </c>
      <c r="E143" t="s">
        <v>4609</v>
      </c>
      <c r="F143" t="s">
        <v>4132</v>
      </c>
      <c r="G143" t="s">
        <v>4610</v>
      </c>
    </row>
    <row r="144">
      <c r="A144" t="s">
        <v>2263</v>
      </c>
      <c r="B144" t="s">
        <v>4611</v>
      </c>
      <c r="C144" t="s">
        <v>4612</v>
      </c>
      <c r="D144" t="s">
        <v>4059</v>
      </c>
      <c r="E144" t="s">
        <v>4613</v>
      </c>
      <c r="F144" t="s">
        <v>4137</v>
      </c>
      <c r="G144" t="s">
        <v>4614</v>
      </c>
    </row>
    <row r="145">
      <c r="A145" t="s">
        <v>2265</v>
      </c>
      <c r="B145" t="s">
        <v>4615</v>
      </c>
      <c r="C145" t="s">
        <v>4616</v>
      </c>
      <c r="D145" t="s">
        <v>4065</v>
      </c>
      <c r="E145" t="s">
        <v>4617</v>
      </c>
      <c r="F145" t="s">
        <v>4142</v>
      </c>
      <c r="G145" t="s">
        <v>4618</v>
      </c>
    </row>
    <row r="146">
      <c r="A146" t="s">
        <v>2268</v>
      </c>
      <c r="B146" t="s">
        <v>4619</v>
      </c>
      <c r="C146" t="s">
        <v>4620</v>
      </c>
      <c r="D146" t="s">
        <v>1578</v>
      </c>
      <c r="E146" t="s">
        <v>4621</v>
      </c>
      <c r="F146" t="s">
        <v>4152</v>
      </c>
      <c r="G146" t="s">
        <v>4622</v>
      </c>
    </row>
    <row r="147">
      <c r="A147" t="s">
        <v>2270</v>
      </c>
      <c r="B147" t="s">
        <v>4623</v>
      </c>
      <c r="C147" t="s">
        <v>4624</v>
      </c>
      <c r="D147" t="s">
        <v>1647</v>
      </c>
      <c r="E147" t="s">
        <v>4625</v>
      </c>
      <c r="F147" t="s">
        <v>4147</v>
      </c>
      <c r="G147" t="s">
        <v>4626</v>
      </c>
    </row>
    <row r="148">
      <c r="A148" t="s">
        <v>2272</v>
      </c>
      <c r="B148" t="s">
        <v>4627</v>
      </c>
      <c r="C148" t="s">
        <v>4628</v>
      </c>
      <c r="D148" t="s">
        <v>3964</v>
      </c>
      <c r="E148" t="s">
        <v>4629</v>
      </c>
      <c r="F148" t="s">
        <v>4158</v>
      </c>
      <c r="G148" t="s">
        <v>4630</v>
      </c>
    </row>
    <row r="149">
      <c r="A149" t="s">
        <v>2274</v>
      </c>
      <c r="B149" t="s">
        <v>4631</v>
      </c>
      <c r="C149" t="s">
        <v>4632</v>
      </c>
      <c r="D149" t="s">
        <v>3970</v>
      </c>
      <c r="E149" t="s">
        <v>4633</v>
      </c>
      <c r="F149" t="s">
        <v>4164</v>
      </c>
      <c r="G149" t="s">
        <v>4634</v>
      </c>
    </row>
    <row r="150">
      <c r="A150" t="s">
        <v>2276</v>
      </c>
      <c r="B150" t="s">
        <v>4635</v>
      </c>
      <c r="C150" t="s">
        <v>4636</v>
      </c>
      <c r="D150" t="s">
        <v>1585</v>
      </c>
      <c r="E150" t="s">
        <v>4637</v>
      </c>
      <c r="F150" t="s">
        <v>4170</v>
      </c>
      <c r="G150" t="s">
        <v>4638</v>
      </c>
    </row>
    <row r="151">
      <c r="A151" t="s">
        <v>2278</v>
      </c>
      <c r="B151" t="s">
        <v>4639</v>
      </c>
      <c r="C151" t="s">
        <v>4640</v>
      </c>
      <c r="D151" t="s">
        <v>4096</v>
      </c>
      <c r="E151" t="s">
        <v>4641</v>
      </c>
      <c r="F151" t="s">
        <v>4175</v>
      </c>
      <c r="G151" t="s">
        <v>4642</v>
      </c>
    </row>
    <row r="152">
      <c r="A152" t="s">
        <v>2281</v>
      </c>
      <c r="B152" t="s">
        <v>4643</v>
      </c>
      <c r="C152" t="s">
        <v>4644</v>
      </c>
      <c r="D152" t="s">
        <v>4102</v>
      </c>
      <c r="E152" t="s">
        <v>4645</v>
      </c>
      <c r="F152" t="s">
        <v>4180</v>
      </c>
      <c r="G152" t="s">
        <v>4646</v>
      </c>
    </row>
    <row r="153">
      <c r="A153" t="s">
        <v>2283</v>
      </c>
      <c r="B153" t="s">
        <v>4647</v>
      </c>
      <c r="C153" t="s">
        <v>4648</v>
      </c>
      <c r="D153" t="s">
        <v>1592</v>
      </c>
      <c r="E153" t="s">
        <v>4649</v>
      </c>
      <c r="F153" t="s">
        <v>4185</v>
      </c>
      <c r="G153" t="s">
        <v>4650</v>
      </c>
    </row>
    <row r="154">
      <c r="A154" t="s">
        <v>2286</v>
      </c>
      <c r="B154" t="s">
        <v>4651</v>
      </c>
      <c r="C154" t="s">
        <v>4652</v>
      </c>
      <c r="D154" t="s">
        <v>3981</v>
      </c>
      <c r="E154" t="s">
        <v>4653</v>
      </c>
      <c r="F154" t="s">
        <v>4190</v>
      </c>
      <c r="G154" t="s">
        <v>4654</v>
      </c>
    </row>
    <row r="155">
      <c r="A155" t="s">
        <v>2288</v>
      </c>
      <c r="B155" t="s">
        <v>4655</v>
      </c>
      <c r="C155" t="s">
        <v>4656</v>
      </c>
      <c r="D155" t="s">
        <v>4118</v>
      </c>
      <c r="E155" t="s">
        <v>4657</v>
      </c>
      <c r="F155" t="s">
        <v>4195</v>
      </c>
      <c r="G155" t="s">
        <v>4658</v>
      </c>
    </row>
    <row r="156">
      <c r="A156" t="s">
        <v>2291</v>
      </c>
      <c r="B156" t="s">
        <v>4659</v>
      </c>
      <c r="C156" t="s">
        <v>4660</v>
      </c>
      <c r="D156" t="s">
        <v>4124</v>
      </c>
      <c r="E156" t="s">
        <v>4661</v>
      </c>
      <c r="F156" t="s">
        <v>4200</v>
      </c>
      <c r="G156" t="s">
        <v>4662</v>
      </c>
    </row>
    <row r="157">
      <c r="A157" t="s">
        <v>2293</v>
      </c>
      <c r="B157" t="s">
        <v>4663</v>
      </c>
      <c r="C157" t="s">
        <v>4664</v>
      </c>
      <c r="D157" t="s">
        <v>4130</v>
      </c>
      <c r="E157" t="s">
        <v>4665</v>
      </c>
      <c r="F157" t="s">
        <v>4205</v>
      </c>
      <c r="G157" t="s">
        <v>4666</v>
      </c>
    </row>
    <row r="158">
      <c r="A158" t="s">
        <v>2296</v>
      </c>
      <c r="B158" t="s">
        <v>4667</v>
      </c>
      <c r="C158" t="s">
        <v>4668</v>
      </c>
      <c r="D158" t="s">
        <v>3987</v>
      </c>
      <c r="E158" t="s">
        <v>3988</v>
      </c>
      <c r="F158" t="s">
        <v>4210</v>
      </c>
      <c r="G158" t="s">
        <v>4669</v>
      </c>
    </row>
    <row r="159">
      <c r="A159" t="s">
        <v>2298</v>
      </c>
      <c r="B159" t="s">
        <v>4670</v>
      </c>
      <c r="C159" t="s">
        <v>4671</v>
      </c>
      <c r="D159" t="s">
        <v>1606</v>
      </c>
      <c r="E159" t="s">
        <v>4672</v>
      </c>
      <c r="F159" t="s">
        <v>4215</v>
      </c>
      <c r="G159" t="s">
        <v>4673</v>
      </c>
    </row>
    <row r="160">
      <c r="A160" t="s">
        <v>2301</v>
      </c>
      <c r="B160" t="s">
        <v>4674</v>
      </c>
      <c r="C160" t="s">
        <v>4675</v>
      </c>
      <c r="D160" t="s">
        <v>3998</v>
      </c>
      <c r="E160" t="s">
        <v>4676</v>
      </c>
      <c r="F160" t="s">
        <v>4220</v>
      </c>
      <c r="G160" t="s">
        <v>4677</v>
      </c>
    </row>
    <row r="161">
      <c r="A161" t="s">
        <v>2303</v>
      </c>
      <c r="B161" t="s">
        <v>4678</v>
      </c>
      <c r="C161" t="s">
        <v>4679</v>
      </c>
      <c r="D161" t="s">
        <v>1613</v>
      </c>
      <c r="E161" t="s">
        <v>4680</v>
      </c>
      <c r="F161" t="s">
        <v>4225</v>
      </c>
      <c r="G161" t="s">
        <v>4681</v>
      </c>
    </row>
    <row r="162">
      <c r="A162" t="s">
        <v>2306</v>
      </c>
      <c r="B162" t="s">
        <v>4682</v>
      </c>
      <c r="C162" t="s">
        <v>4683</v>
      </c>
      <c r="D162" t="s">
        <v>4156</v>
      </c>
      <c r="E162" t="s">
        <v>4684</v>
      </c>
      <c r="F162" t="s">
        <v>4230</v>
      </c>
      <c r="G162" t="s">
        <v>4685</v>
      </c>
    </row>
    <row r="163">
      <c r="A163" t="s">
        <v>2308</v>
      </c>
      <c r="B163" t="s">
        <v>4686</v>
      </c>
      <c r="C163" t="s">
        <v>4687</v>
      </c>
      <c r="D163" t="s">
        <v>4162</v>
      </c>
      <c r="E163" t="s">
        <v>4688</v>
      </c>
      <c r="F163" t="s">
        <v>4235</v>
      </c>
      <c r="G163" t="s">
        <v>4689</v>
      </c>
    </row>
    <row r="164">
      <c r="A164" t="s">
        <v>2311</v>
      </c>
      <c r="B164" t="s">
        <v>4690</v>
      </c>
      <c r="C164" t="s">
        <v>4691</v>
      </c>
      <c r="D164" t="s">
        <v>4168</v>
      </c>
      <c r="E164" t="s">
        <v>4692</v>
      </c>
      <c r="F164" t="s">
        <v>4240</v>
      </c>
      <c r="G164" t="s">
        <v>4693</v>
      </c>
    </row>
    <row r="165">
      <c r="A165" t="s">
        <v>2313</v>
      </c>
      <c r="B165" t="s">
        <v>4694</v>
      </c>
      <c r="C165" t="s">
        <v>4695</v>
      </c>
      <c r="D165" t="s">
        <v>1620</v>
      </c>
      <c r="E165" t="s">
        <v>4696</v>
      </c>
      <c r="F165" t="s">
        <v>4245</v>
      </c>
      <c r="G165" t="s">
        <v>4697</v>
      </c>
    </row>
    <row r="166">
      <c r="A166" t="s">
        <v>2316</v>
      </c>
      <c r="B166" t="s">
        <v>4698</v>
      </c>
      <c r="C166" t="s">
        <v>4699</v>
      </c>
      <c r="D166" t="s">
        <v>4014</v>
      </c>
      <c r="E166" t="s">
        <v>4700</v>
      </c>
      <c r="F166" t="s">
        <v>4250</v>
      </c>
      <c r="G166" t="s">
        <v>4701</v>
      </c>
    </row>
    <row r="167">
      <c r="A167" t="s">
        <v>2317</v>
      </c>
      <c r="B167" t="s">
        <v>4702</v>
      </c>
      <c r="C167" t="s">
        <v>4703</v>
      </c>
      <c r="D167" t="s">
        <v>4020</v>
      </c>
      <c r="E167" t="s">
        <v>4704</v>
      </c>
      <c r="F167" t="s">
        <v>4255</v>
      </c>
      <c r="G167" t="s">
        <v>4705</v>
      </c>
    </row>
    <row r="168">
      <c r="A168" t="s">
        <v>2319</v>
      </c>
      <c r="B168" t="s">
        <v>4706</v>
      </c>
      <c r="C168" t="s">
        <v>4707</v>
      </c>
      <c r="D168" t="s">
        <v>1557</v>
      </c>
      <c r="E168" t="s">
        <v>4708</v>
      </c>
      <c r="F168" t="s">
        <v>4260</v>
      </c>
      <c r="G168" t="s">
        <v>4709</v>
      </c>
    </row>
    <row r="169">
      <c r="A169" t="s">
        <v>2321</v>
      </c>
      <c r="B169" t="s">
        <v>4710</v>
      </c>
      <c r="C169" t="s">
        <v>4711</v>
      </c>
      <c r="D169" t="s">
        <v>4031</v>
      </c>
      <c r="E169" t="s">
        <v>4712</v>
      </c>
      <c r="F169" t="s">
        <v>4265</v>
      </c>
      <c r="G169" t="s">
        <v>4713</v>
      </c>
    </row>
    <row r="170">
      <c r="A170" t="s">
        <v>2324</v>
      </c>
      <c r="B170" t="s">
        <v>4714</v>
      </c>
      <c r="C170" t="s">
        <v>4715</v>
      </c>
      <c r="D170" t="s">
        <v>4037</v>
      </c>
      <c r="E170" t="s">
        <v>4716</v>
      </c>
      <c r="F170" t="s">
        <v>4270</v>
      </c>
      <c r="G170" t="s">
        <v>4717</v>
      </c>
    </row>
    <row r="171">
      <c r="A171" t="s">
        <v>2325</v>
      </c>
      <c r="B171" t="s">
        <v>4718</v>
      </c>
      <c r="C171" t="s">
        <v>4719</v>
      </c>
      <c r="D171" t="s">
        <v>1699</v>
      </c>
      <c r="E171" t="s">
        <v>4720</v>
      </c>
      <c r="F171" t="s">
        <v>4275</v>
      </c>
      <c r="G171" t="s">
        <v>4721</v>
      </c>
    </row>
    <row r="172">
      <c r="A172" t="s">
        <v>2328</v>
      </c>
      <c r="B172" t="s">
        <v>4722</v>
      </c>
      <c r="C172" t="s">
        <v>4723</v>
      </c>
      <c r="D172" t="s">
        <v>1571</v>
      </c>
      <c r="E172" t="s">
        <v>4724</v>
      </c>
      <c r="F172" t="s">
        <v>4280</v>
      </c>
      <c r="G172" t="s">
        <v>4725</v>
      </c>
    </row>
    <row r="173">
      <c r="A173" t="s">
        <v>2330</v>
      </c>
      <c r="B173" t="s">
        <v>4726</v>
      </c>
      <c r="C173" t="s">
        <v>4727</v>
      </c>
      <c r="D173" t="s">
        <v>4053</v>
      </c>
      <c r="E173" t="s">
        <v>4728</v>
      </c>
      <c r="F173" t="s">
        <v>4285</v>
      </c>
      <c r="G173" t="s">
        <v>4729</v>
      </c>
    </row>
    <row r="174">
      <c r="A174" t="s">
        <v>2333</v>
      </c>
      <c r="B174" t="s">
        <v>4730</v>
      </c>
      <c r="C174" t="s">
        <v>4731</v>
      </c>
      <c r="D174" t="s">
        <v>4059</v>
      </c>
      <c r="E174" t="s">
        <v>4732</v>
      </c>
      <c r="F174" t="s">
        <v>4290</v>
      </c>
      <c r="G174" t="s">
        <v>4733</v>
      </c>
    </row>
    <row r="175">
      <c r="A175" t="s">
        <v>2334</v>
      </c>
      <c r="B175" t="s">
        <v>4734</v>
      </c>
      <c r="C175" t="s">
        <v>4735</v>
      </c>
      <c r="D175" t="s">
        <v>4065</v>
      </c>
      <c r="E175" t="s">
        <v>4736</v>
      </c>
      <c r="F175" t="s">
        <v>4295</v>
      </c>
      <c r="G175" t="s">
        <v>4737</v>
      </c>
    </row>
    <row r="176">
      <c r="A176" t="s">
        <v>2336</v>
      </c>
      <c r="B176" t="s">
        <v>4738</v>
      </c>
      <c r="C176" t="s">
        <v>4739</v>
      </c>
      <c r="D176" t="s">
        <v>1578</v>
      </c>
      <c r="E176" t="s">
        <v>4740</v>
      </c>
      <c r="F176" t="s">
        <v>4300</v>
      </c>
      <c r="G176" t="s">
        <v>4741</v>
      </c>
    </row>
    <row r="177">
      <c r="A177" t="s">
        <v>2337</v>
      </c>
      <c r="B177" t="s">
        <v>4742</v>
      </c>
      <c r="C177" t="s">
        <v>4743</v>
      </c>
      <c r="D177" t="s">
        <v>1647</v>
      </c>
      <c r="E177" t="s">
        <v>4744</v>
      </c>
      <c r="F177" t="s">
        <v>4305</v>
      </c>
      <c r="G177" t="s">
        <v>4745</v>
      </c>
    </row>
    <row r="178">
      <c r="A178" t="s">
        <v>2340</v>
      </c>
      <c r="B178" t="s">
        <v>4746</v>
      </c>
      <c r="C178" t="s">
        <v>4747</v>
      </c>
      <c r="D178" t="s">
        <v>3964</v>
      </c>
      <c r="E178" t="s">
        <v>4748</v>
      </c>
      <c r="F178" t="s">
        <v>4310</v>
      </c>
      <c r="G178" t="s">
        <v>4749</v>
      </c>
    </row>
    <row r="179">
      <c r="A179" t="s">
        <v>2341</v>
      </c>
      <c r="B179" t="s">
        <v>4750</v>
      </c>
      <c r="C179" t="s">
        <v>4751</v>
      </c>
      <c r="D179" t="s">
        <v>3970</v>
      </c>
      <c r="E179" t="s">
        <v>4752</v>
      </c>
      <c r="F179" t="s">
        <v>4315</v>
      </c>
      <c r="G179" t="s">
        <v>4753</v>
      </c>
    </row>
    <row r="180">
      <c r="A180" t="s">
        <v>2343</v>
      </c>
      <c r="B180" t="s">
        <v>4754</v>
      </c>
      <c r="C180" t="s">
        <v>4755</v>
      </c>
      <c r="D180" t="s">
        <v>1585</v>
      </c>
      <c r="E180" t="s">
        <v>4756</v>
      </c>
      <c r="F180" t="s">
        <v>4320</v>
      </c>
      <c r="G180" t="s">
        <v>4757</v>
      </c>
    </row>
    <row r="181">
      <c r="A181" t="s">
        <v>2345</v>
      </c>
      <c r="B181" t="s">
        <v>4758</v>
      </c>
      <c r="C181" t="s">
        <v>4759</v>
      </c>
      <c r="D181" t="s">
        <v>4096</v>
      </c>
      <c r="E181" t="s">
        <v>4760</v>
      </c>
      <c r="F181" t="s">
        <v>4325</v>
      </c>
      <c r="G181" t="s">
        <v>4761</v>
      </c>
    </row>
    <row r="182">
      <c r="A182" t="s">
        <v>2348</v>
      </c>
      <c r="B182" t="s">
        <v>4762</v>
      </c>
      <c r="C182" t="s">
        <v>4763</v>
      </c>
      <c r="D182" t="s">
        <v>4102</v>
      </c>
      <c r="E182" t="s">
        <v>4764</v>
      </c>
      <c r="F182" t="s">
        <v>4330</v>
      </c>
      <c r="G182" t="s">
        <v>4765</v>
      </c>
    </row>
    <row r="183">
      <c r="A183" t="s">
        <v>2350</v>
      </c>
      <c r="B183" t="s">
        <v>4766</v>
      </c>
      <c r="C183" t="s">
        <v>4767</v>
      </c>
      <c r="D183" t="s">
        <v>1592</v>
      </c>
      <c r="E183" t="s">
        <v>4768</v>
      </c>
      <c r="F183" t="s">
        <v>4335</v>
      </c>
      <c r="G183" t="s">
        <v>4769</v>
      </c>
    </row>
    <row r="184">
      <c r="A184" t="s">
        <v>2353</v>
      </c>
      <c r="B184" t="s">
        <v>4770</v>
      </c>
      <c r="C184" t="s">
        <v>4771</v>
      </c>
      <c r="D184" t="s">
        <v>3981</v>
      </c>
      <c r="E184" t="s">
        <v>4772</v>
      </c>
      <c r="F184" t="s">
        <v>4340</v>
      </c>
      <c r="G184" t="s">
        <v>4773</v>
      </c>
    </row>
    <row r="185">
      <c r="A185" t="s">
        <v>2354</v>
      </c>
      <c r="B185" t="s">
        <v>4774</v>
      </c>
      <c r="C185" t="s">
        <v>4775</v>
      </c>
      <c r="D185" t="s">
        <v>4118</v>
      </c>
      <c r="E185" t="s">
        <v>4776</v>
      </c>
      <c r="F185" t="s">
        <v>4345</v>
      </c>
      <c r="G185" t="s">
        <v>4777</v>
      </c>
    </row>
    <row r="186">
      <c r="A186" t="s">
        <v>2356</v>
      </c>
      <c r="B186" t="s">
        <v>4778</v>
      </c>
      <c r="C186" t="s">
        <v>4779</v>
      </c>
      <c r="D186" t="s">
        <v>4124</v>
      </c>
      <c r="E186" t="s">
        <v>4780</v>
      </c>
      <c r="F186" t="s">
        <v>4350</v>
      </c>
      <c r="G186" t="s">
        <v>4781</v>
      </c>
    </row>
    <row r="187">
      <c r="A187" t="s">
        <v>2358</v>
      </c>
      <c r="B187" t="s">
        <v>4782</v>
      </c>
      <c r="C187" t="s">
        <v>4783</v>
      </c>
      <c r="D187" t="s">
        <v>4130</v>
      </c>
      <c r="E187" t="s">
        <v>4784</v>
      </c>
      <c r="F187" t="s">
        <v>4355</v>
      </c>
      <c r="G187" t="s">
        <v>4785</v>
      </c>
    </row>
    <row r="188">
      <c r="A188" t="s">
        <v>2361</v>
      </c>
      <c r="B188" t="s">
        <v>4786</v>
      </c>
      <c r="C188" t="s">
        <v>4787</v>
      </c>
      <c r="D188" t="s">
        <v>3987</v>
      </c>
      <c r="E188" t="s">
        <v>4788</v>
      </c>
      <c r="F188" t="s">
        <v>4360</v>
      </c>
      <c r="G188" t="s">
        <v>4789</v>
      </c>
    </row>
    <row r="189">
      <c r="A189" t="s">
        <v>2363</v>
      </c>
      <c r="B189" t="s">
        <v>4790</v>
      </c>
      <c r="C189" t="s">
        <v>4791</v>
      </c>
      <c r="D189" t="s">
        <v>1606</v>
      </c>
      <c r="E189" t="s">
        <v>4792</v>
      </c>
      <c r="F189" t="s">
        <v>4365</v>
      </c>
      <c r="G189" t="s">
        <v>4793</v>
      </c>
    </row>
    <row r="190">
      <c r="A190" t="s">
        <v>2366</v>
      </c>
      <c r="B190" t="s">
        <v>4794</v>
      </c>
      <c r="C190" t="s">
        <v>4795</v>
      </c>
      <c r="D190" t="s">
        <v>3998</v>
      </c>
      <c r="E190" t="s">
        <v>4796</v>
      </c>
      <c r="F190" t="s">
        <v>4370</v>
      </c>
      <c r="G190" t="s">
        <v>4797</v>
      </c>
    </row>
    <row r="191">
      <c r="A191" t="s">
        <v>2367</v>
      </c>
      <c r="B191" t="s">
        <v>4798</v>
      </c>
      <c r="C191" t="s">
        <v>4799</v>
      </c>
      <c r="D191" t="s">
        <v>1613</v>
      </c>
      <c r="E191" t="s">
        <v>4800</v>
      </c>
      <c r="F191" t="s">
        <v>4375</v>
      </c>
      <c r="G191" t="s">
        <v>4801</v>
      </c>
    </row>
    <row r="192">
      <c r="A192" t="s">
        <v>2370</v>
      </c>
      <c r="B192" t="s">
        <v>4802</v>
      </c>
      <c r="C192" t="s">
        <v>4803</v>
      </c>
      <c r="D192" t="s">
        <v>4156</v>
      </c>
      <c r="E192" t="s">
        <v>4804</v>
      </c>
      <c r="F192" t="s">
        <v>4380</v>
      </c>
      <c r="G192" t="s">
        <v>4805</v>
      </c>
    </row>
    <row r="193">
      <c r="A193" t="s">
        <v>2372</v>
      </c>
      <c r="B193" t="s">
        <v>4806</v>
      </c>
      <c r="C193" t="s">
        <v>4807</v>
      </c>
      <c r="D193" t="s">
        <v>4162</v>
      </c>
      <c r="E193" t="s">
        <v>4808</v>
      </c>
      <c r="F193" t="s">
        <v>4385</v>
      </c>
      <c r="G193" t="s">
        <v>4809</v>
      </c>
    </row>
    <row r="194">
      <c r="A194" t="s">
        <v>2375</v>
      </c>
      <c r="B194" t="s">
        <v>4810</v>
      </c>
      <c r="C194" t="s">
        <v>4811</v>
      </c>
      <c r="D194" t="s">
        <v>4168</v>
      </c>
      <c r="E194" t="s">
        <v>4812</v>
      </c>
      <c r="F194" t="s">
        <v>4390</v>
      </c>
      <c r="G194" t="s">
        <v>4813</v>
      </c>
    </row>
    <row r="195">
      <c r="A195" t="s">
        <v>2376</v>
      </c>
      <c r="B195" t="s">
        <v>4814</v>
      </c>
      <c r="C195" t="s">
        <v>4815</v>
      </c>
      <c r="D195" t="s">
        <v>1620</v>
      </c>
      <c r="E195" t="s">
        <v>4816</v>
      </c>
      <c r="F195" t="s">
        <v>4395</v>
      </c>
      <c r="G195" t="s">
        <v>4817</v>
      </c>
    </row>
    <row r="196">
      <c r="A196" t="s">
        <v>2379</v>
      </c>
      <c r="B196" t="s">
        <v>4818</v>
      </c>
      <c r="C196" t="s">
        <v>4819</v>
      </c>
      <c r="D196" t="s">
        <v>4014</v>
      </c>
      <c r="E196" t="s">
        <v>4820</v>
      </c>
      <c r="F196" t="s">
        <v>4185</v>
      </c>
      <c r="G196" t="s">
        <v>4821</v>
      </c>
    </row>
    <row r="197">
      <c r="A197" t="s">
        <v>2380</v>
      </c>
      <c r="B197" t="s">
        <v>4822</v>
      </c>
      <c r="C197" t="s">
        <v>4823</v>
      </c>
      <c r="D197" t="s">
        <v>4020</v>
      </c>
      <c r="E197" t="s">
        <v>4824</v>
      </c>
      <c r="F197" t="s">
        <v>4132</v>
      </c>
      <c r="G197" t="s">
        <v>4825</v>
      </c>
    </row>
    <row r="198">
      <c r="A198" t="s">
        <v>2382</v>
      </c>
      <c r="B198" t="s">
        <v>4826</v>
      </c>
      <c r="C198" t="s">
        <v>4827</v>
      </c>
      <c r="D198" t="s">
        <v>1557</v>
      </c>
      <c r="E198" t="s">
        <v>4828</v>
      </c>
      <c r="F198" t="s">
        <v>4225</v>
      </c>
      <c r="G198" t="s">
        <v>4829</v>
      </c>
    </row>
    <row r="199">
      <c r="A199" t="s">
        <v>2384</v>
      </c>
      <c r="B199" t="s">
        <v>4830</v>
      </c>
      <c r="C199" t="s">
        <v>4831</v>
      </c>
      <c r="D199" t="s">
        <v>4031</v>
      </c>
      <c r="E199" t="s">
        <v>4832</v>
      </c>
      <c r="F199" t="s">
        <v>4215</v>
      </c>
      <c r="G199" t="s">
        <v>4833</v>
      </c>
    </row>
    <row r="200">
      <c r="A200" t="s">
        <v>2387</v>
      </c>
      <c r="B200" t="s">
        <v>4834</v>
      </c>
      <c r="C200" t="s">
        <v>4835</v>
      </c>
      <c r="D200" t="s">
        <v>4037</v>
      </c>
      <c r="E200" t="s">
        <v>4836</v>
      </c>
      <c r="F200" t="s">
        <v>4200</v>
      </c>
      <c r="G200" t="s">
        <v>4837</v>
      </c>
    </row>
    <row r="201">
      <c r="A201" t="s">
        <v>2388</v>
      </c>
      <c r="B201" t="s">
        <v>4838</v>
      </c>
      <c r="C201" t="s">
        <v>4839</v>
      </c>
      <c r="D201" t="s">
        <v>1699</v>
      </c>
      <c r="E201" t="s">
        <v>4840</v>
      </c>
      <c r="F201" t="s">
        <v>4205</v>
      </c>
      <c r="G201" t="s">
        <v>4841</v>
      </c>
    </row>
    <row r="202">
      <c r="A202" t="s">
        <v>2390</v>
      </c>
      <c r="B202" t="s">
        <v>4842</v>
      </c>
      <c r="C202" t="s">
        <v>4843</v>
      </c>
      <c r="D202" t="s">
        <v>1571</v>
      </c>
      <c r="E202" t="s">
        <v>4844</v>
      </c>
      <c r="F202" t="s">
        <v>4210</v>
      </c>
      <c r="G202" t="s">
        <v>4845</v>
      </c>
    </row>
    <row r="203">
      <c r="A203" t="s">
        <v>2392</v>
      </c>
      <c r="B203" t="s">
        <v>4846</v>
      </c>
      <c r="C203" t="s">
        <v>4847</v>
      </c>
      <c r="D203" t="s">
        <v>4053</v>
      </c>
      <c r="E203" t="s">
        <v>4848</v>
      </c>
      <c r="F203" t="s">
        <v>4215</v>
      </c>
      <c r="G203" t="s">
        <v>4849</v>
      </c>
    </row>
    <row r="204">
      <c r="A204" t="s">
        <v>2395</v>
      </c>
      <c r="B204" t="s">
        <v>4850</v>
      </c>
      <c r="C204" t="s">
        <v>4851</v>
      </c>
      <c r="D204" t="s">
        <v>4059</v>
      </c>
      <c r="E204" t="s">
        <v>4852</v>
      </c>
      <c r="F204" t="s">
        <v>4220</v>
      </c>
      <c r="G204" t="s">
        <v>4853</v>
      </c>
    </row>
    <row r="205">
      <c r="A205" t="s">
        <v>2397</v>
      </c>
      <c r="B205" t="s">
        <v>4854</v>
      </c>
      <c r="C205" t="s">
        <v>4855</v>
      </c>
      <c r="D205" t="s">
        <v>4065</v>
      </c>
      <c r="E205" t="s">
        <v>4856</v>
      </c>
      <c r="F205" t="s">
        <v>4225</v>
      </c>
      <c r="G205" t="s">
        <v>4857</v>
      </c>
    </row>
    <row r="206">
      <c r="A206" t="s">
        <v>2400</v>
      </c>
      <c r="B206" t="s">
        <v>4858</v>
      </c>
      <c r="C206" t="s">
        <v>4859</v>
      </c>
      <c r="D206" t="s">
        <v>1578</v>
      </c>
      <c r="E206" t="s">
        <v>4860</v>
      </c>
      <c r="F206" t="s">
        <v>4230</v>
      </c>
      <c r="G206" t="s">
        <v>4861</v>
      </c>
    </row>
    <row r="207">
      <c r="A207" t="s">
        <v>2401</v>
      </c>
      <c r="B207" t="s">
        <v>4862</v>
      </c>
      <c r="C207" t="s">
        <v>4863</v>
      </c>
      <c r="D207" t="s">
        <v>1647</v>
      </c>
      <c r="E207" t="s">
        <v>4864</v>
      </c>
      <c r="F207" t="s">
        <v>4235</v>
      </c>
      <c r="G207" t="s">
        <v>4865</v>
      </c>
    </row>
    <row r="208">
      <c r="A208" t="s">
        <v>2404</v>
      </c>
      <c r="B208" t="s">
        <v>4866</v>
      </c>
      <c r="C208" t="s">
        <v>4867</v>
      </c>
      <c r="D208" t="s">
        <v>3964</v>
      </c>
      <c r="E208" t="s">
        <v>4868</v>
      </c>
      <c r="F208" t="s">
        <v>4240</v>
      </c>
      <c r="G208" t="s">
        <v>4869</v>
      </c>
    </row>
    <row r="209">
      <c r="A209" t="s">
        <v>2406</v>
      </c>
      <c r="B209" t="s">
        <v>4870</v>
      </c>
      <c r="C209" t="s">
        <v>4871</v>
      </c>
      <c r="D209" t="s">
        <v>3970</v>
      </c>
      <c r="E209" t="s">
        <v>4872</v>
      </c>
      <c r="F209" t="s">
        <v>4245</v>
      </c>
      <c r="G209" t="s">
        <v>4873</v>
      </c>
    </row>
    <row r="210">
      <c r="A210" t="s">
        <v>2409</v>
      </c>
      <c r="B210" t="s">
        <v>4874</v>
      </c>
      <c r="C210" t="s">
        <v>4875</v>
      </c>
      <c r="D210" t="s">
        <v>1585</v>
      </c>
      <c r="E210" t="s">
        <v>4876</v>
      </c>
      <c r="F210" t="s">
        <v>4250</v>
      </c>
      <c r="G210" t="s">
        <v>4877</v>
      </c>
    </row>
    <row r="211">
      <c r="A211" t="s">
        <v>2411</v>
      </c>
      <c r="B211" t="s">
        <v>4878</v>
      </c>
      <c r="C211" t="s">
        <v>4879</v>
      </c>
      <c r="D211" t="s">
        <v>4096</v>
      </c>
      <c r="E211" t="s">
        <v>4880</v>
      </c>
      <c r="F211" t="s">
        <v>4255</v>
      </c>
      <c r="G211" t="s">
        <v>4881</v>
      </c>
    </row>
    <row r="212">
      <c r="A212" t="s">
        <v>2413</v>
      </c>
      <c r="B212" t="s">
        <v>4882</v>
      </c>
      <c r="C212" t="s">
        <v>4883</v>
      </c>
      <c r="D212" t="s">
        <v>4102</v>
      </c>
      <c r="E212" t="s">
        <v>4884</v>
      </c>
      <c r="F212" t="s">
        <v>4260</v>
      </c>
      <c r="G212" t="s">
        <v>4885</v>
      </c>
    </row>
    <row r="213">
      <c r="A213" t="s">
        <v>2415</v>
      </c>
      <c r="B213" t="s">
        <v>4886</v>
      </c>
      <c r="C213" t="s">
        <v>4887</v>
      </c>
      <c r="D213" t="s">
        <v>1592</v>
      </c>
      <c r="E213" t="s">
        <v>4888</v>
      </c>
      <c r="F213" t="s">
        <v>4265</v>
      </c>
      <c r="G213" t="s">
        <v>4889</v>
      </c>
    </row>
    <row r="214">
      <c r="A214" t="s">
        <v>2418</v>
      </c>
      <c r="B214" t="s">
        <v>4890</v>
      </c>
      <c r="C214" t="s">
        <v>4891</v>
      </c>
      <c r="D214" t="s">
        <v>3981</v>
      </c>
      <c r="E214" t="s">
        <v>4892</v>
      </c>
      <c r="F214" t="s">
        <v>4270</v>
      </c>
      <c r="G214" t="s">
        <v>4893</v>
      </c>
    </row>
    <row r="215">
      <c r="A215" t="s">
        <v>2420</v>
      </c>
      <c r="B215" t="s">
        <v>4894</v>
      </c>
      <c r="C215" t="s">
        <v>4895</v>
      </c>
      <c r="D215" t="s">
        <v>4118</v>
      </c>
      <c r="E215" t="s">
        <v>4896</v>
      </c>
      <c r="F215" t="s">
        <v>4275</v>
      </c>
      <c r="G215" t="s">
        <v>4897</v>
      </c>
    </row>
    <row r="216">
      <c r="A216" t="s">
        <v>2423</v>
      </c>
      <c r="B216" t="s">
        <v>4898</v>
      </c>
      <c r="C216" t="s">
        <v>4899</v>
      </c>
      <c r="D216" t="s">
        <v>4124</v>
      </c>
      <c r="E216" t="s">
        <v>4900</v>
      </c>
      <c r="F216" t="s">
        <v>4280</v>
      </c>
      <c r="G216" t="s">
        <v>4901</v>
      </c>
    </row>
    <row r="217">
      <c r="A217" t="s">
        <v>2424</v>
      </c>
      <c r="B217" t="s">
        <v>4902</v>
      </c>
      <c r="C217" t="s">
        <v>4903</v>
      </c>
      <c r="D217" t="s">
        <v>4130</v>
      </c>
      <c r="E217" t="s">
        <v>4904</v>
      </c>
      <c r="F217" t="s">
        <v>4285</v>
      </c>
      <c r="G217" t="s">
        <v>4905</v>
      </c>
    </row>
    <row r="218">
      <c r="A218" t="s">
        <v>2426</v>
      </c>
      <c r="B218" t="s">
        <v>4906</v>
      </c>
      <c r="C218" t="s">
        <v>4907</v>
      </c>
      <c r="D218" t="s">
        <v>3987</v>
      </c>
      <c r="E218" t="s">
        <v>4908</v>
      </c>
      <c r="F218" t="s">
        <v>4290</v>
      </c>
      <c r="G218" t="s">
        <v>4909</v>
      </c>
    </row>
    <row r="219">
      <c r="A219" t="s">
        <v>2428</v>
      </c>
      <c r="B219" t="s">
        <v>4910</v>
      </c>
      <c r="C219" t="s">
        <v>4911</v>
      </c>
      <c r="D219" t="s">
        <v>1606</v>
      </c>
      <c r="E219" t="s">
        <v>4912</v>
      </c>
      <c r="F219" t="s">
        <v>4295</v>
      </c>
      <c r="G219" t="s">
        <v>4913</v>
      </c>
    </row>
    <row r="220">
      <c r="A220" t="s">
        <v>2430</v>
      </c>
      <c r="B220" t="s">
        <v>4914</v>
      </c>
      <c r="C220" t="s">
        <v>4915</v>
      </c>
      <c r="D220" t="s">
        <v>3998</v>
      </c>
      <c r="E220" t="s">
        <v>4916</v>
      </c>
      <c r="F220" t="s">
        <v>4300</v>
      </c>
      <c r="G220" t="s">
        <v>4917</v>
      </c>
    </row>
    <row r="221">
      <c r="A221" t="s">
        <v>2431</v>
      </c>
      <c r="B221" t="s">
        <v>4918</v>
      </c>
      <c r="C221" t="s">
        <v>4600</v>
      </c>
      <c r="D221" t="s">
        <v>1613</v>
      </c>
      <c r="E221" t="s">
        <v>4919</v>
      </c>
      <c r="F221" t="s">
        <v>4305</v>
      </c>
      <c r="G221" t="s">
        <v>4920</v>
      </c>
    </row>
    <row r="222">
      <c r="A222" t="s">
        <v>2434</v>
      </c>
      <c r="B222" t="s">
        <v>4921</v>
      </c>
      <c r="C222" t="s">
        <v>4922</v>
      </c>
      <c r="D222" t="s">
        <v>4156</v>
      </c>
      <c r="E222" t="s">
        <v>4923</v>
      </c>
      <c r="F222" t="s">
        <v>4310</v>
      </c>
      <c r="G222" t="s">
        <v>4924</v>
      </c>
    </row>
    <row r="223">
      <c r="A223" t="s">
        <v>2435</v>
      </c>
      <c r="B223" t="s">
        <v>4925</v>
      </c>
      <c r="C223" t="s">
        <v>4926</v>
      </c>
      <c r="D223" t="s">
        <v>4162</v>
      </c>
      <c r="E223" t="s">
        <v>4927</v>
      </c>
      <c r="F223" t="s">
        <v>4315</v>
      </c>
      <c r="G223" t="s">
        <v>4928</v>
      </c>
    </row>
    <row r="224">
      <c r="A224" t="s">
        <v>2438</v>
      </c>
      <c r="B224" t="s">
        <v>4929</v>
      </c>
      <c r="C224" t="s">
        <v>4930</v>
      </c>
      <c r="D224" t="s">
        <v>4168</v>
      </c>
      <c r="E224" t="s">
        <v>4931</v>
      </c>
      <c r="F224" t="s">
        <v>4320</v>
      </c>
      <c r="G224" t="s">
        <v>4932</v>
      </c>
    </row>
    <row r="225">
      <c r="A225" t="s">
        <v>2440</v>
      </c>
      <c r="B225" t="s">
        <v>4933</v>
      </c>
      <c r="C225" t="s">
        <v>4934</v>
      </c>
      <c r="D225" t="s">
        <v>1620</v>
      </c>
      <c r="E225" t="s">
        <v>4935</v>
      </c>
      <c r="F225" t="s">
        <v>4325</v>
      </c>
      <c r="G225" t="s">
        <v>4936</v>
      </c>
    </row>
    <row r="226">
      <c r="A226" t="s">
        <v>2443</v>
      </c>
      <c r="B226" t="s">
        <v>4937</v>
      </c>
      <c r="C226" t="s">
        <v>4938</v>
      </c>
      <c r="D226" t="s">
        <v>4014</v>
      </c>
      <c r="E226" t="s">
        <v>4641</v>
      </c>
      <c r="F226" t="s">
        <v>4330</v>
      </c>
      <c r="G226" t="s">
        <v>4939</v>
      </c>
    </row>
    <row r="227">
      <c r="A227" t="s">
        <v>2445</v>
      </c>
      <c r="B227" t="s">
        <v>4940</v>
      </c>
      <c r="C227" t="s">
        <v>4941</v>
      </c>
      <c r="D227" t="s">
        <v>4020</v>
      </c>
      <c r="E227" t="s">
        <v>4942</v>
      </c>
      <c r="F227" t="s">
        <v>4335</v>
      </c>
      <c r="G227" t="s">
        <v>4943</v>
      </c>
    </row>
    <row r="228">
      <c r="A228" t="s">
        <v>2447</v>
      </c>
      <c r="B228" t="s">
        <v>4944</v>
      </c>
      <c r="C228" t="s">
        <v>4945</v>
      </c>
      <c r="D228" t="s">
        <v>1557</v>
      </c>
      <c r="E228" t="s">
        <v>4946</v>
      </c>
      <c r="F228" t="s">
        <v>4340</v>
      </c>
      <c r="G228" t="s">
        <v>4947</v>
      </c>
    </row>
    <row r="229">
      <c r="A229" t="s">
        <v>2449</v>
      </c>
      <c r="B229" t="s">
        <v>4948</v>
      </c>
      <c r="C229" t="s">
        <v>4949</v>
      </c>
      <c r="D229" t="s">
        <v>4031</v>
      </c>
      <c r="E229" t="s">
        <v>4950</v>
      </c>
      <c r="F229" t="s">
        <v>4345</v>
      </c>
      <c r="G229" t="s">
        <v>4951</v>
      </c>
    </row>
    <row r="230">
      <c r="A230" t="s">
        <v>2452</v>
      </c>
      <c r="B230" t="s">
        <v>4952</v>
      </c>
      <c r="C230" t="s">
        <v>4953</v>
      </c>
      <c r="D230" t="s">
        <v>4037</v>
      </c>
      <c r="E230" t="s">
        <v>4954</v>
      </c>
      <c r="F230" t="s">
        <v>4350</v>
      </c>
      <c r="G230" t="s">
        <v>4955</v>
      </c>
    </row>
    <row r="231">
      <c r="A231" t="s">
        <v>2454</v>
      </c>
      <c r="B231" t="s">
        <v>4956</v>
      </c>
      <c r="C231" t="s">
        <v>4957</v>
      </c>
      <c r="D231" t="s">
        <v>1699</v>
      </c>
      <c r="E231" t="s">
        <v>4958</v>
      </c>
      <c r="F231" t="s">
        <v>4355</v>
      </c>
      <c r="G231" t="s">
        <v>4959</v>
      </c>
    </row>
    <row r="232">
      <c r="A232" t="s">
        <v>2457</v>
      </c>
      <c r="B232" t="s">
        <v>4960</v>
      </c>
      <c r="C232" t="s">
        <v>4961</v>
      </c>
      <c r="D232" t="s">
        <v>1571</v>
      </c>
      <c r="E232" t="s">
        <v>4962</v>
      </c>
      <c r="F232" t="s">
        <v>4360</v>
      </c>
      <c r="G232" t="s">
        <v>4963</v>
      </c>
    </row>
    <row r="233">
      <c r="A233" t="s">
        <v>2459</v>
      </c>
      <c r="B233" t="s">
        <v>4964</v>
      </c>
      <c r="C233" t="s">
        <v>4965</v>
      </c>
      <c r="D233" t="s">
        <v>4053</v>
      </c>
      <c r="E233" t="s">
        <v>4966</v>
      </c>
      <c r="F233" t="s">
        <v>4365</v>
      </c>
      <c r="G233" t="s">
        <v>4967</v>
      </c>
    </row>
    <row r="234">
      <c r="A234" t="s">
        <v>2462</v>
      </c>
      <c r="B234" t="s">
        <v>4968</v>
      </c>
      <c r="C234" t="s">
        <v>4969</v>
      </c>
      <c r="D234" t="s">
        <v>4059</v>
      </c>
      <c r="E234" t="s">
        <v>4970</v>
      </c>
      <c r="F234" t="s">
        <v>4370</v>
      </c>
      <c r="G234" t="s">
        <v>4971</v>
      </c>
    </row>
    <row r="235">
      <c r="A235" t="s">
        <v>2464</v>
      </c>
      <c r="B235" t="s">
        <v>4972</v>
      </c>
      <c r="C235" t="s">
        <v>4973</v>
      </c>
      <c r="D235" t="s">
        <v>4065</v>
      </c>
      <c r="E235" t="s">
        <v>4974</v>
      </c>
      <c r="F235" t="s">
        <v>4375</v>
      </c>
      <c r="G235" t="s">
        <v>4975</v>
      </c>
    </row>
    <row r="236">
      <c r="A236" t="s">
        <v>2466</v>
      </c>
      <c r="B236" t="s">
        <v>4976</v>
      </c>
      <c r="C236" t="s">
        <v>4977</v>
      </c>
      <c r="D236" t="s">
        <v>1578</v>
      </c>
      <c r="E236" t="s">
        <v>4978</v>
      </c>
      <c r="F236" t="s">
        <v>4380</v>
      </c>
      <c r="G236" t="s">
        <v>4979</v>
      </c>
    </row>
    <row r="237">
      <c r="A237" t="s">
        <v>2467</v>
      </c>
      <c r="B237" t="s">
        <v>4980</v>
      </c>
      <c r="C237" t="s">
        <v>4981</v>
      </c>
      <c r="D237" t="s">
        <v>1647</v>
      </c>
      <c r="E237" t="s">
        <v>4982</v>
      </c>
      <c r="F237" t="s">
        <v>4385</v>
      </c>
      <c r="G237" t="s">
        <v>4983</v>
      </c>
    </row>
    <row r="238">
      <c r="A238" t="s">
        <v>2469</v>
      </c>
      <c r="B238" t="s">
        <v>4984</v>
      </c>
      <c r="C238" t="s">
        <v>4985</v>
      </c>
      <c r="D238" t="s">
        <v>3964</v>
      </c>
      <c r="E238" t="s">
        <v>4986</v>
      </c>
      <c r="F238" t="s">
        <v>4390</v>
      </c>
      <c r="G238" t="s">
        <v>4987</v>
      </c>
    </row>
    <row r="239">
      <c r="A239" t="s">
        <v>2471</v>
      </c>
      <c r="B239" t="s">
        <v>4988</v>
      </c>
      <c r="C239" t="s">
        <v>4989</v>
      </c>
      <c r="D239" t="s">
        <v>3970</v>
      </c>
      <c r="E239" t="s">
        <v>4990</v>
      </c>
      <c r="F239" t="s">
        <v>4395</v>
      </c>
      <c r="G239" t="s">
        <v>4991</v>
      </c>
    </row>
    <row r="240">
      <c r="A240" t="s">
        <v>2474</v>
      </c>
      <c r="B240" t="s">
        <v>4992</v>
      </c>
      <c r="C240" t="s">
        <v>4993</v>
      </c>
      <c r="D240" t="s">
        <v>1585</v>
      </c>
      <c r="E240" t="s">
        <v>4994</v>
      </c>
      <c r="F240" t="s">
        <v>4164</v>
      </c>
      <c r="G240" t="s">
        <v>4995</v>
      </c>
    </row>
    <row r="241">
      <c r="A241" t="s">
        <v>2476</v>
      </c>
      <c r="B241" t="s">
        <v>4996</v>
      </c>
      <c r="C241" t="s">
        <v>4090</v>
      </c>
      <c r="D241" t="s">
        <v>4096</v>
      </c>
      <c r="E241" t="s">
        <v>4997</v>
      </c>
      <c r="F241" t="s">
        <v>4185</v>
      </c>
      <c r="G241" t="s">
        <v>4998</v>
      </c>
    </row>
    <row r="242">
      <c r="A242" t="s">
        <v>2479</v>
      </c>
      <c r="B242" t="s">
        <v>4999</v>
      </c>
      <c r="C242" t="s">
        <v>5000</v>
      </c>
      <c r="D242" t="s">
        <v>4102</v>
      </c>
      <c r="E242" t="s">
        <v>5001</v>
      </c>
      <c r="F242" t="s">
        <v>4132</v>
      </c>
      <c r="G242" t="s">
        <v>5002</v>
      </c>
    </row>
    <row r="243">
      <c r="A243" t="s">
        <v>2481</v>
      </c>
      <c r="B243" t="s">
        <v>5003</v>
      </c>
      <c r="C243" t="s">
        <v>5004</v>
      </c>
      <c r="D243" t="s">
        <v>1592</v>
      </c>
      <c r="E243" t="s">
        <v>5005</v>
      </c>
      <c r="F243" t="s">
        <v>4225</v>
      </c>
      <c r="G243" t="s">
        <v>5006</v>
      </c>
    </row>
    <row r="244">
      <c r="A244" t="s">
        <v>2483</v>
      </c>
      <c r="B244" t="s">
        <v>5007</v>
      </c>
      <c r="C244" t="s">
        <v>5008</v>
      </c>
      <c r="D244" t="s">
        <v>3981</v>
      </c>
      <c r="E244" t="s">
        <v>5009</v>
      </c>
      <c r="F244" t="s">
        <v>4215</v>
      </c>
      <c r="G244" t="s">
        <v>5010</v>
      </c>
    </row>
    <row r="245">
      <c r="A245" t="s">
        <v>2485</v>
      </c>
      <c r="B245" t="s">
        <v>5011</v>
      </c>
      <c r="C245" t="s">
        <v>5012</v>
      </c>
      <c r="D245" t="s">
        <v>4118</v>
      </c>
      <c r="E245" t="s">
        <v>5013</v>
      </c>
      <c r="F245" t="s">
        <v>4200</v>
      </c>
      <c r="G245" t="s">
        <v>5014</v>
      </c>
    </row>
    <row r="246">
      <c r="A246" t="s">
        <v>2488</v>
      </c>
      <c r="B246" t="s">
        <v>5015</v>
      </c>
      <c r="C246" t="s">
        <v>5016</v>
      </c>
      <c r="D246" t="s">
        <v>4124</v>
      </c>
      <c r="E246" t="s">
        <v>5017</v>
      </c>
      <c r="F246" t="s">
        <v>4205</v>
      </c>
      <c r="G246" t="s">
        <v>5018</v>
      </c>
    </row>
    <row r="247">
      <c r="A247" t="s">
        <v>2490</v>
      </c>
      <c r="B247" t="s">
        <v>5019</v>
      </c>
      <c r="C247" t="s">
        <v>4867</v>
      </c>
      <c r="D247" t="s">
        <v>4130</v>
      </c>
      <c r="E247" t="s">
        <v>5020</v>
      </c>
      <c r="F247" t="s">
        <v>4210</v>
      </c>
      <c r="G247" t="s">
        <v>5021</v>
      </c>
    </row>
    <row r="248">
      <c r="A248" t="s">
        <v>2493</v>
      </c>
      <c r="B248" t="s">
        <v>5022</v>
      </c>
      <c r="C248" t="s">
        <v>5023</v>
      </c>
      <c r="D248" t="s">
        <v>3987</v>
      </c>
      <c r="E248" t="s">
        <v>5024</v>
      </c>
      <c r="F248" t="s">
        <v>4215</v>
      </c>
      <c r="G248" t="s">
        <v>5025</v>
      </c>
    </row>
    <row r="249">
      <c r="A249" t="s">
        <v>2495</v>
      </c>
      <c r="B249" t="s">
        <v>5026</v>
      </c>
      <c r="C249" t="s">
        <v>4058</v>
      </c>
      <c r="D249" t="s">
        <v>1606</v>
      </c>
      <c r="E249" t="s">
        <v>5027</v>
      </c>
      <c r="F249" t="s">
        <v>4220</v>
      </c>
      <c r="G249" t="s">
        <v>5028</v>
      </c>
    </row>
    <row r="250">
      <c r="A250" t="s">
        <v>2497</v>
      </c>
      <c r="B250" t="s">
        <v>5029</v>
      </c>
      <c r="C250" t="s">
        <v>5030</v>
      </c>
      <c r="D250" t="s">
        <v>3998</v>
      </c>
      <c r="E250" t="s">
        <v>5031</v>
      </c>
      <c r="F250" t="s">
        <v>4225</v>
      </c>
      <c r="G250" t="s">
        <v>5032</v>
      </c>
    </row>
    <row r="251">
      <c r="A251" t="s">
        <v>2498</v>
      </c>
      <c r="B251" t="s">
        <v>5033</v>
      </c>
      <c r="C251" t="s">
        <v>5034</v>
      </c>
      <c r="D251" t="s">
        <v>1613</v>
      </c>
      <c r="E251" t="s">
        <v>5035</v>
      </c>
      <c r="F251" t="s">
        <v>4230</v>
      </c>
      <c r="G251" t="s">
        <v>5036</v>
      </c>
    </row>
    <row r="252">
      <c r="A252" t="s">
        <v>2501</v>
      </c>
      <c r="B252" t="s">
        <v>5037</v>
      </c>
      <c r="C252" t="s">
        <v>5038</v>
      </c>
      <c r="D252" t="s">
        <v>4156</v>
      </c>
      <c r="E252" t="s">
        <v>5039</v>
      </c>
      <c r="F252" t="s">
        <v>4235</v>
      </c>
      <c r="G252" t="s">
        <v>5040</v>
      </c>
    </row>
    <row r="253">
      <c r="A253" t="s">
        <v>2503</v>
      </c>
      <c r="B253" t="s">
        <v>5041</v>
      </c>
      <c r="C253" t="s">
        <v>5042</v>
      </c>
      <c r="D253" t="s">
        <v>4162</v>
      </c>
      <c r="E253" t="s">
        <v>5043</v>
      </c>
      <c r="F253" t="s">
        <v>4240</v>
      </c>
      <c r="G253" t="s">
        <v>5044</v>
      </c>
    </row>
    <row r="254">
      <c r="A254" t="s">
        <v>2505</v>
      </c>
      <c r="B254" t="s">
        <v>5045</v>
      </c>
      <c r="C254" t="s">
        <v>5046</v>
      </c>
      <c r="D254" t="s">
        <v>4168</v>
      </c>
      <c r="E254" t="s">
        <v>5047</v>
      </c>
      <c r="F254" t="s">
        <v>4245</v>
      </c>
      <c r="G254" t="s">
        <v>5048</v>
      </c>
    </row>
    <row r="255">
      <c r="A255" t="s">
        <v>2507</v>
      </c>
      <c r="B255" t="s">
        <v>5049</v>
      </c>
      <c r="C255" t="s">
        <v>5050</v>
      </c>
      <c r="D255" t="s">
        <v>1620</v>
      </c>
      <c r="E255" t="s">
        <v>5051</v>
      </c>
      <c r="F255" t="s">
        <v>4250</v>
      </c>
      <c r="G255" t="s">
        <v>5052</v>
      </c>
    </row>
    <row r="256">
      <c r="A256" t="s">
        <v>2510</v>
      </c>
      <c r="B256" t="s">
        <v>5053</v>
      </c>
      <c r="C256" t="s">
        <v>5054</v>
      </c>
      <c r="D256" t="s">
        <v>4014</v>
      </c>
      <c r="E256" t="s">
        <v>5055</v>
      </c>
      <c r="F256" t="s">
        <v>4255</v>
      </c>
      <c r="G256" t="s">
        <v>5056</v>
      </c>
    </row>
    <row r="257">
      <c r="A257" t="s">
        <v>2512</v>
      </c>
      <c r="B257" t="s">
        <v>5057</v>
      </c>
      <c r="C257" t="s">
        <v>5058</v>
      </c>
      <c r="D257" t="s">
        <v>4020</v>
      </c>
      <c r="E257" t="s">
        <v>5059</v>
      </c>
      <c r="F257" t="s">
        <v>4260</v>
      </c>
      <c r="G257" t="s">
        <v>5060</v>
      </c>
    </row>
    <row r="258">
      <c r="A258" t="s">
        <v>2514</v>
      </c>
      <c r="B258" t="s">
        <v>5061</v>
      </c>
      <c r="C258" t="s">
        <v>5062</v>
      </c>
      <c r="D258" t="s">
        <v>1557</v>
      </c>
      <c r="E258" t="s">
        <v>5063</v>
      </c>
      <c r="F258" t="s">
        <v>4265</v>
      </c>
      <c r="G258" t="s">
        <v>5064</v>
      </c>
    </row>
    <row r="259">
      <c r="A259" t="s">
        <v>2516</v>
      </c>
      <c r="B259" t="s">
        <v>5065</v>
      </c>
      <c r="C259" t="s">
        <v>5066</v>
      </c>
      <c r="D259" t="s">
        <v>4031</v>
      </c>
      <c r="E259" t="s">
        <v>5067</v>
      </c>
      <c r="F259" t="s">
        <v>4270</v>
      </c>
      <c r="G259" t="s">
        <v>5068</v>
      </c>
    </row>
    <row r="260">
      <c r="A260" t="s">
        <v>2519</v>
      </c>
      <c r="B260" t="s">
        <v>5069</v>
      </c>
      <c r="C260" t="s">
        <v>5070</v>
      </c>
      <c r="D260" t="s">
        <v>4037</v>
      </c>
      <c r="E260" t="s">
        <v>5071</v>
      </c>
      <c r="F260" t="s">
        <v>4275</v>
      </c>
      <c r="G260" t="s">
        <v>5072</v>
      </c>
    </row>
    <row r="261">
      <c r="A261" t="s">
        <v>2521</v>
      </c>
      <c r="B261" t="s">
        <v>5073</v>
      </c>
      <c r="C261" t="s">
        <v>4779</v>
      </c>
      <c r="D261" t="s">
        <v>1699</v>
      </c>
      <c r="E261" t="s">
        <v>5074</v>
      </c>
      <c r="F261" t="s">
        <v>4280</v>
      </c>
      <c r="G261" t="s">
        <v>5075</v>
      </c>
    </row>
    <row r="262">
      <c r="A262" t="s">
        <v>2524</v>
      </c>
      <c r="B262" t="s">
        <v>5076</v>
      </c>
      <c r="C262" t="s">
        <v>5077</v>
      </c>
      <c r="D262" t="s">
        <v>1571</v>
      </c>
      <c r="E262" t="s">
        <v>5078</v>
      </c>
      <c r="F262" t="s">
        <v>4285</v>
      </c>
      <c r="G262" t="s">
        <v>5079</v>
      </c>
    </row>
    <row r="263">
      <c r="A263" t="s">
        <v>2525</v>
      </c>
      <c r="B263" t="s">
        <v>5080</v>
      </c>
      <c r="C263" t="s">
        <v>5081</v>
      </c>
      <c r="D263" t="s">
        <v>4053</v>
      </c>
      <c r="E263" t="s">
        <v>5082</v>
      </c>
      <c r="F263" t="s">
        <v>4290</v>
      </c>
      <c r="G263" t="s">
        <v>5083</v>
      </c>
    </row>
    <row r="264">
      <c r="A264" t="s">
        <v>2528</v>
      </c>
      <c r="B264" t="s">
        <v>5084</v>
      </c>
      <c r="C264" t="s">
        <v>5085</v>
      </c>
      <c r="D264" t="s">
        <v>4059</v>
      </c>
      <c r="E264" t="s">
        <v>5086</v>
      </c>
      <c r="F264" t="s">
        <v>4295</v>
      </c>
      <c r="G264" t="s">
        <v>5087</v>
      </c>
    </row>
    <row r="265">
      <c r="A265" t="s">
        <v>2529</v>
      </c>
      <c r="B265" t="s">
        <v>5088</v>
      </c>
      <c r="C265" t="s">
        <v>5089</v>
      </c>
      <c r="D265" t="s">
        <v>4065</v>
      </c>
      <c r="E265" t="s">
        <v>5090</v>
      </c>
      <c r="F265" t="s">
        <v>4300</v>
      </c>
      <c r="G265" t="s">
        <v>5091</v>
      </c>
    </row>
    <row r="266">
      <c r="A266" t="s">
        <v>2531</v>
      </c>
      <c r="B266" t="s">
        <v>5092</v>
      </c>
      <c r="C266" t="s">
        <v>5093</v>
      </c>
      <c r="D266" t="s">
        <v>1578</v>
      </c>
      <c r="E266" t="s">
        <v>5094</v>
      </c>
      <c r="F266" t="s">
        <v>4305</v>
      </c>
      <c r="G266" t="s">
        <v>5095</v>
      </c>
    </row>
    <row r="267">
      <c r="A267" t="s">
        <v>2532</v>
      </c>
      <c r="B267" t="s">
        <v>5096</v>
      </c>
      <c r="C267" t="s">
        <v>5097</v>
      </c>
      <c r="D267" t="s">
        <v>1647</v>
      </c>
      <c r="E267" t="s">
        <v>5098</v>
      </c>
      <c r="F267" t="s">
        <v>4310</v>
      </c>
      <c r="G267" t="s">
        <v>5099</v>
      </c>
    </row>
    <row r="268">
      <c r="A268" t="s">
        <v>2535</v>
      </c>
      <c r="B268" t="s">
        <v>5100</v>
      </c>
      <c r="C268" t="s">
        <v>5101</v>
      </c>
      <c r="D268" t="s">
        <v>3964</v>
      </c>
      <c r="E268" t="s">
        <v>5102</v>
      </c>
      <c r="F268" t="s">
        <v>4315</v>
      </c>
      <c r="G268" t="s">
        <v>5103</v>
      </c>
    </row>
    <row r="269">
      <c r="A269" t="s">
        <v>2536</v>
      </c>
      <c r="B269" t="s">
        <v>5104</v>
      </c>
      <c r="C269" t="s">
        <v>5105</v>
      </c>
      <c r="D269" t="s">
        <v>3970</v>
      </c>
      <c r="E269" t="s">
        <v>5106</v>
      </c>
      <c r="F269" t="s">
        <v>4320</v>
      </c>
      <c r="G269" t="s">
        <v>5107</v>
      </c>
    </row>
    <row r="270">
      <c r="A270" t="s">
        <v>2539</v>
      </c>
      <c r="B270" t="s">
        <v>5108</v>
      </c>
      <c r="C270" t="s">
        <v>5109</v>
      </c>
      <c r="D270" t="s">
        <v>1585</v>
      </c>
      <c r="E270" t="s">
        <v>5110</v>
      </c>
      <c r="F270" t="s">
        <v>4325</v>
      </c>
      <c r="G270" t="s">
        <v>5111</v>
      </c>
    </row>
    <row r="271">
      <c r="A271" t="s">
        <v>2541</v>
      </c>
      <c r="B271" t="s">
        <v>5112</v>
      </c>
      <c r="C271" t="s">
        <v>5113</v>
      </c>
      <c r="D271" t="s">
        <v>4096</v>
      </c>
      <c r="E271" t="s">
        <v>5114</v>
      </c>
      <c r="F271" t="s">
        <v>4330</v>
      </c>
      <c r="G271" t="s">
        <v>5115</v>
      </c>
    </row>
    <row r="272">
      <c r="A272" t="s">
        <v>2543</v>
      </c>
      <c r="B272" t="s">
        <v>5116</v>
      </c>
      <c r="C272" t="s">
        <v>5117</v>
      </c>
      <c r="D272" t="s">
        <v>4102</v>
      </c>
      <c r="E272" t="s">
        <v>5118</v>
      </c>
      <c r="F272" t="s">
        <v>4335</v>
      </c>
      <c r="G272" t="s">
        <v>5119</v>
      </c>
    </row>
    <row r="273">
      <c r="A273" t="s">
        <v>2545</v>
      </c>
      <c r="B273" t="s">
        <v>5120</v>
      </c>
      <c r="C273" t="s">
        <v>5121</v>
      </c>
      <c r="D273" t="s">
        <v>1592</v>
      </c>
      <c r="E273" t="s">
        <v>5122</v>
      </c>
      <c r="F273" t="s">
        <v>4340</v>
      </c>
      <c r="G273" t="s">
        <v>5123</v>
      </c>
    </row>
    <row r="274">
      <c r="A274" t="s">
        <v>2548</v>
      </c>
      <c r="B274" t="s">
        <v>5124</v>
      </c>
      <c r="C274" t="s">
        <v>5125</v>
      </c>
      <c r="D274" t="s">
        <v>3981</v>
      </c>
      <c r="E274" t="s">
        <v>5126</v>
      </c>
      <c r="F274" t="s">
        <v>4345</v>
      </c>
      <c r="G274" t="s">
        <v>5127</v>
      </c>
    </row>
    <row r="275">
      <c r="A275" t="s">
        <v>2550</v>
      </c>
      <c r="B275" t="s">
        <v>5128</v>
      </c>
      <c r="C275" t="s">
        <v>5129</v>
      </c>
      <c r="D275" t="s">
        <v>4118</v>
      </c>
      <c r="E275" t="s">
        <v>5130</v>
      </c>
      <c r="F275" t="s">
        <v>4350</v>
      </c>
      <c r="G275" t="s">
        <v>5131</v>
      </c>
    </row>
    <row r="276">
      <c r="A276" t="s">
        <v>2553</v>
      </c>
      <c r="B276" t="s">
        <v>5132</v>
      </c>
      <c r="C276" t="s">
        <v>5133</v>
      </c>
      <c r="D276" t="s">
        <v>4124</v>
      </c>
      <c r="E276" t="s">
        <v>5134</v>
      </c>
      <c r="F276" t="s">
        <v>4355</v>
      </c>
      <c r="G276" t="s">
        <v>5135</v>
      </c>
    </row>
    <row r="277">
      <c r="A277" t="s">
        <v>2554</v>
      </c>
      <c r="B277" t="s">
        <v>5136</v>
      </c>
      <c r="C277" t="s">
        <v>5137</v>
      </c>
      <c r="D277" t="s">
        <v>4130</v>
      </c>
      <c r="E277" t="s">
        <v>5138</v>
      </c>
      <c r="F277" t="s">
        <v>4360</v>
      </c>
      <c r="G277" t="s">
        <v>5139</v>
      </c>
    </row>
    <row r="278">
      <c r="A278" t="s">
        <v>2557</v>
      </c>
      <c r="B278" t="s">
        <v>5140</v>
      </c>
      <c r="C278" t="s">
        <v>5141</v>
      </c>
      <c r="D278" t="s">
        <v>3987</v>
      </c>
      <c r="E278" t="s">
        <v>5142</v>
      </c>
      <c r="F278" t="s">
        <v>4365</v>
      </c>
      <c r="G278" t="s">
        <v>5143</v>
      </c>
    </row>
    <row r="279">
      <c r="A279" t="s">
        <v>2558</v>
      </c>
      <c r="B279" t="s">
        <v>5144</v>
      </c>
      <c r="C279" t="s">
        <v>5145</v>
      </c>
      <c r="D279" t="s">
        <v>1606</v>
      </c>
      <c r="E279" t="s">
        <v>5146</v>
      </c>
      <c r="F279" t="s">
        <v>4370</v>
      </c>
      <c r="G279" t="s">
        <v>5147</v>
      </c>
    </row>
    <row r="280">
      <c r="A280" t="s">
        <v>2561</v>
      </c>
      <c r="B280" t="s">
        <v>5148</v>
      </c>
      <c r="C280" t="s">
        <v>5149</v>
      </c>
      <c r="D280" t="s">
        <v>3998</v>
      </c>
      <c r="E280" t="s">
        <v>5150</v>
      </c>
      <c r="F280" t="s">
        <v>4375</v>
      </c>
      <c r="G280" t="s">
        <v>5151</v>
      </c>
    </row>
    <row r="281">
      <c r="A281" t="s">
        <v>2563</v>
      </c>
      <c r="B281" t="s">
        <v>5152</v>
      </c>
      <c r="C281" t="s">
        <v>5153</v>
      </c>
      <c r="D281" t="s">
        <v>1613</v>
      </c>
      <c r="E281" t="s">
        <v>5154</v>
      </c>
      <c r="F281" t="s">
        <v>4380</v>
      </c>
      <c r="G281" t="s">
        <v>5155</v>
      </c>
    </row>
    <row r="282">
      <c r="A282" t="s">
        <v>2565</v>
      </c>
      <c r="B282" t="s">
        <v>5156</v>
      </c>
      <c r="C282" t="s">
        <v>5157</v>
      </c>
      <c r="D282" t="s">
        <v>4156</v>
      </c>
      <c r="E282" t="s">
        <v>5158</v>
      </c>
      <c r="F282" t="s">
        <v>4385</v>
      </c>
      <c r="G282" t="s">
        <v>5159</v>
      </c>
    </row>
    <row r="283">
      <c r="A283" t="s">
        <v>2567</v>
      </c>
      <c r="B283" t="s">
        <v>5160</v>
      </c>
      <c r="C283" t="s">
        <v>5161</v>
      </c>
      <c r="D283" t="s">
        <v>4162</v>
      </c>
      <c r="E283" t="s">
        <v>5162</v>
      </c>
      <c r="F283" t="s">
        <v>4390</v>
      </c>
      <c r="G283" t="s">
        <v>5163</v>
      </c>
    </row>
    <row r="284">
      <c r="A284" t="s">
        <v>2569</v>
      </c>
      <c r="B284" t="s">
        <v>5164</v>
      </c>
      <c r="C284" t="s">
        <v>5165</v>
      </c>
      <c r="D284" t="s">
        <v>4168</v>
      </c>
      <c r="E284" t="s">
        <v>5166</v>
      </c>
      <c r="F284" t="s">
        <v>4395</v>
      </c>
      <c r="G284" t="s">
        <v>5167</v>
      </c>
    </row>
    <row r="285">
      <c r="A285" t="s">
        <v>2571</v>
      </c>
      <c r="B285" t="s">
        <v>5168</v>
      </c>
      <c r="C285" t="s">
        <v>5169</v>
      </c>
      <c r="D285" t="s">
        <v>1620</v>
      </c>
      <c r="E285" t="s">
        <v>5170</v>
      </c>
      <c r="F285" t="s">
        <v>4185</v>
      </c>
      <c r="G285" t="s">
        <v>5171</v>
      </c>
    </row>
    <row r="286">
      <c r="A286" t="s">
        <v>2574</v>
      </c>
      <c r="B286" t="s">
        <v>5172</v>
      </c>
      <c r="C286" t="s">
        <v>5173</v>
      </c>
      <c r="D286" t="s">
        <v>4014</v>
      </c>
      <c r="E286" t="s">
        <v>5174</v>
      </c>
      <c r="F286" t="s">
        <v>4132</v>
      </c>
      <c r="G286" t="s">
        <v>5175</v>
      </c>
    </row>
    <row r="287">
      <c r="A287" t="s">
        <v>2576</v>
      </c>
      <c r="B287" t="s">
        <v>5176</v>
      </c>
      <c r="C287" t="s">
        <v>5177</v>
      </c>
      <c r="D287" t="s">
        <v>4020</v>
      </c>
      <c r="E287" t="s">
        <v>5178</v>
      </c>
      <c r="F287" t="s">
        <v>4225</v>
      </c>
      <c r="G287" t="s">
        <v>5179</v>
      </c>
    </row>
    <row r="288">
      <c r="A288" t="s">
        <v>2578</v>
      </c>
      <c r="B288" t="s">
        <v>5180</v>
      </c>
      <c r="C288" t="s">
        <v>5181</v>
      </c>
      <c r="D288" t="s">
        <v>1557</v>
      </c>
      <c r="E288" t="s">
        <v>5182</v>
      </c>
      <c r="F288" t="s">
        <v>4215</v>
      </c>
      <c r="G288" t="s">
        <v>5183</v>
      </c>
    </row>
    <row r="289">
      <c r="A289" t="s">
        <v>2579</v>
      </c>
      <c r="B289" t="s">
        <v>5184</v>
      </c>
      <c r="C289" t="s">
        <v>5185</v>
      </c>
      <c r="D289" t="s">
        <v>4031</v>
      </c>
      <c r="E289" t="s">
        <v>5186</v>
      </c>
      <c r="F289" t="s">
        <v>4200</v>
      </c>
      <c r="G289" t="s">
        <v>5187</v>
      </c>
    </row>
    <row r="290">
      <c r="A290" t="s">
        <v>2582</v>
      </c>
      <c r="B290" t="s">
        <v>5188</v>
      </c>
      <c r="C290" t="s">
        <v>5189</v>
      </c>
      <c r="D290" t="s">
        <v>4037</v>
      </c>
      <c r="E290" t="s">
        <v>5190</v>
      </c>
      <c r="F290" t="s">
        <v>4205</v>
      </c>
      <c r="G290" t="s">
        <v>5191</v>
      </c>
    </row>
    <row r="291">
      <c r="A291" t="s">
        <v>2584</v>
      </c>
      <c r="B291" t="s">
        <v>5192</v>
      </c>
      <c r="C291" t="s">
        <v>5193</v>
      </c>
      <c r="D291" t="s">
        <v>1699</v>
      </c>
      <c r="E291" t="s">
        <v>5194</v>
      </c>
      <c r="F291" t="s">
        <v>4210</v>
      </c>
      <c r="G291" t="s">
        <v>5195</v>
      </c>
    </row>
    <row r="292">
      <c r="A292" t="s">
        <v>2587</v>
      </c>
      <c r="B292" t="s">
        <v>5196</v>
      </c>
      <c r="C292" t="s">
        <v>5197</v>
      </c>
      <c r="D292" t="s">
        <v>1571</v>
      </c>
      <c r="E292" t="s">
        <v>5198</v>
      </c>
      <c r="F292" t="s">
        <v>4215</v>
      </c>
      <c r="G292" t="s">
        <v>5199</v>
      </c>
    </row>
    <row r="293">
      <c r="A293" t="s">
        <v>2588</v>
      </c>
      <c r="B293" t="s">
        <v>5200</v>
      </c>
      <c r="C293" t="s">
        <v>5201</v>
      </c>
      <c r="D293" t="s">
        <v>4053</v>
      </c>
      <c r="E293" t="s">
        <v>5202</v>
      </c>
      <c r="F293" t="s">
        <v>4220</v>
      </c>
      <c r="G293" t="s">
        <v>5203</v>
      </c>
    </row>
    <row r="294">
      <c r="A294" t="s">
        <v>2590</v>
      </c>
      <c r="B294" t="s">
        <v>5204</v>
      </c>
      <c r="C294" t="s">
        <v>5205</v>
      </c>
      <c r="D294" t="s">
        <v>4059</v>
      </c>
      <c r="E294" t="s">
        <v>5206</v>
      </c>
      <c r="F294" t="s">
        <v>4225</v>
      </c>
      <c r="G294" t="s">
        <v>5207</v>
      </c>
    </row>
    <row r="295">
      <c r="A295" t="s">
        <v>2591</v>
      </c>
      <c r="B295" t="s">
        <v>5208</v>
      </c>
      <c r="C295" t="s">
        <v>5209</v>
      </c>
      <c r="D295" t="s">
        <v>4065</v>
      </c>
      <c r="E295" t="s">
        <v>5210</v>
      </c>
      <c r="F295" t="s">
        <v>4230</v>
      </c>
      <c r="G295" t="s">
        <v>5211</v>
      </c>
    </row>
    <row r="296">
      <c r="A296" t="s">
        <v>2593</v>
      </c>
      <c r="B296" t="s">
        <v>5212</v>
      </c>
      <c r="C296" t="s">
        <v>5213</v>
      </c>
      <c r="D296" t="s">
        <v>1578</v>
      </c>
      <c r="E296" t="s">
        <v>5214</v>
      </c>
      <c r="F296" t="s">
        <v>4235</v>
      </c>
      <c r="G296" t="s">
        <v>5215</v>
      </c>
    </row>
    <row r="297">
      <c r="A297" t="s">
        <v>2594</v>
      </c>
      <c r="B297" t="s">
        <v>5216</v>
      </c>
      <c r="C297" t="s">
        <v>5217</v>
      </c>
      <c r="D297" t="s">
        <v>1647</v>
      </c>
      <c r="E297" t="s">
        <v>5218</v>
      </c>
      <c r="F297" t="s">
        <v>4240</v>
      </c>
      <c r="G297" t="s">
        <v>5219</v>
      </c>
    </row>
    <row r="298">
      <c r="A298" t="s">
        <v>2597</v>
      </c>
      <c r="B298" t="s">
        <v>5220</v>
      </c>
      <c r="C298" t="s">
        <v>5221</v>
      </c>
      <c r="D298" t="s">
        <v>3964</v>
      </c>
      <c r="E298" t="s">
        <v>5222</v>
      </c>
      <c r="F298" t="s">
        <v>4245</v>
      </c>
      <c r="G298" t="s">
        <v>5223</v>
      </c>
    </row>
    <row r="299">
      <c r="A299" t="s">
        <v>2598</v>
      </c>
      <c r="B299" t="s">
        <v>5224</v>
      </c>
      <c r="C299" t="s">
        <v>5225</v>
      </c>
      <c r="D299" t="s">
        <v>3970</v>
      </c>
      <c r="E299" t="s">
        <v>5226</v>
      </c>
      <c r="F299" t="s">
        <v>4250</v>
      </c>
      <c r="G299" t="s">
        <v>5227</v>
      </c>
    </row>
    <row r="300">
      <c r="A300" t="s">
        <v>2601</v>
      </c>
      <c r="B300" t="s">
        <v>5228</v>
      </c>
      <c r="C300" t="s">
        <v>5229</v>
      </c>
      <c r="D300" t="s">
        <v>1585</v>
      </c>
      <c r="E300" t="s">
        <v>5230</v>
      </c>
      <c r="F300" t="s">
        <v>4255</v>
      </c>
      <c r="G300" t="s">
        <v>5231</v>
      </c>
    </row>
    <row r="301">
      <c r="A301" t="s">
        <v>2603</v>
      </c>
      <c r="B301" t="s">
        <v>5232</v>
      </c>
      <c r="C301" t="s">
        <v>5233</v>
      </c>
      <c r="D301" t="s">
        <v>4096</v>
      </c>
      <c r="E301" t="s">
        <v>5234</v>
      </c>
      <c r="F301" t="s">
        <v>4260</v>
      </c>
      <c r="G301" t="s">
        <v>5235</v>
      </c>
    </row>
    <row r="302">
      <c r="A302" t="s">
        <v>2605</v>
      </c>
      <c r="B302" t="s">
        <v>5236</v>
      </c>
      <c r="C302" t="s">
        <v>5237</v>
      </c>
      <c r="D302" t="s">
        <v>4102</v>
      </c>
      <c r="E302" t="s">
        <v>5238</v>
      </c>
      <c r="F302" t="s">
        <v>4265</v>
      </c>
      <c r="G302" t="s">
        <v>5239</v>
      </c>
    </row>
    <row r="303">
      <c r="A303" t="s">
        <v>2607</v>
      </c>
      <c r="B303" t="s">
        <v>5240</v>
      </c>
      <c r="C303" t="s">
        <v>5241</v>
      </c>
      <c r="D303" t="s">
        <v>1592</v>
      </c>
      <c r="E303" t="s">
        <v>5242</v>
      </c>
      <c r="F303" t="s">
        <v>4270</v>
      </c>
      <c r="G303" t="s">
        <v>5243</v>
      </c>
    </row>
    <row r="304">
      <c r="A304" t="s">
        <v>2610</v>
      </c>
      <c r="B304" t="s">
        <v>5244</v>
      </c>
      <c r="C304" t="s">
        <v>5245</v>
      </c>
      <c r="D304" t="s">
        <v>3981</v>
      </c>
      <c r="E304" t="s">
        <v>5246</v>
      </c>
      <c r="F304" t="s">
        <v>4275</v>
      </c>
      <c r="G304" t="s">
        <v>5247</v>
      </c>
    </row>
    <row r="305">
      <c r="A305" t="s">
        <v>2612</v>
      </c>
      <c r="B305" t="s">
        <v>5248</v>
      </c>
      <c r="C305" t="s">
        <v>5249</v>
      </c>
      <c r="D305" t="s">
        <v>4118</v>
      </c>
      <c r="E305" t="s">
        <v>5250</v>
      </c>
      <c r="F305" t="s">
        <v>4280</v>
      </c>
      <c r="G305" t="s">
        <v>5251</v>
      </c>
    </row>
    <row r="306">
      <c r="A306" t="s">
        <v>2615</v>
      </c>
      <c r="B306" t="s">
        <v>5252</v>
      </c>
      <c r="C306" t="s">
        <v>5253</v>
      </c>
      <c r="D306" t="s">
        <v>4124</v>
      </c>
      <c r="E306" t="s">
        <v>5254</v>
      </c>
      <c r="F306" t="s">
        <v>4285</v>
      </c>
      <c r="G306" t="s">
        <v>5255</v>
      </c>
    </row>
    <row r="307">
      <c r="A307" t="s">
        <v>2617</v>
      </c>
      <c r="B307" t="s">
        <v>5256</v>
      </c>
      <c r="C307" t="s">
        <v>5257</v>
      </c>
      <c r="D307" t="s">
        <v>4130</v>
      </c>
      <c r="E307" t="s">
        <v>5258</v>
      </c>
      <c r="F307" t="s">
        <v>4290</v>
      </c>
      <c r="G307" t="s">
        <v>5259</v>
      </c>
    </row>
    <row r="308">
      <c r="A308" t="s">
        <v>2620</v>
      </c>
      <c r="B308" t="s">
        <v>5260</v>
      </c>
      <c r="C308" t="s">
        <v>5261</v>
      </c>
      <c r="D308" t="s">
        <v>3987</v>
      </c>
      <c r="E308" t="s">
        <v>5262</v>
      </c>
      <c r="F308" t="s">
        <v>4295</v>
      </c>
      <c r="G308" t="s">
        <v>5263</v>
      </c>
    </row>
    <row r="309">
      <c r="A309" t="s">
        <v>2621</v>
      </c>
      <c r="B309" t="s">
        <v>5264</v>
      </c>
      <c r="C309" t="s">
        <v>5265</v>
      </c>
      <c r="D309" t="s">
        <v>1606</v>
      </c>
      <c r="E309" t="s">
        <v>5266</v>
      </c>
      <c r="F309" t="s">
        <v>4300</v>
      </c>
      <c r="G309" t="s">
        <v>5267</v>
      </c>
    </row>
    <row r="310">
      <c r="A310" t="s">
        <v>2624</v>
      </c>
      <c r="B310" t="s">
        <v>5268</v>
      </c>
      <c r="C310" t="s">
        <v>5269</v>
      </c>
      <c r="D310" t="s">
        <v>3998</v>
      </c>
      <c r="E310" t="s">
        <v>5270</v>
      </c>
      <c r="F310" t="s">
        <v>4305</v>
      </c>
      <c r="G310" t="s">
        <v>5271</v>
      </c>
    </row>
    <row r="311">
      <c r="A311" t="s">
        <v>2625</v>
      </c>
      <c r="B311" t="s">
        <v>5272</v>
      </c>
      <c r="C311" t="s">
        <v>5141</v>
      </c>
      <c r="D311" t="s">
        <v>1613</v>
      </c>
      <c r="E311" t="s">
        <v>5273</v>
      </c>
      <c r="F311" t="s">
        <v>4310</v>
      </c>
      <c r="G311" t="s">
        <v>5274</v>
      </c>
    </row>
    <row r="312">
      <c r="A312" t="s">
        <v>2628</v>
      </c>
      <c r="B312" t="s">
        <v>5275</v>
      </c>
      <c r="C312" t="s">
        <v>5276</v>
      </c>
      <c r="D312" t="s">
        <v>4156</v>
      </c>
      <c r="E312" t="s">
        <v>5277</v>
      </c>
      <c r="F312" t="s">
        <v>4315</v>
      </c>
      <c r="G312" t="s">
        <v>5278</v>
      </c>
    </row>
    <row r="313">
      <c r="A313" t="s">
        <v>2630</v>
      </c>
      <c r="B313" t="s">
        <v>5279</v>
      </c>
      <c r="C313" t="s">
        <v>4751</v>
      </c>
      <c r="D313" t="s">
        <v>4162</v>
      </c>
      <c r="E313" t="s">
        <v>5280</v>
      </c>
      <c r="F313" t="s">
        <v>4320</v>
      </c>
      <c r="G313" t="s">
        <v>5281</v>
      </c>
    </row>
    <row r="314">
      <c r="A314" t="s">
        <v>2633</v>
      </c>
      <c r="B314" t="s">
        <v>5282</v>
      </c>
      <c r="C314" t="s">
        <v>5283</v>
      </c>
      <c r="D314" t="s">
        <v>4168</v>
      </c>
      <c r="E314" t="s">
        <v>5284</v>
      </c>
      <c r="F314" t="s">
        <v>4325</v>
      </c>
      <c r="G314" t="s">
        <v>5285</v>
      </c>
    </row>
    <row r="315">
      <c r="A315" t="s">
        <v>2634</v>
      </c>
      <c r="B315" t="s">
        <v>5286</v>
      </c>
      <c r="C315" t="s">
        <v>5287</v>
      </c>
      <c r="D315" t="s">
        <v>1620</v>
      </c>
      <c r="E315" t="s">
        <v>5288</v>
      </c>
      <c r="F315" t="s">
        <v>4330</v>
      </c>
      <c r="G315" t="s">
        <v>5289</v>
      </c>
    </row>
    <row r="316">
      <c r="A316" t="s">
        <v>2637</v>
      </c>
      <c r="B316" t="s">
        <v>5290</v>
      </c>
      <c r="C316" t="s">
        <v>5291</v>
      </c>
      <c r="D316" t="s">
        <v>4014</v>
      </c>
      <c r="E316" t="s">
        <v>5292</v>
      </c>
      <c r="F316" t="s">
        <v>4335</v>
      </c>
      <c r="G316" t="s">
        <v>5293</v>
      </c>
    </row>
    <row r="317">
      <c r="A317" t="s">
        <v>2639</v>
      </c>
      <c r="B317" t="s">
        <v>5294</v>
      </c>
      <c r="C317" t="s">
        <v>5295</v>
      </c>
      <c r="D317" t="s">
        <v>4020</v>
      </c>
      <c r="E317" t="s">
        <v>5296</v>
      </c>
      <c r="F317" t="s">
        <v>4340</v>
      </c>
      <c r="G317" t="s">
        <v>5297</v>
      </c>
    </row>
    <row r="318">
      <c r="A318" t="s">
        <v>2641</v>
      </c>
      <c r="B318" t="s">
        <v>5298</v>
      </c>
      <c r="C318" t="s">
        <v>5299</v>
      </c>
      <c r="D318" t="s">
        <v>1557</v>
      </c>
      <c r="E318" t="s">
        <v>5300</v>
      </c>
      <c r="F318" t="s">
        <v>4345</v>
      </c>
      <c r="G318" t="s">
        <v>5301</v>
      </c>
    </row>
    <row r="319">
      <c r="A319" t="s">
        <v>2643</v>
      </c>
      <c r="B319" t="s">
        <v>5302</v>
      </c>
      <c r="C319" t="s">
        <v>5303</v>
      </c>
      <c r="D319" t="s">
        <v>4031</v>
      </c>
      <c r="E319" t="s">
        <v>5304</v>
      </c>
      <c r="F319" t="s">
        <v>4350</v>
      </c>
      <c r="G319" t="s">
        <v>5305</v>
      </c>
    </row>
    <row r="320">
      <c r="A320" t="s">
        <v>2645</v>
      </c>
      <c r="B320" t="s">
        <v>5306</v>
      </c>
      <c r="C320" t="s">
        <v>5307</v>
      </c>
      <c r="D320" t="s">
        <v>4037</v>
      </c>
      <c r="E320" t="s">
        <v>5308</v>
      </c>
      <c r="F320" t="s">
        <v>4355</v>
      </c>
      <c r="G320" t="s">
        <v>5309</v>
      </c>
    </row>
    <row r="321">
      <c r="A321" t="s">
        <v>2646</v>
      </c>
      <c r="B321" t="s">
        <v>5310</v>
      </c>
      <c r="C321" t="s">
        <v>5311</v>
      </c>
      <c r="D321" t="s">
        <v>1699</v>
      </c>
      <c r="E321" t="s">
        <v>5312</v>
      </c>
      <c r="F321" t="s">
        <v>4360</v>
      </c>
      <c r="G321" t="s">
        <v>5313</v>
      </c>
    </row>
    <row r="322">
      <c r="A322" t="s">
        <v>2648</v>
      </c>
      <c r="B322" t="s">
        <v>5314</v>
      </c>
      <c r="C322" t="s">
        <v>5315</v>
      </c>
      <c r="D322" t="s">
        <v>1571</v>
      </c>
      <c r="E322" t="s">
        <v>5316</v>
      </c>
      <c r="F322" t="s">
        <v>4365</v>
      </c>
      <c r="G322" t="s">
        <v>5317</v>
      </c>
    </row>
    <row r="323">
      <c r="A323" t="s">
        <v>2650</v>
      </c>
      <c r="B323" t="s">
        <v>5318</v>
      </c>
      <c r="C323" t="s">
        <v>5319</v>
      </c>
      <c r="D323" t="s">
        <v>4053</v>
      </c>
      <c r="E323" t="s">
        <v>5320</v>
      </c>
      <c r="F323" t="s">
        <v>4370</v>
      </c>
      <c r="G323" t="s">
        <v>5321</v>
      </c>
    </row>
    <row r="324">
      <c r="A324" t="s">
        <v>2653</v>
      </c>
      <c r="B324" t="s">
        <v>5322</v>
      </c>
      <c r="C324" t="s">
        <v>5323</v>
      </c>
      <c r="D324" t="s">
        <v>4059</v>
      </c>
      <c r="E324" t="s">
        <v>5324</v>
      </c>
      <c r="F324" t="s">
        <v>4375</v>
      </c>
      <c r="G324" t="s">
        <v>5325</v>
      </c>
    </row>
    <row r="325">
      <c r="A325" t="s">
        <v>2655</v>
      </c>
      <c r="B325" t="s">
        <v>5326</v>
      </c>
      <c r="C325" t="s">
        <v>5327</v>
      </c>
      <c r="D325" t="s">
        <v>4065</v>
      </c>
      <c r="E325" t="s">
        <v>5328</v>
      </c>
      <c r="F325" t="s">
        <v>4380</v>
      </c>
      <c r="G325" t="s">
        <v>5329</v>
      </c>
    </row>
    <row r="326">
      <c r="A326" t="s">
        <v>2658</v>
      </c>
      <c r="B326" t="s">
        <v>5330</v>
      </c>
      <c r="C326" t="s">
        <v>5331</v>
      </c>
      <c r="D326" t="s">
        <v>1578</v>
      </c>
      <c r="E326" t="s">
        <v>5332</v>
      </c>
      <c r="F326" t="s">
        <v>4385</v>
      </c>
      <c r="G326" t="s">
        <v>5333</v>
      </c>
    </row>
    <row r="327">
      <c r="A327" t="s">
        <v>2660</v>
      </c>
      <c r="B327" t="s">
        <v>5334</v>
      </c>
      <c r="C327" t="s">
        <v>5335</v>
      </c>
      <c r="D327" t="s">
        <v>1647</v>
      </c>
      <c r="E327" t="s">
        <v>5336</v>
      </c>
      <c r="F327" t="s">
        <v>4390</v>
      </c>
      <c r="G327" t="s">
        <v>5337</v>
      </c>
    </row>
    <row r="328">
      <c r="A328" t="s">
        <v>2663</v>
      </c>
      <c r="B328" t="s">
        <v>5338</v>
      </c>
      <c r="C328" t="s">
        <v>5339</v>
      </c>
      <c r="D328" t="s">
        <v>3964</v>
      </c>
      <c r="E328" t="s">
        <v>5340</v>
      </c>
      <c r="F328" t="s">
        <v>4395</v>
      </c>
      <c r="G328" t="s">
        <v>5341</v>
      </c>
    </row>
    <row r="329">
      <c r="A329" t="s">
        <v>2665</v>
      </c>
      <c r="B329" t="s">
        <v>5342</v>
      </c>
      <c r="C329" t="s">
        <v>5343</v>
      </c>
      <c r="D329" t="s">
        <v>3970</v>
      </c>
      <c r="E329" t="s">
        <v>5344</v>
      </c>
      <c r="F329" t="s">
        <v>4164</v>
      </c>
      <c r="G329" t="s">
        <v>5345</v>
      </c>
    </row>
    <row r="330">
      <c r="A330" t="s">
        <v>2667</v>
      </c>
      <c r="B330" t="s">
        <v>5346</v>
      </c>
      <c r="C330" t="s">
        <v>5347</v>
      </c>
      <c r="D330" t="s">
        <v>1585</v>
      </c>
      <c r="E330" t="s">
        <v>5348</v>
      </c>
      <c r="F330" t="s">
        <v>4185</v>
      </c>
      <c r="G330" t="s">
        <v>5349</v>
      </c>
    </row>
    <row r="331">
      <c r="A331" t="s">
        <v>2669</v>
      </c>
      <c r="B331" t="s">
        <v>5350</v>
      </c>
      <c r="C331" t="s">
        <v>5351</v>
      </c>
      <c r="D331" t="s">
        <v>4096</v>
      </c>
      <c r="E331" t="s">
        <v>5352</v>
      </c>
      <c r="F331" t="s">
        <v>4132</v>
      </c>
      <c r="G331" t="s">
        <v>5353</v>
      </c>
    </row>
    <row r="332">
      <c r="A332" t="s">
        <v>2672</v>
      </c>
      <c r="B332" t="s">
        <v>5354</v>
      </c>
      <c r="C332" t="s">
        <v>5355</v>
      </c>
      <c r="D332" t="s">
        <v>4102</v>
      </c>
      <c r="E332" t="s">
        <v>5356</v>
      </c>
      <c r="F332" t="s">
        <v>4225</v>
      </c>
      <c r="G332" t="s">
        <v>5357</v>
      </c>
    </row>
    <row r="333">
      <c r="A333" t="s">
        <v>2674</v>
      </c>
      <c r="B333" t="s">
        <v>5358</v>
      </c>
      <c r="C333" t="s">
        <v>5359</v>
      </c>
      <c r="D333" t="s">
        <v>1592</v>
      </c>
      <c r="E333" t="s">
        <v>5360</v>
      </c>
      <c r="F333" t="s">
        <v>4215</v>
      </c>
      <c r="G333" t="s">
        <v>5361</v>
      </c>
    </row>
    <row r="334">
      <c r="A334" t="s">
        <v>2677</v>
      </c>
      <c r="B334" t="s">
        <v>5362</v>
      </c>
      <c r="C334" t="s">
        <v>4632</v>
      </c>
      <c r="D334" t="s">
        <v>3981</v>
      </c>
      <c r="E334" t="s">
        <v>4254</v>
      </c>
      <c r="F334" t="s">
        <v>4200</v>
      </c>
      <c r="G334" t="s">
        <v>5363</v>
      </c>
    </row>
    <row r="335">
      <c r="A335" t="s">
        <v>2678</v>
      </c>
      <c r="B335" t="s">
        <v>5364</v>
      </c>
      <c r="C335" t="s">
        <v>5365</v>
      </c>
      <c r="D335" t="s">
        <v>4118</v>
      </c>
      <c r="E335" t="s">
        <v>5366</v>
      </c>
      <c r="F335" t="s">
        <v>4205</v>
      </c>
      <c r="G335" t="s">
        <v>5367</v>
      </c>
    </row>
    <row r="336">
      <c r="A336" t="s">
        <v>2681</v>
      </c>
      <c r="B336" t="s">
        <v>5368</v>
      </c>
      <c r="C336" t="s">
        <v>5369</v>
      </c>
      <c r="D336" t="s">
        <v>4124</v>
      </c>
      <c r="E336" t="s">
        <v>5370</v>
      </c>
      <c r="F336" t="s">
        <v>4210</v>
      </c>
      <c r="G336" t="s">
        <v>5371</v>
      </c>
    </row>
    <row r="337">
      <c r="A337" t="s">
        <v>2683</v>
      </c>
      <c r="B337" t="s">
        <v>5372</v>
      </c>
      <c r="C337" t="s">
        <v>5373</v>
      </c>
      <c r="D337" t="s">
        <v>4130</v>
      </c>
      <c r="E337" t="s">
        <v>5374</v>
      </c>
      <c r="F337" t="s">
        <v>4215</v>
      </c>
      <c r="G337" t="s">
        <v>5375</v>
      </c>
    </row>
    <row r="338">
      <c r="A338" t="s">
        <v>2685</v>
      </c>
      <c r="B338" t="s">
        <v>5376</v>
      </c>
      <c r="C338" t="s">
        <v>5377</v>
      </c>
      <c r="D338" t="s">
        <v>3987</v>
      </c>
      <c r="E338" t="s">
        <v>5378</v>
      </c>
      <c r="F338" t="s">
        <v>4220</v>
      </c>
      <c r="G338" t="s">
        <v>5379</v>
      </c>
    </row>
    <row r="339">
      <c r="A339" t="s">
        <v>2687</v>
      </c>
      <c r="B339" t="s">
        <v>5380</v>
      </c>
      <c r="C339" t="s">
        <v>5381</v>
      </c>
      <c r="D339" t="s">
        <v>1606</v>
      </c>
      <c r="E339" t="s">
        <v>5382</v>
      </c>
      <c r="F339" t="s">
        <v>4225</v>
      </c>
      <c r="G339" t="s">
        <v>5383</v>
      </c>
    </row>
    <row r="340">
      <c r="A340" t="s">
        <v>2689</v>
      </c>
      <c r="B340" t="s">
        <v>5384</v>
      </c>
      <c r="C340" t="s">
        <v>5385</v>
      </c>
      <c r="D340" t="s">
        <v>3998</v>
      </c>
      <c r="E340" t="s">
        <v>5386</v>
      </c>
      <c r="F340" t="s">
        <v>4230</v>
      </c>
      <c r="G340" t="s">
        <v>5387</v>
      </c>
    </row>
    <row r="341">
      <c r="A341" t="s">
        <v>2690</v>
      </c>
      <c r="B341" t="s">
        <v>5388</v>
      </c>
      <c r="C341" t="s">
        <v>5389</v>
      </c>
      <c r="D341" t="s">
        <v>1613</v>
      </c>
      <c r="E341" t="s">
        <v>5390</v>
      </c>
      <c r="F341" t="s">
        <v>4235</v>
      </c>
      <c r="G341" t="s">
        <v>5391</v>
      </c>
    </row>
    <row r="342">
      <c r="A342" t="s">
        <v>2693</v>
      </c>
      <c r="B342" t="s">
        <v>5392</v>
      </c>
      <c r="C342" t="s">
        <v>5393</v>
      </c>
      <c r="D342" t="s">
        <v>4156</v>
      </c>
      <c r="E342" t="s">
        <v>5242</v>
      </c>
      <c r="F342" t="s">
        <v>4240</v>
      </c>
      <c r="G342" t="s">
        <v>5394</v>
      </c>
    </row>
    <row r="343">
      <c r="A343" t="s">
        <v>2695</v>
      </c>
      <c r="B343" t="s">
        <v>5395</v>
      </c>
      <c r="C343" t="s">
        <v>5396</v>
      </c>
      <c r="D343" t="s">
        <v>4162</v>
      </c>
      <c r="E343" t="s">
        <v>5397</v>
      </c>
      <c r="F343" t="s">
        <v>4245</v>
      </c>
      <c r="G343" t="s">
        <v>5398</v>
      </c>
    </row>
    <row r="344">
      <c r="A344" t="s">
        <v>2698</v>
      </c>
      <c r="B344" t="s">
        <v>5399</v>
      </c>
      <c r="C344" t="s">
        <v>5400</v>
      </c>
      <c r="D344" t="s">
        <v>4168</v>
      </c>
      <c r="E344" t="s">
        <v>5401</v>
      </c>
      <c r="F344" t="s">
        <v>4250</v>
      </c>
      <c r="G344" t="s">
        <v>5402</v>
      </c>
    </row>
    <row r="345">
      <c r="A345" t="s">
        <v>2700</v>
      </c>
      <c r="B345" t="s">
        <v>5403</v>
      </c>
      <c r="C345" t="s">
        <v>5404</v>
      </c>
      <c r="D345" t="s">
        <v>1620</v>
      </c>
      <c r="E345" t="s">
        <v>5405</v>
      </c>
      <c r="F345" t="s">
        <v>4255</v>
      </c>
      <c r="G345" t="s">
        <v>5406</v>
      </c>
    </row>
    <row r="346">
      <c r="A346" t="s">
        <v>2703</v>
      </c>
      <c r="B346" t="s">
        <v>5407</v>
      </c>
      <c r="C346" t="s">
        <v>5408</v>
      </c>
      <c r="D346" t="s">
        <v>4014</v>
      </c>
      <c r="E346" t="s">
        <v>5409</v>
      </c>
      <c r="F346" t="s">
        <v>4260</v>
      </c>
      <c r="G346" t="s">
        <v>5410</v>
      </c>
    </row>
    <row r="347">
      <c r="A347" t="s">
        <v>2705</v>
      </c>
      <c r="B347" t="s">
        <v>5411</v>
      </c>
      <c r="C347" t="s">
        <v>5412</v>
      </c>
      <c r="D347" t="s">
        <v>4020</v>
      </c>
      <c r="E347" t="s">
        <v>5413</v>
      </c>
      <c r="F347" t="s">
        <v>4265</v>
      </c>
      <c r="G347" t="s">
        <v>5414</v>
      </c>
    </row>
    <row r="348">
      <c r="A348" t="s">
        <v>2708</v>
      </c>
      <c r="B348" t="s">
        <v>5415</v>
      </c>
      <c r="C348" t="s">
        <v>5416</v>
      </c>
      <c r="D348" t="s">
        <v>1557</v>
      </c>
      <c r="E348" t="s">
        <v>5417</v>
      </c>
      <c r="F348" t="s">
        <v>4270</v>
      </c>
      <c r="G348" t="s">
        <v>5418</v>
      </c>
    </row>
    <row r="349">
      <c r="A349" t="s">
        <v>2710</v>
      </c>
      <c r="B349" t="s">
        <v>5419</v>
      </c>
      <c r="C349" t="s">
        <v>5420</v>
      </c>
      <c r="D349" t="s">
        <v>4031</v>
      </c>
      <c r="E349" t="s">
        <v>5421</v>
      </c>
      <c r="F349" t="s">
        <v>4275</v>
      </c>
      <c r="G349" t="s">
        <v>5422</v>
      </c>
    </row>
    <row r="350">
      <c r="A350" t="s">
        <v>2712</v>
      </c>
      <c r="B350" t="s">
        <v>5423</v>
      </c>
      <c r="C350" t="s">
        <v>5424</v>
      </c>
      <c r="D350" t="s">
        <v>4037</v>
      </c>
      <c r="E350" t="s">
        <v>5425</v>
      </c>
      <c r="F350" t="s">
        <v>4280</v>
      </c>
      <c r="G350" t="s">
        <v>5426</v>
      </c>
    </row>
    <row r="351">
      <c r="A351" t="s">
        <v>2713</v>
      </c>
      <c r="B351" t="s">
        <v>5427</v>
      </c>
      <c r="C351" t="s">
        <v>5428</v>
      </c>
      <c r="D351" t="s">
        <v>1699</v>
      </c>
      <c r="E351" t="s">
        <v>5429</v>
      </c>
      <c r="F351" t="s">
        <v>4285</v>
      </c>
      <c r="G351" t="s">
        <v>5430</v>
      </c>
    </row>
    <row r="352">
      <c r="A352" t="s">
        <v>2715</v>
      </c>
      <c r="B352" t="s">
        <v>5431</v>
      </c>
      <c r="C352" t="s">
        <v>5432</v>
      </c>
      <c r="D352" t="s">
        <v>1571</v>
      </c>
      <c r="E352" t="s">
        <v>5433</v>
      </c>
      <c r="F352" t="s">
        <v>4290</v>
      </c>
      <c r="G352" t="s">
        <v>5434</v>
      </c>
    </row>
    <row r="353">
      <c r="A353" t="s">
        <v>2716</v>
      </c>
      <c r="B353" t="s">
        <v>5435</v>
      </c>
      <c r="C353" t="s">
        <v>5436</v>
      </c>
      <c r="D353" t="s">
        <v>4053</v>
      </c>
      <c r="E353" t="s">
        <v>5437</v>
      </c>
      <c r="F353" t="s">
        <v>4295</v>
      </c>
      <c r="G353" t="s">
        <v>5438</v>
      </c>
    </row>
    <row r="354">
      <c r="A354" t="s">
        <v>2719</v>
      </c>
      <c r="B354" t="s">
        <v>5439</v>
      </c>
      <c r="C354" t="s">
        <v>5440</v>
      </c>
      <c r="D354" t="s">
        <v>4059</v>
      </c>
      <c r="E354" t="s">
        <v>5441</v>
      </c>
      <c r="F354" t="s">
        <v>4300</v>
      </c>
      <c r="G354" t="s">
        <v>5442</v>
      </c>
    </row>
    <row r="355">
      <c r="A355" t="s">
        <v>2720</v>
      </c>
      <c r="B355" t="s">
        <v>5443</v>
      </c>
      <c r="C355" t="s">
        <v>5444</v>
      </c>
      <c r="D355" t="s">
        <v>4065</v>
      </c>
      <c r="E355" t="s">
        <v>5445</v>
      </c>
      <c r="F355" t="s">
        <v>4305</v>
      </c>
      <c r="G355" t="s">
        <v>5446</v>
      </c>
    </row>
    <row r="356">
      <c r="A356" t="s">
        <v>2722</v>
      </c>
      <c r="B356" t="s">
        <v>5447</v>
      </c>
      <c r="C356" t="s">
        <v>5448</v>
      </c>
      <c r="D356" t="s">
        <v>1578</v>
      </c>
      <c r="E356" t="s">
        <v>5449</v>
      </c>
      <c r="F356" t="s">
        <v>4310</v>
      </c>
      <c r="G356" t="s">
        <v>5450</v>
      </c>
    </row>
    <row r="357">
      <c r="A357" t="s">
        <v>2724</v>
      </c>
      <c r="B357" t="s">
        <v>5451</v>
      </c>
      <c r="C357" t="s">
        <v>5452</v>
      </c>
      <c r="D357" t="s">
        <v>1647</v>
      </c>
      <c r="E357" t="s">
        <v>5453</v>
      </c>
      <c r="F357" t="s">
        <v>4315</v>
      </c>
      <c r="G357" t="s">
        <v>5454</v>
      </c>
    </row>
    <row r="358">
      <c r="A358" t="s">
        <v>2727</v>
      </c>
      <c r="B358" t="s">
        <v>5455</v>
      </c>
      <c r="C358" t="s">
        <v>5456</v>
      </c>
      <c r="D358" t="s">
        <v>3964</v>
      </c>
      <c r="E358" t="s">
        <v>5457</v>
      </c>
      <c r="F358" t="s">
        <v>4320</v>
      </c>
      <c r="G358" t="s">
        <v>5458</v>
      </c>
    </row>
    <row r="359">
      <c r="A359" t="s">
        <v>2728</v>
      </c>
      <c r="B359" t="s">
        <v>5459</v>
      </c>
      <c r="C359" t="s">
        <v>5460</v>
      </c>
      <c r="D359" t="s">
        <v>3970</v>
      </c>
      <c r="E359" t="s">
        <v>5461</v>
      </c>
      <c r="F359" t="s">
        <v>4325</v>
      </c>
      <c r="G359" t="s">
        <v>5462</v>
      </c>
    </row>
    <row r="360">
      <c r="A360" t="s">
        <v>2731</v>
      </c>
      <c r="B360" t="s">
        <v>5463</v>
      </c>
      <c r="C360" t="s">
        <v>5464</v>
      </c>
      <c r="D360" t="s">
        <v>1585</v>
      </c>
      <c r="E360" t="s">
        <v>5465</v>
      </c>
      <c r="F360" t="s">
        <v>4330</v>
      </c>
      <c r="G360" t="s">
        <v>5466</v>
      </c>
    </row>
    <row r="361">
      <c r="A361" t="s">
        <v>2733</v>
      </c>
      <c r="B361" t="s">
        <v>5467</v>
      </c>
      <c r="C361" t="s">
        <v>5468</v>
      </c>
      <c r="D361" t="s">
        <v>4096</v>
      </c>
      <c r="E361" t="s">
        <v>5469</v>
      </c>
      <c r="F361" t="s">
        <v>4335</v>
      </c>
      <c r="G361" t="s">
        <v>5470</v>
      </c>
    </row>
    <row r="362">
      <c r="A362" t="s">
        <v>2736</v>
      </c>
      <c r="B362" t="s">
        <v>5471</v>
      </c>
      <c r="C362" t="s">
        <v>5472</v>
      </c>
      <c r="D362" t="s">
        <v>4102</v>
      </c>
      <c r="E362" t="s">
        <v>5473</v>
      </c>
      <c r="F362" t="s">
        <v>4340</v>
      </c>
      <c r="G362" t="s">
        <v>5474</v>
      </c>
    </row>
    <row r="363">
      <c r="A363" t="s">
        <v>2737</v>
      </c>
      <c r="B363" t="s">
        <v>5475</v>
      </c>
      <c r="C363" t="s">
        <v>5476</v>
      </c>
      <c r="D363" t="s">
        <v>1592</v>
      </c>
      <c r="E363" t="s">
        <v>5477</v>
      </c>
      <c r="F363" t="s">
        <v>4345</v>
      </c>
      <c r="G363" t="s">
        <v>5478</v>
      </c>
    </row>
    <row r="364">
      <c r="A364" t="s">
        <v>2740</v>
      </c>
      <c r="B364" t="s">
        <v>5479</v>
      </c>
      <c r="C364" t="s">
        <v>3992</v>
      </c>
      <c r="D364" t="s">
        <v>3981</v>
      </c>
      <c r="E364" t="s">
        <v>5480</v>
      </c>
      <c r="F364" t="s">
        <v>4350</v>
      </c>
      <c r="G364" t="s">
        <v>5481</v>
      </c>
    </row>
    <row r="365">
      <c r="A365" t="s">
        <v>2742</v>
      </c>
      <c r="B365" t="s">
        <v>5482</v>
      </c>
      <c r="C365" t="s">
        <v>5483</v>
      </c>
      <c r="D365" t="s">
        <v>4118</v>
      </c>
      <c r="E365" t="s">
        <v>5484</v>
      </c>
      <c r="F365" t="s">
        <v>4355</v>
      </c>
      <c r="G365" t="s">
        <v>5485</v>
      </c>
    </row>
    <row r="366">
      <c r="A366" t="s">
        <v>2745</v>
      </c>
      <c r="B366" t="s">
        <v>5486</v>
      </c>
      <c r="C366" t="s">
        <v>5487</v>
      </c>
      <c r="D366" t="s">
        <v>4124</v>
      </c>
      <c r="E366" t="s">
        <v>5488</v>
      </c>
      <c r="F366" t="s">
        <v>4360</v>
      </c>
      <c r="G366" t="s">
        <v>5489</v>
      </c>
    </row>
    <row r="367">
      <c r="A367" t="s">
        <v>2746</v>
      </c>
      <c r="B367" t="s">
        <v>5490</v>
      </c>
      <c r="C367" t="s">
        <v>5491</v>
      </c>
      <c r="D367" t="s">
        <v>4130</v>
      </c>
      <c r="E367" t="s">
        <v>5492</v>
      </c>
      <c r="F367" t="s">
        <v>4365</v>
      </c>
      <c r="G367" t="s">
        <v>5493</v>
      </c>
    </row>
    <row r="368">
      <c r="A368" t="s">
        <v>2749</v>
      </c>
      <c r="B368" t="s">
        <v>5494</v>
      </c>
      <c r="C368" t="s">
        <v>5495</v>
      </c>
      <c r="D368" t="s">
        <v>3987</v>
      </c>
      <c r="E368" t="s">
        <v>5496</v>
      </c>
      <c r="F368" t="s">
        <v>4370</v>
      </c>
      <c r="G368" t="s">
        <v>5497</v>
      </c>
    </row>
    <row r="369">
      <c r="A369" t="s">
        <v>2751</v>
      </c>
      <c r="B369" t="s">
        <v>5498</v>
      </c>
      <c r="C369" t="s">
        <v>5499</v>
      </c>
      <c r="D369" t="s">
        <v>1606</v>
      </c>
      <c r="E369" t="s">
        <v>5500</v>
      </c>
      <c r="F369" t="s">
        <v>4375</v>
      </c>
      <c r="G369" t="s">
        <v>5501</v>
      </c>
    </row>
    <row r="370">
      <c r="A370" t="s">
        <v>2754</v>
      </c>
      <c r="B370" t="s">
        <v>5502</v>
      </c>
      <c r="C370" t="s">
        <v>5503</v>
      </c>
      <c r="D370" t="s">
        <v>3998</v>
      </c>
      <c r="E370" t="s">
        <v>5504</v>
      </c>
      <c r="F370" t="s">
        <v>4380</v>
      </c>
      <c r="G370" t="s">
        <v>5505</v>
      </c>
    </row>
    <row r="371">
      <c r="A371" t="s">
        <v>2756</v>
      </c>
      <c r="B371" t="s">
        <v>5506</v>
      </c>
      <c r="C371" t="s">
        <v>5507</v>
      </c>
      <c r="D371" t="s">
        <v>1613</v>
      </c>
      <c r="E371" t="s">
        <v>5508</v>
      </c>
      <c r="F371" t="s">
        <v>4385</v>
      </c>
      <c r="G371" t="s">
        <v>5509</v>
      </c>
    </row>
    <row r="372">
      <c r="A372" t="s">
        <v>2759</v>
      </c>
      <c r="B372" t="s">
        <v>5510</v>
      </c>
      <c r="C372" t="s">
        <v>5511</v>
      </c>
      <c r="D372" t="s">
        <v>4156</v>
      </c>
      <c r="E372" t="s">
        <v>5512</v>
      </c>
      <c r="F372" t="s">
        <v>4390</v>
      </c>
      <c r="G372" t="s">
        <v>5513</v>
      </c>
    </row>
    <row r="373">
      <c r="A373" t="s">
        <v>2760</v>
      </c>
      <c r="B373" t="s">
        <v>5514</v>
      </c>
      <c r="C373" t="s">
        <v>5515</v>
      </c>
      <c r="D373" t="s">
        <v>4162</v>
      </c>
      <c r="E373" t="s">
        <v>5516</v>
      </c>
      <c r="F373" t="s">
        <v>4395</v>
      </c>
      <c r="G373" t="s">
        <v>5517</v>
      </c>
    </row>
    <row r="374">
      <c r="A374" t="s">
        <v>2762</v>
      </c>
      <c r="B374" t="s">
        <v>5518</v>
      </c>
      <c r="C374" t="s">
        <v>4608</v>
      </c>
      <c r="D374" t="s">
        <v>4168</v>
      </c>
      <c r="E374" t="s">
        <v>5519</v>
      </c>
      <c r="F374" t="s">
        <v>4185</v>
      </c>
      <c r="G374" t="s">
        <v>5520</v>
      </c>
    </row>
    <row r="375">
      <c r="A375" t="s">
        <v>2764</v>
      </c>
      <c r="B375" t="s">
        <v>5521</v>
      </c>
      <c r="C375" t="s">
        <v>5522</v>
      </c>
      <c r="D375" t="s">
        <v>1620</v>
      </c>
      <c r="E375" t="s">
        <v>5523</v>
      </c>
      <c r="F375" t="s">
        <v>4132</v>
      </c>
      <c r="G375" t="s">
        <v>5524</v>
      </c>
    </row>
    <row r="376">
      <c r="A376" t="s">
        <v>2767</v>
      </c>
      <c r="B376" t="s">
        <v>5525</v>
      </c>
      <c r="C376" t="s">
        <v>5526</v>
      </c>
      <c r="D376" t="s">
        <v>4014</v>
      </c>
      <c r="E376" t="s">
        <v>5527</v>
      </c>
      <c r="F376" t="s">
        <v>4225</v>
      </c>
      <c r="G376" t="s">
        <v>5528</v>
      </c>
    </row>
    <row r="377">
      <c r="A377" t="s">
        <v>2768</v>
      </c>
      <c r="B377" t="s">
        <v>5529</v>
      </c>
      <c r="C377" t="s">
        <v>5530</v>
      </c>
      <c r="D377" t="s">
        <v>4020</v>
      </c>
      <c r="E377" t="s">
        <v>5531</v>
      </c>
      <c r="F377" t="s">
        <v>4215</v>
      </c>
      <c r="G377" t="s">
        <v>5532</v>
      </c>
    </row>
    <row r="378">
      <c r="A378" t="s">
        <v>2771</v>
      </c>
      <c r="B378" t="s">
        <v>5533</v>
      </c>
      <c r="C378" t="s">
        <v>5534</v>
      </c>
      <c r="D378" t="s">
        <v>1557</v>
      </c>
      <c r="E378" t="s">
        <v>5535</v>
      </c>
      <c r="F378" t="s">
        <v>4200</v>
      </c>
      <c r="G378" t="s">
        <v>5536</v>
      </c>
    </row>
    <row r="379">
      <c r="A379" t="s">
        <v>2773</v>
      </c>
      <c r="B379" t="s">
        <v>5537</v>
      </c>
      <c r="C379" t="s">
        <v>5538</v>
      </c>
      <c r="D379" t="s">
        <v>4031</v>
      </c>
      <c r="E379" t="s">
        <v>5539</v>
      </c>
      <c r="F379" t="s">
        <v>4205</v>
      </c>
      <c r="G379" t="s">
        <v>5540</v>
      </c>
    </row>
    <row r="380">
      <c r="A380" t="s">
        <v>2776</v>
      </c>
      <c r="B380" t="s">
        <v>5541</v>
      </c>
      <c r="C380" t="s">
        <v>5542</v>
      </c>
      <c r="D380" t="s">
        <v>4037</v>
      </c>
      <c r="E380" t="s">
        <v>5543</v>
      </c>
      <c r="F380" t="s">
        <v>4210</v>
      </c>
      <c r="G380" t="s">
        <v>5544</v>
      </c>
    </row>
    <row r="381">
      <c r="A381" t="s">
        <v>2777</v>
      </c>
      <c r="B381" t="s">
        <v>5545</v>
      </c>
      <c r="C381" t="s">
        <v>5546</v>
      </c>
      <c r="D381" t="s">
        <v>1699</v>
      </c>
      <c r="E381" t="s">
        <v>5547</v>
      </c>
      <c r="F381" t="s">
        <v>4215</v>
      </c>
      <c r="G381" t="s">
        <v>5548</v>
      </c>
    </row>
    <row r="382">
      <c r="A382" t="s">
        <v>2780</v>
      </c>
      <c r="B382" t="s">
        <v>5549</v>
      </c>
      <c r="C382" t="s">
        <v>5550</v>
      </c>
      <c r="D382" t="s">
        <v>1571</v>
      </c>
      <c r="E382" t="s">
        <v>5551</v>
      </c>
      <c r="F382" t="s">
        <v>4220</v>
      </c>
      <c r="G382" t="s">
        <v>5552</v>
      </c>
    </row>
    <row r="383">
      <c r="A383" t="s">
        <v>2781</v>
      </c>
      <c r="B383" t="s">
        <v>5553</v>
      </c>
      <c r="C383" t="s">
        <v>5554</v>
      </c>
      <c r="D383" t="s">
        <v>4053</v>
      </c>
      <c r="E383" t="s">
        <v>5555</v>
      </c>
      <c r="F383" t="s">
        <v>4225</v>
      </c>
      <c r="G383" t="s">
        <v>5556</v>
      </c>
    </row>
    <row r="384">
      <c r="A384" t="s">
        <v>2784</v>
      </c>
      <c r="B384" t="s">
        <v>5557</v>
      </c>
      <c r="C384" t="s">
        <v>5558</v>
      </c>
      <c r="D384" t="s">
        <v>4059</v>
      </c>
      <c r="E384" t="s">
        <v>5559</v>
      </c>
      <c r="F384" t="s">
        <v>4230</v>
      </c>
      <c r="G384" t="s">
        <v>5560</v>
      </c>
    </row>
    <row r="385">
      <c r="A385" t="s">
        <v>2786</v>
      </c>
      <c r="B385" t="s">
        <v>5561</v>
      </c>
      <c r="C385" t="s">
        <v>5562</v>
      </c>
      <c r="D385" t="s">
        <v>4065</v>
      </c>
      <c r="E385" t="s">
        <v>5563</v>
      </c>
      <c r="F385" t="s">
        <v>4235</v>
      </c>
      <c r="G385" t="s">
        <v>5564</v>
      </c>
    </row>
    <row r="386">
      <c r="A386" t="s">
        <v>2788</v>
      </c>
      <c r="B386" t="s">
        <v>5565</v>
      </c>
      <c r="C386" t="s">
        <v>5566</v>
      </c>
      <c r="D386" t="s">
        <v>1578</v>
      </c>
      <c r="E386" t="s">
        <v>5567</v>
      </c>
      <c r="F386" t="s">
        <v>4240</v>
      </c>
      <c r="G386" t="s">
        <v>5568</v>
      </c>
    </row>
    <row r="387">
      <c r="A387" t="s">
        <v>2790</v>
      </c>
      <c r="B387" t="s">
        <v>5569</v>
      </c>
      <c r="C387" t="s">
        <v>5570</v>
      </c>
      <c r="D387" t="s">
        <v>1647</v>
      </c>
      <c r="E387" t="s">
        <v>5571</v>
      </c>
      <c r="F387" t="s">
        <v>4245</v>
      </c>
      <c r="G387" t="s">
        <v>5572</v>
      </c>
    </row>
    <row r="388">
      <c r="A388" t="s">
        <v>2792</v>
      </c>
      <c r="B388" t="s">
        <v>5573</v>
      </c>
      <c r="C388" t="s">
        <v>5574</v>
      </c>
      <c r="D388" t="s">
        <v>3964</v>
      </c>
      <c r="E388" t="s">
        <v>5575</v>
      </c>
      <c r="F388" t="s">
        <v>4250</v>
      </c>
      <c r="G388" t="s">
        <v>5576</v>
      </c>
    </row>
    <row r="389">
      <c r="A389" t="s">
        <v>2794</v>
      </c>
      <c r="B389" t="s">
        <v>5577</v>
      </c>
      <c r="C389" t="s">
        <v>4767</v>
      </c>
      <c r="D389" t="s">
        <v>3970</v>
      </c>
      <c r="E389" t="s">
        <v>5578</v>
      </c>
      <c r="F389" t="s">
        <v>4255</v>
      </c>
      <c r="G389" t="s">
        <v>5579</v>
      </c>
    </row>
    <row r="390">
      <c r="A390" t="s">
        <v>2797</v>
      </c>
      <c r="B390" t="s">
        <v>5580</v>
      </c>
      <c r="C390" t="s">
        <v>5581</v>
      </c>
      <c r="D390" t="s">
        <v>1585</v>
      </c>
      <c r="E390" t="s">
        <v>5582</v>
      </c>
      <c r="F390" t="s">
        <v>4260</v>
      </c>
      <c r="G390" t="s">
        <v>5583</v>
      </c>
    </row>
    <row r="391">
      <c r="A391" t="s">
        <v>2799</v>
      </c>
      <c r="B391" t="s">
        <v>5584</v>
      </c>
      <c r="C391" t="s">
        <v>5585</v>
      </c>
      <c r="D391" t="s">
        <v>4096</v>
      </c>
      <c r="E391" t="s">
        <v>5586</v>
      </c>
      <c r="F391" t="s">
        <v>4265</v>
      </c>
      <c r="G391" t="s">
        <v>5587</v>
      </c>
    </row>
    <row r="392">
      <c r="A392" t="s">
        <v>2802</v>
      </c>
      <c r="B392" t="s">
        <v>5588</v>
      </c>
      <c r="C392" t="s">
        <v>5589</v>
      </c>
      <c r="D392" t="s">
        <v>4102</v>
      </c>
      <c r="E392" t="s">
        <v>5590</v>
      </c>
      <c r="F392" t="s">
        <v>4270</v>
      </c>
      <c r="G392" t="s">
        <v>5591</v>
      </c>
    </row>
    <row r="393">
      <c r="A393" t="s">
        <v>2804</v>
      </c>
      <c r="B393" t="s">
        <v>5592</v>
      </c>
      <c r="C393" t="s">
        <v>5593</v>
      </c>
      <c r="D393" t="s">
        <v>1592</v>
      </c>
      <c r="E393" t="s">
        <v>5594</v>
      </c>
      <c r="F393" t="s">
        <v>4275</v>
      </c>
      <c r="G393" t="s">
        <v>5595</v>
      </c>
    </row>
    <row r="394">
      <c r="A394" t="s">
        <v>2806</v>
      </c>
      <c r="B394" t="s">
        <v>5596</v>
      </c>
      <c r="C394" t="s">
        <v>5597</v>
      </c>
      <c r="D394" t="s">
        <v>3981</v>
      </c>
      <c r="E394" t="s">
        <v>5598</v>
      </c>
      <c r="F394" t="s">
        <v>4280</v>
      </c>
      <c r="G394" t="s">
        <v>5599</v>
      </c>
    </row>
    <row r="395">
      <c r="A395" t="s">
        <v>2808</v>
      </c>
      <c r="B395" t="s">
        <v>5600</v>
      </c>
      <c r="C395" t="s">
        <v>5601</v>
      </c>
      <c r="D395" t="s">
        <v>4118</v>
      </c>
      <c r="E395" t="s">
        <v>5602</v>
      </c>
      <c r="F395" t="s">
        <v>4285</v>
      </c>
      <c r="G395" t="s">
        <v>5603</v>
      </c>
    </row>
    <row r="396">
      <c r="A396" t="s">
        <v>2810</v>
      </c>
      <c r="B396" t="s">
        <v>5604</v>
      </c>
      <c r="C396" t="s">
        <v>5605</v>
      </c>
      <c r="D396" t="s">
        <v>4124</v>
      </c>
      <c r="E396" t="s">
        <v>4411</v>
      </c>
      <c r="F396" t="s">
        <v>4290</v>
      </c>
      <c r="G396" t="s">
        <v>5606</v>
      </c>
    </row>
    <row r="397">
      <c r="A397" t="s">
        <v>2811</v>
      </c>
      <c r="B397" t="s">
        <v>5607</v>
      </c>
      <c r="C397" t="s">
        <v>5608</v>
      </c>
      <c r="D397" t="s">
        <v>4130</v>
      </c>
      <c r="E397" t="s">
        <v>5609</v>
      </c>
      <c r="F397" t="s">
        <v>4295</v>
      </c>
      <c r="G397" t="s">
        <v>5610</v>
      </c>
    </row>
    <row r="398">
      <c r="A398" t="s">
        <v>2814</v>
      </c>
      <c r="B398" t="s">
        <v>5611</v>
      </c>
      <c r="C398" t="s">
        <v>5612</v>
      </c>
      <c r="D398" t="s">
        <v>3987</v>
      </c>
      <c r="E398" t="s">
        <v>5613</v>
      </c>
      <c r="F398" t="s">
        <v>4300</v>
      </c>
      <c r="G398" t="s">
        <v>5614</v>
      </c>
    </row>
    <row r="399">
      <c r="A399" t="s">
        <v>2816</v>
      </c>
      <c r="B399" t="s">
        <v>5615</v>
      </c>
      <c r="C399" t="s">
        <v>5616</v>
      </c>
      <c r="D399" t="s">
        <v>1606</v>
      </c>
      <c r="E399" t="s">
        <v>5617</v>
      </c>
      <c r="F399" t="s">
        <v>4305</v>
      </c>
      <c r="G399" t="s">
        <v>5618</v>
      </c>
    </row>
    <row r="400">
      <c r="A400" t="s">
        <v>2819</v>
      </c>
      <c r="B400" t="s">
        <v>5619</v>
      </c>
      <c r="C400" t="s">
        <v>5620</v>
      </c>
      <c r="D400" t="s">
        <v>3998</v>
      </c>
      <c r="E400" t="s">
        <v>5621</v>
      </c>
      <c r="F400" t="s">
        <v>4310</v>
      </c>
      <c r="G400" t="s">
        <v>5622</v>
      </c>
    </row>
    <row r="401">
      <c r="A401" t="s">
        <v>2820</v>
      </c>
      <c r="B401" t="s">
        <v>5623</v>
      </c>
      <c r="C401" t="s">
        <v>5624</v>
      </c>
      <c r="D401" t="s">
        <v>1613</v>
      </c>
      <c r="E401" t="s">
        <v>5625</v>
      </c>
      <c r="F401" t="s">
        <v>4315</v>
      </c>
      <c r="G401" t="s">
        <v>5626</v>
      </c>
    </row>
    <row r="402">
      <c r="A402" t="s">
        <v>2823</v>
      </c>
      <c r="B402" t="s">
        <v>5627</v>
      </c>
      <c r="C402" t="s">
        <v>5628</v>
      </c>
      <c r="D402" t="s">
        <v>4156</v>
      </c>
      <c r="E402" t="s">
        <v>5629</v>
      </c>
      <c r="F402" t="s">
        <v>4320</v>
      </c>
      <c r="G402" t="s">
        <v>5630</v>
      </c>
    </row>
    <row r="403">
      <c r="A403" t="s">
        <v>2825</v>
      </c>
      <c r="B403" t="s">
        <v>5631</v>
      </c>
      <c r="C403" t="s">
        <v>5632</v>
      </c>
      <c r="D403" t="s">
        <v>4162</v>
      </c>
      <c r="E403" t="s">
        <v>5633</v>
      </c>
      <c r="F403" t="s">
        <v>4325</v>
      </c>
      <c r="G403" t="s">
        <v>5634</v>
      </c>
    </row>
    <row r="404">
      <c r="A404" t="s">
        <v>2827</v>
      </c>
      <c r="B404" t="s">
        <v>5635</v>
      </c>
      <c r="C404" t="s">
        <v>5636</v>
      </c>
      <c r="D404" t="s">
        <v>4168</v>
      </c>
      <c r="E404" t="s">
        <v>5637</v>
      </c>
      <c r="F404" t="s">
        <v>4330</v>
      </c>
      <c r="G404" t="s">
        <v>5638</v>
      </c>
    </row>
    <row r="405">
      <c r="A405" t="s">
        <v>2829</v>
      </c>
      <c r="B405" t="s">
        <v>5639</v>
      </c>
      <c r="C405" t="s">
        <v>5640</v>
      </c>
      <c r="D405" t="s">
        <v>1620</v>
      </c>
      <c r="E405" t="s">
        <v>5641</v>
      </c>
      <c r="F405" t="s">
        <v>4335</v>
      </c>
      <c r="G405" t="s">
        <v>5642</v>
      </c>
    </row>
    <row r="406">
      <c r="A406" t="s">
        <v>2831</v>
      </c>
      <c r="B406" t="s">
        <v>5643</v>
      </c>
      <c r="C406" t="s">
        <v>5644</v>
      </c>
      <c r="D406" t="s">
        <v>4014</v>
      </c>
      <c r="E406" t="s">
        <v>5645</v>
      </c>
      <c r="F406" t="s">
        <v>4340</v>
      </c>
      <c r="G406" t="s">
        <v>5646</v>
      </c>
    </row>
    <row r="407">
      <c r="A407" t="s">
        <v>2833</v>
      </c>
      <c r="B407" t="s">
        <v>5647</v>
      </c>
      <c r="C407" t="s">
        <v>5648</v>
      </c>
      <c r="D407" t="s">
        <v>4020</v>
      </c>
      <c r="E407" t="s">
        <v>5649</v>
      </c>
      <c r="F407" t="s">
        <v>4345</v>
      </c>
      <c r="G407" t="s">
        <v>5650</v>
      </c>
    </row>
    <row r="408">
      <c r="A408" t="s">
        <v>2835</v>
      </c>
      <c r="B408" t="s">
        <v>5651</v>
      </c>
      <c r="C408" t="s">
        <v>5221</v>
      </c>
      <c r="D408" t="s">
        <v>1557</v>
      </c>
      <c r="E408" t="s">
        <v>5652</v>
      </c>
      <c r="F408" t="s">
        <v>4350</v>
      </c>
      <c r="G408" t="s">
        <v>5653</v>
      </c>
    </row>
    <row r="409">
      <c r="A409" t="s">
        <v>2837</v>
      </c>
      <c r="B409" t="s">
        <v>5654</v>
      </c>
      <c r="C409" t="s">
        <v>5655</v>
      </c>
      <c r="D409" t="s">
        <v>4031</v>
      </c>
      <c r="E409" t="s">
        <v>5656</v>
      </c>
      <c r="F409" t="s">
        <v>4355</v>
      </c>
      <c r="G409" t="s">
        <v>5657</v>
      </c>
    </row>
    <row r="410">
      <c r="A410" t="s">
        <v>2839</v>
      </c>
      <c r="B410" t="s">
        <v>5658</v>
      </c>
      <c r="C410" t="s">
        <v>5659</v>
      </c>
      <c r="D410" t="s">
        <v>4037</v>
      </c>
      <c r="E410" t="s">
        <v>5660</v>
      </c>
      <c r="F410" t="s">
        <v>4360</v>
      </c>
      <c r="G410" t="s">
        <v>5661</v>
      </c>
    </row>
    <row r="411">
      <c r="A411" t="s">
        <v>2840</v>
      </c>
      <c r="B411" t="s">
        <v>5662</v>
      </c>
      <c r="C411" t="s">
        <v>5663</v>
      </c>
      <c r="D411" t="s">
        <v>1699</v>
      </c>
      <c r="E411" t="s">
        <v>5664</v>
      </c>
      <c r="F411" t="s">
        <v>4365</v>
      </c>
      <c r="G411" t="s">
        <v>5665</v>
      </c>
    </row>
    <row r="412">
      <c r="A412" t="s">
        <v>2842</v>
      </c>
      <c r="B412" t="s">
        <v>5666</v>
      </c>
      <c r="C412" t="s">
        <v>5667</v>
      </c>
      <c r="D412" t="s">
        <v>1571</v>
      </c>
      <c r="E412" t="s">
        <v>5668</v>
      </c>
      <c r="F412" t="s">
        <v>4370</v>
      </c>
      <c r="G412" t="s">
        <v>5669</v>
      </c>
    </row>
    <row r="413">
      <c r="A413" t="s">
        <v>2844</v>
      </c>
      <c r="B413" t="s">
        <v>5670</v>
      </c>
      <c r="C413" t="s">
        <v>5671</v>
      </c>
      <c r="D413" t="s">
        <v>4053</v>
      </c>
      <c r="E413" t="s">
        <v>5672</v>
      </c>
      <c r="F413" t="s">
        <v>4375</v>
      </c>
      <c r="G413" t="s">
        <v>5673</v>
      </c>
    </row>
    <row r="414">
      <c r="A414" t="s">
        <v>2846</v>
      </c>
      <c r="B414" t="s">
        <v>5674</v>
      </c>
      <c r="C414" t="s">
        <v>5675</v>
      </c>
      <c r="D414" t="s">
        <v>4059</v>
      </c>
      <c r="E414" t="s">
        <v>5676</v>
      </c>
      <c r="F414" t="s">
        <v>4380</v>
      </c>
      <c r="G414" t="s">
        <v>5677</v>
      </c>
    </row>
    <row r="415">
      <c r="A415" t="s">
        <v>2848</v>
      </c>
      <c r="B415" t="s">
        <v>5678</v>
      </c>
      <c r="C415" t="s">
        <v>5679</v>
      </c>
      <c r="D415" t="s">
        <v>4065</v>
      </c>
      <c r="E415" t="s">
        <v>5680</v>
      </c>
      <c r="F415" t="s">
        <v>4385</v>
      </c>
      <c r="G415" t="s">
        <v>5681</v>
      </c>
    </row>
    <row r="416">
      <c r="A416" t="s">
        <v>2851</v>
      </c>
      <c r="B416" t="s">
        <v>5682</v>
      </c>
      <c r="C416" t="s">
        <v>5683</v>
      </c>
      <c r="D416" t="s">
        <v>1578</v>
      </c>
      <c r="E416" t="s">
        <v>5684</v>
      </c>
      <c r="F416" t="s">
        <v>4390</v>
      </c>
      <c r="G416" t="s">
        <v>5685</v>
      </c>
    </row>
    <row r="417">
      <c r="A417" t="s">
        <v>2852</v>
      </c>
      <c r="B417" t="s">
        <v>5686</v>
      </c>
      <c r="C417" t="s">
        <v>5687</v>
      </c>
      <c r="D417" t="s">
        <v>1647</v>
      </c>
      <c r="E417" t="s">
        <v>5688</v>
      </c>
      <c r="F417" t="s">
        <v>4395</v>
      </c>
      <c r="G417" t="s">
        <v>5689</v>
      </c>
    </row>
    <row r="418">
      <c r="A418" t="s">
        <v>2854</v>
      </c>
      <c r="B418" t="s">
        <v>5690</v>
      </c>
      <c r="C418" t="s">
        <v>5408</v>
      </c>
      <c r="D418" t="s">
        <v>3964</v>
      </c>
      <c r="E418" t="s">
        <v>5691</v>
      </c>
      <c r="F418" t="s">
        <v>4185</v>
      </c>
      <c r="G418" t="s">
        <v>5692</v>
      </c>
    </row>
    <row r="419">
      <c r="A419" t="s">
        <v>2855</v>
      </c>
      <c r="B419" t="s">
        <v>5693</v>
      </c>
      <c r="C419" t="s">
        <v>5209</v>
      </c>
      <c r="D419" t="s">
        <v>3970</v>
      </c>
      <c r="E419" t="s">
        <v>5694</v>
      </c>
      <c r="F419" t="s">
        <v>4132</v>
      </c>
      <c r="G419" t="s">
        <v>5695</v>
      </c>
    </row>
    <row r="420">
      <c r="A420" t="s">
        <v>2858</v>
      </c>
      <c r="B420" t="s">
        <v>5696</v>
      </c>
      <c r="C420" t="s">
        <v>5697</v>
      </c>
      <c r="D420" t="s">
        <v>1585</v>
      </c>
      <c r="E420" t="s">
        <v>5698</v>
      </c>
      <c r="F420" t="s">
        <v>4225</v>
      </c>
      <c r="G420" t="s">
        <v>5699</v>
      </c>
    </row>
    <row r="421">
      <c r="A421" t="s">
        <v>2860</v>
      </c>
      <c r="B421" t="s">
        <v>5700</v>
      </c>
      <c r="C421" t="s">
        <v>5701</v>
      </c>
      <c r="D421" t="s">
        <v>4096</v>
      </c>
      <c r="E421" t="s">
        <v>5702</v>
      </c>
      <c r="F421" t="s">
        <v>4215</v>
      </c>
      <c r="G421" t="s">
        <v>5703</v>
      </c>
    </row>
    <row r="422">
      <c r="A422" t="s">
        <v>2863</v>
      </c>
      <c r="B422" t="s">
        <v>5704</v>
      </c>
      <c r="C422" t="s">
        <v>5705</v>
      </c>
      <c r="D422" t="s">
        <v>4102</v>
      </c>
      <c r="E422" t="s">
        <v>5706</v>
      </c>
      <c r="F422" t="s">
        <v>4200</v>
      </c>
      <c r="G422" t="s">
        <v>5707</v>
      </c>
    </row>
    <row r="423">
      <c r="A423" t="s">
        <v>2865</v>
      </c>
      <c r="B423" t="s">
        <v>5708</v>
      </c>
      <c r="C423" t="s">
        <v>4907</v>
      </c>
      <c r="D423" t="s">
        <v>1592</v>
      </c>
      <c r="E423" t="s">
        <v>5709</v>
      </c>
      <c r="F423" t="s">
        <v>4205</v>
      </c>
      <c r="G423" t="s">
        <v>5710</v>
      </c>
    </row>
    <row r="424">
      <c r="A424" t="s">
        <v>2867</v>
      </c>
      <c r="B424" t="s">
        <v>5711</v>
      </c>
      <c r="C424" t="s">
        <v>5193</v>
      </c>
      <c r="D424" t="s">
        <v>3981</v>
      </c>
      <c r="E424" t="s">
        <v>5712</v>
      </c>
      <c r="F424" t="s">
        <v>4210</v>
      </c>
      <c r="G424" t="s">
        <v>5713</v>
      </c>
    </row>
    <row r="425">
      <c r="A425" t="s">
        <v>2868</v>
      </c>
      <c r="B425" t="s">
        <v>5714</v>
      </c>
      <c r="C425" t="s">
        <v>5715</v>
      </c>
      <c r="D425" t="s">
        <v>4118</v>
      </c>
      <c r="E425" t="s">
        <v>5716</v>
      </c>
      <c r="F425" t="s">
        <v>4215</v>
      </c>
      <c r="G425" t="s">
        <v>5717</v>
      </c>
    </row>
    <row r="426">
      <c r="A426" t="s">
        <v>2870</v>
      </c>
      <c r="B426" t="s">
        <v>5718</v>
      </c>
      <c r="C426" t="s">
        <v>5719</v>
      </c>
      <c r="D426" t="s">
        <v>4124</v>
      </c>
      <c r="E426" t="s">
        <v>5720</v>
      </c>
      <c r="F426" t="s">
        <v>4220</v>
      </c>
      <c r="G426" t="s">
        <v>5721</v>
      </c>
    </row>
    <row r="427">
      <c r="A427" t="s">
        <v>2872</v>
      </c>
      <c r="B427" t="s">
        <v>5722</v>
      </c>
      <c r="C427" t="s">
        <v>5723</v>
      </c>
      <c r="D427" t="s">
        <v>4130</v>
      </c>
      <c r="E427" t="s">
        <v>5724</v>
      </c>
      <c r="F427" t="s">
        <v>4225</v>
      </c>
      <c r="G427" t="s">
        <v>5725</v>
      </c>
    </row>
    <row r="428">
      <c r="A428" t="s">
        <v>2875</v>
      </c>
      <c r="B428" t="s">
        <v>5726</v>
      </c>
      <c r="C428" t="s">
        <v>5727</v>
      </c>
      <c r="D428" t="s">
        <v>3987</v>
      </c>
      <c r="E428" t="s">
        <v>5728</v>
      </c>
      <c r="F428" t="s">
        <v>4230</v>
      </c>
      <c r="G428" t="s">
        <v>5729</v>
      </c>
    </row>
    <row r="429">
      <c r="A429" t="s">
        <v>2877</v>
      </c>
      <c r="B429" t="s">
        <v>5730</v>
      </c>
      <c r="C429" t="s">
        <v>5731</v>
      </c>
      <c r="D429" t="s">
        <v>1606</v>
      </c>
      <c r="E429" t="s">
        <v>5732</v>
      </c>
      <c r="F429" t="s">
        <v>4235</v>
      </c>
      <c r="G429" t="s">
        <v>5733</v>
      </c>
    </row>
    <row r="430">
      <c r="A430" t="s">
        <v>2880</v>
      </c>
      <c r="B430" t="s">
        <v>5734</v>
      </c>
      <c r="C430" t="s">
        <v>5735</v>
      </c>
      <c r="D430" t="s">
        <v>3998</v>
      </c>
      <c r="E430" t="s">
        <v>5736</v>
      </c>
      <c r="F430" t="s">
        <v>4240</v>
      </c>
      <c r="G430" t="s">
        <v>5737</v>
      </c>
    </row>
    <row r="431">
      <c r="A431" t="s">
        <v>2882</v>
      </c>
      <c r="B431" t="s">
        <v>5738</v>
      </c>
      <c r="C431" t="s">
        <v>5739</v>
      </c>
      <c r="D431" t="s">
        <v>1613</v>
      </c>
      <c r="E431" t="s">
        <v>5740</v>
      </c>
      <c r="F431" t="s">
        <v>4245</v>
      </c>
      <c r="G431" t="s">
        <v>5741</v>
      </c>
    </row>
    <row r="432">
      <c r="A432" t="s">
        <v>2884</v>
      </c>
      <c r="B432" t="s">
        <v>5742</v>
      </c>
      <c r="C432" t="s">
        <v>5743</v>
      </c>
      <c r="D432" t="s">
        <v>4156</v>
      </c>
      <c r="E432" t="s">
        <v>5744</v>
      </c>
      <c r="F432" t="s">
        <v>4250</v>
      </c>
      <c r="G432" t="s">
        <v>5745</v>
      </c>
    </row>
    <row r="433">
      <c r="A433" t="s">
        <v>2885</v>
      </c>
      <c r="B433" t="s">
        <v>5746</v>
      </c>
      <c r="C433" t="s">
        <v>5747</v>
      </c>
      <c r="D433" t="s">
        <v>4162</v>
      </c>
      <c r="E433" t="s">
        <v>5748</v>
      </c>
      <c r="F433" t="s">
        <v>4255</v>
      </c>
      <c r="G433" t="s">
        <v>5749</v>
      </c>
    </row>
    <row r="434">
      <c r="A434" t="s">
        <v>2887</v>
      </c>
      <c r="B434" t="s">
        <v>5750</v>
      </c>
      <c r="C434" t="s">
        <v>5751</v>
      </c>
      <c r="D434" t="s">
        <v>4168</v>
      </c>
      <c r="E434" t="s">
        <v>5752</v>
      </c>
      <c r="F434" t="s">
        <v>4260</v>
      </c>
      <c r="G434" t="s">
        <v>5753</v>
      </c>
    </row>
    <row r="435">
      <c r="A435" t="s">
        <v>2888</v>
      </c>
      <c r="B435" t="s">
        <v>5754</v>
      </c>
      <c r="C435" t="s">
        <v>5755</v>
      </c>
      <c r="D435" t="s">
        <v>1620</v>
      </c>
      <c r="E435" t="s">
        <v>5756</v>
      </c>
      <c r="F435" t="s">
        <v>4265</v>
      </c>
      <c r="G435" t="s">
        <v>5757</v>
      </c>
    </row>
    <row r="436">
      <c r="A436" t="s">
        <v>2891</v>
      </c>
      <c r="B436" t="s">
        <v>5758</v>
      </c>
      <c r="C436" t="s">
        <v>5759</v>
      </c>
      <c r="D436" t="s">
        <v>4014</v>
      </c>
      <c r="E436" t="s">
        <v>5760</v>
      </c>
      <c r="F436" t="s">
        <v>4270</v>
      </c>
      <c r="G436" t="s">
        <v>5761</v>
      </c>
    </row>
    <row r="437">
      <c r="A437" t="s">
        <v>2893</v>
      </c>
      <c r="B437" t="s">
        <v>5762</v>
      </c>
      <c r="C437" t="s">
        <v>5763</v>
      </c>
      <c r="D437" t="s">
        <v>4020</v>
      </c>
      <c r="E437" t="s">
        <v>5764</v>
      </c>
      <c r="F437" t="s">
        <v>4275</v>
      </c>
      <c r="G437" t="s">
        <v>5765</v>
      </c>
    </row>
    <row r="438">
      <c r="A438" t="s">
        <v>2895</v>
      </c>
      <c r="B438" t="s">
        <v>5766</v>
      </c>
      <c r="C438" t="s">
        <v>5767</v>
      </c>
      <c r="D438" t="s">
        <v>1557</v>
      </c>
      <c r="E438" t="s">
        <v>5768</v>
      </c>
      <c r="F438" t="s">
        <v>4280</v>
      </c>
      <c r="G438" t="s">
        <v>5769</v>
      </c>
    </row>
    <row r="439">
      <c r="A439" t="s">
        <v>2897</v>
      </c>
      <c r="B439" t="s">
        <v>5770</v>
      </c>
      <c r="C439" t="s">
        <v>5771</v>
      </c>
      <c r="D439" t="s">
        <v>4031</v>
      </c>
      <c r="E439" t="s">
        <v>5772</v>
      </c>
      <c r="F439" t="s">
        <v>4285</v>
      </c>
      <c r="G439" t="s">
        <v>5773</v>
      </c>
    </row>
    <row r="440">
      <c r="A440" t="s">
        <v>2899</v>
      </c>
      <c r="B440" t="s">
        <v>5774</v>
      </c>
      <c r="C440" t="s">
        <v>5775</v>
      </c>
      <c r="D440" t="s">
        <v>4037</v>
      </c>
      <c r="E440" t="s">
        <v>5776</v>
      </c>
      <c r="F440" t="s">
        <v>4290</v>
      </c>
      <c r="G440" t="s">
        <v>5777</v>
      </c>
    </row>
    <row r="441">
      <c r="A441" t="s">
        <v>2900</v>
      </c>
      <c r="B441" t="s">
        <v>5778</v>
      </c>
      <c r="C441" t="s">
        <v>5779</v>
      </c>
      <c r="D441" t="s">
        <v>1699</v>
      </c>
      <c r="E441" t="s">
        <v>5780</v>
      </c>
      <c r="F441" t="s">
        <v>4295</v>
      </c>
      <c r="G441" t="s">
        <v>5781</v>
      </c>
    </row>
    <row r="442">
      <c r="A442" t="s">
        <v>2902</v>
      </c>
      <c r="B442" t="s">
        <v>5782</v>
      </c>
      <c r="C442" t="s">
        <v>5783</v>
      </c>
      <c r="D442" t="s">
        <v>1571</v>
      </c>
      <c r="E442" t="s">
        <v>5784</v>
      </c>
      <c r="F442" t="s">
        <v>4300</v>
      </c>
      <c r="G442" t="s">
        <v>5785</v>
      </c>
    </row>
    <row r="443">
      <c r="A443" t="s">
        <v>2903</v>
      </c>
      <c r="B443" t="s">
        <v>5786</v>
      </c>
      <c r="C443" t="s">
        <v>5787</v>
      </c>
      <c r="D443" t="s">
        <v>4053</v>
      </c>
      <c r="E443" t="s">
        <v>5788</v>
      </c>
      <c r="F443" t="s">
        <v>4305</v>
      </c>
      <c r="G443" t="s">
        <v>5789</v>
      </c>
    </row>
    <row r="444">
      <c r="A444" t="s">
        <v>2906</v>
      </c>
      <c r="B444" t="s">
        <v>5790</v>
      </c>
      <c r="C444" t="s">
        <v>5791</v>
      </c>
      <c r="D444" t="s">
        <v>4059</v>
      </c>
      <c r="E444" t="s">
        <v>5792</v>
      </c>
      <c r="F444" t="s">
        <v>4310</v>
      </c>
      <c r="G444" t="s">
        <v>5793</v>
      </c>
    </row>
    <row r="445">
      <c r="A445" t="s">
        <v>2908</v>
      </c>
      <c r="B445" t="s">
        <v>5794</v>
      </c>
      <c r="C445" t="s">
        <v>5795</v>
      </c>
      <c r="D445" t="s">
        <v>4065</v>
      </c>
      <c r="E445" t="s">
        <v>3999</v>
      </c>
      <c r="F445" t="s">
        <v>4315</v>
      </c>
      <c r="G445" t="s">
        <v>5796</v>
      </c>
    </row>
    <row r="446">
      <c r="A446" t="s">
        <v>2910</v>
      </c>
      <c r="B446" t="s">
        <v>5797</v>
      </c>
      <c r="C446" t="s">
        <v>5798</v>
      </c>
      <c r="D446" t="s">
        <v>1578</v>
      </c>
      <c r="E446" t="s">
        <v>5799</v>
      </c>
      <c r="F446" t="s">
        <v>4320</v>
      </c>
      <c r="G446" t="s">
        <v>5800</v>
      </c>
    </row>
    <row r="447">
      <c r="A447" t="s">
        <v>2911</v>
      </c>
      <c r="B447" t="s">
        <v>5801</v>
      </c>
      <c r="C447" t="s">
        <v>5802</v>
      </c>
      <c r="D447" t="s">
        <v>1647</v>
      </c>
      <c r="E447" t="s">
        <v>5803</v>
      </c>
      <c r="F447" t="s">
        <v>4325</v>
      </c>
      <c r="G447" t="s">
        <v>5804</v>
      </c>
    </row>
    <row r="448">
      <c r="A448" t="s">
        <v>2913</v>
      </c>
      <c r="B448" t="s">
        <v>5805</v>
      </c>
      <c r="C448" t="s">
        <v>5806</v>
      </c>
      <c r="D448" t="s">
        <v>3964</v>
      </c>
      <c r="E448" t="s">
        <v>5807</v>
      </c>
      <c r="F448" t="s">
        <v>4330</v>
      </c>
      <c r="G448" t="s">
        <v>5808</v>
      </c>
    </row>
    <row r="449">
      <c r="A449" t="s">
        <v>2914</v>
      </c>
      <c r="B449" t="s">
        <v>5809</v>
      </c>
      <c r="C449" t="s">
        <v>5810</v>
      </c>
      <c r="D449" t="s">
        <v>3970</v>
      </c>
      <c r="E449" t="s">
        <v>5811</v>
      </c>
      <c r="F449" t="s">
        <v>4335</v>
      </c>
      <c r="G449" t="s">
        <v>5812</v>
      </c>
    </row>
    <row r="450">
      <c r="A450" t="s">
        <v>2916</v>
      </c>
      <c r="B450" t="s">
        <v>5813</v>
      </c>
      <c r="C450" t="s">
        <v>5814</v>
      </c>
      <c r="D450" t="s">
        <v>1585</v>
      </c>
      <c r="E450" t="s">
        <v>5815</v>
      </c>
      <c r="F450" t="s">
        <v>4340</v>
      </c>
      <c r="G450" t="s">
        <v>5816</v>
      </c>
    </row>
    <row r="451">
      <c r="A451" t="s">
        <v>2918</v>
      </c>
      <c r="B451" t="s">
        <v>5817</v>
      </c>
      <c r="C451" t="s">
        <v>5818</v>
      </c>
      <c r="D451" t="s">
        <v>4096</v>
      </c>
      <c r="E451" t="s">
        <v>5819</v>
      </c>
      <c r="F451" t="s">
        <v>4345</v>
      </c>
      <c r="G451" t="s">
        <v>5820</v>
      </c>
    </row>
    <row r="452">
      <c r="A452" t="s">
        <v>2920</v>
      </c>
      <c r="B452" t="s">
        <v>5821</v>
      </c>
      <c r="C452" t="s">
        <v>5822</v>
      </c>
      <c r="D452" t="s">
        <v>4102</v>
      </c>
      <c r="E452" t="s">
        <v>5823</v>
      </c>
      <c r="F452" t="s">
        <v>4350</v>
      </c>
      <c r="G452" t="s">
        <v>5824</v>
      </c>
    </row>
    <row r="453">
      <c r="A453" t="s">
        <v>2921</v>
      </c>
      <c r="B453" t="s">
        <v>5825</v>
      </c>
      <c r="C453" t="s">
        <v>5826</v>
      </c>
      <c r="D453" t="s">
        <v>1592</v>
      </c>
      <c r="E453" t="s">
        <v>5827</v>
      </c>
      <c r="F453" t="s">
        <v>4355</v>
      </c>
      <c r="G453" t="s">
        <v>5828</v>
      </c>
    </row>
    <row r="454">
      <c r="A454" t="s">
        <v>2924</v>
      </c>
      <c r="B454" t="s">
        <v>5829</v>
      </c>
      <c r="C454" t="s">
        <v>5830</v>
      </c>
      <c r="D454" t="s">
        <v>3981</v>
      </c>
      <c r="E454" t="s">
        <v>5831</v>
      </c>
      <c r="F454" t="s">
        <v>4360</v>
      </c>
      <c r="G454" t="s">
        <v>5832</v>
      </c>
    </row>
    <row r="455">
      <c r="A455" t="s">
        <v>2925</v>
      </c>
      <c r="B455" t="s">
        <v>5833</v>
      </c>
      <c r="C455" t="s">
        <v>5834</v>
      </c>
      <c r="D455" t="s">
        <v>4118</v>
      </c>
      <c r="E455" t="s">
        <v>5835</v>
      </c>
      <c r="F455" t="s">
        <v>4365</v>
      </c>
      <c r="G455" t="s">
        <v>5836</v>
      </c>
    </row>
    <row r="456">
      <c r="A456" t="s">
        <v>2927</v>
      </c>
      <c r="B456" t="s">
        <v>5837</v>
      </c>
      <c r="C456" t="s">
        <v>5838</v>
      </c>
      <c r="D456" t="s">
        <v>4124</v>
      </c>
      <c r="E456" t="s">
        <v>5839</v>
      </c>
      <c r="F456" t="s">
        <v>4370</v>
      </c>
      <c r="G456" t="s">
        <v>5840</v>
      </c>
    </row>
    <row r="457">
      <c r="A457" t="s">
        <v>2929</v>
      </c>
      <c r="B457" t="s">
        <v>5841</v>
      </c>
      <c r="C457" t="s">
        <v>5842</v>
      </c>
      <c r="D457" t="s">
        <v>4130</v>
      </c>
      <c r="E457" t="s">
        <v>5843</v>
      </c>
      <c r="F457" t="s">
        <v>4375</v>
      </c>
      <c r="G457" t="s">
        <v>5844</v>
      </c>
    </row>
    <row r="458">
      <c r="A458" t="s">
        <v>2932</v>
      </c>
      <c r="B458" t="s">
        <v>5845</v>
      </c>
      <c r="C458" t="s">
        <v>5846</v>
      </c>
      <c r="D458" t="s">
        <v>3987</v>
      </c>
      <c r="E458" t="s">
        <v>5847</v>
      </c>
      <c r="F458" t="s">
        <v>4380</v>
      </c>
      <c r="G458" t="s">
        <v>5848</v>
      </c>
    </row>
    <row r="459">
      <c r="A459" t="s">
        <v>2934</v>
      </c>
      <c r="B459" t="s">
        <v>5849</v>
      </c>
      <c r="C459" t="s">
        <v>5850</v>
      </c>
      <c r="D459" t="s">
        <v>1606</v>
      </c>
      <c r="E459" t="s">
        <v>5851</v>
      </c>
      <c r="F459" t="s">
        <v>4385</v>
      </c>
      <c r="G459" t="s">
        <v>5852</v>
      </c>
    </row>
    <row r="460">
      <c r="A460" t="s">
        <v>2936</v>
      </c>
      <c r="B460" t="s">
        <v>5853</v>
      </c>
      <c r="C460" t="s">
        <v>5854</v>
      </c>
      <c r="D460" t="s">
        <v>3998</v>
      </c>
      <c r="E460" t="s">
        <v>5855</v>
      </c>
      <c r="F460" t="s">
        <v>4390</v>
      </c>
      <c r="G460" t="s">
        <v>5856</v>
      </c>
    </row>
    <row r="461">
      <c r="A461" t="s">
        <v>2937</v>
      </c>
      <c r="B461" t="s">
        <v>5857</v>
      </c>
      <c r="C461" t="s">
        <v>5858</v>
      </c>
      <c r="D461" t="s">
        <v>1613</v>
      </c>
      <c r="E461" t="s">
        <v>5859</v>
      </c>
      <c r="F461" t="s">
        <v>4395</v>
      </c>
      <c r="G461" t="s">
        <v>5860</v>
      </c>
    </row>
    <row r="462">
      <c r="A462" t="s">
        <v>2940</v>
      </c>
      <c r="B462" t="s">
        <v>5861</v>
      </c>
      <c r="C462" t="s">
        <v>5675</v>
      </c>
      <c r="D462" t="s">
        <v>4156</v>
      </c>
      <c r="E462" t="s">
        <v>5862</v>
      </c>
      <c r="F462" t="s">
        <v>4185</v>
      </c>
      <c r="G462" t="s">
        <v>5863</v>
      </c>
    </row>
    <row r="463">
      <c r="A463" t="s">
        <v>2941</v>
      </c>
      <c r="B463" t="s">
        <v>5864</v>
      </c>
      <c r="C463" t="s">
        <v>5865</v>
      </c>
      <c r="D463" t="s">
        <v>4162</v>
      </c>
      <c r="E463" t="s">
        <v>5866</v>
      </c>
      <c r="F463" t="s">
        <v>4132</v>
      </c>
      <c r="G463" t="s">
        <v>5867</v>
      </c>
    </row>
    <row r="464">
      <c r="A464" t="s">
        <v>2943</v>
      </c>
      <c r="B464" t="s">
        <v>5868</v>
      </c>
      <c r="C464" t="s">
        <v>5869</v>
      </c>
      <c r="D464" t="s">
        <v>4168</v>
      </c>
      <c r="E464" t="s">
        <v>5870</v>
      </c>
      <c r="F464" t="s">
        <v>4225</v>
      </c>
      <c r="G464" t="s">
        <v>5871</v>
      </c>
    </row>
    <row r="465">
      <c r="A465" t="s">
        <v>2945</v>
      </c>
      <c r="B465" t="s">
        <v>5872</v>
      </c>
      <c r="C465" t="s">
        <v>5873</v>
      </c>
      <c r="D465" t="s">
        <v>1620</v>
      </c>
      <c r="E465" t="s">
        <v>5874</v>
      </c>
      <c r="F465" t="s">
        <v>4215</v>
      </c>
      <c r="G465" t="s">
        <v>5875</v>
      </c>
    </row>
    <row r="466">
      <c r="A466" t="s">
        <v>2948</v>
      </c>
      <c r="B466" t="s">
        <v>5876</v>
      </c>
      <c r="C466" t="s">
        <v>5877</v>
      </c>
      <c r="D466" t="s">
        <v>4014</v>
      </c>
      <c r="E466" t="s">
        <v>5878</v>
      </c>
      <c r="F466" t="s">
        <v>4200</v>
      </c>
      <c r="G466" t="s">
        <v>5879</v>
      </c>
    </row>
    <row r="467">
      <c r="A467" t="s">
        <v>2950</v>
      </c>
      <c r="B467" t="s">
        <v>5880</v>
      </c>
      <c r="C467" t="s">
        <v>5881</v>
      </c>
      <c r="D467" t="s">
        <v>4020</v>
      </c>
      <c r="E467" t="s">
        <v>5882</v>
      </c>
      <c r="F467" t="s">
        <v>4205</v>
      </c>
      <c r="G467" t="s">
        <v>5883</v>
      </c>
    </row>
    <row r="468">
      <c r="A468" t="s">
        <v>2952</v>
      </c>
      <c r="B468" t="s">
        <v>5884</v>
      </c>
      <c r="C468" t="s">
        <v>5885</v>
      </c>
      <c r="D468" t="s">
        <v>1557</v>
      </c>
      <c r="E468" t="s">
        <v>5886</v>
      </c>
      <c r="F468" t="s">
        <v>4210</v>
      </c>
      <c r="G468" t="s">
        <v>5887</v>
      </c>
    </row>
    <row r="469">
      <c r="A469" t="s">
        <v>2954</v>
      </c>
      <c r="B469" t="s">
        <v>5888</v>
      </c>
      <c r="C469" t="s">
        <v>5889</v>
      </c>
      <c r="D469" t="s">
        <v>4031</v>
      </c>
      <c r="E469" t="s">
        <v>5890</v>
      </c>
      <c r="F469" t="s">
        <v>4215</v>
      </c>
      <c r="G469" t="s">
        <v>5891</v>
      </c>
    </row>
    <row r="470">
      <c r="A470" t="s">
        <v>2957</v>
      </c>
      <c r="B470" t="s">
        <v>5892</v>
      </c>
      <c r="C470" t="s">
        <v>5893</v>
      </c>
      <c r="D470" t="s">
        <v>4037</v>
      </c>
      <c r="E470" t="s">
        <v>5894</v>
      </c>
      <c r="F470" t="s">
        <v>4220</v>
      </c>
      <c r="G470" t="s">
        <v>5895</v>
      </c>
    </row>
    <row r="471">
      <c r="A471" t="s">
        <v>2959</v>
      </c>
      <c r="B471" t="s">
        <v>5896</v>
      </c>
      <c r="C471" t="s">
        <v>4660</v>
      </c>
      <c r="D471" t="s">
        <v>1699</v>
      </c>
      <c r="E471" t="s">
        <v>5897</v>
      </c>
      <c r="F471" t="s">
        <v>4225</v>
      </c>
      <c r="G471" t="s">
        <v>5898</v>
      </c>
    </row>
    <row r="472">
      <c r="A472" t="s">
        <v>2962</v>
      </c>
      <c r="B472" t="s">
        <v>5899</v>
      </c>
      <c r="C472" t="s">
        <v>5900</v>
      </c>
      <c r="D472" t="s">
        <v>1571</v>
      </c>
      <c r="E472" t="s">
        <v>5901</v>
      </c>
      <c r="F472" t="s">
        <v>4230</v>
      </c>
      <c r="G472" t="s">
        <v>5902</v>
      </c>
    </row>
    <row r="473">
      <c r="A473" t="s">
        <v>2963</v>
      </c>
      <c r="B473" t="s">
        <v>5903</v>
      </c>
      <c r="C473" t="s">
        <v>5904</v>
      </c>
      <c r="D473" t="s">
        <v>4053</v>
      </c>
      <c r="E473" t="s">
        <v>5905</v>
      </c>
      <c r="F473" t="s">
        <v>4235</v>
      </c>
      <c r="G473" t="s">
        <v>5906</v>
      </c>
    </row>
    <row r="474">
      <c r="A474" t="s">
        <v>2966</v>
      </c>
      <c r="B474" t="s">
        <v>5907</v>
      </c>
      <c r="C474" t="s">
        <v>5908</v>
      </c>
      <c r="D474" t="s">
        <v>4059</v>
      </c>
      <c r="E474" t="s">
        <v>5909</v>
      </c>
      <c r="F474" t="s">
        <v>4240</v>
      </c>
      <c r="G474" t="s">
        <v>5910</v>
      </c>
    </row>
    <row r="475">
      <c r="A475" t="s">
        <v>2968</v>
      </c>
      <c r="B475" t="s">
        <v>5911</v>
      </c>
      <c r="C475" t="s">
        <v>5912</v>
      </c>
      <c r="D475" t="s">
        <v>4065</v>
      </c>
      <c r="E475" t="s">
        <v>5913</v>
      </c>
      <c r="F475" t="s">
        <v>4245</v>
      </c>
      <c r="G475" t="s">
        <v>5914</v>
      </c>
    </row>
    <row r="476">
      <c r="A476" t="s">
        <v>2971</v>
      </c>
      <c r="B476" t="s">
        <v>5915</v>
      </c>
      <c r="C476" t="s">
        <v>5916</v>
      </c>
      <c r="D476" t="s">
        <v>1578</v>
      </c>
      <c r="E476" t="s">
        <v>5917</v>
      </c>
      <c r="F476" t="s">
        <v>4250</v>
      </c>
      <c r="G476" t="s">
        <v>5918</v>
      </c>
    </row>
    <row r="477">
      <c r="A477" t="s">
        <v>2972</v>
      </c>
      <c r="B477" t="s">
        <v>5919</v>
      </c>
      <c r="C477" t="s">
        <v>5920</v>
      </c>
      <c r="D477" t="s">
        <v>1647</v>
      </c>
      <c r="E477" t="s">
        <v>5921</v>
      </c>
      <c r="F477" t="s">
        <v>4255</v>
      </c>
      <c r="G477" t="s">
        <v>5922</v>
      </c>
    </row>
    <row r="478">
      <c r="A478" t="s">
        <v>2974</v>
      </c>
      <c r="B478" t="s">
        <v>5923</v>
      </c>
      <c r="C478" t="s">
        <v>5924</v>
      </c>
      <c r="D478" t="s">
        <v>3964</v>
      </c>
      <c r="E478" t="s">
        <v>5925</v>
      </c>
      <c r="F478" t="s">
        <v>4260</v>
      </c>
      <c r="G478" t="s">
        <v>5926</v>
      </c>
    </row>
    <row r="479">
      <c r="A479" t="s">
        <v>2975</v>
      </c>
      <c r="B479" t="s">
        <v>5927</v>
      </c>
      <c r="C479" t="s">
        <v>5928</v>
      </c>
      <c r="D479" t="s">
        <v>3970</v>
      </c>
      <c r="E479" t="s">
        <v>5929</v>
      </c>
      <c r="F479" t="s">
        <v>4265</v>
      </c>
      <c r="G479" t="s">
        <v>5930</v>
      </c>
    </row>
    <row r="480">
      <c r="A480" t="s">
        <v>2977</v>
      </c>
      <c r="B480" t="s">
        <v>5931</v>
      </c>
      <c r="C480" t="s">
        <v>5932</v>
      </c>
      <c r="D480" t="s">
        <v>1585</v>
      </c>
      <c r="E480" t="s">
        <v>5933</v>
      </c>
      <c r="F480" t="s">
        <v>4270</v>
      </c>
      <c r="G480" t="s">
        <v>5934</v>
      </c>
    </row>
    <row r="481">
      <c r="A481" t="s">
        <v>2979</v>
      </c>
      <c r="B481" t="s">
        <v>5935</v>
      </c>
      <c r="C481" t="s">
        <v>5936</v>
      </c>
      <c r="D481" t="s">
        <v>4096</v>
      </c>
      <c r="E481" t="s">
        <v>5937</v>
      </c>
      <c r="F481" t="s">
        <v>4275</v>
      </c>
      <c r="G481" t="s">
        <v>5938</v>
      </c>
    </row>
    <row r="482">
      <c r="A482" t="s">
        <v>2981</v>
      </c>
      <c r="B482" t="s">
        <v>5939</v>
      </c>
      <c r="C482" t="s">
        <v>5940</v>
      </c>
      <c r="D482" t="s">
        <v>4102</v>
      </c>
      <c r="E482" t="s">
        <v>5941</v>
      </c>
      <c r="F482" t="s">
        <v>4280</v>
      </c>
      <c r="G482" t="s">
        <v>5942</v>
      </c>
    </row>
    <row r="483">
      <c r="A483" t="s">
        <v>2982</v>
      </c>
      <c r="B483" t="s">
        <v>5943</v>
      </c>
      <c r="C483" t="s">
        <v>5944</v>
      </c>
      <c r="D483" t="s">
        <v>1592</v>
      </c>
      <c r="E483" t="s">
        <v>5945</v>
      </c>
      <c r="F483" t="s">
        <v>4285</v>
      </c>
      <c r="G483" t="s">
        <v>5946</v>
      </c>
    </row>
    <row r="484">
      <c r="A484" t="s">
        <v>2985</v>
      </c>
      <c r="B484" t="s">
        <v>5947</v>
      </c>
      <c r="C484" t="s">
        <v>5948</v>
      </c>
      <c r="D484" t="s">
        <v>3981</v>
      </c>
      <c r="E484" t="s">
        <v>5949</v>
      </c>
      <c r="F484" t="s">
        <v>4290</v>
      </c>
      <c r="G484" t="s">
        <v>5950</v>
      </c>
    </row>
    <row r="485">
      <c r="A485" t="s">
        <v>2986</v>
      </c>
      <c r="B485" t="s">
        <v>5951</v>
      </c>
      <c r="C485" t="s">
        <v>5952</v>
      </c>
      <c r="D485" t="s">
        <v>4118</v>
      </c>
      <c r="E485" t="s">
        <v>5953</v>
      </c>
      <c r="F485" t="s">
        <v>4295</v>
      </c>
      <c r="G485" t="s">
        <v>5954</v>
      </c>
    </row>
    <row r="486">
      <c r="A486" t="s">
        <v>2988</v>
      </c>
      <c r="B486" t="s">
        <v>5955</v>
      </c>
      <c r="C486" t="s">
        <v>5956</v>
      </c>
      <c r="D486" t="s">
        <v>4124</v>
      </c>
      <c r="E486" t="s">
        <v>5957</v>
      </c>
      <c r="F486" t="s">
        <v>4300</v>
      </c>
      <c r="G486" t="s">
        <v>5958</v>
      </c>
    </row>
    <row r="487">
      <c r="A487" t="s">
        <v>2989</v>
      </c>
      <c r="B487" t="s">
        <v>5959</v>
      </c>
      <c r="C487" t="s">
        <v>5960</v>
      </c>
      <c r="D487" t="s">
        <v>4130</v>
      </c>
      <c r="E487" t="s">
        <v>5961</v>
      </c>
      <c r="F487" t="s">
        <v>4305</v>
      </c>
      <c r="G487" t="s">
        <v>5962</v>
      </c>
    </row>
    <row r="488">
      <c r="A488" t="s">
        <v>2992</v>
      </c>
      <c r="B488" t="s">
        <v>5963</v>
      </c>
      <c r="C488" t="s">
        <v>5964</v>
      </c>
      <c r="D488" t="s">
        <v>3987</v>
      </c>
      <c r="E488" t="s">
        <v>5965</v>
      </c>
      <c r="F488" t="s">
        <v>4310</v>
      </c>
      <c r="G488" t="s">
        <v>5966</v>
      </c>
    </row>
    <row r="489">
      <c r="A489" t="s">
        <v>2993</v>
      </c>
      <c r="B489" t="s">
        <v>5967</v>
      </c>
      <c r="C489" t="s">
        <v>5968</v>
      </c>
      <c r="D489" t="s">
        <v>1606</v>
      </c>
      <c r="E489" t="s">
        <v>5969</v>
      </c>
      <c r="F489" t="s">
        <v>4315</v>
      </c>
      <c r="G489" t="s">
        <v>5970</v>
      </c>
    </row>
    <row r="490">
      <c r="A490" t="s">
        <v>2996</v>
      </c>
      <c r="B490" t="s">
        <v>5971</v>
      </c>
      <c r="C490" t="s">
        <v>5972</v>
      </c>
      <c r="D490" t="s">
        <v>3998</v>
      </c>
      <c r="E490" t="s">
        <v>5973</v>
      </c>
      <c r="F490" t="s">
        <v>4320</v>
      </c>
      <c r="G490" t="s">
        <v>5974</v>
      </c>
    </row>
    <row r="491">
      <c r="A491" t="s">
        <v>2997</v>
      </c>
      <c r="B491" t="s">
        <v>5975</v>
      </c>
      <c r="C491" t="s">
        <v>5976</v>
      </c>
      <c r="D491" t="s">
        <v>1613</v>
      </c>
      <c r="E491" t="s">
        <v>5977</v>
      </c>
      <c r="F491" t="s">
        <v>4325</v>
      </c>
      <c r="G491" t="s">
        <v>5978</v>
      </c>
    </row>
    <row r="492">
      <c r="A492" t="s">
        <v>2999</v>
      </c>
      <c r="B492" t="s">
        <v>5979</v>
      </c>
      <c r="C492" t="s">
        <v>5980</v>
      </c>
      <c r="D492" t="s">
        <v>4156</v>
      </c>
      <c r="E492" t="s">
        <v>5981</v>
      </c>
      <c r="F492" t="s">
        <v>4330</v>
      </c>
      <c r="G492" t="s">
        <v>5982</v>
      </c>
    </row>
    <row r="493">
      <c r="A493" t="s">
        <v>3000</v>
      </c>
      <c r="B493" t="s">
        <v>5983</v>
      </c>
      <c r="C493" t="s">
        <v>5984</v>
      </c>
      <c r="D493" t="s">
        <v>4162</v>
      </c>
      <c r="E493" t="s">
        <v>5985</v>
      </c>
      <c r="F493" t="s">
        <v>4335</v>
      </c>
      <c r="G493" t="s">
        <v>5986</v>
      </c>
    </row>
    <row r="494">
      <c r="A494" t="s">
        <v>3002</v>
      </c>
      <c r="B494" t="s">
        <v>5987</v>
      </c>
      <c r="C494" t="s">
        <v>5988</v>
      </c>
      <c r="D494" t="s">
        <v>4168</v>
      </c>
      <c r="E494" t="s">
        <v>5989</v>
      </c>
      <c r="F494" t="s">
        <v>4340</v>
      </c>
      <c r="G494" t="s">
        <v>5990</v>
      </c>
    </row>
    <row r="495">
      <c r="A495" t="s">
        <v>3004</v>
      </c>
      <c r="B495" t="s">
        <v>5475</v>
      </c>
      <c r="C495" t="s">
        <v>5991</v>
      </c>
      <c r="D495" t="s">
        <v>1620</v>
      </c>
      <c r="E495" t="s">
        <v>5477</v>
      </c>
      <c r="F495" t="s">
        <v>4345</v>
      </c>
      <c r="G495" t="s">
        <v>5992</v>
      </c>
    </row>
    <row r="496">
      <c r="A496" t="s">
        <v>3006</v>
      </c>
      <c r="B496" t="s">
        <v>5993</v>
      </c>
      <c r="C496" t="s">
        <v>5994</v>
      </c>
      <c r="D496" t="s">
        <v>4014</v>
      </c>
      <c r="E496" t="s">
        <v>5995</v>
      </c>
      <c r="F496" t="s">
        <v>4350</v>
      </c>
      <c r="G496" t="s">
        <v>5996</v>
      </c>
    </row>
    <row r="497">
      <c r="A497" t="s">
        <v>3007</v>
      </c>
      <c r="B497" t="s">
        <v>5997</v>
      </c>
      <c r="C497" t="s">
        <v>5998</v>
      </c>
      <c r="D497" t="s">
        <v>4020</v>
      </c>
      <c r="E497" t="s">
        <v>5999</v>
      </c>
      <c r="F497" t="s">
        <v>4355</v>
      </c>
      <c r="G497" t="s">
        <v>6000</v>
      </c>
    </row>
    <row r="498">
      <c r="A498" t="s">
        <v>3009</v>
      </c>
      <c r="B498" t="s">
        <v>6001</v>
      </c>
      <c r="C498" t="s">
        <v>6002</v>
      </c>
      <c r="D498" t="s">
        <v>1557</v>
      </c>
      <c r="E498" t="s">
        <v>6003</v>
      </c>
      <c r="F498" t="s">
        <v>4360</v>
      </c>
      <c r="G498" t="s">
        <v>6004</v>
      </c>
    </row>
    <row r="499">
      <c r="A499" t="s">
        <v>3011</v>
      </c>
      <c r="B499" t="s">
        <v>6005</v>
      </c>
      <c r="C499" t="s">
        <v>6006</v>
      </c>
      <c r="D499" t="s">
        <v>4031</v>
      </c>
      <c r="E499" t="s">
        <v>6007</v>
      </c>
      <c r="F499" t="s">
        <v>4365</v>
      </c>
      <c r="G499" t="s">
        <v>6008</v>
      </c>
    </row>
    <row r="500">
      <c r="A500" t="s">
        <v>3014</v>
      </c>
      <c r="B500" t="s">
        <v>6009</v>
      </c>
      <c r="C500" t="s">
        <v>6010</v>
      </c>
      <c r="D500" t="s">
        <v>4037</v>
      </c>
      <c r="E500" t="s">
        <v>6011</v>
      </c>
      <c r="F500" t="s">
        <v>4370</v>
      </c>
      <c r="G500" t="s">
        <v>6012</v>
      </c>
    </row>
    <row r="501">
      <c r="A501" t="s">
        <v>3015</v>
      </c>
      <c r="B501" t="s">
        <v>6013</v>
      </c>
      <c r="C501" t="s">
        <v>6014</v>
      </c>
      <c r="D501" t="s">
        <v>1699</v>
      </c>
      <c r="E501" t="s">
        <v>6015</v>
      </c>
      <c r="F501" t="s">
        <v>4375</v>
      </c>
      <c r="G501" t="s">
        <v>6016</v>
      </c>
    </row>
    <row r="502">
      <c r="A502" t="s">
        <v>3018</v>
      </c>
      <c r="B502" t="s">
        <v>6017</v>
      </c>
      <c r="C502" t="s">
        <v>6018</v>
      </c>
      <c r="D502" t="s">
        <v>1571</v>
      </c>
      <c r="E502" t="s">
        <v>6019</v>
      </c>
      <c r="F502" t="s">
        <v>4380</v>
      </c>
      <c r="G502" t="s">
        <v>6020</v>
      </c>
    </row>
    <row r="503">
      <c r="A503" t="s">
        <v>3019</v>
      </c>
      <c r="B503" t="s">
        <v>6021</v>
      </c>
      <c r="C503" t="s">
        <v>5991</v>
      </c>
      <c r="D503" t="s">
        <v>4053</v>
      </c>
      <c r="E503" t="s">
        <v>6022</v>
      </c>
      <c r="F503" t="s">
        <v>4385</v>
      </c>
      <c r="G503" t="s">
        <v>6023</v>
      </c>
    </row>
    <row r="504">
      <c r="A504" t="s">
        <v>3022</v>
      </c>
      <c r="B504" t="s">
        <v>6024</v>
      </c>
      <c r="C504" t="s">
        <v>6025</v>
      </c>
      <c r="D504" t="s">
        <v>4059</v>
      </c>
      <c r="E504" t="s">
        <v>6026</v>
      </c>
      <c r="F504" t="s">
        <v>4390</v>
      </c>
      <c r="G504" t="s">
        <v>6027</v>
      </c>
    </row>
    <row r="505">
      <c r="A505" t="s">
        <v>3024</v>
      </c>
      <c r="B505" t="s">
        <v>6028</v>
      </c>
      <c r="C505" t="s">
        <v>6029</v>
      </c>
      <c r="D505" t="s">
        <v>4065</v>
      </c>
      <c r="E505" t="s">
        <v>6030</v>
      </c>
      <c r="F505" t="s">
        <v>4395</v>
      </c>
      <c r="G505" t="s">
        <v>6031</v>
      </c>
    </row>
    <row r="506">
      <c r="A506" t="s">
        <v>3026</v>
      </c>
      <c r="B506" t="s">
        <v>6032</v>
      </c>
      <c r="C506" t="s">
        <v>5546</v>
      </c>
      <c r="D506" t="s">
        <v>1578</v>
      </c>
      <c r="E506" t="s">
        <v>5142</v>
      </c>
      <c r="F506" t="s">
        <v>4185</v>
      </c>
      <c r="G506" t="s">
        <v>6033</v>
      </c>
    </row>
    <row r="507">
      <c r="A507" t="s">
        <v>3027</v>
      </c>
      <c r="B507" t="s">
        <v>6034</v>
      </c>
      <c r="C507" t="s">
        <v>6035</v>
      </c>
      <c r="D507" t="s">
        <v>1647</v>
      </c>
      <c r="E507" t="s">
        <v>6036</v>
      </c>
      <c r="F507" t="s">
        <v>4132</v>
      </c>
      <c r="G507" t="s">
        <v>6037</v>
      </c>
    </row>
    <row r="508">
      <c r="A508" t="s">
        <v>3029</v>
      </c>
      <c r="B508" t="s">
        <v>6038</v>
      </c>
      <c r="C508" t="s">
        <v>6039</v>
      </c>
      <c r="D508" t="s">
        <v>3964</v>
      </c>
      <c r="E508" t="s">
        <v>4712</v>
      </c>
      <c r="F508" t="s">
        <v>4225</v>
      </c>
      <c r="G508" t="s">
        <v>6040</v>
      </c>
    </row>
    <row r="509">
      <c r="A509" t="s">
        <v>3030</v>
      </c>
      <c r="B509" t="s">
        <v>6041</v>
      </c>
      <c r="C509" t="s">
        <v>6042</v>
      </c>
      <c r="D509" t="s">
        <v>3970</v>
      </c>
      <c r="E509" t="s">
        <v>6043</v>
      </c>
      <c r="F509" t="s">
        <v>4215</v>
      </c>
      <c r="G509" t="s">
        <v>6044</v>
      </c>
    </row>
    <row r="510">
      <c r="A510" t="s">
        <v>3033</v>
      </c>
      <c r="B510" t="s">
        <v>6045</v>
      </c>
      <c r="C510" t="s">
        <v>6046</v>
      </c>
      <c r="D510" t="s">
        <v>1585</v>
      </c>
      <c r="E510" t="s">
        <v>6047</v>
      </c>
      <c r="F510" t="s">
        <v>4200</v>
      </c>
      <c r="G510" t="s">
        <v>6048</v>
      </c>
    </row>
    <row r="511">
      <c r="A511" t="s">
        <v>3034</v>
      </c>
      <c r="B511" t="s">
        <v>6049</v>
      </c>
      <c r="C511" t="s">
        <v>6050</v>
      </c>
      <c r="D511" t="s">
        <v>4096</v>
      </c>
      <c r="E511" t="s">
        <v>6051</v>
      </c>
      <c r="F511" t="s">
        <v>4205</v>
      </c>
      <c r="G511" t="s">
        <v>6052</v>
      </c>
    </row>
    <row r="512">
      <c r="A512" t="s">
        <v>3037</v>
      </c>
      <c r="B512" t="s">
        <v>6053</v>
      </c>
      <c r="C512" t="s">
        <v>6054</v>
      </c>
      <c r="D512" t="s">
        <v>4102</v>
      </c>
      <c r="E512" t="s">
        <v>6055</v>
      </c>
      <c r="F512" t="s">
        <v>4210</v>
      </c>
      <c r="G512" t="s">
        <v>6056</v>
      </c>
    </row>
    <row r="513">
      <c r="A513" t="s">
        <v>3038</v>
      </c>
      <c r="B513" t="s">
        <v>6057</v>
      </c>
      <c r="C513" t="s">
        <v>6058</v>
      </c>
      <c r="D513" t="s">
        <v>1592</v>
      </c>
      <c r="E513" t="s">
        <v>6059</v>
      </c>
      <c r="F513" t="s">
        <v>4215</v>
      </c>
      <c r="G513" t="s">
        <v>6060</v>
      </c>
    </row>
    <row r="514">
      <c r="A514" t="s">
        <v>3040</v>
      </c>
      <c r="B514" t="s">
        <v>6061</v>
      </c>
      <c r="C514" t="s">
        <v>6062</v>
      </c>
      <c r="D514" t="s">
        <v>3981</v>
      </c>
      <c r="E514" t="s">
        <v>6063</v>
      </c>
      <c r="F514" t="s">
        <v>4220</v>
      </c>
      <c r="G514" t="s">
        <v>6064</v>
      </c>
    </row>
    <row r="515">
      <c r="A515" t="s">
        <v>3042</v>
      </c>
      <c r="B515" t="s">
        <v>6065</v>
      </c>
      <c r="C515" t="s">
        <v>4075</v>
      </c>
      <c r="D515" t="s">
        <v>4118</v>
      </c>
      <c r="E515" t="s">
        <v>6066</v>
      </c>
      <c r="F515" t="s">
        <v>4225</v>
      </c>
      <c r="G515" t="s">
        <v>6067</v>
      </c>
    </row>
    <row r="516">
      <c r="A516" t="s">
        <v>3044</v>
      </c>
      <c r="B516" t="s">
        <v>6068</v>
      </c>
      <c r="C516" t="s">
        <v>6069</v>
      </c>
      <c r="D516" t="s">
        <v>4124</v>
      </c>
      <c r="E516" t="s">
        <v>6070</v>
      </c>
      <c r="F516" t="s">
        <v>4230</v>
      </c>
      <c r="G516" t="s">
        <v>6071</v>
      </c>
    </row>
    <row r="517">
      <c r="A517" t="s">
        <v>3046</v>
      </c>
      <c r="B517" t="s">
        <v>6072</v>
      </c>
      <c r="C517" t="s">
        <v>6073</v>
      </c>
      <c r="D517" t="s">
        <v>4130</v>
      </c>
      <c r="E517" t="s">
        <v>6074</v>
      </c>
      <c r="F517" t="s">
        <v>4235</v>
      </c>
      <c r="G517" t="s">
        <v>6075</v>
      </c>
    </row>
    <row r="518">
      <c r="A518" t="s">
        <v>3049</v>
      </c>
      <c r="B518" t="s">
        <v>6076</v>
      </c>
      <c r="C518" t="s">
        <v>6077</v>
      </c>
      <c r="D518" t="s">
        <v>3987</v>
      </c>
      <c r="E518" t="s">
        <v>6078</v>
      </c>
      <c r="F518" t="s">
        <v>4240</v>
      </c>
      <c r="G518" t="s">
        <v>6079</v>
      </c>
    </row>
    <row r="519">
      <c r="A519" t="s">
        <v>3050</v>
      </c>
      <c r="B519" t="s">
        <v>6080</v>
      </c>
      <c r="C519" t="s">
        <v>6081</v>
      </c>
      <c r="D519" t="s">
        <v>1606</v>
      </c>
      <c r="E519" t="s">
        <v>6082</v>
      </c>
      <c r="F519" t="s">
        <v>4245</v>
      </c>
      <c r="G519" t="s">
        <v>6083</v>
      </c>
    </row>
    <row r="520">
      <c r="A520" t="s">
        <v>3052</v>
      </c>
      <c r="B520" t="s">
        <v>6084</v>
      </c>
      <c r="C520" t="s">
        <v>6085</v>
      </c>
      <c r="D520" t="s">
        <v>3998</v>
      </c>
      <c r="E520" t="s">
        <v>6086</v>
      </c>
      <c r="F520" t="s">
        <v>4250</v>
      </c>
      <c r="G520" t="s">
        <v>6087</v>
      </c>
    </row>
    <row r="521">
      <c r="A521" t="s">
        <v>3053</v>
      </c>
      <c r="B521" t="s">
        <v>6088</v>
      </c>
      <c r="C521" t="s">
        <v>6089</v>
      </c>
      <c r="D521" t="s">
        <v>1613</v>
      </c>
      <c r="E521" t="s">
        <v>6090</v>
      </c>
      <c r="F521" t="s">
        <v>4255</v>
      </c>
      <c r="G521" t="s">
        <v>6091</v>
      </c>
    </row>
    <row r="522">
      <c r="A522" t="s">
        <v>3055</v>
      </c>
      <c r="B522" t="s">
        <v>6092</v>
      </c>
      <c r="C522" t="s">
        <v>6093</v>
      </c>
      <c r="D522" t="s">
        <v>4156</v>
      </c>
      <c r="E522" t="s">
        <v>6094</v>
      </c>
      <c r="F522" t="s">
        <v>4260</v>
      </c>
      <c r="G522" t="s">
        <v>6095</v>
      </c>
    </row>
    <row r="523">
      <c r="A523" t="s">
        <v>3057</v>
      </c>
      <c r="B523" t="s">
        <v>6096</v>
      </c>
      <c r="C523" t="s">
        <v>6097</v>
      </c>
      <c r="D523" t="s">
        <v>4162</v>
      </c>
      <c r="E523" t="s">
        <v>6098</v>
      </c>
      <c r="F523" t="s">
        <v>4265</v>
      </c>
      <c r="G523" t="s">
        <v>6099</v>
      </c>
    </row>
    <row r="524">
      <c r="A524" t="s">
        <v>3060</v>
      </c>
      <c r="B524" t="s">
        <v>6100</v>
      </c>
      <c r="C524" t="s">
        <v>6101</v>
      </c>
      <c r="D524" t="s">
        <v>4168</v>
      </c>
      <c r="E524" t="s">
        <v>4860</v>
      </c>
      <c r="F524" t="s">
        <v>4270</v>
      </c>
      <c r="G524" t="s">
        <v>6102</v>
      </c>
    </row>
    <row r="525">
      <c r="A525" t="s">
        <v>3061</v>
      </c>
      <c r="B525" t="s">
        <v>6103</v>
      </c>
      <c r="C525" t="s">
        <v>6104</v>
      </c>
      <c r="D525" t="s">
        <v>1620</v>
      </c>
      <c r="E525" t="s">
        <v>6105</v>
      </c>
      <c r="F525" t="s">
        <v>4275</v>
      </c>
      <c r="G525" t="s">
        <v>6106</v>
      </c>
    </row>
    <row r="526">
      <c r="A526" t="s">
        <v>3063</v>
      </c>
      <c r="B526" t="s">
        <v>6107</v>
      </c>
      <c r="C526" t="s">
        <v>6108</v>
      </c>
      <c r="D526" t="s">
        <v>4014</v>
      </c>
      <c r="E526" t="s">
        <v>6109</v>
      </c>
      <c r="F526" t="s">
        <v>4280</v>
      </c>
      <c r="G526" t="s">
        <v>6110</v>
      </c>
    </row>
    <row r="527">
      <c r="A527" t="s">
        <v>3064</v>
      </c>
      <c r="B527" t="s">
        <v>6111</v>
      </c>
      <c r="C527" t="s">
        <v>6112</v>
      </c>
      <c r="D527" t="s">
        <v>4020</v>
      </c>
      <c r="E527" t="s">
        <v>6113</v>
      </c>
      <c r="F527" t="s">
        <v>4285</v>
      </c>
      <c r="G527" t="s">
        <v>6114</v>
      </c>
    </row>
    <row r="528">
      <c r="A528" t="s">
        <v>3066</v>
      </c>
      <c r="B528" t="s">
        <v>6115</v>
      </c>
      <c r="C528" t="s">
        <v>6116</v>
      </c>
      <c r="D528" t="s">
        <v>1557</v>
      </c>
      <c r="E528" t="s">
        <v>6117</v>
      </c>
      <c r="F528" t="s">
        <v>4290</v>
      </c>
      <c r="G528" t="s">
        <v>6118</v>
      </c>
    </row>
    <row r="529">
      <c r="A529" t="s">
        <v>3068</v>
      </c>
      <c r="B529" t="s">
        <v>6119</v>
      </c>
      <c r="C529" t="s">
        <v>6120</v>
      </c>
      <c r="D529" t="s">
        <v>4031</v>
      </c>
      <c r="E529" t="s">
        <v>6121</v>
      </c>
      <c r="F529" t="s">
        <v>4295</v>
      </c>
      <c r="G529" t="s">
        <v>6122</v>
      </c>
    </row>
    <row r="530">
      <c r="A530" t="s">
        <v>3070</v>
      </c>
      <c r="B530" t="s">
        <v>6123</v>
      </c>
      <c r="C530" t="s">
        <v>6124</v>
      </c>
      <c r="D530" t="s">
        <v>4037</v>
      </c>
      <c r="E530" t="s">
        <v>6125</v>
      </c>
      <c r="F530" t="s">
        <v>4300</v>
      </c>
      <c r="G530" t="s">
        <v>6126</v>
      </c>
    </row>
    <row r="531">
      <c r="A531" t="s">
        <v>3072</v>
      </c>
      <c r="B531" t="s">
        <v>6127</v>
      </c>
      <c r="C531" t="s">
        <v>6128</v>
      </c>
      <c r="D531" t="s">
        <v>1699</v>
      </c>
      <c r="E531" t="s">
        <v>6129</v>
      </c>
      <c r="F531" t="s">
        <v>4305</v>
      </c>
      <c r="G531" t="s">
        <v>6130</v>
      </c>
    </row>
    <row r="532">
      <c r="A532" t="s">
        <v>3075</v>
      </c>
      <c r="B532" t="s">
        <v>6131</v>
      </c>
      <c r="C532" t="s">
        <v>6132</v>
      </c>
      <c r="D532" t="s">
        <v>1571</v>
      </c>
      <c r="E532" t="s">
        <v>6133</v>
      </c>
      <c r="F532" t="s">
        <v>4310</v>
      </c>
      <c r="G532" t="s">
        <v>6134</v>
      </c>
    </row>
    <row r="533">
      <c r="A533" t="s">
        <v>3077</v>
      </c>
      <c r="B533" t="s">
        <v>6135</v>
      </c>
      <c r="C533" t="s">
        <v>6136</v>
      </c>
      <c r="D533" t="s">
        <v>4053</v>
      </c>
      <c r="E533" t="s">
        <v>6137</v>
      </c>
      <c r="F533" t="s">
        <v>4315</v>
      </c>
      <c r="G533" t="s">
        <v>6138</v>
      </c>
    </row>
    <row r="534">
      <c r="A534" t="s">
        <v>3079</v>
      </c>
      <c r="B534" t="s">
        <v>6139</v>
      </c>
      <c r="C534" t="s">
        <v>6140</v>
      </c>
      <c r="D534" t="s">
        <v>4059</v>
      </c>
      <c r="E534" t="s">
        <v>4471</v>
      </c>
      <c r="F534" t="s">
        <v>4320</v>
      </c>
      <c r="G534" t="s">
        <v>6141</v>
      </c>
    </row>
    <row r="535">
      <c r="A535" t="s">
        <v>3080</v>
      </c>
      <c r="B535" t="s">
        <v>6142</v>
      </c>
      <c r="C535" t="s">
        <v>6143</v>
      </c>
      <c r="D535" t="s">
        <v>4065</v>
      </c>
      <c r="E535" t="s">
        <v>6144</v>
      </c>
      <c r="F535" t="s">
        <v>4325</v>
      </c>
      <c r="G535" t="s">
        <v>6145</v>
      </c>
    </row>
    <row r="536">
      <c r="A536" t="s">
        <v>3082</v>
      </c>
      <c r="B536" t="s">
        <v>6146</v>
      </c>
      <c r="C536" t="s">
        <v>6147</v>
      </c>
      <c r="D536" t="s">
        <v>1578</v>
      </c>
      <c r="E536" t="s">
        <v>6148</v>
      </c>
      <c r="F536" t="s">
        <v>4330</v>
      </c>
      <c r="G536" t="s">
        <v>6149</v>
      </c>
    </row>
    <row r="537">
      <c r="A537" t="s">
        <v>3083</v>
      </c>
      <c r="B537" t="s">
        <v>6150</v>
      </c>
      <c r="C537" t="s">
        <v>6151</v>
      </c>
      <c r="D537" t="s">
        <v>1647</v>
      </c>
      <c r="E537" t="s">
        <v>6152</v>
      </c>
      <c r="F537" t="s">
        <v>4335</v>
      </c>
      <c r="G537" t="s">
        <v>6153</v>
      </c>
    </row>
    <row r="538">
      <c r="A538" t="s">
        <v>3086</v>
      </c>
      <c r="B538" t="s">
        <v>6154</v>
      </c>
      <c r="C538" t="s">
        <v>6155</v>
      </c>
      <c r="D538" t="s">
        <v>3964</v>
      </c>
      <c r="E538" t="s">
        <v>6156</v>
      </c>
      <c r="F538" t="s">
        <v>4340</v>
      </c>
      <c r="G538" t="s">
        <v>6157</v>
      </c>
    </row>
    <row r="539">
      <c r="A539" t="s">
        <v>3088</v>
      </c>
      <c r="B539" t="s">
        <v>6158</v>
      </c>
      <c r="C539" t="s">
        <v>6159</v>
      </c>
      <c r="D539" t="s">
        <v>3970</v>
      </c>
      <c r="E539" t="s">
        <v>6160</v>
      </c>
      <c r="F539" t="s">
        <v>4345</v>
      </c>
      <c r="G539" t="s">
        <v>6161</v>
      </c>
    </row>
    <row r="540">
      <c r="A540" t="s">
        <v>3090</v>
      </c>
      <c r="B540" t="s">
        <v>6162</v>
      </c>
      <c r="C540" t="s">
        <v>6163</v>
      </c>
      <c r="D540" t="s">
        <v>1585</v>
      </c>
      <c r="E540" t="s">
        <v>6164</v>
      </c>
      <c r="F540" t="s">
        <v>4350</v>
      </c>
      <c r="G540" t="s">
        <v>6165</v>
      </c>
    </row>
    <row r="541">
      <c r="A541" t="s">
        <v>3092</v>
      </c>
      <c r="B541" t="s">
        <v>6166</v>
      </c>
      <c r="C541" t="s">
        <v>6167</v>
      </c>
      <c r="D541" t="s">
        <v>4096</v>
      </c>
      <c r="E541" t="s">
        <v>6168</v>
      </c>
      <c r="F541" t="s">
        <v>4355</v>
      </c>
      <c r="G541" t="s">
        <v>6169</v>
      </c>
    </row>
    <row r="542">
      <c r="A542" t="s">
        <v>3094</v>
      </c>
      <c r="B542" t="s">
        <v>6170</v>
      </c>
      <c r="C542" t="s">
        <v>6171</v>
      </c>
      <c r="D542" t="s">
        <v>4102</v>
      </c>
      <c r="E542" t="s">
        <v>6172</v>
      </c>
      <c r="F542" t="s">
        <v>4360</v>
      </c>
      <c r="G542" t="s">
        <v>6173</v>
      </c>
    </row>
    <row r="543">
      <c r="A543" t="s">
        <v>3095</v>
      </c>
      <c r="B543" t="s">
        <v>6174</v>
      </c>
      <c r="C543" t="s">
        <v>6175</v>
      </c>
      <c r="D543" t="s">
        <v>1592</v>
      </c>
      <c r="E543" t="s">
        <v>6176</v>
      </c>
      <c r="F543" t="s">
        <v>4365</v>
      </c>
      <c r="G543" t="s">
        <v>6177</v>
      </c>
    </row>
    <row r="544">
      <c r="A544" t="s">
        <v>3097</v>
      </c>
      <c r="B544" t="s">
        <v>6178</v>
      </c>
      <c r="C544" t="s">
        <v>6179</v>
      </c>
      <c r="D544" t="s">
        <v>3981</v>
      </c>
      <c r="E544" t="s">
        <v>6180</v>
      </c>
      <c r="F544" t="s">
        <v>4370</v>
      </c>
      <c r="G544" t="s">
        <v>6181</v>
      </c>
    </row>
    <row r="545">
      <c r="A545" t="s">
        <v>3098</v>
      </c>
      <c r="B545" t="s">
        <v>6182</v>
      </c>
      <c r="C545" t="s">
        <v>6183</v>
      </c>
      <c r="D545" t="s">
        <v>4118</v>
      </c>
      <c r="E545" t="s">
        <v>6184</v>
      </c>
      <c r="F545" t="s">
        <v>4375</v>
      </c>
      <c r="G545" t="s">
        <v>6185</v>
      </c>
    </row>
    <row r="546">
      <c r="A546" t="s">
        <v>3100</v>
      </c>
      <c r="B546" t="s">
        <v>6186</v>
      </c>
      <c r="C546" t="s">
        <v>6187</v>
      </c>
      <c r="D546" t="s">
        <v>4124</v>
      </c>
      <c r="E546" t="s">
        <v>6188</v>
      </c>
      <c r="F546" t="s">
        <v>4380</v>
      </c>
      <c r="G546" t="s">
        <v>6189</v>
      </c>
    </row>
    <row r="547">
      <c r="A547" t="s">
        <v>3102</v>
      </c>
      <c r="B547" t="s">
        <v>6190</v>
      </c>
      <c r="C547" t="s">
        <v>6191</v>
      </c>
      <c r="D547" t="s">
        <v>4130</v>
      </c>
      <c r="E547" t="s">
        <v>6192</v>
      </c>
      <c r="F547" t="s">
        <v>4385</v>
      </c>
      <c r="G547" t="s">
        <v>6193</v>
      </c>
    </row>
    <row r="548">
      <c r="A548" t="s">
        <v>3104</v>
      </c>
      <c r="B548" t="s">
        <v>6194</v>
      </c>
      <c r="C548" t="s">
        <v>5893</v>
      </c>
      <c r="D548" t="s">
        <v>3987</v>
      </c>
      <c r="E548" t="s">
        <v>6195</v>
      </c>
      <c r="F548" t="s">
        <v>4390</v>
      </c>
      <c r="G548" t="s">
        <v>6196</v>
      </c>
    </row>
    <row r="549">
      <c r="A549" t="s">
        <v>3105</v>
      </c>
      <c r="B549" t="s">
        <v>6197</v>
      </c>
      <c r="C549" t="s">
        <v>6198</v>
      </c>
      <c r="D549" t="s">
        <v>1606</v>
      </c>
      <c r="E549" t="s">
        <v>6199</v>
      </c>
      <c r="F549" t="s">
        <v>4395</v>
      </c>
      <c r="G549" t="s">
        <v>6200</v>
      </c>
    </row>
    <row r="550">
      <c r="A550" t="s">
        <v>3108</v>
      </c>
      <c r="B550" t="s">
        <v>6201</v>
      </c>
      <c r="C550" t="s">
        <v>6202</v>
      </c>
      <c r="D550" t="s">
        <v>3998</v>
      </c>
      <c r="E550" t="s">
        <v>6203</v>
      </c>
      <c r="F550" t="s">
        <v>4164</v>
      </c>
      <c r="G550" t="s">
        <v>6204</v>
      </c>
    </row>
    <row r="551">
      <c r="A551" t="s">
        <v>3110</v>
      </c>
      <c r="B551" t="s">
        <v>6205</v>
      </c>
      <c r="C551" t="s">
        <v>6206</v>
      </c>
      <c r="D551" t="s">
        <v>1613</v>
      </c>
      <c r="E551" t="s">
        <v>6207</v>
      </c>
      <c r="F551" t="s">
        <v>4185</v>
      </c>
      <c r="G551" t="s">
        <v>6208</v>
      </c>
    </row>
    <row r="552">
      <c r="A552" t="s">
        <v>3113</v>
      </c>
      <c r="B552" t="s">
        <v>6209</v>
      </c>
      <c r="C552" t="s">
        <v>6210</v>
      </c>
      <c r="D552" t="s">
        <v>4156</v>
      </c>
      <c r="E552" t="s">
        <v>6211</v>
      </c>
      <c r="F552" t="s">
        <v>4132</v>
      </c>
      <c r="G552" t="s">
        <v>6212</v>
      </c>
    </row>
    <row r="553">
      <c r="A553" t="s">
        <v>3114</v>
      </c>
      <c r="B553" t="s">
        <v>6213</v>
      </c>
      <c r="C553" t="s">
        <v>5249</v>
      </c>
      <c r="D553" t="s">
        <v>4162</v>
      </c>
      <c r="E553" t="s">
        <v>6214</v>
      </c>
      <c r="F553" t="s">
        <v>4225</v>
      </c>
      <c r="G553" t="s">
        <v>6215</v>
      </c>
    </row>
    <row r="554">
      <c r="A554" t="s">
        <v>3116</v>
      </c>
      <c r="B554" t="s">
        <v>6216</v>
      </c>
      <c r="C554" t="s">
        <v>6217</v>
      </c>
      <c r="D554" t="s">
        <v>4168</v>
      </c>
      <c r="E554" t="s">
        <v>6218</v>
      </c>
      <c r="F554" t="s">
        <v>4215</v>
      </c>
      <c r="G554" t="s">
        <v>6219</v>
      </c>
    </row>
    <row r="555">
      <c r="A555" t="s">
        <v>3117</v>
      </c>
      <c r="B555" t="s">
        <v>6220</v>
      </c>
      <c r="C555" t="s">
        <v>6221</v>
      </c>
      <c r="D555" t="s">
        <v>1620</v>
      </c>
      <c r="E555" t="s">
        <v>6222</v>
      </c>
      <c r="F555" t="s">
        <v>4200</v>
      </c>
      <c r="G555" t="s">
        <v>6223</v>
      </c>
    </row>
    <row r="556">
      <c r="A556" t="s">
        <v>3119</v>
      </c>
      <c r="B556" t="s">
        <v>6224</v>
      </c>
      <c r="C556" t="s">
        <v>6225</v>
      </c>
      <c r="D556" t="s">
        <v>4014</v>
      </c>
      <c r="E556" t="s">
        <v>6226</v>
      </c>
      <c r="F556" t="s">
        <v>4205</v>
      </c>
      <c r="G556" t="s">
        <v>6227</v>
      </c>
    </row>
    <row r="557">
      <c r="A557" t="s">
        <v>3120</v>
      </c>
      <c r="B557" t="s">
        <v>6228</v>
      </c>
      <c r="C557" t="s">
        <v>6229</v>
      </c>
      <c r="D557" t="s">
        <v>4020</v>
      </c>
      <c r="E557" t="s">
        <v>6230</v>
      </c>
      <c r="F557" t="s">
        <v>4210</v>
      </c>
      <c r="G557" t="s">
        <v>6231</v>
      </c>
    </row>
    <row r="558">
      <c r="A558" t="s">
        <v>3122</v>
      </c>
      <c r="B558" t="s">
        <v>6232</v>
      </c>
      <c r="C558" t="s">
        <v>6233</v>
      </c>
      <c r="D558" t="s">
        <v>1557</v>
      </c>
      <c r="E558" t="s">
        <v>6234</v>
      </c>
      <c r="F558" t="s">
        <v>4215</v>
      </c>
      <c r="G558" t="s">
        <v>6235</v>
      </c>
    </row>
    <row r="559">
      <c r="A559" t="s">
        <v>3123</v>
      </c>
      <c r="B559" t="s">
        <v>6236</v>
      </c>
      <c r="C559" t="s">
        <v>6237</v>
      </c>
      <c r="D559" t="s">
        <v>4031</v>
      </c>
      <c r="E559" t="s">
        <v>6238</v>
      </c>
      <c r="F559" t="s">
        <v>4220</v>
      </c>
      <c r="G559" t="s">
        <v>6239</v>
      </c>
    </row>
    <row r="560">
      <c r="A560" t="s">
        <v>3125</v>
      </c>
      <c r="B560" t="s">
        <v>6240</v>
      </c>
      <c r="C560" t="s">
        <v>6241</v>
      </c>
      <c r="D560" t="s">
        <v>4037</v>
      </c>
      <c r="E560" t="s">
        <v>6242</v>
      </c>
      <c r="F560" t="s">
        <v>4225</v>
      </c>
      <c r="G560" t="s">
        <v>6243</v>
      </c>
    </row>
    <row r="561">
      <c r="A561" t="s">
        <v>3126</v>
      </c>
      <c r="B561" t="s">
        <v>6244</v>
      </c>
      <c r="C561" t="s">
        <v>6245</v>
      </c>
      <c r="D561" t="s">
        <v>1699</v>
      </c>
      <c r="E561" t="s">
        <v>6246</v>
      </c>
      <c r="F561" t="s">
        <v>4230</v>
      </c>
      <c r="G561" t="s">
        <v>6247</v>
      </c>
    </row>
    <row r="562">
      <c r="A562" t="s">
        <v>3128</v>
      </c>
      <c r="B562" t="s">
        <v>6248</v>
      </c>
      <c r="C562" t="s">
        <v>6249</v>
      </c>
      <c r="D562" t="s">
        <v>1571</v>
      </c>
      <c r="E562" t="s">
        <v>6250</v>
      </c>
      <c r="F562" t="s">
        <v>4235</v>
      </c>
      <c r="G562" t="s">
        <v>6251</v>
      </c>
    </row>
    <row r="563">
      <c r="A563" t="s">
        <v>3130</v>
      </c>
      <c r="B563" t="s">
        <v>6252</v>
      </c>
      <c r="C563" t="s">
        <v>6253</v>
      </c>
      <c r="D563" t="s">
        <v>4053</v>
      </c>
      <c r="E563" t="s">
        <v>6254</v>
      </c>
      <c r="F563" t="s">
        <v>4240</v>
      </c>
      <c r="G563" t="s">
        <v>6255</v>
      </c>
    </row>
    <row r="564">
      <c r="A564" t="s">
        <v>3132</v>
      </c>
      <c r="B564" t="s">
        <v>6256</v>
      </c>
      <c r="C564" t="s">
        <v>6257</v>
      </c>
      <c r="D564" t="s">
        <v>4059</v>
      </c>
      <c r="E564" t="s">
        <v>6258</v>
      </c>
      <c r="F564" t="s">
        <v>4245</v>
      </c>
      <c r="G564" t="s">
        <v>6259</v>
      </c>
    </row>
    <row r="565">
      <c r="A565" t="s">
        <v>3133</v>
      </c>
      <c r="B565" t="s">
        <v>6260</v>
      </c>
      <c r="C565" t="s">
        <v>6261</v>
      </c>
      <c r="D565" t="s">
        <v>4065</v>
      </c>
      <c r="E565" t="s">
        <v>6262</v>
      </c>
      <c r="F565" t="s">
        <v>4250</v>
      </c>
      <c r="G565" t="s">
        <v>6263</v>
      </c>
    </row>
    <row r="566">
      <c r="A566" t="s">
        <v>3136</v>
      </c>
      <c r="B566" t="s">
        <v>6264</v>
      </c>
      <c r="C566" t="s">
        <v>6265</v>
      </c>
      <c r="D566" t="s">
        <v>1578</v>
      </c>
      <c r="E566" t="s">
        <v>6266</v>
      </c>
      <c r="F566" t="s">
        <v>4255</v>
      </c>
      <c r="G566" t="s">
        <v>6267</v>
      </c>
    </row>
    <row r="567">
      <c r="A567" t="s">
        <v>3137</v>
      </c>
      <c r="B567" t="s">
        <v>6268</v>
      </c>
      <c r="C567" t="s">
        <v>6269</v>
      </c>
      <c r="D567" t="s">
        <v>1647</v>
      </c>
      <c r="E567" t="s">
        <v>6270</v>
      </c>
      <c r="F567" t="s">
        <v>4260</v>
      </c>
      <c r="G567" t="s">
        <v>6271</v>
      </c>
    </row>
    <row r="568">
      <c r="A568" t="s">
        <v>3139</v>
      </c>
      <c r="B568" t="s">
        <v>6272</v>
      </c>
      <c r="C568" t="s">
        <v>6273</v>
      </c>
      <c r="D568" t="s">
        <v>3964</v>
      </c>
      <c r="E568" t="s">
        <v>6274</v>
      </c>
      <c r="F568" t="s">
        <v>4265</v>
      </c>
      <c r="G568" t="s">
        <v>6275</v>
      </c>
    </row>
    <row r="569">
      <c r="A569" t="s">
        <v>3140</v>
      </c>
      <c r="B569" t="s">
        <v>6276</v>
      </c>
      <c r="C569" t="s">
        <v>6277</v>
      </c>
      <c r="D569" t="s">
        <v>3970</v>
      </c>
      <c r="E569" t="s">
        <v>6278</v>
      </c>
      <c r="F569" t="s">
        <v>4270</v>
      </c>
      <c r="G569" t="s">
        <v>6279</v>
      </c>
    </row>
    <row r="570">
      <c r="A570" t="s">
        <v>3143</v>
      </c>
      <c r="B570" t="s">
        <v>6280</v>
      </c>
      <c r="C570" t="s">
        <v>6281</v>
      </c>
      <c r="D570" t="s">
        <v>1585</v>
      </c>
      <c r="E570" t="s">
        <v>6282</v>
      </c>
      <c r="F570" t="s">
        <v>4275</v>
      </c>
      <c r="G570" t="s">
        <v>6283</v>
      </c>
    </row>
    <row r="571">
      <c r="A571" t="s">
        <v>3145</v>
      </c>
      <c r="B571" t="s">
        <v>6284</v>
      </c>
      <c r="C571" t="s">
        <v>6285</v>
      </c>
      <c r="D571" t="s">
        <v>4096</v>
      </c>
      <c r="E571" t="s">
        <v>6286</v>
      </c>
      <c r="F571" t="s">
        <v>4280</v>
      </c>
      <c r="G571" t="s">
        <v>6287</v>
      </c>
    </row>
    <row r="572">
      <c r="A572" t="s">
        <v>3147</v>
      </c>
      <c r="B572" t="s">
        <v>6288</v>
      </c>
      <c r="C572" t="s">
        <v>5526</v>
      </c>
      <c r="D572" t="s">
        <v>4102</v>
      </c>
      <c r="E572" t="s">
        <v>6289</v>
      </c>
      <c r="F572" t="s">
        <v>4285</v>
      </c>
      <c r="G572" t="s">
        <v>6290</v>
      </c>
    </row>
    <row r="573">
      <c r="A573" t="s">
        <v>3149</v>
      </c>
      <c r="B573" t="s">
        <v>6291</v>
      </c>
      <c r="C573" t="s">
        <v>6292</v>
      </c>
      <c r="D573" t="s">
        <v>1592</v>
      </c>
      <c r="E573" t="s">
        <v>6293</v>
      </c>
      <c r="F573" t="s">
        <v>4290</v>
      </c>
      <c r="G573" t="s">
        <v>6294</v>
      </c>
    </row>
    <row r="574">
      <c r="A574" t="s">
        <v>3151</v>
      </c>
      <c r="B574" t="s">
        <v>6295</v>
      </c>
      <c r="C574" t="s">
        <v>6296</v>
      </c>
      <c r="D574" t="s">
        <v>3981</v>
      </c>
      <c r="E574" t="s">
        <v>6297</v>
      </c>
      <c r="F574" t="s">
        <v>4295</v>
      </c>
      <c r="G574" t="s">
        <v>6298</v>
      </c>
    </row>
    <row r="575">
      <c r="A575" t="s">
        <v>3152</v>
      </c>
      <c r="B575" t="s">
        <v>6299</v>
      </c>
      <c r="C575" t="s">
        <v>6300</v>
      </c>
      <c r="D575" t="s">
        <v>4118</v>
      </c>
      <c r="E575" t="s">
        <v>6301</v>
      </c>
      <c r="F575" t="s">
        <v>4300</v>
      </c>
      <c r="G575" t="s">
        <v>6302</v>
      </c>
    </row>
    <row r="576">
      <c r="A576" t="s">
        <v>3154</v>
      </c>
      <c r="B576" t="s">
        <v>6303</v>
      </c>
      <c r="C576" t="s">
        <v>6304</v>
      </c>
      <c r="D576" t="s">
        <v>4124</v>
      </c>
      <c r="E576" t="s">
        <v>5981</v>
      </c>
      <c r="F576" t="s">
        <v>4305</v>
      </c>
      <c r="G576" t="s">
        <v>6305</v>
      </c>
    </row>
    <row r="577">
      <c r="A577" t="s">
        <v>3156</v>
      </c>
      <c r="B577" t="s">
        <v>6306</v>
      </c>
      <c r="C577" t="s">
        <v>6307</v>
      </c>
      <c r="D577" t="s">
        <v>4130</v>
      </c>
      <c r="E577" t="s">
        <v>6308</v>
      </c>
      <c r="F577" t="s">
        <v>4310</v>
      </c>
      <c r="G577" t="s">
        <v>6309</v>
      </c>
    </row>
    <row r="578">
      <c r="A578" t="s">
        <v>3158</v>
      </c>
      <c r="B578" t="s">
        <v>6310</v>
      </c>
      <c r="C578" t="s">
        <v>6311</v>
      </c>
      <c r="D578" t="s">
        <v>3987</v>
      </c>
      <c r="E578" t="s">
        <v>6312</v>
      </c>
      <c r="F578" t="s">
        <v>4315</v>
      </c>
      <c r="G578" t="s">
        <v>6313</v>
      </c>
    </row>
    <row r="579">
      <c r="A579" t="s">
        <v>3160</v>
      </c>
      <c r="B579" t="s">
        <v>6314</v>
      </c>
      <c r="C579" t="s">
        <v>6315</v>
      </c>
      <c r="D579" t="s">
        <v>1606</v>
      </c>
      <c r="E579" t="s">
        <v>6316</v>
      </c>
      <c r="F579" t="s">
        <v>4320</v>
      </c>
      <c r="G579" t="s">
        <v>6317</v>
      </c>
    </row>
    <row r="580">
      <c r="A580" t="s">
        <v>3162</v>
      </c>
      <c r="B580" t="s">
        <v>6318</v>
      </c>
      <c r="C580" t="s">
        <v>6319</v>
      </c>
      <c r="D580" t="s">
        <v>3998</v>
      </c>
      <c r="E580" t="s">
        <v>6320</v>
      </c>
      <c r="F580" t="s">
        <v>4325</v>
      </c>
      <c r="G580" t="s">
        <v>6321</v>
      </c>
    </row>
    <row r="581">
      <c r="A581" t="s">
        <v>3163</v>
      </c>
      <c r="B581" t="s">
        <v>6322</v>
      </c>
      <c r="C581" t="s">
        <v>6323</v>
      </c>
      <c r="D581" t="s">
        <v>1613</v>
      </c>
      <c r="E581" t="s">
        <v>6324</v>
      </c>
      <c r="F581" t="s">
        <v>4330</v>
      </c>
      <c r="G581" t="s">
        <v>6325</v>
      </c>
    </row>
    <row r="582">
      <c r="A582" t="s">
        <v>3165</v>
      </c>
      <c r="B582" t="s">
        <v>6326</v>
      </c>
      <c r="C582" t="s">
        <v>6327</v>
      </c>
      <c r="D582" t="s">
        <v>4156</v>
      </c>
      <c r="E582" t="s">
        <v>6328</v>
      </c>
      <c r="F582" t="s">
        <v>4335</v>
      </c>
      <c r="G582" t="s">
        <v>6329</v>
      </c>
    </row>
    <row r="583">
      <c r="A583" t="s">
        <v>3166</v>
      </c>
      <c r="B583" t="s">
        <v>6330</v>
      </c>
      <c r="C583" t="s">
        <v>6331</v>
      </c>
      <c r="D583" t="s">
        <v>4162</v>
      </c>
      <c r="E583" t="s">
        <v>6332</v>
      </c>
      <c r="F583" t="s">
        <v>4340</v>
      </c>
      <c r="G583" t="s">
        <v>6333</v>
      </c>
    </row>
    <row r="584">
      <c r="A584" t="s">
        <v>3168</v>
      </c>
      <c r="B584" t="s">
        <v>6334</v>
      </c>
      <c r="C584" t="s">
        <v>6335</v>
      </c>
      <c r="D584" t="s">
        <v>4168</v>
      </c>
      <c r="E584" t="s">
        <v>6336</v>
      </c>
      <c r="F584" t="s">
        <v>4345</v>
      </c>
      <c r="G584" t="s">
        <v>6337</v>
      </c>
    </row>
    <row r="585">
      <c r="A585" t="s">
        <v>3169</v>
      </c>
      <c r="B585" t="s">
        <v>6338</v>
      </c>
      <c r="C585" t="s">
        <v>6339</v>
      </c>
      <c r="D585" t="s">
        <v>1620</v>
      </c>
      <c r="E585" t="s">
        <v>6340</v>
      </c>
      <c r="F585" t="s">
        <v>4350</v>
      </c>
      <c r="G585" t="s">
        <v>6341</v>
      </c>
    </row>
    <row r="586">
      <c r="A586" t="s">
        <v>3171</v>
      </c>
      <c r="B586" t="s">
        <v>6342</v>
      </c>
      <c r="C586" t="s">
        <v>6343</v>
      </c>
      <c r="D586" t="s">
        <v>4014</v>
      </c>
      <c r="E586" t="s">
        <v>4522</v>
      </c>
      <c r="F586" t="s">
        <v>4355</v>
      </c>
      <c r="G586" t="s">
        <v>6344</v>
      </c>
    </row>
    <row r="587">
      <c r="A587" t="s">
        <v>3172</v>
      </c>
      <c r="B587" t="s">
        <v>6345</v>
      </c>
      <c r="C587" t="s">
        <v>6346</v>
      </c>
      <c r="D587" t="s">
        <v>4020</v>
      </c>
      <c r="E587" t="s">
        <v>6347</v>
      </c>
      <c r="F587" t="s">
        <v>4360</v>
      </c>
      <c r="G587" t="s">
        <v>6348</v>
      </c>
    </row>
    <row r="588">
      <c r="A588" t="s">
        <v>3174</v>
      </c>
      <c r="B588" t="s">
        <v>6349</v>
      </c>
      <c r="C588" t="s">
        <v>6350</v>
      </c>
      <c r="D588" t="s">
        <v>1557</v>
      </c>
      <c r="E588" t="s">
        <v>6351</v>
      </c>
      <c r="F588" t="s">
        <v>4365</v>
      </c>
      <c r="G588" t="s">
        <v>6352</v>
      </c>
    </row>
    <row r="589">
      <c r="A589" t="s">
        <v>3176</v>
      </c>
      <c r="B589" t="s">
        <v>6353</v>
      </c>
      <c r="C589" t="s">
        <v>6354</v>
      </c>
      <c r="D589" t="s">
        <v>4031</v>
      </c>
      <c r="E589" t="s">
        <v>6355</v>
      </c>
      <c r="F589" t="s">
        <v>4370</v>
      </c>
      <c r="G589" t="s">
        <v>6356</v>
      </c>
    </row>
    <row r="590">
      <c r="A590" t="s">
        <v>3178</v>
      </c>
      <c r="B590" t="s">
        <v>6357</v>
      </c>
      <c r="C590" t="s">
        <v>6358</v>
      </c>
      <c r="D590" t="s">
        <v>4037</v>
      </c>
      <c r="E590" t="s">
        <v>6359</v>
      </c>
      <c r="F590" t="s">
        <v>4375</v>
      </c>
      <c r="G590" t="s">
        <v>6360</v>
      </c>
    </row>
    <row r="591">
      <c r="A591" t="s">
        <v>3180</v>
      </c>
      <c r="B591" t="s">
        <v>6361</v>
      </c>
      <c r="C591" t="s">
        <v>6362</v>
      </c>
      <c r="D591" t="s">
        <v>1699</v>
      </c>
      <c r="E591" t="s">
        <v>6363</v>
      </c>
      <c r="F591" t="s">
        <v>4380</v>
      </c>
      <c r="G591" t="s">
        <v>6364</v>
      </c>
    </row>
    <row r="592">
      <c r="A592" t="s">
        <v>3183</v>
      </c>
      <c r="B592" t="s">
        <v>6365</v>
      </c>
      <c r="C592" t="s">
        <v>6366</v>
      </c>
      <c r="D592" t="s">
        <v>1571</v>
      </c>
      <c r="E592" t="s">
        <v>6367</v>
      </c>
      <c r="F592" t="s">
        <v>4385</v>
      </c>
      <c r="G592" t="s">
        <v>6368</v>
      </c>
    </row>
    <row r="593">
      <c r="A593" t="s">
        <v>3184</v>
      </c>
      <c r="B593" t="s">
        <v>6369</v>
      </c>
      <c r="C593" t="s">
        <v>5145</v>
      </c>
      <c r="D593" t="s">
        <v>4053</v>
      </c>
      <c r="E593" t="s">
        <v>5694</v>
      </c>
      <c r="F593" t="s">
        <v>4390</v>
      </c>
      <c r="G593" t="s">
        <v>6370</v>
      </c>
    </row>
    <row r="594">
      <c r="A594" t="s">
        <v>3186</v>
      </c>
      <c r="B594" t="s">
        <v>6371</v>
      </c>
      <c r="C594" t="s">
        <v>6372</v>
      </c>
      <c r="D594" t="s">
        <v>4059</v>
      </c>
      <c r="E594" t="s">
        <v>6373</v>
      </c>
      <c r="F594" t="s">
        <v>4395</v>
      </c>
      <c r="G594" t="s">
        <v>6374</v>
      </c>
    </row>
    <row r="595">
      <c r="A595" t="s">
        <v>3187</v>
      </c>
      <c r="B595" t="s">
        <v>6375</v>
      </c>
      <c r="C595" t="s">
        <v>6376</v>
      </c>
      <c r="D595" t="s">
        <v>4065</v>
      </c>
      <c r="E595" t="s">
        <v>6377</v>
      </c>
      <c r="F595" t="s">
        <v>4164</v>
      </c>
      <c r="G595" t="s">
        <v>6378</v>
      </c>
    </row>
    <row r="596">
      <c r="A596" t="s">
        <v>3190</v>
      </c>
      <c r="B596" t="s">
        <v>6379</v>
      </c>
      <c r="C596" t="s">
        <v>6380</v>
      </c>
      <c r="D596" t="s">
        <v>1578</v>
      </c>
      <c r="E596" t="s">
        <v>6381</v>
      </c>
      <c r="F596" t="s">
        <v>4185</v>
      </c>
      <c r="G596" t="s">
        <v>6382</v>
      </c>
    </row>
    <row r="597">
      <c r="A597" t="s">
        <v>3191</v>
      </c>
      <c r="B597" t="s">
        <v>6383</v>
      </c>
      <c r="C597" t="s">
        <v>4899</v>
      </c>
      <c r="D597" t="s">
        <v>1647</v>
      </c>
      <c r="E597" t="s">
        <v>6384</v>
      </c>
      <c r="F597" t="s">
        <v>4132</v>
      </c>
      <c r="G597" t="s">
        <v>6385</v>
      </c>
    </row>
    <row r="598">
      <c r="A598" t="s">
        <v>3194</v>
      </c>
      <c r="B598" t="s">
        <v>6386</v>
      </c>
      <c r="C598" t="s">
        <v>6387</v>
      </c>
      <c r="D598" t="s">
        <v>3964</v>
      </c>
      <c r="E598" t="s">
        <v>5126</v>
      </c>
      <c r="F598" t="s">
        <v>4225</v>
      </c>
      <c r="G598" t="s">
        <v>6388</v>
      </c>
    </row>
    <row r="599">
      <c r="A599" t="s">
        <v>3195</v>
      </c>
      <c r="B599" t="s">
        <v>6389</v>
      </c>
      <c r="C599" t="s">
        <v>6390</v>
      </c>
      <c r="D599" t="s">
        <v>3970</v>
      </c>
      <c r="E599" t="s">
        <v>6391</v>
      </c>
      <c r="F599" t="s">
        <v>4215</v>
      </c>
      <c r="G599" t="s">
        <v>6392</v>
      </c>
    </row>
    <row r="600">
      <c r="A600" t="s">
        <v>3198</v>
      </c>
      <c r="B600" t="s">
        <v>6393</v>
      </c>
      <c r="C600" t="s">
        <v>6394</v>
      </c>
      <c r="D600" t="s">
        <v>1585</v>
      </c>
      <c r="E600" t="s">
        <v>6395</v>
      </c>
      <c r="F600" t="s">
        <v>4200</v>
      </c>
      <c r="G600" t="s">
        <v>6396</v>
      </c>
    </row>
    <row r="601">
      <c r="A601" t="s">
        <v>3199</v>
      </c>
      <c r="B601" t="s">
        <v>6397</v>
      </c>
      <c r="C601" t="s">
        <v>6398</v>
      </c>
      <c r="D601" t="s">
        <v>4096</v>
      </c>
      <c r="E601" t="s">
        <v>6399</v>
      </c>
      <c r="F601" t="s">
        <v>4205</v>
      </c>
      <c r="G601" t="s">
        <v>6400</v>
      </c>
    </row>
    <row r="602">
      <c r="A602" t="s">
        <v>3201</v>
      </c>
      <c r="B602" t="s">
        <v>6401</v>
      </c>
      <c r="C602" t="s">
        <v>6402</v>
      </c>
      <c r="D602" t="s">
        <v>4102</v>
      </c>
      <c r="E602" t="s">
        <v>6403</v>
      </c>
      <c r="F602" t="s">
        <v>4210</v>
      </c>
      <c r="G602" t="s">
        <v>6404</v>
      </c>
    </row>
    <row r="603">
      <c r="A603" t="s">
        <v>3203</v>
      </c>
      <c r="B603" t="s">
        <v>6405</v>
      </c>
      <c r="C603" t="s">
        <v>6406</v>
      </c>
      <c r="D603" t="s">
        <v>1592</v>
      </c>
      <c r="E603" t="s">
        <v>6407</v>
      </c>
      <c r="F603" t="s">
        <v>4215</v>
      </c>
      <c r="G603" t="s">
        <v>6408</v>
      </c>
    </row>
    <row r="604">
      <c r="A604" t="s">
        <v>3205</v>
      </c>
      <c r="B604" t="s">
        <v>6409</v>
      </c>
      <c r="C604" t="s">
        <v>6410</v>
      </c>
      <c r="D604" t="s">
        <v>3981</v>
      </c>
      <c r="E604" t="s">
        <v>6411</v>
      </c>
      <c r="F604" t="s">
        <v>4220</v>
      </c>
      <c r="G604" t="s">
        <v>6412</v>
      </c>
    </row>
    <row r="605">
      <c r="A605" t="s">
        <v>3206</v>
      </c>
      <c r="B605" t="s">
        <v>6413</v>
      </c>
      <c r="C605" t="s">
        <v>6414</v>
      </c>
      <c r="D605" t="s">
        <v>4118</v>
      </c>
      <c r="E605" t="s">
        <v>6415</v>
      </c>
      <c r="F605" t="s">
        <v>4225</v>
      </c>
      <c r="G605" t="s">
        <v>6416</v>
      </c>
    </row>
    <row r="606">
      <c r="A606" t="s">
        <v>3208</v>
      </c>
      <c r="B606" t="s">
        <v>6417</v>
      </c>
      <c r="C606" t="s">
        <v>6418</v>
      </c>
      <c r="D606" t="s">
        <v>4124</v>
      </c>
      <c r="E606" t="s">
        <v>6419</v>
      </c>
      <c r="F606" t="s">
        <v>4230</v>
      </c>
      <c r="G606" t="s">
        <v>6420</v>
      </c>
    </row>
    <row r="607">
      <c r="A607" t="s">
        <v>3210</v>
      </c>
      <c r="B607" t="s">
        <v>6421</v>
      </c>
      <c r="C607" t="s">
        <v>6422</v>
      </c>
      <c r="D607" t="s">
        <v>4130</v>
      </c>
      <c r="E607" t="s">
        <v>6423</v>
      </c>
      <c r="F607" t="s">
        <v>4235</v>
      </c>
      <c r="G607" t="s">
        <v>6424</v>
      </c>
    </row>
    <row r="608">
      <c r="A608" t="s">
        <v>3213</v>
      </c>
      <c r="B608" t="s">
        <v>6425</v>
      </c>
      <c r="C608" t="s">
        <v>6426</v>
      </c>
      <c r="D608" t="s">
        <v>3987</v>
      </c>
      <c r="E608" t="s">
        <v>6427</v>
      </c>
      <c r="F608" t="s">
        <v>4240</v>
      </c>
      <c r="G608" t="s">
        <v>6428</v>
      </c>
    </row>
    <row r="609">
      <c r="A609" t="s">
        <v>3214</v>
      </c>
      <c r="B609" t="s">
        <v>6429</v>
      </c>
      <c r="C609" t="s">
        <v>6430</v>
      </c>
      <c r="D609" t="s">
        <v>1606</v>
      </c>
      <c r="E609" t="s">
        <v>6431</v>
      </c>
      <c r="F609" t="s">
        <v>4245</v>
      </c>
      <c r="G609" t="s">
        <v>6432</v>
      </c>
    </row>
    <row r="610">
      <c r="A610" t="s">
        <v>3217</v>
      </c>
      <c r="B610" t="s">
        <v>6433</v>
      </c>
      <c r="C610" t="s">
        <v>6434</v>
      </c>
      <c r="D610" t="s">
        <v>3998</v>
      </c>
      <c r="E610" t="s">
        <v>6435</v>
      </c>
      <c r="F610" t="s">
        <v>4250</v>
      </c>
      <c r="G610" t="s">
        <v>6436</v>
      </c>
    </row>
    <row r="611">
      <c r="A611" t="s">
        <v>3218</v>
      </c>
      <c r="B611" t="s">
        <v>6437</v>
      </c>
      <c r="C611" t="s">
        <v>6438</v>
      </c>
      <c r="D611" t="s">
        <v>1613</v>
      </c>
      <c r="E611" t="s">
        <v>6439</v>
      </c>
      <c r="F611" t="s">
        <v>4255</v>
      </c>
      <c r="G611" t="s">
        <v>6440</v>
      </c>
    </row>
    <row r="612">
      <c r="A612" t="s">
        <v>3220</v>
      </c>
      <c r="B612" t="s">
        <v>6441</v>
      </c>
      <c r="C612" t="s">
        <v>6442</v>
      </c>
      <c r="D612" t="s">
        <v>4156</v>
      </c>
      <c r="E612" t="s">
        <v>6443</v>
      </c>
      <c r="F612" t="s">
        <v>4260</v>
      </c>
      <c r="G612" t="s">
        <v>6444</v>
      </c>
    </row>
    <row r="613">
      <c r="A613" t="s">
        <v>3221</v>
      </c>
      <c r="B613" t="s">
        <v>6445</v>
      </c>
      <c r="C613" t="s">
        <v>6446</v>
      </c>
      <c r="D613" t="s">
        <v>4162</v>
      </c>
      <c r="E613" t="s">
        <v>6447</v>
      </c>
      <c r="F613" t="s">
        <v>4265</v>
      </c>
      <c r="G613" t="s">
        <v>6448</v>
      </c>
    </row>
    <row r="614">
      <c r="A614" t="s">
        <v>3223</v>
      </c>
      <c r="B614" t="s">
        <v>6449</v>
      </c>
      <c r="C614" t="s">
        <v>6450</v>
      </c>
      <c r="D614" t="s">
        <v>4168</v>
      </c>
      <c r="E614" t="s">
        <v>6451</v>
      </c>
      <c r="F614" t="s">
        <v>4270</v>
      </c>
      <c r="G614" t="s">
        <v>6452</v>
      </c>
    </row>
    <row r="615">
      <c r="A615" t="s">
        <v>3224</v>
      </c>
      <c r="B615" t="s">
        <v>6453</v>
      </c>
      <c r="C615" t="s">
        <v>6454</v>
      </c>
      <c r="D615" t="s">
        <v>1620</v>
      </c>
      <c r="E615" t="s">
        <v>6455</v>
      </c>
      <c r="F615" t="s">
        <v>4275</v>
      </c>
      <c r="G615" t="s">
        <v>6456</v>
      </c>
    </row>
    <row r="616">
      <c r="A616" t="s">
        <v>3227</v>
      </c>
      <c r="B616" t="s">
        <v>6457</v>
      </c>
      <c r="C616" t="s">
        <v>6458</v>
      </c>
      <c r="D616" t="s">
        <v>4014</v>
      </c>
      <c r="E616" t="s">
        <v>6459</v>
      </c>
      <c r="F616" t="s">
        <v>4280</v>
      </c>
      <c r="G616" t="s">
        <v>6460</v>
      </c>
    </row>
    <row r="617">
      <c r="A617" t="s">
        <v>3228</v>
      </c>
      <c r="B617" t="s">
        <v>6461</v>
      </c>
      <c r="C617" t="s">
        <v>6462</v>
      </c>
      <c r="D617" t="s">
        <v>4020</v>
      </c>
      <c r="E617" t="s">
        <v>4184</v>
      </c>
      <c r="F617" t="s">
        <v>4285</v>
      </c>
      <c r="G617" t="s">
        <v>6463</v>
      </c>
    </row>
    <row r="618">
      <c r="A618" t="s">
        <v>3230</v>
      </c>
      <c r="B618" t="s">
        <v>6464</v>
      </c>
      <c r="C618" t="s">
        <v>6465</v>
      </c>
      <c r="D618" t="s">
        <v>1557</v>
      </c>
      <c r="E618" t="s">
        <v>6466</v>
      </c>
      <c r="F618" t="s">
        <v>4290</v>
      </c>
      <c r="G618" t="s">
        <v>6467</v>
      </c>
    </row>
    <row r="619">
      <c r="A619" t="s">
        <v>3232</v>
      </c>
      <c r="B619" t="s">
        <v>6468</v>
      </c>
      <c r="C619" t="s">
        <v>6469</v>
      </c>
      <c r="D619" t="s">
        <v>4031</v>
      </c>
      <c r="E619" t="s">
        <v>6470</v>
      </c>
      <c r="F619" t="s">
        <v>4295</v>
      </c>
      <c r="G619" t="s">
        <v>6471</v>
      </c>
    </row>
    <row r="620">
      <c r="A620" t="s">
        <v>3234</v>
      </c>
      <c r="B620" t="s">
        <v>6472</v>
      </c>
      <c r="C620" t="s">
        <v>6473</v>
      </c>
      <c r="D620" t="s">
        <v>4037</v>
      </c>
      <c r="E620" t="s">
        <v>6474</v>
      </c>
      <c r="F620" t="s">
        <v>4300</v>
      </c>
      <c r="G620" t="s">
        <v>6475</v>
      </c>
    </row>
    <row r="621">
      <c r="A621" t="s">
        <v>3236</v>
      </c>
      <c r="B621" t="s">
        <v>6476</v>
      </c>
      <c r="C621" t="s">
        <v>6477</v>
      </c>
      <c r="D621" t="s">
        <v>1699</v>
      </c>
      <c r="E621" t="s">
        <v>6478</v>
      </c>
      <c r="F621" t="s">
        <v>4305</v>
      </c>
      <c r="G621" t="s">
        <v>6479</v>
      </c>
    </row>
    <row r="622">
      <c r="A622" t="s">
        <v>3239</v>
      </c>
      <c r="B622" t="s">
        <v>6480</v>
      </c>
      <c r="C622" t="s">
        <v>6481</v>
      </c>
      <c r="D622" t="s">
        <v>1571</v>
      </c>
      <c r="E622" t="s">
        <v>6482</v>
      </c>
      <c r="F622" t="s">
        <v>4310</v>
      </c>
      <c r="G622" t="s">
        <v>6483</v>
      </c>
    </row>
    <row r="623">
      <c r="A623" t="s">
        <v>3240</v>
      </c>
      <c r="B623" t="s">
        <v>6484</v>
      </c>
      <c r="C623" t="s">
        <v>6485</v>
      </c>
      <c r="D623" t="s">
        <v>4053</v>
      </c>
      <c r="E623" t="s">
        <v>6486</v>
      </c>
      <c r="F623" t="s">
        <v>4315</v>
      </c>
      <c r="G623" t="s">
        <v>6487</v>
      </c>
    </row>
    <row r="624">
      <c r="A624" t="s">
        <v>3242</v>
      </c>
      <c r="B624" t="s">
        <v>6488</v>
      </c>
      <c r="C624" t="s">
        <v>5511</v>
      </c>
      <c r="D624" t="s">
        <v>4059</v>
      </c>
      <c r="E624" t="s">
        <v>6489</v>
      </c>
      <c r="F624" t="s">
        <v>4320</v>
      </c>
      <c r="G624" t="s">
        <v>6490</v>
      </c>
    </row>
    <row r="625">
      <c r="A625" t="s">
        <v>3243</v>
      </c>
      <c r="B625" t="s">
        <v>6491</v>
      </c>
      <c r="C625" t="s">
        <v>6492</v>
      </c>
      <c r="D625" t="s">
        <v>4065</v>
      </c>
      <c r="E625" t="s">
        <v>6493</v>
      </c>
      <c r="F625" t="s">
        <v>4325</v>
      </c>
      <c r="G625" t="s">
        <v>6494</v>
      </c>
    </row>
    <row r="626">
      <c r="A626" t="s">
        <v>3246</v>
      </c>
      <c r="B626" t="s">
        <v>6495</v>
      </c>
      <c r="C626" t="s">
        <v>6496</v>
      </c>
      <c r="D626" t="s">
        <v>1578</v>
      </c>
      <c r="E626" t="s">
        <v>6497</v>
      </c>
      <c r="F626" t="s">
        <v>4330</v>
      </c>
      <c r="G626" t="s">
        <v>6498</v>
      </c>
    </row>
    <row r="627">
      <c r="A627" t="s">
        <v>3247</v>
      </c>
      <c r="B627" t="s">
        <v>6499</v>
      </c>
      <c r="C627" t="s">
        <v>6500</v>
      </c>
      <c r="D627" t="s">
        <v>1647</v>
      </c>
      <c r="E627" t="s">
        <v>6501</v>
      </c>
      <c r="F627" t="s">
        <v>4335</v>
      </c>
      <c r="G627" t="s">
        <v>6502</v>
      </c>
    </row>
    <row r="628">
      <c r="A628" t="s">
        <v>3249</v>
      </c>
      <c r="B628" t="s">
        <v>6503</v>
      </c>
      <c r="C628" t="s">
        <v>6504</v>
      </c>
      <c r="D628" t="s">
        <v>3964</v>
      </c>
      <c r="E628" t="s">
        <v>6505</v>
      </c>
      <c r="F628" t="s">
        <v>4340</v>
      </c>
      <c r="G628" t="s">
        <v>6506</v>
      </c>
    </row>
    <row r="629">
      <c r="A629" t="s">
        <v>3251</v>
      </c>
      <c r="B629" t="s">
        <v>6507</v>
      </c>
      <c r="C629" t="s">
        <v>6508</v>
      </c>
      <c r="D629" t="s">
        <v>3970</v>
      </c>
      <c r="E629" t="s">
        <v>6509</v>
      </c>
      <c r="F629" t="s">
        <v>4345</v>
      </c>
      <c r="G629" t="s">
        <v>6510</v>
      </c>
    </row>
    <row r="630">
      <c r="A630" t="s">
        <v>3254</v>
      </c>
      <c r="B630" t="s">
        <v>6511</v>
      </c>
      <c r="C630" t="s">
        <v>6512</v>
      </c>
      <c r="D630" t="s">
        <v>1585</v>
      </c>
      <c r="E630" t="s">
        <v>6513</v>
      </c>
      <c r="F630" t="s">
        <v>4350</v>
      </c>
      <c r="G630" t="s">
        <v>6514</v>
      </c>
    </row>
    <row r="631">
      <c r="A631" t="s">
        <v>3256</v>
      </c>
      <c r="B631" t="s">
        <v>6515</v>
      </c>
      <c r="C631" t="s">
        <v>6516</v>
      </c>
      <c r="D631" t="s">
        <v>4096</v>
      </c>
      <c r="E631" t="s">
        <v>6517</v>
      </c>
      <c r="F631" t="s">
        <v>4355</v>
      </c>
      <c r="G631" t="s">
        <v>6518</v>
      </c>
    </row>
    <row r="632">
      <c r="A632" t="s">
        <v>3258</v>
      </c>
      <c r="B632" t="s">
        <v>6519</v>
      </c>
      <c r="C632" t="s">
        <v>6520</v>
      </c>
      <c r="D632" t="s">
        <v>4102</v>
      </c>
      <c r="E632" t="s">
        <v>6521</v>
      </c>
      <c r="F632" t="s">
        <v>4360</v>
      </c>
      <c r="G632" t="s">
        <v>6522</v>
      </c>
    </row>
    <row r="633">
      <c r="A633" t="s">
        <v>3260</v>
      </c>
      <c r="B633" t="s">
        <v>6523</v>
      </c>
      <c r="C633" t="s">
        <v>6524</v>
      </c>
      <c r="D633" t="s">
        <v>1592</v>
      </c>
      <c r="E633" t="s">
        <v>5336</v>
      </c>
      <c r="F633" t="s">
        <v>4365</v>
      </c>
      <c r="G633" t="s">
        <v>6525</v>
      </c>
    </row>
    <row r="634">
      <c r="A634" t="s">
        <v>3263</v>
      </c>
      <c r="B634" t="s">
        <v>6526</v>
      </c>
      <c r="C634" t="s">
        <v>6527</v>
      </c>
      <c r="D634" t="s">
        <v>3981</v>
      </c>
      <c r="E634" t="s">
        <v>6528</v>
      </c>
      <c r="F634" t="s">
        <v>4370</v>
      </c>
      <c r="G634" t="s">
        <v>6529</v>
      </c>
    </row>
    <row r="635">
      <c r="A635" t="s">
        <v>3264</v>
      </c>
      <c r="B635" t="s">
        <v>6530</v>
      </c>
      <c r="C635" t="s">
        <v>6531</v>
      </c>
      <c r="D635" t="s">
        <v>4118</v>
      </c>
      <c r="E635" t="s">
        <v>6532</v>
      </c>
      <c r="F635" t="s">
        <v>4375</v>
      </c>
      <c r="G635" t="s">
        <v>6533</v>
      </c>
    </row>
    <row r="636">
      <c r="A636" t="s">
        <v>3266</v>
      </c>
      <c r="B636" t="s">
        <v>6534</v>
      </c>
      <c r="C636" t="s">
        <v>6535</v>
      </c>
      <c r="D636" t="s">
        <v>4124</v>
      </c>
      <c r="E636" t="s">
        <v>6536</v>
      </c>
      <c r="F636" t="s">
        <v>4380</v>
      </c>
      <c r="G636" t="s">
        <v>6537</v>
      </c>
    </row>
    <row r="637">
      <c r="A637" t="s">
        <v>3267</v>
      </c>
      <c r="B637" t="s">
        <v>6538</v>
      </c>
      <c r="C637" t="s">
        <v>6539</v>
      </c>
      <c r="D637" t="s">
        <v>4130</v>
      </c>
      <c r="E637" t="s">
        <v>6540</v>
      </c>
      <c r="F637" t="s">
        <v>4385</v>
      </c>
      <c r="G637" t="s">
        <v>6541</v>
      </c>
    </row>
    <row r="638">
      <c r="A638" t="s">
        <v>3270</v>
      </c>
      <c r="B638" t="s">
        <v>6542</v>
      </c>
      <c r="C638" t="s">
        <v>6543</v>
      </c>
      <c r="D638" t="s">
        <v>3987</v>
      </c>
      <c r="E638" t="s">
        <v>6544</v>
      </c>
      <c r="F638" t="s">
        <v>4390</v>
      </c>
      <c r="G638" t="s">
        <v>6545</v>
      </c>
    </row>
    <row r="639">
      <c r="A639" t="s">
        <v>3271</v>
      </c>
      <c r="B639" t="s">
        <v>6546</v>
      </c>
      <c r="C639" t="s">
        <v>6547</v>
      </c>
      <c r="D639" t="s">
        <v>1606</v>
      </c>
      <c r="E639" t="s">
        <v>4219</v>
      </c>
      <c r="F639" t="s">
        <v>4395</v>
      </c>
      <c r="G639" t="s">
        <v>6548</v>
      </c>
    </row>
    <row r="640">
      <c r="A640" t="s">
        <v>3273</v>
      </c>
      <c r="B640" t="s">
        <v>6549</v>
      </c>
      <c r="C640" t="s">
        <v>6550</v>
      </c>
      <c r="D640" t="s">
        <v>3998</v>
      </c>
      <c r="E640" t="s">
        <v>4856</v>
      </c>
      <c r="F640" t="s">
        <v>4164</v>
      </c>
      <c r="G640" t="s">
        <v>6551</v>
      </c>
    </row>
    <row r="641">
      <c r="A641" t="s">
        <v>3275</v>
      </c>
      <c r="B641" t="s">
        <v>6552</v>
      </c>
      <c r="C641" t="s">
        <v>6553</v>
      </c>
      <c r="D641" t="s">
        <v>1613</v>
      </c>
      <c r="E641" t="s">
        <v>6554</v>
      </c>
      <c r="F641" t="s">
        <v>4185</v>
      </c>
      <c r="G641" t="s">
        <v>6555</v>
      </c>
    </row>
    <row r="642">
      <c r="A642" t="s">
        <v>3277</v>
      </c>
      <c r="B642" t="s">
        <v>6556</v>
      </c>
      <c r="C642" t="s">
        <v>6557</v>
      </c>
      <c r="D642" t="s">
        <v>4156</v>
      </c>
      <c r="E642" t="s">
        <v>6558</v>
      </c>
      <c r="F642" t="s">
        <v>4132</v>
      </c>
      <c r="G642" t="s">
        <v>6559</v>
      </c>
    </row>
    <row r="643">
      <c r="A643" t="s">
        <v>3279</v>
      </c>
      <c r="B643" t="s">
        <v>6560</v>
      </c>
      <c r="C643" t="s">
        <v>6561</v>
      </c>
      <c r="D643" t="s">
        <v>4162</v>
      </c>
      <c r="E643" t="s">
        <v>6562</v>
      </c>
      <c r="F643" t="s">
        <v>4225</v>
      </c>
      <c r="G643" t="s">
        <v>6563</v>
      </c>
    </row>
    <row r="644">
      <c r="A644" t="s">
        <v>3282</v>
      </c>
      <c r="B644" t="s">
        <v>6564</v>
      </c>
      <c r="C644" t="s">
        <v>6565</v>
      </c>
      <c r="D644" t="s">
        <v>4168</v>
      </c>
      <c r="E644" t="s">
        <v>6566</v>
      </c>
      <c r="F644" t="s">
        <v>4215</v>
      </c>
      <c r="G644" t="s">
        <v>6567</v>
      </c>
    </row>
    <row r="645">
      <c r="A645" t="s">
        <v>3283</v>
      </c>
      <c r="B645" t="s">
        <v>6568</v>
      </c>
      <c r="C645" t="s">
        <v>6569</v>
      </c>
      <c r="D645" t="s">
        <v>1620</v>
      </c>
      <c r="E645" t="s">
        <v>6570</v>
      </c>
      <c r="F645" t="s">
        <v>4200</v>
      </c>
      <c r="G645" t="s">
        <v>6571</v>
      </c>
    </row>
    <row r="646">
      <c r="A646" t="s">
        <v>3286</v>
      </c>
      <c r="B646" t="s">
        <v>6572</v>
      </c>
      <c r="C646" t="s">
        <v>6573</v>
      </c>
      <c r="D646" t="s">
        <v>4014</v>
      </c>
      <c r="E646" t="s">
        <v>6574</v>
      </c>
      <c r="F646" t="s">
        <v>4205</v>
      </c>
      <c r="G646" t="s">
        <v>6575</v>
      </c>
    </row>
    <row r="647">
      <c r="A647" t="s">
        <v>3287</v>
      </c>
      <c r="B647" t="s">
        <v>6576</v>
      </c>
      <c r="C647" t="s">
        <v>6577</v>
      </c>
      <c r="D647" t="s">
        <v>4020</v>
      </c>
      <c r="E647" t="s">
        <v>5190</v>
      </c>
      <c r="F647" t="s">
        <v>4210</v>
      </c>
      <c r="G647" t="s">
        <v>6578</v>
      </c>
    </row>
    <row r="648">
      <c r="A648" t="s">
        <v>3289</v>
      </c>
      <c r="B648" t="s">
        <v>6579</v>
      </c>
      <c r="C648" t="s">
        <v>6580</v>
      </c>
      <c r="D648" t="s">
        <v>1557</v>
      </c>
      <c r="E648" t="s">
        <v>5324</v>
      </c>
      <c r="F648" t="s">
        <v>4215</v>
      </c>
      <c r="G648" t="s">
        <v>6581</v>
      </c>
    </row>
    <row r="649">
      <c r="A649" t="s">
        <v>3291</v>
      </c>
      <c r="B649" t="s">
        <v>6582</v>
      </c>
      <c r="C649" t="s">
        <v>6583</v>
      </c>
      <c r="D649" t="s">
        <v>4031</v>
      </c>
      <c r="E649" t="s">
        <v>6584</v>
      </c>
      <c r="F649" t="s">
        <v>4220</v>
      </c>
      <c r="G649" t="s">
        <v>6585</v>
      </c>
    </row>
    <row r="650">
      <c r="A650" t="s">
        <v>3294</v>
      </c>
      <c r="B650" t="s">
        <v>6586</v>
      </c>
      <c r="C650" t="s">
        <v>6587</v>
      </c>
      <c r="D650" t="s">
        <v>4037</v>
      </c>
      <c r="E650" t="s">
        <v>4136</v>
      </c>
      <c r="F650" t="s">
        <v>4225</v>
      </c>
      <c r="G650" t="s">
        <v>6588</v>
      </c>
    </row>
    <row r="651">
      <c r="A651" t="s">
        <v>3295</v>
      </c>
      <c r="B651" t="s">
        <v>6589</v>
      </c>
      <c r="C651" t="s">
        <v>6590</v>
      </c>
      <c r="D651" t="s">
        <v>1699</v>
      </c>
      <c r="E651" t="s">
        <v>4108</v>
      </c>
      <c r="F651" t="s">
        <v>4230</v>
      </c>
      <c r="G651" t="s">
        <v>6591</v>
      </c>
    </row>
    <row r="652">
      <c r="A652" t="s">
        <v>3298</v>
      </c>
      <c r="B652" t="s">
        <v>6592</v>
      </c>
      <c r="C652" t="s">
        <v>6593</v>
      </c>
      <c r="D652" t="s">
        <v>1571</v>
      </c>
      <c r="E652" t="s">
        <v>6594</v>
      </c>
      <c r="F652" t="s">
        <v>4235</v>
      </c>
      <c r="G652" t="s">
        <v>6595</v>
      </c>
    </row>
    <row r="653">
      <c r="A653" t="s">
        <v>3299</v>
      </c>
      <c r="B653" t="s">
        <v>6596</v>
      </c>
      <c r="C653" t="s">
        <v>6597</v>
      </c>
      <c r="D653" t="s">
        <v>4053</v>
      </c>
      <c r="E653" t="s">
        <v>4931</v>
      </c>
      <c r="F653" t="s">
        <v>4240</v>
      </c>
      <c r="G653" t="s">
        <v>6598</v>
      </c>
    </row>
    <row r="654">
      <c r="A654" t="s">
        <v>3302</v>
      </c>
      <c r="B654" t="s">
        <v>6599</v>
      </c>
      <c r="C654" t="s">
        <v>5369</v>
      </c>
      <c r="D654" t="s">
        <v>4059</v>
      </c>
      <c r="E654" t="s">
        <v>5803</v>
      </c>
      <c r="F654" t="s">
        <v>4245</v>
      </c>
      <c r="G654" t="s">
        <v>6600</v>
      </c>
    </row>
    <row r="655">
      <c r="A655" t="s">
        <v>3304</v>
      </c>
      <c r="B655" t="s">
        <v>6601</v>
      </c>
      <c r="C655" t="s">
        <v>6602</v>
      </c>
      <c r="D655" t="s">
        <v>4065</v>
      </c>
      <c r="E655" t="s">
        <v>6603</v>
      </c>
      <c r="F655" t="s">
        <v>4250</v>
      </c>
      <c r="G655" t="s">
        <v>6604</v>
      </c>
    </row>
    <row r="656">
      <c r="A656" t="s">
        <v>3307</v>
      </c>
      <c r="B656" t="s">
        <v>6605</v>
      </c>
      <c r="C656" t="s">
        <v>6606</v>
      </c>
      <c r="D656" t="s">
        <v>1578</v>
      </c>
      <c r="E656" t="s">
        <v>6607</v>
      </c>
      <c r="F656" t="s">
        <v>4255</v>
      </c>
      <c r="G656" t="s">
        <v>6608</v>
      </c>
    </row>
    <row r="657">
      <c r="A657" t="s">
        <v>3308</v>
      </c>
      <c r="B657" t="s">
        <v>6609</v>
      </c>
      <c r="C657" t="s">
        <v>6610</v>
      </c>
      <c r="D657" t="s">
        <v>1647</v>
      </c>
      <c r="E657" t="s">
        <v>6611</v>
      </c>
      <c r="F657" t="s">
        <v>4260</v>
      </c>
      <c r="G657" t="s">
        <v>6612</v>
      </c>
    </row>
    <row r="658">
      <c r="A658" t="s">
        <v>3310</v>
      </c>
      <c r="B658" t="s">
        <v>6613</v>
      </c>
      <c r="C658" t="s">
        <v>6614</v>
      </c>
      <c r="D658" t="s">
        <v>3964</v>
      </c>
      <c r="E658" t="s">
        <v>6615</v>
      </c>
      <c r="F658" t="s">
        <v>4265</v>
      </c>
      <c r="G658" t="s">
        <v>6616</v>
      </c>
    </row>
    <row r="659">
      <c r="A659" t="s">
        <v>3311</v>
      </c>
      <c r="B659" t="s">
        <v>6617</v>
      </c>
      <c r="C659" t="s">
        <v>6618</v>
      </c>
      <c r="D659" t="s">
        <v>3970</v>
      </c>
      <c r="E659" t="s">
        <v>6619</v>
      </c>
      <c r="F659" t="s">
        <v>4270</v>
      </c>
      <c r="G659" t="s">
        <v>6620</v>
      </c>
    </row>
    <row r="660">
      <c r="A660" t="s">
        <v>3313</v>
      </c>
      <c r="B660" t="s">
        <v>6621</v>
      </c>
      <c r="C660" t="s">
        <v>6622</v>
      </c>
      <c r="D660" t="s">
        <v>1585</v>
      </c>
      <c r="E660" t="s">
        <v>6623</v>
      </c>
      <c r="F660" t="s">
        <v>4275</v>
      </c>
      <c r="G660" t="s">
        <v>6624</v>
      </c>
    </row>
    <row r="661">
      <c r="A661" t="s">
        <v>3314</v>
      </c>
      <c r="B661" t="s">
        <v>6625</v>
      </c>
      <c r="C661" t="s">
        <v>6626</v>
      </c>
      <c r="D661" t="s">
        <v>4096</v>
      </c>
      <c r="E661" t="s">
        <v>6627</v>
      </c>
      <c r="F661" t="s">
        <v>4280</v>
      </c>
      <c r="G661" t="s">
        <v>6628</v>
      </c>
    </row>
    <row r="662">
      <c r="A662" t="s">
        <v>3317</v>
      </c>
      <c r="B662" t="s">
        <v>6629</v>
      </c>
      <c r="C662" t="s">
        <v>6630</v>
      </c>
      <c r="D662" t="s">
        <v>4102</v>
      </c>
      <c r="E662" t="s">
        <v>6631</v>
      </c>
      <c r="F662" t="s">
        <v>4285</v>
      </c>
      <c r="G662" t="s">
        <v>6632</v>
      </c>
    </row>
    <row r="663">
      <c r="A663" t="s">
        <v>3319</v>
      </c>
      <c r="B663" t="s">
        <v>6633</v>
      </c>
      <c r="C663" t="s">
        <v>6634</v>
      </c>
      <c r="D663" t="s">
        <v>1592</v>
      </c>
      <c r="E663" t="s">
        <v>6635</v>
      </c>
      <c r="F663" t="s">
        <v>4290</v>
      </c>
      <c r="G663" t="s">
        <v>6636</v>
      </c>
    </row>
    <row r="664">
      <c r="A664" t="s">
        <v>3321</v>
      </c>
      <c r="B664" t="s">
        <v>6637</v>
      </c>
      <c r="C664" t="s">
        <v>6638</v>
      </c>
      <c r="D664" t="s">
        <v>3981</v>
      </c>
      <c r="E664" t="s">
        <v>6639</v>
      </c>
      <c r="F664" t="s">
        <v>4295</v>
      </c>
      <c r="G664" t="s">
        <v>6640</v>
      </c>
    </row>
    <row r="665">
      <c r="A665" t="s">
        <v>3323</v>
      </c>
      <c r="B665" t="s">
        <v>6641</v>
      </c>
      <c r="C665" t="s">
        <v>6642</v>
      </c>
      <c r="D665" t="s">
        <v>4118</v>
      </c>
      <c r="E665" t="s">
        <v>6643</v>
      </c>
      <c r="F665" t="s">
        <v>4300</v>
      </c>
      <c r="G665" t="s">
        <v>6644</v>
      </c>
    </row>
    <row r="666">
      <c r="A666" t="s">
        <v>3325</v>
      </c>
      <c r="B666" t="s">
        <v>6645</v>
      </c>
      <c r="C666" t="s">
        <v>6646</v>
      </c>
      <c r="D666" t="s">
        <v>4124</v>
      </c>
      <c r="E666" t="s">
        <v>6647</v>
      </c>
      <c r="F666" t="s">
        <v>4305</v>
      </c>
      <c r="G666" t="s">
        <v>6648</v>
      </c>
    </row>
    <row r="667">
      <c r="A667" t="s">
        <v>3326</v>
      </c>
      <c r="B667" t="s">
        <v>6649</v>
      </c>
      <c r="C667" t="s">
        <v>6650</v>
      </c>
      <c r="D667" t="s">
        <v>4130</v>
      </c>
      <c r="E667" t="s">
        <v>6651</v>
      </c>
      <c r="F667" t="s">
        <v>4310</v>
      </c>
      <c r="G667" t="s">
        <v>6652</v>
      </c>
    </row>
    <row r="668">
      <c r="A668" t="s">
        <v>3329</v>
      </c>
      <c r="B668" t="s">
        <v>6653</v>
      </c>
      <c r="C668" t="s">
        <v>6654</v>
      </c>
      <c r="D668" t="s">
        <v>3987</v>
      </c>
      <c r="E668" t="s">
        <v>6655</v>
      </c>
      <c r="F668" t="s">
        <v>4315</v>
      </c>
      <c r="G668" t="s">
        <v>6656</v>
      </c>
    </row>
    <row r="669">
      <c r="A669" t="s">
        <v>3330</v>
      </c>
      <c r="B669" t="s">
        <v>6657</v>
      </c>
      <c r="C669" t="s">
        <v>6658</v>
      </c>
      <c r="D669" t="s">
        <v>1606</v>
      </c>
      <c r="E669" t="s">
        <v>6659</v>
      </c>
      <c r="F669" t="s">
        <v>4320</v>
      </c>
      <c r="G669" t="s">
        <v>6660</v>
      </c>
    </row>
    <row r="670">
      <c r="A670" t="s">
        <v>3333</v>
      </c>
      <c r="B670" t="s">
        <v>6661</v>
      </c>
      <c r="C670" t="s">
        <v>6662</v>
      </c>
      <c r="D670" t="s">
        <v>3998</v>
      </c>
      <c r="E670" t="s">
        <v>4463</v>
      </c>
      <c r="F670" t="s">
        <v>4325</v>
      </c>
      <c r="G670" t="s">
        <v>6663</v>
      </c>
    </row>
    <row r="671">
      <c r="A671" t="s">
        <v>3334</v>
      </c>
      <c r="B671" t="s">
        <v>6664</v>
      </c>
      <c r="C671" t="s">
        <v>6665</v>
      </c>
      <c r="D671" t="s">
        <v>1613</v>
      </c>
      <c r="E671" t="s">
        <v>6666</v>
      </c>
      <c r="F671" t="s">
        <v>4330</v>
      </c>
      <c r="G671" t="s">
        <v>6667</v>
      </c>
    </row>
    <row r="672">
      <c r="A672" t="s">
        <v>3336</v>
      </c>
      <c r="B672" t="s">
        <v>6668</v>
      </c>
      <c r="C672" t="s">
        <v>6669</v>
      </c>
      <c r="D672" t="s">
        <v>4156</v>
      </c>
      <c r="E672" t="s">
        <v>6670</v>
      </c>
      <c r="F672" t="s">
        <v>4335</v>
      </c>
      <c r="G672" t="s">
        <v>6671</v>
      </c>
    </row>
    <row r="673">
      <c r="A673" t="s">
        <v>3338</v>
      </c>
      <c r="B673" t="s">
        <v>6672</v>
      </c>
      <c r="C673" t="s">
        <v>6673</v>
      </c>
      <c r="D673" t="s">
        <v>4162</v>
      </c>
      <c r="E673" t="s">
        <v>6674</v>
      </c>
      <c r="F673" t="s">
        <v>4340</v>
      </c>
      <c r="G673" t="s">
        <v>6675</v>
      </c>
    </row>
    <row r="674">
      <c r="A674" t="s">
        <v>3340</v>
      </c>
      <c r="B674" t="s">
        <v>6676</v>
      </c>
      <c r="C674" t="s">
        <v>6677</v>
      </c>
      <c r="D674" t="s">
        <v>4168</v>
      </c>
      <c r="E674" t="s">
        <v>6678</v>
      </c>
      <c r="F674" t="s">
        <v>4345</v>
      </c>
      <c r="G674" t="s">
        <v>6679</v>
      </c>
    </row>
    <row r="675">
      <c r="A675" t="s">
        <v>3342</v>
      </c>
      <c r="B675" t="s">
        <v>6680</v>
      </c>
      <c r="C675" t="s">
        <v>6681</v>
      </c>
      <c r="D675" t="s">
        <v>1620</v>
      </c>
      <c r="E675" t="s">
        <v>6682</v>
      </c>
      <c r="F675" t="s">
        <v>4350</v>
      </c>
      <c r="G675" t="s">
        <v>6683</v>
      </c>
    </row>
    <row r="676">
      <c r="A676" t="s">
        <v>3344</v>
      </c>
      <c r="B676" t="s">
        <v>6684</v>
      </c>
      <c r="C676" t="s">
        <v>6685</v>
      </c>
      <c r="D676" t="s">
        <v>4014</v>
      </c>
      <c r="E676" t="s">
        <v>6686</v>
      </c>
      <c r="F676" t="s">
        <v>4355</v>
      </c>
      <c r="G676" t="s">
        <v>6687</v>
      </c>
    </row>
    <row r="677">
      <c r="A677" t="s">
        <v>3346</v>
      </c>
      <c r="B677" t="s">
        <v>6688</v>
      </c>
      <c r="C677" t="s">
        <v>6689</v>
      </c>
      <c r="D677" t="s">
        <v>4020</v>
      </c>
      <c r="E677" t="s">
        <v>6690</v>
      </c>
      <c r="F677" t="s">
        <v>4360</v>
      </c>
      <c r="G677" t="s">
        <v>6691</v>
      </c>
    </row>
    <row r="678">
      <c r="A678" t="s">
        <v>3349</v>
      </c>
      <c r="B678" t="s">
        <v>6692</v>
      </c>
      <c r="C678" t="s">
        <v>6693</v>
      </c>
      <c r="D678" t="s">
        <v>1557</v>
      </c>
      <c r="E678" t="s">
        <v>6694</v>
      </c>
      <c r="F678" t="s">
        <v>4365</v>
      </c>
      <c r="G678" t="s">
        <v>6695</v>
      </c>
    </row>
    <row r="679">
      <c r="A679" t="s">
        <v>3351</v>
      </c>
      <c r="B679" t="s">
        <v>6696</v>
      </c>
      <c r="C679" t="s">
        <v>6697</v>
      </c>
      <c r="D679" t="s">
        <v>4031</v>
      </c>
      <c r="E679" t="s">
        <v>6698</v>
      </c>
      <c r="F679" t="s">
        <v>4370</v>
      </c>
      <c r="G679" t="s">
        <v>6699</v>
      </c>
    </row>
    <row r="680">
      <c r="A680" t="s">
        <v>3354</v>
      </c>
      <c r="B680" t="s">
        <v>6700</v>
      </c>
      <c r="C680" t="s">
        <v>6701</v>
      </c>
      <c r="D680" t="s">
        <v>4037</v>
      </c>
      <c r="E680" t="s">
        <v>6702</v>
      </c>
      <c r="F680" t="s">
        <v>4375</v>
      </c>
      <c r="G680" t="s">
        <v>6703</v>
      </c>
    </row>
    <row r="681">
      <c r="A681" t="s">
        <v>3355</v>
      </c>
      <c r="B681" t="s">
        <v>6704</v>
      </c>
      <c r="C681" t="s">
        <v>6705</v>
      </c>
      <c r="D681" t="s">
        <v>1699</v>
      </c>
      <c r="E681" t="s">
        <v>6706</v>
      </c>
      <c r="F681" t="s">
        <v>4380</v>
      </c>
      <c r="G681" t="s">
        <v>6707</v>
      </c>
    </row>
    <row r="682">
      <c r="A682" t="s">
        <v>3357</v>
      </c>
      <c r="B682" t="s">
        <v>6708</v>
      </c>
      <c r="C682" t="s">
        <v>6709</v>
      </c>
      <c r="D682" t="s">
        <v>1571</v>
      </c>
      <c r="E682" t="s">
        <v>6710</v>
      </c>
      <c r="F682" t="s">
        <v>4385</v>
      </c>
      <c r="G682" t="s">
        <v>6711</v>
      </c>
    </row>
    <row r="683">
      <c r="A683" t="s">
        <v>3358</v>
      </c>
      <c r="B683" t="s">
        <v>6712</v>
      </c>
      <c r="C683" t="s">
        <v>6713</v>
      </c>
      <c r="D683" t="s">
        <v>4053</v>
      </c>
      <c r="E683" t="s">
        <v>6714</v>
      </c>
      <c r="F683" t="s">
        <v>4390</v>
      </c>
      <c r="G683" t="s">
        <v>6715</v>
      </c>
    </row>
    <row r="684">
      <c r="A684" t="s">
        <v>3361</v>
      </c>
      <c r="B684" t="s">
        <v>6716</v>
      </c>
      <c r="C684" t="s">
        <v>6717</v>
      </c>
      <c r="D684" t="s">
        <v>4059</v>
      </c>
      <c r="E684" t="s">
        <v>6718</v>
      </c>
      <c r="F684" t="s">
        <v>4395</v>
      </c>
      <c r="G684" t="s">
        <v>6719</v>
      </c>
    </row>
    <row r="685">
      <c r="A685" t="s">
        <v>3363</v>
      </c>
      <c r="B685" t="s">
        <v>6720</v>
      </c>
      <c r="C685" t="s">
        <v>6721</v>
      </c>
      <c r="D685" t="s">
        <v>4065</v>
      </c>
      <c r="E685" t="s">
        <v>6722</v>
      </c>
      <c r="F685" t="s">
        <v>4164</v>
      </c>
      <c r="G685" t="s">
        <v>6723</v>
      </c>
    </row>
    <row r="686">
      <c r="A686" t="s">
        <v>3365</v>
      </c>
      <c r="B686" t="s">
        <v>6724</v>
      </c>
      <c r="C686" t="s">
        <v>6725</v>
      </c>
      <c r="D686" t="s">
        <v>1578</v>
      </c>
      <c r="E686" t="s">
        <v>6726</v>
      </c>
      <c r="F686" t="s">
        <v>4185</v>
      </c>
      <c r="G686" t="s">
        <v>6727</v>
      </c>
    </row>
    <row r="687">
      <c r="A687" t="s">
        <v>3366</v>
      </c>
      <c r="B687" t="s">
        <v>6728</v>
      </c>
      <c r="C687" t="s">
        <v>6729</v>
      </c>
      <c r="D687" t="s">
        <v>1647</v>
      </c>
      <c r="E687" t="s">
        <v>6730</v>
      </c>
      <c r="F687" t="s">
        <v>4132</v>
      </c>
      <c r="G687" t="s">
        <v>6731</v>
      </c>
    </row>
    <row r="688">
      <c r="A688" t="s">
        <v>3368</v>
      </c>
      <c r="B688" t="s">
        <v>6732</v>
      </c>
      <c r="C688" t="s">
        <v>6733</v>
      </c>
      <c r="D688" t="s">
        <v>3964</v>
      </c>
      <c r="E688" t="s">
        <v>6734</v>
      </c>
      <c r="F688" t="s">
        <v>4225</v>
      </c>
      <c r="G688" t="s">
        <v>6735</v>
      </c>
    </row>
    <row r="689">
      <c r="A689" t="s">
        <v>3370</v>
      </c>
      <c r="B689" t="s">
        <v>6736</v>
      </c>
      <c r="C689" t="s">
        <v>6737</v>
      </c>
      <c r="D689" t="s">
        <v>3970</v>
      </c>
      <c r="E689" t="s">
        <v>6738</v>
      </c>
      <c r="F689" t="s">
        <v>4215</v>
      </c>
      <c r="G689" t="s">
        <v>6739</v>
      </c>
    </row>
    <row r="690">
      <c r="A690" t="s">
        <v>3373</v>
      </c>
      <c r="B690" t="s">
        <v>6740</v>
      </c>
      <c r="C690" t="s">
        <v>6741</v>
      </c>
      <c r="D690" t="s">
        <v>1585</v>
      </c>
      <c r="E690" t="s">
        <v>4720</v>
      </c>
      <c r="F690" t="s">
        <v>4200</v>
      </c>
      <c r="G690" t="s">
        <v>6742</v>
      </c>
    </row>
    <row r="691">
      <c r="A691" t="s">
        <v>3374</v>
      </c>
      <c r="B691" t="s">
        <v>6743</v>
      </c>
      <c r="C691" t="s">
        <v>6744</v>
      </c>
      <c r="D691" t="s">
        <v>4096</v>
      </c>
      <c r="E691" t="s">
        <v>6745</v>
      </c>
      <c r="F691" t="s">
        <v>4205</v>
      </c>
      <c r="G691" t="s">
        <v>6746</v>
      </c>
    </row>
    <row r="692">
      <c r="A692" t="s">
        <v>3377</v>
      </c>
      <c r="B692" t="s">
        <v>6747</v>
      </c>
      <c r="C692" t="s">
        <v>6748</v>
      </c>
      <c r="D692" t="s">
        <v>4102</v>
      </c>
      <c r="E692" t="s">
        <v>6749</v>
      </c>
      <c r="F692" t="s">
        <v>4210</v>
      </c>
      <c r="G692" t="s">
        <v>6750</v>
      </c>
    </row>
    <row r="693">
      <c r="A693" t="s">
        <v>3378</v>
      </c>
      <c r="B693" t="s">
        <v>6751</v>
      </c>
      <c r="C693" t="s">
        <v>6752</v>
      </c>
      <c r="D693" t="s">
        <v>1592</v>
      </c>
      <c r="E693" t="s">
        <v>6753</v>
      </c>
      <c r="F693" t="s">
        <v>4215</v>
      </c>
      <c r="G693" t="s">
        <v>6754</v>
      </c>
    </row>
    <row r="694">
      <c r="A694" t="s">
        <v>3380</v>
      </c>
      <c r="B694" t="s">
        <v>6755</v>
      </c>
      <c r="C694" t="s">
        <v>6756</v>
      </c>
      <c r="D694" t="s">
        <v>3981</v>
      </c>
      <c r="E694" t="s">
        <v>6757</v>
      </c>
      <c r="F694" t="s">
        <v>4220</v>
      </c>
      <c r="G694" t="s">
        <v>6758</v>
      </c>
    </row>
    <row r="695">
      <c r="A695" t="s">
        <v>3381</v>
      </c>
      <c r="B695" t="s">
        <v>6759</v>
      </c>
      <c r="C695" t="s">
        <v>6760</v>
      </c>
      <c r="D695" t="s">
        <v>4118</v>
      </c>
      <c r="E695" t="s">
        <v>6761</v>
      </c>
      <c r="F695" t="s">
        <v>4225</v>
      </c>
      <c r="G695" t="s">
        <v>6762</v>
      </c>
    </row>
    <row r="696">
      <c r="A696" t="s">
        <v>3383</v>
      </c>
      <c r="B696" t="s">
        <v>6763</v>
      </c>
      <c r="C696" t="s">
        <v>6764</v>
      </c>
      <c r="D696" t="s">
        <v>4124</v>
      </c>
      <c r="E696" t="s">
        <v>6765</v>
      </c>
      <c r="F696" t="s">
        <v>4230</v>
      </c>
      <c r="G696" t="s">
        <v>6766</v>
      </c>
    </row>
    <row r="697">
      <c r="A697" t="s">
        <v>3385</v>
      </c>
      <c r="B697" t="s">
        <v>6767</v>
      </c>
      <c r="C697" t="s">
        <v>6768</v>
      </c>
      <c r="D697" t="s">
        <v>4130</v>
      </c>
      <c r="E697" t="s">
        <v>6769</v>
      </c>
      <c r="F697" t="s">
        <v>4235</v>
      </c>
      <c r="G697" t="s">
        <v>6770</v>
      </c>
    </row>
    <row r="698">
      <c r="A698" t="s">
        <v>3387</v>
      </c>
      <c r="B698" t="s">
        <v>6771</v>
      </c>
      <c r="C698" t="s">
        <v>6772</v>
      </c>
      <c r="D698" t="s">
        <v>3987</v>
      </c>
      <c r="E698" t="s">
        <v>6773</v>
      </c>
      <c r="F698" t="s">
        <v>4240</v>
      </c>
      <c r="G698" t="s">
        <v>6774</v>
      </c>
    </row>
    <row r="699">
      <c r="A699" t="s">
        <v>3388</v>
      </c>
      <c r="B699" t="s">
        <v>6775</v>
      </c>
      <c r="C699" t="s">
        <v>6776</v>
      </c>
      <c r="D699" t="s">
        <v>1606</v>
      </c>
      <c r="E699" t="s">
        <v>6777</v>
      </c>
      <c r="F699" t="s">
        <v>4245</v>
      </c>
      <c r="G699" t="s">
        <v>6778</v>
      </c>
    </row>
    <row r="700">
      <c r="A700" t="s">
        <v>3391</v>
      </c>
      <c r="B700" t="s">
        <v>6779</v>
      </c>
      <c r="C700" t="s">
        <v>6780</v>
      </c>
      <c r="D700" t="s">
        <v>3998</v>
      </c>
      <c r="E700" t="s">
        <v>6781</v>
      </c>
      <c r="F700" t="s">
        <v>4250</v>
      </c>
      <c r="G700" t="s">
        <v>6782</v>
      </c>
    </row>
    <row r="701">
      <c r="A701" t="s">
        <v>3392</v>
      </c>
      <c r="B701" t="s">
        <v>6783</v>
      </c>
      <c r="C701" t="s">
        <v>6784</v>
      </c>
      <c r="D701" t="s">
        <v>1613</v>
      </c>
      <c r="E701" t="s">
        <v>6785</v>
      </c>
      <c r="F701" t="s">
        <v>4255</v>
      </c>
      <c r="G701" t="s">
        <v>6786</v>
      </c>
    </row>
    <row r="702">
      <c r="A702" t="s">
        <v>3395</v>
      </c>
      <c r="B702" t="s">
        <v>6787</v>
      </c>
      <c r="C702" t="s">
        <v>6788</v>
      </c>
      <c r="D702" t="s">
        <v>4156</v>
      </c>
      <c r="E702" t="s">
        <v>6789</v>
      </c>
      <c r="F702" t="s">
        <v>4260</v>
      </c>
      <c r="G702" t="s">
        <v>6790</v>
      </c>
    </row>
    <row r="703">
      <c r="A703" t="s">
        <v>3396</v>
      </c>
      <c r="B703" t="s">
        <v>6791</v>
      </c>
      <c r="C703" t="s">
        <v>6792</v>
      </c>
      <c r="D703" t="s">
        <v>4162</v>
      </c>
      <c r="E703" t="s">
        <v>6793</v>
      </c>
      <c r="F703" t="s">
        <v>4265</v>
      </c>
      <c r="G703" t="s">
        <v>6794</v>
      </c>
    </row>
    <row r="704">
      <c r="A704" t="s">
        <v>3398</v>
      </c>
      <c r="B704" t="s">
        <v>6795</v>
      </c>
      <c r="C704" t="s">
        <v>6796</v>
      </c>
      <c r="D704" t="s">
        <v>4168</v>
      </c>
      <c r="E704" t="s">
        <v>6797</v>
      </c>
      <c r="F704" t="s">
        <v>4270</v>
      </c>
      <c r="G704" t="s">
        <v>6798</v>
      </c>
    </row>
    <row r="705">
      <c r="A705" t="s">
        <v>3399</v>
      </c>
      <c r="B705" t="s">
        <v>6799</v>
      </c>
      <c r="C705" t="s">
        <v>6800</v>
      </c>
      <c r="D705" t="s">
        <v>1620</v>
      </c>
      <c r="E705" t="s">
        <v>6801</v>
      </c>
      <c r="F705" t="s">
        <v>4275</v>
      </c>
      <c r="G705" t="s">
        <v>6802</v>
      </c>
    </row>
    <row r="706">
      <c r="A706" t="s">
        <v>3402</v>
      </c>
      <c r="B706" t="s">
        <v>6803</v>
      </c>
      <c r="C706" t="s">
        <v>6804</v>
      </c>
      <c r="D706" t="s">
        <v>4014</v>
      </c>
      <c r="E706" t="s">
        <v>6805</v>
      </c>
      <c r="F706" t="s">
        <v>4280</v>
      </c>
      <c r="G706" t="s">
        <v>6806</v>
      </c>
    </row>
    <row r="707">
      <c r="A707" t="s">
        <v>3403</v>
      </c>
      <c r="B707" t="s">
        <v>6807</v>
      </c>
      <c r="C707" t="s">
        <v>6808</v>
      </c>
      <c r="D707" t="s">
        <v>4020</v>
      </c>
      <c r="E707" t="s">
        <v>6809</v>
      </c>
      <c r="F707" t="s">
        <v>4285</v>
      </c>
      <c r="G707" t="s">
        <v>6810</v>
      </c>
    </row>
    <row r="708">
      <c r="A708" t="s">
        <v>3406</v>
      </c>
      <c r="B708" t="s">
        <v>6811</v>
      </c>
      <c r="C708" t="s">
        <v>6812</v>
      </c>
      <c r="D708" t="s">
        <v>1557</v>
      </c>
      <c r="E708" t="s">
        <v>6813</v>
      </c>
      <c r="F708" t="s">
        <v>4290</v>
      </c>
      <c r="G708" t="s">
        <v>6814</v>
      </c>
    </row>
    <row r="709">
      <c r="A709" t="s">
        <v>3407</v>
      </c>
      <c r="B709" t="s">
        <v>6815</v>
      </c>
      <c r="C709" t="s">
        <v>6816</v>
      </c>
      <c r="D709" t="s">
        <v>4031</v>
      </c>
      <c r="E709" t="s">
        <v>4760</v>
      </c>
      <c r="F709" t="s">
        <v>4295</v>
      </c>
      <c r="G709" t="s">
        <v>6817</v>
      </c>
    </row>
    <row r="710">
      <c r="A710" t="s">
        <v>3409</v>
      </c>
      <c r="B710" t="s">
        <v>6818</v>
      </c>
      <c r="C710" t="s">
        <v>6819</v>
      </c>
      <c r="D710" t="s">
        <v>4037</v>
      </c>
      <c r="E710" t="s">
        <v>6820</v>
      </c>
      <c r="F710" t="s">
        <v>4300</v>
      </c>
      <c r="G710" t="s">
        <v>6821</v>
      </c>
    </row>
    <row r="711">
      <c r="A711" t="s">
        <v>3410</v>
      </c>
      <c r="B711" t="s">
        <v>6822</v>
      </c>
      <c r="C711" t="s">
        <v>6823</v>
      </c>
      <c r="D711" t="s">
        <v>1699</v>
      </c>
      <c r="E711" t="s">
        <v>6824</v>
      </c>
      <c r="F711" t="s">
        <v>4305</v>
      </c>
      <c r="G711" t="s">
        <v>6825</v>
      </c>
    </row>
    <row r="712">
      <c r="A712" t="s">
        <v>3412</v>
      </c>
      <c r="B712" t="s">
        <v>6826</v>
      </c>
      <c r="C712" t="s">
        <v>6827</v>
      </c>
      <c r="D712" t="s">
        <v>1571</v>
      </c>
      <c r="E712" t="s">
        <v>6828</v>
      </c>
      <c r="F712" t="s">
        <v>4310</v>
      </c>
      <c r="G712" t="s">
        <v>6829</v>
      </c>
    </row>
    <row r="713">
      <c r="A713" t="s">
        <v>3414</v>
      </c>
      <c r="B713" t="s">
        <v>6830</v>
      </c>
      <c r="C713" t="s">
        <v>6831</v>
      </c>
      <c r="D713" t="s">
        <v>4053</v>
      </c>
      <c r="E713" t="s">
        <v>6832</v>
      </c>
      <c r="F713" t="s">
        <v>4315</v>
      </c>
      <c r="G713" t="s">
        <v>6833</v>
      </c>
    </row>
    <row r="714">
      <c r="A714" t="s">
        <v>3417</v>
      </c>
      <c r="B714" t="s">
        <v>6834</v>
      </c>
      <c r="C714" t="s">
        <v>6835</v>
      </c>
      <c r="D714" t="s">
        <v>4059</v>
      </c>
      <c r="E714" t="s">
        <v>6836</v>
      </c>
      <c r="F714" t="s">
        <v>4320</v>
      </c>
      <c r="G714" t="s">
        <v>6837</v>
      </c>
    </row>
    <row r="715">
      <c r="A715" t="s">
        <v>3418</v>
      </c>
      <c r="B715" t="s">
        <v>6838</v>
      </c>
      <c r="C715" t="s">
        <v>6839</v>
      </c>
      <c r="D715" t="s">
        <v>4065</v>
      </c>
      <c r="E715" t="s">
        <v>6840</v>
      </c>
      <c r="F715" t="s">
        <v>4325</v>
      </c>
      <c r="G715" t="s">
        <v>6841</v>
      </c>
    </row>
    <row r="716">
      <c r="A716" t="s">
        <v>3420</v>
      </c>
      <c r="B716" t="s">
        <v>6842</v>
      </c>
      <c r="C716" t="s">
        <v>6843</v>
      </c>
      <c r="D716" t="s">
        <v>1578</v>
      </c>
      <c r="E716" t="s">
        <v>6844</v>
      </c>
      <c r="F716" t="s">
        <v>4330</v>
      </c>
      <c r="G716" t="s">
        <v>6845</v>
      </c>
    </row>
    <row r="717">
      <c r="A717" t="s">
        <v>3422</v>
      </c>
      <c r="B717" t="s">
        <v>6846</v>
      </c>
      <c r="C717" t="s">
        <v>6847</v>
      </c>
      <c r="D717" t="s">
        <v>1647</v>
      </c>
      <c r="E717" t="s">
        <v>6848</v>
      </c>
      <c r="F717" t="s">
        <v>4335</v>
      </c>
      <c r="G717" t="s">
        <v>6849</v>
      </c>
    </row>
    <row r="718">
      <c r="A718" t="s">
        <v>3424</v>
      </c>
      <c r="B718" t="s">
        <v>6850</v>
      </c>
      <c r="C718" t="s">
        <v>6851</v>
      </c>
      <c r="D718" t="s">
        <v>3964</v>
      </c>
      <c r="E718" t="s">
        <v>6852</v>
      </c>
      <c r="F718" t="s">
        <v>4340</v>
      </c>
      <c r="G718" t="s">
        <v>6853</v>
      </c>
    </row>
    <row r="719">
      <c r="A719" t="s">
        <v>3425</v>
      </c>
      <c r="B719" t="s">
        <v>6854</v>
      </c>
      <c r="C719" t="s">
        <v>6855</v>
      </c>
      <c r="D719" t="s">
        <v>3970</v>
      </c>
      <c r="E719" t="s">
        <v>6856</v>
      </c>
      <c r="F719" t="s">
        <v>4345</v>
      </c>
      <c r="G719" t="s">
        <v>6857</v>
      </c>
    </row>
    <row r="720">
      <c r="A720" t="s">
        <v>3428</v>
      </c>
      <c r="B720" t="s">
        <v>6858</v>
      </c>
      <c r="C720" t="s">
        <v>6859</v>
      </c>
      <c r="D720" t="s">
        <v>1585</v>
      </c>
      <c r="E720" t="s">
        <v>6860</v>
      </c>
      <c r="F720" t="s">
        <v>4350</v>
      </c>
      <c r="G720" t="s">
        <v>6861</v>
      </c>
    </row>
    <row r="721">
      <c r="A721" t="s">
        <v>3429</v>
      </c>
      <c r="B721" t="s">
        <v>6862</v>
      </c>
      <c r="C721" t="s">
        <v>6863</v>
      </c>
      <c r="D721" t="s">
        <v>4096</v>
      </c>
      <c r="E721" t="s">
        <v>6864</v>
      </c>
      <c r="F721" t="s">
        <v>4355</v>
      </c>
      <c r="G721" t="s">
        <v>6865</v>
      </c>
    </row>
    <row r="722">
      <c r="A722" t="s">
        <v>3431</v>
      </c>
      <c r="B722" t="s">
        <v>6866</v>
      </c>
      <c r="C722" t="s">
        <v>6867</v>
      </c>
      <c r="D722" t="s">
        <v>4102</v>
      </c>
      <c r="E722" t="s">
        <v>6868</v>
      </c>
      <c r="F722" t="s">
        <v>4360</v>
      </c>
      <c r="G722" t="s">
        <v>6869</v>
      </c>
    </row>
    <row r="723">
      <c r="A723" t="s">
        <v>3433</v>
      </c>
      <c r="B723" t="s">
        <v>6870</v>
      </c>
      <c r="C723" t="s">
        <v>6871</v>
      </c>
      <c r="D723" t="s">
        <v>1592</v>
      </c>
      <c r="E723" t="s">
        <v>6872</v>
      </c>
      <c r="F723" t="s">
        <v>4365</v>
      </c>
      <c r="G723" t="s">
        <v>6873</v>
      </c>
    </row>
    <row r="724">
      <c r="A724" t="s">
        <v>3435</v>
      </c>
      <c r="B724" t="s">
        <v>6874</v>
      </c>
      <c r="C724" t="s">
        <v>6875</v>
      </c>
      <c r="D724" t="s">
        <v>3981</v>
      </c>
      <c r="E724" t="s">
        <v>6876</v>
      </c>
      <c r="F724" t="s">
        <v>4370</v>
      </c>
      <c r="G724" t="s">
        <v>6877</v>
      </c>
    </row>
    <row r="725">
      <c r="A725" t="s">
        <v>3436</v>
      </c>
      <c r="B725" t="s">
        <v>6878</v>
      </c>
      <c r="C725" t="s">
        <v>4036</v>
      </c>
      <c r="D725" t="s">
        <v>4118</v>
      </c>
      <c r="E725" t="s">
        <v>6879</v>
      </c>
      <c r="F725" t="s">
        <v>4375</v>
      </c>
      <c r="G725" t="s">
        <v>6880</v>
      </c>
    </row>
    <row r="726">
      <c r="A726" t="s">
        <v>3439</v>
      </c>
      <c r="B726" t="s">
        <v>6881</v>
      </c>
      <c r="C726" t="s">
        <v>6882</v>
      </c>
      <c r="D726" t="s">
        <v>4124</v>
      </c>
      <c r="E726" t="s">
        <v>6883</v>
      </c>
      <c r="F726" t="s">
        <v>4380</v>
      </c>
      <c r="G726" t="s">
        <v>6884</v>
      </c>
    </row>
    <row r="727">
      <c r="A727" t="s">
        <v>3440</v>
      </c>
      <c r="B727" t="s">
        <v>6885</v>
      </c>
      <c r="C727" t="s">
        <v>6886</v>
      </c>
      <c r="D727" t="s">
        <v>4130</v>
      </c>
      <c r="E727" t="s">
        <v>6887</v>
      </c>
      <c r="F727" t="s">
        <v>4385</v>
      </c>
      <c r="G727" t="s">
        <v>6888</v>
      </c>
    </row>
    <row r="728">
      <c r="A728" t="s">
        <v>3442</v>
      </c>
      <c r="B728" t="s">
        <v>6889</v>
      </c>
      <c r="C728" t="s">
        <v>6890</v>
      </c>
      <c r="D728" t="s">
        <v>3987</v>
      </c>
      <c r="E728" t="s">
        <v>6891</v>
      </c>
      <c r="F728" t="s">
        <v>4390</v>
      </c>
      <c r="G728" t="s">
        <v>6892</v>
      </c>
    </row>
    <row r="729">
      <c r="A729" t="s">
        <v>3443</v>
      </c>
      <c r="B729" t="s">
        <v>6893</v>
      </c>
      <c r="C729" t="s">
        <v>6894</v>
      </c>
      <c r="D729" t="s">
        <v>1606</v>
      </c>
      <c r="E729" t="s">
        <v>6895</v>
      </c>
      <c r="F729" t="s">
        <v>4395</v>
      </c>
      <c r="G729" t="s">
        <v>6896</v>
      </c>
    </row>
    <row r="730">
      <c r="A730" t="s">
        <v>3446</v>
      </c>
      <c r="B730" t="s">
        <v>6897</v>
      </c>
      <c r="C730" t="s">
        <v>6898</v>
      </c>
      <c r="D730" t="s">
        <v>3998</v>
      </c>
      <c r="E730" t="s">
        <v>6899</v>
      </c>
      <c r="F730" t="s">
        <v>4164</v>
      </c>
      <c r="G730" t="s">
        <v>6900</v>
      </c>
    </row>
    <row r="731">
      <c r="A731" t="s">
        <v>3448</v>
      </c>
      <c r="B731" t="s">
        <v>6901</v>
      </c>
      <c r="C731" t="s">
        <v>6902</v>
      </c>
      <c r="D731" t="s">
        <v>1613</v>
      </c>
      <c r="E731" t="s">
        <v>6903</v>
      </c>
      <c r="F731" t="s">
        <v>4185</v>
      </c>
      <c r="G731" t="s">
        <v>6904</v>
      </c>
    </row>
    <row r="732">
      <c r="A732" t="s">
        <v>3450</v>
      </c>
      <c r="B732" t="s">
        <v>6905</v>
      </c>
      <c r="C732" t="s">
        <v>6906</v>
      </c>
      <c r="D732" t="s">
        <v>4156</v>
      </c>
      <c r="E732" t="s">
        <v>6907</v>
      </c>
      <c r="F732" t="s">
        <v>4132</v>
      </c>
      <c r="G732" t="s">
        <v>6908</v>
      </c>
    </row>
    <row r="733">
      <c r="A733" t="s">
        <v>3451</v>
      </c>
      <c r="B733" t="s">
        <v>6909</v>
      </c>
      <c r="C733" t="s">
        <v>6910</v>
      </c>
      <c r="D733" t="s">
        <v>4162</v>
      </c>
      <c r="E733" t="s">
        <v>6911</v>
      </c>
      <c r="F733" t="s">
        <v>4225</v>
      </c>
      <c r="G733" t="s">
        <v>6912</v>
      </c>
    </row>
    <row r="734">
      <c r="A734" t="s">
        <v>3453</v>
      </c>
      <c r="B734" t="s">
        <v>6913</v>
      </c>
      <c r="C734" t="s">
        <v>6914</v>
      </c>
      <c r="D734" t="s">
        <v>4168</v>
      </c>
      <c r="E734" t="s">
        <v>6915</v>
      </c>
      <c r="F734" t="s">
        <v>4215</v>
      </c>
      <c r="G734" t="s">
        <v>6916</v>
      </c>
    </row>
    <row r="735">
      <c r="A735" t="s">
        <v>3454</v>
      </c>
      <c r="B735" t="s">
        <v>6917</v>
      </c>
      <c r="C735" t="s">
        <v>4368</v>
      </c>
      <c r="D735" t="s">
        <v>1620</v>
      </c>
      <c r="E735" t="s">
        <v>6918</v>
      </c>
      <c r="F735" t="s">
        <v>4200</v>
      </c>
      <c r="G735" t="s">
        <v>6919</v>
      </c>
    </row>
    <row r="736">
      <c r="A736" t="s">
        <v>3457</v>
      </c>
      <c r="B736" t="s">
        <v>6920</v>
      </c>
      <c r="C736" t="s">
        <v>6300</v>
      </c>
      <c r="D736" t="s">
        <v>4014</v>
      </c>
      <c r="E736" t="s">
        <v>6921</v>
      </c>
      <c r="F736" t="s">
        <v>4205</v>
      </c>
      <c r="G736" t="s">
        <v>6922</v>
      </c>
    </row>
    <row r="737">
      <c r="A737" t="s">
        <v>3458</v>
      </c>
      <c r="B737" t="s">
        <v>6923</v>
      </c>
      <c r="C737" t="s">
        <v>6924</v>
      </c>
      <c r="D737" t="s">
        <v>4020</v>
      </c>
      <c r="E737" t="s">
        <v>6925</v>
      </c>
      <c r="F737" t="s">
        <v>4210</v>
      </c>
      <c r="G737" t="s">
        <v>6926</v>
      </c>
    </row>
    <row r="738">
      <c r="A738" t="s">
        <v>3460</v>
      </c>
      <c r="B738" t="s">
        <v>6927</v>
      </c>
      <c r="C738" t="s">
        <v>6928</v>
      </c>
      <c r="D738" t="s">
        <v>1557</v>
      </c>
      <c r="E738" t="s">
        <v>6929</v>
      </c>
      <c r="F738" t="s">
        <v>4215</v>
      </c>
      <c r="G738" t="s">
        <v>6930</v>
      </c>
    </row>
    <row r="739">
      <c r="A739" t="s">
        <v>3462</v>
      </c>
      <c r="B739" t="s">
        <v>6931</v>
      </c>
      <c r="C739" t="s">
        <v>6932</v>
      </c>
      <c r="D739" t="s">
        <v>4031</v>
      </c>
      <c r="E739" t="s">
        <v>6933</v>
      </c>
      <c r="F739" t="s">
        <v>4220</v>
      </c>
      <c r="G739" t="s">
        <v>6934</v>
      </c>
    </row>
    <row r="740">
      <c r="A740" t="s">
        <v>3464</v>
      </c>
      <c r="B740" t="s">
        <v>6935</v>
      </c>
      <c r="C740" t="s">
        <v>6936</v>
      </c>
      <c r="D740" t="s">
        <v>4037</v>
      </c>
      <c r="E740" t="s">
        <v>6937</v>
      </c>
      <c r="F740" t="s">
        <v>4225</v>
      </c>
      <c r="G740" t="s">
        <v>6938</v>
      </c>
    </row>
    <row r="741">
      <c r="A741" t="s">
        <v>3465</v>
      </c>
      <c r="B741" t="s">
        <v>6939</v>
      </c>
      <c r="C741" t="s">
        <v>6940</v>
      </c>
      <c r="D741" t="s">
        <v>1699</v>
      </c>
      <c r="E741" t="s">
        <v>6941</v>
      </c>
      <c r="F741" t="s">
        <v>4230</v>
      </c>
      <c r="G741" t="s">
        <v>6942</v>
      </c>
    </row>
    <row r="742">
      <c r="A742" t="s">
        <v>3467</v>
      </c>
      <c r="B742" t="s">
        <v>6943</v>
      </c>
      <c r="C742" t="s">
        <v>5269</v>
      </c>
      <c r="D742" t="s">
        <v>1571</v>
      </c>
      <c r="E742" t="s">
        <v>6944</v>
      </c>
      <c r="F742" t="s">
        <v>4235</v>
      </c>
      <c r="G742" t="s">
        <v>6945</v>
      </c>
    </row>
    <row r="743">
      <c r="A743" t="s">
        <v>3469</v>
      </c>
      <c r="B743" t="s">
        <v>6946</v>
      </c>
      <c r="C743" t="s">
        <v>6583</v>
      </c>
      <c r="D743" t="s">
        <v>4053</v>
      </c>
      <c r="E743" t="s">
        <v>6947</v>
      </c>
      <c r="F743" t="s">
        <v>4240</v>
      </c>
      <c r="G743" t="s">
        <v>6948</v>
      </c>
    </row>
    <row r="744">
      <c r="A744" t="s">
        <v>3472</v>
      </c>
      <c r="B744" t="s">
        <v>6949</v>
      </c>
      <c r="C744" t="s">
        <v>6950</v>
      </c>
      <c r="D744" t="s">
        <v>4059</v>
      </c>
      <c r="E744" t="s">
        <v>6951</v>
      </c>
      <c r="F744" t="s">
        <v>4245</v>
      </c>
      <c r="G744" t="s">
        <v>6952</v>
      </c>
    </row>
    <row r="745">
      <c r="A745" t="s">
        <v>3474</v>
      </c>
      <c r="B745" t="s">
        <v>6953</v>
      </c>
      <c r="C745" t="s">
        <v>6954</v>
      </c>
      <c r="D745" t="s">
        <v>4065</v>
      </c>
      <c r="E745" t="s">
        <v>6955</v>
      </c>
      <c r="F745" t="s">
        <v>4250</v>
      </c>
      <c r="G745" t="s">
        <v>6956</v>
      </c>
    </row>
    <row r="746">
      <c r="A746" t="s">
        <v>3477</v>
      </c>
      <c r="B746" t="s">
        <v>6957</v>
      </c>
      <c r="C746" t="s">
        <v>6958</v>
      </c>
      <c r="D746" t="s">
        <v>1578</v>
      </c>
      <c r="E746" t="s">
        <v>6959</v>
      </c>
      <c r="F746" t="s">
        <v>4255</v>
      </c>
      <c r="G746" t="s">
        <v>6960</v>
      </c>
    </row>
    <row r="747">
      <c r="A747" t="s">
        <v>3478</v>
      </c>
      <c r="B747" t="s">
        <v>6961</v>
      </c>
      <c r="C747" t="s">
        <v>6962</v>
      </c>
      <c r="D747" t="s">
        <v>1647</v>
      </c>
      <c r="E747" t="s">
        <v>6963</v>
      </c>
      <c r="F747" t="s">
        <v>4260</v>
      </c>
      <c r="G747" t="s">
        <v>6964</v>
      </c>
    </row>
    <row r="748">
      <c r="A748" t="s">
        <v>3480</v>
      </c>
      <c r="B748" t="s">
        <v>6965</v>
      </c>
      <c r="C748" t="s">
        <v>6966</v>
      </c>
      <c r="D748" t="s">
        <v>3964</v>
      </c>
      <c r="E748" t="s">
        <v>6967</v>
      </c>
      <c r="F748" t="s">
        <v>4265</v>
      </c>
      <c r="G748" t="s">
        <v>6968</v>
      </c>
    </row>
    <row r="749">
      <c r="A749" t="s">
        <v>3482</v>
      </c>
      <c r="B749" t="s">
        <v>6969</v>
      </c>
      <c r="C749" t="s">
        <v>6970</v>
      </c>
      <c r="D749" t="s">
        <v>3970</v>
      </c>
      <c r="E749" t="s">
        <v>5262</v>
      </c>
      <c r="F749" t="s">
        <v>4270</v>
      </c>
      <c r="G749" t="s">
        <v>6971</v>
      </c>
    </row>
    <row r="750">
      <c r="A750" t="s">
        <v>3485</v>
      </c>
      <c r="B750" t="s">
        <v>6972</v>
      </c>
      <c r="C750" t="s">
        <v>6973</v>
      </c>
      <c r="D750" t="s">
        <v>1585</v>
      </c>
      <c r="E750" t="s">
        <v>6974</v>
      </c>
      <c r="F750" t="s">
        <v>4275</v>
      </c>
      <c r="G750" t="s">
        <v>6975</v>
      </c>
    </row>
    <row r="751">
      <c r="A751" t="s">
        <v>3487</v>
      </c>
      <c r="B751" t="s">
        <v>6976</v>
      </c>
      <c r="C751" t="s">
        <v>6977</v>
      </c>
      <c r="D751" t="s">
        <v>4096</v>
      </c>
      <c r="E751" t="s">
        <v>6978</v>
      </c>
      <c r="F751" t="s">
        <v>4280</v>
      </c>
      <c r="G751" t="s">
        <v>6979</v>
      </c>
    </row>
    <row r="752">
      <c r="A752" t="s">
        <v>3489</v>
      </c>
      <c r="B752" t="s">
        <v>6980</v>
      </c>
      <c r="C752" t="s">
        <v>6981</v>
      </c>
      <c r="D752" t="s">
        <v>4102</v>
      </c>
      <c r="E752" t="s">
        <v>6982</v>
      </c>
      <c r="F752" t="s">
        <v>4285</v>
      </c>
      <c r="G752" t="s">
        <v>6983</v>
      </c>
    </row>
    <row r="753">
      <c r="A753" t="s">
        <v>3490</v>
      </c>
      <c r="B753" t="s">
        <v>6984</v>
      </c>
      <c r="C753" t="s">
        <v>6350</v>
      </c>
      <c r="D753" t="s">
        <v>1592</v>
      </c>
      <c r="E753" t="s">
        <v>6985</v>
      </c>
      <c r="F753" t="s">
        <v>4290</v>
      </c>
      <c r="G753" t="s">
        <v>6986</v>
      </c>
    </row>
    <row r="754">
      <c r="A754" t="s">
        <v>3492</v>
      </c>
      <c r="B754" t="s">
        <v>6987</v>
      </c>
      <c r="C754" t="s">
        <v>6988</v>
      </c>
      <c r="D754" t="s">
        <v>3981</v>
      </c>
      <c r="E754" t="s">
        <v>6989</v>
      </c>
      <c r="F754" t="s">
        <v>4295</v>
      </c>
      <c r="G754" t="s">
        <v>6990</v>
      </c>
    </row>
    <row r="755">
      <c r="A755" t="s">
        <v>3493</v>
      </c>
      <c r="B755" t="s">
        <v>6991</v>
      </c>
      <c r="C755" t="s">
        <v>6992</v>
      </c>
      <c r="D755" t="s">
        <v>4118</v>
      </c>
      <c r="E755" t="s">
        <v>6993</v>
      </c>
      <c r="F755" t="s">
        <v>4300</v>
      </c>
      <c r="G755" t="s">
        <v>6994</v>
      </c>
    </row>
    <row r="756">
      <c r="A756" t="s">
        <v>3495</v>
      </c>
      <c r="B756" t="s">
        <v>6995</v>
      </c>
      <c r="C756" t="s">
        <v>6996</v>
      </c>
      <c r="D756" t="s">
        <v>4124</v>
      </c>
      <c r="E756" t="s">
        <v>6997</v>
      </c>
      <c r="F756" t="s">
        <v>4305</v>
      </c>
      <c r="G756" t="s">
        <v>6998</v>
      </c>
    </row>
    <row r="757">
      <c r="A757" t="s">
        <v>3497</v>
      </c>
      <c r="B757" t="s">
        <v>6999</v>
      </c>
      <c r="C757" t="s">
        <v>7000</v>
      </c>
      <c r="D757" t="s">
        <v>4130</v>
      </c>
      <c r="E757" t="s">
        <v>7001</v>
      </c>
      <c r="F757" t="s">
        <v>4310</v>
      </c>
      <c r="G757" t="s">
        <v>7002</v>
      </c>
    </row>
    <row r="758">
      <c r="A758" t="s">
        <v>3500</v>
      </c>
      <c r="B758" t="s">
        <v>7003</v>
      </c>
      <c r="C758" t="s">
        <v>7004</v>
      </c>
      <c r="D758" t="s">
        <v>3987</v>
      </c>
      <c r="E758" t="s">
        <v>7005</v>
      </c>
      <c r="F758" t="s">
        <v>4315</v>
      </c>
      <c r="G758" t="s">
        <v>7006</v>
      </c>
    </row>
    <row r="759">
      <c r="A759" t="s">
        <v>3501</v>
      </c>
      <c r="B759" t="s">
        <v>7007</v>
      </c>
      <c r="C759" t="s">
        <v>7008</v>
      </c>
      <c r="D759" t="s">
        <v>1606</v>
      </c>
      <c r="E759" t="s">
        <v>7009</v>
      </c>
      <c r="F759" t="s">
        <v>4320</v>
      </c>
      <c r="G759" t="s">
        <v>7010</v>
      </c>
    </row>
    <row r="760">
      <c r="A760" t="s">
        <v>3504</v>
      </c>
      <c r="B760" t="s">
        <v>7011</v>
      </c>
      <c r="C760" t="s">
        <v>7012</v>
      </c>
      <c r="D760" t="s">
        <v>3998</v>
      </c>
      <c r="E760" t="s">
        <v>7013</v>
      </c>
      <c r="F760" t="s">
        <v>4325</v>
      </c>
      <c r="G760" t="s">
        <v>7014</v>
      </c>
    </row>
    <row r="761">
      <c r="A761" t="s">
        <v>3505</v>
      </c>
      <c r="B761" t="s">
        <v>7015</v>
      </c>
      <c r="C761" t="s">
        <v>7016</v>
      </c>
      <c r="D761" t="s">
        <v>1613</v>
      </c>
      <c r="E761" t="s">
        <v>7017</v>
      </c>
      <c r="F761" t="s">
        <v>4330</v>
      </c>
      <c r="G761" t="s">
        <v>7018</v>
      </c>
    </row>
    <row r="762">
      <c r="A762" t="s">
        <v>3507</v>
      </c>
      <c r="B762" t="s">
        <v>7019</v>
      </c>
      <c r="C762" t="s">
        <v>7020</v>
      </c>
      <c r="D762" t="s">
        <v>4156</v>
      </c>
      <c r="E762" t="s">
        <v>7021</v>
      </c>
      <c r="F762" t="s">
        <v>4335</v>
      </c>
      <c r="G762" t="s">
        <v>7022</v>
      </c>
    </row>
    <row r="763">
      <c r="A763" t="s">
        <v>3509</v>
      </c>
      <c r="B763" t="s">
        <v>7023</v>
      </c>
      <c r="C763" t="s">
        <v>7024</v>
      </c>
      <c r="D763" t="s">
        <v>4162</v>
      </c>
      <c r="E763" t="s">
        <v>7025</v>
      </c>
      <c r="F763" t="s">
        <v>4340</v>
      </c>
      <c r="G763" t="s">
        <v>7026</v>
      </c>
    </row>
    <row r="764">
      <c r="A764" t="s">
        <v>3512</v>
      </c>
      <c r="B764" t="s">
        <v>7027</v>
      </c>
      <c r="C764" t="s">
        <v>7028</v>
      </c>
      <c r="D764" t="s">
        <v>4168</v>
      </c>
      <c r="E764" t="s">
        <v>7029</v>
      </c>
      <c r="F764" t="s">
        <v>4345</v>
      </c>
      <c r="G764" t="s">
        <v>7030</v>
      </c>
    </row>
    <row r="765">
      <c r="A765" t="s">
        <v>3513</v>
      </c>
      <c r="B765" t="s">
        <v>7031</v>
      </c>
      <c r="C765" t="s">
        <v>7032</v>
      </c>
      <c r="D765" t="s">
        <v>1620</v>
      </c>
      <c r="E765" t="s">
        <v>7033</v>
      </c>
      <c r="F765" t="s">
        <v>4350</v>
      </c>
      <c r="G765" t="s">
        <v>7034</v>
      </c>
    </row>
    <row r="766">
      <c r="A766" t="s">
        <v>3516</v>
      </c>
      <c r="B766" t="s">
        <v>7035</v>
      </c>
      <c r="C766" t="s">
        <v>7036</v>
      </c>
      <c r="D766" t="s">
        <v>4014</v>
      </c>
      <c r="E766" t="s">
        <v>7037</v>
      </c>
      <c r="F766" t="s">
        <v>4355</v>
      </c>
      <c r="G766" t="s">
        <v>7038</v>
      </c>
    </row>
    <row r="767">
      <c r="A767" t="s">
        <v>3517</v>
      </c>
      <c r="B767" t="s">
        <v>7039</v>
      </c>
      <c r="C767" t="s">
        <v>7040</v>
      </c>
      <c r="D767" t="s">
        <v>4020</v>
      </c>
      <c r="E767" t="s">
        <v>7041</v>
      </c>
      <c r="F767" t="s">
        <v>4360</v>
      </c>
      <c r="G767" t="s">
        <v>7042</v>
      </c>
    </row>
    <row r="768">
      <c r="A768" t="s">
        <v>3520</v>
      </c>
      <c r="B768" t="s">
        <v>7043</v>
      </c>
      <c r="C768" t="s">
        <v>7044</v>
      </c>
      <c r="D768" t="s">
        <v>1557</v>
      </c>
      <c r="E768" t="s">
        <v>7045</v>
      </c>
      <c r="F768" t="s">
        <v>4365</v>
      </c>
      <c r="G768" t="s">
        <v>7046</v>
      </c>
    </row>
    <row r="769">
      <c r="A769" t="s">
        <v>3521</v>
      </c>
      <c r="B769" t="s">
        <v>7047</v>
      </c>
      <c r="C769" t="s">
        <v>7048</v>
      </c>
      <c r="D769" t="s">
        <v>4031</v>
      </c>
      <c r="E769" t="s">
        <v>7049</v>
      </c>
      <c r="F769" t="s">
        <v>4370</v>
      </c>
      <c r="G769" t="s">
        <v>7050</v>
      </c>
    </row>
    <row r="770">
      <c r="A770" t="s">
        <v>3523</v>
      </c>
      <c r="B770" t="s">
        <v>7051</v>
      </c>
      <c r="C770" t="s">
        <v>4608</v>
      </c>
      <c r="D770" t="s">
        <v>4037</v>
      </c>
      <c r="E770" t="s">
        <v>4550</v>
      </c>
      <c r="F770" t="s">
        <v>4375</v>
      </c>
      <c r="G770" t="s">
        <v>7052</v>
      </c>
    </row>
    <row r="771">
      <c r="A771" t="s">
        <v>3524</v>
      </c>
      <c r="B771" t="s">
        <v>7053</v>
      </c>
      <c r="C771" t="s">
        <v>7054</v>
      </c>
      <c r="D771" t="s">
        <v>1699</v>
      </c>
      <c r="E771" t="s">
        <v>7055</v>
      </c>
      <c r="F771" t="s">
        <v>4380</v>
      </c>
      <c r="G771" t="s">
        <v>7056</v>
      </c>
    </row>
    <row r="772">
      <c r="A772" t="s">
        <v>3527</v>
      </c>
      <c r="B772" t="s">
        <v>7057</v>
      </c>
      <c r="C772" t="s">
        <v>7058</v>
      </c>
      <c r="D772" t="s">
        <v>1571</v>
      </c>
      <c r="E772" t="s">
        <v>7059</v>
      </c>
      <c r="F772" t="s">
        <v>4385</v>
      </c>
      <c r="G772" t="s">
        <v>7060</v>
      </c>
    </row>
    <row r="773">
      <c r="A773" t="s">
        <v>3528</v>
      </c>
      <c r="B773" t="s">
        <v>7061</v>
      </c>
      <c r="C773" t="s">
        <v>7062</v>
      </c>
      <c r="D773" t="s">
        <v>4053</v>
      </c>
      <c r="E773" t="s">
        <v>7063</v>
      </c>
      <c r="F773" t="s">
        <v>4390</v>
      </c>
      <c r="G773" t="s">
        <v>7064</v>
      </c>
    </row>
    <row r="774">
      <c r="A774" t="s">
        <v>3530</v>
      </c>
      <c r="B774" t="s">
        <v>7065</v>
      </c>
      <c r="C774" t="s">
        <v>7066</v>
      </c>
      <c r="D774" t="s">
        <v>4059</v>
      </c>
      <c r="E774" t="s">
        <v>7067</v>
      </c>
      <c r="F774" t="s">
        <v>4395</v>
      </c>
      <c r="G774" t="s">
        <v>7068</v>
      </c>
    </row>
    <row r="775">
      <c r="A775" t="s">
        <v>3532</v>
      </c>
      <c r="B775" t="s">
        <v>7069</v>
      </c>
      <c r="C775" t="s">
        <v>7070</v>
      </c>
      <c r="D775" t="s">
        <v>4065</v>
      </c>
      <c r="E775" t="s">
        <v>7071</v>
      </c>
      <c r="F775" t="s">
        <v>4164</v>
      </c>
      <c r="G775" t="s">
        <v>7072</v>
      </c>
    </row>
    <row r="776">
      <c r="A776" t="s">
        <v>3534</v>
      </c>
      <c r="B776" t="s">
        <v>7073</v>
      </c>
      <c r="C776" t="s">
        <v>7074</v>
      </c>
      <c r="D776" t="s">
        <v>1578</v>
      </c>
      <c r="E776" t="s">
        <v>4609</v>
      </c>
      <c r="F776" t="s">
        <v>4185</v>
      </c>
      <c r="G776" t="s">
        <v>7075</v>
      </c>
    </row>
    <row r="777">
      <c r="A777" t="s">
        <v>3535</v>
      </c>
      <c r="B777" t="s">
        <v>7076</v>
      </c>
      <c r="C777" t="s">
        <v>7077</v>
      </c>
      <c r="D777" t="s">
        <v>1647</v>
      </c>
      <c r="E777" t="s">
        <v>7078</v>
      </c>
      <c r="F777" t="s">
        <v>4132</v>
      </c>
      <c r="G777" t="s">
        <v>7079</v>
      </c>
    </row>
    <row r="778">
      <c r="A778" t="s">
        <v>3537</v>
      </c>
      <c r="B778" t="s">
        <v>7080</v>
      </c>
      <c r="C778" t="s">
        <v>7081</v>
      </c>
      <c r="D778" t="s">
        <v>3964</v>
      </c>
      <c r="E778" t="s">
        <v>7082</v>
      </c>
      <c r="F778" t="s">
        <v>4225</v>
      </c>
      <c r="G778" t="s">
        <v>7083</v>
      </c>
    </row>
    <row r="779">
      <c r="A779" t="s">
        <v>3539</v>
      </c>
      <c r="B779" t="s">
        <v>7084</v>
      </c>
      <c r="C779" t="s">
        <v>7085</v>
      </c>
      <c r="D779" t="s">
        <v>3970</v>
      </c>
      <c r="E779" t="s">
        <v>7086</v>
      </c>
      <c r="F779" t="s">
        <v>4215</v>
      </c>
      <c r="G779" t="s">
        <v>7087</v>
      </c>
    </row>
    <row r="780">
      <c r="A780" t="s">
        <v>3541</v>
      </c>
      <c r="B780" t="s">
        <v>7088</v>
      </c>
      <c r="C780" t="s">
        <v>6764</v>
      </c>
      <c r="D780" t="s">
        <v>1585</v>
      </c>
      <c r="E780" t="s">
        <v>7089</v>
      </c>
      <c r="F780" t="s">
        <v>4200</v>
      </c>
      <c r="G780" t="s">
        <v>7090</v>
      </c>
    </row>
    <row r="781">
      <c r="A781" t="s">
        <v>3543</v>
      </c>
      <c r="B781" t="s">
        <v>7091</v>
      </c>
      <c r="C781" t="s">
        <v>7092</v>
      </c>
      <c r="D781" t="s">
        <v>4096</v>
      </c>
      <c r="E781" t="s">
        <v>7093</v>
      </c>
      <c r="F781" t="s">
        <v>4205</v>
      </c>
      <c r="G781" t="s">
        <v>7094</v>
      </c>
    </row>
    <row r="782">
      <c r="A782" t="s">
        <v>3545</v>
      </c>
      <c r="B782" t="s">
        <v>7095</v>
      </c>
      <c r="C782" t="s">
        <v>7096</v>
      </c>
      <c r="D782" t="s">
        <v>4102</v>
      </c>
      <c r="E782" t="s">
        <v>7097</v>
      </c>
      <c r="F782" t="s">
        <v>4210</v>
      </c>
      <c r="G782" t="s">
        <v>7098</v>
      </c>
    </row>
    <row r="783">
      <c r="A783" t="s">
        <v>3546</v>
      </c>
      <c r="B783" t="s">
        <v>7099</v>
      </c>
      <c r="C783" t="s">
        <v>7100</v>
      </c>
      <c r="D783" t="s">
        <v>1592</v>
      </c>
      <c r="E783" t="s">
        <v>4141</v>
      </c>
      <c r="F783" t="s">
        <v>4215</v>
      </c>
      <c r="G783" t="s">
        <v>7101</v>
      </c>
    </row>
    <row r="784">
      <c r="A784" t="s">
        <v>3549</v>
      </c>
      <c r="B784" t="s">
        <v>7102</v>
      </c>
      <c r="C784" t="s">
        <v>7103</v>
      </c>
      <c r="D784" t="s">
        <v>3981</v>
      </c>
      <c r="E784" t="s">
        <v>7104</v>
      </c>
      <c r="F784" t="s">
        <v>4220</v>
      </c>
      <c r="G784" t="s">
        <v>7105</v>
      </c>
    </row>
    <row r="785">
      <c r="A785" t="s">
        <v>3550</v>
      </c>
      <c r="B785" t="s">
        <v>7106</v>
      </c>
      <c r="C785" t="s">
        <v>7107</v>
      </c>
      <c r="D785" t="s">
        <v>4118</v>
      </c>
      <c r="E785" t="s">
        <v>7108</v>
      </c>
      <c r="F785" t="s">
        <v>4225</v>
      </c>
      <c r="G785" t="s">
        <v>7109</v>
      </c>
    </row>
    <row r="786">
      <c r="A786" t="s">
        <v>3553</v>
      </c>
      <c r="B786" t="s">
        <v>7110</v>
      </c>
      <c r="C786" t="s">
        <v>7111</v>
      </c>
      <c r="D786" t="s">
        <v>4124</v>
      </c>
      <c r="E786" t="s">
        <v>7112</v>
      </c>
      <c r="F786" t="s">
        <v>4230</v>
      </c>
      <c r="G786" t="s">
        <v>7113</v>
      </c>
    </row>
    <row r="787">
      <c r="A787" t="s">
        <v>3554</v>
      </c>
      <c r="B787" t="s">
        <v>7114</v>
      </c>
      <c r="C787" t="s">
        <v>7115</v>
      </c>
      <c r="D787" t="s">
        <v>4130</v>
      </c>
      <c r="E787" t="s">
        <v>7116</v>
      </c>
      <c r="F787" t="s">
        <v>4235</v>
      </c>
      <c r="G787" t="s">
        <v>7117</v>
      </c>
    </row>
    <row r="788">
      <c r="A788" t="s">
        <v>3556</v>
      </c>
      <c r="B788" t="s">
        <v>7118</v>
      </c>
      <c r="C788" t="s">
        <v>7119</v>
      </c>
      <c r="D788" t="s">
        <v>3987</v>
      </c>
      <c r="E788" t="s">
        <v>7120</v>
      </c>
      <c r="F788" t="s">
        <v>4240</v>
      </c>
      <c r="G788" t="s">
        <v>7121</v>
      </c>
    </row>
    <row r="789">
      <c r="A789" t="s">
        <v>3557</v>
      </c>
      <c r="B789" t="s">
        <v>7122</v>
      </c>
      <c r="C789" t="s">
        <v>7123</v>
      </c>
      <c r="D789" t="s">
        <v>1606</v>
      </c>
      <c r="E789" t="s">
        <v>7124</v>
      </c>
      <c r="F789" t="s">
        <v>4245</v>
      </c>
      <c r="G789" t="s">
        <v>7125</v>
      </c>
    </row>
    <row r="790">
      <c r="A790" t="s">
        <v>3559</v>
      </c>
      <c r="B790" t="s">
        <v>7126</v>
      </c>
      <c r="C790" t="s">
        <v>7127</v>
      </c>
      <c r="D790" t="s">
        <v>3998</v>
      </c>
      <c r="E790" t="s">
        <v>7128</v>
      </c>
      <c r="F790" t="s">
        <v>4250</v>
      </c>
      <c r="G790" t="s">
        <v>7129</v>
      </c>
    </row>
    <row r="791">
      <c r="A791" t="s">
        <v>3560</v>
      </c>
      <c r="B791" t="s">
        <v>7130</v>
      </c>
      <c r="C791" t="s">
        <v>5276</v>
      </c>
      <c r="D791" t="s">
        <v>1613</v>
      </c>
      <c r="E791" t="s">
        <v>7131</v>
      </c>
      <c r="F791" t="s">
        <v>4255</v>
      </c>
      <c r="G791" t="s">
        <v>7132</v>
      </c>
    </row>
    <row r="792">
      <c r="A792" t="s">
        <v>3562</v>
      </c>
      <c r="B792" t="s">
        <v>7133</v>
      </c>
      <c r="C792" t="s">
        <v>7134</v>
      </c>
      <c r="D792" t="s">
        <v>4156</v>
      </c>
      <c r="E792" t="s">
        <v>7135</v>
      </c>
      <c r="F792" t="s">
        <v>4260</v>
      </c>
      <c r="G792" t="s">
        <v>7136</v>
      </c>
    </row>
    <row r="793">
      <c r="A793" t="s">
        <v>3563</v>
      </c>
      <c r="B793" t="s">
        <v>7137</v>
      </c>
      <c r="C793" t="s">
        <v>7138</v>
      </c>
      <c r="D793" t="s">
        <v>4162</v>
      </c>
      <c r="E793" t="s">
        <v>7139</v>
      </c>
      <c r="F793" t="s">
        <v>4265</v>
      </c>
      <c r="G793" t="s">
        <v>7140</v>
      </c>
    </row>
    <row r="794">
      <c r="A794" t="s">
        <v>3565</v>
      </c>
      <c r="B794" t="s">
        <v>7141</v>
      </c>
      <c r="C794" t="s">
        <v>7142</v>
      </c>
      <c r="D794" t="s">
        <v>4168</v>
      </c>
      <c r="E794" t="s">
        <v>7143</v>
      </c>
      <c r="F794" t="s">
        <v>4270</v>
      </c>
      <c r="G794" t="s">
        <v>7144</v>
      </c>
    </row>
    <row r="795">
      <c r="A795" t="s">
        <v>3566</v>
      </c>
      <c r="B795" t="s">
        <v>7145</v>
      </c>
      <c r="C795" t="s">
        <v>6253</v>
      </c>
      <c r="D795" t="s">
        <v>1620</v>
      </c>
      <c r="E795" t="s">
        <v>7146</v>
      </c>
      <c r="F795" t="s">
        <v>4275</v>
      </c>
      <c r="G795" t="s">
        <v>7147</v>
      </c>
    </row>
    <row r="796">
      <c r="A796" t="s">
        <v>3568</v>
      </c>
      <c r="B796" t="s">
        <v>7148</v>
      </c>
      <c r="C796" t="s">
        <v>7149</v>
      </c>
      <c r="D796" t="s">
        <v>4014</v>
      </c>
      <c r="E796" t="s">
        <v>7150</v>
      </c>
      <c r="F796" t="s">
        <v>4280</v>
      </c>
      <c r="G796" t="s">
        <v>7151</v>
      </c>
    </row>
    <row r="797">
      <c r="A797" t="s">
        <v>3570</v>
      </c>
      <c r="B797" t="s">
        <v>7152</v>
      </c>
      <c r="C797" t="s">
        <v>7153</v>
      </c>
      <c r="D797" t="s">
        <v>4020</v>
      </c>
      <c r="E797" t="s">
        <v>7154</v>
      </c>
      <c r="F797" t="s">
        <v>4285</v>
      </c>
      <c r="G797" t="s">
        <v>7155</v>
      </c>
    </row>
    <row r="798">
      <c r="A798" t="s">
        <v>3572</v>
      </c>
      <c r="B798" t="s">
        <v>7156</v>
      </c>
      <c r="C798" t="s">
        <v>7157</v>
      </c>
      <c r="D798" t="s">
        <v>1557</v>
      </c>
      <c r="E798" t="s">
        <v>7158</v>
      </c>
      <c r="F798" t="s">
        <v>4290</v>
      </c>
      <c r="G798" t="s">
        <v>7159</v>
      </c>
    </row>
    <row r="799">
      <c r="A799" t="s">
        <v>3574</v>
      </c>
      <c r="B799" t="s">
        <v>7160</v>
      </c>
      <c r="C799" t="s">
        <v>7161</v>
      </c>
      <c r="D799" t="s">
        <v>4031</v>
      </c>
      <c r="E799" t="s">
        <v>7162</v>
      </c>
      <c r="F799" t="s">
        <v>4295</v>
      </c>
      <c r="G799" t="s">
        <v>7163</v>
      </c>
    </row>
    <row r="800">
      <c r="A800" t="s">
        <v>3577</v>
      </c>
      <c r="B800" t="s">
        <v>7164</v>
      </c>
      <c r="C800" t="s">
        <v>7165</v>
      </c>
      <c r="D800" t="s">
        <v>4037</v>
      </c>
      <c r="E800" t="s">
        <v>7166</v>
      </c>
      <c r="F800" t="s">
        <v>4300</v>
      </c>
      <c r="G800" t="s">
        <v>7167</v>
      </c>
    </row>
    <row r="801">
      <c r="A801" t="s">
        <v>3578</v>
      </c>
      <c r="B801" t="s">
        <v>7168</v>
      </c>
      <c r="C801" t="s">
        <v>7169</v>
      </c>
      <c r="D801" t="s">
        <v>1699</v>
      </c>
      <c r="E801" t="s">
        <v>7170</v>
      </c>
      <c r="F801" t="s">
        <v>4305</v>
      </c>
      <c r="G801" t="s">
        <v>7171</v>
      </c>
    </row>
    <row r="802">
      <c r="A802" t="s">
        <v>3580</v>
      </c>
      <c r="B802" t="s">
        <v>7172</v>
      </c>
      <c r="C802" t="s">
        <v>7173</v>
      </c>
      <c r="D802" t="s">
        <v>1571</v>
      </c>
      <c r="E802" t="s">
        <v>4439</v>
      </c>
      <c r="F802" t="s">
        <v>4310</v>
      </c>
      <c r="G802" t="s">
        <v>7174</v>
      </c>
    </row>
    <row r="803">
      <c r="A803" t="s">
        <v>3582</v>
      </c>
      <c r="B803" t="s">
        <v>7175</v>
      </c>
      <c r="C803" t="s">
        <v>4759</v>
      </c>
      <c r="D803" t="s">
        <v>4053</v>
      </c>
      <c r="E803" t="s">
        <v>7176</v>
      </c>
      <c r="F803" t="s">
        <v>4315</v>
      </c>
      <c r="G803" t="s">
        <v>7177</v>
      </c>
    </row>
    <row r="804">
      <c r="A804" t="s">
        <v>3585</v>
      </c>
      <c r="B804" t="s">
        <v>7178</v>
      </c>
      <c r="C804" t="s">
        <v>7179</v>
      </c>
      <c r="D804" t="s">
        <v>4059</v>
      </c>
      <c r="E804" t="s">
        <v>7180</v>
      </c>
      <c r="F804" t="s">
        <v>4320</v>
      </c>
      <c r="G804" t="s">
        <v>7181</v>
      </c>
    </row>
    <row r="805">
      <c r="A805" t="s">
        <v>3586</v>
      </c>
      <c r="B805" t="s">
        <v>7182</v>
      </c>
      <c r="C805" t="s">
        <v>7183</v>
      </c>
      <c r="D805" t="s">
        <v>4065</v>
      </c>
      <c r="E805" t="s">
        <v>7184</v>
      </c>
      <c r="F805" t="s">
        <v>4325</v>
      </c>
      <c r="G805" t="s">
        <v>7185</v>
      </c>
    </row>
    <row r="806">
      <c r="A806" t="s">
        <v>3588</v>
      </c>
      <c r="B806" t="s">
        <v>7186</v>
      </c>
      <c r="C806" t="s">
        <v>7187</v>
      </c>
      <c r="D806" t="s">
        <v>1578</v>
      </c>
      <c r="E806" t="s">
        <v>4645</v>
      </c>
      <c r="F806" t="s">
        <v>4330</v>
      </c>
      <c r="G806" t="s">
        <v>7188</v>
      </c>
    </row>
    <row r="807">
      <c r="A807" t="s">
        <v>3589</v>
      </c>
      <c r="B807" t="s">
        <v>7189</v>
      </c>
      <c r="C807" t="s">
        <v>7190</v>
      </c>
      <c r="D807" t="s">
        <v>1647</v>
      </c>
      <c r="E807" t="s">
        <v>7191</v>
      </c>
      <c r="F807" t="s">
        <v>4335</v>
      </c>
      <c r="G807" t="s">
        <v>7192</v>
      </c>
    </row>
    <row r="808">
      <c r="A808" t="s">
        <v>3591</v>
      </c>
      <c r="B808" t="s">
        <v>7193</v>
      </c>
      <c r="C808" t="s">
        <v>7194</v>
      </c>
      <c r="D808" t="s">
        <v>3964</v>
      </c>
      <c r="E808" t="s">
        <v>7195</v>
      </c>
      <c r="F808" t="s">
        <v>4340</v>
      </c>
      <c r="G808" t="s">
        <v>7196</v>
      </c>
    </row>
    <row r="809">
      <c r="A809" t="s">
        <v>3592</v>
      </c>
      <c r="B809" t="s">
        <v>7197</v>
      </c>
      <c r="C809" t="s">
        <v>7198</v>
      </c>
      <c r="D809" t="s">
        <v>3970</v>
      </c>
      <c r="E809" t="s">
        <v>7199</v>
      </c>
      <c r="F809" t="s">
        <v>4345</v>
      </c>
      <c r="G809" t="s">
        <v>7200</v>
      </c>
    </row>
    <row r="810">
      <c r="A810" t="s">
        <v>3594</v>
      </c>
      <c r="B810" t="s">
        <v>7201</v>
      </c>
      <c r="C810" t="s">
        <v>7202</v>
      </c>
      <c r="D810" t="s">
        <v>1585</v>
      </c>
      <c r="E810" t="s">
        <v>7203</v>
      </c>
      <c r="F810" t="s">
        <v>4350</v>
      </c>
      <c r="G810" t="s">
        <v>7204</v>
      </c>
    </row>
    <row r="811">
      <c r="A811" t="s">
        <v>3595</v>
      </c>
      <c r="B811" t="s">
        <v>7205</v>
      </c>
      <c r="C811" t="s">
        <v>7206</v>
      </c>
      <c r="D811" t="s">
        <v>4096</v>
      </c>
      <c r="E811" t="s">
        <v>7207</v>
      </c>
      <c r="F811" t="s">
        <v>4355</v>
      </c>
      <c r="G811" t="s">
        <v>7208</v>
      </c>
    </row>
    <row r="812">
      <c r="A812" t="s">
        <v>3597</v>
      </c>
      <c r="B812" t="s">
        <v>7209</v>
      </c>
      <c r="C812" t="s">
        <v>7210</v>
      </c>
      <c r="D812" t="s">
        <v>4102</v>
      </c>
      <c r="E812" t="s">
        <v>7211</v>
      </c>
      <c r="F812" t="s">
        <v>4360</v>
      </c>
      <c r="G812" t="s">
        <v>7212</v>
      </c>
    </row>
    <row r="813">
      <c r="A813" t="s">
        <v>3598</v>
      </c>
      <c r="B813" t="s">
        <v>7213</v>
      </c>
      <c r="C813" t="s">
        <v>7214</v>
      </c>
      <c r="D813" t="s">
        <v>1592</v>
      </c>
      <c r="E813" t="s">
        <v>7215</v>
      </c>
      <c r="F813" t="s">
        <v>4365</v>
      </c>
      <c r="G813" t="s">
        <v>7216</v>
      </c>
    </row>
    <row r="814">
      <c r="A814" t="s">
        <v>3600</v>
      </c>
      <c r="B814" t="s">
        <v>7217</v>
      </c>
      <c r="C814" t="s">
        <v>7218</v>
      </c>
      <c r="D814" t="s">
        <v>3981</v>
      </c>
      <c r="E814" t="s">
        <v>7219</v>
      </c>
      <c r="F814" t="s">
        <v>4370</v>
      </c>
      <c r="G814" t="s">
        <v>7220</v>
      </c>
    </row>
    <row r="815">
      <c r="A815" t="s">
        <v>3601</v>
      </c>
      <c r="B815" t="s">
        <v>7221</v>
      </c>
      <c r="C815" t="s">
        <v>7222</v>
      </c>
      <c r="D815" t="s">
        <v>4118</v>
      </c>
      <c r="E815" t="s">
        <v>7223</v>
      </c>
      <c r="F815" t="s">
        <v>4375</v>
      </c>
      <c r="G815" t="s">
        <v>7224</v>
      </c>
    </row>
    <row r="816">
      <c r="A816" t="s">
        <v>3603</v>
      </c>
      <c r="B816" t="s">
        <v>7225</v>
      </c>
      <c r="C816" t="s">
        <v>7226</v>
      </c>
      <c r="D816" t="s">
        <v>4124</v>
      </c>
      <c r="E816" t="s">
        <v>7227</v>
      </c>
      <c r="F816" t="s">
        <v>4380</v>
      </c>
      <c r="G816" t="s">
        <v>7228</v>
      </c>
    </row>
    <row r="817">
      <c r="A817" t="s">
        <v>3605</v>
      </c>
      <c r="B817" t="s">
        <v>7229</v>
      </c>
      <c r="C817" t="s">
        <v>7230</v>
      </c>
      <c r="D817" t="s">
        <v>4130</v>
      </c>
      <c r="E817" t="s">
        <v>7231</v>
      </c>
      <c r="F817" t="s">
        <v>4385</v>
      </c>
      <c r="G817" t="s">
        <v>7232</v>
      </c>
    </row>
    <row r="818">
      <c r="A818" t="s">
        <v>3608</v>
      </c>
      <c r="B818" t="s">
        <v>7233</v>
      </c>
      <c r="C818" t="s">
        <v>7234</v>
      </c>
      <c r="D818" t="s">
        <v>3987</v>
      </c>
      <c r="E818" t="s">
        <v>7235</v>
      </c>
      <c r="F818" t="s">
        <v>4390</v>
      </c>
      <c r="G818" t="s">
        <v>7236</v>
      </c>
    </row>
    <row r="819">
      <c r="A819" t="s">
        <v>3609</v>
      </c>
      <c r="B819" t="s">
        <v>7237</v>
      </c>
      <c r="C819" t="s">
        <v>7238</v>
      </c>
      <c r="D819" t="s">
        <v>1606</v>
      </c>
      <c r="E819" t="s">
        <v>7239</v>
      </c>
      <c r="F819" t="s">
        <v>4395</v>
      </c>
      <c r="G819" t="s">
        <v>7240</v>
      </c>
    </row>
    <row r="820">
      <c r="A820" t="s">
        <v>3612</v>
      </c>
      <c r="B820" t="s">
        <v>7241</v>
      </c>
      <c r="C820" t="s">
        <v>7242</v>
      </c>
      <c r="D820" t="s">
        <v>3998</v>
      </c>
      <c r="E820" t="s">
        <v>7243</v>
      </c>
      <c r="F820" t="s">
        <v>4164</v>
      </c>
      <c r="G820" t="s">
        <v>7244</v>
      </c>
    </row>
    <row r="821">
      <c r="A821" t="s">
        <v>3614</v>
      </c>
      <c r="B821" t="s">
        <v>7245</v>
      </c>
      <c r="C821" t="s">
        <v>7246</v>
      </c>
      <c r="D821" t="s">
        <v>1613</v>
      </c>
      <c r="E821" t="s">
        <v>7247</v>
      </c>
      <c r="F821" t="s">
        <v>4185</v>
      </c>
      <c r="G821" t="s">
        <v>7248</v>
      </c>
    </row>
    <row r="822">
      <c r="A822" t="s">
        <v>3616</v>
      </c>
      <c r="B822" t="s">
        <v>7249</v>
      </c>
      <c r="C822" t="s">
        <v>7250</v>
      </c>
      <c r="D822" t="s">
        <v>4156</v>
      </c>
      <c r="E822" t="s">
        <v>7251</v>
      </c>
      <c r="F822" t="s">
        <v>4132</v>
      </c>
      <c r="G822" t="s">
        <v>7252</v>
      </c>
    </row>
    <row r="823">
      <c r="A823" t="s">
        <v>3617</v>
      </c>
      <c r="B823" t="s">
        <v>7253</v>
      </c>
      <c r="C823" t="s">
        <v>7254</v>
      </c>
      <c r="D823" t="s">
        <v>4162</v>
      </c>
      <c r="E823" t="s">
        <v>7255</v>
      </c>
      <c r="F823" t="s">
        <v>4225</v>
      </c>
      <c r="G823" t="s">
        <v>7256</v>
      </c>
    </row>
    <row r="824">
      <c r="A824" t="s">
        <v>3619</v>
      </c>
      <c r="B824" t="s">
        <v>7257</v>
      </c>
      <c r="C824" t="s">
        <v>7258</v>
      </c>
      <c r="D824" t="s">
        <v>4168</v>
      </c>
      <c r="E824" t="s">
        <v>4573</v>
      </c>
      <c r="F824" t="s">
        <v>4215</v>
      </c>
      <c r="G824" t="s">
        <v>7259</v>
      </c>
    </row>
    <row r="825">
      <c r="A825" t="s">
        <v>3621</v>
      </c>
      <c r="B825" t="s">
        <v>7260</v>
      </c>
      <c r="C825" t="s">
        <v>7261</v>
      </c>
      <c r="D825" t="s">
        <v>1620</v>
      </c>
      <c r="E825" t="s">
        <v>7262</v>
      </c>
      <c r="F825" t="s">
        <v>4200</v>
      </c>
      <c r="G825" t="s">
        <v>7263</v>
      </c>
    </row>
    <row r="826">
      <c r="A826" t="s">
        <v>3623</v>
      </c>
      <c r="B826" t="s">
        <v>7264</v>
      </c>
      <c r="C826" t="s">
        <v>7265</v>
      </c>
      <c r="D826" t="s">
        <v>4014</v>
      </c>
      <c r="E826" t="s">
        <v>6367</v>
      </c>
      <c r="F826" t="s">
        <v>4205</v>
      </c>
      <c r="G826" t="s">
        <v>7266</v>
      </c>
    </row>
    <row r="827">
      <c r="A827" t="s">
        <v>3624</v>
      </c>
      <c r="B827" t="s">
        <v>7267</v>
      </c>
      <c r="C827" t="s">
        <v>7268</v>
      </c>
      <c r="D827" t="s">
        <v>4020</v>
      </c>
      <c r="E827" t="s">
        <v>7269</v>
      </c>
      <c r="F827" t="s">
        <v>4210</v>
      </c>
      <c r="G827" t="s">
        <v>7270</v>
      </c>
    </row>
    <row r="828">
      <c r="A828" t="s">
        <v>3626</v>
      </c>
      <c r="B828" t="s">
        <v>7271</v>
      </c>
      <c r="C828" t="s">
        <v>7272</v>
      </c>
      <c r="D828" t="s">
        <v>1557</v>
      </c>
      <c r="E828" t="s">
        <v>7273</v>
      </c>
      <c r="F828" t="s">
        <v>4215</v>
      </c>
      <c r="G828" t="s">
        <v>7274</v>
      </c>
    </row>
    <row r="829">
      <c r="A829" t="s">
        <v>3628</v>
      </c>
      <c r="B829" t="s">
        <v>7275</v>
      </c>
      <c r="C829" t="s">
        <v>7276</v>
      </c>
      <c r="D829" t="s">
        <v>4031</v>
      </c>
      <c r="E829" t="s">
        <v>7277</v>
      </c>
      <c r="F829" t="s">
        <v>4220</v>
      </c>
      <c r="G829" t="s">
        <v>7278</v>
      </c>
    </row>
    <row r="830">
      <c r="A830" t="s">
        <v>3630</v>
      </c>
      <c r="B830" t="s">
        <v>7279</v>
      </c>
      <c r="C830" t="s">
        <v>7280</v>
      </c>
      <c r="D830" t="s">
        <v>4037</v>
      </c>
      <c r="E830" t="s">
        <v>7281</v>
      </c>
      <c r="F830" t="s">
        <v>4225</v>
      </c>
      <c r="G830" t="s">
        <v>7282</v>
      </c>
    </row>
    <row r="831">
      <c r="A831" t="s">
        <v>3631</v>
      </c>
      <c r="B831" t="s">
        <v>7283</v>
      </c>
      <c r="C831" t="s">
        <v>7284</v>
      </c>
      <c r="D831" t="s">
        <v>1699</v>
      </c>
      <c r="E831" t="s">
        <v>7285</v>
      </c>
      <c r="F831" t="s">
        <v>4230</v>
      </c>
      <c r="G831" t="s">
        <v>7286</v>
      </c>
    </row>
    <row r="832">
      <c r="A832" t="s">
        <v>3633</v>
      </c>
      <c r="B832" t="s">
        <v>7287</v>
      </c>
      <c r="C832" t="s">
        <v>7288</v>
      </c>
      <c r="D832" t="s">
        <v>1571</v>
      </c>
      <c r="E832" t="s">
        <v>7289</v>
      </c>
      <c r="F832" t="s">
        <v>4235</v>
      </c>
      <c r="G832" t="s">
        <v>7290</v>
      </c>
    </row>
    <row r="833">
      <c r="A833" t="s">
        <v>3634</v>
      </c>
      <c r="B833" t="s">
        <v>7291</v>
      </c>
      <c r="C833" t="s">
        <v>7292</v>
      </c>
      <c r="D833" t="s">
        <v>4053</v>
      </c>
      <c r="E833" t="s">
        <v>6278</v>
      </c>
      <c r="F833" t="s">
        <v>4240</v>
      </c>
      <c r="G833" t="s">
        <v>7293</v>
      </c>
    </row>
    <row r="834">
      <c r="A834" t="s">
        <v>3636</v>
      </c>
      <c r="B834" t="s">
        <v>7294</v>
      </c>
      <c r="C834" t="s">
        <v>7295</v>
      </c>
      <c r="D834" t="s">
        <v>4059</v>
      </c>
      <c r="E834" t="s">
        <v>7296</v>
      </c>
      <c r="F834" t="s">
        <v>4245</v>
      </c>
      <c r="G834" t="s">
        <v>7297</v>
      </c>
    </row>
    <row r="835">
      <c r="A835" t="s">
        <v>3638</v>
      </c>
      <c r="B835" t="s">
        <v>7298</v>
      </c>
      <c r="C835" t="s">
        <v>7299</v>
      </c>
      <c r="D835" t="s">
        <v>4065</v>
      </c>
      <c r="E835" t="s">
        <v>7300</v>
      </c>
      <c r="F835" t="s">
        <v>4250</v>
      </c>
      <c r="G835" t="s">
        <v>7301</v>
      </c>
    </row>
    <row r="836">
      <c r="A836" t="s">
        <v>3640</v>
      </c>
      <c r="B836" t="s">
        <v>7302</v>
      </c>
      <c r="C836" t="s">
        <v>6954</v>
      </c>
      <c r="D836" t="s">
        <v>1578</v>
      </c>
      <c r="E836" t="s">
        <v>7303</v>
      </c>
      <c r="F836" t="s">
        <v>4255</v>
      </c>
      <c r="G836" t="s">
        <v>7304</v>
      </c>
    </row>
    <row r="837">
      <c r="A837" t="s">
        <v>3641</v>
      </c>
      <c r="B837" t="s">
        <v>7305</v>
      </c>
      <c r="C837" t="s">
        <v>7306</v>
      </c>
      <c r="D837" t="s">
        <v>1647</v>
      </c>
      <c r="E837" t="s">
        <v>4613</v>
      </c>
      <c r="F837" t="s">
        <v>4260</v>
      </c>
      <c r="G837" t="s">
        <v>7307</v>
      </c>
    </row>
    <row r="838">
      <c r="A838" t="s">
        <v>3643</v>
      </c>
      <c r="B838" t="s">
        <v>7308</v>
      </c>
      <c r="C838" t="s">
        <v>7309</v>
      </c>
      <c r="D838" t="s">
        <v>3964</v>
      </c>
      <c r="E838" t="s">
        <v>7310</v>
      </c>
      <c r="F838" t="s">
        <v>4265</v>
      </c>
      <c r="G838" t="s">
        <v>7311</v>
      </c>
    </row>
    <row r="839">
      <c r="A839" t="s">
        <v>3645</v>
      </c>
      <c r="B839" t="s">
        <v>7312</v>
      </c>
      <c r="C839" t="s">
        <v>7036</v>
      </c>
      <c r="D839" t="s">
        <v>3970</v>
      </c>
      <c r="E839" t="s">
        <v>7313</v>
      </c>
      <c r="F839" t="s">
        <v>4270</v>
      </c>
      <c r="G839" t="s">
        <v>7314</v>
      </c>
    </row>
    <row r="840">
      <c r="A840" t="s">
        <v>3647</v>
      </c>
      <c r="B840" t="s">
        <v>7315</v>
      </c>
      <c r="C840" t="s">
        <v>7316</v>
      </c>
      <c r="D840" t="s">
        <v>1585</v>
      </c>
      <c r="E840" t="s">
        <v>7317</v>
      </c>
      <c r="F840" t="s">
        <v>4275</v>
      </c>
      <c r="G840" t="s">
        <v>7318</v>
      </c>
    </row>
    <row r="841">
      <c r="A841" t="s">
        <v>3649</v>
      </c>
      <c r="B841" t="s">
        <v>7319</v>
      </c>
      <c r="C841" t="s">
        <v>7320</v>
      </c>
      <c r="D841" t="s">
        <v>4096</v>
      </c>
      <c r="E841" t="s">
        <v>7321</v>
      </c>
      <c r="F841" t="s">
        <v>4280</v>
      </c>
      <c r="G841" t="s">
        <v>7322</v>
      </c>
    </row>
    <row r="842">
      <c r="A842" t="s">
        <v>3651</v>
      </c>
      <c r="B842" t="s">
        <v>7323</v>
      </c>
      <c r="C842" t="s">
        <v>7324</v>
      </c>
      <c r="D842" t="s">
        <v>4102</v>
      </c>
      <c r="E842" t="s">
        <v>7325</v>
      </c>
      <c r="F842" t="s">
        <v>4285</v>
      </c>
      <c r="G842" t="s">
        <v>7326</v>
      </c>
    </row>
    <row r="843">
      <c r="A843" t="s">
        <v>3652</v>
      </c>
      <c r="B843" t="s">
        <v>7327</v>
      </c>
      <c r="C843" t="s">
        <v>7328</v>
      </c>
      <c r="D843" t="s">
        <v>1592</v>
      </c>
      <c r="E843" t="s">
        <v>7329</v>
      </c>
      <c r="F843" t="s">
        <v>4290</v>
      </c>
      <c r="G843" t="s">
        <v>7330</v>
      </c>
    </row>
    <row r="844">
      <c r="A844" t="s">
        <v>3654</v>
      </c>
      <c r="B844" t="s">
        <v>7331</v>
      </c>
      <c r="C844" t="s">
        <v>7332</v>
      </c>
      <c r="D844" t="s">
        <v>3981</v>
      </c>
      <c r="E844" t="s">
        <v>7333</v>
      </c>
      <c r="F844" t="s">
        <v>4295</v>
      </c>
      <c r="G844" t="s">
        <v>7334</v>
      </c>
    </row>
    <row r="845">
      <c r="A845" t="s">
        <v>3655</v>
      </c>
      <c r="B845" t="s">
        <v>7335</v>
      </c>
      <c r="C845" t="s">
        <v>7336</v>
      </c>
      <c r="D845" t="s">
        <v>4118</v>
      </c>
      <c r="E845" t="s">
        <v>7337</v>
      </c>
      <c r="F845" t="s">
        <v>4300</v>
      </c>
      <c r="G845" t="s">
        <v>7338</v>
      </c>
    </row>
    <row r="846">
      <c r="A846" t="s">
        <v>3657</v>
      </c>
      <c r="B846" t="s">
        <v>7339</v>
      </c>
      <c r="C846" t="s">
        <v>7340</v>
      </c>
      <c r="D846" t="s">
        <v>4124</v>
      </c>
      <c r="E846" t="s">
        <v>6536</v>
      </c>
      <c r="F846" t="s">
        <v>4305</v>
      </c>
      <c r="G846" t="s">
        <v>7341</v>
      </c>
    </row>
    <row r="847">
      <c r="A847" t="s">
        <v>3659</v>
      </c>
      <c r="B847" t="s">
        <v>7342</v>
      </c>
      <c r="C847" t="s">
        <v>5589</v>
      </c>
      <c r="D847" t="s">
        <v>4130</v>
      </c>
      <c r="E847" t="s">
        <v>7343</v>
      </c>
      <c r="F847" t="s">
        <v>4310</v>
      </c>
      <c r="G847" t="s">
        <v>7344</v>
      </c>
    </row>
    <row r="848">
      <c r="A848" t="s">
        <v>3661</v>
      </c>
      <c r="B848" t="s">
        <v>7345</v>
      </c>
      <c r="C848" t="s">
        <v>7346</v>
      </c>
      <c r="D848" t="s">
        <v>3987</v>
      </c>
      <c r="E848" t="s">
        <v>7347</v>
      </c>
      <c r="F848" t="s">
        <v>4315</v>
      </c>
      <c r="G848" t="s">
        <v>7348</v>
      </c>
    </row>
    <row r="849">
      <c r="A849" t="s">
        <v>3662</v>
      </c>
      <c r="B849" t="s">
        <v>7349</v>
      </c>
      <c r="C849" t="s">
        <v>7350</v>
      </c>
      <c r="D849" t="s">
        <v>1606</v>
      </c>
      <c r="E849" t="s">
        <v>7351</v>
      </c>
      <c r="F849" t="s">
        <v>4320</v>
      </c>
      <c r="G849" t="s">
        <v>7352</v>
      </c>
    </row>
    <row r="850">
      <c r="A850" t="s">
        <v>3664</v>
      </c>
      <c r="B850" t="s">
        <v>7353</v>
      </c>
      <c r="C850" t="s">
        <v>6350</v>
      </c>
      <c r="D850" t="s">
        <v>3998</v>
      </c>
      <c r="E850" t="s">
        <v>7354</v>
      </c>
      <c r="F850" t="s">
        <v>4325</v>
      </c>
      <c r="G850" t="s">
        <v>7355</v>
      </c>
    </row>
    <row r="851">
      <c r="A851" t="s">
        <v>3665</v>
      </c>
      <c r="B851" t="s">
        <v>7356</v>
      </c>
      <c r="C851" t="s">
        <v>7357</v>
      </c>
      <c r="D851" t="s">
        <v>1613</v>
      </c>
      <c r="E851" t="s">
        <v>7358</v>
      </c>
      <c r="F851" t="s">
        <v>4330</v>
      </c>
      <c r="G851" t="s">
        <v>7359</v>
      </c>
    </row>
    <row r="852">
      <c r="A852" t="s">
        <v>3667</v>
      </c>
      <c r="B852" t="s">
        <v>7360</v>
      </c>
      <c r="C852" t="s">
        <v>7096</v>
      </c>
      <c r="D852" t="s">
        <v>4156</v>
      </c>
      <c r="E852" t="s">
        <v>4720</v>
      </c>
      <c r="F852" t="s">
        <v>4335</v>
      </c>
      <c r="G852" t="s">
        <v>7361</v>
      </c>
    </row>
    <row r="853">
      <c r="A853" t="s">
        <v>3669</v>
      </c>
      <c r="B853" t="s">
        <v>7362</v>
      </c>
      <c r="C853" t="s">
        <v>7363</v>
      </c>
      <c r="D853" t="s">
        <v>4162</v>
      </c>
      <c r="E853" t="s">
        <v>7364</v>
      </c>
      <c r="F853" t="s">
        <v>4340</v>
      </c>
      <c r="G853" t="s">
        <v>7365</v>
      </c>
    </row>
    <row r="854">
      <c r="A854" t="s">
        <v>3672</v>
      </c>
      <c r="B854" t="s">
        <v>7366</v>
      </c>
      <c r="C854" t="s">
        <v>7367</v>
      </c>
      <c r="D854" t="s">
        <v>4168</v>
      </c>
      <c r="E854" t="s">
        <v>7368</v>
      </c>
      <c r="F854" t="s">
        <v>4345</v>
      </c>
      <c r="G854" t="s">
        <v>7369</v>
      </c>
    </row>
    <row r="855">
      <c r="A855" t="s">
        <v>3673</v>
      </c>
      <c r="B855" t="s">
        <v>7370</v>
      </c>
      <c r="C855" t="s">
        <v>7371</v>
      </c>
      <c r="D855" t="s">
        <v>1620</v>
      </c>
      <c r="E855" t="s">
        <v>7372</v>
      </c>
      <c r="F855" t="s">
        <v>4350</v>
      </c>
      <c r="G855" t="s">
        <v>7373</v>
      </c>
    </row>
    <row r="856">
      <c r="A856" t="s">
        <v>3675</v>
      </c>
      <c r="B856" t="s">
        <v>7374</v>
      </c>
      <c r="C856" t="s">
        <v>7375</v>
      </c>
      <c r="D856" t="s">
        <v>4014</v>
      </c>
      <c r="E856" t="s">
        <v>5457</v>
      </c>
      <c r="F856" t="s">
        <v>4355</v>
      </c>
      <c r="G856" t="s">
        <v>7376</v>
      </c>
    </row>
    <row r="857">
      <c r="A857" t="s">
        <v>3676</v>
      </c>
      <c r="B857" t="s">
        <v>7377</v>
      </c>
      <c r="C857" t="s">
        <v>7378</v>
      </c>
      <c r="D857" t="s">
        <v>4020</v>
      </c>
      <c r="E857" t="s">
        <v>7379</v>
      </c>
      <c r="F857" t="s">
        <v>4360</v>
      </c>
      <c r="G857" t="s">
        <v>7380</v>
      </c>
    </row>
    <row r="858">
      <c r="A858" t="s">
        <v>3678</v>
      </c>
      <c r="B858" t="s">
        <v>7381</v>
      </c>
      <c r="C858" t="s">
        <v>7382</v>
      </c>
      <c r="D858" t="s">
        <v>1557</v>
      </c>
      <c r="E858" t="s">
        <v>7383</v>
      </c>
      <c r="F858" t="s">
        <v>4365</v>
      </c>
      <c r="G858" t="s">
        <v>7384</v>
      </c>
    </row>
    <row r="859">
      <c r="A859" t="s">
        <v>3679</v>
      </c>
      <c r="B859" t="s">
        <v>7385</v>
      </c>
      <c r="C859" t="s">
        <v>7386</v>
      </c>
      <c r="D859" t="s">
        <v>4031</v>
      </c>
      <c r="E859" t="s">
        <v>7387</v>
      </c>
      <c r="F859" t="s">
        <v>4370</v>
      </c>
      <c r="G859" t="s">
        <v>7388</v>
      </c>
    </row>
    <row r="860">
      <c r="A860" t="s">
        <v>3682</v>
      </c>
      <c r="B860" t="s">
        <v>7389</v>
      </c>
      <c r="C860" t="s">
        <v>7390</v>
      </c>
      <c r="D860" t="s">
        <v>4037</v>
      </c>
      <c r="E860" t="s">
        <v>7391</v>
      </c>
      <c r="F860" t="s">
        <v>4375</v>
      </c>
      <c r="G860" t="s">
        <v>7392</v>
      </c>
    </row>
    <row r="861">
      <c r="A861" t="s">
        <v>3683</v>
      </c>
      <c r="B861" t="s">
        <v>7393</v>
      </c>
      <c r="C861" t="s">
        <v>7394</v>
      </c>
      <c r="D861" t="s">
        <v>1699</v>
      </c>
      <c r="E861" t="s">
        <v>7395</v>
      </c>
      <c r="F861" t="s">
        <v>4380</v>
      </c>
      <c r="G861" t="s">
        <v>7396</v>
      </c>
    </row>
    <row r="862">
      <c r="A862" t="s">
        <v>3685</v>
      </c>
      <c r="B862" t="s">
        <v>7397</v>
      </c>
      <c r="C862" t="s">
        <v>7398</v>
      </c>
      <c r="D862" t="s">
        <v>1571</v>
      </c>
      <c r="E862" t="s">
        <v>7399</v>
      </c>
      <c r="F862" t="s">
        <v>4385</v>
      </c>
      <c r="G862" t="s">
        <v>7400</v>
      </c>
    </row>
    <row r="863">
      <c r="A863" t="s">
        <v>3687</v>
      </c>
      <c r="B863" t="s">
        <v>7401</v>
      </c>
      <c r="C863" t="s">
        <v>7402</v>
      </c>
      <c r="D863" t="s">
        <v>4053</v>
      </c>
      <c r="E863" t="s">
        <v>7403</v>
      </c>
      <c r="F863" t="s">
        <v>4390</v>
      </c>
      <c r="G863" t="s">
        <v>7404</v>
      </c>
    </row>
    <row r="864">
      <c r="A864" t="s">
        <v>3689</v>
      </c>
      <c r="B864" t="s">
        <v>7405</v>
      </c>
      <c r="C864" t="s">
        <v>7406</v>
      </c>
      <c r="D864" t="s">
        <v>4059</v>
      </c>
      <c r="E864" t="s">
        <v>7407</v>
      </c>
      <c r="F864" t="s">
        <v>4395</v>
      </c>
      <c r="G864" t="s">
        <v>7408</v>
      </c>
    </row>
    <row r="865">
      <c r="A865" t="s">
        <v>3690</v>
      </c>
      <c r="B865" t="s">
        <v>7409</v>
      </c>
      <c r="C865" t="s">
        <v>7410</v>
      </c>
      <c r="D865" t="s">
        <v>4065</v>
      </c>
      <c r="E865" t="s">
        <v>7411</v>
      </c>
      <c r="F865" t="s">
        <v>4164</v>
      </c>
      <c r="G865" t="s">
        <v>7412</v>
      </c>
    </row>
    <row r="866">
      <c r="A866" t="s">
        <v>3692</v>
      </c>
      <c r="B866" t="s">
        <v>7413</v>
      </c>
      <c r="C866" t="s">
        <v>6183</v>
      </c>
      <c r="D866" t="s">
        <v>1578</v>
      </c>
      <c r="E866" t="s">
        <v>7414</v>
      </c>
      <c r="F866" t="s">
        <v>4185</v>
      </c>
      <c r="G866" t="s">
        <v>7415</v>
      </c>
    </row>
    <row r="867">
      <c r="A867" t="s">
        <v>3693</v>
      </c>
      <c r="B867" t="s">
        <v>7416</v>
      </c>
      <c r="C867" t="s">
        <v>7417</v>
      </c>
      <c r="D867" t="s">
        <v>1647</v>
      </c>
      <c r="E867" t="s">
        <v>7418</v>
      </c>
      <c r="F867" t="s">
        <v>4132</v>
      </c>
      <c r="G867" t="s">
        <v>7419</v>
      </c>
    </row>
    <row r="868">
      <c r="A868" t="s">
        <v>3695</v>
      </c>
      <c r="B868" t="s">
        <v>7420</v>
      </c>
      <c r="C868" t="s">
        <v>7421</v>
      </c>
      <c r="D868" t="s">
        <v>3964</v>
      </c>
      <c r="E868" t="s">
        <v>7422</v>
      </c>
      <c r="F868" t="s">
        <v>4225</v>
      </c>
      <c r="G868" t="s">
        <v>7423</v>
      </c>
    </row>
    <row r="869">
      <c r="A869" t="s">
        <v>3696</v>
      </c>
      <c r="B869" t="s">
        <v>7424</v>
      </c>
      <c r="C869" t="s">
        <v>7425</v>
      </c>
      <c r="D869" t="s">
        <v>3970</v>
      </c>
      <c r="E869" t="s">
        <v>7426</v>
      </c>
      <c r="F869" t="s">
        <v>4215</v>
      </c>
      <c r="G869" t="s">
        <v>7427</v>
      </c>
    </row>
    <row r="870">
      <c r="A870" t="s">
        <v>3699</v>
      </c>
      <c r="B870" t="s">
        <v>7428</v>
      </c>
      <c r="C870" t="s">
        <v>7429</v>
      </c>
      <c r="D870" t="s">
        <v>1585</v>
      </c>
      <c r="E870" t="s">
        <v>7430</v>
      </c>
      <c r="F870" t="s">
        <v>4200</v>
      </c>
      <c r="G870" t="s">
        <v>7431</v>
      </c>
    </row>
    <row r="871">
      <c r="A871" t="s">
        <v>3700</v>
      </c>
      <c r="B871" t="s">
        <v>7432</v>
      </c>
      <c r="C871" t="s">
        <v>7433</v>
      </c>
      <c r="D871" t="s">
        <v>4096</v>
      </c>
      <c r="E871" t="s">
        <v>7434</v>
      </c>
      <c r="F871" t="s">
        <v>4205</v>
      </c>
      <c r="G871" t="s">
        <v>7435</v>
      </c>
    </row>
    <row r="872">
      <c r="A872" t="s">
        <v>3702</v>
      </c>
      <c r="B872" t="s">
        <v>7436</v>
      </c>
      <c r="C872" t="s">
        <v>7437</v>
      </c>
      <c r="D872" t="s">
        <v>4102</v>
      </c>
      <c r="E872" t="s">
        <v>7438</v>
      </c>
      <c r="F872" t="s">
        <v>4210</v>
      </c>
      <c r="G872" t="s">
        <v>7439</v>
      </c>
    </row>
    <row r="873">
      <c r="A873" t="s">
        <v>3703</v>
      </c>
      <c r="B873" t="s">
        <v>7440</v>
      </c>
      <c r="C873" t="s">
        <v>4183</v>
      </c>
      <c r="D873" t="s">
        <v>1592</v>
      </c>
      <c r="E873" t="s">
        <v>7441</v>
      </c>
      <c r="F873" t="s">
        <v>4215</v>
      </c>
      <c r="G873" t="s">
        <v>7442</v>
      </c>
    </row>
    <row r="874">
      <c r="A874" t="s">
        <v>3705</v>
      </c>
      <c r="B874" t="s">
        <v>7443</v>
      </c>
      <c r="C874" t="s">
        <v>7444</v>
      </c>
      <c r="D874" t="s">
        <v>3981</v>
      </c>
      <c r="E874" t="s">
        <v>7445</v>
      </c>
      <c r="F874" t="s">
        <v>4220</v>
      </c>
      <c r="G874" t="s">
        <v>7446</v>
      </c>
    </row>
    <row r="875">
      <c r="A875" t="s">
        <v>3707</v>
      </c>
      <c r="B875" t="s">
        <v>7447</v>
      </c>
      <c r="C875" t="s">
        <v>7448</v>
      </c>
      <c r="D875" t="s">
        <v>4118</v>
      </c>
      <c r="E875" t="s">
        <v>7449</v>
      </c>
      <c r="F875" t="s">
        <v>4225</v>
      </c>
      <c r="G875" t="s">
        <v>7450</v>
      </c>
    </row>
    <row r="876">
      <c r="A876" t="s">
        <v>3709</v>
      </c>
      <c r="B876" t="s">
        <v>7451</v>
      </c>
      <c r="C876" t="s">
        <v>7452</v>
      </c>
      <c r="D876" t="s">
        <v>4124</v>
      </c>
      <c r="E876" t="s">
        <v>7453</v>
      </c>
      <c r="F876" t="s">
        <v>4230</v>
      </c>
      <c r="G876" t="s">
        <v>7454</v>
      </c>
    </row>
    <row r="877">
      <c r="A877" t="s">
        <v>3710</v>
      </c>
      <c r="B877" t="s">
        <v>7455</v>
      </c>
      <c r="C877" t="s">
        <v>5205</v>
      </c>
      <c r="D877" t="s">
        <v>4130</v>
      </c>
      <c r="E877" t="s">
        <v>7456</v>
      </c>
      <c r="F877" t="s">
        <v>4235</v>
      </c>
      <c r="G877" t="s">
        <v>7457</v>
      </c>
    </row>
    <row r="878">
      <c r="A878" t="s">
        <v>3712</v>
      </c>
      <c r="B878" t="s">
        <v>7458</v>
      </c>
      <c r="C878" t="s">
        <v>7459</v>
      </c>
      <c r="D878" t="s">
        <v>3987</v>
      </c>
      <c r="E878" t="s">
        <v>7460</v>
      </c>
      <c r="F878" t="s">
        <v>4240</v>
      </c>
      <c r="G878" t="s">
        <v>7461</v>
      </c>
    </row>
    <row r="879">
      <c r="A879" t="s">
        <v>3713</v>
      </c>
      <c r="B879" t="s">
        <v>6511</v>
      </c>
      <c r="C879" t="s">
        <v>7462</v>
      </c>
      <c r="D879" t="s">
        <v>1606</v>
      </c>
      <c r="E879" t="s">
        <v>6513</v>
      </c>
      <c r="F879" t="s">
        <v>4245</v>
      </c>
      <c r="G879" t="s">
        <v>7463</v>
      </c>
    </row>
    <row r="880">
      <c r="A880" t="s">
        <v>3716</v>
      </c>
      <c r="B880" t="s">
        <v>7464</v>
      </c>
      <c r="C880" t="s">
        <v>7465</v>
      </c>
      <c r="D880" t="s">
        <v>3998</v>
      </c>
      <c r="E880" t="s">
        <v>7466</v>
      </c>
      <c r="F880" t="s">
        <v>4250</v>
      </c>
      <c r="G880" t="s">
        <v>7467</v>
      </c>
    </row>
    <row r="881">
      <c r="A881" t="s">
        <v>3717</v>
      </c>
      <c r="B881" t="s">
        <v>7468</v>
      </c>
      <c r="C881" t="s">
        <v>6717</v>
      </c>
      <c r="D881" t="s">
        <v>1613</v>
      </c>
      <c r="E881" t="s">
        <v>5847</v>
      </c>
      <c r="F881" t="s">
        <v>4255</v>
      </c>
      <c r="G881" t="s">
        <v>7469</v>
      </c>
    </row>
    <row r="882">
      <c r="A882" t="s">
        <v>3719</v>
      </c>
      <c r="B882" t="s">
        <v>7470</v>
      </c>
      <c r="C882" t="s">
        <v>7471</v>
      </c>
      <c r="D882" t="s">
        <v>4156</v>
      </c>
      <c r="E882" t="s">
        <v>7472</v>
      </c>
      <c r="F882" t="s">
        <v>4260</v>
      </c>
      <c r="G882" t="s">
        <v>7473</v>
      </c>
    </row>
    <row r="883">
      <c r="A883" t="s">
        <v>3721</v>
      </c>
      <c r="B883" t="s">
        <v>7474</v>
      </c>
      <c r="C883" t="s">
        <v>7475</v>
      </c>
      <c r="D883" t="s">
        <v>4162</v>
      </c>
      <c r="E883" t="s">
        <v>7476</v>
      </c>
      <c r="F883" t="s">
        <v>4265</v>
      </c>
      <c r="G883" t="s">
        <v>7477</v>
      </c>
    </row>
    <row r="884">
      <c r="A884" t="s">
        <v>3723</v>
      </c>
      <c r="B884" t="s">
        <v>7478</v>
      </c>
      <c r="C884" t="s">
        <v>6132</v>
      </c>
      <c r="D884" t="s">
        <v>4168</v>
      </c>
      <c r="E884" t="s">
        <v>7479</v>
      </c>
      <c r="F884" t="s">
        <v>4270</v>
      </c>
      <c r="G884" t="s">
        <v>7480</v>
      </c>
    </row>
    <row r="885">
      <c r="A885" t="s">
        <v>3724</v>
      </c>
      <c r="B885" t="s">
        <v>7481</v>
      </c>
      <c r="C885" t="s">
        <v>7482</v>
      </c>
      <c r="D885" t="s">
        <v>1620</v>
      </c>
      <c r="E885" t="s">
        <v>7483</v>
      </c>
      <c r="F885" t="s">
        <v>4275</v>
      </c>
      <c r="G885" t="s">
        <v>7484</v>
      </c>
    </row>
    <row r="886">
      <c r="A886" t="s">
        <v>3727</v>
      </c>
      <c r="B886" t="s">
        <v>7485</v>
      </c>
      <c r="C886" t="s">
        <v>7486</v>
      </c>
      <c r="D886" t="s">
        <v>4014</v>
      </c>
      <c r="E886" t="s">
        <v>7487</v>
      </c>
      <c r="F886" t="s">
        <v>4280</v>
      </c>
      <c r="G886" t="s">
        <v>7488</v>
      </c>
    </row>
    <row r="887">
      <c r="A887" t="s">
        <v>3729</v>
      </c>
      <c r="B887" t="s">
        <v>7489</v>
      </c>
      <c r="C887" t="s">
        <v>7490</v>
      </c>
      <c r="D887" t="s">
        <v>4020</v>
      </c>
      <c r="E887" t="s">
        <v>7491</v>
      </c>
      <c r="F887" t="s">
        <v>4285</v>
      </c>
      <c r="G887" t="s">
        <v>7492</v>
      </c>
    </row>
    <row r="888">
      <c r="A888" t="s">
        <v>3731</v>
      </c>
      <c r="B888" t="s">
        <v>7493</v>
      </c>
      <c r="C888" t="s">
        <v>7494</v>
      </c>
      <c r="D888" t="s">
        <v>1557</v>
      </c>
      <c r="E888" t="s">
        <v>7495</v>
      </c>
      <c r="F888" t="s">
        <v>4290</v>
      </c>
      <c r="G888" t="s">
        <v>7496</v>
      </c>
    </row>
    <row r="889">
      <c r="A889" t="s">
        <v>3732</v>
      </c>
      <c r="B889" t="s">
        <v>7497</v>
      </c>
      <c r="C889" t="s">
        <v>7498</v>
      </c>
      <c r="D889" t="s">
        <v>4031</v>
      </c>
      <c r="E889" t="s">
        <v>7499</v>
      </c>
      <c r="F889" t="s">
        <v>4295</v>
      </c>
      <c r="G889" t="s">
        <v>7500</v>
      </c>
    </row>
    <row r="890">
      <c r="A890" t="s">
        <v>3735</v>
      </c>
      <c r="B890" t="s">
        <v>7501</v>
      </c>
      <c r="C890" t="s">
        <v>7502</v>
      </c>
      <c r="D890" t="s">
        <v>4037</v>
      </c>
      <c r="E890" t="s">
        <v>7503</v>
      </c>
      <c r="F890" t="s">
        <v>4300</v>
      </c>
      <c r="G890" t="s">
        <v>7504</v>
      </c>
    </row>
    <row r="891">
      <c r="A891" t="s">
        <v>3736</v>
      </c>
      <c r="B891" t="s">
        <v>7505</v>
      </c>
      <c r="C891" t="s">
        <v>7506</v>
      </c>
      <c r="D891" t="s">
        <v>1699</v>
      </c>
      <c r="E891" t="s">
        <v>7507</v>
      </c>
      <c r="F891" t="s">
        <v>4305</v>
      </c>
      <c r="G891" t="s">
        <v>7508</v>
      </c>
    </row>
    <row r="892">
      <c r="A892" t="s">
        <v>3738</v>
      </c>
      <c r="B892" t="s">
        <v>7509</v>
      </c>
      <c r="C892" t="s">
        <v>7510</v>
      </c>
      <c r="D892" t="s">
        <v>1571</v>
      </c>
      <c r="E892" t="s">
        <v>7511</v>
      </c>
      <c r="F892" t="s">
        <v>4310</v>
      </c>
      <c r="G892" t="s">
        <v>7512</v>
      </c>
    </row>
    <row r="893">
      <c r="A893" t="s">
        <v>3739</v>
      </c>
      <c r="B893" t="s">
        <v>7513</v>
      </c>
      <c r="C893" t="s">
        <v>7514</v>
      </c>
      <c r="D893" t="s">
        <v>4053</v>
      </c>
      <c r="E893" t="s">
        <v>7515</v>
      </c>
      <c r="F893" t="s">
        <v>4315</v>
      </c>
      <c r="G893" t="s">
        <v>7516</v>
      </c>
    </row>
    <row r="894">
      <c r="A894" t="s">
        <v>3741</v>
      </c>
      <c r="B894" t="s">
        <v>7517</v>
      </c>
      <c r="C894" t="s">
        <v>7518</v>
      </c>
      <c r="D894" t="s">
        <v>4059</v>
      </c>
      <c r="E894" t="s">
        <v>7519</v>
      </c>
      <c r="F894" t="s">
        <v>4320</v>
      </c>
      <c r="G894" t="s">
        <v>7520</v>
      </c>
    </row>
    <row r="895">
      <c r="A895" t="s">
        <v>3743</v>
      </c>
      <c r="B895" t="s">
        <v>7521</v>
      </c>
      <c r="C895" t="s">
        <v>7004</v>
      </c>
      <c r="D895" t="s">
        <v>4065</v>
      </c>
      <c r="E895" t="s">
        <v>7522</v>
      </c>
      <c r="F895" t="s">
        <v>4325</v>
      </c>
      <c r="G895" t="s">
        <v>7523</v>
      </c>
    </row>
    <row r="896">
      <c r="A896" t="s">
        <v>3746</v>
      </c>
      <c r="B896" t="s">
        <v>7524</v>
      </c>
      <c r="C896" t="s">
        <v>7525</v>
      </c>
      <c r="D896" t="s">
        <v>1578</v>
      </c>
      <c r="E896" t="s">
        <v>7526</v>
      </c>
      <c r="F896" t="s">
        <v>4330</v>
      </c>
      <c r="G896" t="s">
        <v>7527</v>
      </c>
    </row>
    <row r="897">
      <c r="A897" t="s">
        <v>3747</v>
      </c>
      <c r="B897" t="s">
        <v>7528</v>
      </c>
      <c r="C897" t="s">
        <v>7529</v>
      </c>
      <c r="D897" t="s">
        <v>1647</v>
      </c>
      <c r="E897" t="s">
        <v>7530</v>
      </c>
      <c r="F897" t="s">
        <v>4335</v>
      </c>
      <c r="G897" t="s">
        <v>7531</v>
      </c>
    </row>
    <row r="898">
      <c r="A898" t="s">
        <v>3749</v>
      </c>
      <c r="B898" t="s">
        <v>7532</v>
      </c>
      <c r="C898" t="s">
        <v>7533</v>
      </c>
      <c r="D898" t="s">
        <v>3964</v>
      </c>
      <c r="E898" t="s">
        <v>6840</v>
      </c>
      <c r="F898" t="s">
        <v>4340</v>
      </c>
      <c r="G898" t="s">
        <v>7534</v>
      </c>
    </row>
    <row r="899">
      <c r="A899" t="s">
        <v>3750</v>
      </c>
      <c r="B899" t="s">
        <v>7535</v>
      </c>
      <c r="C899" t="s">
        <v>7536</v>
      </c>
      <c r="D899" t="s">
        <v>3970</v>
      </c>
      <c r="E899" t="s">
        <v>4942</v>
      </c>
      <c r="F899" t="s">
        <v>4345</v>
      </c>
      <c r="G899" t="s">
        <v>7537</v>
      </c>
    </row>
    <row r="900">
      <c r="A900" t="s">
        <v>3753</v>
      </c>
      <c r="B900" t="s">
        <v>7538</v>
      </c>
      <c r="C900" t="s">
        <v>7539</v>
      </c>
      <c r="D900" t="s">
        <v>1585</v>
      </c>
      <c r="E900" t="s">
        <v>7540</v>
      </c>
      <c r="F900" t="s">
        <v>4350</v>
      </c>
      <c r="G900" t="s">
        <v>7541</v>
      </c>
    </row>
    <row r="901">
      <c r="A901" t="s">
        <v>3754</v>
      </c>
      <c r="B901" t="s">
        <v>7542</v>
      </c>
      <c r="C901" t="s">
        <v>7543</v>
      </c>
      <c r="D901" t="s">
        <v>4096</v>
      </c>
      <c r="E901" t="s">
        <v>7544</v>
      </c>
      <c r="F901" t="s">
        <v>4355</v>
      </c>
      <c r="G901" t="s">
        <v>7545</v>
      </c>
    </row>
    <row r="902">
      <c r="A902" t="s">
        <v>3756</v>
      </c>
      <c r="B902" t="s">
        <v>7546</v>
      </c>
      <c r="C902" t="s">
        <v>6296</v>
      </c>
      <c r="D902" t="s">
        <v>4102</v>
      </c>
      <c r="E902" t="s">
        <v>7547</v>
      </c>
      <c r="F902" t="s">
        <v>4360</v>
      </c>
      <c r="G902" t="s">
        <v>7548</v>
      </c>
    </row>
    <row r="903">
      <c r="A903" t="s">
        <v>3757</v>
      </c>
      <c r="B903" t="s">
        <v>7549</v>
      </c>
      <c r="C903" t="s">
        <v>7550</v>
      </c>
      <c r="D903" t="s">
        <v>1592</v>
      </c>
      <c r="E903" t="s">
        <v>7551</v>
      </c>
      <c r="F903" t="s">
        <v>4365</v>
      </c>
      <c r="G903" t="s">
        <v>7552</v>
      </c>
    </row>
    <row r="904">
      <c r="A904" t="s">
        <v>3759</v>
      </c>
      <c r="B904" t="s">
        <v>7553</v>
      </c>
      <c r="C904" t="s">
        <v>7554</v>
      </c>
      <c r="D904" t="s">
        <v>3981</v>
      </c>
      <c r="E904" t="s">
        <v>7555</v>
      </c>
      <c r="F904" t="s">
        <v>4370</v>
      </c>
      <c r="G904" t="s">
        <v>7556</v>
      </c>
    </row>
    <row r="905">
      <c r="A905" t="s">
        <v>3761</v>
      </c>
      <c r="B905" t="s">
        <v>7557</v>
      </c>
      <c r="C905" t="s">
        <v>7558</v>
      </c>
      <c r="D905" t="s">
        <v>4118</v>
      </c>
      <c r="E905" t="s">
        <v>5578</v>
      </c>
      <c r="F905" t="s">
        <v>4375</v>
      </c>
      <c r="G905" t="s">
        <v>7559</v>
      </c>
    </row>
    <row r="906">
      <c r="A906" t="s">
        <v>3764</v>
      </c>
      <c r="B906" t="s">
        <v>7560</v>
      </c>
      <c r="C906" t="s">
        <v>7561</v>
      </c>
      <c r="D906" t="s">
        <v>4124</v>
      </c>
      <c r="E906" t="s">
        <v>7562</v>
      </c>
      <c r="F906" t="s">
        <v>4380</v>
      </c>
      <c r="G906" t="s">
        <v>7563</v>
      </c>
    </row>
    <row r="907">
      <c r="A907" t="s">
        <v>3765</v>
      </c>
      <c r="B907" t="s">
        <v>7564</v>
      </c>
      <c r="C907" t="s">
        <v>7565</v>
      </c>
      <c r="D907" t="s">
        <v>4130</v>
      </c>
      <c r="E907" t="s">
        <v>7566</v>
      </c>
      <c r="F907" t="s">
        <v>4385</v>
      </c>
      <c r="G907" t="s">
        <v>7567</v>
      </c>
    </row>
    <row r="908">
      <c r="A908" t="s">
        <v>3768</v>
      </c>
      <c r="B908" t="s">
        <v>7568</v>
      </c>
      <c r="C908" t="s">
        <v>7569</v>
      </c>
      <c r="D908" t="s">
        <v>3987</v>
      </c>
      <c r="E908" t="s">
        <v>7570</v>
      </c>
      <c r="F908" t="s">
        <v>4390</v>
      </c>
      <c r="G908" t="s">
        <v>7571</v>
      </c>
    </row>
    <row r="909">
      <c r="A909" t="s">
        <v>3770</v>
      </c>
      <c r="B909" t="s">
        <v>7572</v>
      </c>
      <c r="C909" t="s">
        <v>7573</v>
      </c>
      <c r="D909" t="s">
        <v>1606</v>
      </c>
      <c r="E909" t="s">
        <v>7574</v>
      </c>
      <c r="F909" t="s">
        <v>4395</v>
      </c>
      <c r="G909" t="s">
        <v>7575</v>
      </c>
    </row>
    <row r="910">
      <c r="A910" t="s">
        <v>3772</v>
      </c>
      <c r="B910" t="s">
        <v>7576</v>
      </c>
      <c r="C910" t="s">
        <v>7577</v>
      </c>
      <c r="D910" t="s">
        <v>3998</v>
      </c>
      <c r="E910" t="s">
        <v>7578</v>
      </c>
      <c r="F910" t="s">
        <v>4164</v>
      </c>
      <c r="G910" t="s">
        <v>7579</v>
      </c>
    </row>
    <row r="911">
      <c r="A911" t="s">
        <v>3773</v>
      </c>
      <c r="B911" t="s">
        <v>7580</v>
      </c>
      <c r="C911" t="s">
        <v>7581</v>
      </c>
      <c r="D911" t="s">
        <v>1613</v>
      </c>
      <c r="E911" t="s">
        <v>7582</v>
      </c>
      <c r="F911" t="s">
        <v>4185</v>
      </c>
      <c r="G911" t="s">
        <v>7583</v>
      </c>
    </row>
    <row r="912">
      <c r="A912" t="s">
        <v>3775</v>
      </c>
      <c r="B912" t="s">
        <v>7584</v>
      </c>
      <c r="C912" t="s">
        <v>7585</v>
      </c>
      <c r="D912" t="s">
        <v>4156</v>
      </c>
      <c r="E912" t="s">
        <v>4649</v>
      </c>
      <c r="F912" t="s">
        <v>4132</v>
      </c>
      <c r="G912" t="s">
        <v>7586</v>
      </c>
    </row>
    <row r="913">
      <c r="A913" t="s">
        <v>3777</v>
      </c>
      <c r="B913" t="s">
        <v>7587</v>
      </c>
      <c r="C913" t="s">
        <v>7588</v>
      </c>
      <c r="D913" t="s">
        <v>4162</v>
      </c>
      <c r="E913" t="s">
        <v>7589</v>
      </c>
      <c r="F913" t="s">
        <v>4225</v>
      </c>
      <c r="G913" t="s">
        <v>7590</v>
      </c>
    </row>
    <row r="914">
      <c r="A914" t="s">
        <v>3780</v>
      </c>
      <c r="B914" t="s">
        <v>7591</v>
      </c>
      <c r="C914" t="s">
        <v>7592</v>
      </c>
      <c r="D914" t="s">
        <v>4168</v>
      </c>
      <c r="E914" t="s">
        <v>7593</v>
      </c>
      <c r="F914" t="s">
        <v>4215</v>
      </c>
      <c r="G914" t="s">
        <v>7594</v>
      </c>
    </row>
    <row r="915">
      <c r="A915" t="s">
        <v>3781</v>
      </c>
      <c r="B915" t="s">
        <v>7595</v>
      </c>
      <c r="C915" t="s">
        <v>7596</v>
      </c>
      <c r="D915" t="s">
        <v>1620</v>
      </c>
      <c r="E915" t="s">
        <v>7597</v>
      </c>
      <c r="F915" t="s">
        <v>4200</v>
      </c>
      <c r="G915" t="s">
        <v>7598</v>
      </c>
    </row>
    <row r="916">
      <c r="A916" t="s">
        <v>3783</v>
      </c>
      <c r="B916" t="s">
        <v>7599</v>
      </c>
      <c r="C916" t="s">
        <v>7600</v>
      </c>
      <c r="D916" t="s">
        <v>4014</v>
      </c>
      <c r="E916" t="s">
        <v>4856</v>
      </c>
      <c r="F916" t="s">
        <v>4205</v>
      </c>
      <c r="G916" t="s">
        <v>7601</v>
      </c>
    </row>
    <row r="917">
      <c r="A917" t="s">
        <v>3785</v>
      </c>
      <c r="B917" t="s">
        <v>7602</v>
      </c>
      <c r="C917" t="s">
        <v>7603</v>
      </c>
      <c r="D917" t="s">
        <v>4020</v>
      </c>
      <c r="E917" t="s">
        <v>7604</v>
      </c>
      <c r="F917" t="s">
        <v>4210</v>
      </c>
      <c r="G917" t="s">
        <v>7605</v>
      </c>
    </row>
    <row r="918">
      <c r="A918" t="s">
        <v>3787</v>
      </c>
      <c r="B918" t="s">
        <v>7606</v>
      </c>
      <c r="C918" t="s">
        <v>7607</v>
      </c>
      <c r="D918" t="s">
        <v>1557</v>
      </c>
      <c r="E918" t="s">
        <v>7608</v>
      </c>
      <c r="F918" t="s">
        <v>4215</v>
      </c>
      <c r="G918" t="s">
        <v>7609</v>
      </c>
    </row>
    <row r="919">
      <c r="A919" t="s">
        <v>3788</v>
      </c>
      <c r="B919" t="s">
        <v>7610</v>
      </c>
      <c r="C919" t="s">
        <v>7611</v>
      </c>
      <c r="D919" t="s">
        <v>4031</v>
      </c>
      <c r="E919" t="s">
        <v>7612</v>
      </c>
      <c r="F919" t="s">
        <v>4220</v>
      </c>
      <c r="G919" t="s">
        <v>7613</v>
      </c>
    </row>
    <row r="920">
      <c r="A920" t="s">
        <v>3790</v>
      </c>
      <c r="B920" t="s">
        <v>7614</v>
      </c>
      <c r="C920" t="s">
        <v>7615</v>
      </c>
      <c r="D920" t="s">
        <v>4037</v>
      </c>
      <c r="E920" t="s">
        <v>7616</v>
      </c>
      <c r="F920" t="s">
        <v>4225</v>
      </c>
      <c r="G920" t="s">
        <v>7617</v>
      </c>
    </row>
    <row r="921">
      <c r="A921" t="s">
        <v>3791</v>
      </c>
      <c r="B921" t="s">
        <v>7618</v>
      </c>
      <c r="C921" t="s">
        <v>7619</v>
      </c>
      <c r="D921" t="s">
        <v>1699</v>
      </c>
      <c r="E921" t="s">
        <v>7620</v>
      </c>
      <c r="F921" t="s">
        <v>4230</v>
      </c>
      <c r="G921" t="s">
        <v>7621</v>
      </c>
    </row>
    <row r="922">
      <c r="A922" t="s">
        <v>3793</v>
      </c>
      <c r="B922" t="s">
        <v>7622</v>
      </c>
      <c r="C922" t="s">
        <v>7623</v>
      </c>
      <c r="D922" t="s">
        <v>1571</v>
      </c>
      <c r="E922" t="s">
        <v>5340</v>
      </c>
      <c r="F922" t="s">
        <v>4235</v>
      </c>
      <c r="G922" t="s">
        <v>7624</v>
      </c>
    </row>
    <row r="923">
      <c r="A923" t="s">
        <v>3795</v>
      </c>
      <c r="B923" t="s">
        <v>7625</v>
      </c>
      <c r="C923" t="s">
        <v>7626</v>
      </c>
      <c r="D923" t="s">
        <v>4053</v>
      </c>
      <c r="E923" t="s">
        <v>7627</v>
      </c>
      <c r="F923" t="s">
        <v>4240</v>
      </c>
      <c r="G923" t="s">
        <v>7628</v>
      </c>
    </row>
    <row r="924">
      <c r="A924" t="s">
        <v>3797</v>
      </c>
      <c r="B924" t="s">
        <v>7629</v>
      </c>
      <c r="C924" t="s">
        <v>7630</v>
      </c>
      <c r="D924" t="s">
        <v>4059</v>
      </c>
      <c r="E924" t="s">
        <v>7631</v>
      </c>
      <c r="F924" t="s">
        <v>4245</v>
      </c>
      <c r="G924" t="s">
        <v>7632</v>
      </c>
    </row>
    <row r="925">
      <c r="A925" t="s">
        <v>3799</v>
      </c>
      <c r="B925" t="s">
        <v>7633</v>
      </c>
      <c r="C925" t="s">
        <v>7634</v>
      </c>
      <c r="D925" t="s">
        <v>4065</v>
      </c>
      <c r="E925" t="s">
        <v>7635</v>
      </c>
      <c r="F925" t="s">
        <v>4250</v>
      </c>
      <c r="G925" t="s">
        <v>7636</v>
      </c>
    </row>
    <row r="926">
      <c r="A926" t="s">
        <v>3802</v>
      </c>
      <c r="B926" t="s">
        <v>7637</v>
      </c>
      <c r="C926" t="s">
        <v>6202</v>
      </c>
      <c r="D926" t="s">
        <v>1578</v>
      </c>
      <c r="E926" t="s">
        <v>7638</v>
      </c>
      <c r="F926" t="s">
        <v>4255</v>
      </c>
      <c r="G926" t="s">
        <v>7639</v>
      </c>
    </row>
    <row r="927">
      <c r="A927" t="s">
        <v>3803</v>
      </c>
      <c r="B927" t="s">
        <v>7640</v>
      </c>
      <c r="C927" t="s">
        <v>7641</v>
      </c>
      <c r="D927" t="s">
        <v>1647</v>
      </c>
      <c r="E927" t="s">
        <v>7642</v>
      </c>
      <c r="F927" t="s">
        <v>4260</v>
      </c>
      <c r="G927" t="s">
        <v>7643</v>
      </c>
    </row>
    <row r="928">
      <c r="A928" t="s">
        <v>3805</v>
      </c>
      <c r="B928" t="s">
        <v>7644</v>
      </c>
      <c r="C928" t="s">
        <v>7645</v>
      </c>
      <c r="D928" t="s">
        <v>3964</v>
      </c>
      <c r="E928" t="s">
        <v>7646</v>
      </c>
      <c r="F928" t="s">
        <v>4265</v>
      </c>
      <c r="G928" t="s">
        <v>7647</v>
      </c>
    </row>
    <row r="929">
      <c r="A929" t="s">
        <v>3807</v>
      </c>
      <c r="B929" t="s">
        <v>7648</v>
      </c>
      <c r="C929" t="s">
        <v>7649</v>
      </c>
      <c r="D929" t="s">
        <v>3970</v>
      </c>
      <c r="E929" t="s">
        <v>7650</v>
      </c>
      <c r="F929" t="s">
        <v>4270</v>
      </c>
      <c r="G929" t="s">
        <v>7651</v>
      </c>
    </row>
    <row r="930">
      <c r="A930" t="s">
        <v>3809</v>
      </c>
      <c r="B930" t="s">
        <v>7652</v>
      </c>
      <c r="C930" t="s">
        <v>7653</v>
      </c>
      <c r="D930" t="s">
        <v>1585</v>
      </c>
      <c r="E930" t="s">
        <v>7654</v>
      </c>
      <c r="F930" t="s">
        <v>4275</v>
      </c>
      <c r="G930" t="s">
        <v>7655</v>
      </c>
    </row>
    <row r="931">
      <c r="A931" t="s">
        <v>3811</v>
      </c>
      <c r="B931" t="s">
        <v>7656</v>
      </c>
      <c r="C931" t="s">
        <v>7657</v>
      </c>
      <c r="D931" t="s">
        <v>4096</v>
      </c>
      <c r="E931" t="s">
        <v>7658</v>
      </c>
      <c r="F931" t="s">
        <v>4280</v>
      </c>
      <c r="G931" t="s">
        <v>7659</v>
      </c>
    </row>
    <row r="932">
      <c r="A932" t="s">
        <v>3813</v>
      </c>
      <c r="B932" t="s">
        <v>7660</v>
      </c>
      <c r="C932" t="s">
        <v>7661</v>
      </c>
      <c r="D932" t="s">
        <v>4102</v>
      </c>
      <c r="E932" t="s">
        <v>7662</v>
      </c>
      <c r="F932" t="s">
        <v>4285</v>
      </c>
      <c r="G932" t="s">
        <v>7663</v>
      </c>
    </row>
    <row r="933">
      <c r="A933" t="s">
        <v>3814</v>
      </c>
      <c r="B933" t="s">
        <v>7664</v>
      </c>
      <c r="C933" t="s">
        <v>7665</v>
      </c>
      <c r="D933" t="s">
        <v>1592</v>
      </c>
      <c r="E933" t="s">
        <v>7666</v>
      </c>
      <c r="F933" t="s">
        <v>4290</v>
      </c>
      <c r="G933" t="s">
        <v>7667</v>
      </c>
    </row>
    <row r="934">
      <c r="A934" t="s">
        <v>3817</v>
      </c>
      <c r="B934" t="s">
        <v>7668</v>
      </c>
      <c r="C934" t="s">
        <v>7669</v>
      </c>
      <c r="D934" t="s">
        <v>3981</v>
      </c>
      <c r="E934" t="s">
        <v>7670</v>
      </c>
      <c r="F934" t="s">
        <v>4295</v>
      </c>
      <c r="G934" t="s">
        <v>7671</v>
      </c>
    </row>
    <row r="935">
      <c r="A935" t="s">
        <v>3818</v>
      </c>
      <c r="B935" t="s">
        <v>7672</v>
      </c>
      <c r="C935" t="s">
        <v>7673</v>
      </c>
      <c r="D935" t="s">
        <v>4118</v>
      </c>
      <c r="E935" t="s">
        <v>7674</v>
      </c>
      <c r="F935" t="s">
        <v>4300</v>
      </c>
      <c r="G935" t="s">
        <v>7675</v>
      </c>
    </row>
    <row r="936">
      <c r="A936" t="s">
        <v>3820</v>
      </c>
      <c r="B936" t="s">
        <v>7676</v>
      </c>
      <c r="C936" t="s">
        <v>7677</v>
      </c>
      <c r="D936" t="s">
        <v>4124</v>
      </c>
      <c r="E936" t="s">
        <v>5582</v>
      </c>
      <c r="F936" t="s">
        <v>4305</v>
      </c>
      <c r="G936" t="s">
        <v>7678</v>
      </c>
    </row>
    <row r="937">
      <c r="A937" t="s">
        <v>3822</v>
      </c>
      <c r="B937" t="s">
        <v>7679</v>
      </c>
      <c r="C937" t="s">
        <v>7680</v>
      </c>
      <c r="D937" t="s">
        <v>4130</v>
      </c>
      <c r="E937" t="s">
        <v>7681</v>
      </c>
      <c r="F937" t="s">
        <v>4310</v>
      </c>
      <c r="G937" t="s">
        <v>7682</v>
      </c>
    </row>
    <row r="938">
      <c r="A938" t="s">
        <v>3825</v>
      </c>
      <c r="B938" t="s">
        <v>7683</v>
      </c>
      <c r="C938" t="s">
        <v>7684</v>
      </c>
      <c r="D938" t="s">
        <v>3987</v>
      </c>
      <c r="E938" t="s">
        <v>7685</v>
      </c>
      <c r="F938" t="s">
        <v>4315</v>
      </c>
      <c r="G938" t="s">
        <v>7686</v>
      </c>
    </row>
    <row r="939">
      <c r="A939" t="s">
        <v>3826</v>
      </c>
      <c r="B939" t="s">
        <v>7687</v>
      </c>
      <c r="C939" t="s">
        <v>7688</v>
      </c>
      <c r="D939" t="s">
        <v>1606</v>
      </c>
      <c r="E939" t="s">
        <v>7689</v>
      </c>
      <c r="F939" t="s">
        <v>4320</v>
      </c>
      <c r="G939" t="s">
        <v>7690</v>
      </c>
    </row>
    <row r="940">
      <c r="A940" t="s">
        <v>3828</v>
      </c>
      <c r="B940" t="s">
        <v>7691</v>
      </c>
      <c r="C940" t="s">
        <v>7692</v>
      </c>
      <c r="D940" t="s">
        <v>3998</v>
      </c>
      <c r="E940" t="s">
        <v>7693</v>
      </c>
      <c r="F940" t="s">
        <v>4325</v>
      </c>
      <c r="G940" t="s">
        <v>7694</v>
      </c>
    </row>
    <row r="941">
      <c r="A941" t="s">
        <v>3829</v>
      </c>
      <c r="B941" t="s">
        <v>7695</v>
      </c>
      <c r="C941" t="s">
        <v>7696</v>
      </c>
      <c r="D941" t="s">
        <v>1613</v>
      </c>
      <c r="E941" t="s">
        <v>7697</v>
      </c>
      <c r="F941" t="s">
        <v>4330</v>
      </c>
      <c r="G941" t="s">
        <v>7698</v>
      </c>
    </row>
    <row r="942">
      <c r="A942" t="s">
        <v>3831</v>
      </c>
      <c r="B942" t="s">
        <v>7699</v>
      </c>
      <c r="C942" t="s">
        <v>7700</v>
      </c>
      <c r="D942" t="s">
        <v>4156</v>
      </c>
      <c r="E942" t="s">
        <v>7701</v>
      </c>
      <c r="F942" t="s">
        <v>4335</v>
      </c>
      <c r="G942" t="s">
        <v>7702</v>
      </c>
    </row>
    <row r="943">
      <c r="A943" t="s">
        <v>3833</v>
      </c>
      <c r="B943" t="s">
        <v>7703</v>
      </c>
      <c r="C943" t="s">
        <v>7704</v>
      </c>
      <c r="D943" t="s">
        <v>4162</v>
      </c>
      <c r="E943" t="s">
        <v>7705</v>
      </c>
      <c r="F943" t="s">
        <v>4340</v>
      </c>
      <c r="G943" t="s">
        <v>7706</v>
      </c>
    </row>
    <row r="944">
      <c r="A944" t="s">
        <v>3835</v>
      </c>
      <c r="B944" t="s">
        <v>7707</v>
      </c>
      <c r="C944" t="s">
        <v>4368</v>
      </c>
      <c r="D944" t="s">
        <v>4168</v>
      </c>
      <c r="E944" t="s">
        <v>7708</v>
      </c>
      <c r="F944" t="s">
        <v>4345</v>
      </c>
      <c r="G944" t="s">
        <v>7709</v>
      </c>
    </row>
    <row r="945">
      <c r="A945" t="s">
        <v>3836</v>
      </c>
      <c r="B945" t="s">
        <v>7710</v>
      </c>
      <c r="C945" t="s">
        <v>7711</v>
      </c>
      <c r="D945" t="s">
        <v>1620</v>
      </c>
      <c r="E945" t="s">
        <v>7712</v>
      </c>
      <c r="F945" t="s">
        <v>4350</v>
      </c>
      <c r="G945" t="s">
        <v>7713</v>
      </c>
    </row>
    <row r="946">
      <c r="A946" t="s">
        <v>3838</v>
      </c>
      <c r="B946" t="s">
        <v>7714</v>
      </c>
      <c r="C946" t="s">
        <v>5865</v>
      </c>
      <c r="D946" t="s">
        <v>4014</v>
      </c>
      <c r="E946" t="s">
        <v>7715</v>
      </c>
      <c r="F946" t="s">
        <v>4355</v>
      </c>
      <c r="G946" t="s">
        <v>7716</v>
      </c>
    </row>
    <row r="947">
      <c r="A947" t="s">
        <v>3840</v>
      </c>
      <c r="B947" t="s">
        <v>7717</v>
      </c>
      <c r="C947" t="s">
        <v>7718</v>
      </c>
      <c r="D947" t="s">
        <v>4020</v>
      </c>
      <c r="E947" t="s">
        <v>7719</v>
      </c>
      <c r="F947" t="s">
        <v>4360</v>
      </c>
      <c r="G947" t="s">
        <v>7720</v>
      </c>
    </row>
    <row r="948">
      <c r="A948" t="s">
        <v>3842</v>
      </c>
      <c r="B948" t="s">
        <v>7721</v>
      </c>
      <c r="C948" t="s">
        <v>7722</v>
      </c>
      <c r="D948" t="s">
        <v>1557</v>
      </c>
      <c r="E948" t="s">
        <v>7723</v>
      </c>
      <c r="F948" t="s">
        <v>4365</v>
      </c>
      <c r="G948" t="s">
        <v>7724</v>
      </c>
    </row>
    <row r="949">
      <c r="A949" t="s">
        <v>3844</v>
      </c>
      <c r="B949" t="s">
        <v>7725</v>
      </c>
      <c r="C949" t="s">
        <v>7726</v>
      </c>
      <c r="D949" t="s">
        <v>4031</v>
      </c>
      <c r="E949" t="s">
        <v>7727</v>
      </c>
      <c r="F949" t="s">
        <v>4370</v>
      </c>
      <c r="G949" t="s">
        <v>7728</v>
      </c>
    </row>
    <row r="950">
      <c r="A950" t="s">
        <v>3846</v>
      </c>
      <c r="B950" t="s">
        <v>7729</v>
      </c>
      <c r="C950" t="s">
        <v>6524</v>
      </c>
      <c r="D950" t="s">
        <v>4037</v>
      </c>
      <c r="E950" t="s">
        <v>7730</v>
      </c>
      <c r="F950" t="s">
        <v>4375</v>
      </c>
      <c r="G950" t="s">
        <v>7731</v>
      </c>
    </row>
    <row r="951">
      <c r="A951" t="s">
        <v>3847</v>
      </c>
      <c r="B951" t="s">
        <v>6464</v>
      </c>
      <c r="C951" t="s">
        <v>7732</v>
      </c>
      <c r="D951" t="s">
        <v>1699</v>
      </c>
      <c r="E951" t="s">
        <v>6466</v>
      </c>
      <c r="F951" t="s">
        <v>4380</v>
      </c>
      <c r="G951" t="s">
        <v>7733</v>
      </c>
    </row>
    <row r="952">
      <c r="A952" t="s">
        <v>3849</v>
      </c>
      <c r="B952" t="s">
        <v>7734</v>
      </c>
      <c r="C952" t="s">
        <v>7735</v>
      </c>
      <c r="D952" t="s">
        <v>1571</v>
      </c>
      <c r="E952" t="s">
        <v>7736</v>
      </c>
      <c r="F952" t="s">
        <v>4385</v>
      </c>
      <c r="G952" t="s">
        <v>7737</v>
      </c>
    </row>
    <row r="953">
      <c r="A953" t="s">
        <v>3851</v>
      </c>
      <c r="B953" t="s">
        <v>7738</v>
      </c>
      <c r="C953" t="s">
        <v>7739</v>
      </c>
      <c r="D953" t="s">
        <v>4053</v>
      </c>
      <c r="E953" t="s">
        <v>7740</v>
      </c>
      <c r="F953" t="s">
        <v>4390</v>
      </c>
      <c r="G953" t="s">
        <v>7741</v>
      </c>
    </row>
    <row r="954">
      <c r="A954" t="s">
        <v>3853</v>
      </c>
      <c r="B954" t="s">
        <v>7742</v>
      </c>
      <c r="C954" t="s">
        <v>7743</v>
      </c>
      <c r="D954" t="s">
        <v>4059</v>
      </c>
      <c r="E954" t="s">
        <v>7744</v>
      </c>
      <c r="F954" t="s">
        <v>4395</v>
      </c>
      <c r="G954" t="s">
        <v>7745</v>
      </c>
    </row>
    <row r="955">
      <c r="A955" t="s">
        <v>3854</v>
      </c>
      <c r="B955" t="s">
        <v>7746</v>
      </c>
      <c r="C955" t="s">
        <v>7747</v>
      </c>
      <c r="D955" t="s">
        <v>4065</v>
      </c>
      <c r="E955" t="s">
        <v>7748</v>
      </c>
      <c r="F955" t="s">
        <v>4164</v>
      </c>
      <c r="G955" t="s">
        <v>7749</v>
      </c>
    </row>
    <row r="956">
      <c r="A956" t="s">
        <v>3856</v>
      </c>
      <c r="B956" t="s">
        <v>7750</v>
      </c>
      <c r="C956" t="s">
        <v>7751</v>
      </c>
      <c r="D956" t="s">
        <v>1578</v>
      </c>
      <c r="E956" t="s">
        <v>5728</v>
      </c>
      <c r="F956" t="s">
        <v>4185</v>
      </c>
      <c r="G956" t="s">
        <v>7752</v>
      </c>
    </row>
    <row r="957">
      <c r="A957" t="s">
        <v>3858</v>
      </c>
      <c r="B957" t="s">
        <v>7753</v>
      </c>
      <c r="C957" t="s">
        <v>7754</v>
      </c>
      <c r="D957" t="s">
        <v>1647</v>
      </c>
      <c r="E957" t="s">
        <v>7755</v>
      </c>
      <c r="F957" t="s">
        <v>4132</v>
      </c>
      <c r="G957" t="s">
        <v>7756</v>
      </c>
    </row>
    <row r="958">
      <c r="A958" t="s">
        <v>3860</v>
      </c>
      <c r="B958" t="s">
        <v>7757</v>
      </c>
      <c r="C958" t="s">
        <v>7758</v>
      </c>
      <c r="D958" t="s">
        <v>3964</v>
      </c>
      <c r="E958" t="s">
        <v>7759</v>
      </c>
      <c r="F958" t="s">
        <v>4225</v>
      </c>
      <c r="G958" t="s">
        <v>7760</v>
      </c>
    </row>
    <row r="959">
      <c r="A959" t="s">
        <v>3861</v>
      </c>
      <c r="B959" t="s">
        <v>7761</v>
      </c>
      <c r="C959" t="s">
        <v>7762</v>
      </c>
      <c r="D959" t="s">
        <v>3970</v>
      </c>
      <c r="E959" t="s">
        <v>7763</v>
      </c>
      <c r="F959" t="s">
        <v>4215</v>
      </c>
      <c r="G959" t="s">
        <v>7764</v>
      </c>
    </row>
    <row r="960">
      <c r="A960" t="s">
        <v>3863</v>
      </c>
      <c r="B960" t="s">
        <v>7765</v>
      </c>
      <c r="C960" t="s">
        <v>7766</v>
      </c>
      <c r="D960" t="s">
        <v>1585</v>
      </c>
      <c r="E960" t="s">
        <v>7767</v>
      </c>
      <c r="F960" t="s">
        <v>4200</v>
      </c>
      <c r="G960" t="s">
        <v>7768</v>
      </c>
    </row>
    <row r="961">
      <c r="A961" t="s">
        <v>3864</v>
      </c>
      <c r="B961" t="s">
        <v>7769</v>
      </c>
      <c r="C961" t="s">
        <v>7770</v>
      </c>
      <c r="D961" t="s">
        <v>4096</v>
      </c>
      <c r="E961" t="s">
        <v>7771</v>
      </c>
      <c r="F961" t="s">
        <v>4205</v>
      </c>
      <c r="G961" t="s">
        <v>7772</v>
      </c>
    </row>
    <row r="962">
      <c r="A962" t="s">
        <v>3866</v>
      </c>
      <c r="B962" t="s">
        <v>7773</v>
      </c>
      <c r="C962" t="s">
        <v>7774</v>
      </c>
      <c r="D962" t="s">
        <v>4102</v>
      </c>
      <c r="E962" t="s">
        <v>7775</v>
      </c>
      <c r="F962" t="s">
        <v>4210</v>
      </c>
      <c r="G962" t="s">
        <v>7776</v>
      </c>
    </row>
    <row r="963">
      <c r="A963" t="s">
        <v>3867</v>
      </c>
      <c r="B963" t="s">
        <v>7777</v>
      </c>
      <c r="C963" t="s">
        <v>7778</v>
      </c>
      <c r="D963" t="s">
        <v>1592</v>
      </c>
      <c r="E963" t="s">
        <v>7779</v>
      </c>
      <c r="F963" t="s">
        <v>4215</v>
      </c>
      <c r="G963" t="s">
        <v>7780</v>
      </c>
    </row>
    <row r="964">
      <c r="A964" t="s">
        <v>3869</v>
      </c>
      <c r="B964" t="s">
        <v>7781</v>
      </c>
      <c r="C964" t="s">
        <v>7782</v>
      </c>
      <c r="D964" t="s">
        <v>3981</v>
      </c>
      <c r="E964" t="s">
        <v>7783</v>
      </c>
      <c r="F964" t="s">
        <v>4220</v>
      </c>
      <c r="G964" t="s">
        <v>7784</v>
      </c>
    </row>
    <row r="965">
      <c r="A965" t="s">
        <v>3870</v>
      </c>
      <c r="B965" t="s">
        <v>7785</v>
      </c>
      <c r="C965" t="s">
        <v>7786</v>
      </c>
      <c r="D965" t="s">
        <v>4118</v>
      </c>
      <c r="E965" t="s">
        <v>7787</v>
      </c>
      <c r="F965" t="s">
        <v>4225</v>
      </c>
      <c r="G965" t="s">
        <v>7788</v>
      </c>
    </row>
    <row r="966">
      <c r="A966" t="s">
        <v>3872</v>
      </c>
      <c r="B966" t="s">
        <v>7789</v>
      </c>
      <c r="C966" t="s">
        <v>7790</v>
      </c>
      <c r="D966" t="s">
        <v>4124</v>
      </c>
      <c r="E966" t="s">
        <v>7791</v>
      </c>
      <c r="F966" t="s">
        <v>4230</v>
      </c>
      <c r="G966" t="s">
        <v>7792</v>
      </c>
    </row>
    <row r="967">
      <c r="A967" t="s">
        <v>3873</v>
      </c>
      <c r="B967" t="s">
        <v>7793</v>
      </c>
      <c r="C967" t="s">
        <v>7794</v>
      </c>
      <c r="D967" t="s">
        <v>4130</v>
      </c>
      <c r="E967" t="s">
        <v>7795</v>
      </c>
      <c r="F967" t="s">
        <v>4235</v>
      </c>
      <c r="G967" t="s">
        <v>7796</v>
      </c>
    </row>
    <row r="968">
      <c r="A968" t="s">
        <v>3875</v>
      </c>
      <c r="B968" t="s">
        <v>7797</v>
      </c>
      <c r="C968" t="s">
        <v>7798</v>
      </c>
      <c r="D968" t="s">
        <v>3987</v>
      </c>
      <c r="E968" t="s">
        <v>7799</v>
      </c>
      <c r="F968" t="s">
        <v>4240</v>
      </c>
      <c r="G968" t="s">
        <v>7800</v>
      </c>
    </row>
    <row r="969">
      <c r="A969" t="s">
        <v>3876</v>
      </c>
      <c r="B969" t="s">
        <v>7801</v>
      </c>
      <c r="C969" t="s">
        <v>7802</v>
      </c>
      <c r="D969" t="s">
        <v>1606</v>
      </c>
      <c r="E969" t="s">
        <v>7803</v>
      </c>
      <c r="F969" t="s">
        <v>4245</v>
      </c>
      <c r="G969" t="s">
        <v>7804</v>
      </c>
    </row>
    <row r="970">
      <c r="A970" t="s">
        <v>3878</v>
      </c>
      <c r="B970" t="s">
        <v>7805</v>
      </c>
      <c r="C970" t="s">
        <v>7806</v>
      </c>
      <c r="D970" t="s">
        <v>3998</v>
      </c>
      <c r="E970" t="s">
        <v>4179</v>
      </c>
      <c r="F970" t="s">
        <v>4250</v>
      </c>
      <c r="G970" t="s">
        <v>7807</v>
      </c>
    </row>
    <row r="971">
      <c r="A971" t="s">
        <v>3879</v>
      </c>
      <c r="B971" t="s">
        <v>6657</v>
      </c>
      <c r="C971" t="s">
        <v>7808</v>
      </c>
      <c r="D971" t="s">
        <v>1613</v>
      </c>
      <c r="E971" t="s">
        <v>7809</v>
      </c>
      <c r="F971" t="s">
        <v>4255</v>
      </c>
      <c r="G971" t="s">
        <v>7810</v>
      </c>
    </row>
    <row r="972">
      <c r="A972" t="s">
        <v>3881</v>
      </c>
      <c r="B972" t="s">
        <v>7811</v>
      </c>
      <c r="C972" t="s">
        <v>7812</v>
      </c>
      <c r="D972" t="s">
        <v>4156</v>
      </c>
      <c r="E972" t="s">
        <v>7813</v>
      </c>
      <c r="F972" t="s">
        <v>4260</v>
      </c>
      <c r="G972" t="s">
        <v>7814</v>
      </c>
    </row>
    <row r="973">
      <c r="A973" t="s">
        <v>3883</v>
      </c>
      <c r="B973" t="s">
        <v>7815</v>
      </c>
      <c r="C973" t="s">
        <v>7816</v>
      </c>
      <c r="D973" t="s">
        <v>4162</v>
      </c>
      <c r="E973" t="s">
        <v>7817</v>
      </c>
      <c r="F973" t="s">
        <v>4265</v>
      </c>
      <c r="G973" t="s">
        <v>7818</v>
      </c>
    </row>
    <row r="974">
      <c r="A974" t="s">
        <v>3885</v>
      </c>
      <c r="B974" t="s">
        <v>7819</v>
      </c>
      <c r="C974" t="s">
        <v>7820</v>
      </c>
      <c r="D974" t="s">
        <v>4168</v>
      </c>
      <c r="E974" t="s">
        <v>7821</v>
      </c>
      <c r="F974" t="s">
        <v>4270</v>
      </c>
      <c r="G974" t="s">
        <v>7822</v>
      </c>
    </row>
    <row r="975">
      <c r="A975" t="s">
        <v>3886</v>
      </c>
      <c r="B975" t="s">
        <v>7823</v>
      </c>
      <c r="C975" t="s">
        <v>7824</v>
      </c>
      <c r="D975" t="s">
        <v>1620</v>
      </c>
      <c r="E975" t="s">
        <v>7825</v>
      </c>
      <c r="F975" t="s">
        <v>4275</v>
      </c>
      <c r="G975" t="s">
        <v>7826</v>
      </c>
    </row>
    <row r="976">
      <c r="A976" t="s">
        <v>3888</v>
      </c>
      <c r="B976" t="s">
        <v>7827</v>
      </c>
      <c r="C976" t="s">
        <v>5165</v>
      </c>
      <c r="D976" t="s">
        <v>4014</v>
      </c>
      <c r="E976" t="s">
        <v>4439</v>
      </c>
      <c r="F976" t="s">
        <v>4280</v>
      </c>
      <c r="G976" t="s">
        <v>7828</v>
      </c>
    </row>
    <row r="977">
      <c r="A977" t="s">
        <v>3889</v>
      </c>
      <c r="B977" t="s">
        <v>7829</v>
      </c>
      <c r="C977" t="s">
        <v>7830</v>
      </c>
      <c r="D977" t="s">
        <v>4020</v>
      </c>
      <c r="E977" t="s">
        <v>7831</v>
      </c>
      <c r="F977" t="s">
        <v>4285</v>
      </c>
      <c r="G977" t="s">
        <v>7832</v>
      </c>
    </row>
    <row r="978">
      <c r="A978" t="s">
        <v>3891</v>
      </c>
      <c r="B978" t="s">
        <v>7833</v>
      </c>
      <c r="C978" t="s">
        <v>7834</v>
      </c>
      <c r="D978" t="s">
        <v>1557</v>
      </c>
      <c r="E978" t="s">
        <v>7835</v>
      </c>
      <c r="F978" t="s">
        <v>4290</v>
      </c>
      <c r="G978" t="s">
        <v>7836</v>
      </c>
    </row>
    <row r="979">
      <c r="A979" t="s">
        <v>3892</v>
      </c>
      <c r="B979" t="s">
        <v>7837</v>
      </c>
      <c r="C979" t="s">
        <v>7838</v>
      </c>
      <c r="D979" t="s">
        <v>4031</v>
      </c>
      <c r="E979" t="s">
        <v>7839</v>
      </c>
      <c r="F979" t="s">
        <v>4295</v>
      </c>
      <c r="G979" t="s">
        <v>7840</v>
      </c>
    </row>
    <row r="980">
      <c r="A980" t="s">
        <v>3894</v>
      </c>
      <c r="B980" t="s">
        <v>7841</v>
      </c>
      <c r="C980" t="s">
        <v>6151</v>
      </c>
      <c r="D980" t="s">
        <v>4037</v>
      </c>
      <c r="E980" t="s">
        <v>5344</v>
      </c>
      <c r="F980" t="s">
        <v>4300</v>
      </c>
      <c r="G980" t="s">
        <v>7842</v>
      </c>
    </row>
    <row r="981">
      <c r="A981" t="s">
        <v>3895</v>
      </c>
      <c r="B981" t="s">
        <v>7843</v>
      </c>
      <c r="C981" t="s">
        <v>7844</v>
      </c>
      <c r="D981" t="s">
        <v>1699</v>
      </c>
      <c r="E981" t="s">
        <v>7845</v>
      </c>
      <c r="F981" t="s">
        <v>4305</v>
      </c>
      <c r="G981" t="s">
        <v>7846</v>
      </c>
    </row>
    <row r="982">
      <c r="A982" t="s">
        <v>3897</v>
      </c>
      <c r="B982" t="s">
        <v>7847</v>
      </c>
      <c r="C982" t="s">
        <v>7848</v>
      </c>
      <c r="D982" t="s">
        <v>1571</v>
      </c>
      <c r="E982" t="s">
        <v>7849</v>
      </c>
      <c r="F982" t="s">
        <v>4310</v>
      </c>
      <c r="G982" t="s">
        <v>7850</v>
      </c>
    </row>
    <row r="983">
      <c r="A983" t="s">
        <v>3898</v>
      </c>
      <c r="B983" t="s">
        <v>7851</v>
      </c>
      <c r="C983" t="s">
        <v>7852</v>
      </c>
      <c r="D983" t="s">
        <v>4053</v>
      </c>
      <c r="E983" t="s">
        <v>7853</v>
      </c>
      <c r="F983" t="s">
        <v>4315</v>
      </c>
      <c r="G983" t="s">
        <v>7854</v>
      </c>
    </row>
    <row r="984">
      <c r="A984" t="s">
        <v>3900</v>
      </c>
      <c r="B984" t="s">
        <v>7855</v>
      </c>
      <c r="C984" t="s">
        <v>5920</v>
      </c>
      <c r="D984" t="s">
        <v>4059</v>
      </c>
      <c r="E984" t="s">
        <v>4684</v>
      </c>
      <c r="F984" t="s">
        <v>4320</v>
      </c>
      <c r="G984" t="s">
        <v>7856</v>
      </c>
    </row>
    <row r="985">
      <c r="A985" t="s">
        <v>3901</v>
      </c>
      <c r="B985" t="s">
        <v>7857</v>
      </c>
      <c r="C985" t="s">
        <v>7858</v>
      </c>
      <c r="D985" t="s">
        <v>4065</v>
      </c>
      <c r="E985" t="s">
        <v>7859</v>
      </c>
      <c r="F985" t="s">
        <v>4325</v>
      </c>
      <c r="G985" t="s">
        <v>7860</v>
      </c>
    </row>
    <row r="986">
      <c r="A986" t="s">
        <v>3903</v>
      </c>
      <c r="B986" t="s">
        <v>7861</v>
      </c>
      <c r="C986" t="s">
        <v>7862</v>
      </c>
      <c r="D986" t="s">
        <v>1578</v>
      </c>
      <c r="E986" t="s">
        <v>7863</v>
      </c>
      <c r="F986" t="s">
        <v>4330</v>
      </c>
      <c r="G986" t="s">
        <v>7864</v>
      </c>
    </row>
    <row r="987">
      <c r="A987" t="s">
        <v>3904</v>
      </c>
      <c r="B987" t="s">
        <v>7865</v>
      </c>
      <c r="C987" t="s">
        <v>7866</v>
      </c>
      <c r="D987" t="s">
        <v>1647</v>
      </c>
      <c r="E987" t="s">
        <v>7867</v>
      </c>
      <c r="F987" t="s">
        <v>4335</v>
      </c>
      <c r="G987" t="s">
        <v>7868</v>
      </c>
    </row>
    <row r="988">
      <c r="A988" t="s">
        <v>3906</v>
      </c>
      <c r="B988" t="s">
        <v>7869</v>
      </c>
      <c r="C988" t="s">
        <v>7870</v>
      </c>
      <c r="D988" t="s">
        <v>3964</v>
      </c>
      <c r="E988" t="s">
        <v>4359</v>
      </c>
      <c r="F988" t="s">
        <v>4340</v>
      </c>
      <c r="G988" t="s">
        <v>7871</v>
      </c>
    </row>
    <row r="989">
      <c r="A989" t="s">
        <v>3908</v>
      </c>
      <c r="B989" t="s">
        <v>7872</v>
      </c>
      <c r="C989" t="s">
        <v>7873</v>
      </c>
      <c r="D989" t="s">
        <v>3970</v>
      </c>
      <c r="E989" t="s">
        <v>7874</v>
      </c>
      <c r="F989" t="s">
        <v>4345</v>
      </c>
      <c r="G989" t="s">
        <v>7875</v>
      </c>
    </row>
    <row r="990">
      <c r="A990" t="s">
        <v>3911</v>
      </c>
      <c r="B990" t="s">
        <v>7876</v>
      </c>
      <c r="C990" t="s">
        <v>7877</v>
      </c>
      <c r="D990" t="s">
        <v>1585</v>
      </c>
      <c r="E990" t="s">
        <v>7878</v>
      </c>
      <c r="F990" t="s">
        <v>4350</v>
      </c>
      <c r="G990" t="s">
        <v>7879</v>
      </c>
    </row>
    <row r="991">
      <c r="A991" t="s">
        <v>3912</v>
      </c>
      <c r="B991" t="s">
        <v>7880</v>
      </c>
      <c r="C991" t="s">
        <v>7881</v>
      </c>
      <c r="D991" t="s">
        <v>4096</v>
      </c>
      <c r="E991" t="s">
        <v>7882</v>
      </c>
      <c r="F991" t="s">
        <v>4355</v>
      </c>
      <c r="G991" t="s">
        <v>7883</v>
      </c>
    </row>
    <row r="992">
      <c r="A992" t="s">
        <v>3914</v>
      </c>
      <c r="B992" t="s">
        <v>5240</v>
      </c>
      <c r="C992" t="s">
        <v>7884</v>
      </c>
      <c r="D992" t="s">
        <v>4102</v>
      </c>
      <c r="E992" t="s">
        <v>7885</v>
      </c>
      <c r="F992" t="s">
        <v>4360</v>
      </c>
      <c r="G992" t="s">
        <v>7886</v>
      </c>
    </row>
    <row r="993">
      <c r="A993" t="s">
        <v>3915</v>
      </c>
      <c r="B993" t="s">
        <v>7887</v>
      </c>
      <c r="C993" t="s">
        <v>7888</v>
      </c>
      <c r="D993" t="s">
        <v>1592</v>
      </c>
      <c r="E993" t="s">
        <v>7889</v>
      </c>
      <c r="F993" t="s">
        <v>4365</v>
      </c>
      <c r="G993" t="s">
        <v>7890</v>
      </c>
    </row>
    <row r="994">
      <c r="A994" t="s">
        <v>3917</v>
      </c>
      <c r="B994" t="s">
        <v>7891</v>
      </c>
      <c r="C994" t="s">
        <v>7892</v>
      </c>
      <c r="D994" t="s">
        <v>3981</v>
      </c>
      <c r="E994" t="s">
        <v>7893</v>
      </c>
      <c r="F994" t="s">
        <v>4370</v>
      </c>
      <c r="G994" t="s">
        <v>7894</v>
      </c>
    </row>
    <row r="995">
      <c r="A995" t="s">
        <v>3919</v>
      </c>
      <c r="B995" t="s">
        <v>7895</v>
      </c>
      <c r="C995" t="s">
        <v>7896</v>
      </c>
      <c r="D995" t="s">
        <v>4118</v>
      </c>
      <c r="E995" t="s">
        <v>6278</v>
      </c>
      <c r="F995" t="s">
        <v>4375</v>
      </c>
      <c r="G995" t="s">
        <v>7897</v>
      </c>
    </row>
    <row r="996">
      <c r="A996" t="s">
        <v>3921</v>
      </c>
      <c r="B996" t="s">
        <v>7898</v>
      </c>
      <c r="C996" t="s">
        <v>7899</v>
      </c>
      <c r="D996" t="s">
        <v>4124</v>
      </c>
      <c r="E996" t="s">
        <v>7900</v>
      </c>
      <c r="F996" t="s">
        <v>4380</v>
      </c>
      <c r="G996" t="s">
        <v>7901</v>
      </c>
    </row>
    <row r="997">
      <c r="A997" t="s">
        <v>3922</v>
      </c>
      <c r="B997" t="s">
        <v>7902</v>
      </c>
      <c r="C997" t="s">
        <v>7903</v>
      </c>
      <c r="D997" t="s">
        <v>4130</v>
      </c>
      <c r="E997" t="s">
        <v>7904</v>
      </c>
      <c r="F997" t="s">
        <v>4385</v>
      </c>
      <c r="G997" t="s">
        <v>7905</v>
      </c>
    </row>
    <row r="998">
      <c r="A998" t="s">
        <v>3924</v>
      </c>
      <c r="B998" t="s">
        <v>7906</v>
      </c>
      <c r="C998" t="s">
        <v>7907</v>
      </c>
      <c r="D998" t="s">
        <v>3987</v>
      </c>
      <c r="E998" t="s">
        <v>7908</v>
      </c>
      <c r="F998" t="s">
        <v>4390</v>
      </c>
      <c r="G998" t="s">
        <v>7909</v>
      </c>
    </row>
    <row r="999">
      <c r="A999" t="s">
        <v>3925</v>
      </c>
      <c r="B999" t="s">
        <v>7910</v>
      </c>
      <c r="C999" t="s">
        <v>7911</v>
      </c>
      <c r="D999" t="s">
        <v>1606</v>
      </c>
      <c r="E999" t="s">
        <v>7912</v>
      </c>
      <c r="F999" t="s">
        <v>4395</v>
      </c>
      <c r="G999" t="s">
        <v>7913</v>
      </c>
    </row>
    <row r="1000">
      <c r="A1000" t="s">
        <v>3928</v>
      </c>
      <c r="B1000" t="s">
        <v>7914</v>
      </c>
      <c r="C1000" t="s">
        <v>7915</v>
      </c>
      <c r="D1000" t="s">
        <v>3998</v>
      </c>
      <c r="E1000" t="s">
        <v>7916</v>
      </c>
      <c r="F1000" t="s">
        <v>4164</v>
      </c>
      <c r="G1000" t="s">
        <v>7917</v>
      </c>
    </row>
    <row r="1001">
      <c r="A1001" t="s">
        <v>3929</v>
      </c>
      <c r="B1001" t="s">
        <v>7918</v>
      </c>
      <c r="C1001" t="s">
        <v>7919</v>
      </c>
      <c r="D1001" t="s">
        <v>1613</v>
      </c>
      <c r="E1001" t="s">
        <v>7920</v>
      </c>
      <c r="F1001" t="s">
        <v>4185</v>
      </c>
      <c r="G1001" t="s">
        <v>7921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topLeftCell="A983" zoomScale="100" workbookViewId="0">
      <selection activeCell="A1" activeCellId="0" sqref="A1"/>
    </sheetView>
  </sheetViews>
  <sheetFormatPr baseColWidth="8" defaultRowHeight="14.25"/>
  <cols>
    <col bestFit="1" min="1" max="1" width="11.09375"/>
    <col bestFit="1" min="2" max="2" width="35.47265625"/>
    <col bestFit="1" min="3" max="3" width="15.57421875"/>
    <col bestFit="1" min="4" max="4" width="16.90234375"/>
    <col bestFit="1" min="5" max="5" width="24.140625"/>
    <col bestFit="1" min="6" max="6" width="22.140625"/>
    <col bestFit="1" min="7" max="7" width="17.57421875"/>
    <col bestFit="1" min="8" max="8" width="7.76171875"/>
    <col bestFit="1" min="9" max="9" width="18.7109375"/>
    <col bestFit="1" min="10" max="10" width="15.47265625"/>
  </cols>
  <sheetData>
    <row r="1">
      <c r="A1" s="3" t="s">
        <v>1879</v>
      </c>
      <c r="B1" s="3" t="s">
        <v>3933</v>
      </c>
      <c r="C1" s="3" t="s">
        <v>3934</v>
      </c>
      <c r="D1" s="3" t="s">
        <v>1550</v>
      </c>
      <c r="E1" s="3" t="s">
        <v>1551</v>
      </c>
      <c r="F1" s="3" t="s">
        <v>3935</v>
      </c>
      <c r="G1" s="3" t="s">
        <v>3936</v>
      </c>
      <c r="H1" s="3" t="s">
        <v>7922</v>
      </c>
      <c r="I1" s="3" t="s">
        <v>7923</v>
      </c>
      <c r="J1" s="3" t="s">
        <v>1876</v>
      </c>
    </row>
    <row r="2">
      <c r="A2" t="str">
        <f>'Клиенты_исходные'!A2</f>
        <v>C0001</v>
      </c>
      <c r="B2" t="str">
        <f>PROPER(TRIM('Клиенты_исходные'!B2))</f>
        <v xml:space="preserve">Иванов Иван Иванович</v>
      </c>
      <c r="C2" s="8">
        <f>IFERROR(IF(ISNUMBER(FIND(".",'Клиенты_исходные'!C2)),DATE(RIGHT('Клиенты_исходные'!C2,4),MID('Клиенты_исходные'!C2,4,2),LEFT('Клиенты_исходные'!C2,2)),DATE(LEFT('Клиенты_исходные'!C2,4),MID('Клиенты_исходные'!C2,6,2),RIGHT('Клиенты_исходные'!C2,2))),'Клиенты_исходные'!C2)</f>
        <v>33008</v>
      </c>
      <c r="D2" t="str">
        <f>IF(ISBLANK(Клиенты_исходные!D2),"",IF(LEN(SUBSTITUTE(SUBSTITUTE(SUBSTITUTE(SUBSTITUTE(SUBSTITUTE(Клиенты_исходные!D2," ",""),"-",""),"+",""),"(",""),")",""))=11,"+7 ("&amp;MID(IF(LEFT(SUBSTITUTE(SUBSTITUTE(SUBSTITUTE(SUBSTITUTE(SUBSTITUTE(Клиенты_исходные!D2," ",""),"-",""),"+",""),"(",""),")",""))="8","7"&amp;MID(SUBSTITUTE(SUBSTITUTE(SUBSTITUTE(SUBSTITUTE(SUBSTITUTE(Клиенты_исходные!D2," ",""),"-",""),"+",""),"(",""),")",""),2,10),SUBSTITUTE(SUBSTITUTE(SUBSTITUTE(SUBSTITUTE(SUBSTITUTE(Клиенты_исходные!D2," ",""),"-",""),"+",""),"(",""),")","")),2,3)&amp;") "&amp;MID(IF(LEFT(SUBSTITUTE(SUBSTITUTE(SUBSTITUTE(SUBSTITUTE(SUBSTITUTE(Клиенты_исходные!D2," ",""),"-",""),"+",""),"(",""),")",""))="8","7"&amp;MID(SUBSTITUTE(SUBSTITUTE(SUBSTITUTE(SUBSTITUTE(SUBSTITUTE(Клиенты_исходные!D2," ",""),"-",""),"+",""),"(",""),")",""),2,10),SUBSTITUTE(SUBSTITUTE(SUBSTITUTE(SUBSTITUTE(SUBSTITUTE(Клиенты_исходные!D2," ",""),"-",""),"+",""),"(",""),")","")),5,3)&amp;"-"&amp;MID(IF(LEFT(SUBSTITUTE(SUBSTITUTE(SUBSTITUTE(SUBSTITUTE(SUBSTITUTE(Клиенты_исходные!D2," ",""),"-",""),"+",""),"(",""),")",""))="8","7"&amp;MID(SUBSTITUTE(SUBSTITUTE(SUBSTITUTE(SUBSTITUTE(SUBSTITUTE(Клиенты_исходные!D2," ",""),"-",""),"+",""),"(",""),")",""),2,10),SUBSTITUTE(SUBSTITUTE(SUBSTITUTE(SUBSTITUTE(SUBSTITUTE(Клиенты_исходные!D2," ",""),"-",""),"+",""),"(",""),")","")),8,2)&amp;"-"&amp;MID(IF(LEFT(SUBSTITUTE(SUBSTITUTE(SUBSTITUTE(SUBSTITUTE(SUBSTITUTE(Клиенты_исходные!D2," ",""),"-",""),"+",""),"(",""),")",""))="8","7"&amp;MID(SUBSTITUTE(SUBSTITUTE(SUBSTITUTE(SUBSTITUTE(SUBSTITUTE(Клиенты_исходные!D2," ",""),"-",""),"+",""),"(",""),")",""),2,10),SUBSTITUTE(SUBSTITUTE(SUBSTITUTE(SUBSTITUTE(SUBSTITUTE(Клиенты_исходные!D2," ",""),"-",""),"+",""),"(",""),")","")),10,2),IF(LEN(SUBSTITUTE(SUBSTITUTE(SUBSTITUTE(SUBSTITUTE(SUBSTITUTE(Клиенты_исходные!D2," ",""),"-",""),"+",""),"(",""),")",""))=10,"+7 ("&amp;MID(SUBSTITUTE(SUBSTITUTE(SUBSTITUTE(SUBSTITUTE(SUBSTITUTE(Клиенты_исходные!D2," ",""),"-",""),"+",""),"(",""),")",""),1,3)&amp;") "&amp;MID(SUBSTITUTE(SUBSTITUTE(SUBSTITUTE(SUBSTITUTE(SUBSTITUTE(Клиенты_исходные!D2," ",""),"-",""),"+",""),"(",""),")",""),4,3)&amp;"-"&amp;MID(SUBSTITUTE(SUBSTITUTE(SUBSTITUTE(SUBSTITUTE(SUBSTITUTE(Клиенты_исходные!D2," ",""),"-",""),"+",""),"(",""),")",""),6,2)&amp;"-"&amp;MID(SUBSTITUTE(SUBSTITUTE(SUBSTITUTE(SUBSTITUTE(SUBSTITUTE(Клиенты_исходные!D2," ",""),"-",""),"+",""),"(",""),")",""),8,2),Клиенты_исходные!D2)))</f>
        <v xml:space="preserve">+7 (903) 123-45-67</v>
      </c>
      <c r="E2" t="str">
        <f>IF(ISBLANK(Клиенты_исходные!E2),"",IF(ISNUMBER(FIND(".",MID(Клиенты_исходные!E2,FIND("@",Клиенты_исходные!E2)+1,255))),Клиенты_исходные!E2,IF(ISNUMBER(FIND("gmail",Клиенты_исходные!E2)),Клиенты_исходные!E2&amp;".com",Клиенты_исходные!E2&amp;".ru")))</f>
        <v>ivanov@mail.ru</v>
      </c>
      <c r="F2" t="str">
        <f>IFERROR(VLOOKUP('Клиенты_исходные'!F2,Справочники!$J$2:$K$50,2,FALSE),'Клиенты_исходные'!F2)</f>
        <v>Москва</v>
      </c>
      <c r="G2" s="8">
        <f>IFERROR(IF(ISNUMBER(FIND(".",'Клиенты_исходные'!G2)),DATE(RIGHT('Клиенты_исходные'!G2,4),MID('Клиенты_исходные'!G2,4,2),LEFT('Клиенты_исходные'!G2,2)),DATE(LEFT('Клиенты_исходные'!G2,4),MID('Клиенты_исходные'!G2,6,2),RIGHT('Клиенты_исходные'!G2,2))),'Клиенты_исходные'!G2)</f>
        <v>44562</v>
      </c>
      <c r="H2">
        <f t="shared" ref="H2:H9" ca="1" si="43">DATEDIF(C2,TODAY(),"Y")</f>
        <v>36</v>
      </c>
      <c r="I2" t="str">
        <f t="shared" ref="I2:I9" si="44">IF(OR(H2&lt;18,H2&gt;80),"Ошибка даты рождения","OK")</f>
        <v>OK</v>
      </c>
      <c r="J2" t="str">
        <f t="shared" ref="J2:J9" si="45">IF(AND(ISNUMBER(FIND("@",E2)),ISNUMBER(FIND(".",MID(E2,FIND("@",E2)+1,255)))),"OK","Ошибка Email")</f>
        <v>OK</v>
      </c>
    </row>
    <row r="3">
      <c r="A3" t="str">
        <f>Клиенты_исходные!A3</f>
        <v>C0002</v>
      </c>
      <c r="B3" t="str">
        <f>PROPER(TRIM(Клиенты_исходные!B3))</f>
        <v xml:space="preserve">Петров Петр Петрович</v>
      </c>
      <c r="C3" s="8">
        <f>IFERROR(IF(ISNUMBER(FIND(".",Клиенты_исходные!C3)),DATE(RIGHT(Клиенты_исходные!C3,4),MID(Клиенты_исходные!C3,4,2),LEFT(Клиенты_исходные!C3,2)),DATE(LEFT(Клиенты_исходные!C3,4),MID(Клиенты_исходные!C3,6,2),RIGHT(Клиенты_исходные!C3,2))),Клиенты_исходные!C3)</f>
        <v>31282</v>
      </c>
      <c r="D3" t="str">
        <f>IF(ISBLANK(Клиенты_исходные!D3),"",IF(LEN(SUBSTITUTE(SUBSTITUTE(SUBSTITUTE(SUBSTITUTE(SUBSTITUTE(Клиенты_исходные!D3," ",""),"-",""),"+",""),"(",""),")",""))=11,"+7 ("&amp;MID(IF(LEFT(SUBSTITUTE(SUBSTITUTE(SUBSTITUTE(SUBSTITUTE(SUBSTITUTE(Клиенты_исходные!D3," ",""),"-",""),"+",""),"(",""),")",""))="8","7"&amp;MID(SUBSTITUTE(SUBSTITUTE(SUBSTITUTE(SUBSTITUTE(SUBSTITUTE(Клиенты_исходные!D3," ",""),"-",""),"+",""),"(",""),")",""),2,10),SUBSTITUTE(SUBSTITUTE(SUBSTITUTE(SUBSTITUTE(SUBSTITUTE(Клиенты_исходные!D3," ",""),"-",""),"+",""),"(",""),")","")),2,3)&amp;") "&amp;MID(IF(LEFT(SUBSTITUTE(SUBSTITUTE(SUBSTITUTE(SUBSTITUTE(SUBSTITUTE(Клиенты_исходные!D3," ",""),"-",""),"+",""),"(",""),")",""))="8","7"&amp;MID(SUBSTITUTE(SUBSTITUTE(SUBSTITUTE(SUBSTITUTE(SUBSTITUTE(Клиенты_исходные!D3," ",""),"-",""),"+",""),"(",""),")",""),2,10),SUBSTITUTE(SUBSTITUTE(SUBSTITUTE(SUBSTITUTE(SUBSTITUTE(Клиенты_исходные!D3," ",""),"-",""),"+",""),"(",""),")","")),5,3)&amp;"-"&amp;MID(IF(LEFT(SUBSTITUTE(SUBSTITUTE(SUBSTITUTE(SUBSTITUTE(SUBSTITUTE(Клиенты_исходные!D3," ",""),"-",""),"+",""),"(",""),")",""))="8","7"&amp;MID(SUBSTITUTE(SUBSTITUTE(SUBSTITUTE(SUBSTITUTE(SUBSTITUTE(Клиенты_исходные!D3," ",""),"-",""),"+",""),"(",""),")",""),2,10),SUBSTITUTE(SUBSTITUTE(SUBSTITUTE(SUBSTITUTE(SUBSTITUTE(Клиенты_исходные!D3," ",""),"-",""),"+",""),"(",""),")","")),8,2)&amp;"-"&amp;MID(IF(LEFT(SUBSTITUTE(SUBSTITUTE(SUBSTITUTE(SUBSTITUTE(SUBSTITUTE(Клиенты_исходные!D3," ",""),"-",""),"+",""),"(",""),")",""))="8","7"&amp;MID(SUBSTITUTE(SUBSTITUTE(SUBSTITUTE(SUBSTITUTE(SUBSTITUTE(Клиенты_исходные!D3," ",""),"-",""),"+",""),"(",""),")",""),2,10),SUBSTITUTE(SUBSTITUTE(SUBSTITUTE(SUBSTITUTE(SUBSTITUTE(Клиенты_исходные!D3," ",""),"-",""),"+",""),"(",""),")","")),10,2),IF(LEN(SUBSTITUTE(SUBSTITUTE(SUBSTITUTE(SUBSTITUTE(SUBSTITUTE(Клиенты_исходные!D3," ",""),"-",""),"+",""),"(",""),")",""))=10,"+7 ("&amp;MID(SUBSTITUTE(SUBSTITUTE(SUBSTITUTE(SUBSTITUTE(SUBSTITUTE(Клиенты_исходные!D3," ",""),"-",""),"+",""),"(",""),")",""),1,3)&amp;") "&amp;MID(SUBSTITUTE(SUBSTITUTE(SUBSTITUTE(SUBSTITUTE(SUBSTITUTE(Клиенты_исходные!D3," ",""),"-",""),"+",""),"(",""),")",""),4,3)&amp;"-"&amp;MID(SUBSTITUTE(SUBSTITUTE(SUBSTITUTE(SUBSTITUTE(SUBSTITUTE(Клиенты_исходные!D3," ",""),"-",""),"+",""),"(",""),")",""),6,2)&amp;"-"&amp;MID(SUBSTITUTE(SUBSTITUTE(SUBSTITUTE(SUBSTITUTE(SUBSTITUTE(Клиенты_исходные!D3," ",""),"-",""),"+",""),"(",""),")",""),8,2),Клиенты_исходные!D3)))</f>
        <v xml:space="preserve">+7 (903) 234-56-78</v>
      </c>
      <c r="E3" t="str">
        <f>IF(ISBLANK(Клиенты_исходные!E3),"",IF(ISNUMBER(FIND(".",MID(Клиенты_исходные!E3,FIND("@",Клиенты_исходные!E3)+1,255))),Клиенты_исходные!E3,IF(ISNUMBER(FIND("gmail",Клиенты_исходные!E3)),Клиенты_исходные!E3&amp;".com",Клиенты_исходные!E3&amp;".ru")))</f>
        <v>petrov@yandex.ru</v>
      </c>
      <c r="F3" t="str">
        <f>IFERROR(VLOOKUP(Клиенты_исходные!F3,Справочники!$J$2:$K$50,2,FALSE),Клиенты_исходные!F3)</f>
        <v>Санкт-Петербург</v>
      </c>
      <c r="G3" s="8">
        <f>IFERROR(IF(ISNUMBER(FIND(".",Клиенты_исходные!G3)),DATE(RIGHT(Клиенты_исходные!G3,4),MID(Клиенты_исходные!G3,4,2),LEFT(Клиенты_исходные!G3,2)),DATE(LEFT(Клиенты_исходные!G3,4),MID(Клиенты_исходные!G3,6,2),RIGHT(Клиенты_исходные!G3,2))),Клиенты_исходные!G3)</f>
        <v>44576</v>
      </c>
      <c r="H3">
        <f t="shared" ca="1" si="43"/>
        <v>41</v>
      </c>
      <c r="I3" t="str">
        <f t="shared" si="44"/>
        <v>OK</v>
      </c>
      <c r="J3" t="str">
        <f t="shared" si="45"/>
        <v>OK</v>
      </c>
    </row>
    <row r="4">
      <c r="A4" t="str">
        <f>Клиенты_исходные!A4</f>
        <v>C0003</v>
      </c>
      <c r="B4" t="str">
        <f>PROPER(TRIM(Клиенты_исходные!B4))</f>
        <v xml:space="preserve">Сидоров Сидор Сидорович</v>
      </c>
      <c r="C4" s="8">
        <f>IFERROR(IF(ISNUMBER(FIND(".",Клиенты_исходные!C4)),DATE(RIGHT(Клиенты_исходные!C4,4),MID(Клиенты_исходные!C4,4,2),LEFT(Клиенты_исходные!C4,2)),DATE(LEFT(Клиенты_исходные!C4,4),MID(Клиенты_исходные!C4,6,2),RIGHT(Клиенты_исходные!C4,2))),Клиенты_исходные!C4)</f>
        <v>33675</v>
      </c>
      <c r="D4" t="str">
        <f>IF(ISBLANK(Клиенты_исходные!D4),"",IF(LEN(SUBSTITUTE(SUBSTITUTE(SUBSTITUTE(SUBSTITUTE(SUBSTITUTE(Клиенты_исходные!D4," ",""),"-",""),"+",""),"(",""),")",""))=11,"+7 ("&amp;MID(IF(LEFT(SUBSTITUTE(SUBSTITUTE(SUBSTITUTE(SUBSTITUTE(SUBSTITUTE(Клиенты_исходные!D4," ",""),"-",""),"+",""),"(",""),")",""))="8","7"&amp;MID(SUBSTITUTE(SUBSTITUTE(SUBSTITUTE(SUBSTITUTE(SUBSTITUTE(Клиенты_исходные!D4," ",""),"-",""),"+",""),"(",""),")",""),2,10),SUBSTITUTE(SUBSTITUTE(SUBSTITUTE(SUBSTITUTE(SUBSTITUTE(Клиенты_исходные!D4," ",""),"-",""),"+",""),"(",""),")","")),2,3)&amp;") "&amp;MID(IF(LEFT(SUBSTITUTE(SUBSTITUTE(SUBSTITUTE(SUBSTITUTE(SUBSTITUTE(Клиенты_исходные!D4," ",""),"-",""),"+",""),"(",""),")",""))="8","7"&amp;MID(SUBSTITUTE(SUBSTITUTE(SUBSTITUTE(SUBSTITUTE(SUBSTITUTE(Клиенты_исходные!D4," ",""),"-",""),"+",""),"(",""),")",""),2,10),SUBSTITUTE(SUBSTITUTE(SUBSTITUTE(SUBSTITUTE(SUBSTITUTE(Клиенты_исходные!D4," ",""),"-",""),"+",""),"(",""),")","")),5,3)&amp;"-"&amp;MID(IF(LEFT(SUBSTITUTE(SUBSTITUTE(SUBSTITUTE(SUBSTITUTE(SUBSTITUTE(Клиенты_исходные!D4," ",""),"-",""),"+",""),"(",""),")",""))="8","7"&amp;MID(SUBSTITUTE(SUBSTITUTE(SUBSTITUTE(SUBSTITUTE(SUBSTITUTE(Клиенты_исходные!D4," ",""),"-",""),"+",""),"(",""),")",""),2,10),SUBSTITUTE(SUBSTITUTE(SUBSTITUTE(SUBSTITUTE(SUBSTITUTE(Клиенты_исходные!D4," ",""),"-",""),"+",""),"(",""),")","")),8,2)&amp;"-"&amp;MID(IF(LEFT(SUBSTITUTE(SUBSTITUTE(SUBSTITUTE(SUBSTITUTE(SUBSTITUTE(Клиенты_исходные!D4," ",""),"-",""),"+",""),"(",""),")",""))="8","7"&amp;MID(SUBSTITUTE(SUBSTITUTE(SUBSTITUTE(SUBSTITUTE(SUBSTITUTE(Клиенты_исходные!D4," ",""),"-",""),"+",""),"(",""),")",""),2,10),SUBSTITUTE(SUBSTITUTE(SUBSTITUTE(SUBSTITUTE(SUBSTITUTE(Клиенты_исходные!D4," ",""),"-",""),"+",""),"(",""),")","")),10,2),IF(LEN(SUBSTITUTE(SUBSTITUTE(SUBSTITUTE(SUBSTITUTE(SUBSTITUTE(Клиенты_исходные!D4," ",""),"-",""),"+",""),"(",""),")",""))=10,"+7 ("&amp;MID(SUBSTITUTE(SUBSTITUTE(SUBSTITUTE(SUBSTITUTE(SUBSTITUTE(Клиенты_исходные!D4," ",""),"-",""),"+",""),"(",""),")",""),1,3)&amp;") "&amp;MID(SUBSTITUTE(SUBSTITUTE(SUBSTITUTE(SUBSTITUTE(SUBSTITUTE(Клиенты_исходные!D4," ",""),"-",""),"+",""),"(",""),")",""),4,3)&amp;"-"&amp;MID(SUBSTITUTE(SUBSTITUTE(SUBSTITUTE(SUBSTITUTE(SUBSTITUTE(Клиенты_исходные!D4," ",""),"-",""),"+",""),"(",""),")",""),6,2)&amp;"-"&amp;MID(SUBSTITUTE(SUBSTITUTE(SUBSTITUTE(SUBSTITUTE(SUBSTITUTE(Клиенты_исходные!D4," ",""),"-",""),"+",""),"(",""),")",""),8,2),Клиенты_исходные!D4)))</f>
        <v xml:space="preserve">+7 (903) 345-67-89</v>
      </c>
      <c r="E4" t="str">
        <f>IF(ISBLANK(Клиенты_исходные!E4),"",IF(ISNUMBER(FIND(".",MID(Клиенты_исходные!E4,FIND("@",Клиенты_исходные!E4)+1,255))),Клиенты_исходные!E4,IF(ISNUMBER(FIND("gmail",Клиенты_исходные!E4)),Клиенты_исходные!E4&amp;".com",Клиенты_исходные!E4&amp;".ru")))</f>
        <v>sidorov@gmail.com</v>
      </c>
      <c r="F4" t="str">
        <f>IFERROR(VLOOKUP(Клиенты_исходные!F4,Справочники!$J$2:$K$50,2,FALSE),Клиенты_исходные!F4)</f>
        <v>Екатеринбург</v>
      </c>
      <c r="G4" s="8">
        <f>IFERROR(IF(ISNUMBER(FIND(".",Клиенты_исходные!G4)),DATE(RIGHT(Клиенты_исходные!G4,4),MID(Клиенты_исходные!G4,4,2),LEFT(Клиенты_исходные!G4,2)),DATE(LEFT(Клиенты_исходные!G4,4),MID(Клиенты_исходные!G4,6,2),RIGHT(Клиенты_исходные!G4,2))),Клиенты_исходные!G4)</f>
        <v>44576</v>
      </c>
      <c r="H4">
        <f t="shared" ca="1" si="43"/>
        <v>34</v>
      </c>
      <c r="I4" t="str">
        <f t="shared" si="44"/>
        <v>OK</v>
      </c>
      <c r="J4" t="str">
        <f t="shared" si="45"/>
        <v>OK</v>
      </c>
    </row>
    <row r="5">
      <c r="A5" t="str">
        <f>Клиенты_исходные!A5</f>
        <v>C0004</v>
      </c>
      <c r="B5" t="str">
        <f>PROPER(TRIM(Клиенты_исходные!B5))</f>
        <v xml:space="preserve">Кузнецова Анна Сергеевна</v>
      </c>
      <c r="C5" s="8">
        <f>IFERROR(IF(ISNUMBER(FIND(".",Клиенты_исходные!C5)),DATE(RIGHT(Клиенты_исходные!C5,4),MID(Клиенты_исходные!C5,4,2),LEFT(Клиенты_исходные!C5,2)),DATE(LEFT(Клиенты_исходные!C5,4),MID(Клиенты_исходные!C5,6,2),RIGHT(Клиенты_исходные!C5,2))),Клиенты_исходные!C5)</f>
        <v>28801</v>
      </c>
      <c r="D5" t="str">
        <f>IF(ISBLANK(Клиенты_исходные!D5),"",IF(LEN(SUBSTITUTE(SUBSTITUTE(SUBSTITUTE(SUBSTITUTE(SUBSTITUTE(Клиенты_исходные!D5," ",""),"-",""),"+",""),"(",""),")",""))=11,"+7 ("&amp;MID(IF(LEFT(SUBSTITUTE(SUBSTITUTE(SUBSTITUTE(SUBSTITUTE(SUBSTITUTE(Клиенты_исходные!D5," ",""),"-",""),"+",""),"(",""),")",""))="8","7"&amp;MID(SUBSTITUTE(SUBSTITUTE(SUBSTITUTE(SUBSTITUTE(SUBSTITUTE(Клиенты_исходные!D5," ",""),"-",""),"+",""),"(",""),")",""),2,10),SUBSTITUTE(SUBSTITUTE(SUBSTITUTE(SUBSTITUTE(SUBSTITUTE(Клиенты_исходные!D5," ",""),"-",""),"+",""),"(",""),")","")),2,3)&amp;") "&amp;MID(IF(LEFT(SUBSTITUTE(SUBSTITUTE(SUBSTITUTE(SUBSTITUTE(SUBSTITUTE(Клиенты_исходные!D5," ",""),"-",""),"+",""),"(",""),")",""))="8","7"&amp;MID(SUBSTITUTE(SUBSTITUTE(SUBSTITUTE(SUBSTITUTE(SUBSTITUTE(Клиенты_исходные!D5," ",""),"-",""),"+",""),"(",""),")",""),2,10),SUBSTITUTE(SUBSTITUTE(SUBSTITUTE(SUBSTITUTE(SUBSTITUTE(Клиенты_исходные!D5," ",""),"-",""),"+",""),"(",""),")","")),5,3)&amp;"-"&amp;MID(IF(LEFT(SUBSTITUTE(SUBSTITUTE(SUBSTITUTE(SUBSTITUTE(SUBSTITUTE(Клиенты_исходные!D5," ",""),"-",""),"+",""),"(",""),")",""))="8","7"&amp;MID(SUBSTITUTE(SUBSTITUTE(SUBSTITUTE(SUBSTITUTE(SUBSTITUTE(Клиенты_исходные!D5," ",""),"-",""),"+",""),"(",""),")",""),2,10),SUBSTITUTE(SUBSTITUTE(SUBSTITUTE(SUBSTITUTE(SUBSTITUTE(Клиенты_исходные!D5," ",""),"-",""),"+",""),"(",""),")","")),8,2)&amp;"-"&amp;MID(IF(LEFT(SUBSTITUTE(SUBSTITUTE(SUBSTITUTE(SUBSTITUTE(SUBSTITUTE(Клиенты_исходные!D5," ",""),"-",""),"+",""),"(",""),")",""))="8","7"&amp;MID(SUBSTITUTE(SUBSTITUTE(SUBSTITUTE(SUBSTITUTE(SUBSTITUTE(Клиенты_исходные!D5," ",""),"-",""),"+",""),"(",""),")",""),2,10),SUBSTITUTE(SUBSTITUTE(SUBSTITUTE(SUBSTITUTE(SUBSTITUTE(Клиенты_исходные!D5," ",""),"-",""),"+",""),"(",""),")","")),10,2),IF(LEN(SUBSTITUTE(SUBSTITUTE(SUBSTITUTE(SUBSTITUTE(SUBSTITUTE(Клиенты_исходные!D5," ",""),"-",""),"+",""),"(",""),")",""))=10,"+7 ("&amp;MID(SUBSTITUTE(SUBSTITUTE(SUBSTITUTE(SUBSTITUTE(SUBSTITUTE(Клиенты_исходные!D5," ",""),"-",""),"+",""),"(",""),")",""),1,3)&amp;") "&amp;MID(SUBSTITUTE(SUBSTITUTE(SUBSTITUTE(SUBSTITUTE(SUBSTITUTE(Клиенты_исходные!D5," ",""),"-",""),"+",""),"(",""),")",""),4,3)&amp;"-"&amp;MID(SUBSTITUTE(SUBSTITUTE(SUBSTITUTE(SUBSTITUTE(SUBSTITUTE(Клиенты_исходные!D5," ",""),"-",""),"+",""),"(",""),")",""),6,2)&amp;"-"&amp;MID(SUBSTITUTE(SUBSTITUTE(SUBSTITUTE(SUBSTITUTE(SUBSTITUTE(Клиенты_исходные!D5," ",""),"-",""),"+",""),"(",""),")",""),8,2),Клиенты_исходные!D5)))</f>
        <v xml:space="preserve">+7 (903) 456-78-90</v>
      </c>
      <c r="E5" t="str">
        <f>IF(ISBLANK(Клиенты_исходные!E5),"",IF(ISNUMBER(FIND(".",MID(Клиенты_исходные!E5,FIND("@",Клиенты_исходные!E5)+1,255))),Клиенты_исходные!E5,IF(ISNUMBER(FIND("gmail",Клиенты_исходные!E5)),Клиенты_исходные!E5&amp;".com",Клиенты_исходные!E5&amp;".ru")))</f>
        <v>kuznetsova@mail.ru</v>
      </c>
      <c r="F5" t="str">
        <f>IFERROR(VLOOKUP(Клиенты_исходные!F5,Справочники!$J$2:$K$50,2,FALSE),Клиенты_исходные!F5)</f>
        <v>Новосибирск</v>
      </c>
      <c r="G5" s="8">
        <f>IFERROR(IF(ISNUMBER(FIND(".",Клиенты_исходные!G5)),DATE(RIGHT(Клиенты_исходные!G5,4),MID(Клиенты_исходные!G5,4,2),LEFT(Клиенты_исходные!G5,2)),DATE(LEFT(Клиенты_исходные!G5,4),MID(Клиенты_исходные!G5,6,2),RIGHT(Клиенты_исходные!G5,2))),Клиенты_исходные!G5)</f>
        <v>44593</v>
      </c>
      <c r="H5">
        <f t="shared" ca="1" si="43"/>
        <v>47</v>
      </c>
      <c r="I5" t="str">
        <f t="shared" si="44"/>
        <v>OK</v>
      </c>
      <c r="J5" t="str">
        <f t="shared" si="45"/>
        <v>OK</v>
      </c>
    </row>
    <row r="6">
      <c r="A6" t="str">
        <f>Клиенты_исходные!A6</f>
        <v>C0005</v>
      </c>
      <c r="B6" t="str">
        <f>PROPER(TRIM(Клиенты_исходные!B6))</f>
        <v xml:space="preserve">Смирнов Алексей Владимирович</v>
      </c>
      <c r="C6" s="8">
        <f>IFERROR(IF(ISNUMBER(FIND(".",Клиенты_исходные!C6)),DATE(RIGHT(Клиенты_исходные!C6,4),MID(Клиенты_исходные!C6,4,2),LEFT(Клиенты_исходные!C6,2)),DATE(LEFT(Клиенты_исходные!C6,4),MID(Клиенты_исходные!C6,6,2),RIGHT(Клиенты_исходные!C6,2))),Клиенты_исходные!C6)</f>
        <v>34880</v>
      </c>
      <c r="D6" t="str">
        <f>IF(ISBLANK(Клиенты_исходные!D6),"",IF(LEN(SUBSTITUTE(SUBSTITUTE(SUBSTITUTE(SUBSTITUTE(SUBSTITUTE(Клиенты_исходные!D6," ",""),"-",""),"+",""),"(",""),")",""))=11,"+7 ("&amp;MID(IF(LEFT(SUBSTITUTE(SUBSTITUTE(SUBSTITUTE(SUBSTITUTE(SUBSTITUTE(Клиенты_исходные!D6," ",""),"-",""),"+",""),"(",""),")",""))="8","7"&amp;MID(SUBSTITUTE(SUBSTITUTE(SUBSTITUTE(SUBSTITUTE(SUBSTITUTE(Клиенты_исходные!D6," ",""),"-",""),"+",""),"(",""),")",""),2,10),SUBSTITUTE(SUBSTITUTE(SUBSTITUTE(SUBSTITUTE(SUBSTITUTE(Клиенты_исходные!D6," ",""),"-",""),"+",""),"(",""),")","")),2,3)&amp;") "&amp;MID(IF(LEFT(SUBSTITUTE(SUBSTITUTE(SUBSTITUTE(SUBSTITUTE(SUBSTITUTE(Клиенты_исходные!D6," ",""),"-",""),"+",""),"(",""),")",""))="8","7"&amp;MID(SUBSTITUTE(SUBSTITUTE(SUBSTITUTE(SUBSTITUTE(SUBSTITUTE(Клиенты_исходные!D6," ",""),"-",""),"+",""),"(",""),")",""),2,10),SUBSTITUTE(SUBSTITUTE(SUBSTITUTE(SUBSTITUTE(SUBSTITUTE(Клиенты_исходные!D6," ",""),"-",""),"+",""),"(",""),")","")),5,3)&amp;"-"&amp;MID(IF(LEFT(SUBSTITUTE(SUBSTITUTE(SUBSTITUTE(SUBSTITUTE(SUBSTITUTE(Клиенты_исходные!D6," ",""),"-",""),"+",""),"(",""),")",""))="8","7"&amp;MID(SUBSTITUTE(SUBSTITUTE(SUBSTITUTE(SUBSTITUTE(SUBSTITUTE(Клиенты_исходные!D6," ",""),"-",""),"+",""),"(",""),")",""),2,10),SUBSTITUTE(SUBSTITUTE(SUBSTITUTE(SUBSTITUTE(SUBSTITUTE(Клиенты_исходные!D6," ",""),"-",""),"+",""),"(",""),")","")),8,2)&amp;"-"&amp;MID(IF(LEFT(SUBSTITUTE(SUBSTITUTE(SUBSTITUTE(SUBSTITUTE(SUBSTITUTE(Клиенты_исходные!D6," ",""),"-",""),"+",""),"(",""),")",""))="8","7"&amp;MID(SUBSTITUTE(SUBSTITUTE(SUBSTITUTE(SUBSTITUTE(SUBSTITUTE(Клиенты_исходные!D6," ",""),"-",""),"+",""),"(",""),")",""),2,10),SUBSTITUTE(SUBSTITUTE(SUBSTITUTE(SUBSTITUTE(SUBSTITUTE(Клиенты_исходные!D6," ",""),"-",""),"+",""),"(",""),")","")),10,2),IF(LEN(SUBSTITUTE(SUBSTITUTE(SUBSTITUTE(SUBSTITUTE(SUBSTITUTE(Клиенты_исходные!D6," ",""),"-",""),"+",""),"(",""),")",""))=10,"+7 ("&amp;MID(SUBSTITUTE(SUBSTITUTE(SUBSTITUTE(SUBSTITUTE(SUBSTITUTE(Клиенты_исходные!D6," ",""),"-",""),"+",""),"(",""),")",""),1,3)&amp;") "&amp;MID(SUBSTITUTE(SUBSTITUTE(SUBSTITUTE(SUBSTITUTE(SUBSTITUTE(Клиенты_исходные!D6," ",""),"-",""),"+",""),"(",""),")",""),4,3)&amp;"-"&amp;MID(SUBSTITUTE(SUBSTITUTE(SUBSTITUTE(SUBSTITUTE(SUBSTITUTE(Клиенты_исходные!D6," ",""),"-",""),"+",""),"(",""),")",""),6,2)&amp;"-"&amp;MID(SUBSTITUTE(SUBSTITUTE(SUBSTITUTE(SUBSTITUTE(SUBSTITUTE(Клиенты_исходные!D6," ",""),"-",""),"+",""),"(",""),")",""),8,2),Клиенты_исходные!D6)))</f>
        <v xml:space="preserve">+7 (903) 456-78-90</v>
      </c>
      <c r="E6" t="str">
        <f>IF(ISBLANK(Клиенты_исходные!E6),"",IF(ISNUMBER(FIND(".",MID(Клиенты_исходные!E6,FIND("@",Клиенты_исходные!E6)+1,255))),Клиенты_исходные!E6,IF(ISNUMBER(FIND("gmail",Клиенты_исходные!E6)),Клиенты_исходные!E6&amp;".com",Клиенты_исходные!E6&amp;".ru")))</f>
        <v>smirnov@yandex.ru</v>
      </c>
      <c r="F6" t="str">
        <f>IFERROR(VLOOKUP(Клиенты_исходные!F6,Справочники!$J$2:$K$50,2,FALSE),Клиенты_исходные!F6)</f>
        <v>Казань</v>
      </c>
      <c r="G6" s="8">
        <f>IFERROR(IF(ISNUMBER(FIND(".",Клиенты_исходные!G6)),DATE(RIGHT(Клиенты_исходные!G6,4),MID(Клиенты_исходные!G6,4,2),LEFT(Клиенты_исходные!G6,2)),DATE(LEFT(Клиенты_исходные!G6,4),MID(Клиенты_исходные!G6,6,2),RIGHT(Клиенты_исходные!G6,2))),Клиенты_исходные!G6)</f>
        <v>44602</v>
      </c>
      <c r="H6">
        <f t="shared" ca="1" si="43"/>
        <v>31</v>
      </c>
      <c r="I6" t="str">
        <f t="shared" si="44"/>
        <v>OK</v>
      </c>
      <c r="J6" t="str">
        <f t="shared" si="45"/>
        <v>OK</v>
      </c>
    </row>
    <row r="7">
      <c r="A7" t="str">
        <f>Клиенты_исходные!A7</f>
        <v>C0006</v>
      </c>
      <c r="B7" t="str">
        <f>PROPER(TRIM(Клиенты_исходные!B7))</f>
        <v xml:space="preserve">Попова Елена Дмитриевна</v>
      </c>
      <c r="C7" s="8">
        <f>IFERROR(IF(ISNUMBER(FIND(".",Клиенты_исходные!C7)),DATE(RIGHT(Клиенты_исходные!C7,4),MID(Клиенты_исходные!C7,4,2),LEFT(Клиенты_исходные!C7,2)),DATE(LEFT(Клиенты_исходные!C7,4),MID(Клиенты_исходные!C7,6,2),RIGHT(Клиенты_исходные!C7,2))),Клиенты_исходные!C7)</f>
        <v>30208</v>
      </c>
      <c r="D7" t="str">
        <f>IF(ISBLANK(Клиенты_исходные!D7),"",IF(LEN(SUBSTITUTE(SUBSTITUTE(SUBSTITUTE(SUBSTITUTE(SUBSTITUTE(Клиенты_исходные!D7," ",""),"-",""),"+",""),"(",""),")",""))=11,"+7 ("&amp;MID(IF(LEFT(SUBSTITUTE(SUBSTITUTE(SUBSTITUTE(SUBSTITUTE(SUBSTITUTE(Клиенты_исходные!D7," ",""),"-",""),"+",""),"(",""),")",""))="8","7"&amp;MID(SUBSTITUTE(SUBSTITUTE(SUBSTITUTE(SUBSTITUTE(SUBSTITUTE(Клиенты_исходные!D7," ",""),"-",""),"+",""),"(",""),")",""),2,10),SUBSTITUTE(SUBSTITUTE(SUBSTITUTE(SUBSTITUTE(SUBSTITUTE(Клиенты_исходные!D7," ",""),"-",""),"+",""),"(",""),")","")),2,3)&amp;") "&amp;MID(IF(LEFT(SUBSTITUTE(SUBSTITUTE(SUBSTITUTE(SUBSTITUTE(SUBSTITUTE(Клиенты_исходные!D7," ",""),"-",""),"+",""),"(",""),")",""))="8","7"&amp;MID(SUBSTITUTE(SUBSTITUTE(SUBSTITUTE(SUBSTITUTE(SUBSTITUTE(Клиенты_исходные!D7," ",""),"-",""),"+",""),"(",""),")",""),2,10),SUBSTITUTE(SUBSTITUTE(SUBSTITUTE(SUBSTITUTE(SUBSTITUTE(Клиенты_исходные!D7," ",""),"-",""),"+",""),"(",""),")","")),5,3)&amp;"-"&amp;MID(IF(LEFT(SUBSTITUTE(SUBSTITUTE(SUBSTITUTE(SUBSTITUTE(SUBSTITUTE(Клиенты_исходные!D7," ",""),"-",""),"+",""),"(",""),")",""))="8","7"&amp;MID(SUBSTITUTE(SUBSTITUTE(SUBSTITUTE(SUBSTITUTE(SUBSTITUTE(Клиенты_исходные!D7," ",""),"-",""),"+",""),"(",""),")",""),2,10),SUBSTITUTE(SUBSTITUTE(SUBSTITUTE(SUBSTITUTE(SUBSTITUTE(Клиенты_исходные!D7," ",""),"-",""),"+",""),"(",""),")","")),8,2)&amp;"-"&amp;MID(IF(LEFT(SUBSTITUTE(SUBSTITUTE(SUBSTITUTE(SUBSTITUTE(SUBSTITUTE(Клиенты_исходные!D7," ",""),"-",""),"+",""),"(",""),")",""))="8","7"&amp;MID(SUBSTITUTE(SUBSTITUTE(SUBSTITUTE(SUBSTITUTE(SUBSTITUTE(Клиенты_исходные!D7," ",""),"-",""),"+",""),"(",""),")",""),2,10),SUBSTITUTE(SUBSTITUTE(SUBSTITUTE(SUBSTITUTE(SUBSTITUTE(Клиенты_исходные!D7," ",""),"-",""),"+",""),"(",""),")","")),10,2),IF(LEN(SUBSTITUTE(SUBSTITUTE(SUBSTITUTE(SUBSTITUTE(SUBSTITUTE(Клиенты_исходные!D7," ",""),"-",""),"+",""),"(",""),")",""))=10,"+7 ("&amp;MID(SUBSTITUTE(SUBSTITUTE(SUBSTITUTE(SUBSTITUTE(SUBSTITUTE(Клиенты_исходные!D7," ",""),"-",""),"+",""),"(",""),")",""),1,3)&amp;") "&amp;MID(SUBSTITUTE(SUBSTITUTE(SUBSTITUTE(SUBSTITUTE(SUBSTITUTE(Клиенты_исходные!D7," ",""),"-",""),"+",""),"(",""),")",""),4,3)&amp;"-"&amp;MID(SUBSTITUTE(SUBSTITUTE(SUBSTITUTE(SUBSTITUTE(SUBSTITUTE(Клиенты_исходные!D7," ",""),"-",""),"+",""),"(",""),")",""),6,2)&amp;"-"&amp;MID(SUBSTITUTE(SUBSTITUTE(SUBSTITUTE(SUBSTITUTE(SUBSTITUTE(Клиенты_исходные!D7," ",""),"-",""),"+",""),"(",""),")",""),8,2),Клиенты_исходные!D7)))</f>
        <v xml:space="preserve">+7 (903) 567-89-01</v>
      </c>
      <c r="E7" t="str">
        <f>IF(ISBLANK(Клиенты_исходные!E7),"",IF(ISNUMBER(FIND(".",MID(Клиенты_исходные!E7,FIND("@",Клиенты_исходные!E7)+1,255))),Клиенты_исходные!E7,IF(ISNUMBER(FIND("gmail",Клиенты_исходные!E7)),Клиенты_исходные!E7&amp;".com",Клиенты_исходные!E7&amp;".ru")))</f>
        <v>popova@gmail.com</v>
      </c>
      <c r="F7" t="str">
        <f>IFERROR(VLOOKUP(Клиенты_исходные!F7,Справочники!$J$2:$K$50,2,FALSE),Клиенты_исходные!F7)</f>
        <v xml:space="preserve">Нижний Новгород</v>
      </c>
      <c r="G7" s="8">
        <f>IFERROR(IF(ISNUMBER(FIND(".",Клиенты_исходные!G7)),DATE(RIGHT(Клиенты_исходные!G7,4),MID(Клиенты_исходные!G7,4,2),LEFT(Клиенты_исходные!G7,2)),DATE(LEFT(Клиенты_исходные!G7,4),MID(Клиенты_исходные!G7,6,2),RIGHT(Клиенты_исходные!G7,2))),Клиенты_исходные!G7)</f>
        <v>44602</v>
      </c>
      <c r="H7">
        <f t="shared" ca="1" si="43"/>
        <v>44</v>
      </c>
      <c r="I7" t="str">
        <f t="shared" si="44"/>
        <v>OK</v>
      </c>
      <c r="J7" t="str">
        <f t="shared" si="45"/>
        <v>OK</v>
      </c>
    </row>
    <row r="8">
      <c r="A8" t="str">
        <f>Клиенты_исходные!A8</f>
        <v>C0007</v>
      </c>
      <c r="B8" t="str">
        <f>PROPER(TRIM(Клиенты_исходные!B8))</f>
        <v xml:space="preserve">Васильев Андрей Николаевич</v>
      </c>
      <c r="C8" s="8">
        <f>IFERROR(IF(ISNUMBER(FIND(".",Клиенты_исходные!C8)),DATE(RIGHT(Клиенты_исходные!C8,4),MID(Клиенты_исходные!C8,4,2),LEFT(Клиенты_исходные!C8,2)),DATE(LEFT(Клиенты_исходные!C8,4),MID(Клиенты_исходные!C8,6,2),RIGHT(Клиенты_исходные!C8,2))),Клиенты_исходные!C8)</f>
        <v>25927</v>
      </c>
      <c r="D8" t="str">
        <f>IF(ISBLANK(Клиенты_исходные!D8),"",IF(LEN(SUBSTITUTE(SUBSTITUTE(SUBSTITUTE(SUBSTITUTE(SUBSTITUTE(Клиенты_исходные!D8," ",""),"-",""),"+",""),"(",""),")",""))=11,"+7 ("&amp;MID(IF(LEFT(SUBSTITUTE(SUBSTITUTE(SUBSTITUTE(SUBSTITUTE(SUBSTITUTE(Клиенты_исходные!D8," ",""),"-",""),"+",""),"(",""),")",""))="8","7"&amp;MID(SUBSTITUTE(SUBSTITUTE(SUBSTITUTE(SUBSTITUTE(SUBSTITUTE(Клиенты_исходные!D8," ",""),"-",""),"+",""),"(",""),")",""),2,10),SUBSTITUTE(SUBSTITUTE(SUBSTITUTE(SUBSTITUTE(SUBSTITUTE(Клиенты_исходные!D8," ",""),"-",""),"+",""),"(",""),")","")),2,3)&amp;") "&amp;MID(IF(LEFT(SUBSTITUTE(SUBSTITUTE(SUBSTITUTE(SUBSTITUTE(SUBSTITUTE(Клиенты_исходные!D8," ",""),"-",""),"+",""),"(",""),")",""))="8","7"&amp;MID(SUBSTITUTE(SUBSTITUTE(SUBSTITUTE(SUBSTITUTE(SUBSTITUTE(Клиенты_исходные!D8," ",""),"-",""),"+",""),"(",""),")",""),2,10),SUBSTITUTE(SUBSTITUTE(SUBSTITUTE(SUBSTITUTE(SUBSTITUTE(Клиенты_исходные!D8," ",""),"-",""),"+",""),"(",""),")","")),5,3)&amp;"-"&amp;MID(IF(LEFT(SUBSTITUTE(SUBSTITUTE(SUBSTITUTE(SUBSTITUTE(SUBSTITUTE(Клиенты_исходные!D8," ",""),"-",""),"+",""),"(",""),")",""))="8","7"&amp;MID(SUBSTITUTE(SUBSTITUTE(SUBSTITUTE(SUBSTITUTE(SUBSTITUTE(Клиенты_исходные!D8," ",""),"-",""),"+",""),"(",""),")",""),2,10),SUBSTITUTE(SUBSTITUTE(SUBSTITUTE(SUBSTITUTE(SUBSTITUTE(Клиенты_исходные!D8," ",""),"-",""),"+",""),"(",""),")","")),8,2)&amp;"-"&amp;MID(IF(LEFT(SUBSTITUTE(SUBSTITUTE(SUBSTITUTE(SUBSTITUTE(SUBSTITUTE(Клиенты_исходные!D8," ",""),"-",""),"+",""),"(",""),")",""))="8","7"&amp;MID(SUBSTITUTE(SUBSTITUTE(SUBSTITUTE(SUBSTITUTE(SUBSTITUTE(Клиенты_исходные!D8," ",""),"-",""),"+",""),"(",""),")",""),2,10),SUBSTITUTE(SUBSTITUTE(SUBSTITUTE(SUBSTITUTE(SUBSTITUTE(Клиенты_исходные!D8," ",""),"-",""),"+",""),"(",""),")","")),10,2),IF(LEN(SUBSTITUTE(SUBSTITUTE(SUBSTITUTE(SUBSTITUTE(SUBSTITUTE(Клиенты_исходные!D8," ",""),"-",""),"+",""),"(",""),")",""))=10,"+7 ("&amp;MID(SUBSTITUTE(SUBSTITUTE(SUBSTITUTE(SUBSTITUTE(SUBSTITUTE(Клиенты_исходные!D8," ",""),"-",""),"+",""),"(",""),")",""),1,3)&amp;") "&amp;MID(SUBSTITUTE(SUBSTITUTE(SUBSTITUTE(SUBSTITUTE(SUBSTITUTE(Клиенты_исходные!D8," ",""),"-",""),"+",""),"(",""),")",""),4,3)&amp;"-"&amp;MID(SUBSTITUTE(SUBSTITUTE(SUBSTITUTE(SUBSTITUTE(SUBSTITUTE(Клиенты_исходные!D8," ",""),"-",""),"+",""),"(",""),")",""),6,2)&amp;"-"&amp;MID(SUBSTITUTE(SUBSTITUTE(SUBSTITUTE(SUBSTITUTE(SUBSTITUTE(Клиенты_исходные!D8," ",""),"-",""),"+",""),"(",""),")",""),8,2),Клиенты_исходные!D8)))</f>
        <v xml:space="preserve">+7 (903) 567-89-01</v>
      </c>
      <c r="E8" t="str">
        <f>IF(ISBLANK(Клиенты_исходные!E8),"",IF(ISNUMBER(FIND(".",MID(Клиенты_исходные!E8,FIND("@",Клиенты_исходные!E8)+1,255))),Клиенты_исходные!E8,IF(ISNUMBER(FIND("gmail",Клиенты_исходные!E8)),Клиенты_исходные!E8&amp;".com",Клиенты_исходные!E8&amp;".ru")))</f>
        <v>vasiliev@mail.ru</v>
      </c>
      <c r="F8" t="str">
        <f>IFERROR(VLOOKUP(Клиенты_исходные!F8,Справочники!$J$2:$K$50,2,FALSE),Клиенты_исходные!F8)</f>
        <v>Челябинск</v>
      </c>
      <c r="G8" s="8">
        <f>IFERROR(IF(ISNUMBER(FIND(".",Клиенты_исходные!G8)),DATE(RIGHT(Клиенты_исходные!G8,4),MID(Клиенты_исходные!G8,4,2),LEFT(Клиенты_исходные!G8,2)),DATE(LEFT(Клиенты_исходные!G8,4),MID(Клиенты_исходные!G8,6,2),RIGHT(Клиенты_исходные!G8,2))),Клиенты_исходные!G8)</f>
        <v>44621</v>
      </c>
      <c r="H8">
        <f t="shared" ca="1" si="43"/>
        <v>55</v>
      </c>
      <c r="I8" t="str">
        <f t="shared" si="44"/>
        <v>OK</v>
      </c>
      <c r="J8" t="str">
        <f t="shared" si="45"/>
        <v>OK</v>
      </c>
    </row>
    <row r="9">
      <c r="A9" t="str">
        <f>Клиенты_исходные!A9</f>
        <v>C0008</v>
      </c>
      <c r="B9" t="str">
        <f>PROPER(TRIM(Клиенты_исходные!B9))</f>
        <v xml:space="preserve">Зайцева Ольга Игоревна</v>
      </c>
      <c r="C9" s="8">
        <f>IFERROR(IF(ISNUMBER(FIND(".",Клиенты_исходные!C9)),DATE(RIGHT(Клиенты_исходные!C9,4),MID(Клиенты_исходные!C9,4,2),LEFT(Клиенты_исходные!C9,2)),DATE(LEFT(Клиенты_исходные!C9,4),MID(Клиенты_исходные!C9,6,2),RIGHT(Клиенты_исходные!C9,2))),Клиенты_исходные!C9)</f>
        <v>32252</v>
      </c>
      <c r="D9" t="str">
        <f>IF(ISBLANK(Клиенты_исходные!D9),"",IF(LEN(SUBSTITUTE(SUBSTITUTE(SUBSTITUTE(SUBSTITUTE(SUBSTITUTE(Клиенты_исходные!D9," ",""),"-",""),"+",""),"(",""),")",""))=11,"+7 ("&amp;MID(IF(LEFT(SUBSTITUTE(SUBSTITUTE(SUBSTITUTE(SUBSTITUTE(SUBSTITUTE(Клиенты_исходные!D9," ",""),"-",""),"+",""),"(",""),")",""))="8","7"&amp;MID(SUBSTITUTE(SUBSTITUTE(SUBSTITUTE(SUBSTITUTE(SUBSTITUTE(Клиенты_исходные!D9," ",""),"-",""),"+",""),"(",""),")",""),2,10),SUBSTITUTE(SUBSTITUTE(SUBSTITUTE(SUBSTITUTE(SUBSTITUTE(Клиенты_исходные!D9," ",""),"-",""),"+",""),"(",""),")","")),2,3)&amp;") "&amp;MID(IF(LEFT(SUBSTITUTE(SUBSTITUTE(SUBSTITUTE(SUBSTITUTE(SUBSTITUTE(Клиенты_исходные!D9," ",""),"-",""),"+",""),"(",""),")",""))="8","7"&amp;MID(SUBSTITUTE(SUBSTITUTE(SUBSTITUTE(SUBSTITUTE(SUBSTITUTE(Клиенты_исходные!D9," ",""),"-",""),"+",""),"(",""),")",""),2,10),SUBSTITUTE(SUBSTITUTE(SUBSTITUTE(SUBSTITUTE(SUBSTITUTE(Клиенты_исходные!D9," ",""),"-",""),"+",""),"(",""),")","")),5,3)&amp;"-"&amp;MID(IF(LEFT(SUBSTITUTE(SUBSTITUTE(SUBSTITUTE(SUBSTITUTE(SUBSTITUTE(Клиенты_исходные!D9," ",""),"-",""),"+",""),"(",""),")",""))="8","7"&amp;MID(SUBSTITUTE(SUBSTITUTE(SUBSTITUTE(SUBSTITUTE(SUBSTITUTE(Клиенты_исходные!D9," ",""),"-",""),"+",""),"(",""),")",""),2,10),SUBSTITUTE(SUBSTITUTE(SUBSTITUTE(SUBSTITUTE(SUBSTITUTE(Клиенты_исходные!D9," ",""),"-",""),"+",""),"(",""),")","")),8,2)&amp;"-"&amp;MID(IF(LEFT(SUBSTITUTE(SUBSTITUTE(SUBSTITUTE(SUBSTITUTE(SUBSTITUTE(Клиенты_исходные!D9," ",""),"-",""),"+",""),"(",""),")",""))="8","7"&amp;MID(SUBSTITUTE(SUBSTITUTE(SUBSTITUTE(SUBSTITUTE(SUBSTITUTE(Клиенты_исходные!D9," ",""),"-",""),"+",""),"(",""),")",""),2,10),SUBSTITUTE(SUBSTITUTE(SUBSTITUTE(SUBSTITUTE(SUBSTITUTE(Клиенты_исходные!D9," ",""),"-",""),"+",""),"(",""),")","")),10,2),IF(LEN(SUBSTITUTE(SUBSTITUTE(SUBSTITUTE(SUBSTITUTE(SUBSTITUTE(Клиенты_исходные!D9," ",""),"-",""),"+",""),"(",""),")",""))=10,"+7 ("&amp;MID(SUBSTITUTE(SUBSTITUTE(SUBSTITUTE(SUBSTITUTE(SUBSTITUTE(Клиенты_исходные!D9," ",""),"-",""),"+",""),"(",""),")",""),1,3)&amp;") "&amp;MID(SUBSTITUTE(SUBSTITUTE(SUBSTITUTE(SUBSTITUTE(SUBSTITUTE(Клиенты_исходные!D9," ",""),"-",""),"+",""),"(",""),")",""),4,3)&amp;"-"&amp;MID(SUBSTITUTE(SUBSTITUTE(SUBSTITUTE(SUBSTITUTE(SUBSTITUTE(Клиенты_исходные!D9," ",""),"-",""),"+",""),"(",""),")",""),6,2)&amp;"-"&amp;MID(SUBSTITUTE(SUBSTITUTE(SUBSTITUTE(SUBSTITUTE(SUBSTITUTE(Клиенты_исходные!D9," ",""),"-",""),"+",""),"(",""),")",""),8,2),Клиенты_исходные!D9)))</f>
        <v xml:space="preserve">+7 (903) 678-90-12</v>
      </c>
      <c r="E9" t="str">
        <f>IF(ISBLANK(Клиенты_исходные!E9),"",IF(ISNUMBER(FIND(".",MID(Клиенты_исходные!E9,FIND("@",Клиенты_исходные!E9)+1,255))),Клиенты_исходные!E9,IF(ISNUMBER(FIND("gmail",Клиенты_исходные!E9)),Клиенты_исходные!E9&amp;".com",Клиенты_исходные!E9&amp;".ru")))</f>
        <v>zaitceva@yandex.ru</v>
      </c>
      <c r="F9" t="str">
        <f>IFERROR(VLOOKUP(Клиенты_исходные!F9,Справочники!$J$2:$K$50,2,FALSE),Клиенты_исходные!F9)</f>
        <v>Самара</v>
      </c>
      <c r="G9" s="8">
        <f>IFERROR(IF(ISNUMBER(FIND(".",Клиенты_исходные!G9)),DATE(RIGHT(Клиенты_исходные!G9,4),MID(Клиенты_исходные!G9,4,2),LEFT(Клиенты_исходные!G9,2)),DATE(LEFT(Клиенты_исходные!G9,4),MID(Клиенты_исходные!G9,6,2),RIGHT(Клиенты_исходные!G9,2))),Клиенты_исходные!G9)</f>
        <v>44635</v>
      </c>
      <c r="H9">
        <f t="shared" ca="1" si="43"/>
        <v>38</v>
      </c>
      <c r="I9" t="str">
        <f t="shared" si="44"/>
        <v>OK</v>
      </c>
      <c r="J9" t="str">
        <f t="shared" si="45"/>
        <v>OK</v>
      </c>
    </row>
    <row r="10">
      <c r="A10" t="str">
        <f>'Клиенты_исходные'!A10</f>
        <v>C0009</v>
      </c>
      <c r="B10" t="str">
        <f>PROPER(TRIM('Клиенты_исходные'!B10))</f>
        <v xml:space="preserve">Морозов Дмитрий Алексеевич</v>
      </c>
      <c r="C10" s="8">
        <f>IFERROR(IF(ISNUMBER(FIND(".",'Клиенты_исходные'!C10)),DATE(RIGHT('Клиенты_исходные'!C10,4),MID('Клиенты_исходные'!C10,4,2),LEFT('Клиенты_исходные'!C10,2)),DATE(LEFT('Клиенты_исходные'!C10,4),MID('Клиенты_исходные'!C10,6,2),RIGHT('Клиенты_исходные'!C10,2))),'Клиенты_исходные'!C10)</f>
        <v>34244</v>
      </c>
      <c r="D10" t="str">
        <f>IF(ISBLANK(Клиенты_исходные!D10),"",IF(LEN(SUBSTITUTE(SUBSTITUTE(SUBSTITUTE(SUBSTITUTE(SUBSTITUTE(Клиенты_исходные!D10," ",""),"-",""),"+",""),"(",""),")",""))=11,"+7 ("&amp;MID(IF(LEFT(SUBSTITUTE(SUBSTITUTE(SUBSTITUTE(SUBSTITUTE(SUBSTITUTE(Клиенты_исходные!D10," ",""),"-",""),"+",""),"(",""),")",""))="8","7"&amp;MID(SUBSTITUTE(SUBSTITUTE(SUBSTITUTE(SUBSTITUTE(SUBSTITUTE(Клиенты_исходные!D10," ",""),"-",""),"+",""),"(",""),")",""),2,10),SUBSTITUTE(SUBSTITUTE(SUBSTITUTE(SUBSTITUTE(SUBSTITUTE(Клиенты_исходные!D10," ",""),"-",""),"+",""),"(",""),")","")),2,3)&amp;") "&amp;MID(IF(LEFT(SUBSTITUTE(SUBSTITUTE(SUBSTITUTE(SUBSTITUTE(SUBSTITUTE(Клиенты_исходные!D10," ",""),"-",""),"+",""),"(",""),")",""))="8","7"&amp;MID(SUBSTITUTE(SUBSTITUTE(SUBSTITUTE(SUBSTITUTE(SUBSTITUTE(Клиенты_исходные!D10," ",""),"-",""),"+",""),"(",""),")",""),2,10),SUBSTITUTE(SUBSTITUTE(SUBSTITUTE(SUBSTITUTE(SUBSTITUTE(Клиенты_исходные!D10," ",""),"-",""),"+",""),"(",""),")","")),5,3)&amp;"-"&amp;MID(IF(LEFT(SUBSTITUTE(SUBSTITUTE(SUBSTITUTE(SUBSTITUTE(SUBSTITUTE(Клиенты_исходные!D10," ",""),"-",""),"+",""),"(",""),")",""))="8","7"&amp;MID(SUBSTITUTE(SUBSTITUTE(SUBSTITUTE(SUBSTITUTE(SUBSTITUTE(Клиенты_исходные!D10," ",""),"-",""),"+",""),"(",""),")",""),2,10),SUBSTITUTE(SUBSTITUTE(SUBSTITUTE(SUBSTITUTE(SUBSTITUTE(Клиенты_исходные!D10," ",""),"-",""),"+",""),"(",""),")","")),8,2)&amp;"-"&amp;MID(IF(LEFT(SUBSTITUTE(SUBSTITUTE(SUBSTITUTE(SUBSTITUTE(SUBSTITUTE(Клиенты_исходные!D10," ",""),"-",""),"+",""),"(",""),")",""))="8","7"&amp;MID(SUBSTITUTE(SUBSTITUTE(SUBSTITUTE(SUBSTITUTE(SUBSTITUTE(Клиенты_исходные!D10," ",""),"-",""),"+",""),"(",""),")",""),2,10),SUBSTITUTE(SUBSTITUTE(SUBSTITUTE(SUBSTITUTE(SUBSTITUTE(Клиенты_исходные!D10," ",""),"-",""),"+",""),"(",""),")","")),10,2),IF(LEN(SUBSTITUTE(SUBSTITUTE(SUBSTITUTE(SUBSTITUTE(SUBSTITUTE(Клиенты_исходные!D10," ",""),"-",""),"+",""),"(",""),")",""))=10,"+7 ("&amp;MID(SUBSTITUTE(SUBSTITUTE(SUBSTITUTE(SUBSTITUTE(SUBSTITUTE(Клиенты_исходные!D10," ",""),"-",""),"+",""),"(",""),")",""),1,3)&amp;") "&amp;MID(SUBSTITUTE(SUBSTITUTE(SUBSTITUTE(SUBSTITUTE(SUBSTITUTE(Клиенты_исходные!D10," ",""),"-",""),"+",""),"(",""),")",""),4,3)&amp;"-"&amp;MID(SUBSTITUTE(SUBSTITUTE(SUBSTITUTE(SUBSTITUTE(SUBSTITUTE(Клиенты_исходные!D10," ",""),"-",""),"+",""),"(",""),")",""),6,2)&amp;"-"&amp;MID(SUBSTITUTE(SUBSTITUTE(SUBSTITUTE(SUBSTITUTE(SUBSTITUTE(Клиенты_исходные!D10," ",""),"-",""),"+",""),"(",""),")",""),8,2),Клиенты_исходные!D10)))</f>
        <v xml:space="preserve">+7 (903) 789-01-23</v>
      </c>
      <c r="E10" t="str">
        <f>IF(ISBLANK(Клиенты_исходные!E10),"",IF(ISNUMBER(FIND(".",MID(Клиенты_исходные!E10,FIND("@",Клиенты_исходные!E10)+1,255))),Клиенты_исходные!E10,IF(ISNUMBER(FIND("gmail",Клиенты_исходные!E10)),Клиенты_исходные!E10&amp;".com",Клиенты_исходные!E10&amp;".ru")))</f>
        <v>morozov@gmail.com</v>
      </c>
      <c r="F10" t="str">
        <f>IFERROR(VLOOKUP('Клиенты_исходные'!F10,Справочники!$J$2:$K$50,2,FALSE),'Клиенты_исходные'!F10)</f>
        <v>Омск</v>
      </c>
      <c r="G10" s="8">
        <f>IFERROR(IF(ISNUMBER(FIND(".",'Клиенты_исходные'!G10)),DATE(RIGHT('Клиенты_исходные'!G10,4),MID('Клиенты_исходные'!G10,4,2),LEFT('Клиенты_исходные'!G10,2)),DATE(LEFT('Клиенты_исходные'!G10,4),MID('Клиенты_исходные'!G10,6,2),RIGHT('Клиенты_исходные'!G10,2))),'Клиенты_исходные'!G10)</f>
        <v>44635</v>
      </c>
      <c r="H10">
        <f t="shared" ref="H10:H73" ca="1" si="46">DATEDIF(C10,TODAY(),"Y")</f>
        <v>33</v>
      </c>
      <c r="I10" t="str">
        <f t="shared" ref="I10:I73" si="47">IF(OR(H10&lt;18,H10&gt;80),"Ошибка даты рождения","OK")</f>
        <v>OK</v>
      </c>
      <c r="J10" t="str">
        <f t="shared" ref="J10:J73" si="48">IF(AND(ISNUMBER(FIND("@",E10)),ISNUMBER(FIND(".",MID(E10,FIND("@",E10)+1,255)))),"OK","Ошибка Email")</f>
        <v>OK</v>
      </c>
    </row>
    <row r="11">
      <c r="A11" t="str">
        <f>Клиенты_исходные!A11</f>
        <v>C0010</v>
      </c>
      <c r="B11" t="str">
        <f>PROPER(TRIM(Клиенты_исходные!B11))</f>
        <v xml:space="preserve">Соколова Екатерина Павловна</v>
      </c>
      <c r="C11" s="8">
        <f>IFERROR(IF(ISNUMBER(FIND(".",Клиенты_исходные!C11)),DATE(RIGHT(Клиенты_исходные!C11,4),MID(Клиенты_исходные!C11,4,2),LEFT(Клиенты_исходные!C11,2)),DATE(LEFT(Клиенты_исходные!C11,4),MID(Клиенты_исходные!C11,6,2),RIGHT(Клиенты_исходные!C11,2))),Клиенты_исходные!C11)</f>
        <v>27775</v>
      </c>
      <c r="D11" t="str">
        <f>IF(ISBLANK(Клиенты_исходные!D11),"",IF(LEN(SUBSTITUTE(SUBSTITUTE(SUBSTITUTE(SUBSTITUTE(SUBSTITUTE(Клиенты_исходные!D11," ",""),"-",""),"+",""),"(",""),")",""))=11,"+7 ("&amp;MID(IF(LEFT(SUBSTITUTE(SUBSTITUTE(SUBSTITUTE(SUBSTITUTE(SUBSTITUTE(Клиенты_исходные!D11," ",""),"-",""),"+",""),"(",""),")",""))="8","7"&amp;MID(SUBSTITUTE(SUBSTITUTE(SUBSTITUTE(SUBSTITUTE(SUBSTITUTE(Клиенты_исходные!D11," ",""),"-",""),"+",""),"(",""),")",""),2,10),SUBSTITUTE(SUBSTITUTE(SUBSTITUTE(SUBSTITUTE(SUBSTITUTE(Клиенты_исходные!D11," ",""),"-",""),"+",""),"(",""),")","")),2,3)&amp;") "&amp;MID(IF(LEFT(SUBSTITUTE(SUBSTITUTE(SUBSTITUTE(SUBSTITUTE(SUBSTITUTE(Клиенты_исходные!D11," ",""),"-",""),"+",""),"(",""),")",""))="8","7"&amp;MID(SUBSTITUTE(SUBSTITUTE(SUBSTITUTE(SUBSTITUTE(SUBSTITUTE(Клиенты_исходные!D11," ",""),"-",""),"+",""),"(",""),")",""),2,10),SUBSTITUTE(SUBSTITUTE(SUBSTITUTE(SUBSTITUTE(SUBSTITUTE(Клиенты_исходные!D11," ",""),"-",""),"+",""),"(",""),")","")),5,3)&amp;"-"&amp;MID(IF(LEFT(SUBSTITUTE(SUBSTITUTE(SUBSTITUTE(SUBSTITUTE(SUBSTITUTE(Клиенты_исходные!D11," ",""),"-",""),"+",""),"(",""),")",""))="8","7"&amp;MID(SUBSTITUTE(SUBSTITUTE(SUBSTITUTE(SUBSTITUTE(SUBSTITUTE(Клиенты_исходные!D11," ",""),"-",""),"+",""),"(",""),")",""),2,10),SUBSTITUTE(SUBSTITUTE(SUBSTITUTE(SUBSTITUTE(SUBSTITUTE(Клиенты_исходные!D11," ",""),"-",""),"+",""),"(",""),")","")),8,2)&amp;"-"&amp;MID(IF(LEFT(SUBSTITUTE(SUBSTITUTE(SUBSTITUTE(SUBSTITUTE(SUBSTITUTE(Клиенты_исходные!D11," ",""),"-",""),"+",""),"(",""),")",""))="8","7"&amp;MID(SUBSTITUTE(SUBSTITUTE(SUBSTITUTE(SUBSTITUTE(SUBSTITUTE(Клиенты_исходные!D11," ",""),"-",""),"+",""),"(",""),")",""),2,10),SUBSTITUTE(SUBSTITUTE(SUBSTITUTE(SUBSTITUTE(SUBSTITUTE(Клиенты_исходные!D11," ",""),"-",""),"+",""),"(",""),")","")),10,2),IF(LEN(SUBSTITUTE(SUBSTITUTE(SUBSTITUTE(SUBSTITUTE(SUBSTITUTE(Клиенты_исходные!D11," ",""),"-",""),"+",""),"(",""),")",""))=10,"+7 ("&amp;MID(SUBSTITUTE(SUBSTITUTE(SUBSTITUTE(SUBSTITUTE(SUBSTITUTE(Клиенты_исходные!D11," ",""),"-",""),"+",""),"(",""),")",""),1,3)&amp;") "&amp;MID(SUBSTITUTE(SUBSTITUTE(SUBSTITUTE(SUBSTITUTE(SUBSTITUTE(Клиенты_исходные!D11," ",""),"-",""),"+",""),"(",""),")",""),4,3)&amp;"-"&amp;MID(SUBSTITUTE(SUBSTITUTE(SUBSTITUTE(SUBSTITUTE(SUBSTITUTE(Клиенты_исходные!D11," ",""),"-",""),"+",""),"(",""),")",""),6,2)&amp;"-"&amp;MID(SUBSTITUTE(SUBSTITUTE(SUBSTITUTE(SUBSTITUTE(SUBSTITUTE(Клиенты_исходные!D11," ",""),"-",""),"+",""),"(",""),")",""),8,2),Клиенты_исходные!D11)))</f>
        <v xml:space="preserve">+7 (903) 890-12-34</v>
      </c>
      <c r="E11" t="str">
        <f>IF(ISBLANK(Клиенты_исходные!E11),"",IF(ISNUMBER(FIND(".",MID(Клиенты_исходные!E11,FIND("@",Клиенты_исходные!E11)+1,255))),Клиенты_исходные!E11,IF(ISNUMBER(FIND("gmail",Клиенты_исходные!E11)),Клиенты_исходные!E11&amp;".com",Клиенты_исходные!E11&amp;".ru")))</f>
        <v>sokolova@mail.ru</v>
      </c>
      <c r="F11" t="str">
        <f>IFERROR(VLOOKUP(Клиенты_исходные!F11,Справочники!$J$2:$K$50,2,FALSE),Клиенты_исходные!F11)</f>
        <v>Ростов-на-Дону</v>
      </c>
      <c r="G11" s="8">
        <f>IFERROR(IF(ISNUMBER(FIND(".",Клиенты_исходные!G11)),DATE(RIGHT(Клиенты_исходные!G11,4),MID(Клиенты_исходные!G11,4,2),LEFT(Клиенты_исходные!G11,2)),DATE(LEFT(Клиенты_исходные!G11,4),MID(Клиенты_исходные!G11,6,2),RIGHT(Клиенты_исходные!G11,2))),Клиенты_исходные!G11)</f>
        <v>44652</v>
      </c>
      <c r="H11">
        <f t="shared" ca="1" si="46"/>
        <v>50</v>
      </c>
      <c r="I11" t="str">
        <f t="shared" si="47"/>
        <v>OK</v>
      </c>
      <c r="J11" t="str">
        <f t="shared" si="48"/>
        <v>OK</v>
      </c>
    </row>
    <row r="12">
      <c r="A12" t="str">
        <f>Клиенты_исходные!A12</f>
        <v>C0011</v>
      </c>
      <c r="B12" t="str">
        <f>PROPER(TRIM(Клиенты_исходные!B12))</f>
        <v xml:space="preserve">Михайлов Сергей Иванович</v>
      </c>
      <c r="C12" s="8">
        <f>IFERROR(IF(ISNUMBER(FIND(".",Клиенты_исходные!C12)),DATE(RIGHT(Клиенты_исходные!C12,4),MID(Клиенты_исходные!C12,4,2),LEFT(Клиенты_исходные!C12,2)),DATE(LEFT(Клиенты_исходные!C12,4),MID(Клиенты_исходные!C12,6,2),RIGHT(Клиенты_исходные!C12,2))),Клиенты_исходные!C12)</f>
        <v>30891</v>
      </c>
      <c r="D12" t="str">
        <f>IF(ISBLANK(Клиенты_исходные!D12),"",IF(LEN(SUBSTITUTE(SUBSTITUTE(SUBSTITUTE(SUBSTITUTE(SUBSTITUTE(Клиенты_исходные!D12," ",""),"-",""),"+",""),"(",""),")",""))=11,"+7 ("&amp;MID(IF(LEFT(SUBSTITUTE(SUBSTITUTE(SUBSTITUTE(SUBSTITUTE(SUBSTITUTE(Клиенты_исходные!D12," ",""),"-",""),"+",""),"(",""),")",""))="8","7"&amp;MID(SUBSTITUTE(SUBSTITUTE(SUBSTITUTE(SUBSTITUTE(SUBSTITUTE(Клиенты_исходные!D12," ",""),"-",""),"+",""),"(",""),")",""),2,10),SUBSTITUTE(SUBSTITUTE(SUBSTITUTE(SUBSTITUTE(SUBSTITUTE(Клиенты_исходные!D12," ",""),"-",""),"+",""),"(",""),")","")),2,3)&amp;") "&amp;MID(IF(LEFT(SUBSTITUTE(SUBSTITUTE(SUBSTITUTE(SUBSTITUTE(SUBSTITUTE(Клиенты_исходные!D12," ",""),"-",""),"+",""),"(",""),")",""))="8","7"&amp;MID(SUBSTITUTE(SUBSTITUTE(SUBSTITUTE(SUBSTITUTE(SUBSTITUTE(Клиенты_исходные!D12," ",""),"-",""),"+",""),"(",""),")",""),2,10),SUBSTITUTE(SUBSTITUTE(SUBSTITUTE(SUBSTITUTE(SUBSTITUTE(Клиенты_исходные!D12," ",""),"-",""),"+",""),"(",""),")","")),5,3)&amp;"-"&amp;MID(IF(LEFT(SUBSTITUTE(SUBSTITUTE(SUBSTITUTE(SUBSTITUTE(SUBSTITUTE(Клиенты_исходные!D12," ",""),"-",""),"+",""),"(",""),")",""))="8","7"&amp;MID(SUBSTITUTE(SUBSTITUTE(SUBSTITUTE(SUBSTITUTE(SUBSTITUTE(Клиенты_исходные!D12," ",""),"-",""),"+",""),"(",""),")",""),2,10),SUBSTITUTE(SUBSTITUTE(SUBSTITUTE(SUBSTITUTE(SUBSTITUTE(Клиенты_исходные!D12," ",""),"-",""),"+",""),"(",""),")","")),8,2)&amp;"-"&amp;MID(IF(LEFT(SUBSTITUTE(SUBSTITUTE(SUBSTITUTE(SUBSTITUTE(SUBSTITUTE(Клиенты_исходные!D12," ",""),"-",""),"+",""),"(",""),")",""))="8","7"&amp;MID(SUBSTITUTE(SUBSTITUTE(SUBSTITUTE(SUBSTITUTE(SUBSTITUTE(Клиенты_исходные!D12," ",""),"-",""),"+",""),"(",""),")",""),2,10),SUBSTITUTE(SUBSTITUTE(SUBSTITUTE(SUBSTITUTE(SUBSTITUTE(Клиенты_исходные!D12," ",""),"-",""),"+",""),"(",""),")","")),10,2),IF(LEN(SUBSTITUTE(SUBSTITUTE(SUBSTITUTE(SUBSTITUTE(SUBSTITUTE(Клиенты_исходные!D12," ",""),"-",""),"+",""),"(",""),")",""))=10,"+7 ("&amp;MID(SUBSTITUTE(SUBSTITUTE(SUBSTITUTE(SUBSTITUTE(SUBSTITUTE(Клиенты_исходные!D12," ",""),"-",""),"+",""),"(",""),")",""),1,3)&amp;") "&amp;MID(SUBSTITUTE(SUBSTITUTE(SUBSTITUTE(SUBSTITUTE(SUBSTITUTE(Клиенты_исходные!D12," ",""),"-",""),"+",""),"(",""),")",""),4,3)&amp;"-"&amp;MID(SUBSTITUTE(SUBSTITUTE(SUBSTITUTE(SUBSTITUTE(SUBSTITUTE(Клиенты_исходные!D12," ",""),"-",""),"+",""),"(",""),")",""),6,2)&amp;"-"&amp;MID(SUBSTITUTE(SUBSTITUTE(SUBSTITUTE(SUBSTITUTE(SUBSTITUTE(Клиенты_исходные!D12," ",""),"-",""),"+",""),"(",""),")",""),8,2),Клиенты_исходные!D12)))</f>
        <v xml:space="preserve">+7 (903) 890-12-34</v>
      </c>
      <c r="E12" t="str">
        <f>IF(ISBLANK(Клиенты_исходные!E12),"",IF(ISNUMBER(FIND(".",MID(Клиенты_исходные!E12,FIND("@",Клиенты_исходные!E12)+1,255))),Клиенты_исходные!E12,IF(ISNUMBER(FIND("gmail",Клиенты_исходные!E12)),Клиенты_исходные!E12&amp;".com",Клиенты_исходные!E12&amp;".ru")))</f>
        <v>mihailov@yandex.ru</v>
      </c>
      <c r="F12" t="str">
        <f>IFERROR(VLOOKUP(Клиенты_исходные!F12,Справочники!$J$2:$K$50,2,FALSE),Клиенты_исходные!F12)</f>
        <v>Уфа</v>
      </c>
      <c r="G12" s="8">
        <f>IFERROR(IF(ISNUMBER(FIND(".",Клиенты_исходные!G12)),DATE(RIGHT(Клиенты_исходные!G12,4),MID(Клиенты_исходные!G12,4,2),LEFT(Клиенты_исходные!G12,2)),DATE(LEFT(Клиенты_исходные!G12,4),MID(Клиенты_исходные!G12,6,2),RIGHT(Клиенты_исходные!G12,2))),Клиенты_исходные!G12)</f>
        <v>44661</v>
      </c>
      <c r="H12">
        <f t="shared" ca="1" si="46"/>
        <v>42</v>
      </c>
      <c r="I12" t="str">
        <f t="shared" si="47"/>
        <v>OK</v>
      </c>
      <c r="J12" t="str">
        <f t="shared" si="48"/>
        <v>OK</v>
      </c>
    </row>
    <row r="13">
      <c r="A13" t="str">
        <f>Клиенты_исходные!A13</f>
        <v>C0012</v>
      </c>
      <c r="B13" t="str">
        <f>PROPER(TRIM(Клиенты_исходные!B13))</f>
        <v xml:space="preserve">Федорова Татьяна Владимировна</v>
      </c>
      <c r="C13" s="8">
        <f>IFERROR(IF(ISNUMBER(FIND(".",Клиенты_исходные!C13)),DATE(RIGHT(Клиенты_исходные!C13,4),MID(Клиенты_исходные!C13,4,2),LEFT(Клиенты_исходные!C13,2)),DATE(LEFT(Клиенты_исходные!C13,4),MID(Клиенты_исходные!C13,6,2),RIGHT(Клиенты_исходные!C13,2))),Клиенты_исходные!C13)</f>
        <v>33308</v>
      </c>
      <c r="D13" t="str">
        <f>IF(ISBLANK(Клиенты_исходные!D13),"",IF(LEN(SUBSTITUTE(SUBSTITUTE(SUBSTITUTE(SUBSTITUTE(SUBSTITUTE(Клиенты_исходные!D13," ",""),"-",""),"+",""),"(",""),")",""))=11,"+7 ("&amp;MID(IF(LEFT(SUBSTITUTE(SUBSTITUTE(SUBSTITUTE(SUBSTITUTE(SUBSTITUTE(Клиенты_исходные!D13," ",""),"-",""),"+",""),"(",""),")",""))="8","7"&amp;MID(SUBSTITUTE(SUBSTITUTE(SUBSTITUTE(SUBSTITUTE(SUBSTITUTE(Клиенты_исходные!D13," ",""),"-",""),"+",""),"(",""),")",""),2,10),SUBSTITUTE(SUBSTITUTE(SUBSTITUTE(SUBSTITUTE(SUBSTITUTE(Клиенты_исходные!D13," ",""),"-",""),"+",""),"(",""),")","")),2,3)&amp;") "&amp;MID(IF(LEFT(SUBSTITUTE(SUBSTITUTE(SUBSTITUTE(SUBSTITUTE(SUBSTITUTE(Клиенты_исходные!D13," ",""),"-",""),"+",""),"(",""),")",""))="8","7"&amp;MID(SUBSTITUTE(SUBSTITUTE(SUBSTITUTE(SUBSTITUTE(SUBSTITUTE(Клиенты_исходные!D13," ",""),"-",""),"+",""),"(",""),")",""),2,10),SUBSTITUTE(SUBSTITUTE(SUBSTITUTE(SUBSTITUTE(SUBSTITUTE(Клиенты_исходные!D13," ",""),"-",""),"+",""),"(",""),")","")),5,3)&amp;"-"&amp;MID(IF(LEFT(SUBSTITUTE(SUBSTITUTE(SUBSTITUTE(SUBSTITUTE(SUBSTITUTE(Клиенты_исходные!D13," ",""),"-",""),"+",""),"(",""),")",""))="8","7"&amp;MID(SUBSTITUTE(SUBSTITUTE(SUBSTITUTE(SUBSTITUTE(SUBSTITUTE(Клиенты_исходные!D13," ",""),"-",""),"+",""),"(",""),")",""),2,10),SUBSTITUTE(SUBSTITUTE(SUBSTITUTE(SUBSTITUTE(SUBSTITUTE(Клиенты_исходные!D13," ",""),"-",""),"+",""),"(",""),")","")),8,2)&amp;"-"&amp;MID(IF(LEFT(SUBSTITUTE(SUBSTITUTE(SUBSTITUTE(SUBSTITUTE(SUBSTITUTE(Клиенты_исходные!D13," ",""),"-",""),"+",""),"(",""),")",""))="8","7"&amp;MID(SUBSTITUTE(SUBSTITUTE(SUBSTITUTE(SUBSTITUTE(SUBSTITUTE(Клиенты_исходные!D13," ",""),"-",""),"+",""),"(",""),")",""),2,10),SUBSTITUTE(SUBSTITUTE(SUBSTITUTE(SUBSTITUTE(SUBSTITUTE(Клиенты_исходные!D13," ",""),"-",""),"+",""),"(",""),")","")),10,2),IF(LEN(SUBSTITUTE(SUBSTITUTE(SUBSTITUTE(SUBSTITUTE(SUBSTITUTE(Клиенты_исходные!D13," ",""),"-",""),"+",""),"(",""),")",""))=10,"+7 ("&amp;MID(SUBSTITUTE(SUBSTITUTE(SUBSTITUTE(SUBSTITUTE(SUBSTITUTE(Клиенты_исходные!D13," ",""),"-",""),"+",""),"(",""),")",""),1,3)&amp;") "&amp;MID(SUBSTITUTE(SUBSTITUTE(SUBSTITUTE(SUBSTITUTE(SUBSTITUTE(Клиенты_исходные!D13," ",""),"-",""),"+",""),"(",""),")",""),4,3)&amp;"-"&amp;MID(SUBSTITUTE(SUBSTITUTE(SUBSTITUTE(SUBSTITUTE(SUBSTITUTE(Клиенты_исходные!D13," ",""),"-",""),"+",""),"(",""),")",""),6,2)&amp;"-"&amp;MID(SUBSTITUTE(SUBSTITUTE(SUBSTITUTE(SUBSTITUTE(SUBSTITUTE(Клиенты_исходные!D13," ",""),"-",""),"+",""),"(",""),")",""),8,2),Клиенты_исходные!D13)))</f>
        <v xml:space="preserve">+7 (903) 901-23-45</v>
      </c>
      <c r="E13" t="str">
        <f>IF(ISBLANK(Клиенты_исходные!E13),"",IF(ISNUMBER(FIND(".",MID(Клиенты_исходные!E13,FIND("@",Клиенты_исходные!E13)+1,255))),Клиенты_исходные!E13,IF(ISNUMBER(FIND("gmail",Клиенты_исходные!E13)),Клиенты_исходные!E13&amp;".com",Клиенты_исходные!E13&amp;".ru")))</f>
        <v>fedorova@gmail.com</v>
      </c>
      <c r="F13" t="str">
        <f>IFERROR(VLOOKUP(Клиенты_исходные!F13,Справочники!$J$2:$K$50,2,FALSE),Клиенты_исходные!F13)</f>
        <v>Красноярск</v>
      </c>
      <c r="G13" s="8">
        <f>IFERROR(IF(ISNUMBER(FIND(".",Клиенты_исходные!G13)),DATE(RIGHT(Клиенты_исходные!G13,4),MID(Клиенты_исходные!G13,4,2),LEFT(Клиенты_исходные!G13,2)),DATE(LEFT(Клиенты_исходные!G13,4),MID(Клиенты_исходные!G13,6,2),RIGHT(Клиенты_исходные!G13,2))),Клиенты_исходные!G13)</f>
        <v>44661</v>
      </c>
      <c r="H13">
        <f t="shared" ca="1" si="46"/>
        <v>35</v>
      </c>
      <c r="I13" t="str">
        <f t="shared" si="47"/>
        <v>OK</v>
      </c>
      <c r="J13" t="str">
        <f t="shared" si="48"/>
        <v>OK</v>
      </c>
    </row>
    <row r="14">
      <c r="A14" t="str">
        <f>Клиенты_исходные!A14</f>
        <v>C0013</v>
      </c>
      <c r="B14" t="str">
        <f>PROPER(TRIM(Клиенты_исходные!B14))</f>
        <v xml:space="preserve">Егоров Павел Андреевич</v>
      </c>
      <c r="C14" s="8">
        <f>IFERROR(IF(ISNUMBER(FIND(".",Клиенты_исходные!C14)),DATE(RIGHT(Клиенты_исходные!C14,4),MID(Клиенты_исходные!C14,4,2),LEFT(Клиенты_исходные!C14,2)),DATE(LEFT(Клиенты_исходные!C14,4),MID(Клиенты_исходные!C14,6,2),RIGHT(Клиенты_исходные!C14,2))),Клиенты_исходные!C14)</f>
        <v>27003</v>
      </c>
      <c r="D14" t="str">
        <f>IF(ISBLANK(Клиенты_исходные!D14),"",IF(LEN(SUBSTITUTE(SUBSTITUTE(SUBSTITUTE(SUBSTITUTE(SUBSTITUTE(Клиенты_исходные!D14," ",""),"-",""),"+",""),"(",""),")",""))=11,"+7 ("&amp;MID(IF(LEFT(SUBSTITUTE(SUBSTITUTE(SUBSTITUTE(SUBSTITUTE(SUBSTITUTE(Клиенты_исходные!D14," ",""),"-",""),"+",""),"(",""),")",""))="8","7"&amp;MID(SUBSTITUTE(SUBSTITUTE(SUBSTITUTE(SUBSTITUTE(SUBSTITUTE(Клиенты_исходные!D14," ",""),"-",""),"+",""),"(",""),")",""),2,10),SUBSTITUTE(SUBSTITUTE(SUBSTITUTE(SUBSTITUTE(SUBSTITUTE(Клиенты_исходные!D14," ",""),"-",""),"+",""),"(",""),")","")),2,3)&amp;") "&amp;MID(IF(LEFT(SUBSTITUTE(SUBSTITUTE(SUBSTITUTE(SUBSTITUTE(SUBSTITUTE(Клиенты_исходные!D14," ",""),"-",""),"+",""),"(",""),")",""))="8","7"&amp;MID(SUBSTITUTE(SUBSTITUTE(SUBSTITUTE(SUBSTITUTE(SUBSTITUTE(Клиенты_исходные!D14," ",""),"-",""),"+",""),"(",""),")",""),2,10),SUBSTITUTE(SUBSTITUTE(SUBSTITUTE(SUBSTITUTE(SUBSTITUTE(Клиенты_исходные!D14," ",""),"-",""),"+",""),"(",""),")","")),5,3)&amp;"-"&amp;MID(IF(LEFT(SUBSTITUTE(SUBSTITUTE(SUBSTITUTE(SUBSTITUTE(SUBSTITUTE(Клиенты_исходные!D14," ",""),"-",""),"+",""),"(",""),")",""))="8","7"&amp;MID(SUBSTITUTE(SUBSTITUTE(SUBSTITUTE(SUBSTITUTE(SUBSTITUTE(Клиенты_исходные!D14," ",""),"-",""),"+",""),"(",""),")",""),2,10),SUBSTITUTE(SUBSTITUTE(SUBSTITUTE(SUBSTITUTE(SUBSTITUTE(Клиенты_исходные!D14," ",""),"-",""),"+",""),"(",""),")","")),8,2)&amp;"-"&amp;MID(IF(LEFT(SUBSTITUTE(SUBSTITUTE(SUBSTITUTE(SUBSTITUTE(SUBSTITUTE(Клиенты_исходные!D14," ",""),"-",""),"+",""),"(",""),")",""))="8","7"&amp;MID(SUBSTITUTE(SUBSTITUTE(SUBSTITUTE(SUBSTITUTE(SUBSTITUTE(Клиенты_исходные!D14," ",""),"-",""),"+",""),"(",""),")",""),2,10),SUBSTITUTE(SUBSTITUTE(SUBSTITUTE(SUBSTITUTE(SUBSTITUTE(Клиенты_исходные!D14," ",""),"-",""),"+",""),"(",""),")","")),10,2),IF(LEN(SUBSTITUTE(SUBSTITUTE(SUBSTITUTE(SUBSTITUTE(SUBSTITUTE(Клиенты_исходные!D14," ",""),"-",""),"+",""),"(",""),")",""))=10,"+7 ("&amp;MID(SUBSTITUTE(SUBSTITUTE(SUBSTITUTE(SUBSTITUTE(SUBSTITUTE(Клиенты_исходные!D14," ",""),"-",""),"+",""),"(",""),")",""),1,3)&amp;") "&amp;MID(SUBSTITUTE(SUBSTITUTE(SUBSTITUTE(SUBSTITUTE(SUBSTITUTE(Клиенты_исходные!D14," ",""),"-",""),"+",""),"(",""),")",""),4,3)&amp;"-"&amp;MID(SUBSTITUTE(SUBSTITUTE(SUBSTITUTE(SUBSTITUTE(SUBSTITUTE(Клиенты_исходные!D14," ",""),"-",""),"+",""),"(",""),")",""),6,2)&amp;"-"&amp;MID(SUBSTITUTE(SUBSTITUTE(SUBSTITUTE(SUBSTITUTE(SUBSTITUTE(Клиенты_исходные!D14," ",""),"-",""),"+",""),"(",""),")",""),8,2),Клиенты_исходные!D14)))</f>
        <v xml:space="preserve">+7 (903) 901-23-45</v>
      </c>
      <c r="E14" t="str">
        <f>IF(ISBLANK(Клиенты_исходные!E14),"",IF(ISNUMBER(FIND(".",MID(Клиенты_исходные!E14,FIND("@",Клиенты_исходные!E14)+1,255))),Клиенты_исходные!E14,IF(ISNUMBER(FIND("gmail",Клиенты_исходные!E14)),Клиенты_исходные!E14&amp;".com",Клиенты_исходные!E14&amp;".ru")))</f>
        <v>egorov@mail.ru</v>
      </c>
      <c r="F14" t="str">
        <f>IFERROR(VLOOKUP(Клиенты_исходные!F14,Справочники!$J$2:$K$50,2,FALSE),Клиенты_исходные!F14)</f>
        <v>Пермь</v>
      </c>
      <c r="G14" s="8">
        <f>IFERROR(IF(ISNUMBER(FIND(".",Клиенты_исходные!G14)),DATE(RIGHT(Клиенты_исходные!G14,4),MID(Клиенты_исходные!G14,4,2),LEFT(Клиенты_исходные!G14,2)),DATE(LEFT(Клиенты_исходные!G14,4),MID(Клиенты_исходные!G14,6,2),RIGHT(Клиенты_исходные!G14,2))),Клиенты_исходные!G14)</f>
        <v>44682</v>
      </c>
      <c r="H14">
        <f t="shared" ca="1" si="46"/>
        <v>52</v>
      </c>
      <c r="I14" t="str">
        <f t="shared" si="47"/>
        <v>OK</v>
      </c>
      <c r="J14" t="str">
        <f t="shared" si="48"/>
        <v>OK</v>
      </c>
    </row>
    <row r="15">
      <c r="A15" t="str">
        <f>Клиенты_исходные!A15</f>
        <v>C0014</v>
      </c>
      <c r="B15" t="str">
        <f>PROPER(TRIM(Клиенты_исходные!B15))</f>
        <v xml:space="preserve">Николаев Александр Сергеевич</v>
      </c>
      <c r="C15" s="8">
        <f>IFERROR(IF(ISNUMBER(FIND(".",Клиенты_исходные!C15)),DATE(RIGHT(Клиенты_исходные!C15,4),MID(Клиенты_исходные!C15,4,2),LEFT(Клиенты_исходные!C15,2)),DATE(LEFT(Клиенты_исходные!C15,4),MID(Клиенты_исходные!C15,6,2),RIGHT(Клиенты_исходные!C15,2))),Клиенты_исходные!C15)</f>
        <v>31647</v>
      </c>
      <c r="D15" t="str">
        <f>IF(ISBLANK(Клиенты_исходные!D15),"",IF(LEN(SUBSTITUTE(SUBSTITUTE(SUBSTITUTE(SUBSTITUTE(SUBSTITUTE(Клиенты_исходные!D15," ",""),"-",""),"+",""),"(",""),")",""))=11,"+7 ("&amp;MID(IF(LEFT(SUBSTITUTE(SUBSTITUTE(SUBSTITUTE(SUBSTITUTE(SUBSTITUTE(Клиенты_исходные!D15," ",""),"-",""),"+",""),"(",""),")",""))="8","7"&amp;MID(SUBSTITUTE(SUBSTITUTE(SUBSTITUTE(SUBSTITUTE(SUBSTITUTE(Клиенты_исходные!D15," ",""),"-",""),"+",""),"(",""),")",""),2,10),SUBSTITUTE(SUBSTITUTE(SUBSTITUTE(SUBSTITUTE(SUBSTITUTE(Клиенты_исходные!D15," ",""),"-",""),"+",""),"(",""),")","")),2,3)&amp;") "&amp;MID(IF(LEFT(SUBSTITUTE(SUBSTITUTE(SUBSTITUTE(SUBSTITUTE(SUBSTITUTE(Клиенты_исходные!D15," ",""),"-",""),"+",""),"(",""),")",""))="8","7"&amp;MID(SUBSTITUTE(SUBSTITUTE(SUBSTITUTE(SUBSTITUTE(SUBSTITUTE(Клиенты_исходные!D15," ",""),"-",""),"+",""),"(",""),")",""),2,10),SUBSTITUTE(SUBSTITUTE(SUBSTITUTE(SUBSTITUTE(SUBSTITUTE(Клиенты_исходные!D15," ",""),"-",""),"+",""),"(",""),")","")),5,3)&amp;"-"&amp;MID(IF(LEFT(SUBSTITUTE(SUBSTITUTE(SUBSTITUTE(SUBSTITUTE(SUBSTITUTE(Клиенты_исходные!D15," ",""),"-",""),"+",""),"(",""),")",""))="8","7"&amp;MID(SUBSTITUTE(SUBSTITUTE(SUBSTITUTE(SUBSTITUTE(SUBSTITUTE(Клиенты_исходные!D15," ",""),"-",""),"+",""),"(",""),")",""),2,10),SUBSTITUTE(SUBSTITUTE(SUBSTITUTE(SUBSTITUTE(SUBSTITUTE(Клиенты_исходные!D15," ",""),"-",""),"+",""),"(",""),")","")),8,2)&amp;"-"&amp;MID(IF(LEFT(SUBSTITUTE(SUBSTITUTE(SUBSTITUTE(SUBSTITUTE(SUBSTITUTE(Клиенты_исходные!D15," ",""),"-",""),"+",""),"(",""),")",""))="8","7"&amp;MID(SUBSTITUTE(SUBSTITUTE(SUBSTITUTE(SUBSTITUTE(SUBSTITUTE(Клиенты_исходные!D15," ",""),"-",""),"+",""),"(",""),")",""),2,10),SUBSTITUTE(SUBSTITUTE(SUBSTITUTE(SUBSTITUTE(SUBSTITUTE(Клиенты_исходные!D15," ",""),"-",""),"+",""),"(",""),")","")),10,2),IF(LEN(SUBSTITUTE(SUBSTITUTE(SUBSTITUTE(SUBSTITUTE(SUBSTITUTE(Клиенты_исходные!D15," ",""),"-",""),"+",""),"(",""),")",""))=10,"+7 ("&amp;MID(SUBSTITUTE(SUBSTITUTE(SUBSTITUTE(SUBSTITUTE(SUBSTITUTE(Клиенты_исходные!D15," ",""),"-",""),"+",""),"(",""),")",""),1,3)&amp;") "&amp;MID(SUBSTITUTE(SUBSTITUTE(SUBSTITUTE(SUBSTITUTE(SUBSTITUTE(Клиенты_исходные!D15," ",""),"-",""),"+",""),"(",""),")",""),4,3)&amp;"-"&amp;MID(SUBSTITUTE(SUBSTITUTE(SUBSTITUTE(SUBSTITUTE(SUBSTITUTE(Клиенты_исходные!D15," ",""),"-",""),"+",""),"(",""),")",""),6,2)&amp;"-"&amp;MID(SUBSTITUTE(SUBSTITUTE(SUBSTITUTE(SUBSTITUTE(SUBSTITUTE(Клиенты_исходные!D15," ",""),"-",""),"+",""),"(",""),")",""),8,2),Клиенты_исходные!D15)))</f>
        <v xml:space="preserve">+7 (903) 012-34-56</v>
      </c>
      <c r="E15" t="str">
        <f>IF(ISBLANK(Клиенты_исходные!E15),"",IF(ISNUMBER(FIND(".",MID(Клиенты_исходные!E15,FIND("@",Клиенты_исходные!E15)+1,255))),Клиенты_исходные!E15,IF(ISNUMBER(FIND("gmail",Клиенты_исходные!E15)),Клиенты_исходные!E15&amp;".com",Клиенты_исходные!E15&amp;".ru")))</f>
        <v>nikolaev@yandex.ru</v>
      </c>
      <c r="F15" t="str">
        <f>IFERROR(VLOOKUP(Клиенты_исходные!F15,Справочники!$J$2:$K$50,2,FALSE),Клиенты_исходные!F15)</f>
        <v>Волгоград</v>
      </c>
      <c r="G15" s="8">
        <f>IFERROR(IF(ISNUMBER(FIND(".",Клиенты_исходные!G15)),DATE(RIGHT(Клиенты_исходные!G15,4),MID(Клиенты_исходные!G15,4,2),LEFT(Клиенты_исходные!G15,2)),DATE(LEFT(Клиенты_исходные!G15,4),MID(Клиенты_исходные!G15,6,2),RIGHT(Клиенты_исходные!G15,2))),Клиенты_исходные!G15)</f>
        <v>44696</v>
      </c>
      <c r="H15">
        <f t="shared" ca="1" si="46"/>
        <v>40</v>
      </c>
      <c r="I15" t="str">
        <f t="shared" si="47"/>
        <v>OK</v>
      </c>
      <c r="J15" t="str">
        <f t="shared" si="48"/>
        <v>OK</v>
      </c>
    </row>
    <row r="16">
      <c r="A16" t="str">
        <f>Клиенты_исходные!A16</f>
        <v>C0015</v>
      </c>
      <c r="B16" t="str">
        <f>PROPER(TRIM(Клиенты_исходные!B16))</f>
        <v xml:space="preserve">Григорьева Наталья Юрьевна</v>
      </c>
      <c r="C16" s="8">
        <f>IFERROR(IF(ISNUMBER(FIND(".",Клиенты_исходные!C16)),DATE(RIGHT(Клиенты_исходные!C16,4),MID(Клиенты_исходные!C16,4,2),LEFT(Клиенты_исходные!C16,2)),DATE(LEFT(Клиенты_исходные!C16,4),MID(Клиенты_исходные!C16,6,2),RIGHT(Клиенты_исходные!C16,2))),Клиенты_исходные!C16)</f>
        <v>34468</v>
      </c>
      <c r="D16" t="str">
        <f>IF(ISBLANK(Клиенты_исходные!D16),"",IF(LEN(SUBSTITUTE(SUBSTITUTE(SUBSTITUTE(SUBSTITUTE(SUBSTITUTE(Клиенты_исходные!D16," ",""),"-",""),"+",""),"(",""),")",""))=11,"+7 ("&amp;MID(IF(LEFT(SUBSTITUTE(SUBSTITUTE(SUBSTITUTE(SUBSTITUTE(SUBSTITUTE(Клиенты_исходные!D16," ",""),"-",""),"+",""),"(",""),")",""))="8","7"&amp;MID(SUBSTITUTE(SUBSTITUTE(SUBSTITUTE(SUBSTITUTE(SUBSTITUTE(Клиенты_исходные!D16," ",""),"-",""),"+",""),"(",""),")",""),2,10),SUBSTITUTE(SUBSTITUTE(SUBSTITUTE(SUBSTITUTE(SUBSTITUTE(Клиенты_исходные!D16," ",""),"-",""),"+",""),"(",""),")","")),2,3)&amp;") "&amp;MID(IF(LEFT(SUBSTITUTE(SUBSTITUTE(SUBSTITUTE(SUBSTITUTE(SUBSTITUTE(Клиенты_исходные!D16," ",""),"-",""),"+",""),"(",""),")",""))="8","7"&amp;MID(SUBSTITUTE(SUBSTITUTE(SUBSTITUTE(SUBSTITUTE(SUBSTITUTE(Клиенты_исходные!D16," ",""),"-",""),"+",""),"(",""),")",""),2,10),SUBSTITUTE(SUBSTITUTE(SUBSTITUTE(SUBSTITUTE(SUBSTITUTE(Клиенты_исходные!D16," ",""),"-",""),"+",""),"(",""),")","")),5,3)&amp;"-"&amp;MID(IF(LEFT(SUBSTITUTE(SUBSTITUTE(SUBSTITUTE(SUBSTITUTE(SUBSTITUTE(Клиенты_исходные!D16," ",""),"-",""),"+",""),"(",""),")",""))="8","7"&amp;MID(SUBSTITUTE(SUBSTITUTE(SUBSTITUTE(SUBSTITUTE(SUBSTITUTE(Клиенты_исходные!D16," ",""),"-",""),"+",""),"(",""),")",""),2,10),SUBSTITUTE(SUBSTITUTE(SUBSTITUTE(SUBSTITUTE(SUBSTITUTE(Клиенты_исходные!D16," ",""),"-",""),"+",""),"(",""),")","")),8,2)&amp;"-"&amp;MID(IF(LEFT(SUBSTITUTE(SUBSTITUTE(SUBSTITUTE(SUBSTITUTE(SUBSTITUTE(Клиенты_исходные!D16," ",""),"-",""),"+",""),"(",""),")",""))="8","7"&amp;MID(SUBSTITUTE(SUBSTITUTE(SUBSTITUTE(SUBSTITUTE(SUBSTITUTE(Клиенты_исходные!D16," ",""),"-",""),"+",""),"(",""),")",""),2,10),SUBSTITUTE(SUBSTITUTE(SUBSTITUTE(SUBSTITUTE(SUBSTITUTE(Клиенты_исходные!D16," ",""),"-",""),"+",""),"(",""),")","")),10,2),IF(LEN(SUBSTITUTE(SUBSTITUTE(SUBSTITUTE(SUBSTITUTE(SUBSTITUTE(Клиенты_исходные!D16," ",""),"-",""),"+",""),"(",""),")",""))=10,"+7 ("&amp;MID(SUBSTITUTE(SUBSTITUTE(SUBSTITUTE(SUBSTITUTE(SUBSTITUTE(Клиенты_исходные!D16," ",""),"-",""),"+",""),"(",""),")",""),1,3)&amp;") "&amp;MID(SUBSTITUTE(SUBSTITUTE(SUBSTITUTE(SUBSTITUTE(SUBSTITUTE(Клиенты_исходные!D16," ",""),"-",""),"+",""),"(",""),")",""),4,3)&amp;"-"&amp;MID(SUBSTITUTE(SUBSTITUTE(SUBSTITUTE(SUBSTITUTE(SUBSTITUTE(Клиенты_исходные!D16," ",""),"-",""),"+",""),"(",""),")",""),6,2)&amp;"-"&amp;MID(SUBSTITUTE(SUBSTITUTE(SUBSTITUTE(SUBSTITUTE(SUBSTITUTE(Клиенты_исходные!D16," ",""),"-",""),"+",""),"(",""),")",""),8,2),Клиенты_исходные!D16)))</f>
        <v xml:space="preserve">+7 (903) 123-45-67</v>
      </c>
      <c r="E16" t="str">
        <f>IF(ISBLANK(Клиенты_исходные!E16),"",IF(ISNUMBER(FIND(".",MID(Клиенты_исходные!E16,FIND("@",Клиенты_исходные!E16)+1,255))),Клиенты_исходные!E16,IF(ISNUMBER(FIND("gmail",Клиенты_исходные!E16)),Клиенты_исходные!E16&amp;".com",Клиенты_исходные!E16&amp;".ru")))</f>
        <v>grigorieva@gmail.com</v>
      </c>
      <c r="F16" t="str">
        <f>IFERROR(VLOOKUP(Клиенты_исходные!F16,Справочники!$J$2:$K$50,2,FALSE),Клиенты_исходные!F16)</f>
        <v>Воронеж</v>
      </c>
      <c r="G16" s="8">
        <f>IFERROR(IF(ISNUMBER(FIND(".",Клиенты_исходные!G16)),DATE(RIGHT(Клиенты_исходные!G16,4),MID(Клиенты_исходные!G16,4,2),LEFT(Клиенты_исходные!G16,2)),DATE(LEFT(Клиенты_исходные!G16,4),MID(Клиенты_исходные!G16,6,2),RIGHT(Клиенты_исходные!G16,2))),Клиенты_исходные!G16)</f>
        <v>44696</v>
      </c>
      <c r="H16">
        <f t="shared" ca="1" si="46"/>
        <v>32</v>
      </c>
      <c r="I16" t="str">
        <f t="shared" si="47"/>
        <v>OK</v>
      </c>
      <c r="J16" t="str">
        <f t="shared" si="48"/>
        <v>OK</v>
      </c>
    </row>
    <row r="17">
      <c r="A17" t="str">
        <f>Клиенты_исходные!A17</f>
        <v>C0016</v>
      </c>
      <c r="B17" t="str">
        <f>PROPER(TRIM(Клиенты_исходные!B17))</f>
        <v xml:space="preserve">Семенов Константин Денисович</v>
      </c>
      <c r="C17" s="8">
        <f>IFERROR(IF(ISNUMBER(FIND(".",Клиенты_исходные!C17)),DATE(RIGHT(Клиенты_исходные!C17,4),MID(Клиенты_исходные!C17,4,2),LEFT(Клиенты_исходные!C17,2)),DATE(LEFT(Клиенты_исходные!C17,4),MID(Клиенты_исходные!C17,6,2),RIGHT(Клиенты_исходные!C17,2))),Клиенты_исходные!C17)</f>
        <v>29166</v>
      </c>
      <c r="D17" t="str">
        <f>IF(ISBLANK(Клиенты_исходные!D17),"",IF(LEN(SUBSTITUTE(SUBSTITUTE(SUBSTITUTE(SUBSTITUTE(SUBSTITUTE(Клиенты_исходные!D17," ",""),"-",""),"+",""),"(",""),")",""))=11,"+7 ("&amp;MID(IF(LEFT(SUBSTITUTE(SUBSTITUTE(SUBSTITUTE(SUBSTITUTE(SUBSTITUTE(Клиенты_исходные!D17," ",""),"-",""),"+",""),"(",""),")",""))="8","7"&amp;MID(SUBSTITUTE(SUBSTITUTE(SUBSTITUTE(SUBSTITUTE(SUBSTITUTE(Клиенты_исходные!D17," ",""),"-",""),"+",""),"(",""),")",""),2,10),SUBSTITUTE(SUBSTITUTE(SUBSTITUTE(SUBSTITUTE(SUBSTITUTE(Клиенты_исходные!D17," ",""),"-",""),"+",""),"(",""),")","")),2,3)&amp;") "&amp;MID(IF(LEFT(SUBSTITUTE(SUBSTITUTE(SUBSTITUTE(SUBSTITUTE(SUBSTITUTE(Клиенты_исходные!D17," ",""),"-",""),"+",""),"(",""),")",""))="8","7"&amp;MID(SUBSTITUTE(SUBSTITUTE(SUBSTITUTE(SUBSTITUTE(SUBSTITUTE(Клиенты_исходные!D17," ",""),"-",""),"+",""),"(",""),")",""),2,10),SUBSTITUTE(SUBSTITUTE(SUBSTITUTE(SUBSTITUTE(SUBSTITUTE(Клиенты_исходные!D17," ",""),"-",""),"+",""),"(",""),")","")),5,3)&amp;"-"&amp;MID(IF(LEFT(SUBSTITUTE(SUBSTITUTE(SUBSTITUTE(SUBSTITUTE(SUBSTITUTE(Клиенты_исходные!D17," ",""),"-",""),"+",""),"(",""),")",""))="8","7"&amp;MID(SUBSTITUTE(SUBSTITUTE(SUBSTITUTE(SUBSTITUTE(SUBSTITUTE(Клиенты_исходные!D17," ",""),"-",""),"+",""),"(",""),")",""),2,10),SUBSTITUTE(SUBSTITUTE(SUBSTITUTE(SUBSTITUTE(SUBSTITUTE(Клиенты_исходные!D17," ",""),"-",""),"+",""),"(",""),")","")),8,2)&amp;"-"&amp;MID(IF(LEFT(SUBSTITUTE(SUBSTITUTE(SUBSTITUTE(SUBSTITUTE(SUBSTITUTE(Клиенты_исходные!D17," ",""),"-",""),"+",""),"(",""),")",""))="8","7"&amp;MID(SUBSTITUTE(SUBSTITUTE(SUBSTITUTE(SUBSTITUTE(SUBSTITUTE(Клиенты_исходные!D17," ",""),"-",""),"+",""),"(",""),")",""),2,10),SUBSTITUTE(SUBSTITUTE(SUBSTITUTE(SUBSTITUTE(SUBSTITUTE(Клиенты_исходные!D17," ",""),"-",""),"+",""),"(",""),")","")),10,2),IF(LEN(SUBSTITUTE(SUBSTITUTE(SUBSTITUTE(SUBSTITUTE(SUBSTITUTE(Клиенты_исходные!D17," ",""),"-",""),"+",""),"(",""),")",""))=10,"+7 ("&amp;MID(SUBSTITUTE(SUBSTITUTE(SUBSTITUTE(SUBSTITUTE(SUBSTITUTE(Клиенты_исходные!D17," ",""),"-",""),"+",""),"(",""),")",""),1,3)&amp;") "&amp;MID(SUBSTITUTE(SUBSTITUTE(SUBSTITUTE(SUBSTITUTE(SUBSTITUTE(Клиенты_исходные!D17," ",""),"-",""),"+",""),"(",""),")",""),4,3)&amp;"-"&amp;MID(SUBSTITUTE(SUBSTITUTE(SUBSTITUTE(SUBSTITUTE(SUBSTITUTE(Клиенты_исходные!D17," ",""),"-",""),"+",""),"(",""),")",""),6,2)&amp;"-"&amp;MID(SUBSTITUTE(SUBSTITUTE(SUBSTITUTE(SUBSTITUTE(SUBSTITUTE(Клиенты_исходные!D17," ",""),"-",""),"+",""),"(",""),")",""),8,2),Клиенты_исходные!D17)))</f>
        <v xml:space="preserve">+7 (903) 123-45-67</v>
      </c>
      <c r="E17" t="str">
        <f>IF(ISBLANK(Клиенты_исходные!E17),"",IF(ISNUMBER(FIND(".",MID(Клиенты_исходные!E17,FIND("@",Клиенты_исходные!E17)+1,255))),Клиенты_исходные!E17,IF(ISNUMBER(FIND("gmail",Клиенты_исходные!E17)),Клиенты_исходные!E17&amp;".com",Клиенты_исходные!E17&amp;".ru")))</f>
        <v>semenov@mail.ru</v>
      </c>
      <c r="F17" t="str">
        <f>IFERROR(VLOOKUP(Клиенты_исходные!F17,Справочники!$J$2:$K$50,2,FALSE),Клиенты_исходные!F17)</f>
        <v>Саратов</v>
      </c>
      <c r="G17" s="8">
        <f>IFERROR(IF(ISNUMBER(FIND(".",Клиенты_исходные!G17)),DATE(RIGHT(Клиенты_исходные!G17,4),MID(Клиенты_исходные!G17,4,2),LEFT(Клиенты_исходные!G17,2)),DATE(LEFT(Клиенты_исходные!G17,4),MID(Клиенты_исходные!G17,6,2),RIGHT(Клиенты_исходные!G17,2))),Клиенты_исходные!G17)</f>
        <v>44713</v>
      </c>
      <c r="H17">
        <f t="shared" ca="1" si="46"/>
        <v>46</v>
      </c>
      <c r="I17" t="str">
        <f t="shared" si="47"/>
        <v>OK</v>
      </c>
      <c r="J17" t="str">
        <f t="shared" si="48"/>
        <v>OK</v>
      </c>
    </row>
    <row r="18">
      <c r="A18" t="str">
        <f>Клиенты_исходные!A18</f>
        <v>C0017</v>
      </c>
      <c r="B18" t="str">
        <f>PROPER(TRIM(Клиенты_исходные!B18))</f>
        <v xml:space="preserve">Игнатова Мария Петровна</v>
      </c>
      <c r="C18" s="8">
        <f>IFERROR(IF(ISNUMBER(FIND(".",Клиенты_исходные!C18)),DATE(RIGHT(Клиенты_исходные!C18,4),MID(Клиенты_исходные!C18,4,2),LEFT(Клиенты_исходные!C18,2)),DATE(LEFT(Клиенты_исходные!C18,4),MID(Клиенты_исходные!C18,6,2),RIGHT(Клиенты_исходные!C18,2))),Клиенты_исходные!C18)</f>
        <v>31950</v>
      </c>
      <c r="D18" t="str">
        <f>IF(ISBLANK(Клиенты_исходные!D18),"",IF(LEN(SUBSTITUTE(SUBSTITUTE(SUBSTITUTE(SUBSTITUTE(SUBSTITUTE(Клиенты_исходные!D18," ",""),"-",""),"+",""),"(",""),")",""))=11,"+7 ("&amp;MID(IF(LEFT(SUBSTITUTE(SUBSTITUTE(SUBSTITUTE(SUBSTITUTE(SUBSTITUTE(Клиенты_исходные!D18," ",""),"-",""),"+",""),"(",""),")",""))="8","7"&amp;MID(SUBSTITUTE(SUBSTITUTE(SUBSTITUTE(SUBSTITUTE(SUBSTITUTE(Клиенты_исходные!D18," ",""),"-",""),"+",""),"(",""),")",""),2,10),SUBSTITUTE(SUBSTITUTE(SUBSTITUTE(SUBSTITUTE(SUBSTITUTE(Клиенты_исходные!D18," ",""),"-",""),"+",""),"(",""),")","")),2,3)&amp;") "&amp;MID(IF(LEFT(SUBSTITUTE(SUBSTITUTE(SUBSTITUTE(SUBSTITUTE(SUBSTITUTE(Клиенты_исходные!D18," ",""),"-",""),"+",""),"(",""),")",""))="8","7"&amp;MID(SUBSTITUTE(SUBSTITUTE(SUBSTITUTE(SUBSTITUTE(SUBSTITUTE(Клиенты_исходные!D18," ",""),"-",""),"+",""),"(",""),")",""),2,10),SUBSTITUTE(SUBSTITUTE(SUBSTITUTE(SUBSTITUTE(SUBSTITUTE(Клиенты_исходные!D18," ",""),"-",""),"+",""),"(",""),")","")),5,3)&amp;"-"&amp;MID(IF(LEFT(SUBSTITUTE(SUBSTITUTE(SUBSTITUTE(SUBSTITUTE(SUBSTITUTE(Клиенты_исходные!D18," ",""),"-",""),"+",""),"(",""),")",""))="8","7"&amp;MID(SUBSTITUTE(SUBSTITUTE(SUBSTITUTE(SUBSTITUTE(SUBSTITUTE(Клиенты_исходные!D18," ",""),"-",""),"+",""),"(",""),")",""),2,10),SUBSTITUTE(SUBSTITUTE(SUBSTITUTE(SUBSTITUTE(SUBSTITUTE(Клиенты_исходные!D18," ",""),"-",""),"+",""),"(",""),")","")),8,2)&amp;"-"&amp;MID(IF(LEFT(SUBSTITUTE(SUBSTITUTE(SUBSTITUTE(SUBSTITUTE(SUBSTITUTE(Клиенты_исходные!D18," ",""),"-",""),"+",""),"(",""),")",""))="8","7"&amp;MID(SUBSTITUTE(SUBSTITUTE(SUBSTITUTE(SUBSTITUTE(SUBSTITUTE(Клиенты_исходные!D18," ",""),"-",""),"+",""),"(",""),")",""),2,10),SUBSTITUTE(SUBSTITUTE(SUBSTITUTE(SUBSTITUTE(SUBSTITUTE(Клиенты_исходные!D18," ",""),"-",""),"+",""),"(",""),")","")),10,2),IF(LEN(SUBSTITUTE(SUBSTITUTE(SUBSTITUTE(SUBSTITUTE(SUBSTITUTE(Клиенты_исходные!D18," ",""),"-",""),"+",""),"(",""),")",""))=10,"+7 ("&amp;MID(SUBSTITUTE(SUBSTITUTE(SUBSTITUTE(SUBSTITUTE(SUBSTITUTE(Клиенты_исходные!D18," ",""),"-",""),"+",""),"(",""),")",""),1,3)&amp;") "&amp;MID(SUBSTITUTE(SUBSTITUTE(SUBSTITUTE(SUBSTITUTE(SUBSTITUTE(Клиенты_исходные!D18," ",""),"-",""),"+",""),"(",""),")",""),4,3)&amp;"-"&amp;MID(SUBSTITUTE(SUBSTITUTE(SUBSTITUTE(SUBSTITUTE(SUBSTITUTE(Клиенты_исходные!D18," ",""),"-",""),"+",""),"(",""),")",""),6,2)&amp;"-"&amp;MID(SUBSTITUTE(SUBSTITUTE(SUBSTITUTE(SUBSTITUTE(SUBSTITUTE(Клиенты_исходные!D18," ",""),"-",""),"+",""),"(",""),")",""),8,2),Клиенты_исходные!D18)))</f>
        <v xml:space="preserve">+7 (903) 123-45-67</v>
      </c>
      <c r="E18" t="str">
        <f>IF(ISBLANK(Клиенты_исходные!E18),"",IF(ISNUMBER(FIND(".",MID(Клиенты_исходные!E18,FIND("@",Клиенты_исходные!E18)+1,255))),Клиенты_исходные!E18,IF(ISNUMBER(FIND("gmail",Клиенты_исходные!E18)),Клиенты_исходные!E18&amp;".com",Клиенты_исходные!E18&amp;".ru")))</f>
        <v>ignatova@yandex.ru</v>
      </c>
      <c r="F18" t="str">
        <f>IFERROR(VLOOKUP(Клиенты_исходные!F18,Справочники!$J$2:$K$50,2,FALSE),Клиенты_исходные!F18)</f>
        <v>Тольятти</v>
      </c>
      <c r="G18" s="8">
        <f>IFERROR(IF(ISNUMBER(FIND(".",Клиенты_исходные!G18)),DATE(RIGHT(Клиенты_исходные!G18,4),MID(Клиенты_исходные!G18,4,2),LEFT(Клиенты_исходные!G18,2)),DATE(LEFT(Клиенты_исходные!G18,4),MID(Клиенты_исходные!G18,6,2),RIGHT(Клиенты_исходные!G18,2))),Клиенты_исходные!G18)</f>
        <v>44722</v>
      </c>
      <c r="H18">
        <f t="shared" ca="1" si="46"/>
        <v>39</v>
      </c>
      <c r="I18" t="str">
        <f t="shared" si="47"/>
        <v>OK</v>
      </c>
      <c r="J18" t="str">
        <f t="shared" si="48"/>
        <v>OK</v>
      </c>
    </row>
    <row r="19">
      <c r="A19" t="str">
        <f>Клиенты_исходные!A19</f>
        <v>C0018</v>
      </c>
      <c r="B19" t="str">
        <f>PROPER(TRIM(Клиенты_исходные!B19))</f>
        <v xml:space="preserve">Поликарпов Василий Олегович</v>
      </c>
      <c r="C19" s="8">
        <f>IFERROR(IF(ISNUMBER(FIND(".",Клиенты_исходные!C19)),DATE(RIGHT(Клиенты_исходные!C19,4),MID(Клиенты_исходные!C19,4,2),LEFT(Клиенты_исходные!C19,2)),DATE(LEFT(Клиенты_исходные!C19,4),MID(Клиенты_исходные!C19,6,2),RIGHT(Клиенты_исходные!C19,2))),Клиенты_исходные!C19)</f>
        <v>35338</v>
      </c>
      <c r="D19" t="str">
        <f>IF(ISBLANK(Клиенты_исходные!D19),"",IF(LEN(SUBSTITUTE(SUBSTITUTE(SUBSTITUTE(SUBSTITUTE(SUBSTITUTE(Клиенты_исходные!D19," ",""),"-",""),"+",""),"(",""),")",""))=11,"+7 ("&amp;MID(IF(LEFT(SUBSTITUTE(SUBSTITUTE(SUBSTITUTE(SUBSTITUTE(SUBSTITUTE(Клиенты_исходные!D19," ",""),"-",""),"+",""),"(",""),")",""))="8","7"&amp;MID(SUBSTITUTE(SUBSTITUTE(SUBSTITUTE(SUBSTITUTE(SUBSTITUTE(Клиенты_исходные!D19," ",""),"-",""),"+",""),"(",""),")",""),2,10),SUBSTITUTE(SUBSTITUTE(SUBSTITUTE(SUBSTITUTE(SUBSTITUTE(Клиенты_исходные!D19," ",""),"-",""),"+",""),"(",""),")","")),2,3)&amp;") "&amp;MID(IF(LEFT(SUBSTITUTE(SUBSTITUTE(SUBSTITUTE(SUBSTITUTE(SUBSTITUTE(Клиенты_исходные!D19," ",""),"-",""),"+",""),"(",""),")",""))="8","7"&amp;MID(SUBSTITUTE(SUBSTITUTE(SUBSTITUTE(SUBSTITUTE(SUBSTITUTE(Клиенты_исходные!D19," ",""),"-",""),"+",""),"(",""),")",""),2,10),SUBSTITUTE(SUBSTITUTE(SUBSTITUTE(SUBSTITUTE(SUBSTITUTE(Клиенты_исходные!D19," ",""),"-",""),"+",""),"(",""),")","")),5,3)&amp;"-"&amp;MID(IF(LEFT(SUBSTITUTE(SUBSTITUTE(SUBSTITUTE(SUBSTITUTE(SUBSTITUTE(Клиенты_исходные!D19," ",""),"-",""),"+",""),"(",""),")",""))="8","7"&amp;MID(SUBSTITUTE(SUBSTITUTE(SUBSTITUTE(SUBSTITUTE(SUBSTITUTE(Клиенты_исходные!D19," ",""),"-",""),"+",""),"(",""),")",""),2,10),SUBSTITUTE(SUBSTITUTE(SUBSTITUTE(SUBSTITUTE(SUBSTITUTE(Клиенты_исходные!D19," ",""),"-",""),"+",""),"(",""),")","")),8,2)&amp;"-"&amp;MID(IF(LEFT(SUBSTITUTE(SUBSTITUTE(SUBSTITUTE(SUBSTITUTE(SUBSTITUTE(Клиенты_исходные!D19," ",""),"-",""),"+",""),"(",""),")",""))="8","7"&amp;MID(SUBSTITUTE(SUBSTITUTE(SUBSTITUTE(SUBSTITUTE(SUBSTITUTE(Клиенты_исходные!D19," ",""),"-",""),"+",""),"(",""),")",""),2,10),SUBSTITUTE(SUBSTITUTE(SUBSTITUTE(SUBSTITUTE(SUBSTITUTE(Клиенты_исходные!D19," ",""),"-",""),"+",""),"(",""),")","")),10,2),IF(LEN(SUBSTITUTE(SUBSTITUTE(SUBSTITUTE(SUBSTITUTE(SUBSTITUTE(Клиенты_исходные!D19," ",""),"-",""),"+",""),"(",""),")",""))=10,"+7 ("&amp;MID(SUBSTITUTE(SUBSTITUTE(SUBSTITUTE(SUBSTITUTE(SUBSTITUTE(Клиенты_исходные!D19," ",""),"-",""),"+",""),"(",""),")",""),1,3)&amp;") "&amp;MID(SUBSTITUTE(SUBSTITUTE(SUBSTITUTE(SUBSTITUTE(SUBSTITUTE(Клиенты_исходные!D19," ",""),"-",""),"+",""),"(",""),")",""),4,3)&amp;"-"&amp;MID(SUBSTITUTE(SUBSTITUTE(SUBSTITUTE(SUBSTITUTE(SUBSTITUTE(Клиенты_исходные!D19," ",""),"-",""),"+",""),"(",""),")",""),6,2)&amp;"-"&amp;MID(SUBSTITUTE(SUBSTITUTE(SUBSTITUTE(SUBSTITUTE(SUBSTITUTE(Клиенты_исходные!D19," ",""),"-",""),"+",""),"(",""),")",""),8,2),Клиенты_исходные!D19)))</f>
        <v xml:space="preserve">+7 (903) 234-56-78</v>
      </c>
      <c r="E19" t="str">
        <f>IF(ISBLANK(Клиенты_исходные!E19),"",IF(ISNUMBER(FIND(".",MID(Клиенты_исходные!E19,FIND("@",Клиенты_исходные!E19)+1,255))),Клиенты_исходные!E19,IF(ISNUMBER(FIND("gmail",Клиенты_исходные!E19)),Клиенты_исходные!E19&amp;".com",Клиенты_исходные!E19&amp;".ru")))</f>
        <v>polikarpov@gmail.com</v>
      </c>
      <c r="F19" t="str">
        <f>IFERROR(VLOOKUP(Клиенты_исходные!F19,Справочники!$J$2:$K$50,2,FALSE),Клиенты_исходные!F19)</f>
        <v>Тюмень</v>
      </c>
      <c r="G19" s="8">
        <f>IFERROR(IF(ISNUMBER(FIND(".",Клиенты_исходные!G19)),DATE(RIGHT(Клиенты_исходные!G19,4),MID(Клиенты_исходные!G19,4,2),LEFT(Клиенты_исходные!G19,2)),DATE(LEFT(Клиенты_исходные!G19,4),MID(Клиенты_исходные!G19,6,2),RIGHT(Клиенты_исходные!G19,2))),Клиенты_исходные!G19)</f>
        <v>44722</v>
      </c>
      <c r="H19">
        <f t="shared" ca="1" si="46"/>
        <v>30</v>
      </c>
      <c r="I19" t="str">
        <f t="shared" si="47"/>
        <v>OK</v>
      </c>
      <c r="J19" t="str">
        <f t="shared" si="48"/>
        <v>OK</v>
      </c>
    </row>
    <row r="20">
      <c r="A20" t="str">
        <f>Клиенты_исходные!A20</f>
        <v>C0019</v>
      </c>
      <c r="B20" t="str">
        <f>PROPER(TRIM(Клиенты_исходные!B20))</f>
        <v xml:space="preserve">Тимофеева Оксана Николаевна</v>
      </c>
      <c r="C20" s="8">
        <f>IFERROR(IF(ISNUMBER(FIND(".",Клиенты_исходные!C20)),DATE(RIGHT(Клиенты_исходные!C20,4),MID(Клиенты_исходные!C20,4,2),LEFT(Клиенты_исходные!C20,2)),DATE(LEFT(Клиенты_исходные!C20,4),MID(Клиенты_исходные!C20,6,2),RIGHT(Клиенты_исходные!C20,2))),Клиенты_исходные!C20)</f>
        <v>27437</v>
      </c>
      <c r="D20" t="str">
        <f>IF(ISBLANK(Клиенты_исходные!D20),"",IF(LEN(SUBSTITUTE(SUBSTITUTE(SUBSTITUTE(SUBSTITUTE(SUBSTITUTE(Клиенты_исходные!D20," ",""),"-",""),"+",""),"(",""),")",""))=11,"+7 ("&amp;MID(IF(LEFT(SUBSTITUTE(SUBSTITUTE(SUBSTITUTE(SUBSTITUTE(SUBSTITUTE(Клиенты_исходные!D20," ",""),"-",""),"+",""),"(",""),")",""))="8","7"&amp;MID(SUBSTITUTE(SUBSTITUTE(SUBSTITUTE(SUBSTITUTE(SUBSTITUTE(Клиенты_исходные!D20," ",""),"-",""),"+",""),"(",""),")",""),2,10),SUBSTITUTE(SUBSTITUTE(SUBSTITUTE(SUBSTITUTE(SUBSTITUTE(Клиенты_исходные!D20," ",""),"-",""),"+",""),"(",""),")","")),2,3)&amp;") "&amp;MID(IF(LEFT(SUBSTITUTE(SUBSTITUTE(SUBSTITUTE(SUBSTITUTE(SUBSTITUTE(Клиенты_исходные!D20," ",""),"-",""),"+",""),"(",""),")",""))="8","7"&amp;MID(SUBSTITUTE(SUBSTITUTE(SUBSTITUTE(SUBSTITUTE(SUBSTITUTE(Клиенты_исходные!D20," ",""),"-",""),"+",""),"(",""),")",""),2,10),SUBSTITUTE(SUBSTITUTE(SUBSTITUTE(SUBSTITUTE(SUBSTITUTE(Клиенты_исходные!D20," ",""),"-",""),"+",""),"(",""),")","")),5,3)&amp;"-"&amp;MID(IF(LEFT(SUBSTITUTE(SUBSTITUTE(SUBSTITUTE(SUBSTITUTE(SUBSTITUTE(Клиенты_исходные!D20," ",""),"-",""),"+",""),"(",""),")",""))="8","7"&amp;MID(SUBSTITUTE(SUBSTITUTE(SUBSTITUTE(SUBSTITUTE(SUBSTITUTE(Клиенты_исходные!D20," ",""),"-",""),"+",""),"(",""),")",""),2,10),SUBSTITUTE(SUBSTITUTE(SUBSTITUTE(SUBSTITUTE(SUBSTITUTE(Клиенты_исходные!D20," ",""),"-",""),"+",""),"(",""),")","")),8,2)&amp;"-"&amp;MID(IF(LEFT(SUBSTITUTE(SUBSTITUTE(SUBSTITUTE(SUBSTITUTE(SUBSTITUTE(Клиенты_исходные!D20," ",""),"-",""),"+",""),"(",""),")",""))="8","7"&amp;MID(SUBSTITUTE(SUBSTITUTE(SUBSTITUTE(SUBSTITUTE(SUBSTITUTE(Клиенты_исходные!D20," ",""),"-",""),"+",""),"(",""),")",""),2,10),SUBSTITUTE(SUBSTITUTE(SUBSTITUTE(SUBSTITUTE(SUBSTITUTE(Клиенты_исходные!D20," ",""),"-",""),"+",""),"(",""),")","")),10,2),IF(LEN(SUBSTITUTE(SUBSTITUTE(SUBSTITUTE(SUBSTITUTE(SUBSTITUTE(Клиенты_исходные!D20," ",""),"-",""),"+",""),"(",""),")",""))=10,"+7 ("&amp;MID(SUBSTITUTE(SUBSTITUTE(SUBSTITUTE(SUBSTITUTE(SUBSTITUTE(Клиенты_исходные!D20," ",""),"-",""),"+",""),"(",""),")",""),1,3)&amp;") "&amp;MID(SUBSTITUTE(SUBSTITUTE(SUBSTITUTE(SUBSTITUTE(SUBSTITUTE(Клиенты_исходные!D20," ",""),"-",""),"+",""),"(",""),")",""),4,3)&amp;"-"&amp;MID(SUBSTITUTE(SUBSTITUTE(SUBSTITUTE(SUBSTITUTE(SUBSTITUTE(Клиенты_исходные!D20," ",""),"-",""),"+",""),"(",""),")",""),6,2)&amp;"-"&amp;MID(SUBSTITUTE(SUBSTITUTE(SUBSTITUTE(SUBSTITUTE(SUBSTITUTE(Клиенты_исходные!D20," ",""),"-",""),"+",""),"(",""),")",""),8,2),Клиенты_исходные!D20)))</f>
        <v xml:space="preserve">+7 (903) 234-56-78</v>
      </c>
      <c r="E20" t="str">
        <f>IF(ISBLANK(Клиенты_исходные!E20),"",IF(ISNUMBER(FIND(".",MID(Клиенты_исходные!E20,FIND("@",Клиенты_исходные!E20)+1,255))),Клиенты_исходные!E20,IF(ISNUMBER(FIND("gmail",Клиенты_исходные!E20)),Клиенты_исходные!E20&amp;".com",Клиенты_исходные!E20&amp;".ru")))</f>
        <v>timofeeva@mail.ru</v>
      </c>
      <c r="F20" t="str">
        <f>IFERROR(VLOOKUP(Клиенты_исходные!F20,Справочники!$J$2:$K$50,2,FALSE),Клиенты_исходные!F20)</f>
        <v>Ижевск</v>
      </c>
      <c r="G20" s="8">
        <f>IFERROR(IF(ISNUMBER(FIND(".",Клиенты_исходные!G20)),DATE(RIGHT(Клиенты_исходные!G20,4),MID(Клиенты_исходные!G20,4,2),LEFT(Клиенты_исходные!G20,2)),DATE(LEFT(Клиенты_исходные!G20,4),MID(Клиенты_исходные!G20,6,2),RIGHT(Клиенты_исходные!G20,2))),Клиенты_исходные!G20)</f>
        <v>44743</v>
      </c>
      <c r="H20">
        <f t="shared" ca="1" si="46"/>
        <v>51</v>
      </c>
      <c r="I20" t="str">
        <f t="shared" si="47"/>
        <v>OK</v>
      </c>
      <c r="J20" t="str">
        <f t="shared" si="48"/>
        <v>OK</v>
      </c>
    </row>
    <row r="21">
      <c r="A21" t="str">
        <f>Клиенты_исходные!A21</f>
        <v>C0020</v>
      </c>
      <c r="B21" t="str">
        <f>PROPER(TRIM(Клиенты_исходные!B21))</f>
        <v xml:space="preserve">Яковлев Артем Романович</v>
      </c>
      <c r="C21" s="8">
        <f>IFERROR(IF(ISNUMBER(FIND(".",Клиенты_исходные!C21)),DATE(RIGHT(Клиенты_исходные!C21,4),MID(Клиенты_исходные!C21,4,2),LEFT(Клиенты_исходные!C21,2)),DATE(LEFT(Клиенты_исходные!C21,4),MID(Клиенты_исходные!C21,6,2),RIGHT(Клиенты_исходные!C21,2))),Клиенты_исходные!C21)</f>
        <v>30515</v>
      </c>
      <c r="D21" t="str">
        <f>IF(ISBLANK(Клиенты_исходные!D21),"",IF(LEN(SUBSTITUTE(SUBSTITUTE(SUBSTITUTE(SUBSTITUTE(SUBSTITUTE(Клиенты_исходные!D21," ",""),"-",""),"+",""),"(",""),")",""))=11,"+7 ("&amp;MID(IF(LEFT(SUBSTITUTE(SUBSTITUTE(SUBSTITUTE(SUBSTITUTE(SUBSTITUTE(Клиенты_исходные!D21," ",""),"-",""),"+",""),"(",""),")",""))="8","7"&amp;MID(SUBSTITUTE(SUBSTITUTE(SUBSTITUTE(SUBSTITUTE(SUBSTITUTE(Клиенты_исходные!D21," ",""),"-",""),"+",""),"(",""),")",""),2,10),SUBSTITUTE(SUBSTITUTE(SUBSTITUTE(SUBSTITUTE(SUBSTITUTE(Клиенты_исходные!D21," ",""),"-",""),"+",""),"(",""),")","")),2,3)&amp;") "&amp;MID(IF(LEFT(SUBSTITUTE(SUBSTITUTE(SUBSTITUTE(SUBSTITUTE(SUBSTITUTE(Клиенты_исходные!D21," ",""),"-",""),"+",""),"(",""),")",""))="8","7"&amp;MID(SUBSTITUTE(SUBSTITUTE(SUBSTITUTE(SUBSTITUTE(SUBSTITUTE(Клиенты_исходные!D21," ",""),"-",""),"+",""),"(",""),")",""),2,10),SUBSTITUTE(SUBSTITUTE(SUBSTITUTE(SUBSTITUTE(SUBSTITUTE(Клиенты_исходные!D21," ",""),"-",""),"+",""),"(",""),")","")),5,3)&amp;"-"&amp;MID(IF(LEFT(SUBSTITUTE(SUBSTITUTE(SUBSTITUTE(SUBSTITUTE(SUBSTITUTE(Клиенты_исходные!D21," ",""),"-",""),"+",""),"(",""),")",""))="8","7"&amp;MID(SUBSTITUTE(SUBSTITUTE(SUBSTITUTE(SUBSTITUTE(SUBSTITUTE(Клиенты_исходные!D21," ",""),"-",""),"+",""),"(",""),")",""),2,10),SUBSTITUTE(SUBSTITUTE(SUBSTITUTE(SUBSTITUTE(SUBSTITUTE(Клиенты_исходные!D21," ",""),"-",""),"+",""),"(",""),")","")),8,2)&amp;"-"&amp;MID(IF(LEFT(SUBSTITUTE(SUBSTITUTE(SUBSTITUTE(SUBSTITUTE(SUBSTITUTE(Клиенты_исходные!D21," ",""),"-",""),"+",""),"(",""),")",""))="8","7"&amp;MID(SUBSTITUTE(SUBSTITUTE(SUBSTITUTE(SUBSTITUTE(SUBSTITUTE(Клиенты_исходные!D21," ",""),"-",""),"+",""),"(",""),")",""),2,10),SUBSTITUTE(SUBSTITUTE(SUBSTITUTE(SUBSTITUTE(SUBSTITUTE(Клиенты_исходные!D21," ",""),"-",""),"+",""),"(",""),")","")),10,2),IF(LEN(SUBSTITUTE(SUBSTITUTE(SUBSTITUTE(SUBSTITUTE(SUBSTITUTE(Клиенты_исходные!D21," ",""),"-",""),"+",""),"(",""),")",""))=10,"+7 ("&amp;MID(SUBSTITUTE(SUBSTITUTE(SUBSTITUTE(SUBSTITUTE(SUBSTITUTE(Клиенты_исходные!D21," ",""),"-",""),"+",""),"(",""),")",""),1,3)&amp;") "&amp;MID(SUBSTITUTE(SUBSTITUTE(SUBSTITUTE(SUBSTITUTE(SUBSTITUTE(Клиенты_исходные!D21," ",""),"-",""),"+",""),"(",""),")",""),4,3)&amp;"-"&amp;MID(SUBSTITUTE(SUBSTITUTE(SUBSTITUTE(SUBSTITUTE(SUBSTITUTE(Клиенты_исходные!D21," ",""),"-",""),"+",""),"(",""),")",""),6,2)&amp;"-"&amp;MID(SUBSTITUTE(SUBSTITUTE(SUBSTITUTE(SUBSTITUTE(SUBSTITUTE(Клиенты_исходные!D21," ",""),"-",""),"+",""),"(",""),")",""),8,2),Клиенты_исходные!D21)))</f>
        <v xml:space="preserve">+7 (903) 234-56-78</v>
      </c>
      <c r="E21" t="str">
        <f>IF(ISBLANK(Клиенты_исходные!E21),"",IF(ISNUMBER(FIND(".",MID(Клиенты_исходные!E21,FIND("@",Клиенты_исходные!E21)+1,255))),Клиенты_исходные!E21,IF(ISNUMBER(FIND("gmail",Клиенты_исходные!E21)),Клиенты_исходные!E21&amp;".com",Клиенты_исходные!E21&amp;".ru")))</f>
        <v>yakovlev@yandex.ru</v>
      </c>
      <c r="F21" t="str">
        <f>IFERROR(VLOOKUP(Клиенты_исходные!F21,Справочники!$J$2:$K$50,2,FALSE),Клиенты_исходные!F21)</f>
        <v>Барнаул</v>
      </c>
      <c r="G21" s="8">
        <f>IFERROR(IF(ISNUMBER(FIND(".",Клиенты_исходные!G21)),DATE(RIGHT(Клиенты_исходные!G21,4),MID(Клиенты_исходные!G21,4,2),LEFT(Клиенты_исходные!G21,2)),DATE(LEFT(Клиенты_исходные!G21,4),MID(Клиенты_исходные!G21,6,2),RIGHT(Клиенты_исходные!G21,2))),Клиенты_исходные!G21)</f>
        <v>44757</v>
      </c>
      <c r="H21">
        <f t="shared" ca="1" si="46"/>
        <v>43</v>
      </c>
      <c r="I21" t="str">
        <f t="shared" si="47"/>
        <v>OK</v>
      </c>
      <c r="J21" t="str">
        <f t="shared" si="48"/>
        <v>OK</v>
      </c>
    </row>
    <row r="22">
      <c r="A22" t="str">
        <f>Клиенты_исходные!A22</f>
        <v>C0021</v>
      </c>
      <c r="B22" t="str">
        <f>PROPER(TRIM(Клиенты_исходные!B22))</f>
        <v xml:space="preserve">Медведева Кристина Сергеевна</v>
      </c>
      <c r="C22" s="8">
        <f>IFERROR(IF(ISNUMBER(FIND(".",Клиенты_исходные!C22)),DATE(RIGHT(Клиенты_исходные!C22,4),MID(Клиенты_исходные!C22,4,2),LEFT(Клиенты_исходные!C22,2)),DATE(LEFT(Клиенты_исходные!C22,4),MID(Клиенты_исходные!C22,6,2),RIGHT(Клиенты_исходные!C22,2))),Клиенты_исходные!C22)</f>
        <v>33151</v>
      </c>
      <c r="D22" t="str">
        <f>IF(ISBLANK(Клиенты_исходные!D22),"",IF(LEN(SUBSTITUTE(SUBSTITUTE(SUBSTITUTE(SUBSTITUTE(SUBSTITUTE(Клиенты_исходные!D22," ",""),"-",""),"+",""),"(",""),")",""))=11,"+7 ("&amp;MID(IF(LEFT(SUBSTITUTE(SUBSTITUTE(SUBSTITUTE(SUBSTITUTE(SUBSTITUTE(Клиенты_исходные!D22," ",""),"-",""),"+",""),"(",""),")",""))="8","7"&amp;MID(SUBSTITUTE(SUBSTITUTE(SUBSTITUTE(SUBSTITUTE(SUBSTITUTE(Клиенты_исходные!D22," ",""),"-",""),"+",""),"(",""),")",""),2,10),SUBSTITUTE(SUBSTITUTE(SUBSTITUTE(SUBSTITUTE(SUBSTITUTE(Клиенты_исходные!D22," ",""),"-",""),"+",""),"(",""),")","")),2,3)&amp;") "&amp;MID(IF(LEFT(SUBSTITUTE(SUBSTITUTE(SUBSTITUTE(SUBSTITUTE(SUBSTITUTE(Клиенты_исходные!D22," ",""),"-",""),"+",""),"(",""),")",""))="8","7"&amp;MID(SUBSTITUTE(SUBSTITUTE(SUBSTITUTE(SUBSTITUTE(SUBSTITUTE(Клиенты_исходные!D22," ",""),"-",""),"+",""),"(",""),")",""),2,10),SUBSTITUTE(SUBSTITUTE(SUBSTITUTE(SUBSTITUTE(SUBSTITUTE(Клиенты_исходные!D22," ",""),"-",""),"+",""),"(",""),")","")),5,3)&amp;"-"&amp;MID(IF(LEFT(SUBSTITUTE(SUBSTITUTE(SUBSTITUTE(SUBSTITUTE(SUBSTITUTE(Клиенты_исходные!D22," ",""),"-",""),"+",""),"(",""),")",""))="8","7"&amp;MID(SUBSTITUTE(SUBSTITUTE(SUBSTITUTE(SUBSTITUTE(SUBSTITUTE(Клиенты_исходные!D22," ",""),"-",""),"+",""),"(",""),")",""),2,10),SUBSTITUTE(SUBSTITUTE(SUBSTITUTE(SUBSTITUTE(SUBSTITUTE(Клиенты_исходные!D22," ",""),"-",""),"+",""),"(",""),")","")),8,2)&amp;"-"&amp;MID(IF(LEFT(SUBSTITUTE(SUBSTITUTE(SUBSTITUTE(SUBSTITUTE(SUBSTITUTE(Клиенты_исходные!D22," ",""),"-",""),"+",""),"(",""),")",""))="8","7"&amp;MID(SUBSTITUTE(SUBSTITUTE(SUBSTITUTE(SUBSTITUTE(SUBSTITUTE(Клиенты_исходные!D22," ",""),"-",""),"+",""),"(",""),")",""),2,10),SUBSTITUTE(SUBSTITUTE(SUBSTITUTE(SUBSTITUTE(SUBSTITUTE(Клиенты_исходные!D22," ",""),"-",""),"+",""),"(",""),")","")),10,2),IF(LEN(SUBSTITUTE(SUBSTITUTE(SUBSTITUTE(SUBSTITUTE(SUBSTITUTE(Клиенты_исходные!D22," ",""),"-",""),"+",""),"(",""),")",""))=10,"+7 ("&amp;MID(SUBSTITUTE(SUBSTITUTE(SUBSTITUTE(SUBSTITUTE(SUBSTITUTE(Клиенты_исходные!D22," ",""),"-",""),"+",""),"(",""),")",""),1,3)&amp;") "&amp;MID(SUBSTITUTE(SUBSTITUTE(SUBSTITUTE(SUBSTITUTE(SUBSTITUTE(Клиенты_исходные!D22," ",""),"-",""),"+",""),"(",""),")",""),4,3)&amp;"-"&amp;MID(SUBSTITUTE(SUBSTITUTE(SUBSTITUTE(SUBSTITUTE(SUBSTITUTE(Клиенты_исходные!D22," ",""),"-",""),"+",""),"(",""),")",""),6,2)&amp;"-"&amp;MID(SUBSTITUTE(SUBSTITUTE(SUBSTITUTE(SUBSTITUTE(SUBSTITUTE(Клиенты_исходные!D22," ",""),"-",""),"+",""),"(",""),")",""),8,2),Клиенты_исходные!D22)))</f>
        <v xml:space="preserve">+7 (903) 345-67-89</v>
      </c>
      <c r="E22" t="str">
        <f>IF(ISBLANK(Клиенты_исходные!E22),"",IF(ISNUMBER(FIND(".",MID(Клиенты_исходные!E22,FIND("@",Клиенты_исходные!E22)+1,255))),Клиенты_исходные!E22,IF(ISNUMBER(FIND("gmail",Клиенты_исходные!E22)),Клиенты_исходные!E22&amp;".com",Клиенты_исходные!E22&amp;".ru")))</f>
        <v>medvedeva@gmail.com</v>
      </c>
      <c r="F22" t="str">
        <f>IFERROR(VLOOKUP(Клиенты_исходные!F22,Справочники!$J$2:$K$50,2,FALSE),Клиенты_исходные!F22)</f>
        <v>Ульяновск</v>
      </c>
      <c r="G22" s="8">
        <f>IFERROR(IF(ISNUMBER(FIND(".",Клиенты_исходные!G22)),DATE(RIGHT(Клиенты_исходные!G22,4),MID(Клиенты_исходные!G22,4,2),LEFT(Клиенты_исходные!G22,2)),DATE(LEFT(Клиенты_исходные!G22,4),MID(Клиенты_исходные!G22,6,2),RIGHT(Клиенты_исходные!G22,2))),Клиенты_исходные!G22)</f>
        <v>44757</v>
      </c>
      <c r="H22">
        <f t="shared" ca="1" si="46"/>
        <v>35</v>
      </c>
      <c r="I22" t="str">
        <f t="shared" si="47"/>
        <v>OK</v>
      </c>
      <c r="J22" t="str">
        <f t="shared" si="48"/>
        <v>OK</v>
      </c>
    </row>
    <row r="23">
      <c r="A23" t="str">
        <f>Клиенты_исходные!A23</f>
        <v>C0022</v>
      </c>
      <c r="B23" t="str">
        <f>PROPER(TRIM(Клиенты_исходные!B23))</f>
        <v xml:space="preserve">Беляев Григорий Алексеевич</v>
      </c>
      <c r="C23" s="8">
        <f>IFERROR(IF(ISNUMBER(FIND(".",Клиенты_исходные!C23)),DATE(RIGHT(Клиенты_исходные!C23,4),MID(Клиенты_исходные!C23,4,2),LEFT(Клиенты_исходные!C23,2)),DATE(LEFT(Клиенты_исходные!C23,4),MID(Клиенты_исходные!C23,6,2),RIGHT(Клиенты_исходные!C23,2))),Клиенты_исходные!C23)</f>
        <v>26416</v>
      </c>
      <c r="D23" t="str">
        <f>IF(ISBLANK(Клиенты_исходные!D23),"",IF(LEN(SUBSTITUTE(SUBSTITUTE(SUBSTITUTE(SUBSTITUTE(SUBSTITUTE(Клиенты_исходные!D23," ",""),"-",""),"+",""),"(",""),")",""))=11,"+7 ("&amp;MID(IF(LEFT(SUBSTITUTE(SUBSTITUTE(SUBSTITUTE(SUBSTITUTE(SUBSTITUTE(Клиенты_исходные!D23," ",""),"-",""),"+",""),"(",""),")",""))="8","7"&amp;MID(SUBSTITUTE(SUBSTITUTE(SUBSTITUTE(SUBSTITUTE(SUBSTITUTE(Клиенты_исходные!D23," ",""),"-",""),"+",""),"(",""),")",""),2,10),SUBSTITUTE(SUBSTITUTE(SUBSTITUTE(SUBSTITUTE(SUBSTITUTE(Клиенты_исходные!D23," ",""),"-",""),"+",""),"(",""),")","")),2,3)&amp;") "&amp;MID(IF(LEFT(SUBSTITUTE(SUBSTITUTE(SUBSTITUTE(SUBSTITUTE(SUBSTITUTE(Клиенты_исходные!D23," ",""),"-",""),"+",""),"(",""),")",""))="8","7"&amp;MID(SUBSTITUTE(SUBSTITUTE(SUBSTITUTE(SUBSTITUTE(SUBSTITUTE(Клиенты_исходные!D23," ",""),"-",""),"+",""),"(",""),")",""),2,10),SUBSTITUTE(SUBSTITUTE(SUBSTITUTE(SUBSTITUTE(SUBSTITUTE(Клиенты_исходные!D23," ",""),"-",""),"+",""),"(",""),")","")),5,3)&amp;"-"&amp;MID(IF(LEFT(SUBSTITUTE(SUBSTITUTE(SUBSTITUTE(SUBSTITUTE(SUBSTITUTE(Клиенты_исходные!D23," ",""),"-",""),"+",""),"(",""),")",""))="8","7"&amp;MID(SUBSTITUTE(SUBSTITUTE(SUBSTITUTE(SUBSTITUTE(SUBSTITUTE(Клиенты_исходные!D23," ",""),"-",""),"+",""),"(",""),")",""),2,10),SUBSTITUTE(SUBSTITUTE(SUBSTITUTE(SUBSTITUTE(SUBSTITUTE(Клиенты_исходные!D23," ",""),"-",""),"+",""),"(",""),")","")),8,2)&amp;"-"&amp;MID(IF(LEFT(SUBSTITUTE(SUBSTITUTE(SUBSTITUTE(SUBSTITUTE(SUBSTITUTE(Клиенты_исходные!D23," ",""),"-",""),"+",""),"(",""),")",""))="8","7"&amp;MID(SUBSTITUTE(SUBSTITUTE(SUBSTITUTE(SUBSTITUTE(SUBSTITUTE(Клиенты_исходные!D23," ",""),"-",""),"+",""),"(",""),")",""),2,10),SUBSTITUTE(SUBSTITUTE(SUBSTITUTE(SUBSTITUTE(SUBSTITUTE(Клиенты_исходные!D23," ",""),"-",""),"+",""),"(",""),")","")),10,2),IF(LEN(SUBSTITUTE(SUBSTITUTE(SUBSTITUTE(SUBSTITUTE(SUBSTITUTE(Клиенты_исходные!D23," ",""),"-",""),"+",""),"(",""),")",""))=10,"+7 ("&amp;MID(SUBSTITUTE(SUBSTITUTE(SUBSTITUTE(SUBSTITUTE(SUBSTITUTE(Клиенты_исходные!D23," ",""),"-",""),"+",""),"(",""),")",""),1,3)&amp;") "&amp;MID(SUBSTITUTE(SUBSTITUTE(SUBSTITUTE(SUBSTITUTE(SUBSTITUTE(Клиенты_исходные!D23," ",""),"-",""),"+",""),"(",""),")",""),4,3)&amp;"-"&amp;MID(SUBSTITUTE(SUBSTITUTE(SUBSTITUTE(SUBSTITUTE(SUBSTITUTE(Клиенты_исходные!D23," ",""),"-",""),"+",""),"(",""),")",""),6,2)&amp;"-"&amp;MID(SUBSTITUTE(SUBSTITUTE(SUBSTITUTE(SUBSTITUTE(SUBSTITUTE(Клиенты_исходные!D23," ",""),"-",""),"+",""),"(",""),")",""),8,2),Клиенты_исходные!D23)))</f>
        <v xml:space="preserve">+7 (903) 345-67-89</v>
      </c>
      <c r="E23" t="str">
        <f>IF(ISBLANK(Клиенты_исходные!E23),"",IF(ISNUMBER(FIND(".",MID(Клиенты_исходные!E23,FIND("@",Клиенты_исходные!E23)+1,255))),Клиенты_исходные!E23,IF(ISNUMBER(FIND("gmail",Клиенты_исходные!E23)),Клиенты_исходные!E23&amp;".com",Клиенты_исходные!E23&amp;".ru")))</f>
        <v>belyaev@mail.ru</v>
      </c>
      <c r="F23" t="str">
        <f>IFERROR(VLOOKUP(Клиенты_исходные!F23,Справочники!$J$2:$K$50,2,FALSE),Клиенты_исходные!F23)</f>
        <v>Иркутск</v>
      </c>
      <c r="G23" s="8">
        <f>IFERROR(IF(ISNUMBER(FIND(".",Клиенты_исходные!G23)),DATE(RIGHT(Клиенты_исходные!G23,4),MID(Клиенты_исходные!G23,4,2),LEFT(Клиенты_исходные!G23,2)),DATE(LEFT(Клиенты_исходные!G23,4),MID(Клиенты_исходные!G23,6,2),RIGHT(Клиенты_исходные!G23,2))),Клиенты_исходные!G23)</f>
        <v>44774</v>
      </c>
      <c r="H23">
        <f t="shared" ca="1" si="46"/>
        <v>54</v>
      </c>
      <c r="I23" t="str">
        <f t="shared" si="47"/>
        <v>OK</v>
      </c>
      <c r="J23" t="str">
        <f t="shared" si="48"/>
        <v>OK</v>
      </c>
    </row>
    <row r="24">
      <c r="A24" t="str">
        <f>Клиенты_исходные!A24</f>
        <v>C0023</v>
      </c>
      <c r="B24" t="str">
        <f>PROPER(TRIM(Клиенты_исходные!B24))</f>
        <v xml:space="preserve">Романова Елизавета Дмитриевна</v>
      </c>
      <c r="C24" s="8">
        <f>IFERROR(IF(ISNUMBER(FIND(".",Клиенты_исходные!C24)),DATE(RIGHT(Клиенты_исходные!C24,4),MID(Клиенты_исходные!C24,4,2),LEFT(Клиенты_исходные!C24,2)),DATE(LEFT(Клиенты_исходные!C24,4),MID(Клиенты_исходные!C24,6,2),RIGHT(Клиенты_исходные!C24,2))),Клиенты_исходные!C24)</f>
        <v>31000</v>
      </c>
      <c r="D24" t="str">
        <f>IF(ISBLANK(Клиенты_исходные!D24),"",IF(LEN(SUBSTITUTE(SUBSTITUTE(SUBSTITUTE(SUBSTITUTE(SUBSTITUTE(Клиенты_исходные!D24," ",""),"-",""),"+",""),"(",""),")",""))=11,"+7 ("&amp;MID(IF(LEFT(SUBSTITUTE(SUBSTITUTE(SUBSTITUTE(SUBSTITUTE(SUBSTITUTE(Клиенты_исходные!D24," ",""),"-",""),"+",""),"(",""),")",""))="8","7"&amp;MID(SUBSTITUTE(SUBSTITUTE(SUBSTITUTE(SUBSTITUTE(SUBSTITUTE(Клиенты_исходные!D24," ",""),"-",""),"+",""),"(",""),")",""),2,10),SUBSTITUTE(SUBSTITUTE(SUBSTITUTE(SUBSTITUTE(SUBSTITUTE(Клиенты_исходные!D24," ",""),"-",""),"+",""),"(",""),")","")),2,3)&amp;") "&amp;MID(IF(LEFT(SUBSTITUTE(SUBSTITUTE(SUBSTITUTE(SUBSTITUTE(SUBSTITUTE(Клиенты_исходные!D24," ",""),"-",""),"+",""),"(",""),")",""))="8","7"&amp;MID(SUBSTITUTE(SUBSTITUTE(SUBSTITUTE(SUBSTITUTE(SUBSTITUTE(Клиенты_исходные!D24," ",""),"-",""),"+",""),"(",""),")",""),2,10),SUBSTITUTE(SUBSTITUTE(SUBSTITUTE(SUBSTITUTE(SUBSTITUTE(Клиенты_исходные!D24," ",""),"-",""),"+",""),"(",""),")","")),5,3)&amp;"-"&amp;MID(IF(LEFT(SUBSTITUTE(SUBSTITUTE(SUBSTITUTE(SUBSTITUTE(SUBSTITUTE(Клиенты_исходные!D24," ",""),"-",""),"+",""),"(",""),")",""))="8","7"&amp;MID(SUBSTITUTE(SUBSTITUTE(SUBSTITUTE(SUBSTITUTE(SUBSTITUTE(Клиенты_исходные!D24," ",""),"-",""),"+",""),"(",""),")",""),2,10),SUBSTITUTE(SUBSTITUTE(SUBSTITUTE(SUBSTITUTE(SUBSTITUTE(Клиенты_исходные!D24," ",""),"-",""),"+",""),"(",""),")","")),8,2)&amp;"-"&amp;MID(IF(LEFT(SUBSTITUTE(SUBSTITUTE(SUBSTITUTE(SUBSTITUTE(SUBSTITUTE(Клиенты_исходные!D24," ",""),"-",""),"+",""),"(",""),")",""))="8","7"&amp;MID(SUBSTITUTE(SUBSTITUTE(SUBSTITUTE(SUBSTITUTE(SUBSTITUTE(Клиенты_исходные!D24," ",""),"-",""),"+",""),"(",""),")",""),2,10),SUBSTITUTE(SUBSTITUTE(SUBSTITUTE(SUBSTITUTE(SUBSTITUTE(Клиенты_исходные!D24," ",""),"-",""),"+",""),"(",""),")","")),10,2),IF(LEN(SUBSTITUTE(SUBSTITUTE(SUBSTITUTE(SUBSTITUTE(SUBSTITUTE(Клиенты_исходные!D24," ",""),"-",""),"+",""),"(",""),")",""))=10,"+7 ("&amp;MID(SUBSTITUTE(SUBSTITUTE(SUBSTITUTE(SUBSTITUTE(SUBSTITUTE(Клиенты_исходные!D24," ",""),"-",""),"+",""),"(",""),")",""),1,3)&amp;") "&amp;MID(SUBSTITUTE(SUBSTITUTE(SUBSTITUTE(SUBSTITUTE(SUBSTITUTE(Клиенты_исходные!D24," ",""),"-",""),"+",""),"(",""),")",""),4,3)&amp;"-"&amp;MID(SUBSTITUTE(SUBSTITUTE(SUBSTITUTE(SUBSTITUTE(SUBSTITUTE(Клиенты_исходные!D24," ",""),"-",""),"+",""),"(",""),")",""),6,2)&amp;"-"&amp;MID(SUBSTITUTE(SUBSTITUTE(SUBSTITUTE(SUBSTITUTE(SUBSTITUTE(Клиенты_исходные!D24," ",""),"-",""),"+",""),"(",""),")",""),8,2),Клиенты_исходные!D24)))</f>
        <v xml:space="preserve">+7 (903) 345-67-89</v>
      </c>
      <c r="E24" t="str">
        <f>IF(ISBLANK(Клиенты_исходные!E24),"",IF(ISNUMBER(FIND(".",MID(Клиенты_исходные!E24,FIND("@",Клиенты_исходные!E24)+1,255))),Клиенты_исходные!E24,IF(ISNUMBER(FIND("gmail",Клиенты_исходные!E24)),Клиенты_исходные!E24&amp;".com",Клиенты_исходные!E24&amp;".ru")))</f>
        <v>romanova@yandex.ru</v>
      </c>
      <c r="F24" t="str">
        <f>IFERROR(VLOOKUP(Клиенты_исходные!F24,Справочники!$J$2:$K$50,2,FALSE),Клиенты_исходные!F24)</f>
        <v>Хабаровск</v>
      </c>
      <c r="G24" s="8">
        <f>IFERROR(IF(ISNUMBER(FIND(".",Клиенты_исходные!G24)),DATE(RIGHT(Клиенты_исходные!G24,4),MID(Клиенты_исходные!G24,4,2),LEFT(Клиенты_исходные!G24,2)),DATE(LEFT(Клиенты_исходные!G24,4),MID(Клиенты_исходные!G24,6,2),RIGHT(Клиенты_исходные!G24,2))),Клиенты_исходные!G24)</f>
        <v>44783</v>
      </c>
      <c r="H24">
        <f t="shared" ca="1" si="46"/>
        <v>41</v>
      </c>
      <c r="I24" t="str">
        <f t="shared" si="47"/>
        <v>OK</v>
      </c>
      <c r="J24" t="str">
        <f t="shared" si="48"/>
        <v>OK</v>
      </c>
    </row>
    <row r="25">
      <c r="A25" t="str">
        <f>Клиенты_исходные!A25</f>
        <v>C0024</v>
      </c>
      <c r="B25" t="str">
        <f>PROPER(TRIM(Клиенты_исходные!B25))</f>
        <v xml:space="preserve">Степанов Максим Владимирович</v>
      </c>
      <c r="C25" s="8">
        <f>IFERROR(IF(ISNUMBER(FIND(".",Клиенты_исходные!C25)),DATE(RIGHT(Клиенты_исходные!C25,4),MID(Клиенты_исходные!C25,4,2),LEFT(Клиенты_исходные!C25,2)),DATE(LEFT(Клиенты_исходные!C25,4),MID(Клиенты_исходные!C25,6,2),RIGHT(Клиенты_исходные!C25,2))),Клиенты_исходные!C25)</f>
        <v>33683</v>
      </c>
      <c r="D25" t="str">
        <f>IF(ISBLANK(Клиенты_исходные!D25),"",IF(LEN(SUBSTITUTE(SUBSTITUTE(SUBSTITUTE(SUBSTITUTE(SUBSTITUTE(Клиенты_исходные!D25," ",""),"-",""),"+",""),"(",""),")",""))=11,"+7 ("&amp;MID(IF(LEFT(SUBSTITUTE(SUBSTITUTE(SUBSTITUTE(SUBSTITUTE(SUBSTITUTE(Клиенты_исходные!D25," ",""),"-",""),"+",""),"(",""),")",""))="8","7"&amp;MID(SUBSTITUTE(SUBSTITUTE(SUBSTITUTE(SUBSTITUTE(SUBSTITUTE(Клиенты_исходные!D25," ",""),"-",""),"+",""),"(",""),")",""),2,10),SUBSTITUTE(SUBSTITUTE(SUBSTITUTE(SUBSTITUTE(SUBSTITUTE(Клиенты_исходные!D25," ",""),"-",""),"+",""),"(",""),")","")),2,3)&amp;") "&amp;MID(IF(LEFT(SUBSTITUTE(SUBSTITUTE(SUBSTITUTE(SUBSTITUTE(SUBSTITUTE(Клиенты_исходные!D25," ",""),"-",""),"+",""),"(",""),")",""))="8","7"&amp;MID(SUBSTITUTE(SUBSTITUTE(SUBSTITUTE(SUBSTITUTE(SUBSTITUTE(Клиенты_исходные!D25," ",""),"-",""),"+",""),"(",""),")",""),2,10),SUBSTITUTE(SUBSTITUTE(SUBSTITUTE(SUBSTITUTE(SUBSTITUTE(Клиенты_исходные!D25," ",""),"-",""),"+",""),"(",""),")","")),5,3)&amp;"-"&amp;MID(IF(LEFT(SUBSTITUTE(SUBSTITUTE(SUBSTITUTE(SUBSTITUTE(SUBSTITUTE(Клиенты_исходные!D25," ",""),"-",""),"+",""),"(",""),")",""))="8","7"&amp;MID(SUBSTITUTE(SUBSTITUTE(SUBSTITUTE(SUBSTITUTE(SUBSTITUTE(Клиенты_исходные!D25," ",""),"-",""),"+",""),"(",""),")",""),2,10),SUBSTITUTE(SUBSTITUTE(SUBSTITUTE(SUBSTITUTE(SUBSTITUTE(Клиенты_исходные!D25," ",""),"-",""),"+",""),"(",""),")","")),8,2)&amp;"-"&amp;MID(IF(LEFT(SUBSTITUTE(SUBSTITUTE(SUBSTITUTE(SUBSTITUTE(SUBSTITUTE(Клиенты_исходные!D25," ",""),"-",""),"+",""),"(",""),")",""))="8","7"&amp;MID(SUBSTITUTE(SUBSTITUTE(SUBSTITUTE(SUBSTITUTE(SUBSTITUTE(Клиенты_исходные!D25," ",""),"-",""),"+",""),"(",""),")",""),2,10),SUBSTITUTE(SUBSTITUTE(SUBSTITUTE(SUBSTITUTE(SUBSTITUTE(Клиенты_исходные!D25," ",""),"-",""),"+",""),"(",""),")","")),10,2),IF(LEN(SUBSTITUTE(SUBSTITUTE(SUBSTITUTE(SUBSTITUTE(SUBSTITUTE(Клиенты_исходные!D25," ",""),"-",""),"+",""),"(",""),")",""))=10,"+7 ("&amp;MID(SUBSTITUTE(SUBSTITUTE(SUBSTITUTE(SUBSTITUTE(SUBSTITUTE(Клиенты_исходные!D25," ",""),"-",""),"+",""),"(",""),")",""),1,3)&amp;") "&amp;MID(SUBSTITUTE(SUBSTITUTE(SUBSTITUTE(SUBSTITUTE(SUBSTITUTE(Клиенты_исходные!D25," ",""),"-",""),"+",""),"(",""),")",""),4,3)&amp;"-"&amp;MID(SUBSTITUTE(SUBSTITUTE(SUBSTITUTE(SUBSTITUTE(SUBSTITUTE(Клиенты_исходные!D25," ",""),"-",""),"+",""),"(",""),")",""),6,2)&amp;"-"&amp;MID(SUBSTITUTE(SUBSTITUTE(SUBSTITUTE(SUBSTITUTE(SUBSTITUTE(Клиенты_исходные!D25," ",""),"-",""),"+",""),"(",""),")",""),8,2),Клиенты_исходные!D25)))</f>
        <v xml:space="preserve">+7 (903) 456-78-90</v>
      </c>
      <c r="E25" t="str">
        <f>IF(ISBLANK(Клиенты_исходные!E25),"",IF(ISNUMBER(FIND(".",MID(Клиенты_исходные!E25,FIND("@",Клиенты_исходные!E25)+1,255))),Клиенты_исходные!E25,IF(ISNUMBER(FIND("gmail",Клиенты_исходные!E25)),Клиенты_исходные!E25&amp;".com",Клиенты_исходные!E25&amp;".ru")))</f>
        <v>stepanov@gmail.com</v>
      </c>
      <c r="F25" t="str">
        <f>IFERROR(VLOOKUP(Клиенты_исходные!F25,Справочники!$J$2:$K$50,2,FALSE),Клиенты_исходные!F25)</f>
        <v>Ярославль</v>
      </c>
      <c r="G25" s="8">
        <f>IFERROR(IF(ISNUMBER(FIND(".",Клиенты_исходные!G25)),DATE(RIGHT(Клиенты_исходные!G25,4),MID(Клиенты_исходные!G25,4,2),LEFT(Клиенты_исходные!G25,2)),DATE(LEFT(Клиенты_исходные!G25,4),MID(Клиенты_исходные!G25,6,2),RIGHT(Клиенты_исходные!G25,2))),Клиенты_исходные!G25)</f>
        <v>44783</v>
      </c>
      <c r="H25">
        <f t="shared" ca="1" si="46"/>
        <v>34</v>
      </c>
      <c r="I25" t="str">
        <f t="shared" si="47"/>
        <v>OK</v>
      </c>
      <c r="J25" t="str">
        <f t="shared" si="48"/>
        <v>OK</v>
      </c>
    </row>
    <row r="26">
      <c r="A26" t="str">
        <f>Клиенты_исходные!A26</f>
        <v>C0025</v>
      </c>
      <c r="B26" t="str">
        <f>PROPER(TRIM(Клиенты_исходные!B26))</f>
        <v xml:space="preserve">Алексеева Татьяна Аркадьевна</v>
      </c>
      <c r="C26" s="8">
        <f>IFERROR(IF(ISNUMBER(FIND(".",Клиенты_исходные!C26)),DATE(RIGHT(Клиенты_исходные!C26,4),MID(Клиенты_исходные!C26,4,2),LEFT(Клиенты_исходные!C26,2)),DATE(LEFT(Клиенты_исходные!C26,4),MID(Клиенты_исходные!C26,6,2),RIGHT(Клиенты_исходные!C26,2))),Клиенты_исходные!C26)</f>
        <v>28003</v>
      </c>
      <c r="D26" t="str">
        <f>IF(ISBLANK(Клиенты_исходные!D26),"",IF(LEN(SUBSTITUTE(SUBSTITUTE(SUBSTITUTE(SUBSTITUTE(SUBSTITUTE(Клиенты_исходные!D26," ",""),"-",""),"+",""),"(",""),")",""))=11,"+7 ("&amp;MID(IF(LEFT(SUBSTITUTE(SUBSTITUTE(SUBSTITUTE(SUBSTITUTE(SUBSTITUTE(Клиенты_исходные!D26," ",""),"-",""),"+",""),"(",""),")",""))="8","7"&amp;MID(SUBSTITUTE(SUBSTITUTE(SUBSTITUTE(SUBSTITUTE(SUBSTITUTE(Клиенты_исходные!D26," ",""),"-",""),"+",""),"(",""),")",""),2,10),SUBSTITUTE(SUBSTITUTE(SUBSTITUTE(SUBSTITUTE(SUBSTITUTE(Клиенты_исходные!D26," ",""),"-",""),"+",""),"(",""),")","")),2,3)&amp;") "&amp;MID(IF(LEFT(SUBSTITUTE(SUBSTITUTE(SUBSTITUTE(SUBSTITUTE(SUBSTITUTE(Клиенты_исходные!D26," ",""),"-",""),"+",""),"(",""),")",""))="8","7"&amp;MID(SUBSTITUTE(SUBSTITUTE(SUBSTITUTE(SUBSTITUTE(SUBSTITUTE(Клиенты_исходные!D26," ",""),"-",""),"+",""),"(",""),")",""),2,10),SUBSTITUTE(SUBSTITUTE(SUBSTITUTE(SUBSTITUTE(SUBSTITUTE(Клиенты_исходные!D26," ",""),"-",""),"+",""),"(",""),")","")),5,3)&amp;"-"&amp;MID(IF(LEFT(SUBSTITUTE(SUBSTITUTE(SUBSTITUTE(SUBSTITUTE(SUBSTITUTE(Клиенты_исходные!D26," ",""),"-",""),"+",""),"(",""),")",""))="8","7"&amp;MID(SUBSTITUTE(SUBSTITUTE(SUBSTITUTE(SUBSTITUTE(SUBSTITUTE(Клиенты_исходные!D26," ",""),"-",""),"+",""),"(",""),")",""),2,10),SUBSTITUTE(SUBSTITUTE(SUBSTITUTE(SUBSTITUTE(SUBSTITUTE(Клиенты_исходные!D26," ",""),"-",""),"+",""),"(",""),")","")),8,2)&amp;"-"&amp;MID(IF(LEFT(SUBSTITUTE(SUBSTITUTE(SUBSTITUTE(SUBSTITUTE(SUBSTITUTE(Клиенты_исходные!D26," ",""),"-",""),"+",""),"(",""),")",""))="8","7"&amp;MID(SUBSTITUTE(SUBSTITUTE(SUBSTITUTE(SUBSTITUTE(SUBSTITUTE(Клиенты_исходные!D26," ",""),"-",""),"+",""),"(",""),")",""),2,10),SUBSTITUTE(SUBSTITUTE(SUBSTITUTE(SUBSTITUTE(SUBSTITUTE(Клиенты_исходные!D26," ",""),"-",""),"+",""),"(",""),")","")),10,2),IF(LEN(SUBSTITUTE(SUBSTITUTE(SUBSTITUTE(SUBSTITUTE(SUBSTITUTE(Клиенты_исходные!D26," ",""),"-",""),"+",""),"(",""),")",""))=10,"+7 ("&amp;MID(SUBSTITUTE(SUBSTITUTE(SUBSTITUTE(SUBSTITUTE(SUBSTITUTE(Клиенты_исходные!D26," ",""),"-",""),"+",""),"(",""),")",""),1,3)&amp;") "&amp;MID(SUBSTITUTE(SUBSTITUTE(SUBSTITUTE(SUBSTITUTE(SUBSTITUTE(Клиенты_исходные!D26," ",""),"-",""),"+",""),"(",""),")",""),4,3)&amp;"-"&amp;MID(SUBSTITUTE(SUBSTITUTE(SUBSTITUTE(SUBSTITUTE(SUBSTITUTE(Клиенты_исходные!D26," ",""),"-",""),"+",""),"(",""),")",""),6,2)&amp;"-"&amp;MID(SUBSTITUTE(SUBSTITUTE(SUBSTITUTE(SUBSTITUTE(SUBSTITUTE(Клиенты_исходные!D26," ",""),"-",""),"+",""),"(",""),")",""),8,2),Клиенты_исходные!D26)))</f>
        <v xml:space="preserve">+7 (903) 456-78-90</v>
      </c>
      <c r="E26" t="str">
        <f>IF(ISBLANK(Клиенты_исходные!E26),"",IF(ISNUMBER(FIND(".",MID(Клиенты_исходные!E26,FIND("@",Клиенты_исходные!E26)+1,255))),Клиенты_исходные!E26,IF(ISNUMBER(FIND("gmail",Клиенты_исходные!E26)),Клиенты_исходные!E26&amp;".com",Клиенты_исходные!E26&amp;".ru")))</f>
        <v>alekseeva@mail.ru</v>
      </c>
      <c r="F26" t="str">
        <f>IFERROR(VLOOKUP(Клиенты_исходные!F26,Справочники!$J$2:$K$50,2,FALSE),Клиенты_исходные!F26)</f>
        <v>Владивосток</v>
      </c>
      <c r="G26" s="8">
        <f>IFERROR(IF(ISNUMBER(FIND(".",Клиенты_исходные!G26)),DATE(RIGHT(Клиенты_исходные!G26,4),MID(Клиенты_исходные!G26,4,2),LEFT(Клиенты_исходные!G26,2)),DATE(LEFT(Клиенты_исходные!G26,4),MID(Клиенты_исходные!G26,6,2),RIGHT(Клиенты_исходные!G26,2))),Клиенты_исходные!G26)</f>
        <v>44805</v>
      </c>
      <c r="H26">
        <f t="shared" ca="1" si="46"/>
        <v>50</v>
      </c>
      <c r="I26" t="str">
        <f t="shared" si="47"/>
        <v>OK</v>
      </c>
      <c r="J26" t="str">
        <f t="shared" si="48"/>
        <v>OK</v>
      </c>
    </row>
    <row r="27">
      <c r="A27" t="str">
        <f>Клиенты_исходные!A27</f>
        <v>C0026</v>
      </c>
      <c r="B27" t="str">
        <f>PROPER(TRIM(Клиенты_исходные!B27))</f>
        <v xml:space="preserve">Лебедев Николай Павлович</v>
      </c>
      <c r="C27" s="8">
        <f>IFERROR(IF(ISNUMBER(FIND(".",Клиенты_исходные!C27)),DATE(RIGHT(Клиенты_исходные!C27,4),MID(Клиенты_исходные!C27,4,2),LEFT(Клиенты_исходные!C27,2)),DATE(LEFT(Клиенты_исходные!C27,4),MID(Клиенты_исходные!C27,6,2),RIGHT(Клиенты_исходные!C27,2))),Клиенты_исходные!C27)</f>
        <v>29929</v>
      </c>
      <c r="D27" t="str">
        <f>IF(ISBLANK(Клиенты_исходные!D27),"",IF(LEN(SUBSTITUTE(SUBSTITUTE(SUBSTITUTE(SUBSTITUTE(SUBSTITUTE(Клиенты_исходные!D27," ",""),"-",""),"+",""),"(",""),")",""))=11,"+7 ("&amp;MID(IF(LEFT(SUBSTITUTE(SUBSTITUTE(SUBSTITUTE(SUBSTITUTE(SUBSTITUTE(Клиенты_исходные!D27," ",""),"-",""),"+",""),"(",""),")",""))="8","7"&amp;MID(SUBSTITUTE(SUBSTITUTE(SUBSTITUTE(SUBSTITUTE(SUBSTITUTE(Клиенты_исходные!D27," ",""),"-",""),"+",""),"(",""),")",""),2,10),SUBSTITUTE(SUBSTITUTE(SUBSTITUTE(SUBSTITUTE(SUBSTITUTE(Клиенты_исходные!D27," ",""),"-",""),"+",""),"(",""),")","")),2,3)&amp;") "&amp;MID(IF(LEFT(SUBSTITUTE(SUBSTITUTE(SUBSTITUTE(SUBSTITUTE(SUBSTITUTE(Клиенты_исходные!D27," ",""),"-",""),"+",""),"(",""),")",""))="8","7"&amp;MID(SUBSTITUTE(SUBSTITUTE(SUBSTITUTE(SUBSTITUTE(SUBSTITUTE(Клиенты_исходные!D27," ",""),"-",""),"+",""),"(",""),")",""),2,10),SUBSTITUTE(SUBSTITUTE(SUBSTITUTE(SUBSTITUTE(SUBSTITUTE(Клиенты_исходные!D27," ",""),"-",""),"+",""),"(",""),")","")),5,3)&amp;"-"&amp;MID(IF(LEFT(SUBSTITUTE(SUBSTITUTE(SUBSTITUTE(SUBSTITUTE(SUBSTITUTE(Клиенты_исходные!D27," ",""),"-",""),"+",""),"(",""),")",""))="8","7"&amp;MID(SUBSTITUTE(SUBSTITUTE(SUBSTITUTE(SUBSTITUTE(SUBSTITUTE(Клиенты_исходные!D27," ",""),"-",""),"+",""),"(",""),")",""),2,10),SUBSTITUTE(SUBSTITUTE(SUBSTITUTE(SUBSTITUTE(SUBSTITUTE(Клиенты_исходные!D27," ",""),"-",""),"+",""),"(",""),")","")),8,2)&amp;"-"&amp;MID(IF(LEFT(SUBSTITUTE(SUBSTITUTE(SUBSTITUTE(SUBSTITUTE(SUBSTITUTE(Клиенты_исходные!D27," ",""),"-",""),"+",""),"(",""),")",""))="8","7"&amp;MID(SUBSTITUTE(SUBSTITUTE(SUBSTITUTE(SUBSTITUTE(SUBSTITUTE(Клиенты_исходные!D27," ",""),"-",""),"+",""),"(",""),")",""),2,10),SUBSTITUTE(SUBSTITUTE(SUBSTITUTE(SUBSTITUTE(SUBSTITUTE(Клиенты_исходные!D27," ",""),"-",""),"+",""),"(",""),")","")),10,2),IF(LEN(SUBSTITUTE(SUBSTITUTE(SUBSTITUTE(SUBSTITUTE(SUBSTITUTE(Клиенты_исходные!D27," ",""),"-",""),"+",""),"(",""),")",""))=10,"+7 ("&amp;MID(SUBSTITUTE(SUBSTITUTE(SUBSTITUTE(SUBSTITUTE(SUBSTITUTE(Клиенты_исходные!D27," ",""),"-",""),"+",""),"(",""),")",""),1,3)&amp;") "&amp;MID(SUBSTITUTE(SUBSTITUTE(SUBSTITUTE(SUBSTITUTE(SUBSTITUTE(Клиенты_исходные!D27," ",""),"-",""),"+",""),"(",""),")",""),4,3)&amp;"-"&amp;MID(SUBSTITUTE(SUBSTITUTE(SUBSTITUTE(SUBSTITUTE(SUBSTITUTE(Клиенты_исходные!D27," ",""),"-",""),"+",""),"(",""),")",""),6,2)&amp;"-"&amp;MID(SUBSTITUTE(SUBSTITUTE(SUBSTITUTE(SUBSTITUTE(SUBSTITUTE(Клиенты_исходные!D27," ",""),"-",""),"+",""),"(",""),")",""),8,2),Клиенты_исходные!D27)))</f>
        <v xml:space="preserve">+7 (903) 456-78-90</v>
      </c>
      <c r="E27" t="str">
        <f>IF(ISBLANK(Клиенты_исходные!E27),"",IF(ISNUMBER(FIND(".",MID(Клиенты_исходные!E27,FIND("@",Клиенты_исходные!E27)+1,255))),Клиенты_исходные!E27,IF(ISNUMBER(FIND("gmail",Клиенты_исходные!E27)),Клиенты_исходные!E27&amp;".com",Клиенты_исходные!E27&amp;".ru")))</f>
        <v>lebedev@yandex.ru</v>
      </c>
      <c r="F27" t="str">
        <f>IFERROR(VLOOKUP(Клиенты_исходные!F27,Справочники!$J$2:$K$50,2,FALSE),Клиенты_исходные!F27)</f>
        <v>Махачкала</v>
      </c>
      <c r="G27" s="8">
        <f>IFERROR(IF(ISNUMBER(FIND(".",Клиенты_исходные!G27)),DATE(RIGHT(Клиенты_исходные!G27,4),MID(Клиенты_исходные!G27,4,2),LEFT(Клиенты_исходные!G27,2)),DATE(LEFT(Клиенты_исходные!G27,4),MID(Клиенты_исходные!G27,6,2),RIGHT(Клиенты_исходные!G27,2))),Клиенты_исходные!G27)</f>
        <v>44819</v>
      </c>
      <c r="H27">
        <f t="shared" ca="1" si="46"/>
        <v>44</v>
      </c>
      <c r="I27" t="str">
        <f t="shared" si="47"/>
        <v>OK</v>
      </c>
      <c r="J27" t="str">
        <f t="shared" si="48"/>
        <v>OK</v>
      </c>
    </row>
    <row r="28">
      <c r="A28" t="str">
        <f>Клиенты_исходные!A28</f>
        <v>C0027</v>
      </c>
      <c r="B28" t="str">
        <f>PROPER(TRIM(Клиенты_исходные!B28))</f>
        <v xml:space="preserve">Козлова Надежда Викторовна</v>
      </c>
      <c r="C28" s="8">
        <f>IFERROR(IF(ISNUMBER(FIND(".",Клиенты_исходные!C28)),DATE(RIGHT(Клиенты_исходные!C28,4),MID(Клиенты_исходные!C28,4,2),LEFT(Клиенты_исходные!C28,2)),DATE(LEFT(Клиенты_исходные!C28,4),MID(Клиенты_исходные!C28,6,2),RIGHT(Клиенты_исходные!C28,2))),Клиенты_исходные!C28)</f>
        <v>32676</v>
      </c>
      <c r="D28" t="str">
        <f>IF(ISBLANK(Клиенты_исходные!D28),"",IF(LEN(SUBSTITUTE(SUBSTITUTE(SUBSTITUTE(SUBSTITUTE(SUBSTITUTE(Клиенты_исходные!D28," ",""),"-",""),"+",""),"(",""),")",""))=11,"+7 ("&amp;MID(IF(LEFT(SUBSTITUTE(SUBSTITUTE(SUBSTITUTE(SUBSTITUTE(SUBSTITUTE(Клиенты_исходные!D28," ",""),"-",""),"+",""),"(",""),")",""))="8","7"&amp;MID(SUBSTITUTE(SUBSTITUTE(SUBSTITUTE(SUBSTITUTE(SUBSTITUTE(Клиенты_исходные!D28," ",""),"-",""),"+",""),"(",""),")",""),2,10),SUBSTITUTE(SUBSTITUTE(SUBSTITUTE(SUBSTITUTE(SUBSTITUTE(Клиенты_исходные!D28," ",""),"-",""),"+",""),"(",""),")","")),2,3)&amp;") "&amp;MID(IF(LEFT(SUBSTITUTE(SUBSTITUTE(SUBSTITUTE(SUBSTITUTE(SUBSTITUTE(Клиенты_исходные!D28," ",""),"-",""),"+",""),"(",""),")",""))="8","7"&amp;MID(SUBSTITUTE(SUBSTITUTE(SUBSTITUTE(SUBSTITUTE(SUBSTITUTE(Клиенты_исходные!D28," ",""),"-",""),"+",""),"(",""),")",""),2,10),SUBSTITUTE(SUBSTITUTE(SUBSTITUTE(SUBSTITUTE(SUBSTITUTE(Клиенты_исходные!D28," ",""),"-",""),"+",""),"(",""),")","")),5,3)&amp;"-"&amp;MID(IF(LEFT(SUBSTITUTE(SUBSTITUTE(SUBSTITUTE(SUBSTITUTE(SUBSTITUTE(Клиенты_исходные!D28," ",""),"-",""),"+",""),"(",""),")",""))="8","7"&amp;MID(SUBSTITUTE(SUBSTITUTE(SUBSTITUTE(SUBSTITUTE(SUBSTITUTE(Клиенты_исходные!D28," ",""),"-",""),"+",""),"(",""),")",""),2,10),SUBSTITUTE(SUBSTITUTE(SUBSTITUTE(SUBSTITUTE(SUBSTITUTE(Клиенты_исходные!D28," ",""),"-",""),"+",""),"(",""),")","")),8,2)&amp;"-"&amp;MID(IF(LEFT(SUBSTITUTE(SUBSTITUTE(SUBSTITUTE(SUBSTITUTE(SUBSTITUTE(Клиенты_исходные!D28," ",""),"-",""),"+",""),"(",""),")",""))="8","7"&amp;MID(SUBSTITUTE(SUBSTITUTE(SUBSTITUTE(SUBSTITUTE(SUBSTITUTE(Клиенты_исходные!D28," ",""),"-",""),"+",""),"(",""),")",""),2,10),SUBSTITUTE(SUBSTITUTE(SUBSTITUTE(SUBSTITUTE(SUBSTITUTE(Клиенты_исходные!D28," ",""),"-",""),"+",""),"(",""),")","")),10,2),IF(LEN(SUBSTITUTE(SUBSTITUTE(SUBSTITUTE(SUBSTITUTE(SUBSTITUTE(Клиенты_исходные!D28," ",""),"-",""),"+",""),"(",""),")",""))=10,"+7 ("&amp;MID(SUBSTITUTE(SUBSTITUTE(SUBSTITUTE(SUBSTITUTE(SUBSTITUTE(Клиенты_исходные!D28," ",""),"-",""),"+",""),"(",""),")",""),1,3)&amp;") "&amp;MID(SUBSTITUTE(SUBSTITUTE(SUBSTITUTE(SUBSTITUTE(SUBSTITUTE(Клиенты_исходные!D28," ",""),"-",""),"+",""),"(",""),")",""),4,3)&amp;"-"&amp;MID(SUBSTITUTE(SUBSTITUTE(SUBSTITUTE(SUBSTITUTE(SUBSTITUTE(Клиенты_исходные!D28," ",""),"-",""),"+",""),"(",""),")",""),6,2)&amp;"-"&amp;MID(SUBSTITUTE(SUBSTITUTE(SUBSTITUTE(SUBSTITUTE(SUBSTITUTE(Клиенты_исходные!D28," ",""),"-",""),"+",""),"(",""),")",""),8,2),Клиенты_исходные!D28)))</f>
        <v xml:space="preserve">+7 (903) 567-89-01</v>
      </c>
      <c r="E28" t="str">
        <f>IF(ISBLANK(Клиенты_исходные!E28),"",IF(ISNUMBER(FIND(".",MID(Клиенты_исходные!E28,FIND("@",Клиенты_исходные!E28)+1,255))),Клиенты_исходные!E28,IF(ISNUMBER(FIND("gmail",Клиенты_исходные!E28)),Клиенты_исходные!E28&amp;".com",Клиенты_исходные!E28&amp;".ru")))</f>
        <v>kozlova@gmail.com</v>
      </c>
      <c r="F28" t="str">
        <f>IFERROR(VLOOKUP(Клиенты_исходные!F28,Справочники!$J$2:$K$50,2,FALSE),Клиенты_исходные!F28)</f>
        <v>Томск</v>
      </c>
      <c r="G28" s="8">
        <f>IFERROR(IF(ISNUMBER(FIND(".",Клиенты_исходные!G28)),DATE(RIGHT(Клиенты_исходные!G28,4),MID(Клиенты_исходные!G28,4,2),LEFT(Клиенты_исходные!G28,2)),DATE(LEFT(Клиенты_исходные!G28,4),MID(Клиенты_исходные!G28,6,2),RIGHT(Клиенты_исходные!G28,2))),Клиенты_исходные!G28)</f>
        <v>44819</v>
      </c>
      <c r="H28">
        <f t="shared" ca="1" si="46"/>
        <v>37</v>
      </c>
      <c r="I28" t="str">
        <f t="shared" si="47"/>
        <v>OK</v>
      </c>
      <c r="J28" t="str">
        <f t="shared" si="48"/>
        <v>OK</v>
      </c>
    </row>
    <row r="29">
      <c r="A29" t="str">
        <f>Клиенты_исходные!A29</f>
        <v>C0028</v>
      </c>
      <c r="B29" t="str">
        <f>PROPER(TRIM(Клиенты_исходные!B29))</f>
        <v xml:space="preserve">Орлов Юрий Александрович</v>
      </c>
      <c r="C29" s="8">
        <f>IFERROR(IF(ISNUMBER(FIND(".",Клиенты_исходные!C29)),DATE(RIGHT(Клиенты_исходные!C29,4),MID(Клиенты_исходные!C29,4,2),LEFT(Клиенты_исходные!C29,2)),DATE(LEFT(Клиенты_исходные!C29,4),MID(Клиенты_исходные!C29,6,2),RIGHT(Клиенты_исходные!C29,2))),Клиенты_исходные!C29)</f>
        <v>28150</v>
      </c>
      <c r="D29" t="str">
        <f>IF(ISBLANK(Клиенты_исходные!D29),"",IF(LEN(SUBSTITUTE(SUBSTITUTE(SUBSTITUTE(SUBSTITUTE(SUBSTITUTE(Клиенты_исходные!D29," ",""),"-",""),"+",""),"(",""),")",""))=11,"+7 ("&amp;MID(IF(LEFT(SUBSTITUTE(SUBSTITUTE(SUBSTITUTE(SUBSTITUTE(SUBSTITUTE(Клиенты_исходные!D29," ",""),"-",""),"+",""),"(",""),")",""))="8","7"&amp;MID(SUBSTITUTE(SUBSTITUTE(SUBSTITUTE(SUBSTITUTE(SUBSTITUTE(Клиенты_исходные!D29," ",""),"-",""),"+",""),"(",""),")",""),2,10),SUBSTITUTE(SUBSTITUTE(SUBSTITUTE(SUBSTITUTE(SUBSTITUTE(Клиенты_исходные!D29," ",""),"-",""),"+",""),"(",""),")","")),2,3)&amp;") "&amp;MID(IF(LEFT(SUBSTITUTE(SUBSTITUTE(SUBSTITUTE(SUBSTITUTE(SUBSTITUTE(Клиенты_исходные!D29," ",""),"-",""),"+",""),"(",""),")",""))="8","7"&amp;MID(SUBSTITUTE(SUBSTITUTE(SUBSTITUTE(SUBSTITUTE(SUBSTITUTE(Клиенты_исходные!D29," ",""),"-",""),"+",""),"(",""),")",""),2,10),SUBSTITUTE(SUBSTITUTE(SUBSTITUTE(SUBSTITUTE(SUBSTITUTE(Клиенты_исходные!D29," ",""),"-",""),"+",""),"(",""),")","")),5,3)&amp;"-"&amp;MID(IF(LEFT(SUBSTITUTE(SUBSTITUTE(SUBSTITUTE(SUBSTITUTE(SUBSTITUTE(Клиенты_исходные!D29," ",""),"-",""),"+",""),"(",""),")",""))="8","7"&amp;MID(SUBSTITUTE(SUBSTITUTE(SUBSTITUTE(SUBSTITUTE(SUBSTITUTE(Клиенты_исходные!D29," ",""),"-",""),"+",""),"(",""),")",""),2,10),SUBSTITUTE(SUBSTITUTE(SUBSTITUTE(SUBSTITUTE(SUBSTITUTE(Клиенты_исходные!D29," ",""),"-",""),"+",""),"(",""),")","")),8,2)&amp;"-"&amp;MID(IF(LEFT(SUBSTITUTE(SUBSTITUTE(SUBSTITUTE(SUBSTITUTE(SUBSTITUTE(Клиенты_исходные!D29," ",""),"-",""),"+",""),"(",""),")",""))="8","7"&amp;MID(SUBSTITUTE(SUBSTITUTE(SUBSTITUTE(SUBSTITUTE(SUBSTITUTE(Клиенты_исходные!D29," ",""),"-",""),"+",""),"(",""),")",""),2,10),SUBSTITUTE(SUBSTITUTE(SUBSTITUTE(SUBSTITUTE(SUBSTITUTE(Клиенты_исходные!D29," ",""),"-",""),"+",""),"(",""),")","")),10,2),IF(LEN(SUBSTITUTE(SUBSTITUTE(SUBSTITUTE(SUBSTITUTE(SUBSTITUTE(Клиенты_исходные!D29," ",""),"-",""),"+",""),"(",""),")",""))=10,"+7 ("&amp;MID(SUBSTITUTE(SUBSTITUTE(SUBSTITUTE(SUBSTITUTE(SUBSTITUTE(Клиенты_исходные!D29," ",""),"-",""),"+",""),"(",""),")",""),1,3)&amp;") "&amp;MID(SUBSTITUTE(SUBSTITUTE(SUBSTITUTE(SUBSTITUTE(SUBSTITUTE(Клиенты_исходные!D29," ",""),"-",""),"+",""),"(",""),")",""),4,3)&amp;"-"&amp;MID(SUBSTITUTE(SUBSTITUTE(SUBSTITUTE(SUBSTITUTE(SUBSTITUTE(Клиенты_исходные!D29," ",""),"-",""),"+",""),"(",""),")",""),6,2)&amp;"-"&amp;MID(SUBSTITUTE(SUBSTITUTE(SUBSTITUTE(SUBSTITUTE(SUBSTITUTE(Клиенты_исходные!D29," ",""),"-",""),"+",""),"(",""),")",""),8,2),Клиенты_исходные!D29)))</f>
        <v xml:space="preserve">+7 (903) 567-89-01</v>
      </c>
      <c r="E29" t="str">
        <f>IF(ISBLANK(Клиенты_исходные!E29),"",IF(ISNUMBER(FIND(".",MID(Клиенты_исходные!E29,FIND("@",Клиенты_исходные!E29)+1,255))),Клиенты_исходные!E29,IF(ISNUMBER(FIND("gmail",Клиенты_исходные!E29)),Клиенты_исходные!E29&amp;".com",Клиенты_исходные!E29&amp;".ru")))</f>
        <v>orlov@mail.ru</v>
      </c>
      <c r="F29" t="str">
        <f>IFERROR(VLOOKUP(Клиенты_исходные!F29,Справочники!$J$2:$K$50,2,FALSE),Клиенты_исходные!F29)</f>
        <v>Оренбург</v>
      </c>
      <c r="G29" s="8">
        <f>IFERROR(IF(ISNUMBER(FIND(".",Клиенты_исходные!G29)),DATE(RIGHT(Клиенты_исходные!G29,4),MID(Клиенты_исходные!G29,4,2),LEFT(Клиенты_исходные!G29,2)),DATE(LEFT(Клиенты_исходные!G29,4),MID(Клиенты_исходные!G29,6,2),RIGHT(Клиенты_исходные!G29,2))),Клиенты_исходные!G29)</f>
        <v>44835</v>
      </c>
      <c r="H29">
        <f t="shared" ca="1" si="46"/>
        <v>49</v>
      </c>
      <c r="I29" t="str">
        <f t="shared" si="47"/>
        <v>OK</v>
      </c>
      <c r="J29" t="str">
        <f t="shared" si="48"/>
        <v>OK</v>
      </c>
    </row>
    <row r="30">
      <c r="A30" t="str">
        <f>Клиенты_исходные!A30</f>
        <v>C0029</v>
      </c>
      <c r="B30" t="str">
        <f>PROPER(TRIM(Клиенты_исходные!B30))</f>
        <v xml:space="preserve">Борисов Виталий Игоревич</v>
      </c>
      <c r="C30" s="8">
        <f>IFERROR(IF(ISNUMBER(FIND(".",Клиенты_исходные!C30)),DATE(RIGHT(Клиенты_исходные!C30,4),MID(Клиенты_исходные!C30,4,2),LEFT(Клиенты_исходные!C30,2)),DATE(LEFT(Клиенты_исходные!C30,4),MID(Клиенты_исходные!C30,6,2),RIGHT(Клиенты_исходные!C30,2))),Клиенты_исходные!C30)</f>
        <v>33484</v>
      </c>
      <c r="D30" t="str">
        <f>IF(ISBLANK(Клиенты_исходные!D30),"",IF(LEN(SUBSTITUTE(SUBSTITUTE(SUBSTITUTE(SUBSTITUTE(SUBSTITUTE(Клиенты_исходные!D30," ",""),"-",""),"+",""),"(",""),")",""))=11,"+7 ("&amp;MID(IF(LEFT(SUBSTITUTE(SUBSTITUTE(SUBSTITUTE(SUBSTITUTE(SUBSTITUTE(Клиенты_исходные!D30," ",""),"-",""),"+",""),"(",""),")",""))="8","7"&amp;MID(SUBSTITUTE(SUBSTITUTE(SUBSTITUTE(SUBSTITUTE(SUBSTITUTE(Клиенты_исходные!D30," ",""),"-",""),"+",""),"(",""),")",""),2,10),SUBSTITUTE(SUBSTITUTE(SUBSTITUTE(SUBSTITUTE(SUBSTITUTE(Клиенты_исходные!D30," ",""),"-",""),"+",""),"(",""),")","")),2,3)&amp;") "&amp;MID(IF(LEFT(SUBSTITUTE(SUBSTITUTE(SUBSTITUTE(SUBSTITUTE(SUBSTITUTE(Клиенты_исходные!D30," ",""),"-",""),"+",""),"(",""),")",""))="8","7"&amp;MID(SUBSTITUTE(SUBSTITUTE(SUBSTITUTE(SUBSTITUTE(SUBSTITUTE(Клиенты_исходные!D30," ",""),"-",""),"+",""),"(",""),")",""),2,10),SUBSTITUTE(SUBSTITUTE(SUBSTITUTE(SUBSTITUTE(SUBSTITUTE(Клиенты_исходные!D30," ",""),"-",""),"+",""),"(",""),")","")),5,3)&amp;"-"&amp;MID(IF(LEFT(SUBSTITUTE(SUBSTITUTE(SUBSTITUTE(SUBSTITUTE(SUBSTITUTE(Клиенты_исходные!D30," ",""),"-",""),"+",""),"(",""),")",""))="8","7"&amp;MID(SUBSTITUTE(SUBSTITUTE(SUBSTITUTE(SUBSTITUTE(SUBSTITUTE(Клиенты_исходные!D30," ",""),"-",""),"+",""),"(",""),")",""),2,10),SUBSTITUTE(SUBSTITUTE(SUBSTITUTE(SUBSTITUTE(SUBSTITUTE(Клиенты_исходные!D30," ",""),"-",""),"+",""),"(",""),")","")),8,2)&amp;"-"&amp;MID(IF(LEFT(SUBSTITUTE(SUBSTITUTE(SUBSTITUTE(SUBSTITUTE(SUBSTITUTE(Клиенты_исходные!D30," ",""),"-",""),"+",""),"(",""),")",""))="8","7"&amp;MID(SUBSTITUTE(SUBSTITUTE(SUBSTITUTE(SUBSTITUTE(SUBSTITUTE(Клиенты_исходные!D30," ",""),"-",""),"+",""),"(",""),")",""),2,10),SUBSTITUTE(SUBSTITUTE(SUBSTITUTE(SUBSTITUTE(SUBSTITUTE(Клиенты_исходные!D30," ",""),"-",""),"+",""),"(",""),")","")),10,2),IF(LEN(SUBSTITUTE(SUBSTITUTE(SUBSTITUTE(SUBSTITUTE(SUBSTITUTE(Клиенты_исходные!D30," ",""),"-",""),"+",""),"(",""),")",""))=10,"+7 ("&amp;MID(SUBSTITUTE(SUBSTITUTE(SUBSTITUTE(SUBSTITUTE(SUBSTITUTE(Клиенты_исходные!D30," ",""),"-",""),"+",""),"(",""),")",""),1,3)&amp;") "&amp;MID(SUBSTITUTE(SUBSTITUTE(SUBSTITUTE(SUBSTITUTE(SUBSTITUTE(Клиенты_исходные!D30," ",""),"-",""),"+",""),"(",""),")",""),4,3)&amp;"-"&amp;MID(SUBSTITUTE(SUBSTITUTE(SUBSTITUTE(SUBSTITUTE(SUBSTITUTE(Клиенты_исходные!D30," ",""),"-",""),"+",""),"(",""),")",""),6,2)&amp;"-"&amp;MID(SUBSTITUTE(SUBSTITUTE(SUBSTITUTE(SUBSTITUTE(SUBSTITUTE(Клиенты_исходные!D30," ",""),"-",""),"+",""),"(",""),")",""),8,2),Клиенты_исходные!D30)))</f>
        <v xml:space="preserve">+7 (903) 567-89-01</v>
      </c>
      <c r="E30" t="str">
        <f>IF(ISBLANK(Клиенты_исходные!E30),"",IF(ISNUMBER(FIND(".",MID(Клиенты_исходные!E30,FIND("@",Клиенты_исходные!E30)+1,255))),Клиенты_исходные!E30,IF(ISNUMBER(FIND("gmail",Клиенты_исходные!E30)),Клиенты_исходные!E30&amp;".com",Клиенты_исходные!E30&amp;".ru")))</f>
        <v>borisov@yandex.ru</v>
      </c>
      <c r="F30" t="str">
        <f>IFERROR(VLOOKUP(Клиенты_исходные!F30,Справочники!$J$2:$K$50,2,FALSE),Клиенты_исходные!F30)</f>
        <v>Кемерово</v>
      </c>
      <c r="G30" s="8">
        <f>IFERROR(IF(ISNUMBER(FIND(".",Клиенты_исходные!G30)),DATE(RIGHT(Клиенты_исходные!G30,4),MID(Клиенты_исходные!G30,4,2),LEFT(Клиенты_исходные!G30,2)),DATE(LEFT(Клиенты_исходные!G30,4),MID(Клиенты_исходные!G30,6,2),RIGHT(Клиенты_исходные!G30,2))),Клиенты_исходные!G30)</f>
        <v>44844</v>
      </c>
      <c r="H30">
        <f t="shared" ca="1" si="46"/>
        <v>35</v>
      </c>
      <c r="I30" t="str">
        <f t="shared" si="47"/>
        <v>OK</v>
      </c>
      <c r="J30" t="str">
        <f t="shared" si="48"/>
        <v>OK</v>
      </c>
    </row>
    <row r="31">
      <c r="A31" t="str">
        <f>Клиенты_исходные!A31</f>
        <v>C0030</v>
      </c>
      <c r="B31" t="str">
        <f>PROPER(TRIM(Клиенты_исходные!B31))</f>
        <v xml:space="preserve">Фомина Светлана Петровна</v>
      </c>
      <c r="C31" s="8">
        <f>IFERROR(IF(ISNUMBER(FIND(".",Клиенты_исходные!C31)),DATE(RIGHT(Клиенты_исходные!C31,4),MID(Клиенты_исходные!C31,4,2),LEFT(Клиенты_исходные!C31,2)),DATE(LEFT(Клиенты_исходные!C31,4),MID(Клиенты_исходные!C31,6,2),RIGHT(Клиенты_исходные!C31,2))),Клиенты_исходные!C31)</f>
        <v>30516</v>
      </c>
      <c r="D31" t="str">
        <f>IF(ISBLANK(Клиенты_исходные!D31),"",IF(LEN(SUBSTITUTE(SUBSTITUTE(SUBSTITUTE(SUBSTITUTE(SUBSTITUTE(Клиенты_исходные!D31," ",""),"-",""),"+",""),"(",""),")",""))=11,"+7 ("&amp;MID(IF(LEFT(SUBSTITUTE(SUBSTITUTE(SUBSTITUTE(SUBSTITUTE(SUBSTITUTE(Клиенты_исходные!D31," ",""),"-",""),"+",""),"(",""),")",""))="8","7"&amp;MID(SUBSTITUTE(SUBSTITUTE(SUBSTITUTE(SUBSTITUTE(SUBSTITUTE(Клиенты_исходные!D31," ",""),"-",""),"+",""),"(",""),")",""),2,10),SUBSTITUTE(SUBSTITUTE(SUBSTITUTE(SUBSTITUTE(SUBSTITUTE(Клиенты_исходные!D31," ",""),"-",""),"+",""),"(",""),")","")),2,3)&amp;") "&amp;MID(IF(LEFT(SUBSTITUTE(SUBSTITUTE(SUBSTITUTE(SUBSTITUTE(SUBSTITUTE(Клиенты_исходные!D31," ",""),"-",""),"+",""),"(",""),")",""))="8","7"&amp;MID(SUBSTITUTE(SUBSTITUTE(SUBSTITUTE(SUBSTITUTE(SUBSTITUTE(Клиенты_исходные!D31," ",""),"-",""),"+",""),"(",""),")",""),2,10),SUBSTITUTE(SUBSTITUTE(SUBSTITUTE(SUBSTITUTE(SUBSTITUTE(Клиенты_исходные!D31," ",""),"-",""),"+",""),"(",""),")","")),5,3)&amp;"-"&amp;MID(IF(LEFT(SUBSTITUTE(SUBSTITUTE(SUBSTITUTE(SUBSTITUTE(SUBSTITUTE(Клиенты_исходные!D31," ",""),"-",""),"+",""),"(",""),")",""))="8","7"&amp;MID(SUBSTITUTE(SUBSTITUTE(SUBSTITUTE(SUBSTITUTE(SUBSTITUTE(Клиенты_исходные!D31," ",""),"-",""),"+",""),"(",""),")",""),2,10),SUBSTITUTE(SUBSTITUTE(SUBSTITUTE(SUBSTITUTE(SUBSTITUTE(Клиенты_исходные!D31," ",""),"-",""),"+",""),"(",""),")","")),8,2)&amp;"-"&amp;MID(IF(LEFT(SUBSTITUTE(SUBSTITUTE(SUBSTITUTE(SUBSTITUTE(SUBSTITUTE(Клиенты_исходные!D31," ",""),"-",""),"+",""),"(",""),")",""))="8","7"&amp;MID(SUBSTITUTE(SUBSTITUTE(SUBSTITUTE(SUBSTITUTE(SUBSTITUTE(Клиенты_исходные!D31," ",""),"-",""),"+",""),"(",""),")",""),2,10),SUBSTITUTE(SUBSTITUTE(SUBSTITUTE(SUBSTITUTE(SUBSTITUTE(Клиенты_исходные!D31," ",""),"-",""),"+",""),"(",""),")","")),10,2),IF(LEN(SUBSTITUTE(SUBSTITUTE(SUBSTITUTE(SUBSTITUTE(SUBSTITUTE(Клиенты_исходные!D31," ",""),"-",""),"+",""),"(",""),")",""))=10,"+7 ("&amp;MID(SUBSTITUTE(SUBSTITUTE(SUBSTITUTE(SUBSTITUTE(SUBSTITUTE(Клиенты_исходные!D31," ",""),"-",""),"+",""),"(",""),")",""),1,3)&amp;") "&amp;MID(SUBSTITUTE(SUBSTITUTE(SUBSTITUTE(SUBSTITUTE(SUBSTITUTE(Клиенты_исходные!D31," ",""),"-",""),"+",""),"(",""),")",""),4,3)&amp;"-"&amp;MID(SUBSTITUTE(SUBSTITUTE(SUBSTITUTE(SUBSTITUTE(SUBSTITUTE(Клиенты_исходные!D31," ",""),"-",""),"+",""),"(",""),")",""),6,2)&amp;"-"&amp;MID(SUBSTITUTE(SUBSTITUTE(SUBSTITUTE(SUBSTITUTE(SUBSTITUTE(Клиенты_исходные!D31," ",""),"-",""),"+",""),"(",""),")",""),8,2),Клиенты_исходные!D31)))</f>
        <v xml:space="preserve">+7 (903) 678-90-12</v>
      </c>
      <c r="E31" t="str">
        <f>IF(ISBLANK(Клиенты_исходные!E31),"",IF(ISNUMBER(FIND(".",MID(Клиенты_исходные!E31,FIND("@",Клиенты_исходные!E31)+1,255))),Клиенты_исходные!E31,IF(ISNUMBER(FIND("gmail",Клиенты_исходные!E31)),Клиенты_исходные!E31&amp;".com",Клиенты_исходные!E31&amp;".ru")))</f>
        <v>fomina@gmail.com</v>
      </c>
      <c r="F31" t="str">
        <f>IFERROR(VLOOKUP(Клиенты_исходные!F31,Справочники!$J$2:$K$50,2,FALSE),Клиенты_исходные!F31)</f>
        <v>Новокузнецк</v>
      </c>
      <c r="G31" s="8">
        <f>IFERROR(IF(ISNUMBER(FIND(".",Клиенты_исходные!G31)),DATE(RIGHT(Клиенты_исходные!G31,4),MID(Клиенты_исходные!G31,4,2),LEFT(Клиенты_исходные!G31,2)),DATE(LEFT(Клиенты_исходные!G31,4),MID(Клиенты_исходные!G31,6,2),RIGHT(Клиенты_исходные!G31,2))),Клиенты_исходные!G31)</f>
        <v>44844</v>
      </c>
      <c r="H31">
        <f t="shared" ca="1" si="46"/>
        <v>43</v>
      </c>
      <c r="I31" t="str">
        <f t="shared" si="47"/>
        <v>OK</v>
      </c>
      <c r="J31" t="str">
        <f t="shared" si="48"/>
        <v>OK</v>
      </c>
    </row>
    <row r="32">
      <c r="A32" t="str">
        <f>Клиенты_исходные!A32</f>
        <v>C0031</v>
      </c>
      <c r="B32" t="str">
        <f>PROPER(TRIM(Клиенты_исходные!B32))</f>
        <v xml:space="preserve">Крылова Анжелика Сергеевна</v>
      </c>
      <c r="C32" s="8">
        <f>IFERROR(IF(ISNUMBER(FIND(".",Клиенты_исходные!C32)),DATE(RIGHT(Клиенты_исходные!C32,4),MID(Клиенты_исходные!C32,4,2),LEFT(Клиенты_исходные!C32,2)),DATE(LEFT(Клиенты_исходные!C32,4),MID(Клиенты_исходные!C32,6,2),RIGHT(Клиенты_исходные!C32,2))),Клиенты_исходные!C32)</f>
        <v>27339</v>
      </c>
      <c r="D32" t="str">
        <f>IF(ISBLANK(Клиенты_исходные!D32),"",IF(LEN(SUBSTITUTE(SUBSTITUTE(SUBSTITUTE(SUBSTITUTE(SUBSTITUTE(Клиенты_исходные!D32," ",""),"-",""),"+",""),"(",""),")",""))=11,"+7 ("&amp;MID(IF(LEFT(SUBSTITUTE(SUBSTITUTE(SUBSTITUTE(SUBSTITUTE(SUBSTITUTE(Клиенты_исходные!D32," ",""),"-",""),"+",""),"(",""),")",""))="8","7"&amp;MID(SUBSTITUTE(SUBSTITUTE(SUBSTITUTE(SUBSTITUTE(SUBSTITUTE(Клиенты_исходные!D32," ",""),"-",""),"+",""),"(",""),")",""),2,10),SUBSTITUTE(SUBSTITUTE(SUBSTITUTE(SUBSTITUTE(SUBSTITUTE(Клиенты_исходные!D32," ",""),"-",""),"+",""),"(",""),")","")),2,3)&amp;") "&amp;MID(IF(LEFT(SUBSTITUTE(SUBSTITUTE(SUBSTITUTE(SUBSTITUTE(SUBSTITUTE(Клиенты_исходные!D32," ",""),"-",""),"+",""),"(",""),")",""))="8","7"&amp;MID(SUBSTITUTE(SUBSTITUTE(SUBSTITUTE(SUBSTITUTE(SUBSTITUTE(Клиенты_исходные!D32," ",""),"-",""),"+",""),"(",""),")",""),2,10),SUBSTITUTE(SUBSTITUTE(SUBSTITUTE(SUBSTITUTE(SUBSTITUTE(Клиенты_исходные!D32," ",""),"-",""),"+",""),"(",""),")","")),5,3)&amp;"-"&amp;MID(IF(LEFT(SUBSTITUTE(SUBSTITUTE(SUBSTITUTE(SUBSTITUTE(SUBSTITUTE(Клиенты_исходные!D32," ",""),"-",""),"+",""),"(",""),")",""))="8","7"&amp;MID(SUBSTITUTE(SUBSTITUTE(SUBSTITUTE(SUBSTITUTE(SUBSTITUTE(Клиенты_исходные!D32," ",""),"-",""),"+",""),"(",""),")",""),2,10),SUBSTITUTE(SUBSTITUTE(SUBSTITUTE(SUBSTITUTE(SUBSTITUTE(Клиенты_исходные!D32," ",""),"-",""),"+",""),"(",""),")","")),8,2)&amp;"-"&amp;MID(IF(LEFT(SUBSTITUTE(SUBSTITUTE(SUBSTITUTE(SUBSTITUTE(SUBSTITUTE(Клиенты_исходные!D32," ",""),"-",""),"+",""),"(",""),")",""))="8","7"&amp;MID(SUBSTITUTE(SUBSTITUTE(SUBSTITUTE(SUBSTITUTE(SUBSTITUTE(Клиенты_исходные!D32," ",""),"-",""),"+",""),"(",""),")",""),2,10),SUBSTITUTE(SUBSTITUTE(SUBSTITUTE(SUBSTITUTE(SUBSTITUTE(Клиенты_исходные!D32," ",""),"-",""),"+",""),"(",""),")","")),10,2),IF(LEN(SUBSTITUTE(SUBSTITUTE(SUBSTITUTE(SUBSTITUTE(SUBSTITUTE(Клиенты_исходные!D32," ",""),"-",""),"+",""),"(",""),")",""))=10,"+7 ("&amp;MID(SUBSTITUTE(SUBSTITUTE(SUBSTITUTE(SUBSTITUTE(SUBSTITUTE(Клиенты_исходные!D32," ",""),"-",""),"+",""),"(",""),")",""),1,3)&amp;") "&amp;MID(SUBSTITUTE(SUBSTITUTE(SUBSTITUTE(SUBSTITUTE(SUBSTITUTE(Клиенты_исходные!D32," ",""),"-",""),"+",""),"(",""),")",""),4,3)&amp;"-"&amp;MID(SUBSTITUTE(SUBSTITUTE(SUBSTITUTE(SUBSTITUTE(SUBSTITUTE(Клиенты_исходные!D32," ",""),"-",""),"+",""),"(",""),")",""),6,2)&amp;"-"&amp;MID(SUBSTITUTE(SUBSTITUTE(SUBSTITUTE(SUBSTITUTE(SUBSTITUTE(Клиенты_исходные!D32," ",""),"-",""),"+",""),"(",""),")",""),8,2),Клиенты_исходные!D32)))</f>
        <v xml:space="preserve">+7 (903) 678-90-12</v>
      </c>
      <c r="E32" t="str">
        <f>IF(ISBLANK(Клиенты_исходные!E32),"",IF(ISNUMBER(FIND(".",MID(Клиенты_исходные!E32,FIND("@",Клиенты_исходные!E32)+1,255))),Клиенты_исходные!E32,IF(ISNUMBER(FIND("gmail",Клиенты_исходные!E32)),Клиенты_исходные!E32&amp;".com",Клиенты_исходные!E32&amp;".ru")))</f>
        <v>krylova@mail.ru</v>
      </c>
      <c r="F32" t="str">
        <f>IFERROR(VLOOKUP(Клиенты_исходные!F32,Справочники!$J$2:$K$50,2,FALSE),Клиенты_исходные!F32)</f>
        <v>Рязань</v>
      </c>
      <c r="G32" s="8">
        <f>IFERROR(IF(ISNUMBER(FIND(".",Клиенты_исходные!G32)),DATE(RIGHT(Клиенты_исходные!G32,4),MID(Клиенты_исходные!G32,4,2),LEFT(Клиенты_исходные!G32,2)),DATE(LEFT(Клиенты_исходные!G32,4),MID(Клиенты_исходные!G32,6,2),RIGHT(Клиенты_исходные!G32,2))),Клиенты_исходные!G32)</f>
        <v>44866</v>
      </c>
      <c r="H32">
        <f t="shared" ca="1" si="46"/>
        <v>51</v>
      </c>
      <c r="I32" t="str">
        <f t="shared" si="47"/>
        <v>OK</v>
      </c>
      <c r="J32" t="str">
        <f t="shared" si="48"/>
        <v>OK</v>
      </c>
    </row>
    <row r="33">
      <c r="A33" t="str">
        <f>Клиенты_исходные!A33</f>
        <v>C0032</v>
      </c>
      <c r="B33" t="str">
        <f>PROPER(TRIM(Клиенты_исходные!B33))</f>
        <v xml:space="preserve">Тихонов Владислав Андреевич</v>
      </c>
      <c r="C33" s="8">
        <f>IFERROR(IF(ISNUMBER(FIND(".",Клиенты_исходные!C33)),DATE(RIGHT(Клиенты_исходные!C33,4),MID(Клиенты_исходные!C33,4,2),LEFT(Клиенты_исходные!C33,2)),DATE(LEFT(Клиенты_исходные!C33,4),MID(Клиенты_исходные!C33,6,2),RIGHT(Клиенты_исходные!C33,2))),Клиенты_исходные!C33)</f>
        <v>34439</v>
      </c>
      <c r="D33" t="str">
        <f>IF(ISBLANK(Клиенты_исходные!D33),"",IF(LEN(SUBSTITUTE(SUBSTITUTE(SUBSTITUTE(SUBSTITUTE(SUBSTITUTE(Клиенты_исходные!D33," ",""),"-",""),"+",""),"(",""),")",""))=11,"+7 ("&amp;MID(IF(LEFT(SUBSTITUTE(SUBSTITUTE(SUBSTITUTE(SUBSTITUTE(SUBSTITUTE(Клиенты_исходные!D33," ",""),"-",""),"+",""),"(",""),")",""))="8","7"&amp;MID(SUBSTITUTE(SUBSTITUTE(SUBSTITUTE(SUBSTITUTE(SUBSTITUTE(Клиенты_исходные!D33," ",""),"-",""),"+",""),"(",""),")",""),2,10),SUBSTITUTE(SUBSTITUTE(SUBSTITUTE(SUBSTITUTE(SUBSTITUTE(Клиенты_исходные!D33," ",""),"-",""),"+",""),"(",""),")","")),2,3)&amp;") "&amp;MID(IF(LEFT(SUBSTITUTE(SUBSTITUTE(SUBSTITUTE(SUBSTITUTE(SUBSTITUTE(Клиенты_исходные!D33," ",""),"-",""),"+",""),"(",""),")",""))="8","7"&amp;MID(SUBSTITUTE(SUBSTITUTE(SUBSTITUTE(SUBSTITUTE(SUBSTITUTE(Клиенты_исходные!D33," ",""),"-",""),"+",""),"(",""),")",""),2,10),SUBSTITUTE(SUBSTITUTE(SUBSTITUTE(SUBSTITUTE(SUBSTITUTE(Клиенты_исходные!D33," ",""),"-",""),"+",""),"(",""),")","")),5,3)&amp;"-"&amp;MID(IF(LEFT(SUBSTITUTE(SUBSTITUTE(SUBSTITUTE(SUBSTITUTE(SUBSTITUTE(Клиенты_исходные!D33," ",""),"-",""),"+",""),"(",""),")",""))="8","7"&amp;MID(SUBSTITUTE(SUBSTITUTE(SUBSTITUTE(SUBSTITUTE(SUBSTITUTE(Клиенты_исходные!D33," ",""),"-",""),"+",""),"(",""),")",""),2,10),SUBSTITUTE(SUBSTITUTE(SUBSTITUTE(SUBSTITUTE(SUBSTITUTE(Клиенты_исходные!D33," ",""),"-",""),"+",""),"(",""),")","")),8,2)&amp;"-"&amp;MID(IF(LEFT(SUBSTITUTE(SUBSTITUTE(SUBSTITUTE(SUBSTITUTE(SUBSTITUTE(Клиенты_исходные!D33," ",""),"-",""),"+",""),"(",""),")",""))="8","7"&amp;MID(SUBSTITUTE(SUBSTITUTE(SUBSTITUTE(SUBSTITUTE(SUBSTITUTE(Клиенты_исходные!D33," ",""),"-",""),"+",""),"(",""),")",""),2,10),SUBSTITUTE(SUBSTITUTE(SUBSTITUTE(SUBSTITUTE(SUBSTITUTE(Клиенты_исходные!D33," ",""),"-",""),"+",""),"(",""),")","")),10,2),IF(LEN(SUBSTITUTE(SUBSTITUTE(SUBSTITUTE(SUBSTITUTE(SUBSTITUTE(Клиенты_исходные!D33," ",""),"-",""),"+",""),"(",""),")",""))=10,"+7 ("&amp;MID(SUBSTITUTE(SUBSTITUTE(SUBSTITUTE(SUBSTITUTE(SUBSTITUTE(Клиенты_исходные!D33," ",""),"-",""),"+",""),"(",""),")",""),1,3)&amp;") "&amp;MID(SUBSTITUTE(SUBSTITUTE(SUBSTITUTE(SUBSTITUTE(SUBSTITUTE(Клиенты_исходные!D33," ",""),"-",""),"+",""),"(",""),")",""),4,3)&amp;"-"&amp;MID(SUBSTITUTE(SUBSTITUTE(SUBSTITUTE(SUBSTITUTE(SUBSTITUTE(Клиенты_исходные!D33," ",""),"-",""),"+",""),"(",""),")",""),6,2)&amp;"-"&amp;MID(SUBSTITUTE(SUBSTITUTE(SUBSTITUTE(SUBSTITUTE(SUBSTITUTE(Клиенты_исходные!D33," ",""),"-",""),"+",""),"(",""),")",""),8,2),Клиенты_исходные!D33)))</f>
        <v xml:space="preserve">+7 (903) 678-90-12</v>
      </c>
      <c r="E33" t="str">
        <f>IF(ISBLANK(Клиенты_исходные!E33),"",IF(ISNUMBER(FIND(".",MID(Клиенты_исходные!E33,FIND("@",Клиенты_исходные!E33)+1,255))),Клиенты_исходные!E33,IF(ISNUMBER(FIND("gmail",Клиенты_исходные!E33)),Клиенты_исходные!E33&amp;".com",Клиенты_исходные!E33&amp;".ru")))</f>
        <v>tihonov@yandex.ru</v>
      </c>
      <c r="F33" t="str">
        <f>IFERROR(VLOOKUP(Клиенты_исходные!F33,Справочники!$J$2:$K$50,2,FALSE),Клиенты_исходные!F33)</f>
        <v>Астрахань</v>
      </c>
      <c r="G33" s="8">
        <f>IFERROR(IF(ISNUMBER(FIND(".",Клиенты_исходные!G33)),DATE(RIGHT(Клиенты_исходные!G33,4),MID(Клиенты_исходные!G33,4,2),LEFT(Клиенты_исходные!G33,2)),DATE(LEFT(Клиенты_исходные!G33,4),MID(Клиенты_исходные!G33,6,2),RIGHT(Клиенты_исходные!G33,2))),Клиенты_исходные!G33)</f>
        <v>44880</v>
      </c>
      <c r="H33">
        <f t="shared" ca="1" si="46"/>
        <v>32</v>
      </c>
      <c r="I33" t="str">
        <f t="shared" si="47"/>
        <v>OK</v>
      </c>
      <c r="J33" t="str">
        <f t="shared" si="48"/>
        <v>OK</v>
      </c>
    </row>
    <row r="34">
      <c r="A34" t="str">
        <f>Клиенты_исходные!A34</f>
        <v>C0033</v>
      </c>
      <c r="B34" t="str">
        <f>PROPER(TRIM(Клиенты_исходные!B34))</f>
        <v xml:space="preserve">Никитина Дарья Владимировна</v>
      </c>
      <c r="C34" s="8">
        <f>IFERROR(IF(ISNUMBER(FIND(".",Клиенты_исходные!C34)),DATE(RIGHT(Клиенты_исходные!C34,4),MID(Клиенты_исходные!C34,4,2),LEFT(Клиенты_исходные!C34,2)),DATE(LEFT(Клиенты_исходные!C34,4),MID(Клиенты_исходные!C34,6,2),RIGHT(Клиенты_исходные!C34,2))),Клиенты_исходные!C34)</f>
        <v>31318</v>
      </c>
      <c r="D34" t="str">
        <f>IF(ISBLANK(Клиенты_исходные!D34),"",IF(LEN(SUBSTITUTE(SUBSTITUTE(SUBSTITUTE(SUBSTITUTE(SUBSTITUTE(Клиенты_исходные!D34," ",""),"-",""),"+",""),"(",""),")",""))=11,"+7 ("&amp;MID(IF(LEFT(SUBSTITUTE(SUBSTITUTE(SUBSTITUTE(SUBSTITUTE(SUBSTITUTE(Клиенты_исходные!D34," ",""),"-",""),"+",""),"(",""),")",""))="8","7"&amp;MID(SUBSTITUTE(SUBSTITUTE(SUBSTITUTE(SUBSTITUTE(SUBSTITUTE(Клиенты_исходные!D34," ",""),"-",""),"+",""),"(",""),")",""),2,10),SUBSTITUTE(SUBSTITUTE(SUBSTITUTE(SUBSTITUTE(SUBSTITUTE(Клиенты_исходные!D34," ",""),"-",""),"+",""),"(",""),")","")),2,3)&amp;") "&amp;MID(IF(LEFT(SUBSTITUTE(SUBSTITUTE(SUBSTITUTE(SUBSTITUTE(SUBSTITUTE(Клиенты_исходные!D34," ",""),"-",""),"+",""),"(",""),")",""))="8","7"&amp;MID(SUBSTITUTE(SUBSTITUTE(SUBSTITUTE(SUBSTITUTE(SUBSTITUTE(Клиенты_исходные!D34," ",""),"-",""),"+",""),"(",""),")",""),2,10),SUBSTITUTE(SUBSTITUTE(SUBSTITUTE(SUBSTITUTE(SUBSTITUTE(Клиенты_исходные!D34," ",""),"-",""),"+",""),"(",""),")","")),5,3)&amp;"-"&amp;MID(IF(LEFT(SUBSTITUTE(SUBSTITUTE(SUBSTITUTE(SUBSTITUTE(SUBSTITUTE(Клиенты_исходные!D34," ",""),"-",""),"+",""),"(",""),")",""))="8","7"&amp;MID(SUBSTITUTE(SUBSTITUTE(SUBSTITUTE(SUBSTITUTE(SUBSTITUTE(Клиенты_исходные!D34," ",""),"-",""),"+",""),"(",""),")",""),2,10),SUBSTITUTE(SUBSTITUTE(SUBSTITUTE(SUBSTITUTE(SUBSTITUTE(Клиенты_исходные!D34," ",""),"-",""),"+",""),"(",""),")","")),8,2)&amp;"-"&amp;MID(IF(LEFT(SUBSTITUTE(SUBSTITUTE(SUBSTITUTE(SUBSTITUTE(SUBSTITUTE(Клиенты_исходные!D34," ",""),"-",""),"+",""),"(",""),")",""))="8","7"&amp;MID(SUBSTITUTE(SUBSTITUTE(SUBSTITUTE(SUBSTITUTE(SUBSTITUTE(Клиенты_исходные!D34," ",""),"-",""),"+",""),"(",""),")",""),2,10),SUBSTITUTE(SUBSTITUTE(SUBSTITUTE(SUBSTITUTE(SUBSTITUTE(Клиенты_исходные!D34," ",""),"-",""),"+",""),"(",""),")","")),10,2),IF(LEN(SUBSTITUTE(SUBSTITUTE(SUBSTITUTE(SUBSTITUTE(SUBSTITUTE(Клиенты_исходные!D34," ",""),"-",""),"+",""),"(",""),")",""))=10,"+7 ("&amp;MID(SUBSTITUTE(SUBSTITUTE(SUBSTITUTE(SUBSTITUTE(SUBSTITUTE(Клиенты_исходные!D34," ",""),"-",""),"+",""),"(",""),")",""),1,3)&amp;") "&amp;MID(SUBSTITUTE(SUBSTITUTE(SUBSTITUTE(SUBSTITUTE(SUBSTITUTE(Клиенты_исходные!D34," ",""),"-",""),"+",""),"(",""),")",""),4,3)&amp;"-"&amp;MID(SUBSTITUTE(SUBSTITUTE(SUBSTITUTE(SUBSTITUTE(SUBSTITUTE(Клиенты_исходные!D34," ",""),"-",""),"+",""),"(",""),")",""),6,2)&amp;"-"&amp;MID(SUBSTITUTE(SUBSTITUTE(SUBSTITUTE(SUBSTITUTE(SUBSTITUTE(Клиенты_исходные!D34," ",""),"-",""),"+",""),"(",""),")",""),8,2),Клиенты_исходные!D34)))</f>
        <v xml:space="preserve">+7 (903) 789-01-23</v>
      </c>
      <c r="E34" t="str">
        <f>IF(ISBLANK(Клиенты_исходные!E34),"",IF(ISNUMBER(FIND(".",MID(Клиенты_исходные!E34,FIND("@",Клиенты_исходные!E34)+1,255))),Клиенты_исходные!E34,IF(ISNUMBER(FIND("gmail",Клиенты_исходные!E34)),Клиенты_исходные!E34&amp;".com",Клиенты_исходные!E34&amp;".ru")))</f>
        <v>nikitina@gmail.com</v>
      </c>
      <c r="F34" t="str">
        <f>IFERROR(VLOOKUP(Клиенты_исходные!F34,Справочники!$J$2:$K$50,2,FALSE),Клиенты_исходные!F34)</f>
        <v xml:space="preserve">Набережные Челны</v>
      </c>
      <c r="G34" s="8">
        <f>IFERROR(IF(ISNUMBER(FIND(".",Клиенты_исходные!G34)),DATE(RIGHT(Клиенты_исходные!G34,4),MID(Клиенты_исходные!G34,4,2),LEFT(Клиенты_исходные!G34,2)),DATE(LEFT(Клиенты_исходные!G34,4),MID(Клиенты_исходные!G34,6,2),RIGHT(Клиенты_исходные!G34,2))),Клиенты_исходные!G34)</f>
        <v>44880</v>
      </c>
      <c r="H34">
        <f t="shared" ca="1" si="46"/>
        <v>41</v>
      </c>
      <c r="I34" t="str">
        <f t="shared" si="47"/>
        <v>OK</v>
      </c>
      <c r="J34" t="str">
        <f t="shared" si="48"/>
        <v>OK</v>
      </c>
    </row>
    <row r="35">
      <c r="A35" t="str">
        <f>Клиенты_исходные!A35</f>
        <v>C0034</v>
      </c>
      <c r="B35" t="str">
        <f>PROPER(TRIM(Клиенты_исходные!B35))</f>
        <v xml:space="preserve">Соболев Арсений Федорович</v>
      </c>
      <c r="C35" s="8">
        <f>IFERROR(IF(ISNUMBER(FIND(".",Клиенты_исходные!C35)),DATE(RIGHT(Клиенты_исходные!C35,4),MID(Клиенты_исходные!C35,4,2),LEFT(Клиенты_исходные!C35,2)),DATE(LEFT(Клиенты_исходные!C35,4),MID(Клиенты_исходные!C35,6,2),RIGHT(Клиенты_исходные!C35,2))),Клиенты_исходные!C35)</f>
        <v>26706</v>
      </c>
      <c r="D35" t="str">
        <f>IF(ISBLANK(Клиенты_исходные!D35),"",IF(LEN(SUBSTITUTE(SUBSTITUTE(SUBSTITUTE(SUBSTITUTE(SUBSTITUTE(Клиенты_исходные!D35," ",""),"-",""),"+",""),"(",""),")",""))=11,"+7 ("&amp;MID(IF(LEFT(SUBSTITUTE(SUBSTITUTE(SUBSTITUTE(SUBSTITUTE(SUBSTITUTE(Клиенты_исходные!D35," ",""),"-",""),"+",""),"(",""),")",""))="8","7"&amp;MID(SUBSTITUTE(SUBSTITUTE(SUBSTITUTE(SUBSTITUTE(SUBSTITUTE(Клиенты_исходные!D35," ",""),"-",""),"+",""),"(",""),")",""),2,10),SUBSTITUTE(SUBSTITUTE(SUBSTITUTE(SUBSTITUTE(SUBSTITUTE(Клиенты_исходные!D35," ",""),"-",""),"+",""),"(",""),")","")),2,3)&amp;") "&amp;MID(IF(LEFT(SUBSTITUTE(SUBSTITUTE(SUBSTITUTE(SUBSTITUTE(SUBSTITUTE(Клиенты_исходные!D35," ",""),"-",""),"+",""),"(",""),")",""))="8","7"&amp;MID(SUBSTITUTE(SUBSTITUTE(SUBSTITUTE(SUBSTITUTE(SUBSTITUTE(Клиенты_исходные!D35," ",""),"-",""),"+",""),"(",""),")",""),2,10),SUBSTITUTE(SUBSTITUTE(SUBSTITUTE(SUBSTITUTE(SUBSTITUTE(Клиенты_исходные!D35," ",""),"-",""),"+",""),"(",""),")","")),5,3)&amp;"-"&amp;MID(IF(LEFT(SUBSTITUTE(SUBSTITUTE(SUBSTITUTE(SUBSTITUTE(SUBSTITUTE(Клиенты_исходные!D35," ",""),"-",""),"+",""),"(",""),")",""))="8","7"&amp;MID(SUBSTITUTE(SUBSTITUTE(SUBSTITUTE(SUBSTITUTE(SUBSTITUTE(Клиенты_исходные!D35," ",""),"-",""),"+",""),"(",""),")",""),2,10),SUBSTITUTE(SUBSTITUTE(SUBSTITUTE(SUBSTITUTE(SUBSTITUTE(Клиенты_исходные!D35," ",""),"-",""),"+",""),"(",""),")","")),8,2)&amp;"-"&amp;MID(IF(LEFT(SUBSTITUTE(SUBSTITUTE(SUBSTITUTE(SUBSTITUTE(SUBSTITUTE(Клиенты_исходные!D35," ",""),"-",""),"+",""),"(",""),")",""))="8","7"&amp;MID(SUBSTITUTE(SUBSTITUTE(SUBSTITUTE(SUBSTITUTE(SUBSTITUTE(Клиенты_исходные!D35," ",""),"-",""),"+",""),"(",""),")",""),2,10),SUBSTITUTE(SUBSTITUTE(SUBSTITUTE(SUBSTITUTE(SUBSTITUTE(Клиенты_исходные!D35," ",""),"-",""),"+",""),"(",""),")","")),10,2),IF(LEN(SUBSTITUTE(SUBSTITUTE(SUBSTITUTE(SUBSTITUTE(SUBSTITUTE(Клиенты_исходные!D35," ",""),"-",""),"+",""),"(",""),")",""))=10,"+7 ("&amp;MID(SUBSTITUTE(SUBSTITUTE(SUBSTITUTE(SUBSTITUTE(SUBSTITUTE(Клиенты_исходные!D35," ",""),"-",""),"+",""),"(",""),")",""),1,3)&amp;") "&amp;MID(SUBSTITUTE(SUBSTITUTE(SUBSTITUTE(SUBSTITUTE(SUBSTITUTE(Клиенты_исходные!D35," ",""),"-",""),"+",""),"(",""),")",""),4,3)&amp;"-"&amp;MID(SUBSTITUTE(SUBSTITUTE(SUBSTITUTE(SUBSTITUTE(SUBSTITUTE(Клиенты_исходные!D35," ",""),"-",""),"+",""),"(",""),")",""),6,2)&amp;"-"&amp;MID(SUBSTITUTE(SUBSTITUTE(SUBSTITUTE(SUBSTITUTE(SUBSTITUTE(Клиенты_исходные!D35," ",""),"-",""),"+",""),"(",""),")",""),8,2),Клиенты_исходные!D35)))</f>
        <v xml:space="preserve">+7 (903) 789-01-23</v>
      </c>
      <c r="E35" t="str">
        <f>IF(ISBLANK(Клиенты_исходные!E35),"",IF(ISNUMBER(FIND(".",MID(Клиенты_исходные!E35,FIND("@",Клиенты_исходные!E35)+1,255))),Клиенты_исходные!E35,IF(ISNUMBER(FIND("gmail",Клиенты_исходные!E35)),Клиенты_исходные!E35&amp;".com",Клиенты_исходные!E35&amp;".ru")))</f>
        <v>sobolev@mail.ru</v>
      </c>
      <c r="F35" t="str">
        <f>IFERROR(VLOOKUP(Клиенты_исходные!F35,Справочники!$J$2:$K$50,2,FALSE),Клиенты_исходные!F35)</f>
        <v>Липецк</v>
      </c>
      <c r="G35" s="8">
        <f>IFERROR(IF(ISNUMBER(FIND(".",Клиенты_исходные!G35)),DATE(RIGHT(Клиенты_исходные!G35,4),MID(Клиенты_исходные!G35,4,2),LEFT(Клиенты_исходные!G35,2)),DATE(LEFT(Клиенты_исходные!G35,4),MID(Клиенты_исходные!G35,6,2),RIGHT(Клиенты_исходные!G35,2))),Клиенты_исходные!G35)</f>
        <v>44896</v>
      </c>
      <c r="H35">
        <f t="shared" ca="1" si="46"/>
        <v>53</v>
      </c>
      <c r="I35" t="str">
        <f t="shared" si="47"/>
        <v>OK</v>
      </c>
      <c r="J35" t="str">
        <f t="shared" si="48"/>
        <v>OK</v>
      </c>
    </row>
    <row r="36">
      <c r="A36" t="str">
        <f>Клиенты_исходные!A36</f>
        <v>C0035</v>
      </c>
      <c r="B36" t="str">
        <f>PROPER(TRIM(Клиенты_исходные!B36))</f>
        <v xml:space="preserve">Данилова Ева Александровна</v>
      </c>
      <c r="C36" s="8">
        <f>IFERROR(IF(ISNUMBER(FIND(".",Клиенты_исходные!C36)),DATE(RIGHT(Клиенты_исходные!C36,4),MID(Клиенты_исходные!C36,4,2),LEFT(Клиенты_исходные!C36,2)),DATE(LEFT(Клиенты_исходные!C36,4),MID(Клиенты_исходные!C36,6,2),RIGHT(Клиенты_исходные!C36,2))),Клиенты_исходные!C36)</f>
        <v>32134</v>
      </c>
      <c r="D36" t="str">
        <f>IF(ISBLANK(Клиенты_исходные!D36),"",IF(LEN(SUBSTITUTE(SUBSTITUTE(SUBSTITUTE(SUBSTITUTE(SUBSTITUTE(Клиенты_исходные!D36," ",""),"-",""),"+",""),"(",""),")",""))=11,"+7 ("&amp;MID(IF(LEFT(SUBSTITUTE(SUBSTITUTE(SUBSTITUTE(SUBSTITUTE(SUBSTITUTE(Клиенты_исходные!D36," ",""),"-",""),"+",""),"(",""),")",""))="8","7"&amp;MID(SUBSTITUTE(SUBSTITUTE(SUBSTITUTE(SUBSTITUTE(SUBSTITUTE(Клиенты_исходные!D36," ",""),"-",""),"+",""),"(",""),")",""),2,10),SUBSTITUTE(SUBSTITUTE(SUBSTITUTE(SUBSTITUTE(SUBSTITUTE(Клиенты_исходные!D36," ",""),"-",""),"+",""),"(",""),")","")),2,3)&amp;") "&amp;MID(IF(LEFT(SUBSTITUTE(SUBSTITUTE(SUBSTITUTE(SUBSTITUTE(SUBSTITUTE(Клиенты_исходные!D36," ",""),"-",""),"+",""),"(",""),")",""))="8","7"&amp;MID(SUBSTITUTE(SUBSTITUTE(SUBSTITUTE(SUBSTITUTE(SUBSTITUTE(Клиенты_исходные!D36," ",""),"-",""),"+",""),"(",""),")",""),2,10),SUBSTITUTE(SUBSTITUTE(SUBSTITUTE(SUBSTITUTE(SUBSTITUTE(Клиенты_исходные!D36," ",""),"-",""),"+",""),"(",""),")","")),5,3)&amp;"-"&amp;MID(IF(LEFT(SUBSTITUTE(SUBSTITUTE(SUBSTITUTE(SUBSTITUTE(SUBSTITUTE(Клиенты_исходные!D36," ",""),"-",""),"+",""),"(",""),")",""))="8","7"&amp;MID(SUBSTITUTE(SUBSTITUTE(SUBSTITUTE(SUBSTITUTE(SUBSTITUTE(Клиенты_исходные!D36," ",""),"-",""),"+",""),"(",""),")",""),2,10),SUBSTITUTE(SUBSTITUTE(SUBSTITUTE(SUBSTITUTE(SUBSTITUTE(Клиенты_исходные!D36," ",""),"-",""),"+",""),"(",""),")","")),8,2)&amp;"-"&amp;MID(IF(LEFT(SUBSTITUTE(SUBSTITUTE(SUBSTITUTE(SUBSTITUTE(SUBSTITUTE(Клиенты_исходные!D36," ",""),"-",""),"+",""),"(",""),")",""))="8","7"&amp;MID(SUBSTITUTE(SUBSTITUTE(SUBSTITUTE(SUBSTITUTE(SUBSTITUTE(Клиенты_исходные!D36," ",""),"-",""),"+",""),"(",""),")",""),2,10),SUBSTITUTE(SUBSTITUTE(SUBSTITUTE(SUBSTITUTE(SUBSTITUTE(Клиенты_исходные!D36," ",""),"-",""),"+",""),"(",""),")","")),10,2),IF(LEN(SUBSTITUTE(SUBSTITUTE(SUBSTITUTE(SUBSTITUTE(SUBSTITUTE(Клиенты_исходные!D36," ",""),"-",""),"+",""),"(",""),")",""))=10,"+7 ("&amp;MID(SUBSTITUTE(SUBSTITUTE(SUBSTITUTE(SUBSTITUTE(SUBSTITUTE(Клиенты_исходные!D36," ",""),"-",""),"+",""),"(",""),")",""),1,3)&amp;") "&amp;MID(SUBSTITUTE(SUBSTITUTE(SUBSTITUTE(SUBSTITUTE(SUBSTITUTE(Клиенты_исходные!D36," ",""),"-",""),"+",""),"(",""),")",""),4,3)&amp;"-"&amp;MID(SUBSTITUTE(SUBSTITUTE(SUBSTITUTE(SUBSTITUTE(SUBSTITUTE(Клиенты_исходные!D36," ",""),"-",""),"+",""),"(",""),")",""),6,2)&amp;"-"&amp;MID(SUBSTITUTE(SUBSTITUTE(SUBSTITUTE(SUBSTITUTE(SUBSTITUTE(Клиенты_исходные!D36," ",""),"-",""),"+",""),"(",""),")",""),8,2),Клиенты_исходные!D36)))</f>
        <v xml:space="preserve">+7 (903) 789-01-23</v>
      </c>
      <c r="E36" t="str">
        <f>IF(ISBLANK(Клиенты_исходные!E36),"",IF(ISNUMBER(FIND(".",MID(Клиенты_исходные!E36,FIND("@",Клиенты_исходные!E36)+1,255))),Клиенты_исходные!E36,IF(ISNUMBER(FIND("gmail",Клиенты_исходные!E36)),Клиенты_исходные!E36&amp;".com",Клиенты_исходные!E36&amp;".ru")))</f>
        <v>danilova@yandex.ru</v>
      </c>
      <c r="F36" t="str">
        <f>IFERROR(VLOOKUP(Клиенты_исходные!F36,Справочники!$J$2:$K$50,2,FALSE),Клиенты_исходные!F36)</f>
        <v>Киров</v>
      </c>
      <c r="G36" s="8">
        <f>IFERROR(IF(ISNUMBER(FIND(".",Клиенты_исходные!G36)),DATE(RIGHT(Клиенты_исходные!G36,4),MID(Клиенты_исходные!G36,4,2),LEFT(Клиенты_исходные!G36,2)),DATE(LEFT(Клиенты_исходные!G36,4),MID(Клиенты_исходные!G36,6,2),RIGHT(Клиенты_исходные!G36,2))),Клиенты_исходные!G36)</f>
        <v>44905</v>
      </c>
      <c r="H36">
        <f t="shared" ca="1" si="46"/>
        <v>38</v>
      </c>
      <c r="I36" t="str">
        <f t="shared" si="47"/>
        <v>OK</v>
      </c>
      <c r="J36" t="str">
        <f t="shared" si="48"/>
        <v>OK</v>
      </c>
    </row>
    <row r="37">
      <c r="A37" t="str">
        <f>Клиенты_исходные!A37</f>
        <v>C0036</v>
      </c>
      <c r="B37" t="str">
        <f>PROPER(TRIM(Клиенты_исходные!B37))</f>
        <v xml:space="preserve">Гусев Олег Юрьевич</v>
      </c>
      <c r="C37" s="8">
        <f>IFERROR(IF(ISNUMBER(FIND(".",Клиенты_исходные!C37)),DATE(RIGHT(Клиенты_исходные!C37,4),MID(Клиенты_исходные!C37,4,2),LEFT(Клиенты_исходные!C37,2)),DATE(LEFT(Клиенты_исходные!C37,4),MID(Клиенты_исходные!C37,6,2),RIGHT(Клиенты_исходные!C37,2))),Клиенты_исходные!C37)</f>
        <v>33011</v>
      </c>
      <c r="D37" t="str">
        <f>IF(ISBLANK(Клиенты_исходные!D37),"",IF(LEN(SUBSTITUTE(SUBSTITUTE(SUBSTITUTE(SUBSTITUTE(SUBSTITUTE(Клиенты_исходные!D37," ",""),"-",""),"+",""),"(",""),")",""))=11,"+7 ("&amp;MID(IF(LEFT(SUBSTITUTE(SUBSTITUTE(SUBSTITUTE(SUBSTITUTE(SUBSTITUTE(Клиенты_исходные!D37," ",""),"-",""),"+",""),"(",""),")",""))="8","7"&amp;MID(SUBSTITUTE(SUBSTITUTE(SUBSTITUTE(SUBSTITUTE(SUBSTITUTE(Клиенты_исходные!D37," ",""),"-",""),"+",""),"(",""),")",""),2,10),SUBSTITUTE(SUBSTITUTE(SUBSTITUTE(SUBSTITUTE(SUBSTITUTE(Клиенты_исходные!D37," ",""),"-",""),"+",""),"(",""),")","")),2,3)&amp;") "&amp;MID(IF(LEFT(SUBSTITUTE(SUBSTITUTE(SUBSTITUTE(SUBSTITUTE(SUBSTITUTE(Клиенты_исходные!D37," ",""),"-",""),"+",""),"(",""),")",""))="8","7"&amp;MID(SUBSTITUTE(SUBSTITUTE(SUBSTITUTE(SUBSTITUTE(SUBSTITUTE(Клиенты_исходные!D37," ",""),"-",""),"+",""),"(",""),")",""),2,10),SUBSTITUTE(SUBSTITUTE(SUBSTITUTE(SUBSTITUTE(SUBSTITUTE(Клиенты_исходные!D37," ",""),"-",""),"+",""),"(",""),")","")),5,3)&amp;"-"&amp;MID(IF(LEFT(SUBSTITUTE(SUBSTITUTE(SUBSTITUTE(SUBSTITUTE(SUBSTITUTE(Клиенты_исходные!D37," ",""),"-",""),"+",""),"(",""),")",""))="8","7"&amp;MID(SUBSTITUTE(SUBSTITUTE(SUBSTITUTE(SUBSTITUTE(SUBSTITUTE(Клиенты_исходные!D37," ",""),"-",""),"+",""),"(",""),")",""),2,10),SUBSTITUTE(SUBSTITUTE(SUBSTITUTE(SUBSTITUTE(SUBSTITUTE(Клиенты_исходные!D37," ",""),"-",""),"+",""),"(",""),")","")),8,2)&amp;"-"&amp;MID(IF(LEFT(SUBSTITUTE(SUBSTITUTE(SUBSTITUTE(SUBSTITUTE(SUBSTITUTE(Клиенты_исходные!D37," ",""),"-",""),"+",""),"(",""),")",""))="8","7"&amp;MID(SUBSTITUTE(SUBSTITUTE(SUBSTITUTE(SUBSTITUTE(SUBSTITUTE(Клиенты_исходные!D37," ",""),"-",""),"+",""),"(",""),")",""),2,10),SUBSTITUTE(SUBSTITUTE(SUBSTITUTE(SUBSTITUTE(SUBSTITUTE(Клиенты_исходные!D37," ",""),"-",""),"+",""),"(",""),")","")),10,2),IF(LEN(SUBSTITUTE(SUBSTITUTE(SUBSTITUTE(SUBSTITUTE(SUBSTITUTE(Клиенты_исходные!D37," ",""),"-",""),"+",""),"(",""),")",""))=10,"+7 ("&amp;MID(SUBSTITUTE(SUBSTITUTE(SUBSTITUTE(SUBSTITUTE(SUBSTITUTE(Клиенты_исходные!D37," ",""),"-",""),"+",""),"(",""),")",""),1,3)&amp;") "&amp;MID(SUBSTITUTE(SUBSTITUTE(SUBSTITUTE(SUBSTITUTE(SUBSTITUTE(Клиенты_исходные!D37," ",""),"-",""),"+",""),"(",""),")",""),4,3)&amp;"-"&amp;MID(SUBSTITUTE(SUBSTITUTE(SUBSTITUTE(SUBSTITUTE(SUBSTITUTE(Клиенты_исходные!D37," ",""),"-",""),"+",""),"(",""),")",""),6,2)&amp;"-"&amp;MID(SUBSTITUTE(SUBSTITUTE(SUBSTITUTE(SUBSTITUTE(SUBSTITUTE(Клиенты_исходные!D37," ",""),"-",""),"+",""),"(",""),")",""),8,2),Клиенты_исходные!D37)))</f>
        <v xml:space="preserve">+7 (903) 890-12-34</v>
      </c>
      <c r="E37" t="str">
        <f>IF(ISBLANK(Клиенты_исходные!E37),"",IF(ISNUMBER(FIND(".",MID(Клиенты_исходные!E37,FIND("@",Клиенты_исходные!E37)+1,255))),Клиенты_исходные!E37,IF(ISNUMBER(FIND("gmail",Клиенты_исходные!E37)),Клиенты_исходные!E37&amp;".com",Клиенты_исходные!E37&amp;".ru")))</f>
        <v>gusev@gmail.com</v>
      </c>
      <c r="F37" t="str">
        <f>IFERROR(VLOOKUP(Клиенты_исходные!F37,Справочники!$J$2:$K$50,2,FALSE),Клиенты_исходные!F37)</f>
        <v>Чебоксары</v>
      </c>
      <c r="G37" s="8">
        <f>IFERROR(IF(ISNUMBER(FIND(".",Клиенты_исходные!G37)),DATE(RIGHT(Клиенты_исходные!G37,4),MID(Клиенты_исходные!G37,4,2),LEFT(Клиенты_исходные!G37,2)),DATE(LEFT(Клиенты_исходные!G37,4),MID(Клиенты_исходные!G37,6,2),RIGHT(Клиенты_исходные!G37,2))),Клиенты_исходные!G37)</f>
        <v>44905</v>
      </c>
      <c r="H37">
        <f t="shared" ca="1" si="46"/>
        <v>36</v>
      </c>
      <c r="I37" t="str">
        <f t="shared" si="47"/>
        <v>OK</v>
      </c>
      <c r="J37" t="str">
        <f t="shared" si="48"/>
        <v>OK</v>
      </c>
    </row>
    <row r="38">
      <c r="A38" t="str">
        <f>Клиенты_исходные!A38</f>
        <v>C0037</v>
      </c>
      <c r="B38" t="str">
        <f>PROPER(TRIM(Клиенты_исходные!B38))</f>
        <v xml:space="preserve">Колесникова Жанна Игоревна</v>
      </c>
      <c r="C38" s="8">
        <f>IFERROR(IF(ISNUMBER(FIND(".",Клиенты_исходные!C38)),DATE(RIGHT(Клиенты_исходные!C38,4),MID(Клиенты_исходные!C38,4,2),LEFT(Клиенты_исходные!C38,2)),DATE(LEFT(Клиенты_исходные!C38,4),MID(Клиенты_исходные!C38,6,2),RIGHT(Клиенты_исходные!C38,2))),Клиенты_исходные!C38)</f>
        <v>28709</v>
      </c>
      <c r="D38" t="str">
        <f>IF(ISBLANK(Клиенты_исходные!D38),"",IF(LEN(SUBSTITUTE(SUBSTITUTE(SUBSTITUTE(SUBSTITUTE(SUBSTITUTE(Клиенты_исходные!D38," ",""),"-",""),"+",""),"(",""),")",""))=11,"+7 ("&amp;MID(IF(LEFT(SUBSTITUTE(SUBSTITUTE(SUBSTITUTE(SUBSTITUTE(SUBSTITUTE(Клиенты_исходные!D38," ",""),"-",""),"+",""),"(",""),")",""))="8","7"&amp;MID(SUBSTITUTE(SUBSTITUTE(SUBSTITUTE(SUBSTITUTE(SUBSTITUTE(Клиенты_исходные!D38," ",""),"-",""),"+",""),"(",""),")",""),2,10),SUBSTITUTE(SUBSTITUTE(SUBSTITUTE(SUBSTITUTE(SUBSTITUTE(Клиенты_исходные!D38," ",""),"-",""),"+",""),"(",""),")","")),2,3)&amp;") "&amp;MID(IF(LEFT(SUBSTITUTE(SUBSTITUTE(SUBSTITUTE(SUBSTITUTE(SUBSTITUTE(Клиенты_исходные!D38," ",""),"-",""),"+",""),"(",""),")",""))="8","7"&amp;MID(SUBSTITUTE(SUBSTITUTE(SUBSTITUTE(SUBSTITUTE(SUBSTITUTE(Клиенты_исходные!D38," ",""),"-",""),"+",""),"(",""),")",""),2,10),SUBSTITUTE(SUBSTITUTE(SUBSTITUTE(SUBSTITUTE(SUBSTITUTE(Клиенты_исходные!D38," ",""),"-",""),"+",""),"(",""),")","")),5,3)&amp;"-"&amp;MID(IF(LEFT(SUBSTITUTE(SUBSTITUTE(SUBSTITUTE(SUBSTITUTE(SUBSTITUTE(Клиенты_исходные!D38," ",""),"-",""),"+",""),"(",""),")",""))="8","7"&amp;MID(SUBSTITUTE(SUBSTITUTE(SUBSTITUTE(SUBSTITUTE(SUBSTITUTE(Клиенты_исходные!D38," ",""),"-",""),"+",""),"(",""),")",""),2,10),SUBSTITUTE(SUBSTITUTE(SUBSTITUTE(SUBSTITUTE(SUBSTITUTE(Клиенты_исходные!D38," ",""),"-",""),"+",""),"(",""),")","")),8,2)&amp;"-"&amp;MID(IF(LEFT(SUBSTITUTE(SUBSTITUTE(SUBSTITUTE(SUBSTITUTE(SUBSTITUTE(Клиенты_исходные!D38," ",""),"-",""),"+",""),"(",""),")",""))="8","7"&amp;MID(SUBSTITUTE(SUBSTITUTE(SUBSTITUTE(SUBSTITUTE(SUBSTITUTE(Клиенты_исходные!D38," ",""),"-",""),"+",""),"(",""),")",""),2,10),SUBSTITUTE(SUBSTITUTE(SUBSTITUTE(SUBSTITUTE(SUBSTITUTE(Клиенты_исходные!D38," ",""),"-",""),"+",""),"(",""),")","")),10,2),IF(LEN(SUBSTITUTE(SUBSTITUTE(SUBSTITUTE(SUBSTITUTE(SUBSTITUTE(Клиенты_исходные!D38," ",""),"-",""),"+",""),"(",""),")",""))=10,"+7 ("&amp;MID(SUBSTITUTE(SUBSTITUTE(SUBSTITUTE(SUBSTITUTE(SUBSTITUTE(Клиенты_исходные!D38," ",""),"-",""),"+",""),"(",""),")",""),1,3)&amp;") "&amp;MID(SUBSTITUTE(SUBSTITUTE(SUBSTITUTE(SUBSTITUTE(SUBSTITUTE(Клиенты_исходные!D38," ",""),"-",""),"+",""),"(",""),")",""),4,3)&amp;"-"&amp;MID(SUBSTITUTE(SUBSTITUTE(SUBSTITUTE(SUBSTITUTE(SUBSTITUTE(Клиенты_исходные!D38," ",""),"-",""),"+",""),"(",""),")",""),6,2)&amp;"-"&amp;MID(SUBSTITUTE(SUBSTITUTE(SUBSTITUTE(SUBSTITUTE(SUBSTITUTE(Клиенты_исходные!D38," ",""),"-",""),"+",""),"(",""),")",""),8,2),Клиенты_исходные!D38)))</f>
        <v xml:space="preserve">+7 (903) 890-12-34</v>
      </c>
      <c r="E38" t="str">
        <f>IF(ISBLANK(Клиенты_исходные!E38),"",IF(ISNUMBER(FIND(".",MID(Клиенты_исходные!E38,FIND("@",Клиенты_исходные!E38)+1,255))),Клиенты_исходные!E38,IF(ISNUMBER(FIND("gmail",Клиенты_исходные!E38)),Клиенты_исходные!E38&amp;".com",Клиенты_исходные!E38&amp;".ru")))</f>
        <v>kolesnikova@mail.ru</v>
      </c>
      <c r="F38" t="str">
        <f>IFERROR(VLOOKUP(Клиенты_исходные!F38,Справочники!$J$2:$K$50,2,FALSE),Клиенты_исходные!F38)</f>
        <v>Тверь</v>
      </c>
      <c r="G38" s="8">
        <f>IFERROR(IF(ISNUMBER(FIND(".",Клиенты_исходные!G38)),DATE(RIGHT(Клиенты_исходные!G38,4),MID(Клиенты_исходные!G38,4,2),LEFT(Клиенты_исходные!G38,2)),DATE(LEFT(Клиенты_исходные!G38,4),MID(Клиенты_исходные!G38,6,2),RIGHT(Клиенты_исходные!G38,2))),Клиенты_исходные!G38)</f>
        <v>44927</v>
      </c>
      <c r="H38">
        <f t="shared" ca="1" si="46"/>
        <v>48</v>
      </c>
      <c r="I38" t="str">
        <f t="shared" si="47"/>
        <v>OK</v>
      </c>
      <c r="J38" t="str">
        <f t="shared" si="48"/>
        <v>OK</v>
      </c>
    </row>
    <row r="39">
      <c r="A39" t="str">
        <f>Клиенты_исходные!A39</f>
        <v>C0038</v>
      </c>
      <c r="B39" t="str">
        <f>PROPER(TRIM(Клиенты_исходные!B39))</f>
        <v xml:space="preserve">Куликов Илья Николаевич</v>
      </c>
      <c r="C39" s="8">
        <f>IFERROR(IF(ISNUMBER(FIND(".",Клиенты_исходные!C39)),DATE(RIGHT(Клиенты_исходные!C39,4),MID(Клиенты_исходные!C39,4,2),LEFT(Клиенты_исходные!C39,2)),DATE(LEFT(Клиенты_исходные!C39,4),MID(Клиенты_исходные!C39,6,2),RIGHT(Клиенты_исходные!C39,2))),Клиенты_исходные!C39)</f>
        <v>29980</v>
      </c>
      <c r="D39" t="str">
        <f>IF(ISBLANK(Клиенты_исходные!D39),"",IF(LEN(SUBSTITUTE(SUBSTITUTE(SUBSTITUTE(SUBSTITUTE(SUBSTITUTE(Клиенты_исходные!D39," ",""),"-",""),"+",""),"(",""),")",""))=11,"+7 ("&amp;MID(IF(LEFT(SUBSTITUTE(SUBSTITUTE(SUBSTITUTE(SUBSTITUTE(SUBSTITUTE(Клиенты_исходные!D39," ",""),"-",""),"+",""),"(",""),")",""))="8","7"&amp;MID(SUBSTITUTE(SUBSTITUTE(SUBSTITUTE(SUBSTITUTE(SUBSTITUTE(Клиенты_исходные!D39," ",""),"-",""),"+",""),"(",""),")",""),2,10),SUBSTITUTE(SUBSTITUTE(SUBSTITUTE(SUBSTITUTE(SUBSTITUTE(Клиенты_исходные!D39," ",""),"-",""),"+",""),"(",""),")","")),2,3)&amp;") "&amp;MID(IF(LEFT(SUBSTITUTE(SUBSTITUTE(SUBSTITUTE(SUBSTITUTE(SUBSTITUTE(Клиенты_исходные!D39," ",""),"-",""),"+",""),"(",""),")",""))="8","7"&amp;MID(SUBSTITUTE(SUBSTITUTE(SUBSTITUTE(SUBSTITUTE(SUBSTITUTE(Клиенты_исходные!D39," ",""),"-",""),"+",""),"(",""),")",""),2,10),SUBSTITUTE(SUBSTITUTE(SUBSTITUTE(SUBSTITUTE(SUBSTITUTE(Клиенты_исходные!D39," ",""),"-",""),"+",""),"(",""),")","")),5,3)&amp;"-"&amp;MID(IF(LEFT(SUBSTITUTE(SUBSTITUTE(SUBSTITUTE(SUBSTITUTE(SUBSTITUTE(Клиенты_исходные!D39," ",""),"-",""),"+",""),"(",""),")",""))="8","7"&amp;MID(SUBSTITUTE(SUBSTITUTE(SUBSTITUTE(SUBSTITUTE(SUBSTITUTE(Клиенты_исходные!D39," ",""),"-",""),"+",""),"(",""),")",""),2,10),SUBSTITUTE(SUBSTITUTE(SUBSTITUTE(SUBSTITUTE(SUBSTITUTE(Клиенты_исходные!D39," ",""),"-",""),"+",""),"(",""),")","")),8,2)&amp;"-"&amp;MID(IF(LEFT(SUBSTITUTE(SUBSTITUTE(SUBSTITUTE(SUBSTITUTE(SUBSTITUTE(Клиенты_исходные!D39," ",""),"-",""),"+",""),"(",""),")",""))="8","7"&amp;MID(SUBSTITUTE(SUBSTITUTE(SUBSTITUTE(SUBSTITUTE(SUBSTITUTE(Клиенты_исходные!D39," ",""),"-",""),"+",""),"(",""),")",""),2,10),SUBSTITUTE(SUBSTITUTE(SUBSTITUTE(SUBSTITUTE(SUBSTITUTE(Клиенты_исходные!D39," ",""),"-",""),"+",""),"(",""),")","")),10,2),IF(LEN(SUBSTITUTE(SUBSTITUTE(SUBSTITUTE(SUBSTITUTE(SUBSTITUTE(Клиенты_исходные!D39," ",""),"-",""),"+",""),"(",""),")",""))=10,"+7 ("&amp;MID(SUBSTITUTE(SUBSTITUTE(SUBSTITUTE(SUBSTITUTE(SUBSTITUTE(Клиенты_исходные!D39," ",""),"-",""),"+",""),"(",""),")",""),1,3)&amp;") "&amp;MID(SUBSTITUTE(SUBSTITUTE(SUBSTITUTE(SUBSTITUTE(SUBSTITUTE(Клиенты_исходные!D39," ",""),"-",""),"+",""),"(",""),")",""),4,3)&amp;"-"&amp;MID(SUBSTITUTE(SUBSTITUTE(SUBSTITUTE(SUBSTITUTE(SUBSTITUTE(Клиенты_исходные!D39," ",""),"-",""),"+",""),"(",""),")",""),6,2)&amp;"-"&amp;MID(SUBSTITUTE(SUBSTITUTE(SUBSTITUTE(SUBSTITUTE(SUBSTITUTE(Клиенты_исходные!D39," ",""),"-",""),"+",""),"(",""),")",""),8,2),Клиенты_исходные!D39)))</f>
        <v xml:space="preserve">+7 (903) 890-12-34</v>
      </c>
      <c r="E39" t="str">
        <f>IF(ISBLANK(Клиенты_исходные!E39),"",IF(ISNUMBER(FIND(".",MID(Клиенты_исходные!E39,FIND("@",Клиенты_исходные!E39)+1,255))),Клиенты_исходные!E39,IF(ISNUMBER(FIND("gmail",Клиенты_исходные!E39)),Клиенты_исходные!E39&amp;".com",Клиенты_исходные!E39&amp;".ru")))</f>
        <v>kulikov@yandex.ru</v>
      </c>
      <c r="F39" t="str">
        <f>IFERROR(VLOOKUP(Клиенты_исходные!F39,Справочники!$J$2:$K$50,2,FALSE),Клиенты_исходные!F39)</f>
        <v>Краснодар</v>
      </c>
      <c r="G39" s="8">
        <f>IFERROR(IF(ISNUMBER(FIND(".",Клиенты_исходные!G39)),DATE(RIGHT(Клиенты_исходные!G39,4),MID(Клиенты_исходные!G39,4,2),LEFT(Клиенты_исходные!G39,2)),DATE(LEFT(Клиенты_исходные!G39,4),MID(Клиенты_исходные!G39,6,2),RIGHT(Клиенты_исходные!G39,2))),Клиенты_исходные!G39)</f>
        <v>44941</v>
      </c>
      <c r="H39">
        <f t="shared" ca="1" si="46"/>
        <v>44</v>
      </c>
      <c r="I39" t="str">
        <f t="shared" si="47"/>
        <v>OK</v>
      </c>
      <c r="J39" t="str">
        <f t="shared" si="48"/>
        <v>OK</v>
      </c>
    </row>
    <row r="40">
      <c r="A40" t="str">
        <f>Клиенты_исходные!A40</f>
        <v>C0039</v>
      </c>
      <c r="B40" t="str">
        <f>PROPER(TRIM(Клиенты_исходные!B40))</f>
        <v xml:space="preserve">Большакова Антонина Викторовна</v>
      </c>
      <c r="C40" s="8">
        <f>IFERROR(IF(ISNUMBER(FIND(".",Клиенты_исходные!C40)),DATE(RIGHT(Клиенты_исходные!C40,4),MID(Клиенты_исходные!C40,4,2),LEFT(Клиенты_исходные!C40,2)),DATE(LEFT(Клиенты_исходные!C40,4),MID(Клиенты_исходные!C40,6,2),RIGHT(Клиенты_исходные!C40,2))),Клиенты_исходные!C40)</f>
        <v>34134</v>
      </c>
      <c r="D40" t="str">
        <f>IF(ISBLANK(Клиенты_исходные!D40),"",IF(LEN(SUBSTITUTE(SUBSTITUTE(SUBSTITUTE(SUBSTITUTE(SUBSTITUTE(Клиенты_исходные!D40," ",""),"-",""),"+",""),"(",""),")",""))=11,"+7 ("&amp;MID(IF(LEFT(SUBSTITUTE(SUBSTITUTE(SUBSTITUTE(SUBSTITUTE(SUBSTITUTE(Клиенты_исходные!D40," ",""),"-",""),"+",""),"(",""),")",""))="8","7"&amp;MID(SUBSTITUTE(SUBSTITUTE(SUBSTITUTE(SUBSTITUTE(SUBSTITUTE(Клиенты_исходные!D40," ",""),"-",""),"+",""),"(",""),")",""),2,10),SUBSTITUTE(SUBSTITUTE(SUBSTITUTE(SUBSTITUTE(SUBSTITUTE(Клиенты_исходные!D40," ",""),"-",""),"+",""),"(",""),")","")),2,3)&amp;") "&amp;MID(IF(LEFT(SUBSTITUTE(SUBSTITUTE(SUBSTITUTE(SUBSTITUTE(SUBSTITUTE(Клиенты_исходные!D40," ",""),"-",""),"+",""),"(",""),")",""))="8","7"&amp;MID(SUBSTITUTE(SUBSTITUTE(SUBSTITUTE(SUBSTITUTE(SUBSTITUTE(Клиенты_исходные!D40," ",""),"-",""),"+",""),"(",""),")",""),2,10),SUBSTITUTE(SUBSTITUTE(SUBSTITUTE(SUBSTITUTE(SUBSTITUTE(Клиенты_исходные!D40," ",""),"-",""),"+",""),"(",""),")","")),5,3)&amp;"-"&amp;MID(IF(LEFT(SUBSTITUTE(SUBSTITUTE(SUBSTITUTE(SUBSTITUTE(SUBSTITUTE(Клиенты_исходные!D40," ",""),"-",""),"+",""),"(",""),")",""))="8","7"&amp;MID(SUBSTITUTE(SUBSTITUTE(SUBSTITUTE(SUBSTITUTE(SUBSTITUTE(Клиенты_исходные!D40," ",""),"-",""),"+",""),"(",""),")",""),2,10),SUBSTITUTE(SUBSTITUTE(SUBSTITUTE(SUBSTITUTE(SUBSTITUTE(Клиенты_исходные!D40," ",""),"-",""),"+",""),"(",""),")","")),8,2)&amp;"-"&amp;MID(IF(LEFT(SUBSTITUTE(SUBSTITUTE(SUBSTITUTE(SUBSTITUTE(SUBSTITUTE(Клиенты_исходные!D40," ",""),"-",""),"+",""),"(",""),")",""))="8","7"&amp;MID(SUBSTITUTE(SUBSTITUTE(SUBSTITUTE(SUBSTITUTE(SUBSTITUTE(Клиенты_исходные!D40," ",""),"-",""),"+",""),"(",""),")",""),2,10),SUBSTITUTE(SUBSTITUTE(SUBSTITUTE(SUBSTITUTE(SUBSTITUTE(Клиенты_исходные!D40," ",""),"-",""),"+",""),"(",""),")","")),10,2),IF(LEN(SUBSTITUTE(SUBSTITUTE(SUBSTITUTE(SUBSTITUTE(SUBSTITUTE(Клиенты_исходные!D40," ",""),"-",""),"+",""),"(",""),")",""))=10,"+7 ("&amp;MID(SUBSTITUTE(SUBSTITUTE(SUBSTITUTE(SUBSTITUTE(SUBSTITUTE(Клиенты_исходные!D40," ",""),"-",""),"+",""),"(",""),")",""),1,3)&amp;") "&amp;MID(SUBSTITUTE(SUBSTITUTE(SUBSTITUTE(SUBSTITUTE(SUBSTITUTE(Клиенты_исходные!D40," ",""),"-",""),"+",""),"(",""),")",""),4,3)&amp;"-"&amp;MID(SUBSTITUTE(SUBSTITUTE(SUBSTITUTE(SUBSTITUTE(SUBSTITUTE(Клиенты_исходные!D40," ",""),"-",""),"+",""),"(",""),")",""),6,2)&amp;"-"&amp;MID(SUBSTITUTE(SUBSTITUTE(SUBSTITUTE(SUBSTITUTE(SUBSTITUTE(Клиенты_исходные!D40," ",""),"-",""),"+",""),"(",""),")",""),8,2),Клиенты_исходные!D40)))</f>
        <v xml:space="preserve">+7 (903) 901-23-45</v>
      </c>
      <c r="F40" t="str">
        <f>IFERROR(VLOOKUP(Клиенты_исходные!F40,Справочники!$J$2:$K$50,2,FALSE),Клиенты_исходные!F40)</f>
        <v>Стерлитамак</v>
      </c>
      <c r="G40" s="8">
        <f>IFERROR(IF(ISNUMBER(FIND(".",Клиенты_исходные!G40)),DATE(RIGHT(Клиенты_исходные!G40,4),MID(Клиенты_исходные!G40,4,2),LEFT(Клиенты_исходные!G40,2)),DATE(LEFT(Клиенты_исходные!G40,4),MID(Клиенты_исходные!G40,6,2),RIGHT(Клиенты_исходные!G40,2))),Клиенты_исходные!G40)</f>
        <v>44941</v>
      </c>
      <c r="H40">
        <f t="shared" ca="1" si="46"/>
        <v>33</v>
      </c>
      <c r="I40" t="str">
        <f t="shared" si="47"/>
        <v>OK</v>
      </c>
      <c r="J40" t="str">
        <f t="shared" si="48"/>
        <v xml:space="preserve">Ошибка Email</v>
      </c>
    </row>
    <row r="41">
      <c r="A41" t="str">
        <f>Клиенты_исходные!A41</f>
        <v>C0040</v>
      </c>
      <c r="B41" t="str">
        <f>PROPER(TRIM(Клиенты_исходные!B41))</f>
        <v xml:space="preserve">Савельев Артур Евгеньевич</v>
      </c>
      <c r="C41" s="8">
        <f>IFERROR(IF(ISNUMBER(FIND(".",Клиенты_исходные!C41)),DATE(RIGHT(Клиенты_исходные!C41,4),MID(Клиенты_исходные!C41,4,2),LEFT(Клиенты_исходные!C41,2)),DATE(LEFT(Клиенты_исходные!C41,4),MID(Клиенты_исходные!C41,6,2),RIGHT(Клиенты_исходные!C41,2))),Клиенты_исходные!C41)</f>
        <v>28035</v>
      </c>
      <c r="D41" t="str">
        <f>IF(ISBLANK(Клиенты_исходные!D41),"",IF(LEN(SUBSTITUTE(SUBSTITUTE(SUBSTITUTE(SUBSTITUTE(SUBSTITUTE(Клиенты_исходные!D41," ",""),"-",""),"+",""),"(",""),")",""))=11,"+7 ("&amp;MID(IF(LEFT(SUBSTITUTE(SUBSTITUTE(SUBSTITUTE(SUBSTITUTE(SUBSTITUTE(Клиенты_исходные!D41," ",""),"-",""),"+",""),"(",""),")",""))="8","7"&amp;MID(SUBSTITUTE(SUBSTITUTE(SUBSTITUTE(SUBSTITUTE(SUBSTITUTE(Клиенты_исходные!D41," ",""),"-",""),"+",""),"(",""),")",""),2,10),SUBSTITUTE(SUBSTITUTE(SUBSTITUTE(SUBSTITUTE(SUBSTITUTE(Клиенты_исходные!D41," ",""),"-",""),"+",""),"(",""),")","")),2,3)&amp;") "&amp;MID(IF(LEFT(SUBSTITUTE(SUBSTITUTE(SUBSTITUTE(SUBSTITUTE(SUBSTITUTE(Клиенты_исходные!D41," ",""),"-",""),"+",""),"(",""),")",""))="8","7"&amp;MID(SUBSTITUTE(SUBSTITUTE(SUBSTITUTE(SUBSTITUTE(SUBSTITUTE(Клиенты_исходные!D41," ",""),"-",""),"+",""),"(",""),")",""),2,10),SUBSTITUTE(SUBSTITUTE(SUBSTITUTE(SUBSTITUTE(SUBSTITUTE(Клиенты_исходные!D41," ",""),"-",""),"+",""),"(",""),")","")),5,3)&amp;"-"&amp;MID(IF(LEFT(SUBSTITUTE(SUBSTITUTE(SUBSTITUTE(SUBSTITUTE(SUBSTITUTE(Клиенты_исходные!D41," ",""),"-",""),"+",""),"(",""),")",""))="8","7"&amp;MID(SUBSTITUTE(SUBSTITUTE(SUBSTITUTE(SUBSTITUTE(SUBSTITUTE(Клиенты_исходные!D41," ",""),"-",""),"+",""),"(",""),")",""),2,10),SUBSTITUTE(SUBSTITUTE(SUBSTITUTE(SUBSTITUTE(SUBSTITUTE(Клиенты_исходные!D41," ",""),"-",""),"+",""),"(",""),")","")),8,2)&amp;"-"&amp;MID(IF(LEFT(SUBSTITUTE(SUBSTITUTE(SUBSTITUTE(SUBSTITUTE(SUBSTITUTE(Клиенты_исходные!D41," ",""),"-",""),"+",""),"(",""),")",""))="8","7"&amp;MID(SUBSTITUTE(SUBSTITUTE(SUBSTITUTE(SUBSTITUTE(SUBSTITUTE(Клиенты_исходные!D41," ",""),"-",""),"+",""),"(",""),")",""),2,10),SUBSTITUTE(SUBSTITUTE(SUBSTITUTE(SUBSTITUTE(SUBSTITUTE(Клиенты_исходные!D41," ",""),"-",""),"+",""),"(",""),")","")),10,2),IF(LEN(SUBSTITUTE(SUBSTITUTE(SUBSTITUTE(SUBSTITUTE(SUBSTITUTE(Клиенты_исходные!D41," ",""),"-",""),"+",""),"(",""),")",""))=10,"+7 ("&amp;MID(SUBSTITUTE(SUBSTITUTE(SUBSTITUTE(SUBSTITUTE(SUBSTITUTE(Клиенты_исходные!D41," ",""),"-",""),"+",""),"(",""),")",""),1,3)&amp;") "&amp;MID(SUBSTITUTE(SUBSTITUTE(SUBSTITUTE(SUBSTITUTE(SUBSTITUTE(Клиенты_исходные!D41," ",""),"-",""),"+",""),"(",""),")",""),4,3)&amp;"-"&amp;MID(SUBSTITUTE(SUBSTITUTE(SUBSTITUTE(SUBSTITUTE(SUBSTITUTE(Клиенты_исходные!D41," ",""),"-",""),"+",""),"(",""),")",""),6,2)&amp;"-"&amp;MID(SUBSTITUTE(SUBSTITUTE(SUBSTITUTE(SUBSTITUTE(SUBSTITUTE(Клиенты_исходные!D41," ",""),"-",""),"+",""),"(",""),")",""),8,2),Клиенты_исходные!D41)))</f>
        <v xml:space="preserve">+7 (903) 901-23-45</v>
      </c>
      <c r="F41" t="str">
        <f>IFERROR(VLOOKUP(Клиенты_исходные!F41,Справочники!$J$2:$K$50,2,FALSE),Клиенты_исходные!F41)</f>
        <v>Пенза</v>
      </c>
      <c r="G41" s="8">
        <f>IFERROR(IF(ISNUMBER(FIND(".",Клиенты_исходные!G41)),DATE(RIGHT(Клиенты_исходные!G41,4),MID(Клиенты_исходные!G41,4,2),LEFT(Клиенты_исходные!G41,2)),DATE(LEFT(Клиенты_исходные!G41,4),MID(Клиенты_исходные!G41,6,2),RIGHT(Клиенты_исходные!G41,2))),Клиенты_исходные!G41)</f>
        <v>44958</v>
      </c>
      <c r="H41">
        <f t="shared" ca="1" si="46"/>
        <v>50</v>
      </c>
      <c r="I41" t="str">
        <f t="shared" si="47"/>
        <v>OK</v>
      </c>
      <c r="J41" t="str">
        <f t="shared" si="48"/>
        <v xml:space="preserve">Ошибка Email</v>
      </c>
    </row>
    <row r="42">
      <c r="A42" t="str">
        <f>Клиенты_исходные!A42</f>
        <v>C0041</v>
      </c>
      <c r="B42" t="str">
        <f>PROPER(TRIM(Клиенты_исходные!B42))</f>
        <v xml:space="preserve">Журавлева Полина Ильинична</v>
      </c>
      <c r="C42" s="8">
        <f>IFERROR(IF(ISNUMBER(FIND(".",Клиенты_исходные!C42)),DATE(RIGHT(Клиенты_исходные!C42,4),MID(Клиенты_исходные!C42,4,2),LEFT(Клиенты_исходные!C42,2)),DATE(LEFT(Клиенты_исходные!C42,4),MID(Клиенты_исходные!C42,6,2),RIGHT(Клиенты_исходные!C42,2))),Клиенты_исходные!C42)</f>
        <v>31490</v>
      </c>
      <c r="D42" t="str">
        <f>IF(ISBLANK(Клиенты_исходные!D42),"",IF(LEN(SUBSTITUTE(SUBSTITUTE(SUBSTITUTE(SUBSTITUTE(SUBSTITUTE(Клиенты_исходные!D42," ",""),"-",""),"+",""),"(",""),")",""))=11,"+7 ("&amp;MID(IF(LEFT(SUBSTITUTE(SUBSTITUTE(SUBSTITUTE(SUBSTITUTE(SUBSTITUTE(Клиенты_исходные!D42," ",""),"-",""),"+",""),"(",""),")",""))="8","7"&amp;MID(SUBSTITUTE(SUBSTITUTE(SUBSTITUTE(SUBSTITUTE(SUBSTITUTE(Клиенты_исходные!D42," ",""),"-",""),"+",""),"(",""),")",""),2,10),SUBSTITUTE(SUBSTITUTE(SUBSTITUTE(SUBSTITUTE(SUBSTITUTE(Клиенты_исходные!D42," ",""),"-",""),"+",""),"(",""),")","")),2,3)&amp;") "&amp;MID(IF(LEFT(SUBSTITUTE(SUBSTITUTE(SUBSTITUTE(SUBSTITUTE(SUBSTITUTE(Клиенты_исходные!D42," ",""),"-",""),"+",""),"(",""),")",""))="8","7"&amp;MID(SUBSTITUTE(SUBSTITUTE(SUBSTITUTE(SUBSTITUTE(SUBSTITUTE(Клиенты_исходные!D42," ",""),"-",""),"+",""),"(",""),")",""),2,10),SUBSTITUTE(SUBSTITUTE(SUBSTITUTE(SUBSTITUTE(SUBSTITUTE(Клиенты_исходные!D42," ",""),"-",""),"+",""),"(",""),")","")),5,3)&amp;"-"&amp;MID(IF(LEFT(SUBSTITUTE(SUBSTITUTE(SUBSTITUTE(SUBSTITUTE(SUBSTITUTE(Клиенты_исходные!D42," ",""),"-",""),"+",""),"(",""),")",""))="8","7"&amp;MID(SUBSTITUTE(SUBSTITUTE(SUBSTITUTE(SUBSTITUTE(SUBSTITUTE(Клиенты_исходные!D42," ",""),"-",""),"+",""),"(",""),")",""),2,10),SUBSTITUTE(SUBSTITUTE(SUBSTITUTE(SUBSTITUTE(SUBSTITUTE(Клиенты_исходные!D42," ",""),"-",""),"+",""),"(",""),")","")),8,2)&amp;"-"&amp;MID(IF(LEFT(SUBSTITUTE(SUBSTITUTE(SUBSTITUTE(SUBSTITUTE(SUBSTITUTE(Клиенты_исходные!D42," ",""),"-",""),"+",""),"(",""),")",""))="8","7"&amp;MID(SUBSTITUTE(SUBSTITUTE(SUBSTITUTE(SUBSTITUTE(SUBSTITUTE(Клиенты_исходные!D42," ",""),"-",""),"+",""),"(",""),")",""),2,10),SUBSTITUTE(SUBSTITUTE(SUBSTITUTE(SUBSTITUTE(SUBSTITUTE(Клиенты_исходные!D42," ",""),"-",""),"+",""),"(",""),")","")),10,2),IF(LEN(SUBSTITUTE(SUBSTITUTE(SUBSTITUTE(SUBSTITUTE(SUBSTITUTE(Клиенты_исходные!D42," ",""),"-",""),"+",""),"(",""),")",""))=10,"+7 ("&amp;MID(SUBSTITUTE(SUBSTITUTE(SUBSTITUTE(SUBSTITUTE(SUBSTITUTE(Клиенты_исходные!D42," ",""),"-",""),"+",""),"(",""),")",""),1,3)&amp;") "&amp;MID(SUBSTITUTE(SUBSTITUTE(SUBSTITUTE(SUBSTITUTE(SUBSTITUTE(Клиенты_исходные!D42," ",""),"-",""),"+",""),"(",""),")",""),4,3)&amp;"-"&amp;MID(SUBSTITUTE(SUBSTITUTE(SUBSTITUTE(SUBSTITUTE(SUBSTITUTE(Клиенты_исходные!D42," ",""),"-",""),"+",""),"(",""),")",""),6,2)&amp;"-"&amp;MID(SUBSTITUTE(SUBSTITUTE(SUBSTITUTE(SUBSTITUTE(SUBSTITUTE(Клиенты_исходные!D42," ",""),"-",""),"+",""),"(",""),")",""),8,2),Клиенты_исходные!D42)))</f>
        <v xml:space="preserve">+7 (903) 901-23-45</v>
      </c>
      <c r="F42" t="str">
        <f>IFERROR(VLOOKUP(Клиенты_исходные!F42,Справочники!$J$2:$K$50,2,FALSE),Клиенты_исходные!F42)</f>
        <v>Находка</v>
      </c>
      <c r="G42" s="8">
        <f>IFERROR(IF(ISNUMBER(FIND(".",Клиенты_исходные!G42)),DATE(RIGHT(Клиенты_исходные!G42,4),MID(Клиенты_исходные!G42,4,2),LEFT(Клиенты_исходные!G42,2)),DATE(LEFT(Клиенты_исходные!G42,4),MID(Клиенты_исходные!G42,6,2),RIGHT(Клиенты_исходные!G42,2))),Клиенты_исходные!G42)</f>
        <v>44967</v>
      </c>
      <c r="H42">
        <f t="shared" ca="1" si="46"/>
        <v>40</v>
      </c>
      <c r="I42" t="str">
        <f t="shared" si="47"/>
        <v>OK</v>
      </c>
      <c r="J42" t="str">
        <f t="shared" si="48"/>
        <v xml:space="preserve">Ошибка Email</v>
      </c>
    </row>
    <row r="43">
      <c r="A43" t="str">
        <f>Клиенты_исходные!A43</f>
        <v>C0042</v>
      </c>
      <c r="B43" t="str">
        <f>PROPER(TRIM(Клиенты_исходные!B43))</f>
        <v xml:space="preserve">Еремин Сергей Владимирович</v>
      </c>
      <c r="C43" s="8">
        <f>IFERROR(IF(ISNUMBER(FIND(".",Клиенты_исходные!C43)),DATE(RIGHT(Клиенты_исходные!C43,4),MID(Клиенты_исходные!C43,4,2),LEFT(Клиенты_исходные!C43,2)),DATE(LEFT(Клиенты_исходные!C43,4),MID(Клиенты_исходные!C43,6,2),RIGHT(Клиенты_исходные!C43,2))),Клиенты_исходные!C43)</f>
        <v>33450</v>
      </c>
      <c r="D43" t="str">
        <f>IF(ISBLANK(Клиенты_исходные!D43),"",IF(LEN(SUBSTITUTE(SUBSTITUTE(SUBSTITUTE(SUBSTITUTE(SUBSTITUTE(Клиенты_исходные!D43," ",""),"-",""),"+",""),"(",""),")",""))=11,"+7 ("&amp;MID(IF(LEFT(SUBSTITUTE(SUBSTITUTE(SUBSTITUTE(SUBSTITUTE(SUBSTITUTE(Клиенты_исходные!D43," ",""),"-",""),"+",""),"(",""),")",""))="8","7"&amp;MID(SUBSTITUTE(SUBSTITUTE(SUBSTITUTE(SUBSTITUTE(SUBSTITUTE(Клиенты_исходные!D43," ",""),"-",""),"+",""),"(",""),")",""),2,10),SUBSTITUTE(SUBSTITUTE(SUBSTITUTE(SUBSTITUTE(SUBSTITUTE(Клиенты_исходные!D43," ",""),"-",""),"+",""),"(",""),")","")),2,3)&amp;") "&amp;MID(IF(LEFT(SUBSTITUTE(SUBSTITUTE(SUBSTITUTE(SUBSTITUTE(SUBSTITUTE(Клиенты_исходные!D43," ",""),"-",""),"+",""),"(",""),")",""))="8","7"&amp;MID(SUBSTITUTE(SUBSTITUTE(SUBSTITUTE(SUBSTITUTE(SUBSTITUTE(Клиенты_исходные!D43," ",""),"-",""),"+",""),"(",""),")",""),2,10),SUBSTITUTE(SUBSTITUTE(SUBSTITUTE(SUBSTITUTE(SUBSTITUTE(Клиенты_исходные!D43," ",""),"-",""),"+",""),"(",""),")","")),5,3)&amp;"-"&amp;MID(IF(LEFT(SUBSTITUTE(SUBSTITUTE(SUBSTITUTE(SUBSTITUTE(SUBSTITUTE(Клиенты_исходные!D43," ",""),"-",""),"+",""),"(",""),")",""))="8","7"&amp;MID(SUBSTITUTE(SUBSTITUTE(SUBSTITUTE(SUBSTITUTE(SUBSTITUTE(Клиенты_исходные!D43," ",""),"-",""),"+",""),"(",""),")",""),2,10),SUBSTITUTE(SUBSTITUTE(SUBSTITUTE(SUBSTITUTE(SUBSTITUTE(Клиенты_исходные!D43," ",""),"-",""),"+",""),"(",""),")","")),8,2)&amp;"-"&amp;MID(IF(LEFT(SUBSTITUTE(SUBSTITUTE(SUBSTITUTE(SUBSTITUTE(SUBSTITUTE(Клиенты_исходные!D43," ",""),"-",""),"+",""),"(",""),")",""))="8","7"&amp;MID(SUBSTITUTE(SUBSTITUTE(SUBSTITUTE(SUBSTITUTE(SUBSTITUTE(Клиенты_исходные!D43," ",""),"-",""),"+",""),"(",""),")",""),2,10),SUBSTITUTE(SUBSTITUTE(SUBSTITUTE(SUBSTITUTE(SUBSTITUTE(Клиенты_исходные!D43," ",""),"-",""),"+",""),"(",""),")","")),10,2),IF(LEN(SUBSTITUTE(SUBSTITUTE(SUBSTITUTE(SUBSTITUTE(SUBSTITUTE(Клиенты_исходные!D43," ",""),"-",""),"+",""),"(",""),")",""))=10,"+7 ("&amp;MID(SUBSTITUTE(SUBSTITUTE(SUBSTITUTE(SUBSTITUTE(SUBSTITUTE(Клиенты_исходные!D43," ",""),"-",""),"+",""),"(",""),")",""),1,3)&amp;") "&amp;MID(SUBSTITUTE(SUBSTITUTE(SUBSTITUTE(SUBSTITUTE(SUBSTITUTE(Клиенты_исходные!D43," ",""),"-",""),"+",""),"(",""),")",""),4,3)&amp;"-"&amp;MID(SUBSTITUTE(SUBSTITUTE(SUBSTITUTE(SUBSTITUTE(SUBSTITUTE(Клиенты_исходные!D43," ",""),"-",""),"+",""),"(",""),")",""),6,2)&amp;"-"&amp;MID(SUBSTITUTE(SUBSTITUTE(SUBSTITUTE(SUBSTITUTE(SUBSTITUTE(Клиенты_исходные!D43," ",""),"-",""),"+",""),"(",""),")",""),8,2),Клиенты_исходные!D43)))</f>
        <v xml:space="preserve">+7 (903) 012-34-56</v>
      </c>
      <c r="F43" t="str">
        <f>IFERROR(VLOOKUP(Клиенты_исходные!F43,Справочники!$J$2:$K$50,2,FALSE),Клиенты_исходные!F43)</f>
        <v>Магнитогорск</v>
      </c>
      <c r="G43" s="8">
        <f>IFERROR(IF(ISNUMBER(FIND(".",Клиенты_исходные!G43)),DATE(RIGHT(Клиенты_исходные!G43,4),MID(Клиенты_исходные!G43,4,2),LEFT(Клиенты_исходные!G43,2)),DATE(LEFT(Клиенты_исходные!G43,4),MID(Клиенты_исходные!G43,6,2),RIGHT(Клиенты_исходные!G43,2))),Клиенты_исходные!G43)</f>
        <v>44967</v>
      </c>
      <c r="H43">
        <f t="shared" ca="1" si="46"/>
        <v>35</v>
      </c>
      <c r="I43" t="str">
        <f t="shared" si="47"/>
        <v>OK</v>
      </c>
      <c r="J43" t="str">
        <f t="shared" si="48"/>
        <v xml:space="preserve">Ошибка Email</v>
      </c>
    </row>
    <row r="44">
      <c r="A44" t="str">
        <f>Клиенты_исходные!A44</f>
        <v>C0043</v>
      </c>
      <c r="B44" t="str">
        <f>PROPER(TRIM(Клиенты_исходные!B44))</f>
        <v xml:space="preserve">Сергеева Анна Михайловна</v>
      </c>
      <c r="C44" s="8">
        <f>IFERROR(IF(ISNUMBER(FIND(".",Клиенты_исходные!C44)),DATE(RIGHT(Клиенты_исходные!C44,4),MID(Клиенты_исходные!C44,4,2),LEFT(Клиенты_исходные!C44,2)),DATE(LEFT(Клиенты_исходные!C44,4),MID(Клиенты_исходные!C44,6,2),RIGHT(Клиенты_исходные!C44,2))),Клиенты_исходные!C44)</f>
        <v>27710</v>
      </c>
      <c r="D44" t="str">
        <f>IF(ISBLANK(Клиенты_исходные!D44),"",IF(LEN(SUBSTITUTE(SUBSTITUTE(SUBSTITUTE(SUBSTITUTE(SUBSTITUTE(Клиенты_исходные!D44," ",""),"-",""),"+",""),"(",""),")",""))=11,"+7 ("&amp;MID(IF(LEFT(SUBSTITUTE(SUBSTITUTE(SUBSTITUTE(SUBSTITUTE(SUBSTITUTE(Клиенты_исходные!D44," ",""),"-",""),"+",""),"(",""),")",""))="8","7"&amp;MID(SUBSTITUTE(SUBSTITUTE(SUBSTITUTE(SUBSTITUTE(SUBSTITUTE(Клиенты_исходные!D44," ",""),"-",""),"+",""),"(",""),")",""),2,10),SUBSTITUTE(SUBSTITUTE(SUBSTITUTE(SUBSTITUTE(SUBSTITUTE(Клиенты_исходные!D44," ",""),"-",""),"+",""),"(",""),")","")),2,3)&amp;") "&amp;MID(IF(LEFT(SUBSTITUTE(SUBSTITUTE(SUBSTITUTE(SUBSTITUTE(SUBSTITUTE(Клиенты_исходные!D44," ",""),"-",""),"+",""),"(",""),")",""))="8","7"&amp;MID(SUBSTITUTE(SUBSTITUTE(SUBSTITUTE(SUBSTITUTE(SUBSTITUTE(Клиенты_исходные!D44," ",""),"-",""),"+",""),"(",""),")",""),2,10),SUBSTITUTE(SUBSTITUTE(SUBSTITUTE(SUBSTITUTE(SUBSTITUTE(Клиенты_исходные!D44," ",""),"-",""),"+",""),"(",""),")","")),5,3)&amp;"-"&amp;MID(IF(LEFT(SUBSTITUTE(SUBSTITUTE(SUBSTITUTE(SUBSTITUTE(SUBSTITUTE(Клиенты_исходные!D44," ",""),"-",""),"+",""),"(",""),")",""))="8","7"&amp;MID(SUBSTITUTE(SUBSTITUTE(SUBSTITUTE(SUBSTITUTE(SUBSTITUTE(Клиенты_исходные!D44," ",""),"-",""),"+",""),"(",""),")",""),2,10),SUBSTITUTE(SUBSTITUTE(SUBSTITUTE(SUBSTITUTE(SUBSTITUTE(Клиенты_исходные!D44," ",""),"-",""),"+",""),"(",""),")","")),8,2)&amp;"-"&amp;MID(IF(LEFT(SUBSTITUTE(SUBSTITUTE(SUBSTITUTE(SUBSTITUTE(SUBSTITUTE(Клиенты_исходные!D44," ",""),"-",""),"+",""),"(",""),")",""))="8","7"&amp;MID(SUBSTITUTE(SUBSTITUTE(SUBSTITUTE(SUBSTITUTE(SUBSTITUTE(Клиенты_исходные!D44," ",""),"-",""),"+",""),"(",""),")",""),2,10),SUBSTITUTE(SUBSTITUTE(SUBSTITUTE(SUBSTITUTE(SUBSTITUTE(Клиенты_исходные!D44," ",""),"-",""),"+",""),"(",""),")","")),10,2),IF(LEN(SUBSTITUTE(SUBSTITUTE(SUBSTITUTE(SUBSTITUTE(SUBSTITUTE(Клиенты_исходные!D44," ",""),"-",""),"+",""),"(",""),")",""))=10,"+7 ("&amp;MID(SUBSTITUTE(SUBSTITUTE(SUBSTITUTE(SUBSTITUTE(SUBSTITUTE(Клиенты_исходные!D44," ",""),"-",""),"+",""),"(",""),")",""),1,3)&amp;") "&amp;MID(SUBSTITUTE(SUBSTITUTE(SUBSTITUTE(SUBSTITUTE(SUBSTITUTE(Клиенты_исходные!D44," ",""),"-",""),"+",""),"(",""),")",""),4,3)&amp;"-"&amp;MID(SUBSTITUTE(SUBSTITUTE(SUBSTITUTE(SUBSTITUTE(SUBSTITUTE(Клиенты_исходные!D44," ",""),"-",""),"+",""),"(",""),")",""),6,2)&amp;"-"&amp;MID(SUBSTITUTE(SUBSTITUTE(SUBSTITUTE(SUBSTITUTE(SUBSTITUTE(Клиенты_исходные!D44," ",""),"-",""),"+",""),"(",""),")",""),8,2),Клиенты_исходные!D44)))</f>
        <v xml:space="preserve">+7 (903) 012-34-56</v>
      </c>
      <c r="F44" t="str">
        <f>IFERROR(VLOOKUP(Клиенты_исходные!F44,Справочники!$J$2:$K$50,2,FALSE),Клиенты_исходные!F44)</f>
        <v>Курск</v>
      </c>
      <c r="G44" s="8">
        <f>IFERROR(IF(ISNUMBER(FIND(".",Клиенты_исходные!G44)),DATE(RIGHT(Клиенты_исходные!G44,4),MID(Клиенты_исходные!G44,4,2),LEFT(Клиенты_исходные!G44,2)),DATE(LEFT(Клиенты_исходные!G44,4),MID(Клиенты_исходные!G44,6,2),RIGHT(Клиенты_исходные!G44,2))),Клиенты_исходные!G44)</f>
        <v>44986</v>
      </c>
      <c r="H44">
        <f t="shared" ca="1" si="46"/>
        <v>50</v>
      </c>
      <c r="I44" t="str">
        <f t="shared" si="47"/>
        <v>OK</v>
      </c>
      <c r="J44" t="str">
        <f t="shared" si="48"/>
        <v xml:space="preserve">Ошибка Email</v>
      </c>
    </row>
    <row r="45">
      <c r="A45" t="str">
        <f>Клиенты_исходные!A45</f>
        <v>C0044</v>
      </c>
      <c r="B45" t="str">
        <f>PROPER(TRIM(Клиенты_исходные!B45))</f>
        <v xml:space="preserve">Карпов Андрей Петрович</v>
      </c>
      <c r="C45" s="8">
        <f>IFERROR(IF(ISNUMBER(FIND(".",Клиенты_исходные!C45)),DATE(RIGHT(Клиенты_исходные!C45,4),MID(Клиенты_исходные!C45,4,2),LEFT(Клиенты_исходные!C45,2)),DATE(LEFT(Клиенты_исходные!C45,4),MID(Клиенты_исходные!C45,6,2),RIGHT(Клиенты_исходные!C45,2))),Клиенты_исходные!C45)</f>
        <v>30411</v>
      </c>
      <c r="D45" t="str">
        <f>IF(ISBLANK(Клиенты_исходные!D45),"",IF(LEN(SUBSTITUTE(SUBSTITUTE(SUBSTITUTE(SUBSTITUTE(SUBSTITUTE(Клиенты_исходные!D45," ",""),"-",""),"+",""),"(",""),")",""))=11,"+7 ("&amp;MID(IF(LEFT(SUBSTITUTE(SUBSTITUTE(SUBSTITUTE(SUBSTITUTE(SUBSTITUTE(Клиенты_исходные!D45," ",""),"-",""),"+",""),"(",""),")",""))="8","7"&amp;MID(SUBSTITUTE(SUBSTITUTE(SUBSTITUTE(SUBSTITUTE(SUBSTITUTE(Клиенты_исходные!D45," ",""),"-",""),"+",""),"(",""),")",""),2,10),SUBSTITUTE(SUBSTITUTE(SUBSTITUTE(SUBSTITUTE(SUBSTITUTE(Клиенты_исходные!D45," ",""),"-",""),"+",""),"(",""),")","")),2,3)&amp;") "&amp;MID(IF(LEFT(SUBSTITUTE(SUBSTITUTE(SUBSTITUTE(SUBSTITUTE(SUBSTITUTE(Клиенты_исходные!D45," ",""),"-",""),"+",""),"(",""),")",""))="8","7"&amp;MID(SUBSTITUTE(SUBSTITUTE(SUBSTITUTE(SUBSTITUTE(SUBSTITUTE(Клиенты_исходные!D45," ",""),"-",""),"+",""),"(",""),")",""),2,10),SUBSTITUTE(SUBSTITUTE(SUBSTITUTE(SUBSTITUTE(SUBSTITUTE(Клиенты_исходные!D45," ",""),"-",""),"+",""),"(",""),")","")),5,3)&amp;"-"&amp;MID(IF(LEFT(SUBSTITUTE(SUBSTITUTE(SUBSTITUTE(SUBSTITUTE(SUBSTITUTE(Клиенты_исходные!D45," ",""),"-",""),"+",""),"(",""),")",""))="8","7"&amp;MID(SUBSTITUTE(SUBSTITUTE(SUBSTITUTE(SUBSTITUTE(SUBSTITUTE(Клиенты_исходные!D45," ",""),"-",""),"+",""),"(",""),")",""),2,10),SUBSTITUTE(SUBSTITUTE(SUBSTITUTE(SUBSTITUTE(SUBSTITUTE(Клиенты_исходные!D45," ",""),"-",""),"+",""),"(",""),")","")),8,2)&amp;"-"&amp;MID(IF(LEFT(SUBSTITUTE(SUBSTITUTE(SUBSTITUTE(SUBSTITUTE(SUBSTITUTE(Клиенты_исходные!D45," ",""),"-",""),"+",""),"(",""),")",""))="8","7"&amp;MID(SUBSTITUTE(SUBSTITUTE(SUBSTITUTE(SUBSTITUTE(SUBSTITUTE(Клиенты_исходные!D45," ",""),"-",""),"+",""),"(",""),")",""),2,10),SUBSTITUTE(SUBSTITUTE(SUBSTITUTE(SUBSTITUTE(SUBSTITUTE(Клиенты_исходные!D45," ",""),"-",""),"+",""),"(",""),")","")),10,2),IF(LEN(SUBSTITUTE(SUBSTITUTE(SUBSTITUTE(SUBSTITUTE(SUBSTITUTE(Клиенты_исходные!D45," ",""),"-",""),"+",""),"(",""),")",""))=10,"+7 ("&amp;MID(SUBSTITUTE(SUBSTITUTE(SUBSTITUTE(SUBSTITUTE(SUBSTITUTE(Клиенты_исходные!D45," ",""),"-",""),"+",""),"(",""),")",""),1,3)&amp;") "&amp;MID(SUBSTITUTE(SUBSTITUTE(SUBSTITUTE(SUBSTITUTE(SUBSTITUTE(Клиенты_исходные!D45," ",""),"-",""),"+",""),"(",""),")",""),4,3)&amp;"-"&amp;MID(SUBSTITUTE(SUBSTITUTE(SUBSTITUTE(SUBSTITUTE(SUBSTITUTE(Клиенты_исходные!D45," ",""),"-",""),"+",""),"(",""),")",""),6,2)&amp;"-"&amp;MID(SUBSTITUTE(SUBSTITUTE(SUBSTITUTE(SUBSTITUTE(SUBSTITUTE(Клиенты_исходные!D45," ",""),"-",""),"+",""),"(",""),")",""),8,2),Клиенты_исходные!D45)))</f>
        <v xml:space="preserve">+7 (903) 012-34-56</v>
      </c>
      <c r="F45" t="str">
        <f>IFERROR(VLOOKUP(Клиенты_исходные!F45,Справочники!$J$2:$K$50,2,FALSE),Клиенты_исходные!F45)</f>
        <v>Комсомольск-на-Амуре</v>
      </c>
      <c r="G45" s="8">
        <f>IFERROR(IF(ISNUMBER(FIND(".",Клиенты_исходные!G45)),DATE(RIGHT(Клиенты_исходные!G45,4),MID(Клиенты_исходные!G45,4,2),LEFT(Клиенты_исходные!G45,2)),DATE(LEFT(Клиенты_исходные!G45,4),MID(Клиенты_исходные!G45,6,2),RIGHT(Клиенты_исходные!G45,2))),Клиенты_исходные!G45)</f>
        <v>45000</v>
      </c>
      <c r="H45">
        <f t="shared" ca="1" si="46"/>
        <v>43</v>
      </c>
      <c r="I45" t="str">
        <f t="shared" si="47"/>
        <v>OK</v>
      </c>
      <c r="J45" t="str">
        <f t="shared" si="48"/>
        <v xml:space="preserve">Ошибка Email</v>
      </c>
    </row>
    <row r="46">
      <c r="A46" t="str">
        <f>Клиенты_исходные!A46</f>
        <v>C0045</v>
      </c>
      <c r="B46" t="str">
        <f>PROPER(TRIM(Клиенты_исходные!B46))</f>
        <v xml:space="preserve">Киселева Екатерина Евгеньевна</v>
      </c>
      <c r="C46" s="8">
        <f>IFERROR(IF(ISNUMBER(FIND(".",Клиенты_исходные!C46)),DATE(RIGHT(Клиенты_исходные!C46,4),MID(Клиенты_исходные!C46,4,2),LEFT(Клиенты_исходные!C46,2)),DATE(LEFT(Клиенты_исходные!C46,4),MID(Клиенты_исходные!C46,6,2),RIGHT(Клиенты_исходные!C46,2))),Клиенты_исходные!C46)</f>
        <v>32773</v>
      </c>
      <c r="D46" t="str">
        <f>IF(ISBLANK(Клиенты_исходные!D46),"",IF(LEN(SUBSTITUTE(SUBSTITUTE(SUBSTITUTE(SUBSTITUTE(SUBSTITUTE(Клиенты_исходные!D46," ",""),"-",""),"+",""),"(",""),")",""))=11,"+7 ("&amp;MID(IF(LEFT(SUBSTITUTE(SUBSTITUTE(SUBSTITUTE(SUBSTITUTE(SUBSTITUTE(Клиенты_исходные!D46," ",""),"-",""),"+",""),"(",""),")",""))="8","7"&amp;MID(SUBSTITUTE(SUBSTITUTE(SUBSTITUTE(SUBSTITUTE(SUBSTITUTE(Клиенты_исходные!D46," ",""),"-",""),"+",""),"(",""),")",""),2,10),SUBSTITUTE(SUBSTITUTE(SUBSTITUTE(SUBSTITUTE(SUBSTITUTE(Клиенты_исходные!D46," ",""),"-",""),"+",""),"(",""),")","")),2,3)&amp;") "&amp;MID(IF(LEFT(SUBSTITUTE(SUBSTITUTE(SUBSTITUTE(SUBSTITUTE(SUBSTITUTE(Клиенты_исходные!D46," ",""),"-",""),"+",""),"(",""),")",""))="8","7"&amp;MID(SUBSTITUTE(SUBSTITUTE(SUBSTITUTE(SUBSTITUTE(SUBSTITUTE(Клиенты_исходные!D46," ",""),"-",""),"+",""),"(",""),")",""),2,10),SUBSTITUTE(SUBSTITUTE(SUBSTITUTE(SUBSTITUTE(SUBSTITUTE(Клиенты_исходные!D46," ",""),"-",""),"+",""),"(",""),")","")),5,3)&amp;"-"&amp;MID(IF(LEFT(SUBSTITUTE(SUBSTITUTE(SUBSTITUTE(SUBSTITUTE(SUBSTITUTE(Клиенты_исходные!D46," ",""),"-",""),"+",""),"(",""),")",""))="8","7"&amp;MID(SUBSTITUTE(SUBSTITUTE(SUBSTITUTE(SUBSTITUTE(SUBSTITUTE(Клиенты_исходные!D46," ",""),"-",""),"+",""),"(",""),")",""),2,10),SUBSTITUTE(SUBSTITUTE(SUBSTITUTE(SUBSTITUTE(SUBSTITUTE(Клиенты_исходные!D46," ",""),"-",""),"+",""),"(",""),")","")),8,2)&amp;"-"&amp;MID(IF(LEFT(SUBSTITUTE(SUBSTITUTE(SUBSTITUTE(SUBSTITUTE(SUBSTITUTE(Клиенты_исходные!D46," ",""),"-",""),"+",""),"(",""),")",""))="8","7"&amp;MID(SUBSTITUTE(SUBSTITUTE(SUBSTITUTE(SUBSTITUTE(SUBSTITUTE(Клиенты_исходные!D46," ",""),"-",""),"+",""),"(",""),")",""),2,10),SUBSTITUTE(SUBSTITUTE(SUBSTITUTE(SUBSTITUTE(SUBSTITUTE(Клиенты_исходные!D46," ",""),"-",""),"+",""),"(",""),")","")),10,2),IF(LEN(SUBSTITUTE(SUBSTITUTE(SUBSTITUTE(SUBSTITUTE(SUBSTITUTE(Клиенты_исходные!D46," ",""),"-",""),"+",""),"(",""),")",""))=10,"+7 ("&amp;MID(SUBSTITUTE(SUBSTITUTE(SUBSTITUTE(SUBSTITUTE(SUBSTITUTE(Клиенты_исходные!D46," ",""),"-",""),"+",""),"(",""),")",""),1,3)&amp;") "&amp;MID(SUBSTITUTE(SUBSTITUTE(SUBSTITUTE(SUBSTITUTE(SUBSTITUTE(Клиенты_исходные!D46," ",""),"-",""),"+",""),"(",""),")",""),4,3)&amp;"-"&amp;MID(SUBSTITUTE(SUBSTITUTE(SUBSTITUTE(SUBSTITUTE(SUBSTITUTE(Клиенты_исходные!D46," ",""),"-",""),"+",""),"(",""),")",""),6,2)&amp;"-"&amp;MID(SUBSTITUTE(SUBSTITUTE(SUBSTITUTE(SUBSTITUTE(SUBSTITUTE(Клиенты_исходные!D46," ",""),"-",""),"+",""),"(",""),")",""),8,2),Клиенты_исходные!D46)))</f>
        <v xml:space="preserve">+7 (903) 123-45-67</v>
      </c>
      <c r="F46" t="str">
        <f>IFERROR(VLOOKUP(Клиенты_исходные!F46,Справочники!$J$2:$K$50,2,FALSE),Клиенты_исходные!F46)</f>
        <v>Улан-Удэ</v>
      </c>
      <c r="G46" s="8">
        <f>IFERROR(IF(ISNUMBER(FIND(".",Клиенты_исходные!G46)),DATE(RIGHT(Клиенты_исходные!G46,4),MID(Клиенты_исходные!G46,4,2),LEFT(Клиенты_исходные!G46,2)),DATE(LEFT(Клиенты_исходные!G46,4),MID(Клиенты_исходные!G46,6,2),RIGHT(Клиенты_исходные!G46,2))),Клиенты_исходные!G46)</f>
        <v>45000</v>
      </c>
      <c r="H46">
        <f t="shared" ca="1" si="46"/>
        <v>37</v>
      </c>
      <c r="I46" t="str">
        <f t="shared" si="47"/>
        <v>OK</v>
      </c>
      <c r="J46" t="str">
        <f t="shared" si="48"/>
        <v xml:space="preserve">Ошибка Email</v>
      </c>
    </row>
    <row r="47">
      <c r="A47" t="str">
        <f>Клиенты_исходные!A47</f>
        <v>C0046</v>
      </c>
      <c r="B47" t="str">
        <f>PROPER(TRIM(Клиенты_исходные!B47))</f>
        <v xml:space="preserve">Власов Денис Алексеевич</v>
      </c>
      <c r="C47" s="8">
        <f>IFERROR(IF(ISNUMBER(FIND(".",Клиенты_исходные!C47)),DATE(RIGHT(Клиенты_исходные!C47,4),MID(Клиенты_исходные!C47,4,2),LEFT(Клиенты_исходные!C47,2)),DATE(LEFT(Клиенты_исходные!C47,4),MID(Клиенты_исходные!C47,6,2),RIGHT(Клиенты_исходные!C47,2))),Клиенты_исходные!C47)</f>
        <v>28896</v>
      </c>
      <c r="D47" t="str">
        <f>IF(ISBLANK(Клиенты_исходные!D47),"",IF(LEN(SUBSTITUTE(SUBSTITUTE(SUBSTITUTE(SUBSTITUTE(SUBSTITUTE(Клиенты_исходные!D47," ",""),"-",""),"+",""),"(",""),")",""))=11,"+7 ("&amp;MID(IF(LEFT(SUBSTITUTE(SUBSTITUTE(SUBSTITUTE(SUBSTITUTE(SUBSTITUTE(Клиенты_исходные!D47," ",""),"-",""),"+",""),"(",""),")",""))="8","7"&amp;MID(SUBSTITUTE(SUBSTITUTE(SUBSTITUTE(SUBSTITUTE(SUBSTITUTE(Клиенты_исходные!D47," ",""),"-",""),"+",""),"(",""),")",""),2,10),SUBSTITUTE(SUBSTITUTE(SUBSTITUTE(SUBSTITUTE(SUBSTITUTE(Клиенты_исходные!D47," ",""),"-",""),"+",""),"(",""),")","")),2,3)&amp;") "&amp;MID(IF(LEFT(SUBSTITUTE(SUBSTITUTE(SUBSTITUTE(SUBSTITUTE(SUBSTITUTE(Клиенты_исходные!D47," ",""),"-",""),"+",""),"(",""),")",""))="8","7"&amp;MID(SUBSTITUTE(SUBSTITUTE(SUBSTITUTE(SUBSTITUTE(SUBSTITUTE(Клиенты_исходные!D47," ",""),"-",""),"+",""),"(",""),")",""),2,10),SUBSTITUTE(SUBSTITUTE(SUBSTITUTE(SUBSTITUTE(SUBSTITUTE(Клиенты_исходные!D47," ",""),"-",""),"+",""),"(",""),")","")),5,3)&amp;"-"&amp;MID(IF(LEFT(SUBSTITUTE(SUBSTITUTE(SUBSTITUTE(SUBSTITUTE(SUBSTITUTE(Клиенты_исходные!D47," ",""),"-",""),"+",""),"(",""),")",""))="8","7"&amp;MID(SUBSTITUTE(SUBSTITUTE(SUBSTITUTE(SUBSTITUTE(SUBSTITUTE(Клиенты_исходные!D47," ",""),"-",""),"+",""),"(",""),")",""),2,10),SUBSTITUTE(SUBSTITUTE(SUBSTITUTE(SUBSTITUTE(SUBSTITUTE(Клиенты_исходные!D47," ",""),"-",""),"+",""),"(",""),")","")),8,2)&amp;"-"&amp;MID(IF(LEFT(SUBSTITUTE(SUBSTITUTE(SUBSTITUTE(SUBSTITUTE(SUBSTITUTE(Клиенты_исходные!D47," ",""),"-",""),"+",""),"(",""),")",""))="8","7"&amp;MID(SUBSTITUTE(SUBSTITUTE(SUBSTITUTE(SUBSTITUTE(SUBSTITUTE(Клиенты_исходные!D47," ",""),"-",""),"+",""),"(",""),")",""),2,10),SUBSTITUTE(SUBSTITUTE(SUBSTITUTE(SUBSTITUTE(SUBSTITUTE(Клиенты_исходные!D47," ",""),"-",""),"+",""),"(",""),")","")),10,2),IF(LEN(SUBSTITUTE(SUBSTITUTE(SUBSTITUTE(SUBSTITUTE(SUBSTITUTE(Клиенты_исходные!D47," ",""),"-",""),"+",""),"(",""),")",""))=10,"+7 ("&amp;MID(SUBSTITUTE(SUBSTITUTE(SUBSTITUTE(SUBSTITUTE(SUBSTITUTE(Клиенты_исходные!D47," ",""),"-",""),"+",""),"(",""),")",""),1,3)&amp;") "&amp;MID(SUBSTITUTE(SUBSTITUTE(SUBSTITUTE(SUBSTITUTE(SUBSTITUTE(Клиенты_исходные!D47," ",""),"-",""),"+",""),"(",""),")",""),4,3)&amp;"-"&amp;MID(SUBSTITUTE(SUBSTITUTE(SUBSTITUTE(SUBSTITUTE(SUBSTITUTE(Клиенты_исходные!D47," ",""),"-",""),"+",""),"(",""),")",""),6,2)&amp;"-"&amp;MID(SUBSTITUTE(SUBSTITUTE(SUBSTITUTE(SUBSTITUTE(SUBSTITUTE(Клиенты_исходные!D47," ",""),"-",""),"+",""),"(",""),")",""),8,2),Клиенты_исходные!D47)))</f>
        <v xml:space="preserve">+7 (903) 123-45-67</v>
      </c>
      <c r="F47" t="str">
        <f>IFERROR(VLOOKUP(Клиенты_исходные!F47,Справочники!$J$2:$K$50,2,FALSE),Клиенты_исходные!F47)</f>
        <v>Якутск</v>
      </c>
      <c r="G47" s="8">
        <f>IFERROR(IF(ISNUMBER(FIND(".",Клиенты_исходные!G47)),DATE(RIGHT(Клиенты_исходные!G47,4),MID(Клиенты_исходные!G47,4,2),LEFT(Клиенты_исходные!G47,2)),DATE(LEFT(Клиенты_исходные!G47,4),MID(Клиенты_исходные!G47,6,2),RIGHT(Клиенты_исходные!G47,2))),Клиенты_исходные!G47)</f>
        <v>45017</v>
      </c>
      <c r="H47">
        <f t="shared" ca="1" si="46"/>
        <v>47</v>
      </c>
      <c r="I47" t="str">
        <f t="shared" si="47"/>
        <v>OK</v>
      </c>
      <c r="J47" t="str">
        <f t="shared" si="48"/>
        <v xml:space="preserve">Ошибка Email</v>
      </c>
    </row>
    <row r="48">
      <c r="A48" t="str">
        <f>Клиенты_исходные!A48</f>
        <v>C0047</v>
      </c>
      <c r="B48" t="str">
        <f>PROPER(TRIM(Клиенты_исходные!B48))</f>
        <v xml:space="preserve">Ларионова Елена Валентиновна</v>
      </c>
      <c r="C48" s="8">
        <f>IFERROR(IF(ISNUMBER(FIND(".",Клиенты_исходные!C48)),DATE(RIGHT(Клиенты_исходные!C48,4),MID(Клиенты_исходные!C48,4,2),LEFT(Клиенты_исходные!C48,2)),DATE(LEFT(Клиенты_исходные!C48,4),MID(Клиенты_исходные!C48,6,2),RIGHT(Клиенты_исходные!C48,2))),Клиенты_исходные!C48)</f>
        <v>34512</v>
      </c>
      <c r="D48" t="str">
        <f>IF(ISBLANK(Клиенты_исходные!D48),"",IF(LEN(SUBSTITUTE(SUBSTITUTE(SUBSTITUTE(SUBSTITUTE(SUBSTITUTE(Клиенты_исходные!D48," ",""),"-",""),"+",""),"(",""),")",""))=11,"+7 ("&amp;MID(IF(LEFT(SUBSTITUTE(SUBSTITUTE(SUBSTITUTE(SUBSTITUTE(SUBSTITUTE(Клиенты_исходные!D48," ",""),"-",""),"+",""),"(",""),")",""))="8","7"&amp;MID(SUBSTITUTE(SUBSTITUTE(SUBSTITUTE(SUBSTITUTE(SUBSTITUTE(Клиенты_исходные!D48," ",""),"-",""),"+",""),"(",""),")",""),2,10),SUBSTITUTE(SUBSTITUTE(SUBSTITUTE(SUBSTITUTE(SUBSTITUTE(Клиенты_исходные!D48," ",""),"-",""),"+",""),"(",""),")","")),2,3)&amp;") "&amp;MID(IF(LEFT(SUBSTITUTE(SUBSTITUTE(SUBSTITUTE(SUBSTITUTE(SUBSTITUTE(Клиенты_исходные!D48," ",""),"-",""),"+",""),"(",""),")",""))="8","7"&amp;MID(SUBSTITUTE(SUBSTITUTE(SUBSTITUTE(SUBSTITUTE(SUBSTITUTE(Клиенты_исходные!D48," ",""),"-",""),"+",""),"(",""),")",""),2,10),SUBSTITUTE(SUBSTITUTE(SUBSTITUTE(SUBSTITUTE(SUBSTITUTE(Клиенты_исходные!D48," ",""),"-",""),"+",""),"(",""),")","")),5,3)&amp;"-"&amp;MID(IF(LEFT(SUBSTITUTE(SUBSTITUTE(SUBSTITUTE(SUBSTITUTE(SUBSTITUTE(Клиенты_исходные!D48," ",""),"-",""),"+",""),"(",""),")",""))="8","7"&amp;MID(SUBSTITUTE(SUBSTITUTE(SUBSTITUTE(SUBSTITUTE(SUBSTITUTE(Клиенты_исходные!D48," ",""),"-",""),"+",""),"(",""),")",""),2,10),SUBSTITUTE(SUBSTITUTE(SUBSTITUTE(SUBSTITUTE(SUBSTITUTE(Клиенты_исходные!D48," ",""),"-",""),"+",""),"(",""),")","")),8,2)&amp;"-"&amp;MID(IF(LEFT(SUBSTITUTE(SUBSTITUTE(SUBSTITUTE(SUBSTITUTE(SUBSTITUTE(Клиенты_исходные!D48," ",""),"-",""),"+",""),"(",""),")",""))="8","7"&amp;MID(SUBSTITUTE(SUBSTITUTE(SUBSTITUTE(SUBSTITUTE(SUBSTITUTE(Клиенты_исходные!D48," ",""),"-",""),"+",""),"(",""),")",""),2,10),SUBSTITUTE(SUBSTITUTE(SUBSTITUTE(SUBSTITUTE(SUBSTITUTE(Клиенты_исходные!D48," ",""),"-",""),"+",""),"(",""),")","")),10,2),IF(LEN(SUBSTITUTE(SUBSTITUTE(SUBSTITUTE(SUBSTITUTE(SUBSTITUTE(Клиенты_исходные!D48," ",""),"-",""),"+",""),"(",""),")",""))=10,"+7 ("&amp;MID(SUBSTITUTE(SUBSTITUTE(SUBSTITUTE(SUBSTITUTE(SUBSTITUTE(Клиенты_исходные!D48," ",""),"-",""),"+",""),"(",""),")",""),1,3)&amp;") "&amp;MID(SUBSTITUTE(SUBSTITUTE(SUBSTITUTE(SUBSTITUTE(SUBSTITUTE(Клиенты_исходные!D48," ",""),"-",""),"+",""),"(",""),")",""),4,3)&amp;"-"&amp;MID(SUBSTITUTE(SUBSTITUTE(SUBSTITUTE(SUBSTITUTE(SUBSTITUTE(Клиенты_исходные!D48," ",""),"-",""),"+",""),"(",""),")",""),6,2)&amp;"-"&amp;MID(SUBSTITUTE(SUBSTITUTE(SUBSTITUTE(SUBSTITUTE(SUBSTITUTE(Клиенты_исходные!D48," ",""),"-",""),"+",""),"(",""),")",""),8,2),Клиенты_исходные!D48)))</f>
        <v xml:space="preserve">+7 (903) 123-45-67</v>
      </c>
      <c r="F48" t="str">
        <f>IFERROR(VLOOKUP(Клиенты_исходные!F48,Справочники!$J$2:$K$50,2,FALSE),Клиенты_исходные!F48)</f>
        <v>Череповец</v>
      </c>
      <c r="G48" s="8">
        <f>IFERROR(IF(ISNUMBER(FIND(".",Клиенты_исходные!G48)),DATE(RIGHT(Клиенты_исходные!G48,4),MID(Клиенты_исходные!G48,4,2),LEFT(Клиенты_исходные!G48,2)),DATE(LEFT(Клиенты_исходные!G48,4),MID(Клиенты_исходные!G48,6,2),RIGHT(Клиенты_исходные!G48,2))),Клиенты_исходные!G48)</f>
        <v>45026</v>
      </c>
      <c r="H48">
        <f t="shared" ca="1" si="46"/>
        <v>32</v>
      </c>
      <c r="I48" t="str">
        <f t="shared" si="47"/>
        <v>OK</v>
      </c>
      <c r="J48" t="str">
        <f t="shared" si="48"/>
        <v xml:space="preserve">Ошибка Email</v>
      </c>
    </row>
    <row r="49">
      <c r="A49" t="str">
        <f>Клиенты_исходные!A49</f>
        <v>C0048</v>
      </c>
      <c r="B49" t="str">
        <f>PROPER(TRIM(Клиенты_исходные!B49))</f>
        <v xml:space="preserve">Савин Юрий Михайлович</v>
      </c>
      <c r="C49" s="8">
        <f>IFERROR(IF(ISNUMBER(FIND(".",Клиенты_исходные!C49)),DATE(RIGHT(Клиенты_исходные!C49,4),MID(Клиенты_исходные!C49,4,2),LEFT(Клиенты_исходные!C49,2)),DATE(LEFT(Клиенты_исходные!C49,4),MID(Клиенты_исходные!C49,6,2),RIGHT(Клиенты_исходные!C49,2))),Клиенты_исходные!C49)</f>
        <v>25916</v>
      </c>
      <c r="D49" t="str">
        <f>IF(ISBLANK(Клиенты_исходные!D49),"",IF(LEN(SUBSTITUTE(SUBSTITUTE(SUBSTITUTE(SUBSTITUTE(SUBSTITUTE(Клиенты_исходные!D49," ",""),"-",""),"+",""),"(",""),")",""))=11,"+7 ("&amp;MID(IF(LEFT(SUBSTITUTE(SUBSTITUTE(SUBSTITUTE(SUBSTITUTE(SUBSTITUTE(Клиенты_исходные!D49," ",""),"-",""),"+",""),"(",""),")",""))="8","7"&amp;MID(SUBSTITUTE(SUBSTITUTE(SUBSTITUTE(SUBSTITUTE(SUBSTITUTE(Клиенты_исходные!D49," ",""),"-",""),"+",""),"(",""),")",""),2,10),SUBSTITUTE(SUBSTITUTE(SUBSTITUTE(SUBSTITUTE(SUBSTITUTE(Клиенты_исходные!D49," ",""),"-",""),"+",""),"(",""),")","")),2,3)&amp;") "&amp;MID(IF(LEFT(SUBSTITUTE(SUBSTITUTE(SUBSTITUTE(SUBSTITUTE(SUBSTITUTE(Клиенты_исходные!D49," ",""),"-",""),"+",""),"(",""),")",""))="8","7"&amp;MID(SUBSTITUTE(SUBSTITUTE(SUBSTITUTE(SUBSTITUTE(SUBSTITUTE(Клиенты_исходные!D49," ",""),"-",""),"+",""),"(",""),")",""),2,10),SUBSTITUTE(SUBSTITUTE(SUBSTITUTE(SUBSTITUTE(SUBSTITUTE(Клиенты_исходные!D49," ",""),"-",""),"+",""),"(",""),")","")),5,3)&amp;"-"&amp;MID(IF(LEFT(SUBSTITUTE(SUBSTITUTE(SUBSTITUTE(SUBSTITUTE(SUBSTITUTE(Клиенты_исходные!D49," ",""),"-",""),"+",""),"(",""),")",""))="8","7"&amp;MID(SUBSTITUTE(SUBSTITUTE(SUBSTITUTE(SUBSTITUTE(SUBSTITUTE(Клиенты_исходные!D49," ",""),"-",""),"+",""),"(",""),")",""),2,10),SUBSTITUTE(SUBSTITUTE(SUBSTITUTE(SUBSTITUTE(SUBSTITUTE(Клиенты_исходные!D49," ",""),"-",""),"+",""),"(",""),")","")),8,2)&amp;"-"&amp;MID(IF(LEFT(SUBSTITUTE(SUBSTITUTE(SUBSTITUTE(SUBSTITUTE(SUBSTITUTE(Клиенты_исходные!D49," ",""),"-",""),"+",""),"(",""),")",""))="8","7"&amp;MID(SUBSTITUTE(SUBSTITUTE(SUBSTITUTE(SUBSTITUTE(SUBSTITUTE(Клиенты_исходные!D49," ",""),"-",""),"+",""),"(",""),")",""),2,10),SUBSTITUTE(SUBSTITUTE(SUBSTITUTE(SUBSTITUTE(SUBSTITUTE(Клиенты_исходные!D49," ",""),"-",""),"+",""),"(",""),")","")),10,2),IF(LEN(SUBSTITUTE(SUBSTITUTE(SUBSTITUTE(SUBSTITUTE(SUBSTITUTE(Клиенты_исходные!D49," ",""),"-",""),"+",""),"(",""),")",""))=10,"+7 ("&amp;MID(SUBSTITUTE(SUBSTITUTE(SUBSTITUTE(SUBSTITUTE(SUBSTITUTE(Клиенты_исходные!D49," ",""),"-",""),"+",""),"(",""),")",""),1,3)&amp;") "&amp;MID(SUBSTITUTE(SUBSTITUTE(SUBSTITUTE(SUBSTITUTE(SUBSTITUTE(Клиенты_исходные!D49," ",""),"-",""),"+",""),"(",""),")",""),4,3)&amp;"-"&amp;MID(SUBSTITUTE(SUBSTITUTE(SUBSTITUTE(SUBSTITUTE(SUBSTITUTE(Клиенты_исходные!D49," ",""),"-",""),"+",""),"(",""),")",""),6,2)&amp;"-"&amp;MID(SUBSTITUTE(SUBSTITUTE(SUBSTITUTE(SUBSTITUTE(SUBSTITUTE(Клиенты_исходные!D49," ",""),"-",""),"+",""),"(",""),")",""),8,2),Клиенты_исходные!D49)))</f>
        <v xml:space="preserve">+7 (903) 234-56-78</v>
      </c>
      <c r="F49" t="str">
        <f>IFERROR(VLOOKUP(Клиенты_исходные!F49,Справочники!$J$2:$K$50,2,FALSE),Клиенты_исходные!F49)</f>
        <v>Саранск</v>
      </c>
      <c r="G49" s="8">
        <f>IFERROR(IF(ISNUMBER(FIND(".",Клиенты_исходные!G49)),DATE(RIGHT(Клиенты_исходные!G49,4),MID(Клиенты_исходные!G49,4,2),LEFT(Клиенты_исходные!G49,2)),DATE(LEFT(Клиенты_исходные!G49,4),MID(Клиенты_исходные!G49,6,2),RIGHT(Клиенты_исходные!G49,2))),Клиенты_исходные!G49)</f>
        <v>45026</v>
      </c>
      <c r="H49">
        <f t="shared" ca="1" si="46"/>
        <v>55</v>
      </c>
      <c r="I49" t="str">
        <f t="shared" si="47"/>
        <v>OK</v>
      </c>
      <c r="J49" t="str">
        <f t="shared" si="48"/>
        <v xml:space="preserve">Ошибка Email</v>
      </c>
    </row>
    <row r="50">
      <c r="A50" t="str">
        <f>Клиенты_исходные!A50</f>
        <v>C0049</v>
      </c>
      <c r="B50" t="str">
        <f>PROPER(TRIM(Клиенты_исходные!B50))</f>
        <v xml:space="preserve">Лобанова Ксения Сергеевна</v>
      </c>
      <c r="C50" s="8">
        <f>IFERROR(IF(ISNUMBER(FIND(".",Клиенты_исходные!C50)),DATE(RIGHT(Клиенты_исходные!C50,4),MID(Клиенты_исходные!C50,4,2),LEFT(Клиенты_исходные!C50,2)),DATE(LEFT(Клиенты_исходные!C50,4),MID(Клиенты_исходные!C50,6,2),RIGHT(Клиенты_исходные!C50,2))),Клиенты_исходные!C50)</f>
        <v>30179</v>
      </c>
      <c r="D50" t="str">
        <f>IF(ISBLANK(Клиенты_исходные!D50),"",IF(LEN(SUBSTITUTE(SUBSTITUTE(SUBSTITUTE(SUBSTITUTE(SUBSTITUTE(Клиенты_исходные!D50," ",""),"-",""),"+",""),"(",""),")",""))=11,"+7 ("&amp;MID(IF(LEFT(SUBSTITUTE(SUBSTITUTE(SUBSTITUTE(SUBSTITUTE(SUBSTITUTE(Клиенты_исходные!D50," ",""),"-",""),"+",""),"(",""),")",""))="8","7"&amp;MID(SUBSTITUTE(SUBSTITUTE(SUBSTITUTE(SUBSTITUTE(SUBSTITUTE(Клиенты_исходные!D50," ",""),"-",""),"+",""),"(",""),")",""),2,10),SUBSTITUTE(SUBSTITUTE(SUBSTITUTE(SUBSTITUTE(SUBSTITUTE(Клиенты_исходные!D50," ",""),"-",""),"+",""),"(",""),")","")),2,3)&amp;") "&amp;MID(IF(LEFT(SUBSTITUTE(SUBSTITUTE(SUBSTITUTE(SUBSTITUTE(SUBSTITUTE(Клиенты_исходные!D50," ",""),"-",""),"+",""),"(",""),")",""))="8","7"&amp;MID(SUBSTITUTE(SUBSTITUTE(SUBSTITUTE(SUBSTITUTE(SUBSTITUTE(Клиенты_исходные!D50," ",""),"-",""),"+",""),"(",""),")",""),2,10),SUBSTITUTE(SUBSTITUTE(SUBSTITUTE(SUBSTITUTE(SUBSTITUTE(Клиенты_исходные!D50," ",""),"-",""),"+",""),"(",""),")","")),5,3)&amp;"-"&amp;MID(IF(LEFT(SUBSTITUTE(SUBSTITUTE(SUBSTITUTE(SUBSTITUTE(SUBSTITUTE(Клиенты_исходные!D50," ",""),"-",""),"+",""),"(",""),")",""))="8","7"&amp;MID(SUBSTITUTE(SUBSTITUTE(SUBSTITUTE(SUBSTITUTE(SUBSTITUTE(Клиенты_исходные!D50," ",""),"-",""),"+",""),"(",""),")",""),2,10),SUBSTITUTE(SUBSTITUTE(SUBSTITUTE(SUBSTITUTE(SUBSTITUTE(Клиенты_исходные!D50," ",""),"-",""),"+",""),"(",""),")","")),8,2)&amp;"-"&amp;MID(IF(LEFT(SUBSTITUTE(SUBSTITUTE(SUBSTITUTE(SUBSTITUTE(SUBSTITUTE(Клиенты_исходные!D50," ",""),"-",""),"+",""),"(",""),")",""))="8","7"&amp;MID(SUBSTITUTE(SUBSTITUTE(SUBSTITUTE(SUBSTITUTE(SUBSTITUTE(Клиенты_исходные!D50," ",""),"-",""),"+",""),"(",""),")",""),2,10),SUBSTITUTE(SUBSTITUTE(SUBSTITUTE(SUBSTITUTE(SUBSTITUTE(Клиенты_исходные!D50," ",""),"-",""),"+",""),"(",""),")","")),10,2),IF(LEN(SUBSTITUTE(SUBSTITUTE(SUBSTITUTE(SUBSTITUTE(SUBSTITUTE(Клиенты_исходные!D50," ",""),"-",""),"+",""),"(",""),")",""))=10,"+7 ("&amp;MID(SUBSTITUTE(SUBSTITUTE(SUBSTITUTE(SUBSTITUTE(SUBSTITUTE(Клиенты_исходные!D50," ",""),"-",""),"+",""),"(",""),")",""),1,3)&amp;") "&amp;MID(SUBSTITUTE(SUBSTITUTE(SUBSTITUTE(SUBSTITUTE(SUBSTITUTE(Клиенты_исходные!D50," ",""),"-",""),"+",""),"(",""),")",""),4,3)&amp;"-"&amp;MID(SUBSTITUTE(SUBSTITUTE(SUBSTITUTE(SUBSTITUTE(SUBSTITUTE(Клиенты_исходные!D50," ",""),"-",""),"+",""),"(",""),")",""),6,2)&amp;"-"&amp;MID(SUBSTITUTE(SUBSTITUTE(SUBSTITUTE(SUBSTITUTE(SUBSTITUTE(Клиенты_исходные!D50," ",""),"-",""),"+",""),"(",""),")",""),8,2),Клиенты_исходные!D50)))</f>
        <v xml:space="preserve">+7 (903) 234-56-78</v>
      </c>
      <c r="F50" t="str">
        <f>IFERROR(VLOOKUP(Клиенты_исходные!F50,Справочники!$J$2:$K$50,2,FALSE),Клиенты_исходные!F50)</f>
        <v>Тула</v>
      </c>
      <c r="G50" s="8">
        <f>IFERROR(IF(ISNUMBER(FIND(".",Клиенты_исходные!G50)),DATE(RIGHT(Клиенты_исходные!G50,4),MID(Клиенты_исходные!G50,4,2),LEFT(Клиенты_исходные!G50,2)),DATE(LEFT(Клиенты_исходные!G50,4),MID(Клиенты_исходные!G50,6,2),RIGHT(Клиенты_исходные!G50,2))),Клиенты_исходные!G50)</f>
        <v>45047</v>
      </c>
      <c r="H50">
        <f t="shared" ca="1" si="46"/>
        <v>44</v>
      </c>
      <c r="I50" t="str">
        <f t="shared" si="47"/>
        <v>OK</v>
      </c>
      <c r="J50" t="str">
        <f t="shared" si="48"/>
        <v xml:space="preserve">Ошибка Email</v>
      </c>
    </row>
    <row r="51">
      <c r="A51" t="str">
        <f>Клиенты_исходные!A51</f>
        <v>C0050</v>
      </c>
      <c r="B51" t="str">
        <f>PROPER(TRIM(Клиенты_исходные!B51))</f>
        <v xml:space="preserve">Макаров Игорь Дмитриевич</v>
      </c>
      <c r="C51" s="8">
        <f>IFERROR(IF(ISNUMBER(FIND(".",Клиенты_исходные!C51)),DATE(RIGHT(Клиенты_исходные!C51,4),MID(Клиенты_исходные!C51,4,2),LEFT(Клиенты_исходные!C51,2)),DATE(LEFT(Клиенты_исходные!C51,4),MID(Клиенты_исходные!C51,6,2),RIGHT(Клиенты_исходные!C51,2))),Клиенты_исходные!C51)</f>
        <v>32896</v>
      </c>
      <c r="D51" t="str">
        <f>IF(ISBLANK(Клиенты_исходные!D51),"",IF(LEN(SUBSTITUTE(SUBSTITUTE(SUBSTITUTE(SUBSTITUTE(SUBSTITUTE(Клиенты_исходные!D51," ",""),"-",""),"+",""),"(",""),")",""))=11,"+7 ("&amp;MID(IF(LEFT(SUBSTITUTE(SUBSTITUTE(SUBSTITUTE(SUBSTITUTE(SUBSTITUTE(Клиенты_исходные!D51," ",""),"-",""),"+",""),"(",""),")",""))="8","7"&amp;MID(SUBSTITUTE(SUBSTITUTE(SUBSTITUTE(SUBSTITUTE(SUBSTITUTE(Клиенты_исходные!D51," ",""),"-",""),"+",""),"(",""),")",""),2,10),SUBSTITUTE(SUBSTITUTE(SUBSTITUTE(SUBSTITUTE(SUBSTITUTE(Клиенты_исходные!D51," ",""),"-",""),"+",""),"(",""),")","")),2,3)&amp;") "&amp;MID(IF(LEFT(SUBSTITUTE(SUBSTITUTE(SUBSTITUTE(SUBSTITUTE(SUBSTITUTE(Клиенты_исходные!D51," ",""),"-",""),"+",""),"(",""),")",""))="8","7"&amp;MID(SUBSTITUTE(SUBSTITUTE(SUBSTITUTE(SUBSTITUTE(SUBSTITUTE(Клиенты_исходные!D51," ",""),"-",""),"+",""),"(",""),")",""),2,10),SUBSTITUTE(SUBSTITUTE(SUBSTITUTE(SUBSTITUTE(SUBSTITUTE(Клиенты_исходные!D51," ",""),"-",""),"+",""),"(",""),")","")),5,3)&amp;"-"&amp;MID(IF(LEFT(SUBSTITUTE(SUBSTITUTE(SUBSTITUTE(SUBSTITUTE(SUBSTITUTE(Клиенты_исходные!D51," ",""),"-",""),"+",""),"(",""),")",""))="8","7"&amp;MID(SUBSTITUTE(SUBSTITUTE(SUBSTITUTE(SUBSTITUTE(SUBSTITUTE(Клиенты_исходные!D51," ",""),"-",""),"+",""),"(",""),")",""),2,10),SUBSTITUTE(SUBSTITUTE(SUBSTITUTE(SUBSTITUTE(SUBSTITUTE(Клиенты_исходные!D51," ",""),"-",""),"+",""),"(",""),")","")),8,2)&amp;"-"&amp;MID(IF(LEFT(SUBSTITUTE(SUBSTITUTE(SUBSTITUTE(SUBSTITUTE(SUBSTITUTE(Клиенты_исходные!D51," ",""),"-",""),"+",""),"(",""),")",""))="8","7"&amp;MID(SUBSTITUTE(SUBSTITUTE(SUBSTITUTE(SUBSTITUTE(SUBSTITUTE(Клиенты_исходные!D51," ",""),"-",""),"+",""),"(",""),")",""),2,10),SUBSTITUTE(SUBSTITUTE(SUBSTITUTE(SUBSTITUTE(SUBSTITUTE(Клиенты_исходные!D51," ",""),"-",""),"+",""),"(",""),")","")),10,2),IF(LEN(SUBSTITUTE(SUBSTITUTE(SUBSTITUTE(SUBSTITUTE(SUBSTITUTE(Клиенты_исходные!D51," ",""),"-",""),"+",""),"(",""),")",""))=10,"+7 ("&amp;MID(SUBSTITUTE(SUBSTITUTE(SUBSTITUTE(SUBSTITUTE(SUBSTITUTE(Клиенты_исходные!D51," ",""),"-",""),"+",""),"(",""),")",""),1,3)&amp;") "&amp;MID(SUBSTITUTE(SUBSTITUTE(SUBSTITUTE(SUBSTITUTE(SUBSTITUTE(Клиенты_исходные!D51," ",""),"-",""),"+",""),"(",""),")",""),4,3)&amp;"-"&amp;MID(SUBSTITUTE(SUBSTITUTE(SUBSTITUTE(SUBSTITUTE(SUBSTITUTE(Клиенты_исходные!D51," ",""),"-",""),"+",""),"(",""),")",""),6,2)&amp;"-"&amp;MID(SUBSTITUTE(SUBSTITUTE(SUBSTITUTE(SUBSTITUTE(SUBSTITUTE(Клиенты_исходные!D51," ",""),"-",""),"+",""),"(",""),")",""),8,2),Клиенты_исходные!D51)))</f>
        <v xml:space="preserve">+7 (903) 234-56-78</v>
      </c>
      <c r="F51" t="str">
        <f>IFERROR(VLOOKUP(Клиенты_исходные!F51,Справочники!$J$2:$K$50,2,FALSE),Клиенты_исходные!F51)</f>
        <v>Калуга</v>
      </c>
      <c r="G51" s="8">
        <f>IFERROR(IF(ISNUMBER(FIND(".",Клиенты_исходные!G51)),DATE(RIGHT(Клиенты_исходные!G51,4),MID(Клиенты_исходные!G51,4,2),LEFT(Клиенты_исходные!G51,2)),DATE(LEFT(Клиенты_исходные!G51,4),MID(Клиенты_исходные!G51,6,2),RIGHT(Клиенты_исходные!G51,2))),Клиенты_исходные!G51)</f>
        <v>45061</v>
      </c>
      <c r="H51">
        <f t="shared" ca="1" si="46"/>
        <v>36</v>
      </c>
      <c r="I51" t="str">
        <f t="shared" si="47"/>
        <v>OK</v>
      </c>
      <c r="J51" t="str">
        <f t="shared" si="48"/>
        <v xml:space="preserve">Ошибка Email</v>
      </c>
    </row>
    <row r="52">
      <c r="A52" t="str">
        <f>Клиенты_исходные!A52</f>
        <v>C0051</v>
      </c>
      <c r="B52" t="str">
        <f>PROPER(TRIM(Клиенты_исходные!B52))</f>
        <v xml:space="preserve">Спиридонова Ольга Петровна</v>
      </c>
      <c r="C52" s="8">
        <f>IFERROR(IF(ISNUMBER(FIND(".",Клиенты_исходные!C52)),DATE(RIGHT(Клиенты_исходные!C52,4),MID(Клиенты_исходные!C52,4,2),LEFT(Клиенты_исходные!C52,2)),DATE(LEFT(Клиенты_исходные!C52,4),MID(Клиенты_исходные!C52,6,2),RIGHT(Клиенты_исходные!C52,2))),Клиенты_исходные!C52)</f>
        <v>28434</v>
      </c>
      <c r="D52" t="str">
        <f>IF(ISBLANK(Клиенты_исходные!D52),"",IF(LEN(SUBSTITUTE(SUBSTITUTE(SUBSTITUTE(SUBSTITUTE(SUBSTITUTE(Клиенты_исходные!D52," ",""),"-",""),"+",""),"(",""),")",""))=11,"+7 ("&amp;MID(IF(LEFT(SUBSTITUTE(SUBSTITUTE(SUBSTITUTE(SUBSTITUTE(SUBSTITUTE(Клиенты_исходные!D52," ",""),"-",""),"+",""),"(",""),")",""))="8","7"&amp;MID(SUBSTITUTE(SUBSTITUTE(SUBSTITUTE(SUBSTITUTE(SUBSTITUTE(Клиенты_исходные!D52," ",""),"-",""),"+",""),"(",""),")",""),2,10),SUBSTITUTE(SUBSTITUTE(SUBSTITUTE(SUBSTITUTE(SUBSTITUTE(Клиенты_исходные!D52," ",""),"-",""),"+",""),"(",""),")","")),2,3)&amp;") "&amp;MID(IF(LEFT(SUBSTITUTE(SUBSTITUTE(SUBSTITUTE(SUBSTITUTE(SUBSTITUTE(Клиенты_исходные!D52," ",""),"-",""),"+",""),"(",""),")",""))="8","7"&amp;MID(SUBSTITUTE(SUBSTITUTE(SUBSTITUTE(SUBSTITUTE(SUBSTITUTE(Клиенты_исходные!D52," ",""),"-",""),"+",""),"(",""),")",""),2,10),SUBSTITUTE(SUBSTITUTE(SUBSTITUTE(SUBSTITUTE(SUBSTITUTE(Клиенты_исходные!D52," ",""),"-",""),"+",""),"(",""),")","")),5,3)&amp;"-"&amp;MID(IF(LEFT(SUBSTITUTE(SUBSTITUTE(SUBSTITUTE(SUBSTITUTE(SUBSTITUTE(Клиенты_исходные!D52," ",""),"-",""),"+",""),"(",""),")",""))="8","7"&amp;MID(SUBSTITUTE(SUBSTITUTE(SUBSTITUTE(SUBSTITUTE(SUBSTITUTE(Клиенты_исходные!D52," ",""),"-",""),"+",""),"(",""),")",""),2,10),SUBSTITUTE(SUBSTITUTE(SUBSTITUTE(SUBSTITUTE(SUBSTITUTE(Клиенты_исходные!D52," ",""),"-",""),"+",""),"(",""),")","")),8,2)&amp;"-"&amp;MID(IF(LEFT(SUBSTITUTE(SUBSTITUTE(SUBSTITUTE(SUBSTITUTE(SUBSTITUTE(Клиенты_исходные!D52," ",""),"-",""),"+",""),"(",""),")",""))="8","7"&amp;MID(SUBSTITUTE(SUBSTITUTE(SUBSTITUTE(SUBSTITUTE(SUBSTITUTE(Клиенты_исходные!D52," ",""),"-",""),"+",""),"(",""),")",""),2,10),SUBSTITUTE(SUBSTITUTE(SUBSTITUTE(SUBSTITUTE(SUBSTITUTE(Клиенты_исходные!D52," ",""),"-",""),"+",""),"(",""),")","")),10,2),IF(LEN(SUBSTITUTE(SUBSTITUTE(SUBSTITUTE(SUBSTITUTE(SUBSTITUTE(Клиенты_исходные!D52," ",""),"-",""),"+",""),"(",""),")",""))=10,"+7 ("&amp;MID(SUBSTITUTE(SUBSTITUTE(SUBSTITUTE(SUBSTITUTE(SUBSTITUTE(Клиенты_исходные!D52," ",""),"-",""),"+",""),"(",""),")",""),1,3)&amp;") "&amp;MID(SUBSTITUTE(SUBSTITUTE(SUBSTITUTE(SUBSTITUTE(SUBSTITUTE(Клиенты_исходные!D52," ",""),"-",""),"+",""),"(",""),")",""),4,3)&amp;"-"&amp;MID(SUBSTITUTE(SUBSTITUTE(SUBSTITUTE(SUBSTITUTE(SUBSTITUTE(Клиенты_исходные!D52," ",""),"-",""),"+",""),"(",""),")",""),6,2)&amp;"-"&amp;MID(SUBSTITUTE(SUBSTITUTE(SUBSTITUTE(SUBSTITUTE(SUBSTITUTE(Клиенты_исходные!D52," ",""),"-",""),"+",""),"(",""),")",""),8,2),Клиенты_исходные!D52)))</f>
        <v xml:space="preserve">+7 (903) 345-67-89</v>
      </c>
      <c r="F52" t="str">
        <f>IFERROR(VLOOKUP(Клиенты_исходные!F52,Справочники!$J$2:$K$50,2,FALSE),Клиенты_исходные!F52)</f>
        <v>Владикавказ</v>
      </c>
      <c r="G52" s="8">
        <f>IFERROR(IF(ISNUMBER(FIND(".",Клиенты_исходные!G52)),DATE(RIGHT(Клиенты_исходные!G52,4),MID(Клиенты_исходные!G52,4,2),LEFT(Клиенты_исходные!G52,2)),DATE(LEFT(Клиенты_исходные!G52,4),MID(Клиенты_исходные!G52,6,2),RIGHT(Клиенты_исходные!G52,2))),Клиенты_исходные!G52)</f>
        <v>45061</v>
      </c>
      <c r="H52">
        <f t="shared" ca="1" si="46"/>
        <v>48</v>
      </c>
      <c r="I52" t="str">
        <f t="shared" si="47"/>
        <v>OK</v>
      </c>
      <c r="J52" t="str">
        <f t="shared" si="48"/>
        <v xml:space="preserve">Ошибка Email</v>
      </c>
    </row>
    <row r="53">
      <c r="A53" t="str">
        <f>Клиенты_исходные!A53</f>
        <v>C0052</v>
      </c>
      <c r="B53" t="str">
        <f>PROPER(TRIM(Клиенты_исходные!B53))</f>
        <v xml:space="preserve">Абрамова Марина Александровна</v>
      </c>
      <c r="C53" s="8">
        <f>IFERROR(IF(ISNUMBER(FIND(".",Клиенты_исходные!C53)),DATE(RIGHT(Клиенты_исходные!C53,4),MID(Клиенты_исходные!C53,4,2),LEFT(Клиенты_исходные!C53,2)),DATE(LEFT(Клиенты_исходные!C53,4),MID(Клиенты_исходные!C53,6,2),RIGHT(Клиенты_исходные!C53,2))),Клиенты_исходные!C53)</f>
        <v>31257</v>
      </c>
      <c r="D53" t="str">
        <f>IF(ISBLANK(Клиенты_исходные!D53),"",IF(LEN(SUBSTITUTE(SUBSTITUTE(SUBSTITUTE(SUBSTITUTE(SUBSTITUTE(Клиенты_исходные!D53," ",""),"-",""),"+",""),"(",""),")",""))=11,"+7 ("&amp;MID(IF(LEFT(SUBSTITUTE(SUBSTITUTE(SUBSTITUTE(SUBSTITUTE(SUBSTITUTE(Клиенты_исходные!D53," ",""),"-",""),"+",""),"(",""),")",""))="8","7"&amp;MID(SUBSTITUTE(SUBSTITUTE(SUBSTITUTE(SUBSTITUTE(SUBSTITUTE(Клиенты_исходные!D53," ",""),"-",""),"+",""),"(",""),")",""),2,10),SUBSTITUTE(SUBSTITUTE(SUBSTITUTE(SUBSTITUTE(SUBSTITUTE(Клиенты_исходные!D53," ",""),"-",""),"+",""),"(",""),")","")),2,3)&amp;") "&amp;MID(IF(LEFT(SUBSTITUTE(SUBSTITUTE(SUBSTITUTE(SUBSTITUTE(SUBSTITUTE(Клиенты_исходные!D53," ",""),"-",""),"+",""),"(",""),")",""))="8","7"&amp;MID(SUBSTITUTE(SUBSTITUTE(SUBSTITUTE(SUBSTITUTE(SUBSTITUTE(Клиенты_исходные!D53," ",""),"-",""),"+",""),"(",""),")",""),2,10),SUBSTITUTE(SUBSTITUTE(SUBSTITUTE(SUBSTITUTE(SUBSTITUTE(Клиенты_исходные!D53," ",""),"-",""),"+",""),"(",""),")","")),5,3)&amp;"-"&amp;MID(IF(LEFT(SUBSTITUTE(SUBSTITUTE(SUBSTITUTE(SUBSTITUTE(SUBSTITUTE(Клиенты_исходные!D53," ",""),"-",""),"+",""),"(",""),")",""))="8","7"&amp;MID(SUBSTITUTE(SUBSTITUTE(SUBSTITUTE(SUBSTITUTE(SUBSTITUTE(Клиенты_исходные!D53," ",""),"-",""),"+",""),"(",""),")",""),2,10),SUBSTITUTE(SUBSTITUTE(SUBSTITUTE(SUBSTITUTE(SUBSTITUTE(Клиенты_исходные!D53," ",""),"-",""),"+",""),"(",""),")","")),8,2)&amp;"-"&amp;MID(IF(LEFT(SUBSTITUTE(SUBSTITUTE(SUBSTITUTE(SUBSTITUTE(SUBSTITUTE(Клиенты_исходные!D53," ",""),"-",""),"+",""),"(",""),")",""))="8","7"&amp;MID(SUBSTITUTE(SUBSTITUTE(SUBSTITUTE(SUBSTITUTE(SUBSTITUTE(Клиенты_исходные!D53," ",""),"-",""),"+",""),"(",""),")",""),2,10),SUBSTITUTE(SUBSTITUTE(SUBSTITUTE(SUBSTITUTE(SUBSTITUTE(Клиенты_исходные!D53," ",""),"-",""),"+",""),"(",""),")","")),10,2),IF(LEN(SUBSTITUTE(SUBSTITUTE(SUBSTITUTE(SUBSTITUTE(SUBSTITUTE(Клиенты_исходные!D53," ",""),"-",""),"+",""),"(",""),")",""))=10,"+7 ("&amp;MID(SUBSTITUTE(SUBSTITUTE(SUBSTITUTE(SUBSTITUTE(SUBSTITUTE(Клиенты_исходные!D53," ",""),"-",""),"+",""),"(",""),")",""),1,3)&amp;") "&amp;MID(SUBSTITUTE(SUBSTITUTE(SUBSTITUTE(SUBSTITUTE(SUBSTITUTE(Клиенты_исходные!D53," ",""),"-",""),"+",""),"(",""),")",""),4,3)&amp;"-"&amp;MID(SUBSTITUTE(SUBSTITUTE(SUBSTITUTE(SUBSTITUTE(SUBSTITUTE(Клиенты_исходные!D53," ",""),"-",""),"+",""),"(",""),")",""),6,2)&amp;"-"&amp;MID(SUBSTITUTE(SUBSTITUTE(SUBSTITUTE(SUBSTITUTE(SUBSTITUTE(Клиенты_исходные!D53," ",""),"-",""),"+",""),"(",""),")",""),8,2),Клиенты_исходные!D53)))</f>
        <v xml:space="preserve">+7 (903) 345-67-89</v>
      </c>
      <c r="F53" t="str">
        <f>IFERROR(VLOOKUP(Клиенты_исходные!F53,Справочники!$J$2:$K$50,2,FALSE),Клиенты_исходные!F53)</f>
        <v>Смоленск</v>
      </c>
      <c r="G53" s="8">
        <f>IFERROR(IF(ISNUMBER(FIND(".",Клиенты_исходные!G53)),DATE(RIGHT(Клиенты_исходные!G53,4),MID(Клиенты_исходные!G53,4,2),LEFT(Клиенты_исходные!G53,2)),DATE(LEFT(Клиенты_исходные!G53,4),MID(Клиенты_исходные!G53,6,2),RIGHT(Клиенты_исходные!G53,2))),Клиенты_исходные!G53)</f>
        <v>45078</v>
      </c>
      <c r="H53">
        <f t="shared" ca="1" si="46"/>
        <v>41</v>
      </c>
      <c r="I53" t="str">
        <f t="shared" si="47"/>
        <v>OK</v>
      </c>
      <c r="J53" t="str">
        <f t="shared" si="48"/>
        <v xml:space="preserve">Ошибка Email</v>
      </c>
    </row>
    <row r="54">
      <c r="A54" t="str">
        <f>Клиенты_исходные!A54</f>
        <v>C0053</v>
      </c>
      <c r="B54" t="str">
        <f>PROPER(TRIM(Клиенты_исходные!B54))</f>
        <v xml:space="preserve">Богданов Павел Николаевич</v>
      </c>
      <c r="C54" s="8">
        <f>IFERROR(IF(ISNUMBER(FIND(".",Клиенты_исходные!C54)),DATE(RIGHT(Клиенты_исходные!C54,4),MID(Клиенты_исходные!C54,4,2),LEFT(Клиенты_исходные!C54,2)),DATE(LEFT(Клиенты_исходные!C54,4),MID(Клиенты_исходные!C54,6,2),RIGHT(Клиенты_исходные!C54,2))),Клиенты_исходные!C54)</f>
        <v>33681</v>
      </c>
      <c r="D54" t="str">
        <f>IF(ISBLANK(Клиенты_исходные!D54),"",IF(LEN(SUBSTITUTE(SUBSTITUTE(SUBSTITUTE(SUBSTITUTE(SUBSTITUTE(Клиенты_исходные!D54," ",""),"-",""),"+",""),"(",""),")",""))=11,"+7 ("&amp;MID(IF(LEFT(SUBSTITUTE(SUBSTITUTE(SUBSTITUTE(SUBSTITUTE(SUBSTITUTE(Клиенты_исходные!D54," ",""),"-",""),"+",""),"(",""),")",""))="8","7"&amp;MID(SUBSTITUTE(SUBSTITUTE(SUBSTITUTE(SUBSTITUTE(SUBSTITUTE(Клиенты_исходные!D54," ",""),"-",""),"+",""),"(",""),")",""),2,10),SUBSTITUTE(SUBSTITUTE(SUBSTITUTE(SUBSTITUTE(SUBSTITUTE(Клиенты_исходные!D54," ",""),"-",""),"+",""),"(",""),")","")),2,3)&amp;") "&amp;MID(IF(LEFT(SUBSTITUTE(SUBSTITUTE(SUBSTITUTE(SUBSTITUTE(SUBSTITUTE(Клиенты_исходные!D54," ",""),"-",""),"+",""),"(",""),")",""))="8","7"&amp;MID(SUBSTITUTE(SUBSTITUTE(SUBSTITUTE(SUBSTITUTE(SUBSTITUTE(Клиенты_исходные!D54," ",""),"-",""),"+",""),"(",""),")",""),2,10),SUBSTITUTE(SUBSTITUTE(SUBSTITUTE(SUBSTITUTE(SUBSTITUTE(Клиенты_исходные!D54," ",""),"-",""),"+",""),"(",""),")","")),5,3)&amp;"-"&amp;MID(IF(LEFT(SUBSTITUTE(SUBSTITUTE(SUBSTITUTE(SUBSTITUTE(SUBSTITUTE(Клиенты_исходные!D54," ",""),"-",""),"+",""),"(",""),")",""))="8","7"&amp;MID(SUBSTITUTE(SUBSTITUTE(SUBSTITUTE(SUBSTITUTE(SUBSTITUTE(Клиенты_исходные!D54," ",""),"-",""),"+",""),"(",""),")",""),2,10),SUBSTITUTE(SUBSTITUTE(SUBSTITUTE(SUBSTITUTE(SUBSTITUTE(Клиенты_исходные!D54," ",""),"-",""),"+",""),"(",""),")","")),8,2)&amp;"-"&amp;MID(IF(LEFT(SUBSTITUTE(SUBSTITUTE(SUBSTITUTE(SUBSTITUTE(SUBSTITUTE(Клиенты_исходные!D54," ",""),"-",""),"+",""),"(",""),")",""))="8","7"&amp;MID(SUBSTITUTE(SUBSTITUTE(SUBSTITUTE(SUBSTITUTE(SUBSTITUTE(Клиенты_исходные!D54," ",""),"-",""),"+",""),"(",""),")",""),2,10),SUBSTITUTE(SUBSTITUTE(SUBSTITUTE(SUBSTITUTE(SUBSTITUTE(Клиенты_исходные!D54," ",""),"-",""),"+",""),"(",""),")","")),10,2),IF(LEN(SUBSTITUTE(SUBSTITUTE(SUBSTITUTE(SUBSTITUTE(SUBSTITUTE(Клиенты_исходные!D54," ",""),"-",""),"+",""),"(",""),")",""))=10,"+7 ("&amp;MID(SUBSTITUTE(SUBSTITUTE(SUBSTITUTE(SUBSTITUTE(SUBSTITUTE(Клиенты_исходные!D54," ",""),"-",""),"+",""),"(",""),")",""),1,3)&amp;") "&amp;MID(SUBSTITUTE(SUBSTITUTE(SUBSTITUTE(SUBSTITUTE(SUBSTITUTE(Клиенты_исходные!D54," ",""),"-",""),"+",""),"(",""),")",""),4,3)&amp;"-"&amp;MID(SUBSTITUTE(SUBSTITUTE(SUBSTITUTE(SUBSTITUTE(SUBSTITUTE(Клиенты_исходные!D54," ",""),"-",""),"+",""),"(",""),")",""),6,2)&amp;"-"&amp;MID(SUBSTITUTE(SUBSTITUTE(SUBSTITUTE(SUBSTITUTE(SUBSTITUTE(Клиенты_исходные!D54," ",""),"-",""),"+",""),"(",""),")",""),8,2),Клиенты_исходные!D54)))</f>
        <v xml:space="preserve">+7 (903) 345-67-89</v>
      </c>
      <c r="F54" t="str">
        <f>IFERROR(VLOOKUP(Клиенты_исходные!F54,Справочники!$J$2:$K$50,2,FALSE),Клиенты_исходные!F54)</f>
        <v>Белгород</v>
      </c>
      <c r="G54" s="8">
        <f>IFERROR(IF(ISNUMBER(FIND(".",Клиенты_исходные!G54)),DATE(RIGHT(Клиенты_исходные!G54,4),MID(Клиенты_исходные!G54,4,2),LEFT(Клиенты_исходные!G54,2)),DATE(LEFT(Клиенты_исходные!G54,4),MID(Клиенты_исходные!G54,6,2),RIGHT(Клиенты_исходные!G54,2))),Клиенты_исходные!G54)</f>
        <v>45087</v>
      </c>
      <c r="H54">
        <f t="shared" ca="1" si="46"/>
        <v>34</v>
      </c>
      <c r="I54" t="str">
        <f t="shared" si="47"/>
        <v>OK</v>
      </c>
      <c r="J54" t="str">
        <f t="shared" si="48"/>
        <v xml:space="preserve">Ошибка Email</v>
      </c>
    </row>
    <row r="55">
      <c r="A55" t="str">
        <f>Клиенты_исходные!A55</f>
        <v>C0054</v>
      </c>
      <c r="B55" t="str">
        <f>PROPER(TRIM(Клиенты_исходные!B55))</f>
        <v xml:space="preserve">Комаров Иван Валерьевич</v>
      </c>
      <c r="C55" s="8">
        <f>IFERROR(IF(ISNUMBER(FIND(".",Клиенты_исходные!C55)),DATE(RIGHT(Клиенты_исходные!C55,4),MID(Клиенты_исходные!C55,4,2),LEFT(Клиенты_исходные!C55,2)),DATE(LEFT(Клиенты_исходные!C55,4),MID(Клиенты_исходные!C55,6,2),RIGHT(Клиенты_исходные!C55,2))),Клиенты_исходные!C55)</f>
        <v>32056</v>
      </c>
      <c r="D55" t="str">
        <f>IF(ISBLANK(Клиенты_исходные!D55),"",IF(LEN(SUBSTITUTE(SUBSTITUTE(SUBSTITUTE(SUBSTITUTE(SUBSTITUTE(Клиенты_исходные!D55," ",""),"-",""),"+",""),"(",""),")",""))=11,"+7 ("&amp;MID(IF(LEFT(SUBSTITUTE(SUBSTITUTE(SUBSTITUTE(SUBSTITUTE(SUBSTITUTE(Клиенты_исходные!D55," ",""),"-",""),"+",""),"(",""),")",""))="8","7"&amp;MID(SUBSTITUTE(SUBSTITUTE(SUBSTITUTE(SUBSTITUTE(SUBSTITUTE(Клиенты_исходные!D55," ",""),"-",""),"+",""),"(",""),")",""),2,10),SUBSTITUTE(SUBSTITUTE(SUBSTITUTE(SUBSTITUTE(SUBSTITUTE(Клиенты_исходные!D55," ",""),"-",""),"+",""),"(",""),")","")),2,3)&amp;") "&amp;MID(IF(LEFT(SUBSTITUTE(SUBSTITUTE(SUBSTITUTE(SUBSTITUTE(SUBSTITUTE(Клиенты_исходные!D55," ",""),"-",""),"+",""),"(",""),")",""))="8","7"&amp;MID(SUBSTITUTE(SUBSTITUTE(SUBSTITUTE(SUBSTITUTE(SUBSTITUTE(Клиенты_исходные!D55," ",""),"-",""),"+",""),"(",""),")",""),2,10),SUBSTITUTE(SUBSTITUTE(SUBSTITUTE(SUBSTITUTE(SUBSTITUTE(Клиенты_исходные!D55," ",""),"-",""),"+",""),"(",""),")","")),5,3)&amp;"-"&amp;MID(IF(LEFT(SUBSTITUTE(SUBSTITUTE(SUBSTITUTE(SUBSTITUTE(SUBSTITUTE(Клиенты_исходные!D55," ",""),"-",""),"+",""),"(",""),")",""))="8","7"&amp;MID(SUBSTITUTE(SUBSTITUTE(SUBSTITUTE(SUBSTITUTE(SUBSTITUTE(Клиенты_исходные!D55," ",""),"-",""),"+",""),"(",""),")",""),2,10),SUBSTITUTE(SUBSTITUTE(SUBSTITUTE(SUBSTITUTE(SUBSTITUTE(Клиенты_исходные!D55," ",""),"-",""),"+",""),"(",""),")","")),8,2)&amp;"-"&amp;MID(IF(LEFT(SUBSTITUTE(SUBSTITUTE(SUBSTITUTE(SUBSTITUTE(SUBSTITUTE(Клиенты_исходные!D55," ",""),"-",""),"+",""),"(",""),")",""))="8","7"&amp;MID(SUBSTITUTE(SUBSTITUTE(SUBSTITUTE(SUBSTITUTE(SUBSTITUTE(Клиенты_исходные!D55," ",""),"-",""),"+",""),"(",""),")",""),2,10),SUBSTITUTE(SUBSTITUTE(SUBSTITUTE(SUBSTITUTE(SUBSTITUTE(Клиенты_исходные!D55," ",""),"-",""),"+",""),"(",""),")","")),10,2),IF(LEN(SUBSTITUTE(SUBSTITUTE(SUBSTITUTE(SUBSTITUTE(SUBSTITUTE(Клиенты_исходные!D55," ",""),"-",""),"+",""),"(",""),")",""))=10,"+7 ("&amp;MID(SUBSTITUTE(SUBSTITUTE(SUBSTITUTE(SUBSTITUTE(SUBSTITUTE(Клиенты_исходные!D55," ",""),"-",""),"+",""),"(",""),")",""),1,3)&amp;") "&amp;MID(SUBSTITUTE(SUBSTITUTE(SUBSTITUTE(SUBSTITUTE(SUBSTITUTE(Клиенты_исходные!D55," ",""),"-",""),"+",""),"(",""),")",""),4,3)&amp;"-"&amp;MID(SUBSTITUTE(SUBSTITUTE(SUBSTITUTE(SUBSTITUTE(SUBSTITUTE(Клиенты_исходные!D55," ",""),"-",""),"+",""),"(",""),")",""),6,2)&amp;"-"&amp;MID(SUBSTITUTE(SUBSTITUTE(SUBSTITUTE(SUBSTITUTE(SUBSTITUTE(Клиенты_исходные!D55," ",""),"-",""),"+",""),"(",""),")",""),8,2),Клиенты_исходные!D55)))</f>
        <v xml:space="preserve">+7 (903) 456-78-90</v>
      </c>
      <c r="F55" t="str">
        <f>IFERROR(VLOOKUP(Клиенты_исходные!F55,Справочники!$J$2:$K$50,2,FALSE),Клиенты_исходные!F55)</f>
        <v>Мурманск</v>
      </c>
      <c r="G55" s="8">
        <f>IFERROR(IF(ISNUMBER(FIND(".",Клиенты_исходные!G55)),DATE(RIGHT(Клиенты_исходные!G55,4),MID(Клиенты_исходные!G55,4,2),LEFT(Клиенты_исходные!G55,2)),DATE(LEFT(Клиенты_исходные!G55,4),MID(Клиенты_исходные!G55,6,2),RIGHT(Клиенты_исходные!G55,2))),Клиенты_исходные!G55)</f>
        <v>45087</v>
      </c>
      <c r="H55">
        <f t="shared" ca="1" si="46"/>
        <v>38</v>
      </c>
      <c r="I55" t="str">
        <f t="shared" si="47"/>
        <v>OK</v>
      </c>
      <c r="J55" t="str">
        <f t="shared" si="48"/>
        <v xml:space="preserve">Ошибка Email</v>
      </c>
    </row>
    <row r="56">
      <c r="A56" t="str">
        <f>Клиенты_исходные!A56</f>
        <v>C0055</v>
      </c>
      <c r="B56" t="str">
        <f>PROPER(TRIM(Клиенты_исходные!B56))</f>
        <v xml:space="preserve">Анисимова Людмила Юрьевна</v>
      </c>
      <c r="C56" s="8">
        <f>IFERROR(IF(ISNUMBER(FIND(".",Клиенты_исходные!C56)),DATE(RIGHT(Клиенты_исходные!C56,4),MID(Клиенты_исходные!C56,4,2),LEFT(Клиенты_исходные!C56,2)),DATE(LEFT(Клиенты_исходные!C56,4),MID(Клиенты_исходные!C56,6,2),RIGHT(Клиенты_исходные!C56,2))),Клиенты_исходные!C56)</f>
        <v>27161</v>
      </c>
      <c r="D56" t="str">
        <f>IF(ISBLANK(Клиенты_исходные!D56),"",IF(LEN(SUBSTITUTE(SUBSTITUTE(SUBSTITUTE(SUBSTITUTE(SUBSTITUTE(Клиенты_исходные!D56," ",""),"-",""),"+",""),"(",""),")",""))=11,"+7 ("&amp;MID(IF(LEFT(SUBSTITUTE(SUBSTITUTE(SUBSTITUTE(SUBSTITUTE(SUBSTITUTE(Клиенты_исходные!D56," ",""),"-",""),"+",""),"(",""),")",""))="8","7"&amp;MID(SUBSTITUTE(SUBSTITUTE(SUBSTITUTE(SUBSTITUTE(SUBSTITUTE(Клиенты_исходные!D56," ",""),"-",""),"+",""),"(",""),")",""),2,10),SUBSTITUTE(SUBSTITUTE(SUBSTITUTE(SUBSTITUTE(SUBSTITUTE(Клиенты_исходные!D56," ",""),"-",""),"+",""),"(",""),")","")),2,3)&amp;") "&amp;MID(IF(LEFT(SUBSTITUTE(SUBSTITUTE(SUBSTITUTE(SUBSTITUTE(SUBSTITUTE(Клиенты_исходные!D56," ",""),"-",""),"+",""),"(",""),")",""))="8","7"&amp;MID(SUBSTITUTE(SUBSTITUTE(SUBSTITUTE(SUBSTITUTE(SUBSTITUTE(Клиенты_исходные!D56," ",""),"-",""),"+",""),"(",""),")",""),2,10),SUBSTITUTE(SUBSTITUTE(SUBSTITUTE(SUBSTITUTE(SUBSTITUTE(Клиенты_исходные!D56," ",""),"-",""),"+",""),"(",""),")","")),5,3)&amp;"-"&amp;MID(IF(LEFT(SUBSTITUTE(SUBSTITUTE(SUBSTITUTE(SUBSTITUTE(SUBSTITUTE(Клиенты_исходные!D56," ",""),"-",""),"+",""),"(",""),")",""))="8","7"&amp;MID(SUBSTITUTE(SUBSTITUTE(SUBSTITUTE(SUBSTITUTE(SUBSTITUTE(Клиенты_исходные!D56," ",""),"-",""),"+",""),"(",""),")",""),2,10),SUBSTITUTE(SUBSTITUTE(SUBSTITUTE(SUBSTITUTE(SUBSTITUTE(Клиенты_исходные!D56," ",""),"-",""),"+",""),"(",""),")","")),8,2)&amp;"-"&amp;MID(IF(LEFT(SUBSTITUTE(SUBSTITUTE(SUBSTITUTE(SUBSTITUTE(SUBSTITUTE(Клиенты_исходные!D56," ",""),"-",""),"+",""),"(",""),")",""))="8","7"&amp;MID(SUBSTITUTE(SUBSTITUTE(SUBSTITUTE(SUBSTITUTE(SUBSTITUTE(Клиенты_исходные!D56," ",""),"-",""),"+",""),"(",""),")",""),2,10),SUBSTITUTE(SUBSTITUTE(SUBSTITUTE(SUBSTITUTE(SUBSTITUTE(Клиенты_исходные!D56," ",""),"-",""),"+",""),"(",""),")","")),10,2),IF(LEN(SUBSTITUTE(SUBSTITUTE(SUBSTITUTE(SUBSTITUTE(SUBSTITUTE(Клиенты_исходные!D56," ",""),"-",""),"+",""),"(",""),")",""))=10,"+7 ("&amp;MID(SUBSTITUTE(SUBSTITUTE(SUBSTITUTE(SUBSTITUTE(SUBSTITUTE(Клиенты_исходные!D56," ",""),"-",""),"+",""),"(",""),")",""),1,3)&amp;") "&amp;MID(SUBSTITUTE(SUBSTITUTE(SUBSTITUTE(SUBSTITUTE(SUBSTITUTE(Клиенты_исходные!D56," ",""),"-",""),"+",""),"(",""),")",""),4,3)&amp;"-"&amp;MID(SUBSTITUTE(SUBSTITUTE(SUBSTITUTE(SUBSTITUTE(SUBSTITUTE(Клиенты_исходные!D56," ",""),"-",""),"+",""),"(",""),")",""),6,2)&amp;"-"&amp;MID(SUBSTITUTE(SUBSTITUTE(SUBSTITUTE(SUBSTITUTE(SUBSTITUTE(Клиенты_исходные!D56," ",""),"-",""),"+",""),"(",""),")",""),8,2),Клиенты_исходные!D56)))</f>
        <v xml:space="preserve">+7 (903) 456-78-90</v>
      </c>
      <c r="F56" t="str">
        <f>IFERROR(VLOOKUP(Клиенты_исходные!F56,Справочники!$J$2:$K$50,2,FALSE),Клиенты_исходные!F56)</f>
        <v>Ставрополь</v>
      </c>
      <c r="G56" s="8">
        <f>IFERROR(IF(ISNUMBER(FIND(".",Клиенты_исходные!G56)),DATE(RIGHT(Клиенты_исходные!G56,4),MID(Клиенты_исходные!G56,4,2),LEFT(Клиенты_исходные!G56,2)),DATE(LEFT(Клиенты_исходные!G56,4),MID(Клиенты_исходные!G56,6,2),RIGHT(Клиенты_исходные!G56,2))),Клиенты_исходные!G56)</f>
        <v>45108</v>
      </c>
      <c r="H56">
        <f t="shared" ca="1" si="46"/>
        <v>52</v>
      </c>
      <c r="I56" t="str">
        <f t="shared" si="47"/>
        <v>OK</v>
      </c>
      <c r="J56" t="str">
        <f t="shared" si="48"/>
        <v xml:space="preserve">Ошибка Email</v>
      </c>
    </row>
    <row r="57">
      <c r="A57" t="str">
        <f>Клиенты_исходные!A57</f>
        <v>C0056</v>
      </c>
      <c r="B57" t="str">
        <f>PROPER(TRIM(Клиенты_исходные!B57))</f>
        <v xml:space="preserve">Трифонов Алексей Игоревич</v>
      </c>
      <c r="C57" s="8">
        <f>IFERROR(IF(ISNUMBER(FIND(".",Клиенты_исходные!C57)),DATE(RIGHT(Клиенты_исходные!C57,4),MID(Клиенты_исходные!C57,4,2),LEFT(Клиенты_исходные!C57,2)),DATE(LEFT(Клиенты_исходные!C57,4),MID(Клиенты_исходные!C57,6,2),RIGHT(Клиенты_исходные!C57,2))),Клиенты_исходные!C57)</f>
        <v>29585</v>
      </c>
      <c r="D57" t="str">
        <f>IF(ISBLANK(Клиенты_исходные!D57),"",IF(LEN(SUBSTITUTE(SUBSTITUTE(SUBSTITUTE(SUBSTITUTE(SUBSTITUTE(Клиенты_исходные!D57," ",""),"-",""),"+",""),"(",""),")",""))=11,"+7 ("&amp;MID(IF(LEFT(SUBSTITUTE(SUBSTITUTE(SUBSTITUTE(SUBSTITUTE(SUBSTITUTE(Клиенты_исходные!D57," ",""),"-",""),"+",""),"(",""),")",""))="8","7"&amp;MID(SUBSTITUTE(SUBSTITUTE(SUBSTITUTE(SUBSTITUTE(SUBSTITUTE(Клиенты_исходные!D57," ",""),"-",""),"+",""),"(",""),")",""),2,10),SUBSTITUTE(SUBSTITUTE(SUBSTITUTE(SUBSTITUTE(SUBSTITUTE(Клиенты_исходные!D57," ",""),"-",""),"+",""),"(",""),")","")),2,3)&amp;") "&amp;MID(IF(LEFT(SUBSTITUTE(SUBSTITUTE(SUBSTITUTE(SUBSTITUTE(SUBSTITUTE(Клиенты_исходные!D57," ",""),"-",""),"+",""),"(",""),")",""))="8","7"&amp;MID(SUBSTITUTE(SUBSTITUTE(SUBSTITUTE(SUBSTITUTE(SUBSTITUTE(Клиенты_исходные!D57," ",""),"-",""),"+",""),"(",""),")",""),2,10),SUBSTITUTE(SUBSTITUTE(SUBSTITUTE(SUBSTITUTE(SUBSTITUTE(Клиенты_исходные!D57," ",""),"-",""),"+",""),"(",""),")","")),5,3)&amp;"-"&amp;MID(IF(LEFT(SUBSTITUTE(SUBSTITUTE(SUBSTITUTE(SUBSTITUTE(SUBSTITUTE(Клиенты_исходные!D57," ",""),"-",""),"+",""),"(",""),")",""))="8","7"&amp;MID(SUBSTITUTE(SUBSTITUTE(SUBSTITUTE(SUBSTITUTE(SUBSTITUTE(Клиенты_исходные!D57," ",""),"-",""),"+",""),"(",""),")",""),2,10),SUBSTITUTE(SUBSTITUTE(SUBSTITUTE(SUBSTITUTE(SUBSTITUTE(Клиенты_исходные!D57," ",""),"-",""),"+",""),"(",""),")","")),8,2)&amp;"-"&amp;MID(IF(LEFT(SUBSTITUTE(SUBSTITUTE(SUBSTITUTE(SUBSTITUTE(SUBSTITUTE(Клиенты_исходные!D57," ",""),"-",""),"+",""),"(",""),")",""))="8","7"&amp;MID(SUBSTITUTE(SUBSTITUTE(SUBSTITUTE(SUBSTITUTE(SUBSTITUTE(Клиенты_исходные!D57," ",""),"-",""),"+",""),"(",""),")",""),2,10),SUBSTITUTE(SUBSTITUTE(SUBSTITUTE(SUBSTITUTE(SUBSTITUTE(Клиенты_исходные!D57," ",""),"-",""),"+",""),"(",""),")","")),10,2),IF(LEN(SUBSTITUTE(SUBSTITUTE(SUBSTITUTE(SUBSTITUTE(SUBSTITUTE(Клиенты_исходные!D57," ",""),"-",""),"+",""),"(",""),")",""))=10,"+7 ("&amp;MID(SUBSTITUTE(SUBSTITUTE(SUBSTITUTE(SUBSTITUTE(SUBSTITUTE(Клиенты_исходные!D57," ",""),"-",""),"+",""),"(",""),")",""),1,3)&amp;") "&amp;MID(SUBSTITUTE(SUBSTITUTE(SUBSTITUTE(SUBSTITUTE(SUBSTITUTE(Клиенты_исходные!D57," ",""),"-",""),"+",""),"(",""),")",""),4,3)&amp;"-"&amp;MID(SUBSTITUTE(SUBSTITUTE(SUBSTITUTE(SUBSTITUTE(SUBSTITUTE(Клиенты_исходные!D57," ",""),"-",""),"+",""),"(",""),")",""),6,2)&amp;"-"&amp;MID(SUBSTITUTE(SUBSTITUTE(SUBSTITUTE(SUBSTITUTE(SUBSTITUTE(Клиенты_исходные!D57," ",""),"-",""),"+",""),"(",""),")",""),8,2),Клиенты_исходные!D57)))</f>
        <v xml:space="preserve">+7 (903) 456-78-90</v>
      </c>
      <c r="F57" t="str">
        <f>IFERROR(VLOOKUP(Клиенты_исходные!F57,Справочники!$J$2:$K$50,2,FALSE),Клиенты_исходные!F57)</f>
        <v>Севастополь</v>
      </c>
      <c r="G57" s="8">
        <f>IFERROR(IF(ISNUMBER(FIND(".",Клиенты_исходные!G57)),DATE(RIGHT(Клиенты_исходные!G57,4),MID(Клиенты_исходные!G57,4,2),LEFT(Клиенты_исходные!G57,2)),DATE(LEFT(Клиенты_исходные!G57,4),MID(Клиенты_исходные!G57,6,2),RIGHT(Клиенты_исходные!G57,2))),Клиенты_исходные!G57)</f>
        <v>45122</v>
      </c>
      <c r="H57">
        <f t="shared" ca="1" si="46"/>
        <v>45</v>
      </c>
      <c r="I57" t="str">
        <f t="shared" si="47"/>
        <v>OK</v>
      </c>
      <c r="J57" t="str">
        <f t="shared" si="48"/>
        <v xml:space="preserve">Ошибка Email</v>
      </c>
    </row>
    <row r="58">
      <c r="A58" t="str">
        <f>Клиенты_исходные!A58</f>
        <v>C0057</v>
      </c>
      <c r="B58" t="str">
        <f>PROPER(TRIM(Клиенты_исходные!B58))</f>
        <v xml:space="preserve">Овсянникова Раиса Петровна</v>
      </c>
      <c r="C58" s="8">
        <f>IFERROR(IF(ISNUMBER(FIND(".",Клиенты_исходные!C58)),DATE(RIGHT(Клиенты_исходные!C58,4),MID(Клиенты_исходные!C58,4,2),LEFT(Клиенты_исходные!C58,2)),DATE(LEFT(Клиенты_исходные!C58,4),MID(Клиенты_исходные!C58,6,2),RIGHT(Клиенты_исходные!C58,2))),Клиенты_исходные!C58)</f>
        <v>31672</v>
      </c>
      <c r="D58" t="str">
        <f>IF(ISBLANK(Клиенты_исходные!D58),"",IF(LEN(SUBSTITUTE(SUBSTITUTE(SUBSTITUTE(SUBSTITUTE(SUBSTITUTE(Клиенты_исходные!D58," ",""),"-",""),"+",""),"(",""),")",""))=11,"+7 ("&amp;MID(IF(LEFT(SUBSTITUTE(SUBSTITUTE(SUBSTITUTE(SUBSTITUTE(SUBSTITUTE(Клиенты_исходные!D58," ",""),"-",""),"+",""),"(",""),")",""))="8","7"&amp;MID(SUBSTITUTE(SUBSTITUTE(SUBSTITUTE(SUBSTITUTE(SUBSTITUTE(Клиенты_исходные!D58," ",""),"-",""),"+",""),"(",""),")",""),2,10),SUBSTITUTE(SUBSTITUTE(SUBSTITUTE(SUBSTITUTE(SUBSTITUTE(Клиенты_исходные!D58," ",""),"-",""),"+",""),"(",""),")","")),2,3)&amp;") "&amp;MID(IF(LEFT(SUBSTITUTE(SUBSTITUTE(SUBSTITUTE(SUBSTITUTE(SUBSTITUTE(Клиенты_исходные!D58," ",""),"-",""),"+",""),"(",""),")",""))="8","7"&amp;MID(SUBSTITUTE(SUBSTITUTE(SUBSTITUTE(SUBSTITUTE(SUBSTITUTE(Клиенты_исходные!D58," ",""),"-",""),"+",""),"(",""),")",""),2,10),SUBSTITUTE(SUBSTITUTE(SUBSTITUTE(SUBSTITUTE(SUBSTITUTE(Клиенты_исходные!D58," ",""),"-",""),"+",""),"(",""),")","")),5,3)&amp;"-"&amp;MID(IF(LEFT(SUBSTITUTE(SUBSTITUTE(SUBSTITUTE(SUBSTITUTE(SUBSTITUTE(Клиенты_исходные!D58," ",""),"-",""),"+",""),"(",""),")",""))="8","7"&amp;MID(SUBSTITUTE(SUBSTITUTE(SUBSTITUTE(SUBSTITUTE(SUBSTITUTE(Клиенты_исходные!D58," ",""),"-",""),"+",""),"(",""),")",""),2,10),SUBSTITUTE(SUBSTITUTE(SUBSTITUTE(SUBSTITUTE(SUBSTITUTE(Клиенты_исходные!D58," ",""),"-",""),"+",""),"(",""),")","")),8,2)&amp;"-"&amp;MID(IF(LEFT(SUBSTITUTE(SUBSTITUTE(SUBSTITUTE(SUBSTITUTE(SUBSTITUTE(Клиенты_исходные!D58," ",""),"-",""),"+",""),"(",""),")",""))="8","7"&amp;MID(SUBSTITUTE(SUBSTITUTE(SUBSTITUTE(SUBSTITUTE(SUBSTITUTE(Клиенты_исходные!D58," ",""),"-",""),"+",""),"(",""),")",""),2,10),SUBSTITUTE(SUBSTITUTE(SUBSTITUTE(SUBSTITUTE(SUBSTITUTE(Клиенты_исходные!D58," ",""),"-",""),"+",""),"(",""),")","")),10,2),IF(LEN(SUBSTITUTE(SUBSTITUTE(SUBSTITUTE(SUBSTITUTE(SUBSTITUTE(Клиенты_исходные!D58," ",""),"-",""),"+",""),"(",""),")",""))=10,"+7 ("&amp;MID(SUBSTITUTE(SUBSTITUTE(SUBSTITUTE(SUBSTITUTE(SUBSTITUTE(Клиенты_исходные!D58," ",""),"-",""),"+",""),"(",""),")",""),1,3)&amp;") "&amp;MID(SUBSTITUTE(SUBSTITUTE(SUBSTITUTE(SUBSTITUTE(SUBSTITUTE(Клиенты_исходные!D58," ",""),"-",""),"+",""),"(",""),")",""),4,3)&amp;"-"&amp;MID(SUBSTITUTE(SUBSTITUTE(SUBSTITUTE(SUBSTITUTE(SUBSTITUTE(Клиенты_исходные!D58," ",""),"-",""),"+",""),"(",""),")",""),6,2)&amp;"-"&amp;MID(SUBSTITUTE(SUBSTITUTE(SUBSTITUTE(SUBSTITUTE(SUBSTITUTE(Клиенты_исходные!D58," ",""),"-",""),"+",""),"(",""),")",""),8,2),Клиенты_исходные!D58)))</f>
        <v xml:space="preserve">+7 (903) 567-89-01</v>
      </c>
      <c r="F58" t="str">
        <f>IFERROR(VLOOKUP(Клиенты_исходные!F58,Справочники!$J$2:$K$50,2,FALSE),Клиенты_исходные!F58)</f>
        <v>Сочи</v>
      </c>
      <c r="G58" s="8">
        <f>IFERROR(IF(ISNUMBER(FIND(".",Клиенты_исходные!G58)),DATE(RIGHT(Клиенты_исходные!G58,4),MID(Клиенты_исходные!G58,4,2),LEFT(Клиенты_исходные!G58,2)),DATE(LEFT(Клиенты_исходные!G58,4),MID(Клиенты_исходные!G58,6,2),RIGHT(Клиенты_исходные!G58,2))),Клиенты_исходные!G58)</f>
        <v>45122</v>
      </c>
      <c r="H58">
        <f t="shared" ca="1" si="46"/>
        <v>40</v>
      </c>
      <c r="I58" t="str">
        <f t="shared" si="47"/>
        <v>OK</v>
      </c>
      <c r="J58" t="str">
        <f t="shared" si="48"/>
        <v xml:space="preserve">Ошибка Email</v>
      </c>
    </row>
    <row r="59">
      <c r="A59" t="str">
        <f>Клиенты_исходные!A59</f>
        <v>C0058</v>
      </c>
      <c r="B59" t="str">
        <f>PROPER(TRIM(Клиенты_исходные!B59))</f>
        <v xml:space="preserve">Дементьева Тамара Васильевна</v>
      </c>
      <c r="C59" s="8">
        <f>IFERROR(IF(ISNUMBER(FIND(".",Клиенты_исходные!C59)),DATE(RIGHT(Клиенты_исходные!C59,4),MID(Клиенты_исходные!C59,4,2),LEFT(Клиенты_исходные!C59,2)),DATE(LEFT(Клиенты_исходные!C59,4),MID(Клиенты_исходные!C59,6,2),RIGHT(Клиенты_исходные!C59,2))),Клиенты_исходные!C59)</f>
        <v>25989</v>
      </c>
      <c r="D59" t="str">
        <f>IF(ISBLANK(Клиенты_исходные!D59),"",IF(LEN(SUBSTITUTE(SUBSTITUTE(SUBSTITUTE(SUBSTITUTE(SUBSTITUTE(Клиенты_исходные!D59," ",""),"-",""),"+",""),"(",""),")",""))=11,"+7 ("&amp;MID(IF(LEFT(SUBSTITUTE(SUBSTITUTE(SUBSTITUTE(SUBSTITUTE(SUBSTITUTE(Клиенты_исходные!D59," ",""),"-",""),"+",""),"(",""),")",""))="8","7"&amp;MID(SUBSTITUTE(SUBSTITUTE(SUBSTITUTE(SUBSTITUTE(SUBSTITUTE(Клиенты_исходные!D59," ",""),"-",""),"+",""),"(",""),")",""),2,10),SUBSTITUTE(SUBSTITUTE(SUBSTITUTE(SUBSTITUTE(SUBSTITUTE(Клиенты_исходные!D59," ",""),"-",""),"+",""),"(",""),")","")),2,3)&amp;") "&amp;MID(IF(LEFT(SUBSTITUTE(SUBSTITUTE(SUBSTITUTE(SUBSTITUTE(SUBSTITUTE(Клиенты_исходные!D59," ",""),"-",""),"+",""),"(",""),")",""))="8","7"&amp;MID(SUBSTITUTE(SUBSTITUTE(SUBSTITUTE(SUBSTITUTE(SUBSTITUTE(Клиенты_исходные!D59," ",""),"-",""),"+",""),"(",""),")",""),2,10),SUBSTITUTE(SUBSTITUTE(SUBSTITUTE(SUBSTITUTE(SUBSTITUTE(Клиенты_исходные!D59," ",""),"-",""),"+",""),"(",""),")","")),5,3)&amp;"-"&amp;MID(IF(LEFT(SUBSTITUTE(SUBSTITUTE(SUBSTITUTE(SUBSTITUTE(SUBSTITUTE(Клиенты_исходные!D59," ",""),"-",""),"+",""),"(",""),")",""))="8","7"&amp;MID(SUBSTITUTE(SUBSTITUTE(SUBSTITUTE(SUBSTITUTE(SUBSTITUTE(Клиенты_исходные!D59," ",""),"-",""),"+",""),"(",""),")",""),2,10),SUBSTITUTE(SUBSTITUTE(SUBSTITUTE(SUBSTITUTE(SUBSTITUTE(Клиенты_исходные!D59," ",""),"-",""),"+",""),"(",""),")","")),8,2)&amp;"-"&amp;MID(IF(LEFT(SUBSTITUTE(SUBSTITUTE(SUBSTITUTE(SUBSTITUTE(SUBSTITUTE(Клиенты_исходные!D59," ",""),"-",""),"+",""),"(",""),")",""))="8","7"&amp;MID(SUBSTITUTE(SUBSTITUTE(SUBSTITUTE(SUBSTITUTE(SUBSTITUTE(Клиенты_исходные!D59," ",""),"-",""),"+",""),"(",""),")",""),2,10),SUBSTITUTE(SUBSTITUTE(SUBSTITUTE(SUBSTITUTE(SUBSTITUTE(Клиенты_исходные!D59," ",""),"-",""),"+",""),"(",""),")","")),10,2),IF(LEN(SUBSTITUTE(SUBSTITUTE(SUBSTITUTE(SUBSTITUTE(SUBSTITUTE(Клиенты_исходные!D59," ",""),"-",""),"+",""),"(",""),")",""))=10,"+7 ("&amp;MID(SUBSTITUTE(SUBSTITUTE(SUBSTITUTE(SUBSTITUTE(SUBSTITUTE(Клиенты_исходные!D59," ",""),"-",""),"+",""),"(",""),")",""),1,3)&amp;") "&amp;MID(SUBSTITUTE(SUBSTITUTE(SUBSTITUTE(SUBSTITUTE(SUBSTITUTE(Клиенты_исходные!D59," ",""),"-",""),"+",""),"(",""),")",""),4,3)&amp;"-"&amp;MID(SUBSTITUTE(SUBSTITUTE(SUBSTITUTE(SUBSTITUTE(SUBSTITUTE(Клиенты_исходные!D59," ",""),"-",""),"+",""),"(",""),")",""),6,2)&amp;"-"&amp;MID(SUBSTITUTE(SUBSTITUTE(SUBSTITUTE(SUBSTITUTE(SUBSTITUTE(Клиенты_исходные!D59," ",""),"-",""),"+",""),"(",""),")",""),8,2),Клиенты_исходные!D59)))</f>
        <v xml:space="preserve">+7 (903) 567-89-01</v>
      </c>
      <c r="F59" t="str">
        <f>IFERROR(VLOOKUP(Клиенты_исходные!F59,Справочники!$J$2:$K$50,2,FALSE),Клиенты_исходные!F59)</f>
        <v>Симферополь</v>
      </c>
      <c r="G59" s="8">
        <f>IFERROR(IF(ISNUMBER(FIND(".",Клиенты_исходные!G59)),DATE(RIGHT(Клиенты_исходные!G59,4),MID(Клиенты_исходные!G59,4,2),LEFT(Клиенты_исходные!G59,2)),DATE(LEFT(Клиенты_исходные!G59,4),MID(Клиенты_исходные!G59,6,2),RIGHT(Клиенты_исходные!G59,2))),Клиенты_исходные!G59)</f>
        <v>45139</v>
      </c>
      <c r="H59">
        <f t="shared" ca="1" si="46"/>
        <v>55</v>
      </c>
      <c r="I59" t="str">
        <f t="shared" si="47"/>
        <v>OK</v>
      </c>
      <c r="J59" t="str">
        <f t="shared" si="48"/>
        <v xml:space="preserve">Ошибка Email</v>
      </c>
    </row>
    <row r="60">
      <c r="A60" t="str">
        <f>Клиенты_исходные!A60</f>
        <v>C0059</v>
      </c>
      <c r="B60" t="str">
        <f>PROPER(TRIM(Клиенты_исходные!B60))</f>
        <v xml:space="preserve">Суханов Станислав Анатольевич</v>
      </c>
      <c r="C60" s="8">
        <f>IFERROR(IF(ISNUMBER(FIND(".",Клиенты_исходные!C60)),DATE(RIGHT(Клиенты_исходные!C60,4),MID(Клиенты_исходные!C60,4,2),LEFT(Клиенты_исходные!C60,2)),DATE(LEFT(Клиенты_исходные!C60,4),MID(Клиенты_исходные!C60,6,2),RIGHT(Клиенты_исходные!C60,2))),Клиенты_исходные!C60)</f>
        <v>34281</v>
      </c>
      <c r="D60" t="str">
        <f>IF(ISBLANK(Клиенты_исходные!D60),"",IF(LEN(SUBSTITUTE(SUBSTITUTE(SUBSTITUTE(SUBSTITUTE(SUBSTITUTE(Клиенты_исходные!D60," ",""),"-",""),"+",""),"(",""),")",""))=11,"+7 ("&amp;MID(IF(LEFT(SUBSTITUTE(SUBSTITUTE(SUBSTITUTE(SUBSTITUTE(SUBSTITUTE(Клиенты_исходные!D60," ",""),"-",""),"+",""),"(",""),")",""))="8","7"&amp;MID(SUBSTITUTE(SUBSTITUTE(SUBSTITUTE(SUBSTITUTE(SUBSTITUTE(Клиенты_исходные!D60," ",""),"-",""),"+",""),"(",""),")",""),2,10),SUBSTITUTE(SUBSTITUTE(SUBSTITUTE(SUBSTITUTE(SUBSTITUTE(Клиенты_исходные!D60," ",""),"-",""),"+",""),"(",""),")","")),2,3)&amp;") "&amp;MID(IF(LEFT(SUBSTITUTE(SUBSTITUTE(SUBSTITUTE(SUBSTITUTE(SUBSTITUTE(Клиенты_исходные!D60," ",""),"-",""),"+",""),"(",""),")",""))="8","7"&amp;MID(SUBSTITUTE(SUBSTITUTE(SUBSTITUTE(SUBSTITUTE(SUBSTITUTE(Клиенты_исходные!D60," ",""),"-",""),"+",""),"(",""),")",""),2,10),SUBSTITUTE(SUBSTITUTE(SUBSTITUTE(SUBSTITUTE(SUBSTITUTE(Клиенты_исходные!D60," ",""),"-",""),"+",""),"(",""),")","")),5,3)&amp;"-"&amp;MID(IF(LEFT(SUBSTITUTE(SUBSTITUTE(SUBSTITUTE(SUBSTITUTE(SUBSTITUTE(Клиенты_исходные!D60," ",""),"-",""),"+",""),"(",""),")",""))="8","7"&amp;MID(SUBSTITUTE(SUBSTITUTE(SUBSTITUTE(SUBSTITUTE(SUBSTITUTE(Клиенты_исходные!D60," ",""),"-",""),"+",""),"(",""),")",""),2,10),SUBSTITUTE(SUBSTITUTE(SUBSTITUTE(SUBSTITUTE(SUBSTITUTE(Клиенты_исходные!D60," ",""),"-",""),"+",""),"(",""),")","")),8,2)&amp;"-"&amp;MID(IF(LEFT(SUBSTITUTE(SUBSTITUTE(SUBSTITUTE(SUBSTITUTE(SUBSTITUTE(Клиенты_исходные!D60," ",""),"-",""),"+",""),"(",""),")",""))="8","7"&amp;MID(SUBSTITUTE(SUBSTITUTE(SUBSTITUTE(SUBSTITUTE(SUBSTITUTE(Клиенты_исходные!D60," ",""),"-",""),"+",""),"(",""),")",""),2,10),SUBSTITUTE(SUBSTITUTE(SUBSTITUTE(SUBSTITUTE(SUBSTITUTE(Клиенты_исходные!D60," ",""),"-",""),"+",""),"(",""),")","")),10,2),IF(LEN(SUBSTITUTE(SUBSTITUTE(SUBSTITUTE(SUBSTITUTE(SUBSTITUTE(Клиенты_исходные!D60," ",""),"-",""),"+",""),"(",""),")",""))=10,"+7 ("&amp;MID(SUBSTITUTE(SUBSTITUTE(SUBSTITUTE(SUBSTITUTE(SUBSTITUTE(Клиенты_исходные!D60," ",""),"-",""),"+",""),"(",""),")",""),1,3)&amp;") "&amp;MID(SUBSTITUTE(SUBSTITUTE(SUBSTITUTE(SUBSTITUTE(SUBSTITUTE(Клиенты_исходные!D60," ",""),"-",""),"+",""),"(",""),")",""),4,3)&amp;"-"&amp;MID(SUBSTITUTE(SUBSTITUTE(SUBSTITUTE(SUBSTITUTE(SUBSTITUTE(Клиенты_исходные!D60," ",""),"-",""),"+",""),"(",""),")",""),6,2)&amp;"-"&amp;MID(SUBSTITUTE(SUBSTITUTE(SUBSTITUTE(SUBSTITUTE(SUBSTITUTE(Клиенты_исходные!D60," ",""),"-",""),"+",""),"(",""),")",""),8,2),Клиенты_исходные!D60)))</f>
        <v xml:space="preserve">+7 (903) 567-89-01</v>
      </c>
      <c r="F60" t="str">
        <f>IFERROR(VLOOKUP(Клиенты_исходные!F60,Справочники!$J$2:$K$50,2,FALSE),Клиенты_исходные!F60)</f>
        <v>Брянск</v>
      </c>
      <c r="G60" s="8">
        <f>IFERROR(IF(ISNUMBER(FIND(".",Клиенты_исходные!G60)),DATE(RIGHT(Клиенты_исходные!G60,4),MID(Клиенты_исходные!G60,4,2),LEFT(Клиенты_исходные!G60,2)),DATE(LEFT(Клиенты_исходные!G60,4),MID(Клиенты_исходные!G60,6,2),RIGHT(Клиенты_исходные!G60,2))),Клиенты_исходные!G60)</f>
        <v>45148</v>
      </c>
      <c r="H60">
        <f t="shared" ca="1" si="46"/>
        <v>32</v>
      </c>
      <c r="I60" t="str">
        <f t="shared" si="47"/>
        <v>OK</v>
      </c>
      <c r="J60" t="str">
        <f t="shared" si="48"/>
        <v xml:space="preserve">Ошибка Email</v>
      </c>
    </row>
    <row r="61">
      <c r="A61" t="str">
        <f>Клиенты_исходные!A61</f>
        <v>C0060</v>
      </c>
      <c r="B61" t="str">
        <f>PROPER(TRIM(Клиенты_исходные!B61))</f>
        <v xml:space="preserve">Новикова Алла Станиславовна</v>
      </c>
      <c r="C61" s="8">
        <f>IFERROR(IF(ISNUMBER(FIND(".",Клиенты_исходные!C61)),DATE(RIGHT(Клиенты_исходные!C61,4),MID(Клиенты_исходные!C61,4,2),LEFT(Клиенты_исходные!C61,2)),DATE(LEFT(Клиенты_исходные!C61,4),MID(Клиенты_исходные!C61,6,2),RIGHT(Клиенты_исходные!C61,2))),Клиенты_исходные!C61)</f>
        <v>30877</v>
      </c>
      <c r="D61" t="str">
        <f>IF(ISBLANK(Клиенты_исходные!D61),"",IF(LEN(SUBSTITUTE(SUBSTITUTE(SUBSTITUTE(SUBSTITUTE(SUBSTITUTE(Клиенты_исходные!D61," ",""),"-",""),"+",""),"(",""),")",""))=11,"+7 ("&amp;MID(IF(LEFT(SUBSTITUTE(SUBSTITUTE(SUBSTITUTE(SUBSTITUTE(SUBSTITUTE(Клиенты_исходные!D61," ",""),"-",""),"+",""),"(",""),")",""))="8","7"&amp;MID(SUBSTITUTE(SUBSTITUTE(SUBSTITUTE(SUBSTITUTE(SUBSTITUTE(Клиенты_исходные!D61," ",""),"-",""),"+",""),"(",""),")",""),2,10),SUBSTITUTE(SUBSTITUTE(SUBSTITUTE(SUBSTITUTE(SUBSTITUTE(Клиенты_исходные!D61," ",""),"-",""),"+",""),"(",""),")","")),2,3)&amp;") "&amp;MID(IF(LEFT(SUBSTITUTE(SUBSTITUTE(SUBSTITUTE(SUBSTITUTE(SUBSTITUTE(Клиенты_исходные!D61," ",""),"-",""),"+",""),"(",""),")",""))="8","7"&amp;MID(SUBSTITUTE(SUBSTITUTE(SUBSTITUTE(SUBSTITUTE(SUBSTITUTE(Клиенты_исходные!D61," ",""),"-",""),"+",""),"(",""),")",""),2,10),SUBSTITUTE(SUBSTITUTE(SUBSTITUTE(SUBSTITUTE(SUBSTITUTE(Клиенты_исходные!D61," ",""),"-",""),"+",""),"(",""),")","")),5,3)&amp;"-"&amp;MID(IF(LEFT(SUBSTITUTE(SUBSTITUTE(SUBSTITUTE(SUBSTITUTE(SUBSTITUTE(Клиенты_исходные!D61," ",""),"-",""),"+",""),"(",""),")",""))="8","7"&amp;MID(SUBSTITUTE(SUBSTITUTE(SUBSTITUTE(SUBSTITUTE(SUBSTITUTE(Клиенты_исходные!D61," ",""),"-",""),"+",""),"(",""),")",""),2,10),SUBSTITUTE(SUBSTITUTE(SUBSTITUTE(SUBSTITUTE(SUBSTITUTE(Клиенты_исходные!D61," ",""),"-",""),"+",""),"(",""),")","")),8,2)&amp;"-"&amp;MID(IF(LEFT(SUBSTITUTE(SUBSTITUTE(SUBSTITUTE(SUBSTITUTE(SUBSTITUTE(Клиенты_исходные!D61," ",""),"-",""),"+",""),"(",""),")",""))="8","7"&amp;MID(SUBSTITUTE(SUBSTITUTE(SUBSTITUTE(SUBSTITUTE(SUBSTITUTE(Клиенты_исходные!D61," ",""),"-",""),"+",""),"(",""),")",""),2,10),SUBSTITUTE(SUBSTITUTE(SUBSTITUTE(SUBSTITUTE(SUBSTITUTE(Клиенты_исходные!D61," ",""),"-",""),"+",""),"(",""),")","")),10,2),IF(LEN(SUBSTITUTE(SUBSTITUTE(SUBSTITUTE(SUBSTITUTE(SUBSTITUTE(Клиенты_исходные!D61," ",""),"-",""),"+",""),"(",""),")",""))=10,"+7 ("&amp;MID(SUBSTITUTE(SUBSTITUTE(SUBSTITUTE(SUBSTITUTE(SUBSTITUTE(Клиенты_исходные!D61," ",""),"-",""),"+",""),"(",""),")",""),1,3)&amp;") "&amp;MID(SUBSTITUTE(SUBSTITUTE(SUBSTITUTE(SUBSTITUTE(SUBSTITUTE(Клиенты_исходные!D61," ",""),"-",""),"+",""),"(",""),")",""),4,3)&amp;"-"&amp;MID(SUBSTITUTE(SUBSTITUTE(SUBSTITUTE(SUBSTITUTE(SUBSTITUTE(Клиенты_исходные!D61," ",""),"-",""),"+",""),"(",""),")",""),6,2)&amp;"-"&amp;MID(SUBSTITUTE(SUBSTITUTE(SUBSTITUTE(SUBSTITUTE(SUBSTITUTE(Клиенты_исходные!D61," ",""),"-",""),"+",""),"(",""),")",""),8,2),Клиенты_исходные!D61)))</f>
        <v xml:space="preserve">+7 (903) 678-90-12</v>
      </c>
      <c r="F61" t="str">
        <f>IFERROR(VLOOKUP(Клиенты_исходные!F61,Справочники!$J$2:$K$50,2,FALSE),Клиенты_исходные!F61)</f>
        <v>Абакан</v>
      </c>
      <c r="G61" s="8">
        <f>IFERROR(IF(ISNUMBER(FIND(".",Клиенты_исходные!G61)),DATE(RIGHT(Клиенты_исходные!G61,4),MID(Клиенты_исходные!G61,4,2),LEFT(Клиенты_исходные!G61,2)),DATE(LEFT(Клиенты_исходные!G61,4),MID(Клиенты_исходные!G61,6,2),RIGHT(Клиенты_исходные!G61,2))),Клиенты_исходные!G61)</f>
        <v>45148</v>
      </c>
      <c r="H61">
        <f t="shared" ca="1" si="46"/>
        <v>42</v>
      </c>
      <c r="I61" t="str">
        <f t="shared" si="47"/>
        <v>OK</v>
      </c>
      <c r="J61" t="str">
        <f t="shared" si="48"/>
        <v xml:space="preserve">Ошибка Email</v>
      </c>
    </row>
    <row r="62">
      <c r="A62" t="str">
        <f>Клиенты_исходные!A62</f>
        <v>C0061</v>
      </c>
      <c r="B62" t="str">
        <f>PROPER(TRIM(Клиенты_исходные!B62))</f>
        <v xml:space="preserve">Калинин Герман Викторович</v>
      </c>
      <c r="C62" s="8">
        <f>IFERROR(IF(ISNUMBER(FIND(".",Клиенты_исходные!C62)),DATE(RIGHT(Клиенты_исходные!C62,4),MID(Клиенты_исходные!C62,4,2),LEFT(Клиенты_исходные!C62,2)),DATE(LEFT(Клиенты_исходные!C62,4),MID(Клиенты_исходные!C62,6,2),RIGHT(Клиенты_исходные!C62,2))),Клиенты_исходные!C62)</f>
        <v>27846</v>
      </c>
      <c r="D62" t="str">
        <f>IF(ISBLANK(Клиенты_исходные!D62),"",IF(LEN(SUBSTITUTE(SUBSTITUTE(SUBSTITUTE(SUBSTITUTE(SUBSTITUTE(Клиенты_исходные!D62," ",""),"-",""),"+",""),"(",""),")",""))=11,"+7 ("&amp;MID(IF(LEFT(SUBSTITUTE(SUBSTITUTE(SUBSTITUTE(SUBSTITUTE(SUBSTITUTE(Клиенты_исходные!D62," ",""),"-",""),"+",""),"(",""),")",""))="8","7"&amp;MID(SUBSTITUTE(SUBSTITUTE(SUBSTITUTE(SUBSTITUTE(SUBSTITUTE(Клиенты_исходные!D62," ",""),"-",""),"+",""),"(",""),")",""),2,10),SUBSTITUTE(SUBSTITUTE(SUBSTITUTE(SUBSTITUTE(SUBSTITUTE(Клиенты_исходные!D62," ",""),"-",""),"+",""),"(",""),")","")),2,3)&amp;") "&amp;MID(IF(LEFT(SUBSTITUTE(SUBSTITUTE(SUBSTITUTE(SUBSTITUTE(SUBSTITUTE(Клиенты_исходные!D62," ",""),"-",""),"+",""),"(",""),")",""))="8","7"&amp;MID(SUBSTITUTE(SUBSTITUTE(SUBSTITUTE(SUBSTITUTE(SUBSTITUTE(Клиенты_исходные!D62," ",""),"-",""),"+",""),"(",""),")",""),2,10),SUBSTITUTE(SUBSTITUTE(SUBSTITUTE(SUBSTITUTE(SUBSTITUTE(Клиенты_исходные!D62," ",""),"-",""),"+",""),"(",""),")","")),5,3)&amp;"-"&amp;MID(IF(LEFT(SUBSTITUTE(SUBSTITUTE(SUBSTITUTE(SUBSTITUTE(SUBSTITUTE(Клиенты_исходные!D62," ",""),"-",""),"+",""),"(",""),")",""))="8","7"&amp;MID(SUBSTITUTE(SUBSTITUTE(SUBSTITUTE(SUBSTITUTE(SUBSTITUTE(Клиенты_исходные!D62," ",""),"-",""),"+",""),"(",""),")",""),2,10),SUBSTITUTE(SUBSTITUTE(SUBSTITUTE(SUBSTITUTE(SUBSTITUTE(Клиенты_исходные!D62," ",""),"-",""),"+",""),"(",""),")","")),8,2)&amp;"-"&amp;MID(IF(LEFT(SUBSTITUTE(SUBSTITUTE(SUBSTITUTE(SUBSTITUTE(SUBSTITUTE(Клиенты_исходные!D62," ",""),"-",""),"+",""),"(",""),")",""))="8","7"&amp;MID(SUBSTITUTE(SUBSTITUTE(SUBSTITUTE(SUBSTITUTE(SUBSTITUTE(Клиенты_исходные!D62," ",""),"-",""),"+",""),"(",""),")",""),2,10),SUBSTITUTE(SUBSTITUTE(SUBSTITUTE(SUBSTITUTE(SUBSTITUTE(Клиенты_исходные!D62," ",""),"-",""),"+",""),"(",""),")","")),10,2),IF(LEN(SUBSTITUTE(SUBSTITUTE(SUBSTITUTE(SUBSTITUTE(SUBSTITUTE(Клиенты_исходные!D62," ",""),"-",""),"+",""),"(",""),")",""))=10,"+7 ("&amp;MID(SUBSTITUTE(SUBSTITUTE(SUBSTITUTE(SUBSTITUTE(SUBSTITUTE(Клиенты_исходные!D62," ",""),"-",""),"+",""),"(",""),")",""),1,3)&amp;") "&amp;MID(SUBSTITUTE(SUBSTITUTE(SUBSTITUTE(SUBSTITUTE(SUBSTITUTE(Клиенты_исходные!D62," ",""),"-",""),"+",""),"(",""),")",""),4,3)&amp;"-"&amp;MID(SUBSTITUTE(SUBSTITUTE(SUBSTITUTE(SUBSTITUTE(SUBSTITUTE(Клиенты_исходные!D62," ",""),"-",""),"+",""),"(",""),")",""),6,2)&amp;"-"&amp;MID(SUBSTITUTE(SUBSTITUTE(SUBSTITUTE(SUBSTITUTE(SUBSTITUTE(Клиенты_исходные!D62," ",""),"-",""),"+",""),"(",""),")",""),8,2),Клиенты_исходные!D62)))</f>
        <v xml:space="preserve">+7 (903) 678-90-12</v>
      </c>
      <c r="F62" t="str">
        <f>IFERROR(VLOOKUP(Клиенты_исходные!F62,Справочники!$J$2:$K$50,2,FALSE),Клиенты_исходные!F62)</f>
        <v>Грозный</v>
      </c>
      <c r="G62" s="8">
        <f>IFERROR(IF(ISNUMBER(FIND(".",Клиенты_исходные!G62)),DATE(RIGHT(Клиенты_исходные!G62,4),MID(Клиенты_исходные!G62,4,2),LEFT(Клиенты_исходные!G62,2)),DATE(LEFT(Клиенты_исходные!G62,4),MID(Клиенты_исходные!G62,6,2),RIGHT(Клиенты_исходные!G62,2))),Клиенты_исходные!G62)</f>
        <v>45170</v>
      </c>
      <c r="H62">
        <f t="shared" ca="1" si="46"/>
        <v>50</v>
      </c>
      <c r="I62" t="str">
        <f t="shared" si="47"/>
        <v>OK</v>
      </c>
      <c r="J62" t="str">
        <f t="shared" si="48"/>
        <v xml:space="preserve">Ошибка Email</v>
      </c>
    </row>
    <row r="63">
      <c r="A63" t="str">
        <f>Клиенты_исходные!A63</f>
        <v>C0062</v>
      </c>
      <c r="B63" t="str">
        <f>PROPER(TRIM(Клиенты_исходные!B63))</f>
        <v xml:space="preserve">Мартынова Лариса Олеговна</v>
      </c>
      <c r="C63" s="8">
        <f>IFERROR(IF(ISNUMBER(FIND(".",Клиенты_исходные!C63)),DATE(RIGHT(Клиенты_исходные!C63,4),MID(Клиенты_исходные!C63,4,2),LEFT(Клиенты_исходные!C63,2)),DATE(LEFT(Клиенты_исходные!C63,4),MID(Клиенты_исходные!C63,6,2),RIGHT(Клиенты_исходные!C63,2))),Клиенты_исходные!C63)</f>
        <v>29930</v>
      </c>
      <c r="D63" t="str">
        <f>IF(ISBLANK(Клиенты_исходные!D63),"",IF(LEN(SUBSTITUTE(SUBSTITUTE(SUBSTITUTE(SUBSTITUTE(SUBSTITUTE(Клиенты_исходные!D63," ",""),"-",""),"+",""),"(",""),")",""))=11,"+7 ("&amp;MID(IF(LEFT(SUBSTITUTE(SUBSTITUTE(SUBSTITUTE(SUBSTITUTE(SUBSTITUTE(Клиенты_исходные!D63," ",""),"-",""),"+",""),"(",""),")",""))="8","7"&amp;MID(SUBSTITUTE(SUBSTITUTE(SUBSTITUTE(SUBSTITUTE(SUBSTITUTE(Клиенты_исходные!D63," ",""),"-",""),"+",""),"(",""),")",""),2,10),SUBSTITUTE(SUBSTITUTE(SUBSTITUTE(SUBSTITUTE(SUBSTITUTE(Клиенты_исходные!D63," ",""),"-",""),"+",""),"(",""),")","")),2,3)&amp;") "&amp;MID(IF(LEFT(SUBSTITUTE(SUBSTITUTE(SUBSTITUTE(SUBSTITUTE(SUBSTITUTE(Клиенты_исходные!D63," ",""),"-",""),"+",""),"(",""),")",""))="8","7"&amp;MID(SUBSTITUTE(SUBSTITUTE(SUBSTITUTE(SUBSTITUTE(SUBSTITUTE(Клиенты_исходные!D63," ",""),"-",""),"+",""),"(",""),")",""),2,10),SUBSTITUTE(SUBSTITUTE(SUBSTITUTE(SUBSTITUTE(SUBSTITUTE(Клиенты_исходные!D63," ",""),"-",""),"+",""),"(",""),")","")),5,3)&amp;"-"&amp;MID(IF(LEFT(SUBSTITUTE(SUBSTITUTE(SUBSTITUTE(SUBSTITUTE(SUBSTITUTE(Клиенты_исходные!D63," ",""),"-",""),"+",""),"(",""),")",""))="8","7"&amp;MID(SUBSTITUTE(SUBSTITUTE(SUBSTITUTE(SUBSTITUTE(SUBSTITUTE(Клиенты_исходные!D63," ",""),"-",""),"+",""),"(",""),")",""),2,10),SUBSTITUTE(SUBSTITUTE(SUBSTITUTE(SUBSTITUTE(SUBSTITUTE(Клиенты_исходные!D63," ",""),"-",""),"+",""),"(",""),")","")),8,2)&amp;"-"&amp;MID(IF(LEFT(SUBSTITUTE(SUBSTITUTE(SUBSTITUTE(SUBSTITUTE(SUBSTITUTE(Клиенты_исходные!D63," ",""),"-",""),"+",""),"(",""),")",""))="8","7"&amp;MID(SUBSTITUTE(SUBSTITUTE(SUBSTITUTE(SUBSTITUTE(SUBSTITUTE(Клиенты_исходные!D63," ",""),"-",""),"+",""),"(",""),")",""),2,10),SUBSTITUTE(SUBSTITUTE(SUBSTITUTE(SUBSTITUTE(SUBSTITUTE(Клиенты_исходные!D63," ",""),"-",""),"+",""),"(",""),")","")),10,2),IF(LEN(SUBSTITUTE(SUBSTITUTE(SUBSTITUTE(SUBSTITUTE(SUBSTITUTE(Клиенты_исходные!D63," ",""),"-",""),"+",""),"(",""),")",""))=10,"+7 ("&amp;MID(SUBSTITUTE(SUBSTITUTE(SUBSTITUTE(SUBSTITUTE(SUBSTITUTE(Клиенты_исходные!D63," ",""),"-",""),"+",""),"(",""),")",""),1,3)&amp;") "&amp;MID(SUBSTITUTE(SUBSTITUTE(SUBSTITUTE(SUBSTITUTE(SUBSTITUTE(Клиенты_исходные!D63," ",""),"-",""),"+",""),"(",""),")",""),4,3)&amp;"-"&amp;MID(SUBSTITUTE(SUBSTITUTE(SUBSTITUTE(SUBSTITUTE(SUBSTITUTE(Клиенты_исходные!D63," ",""),"-",""),"+",""),"(",""),")",""),6,2)&amp;"-"&amp;MID(SUBSTITUTE(SUBSTITUTE(SUBSTITUTE(SUBSTITUTE(SUBSTITUTE(Клиенты_исходные!D63," ",""),"-",""),"+",""),"(",""),")",""),8,2),Клиенты_исходные!D63)))</f>
        <v xml:space="preserve">+7 (903) 678-90-12</v>
      </c>
      <c r="F63" t="str">
        <f>IFERROR(VLOOKUP(Клиенты_исходные!F63,Справочники!$J$2:$K$50,2,FALSE),Клиенты_исходные!F63)</f>
        <v>Бийск</v>
      </c>
      <c r="G63" s="8">
        <f>IFERROR(IF(ISNUMBER(FIND(".",Клиенты_исходные!G63)),DATE(RIGHT(Клиенты_исходные!G63,4),MID(Клиенты_исходные!G63,4,2),LEFT(Клиенты_исходные!G63,2)),DATE(LEFT(Клиенты_исходные!G63,4),MID(Клиенты_исходные!G63,6,2),RIGHT(Клиенты_исходные!G63,2))),Клиенты_исходные!G63)</f>
        <v>45184</v>
      </c>
      <c r="H63">
        <f t="shared" ca="1" si="46"/>
        <v>44</v>
      </c>
      <c r="I63" t="str">
        <f t="shared" si="47"/>
        <v>OK</v>
      </c>
      <c r="J63" t="str">
        <f t="shared" si="48"/>
        <v xml:space="preserve">Ошибка Email</v>
      </c>
    </row>
    <row r="64">
      <c r="A64" t="str">
        <f>Клиенты_исходные!A64</f>
        <v>C0063</v>
      </c>
      <c r="B64" t="str">
        <f>PROPER(TRIM(Клиенты_исходные!B64))</f>
        <v xml:space="preserve">Одинцов Сергей Алексеевич</v>
      </c>
      <c r="C64" s="8">
        <f>IFERROR(IF(ISNUMBER(FIND(".",Клиенты_исходные!C64)),DATE(RIGHT(Клиенты_исходные!C64,4),MID(Клиенты_исходные!C64,4,2),LEFT(Клиенты_исходные!C64,2)),DATE(LEFT(Клиенты_исходные!C64,4),MID(Клиенты_исходные!C64,6,2),RIGHT(Клиенты_исходные!C64,2))),Клиенты_исходные!C64)</f>
        <v>32438</v>
      </c>
      <c r="D64" t="str">
        <f>IF(ISBLANK(Клиенты_исходные!D64),"",IF(LEN(SUBSTITUTE(SUBSTITUTE(SUBSTITUTE(SUBSTITUTE(SUBSTITUTE(Клиенты_исходные!D64," ",""),"-",""),"+",""),"(",""),")",""))=11,"+7 ("&amp;MID(IF(LEFT(SUBSTITUTE(SUBSTITUTE(SUBSTITUTE(SUBSTITUTE(SUBSTITUTE(Клиенты_исходные!D64," ",""),"-",""),"+",""),"(",""),")",""))="8","7"&amp;MID(SUBSTITUTE(SUBSTITUTE(SUBSTITUTE(SUBSTITUTE(SUBSTITUTE(Клиенты_исходные!D64," ",""),"-",""),"+",""),"(",""),")",""),2,10),SUBSTITUTE(SUBSTITUTE(SUBSTITUTE(SUBSTITUTE(SUBSTITUTE(Клиенты_исходные!D64," ",""),"-",""),"+",""),"(",""),")","")),2,3)&amp;") "&amp;MID(IF(LEFT(SUBSTITUTE(SUBSTITUTE(SUBSTITUTE(SUBSTITUTE(SUBSTITUTE(Клиенты_исходные!D64," ",""),"-",""),"+",""),"(",""),")",""))="8","7"&amp;MID(SUBSTITUTE(SUBSTITUTE(SUBSTITUTE(SUBSTITUTE(SUBSTITUTE(Клиенты_исходные!D64," ",""),"-",""),"+",""),"(",""),")",""),2,10),SUBSTITUTE(SUBSTITUTE(SUBSTITUTE(SUBSTITUTE(SUBSTITUTE(Клиенты_исходные!D64," ",""),"-",""),"+",""),"(",""),")","")),5,3)&amp;"-"&amp;MID(IF(LEFT(SUBSTITUTE(SUBSTITUTE(SUBSTITUTE(SUBSTITUTE(SUBSTITUTE(Клиенты_исходные!D64," ",""),"-",""),"+",""),"(",""),")",""))="8","7"&amp;MID(SUBSTITUTE(SUBSTITUTE(SUBSTITUTE(SUBSTITUTE(SUBSTITUTE(Клиенты_исходные!D64," ",""),"-",""),"+",""),"(",""),")",""),2,10),SUBSTITUTE(SUBSTITUTE(SUBSTITUTE(SUBSTITUTE(SUBSTITUTE(Клиенты_исходные!D64," ",""),"-",""),"+",""),"(",""),")","")),8,2)&amp;"-"&amp;MID(IF(LEFT(SUBSTITUTE(SUBSTITUTE(SUBSTITUTE(SUBSTITUTE(SUBSTITUTE(Клиенты_исходные!D64," ",""),"-",""),"+",""),"(",""),")",""))="8","7"&amp;MID(SUBSTITUTE(SUBSTITUTE(SUBSTITUTE(SUBSTITUTE(SUBSTITUTE(Клиенты_исходные!D64," ",""),"-",""),"+",""),"(",""),")",""),2,10),SUBSTITUTE(SUBSTITUTE(SUBSTITUTE(SUBSTITUTE(SUBSTITUTE(Клиенты_исходные!D64," ",""),"-",""),"+",""),"(",""),")","")),10,2),IF(LEN(SUBSTITUTE(SUBSTITUTE(SUBSTITUTE(SUBSTITUTE(SUBSTITUTE(Клиенты_исходные!D64," ",""),"-",""),"+",""),"(",""),")",""))=10,"+7 ("&amp;MID(SUBSTITUTE(SUBSTITUTE(SUBSTITUTE(SUBSTITUTE(SUBSTITUTE(Клиенты_исходные!D64," ",""),"-",""),"+",""),"(",""),")",""),1,3)&amp;") "&amp;MID(SUBSTITUTE(SUBSTITUTE(SUBSTITUTE(SUBSTITUTE(SUBSTITUTE(Клиенты_исходные!D64," ",""),"-",""),"+",""),"(",""),")",""),4,3)&amp;"-"&amp;MID(SUBSTITUTE(SUBSTITUTE(SUBSTITUTE(SUBSTITUTE(SUBSTITUTE(Клиенты_исходные!D64," ",""),"-",""),"+",""),"(",""),")",""),6,2)&amp;"-"&amp;MID(SUBSTITUTE(SUBSTITUTE(SUBSTITUTE(SUBSTITUTE(SUBSTITUTE(Клиенты_исходные!D64," ",""),"-",""),"+",""),"(",""),")",""),8,2),Клиенты_исходные!D64)))</f>
        <v xml:space="preserve">+7 (903) 789-01-23</v>
      </c>
      <c r="F64" t="str">
        <f>IFERROR(VLOOKUP(Клиенты_исходные!F64,Справочники!$J$2:$K$50,2,FALSE),Клиенты_исходные!F64)</f>
        <v>Йошкар-Ола</v>
      </c>
      <c r="G64" s="8">
        <f>IFERROR(IF(ISNUMBER(FIND(".",Клиенты_исходные!G64)),DATE(RIGHT(Клиенты_исходные!G64,4),MID(Клиенты_исходные!G64,4,2),LEFT(Клиенты_исходные!G64,2)),DATE(LEFT(Клиенты_исходные!G64,4),MID(Клиенты_исходные!G64,6,2),RIGHT(Клиенты_исходные!G64,2))),Клиенты_исходные!G64)</f>
        <v>45184</v>
      </c>
      <c r="H64">
        <f t="shared" ca="1" si="46"/>
        <v>37</v>
      </c>
      <c r="I64" t="str">
        <f t="shared" si="47"/>
        <v>OK</v>
      </c>
      <c r="J64" t="str">
        <f t="shared" si="48"/>
        <v xml:space="preserve">Ошибка Email</v>
      </c>
    </row>
    <row r="65">
      <c r="A65" t="str">
        <f>Клиенты_исходные!A65</f>
        <v>C0064</v>
      </c>
      <c r="B65" t="str">
        <f>PROPER(TRIM(Клиенты_исходные!B65))</f>
        <v xml:space="preserve">Емельянова Татьяна Николаевна</v>
      </c>
      <c r="C65" s="8">
        <f>IFERROR(IF(ISNUMBER(FIND(".",Клиенты_исходные!C65)),DATE(RIGHT(Клиенты_исходные!C65,4),MID(Клиенты_исходные!C65,4,2),LEFT(Клиенты_исходные!C65,2)),DATE(LEFT(Клиенты_исходные!C65,4),MID(Клиенты_исходные!C65,6,2),RIGHT(Клиенты_исходные!C65,2))),Клиенты_исходные!C65)</f>
        <v>26515</v>
      </c>
      <c r="D65" t="str">
        <f>IF(ISBLANK(Клиенты_исходные!D65),"",IF(LEN(SUBSTITUTE(SUBSTITUTE(SUBSTITUTE(SUBSTITUTE(SUBSTITUTE(Клиенты_исходные!D65," ",""),"-",""),"+",""),"(",""),")",""))=11,"+7 ("&amp;MID(IF(LEFT(SUBSTITUTE(SUBSTITUTE(SUBSTITUTE(SUBSTITUTE(SUBSTITUTE(Клиенты_исходные!D65," ",""),"-",""),"+",""),"(",""),")",""))="8","7"&amp;MID(SUBSTITUTE(SUBSTITUTE(SUBSTITUTE(SUBSTITUTE(SUBSTITUTE(Клиенты_исходные!D65," ",""),"-",""),"+",""),"(",""),")",""),2,10),SUBSTITUTE(SUBSTITUTE(SUBSTITUTE(SUBSTITUTE(SUBSTITUTE(Клиенты_исходные!D65," ",""),"-",""),"+",""),"(",""),")","")),2,3)&amp;") "&amp;MID(IF(LEFT(SUBSTITUTE(SUBSTITUTE(SUBSTITUTE(SUBSTITUTE(SUBSTITUTE(Клиенты_исходные!D65," ",""),"-",""),"+",""),"(",""),")",""))="8","7"&amp;MID(SUBSTITUTE(SUBSTITUTE(SUBSTITUTE(SUBSTITUTE(SUBSTITUTE(Клиенты_исходные!D65," ",""),"-",""),"+",""),"(",""),")",""),2,10),SUBSTITUTE(SUBSTITUTE(SUBSTITUTE(SUBSTITUTE(SUBSTITUTE(Клиенты_исходные!D65," ",""),"-",""),"+",""),"(",""),")","")),5,3)&amp;"-"&amp;MID(IF(LEFT(SUBSTITUTE(SUBSTITUTE(SUBSTITUTE(SUBSTITUTE(SUBSTITUTE(Клиенты_исходные!D65," ",""),"-",""),"+",""),"(",""),")",""))="8","7"&amp;MID(SUBSTITUTE(SUBSTITUTE(SUBSTITUTE(SUBSTITUTE(SUBSTITUTE(Клиенты_исходные!D65," ",""),"-",""),"+",""),"(",""),")",""),2,10),SUBSTITUTE(SUBSTITUTE(SUBSTITUTE(SUBSTITUTE(SUBSTITUTE(Клиенты_исходные!D65," ",""),"-",""),"+",""),"(",""),")","")),8,2)&amp;"-"&amp;MID(IF(LEFT(SUBSTITUTE(SUBSTITUTE(SUBSTITUTE(SUBSTITUTE(SUBSTITUTE(Клиенты_исходные!D65," ",""),"-",""),"+",""),"(",""),")",""))="8","7"&amp;MID(SUBSTITUTE(SUBSTITUTE(SUBSTITUTE(SUBSTITUTE(SUBSTITUTE(Клиенты_исходные!D65," ",""),"-",""),"+",""),"(",""),")",""),2,10),SUBSTITUTE(SUBSTITUTE(SUBSTITUTE(SUBSTITUTE(SUBSTITUTE(Клиенты_исходные!D65," ",""),"-",""),"+",""),"(",""),")","")),10,2),IF(LEN(SUBSTITUTE(SUBSTITUTE(SUBSTITUTE(SUBSTITUTE(SUBSTITUTE(Клиенты_исходные!D65," ",""),"-",""),"+",""),"(",""),")",""))=10,"+7 ("&amp;MID(SUBSTITUTE(SUBSTITUTE(SUBSTITUTE(SUBSTITUTE(SUBSTITUTE(Клиенты_исходные!D65," ",""),"-",""),"+",""),"(",""),")",""),1,3)&amp;") "&amp;MID(SUBSTITUTE(SUBSTITUTE(SUBSTITUTE(SUBSTITUTE(SUBSTITUTE(Клиенты_исходные!D65," ",""),"-",""),"+",""),"(",""),")",""),4,3)&amp;"-"&amp;MID(SUBSTITUTE(SUBSTITUTE(SUBSTITUTE(SUBSTITUTE(SUBSTITUTE(Клиенты_исходные!D65," ",""),"-",""),"+",""),"(",""),")",""),6,2)&amp;"-"&amp;MID(SUBSTITUTE(SUBSTITUTE(SUBSTITUTE(SUBSTITUTE(SUBSTITUTE(Клиенты_исходные!D65," ",""),"-",""),"+",""),"(",""),")",""),8,2),Клиенты_исходные!D65)))</f>
        <v xml:space="preserve">+7 (903) 789-01-23</v>
      </c>
      <c r="F65" t="str">
        <f>IFERROR(VLOOKUP(Клиенты_исходные!F65,Справочники!$J$2:$K$50,2,FALSE),Клиенты_исходные!F65)</f>
        <v>Курган</v>
      </c>
      <c r="G65" s="8">
        <f>IFERROR(IF(ISNUMBER(FIND(".",Клиенты_исходные!G65)),DATE(RIGHT(Клиенты_исходные!G65,4),MID(Клиенты_исходные!G65,4,2),LEFT(Клиенты_исходные!G65,2)),DATE(LEFT(Клиенты_исходные!G65,4),MID(Клиенты_исходные!G65,6,2),RIGHT(Клиенты_исходные!G65,2))),Клиенты_исходные!G65)</f>
        <v>45200</v>
      </c>
      <c r="H65">
        <f t="shared" ca="1" si="46"/>
        <v>54</v>
      </c>
      <c r="I65" t="str">
        <f t="shared" si="47"/>
        <v>OK</v>
      </c>
      <c r="J65" t="str">
        <f t="shared" si="48"/>
        <v xml:space="preserve">Ошибка Email</v>
      </c>
    </row>
    <row r="66">
      <c r="A66" t="str">
        <f>Клиенты_исходные!A66</f>
        <v>C0065</v>
      </c>
      <c r="B66" t="str">
        <f>PROPER(TRIM(Клиенты_исходные!B66))</f>
        <v xml:space="preserve">Павлов Антон Сергеевич</v>
      </c>
      <c r="C66" s="8">
        <f>IFERROR(IF(ISNUMBER(FIND(".",Клиенты_исходные!C66)),DATE(RIGHT(Клиенты_исходные!C66,4),MID(Клиенты_исходные!C66,4,2),LEFT(Клиенты_исходные!C66,2)),DATE(LEFT(Клиенты_исходные!C66,4),MID(Клиенты_исходные!C66,6,2),RIGHT(Клиенты_исходные!C66,2))),Клиенты_исходные!C66)</f>
        <v>35022</v>
      </c>
      <c r="D66" t="str">
        <f>IF(ISBLANK(Клиенты_исходные!D66),"",IF(LEN(SUBSTITUTE(SUBSTITUTE(SUBSTITUTE(SUBSTITUTE(SUBSTITUTE(Клиенты_исходные!D66," ",""),"-",""),"+",""),"(",""),")",""))=11,"+7 ("&amp;MID(IF(LEFT(SUBSTITUTE(SUBSTITUTE(SUBSTITUTE(SUBSTITUTE(SUBSTITUTE(Клиенты_исходные!D66," ",""),"-",""),"+",""),"(",""),")",""))="8","7"&amp;MID(SUBSTITUTE(SUBSTITUTE(SUBSTITUTE(SUBSTITUTE(SUBSTITUTE(Клиенты_исходные!D66," ",""),"-",""),"+",""),"(",""),")",""),2,10),SUBSTITUTE(SUBSTITUTE(SUBSTITUTE(SUBSTITUTE(SUBSTITUTE(Клиенты_исходные!D66," ",""),"-",""),"+",""),"(",""),")","")),2,3)&amp;") "&amp;MID(IF(LEFT(SUBSTITUTE(SUBSTITUTE(SUBSTITUTE(SUBSTITUTE(SUBSTITUTE(Клиенты_исходные!D66," ",""),"-",""),"+",""),"(",""),")",""))="8","7"&amp;MID(SUBSTITUTE(SUBSTITUTE(SUBSTITUTE(SUBSTITUTE(SUBSTITUTE(Клиенты_исходные!D66," ",""),"-",""),"+",""),"(",""),")",""),2,10),SUBSTITUTE(SUBSTITUTE(SUBSTITUTE(SUBSTITUTE(SUBSTITUTE(Клиенты_исходные!D66," ",""),"-",""),"+",""),"(",""),")","")),5,3)&amp;"-"&amp;MID(IF(LEFT(SUBSTITUTE(SUBSTITUTE(SUBSTITUTE(SUBSTITUTE(SUBSTITUTE(Клиенты_исходные!D66," ",""),"-",""),"+",""),"(",""),")",""))="8","7"&amp;MID(SUBSTITUTE(SUBSTITUTE(SUBSTITUTE(SUBSTITUTE(SUBSTITUTE(Клиенты_исходные!D66," ",""),"-",""),"+",""),"(",""),")",""),2,10),SUBSTITUTE(SUBSTITUTE(SUBSTITUTE(SUBSTITUTE(SUBSTITUTE(Клиенты_исходные!D66," ",""),"-",""),"+",""),"(",""),")","")),8,2)&amp;"-"&amp;MID(IF(LEFT(SUBSTITUTE(SUBSTITUTE(SUBSTITUTE(SUBSTITUTE(SUBSTITUTE(Клиенты_исходные!D66," ",""),"-",""),"+",""),"(",""),")",""))="8","7"&amp;MID(SUBSTITUTE(SUBSTITUTE(SUBSTITUTE(SUBSTITUTE(SUBSTITUTE(Клиенты_исходные!D66," ",""),"-",""),"+",""),"(",""),")",""),2,10),SUBSTITUTE(SUBSTITUTE(SUBSTITUTE(SUBSTITUTE(SUBSTITUTE(Клиенты_исходные!D66," ",""),"-",""),"+",""),"(",""),")","")),10,2),IF(LEN(SUBSTITUTE(SUBSTITUTE(SUBSTITUTE(SUBSTITUTE(SUBSTITUTE(Клиенты_исходные!D66," ",""),"-",""),"+",""),"(",""),")",""))=10,"+7 ("&amp;MID(SUBSTITUTE(SUBSTITUTE(SUBSTITUTE(SUBSTITUTE(SUBSTITUTE(Клиенты_исходные!D66," ",""),"-",""),"+",""),"(",""),")",""),1,3)&amp;") "&amp;MID(SUBSTITUTE(SUBSTITUTE(SUBSTITUTE(SUBSTITUTE(SUBSTITUTE(Клиенты_исходные!D66," ",""),"-",""),"+",""),"(",""),")",""),4,3)&amp;"-"&amp;MID(SUBSTITUTE(SUBSTITUTE(SUBSTITUTE(SUBSTITUTE(SUBSTITUTE(Клиенты_исходные!D66," ",""),"-",""),"+",""),"(",""),")",""),6,2)&amp;"-"&amp;MID(SUBSTITUTE(SUBSTITUTE(SUBSTITUTE(SUBSTITUTE(SUBSTITUTE(Клиенты_исходные!D66," ",""),"-",""),"+",""),"(",""),")",""),8,2),Клиенты_исходные!D66)))</f>
        <v xml:space="preserve">+7 (903) 789-01-23</v>
      </c>
      <c r="F66" t="str">
        <f>IFERROR(VLOOKUP(Клиенты_исходные!F66,Справочники!$J$2:$K$50,2,FALSE),Клиенты_исходные!F66)</f>
        <v>Архангельск</v>
      </c>
      <c r="G66" s="8">
        <f>IFERROR(IF(ISNUMBER(FIND(".",Клиенты_исходные!G66)),DATE(RIGHT(Клиенты_исходные!G66,4),MID(Клиенты_исходные!G66,4,2),LEFT(Клиенты_исходные!G66,2)),DATE(LEFT(Клиенты_исходные!G66,4),MID(Клиенты_исходные!G66,6,2),RIGHT(Клиенты_исходные!G66,2))),Клиенты_исходные!G66)</f>
        <v>45209</v>
      </c>
      <c r="H66">
        <f t="shared" ca="1" si="46"/>
        <v>30</v>
      </c>
      <c r="I66" t="str">
        <f t="shared" si="47"/>
        <v>OK</v>
      </c>
      <c r="J66" t="str">
        <f t="shared" si="48"/>
        <v xml:space="preserve">Ошибка Email</v>
      </c>
    </row>
    <row r="67">
      <c r="A67" t="str">
        <f>Клиенты_исходные!A67</f>
        <v>C0066</v>
      </c>
      <c r="B67" t="str">
        <f>PROPER(TRIM(Клиенты_исходные!B67))</f>
        <v xml:space="preserve">Морозова Алина Викторовна</v>
      </c>
      <c r="C67" s="8">
        <f>IFERROR(IF(ISNUMBER(FIND(".",Клиенты_исходные!C67)),DATE(RIGHT(Клиенты_исходные!C67,4),MID(Клиенты_исходные!C67,4,2),LEFT(Клиенты_исходные!C67,2)),DATE(LEFT(Клиенты_исходные!C67,4),MID(Клиенты_исходные!C67,6,2),RIGHT(Клиенты_исходные!C67,2))),Клиенты_исходные!C67)</f>
        <v>30490</v>
      </c>
      <c r="D67" t="str">
        <f>IF(ISBLANK(Клиенты_исходные!D67),"",IF(LEN(SUBSTITUTE(SUBSTITUTE(SUBSTITUTE(SUBSTITUTE(SUBSTITUTE(Клиенты_исходные!D67," ",""),"-",""),"+",""),"(",""),")",""))=11,"+7 ("&amp;MID(IF(LEFT(SUBSTITUTE(SUBSTITUTE(SUBSTITUTE(SUBSTITUTE(SUBSTITUTE(Клиенты_исходные!D67," ",""),"-",""),"+",""),"(",""),")",""))="8","7"&amp;MID(SUBSTITUTE(SUBSTITUTE(SUBSTITUTE(SUBSTITUTE(SUBSTITUTE(Клиенты_исходные!D67," ",""),"-",""),"+",""),"(",""),")",""),2,10),SUBSTITUTE(SUBSTITUTE(SUBSTITUTE(SUBSTITUTE(SUBSTITUTE(Клиенты_исходные!D67," ",""),"-",""),"+",""),"(",""),")","")),2,3)&amp;") "&amp;MID(IF(LEFT(SUBSTITUTE(SUBSTITUTE(SUBSTITUTE(SUBSTITUTE(SUBSTITUTE(Клиенты_исходные!D67," ",""),"-",""),"+",""),"(",""),")",""))="8","7"&amp;MID(SUBSTITUTE(SUBSTITUTE(SUBSTITUTE(SUBSTITUTE(SUBSTITUTE(Клиенты_исходные!D67," ",""),"-",""),"+",""),"(",""),")",""),2,10),SUBSTITUTE(SUBSTITUTE(SUBSTITUTE(SUBSTITUTE(SUBSTITUTE(Клиенты_исходные!D67," ",""),"-",""),"+",""),"(",""),")","")),5,3)&amp;"-"&amp;MID(IF(LEFT(SUBSTITUTE(SUBSTITUTE(SUBSTITUTE(SUBSTITUTE(SUBSTITUTE(Клиенты_исходные!D67," ",""),"-",""),"+",""),"(",""),")",""))="8","7"&amp;MID(SUBSTITUTE(SUBSTITUTE(SUBSTITUTE(SUBSTITUTE(SUBSTITUTE(Клиенты_исходные!D67," ",""),"-",""),"+",""),"(",""),")",""),2,10),SUBSTITUTE(SUBSTITUTE(SUBSTITUTE(SUBSTITUTE(SUBSTITUTE(Клиенты_исходные!D67," ",""),"-",""),"+",""),"(",""),")","")),8,2)&amp;"-"&amp;MID(IF(LEFT(SUBSTITUTE(SUBSTITUTE(SUBSTITUTE(SUBSTITUTE(SUBSTITUTE(Клиенты_исходные!D67," ",""),"-",""),"+",""),"(",""),")",""))="8","7"&amp;MID(SUBSTITUTE(SUBSTITUTE(SUBSTITUTE(SUBSTITUTE(SUBSTITUTE(Клиенты_исходные!D67," ",""),"-",""),"+",""),"(",""),")",""),2,10),SUBSTITUTE(SUBSTITUTE(SUBSTITUTE(SUBSTITUTE(SUBSTITUTE(Клиенты_исходные!D67," ",""),"-",""),"+",""),"(",""),")","")),10,2),IF(LEN(SUBSTITUTE(SUBSTITUTE(SUBSTITUTE(SUBSTITUTE(SUBSTITUTE(Клиенты_исходные!D67," ",""),"-",""),"+",""),"(",""),")",""))=10,"+7 ("&amp;MID(SUBSTITUTE(SUBSTITUTE(SUBSTITUTE(SUBSTITUTE(SUBSTITUTE(Клиенты_исходные!D67," ",""),"-",""),"+",""),"(",""),")",""),1,3)&amp;") "&amp;MID(SUBSTITUTE(SUBSTITUTE(SUBSTITUTE(SUBSTITUTE(SUBSTITUTE(Клиенты_исходные!D67," ",""),"-",""),"+",""),"(",""),")",""),4,3)&amp;"-"&amp;MID(SUBSTITUTE(SUBSTITUTE(SUBSTITUTE(SUBSTITUTE(SUBSTITUTE(Клиенты_исходные!D67," ",""),"-",""),"+",""),"(",""),")",""),6,2)&amp;"-"&amp;MID(SUBSTITUTE(SUBSTITUTE(SUBSTITUTE(SUBSTITUTE(SUBSTITUTE(Клиенты_исходные!D67," ",""),"-",""),"+",""),"(",""),")",""),8,2),Клиенты_исходные!D67)))</f>
        <v xml:space="preserve">+7 (903) 890-12-34</v>
      </c>
      <c r="F67" t="str">
        <f>IFERROR(VLOOKUP(Клиенты_исходные!F67,Справочники!$J$2:$K$50,2,FALSE),Клиенты_исходные!F67)</f>
        <v>Благовещенск</v>
      </c>
      <c r="G67" s="8">
        <f>IFERROR(IF(ISNUMBER(FIND(".",Клиенты_исходные!G67)),DATE(RIGHT(Клиенты_исходные!G67,4),MID(Клиенты_исходные!G67,4,2),LEFT(Клиенты_исходные!G67,2)),DATE(LEFT(Клиенты_исходные!G67,4),MID(Клиенты_исходные!G67,6,2),RIGHT(Клиенты_исходные!G67,2))),Клиенты_исходные!G67)</f>
        <v>45209</v>
      </c>
      <c r="H67">
        <f t="shared" ca="1" si="46"/>
        <v>43</v>
      </c>
      <c r="I67" t="str">
        <f t="shared" si="47"/>
        <v>OK</v>
      </c>
      <c r="J67" t="str">
        <f t="shared" si="48"/>
        <v xml:space="preserve">Ошибка Email</v>
      </c>
    </row>
    <row r="68">
      <c r="A68" t="str">
        <f>Клиенты_исходные!A68</f>
        <v>C0067</v>
      </c>
      <c r="B68" t="str">
        <f>PROPER(TRIM(Клиенты_исходные!B68))</f>
        <v xml:space="preserve">Кожевникова Инна Александровна</v>
      </c>
      <c r="C68" s="8">
        <f>IFERROR(IF(ISNUMBER(FIND(".",Клиенты_исходные!C68)),DATE(RIGHT(Клиенты_исходные!C68,4),MID(Клиенты_исходные!C68,4,2),LEFT(Клиенты_исходные!C68,2)),DATE(LEFT(Клиенты_исходные!C68,4),MID(Клиенты_исходные!C68,6,2),RIGHT(Клиенты_исходные!C68,2))),Клиенты_исходные!C68)</f>
        <v>28506</v>
      </c>
      <c r="D68" t="str">
        <f>IF(ISBLANK(Клиенты_исходные!D68),"",IF(LEN(SUBSTITUTE(SUBSTITUTE(SUBSTITUTE(SUBSTITUTE(SUBSTITUTE(Клиенты_исходные!D68," ",""),"-",""),"+",""),"(",""),")",""))=11,"+7 ("&amp;MID(IF(LEFT(SUBSTITUTE(SUBSTITUTE(SUBSTITUTE(SUBSTITUTE(SUBSTITUTE(Клиенты_исходные!D68," ",""),"-",""),"+",""),"(",""),")",""))="8","7"&amp;MID(SUBSTITUTE(SUBSTITUTE(SUBSTITUTE(SUBSTITUTE(SUBSTITUTE(Клиенты_исходные!D68," ",""),"-",""),"+",""),"(",""),")",""),2,10),SUBSTITUTE(SUBSTITUTE(SUBSTITUTE(SUBSTITUTE(SUBSTITUTE(Клиенты_исходные!D68," ",""),"-",""),"+",""),"(",""),")","")),2,3)&amp;") "&amp;MID(IF(LEFT(SUBSTITUTE(SUBSTITUTE(SUBSTITUTE(SUBSTITUTE(SUBSTITUTE(Клиенты_исходные!D68," ",""),"-",""),"+",""),"(",""),")",""))="8","7"&amp;MID(SUBSTITUTE(SUBSTITUTE(SUBSTITUTE(SUBSTITUTE(SUBSTITUTE(Клиенты_исходные!D68," ",""),"-",""),"+",""),"(",""),")",""),2,10),SUBSTITUTE(SUBSTITUTE(SUBSTITUTE(SUBSTITUTE(SUBSTITUTE(Клиенты_исходные!D68," ",""),"-",""),"+",""),"(",""),")","")),5,3)&amp;"-"&amp;MID(IF(LEFT(SUBSTITUTE(SUBSTITUTE(SUBSTITUTE(SUBSTITUTE(SUBSTITUTE(Клиенты_исходные!D68," ",""),"-",""),"+",""),"(",""),")",""))="8","7"&amp;MID(SUBSTITUTE(SUBSTITUTE(SUBSTITUTE(SUBSTITUTE(SUBSTITUTE(Клиенты_исходные!D68," ",""),"-",""),"+",""),"(",""),")",""),2,10),SUBSTITUTE(SUBSTITUTE(SUBSTITUTE(SUBSTITUTE(SUBSTITUTE(Клиенты_исходные!D68," ",""),"-",""),"+",""),"(",""),")","")),8,2)&amp;"-"&amp;MID(IF(LEFT(SUBSTITUTE(SUBSTITUTE(SUBSTITUTE(SUBSTITUTE(SUBSTITUTE(Клиенты_исходные!D68," ",""),"-",""),"+",""),"(",""),")",""))="8","7"&amp;MID(SUBSTITUTE(SUBSTITUTE(SUBSTITUTE(SUBSTITUTE(SUBSTITUTE(Клиенты_исходные!D68," ",""),"-",""),"+",""),"(",""),")",""),2,10),SUBSTITUTE(SUBSTITUTE(SUBSTITUTE(SUBSTITUTE(SUBSTITUTE(Клиенты_исходные!D68," ",""),"-",""),"+",""),"(",""),")","")),10,2),IF(LEN(SUBSTITUTE(SUBSTITUTE(SUBSTITUTE(SUBSTITUTE(SUBSTITUTE(Клиенты_исходные!D68," ",""),"-",""),"+",""),"(",""),")",""))=10,"+7 ("&amp;MID(SUBSTITUTE(SUBSTITUTE(SUBSTITUTE(SUBSTITUTE(SUBSTITUTE(Клиенты_исходные!D68," ",""),"-",""),"+",""),"(",""),")",""),1,3)&amp;") "&amp;MID(SUBSTITUTE(SUBSTITUTE(SUBSTITUTE(SUBSTITUTE(SUBSTITUTE(Клиенты_исходные!D68," ",""),"-",""),"+",""),"(",""),")",""),4,3)&amp;"-"&amp;MID(SUBSTITUTE(SUBSTITUTE(SUBSTITUTE(SUBSTITUTE(SUBSTITUTE(Клиенты_исходные!D68," ",""),"-",""),"+",""),"(",""),")",""),6,2)&amp;"-"&amp;MID(SUBSTITUTE(SUBSTITUTE(SUBSTITUTE(SUBSTITUTE(SUBSTITUTE(Клиенты_исходные!D68," ",""),"-",""),"+",""),"(",""),")",""),8,2),Клиенты_исходные!D68)))</f>
        <v xml:space="preserve">+7 (903) 890-12-34</v>
      </c>
      <c r="F68" t="str">
        <f>IFERROR(VLOOKUP(Клиенты_исходные!F68,Справочники!$J$2:$K$50,2,FALSE),Клиенты_исходные!F68)</f>
        <v>Майкоп</v>
      </c>
      <c r="G68" s="8">
        <f>IFERROR(IF(ISNUMBER(FIND(".",Клиенты_исходные!G68)),DATE(RIGHT(Клиенты_исходные!G68,4),MID(Клиенты_исходные!G68,4,2),LEFT(Клиенты_исходные!G68,2)),DATE(LEFT(Клиенты_исходные!G68,4),MID(Клиенты_исходные!G68,6,2),RIGHT(Клиенты_исходные!G68,2))),Клиенты_исходные!G68)</f>
        <v>45231</v>
      </c>
      <c r="H68">
        <f t="shared" ca="1" si="46"/>
        <v>48</v>
      </c>
      <c r="I68" t="str">
        <f t="shared" si="47"/>
        <v>OK</v>
      </c>
      <c r="J68" t="str">
        <f t="shared" si="48"/>
        <v xml:space="preserve">Ошибка Email</v>
      </c>
    </row>
    <row r="69">
      <c r="A69" t="str">
        <f>Клиенты_исходные!A69</f>
        <v>C0068</v>
      </c>
      <c r="B69" t="str">
        <f>PROPER(TRIM(Клиенты_исходные!B69))</f>
        <v xml:space="preserve">Баранова Снежана Олеговна</v>
      </c>
      <c r="C69" s="8">
        <f>IFERROR(IF(ISNUMBER(FIND(".",Клиенты_исходные!C69)),DATE(RIGHT(Клиенты_исходные!C69,4),MID(Клиенты_исходные!C69,4,2),LEFT(Клиенты_исходные!C69,2)),DATE(LEFT(Клиенты_исходные!C69,4),MID(Клиенты_исходные!C69,6,2),RIGHT(Клиенты_исходные!C69,2))),Клиенты_исходные!C69)</f>
        <v>33119</v>
      </c>
      <c r="D69" t="str">
        <f>IF(ISBLANK(Клиенты_исходные!D69),"",IF(LEN(SUBSTITUTE(SUBSTITUTE(SUBSTITUTE(SUBSTITUTE(SUBSTITUTE(Клиенты_исходные!D69," ",""),"-",""),"+",""),"(",""),")",""))=11,"+7 ("&amp;MID(IF(LEFT(SUBSTITUTE(SUBSTITUTE(SUBSTITUTE(SUBSTITUTE(SUBSTITUTE(Клиенты_исходные!D69," ",""),"-",""),"+",""),"(",""),")",""))="8","7"&amp;MID(SUBSTITUTE(SUBSTITUTE(SUBSTITUTE(SUBSTITUTE(SUBSTITUTE(Клиенты_исходные!D69," ",""),"-",""),"+",""),"(",""),")",""),2,10),SUBSTITUTE(SUBSTITUTE(SUBSTITUTE(SUBSTITUTE(SUBSTITUTE(Клиенты_исходные!D69," ",""),"-",""),"+",""),"(",""),")","")),2,3)&amp;") "&amp;MID(IF(LEFT(SUBSTITUTE(SUBSTITUTE(SUBSTITUTE(SUBSTITUTE(SUBSTITUTE(Клиенты_исходные!D69," ",""),"-",""),"+",""),"(",""),")",""))="8","7"&amp;MID(SUBSTITUTE(SUBSTITUTE(SUBSTITUTE(SUBSTITUTE(SUBSTITUTE(Клиенты_исходные!D69," ",""),"-",""),"+",""),"(",""),")",""),2,10),SUBSTITUTE(SUBSTITUTE(SUBSTITUTE(SUBSTITUTE(SUBSTITUTE(Клиенты_исходные!D69," ",""),"-",""),"+",""),"(",""),")","")),5,3)&amp;"-"&amp;MID(IF(LEFT(SUBSTITUTE(SUBSTITUTE(SUBSTITUTE(SUBSTITUTE(SUBSTITUTE(Клиенты_исходные!D69," ",""),"-",""),"+",""),"(",""),")",""))="8","7"&amp;MID(SUBSTITUTE(SUBSTITUTE(SUBSTITUTE(SUBSTITUTE(SUBSTITUTE(Клиенты_исходные!D69," ",""),"-",""),"+",""),"(",""),")",""),2,10),SUBSTITUTE(SUBSTITUTE(SUBSTITUTE(SUBSTITUTE(SUBSTITUTE(Клиенты_исходные!D69," ",""),"-",""),"+",""),"(",""),")","")),8,2)&amp;"-"&amp;MID(IF(LEFT(SUBSTITUTE(SUBSTITUTE(SUBSTITUTE(SUBSTITUTE(SUBSTITUTE(Клиенты_исходные!D69," ",""),"-",""),"+",""),"(",""),")",""))="8","7"&amp;MID(SUBSTITUTE(SUBSTITUTE(SUBSTITUTE(SUBSTITUTE(SUBSTITUTE(Клиенты_исходные!D69," ",""),"-",""),"+",""),"(",""),")",""),2,10),SUBSTITUTE(SUBSTITUTE(SUBSTITUTE(SUBSTITUTE(SUBSTITUTE(Клиенты_исходные!D69," ",""),"-",""),"+",""),"(",""),")","")),10,2),IF(LEN(SUBSTITUTE(SUBSTITUTE(SUBSTITUTE(SUBSTITUTE(SUBSTITUTE(Клиенты_исходные!D69," ",""),"-",""),"+",""),"(",""),")",""))=10,"+7 ("&amp;MID(SUBSTITUTE(SUBSTITUTE(SUBSTITUTE(SUBSTITUTE(SUBSTITUTE(Клиенты_исходные!D69," ",""),"-",""),"+",""),"(",""),")",""),1,3)&amp;") "&amp;MID(SUBSTITUTE(SUBSTITUTE(SUBSTITUTE(SUBSTITUTE(SUBSTITUTE(Клиенты_исходные!D69," ",""),"-",""),"+",""),"(",""),")",""),4,3)&amp;"-"&amp;MID(SUBSTITUTE(SUBSTITUTE(SUBSTITUTE(SUBSTITUTE(SUBSTITUTE(Клиенты_исходные!D69," ",""),"-",""),"+",""),"(",""),")",""),6,2)&amp;"-"&amp;MID(SUBSTITUTE(SUBSTITUTE(SUBSTITUTE(SUBSTITUTE(SUBSTITUTE(Клиенты_исходные!D69," ",""),"-",""),"+",""),"(",""),")",""),8,2),Клиенты_исходные!D69)))</f>
        <v xml:space="preserve">+7 (903) 890-12-34</v>
      </c>
      <c r="F69" t="str">
        <f>IFERROR(VLOOKUP(Клиенты_исходные!F69,Справочники!$J$2:$K$50,2,FALSE),Клиенты_исходные!F69)</f>
        <v>Уссурийск</v>
      </c>
      <c r="G69" s="8">
        <f>IFERROR(IF(ISNUMBER(FIND(".",Клиенты_исходные!G69)),DATE(RIGHT(Клиенты_исходные!G69,4),MID(Клиенты_исходные!G69,4,2),LEFT(Клиенты_исходные!G69,2)),DATE(LEFT(Клиенты_исходные!G69,4),MID(Клиенты_исходные!G69,6,2),RIGHT(Клиенты_исходные!G69,2))),Клиенты_исходные!G69)</f>
        <v>45245</v>
      </c>
      <c r="H69">
        <f t="shared" ca="1" si="46"/>
        <v>36</v>
      </c>
      <c r="I69" t="str">
        <f t="shared" si="47"/>
        <v>OK</v>
      </c>
      <c r="J69" t="str">
        <f t="shared" si="48"/>
        <v xml:space="preserve">Ошибка Email</v>
      </c>
    </row>
    <row r="70">
      <c r="A70" t="str">
        <f>Клиенты_исходные!A70</f>
        <v>C0069</v>
      </c>
      <c r="B70" t="str">
        <f>PROPER(TRIM(Клиенты_исходные!B70))</f>
        <v xml:space="preserve">Казакова Надежда Андреевна</v>
      </c>
      <c r="C70" s="8">
        <f>IFERROR(IF(ISNUMBER(FIND(".",Клиенты_исходные!C70)),DATE(RIGHT(Клиенты_исходные!C70,4),MID(Клиенты_исходные!C70,4,2),LEFT(Клиенты_исходные!C70,2)),DATE(LEFT(Клиенты_исходные!C70,4),MID(Клиенты_исходные!C70,6,2),RIGHT(Клиенты_исходные!C70,2))),Клиенты_исходные!C70)</f>
        <v>31165</v>
      </c>
      <c r="D70" t="str">
        <f>IF(ISBLANK(Клиенты_исходные!D70),"",IF(LEN(SUBSTITUTE(SUBSTITUTE(SUBSTITUTE(SUBSTITUTE(SUBSTITUTE(Клиенты_исходные!D70," ",""),"-",""),"+",""),"(",""),")",""))=11,"+7 ("&amp;MID(IF(LEFT(SUBSTITUTE(SUBSTITUTE(SUBSTITUTE(SUBSTITUTE(SUBSTITUTE(Клиенты_исходные!D70," ",""),"-",""),"+",""),"(",""),")",""))="8","7"&amp;MID(SUBSTITUTE(SUBSTITUTE(SUBSTITUTE(SUBSTITUTE(SUBSTITUTE(Клиенты_исходные!D70," ",""),"-",""),"+",""),"(",""),")",""),2,10),SUBSTITUTE(SUBSTITUTE(SUBSTITUTE(SUBSTITUTE(SUBSTITUTE(Клиенты_исходные!D70," ",""),"-",""),"+",""),"(",""),")","")),2,3)&amp;") "&amp;MID(IF(LEFT(SUBSTITUTE(SUBSTITUTE(SUBSTITUTE(SUBSTITUTE(SUBSTITUTE(Клиенты_исходные!D70," ",""),"-",""),"+",""),"(",""),")",""))="8","7"&amp;MID(SUBSTITUTE(SUBSTITUTE(SUBSTITUTE(SUBSTITUTE(SUBSTITUTE(Клиенты_исходные!D70," ",""),"-",""),"+",""),"(",""),")",""),2,10),SUBSTITUTE(SUBSTITUTE(SUBSTITUTE(SUBSTITUTE(SUBSTITUTE(Клиенты_исходные!D70," ",""),"-",""),"+",""),"(",""),")","")),5,3)&amp;"-"&amp;MID(IF(LEFT(SUBSTITUTE(SUBSTITUTE(SUBSTITUTE(SUBSTITUTE(SUBSTITUTE(Клиенты_исходные!D70," ",""),"-",""),"+",""),"(",""),")",""))="8","7"&amp;MID(SUBSTITUTE(SUBSTITUTE(SUBSTITUTE(SUBSTITUTE(SUBSTITUTE(Клиенты_исходные!D70," ",""),"-",""),"+",""),"(",""),")",""),2,10),SUBSTITUTE(SUBSTITUTE(SUBSTITUTE(SUBSTITUTE(SUBSTITUTE(Клиенты_исходные!D70," ",""),"-",""),"+",""),"(",""),")","")),8,2)&amp;"-"&amp;MID(IF(LEFT(SUBSTITUTE(SUBSTITUTE(SUBSTITUTE(SUBSTITUTE(SUBSTITUTE(Клиенты_исходные!D70," ",""),"-",""),"+",""),"(",""),")",""))="8","7"&amp;MID(SUBSTITUTE(SUBSTITUTE(SUBSTITUTE(SUBSTITUTE(SUBSTITUTE(Клиенты_исходные!D70," ",""),"-",""),"+",""),"(",""),")",""),2,10),SUBSTITUTE(SUBSTITUTE(SUBSTITUTE(SUBSTITUTE(SUBSTITUTE(Клиенты_исходные!D70," ",""),"-",""),"+",""),"(",""),")","")),10,2),IF(LEN(SUBSTITUTE(SUBSTITUTE(SUBSTITUTE(SUBSTITUTE(SUBSTITUTE(Клиенты_исходные!D70," ",""),"-",""),"+",""),"(",""),")",""))=10,"+7 ("&amp;MID(SUBSTITUTE(SUBSTITUTE(SUBSTITUTE(SUBSTITUTE(SUBSTITUTE(Клиенты_исходные!D70," ",""),"-",""),"+",""),"(",""),")",""),1,3)&amp;") "&amp;MID(SUBSTITUTE(SUBSTITUTE(SUBSTITUTE(SUBSTITUTE(SUBSTITUTE(Клиенты_исходные!D70," ",""),"-",""),"+",""),"(",""),")",""),4,3)&amp;"-"&amp;MID(SUBSTITUTE(SUBSTITUTE(SUBSTITUTE(SUBSTITUTE(SUBSTITUTE(Клиенты_исходные!D70," ",""),"-",""),"+",""),"(",""),")",""),6,2)&amp;"-"&amp;MID(SUBSTITUTE(SUBSTITUTE(SUBSTITUTE(SUBSTITUTE(SUBSTITUTE(Клиенты_исходные!D70," ",""),"-",""),"+",""),"(",""),")",""),8,2),Клиенты_исходные!D70)))</f>
        <v xml:space="preserve">+7 (903) 901-23-45</v>
      </c>
      <c r="F70" t="str">
        <f>IFERROR(VLOOKUP(Клиенты_исходные!F70,Справочники!$J$2:$K$50,2,FALSE),Клиенты_исходные!F70)</f>
        <v>Миасс</v>
      </c>
      <c r="G70" s="8">
        <f>IFERROR(IF(ISNUMBER(FIND(".",Клиенты_исходные!G70)),DATE(RIGHT(Клиенты_исходные!G70,4),MID(Клиенты_исходные!G70,4,2),LEFT(Клиенты_исходные!G70,2)),DATE(LEFT(Клиенты_исходные!G70,4),MID(Клиенты_исходные!G70,6,2),RIGHT(Клиенты_исходные!G70,2))),Клиенты_исходные!G70)</f>
        <v>45245</v>
      </c>
      <c r="H70">
        <f t="shared" ca="1" si="46"/>
        <v>41</v>
      </c>
      <c r="I70" t="str">
        <f t="shared" si="47"/>
        <v>OK</v>
      </c>
      <c r="J70" t="str">
        <f t="shared" si="48"/>
        <v xml:space="preserve">Ошибка Email</v>
      </c>
    </row>
    <row r="71">
      <c r="A71" t="str">
        <f>Клиенты_исходные!A71</f>
        <v>C0070</v>
      </c>
      <c r="B71" t="str">
        <f>PROPER(TRIM(Клиенты_исходные!B71))</f>
        <v xml:space="preserve">Кравцов Павел Сергеевич</v>
      </c>
      <c r="C71" s="8">
        <f>IFERROR(IF(ISNUMBER(FIND(".",Клиенты_исходные!C71)),DATE(RIGHT(Клиенты_исходные!C71,4),MID(Клиенты_исходные!C71,4,2),LEFT(Клиенты_исходные!C71,2)),DATE(LEFT(Клиенты_исходные!C71,4),MID(Клиенты_исходные!C71,6,2),RIGHT(Клиенты_исходные!C71,2))),Клиенты_исходные!C71)</f>
        <v>27377</v>
      </c>
      <c r="D71" t="str">
        <f>IF(ISBLANK(Клиенты_исходные!D71),"",IF(LEN(SUBSTITUTE(SUBSTITUTE(SUBSTITUTE(SUBSTITUTE(SUBSTITUTE(Клиенты_исходные!D71," ",""),"-",""),"+",""),"(",""),")",""))=11,"+7 ("&amp;MID(IF(LEFT(SUBSTITUTE(SUBSTITUTE(SUBSTITUTE(SUBSTITUTE(SUBSTITUTE(Клиенты_исходные!D71," ",""),"-",""),"+",""),"(",""),")",""))="8","7"&amp;MID(SUBSTITUTE(SUBSTITUTE(SUBSTITUTE(SUBSTITUTE(SUBSTITUTE(Клиенты_исходные!D71," ",""),"-",""),"+",""),"(",""),")",""),2,10),SUBSTITUTE(SUBSTITUTE(SUBSTITUTE(SUBSTITUTE(SUBSTITUTE(Клиенты_исходные!D71," ",""),"-",""),"+",""),"(",""),")","")),2,3)&amp;") "&amp;MID(IF(LEFT(SUBSTITUTE(SUBSTITUTE(SUBSTITUTE(SUBSTITUTE(SUBSTITUTE(Клиенты_исходные!D71," ",""),"-",""),"+",""),"(",""),")",""))="8","7"&amp;MID(SUBSTITUTE(SUBSTITUTE(SUBSTITUTE(SUBSTITUTE(SUBSTITUTE(Клиенты_исходные!D71," ",""),"-",""),"+",""),"(",""),")",""),2,10),SUBSTITUTE(SUBSTITUTE(SUBSTITUTE(SUBSTITUTE(SUBSTITUTE(Клиенты_исходные!D71," ",""),"-",""),"+",""),"(",""),")","")),5,3)&amp;"-"&amp;MID(IF(LEFT(SUBSTITUTE(SUBSTITUTE(SUBSTITUTE(SUBSTITUTE(SUBSTITUTE(Клиенты_исходные!D71," ",""),"-",""),"+",""),"(",""),")",""))="8","7"&amp;MID(SUBSTITUTE(SUBSTITUTE(SUBSTITUTE(SUBSTITUTE(SUBSTITUTE(Клиенты_исходные!D71," ",""),"-",""),"+",""),"(",""),")",""),2,10),SUBSTITUTE(SUBSTITUTE(SUBSTITUTE(SUBSTITUTE(SUBSTITUTE(Клиенты_исходные!D71," ",""),"-",""),"+",""),"(",""),")","")),8,2)&amp;"-"&amp;MID(IF(LEFT(SUBSTITUTE(SUBSTITUTE(SUBSTITUTE(SUBSTITUTE(SUBSTITUTE(Клиенты_исходные!D71," ",""),"-",""),"+",""),"(",""),")",""))="8","7"&amp;MID(SUBSTITUTE(SUBSTITUTE(SUBSTITUTE(SUBSTITUTE(SUBSTITUTE(Клиенты_исходные!D71," ",""),"-",""),"+",""),"(",""),")",""),2,10),SUBSTITUTE(SUBSTITUTE(SUBSTITUTE(SUBSTITUTE(SUBSTITUTE(Клиенты_исходные!D71," ",""),"-",""),"+",""),"(",""),")","")),10,2),IF(LEN(SUBSTITUTE(SUBSTITUTE(SUBSTITUTE(SUBSTITUTE(SUBSTITUTE(Клиенты_исходные!D71," ",""),"-",""),"+",""),"(",""),")",""))=10,"+7 ("&amp;MID(SUBSTITUTE(SUBSTITUTE(SUBSTITUTE(SUBSTITUTE(SUBSTITUTE(Клиенты_исходные!D71," ",""),"-",""),"+",""),"(",""),")",""),1,3)&amp;") "&amp;MID(SUBSTITUTE(SUBSTITUTE(SUBSTITUTE(SUBSTITUTE(SUBSTITUTE(Клиенты_исходные!D71," ",""),"-",""),"+",""),"(",""),")",""),4,3)&amp;"-"&amp;MID(SUBSTITUTE(SUBSTITUTE(SUBSTITUTE(SUBSTITUTE(SUBSTITUTE(Клиенты_исходные!D71," ",""),"-",""),"+",""),"(",""),")",""),6,2)&amp;"-"&amp;MID(SUBSTITUTE(SUBSTITUTE(SUBSTITUTE(SUBSTITUTE(SUBSTITUTE(Клиенты_исходные!D71," ",""),"-",""),"+",""),"(",""),")",""),8,2),Клиенты_исходные!D71)))</f>
        <v xml:space="preserve">+7 (903) 901-23-45</v>
      </c>
      <c r="F71" t="str">
        <f>IFERROR(VLOOKUP(Клиенты_исходные!F71,Справочники!$J$2:$K$50,2,FALSE),Клиенты_исходные!F71)</f>
        <v>Кызыл</v>
      </c>
      <c r="G71" s="8">
        <f>IFERROR(IF(ISNUMBER(FIND(".",Клиенты_исходные!G71)),DATE(RIGHT(Клиенты_исходные!G71,4),MID(Клиенты_исходные!G71,4,2),LEFT(Клиенты_исходные!G71,2)),DATE(LEFT(Клиенты_исходные!G71,4),MID(Клиенты_исходные!G71,6,2),RIGHT(Клиенты_исходные!G71,2))),Клиенты_исходные!G71)</f>
        <v>45261</v>
      </c>
      <c r="H71">
        <f t="shared" ca="1" si="46"/>
        <v>51</v>
      </c>
      <c r="I71" t="str">
        <f t="shared" si="47"/>
        <v>OK</v>
      </c>
      <c r="J71" t="str">
        <f t="shared" si="48"/>
        <v xml:space="preserve">Ошибка Email</v>
      </c>
    </row>
    <row r="72">
      <c r="A72" t="str">
        <f>Клиенты_исходные!A72</f>
        <v>C0071</v>
      </c>
      <c r="B72" t="str">
        <f>PROPER(TRIM(Клиенты_исходные!B72))</f>
        <v xml:space="preserve">Васина Виктория Михайловна</v>
      </c>
      <c r="C72" s="8">
        <f>IFERROR(IF(ISNUMBER(FIND(".",Клиенты_исходные!C72)),DATE(RIGHT(Клиенты_исходные!C72,4),MID(Клиенты_исходные!C72,4,2),LEFT(Клиенты_исходные!C72,2)),DATE(LEFT(Клиенты_исходные!C72,4),MID(Клиенты_исходные!C72,6,2),RIGHT(Клиенты_исходные!C72,2))),Клиенты_исходные!C72)</f>
        <v>33806</v>
      </c>
      <c r="D72" t="str">
        <f>IF(ISBLANK(Клиенты_исходные!D72),"",IF(LEN(SUBSTITUTE(SUBSTITUTE(SUBSTITUTE(SUBSTITUTE(SUBSTITUTE(Клиенты_исходные!D72," ",""),"-",""),"+",""),"(",""),")",""))=11,"+7 ("&amp;MID(IF(LEFT(SUBSTITUTE(SUBSTITUTE(SUBSTITUTE(SUBSTITUTE(SUBSTITUTE(Клиенты_исходные!D72," ",""),"-",""),"+",""),"(",""),")",""))="8","7"&amp;MID(SUBSTITUTE(SUBSTITUTE(SUBSTITUTE(SUBSTITUTE(SUBSTITUTE(Клиенты_исходные!D72," ",""),"-",""),"+",""),"(",""),")",""),2,10),SUBSTITUTE(SUBSTITUTE(SUBSTITUTE(SUBSTITUTE(SUBSTITUTE(Клиенты_исходные!D72," ",""),"-",""),"+",""),"(",""),")","")),2,3)&amp;") "&amp;MID(IF(LEFT(SUBSTITUTE(SUBSTITUTE(SUBSTITUTE(SUBSTITUTE(SUBSTITUTE(Клиенты_исходные!D72," ",""),"-",""),"+",""),"(",""),")",""))="8","7"&amp;MID(SUBSTITUTE(SUBSTITUTE(SUBSTITUTE(SUBSTITUTE(SUBSTITUTE(Клиенты_исходные!D72," ",""),"-",""),"+",""),"(",""),")",""),2,10),SUBSTITUTE(SUBSTITUTE(SUBSTITUTE(SUBSTITUTE(SUBSTITUTE(Клиенты_исходные!D72," ",""),"-",""),"+",""),"(",""),")","")),5,3)&amp;"-"&amp;MID(IF(LEFT(SUBSTITUTE(SUBSTITUTE(SUBSTITUTE(SUBSTITUTE(SUBSTITUTE(Клиенты_исходные!D72," ",""),"-",""),"+",""),"(",""),")",""))="8","7"&amp;MID(SUBSTITUTE(SUBSTITUTE(SUBSTITUTE(SUBSTITUTE(SUBSTITUTE(Клиенты_исходные!D72," ",""),"-",""),"+",""),"(",""),")",""),2,10),SUBSTITUTE(SUBSTITUTE(SUBSTITUTE(SUBSTITUTE(SUBSTITUTE(Клиенты_исходные!D72," ",""),"-",""),"+",""),"(",""),")","")),8,2)&amp;"-"&amp;MID(IF(LEFT(SUBSTITUTE(SUBSTITUTE(SUBSTITUTE(SUBSTITUTE(SUBSTITUTE(Клиенты_исходные!D72," ",""),"-",""),"+",""),"(",""),")",""))="8","7"&amp;MID(SUBSTITUTE(SUBSTITUTE(SUBSTITUTE(SUBSTITUTE(SUBSTITUTE(Клиенты_исходные!D72," ",""),"-",""),"+",""),"(",""),")",""),2,10),SUBSTITUTE(SUBSTITUTE(SUBSTITUTE(SUBSTITUTE(SUBSTITUTE(Клиенты_исходные!D72," ",""),"-",""),"+",""),"(",""),")","")),10,2),IF(LEN(SUBSTITUTE(SUBSTITUTE(SUBSTITUTE(SUBSTITUTE(SUBSTITUTE(Клиенты_исходные!D72," ",""),"-",""),"+",""),"(",""),")",""))=10,"+7 ("&amp;MID(SUBSTITUTE(SUBSTITUTE(SUBSTITUTE(SUBSTITUTE(SUBSTITUTE(Клиенты_исходные!D72," ",""),"-",""),"+",""),"(",""),")",""),1,3)&amp;") "&amp;MID(SUBSTITUTE(SUBSTITUTE(SUBSTITUTE(SUBSTITUTE(SUBSTITUTE(Клиенты_исходные!D72," ",""),"-",""),"+",""),"(",""),")",""),4,3)&amp;"-"&amp;MID(SUBSTITUTE(SUBSTITUTE(SUBSTITUTE(SUBSTITUTE(SUBSTITUTE(Клиенты_исходные!D72," ",""),"-",""),"+",""),"(",""),")",""),6,2)&amp;"-"&amp;MID(SUBSTITUTE(SUBSTITUTE(SUBSTITUTE(SUBSTITUTE(SUBSTITUTE(Клиенты_исходные!D72," ",""),"-",""),"+",""),"(",""),")",""),8,2),Клиенты_исходные!D72)))</f>
        <v xml:space="preserve">+7 (903) 901-23-45</v>
      </c>
      <c r="F72" t="str">
        <f>IFERROR(VLOOKUP(Клиенты_исходные!F72,Справочники!$J$2:$K$50,2,FALSE),Клиенты_исходные!F72)</f>
        <v>Калининград</v>
      </c>
      <c r="G72" s="8">
        <f>IFERROR(IF(ISNUMBER(FIND(".",Клиенты_исходные!G72)),DATE(RIGHT(Клиенты_исходные!G72,4),MID(Клиенты_исходные!G72,4,2),LEFT(Клиенты_исходные!G72,2)),DATE(LEFT(Клиенты_исходные!G72,4),MID(Клиенты_исходные!G72,6,2),RIGHT(Клиенты_исходные!G72,2))),Клиенты_исходные!G72)</f>
        <v>45270</v>
      </c>
      <c r="H72">
        <f t="shared" ca="1" si="46"/>
        <v>34</v>
      </c>
      <c r="I72" t="str">
        <f t="shared" si="47"/>
        <v>OK</v>
      </c>
      <c r="J72" t="str">
        <f t="shared" si="48"/>
        <v xml:space="preserve">Ошибка Email</v>
      </c>
    </row>
    <row r="73">
      <c r="A73" t="str">
        <f>Клиенты_исходные!A73</f>
        <v>C0072</v>
      </c>
      <c r="B73" t="str">
        <f>PROPER(TRIM(Клиенты_исходные!B73))</f>
        <v xml:space="preserve">Петухов Анатолий Игоревич</v>
      </c>
      <c r="C73" s="8">
        <f>IFERROR(IF(ISNUMBER(FIND(".",Клиенты_исходные!C73)),DATE(RIGHT(Клиенты_исходные!C73,4),MID(Клиенты_исходные!C73,4,2),LEFT(Клиенты_исходные!C73,2)),DATE(LEFT(Клиенты_исходные!C73,4),MID(Клиенты_исходные!C73,6,2),RIGHT(Клиенты_исходные!C73,2))),Клиенты_исходные!C73)</f>
        <v>29716</v>
      </c>
      <c r="D73" t="str">
        <f>IF(ISBLANK(Клиенты_исходные!D73),"",IF(LEN(SUBSTITUTE(SUBSTITUTE(SUBSTITUTE(SUBSTITUTE(SUBSTITUTE(Клиенты_исходные!D73," ",""),"-",""),"+",""),"(",""),")",""))=11,"+7 ("&amp;MID(IF(LEFT(SUBSTITUTE(SUBSTITUTE(SUBSTITUTE(SUBSTITUTE(SUBSTITUTE(Клиенты_исходные!D73," ",""),"-",""),"+",""),"(",""),")",""))="8","7"&amp;MID(SUBSTITUTE(SUBSTITUTE(SUBSTITUTE(SUBSTITUTE(SUBSTITUTE(Клиенты_исходные!D73," ",""),"-",""),"+",""),"(",""),")",""),2,10),SUBSTITUTE(SUBSTITUTE(SUBSTITUTE(SUBSTITUTE(SUBSTITUTE(Клиенты_исходные!D73," ",""),"-",""),"+",""),"(",""),")","")),2,3)&amp;") "&amp;MID(IF(LEFT(SUBSTITUTE(SUBSTITUTE(SUBSTITUTE(SUBSTITUTE(SUBSTITUTE(Клиенты_исходные!D73," ",""),"-",""),"+",""),"(",""),")",""))="8","7"&amp;MID(SUBSTITUTE(SUBSTITUTE(SUBSTITUTE(SUBSTITUTE(SUBSTITUTE(Клиенты_исходные!D73," ",""),"-",""),"+",""),"(",""),")",""),2,10),SUBSTITUTE(SUBSTITUTE(SUBSTITUTE(SUBSTITUTE(SUBSTITUTE(Клиенты_исходные!D73," ",""),"-",""),"+",""),"(",""),")","")),5,3)&amp;"-"&amp;MID(IF(LEFT(SUBSTITUTE(SUBSTITUTE(SUBSTITUTE(SUBSTITUTE(SUBSTITUTE(Клиенты_исходные!D73," ",""),"-",""),"+",""),"(",""),")",""))="8","7"&amp;MID(SUBSTITUTE(SUBSTITUTE(SUBSTITUTE(SUBSTITUTE(SUBSTITUTE(Клиенты_исходные!D73," ",""),"-",""),"+",""),"(",""),")",""),2,10),SUBSTITUTE(SUBSTITUTE(SUBSTITUTE(SUBSTITUTE(SUBSTITUTE(Клиенты_исходные!D73," ",""),"-",""),"+",""),"(",""),")","")),8,2)&amp;"-"&amp;MID(IF(LEFT(SUBSTITUTE(SUBSTITUTE(SUBSTITUTE(SUBSTITUTE(SUBSTITUTE(Клиенты_исходные!D73," ",""),"-",""),"+",""),"(",""),")",""))="8","7"&amp;MID(SUBSTITUTE(SUBSTITUTE(SUBSTITUTE(SUBSTITUTE(SUBSTITUTE(Клиенты_исходные!D73," ",""),"-",""),"+",""),"(",""),")",""),2,10),SUBSTITUTE(SUBSTITUTE(SUBSTITUTE(SUBSTITUTE(SUBSTITUTE(Клиенты_исходные!D73," ",""),"-",""),"+",""),"(",""),")","")),10,2),IF(LEN(SUBSTITUTE(SUBSTITUTE(SUBSTITUTE(SUBSTITUTE(SUBSTITUTE(Клиенты_исходные!D73," ",""),"-",""),"+",""),"(",""),")",""))=10,"+7 ("&amp;MID(SUBSTITUTE(SUBSTITUTE(SUBSTITUTE(SUBSTITUTE(SUBSTITUTE(Клиенты_исходные!D73," ",""),"-",""),"+",""),"(",""),")",""),1,3)&amp;") "&amp;MID(SUBSTITUTE(SUBSTITUTE(SUBSTITUTE(SUBSTITUTE(SUBSTITUTE(Клиенты_исходные!D73," ",""),"-",""),"+",""),"(",""),")",""),4,3)&amp;"-"&amp;MID(SUBSTITUTE(SUBSTITUTE(SUBSTITUTE(SUBSTITUTE(SUBSTITUTE(Клиенты_исходные!D73," ",""),"-",""),"+",""),"(",""),")",""),6,2)&amp;"-"&amp;MID(SUBSTITUTE(SUBSTITUTE(SUBSTITUTE(SUBSTITUTE(SUBSTITUTE(Клиенты_исходные!D73," ",""),"-",""),"+",""),"(",""),")",""),8,2),Клиенты_исходные!D73)))</f>
        <v xml:space="preserve">+7 (903) 012-34-56</v>
      </c>
      <c r="F73" t="str">
        <f>IFERROR(VLOOKUP(Клиенты_исходные!F73,Справочники!$J$2:$K$50,2,FALSE),Клиенты_исходные!F73)</f>
        <v>Петрозаводск</v>
      </c>
      <c r="G73" s="8">
        <f>IFERROR(IF(ISNUMBER(FIND(".",Клиенты_исходные!G73)),DATE(RIGHT(Клиенты_исходные!G73,4),MID(Клиенты_исходные!G73,4,2),LEFT(Клиенты_исходные!G73,2)),DATE(LEFT(Клиенты_исходные!G73,4),MID(Клиенты_исходные!G73,6,2),RIGHT(Клиенты_исходные!G73,2))),Клиенты_исходные!G73)</f>
        <v>45270</v>
      </c>
      <c r="H73">
        <f t="shared" ca="1" si="46"/>
        <v>45</v>
      </c>
      <c r="I73" t="str">
        <f t="shared" si="47"/>
        <v>OK</v>
      </c>
      <c r="J73" t="str">
        <f t="shared" si="48"/>
        <v xml:space="preserve">Ошибка Email</v>
      </c>
    </row>
    <row r="74">
      <c r="A74" t="str">
        <f>Клиенты_исходные!A74</f>
        <v>C0073</v>
      </c>
      <c r="B74" t="str">
        <f>PROPER(TRIM(Клиенты_исходные!B74))</f>
        <v xml:space="preserve">Гаврилова Светлана Алексеевна</v>
      </c>
      <c r="C74" s="8">
        <f>IFERROR(IF(ISNUMBER(FIND(".",Клиенты_исходные!C74)),DATE(RIGHT(Клиенты_исходные!C74,4),MID(Клиенты_исходные!C74,4,2),LEFT(Клиенты_исходные!C74,2)),DATE(LEFT(Клиенты_исходные!C74,4),MID(Клиенты_исходные!C74,6,2),RIGHT(Клиенты_исходные!C74,2))),Клиенты_исходные!C74)</f>
        <v>28093</v>
      </c>
      <c r="D74" t="str">
        <f>IF(ISBLANK(Клиенты_исходные!D74),"",IF(LEN(SUBSTITUTE(SUBSTITUTE(SUBSTITUTE(SUBSTITUTE(SUBSTITUTE(Клиенты_исходные!D74," ",""),"-",""),"+",""),"(",""),")",""))=11,"+7 ("&amp;MID(IF(LEFT(SUBSTITUTE(SUBSTITUTE(SUBSTITUTE(SUBSTITUTE(SUBSTITUTE(Клиенты_исходные!D74," ",""),"-",""),"+",""),"(",""),")",""))="8","7"&amp;MID(SUBSTITUTE(SUBSTITUTE(SUBSTITUTE(SUBSTITUTE(SUBSTITUTE(Клиенты_исходные!D74," ",""),"-",""),"+",""),"(",""),")",""),2,10),SUBSTITUTE(SUBSTITUTE(SUBSTITUTE(SUBSTITUTE(SUBSTITUTE(Клиенты_исходные!D74," ",""),"-",""),"+",""),"(",""),")","")),2,3)&amp;") "&amp;MID(IF(LEFT(SUBSTITUTE(SUBSTITUTE(SUBSTITUTE(SUBSTITUTE(SUBSTITUTE(Клиенты_исходные!D74," ",""),"-",""),"+",""),"(",""),")",""))="8","7"&amp;MID(SUBSTITUTE(SUBSTITUTE(SUBSTITUTE(SUBSTITUTE(SUBSTITUTE(Клиенты_исходные!D74," ",""),"-",""),"+",""),"(",""),")",""),2,10),SUBSTITUTE(SUBSTITUTE(SUBSTITUTE(SUBSTITUTE(SUBSTITUTE(Клиенты_исходные!D74," ",""),"-",""),"+",""),"(",""),")","")),5,3)&amp;"-"&amp;MID(IF(LEFT(SUBSTITUTE(SUBSTITUTE(SUBSTITUTE(SUBSTITUTE(SUBSTITUTE(Клиенты_исходные!D74," ",""),"-",""),"+",""),"(",""),")",""))="8","7"&amp;MID(SUBSTITUTE(SUBSTITUTE(SUBSTITUTE(SUBSTITUTE(SUBSTITUTE(Клиенты_исходные!D74," ",""),"-",""),"+",""),"(",""),")",""),2,10),SUBSTITUTE(SUBSTITUTE(SUBSTITUTE(SUBSTITUTE(SUBSTITUTE(Клиенты_исходные!D74," ",""),"-",""),"+",""),"(",""),")","")),8,2)&amp;"-"&amp;MID(IF(LEFT(SUBSTITUTE(SUBSTITUTE(SUBSTITUTE(SUBSTITUTE(SUBSTITUTE(Клиенты_исходные!D74," ",""),"-",""),"+",""),"(",""),")",""))="8","7"&amp;MID(SUBSTITUTE(SUBSTITUTE(SUBSTITUTE(SUBSTITUTE(SUBSTITUTE(Клиенты_исходные!D74," ",""),"-",""),"+",""),"(",""),")",""),2,10),SUBSTITUTE(SUBSTITUTE(SUBSTITUTE(SUBSTITUTE(SUBSTITUTE(Клиенты_исходные!D74," ",""),"-",""),"+",""),"(",""),")","")),10,2),IF(LEN(SUBSTITUTE(SUBSTITUTE(SUBSTITUTE(SUBSTITUTE(SUBSTITUTE(Клиенты_исходные!D74," ",""),"-",""),"+",""),"(",""),")",""))=10,"+7 ("&amp;MID(SUBSTITUTE(SUBSTITUTE(SUBSTITUTE(SUBSTITUTE(SUBSTITUTE(Клиенты_исходные!D74," ",""),"-",""),"+",""),"(",""),")",""),1,3)&amp;") "&amp;MID(SUBSTITUTE(SUBSTITUTE(SUBSTITUTE(SUBSTITUTE(SUBSTITUTE(Клиенты_исходные!D74," ",""),"-",""),"+",""),"(",""),")",""),4,3)&amp;"-"&amp;MID(SUBSTITUTE(SUBSTITUTE(SUBSTITUTE(SUBSTITUTE(SUBSTITUTE(Клиенты_исходные!D74," ",""),"-",""),"+",""),"(",""),")",""),6,2)&amp;"-"&amp;MID(SUBSTITUTE(SUBSTITUTE(SUBSTITUTE(SUBSTITUTE(SUBSTITUTE(Клиенты_исходные!D74," ",""),"-",""),"+",""),"(",""),")",""),8,2),Клиенты_исходные!D74)))</f>
        <v xml:space="preserve">+7 (903) 012-34-56</v>
      </c>
      <c r="F74" t="str">
        <f>IFERROR(VLOOKUP(Клиенты_исходные!F74,Справочники!$J$2:$K$50,2,FALSE),Клиенты_исходные!F74)</f>
        <v>Рубцовск</v>
      </c>
      <c r="G74" s="8">
        <f>IFERROR(IF(ISNUMBER(FIND(".",Клиенты_исходные!G74)),DATE(RIGHT(Клиенты_исходные!G74,4),MID(Клиенты_исходные!G74,4,2),LEFT(Клиенты_исходные!G74,2)),DATE(LEFT(Клиенты_исходные!G74,4),MID(Клиенты_исходные!G74,6,2),RIGHT(Клиенты_исходные!G74,2))),Клиенты_исходные!G74)</f>
        <v>45292</v>
      </c>
      <c r="H74">
        <f t="shared" ref="H74:H99" ca="1" si="49">DATEDIF(C74,TODAY(),"Y")</f>
        <v>49</v>
      </c>
      <c r="I74" t="str">
        <f t="shared" ref="I74:I99" si="50">IF(OR(H74&lt;18,H74&gt;80),"Ошибка даты рождения","OK")</f>
        <v>OK</v>
      </c>
      <c r="J74" t="str">
        <f t="shared" ref="J74:J99" si="51">IF(AND(ISNUMBER(FIND("@",E74)),ISNUMBER(FIND(".",MID(E74,FIND("@",E74)+1,255)))),"OK","Ошибка Email")</f>
        <v xml:space="preserve">Ошибка Email</v>
      </c>
    </row>
    <row r="75">
      <c r="A75" t="str">
        <f>Клиенты_исходные!A75</f>
        <v>C0074</v>
      </c>
      <c r="B75" t="str">
        <f>PROPER(TRIM(Клиенты_исходные!B75))</f>
        <v xml:space="preserve">Харламов Федор Владимирович</v>
      </c>
      <c r="C75" s="8">
        <f>IFERROR(IF(ISNUMBER(FIND(".",Клиенты_исходные!C75)),DATE(RIGHT(Клиенты_исходные!C75,4),MID(Клиенты_исходные!C75,4,2),LEFT(Клиенты_исходные!C75,2)),DATE(LEFT(Клиенты_исходные!C75,4),MID(Клиенты_исходные!C75,6,2),RIGHT(Клиенты_исходные!C75,2))),Клиенты_исходные!C75)</f>
        <v>32367</v>
      </c>
      <c r="D75" t="str">
        <f>IF(ISBLANK(Клиенты_исходные!D75),"",IF(LEN(SUBSTITUTE(SUBSTITUTE(SUBSTITUTE(SUBSTITUTE(SUBSTITUTE(Клиенты_исходные!D75," ",""),"-",""),"+",""),"(",""),")",""))=11,"+7 ("&amp;MID(IF(LEFT(SUBSTITUTE(SUBSTITUTE(SUBSTITUTE(SUBSTITUTE(SUBSTITUTE(Клиенты_исходные!D75," ",""),"-",""),"+",""),"(",""),")",""))="8","7"&amp;MID(SUBSTITUTE(SUBSTITUTE(SUBSTITUTE(SUBSTITUTE(SUBSTITUTE(Клиенты_исходные!D75," ",""),"-",""),"+",""),"(",""),")",""),2,10),SUBSTITUTE(SUBSTITUTE(SUBSTITUTE(SUBSTITUTE(SUBSTITUTE(Клиенты_исходные!D75," ",""),"-",""),"+",""),"(",""),")","")),2,3)&amp;") "&amp;MID(IF(LEFT(SUBSTITUTE(SUBSTITUTE(SUBSTITUTE(SUBSTITUTE(SUBSTITUTE(Клиенты_исходные!D75," ",""),"-",""),"+",""),"(",""),")",""))="8","7"&amp;MID(SUBSTITUTE(SUBSTITUTE(SUBSTITUTE(SUBSTITUTE(SUBSTITUTE(Клиенты_исходные!D75," ",""),"-",""),"+",""),"(",""),")",""),2,10),SUBSTITUTE(SUBSTITUTE(SUBSTITUTE(SUBSTITUTE(SUBSTITUTE(Клиенты_исходные!D75," ",""),"-",""),"+",""),"(",""),")","")),5,3)&amp;"-"&amp;MID(IF(LEFT(SUBSTITUTE(SUBSTITUTE(SUBSTITUTE(SUBSTITUTE(SUBSTITUTE(Клиенты_исходные!D75," ",""),"-",""),"+",""),"(",""),")",""))="8","7"&amp;MID(SUBSTITUTE(SUBSTITUTE(SUBSTITUTE(SUBSTITUTE(SUBSTITUTE(Клиенты_исходные!D75," ",""),"-",""),"+",""),"(",""),")",""),2,10),SUBSTITUTE(SUBSTITUTE(SUBSTITUTE(SUBSTITUTE(SUBSTITUTE(Клиенты_исходные!D75," ",""),"-",""),"+",""),"(",""),")","")),8,2)&amp;"-"&amp;MID(IF(LEFT(SUBSTITUTE(SUBSTITUTE(SUBSTITUTE(SUBSTITUTE(SUBSTITUTE(Клиенты_исходные!D75," ",""),"-",""),"+",""),"(",""),")",""))="8","7"&amp;MID(SUBSTITUTE(SUBSTITUTE(SUBSTITUTE(SUBSTITUTE(SUBSTITUTE(Клиенты_исходные!D75," ",""),"-",""),"+",""),"(",""),")",""),2,10),SUBSTITUTE(SUBSTITUTE(SUBSTITUTE(SUBSTITUTE(SUBSTITUTE(Клиенты_исходные!D75," ",""),"-",""),"+",""),"(",""),")","")),10,2),IF(LEN(SUBSTITUTE(SUBSTITUTE(SUBSTITUTE(SUBSTITUTE(SUBSTITUTE(Клиенты_исходные!D75," ",""),"-",""),"+",""),"(",""),")",""))=10,"+7 ("&amp;MID(SUBSTITUTE(SUBSTITUTE(SUBSTITUTE(SUBSTITUTE(SUBSTITUTE(Клиенты_исходные!D75," ",""),"-",""),"+",""),"(",""),")",""),1,3)&amp;") "&amp;MID(SUBSTITUTE(SUBSTITUTE(SUBSTITUTE(SUBSTITUTE(SUBSTITUTE(Клиенты_исходные!D75," ",""),"-",""),"+",""),"(",""),")",""),4,3)&amp;"-"&amp;MID(SUBSTITUTE(SUBSTITUTE(SUBSTITUTE(SUBSTITUTE(SUBSTITUTE(Клиенты_исходные!D75," ",""),"-",""),"+",""),"(",""),")",""),6,2)&amp;"-"&amp;MID(SUBSTITUTE(SUBSTITUTE(SUBSTITUTE(SUBSTITUTE(SUBSTITUTE(Клиенты_исходные!D75," ",""),"-",""),"+",""),"(",""),")",""),8,2),Клиенты_исходные!D75)))</f>
        <v xml:space="preserve">+7 (903) 012-34-56</v>
      </c>
      <c r="F75" t="str">
        <f>IFERROR(VLOOKUP(Клиенты_исходные!F75,Справочники!$J$2:$K$50,2,FALSE),Клиенты_исходные!F75)</f>
        <v>Элиста</v>
      </c>
      <c r="G75" s="8">
        <f>IFERROR(IF(ISNUMBER(FIND(".",Клиенты_исходные!G75)),DATE(RIGHT(Клиенты_исходные!G75,4),MID(Клиенты_исходные!G75,4,2),LEFT(Клиенты_исходные!G75,2)),DATE(LEFT(Клиенты_исходные!G75,4),MID(Клиенты_исходные!G75,6,2),RIGHT(Клиенты_исходные!G75,2))),Клиенты_исходные!G75)</f>
        <v>45306</v>
      </c>
      <c r="H75">
        <f t="shared" ca="1" si="49"/>
        <v>38</v>
      </c>
      <c r="I75" t="str">
        <f t="shared" si="50"/>
        <v>OK</v>
      </c>
      <c r="J75" t="str">
        <f t="shared" si="51"/>
        <v xml:space="preserve">Ошибка Email</v>
      </c>
    </row>
    <row r="76">
      <c r="A76" t="str">
        <f>Клиенты_исходные!A76</f>
        <v>C0075</v>
      </c>
      <c r="B76" t="str">
        <f>PROPER(TRIM(Клиенты_исходные!B76))</f>
        <v xml:space="preserve">Юдина Майя Евгеньевна</v>
      </c>
      <c r="C76" s="8">
        <f>IFERROR(IF(ISNUMBER(FIND(".",Клиенты_исходные!C76)),DATE(RIGHT(Клиенты_исходные!C76,4),MID(Клиенты_исходные!C76,4,2),LEFT(Клиенты_исходные!C76,2)),DATE(LEFT(Клиенты_исходные!C76,4),MID(Клиенты_исходные!C76,6,2),RIGHT(Клиенты_исходные!C76,2))),Клиенты_исходные!C76)</f>
        <v>34035</v>
      </c>
      <c r="D76" t="str">
        <f>IF(ISBLANK(Клиенты_исходные!D76),"",IF(LEN(SUBSTITUTE(SUBSTITUTE(SUBSTITUTE(SUBSTITUTE(SUBSTITUTE(Клиенты_исходные!D76," ",""),"-",""),"+",""),"(",""),")",""))=11,"+7 ("&amp;MID(IF(LEFT(SUBSTITUTE(SUBSTITUTE(SUBSTITUTE(SUBSTITUTE(SUBSTITUTE(Клиенты_исходные!D76," ",""),"-",""),"+",""),"(",""),")",""))="8","7"&amp;MID(SUBSTITUTE(SUBSTITUTE(SUBSTITUTE(SUBSTITUTE(SUBSTITUTE(Клиенты_исходные!D76," ",""),"-",""),"+",""),"(",""),")",""),2,10),SUBSTITUTE(SUBSTITUTE(SUBSTITUTE(SUBSTITUTE(SUBSTITUTE(Клиенты_исходные!D76," ",""),"-",""),"+",""),"(",""),")","")),2,3)&amp;") "&amp;MID(IF(LEFT(SUBSTITUTE(SUBSTITUTE(SUBSTITUTE(SUBSTITUTE(SUBSTITUTE(Клиенты_исходные!D76," ",""),"-",""),"+",""),"(",""),")",""))="8","7"&amp;MID(SUBSTITUTE(SUBSTITUTE(SUBSTITUTE(SUBSTITUTE(SUBSTITUTE(Клиенты_исходные!D76," ",""),"-",""),"+",""),"(",""),")",""),2,10),SUBSTITUTE(SUBSTITUTE(SUBSTITUTE(SUBSTITUTE(SUBSTITUTE(Клиенты_исходные!D76," ",""),"-",""),"+",""),"(",""),")","")),5,3)&amp;"-"&amp;MID(IF(LEFT(SUBSTITUTE(SUBSTITUTE(SUBSTITUTE(SUBSTITUTE(SUBSTITUTE(Клиенты_исходные!D76," ",""),"-",""),"+",""),"(",""),")",""))="8","7"&amp;MID(SUBSTITUTE(SUBSTITUTE(SUBSTITUTE(SUBSTITUTE(SUBSTITUTE(Клиенты_исходные!D76," ",""),"-",""),"+",""),"(",""),")",""),2,10),SUBSTITUTE(SUBSTITUTE(SUBSTITUTE(SUBSTITUTE(SUBSTITUTE(Клиенты_исходные!D76," ",""),"-",""),"+",""),"(",""),")","")),8,2)&amp;"-"&amp;MID(IF(LEFT(SUBSTITUTE(SUBSTITUTE(SUBSTITUTE(SUBSTITUTE(SUBSTITUTE(Клиенты_исходные!D76," ",""),"-",""),"+",""),"(",""),")",""))="8","7"&amp;MID(SUBSTITUTE(SUBSTITUTE(SUBSTITUTE(SUBSTITUTE(SUBSTITUTE(Клиенты_исходные!D76," ",""),"-",""),"+",""),"(",""),")",""),2,10),SUBSTITUTE(SUBSTITUTE(SUBSTITUTE(SUBSTITUTE(SUBSTITUTE(Клиенты_исходные!D76," ",""),"-",""),"+",""),"(",""),")","")),10,2),IF(LEN(SUBSTITUTE(SUBSTITUTE(SUBSTITUTE(SUBSTITUTE(SUBSTITUTE(Клиенты_исходные!D76," ",""),"-",""),"+",""),"(",""),")",""))=10,"+7 ("&amp;MID(SUBSTITUTE(SUBSTITUTE(SUBSTITUTE(SUBSTITUTE(SUBSTITUTE(Клиенты_исходные!D76," ",""),"-",""),"+",""),"(",""),")",""),1,3)&amp;") "&amp;MID(SUBSTITUTE(SUBSTITUTE(SUBSTITUTE(SUBSTITUTE(SUBSTITUTE(Клиенты_исходные!D76," ",""),"-",""),"+",""),"(",""),")",""),4,3)&amp;"-"&amp;MID(SUBSTITUTE(SUBSTITUTE(SUBSTITUTE(SUBSTITUTE(SUBSTITUTE(Клиенты_исходные!D76," ",""),"-",""),"+",""),"(",""),")",""),6,2)&amp;"-"&amp;MID(SUBSTITUTE(SUBSTITUTE(SUBSTITUTE(SUBSTITUTE(SUBSTITUTE(Клиенты_исходные!D76," ",""),"-",""),"+",""),"(",""),")",""),8,2),Клиенты_исходные!D76)))</f>
        <v xml:space="preserve">+7 (903) 123-45-67</v>
      </c>
      <c r="F76" t="str">
        <f>IFERROR(VLOOKUP(Клиенты_исходные!F76,Справочники!$J$2:$K$50,2,FALSE),Клиенты_исходные!F76)</f>
        <v>Орск</v>
      </c>
      <c r="G76" s="8">
        <f>IFERROR(IF(ISNUMBER(FIND(".",Клиенты_исходные!G76)),DATE(RIGHT(Клиенты_исходные!G76,4),MID(Клиенты_исходные!G76,4,2),LEFT(Клиенты_исходные!G76,2)),DATE(LEFT(Клиенты_исходные!G76,4),MID(Клиенты_исходные!G76,6,2),RIGHT(Клиенты_исходные!G76,2))),Клиенты_исходные!G76)</f>
        <v>45306</v>
      </c>
      <c r="H76">
        <f t="shared" ca="1" si="49"/>
        <v>33</v>
      </c>
      <c r="I76" t="str">
        <f t="shared" si="50"/>
        <v>OK</v>
      </c>
      <c r="J76" t="str">
        <f t="shared" si="51"/>
        <v xml:space="preserve">Ошибка Email</v>
      </c>
    </row>
    <row r="77">
      <c r="A77" t="str">
        <f>Клиенты_исходные!A77</f>
        <v>C0076</v>
      </c>
      <c r="B77" t="str">
        <f>PROPER(TRIM(Клиенты_исходные!B77))</f>
        <v xml:space="preserve">Прохоров Вадим Александрович</v>
      </c>
      <c r="C77" s="8">
        <f>IFERROR(IF(ISNUMBER(FIND(".",Клиенты_исходные!C77)),DATE(RIGHT(Клиенты_исходные!C77,4),MID(Клиенты_исходные!C77,4,2),LEFT(Клиенты_исходные!C77,2)),DATE(LEFT(Клиенты_исходные!C77,4),MID(Клиенты_исходные!C77,6,2),RIGHT(Клиенты_исходные!C77,2))),Клиенты_исходные!C77)</f>
        <v>29123</v>
      </c>
      <c r="D77" t="str">
        <f>IF(ISBLANK(Клиенты_исходные!D77),"",IF(LEN(SUBSTITUTE(SUBSTITUTE(SUBSTITUTE(SUBSTITUTE(SUBSTITUTE(Клиенты_исходные!D77," ",""),"-",""),"+",""),"(",""),")",""))=11,"+7 ("&amp;MID(IF(LEFT(SUBSTITUTE(SUBSTITUTE(SUBSTITUTE(SUBSTITUTE(SUBSTITUTE(Клиенты_исходные!D77," ",""),"-",""),"+",""),"(",""),")",""))="8","7"&amp;MID(SUBSTITUTE(SUBSTITUTE(SUBSTITUTE(SUBSTITUTE(SUBSTITUTE(Клиенты_исходные!D77," ",""),"-",""),"+",""),"(",""),")",""),2,10),SUBSTITUTE(SUBSTITUTE(SUBSTITUTE(SUBSTITUTE(SUBSTITUTE(Клиенты_исходные!D77," ",""),"-",""),"+",""),"(",""),")","")),2,3)&amp;") "&amp;MID(IF(LEFT(SUBSTITUTE(SUBSTITUTE(SUBSTITUTE(SUBSTITUTE(SUBSTITUTE(Клиенты_исходные!D77," ",""),"-",""),"+",""),"(",""),")",""))="8","7"&amp;MID(SUBSTITUTE(SUBSTITUTE(SUBSTITUTE(SUBSTITUTE(SUBSTITUTE(Клиенты_исходные!D77," ",""),"-",""),"+",""),"(",""),")",""),2,10),SUBSTITUTE(SUBSTITUTE(SUBSTITUTE(SUBSTITUTE(SUBSTITUTE(Клиенты_исходные!D77," ",""),"-",""),"+",""),"(",""),")","")),5,3)&amp;"-"&amp;MID(IF(LEFT(SUBSTITUTE(SUBSTITUTE(SUBSTITUTE(SUBSTITUTE(SUBSTITUTE(Клиенты_исходные!D77," ",""),"-",""),"+",""),"(",""),")",""))="8","7"&amp;MID(SUBSTITUTE(SUBSTITUTE(SUBSTITUTE(SUBSTITUTE(SUBSTITUTE(Клиенты_исходные!D77," ",""),"-",""),"+",""),"(",""),")",""),2,10),SUBSTITUTE(SUBSTITUTE(SUBSTITUTE(SUBSTITUTE(SUBSTITUTE(Клиенты_исходные!D77," ",""),"-",""),"+",""),"(",""),")","")),8,2)&amp;"-"&amp;MID(IF(LEFT(SUBSTITUTE(SUBSTITUTE(SUBSTITUTE(SUBSTITUTE(SUBSTITUTE(Клиенты_исходные!D77," ",""),"-",""),"+",""),"(",""),")",""))="8","7"&amp;MID(SUBSTITUTE(SUBSTITUTE(SUBSTITUTE(SUBSTITUTE(SUBSTITUTE(Клиенты_исходные!D77," ",""),"-",""),"+",""),"(",""),")",""),2,10),SUBSTITUTE(SUBSTITUTE(SUBSTITUTE(SUBSTITUTE(SUBSTITUTE(Клиенты_исходные!D77," ",""),"-",""),"+",""),"(",""),")","")),10,2),IF(LEN(SUBSTITUTE(SUBSTITUTE(SUBSTITUTE(SUBSTITUTE(SUBSTITUTE(Клиенты_исходные!D77," ",""),"-",""),"+",""),"(",""),")",""))=10,"+7 ("&amp;MID(SUBSTITUTE(SUBSTITUTE(SUBSTITUTE(SUBSTITUTE(SUBSTITUTE(Клиенты_исходные!D77," ",""),"-",""),"+",""),"(",""),")",""),1,3)&amp;") "&amp;MID(SUBSTITUTE(SUBSTITUTE(SUBSTITUTE(SUBSTITUTE(SUBSTITUTE(Клиенты_исходные!D77," ",""),"-",""),"+",""),"(",""),")",""),4,3)&amp;"-"&amp;MID(SUBSTITUTE(SUBSTITUTE(SUBSTITUTE(SUBSTITUTE(SUBSTITUTE(Клиенты_исходные!D77," ",""),"-",""),"+",""),"(",""),")",""),6,2)&amp;"-"&amp;MID(SUBSTITUTE(SUBSTITUTE(SUBSTITUTE(SUBSTITUTE(SUBSTITUTE(Клиенты_исходные!D77," ",""),"-",""),"+",""),"(",""),")",""),8,2),Клиенты_исходные!D77)))</f>
        <v xml:space="preserve">+7 (903) 123-45-67</v>
      </c>
      <c r="F77" t="str">
        <f>IFERROR(VLOOKUP(Клиенты_исходные!F77,Справочники!$J$2:$K$50,2,FALSE),Клиенты_исходные!F77)</f>
        <v>Нижневартовск</v>
      </c>
      <c r="G77" s="8">
        <f>IFERROR(IF(ISNUMBER(FIND(".",Клиенты_исходные!G77)),DATE(RIGHT(Клиенты_исходные!G77,4),MID(Клиенты_исходные!G77,4,2),LEFT(Клиенты_исходные!G77,2)),DATE(LEFT(Клиенты_исходные!G77,4),MID(Клиенты_исходные!G77,6,2),RIGHT(Клиенты_исходные!G77,2))),Клиенты_исходные!G77)</f>
        <v>45323</v>
      </c>
      <c r="H77">
        <f t="shared" ca="1" si="49"/>
        <v>47</v>
      </c>
      <c r="I77" t="str">
        <f t="shared" si="50"/>
        <v>OK</v>
      </c>
      <c r="J77" t="str">
        <f t="shared" si="51"/>
        <v xml:space="preserve">Ошибка Email</v>
      </c>
    </row>
    <row r="78">
      <c r="A78" t="str">
        <f>Клиенты_исходные!A78</f>
        <v>C0077</v>
      </c>
      <c r="B78" t="str">
        <f>PROPER(TRIM(Клиенты_исходные!B78))</f>
        <v xml:space="preserve">Краснова Жанна Петровна</v>
      </c>
      <c r="C78" s="8">
        <f>IFERROR(IF(ISNUMBER(FIND(".",Клиенты_исходные!C78)),DATE(RIGHT(Клиенты_исходные!C78,4),MID(Клиенты_исходные!C78,4,2),LEFT(Клиенты_исходные!C78,2)),DATE(LEFT(Клиенты_исходные!C78,4),MID(Клиенты_исходные!C78,6,2),RIGHT(Клиенты_исходные!C78,2))),Клиенты_исходные!C78)</f>
        <v>31764</v>
      </c>
      <c r="D78" t="str">
        <f>IF(ISBLANK(Клиенты_исходные!D78),"",IF(LEN(SUBSTITUTE(SUBSTITUTE(SUBSTITUTE(SUBSTITUTE(SUBSTITUTE(Клиенты_исходные!D78," ",""),"-",""),"+",""),"(",""),")",""))=11,"+7 ("&amp;MID(IF(LEFT(SUBSTITUTE(SUBSTITUTE(SUBSTITUTE(SUBSTITUTE(SUBSTITUTE(Клиенты_исходные!D78," ",""),"-",""),"+",""),"(",""),")",""))="8","7"&amp;MID(SUBSTITUTE(SUBSTITUTE(SUBSTITUTE(SUBSTITUTE(SUBSTITUTE(Клиенты_исходные!D78," ",""),"-",""),"+",""),"(",""),")",""),2,10),SUBSTITUTE(SUBSTITUTE(SUBSTITUTE(SUBSTITUTE(SUBSTITUTE(Клиенты_исходные!D78," ",""),"-",""),"+",""),"(",""),")","")),2,3)&amp;") "&amp;MID(IF(LEFT(SUBSTITUTE(SUBSTITUTE(SUBSTITUTE(SUBSTITUTE(SUBSTITUTE(Клиенты_исходные!D78," ",""),"-",""),"+",""),"(",""),")",""))="8","7"&amp;MID(SUBSTITUTE(SUBSTITUTE(SUBSTITUTE(SUBSTITUTE(SUBSTITUTE(Клиенты_исходные!D78," ",""),"-",""),"+",""),"(",""),")",""),2,10),SUBSTITUTE(SUBSTITUTE(SUBSTITUTE(SUBSTITUTE(SUBSTITUTE(Клиенты_исходные!D78," ",""),"-",""),"+",""),"(",""),")","")),5,3)&amp;"-"&amp;MID(IF(LEFT(SUBSTITUTE(SUBSTITUTE(SUBSTITUTE(SUBSTITUTE(SUBSTITUTE(Клиенты_исходные!D78," ",""),"-",""),"+",""),"(",""),")",""))="8","7"&amp;MID(SUBSTITUTE(SUBSTITUTE(SUBSTITUTE(SUBSTITUTE(SUBSTITUTE(Клиенты_исходные!D78," ",""),"-",""),"+",""),"(",""),")",""),2,10),SUBSTITUTE(SUBSTITUTE(SUBSTITUTE(SUBSTITUTE(SUBSTITUTE(Клиенты_исходные!D78," ",""),"-",""),"+",""),"(",""),")","")),8,2)&amp;"-"&amp;MID(IF(LEFT(SUBSTITUTE(SUBSTITUTE(SUBSTITUTE(SUBSTITUTE(SUBSTITUTE(Клиенты_исходные!D78," ",""),"-",""),"+",""),"(",""),")",""))="8","7"&amp;MID(SUBSTITUTE(SUBSTITUTE(SUBSTITUTE(SUBSTITUTE(SUBSTITUTE(Клиенты_исходные!D78," ",""),"-",""),"+",""),"(",""),")",""),2,10),SUBSTITUTE(SUBSTITUTE(SUBSTITUTE(SUBSTITUTE(SUBSTITUTE(Клиенты_исходные!D78," ",""),"-",""),"+",""),"(",""),")","")),10,2),IF(LEN(SUBSTITUTE(SUBSTITUTE(SUBSTITUTE(SUBSTITUTE(SUBSTITUTE(Клиенты_исходные!D78," ",""),"-",""),"+",""),"(",""),")",""))=10,"+7 ("&amp;MID(SUBSTITUTE(SUBSTITUTE(SUBSTITUTE(SUBSTITUTE(SUBSTITUTE(Клиенты_исходные!D78," ",""),"-",""),"+",""),"(",""),")",""),1,3)&amp;") "&amp;MID(SUBSTITUTE(SUBSTITUTE(SUBSTITUTE(SUBSTITUTE(SUBSTITUTE(Клиенты_исходные!D78," ",""),"-",""),"+",""),"(",""),")",""),4,3)&amp;"-"&amp;MID(SUBSTITUTE(SUBSTITUTE(SUBSTITUTE(SUBSTITUTE(SUBSTITUTE(Клиенты_исходные!D78," ",""),"-",""),"+",""),"(",""),")",""),6,2)&amp;"-"&amp;MID(SUBSTITUTE(SUBSTITUTE(SUBSTITUTE(SUBSTITUTE(SUBSTITUTE(Клиенты_исходные!D78," ",""),"-",""),"+",""),"(",""),")",""),8,2),Клиенты_исходные!D78)))</f>
        <v xml:space="preserve">+7 (903) 123-45-67</v>
      </c>
      <c r="F78" t="str">
        <f>IFERROR(VLOOKUP(Клиенты_исходные!F78,Справочники!$J$2:$K$50,2,FALSE),Клиенты_исходные!F78)</f>
        <v>Новороссийск</v>
      </c>
      <c r="G78" s="8">
        <f>IFERROR(IF(ISNUMBER(FIND(".",Клиенты_исходные!G78)),DATE(RIGHT(Клиенты_исходные!G78,4),MID(Клиенты_исходные!G78,4,2),LEFT(Клиенты_исходные!G78,2)),DATE(LEFT(Клиенты_исходные!G78,4),MID(Клиенты_исходные!G78,6,2),RIGHT(Клиенты_исходные!G78,2))),Клиенты_исходные!G78)</f>
        <v>45332</v>
      </c>
      <c r="H78">
        <f t="shared" ca="1" si="49"/>
        <v>39</v>
      </c>
      <c r="I78" t="str">
        <f t="shared" si="50"/>
        <v>OK</v>
      </c>
      <c r="J78" t="str">
        <f t="shared" si="51"/>
        <v xml:space="preserve">Ошибка Email</v>
      </c>
    </row>
    <row r="79">
      <c r="A79" t="str">
        <f>Клиенты_исходные!A79</f>
        <v>C0078</v>
      </c>
      <c r="B79" t="str">
        <f>PROPER(TRIM(Клиенты_исходные!B79))</f>
        <v xml:space="preserve">Савельева Таисия Сергеевна</v>
      </c>
      <c r="C79" s="8">
        <f>IFERROR(IF(ISNUMBER(FIND(".",Клиенты_исходные!C79)),DATE(RIGHT(Клиенты_исходные!C79,4),MID(Клиенты_исходные!C79,4,2),LEFT(Клиенты_исходные!C79,2)),DATE(LEFT(Клиенты_исходные!C79,4),MID(Клиенты_исходные!C79,6,2),RIGHT(Клиенты_исходные!C79,2))),Клиенты_исходные!C79)</f>
        <v>34487</v>
      </c>
      <c r="D79" t="str">
        <f>IF(ISBLANK(Клиенты_исходные!D79),"",IF(LEN(SUBSTITUTE(SUBSTITUTE(SUBSTITUTE(SUBSTITUTE(SUBSTITUTE(Клиенты_исходные!D79," ",""),"-",""),"+",""),"(",""),")",""))=11,"+7 ("&amp;MID(IF(LEFT(SUBSTITUTE(SUBSTITUTE(SUBSTITUTE(SUBSTITUTE(SUBSTITUTE(Клиенты_исходные!D79," ",""),"-",""),"+",""),"(",""),")",""))="8","7"&amp;MID(SUBSTITUTE(SUBSTITUTE(SUBSTITUTE(SUBSTITUTE(SUBSTITUTE(Клиенты_исходные!D79," ",""),"-",""),"+",""),"(",""),")",""),2,10),SUBSTITUTE(SUBSTITUTE(SUBSTITUTE(SUBSTITUTE(SUBSTITUTE(Клиенты_исходные!D79," ",""),"-",""),"+",""),"(",""),")","")),2,3)&amp;") "&amp;MID(IF(LEFT(SUBSTITUTE(SUBSTITUTE(SUBSTITUTE(SUBSTITUTE(SUBSTITUTE(Клиенты_исходные!D79," ",""),"-",""),"+",""),"(",""),")",""))="8","7"&amp;MID(SUBSTITUTE(SUBSTITUTE(SUBSTITUTE(SUBSTITUTE(SUBSTITUTE(Клиенты_исходные!D79," ",""),"-",""),"+",""),"(",""),")",""),2,10),SUBSTITUTE(SUBSTITUTE(SUBSTITUTE(SUBSTITUTE(SUBSTITUTE(Клиенты_исходные!D79," ",""),"-",""),"+",""),"(",""),")","")),5,3)&amp;"-"&amp;MID(IF(LEFT(SUBSTITUTE(SUBSTITUTE(SUBSTITUTE(SUBSTITUTE(SUBSTITUTE(Клиенты_исходные!D79," ",""),"-",""),"+",""),"(",""),")",""))="8","7"&amp;MID(SUBSTITUTE(SUBSTITUTE(SUBSTITUTE(SUBSTITUTE(SUBSTITUTE(Клиенты_исходные!D79," ",""),"-",""),"+",""),"(",""),")",""),2,10),SUBSTITUTE(SUBSTITUTE(SUBSTITUTE(SUBSTITUTE(SUBSTITUTE(Клиенты_исходные!D79," ",""),"-",""),"+",""),"(",""),")","")),8,2)&amp;"-"&amp;MID(IF(LEFT(SUBSTITUTE(SUBSTITUTE(SUBSTITUTE(SUBSTITUTE(SUBSTITUTE(Клиенты_исходные!D79," ",""),"-",""),"+",""),"(",""),")",""))="8","7"&amp;MID(SUBSTITUTE(SUBSTITUTE(SUBSTITUTE(SUBSTITUTE(SUBSTITUTE(Клиенты_исходные!D79," ",""),"-",""),"+",""),"(",""),")",""),2,10),SUBSTITUTE(SUBSTITUTE(SUBSTITUTE(SUBSTITUTE(SUBSTITUTE(Клиенты_исходные!D79," ",""),"-",""),"+",""),"(",""),")","")),10,2),IF(LEN(SUBSTITUTE(SUBSTITUTE(SUBSTITUTE(SUBSTITUTE(SUBSTITUTE(Клиенты_исходные!D79," ",""),"-",""),"+",""),"(",""),")",""))=10,"+7 ("&amp;MID(SUBSTITUTE(SUBSTITUTE(SUBSTITUTE(SUBSTITUTE(SUBSTITUTE(Клиенты_исходные!D79," ",""),"-",""),"+",""),"(",""),")",""),1,3)&amp;") "&amp;MID(SUBSTITUTE(SUBSTITUTE(SUBSTITUTE(SUBSTITUTE(SUBSTITUTE(Клиенты_исходные!D79," ",""),"-",""),"+",""),"(",""),")",""),4,3)&amp;"-"&amp;MID(SUBSTITUTE(SUBSTITUTE(SUBSTITUTE(SUBSTITUTE(SUBSTITUTE(Клиенты_исходные!D79," ",""),"-",""),"+",""),"(",""),")",""),6,2)&amp;"-"&amp;MID(SUBSTITUTE(SUBSTITUTE(SUBSTITUTE(SUBSTITUTE(SUBSTITUTE(Клиенты_исходные!D79," ",""),"-",""),"+",""),"(",""),")",""),8,2),Клиенты_исходные!D79)))</f>
        <v xml:space="preserve">+7 (903) 234-56-78</v>
      </c>
      <c r="F79" t="str">
        <f>IFERROR(VLOOKUP(Клиенты_исходные!F79,Справочники!$J$2:$K$50,2,FALSE),Клиенты_исходные!F79)</f>
        <v>Химки</v>
      </c>
      <c r="G79" s="8">
        <f>IFERROR(IF(ISNUMBER(FIND(".",Клиенты_исходные!G79)),DATE(RIGHT(Клиенты_исходные!G79,4),MID(Клиенты_исходные!G79,4,2),LEFT(Клиенты_исходные!G79,2)),DATE(LEFT(Клиенты_исходные!G79,4),MID(Клиенты_исходные!G79,6,2),RIGHT(Клиенты_исходные!G79,2))),Клиенты_исходные!G79)</f>
        <v>45332</v>
      </c>
      <c r="H79">
        <f t="shared" ca="1" si="49"/>
        <v>32</v>
      </c>
      <c r="I79" t="str">
        <f t="shared" si="50"/>
        <v>OK</v>
      </c>
      <c r="J79" t="str">
        <f t="shared" si="51"/>
        <v xml:space="preserve">Ошибка Email</v>
      </c>
    </row>
    <row r="80">
      <c r="A80" t="str">
        <f>Клиенты_исходные!A80</f>
        <v>C0079</v>
      </c>
      <c r="B80" t="str">
        <f>PROPER(TRIM(Клиенты_исходные!B80))</f>
        <v xml:space="preserve">Шестаков Никита Игоревич</v>
      </c>
      <c r="C80" s="8">
        <f>IFERROR(IF(ISNUMBER(FIND(".",Клиенты_исходные!C80)),DATE(RIGHT(Клиенты_исходные!C80,4),MID(Клиенты_исходные!C80,4,2),LEFT(Клиенты_исходные!C80,2)),DATE(LEFT(Клиенты_исходные!C80,4),MID(Клиенты_исходные!C80,6,2),RIGHT(Клиенты_исходные!C80,2))),Клиенты_исходные!C80)</f>
        <v>27425</v>
      </c>
      <c r="D80" t="str">
        <f>IF(ISBLANK(Клиенты_исходные!D80),"",IF(LEN(SUBSTITUTE(SUBSTITUTE(SUBSTITUTE(SUBSTITUTE(SUBSTITUTE(Клиенты_исходные!D80," ",""),"-",""),"+",""),"(",""),")",""))=11,"+7 ("&amp;MID(IF(LEFT(SUBSTITUTE(SUBSTITUTE(SUBSTITUTE(SUBSTITUTE(SUBSTITUTE(Клиенты_исходные!D80," ",""),"-",""),"+",""),"(",""),")",""))="8","7"&amp;MID(SUBSTITUTE(SUBSTITUTE(SUBSTITUTE(SUBSTITUTE(SUBSTITUTE(Клиенты_исходные!D80," ",""),"-",""),"+",""),"(",""),")",""),2,10),SUBSTITUTE(SUBSTITUTE(SUBSTITUTE(SUBSTITUTE(SUBSTITUTE(Клиенты_исходные!D80," ",""),"-",""),"+",""),"(",""),")","")),2,3)&amp;") "&amp;MID(IF(LEFT(SUBSTITUTE(SUBSTITUTE(SUBSTITUTE(SUBSTITUTE(SUBSTITUTE(Клиенты_исходные!D80," ",""),"-",""),"+",""),"(",""),")",""))="8","7"&amp;MID(SUBSTITUTE(SUBSTITUTE(SUBSTITUTE(SUBSTITUTE(SUBSTITUTE(Клиенты_исходные!D80," ",""),"-",""),"+",""),"(",""),")",""),2,10),SUBSTITUTE(SUBSTITUTE(SUBSTITUTE(SUBSTITUTE(SUBSTITUTE(Клиенты_исходные!D80," ",""),"-",""),"+",""),"(",""),")","")),5,3)&amp;"-"&amp;MID(IF(LEFT(SUBSTITUTE(SUBSTITUTE(SUBSTITUTE(SUBSTITUTE(SUBSTITUTE(Клиенты_исходные!D80," ",""),"-",""),"+",""),"(",""),")",""))="8","7"&amp;MID(SUBSTITUTE(SUBSTITUTE(SUBSTITUTE(SUBSTITUTE(SUBSTITUTE(Клиенты_исходные!D80," ",""),"-",""),"+",""),"(",""),")",""),2,10),SUBSTITUTE(SUBSTITUTE(SUBSTITUTE(SUBSTITUTE(SUBSTITUTE(Клиенты_исходные!D80," ",""),"-",""),"+",""),"(",""),")","")),8,2)&amp;"-"&amp;MID(IF(LEFT(SUBSTITUTE(SUBSTITUTE(SUBSTITUTE(SUBSTITUTE(SUBSTITUTE(Клиенты_исходные!D80," ",""),"-",""),"+",""),"(",""),")",""))="8","7"&amp;MID(SUBSTITUTE(SUBSTITUTE(SUBSTITUTE(SUBSTITUTE(SUBSTITUTE(Клиенты_исходные!D80," ",""),"-",""),"+",""),"(",""),")",""),2,10),SUBSTITUTE(SUBSTITUTE(SUBSTITUTE(SUBSTITUTE(SUBSTITUTE(Клиенты_исходные!D80," ",""),"-",""),"+",""),"(",""),")","")),10,2),IF(LEN(SUBSTITUTE(SUBSTITUTE(SUBSTITUTE(SUBSTITUTE(SUBSTITUTE(Клиенты_исходные!D80," ",""),"-",""),"+",""),"(",""),")",""))=10,"+7 ("&amp;MID(SUBSTITUTE(SUBSTITUTE(SUBSTITUTE(SUBSTITUTE(SUBSTITUTE(Клиенты_исходные!D80," ",""),"-",""),"+",""),"(",""),")",""),1,3)&amp;") "&amp;MID(SUBSTITUTE(SUBSTITUTE(SUBSTITUTE(SUBSTITUTE(SUBSTITUTE(Клиенты_исходные!D80," ",""),"-",""),"+",""),"(",""),")",""),4,3)&amp;"-"&amp;MID(SUBSTITUTE(SUBSTITUTE(SUBSTITUTE(SUBSTITUTE(SUBSTITUTE(Клиенты_исходные!D80," ",""),"-",""),"+",""),"(",""),")",""),6,2)&amp;"-"&amp;MID(SUBSTITUTE(SUBSTITUTE(SUBSTITUTE(SUBSTITUTE(SUBSTITUTE(Клиенты_исходные!D80," ",""),"-",""),"+",""),"(",""),")",""),8,2),Клиенты_исходные!D80)))</f>
        <v xml:space="preserve">+7 (903) 234-56-78</v>
      </c>
      <c r="F80" t="str">
        <f>IFERROR(VLOOKUP(Клиенты_исходные!F80,Справочники!$J$2:$K$50,2,FALSE),Клиенты_исходные!F80)</f>
        <v>Подольск</v>
      </c>
      <c r="G80" s="8">
        <f>IFERROR(IF(ISNUMBER(FIND(".",Клиенты_исходные!G80)),DATE(RIGHT(Клиенты_исходные!G80,4),MID(Клиенты_исходные!G80,4,2),LEFT(Клиенты_исходные!G80,2)),DATE(LEFT(Клиенты_исходные!G80,4),MID(Клиенты_исходные!G80,6,2),RIGHT(Клиенты_исходные!G80,2))),Клиенты_исходные!G80)</f>
        <v>45352</v>
      </c>
      <c r="H80">
        <f t="shared" ca="1" si="49"/>
        <v>51</v>
      </c>
      <c r="I80" t="str">
        <f t="shared" si="50"/>
        <v>OK</v>
      </c>
      <c r="J80" t="str">
        <f t="shared" si="51"/>
        <v xml:space="preserve">Ошибка Email</v>
      </c>
    </row>
    <row r="81">
      <c r="A81" t="str">
        <f>Клиенты_исходные!A81</f>
        <v>C0080</v>
      </c>
      <c r="B81" t="str">
        <f>PROPER(TRIM(Клиенты_исходные!B81))</f>
        <v xml:space="preserve">Виноградов Данил Олегович</v>
      </c>
      <c r="C81" s="8">
        <f>IFERROR(IF(ISNUMBER(FIND(".",Клиенты_исходные!C81)),DATE(RIGHT(Клиенты_исходные!C81,4),MID(Клиенты_исходные!C81,4,2),LEFT(Клиенты_исходные!C81,2)),DATE(LEFT(Клиенты_исходные!C81,4),MID(Клиенты_исходные!C81,6,2),RIGHT(Клиенты_исходные!C81,2))),Клиенты_исходные!C81)</f>
        <v>30237</v>
      </c>
      <c r="D81" t="str">
        <f>IF(ISBLANK(Клиенты_исходные!D81),"",IF(LEN(SUBSTITUTE(SUBSTITUTE(SUBSTITUTE(SUBSTITUTE(SUBSTITUTE(Клиенты_исходные!D81," ",""),"-",""),"+",""),"(",""),")",""))=11,"+7 ("&amp;MID(IF(LEFT(SUBSTITUTE(SUBSTITUTE(SUBSTITUTE(SUBSTITUTE(SUBSTITUTE(Клиенты_исходные!D81," ",""),"-",""),"+",""),"(",""),")",""))="8","7"&amp;MID(SUBSTITUTE(SUBSTITUTE(SUBSTITUTE(SUBSTITUTE(SUBSTITUTE(Клиенты_исходные!D81," ",""),"-",""),"+",""),"(",""),")",""),2,10),SUBSTITUTE(SUBSTITUTE(SUBSTITUTE(SUBSTITUTE(SUBSTITUTE(Клиенты_исходные!D81," ",""),"-",""),"+",""),"(",""),")","")),2,3)&amp;") "&amp;MID(IF(LEFT(SUBSTITUTE(SUBSTITUTE(SUBSTITUTE(SUBSTITUTE(SUBSTITUTE(Клиенты_исходные!D81," ",""),"-",""),"+",""),"(",""),")",""))="8","7"&amp;MID(SUBSTITUTE(SUBSTITUTE(SUBSTITUTE(SUBSTITUTE(SUBSTITUTE(Клиенты_исходные!D81," ",""),"-",""),"+",""),"(",""),")",""),2,10),SUBSTITUTE(SUBSTITUTE(SUBSTITUTE(SUBSTITUTE(SUBSTITUTE(Клиенты_исходные!D81," ",""),"-",""),"+",""),"(",""),")","")),5,3)&amp;"-"&amp;MID(IF(LEFT(SUBSTITUTE(SUBSTITUTE(SUBSTITUTE(SUBSTITUTE(SUBSTITUTE(Клиенты_исходные!D81," ",""),"-",""),"+",""),"(",""),")",""))="8","7"&amp;MID(SUBSTITUTE(SUBSTITUTE(SUBSTITUTE(SUBSTITUTE(SUBSTITUTE(Клиенты_исходные!D81," ",""),"-",""),"+",""),"(",""),")",""),2,10),SUBSTITUTE(SUBSTITUTE(SUBSTITUTE(SUBSTITUTE(SUBSTITUTE(Клиенты_исходные!D81," ",""),"-",""),"+",""),"(",""),")","")),8,2)&amp;"-"&amp;MID(IF(LEFT(SUBSTITUTE(SUBSTITUTE(SUBSTITUTE(SUBSTITUTE(SUBSTITUTE(Клиенты_исходные!D81," ",""),"-",""),"+",""),"(",""),")",""))="8","7"&amp;MID(SUBSTITUTE(SUBSTITUTE(SUBSTITUTE(SUBSTITUTE(SUBSTITUTE(Клиенты_исходные!D81," ",""),"-",""),"+",""),"(",""),")",""),2,10),SUBSTITUTE(SUBSTITUTE(SUBSTITUTE(SUBSTITUTE(SUBSTITUTE(Клиенты_исходные!D81," ",""),"-",""),"+",""),"(",""),")","")),10,2),IF(LEN(SUBSTITUTE(SUBSTITUTE(SUBSTITUTE(SUBSTITUTE(SUBSTITUTE(Клиенты_исходные!D81," ",""),"-",""),"+",""),"(",""),")",""))=10,"+7 ("&amp;MID(SUBSTITUTE(SUBSTITUTE(SUBSTITUTE(SUBSTITUTE(SUBSTITUTE(Клиенты_исходные!D81," ",""),"-",""),"+",""),"(",""),")",""),1,3)&amp;") "&amp;MID(SUBSTITUTE(SUBSTITUTE(SUBSTITUTE(SUBSTITUTE(SUBSTITUTE(Клиенты_исходные!D81," ",""),"-",""),"+",""),"(",""),")",""),4,3)&amp;"-"&amp;MID(SUBSTITUTE(SUBSTITUTE(SUBSTITUTE(SUBSTITUTE(SUBSTITUTE(Клиенты_исходные!D81," ",""),"-",""),"+",""),"(",""),")",""),6,2)&amp;"-"&amp;MID(SUBSTITUTE(SUBSTITUTE(SUBSTITUTE(SUBSTITUTE(SUBSTITUTE(Клиенты_исходные!D81," ",""),"-",""),"+",""),"(",""),")",""),8,2),Клиенты_исходные!D81)))</f>
        <v xml:space="preserve">+7 (903) 234-56-78</v>
      </c>
      <c r="F81" t="str">
        <f>IFERROR(VLOOKUP(Клиенты_исходные!F81,Справочники!$J$2:$K$50,2,FALSE),Клиенты_исходные!F81)</f>
        <v>Балашиха</v>
      </c>
      <c r="G81" s="8">
        <f>IFERROR(IF(ISNUMBER(FIND(".",Клиенты_исходные!G81)),DATE(RIGHT(Клиенты_исходные!G81,4),MID(Клиенты_исходные!G81,4,2),LEFT(Клиенты_исходные!G81,2)),DATE(LEFT(Клиенты_исходные!G81,4),MID(Клиенты_исходные!G81,6,2),RIGHT(Клиенты_исходные!G81,2))),Клиенты_исходные!G81)</f>
        <v>45366</v>
      </c>
      <c r="H81">
        <f t="shared" ca="1" si="49"/>
        <v>43</v>
      </c>
      <c r="I81" t="str">
        <f t="shared" si="50"/>
        <v>OK</v>
      </c>
      <c r="J81" t="str">
        <f t="shared" si="51"/>
        <v xml:space="preserve">Ошибка Email</v>
      </c>
    </row>
    <row r="82">
      <c r="A82" t="str">
        <f>Клиенты_исходные!A82</f>
        <v>C0081</v>
      </c>
      <c r="B82" t="str">
        <f>PROPER(TRIM(Клиенты_исходные!B82))</f>
        <v xml:space="preserve">Александрова Милана Викторовна</v>
      </c>
      <c r="C82" s="8">
        <f>IFERROR(IF(ISNUMBER(FIND(".",Клиенты_исходные!C82)),DATE(RIGHT(Клиенты_исходные!C82,4),MID(Клиенты_исходные!C82,4,2),LEFT(Клиенты_исходные!C82,2)),DATE(LEFT(Клиенты_исходные!C82,4),MID(Клиенты_исходные!C82,6,2),RIGHT(Клиенты_исходные!C82,2))),Клиенты_исходные!C82)</f>
        <v>33474</v>
      </c>
      <c r="D82" t="str">
        <f>IF(ISBLANK(Клиенты_исходные!D82),"",IF(LEN(SUBSTITUTE(SUBSTITUTE(SUBSTITUTE(SUBSTITUTE(SUBSTITUTE(Клиенты_исходные!D82," ",""),"-",""),"+",""),"(",""),")",""))=11,"+7 ("&amp;MID(IF(LEFT(SUBSTITUTE(SUBSTITUTE(SUBSTITUTE(SUBSTITUTE(SUBSTITUTE(Клиенты_исходные!D82," ",""),"-",""),"+",""),"(",""),")",""))="8","7"&amp;MID(SUBSTITUTE(SUBSTITUTE(SUBSTITUTE(SUBSTITUTE(SUBSTITUTE(Клиенты_исходные!D82," ",""),"-",""),"+",""),"(",""),")",""),2,10),SUBSTITUTE(SUBSTITUTE(SUBSTITUTE(SUBSTITUTE(SUBSTITUTE(Клиенты_исходные!D82," ",""),"-",""),"+",""),"(",""),")","")),2,3)&amp;") "&amp;MID(IF(LEFT(SUBSTITUTE(SUBSTITUTE(SUBSTITUTE(SUBSTITUTE(SUBSTITUTE(Клиенты_исходные!D82," ",""),"-",""),"+",""),"(",""),")",""))="8","7"&amp;MID(SUBSTITUTE(SUBSTITUTE(SUBSTITUTE(SUBSTITUTE(SUBSTITUTE(Клиенты_исходные!D82," ",""),"-",""),"+",""),"(",""),")",""),2,10),SUBSTITUTE(SUBSTITUTE(SUBSTITUTE(SUBSTITUTE(SUBSTITUTE(Клиенты_исходные!D82," ",""),"-",""),"+",""),"(",""),")","")),5,3)&amp;"-"&amp;MID(IF(LEFT(SUBSTITUTE(SUBSTITUTE(SUBSTITUTE(SUBSTITUTE(SUBSTITUTE(Клиенты_исходные!D82," ",""),"-",""),"+",""),"(",""),")",""))="8","7"&amp;MID(SUBSTITUTE(SUBSTITUTE(SUBSTITUTE(SUBSTITUTE(SUBSTITUTE(Клиенты_исходные!D82," ",""),"-",""),"+",""),"(",""),")",""),2,10),SUBSTITUTE(SUBSTITUTE(SUBSTITUTE(SUBSTITUTE(SUBSTITUTE(Клиенты_исходные!D82," ",""),"-",""),"+",""),"(",""),")","")),8,2)&amp;"-"&amp;MID(IF(LEFT(SUBSTITUTE(SUBSTITUTE(SUBSTITUTE(SUBSTITUTE(SUBSTITUTE(Клиенты_исходные!D82," ",""),"-",""),"+",""),"(",""),")",""))="8","7"&amp;MID(SUBSTITUTE(SUBSTITUTE(SUBSTITUTE(SUBSTITUTE(SUBSTITUTE(Клиенты_исходные!D82," ",""),"-",""),"+",""),"(",""),")",""),2,10),SUBSTITUTE(SUBSTITUTE(SUBSTITUTE(SUBSTITUTE(SUBSTITUTE(Клиенты_исходные!D82," ",""),"-",""),"+",""),"(",""),")","")),10,2),IF(LEN(SUBSTITUTE(SUBSTITUTE(SUBSTITUTE(SUBSTITUTE(SUBSTITUTE(Клиенты_исходные!D82," ",""),"-",""),"+",""),"(",""),")",""))=10,"+7 ("&amp;MID(SUBSTITUTE(SUBSTITUTE(SUBSTITUTE(SUBSTITUTE(SUBSTITUTE(Клиенты_исходные!D82," ",""),"-",""),"+",""),"(",""),")",""),1,3)&amp;") "&amp;MID(SUBSTITUTE(SUBSTITUTE(SUBSTITUTE(SUBSTITUTE(SUBSTITUTE(Клиенты_исходные!D82," ",""),"-",""),"+",""),"(",""),")",""),4,3)&amp;"-"&amp;MID(SUBSTITUTE(SUBSTITUTE(SUBSTITUTE(SUBSTITUTE(SUBSTITUTE(Клиенты_исходные!D82," ",""),"-",""),"+",""),"(",""),")",""),6,2)&amp;"-"&amp;MID(SUBSTITUTE(SUBSTITUTE(SUBSTITUTE(SUBSTITUTE(SUBSTITUTE(Клиенты_исходные!D82," ",""),"-",""),"+",""),"(",""),")",""),8,2),Клиенты_исходные!D82)))</f>
        <v xml:space="preserve">+7 (903) 345-67-89</v>
      </c>
      <c r="F82" t="str">
        <f>IFERROR(VLOOKUP(Клиенты_исходные!F82,Справочники!$J$2:$K$50,2,FALSE),Клиенты_исходные!F82)</f>
        <v>Сургут</v>
      </c>
      <c r="G82" s="8">
        <f>IFERROR(IF(ISNUMBER(FIND(".",Клиенты_исходные!G82)),DATE(RIGHT(Клиенты_исходные!G82,4),MID(Клиенты_исходные!G82,4,2),LEFT(Клиенты_исходные!G82,2)),DATE(LEFT(Клиенты_исходные!G82,4),MID(Клиенты_исходные!G82,6,2),RIGHT(Клиенты_исходные!G82,2))),Клиенты_исходные!G82)</f>
        <v>45366</v>
      </c>
      <c r="H82">
        <f t="shared" ca="1" si="49"/>
        <v>35</v>
      </c>
      <c r="I82" t="str">
        <f t="shared" si="50"/>
        <v>OK</v>
      </c>
      <c r="J82" t="str">
        <f t="shared" si="51"/>
        <v xml:space="preserve">Ошибка Email</v>
      </c>
    </row>
    <row r="83">
      <c r="A83" t="str">
        <f>Клиенты_исходные!A83</f>
        <v>C0082</v>
      </c>
      <c r="B83" t="str">
        <f>PROPER(TRIM(Клиенты_исходные!B83))</f>
        <v xml:space="preserve">Борисенко Артём Денисович</v>
      </c>
      <c r="C83" s="8">
        <f>IFERROR(IF(ISNUMBER(FIND(".",Клиенты_исходные!C83)),DATE(RIGHT(Клиенты_исходные!C83,4),MID(Клиенты_исходные!C83,4,2),LEFT(Клиенты_исходные!C83,2)),DATE(LEFT(Клиенты_исходные!C83,4),MID(Клиенты_исходные!C83,6,2),RIGHT(Клиенты_исходные!C83,2))),Клиенты_исходные!C83)</f>
        <v>28221</v>
      </c>
      <c r="D83" t="str">
        <f>IF(ISBLANK(Клиенты_исходные!D83),"",IF(LEN(SUBSTITUTE(SUBSTITUTE(SUBSTITUTE(SUBSTITUTE(SUBSTITUTE(Клиенты_исходные!D83," ",""),"-",""),"+",""),"(",""),")",""))=11,"+7 ("&amp;MID(IF(LEFT(SUBSTITUTE(SUBSTITUTE(SUBSTITUTE(SUBSTITUTE(SUBSTITUTE(Клиенты_исходные!D83," ",""),"-",""),"+",""),"(",""),")",""))="8","7"&amp;MID(SUBSTITUTE(SUBSTITUTE(SUBSTITUTE(SUBSTITUTE(SUBSTITUTE(Клиенты_исходные!D83," ",""),"-",""),"+",""),"(",""),")",""),2,10),SUBSTITUTE(SUBSTITUTE(SUBSTITUTE(SUBSTITUTE(SUBSTITUTE(Клиенты_исходные!D83," ",""),"-",""),"+",""),"(",""),")","")),2,3)&amp;") "&amp;MID(IF(LEFT(SUBSTITUTE(SUBSTITUTE(SUBSTITUTE(SUBSTITUTE(SUBSTITUTE(Клиенты_исходные!D83," ",""),"-",""),"+",""),"(",""),")",""))="8","7"&amp;MID(SUBSTITUTE(SUBSTITUTE(SUBSTITUTE(SUBSTITUTE(SUBSTITUTE(Клиенты_исходные!D83," ",""),"-",""),"+",""),"(",""),")",""),2,10),SUBSTITUTE(SUBSTITUTE(SUBSTITUTE(SUBSTITUTE(SUBSTITUTE(Клиенты_исходные!D83," ",""),"-",""),"+",""),"(",""),")","")),5,3)&amp;"-"&amp;MID(IF(LEFT(SUBSTITUTE(SUBSTITUTE(SUBSTITUTE(SUBSTITUTE(SUBSTITUTE(Клиенты_исходные!D83," ",""),"-",""),"+",""),"(",""),")",""))="8","7"&amp;MID(SUBSTITUTE(SUBSTITUTE(SUBSTITUTE(SUBSTITUTE(SUBSTITUTE(Клиенты_исходные!D83," ",""),"-",""),"+",""),"(",""),")",""),2,10),SUBSTITUTE(SUBSTITUTE(SUBSTITUTE(SUBSTITUTE(SUBSTITUTE(Клиенты_исходные!D83," ",""),"-",""),"+",""),"(",""),")","")),8,2)&amp;"-"&amp;MID(IF(LEFT(SUBSTITUTE(SUBSTITUTE(SUBSTITUTE(SUBSTITUTE(SUBSTITUTE(Клиенты_исходные!D83," ",""),"-",""),"+",""),"(",""),")",""))="8","7"&amp;MID(SUBSTITUTE(SUBSTITUTE(SUBSTITUTE(SUBSTITUTE(SUBSTITUTE(Клиенты_исходные!D83," ",""),"-",""),"+",""),"(",""),")",""),2,10),SUBSTITUTE(SUBSTITUTE(SUBSTITUTE(SUBSTITUTE(SUBSTITUTE(Клиенты_исходные!D83," ",""),"-",""),"+",""),"(",""),")","")),10,2),IF(LEN(SUBSTITUTE(SUBSTITUTE(SUBSTITUTE(SUBSTITUTE(SUBSTITUTE(Клиенты_исходные!D83," ",""),"-",""),"+",""),"(",""),")",""))=10,"+7 ("&amp;MID(SUBSTITUTE(SUBSTITUTE(SUBSTITUTE(SUBSTITUTE(SUBSTITUTE(Клиенты_исходные!D83," ",""),"-",""),"+",""),"(",""),")",""),1,3)&amp;") "&amp;MID(SUBSTITUTE(SUBSTITUTE(SUBSTITUTE(SUBSTITUTE(SUBSTITUTE(Клиенты_исходные!D83," ",""),"-",""),"+",""),"(",""),")",""),4,3)&amp;"-"&amp;MID(SUBSTITUTE(SUBSTITUTE(SUBSTITUTE(SUBSTITUTE(SUBSTITUTE(Клиенты_исходные!D83," ",""),"-",""),"+",""),"(",""),")",""),6,2)&amp;"-"&amp;MID(SUBSTITUTE(SUBSTITUTE(SUBSTITUTE(SUBSTITUTE(SUBSTITUTE(Клиенты_исходные!D83," ",""),"-",""),"+",""),"(",""),")",""),8,2),Клиенты_исходные!D83)))</f>
        <v xml:space="preserve">+7 (903) 345-67-89</v>
      </c>
      <c r="F83" t="str">
        <f>IFERROR(VLOOKUP(Клиенты_исходные!F83,Справочники!$J$2:$K$50,2,FALSE),Клиенты_исходные!F83)</f>
        <v>Армавир</v>
      </c>
      <c r="G83" s="8">
        <f>IFERROR(IF(ISNUMBER(FIND(".",Клиенты_исходные!G83)),DATE(RIGHT(Клиенты_исходные!G83,4),MID(Клиенты_исходные!G83,4,2),LEFT(Клиенты_исходные!G83,2)),DATE(LEFT(Клиенты_исходные!G83,4),MID(Клиенты_исходные!G83,6,2),RIGHT(Клиенты_исходные!G83,2))),Клиенты_исходные!G83)</f>
        <v>45383</v>
      </c>
      <c r="H83">
        <f t="shared" ca="1" si="49"/>
        <v>49</v>
      </c>
      <c r="I83" t="str">
        <f t="shared" si="50"/>
        <v>OK</v>
      </c>
      <c r="J83" t="str">
        <f t="shared" si="51"/>
        <v xml:space="preserve">Ошибка Email</v>
      </c>
    </row>
    <row r="84">
      <c r="A84" t="str">
        <f>Клиенты_исходные!A84</f>
        <v>C0083</v>
      </c>
      <c r="B84" t="str">
        <f>PROPER(TRIM(Клиенты_исходные!B84))</f>
        <v xml:space="preserve">Некрасова Екатерина Николаевна</v>
      </c>
      <c r="C84" s="8">
        <f>IFERROR(IF(ISNUMBER(FIND(".",Клиенты_исходные!C84)),DATE(RIGHT(Клиенты_исходные!C84,4),MID(Клиенты_исходные!C84,4,2),LEFT(Клиенты_исходные!C84,2)),DATE(LEFT(Клиенты_исходные!C84,4),MID(Клиенты_исходные!C84,6,2),RIGHT(Клиенты_исходные!C84,2))),Клиенты_исходные!C84)</f>
        <v>31033</v>
      </c>
      <c r="D84" t="str">
        <f>IF(ISBLANK(Клиенты_исходные!D84),"",IF(LEN(SUBSTITUTE(SUBSTITUTE(SUBSTITUTE(SUBSTITUTE(SUBSTITUTE(Клиенты_исходные!D84," ",""),"-",""),"+",""),"(",""),")",""))=11,"+7 ("&amp;MID(IF(LEFT(SUBSTITUTE(SUBSTITUTE(SUBSTITUTE(SUBSTITUTE(SUBSTITUTE(Клиенты_исходные!D84," ",""),"-",""),"+",""),"(",""),")",""))="8","7"&amp;MID(SUBSTITUTE(SUBSTITUTE(SUBSTITUTE(SUBSTITUTE(SUBSTITUTE(Клиенты_исходные!D84," ",""),"-",""),"+",""),"(",""),")",""),2,10),SUBSTITUTE(SUBSTITUTE(SUBSTITUTE(SUBSTITUTE(SUBSTITUTE(Клиенты_исходные!D84," ",""),"-",""),"+",""),"(",""),")","")),2,3)&amp;") "&amp;MID(IF(LEFT(SUBSTITUTE(SUBSTITUTE(SUBSTITUTE(SUBSTITUTE(SUBSTITUTE(Клиенты_исходные!D84," ",""),"-",""),"+",""),"(",""),")",""))="8","7"&amp;MID(SUBSTITUTE(SUBSTITUTE(SUBSTITUTE(SUBSTITUTE(SUBSTITUTE(Клиенты_исходные!D84," ",""),"-",""),"+",""),"(",""),")",""),2,10),SUBSTITUTE(SUBSTITUTE(SUBSTITUTE(SUBSTITUTE(SUBSTITUTE(Клиенты_исходные!D84," ",""),"-",""),"+",""),"(",""),")","")),5,3)&amp;"-"&amp;MID(IF(LEFT(SUBSTITUTE(SUBSTITUTE(SUBSTITUTE(SUBSTITUTE(SUBSTITUTE(Клиенты_исходные!D84," ",""),"-",""),"+",""),"(",""),")",""))="8","7"&amp;MID(SUBSTITUTE(SUBSTITUTE(SUBSTITUTE(SUBSTITUTE(SUBSTITUTE(Клиенты_исходные!D84," ",""),"-",""),"+",""),"(",""),")",""),2,10),SUBSTITUTE(SUBSTITUTE(SUBSTITUTE(SUBSTITUTE(SUBSTITUTE(Клиенты_исходные!D84," ",""),"-",""),"+",""),"(",""),")","")),8,2)&amp;"-"&amp;MID(IF(LEFT(SUBSTITUTE(SUBSTITUTE(SUBSTITUTE(SUBSTITUTE(SUBSTITUTE(Клиенты_исходные!D84," ",""),"-",""),"+",""),"(",""),")",""))="8","7"&amp;MID(SUBSTITUTE(SUBSTITUTE(SUBSTITUTE(SUBSTITUTE(SUBSTITUTE(Клиенты_исходные!D84," ",""),"-",""),"+",""),"(",""),")",""),2,10),SUBSTITUTE(SUBSTITUTE(SUBSTITUTE(SUBSTITUTE(SUBSTITUTE(Клиенты_исходные!D84," ",""),"-",""),"+",""),"(",""),")","")),10,2),IF(LEN(SUBSTITUTE(SUBSTITUTE(SUBSTITUTE(SUBSTITUTE(SUBSTITUTE(Клиенты_исходные!D84," ",""),"-",""),"+",""),"(",""),")",""))=10,"+7 ("&amp;MID(SUBSTITUTE(SUBSTITUTE(SUBSTITUTE(SUBSTITUTE(SUBSTITUTE(Клиенты_исходные!D84," ",""),"-",""),"+",""),"(",""),")",""),1,3)&amp;") "&amp;MID(SUBSTITUTE(SUBSTITUTE(SUBSTITUTE(SUBSTITUTE(SUBSTITUTE(Клиенты_исходные!D84," ",""),"-",""),"+",""),"(",""),")",""),4,3)&amp;"-"&amp;MID(SUBSTITUTE(SUBSTITUTE(SUBSTITUTE(SUBSTITUTE(SUBSTITUTE(Клиенты_исходные!D84," ",""),"-",""),"+",""),"(",""),")",""),6,2)&amp;"-"&amp;MID(SUBSTITUTE(SUBSTITUTE(SUBSTITUTE(SUBSTITUTE(SUBSTITUTE(Клиенты_исходные!D84," ",""),"-",""),"+",""),"(",""),")",""),8,2),Клиенты_исходные!D84)))</f>
        <v xml:space="preserve">+7 (903) 345-67-89</v>
      </c>
      <c r="F84" t="str">
        <f>IFERROR(VLOOKUP(Клиенты_исходные!F84,Справочники!$J$2:$K$50,2,FALSE),Клиенты_исходные!F84)</f>
        <v>Волжский</v>
      </c>
      <c r="G84" s="8">
        <f>IFERROR(IF(ISNUMBER(FIND(".",Клиенты_исходные!G84)),DATE(RIGHT(Клиенты_исходные!G84,4),MID(Клиенты_исходные!G84,4,2),LEFT(Клиенты_исходные!G84,2)),DATE(LEFT(Клиенты_исходные!G84,4),MID(Клиенты_исходные!G84,6,2),RIGHT(Клиенты_исходные!G84,2))),Клиенты_исходные!G84)</f>
        <v>45392</v>
      </c>
      <c r="H84">
        <f t="shared" ca="1" si="49"/>
        <v>41</v>
      </c>
      <c r="I84" t="str">
        <f t="shared" si="50"/>
        <v>OK</v>
      </c>
      <c r="J84" t="str">
        <f t="shared" si="51"/>
        <v xml:space="preserve">Ошибка Email</v>
      </c>
    </row>
    <row r="85">
      <c r="A85" t="str">
        <f>Клиенты_исходные!A85</f>
        <v>C0084</v>
      </c>
      <c r="B85" t="str">
        <f>PROPER(TRIM(Клиенты_исходные!B85))</f>
        <v xml:space="preserve">Агапов Борис Евгеньевич</v>
      </c>
      <c r="C85" s="8">
        <f>IFERROR(IF(ISNUMBER(FIND(".",Клиенты_исходные!C85)),DATE(RIGHT(Клиенты_исходные!C85,4),MID(Клиенты_исходные!C85,4,2),LEFT(Клиенты_исходные!C85,2)),DATE(LEFT(Клиенты_исходные!C85,4),MID(Клиенты_исходные!C85,6,2),RIGHT(Клиенты_исходные!C85,2))),Клиенты_исходные!C85)</f>
        <v>32719</v>
      </c>
      <c r="D85" t="str">
        <f>IF(ISBLANK(Клиенты_исходные!D85),"",IF(LEN(SUBSTITUTE(SUBSTITUTE(SUBSTITUTE(SUBSTITUTE(SUBSTITUTE(Клиенты_исходные!D85," ",""),"-",""),"+",""),"(",""),")",""))=11,"+7 ("&amp;MID(IF(LEFT(SUBSTITUTE(SUBSTITUTE(SUBSTITUTE(SUBSTITUTE(SUBSTITUTE(Клиенты_исходные!D85," ",""),"-",""),"+",""),"(",""),")",""))="8","7"&amp;MID(SUBSTITUTE(SUBSTITUTE(SUBSTITUTE(SUBSTITUTE(SUBSTITUTE(Клиенты_исходные!D85," ",""),"-",""),"+",""),"(",""),")",""),2,10),SUBSTITUTE(SUBSTITUTE(SUBSTITUTE(SUBSTITUTE(SUBSTITUTE(Клиенты_исходные!D85," ",""),"-",""),"+",""),"(",""),")","")),2,3)&amp;") "&amp;MID(IF(LEFT(SUBSTITUTE(SUBSTITUTE(SUBSTITUTE(SUBSTITUTE(SUBSTITUTE(Клиенты_исходные!D85," ",""),"-",""),"+",""),"(",""),")",""))="8","7"&amp;MID(SUBSTITUTE(SUBSTITUTE(SUBSTITUTE(SUBSTITUTE(SUBSTITUTE(Клиенты_исходные!D85," ",""),"-",""),"+",""),"(",""),")",""),2,10),SUBSTITUTE(SUBSTITUTE(SUBSTITUTE(SUBSTITUTE(SUBSTITUTE(Клиенты_исходные!D85," ",""),"-",""),"+",""),"(",""),")","")),5,3)&amp;"-"&amp;MID(IF(LEFT(SUBSTITUTE(SUBSTITUTE(SUBSTITUTE(SUBSTITUTE(SUBSTITUTE(Клиенты_исходные!D85," ",""),"-",""),"+",""),"(",""),")",""))="8","7"&amp;MID(SUBSTITUTE(SUBSTITUTE(SUBSTITUTE(SUBSTITUTE(SUBSTITUTE(Клиенты_исходные!D85," ",""),"-",""),"+",""),"(",""),")",""),2,10),SUBSTITUTE(SUBSTITUTE(SUBSTITUTE(SUBSTITUTE(SUBSTITUTE(Клиенты_исходные!D85," ",""),"-",""),"+",""),"(",""),")","")),8,2)&amp;"-"&amp;MID(IF(LEFT(SUBSTITUTE(SUBSTITUTE(SUBSTITUTE(SUBSTITUTE(SUBSTITUTE(Клиенты_исходные!D85," ",""),"-",""),"+",""),"(",""),")",""))="8","7"&amp;MID(SUBSTITUTE(SUBSTITUTE(SUBSTITUTE(SUBSTITUTE(SUBSTITUTE(Клиенты_исходные!D85," ",""),"-",""),"+",""),"(",""),")",""),2,10),SUBSTITUTE(SUBSTITUTE(SUBSTITUTE(SUBSTITUTE(SUBSTITUTE(Клиенты_исходные!D85," ",""),"-",""),"+",""),"(",""),")","")),10,2),IF(LEN(SUBSTITUTE(SUBSTITUTE(SUBSTITUTE(SUBSTITUTE(SUBSTITUTE(Клиенты_исходные!D85," ",""),"-",""),"+",""),"(",""),")",""))=10,"+7 ("&amp;MID(SUBSTITUTE(SUBSTITUTE(SUBSTITUTE(SUBSTITUTE(SUBSTITUTE(Клиенты_исходные!D85," ",""),"-",""),"+",""),"(",""),")",""),1,3)&amp;") "&amp;MID(SUBSTITUTE(SUBSTITUTE(SUBSTITUTE(SUBSTITUTE(SUBSTITUTE(Клиенты_исходные!D85," ",""),"-",""),"+",""),"(",""),")",""),4,3)&amp;"-"&amp;MID(SUBSTITUTE(SUBSTITUTE(SUBSTITUTE(SUBSTITUTE(SUBSTITUTE(Клиенты_исходные!D85," ",""),"-",""),"+",""),"(",""),")",""),6,2)&amp;"-"&amp;MID(SUBSTITUTE(SUBSTITUTE(SUBSTITUTE(SUBSTITUTE(SUBSTITUTE(Клиенты_исходные!D85," ",""),"-",""),"+",""),"(",""),")",""),8,2),Клиенты_исходные!D85)))</f>
        <v xml:space="preserve">+7 (903) 456-78-90</v>
      </c>
      <c r="F85" t="str">
        <f>IFERROR(VLOOKUP(Клиенты_исходные!F85,Справочники!$J$2:$K$50,2,FALSE),Клиенты_исходные!F85)</f>
        <v>Шахты</v>
      </c>
      <c r="G85" s="8">
        <f>IFERROR(IF(ISNUMBER(FIND(".",Клиенты_исходные!G85)),DATE(RIGHT(Клиенты_исходные!G85,4),MID(Клиенты_исходные!G85,4,2),LEFT(Клиенты_исходные!G85,2)),DATE(LEFT(Клиенты_исходные!G85,4),MID(Клиенты_исходные!G85,6,2),RIGHT(Клиенты_исходные!G85,2))),Клиенты_исходные!G85)</f>
        <v>45392</v>
      </c>
      <c r="H85">
        <f t="shared" ca="1" si="49"/>
        <v>37</v>
      </c>
      <c r="I85" t="str">
        <f t="shared" si="50"/>
        <v>OK</v>
      </c>
      <c r="J85" t="str">
        <f t="shared" si="51"/>
        <v xml:space="preserve">Ошибка Email</v>
      </c>
    </row>
    <row r="86">
      <c r="A86" t="str">
        <f>Клиенты_исходные!A86</f>
        <v>C0085</v>
      </c>
      <c r="B86" t="str">
        <f>PROPER(TRIM(Клиенты_исходные!B86))</f>
        <v xml:space="preserve">Фролова Дарья Павловна</v>
      </c>
      <c r="C86" s="8">
        <f>IFERROR(IF(ISNUMBER(FIND(".",Клиенты_исходные!C86)),DATE(RIGHT(Клиенты_исходные!C86,4),MID(Клиенты_исходные!C86,4,2),LEFT(Клиенты_исходные!C86,2)),DATE(LEFT(Клиенты_исходные!C86,4),MID(Клиенты_исходные!C86,6,2),RIGHT(Клиенты_исходные!C86,2))),Клиенты_исходные!C86)</f>
        <v>26732</v>
      </c>
      <c r="D86" t="str">
        <f>IF(ISBLANK(Клиенты_исходные!D86),"",IF(LEN(SUBSTITUTE(SUBSTITUTE(SUBSTITUTE(SUBSTITUTE(SUBSTITUTE(Клиенты_исходные!D86," ",""),"-",""),"+",""),"(",""),")",""))=11,"+7 ("&amp;MID(IF(LEFT(SUBSTITUTE(SUBSTITUTE(SUBSTITUTE(SUBSTITUTE(SUBSTITUTE(Клиенты_исходные!D86," ",""),"-",""),"+",""),"(",""),")",""))="8","7"&amp;MID(SUBSTITUTE(SUBSTITUTE(SUBSTITUTE(SUBSTITUTE(SUBSTITUTE(Клиенты_исходные!D86," ",""),"-",""),"+",""),"(",""),")",""),2,10),SUBSTITUTE(SUBSTITUTE(SUBSTITUTE(SUBSTITUTE(SUBSTITUTE(Клиенты_исходные!D86," ",""),"-",""),"+",""),"(",""),")","")),2,3)&amp;") "&amp;MID(IF(LEFT(SUBSTITUTE(SUBSTITUTE(SUBSTITUTE(SUBSTITUTE(SUBSTITUTE(Клиенты_исходные!D86," ",""),"-",""),"+",""),"(",""),")",""))="8","7"&amp;MID(SUBSTITUTE(SUBSTITUTE(SUBSTITUTE(SUBSTITUTE(SUBSTITUTE(Клиенты_исходные!D86," ",""),"-",""),"+",""),"(",""),")",""),2,10),SUBSTITUTE(SUBSTITUTE(SUBSTITUTE(SUBSTITUTE(SUBSTITUTE(Клиенты_исходные!D86," ",""),"-",""),"+",""),"(",""),")","")),5,3)&amp;"-"&amp;MID(IF(LEFT(SUBSTITUTE(SUBSTITUTE(SUBSTITUTE(SUBSTITUTE(SUBSTITUTE(Клиенты_исходные!D86," ",""),"-",""),"+",""),"(",""),")",""))="8","7"&amp;MID(SUBSTITUTE(SUBSTITUTE(SUBSTITUTE(SUBSTITUTE(SUBSTITUTE(Клиенты_исходные!D86," ",""),"-",""),"+",""),"(",""),")",""),2,10),SUBSTITUTE(SUBSTITUTE(SUBSTITUTE(SUBSTITUTE(SUBSTITUTE(Клиенты_исходные!D86," ",""),"-",""),"+",""),"(",""),")","")),8,2)&amp;"-"&amp;MID(IF(LEFT(SUBSTITUTE(SUBSTITUTE(SUBSTITUTE(SUBSTITUTE(SUBSTITUTE(Клиенты_исходные!D86," ",""),"-",""),"+",""),"(",""),")",""))="8","7"&amp;MID(SUBSTITUTE(SUBSTITUTE(SUBSTITUTE(SUBSTITUTE(SUBSTITUTE(Клиенты_исходные!D86," ",""),"-",""),"+",""),"(",""),")",""),2,10),SUBSTITUTE(SUBSTITUTE(SUBSTITUTE(SUBSTITUTE(SUBSTITUTE(Клиенты_исходные!D86," ",""),"-",""),"+",""),"(",""),")","")),10,2),IF(LEN(SUBSTITUTE(SUBSTITUTE(SUBSTITUTE(SUBSTITUTE(SUBSTITUTE(Клиенты_исходные!D86," ",""),"-",""),"+",""),"(",""),")",""))=10,"+7 ("&amp;MID(SUBSTITUTE(SUBSTITUTE(SUBSTITUTE(SUBSTITUTE(SUBSTITUTE(Клиенты_исходные!D86," ",""),"-",""),"+",""),"(",""),")",""),1,3)&amp;") "&amp;MID(SUBSTITUTE(SUBSTITUTE(SUBSTITUTE(SUBSTITUTE(SUBSTITUTE(Клиенты_исходные!D86," ",""),"-",""),"+",""),"(",""),")",""),4,3)&amp;"-"&amp;MID(SUBSTITUTE(SUBSTITUTE(SUBSTITUTE(SUBSTITUTE(SUBSTITUTE(Клиенты_исходные!D86," ",""),"-",""),"+",""),"(",""),")",""),6,2)&amp;"-"&amp;MID(SUBSTITUTE(SUBSTITUTE(SUBSTITUTE(SUBSTITUTE(SUBSTITUTE(Клиенты_исходные!D86," ",""),"-",""),"+",""),"(",""),")",""),8,2),Клиенты_исходные!D86)))</f>
        <v xml:space="preserve">+7 (903) 456-78-90</v>
      </c>
      <c r="F86" t="str">
        <f>IFERROR(VLOOKUP(Клиенты_исходные!F86,Справочники!$J$2:$K$50,2,FALSE),Клиенты_исходные!F86)</f>
        <v>Златоуст</v>
      </c>
      <c r="G86" s="8">
        <f>IFERROR(IF(ISNUMBER(FIND(".",Клиенты_исходные!G86)),DATE(RIGHT(Клиенты_исходные!G86,4),MID(Клиенты_исходные!G86,4,2),LEFT(Клиенты_исходные!G86,2)),DATE(LEFT(Клиенты_исходные!G86,4),MID(Клиенты_исходные!G86,6,2),RIGHT(Клиенты_исходные!G86,2))),Клиенты_исходные!G86)</f>
        <v>45413</v>
      </c>
      <c r="H86">
        <f t="shared" ca="1" si="49"/>
        <v>53</v>
      </c>
      <c r="I86" t="str">
        <f t="shared" si="50"/>
        <v>OK</v>
      </c>
      <c r="J86" t="str">
        <f t="shared" si="51"/>
        <v xml:space="preserve">Ошибка Email</v>
      </c>
    </row>
    <row r="87">
      <c r="A87" t="str">
        <f>Клиенты_исходные!A87</f>
        <v>C0086</v>
      </c>
      <c r="B87" t="str">
        <f>PROPER(TRIM(Клиенты_исходные!B87))</f>
        <v xml:space="preserve">Мишина Татьяна Андреевна</v>
      </c>
      <c r="C87" s="8">
        <f>IFERROR(IF(ISNUMBER(FIND(".",Клиенты_исходные!C87)),DATE(RIGHT(Клиенты_исходные!C87,4),MID(Клиенты_исходные!C87,4,2),LEFT(Клиенты_исходные!C87,2)),DATE(LEFT(Клиенты_исходные!C87,4),MID(Клиенты_исходные!C87,6,2),RIGHT(Клиенты_исходные!C87,2))),Клиенты_исходные!C87)</f>
        <v>29515</v>
      </c>
      <c r="D87" t="str">
        <f>IF(ISBLANK(Клиенты_исходные!D87),"",IF(LEN(SUBSTITUTE(SUBSTITUTE(SUBSTITUTE(SUBSTITUTE(SUBSTITUTE(Клиенты_исходные!D87," ",""),"-",""),"+",""),"(",""),")",""))=11,"+7 ("&amp;MID(IF(LEFT(SUBSTITUTE(SUBSTITUTE(SUBSTITUTE(SUBSTITUTE(SUBSTITUTE(Клиенты_исходные!D87," ",""),"-",""),"+",""),"(",""),")",""))="8","7"&amp;MID(SUBSTITUTE(SUBSTITUTE(SUBSTITUTE(SUBSTITUTE(SUBSTITUTE(Клиенты_исходные!D87," ",""),"-",""),"+",""),"(",""),")",""),2,10),SUBSTITUTE(SUBSTITUTE(SUBSTITUTE(SUBSTITUTE(SUBSTITUTE(Клиенты_исходные!D87," ",""),"-",""),"+",""),"(",""),")","")),2,3)&amp;") "&amp;MID(IF(LEFT(SUBSTITUTE(SUBSTITUTE(SUBSTITUTE(SUBSTITUTE(SUBSTITUTE(Клиенты_исходные!D87," ",""),"-",""),"+",""),"(",""),")",""))="8","7"&amp;MID(SUBSTITUTE(SUBSTITUTE(SUBSTITUTE(SUBSTITUTE(SUBSTITUTE(Клиенты_исходные!D87," ",""),"-",""),"+",""),"(",""),")",""),2,10),SUBSTITUTE(SUBSTITUTE(SUBSTITUTE(SUBSTITUTE(SUBSTITUTE(Клиенты_исходные!D87," ",""),"-",""),"+",""),"(",""),")","")),5,3)&amp;"-"&amp;MID(IF(LEFT(SUBSTITUTE(SUBSTITUTE(SUBSTITUTE(SUBSTITUTE(SUBSTITUTE(Клиенты_исходные!D87," ",""),"-",""),"+",""),"(",""),")",""))="8","7"&amp;MID(SUBSTITUTE(SUBSTITUTE(SUBSTITUTE(SUBSTITUTE(SUBSTITUTE(Клиенты_исходные!D87," ",""),"-",""),"+",""),"(",""),")",""),2,10),SUBSTITUTE(SUBSTITUTE(SUBSTITUTE(SUBSTITUTE(SUBSTITUTE(Клиенты_исходные!D87," ",""),"-",""),"+",""),"(",""),")","")),8,2)&amp;"-"&amp;MID(IF(LEFT(SUBSTITUTE(SUBSTITUTE(SUBSTITUTE(SUBSTITUTE(SUBSTITUTE(Клиенты_исходные!D87," ",""),"-",""),"+",""),"(",""),")",""))="8","7"&amp;MID(SUBSTITUTE(SUBSTITUTE(SUBSTITUTE(SUBSTITUTE(SUBSTITUTE(Клиенты_исходные!D87," ",""),"-",""),"+",""),"(",""),")",""),2,10),SUBSTITUTE(SUBSTITUTE(SUBSTITUTE(SUBSTITUTE(SUBSTITUTE(Клиенты_исходные!D87," ",""),"-",""),"+",""),"(",""),")","")),10,2),IF(LEN(SUBSTITUTE(SUBSTITUTE(SUBSTITUTE(SUBSTITUTE(SUBSTITUTE(Клиенты_исходные!D87," ",""),"-",""),"+",""),"(",""),")",""))=10,"+7 ("&amp;MID(SUBSTITUTE(SUBSTITUTE(SUBSTITUTE(SUBSTITUTE(SUBSTITUTE(Клиенты_исходные!D87," ",""),"-",""),"+",""),"(",""),")",""),1,3)&amp;") "&amp;MID(SUBSTITUTE(SUBSTITUTE(SUBSTITUTE(SUBSTITUTE(SUBSTITUTE(Клиенты_исходные!D87," ",""),"-",""),"+",""),"(",""),")",""),4,3)&amp;"-"&amp;MID(SUBSTITUTE(SUBSTITUTE(SUBSTITUTE(SUBSTITUTE(SUBSTITUTE(Клиенты_исходные!D87," ",""),"-",""),"+",""),"(",""),")",""),6,2)&amp;"-"&amp;MID(SUBSTITUTE(SUBSTITUTE(SUBSTITUTE(SUBSTITUTE(SUBSTITUTE(Клиенты_исходные!D87," ",""),"-",""),"+",""),"(",""),")",""),8,2),Клиенты_исходные!D87)))</f>
        <v xml:space="preserve">+7 (903) 456-78-90</v>
      </c>
      <c r="F87" t="str">
        <f>IFERROR(VLOOKUP(Клиенты_исходные!F87,Справочники!$J$2:$K$50,2,FALSE),Клиенты_исходные!F87)</f>
        <v>Ангарск</v>
      </c>
      <c r="G87" s="8">
        <f>IFERROR(IF(ISNUMBER(FIND(".",Клиенты_исходные!G87)),DATE(RIGHT(Клиенты_исходные!G87,4),MID(Клиенты_исходные!G87,4,2),LEFT(Клиенты_исходные!G87,2)),DATE(LEFT(Клиенты_исходные!G87,4),MID(Клиенты_исходные!G87,6,2),RIGHT(Клиенты_исходные!G87,2))),Клиенты_исходные!G87)</f>
        <v>45427</v>
      </c>
      <c r="H87">
        <f t="shared" ca="1" si="49"/>
        <v>45</v>
      </c>
      <c r="I87" t="str">
        <f t="shared" si="50"/>
        <v>OK</v>
      </c>
      <c r="J87" t="str">
        <f t="shared" si="51"/>
        <v xml:space="preserve">Ошибка Email</v>
      </c>
    </row>
    <row r="88">
      <c r="A88" t="str">
        <f>Клиенты_исходные!A88</f>
        <v>C0087</v>
      </c>
      <c r="B88" t="str">
        <f>PROPER(TRIM(Клиенты_исходные!B88))</f>
        <v xml:space="preserve">Ильин Евгений Сергеевич</v>
      </c>
      <c r="C88" s="8">
        <f>IFERROR(IF(ISNUMBER(FIND(".",Клиенты_исходные!C88)),DATE(RIGHT(Клиенты_исходные!C88,4),MID(Клиенты_исходные!C88,4,2),LEFT(Клиенты_исходные!C88,2)),DATE(LEFT(Клиенты_исходные!C88,4),MID(Клиенты_исходные!C88,6,2),RIGHT(Клиенты_исходные!C88,2))),Клиенты_исходные!C88)</f>
        <v>34854</v>
      </c>
      <c r="D88" t="str">
        <f>IF(ISBLANK(Клиенты_исходные!D88),"",IF(LEN(SUBSTITUTE(SUBSTITUTE(SUBSTITUTE(SUBSTITUTE(SUBSTITUTE(Клиенты_исходные!D88," ",""),"-",""),"+",""),"(",""),")",""))=11,"+7 ("&amp;MID(IF(LEFT(SUBSTITUTE(SUBSTITUTE(SUBSTITUTE(SUBSTITUTE(SUBSTITUTE(Клиенты_исходные!D88," ",""),"-",""),"+",""),"(",""),")",""))="8","7"&amp;MID(SUBSTITUTE(SUBSTITUTE(SUBSTITUTE(SUBSTITUTE(SUBSTITUTE(Клиенты_исходные!D88," ",""),"-",""),"+",""),"(",""),")",""),2,10),SUBSTITUTE(SUBSTITUTE(SUBSTITUTE(SUBSTITUTE(SUBSTITUTE(Клиенты_исходные!D88," ",""),"-",""),"+",""),"(",""),")","")),2,3)&amp;") "&amp;MID(IF(LEFT(SUBSTITUTE(SUBSTITUTE(SUBSTITUTE(SUBSTITUTE(SUBSTITUTE(Клиенты_исходные!D88," ",""),"-",""),"+",""),"(",""),")",""))="8","7"&amp;MID(SUBSTITUTE(SUBSTITUTE(SUBSTITUTE(SUBSTITUTE(SUBSTITUTE(Клиенты_исходные!D88," ",""),"-",""),"+",""),"(",""),")",""),2,10),SUBSTITUTE(SUBSTITUTE(SUBSTITUTE(SUBSTITUTE(SUBSTITUTE(Клиенты_исходные!D88," ",""),"-",""),"+",""),"(",""),")","")),5,3)&amp;"-"&amp;MID(IF(LEFT(SUBSTITUTE(SUBSTITUTE(SUBSTITUTE(SUBSTITUTE(SUBSTITUTE(Клиенты_исходные!D88," ",""),"-",""),"+",""),"(",""),")",""))="8","7"&amp;MID(SUBSTITUTE(SUBSTITUTE(SUBSTITUTE(SUBSTITUTE(SUBSTITUTE(Клиенты_исходные!D88," ",""),"-",""),"+",""),"(",""),")",""),2,10),SUBSTITUTE(SUBSTITUTE(SUBSTITUTE(SUBSTITUTE(SUBSTITUTE(Клиенты_исходные!D88," ",""),"-",""),"+",""),"(",""),")","")),8,2)&amp;"-"&amp;MID(IF(LEFT(SUBSTITUTE(SUBSTITUTE(SUBSTITUTE(SUBSTITUTE(SUBSTITUTE(Клиенты_исходные!D88," ",""),"-",""),"+",""),"(",""),")",""))="8","7"&amp;MID(SUBSTITUTE(SUBSTITUTE(SUBSTITUTE(SUBSTITUTE(SUBSTITUTE(Клиенты_исходные!D88," ",""),"-",""),"+",""),"(",""),")",""),2,10),SUBSTITUTE(SUBSTITUTE(SUBSTITUTE(SUBSTITUTE(SUBSTITUTE(Клиенты_исходные!D88," ",""),"-",""),"+",""),"(",""),")","")),10,2),IF(LEN(SUBSTITUTE(SUBSTITUTE(SUBSTITUTE(SUBSTITUTE(SUBSTITUTE(Клиенты_исходные!D88," ",""),"-",""),"+",""),"(",""),")",""))=10,"+7 ("&amp;MID(SUBSTITUTE(SUBSTITUTE(SUBSTITUTE(SUBSTITUTE(SUBSTITUTE(Клиенты_исходные!D88," ",""),"-",""),"+",""),"(",""),")",""),1,3)&amp;") "&amp;MID(SUBSTITUTE(SUBSTITUTE(SUBSTITUTE(SUBSTITUTE(SUBSTITUTE(Клиенты_исходные!D88," ",""),"-",""),"+",""),"(",""),")",""),4,3)&amp;"-"&amp;MID(SUBSTITUTE(SUBSTITUTE(SUBSTITUTE(SUBSTITUTE(SUBSTITUTE(Клиенты_исходные!D88," ",""),"-",""),"+",""),"(",""),")",""),6,2)&amp;"-"&amp;MID(SUBSTITUTE(SUBSTITUTE(SUBSTITUTE(SUBSTITUTE(SUBSTITUTE(Клиенты_исходные!D88," ",""),"-",""),"+",""),"(",""),")",""),8,2),Клиенты_исходные!D88)))</f>
        <v xml:space="preserve">+7 (903) 567-89-01</v>
      </c>
      <c r="F88" t="str">
        <f>IFERROR(VLOOKUP(Клиенты_исходные!F88,Справочники!$J$2:$K$50,2,FALSE),Клиенты_исходные!F88)</f>
        <v>Озёрск</v>
      </c>
      <c r="G88" s="8">
        <f>IFERROR(IF(ISNUMBER(FIND(".",Клиенты_исходные!G88)),DATE(RIGHT(Клиенты_исходные!G88,4),MID(Клиенты_исходные!G88,4,2),LEFT(Клиенты_исходные!G88,2)),DATE(LEFT(Клиенты_исходные!G88,4),MID(Клиенты_исходные!G88,6,2),RIGHT(Клиенты_исходные!G88,2))),Клиенты_исходные!G88)</f>
        <v>45427</v>
      </c>
      <c r="H88">
        <f t="shared" ca="1" si="49"/>
        <v>31</v>
      </c>
      <c r="I88" t="str">
        <f t="shared" si="50"/>
        <v>OK</v>
      </c>
      <c r="J88" t="str">
        <f t="shared" si="51"/>
        <v xml:space="preserve">Ошибка Email</v>
      </c>
    </row>
    <row r="89">
      <c r="A89" t="str">
        <f>Клиенты_исходные!A89</f>
        <v>C0088</v>
      </c>
      <c r="B89" t="str">
        <f>PROPER(TRIM(Клиенты_исходные!B89))</f>
        <v xml:space="preserve">Горбунова Виктория Дмитриевна</v>
      </c>
      <c r="C89" s="8">
        <f>IFERROR(IF(ISNUMBER(FIND(".",Клиенты_исходные!C89)),DATE(RIGHT(Клиенты_исходные!C89,4),MID(Клиенты_исходные!C89,4,2),LEFT(Клиенты_исходные!C89,2)),DATE(LEFT(Клиенты_исходные!C89,4),MID(Клиенты_исходные!C89,6,2),RIGHT(Клиенты_исходные!C89,2))),Клиенты_исходные!C89)</f>
        <v>25899</v>
      </c>
      <c r="D89" t="str">
        <f>IF(ISBLANK(Клиенты_исходные!D89),"",IF(LEN(SUBSTITUTE(SUBSTITUTE(SUBSTITUTE(SUBSTITUTE(SUBSTITUTE(Клиенты_исходные!D89," ",""),"-",""),"+",""),"(",""),")",""))=11,"+7 ("&amp;MID(IF(LEFT(SUBSTITUTE(SUBSTITUTE(SUBSTITUTE(SUBSTITUTE(SUBSTITUTE(Клиенты_исходные!D89," ",""),"-",""),"+",""),"(",""),")",""))="8","7"&amp;MID(SUBSTITUTE(SUBSTITUTE(SUBSTITUTE(SUBSTITUTE(SUBSTITUTE(Клиенты_исходные!D89," ",""),"-",""),"+",""),"(",""),")",""),2,10),SUBSTITUTE(SUBSTITUTE(SUBSTITUTE(SUBSTITUTE(SUBSTITUTE(Клиенты_исходные!D89," ",""),"-",""),"+",""),"(",""),")","")),2,3)&amp;") "&amp;MID(IF(LEFT(SUBSTITUTE(SUBSTITUTE(SUBSTITUTE(SUBSTITUTE(SUBSTITUTE(Клиенты_исходные!D89," ",""),"-",""),"+",""),"(",""),")",""))="8","7"&amp;MID(SUBSTITUTE(SUBSTITUTE(SUBSTITUTE(SUBSTITUTE(SUBSTITUTE(Клиенты_исходные!D89," ",""),"-",""),"+",""),"(",""),")",""),2,10),SUBSTITUTE(SUBSTITUTE(SUBSTITUTE(SUBSTITUTE(SUBSTITUTE(Клиенты_исходные!D89," ",""),"-",""),"+",""),"(",""),")","")),5,3)&amp;"-"&amp;MID(IF(LEFT(SUBSTITUTE(SUBSTITUTE(SUBSTITUTE(SUBSTITUTE(SUBSTITUTE(Клиенты_исходные!D89," ",""),"-",""),"+",""),"(",""),")",""))="8","7"&amp;MID(SUBSTITUTE(SUBSTITUTE(SUBSTITUTE(SUBSTITUTE(SUBSTITUTE(Клиенты_исходные!D89," ",""),"-",""),"+",""),"(",""),")",""),2,10),SUBSTITUTE(SUBSTITUTE(SUBSTITUTE(SUBSTITUTE(SUBSTITUTE(Клиенты_исходные!D89," ",""),"-",""),"+",""),"(",""),")","")),8,2)&amp;"-"&amp;MID(IF(LEFT(SUBSTITUTE(SUBSTITUTE(SUBSTITUTE(SUBSTITUTE(SUBSTITUTE(Клиенты_исходные!D89," ",""),"-",""),"+",""),"(",""),")",""))="8","7"&amp;MID(SUBSTITUTE(SUBSTITUTE(SUBSTITUTE(SUBSTITUTE(SUBSTITUTE(Клиенты_исходные!D89," ",""),"-",""),"+",""),"(",""),")",""),2,10),SUBSTITUTE(SUBSTITUTE(SUBSTITUTE(SUBSTITUTE(SUBSTITUTE(Клиенты_исходные!D89," ",""),"-",""),"+",""),"(",""),")","")),10,2),IF(LEN(SUBSTITUTE(SUBSTITUTE(SUBSTITUTE(SUBSTITUTE(SUBSTITUTE(Клиенты_исходные!D89," ",""),"-",""),"+",""),"(",""),")",""))=10,"+7 ("&amp;MID(SUBSTITUTE(SUBSTITUTE(SUBSTITUTE(SUBSTITUTE(SUBSTITUTE(Клиенты_исходные!D89," ",""),"-",""),"+",""),"(",""),")",""),1,3)&amp;") "&amp;MID(SUBSTITUTE(SUBSTITUTE(SUBSTITUTE(SUBSTITUTE(SUBSTITUTE(Клиенты_исходные!D89," ",""),"-",""),"+",""),"(",""),")",""),4,3)&amp;"-"&amp;MID(SUBSTITUTE(SUBSTITUTE(SUBSTITUTE(SUBSTITUTE(SUBSTITUTE(Клиенты_исходные!D89," ",""),"-",""),"+",""),"(",""),")",""),6,2)&amp;"-"&amp;MID(SUBSTITUTE(SUBSTITUTE(SUBSTITUTE(SUBSTITUTE(SUBSTITUTE(Клиенты_исходные!D89," ",""),"-",""),"+",""),"(",""),")",""),8,2),Клиенты_исходные!D89)))</f>
        <v xml:space="preserve">+7 (903) 567-89-01</v>
      </c>
      <c r="F89" t="str">
        <f>IFERROR(VLOOKUP(Клиенты_исходные!F89,Справочники!$J$2:$K$50,2,FALSE),Клиенты_исходные!F89)</f>
        <v>Орел</v>
      </c>
      <c r="G89" s="8">
        <f>IFERROR(IF(ISNUMBER(FIND(".",Клиенты_исходные!G89)),DATE(RIGHT(Клиенты_исходные!G89,4),MID(Клиенты_исходные!G89,4,2),LEFT(Клиенты_исходные!G89,2)),DATE(LEFT(Клиенты_исходные!G89,4),MID(Клиенты_исходные!G89,6,2),RIGHT(Клиенты_исходные!G89,2))),Клиенты_исходные!G89)</f>
        <v>45444</v>
      </c>
      <c r="H89">
        <f t="shared" ca="1" si="49"/>
        <v>55</v>
      </c>
      <c r="I89" t="str">
        <f t="shared" si="50"/>
        <v>OK</v>
      </c>
      <c r="J89" t="str">
        <f t="shared" si="51"/>
        <v xml:space="preserve">Ошибка Email</v>
      </c>
    </row>
    <row r="90">
      <c r="A90" t="str">
        <f>Клиенты_исходные!A90</f>
        <v>C0089</v>
      </c>
      <c r="B90" t="str">
        <f>PROPER(TRIM(Клиенты_исходные!B90))</f>
        <v xml:space="preserve">Ширяев Валерий Петрович</v>
      </c>
      <c r="C90" s="8">
        <f>IFERROR(IF(ISNUMBER(FIND(".",Клиенты_исходные!C90)),DATE(RIGHT(Клиенты_исходные!C90,4),MID(Клиенты_исходные!C90,4,2),LEFT(Клиенты_исходные!C90,2)),DATE(LEFT(Клиенты_исходные!C90,4),MID(Клиенты_исходные!C90,6,2),RIGHT(Клиенты_исходные!C90,2))),Клиенты_исходные!C90)</f>
        <v>30362</v>
      </c>
      <c r="D90" t="str">
        <f>IF(ISBLANK(Клиенты_исходные!D90),"",IF(LEN(SUBSTITUTE(SUBSTITUTE(SUBSTITUTE(SUBSTITUTE(SUBSTITUTE(Клиенты_исходные!D90," ",""),"-",""),"+",""),"(",""),")",""))=11,"+7 ("&amp;MID(IF(LEFT(SUBSTITUTE(SUBSTITUTE(SUBSTITUTE(SUBSTITUTE(SUBSTITUTE(Клиенты_исходные!D90," ",""),"-",""),"+",""),"(",""),")",""))="8","7"&amp;MID(SUBSTITUTE(SUBSTITUTE(SUBSTITUTE(SUBSTITUTE(SUBSTITUTE(Клиенты_исходные!D90," ",""),"-",""),"+",""),"(",""),")",""),2,10),SUBSTITUTE(SUBSTITUTE(SUBSTITUTE(SUBSTITUTE(SUBSTITUTE(Клиенты_исходные!D90," ",""),"-",""),"+",""),"(",""),")","")),2,3)&amp;") "&amp;MID(IF(LEFT(SUBSTITUTE(SUBSTITUTE(SUBSTITUTE(SUBSTITUTE(SUBSTITUTE(Клиенты_исходные!D90," ",""),"-",""),"+",""),"(",""),")",""))="8","7"&amp;MID(SUBSTITUTE(SUBSTITUTE(SUBSTITUTE(SUBSTITUTE(SUBSTITUTE(Клиенты_исходные!D90," ",""),"-",""),"+",""),"(",""),")",""),2,10),SUBSTITUTE(SUBSTITUTE(SUBSTITUTE(SUBSTITUTE(SUBSTITUTE(Клиенты_исходные!D90," ",""),"-",""),"+",""),"(",""),")","")),5,3)&amp;"-"&amp;MID(IF(LEFT(SUBSTITUTE(SUBSTITUTE(SUBSTITUTE(SUBSTITUTE(SUBSTITUTE(Клиенты_исходные!D90," ",""),"-",""),"+",""),"(",""),")",""))="8","7"&amp;MID(SUBSTITUTE(SUBSTITUTE(SUBSTITUTE(SUBSTITUTE(SUBSTITUTE(Клиенты_исходные!D90," ",""),"-",""),"+",""),"(",""),")",""),2,10),SUBSTITUTE(SUBSTITUTE(SUBSTITUTE(SUBSTITUTE(SUBSTITUTE(Клиенты_исходные!D90," ",""),"-",""),"+",""),"(",""),")","")),8,2)&amp;"-"&amp;MID(IF(LEFT(SUBSTITUTE(SUBSTITUTE(SUBSTITUTE(SUBSTITUTE(SUBSTITUTE(Клиенты_исходные!D90," ",""),"-",""),"+",""),"(",""),")",""))="8","7"&amp;MID(SUBSTITUTE(SUBSTITUTE(SUBSTITUTE(SUBSTITUTE(SUBSTITUTE(Клиенты_исходные!D90," ",""),"-",""),"+",""),"(",""),")",""),2,10),SUBSTITUTE(SUBSTITUTE(SUBSTITUTE(SUBSTITUTE(SUBSTITUTE(Клиенты_исходные!D90," ",""),"-",""),"+",""),"(",""),")","")),10,2),IF(LEN(SUBSTITUTE(SUBSTITUTE(SUBSTITUTE(SUBSTITUTE(SUBSTITUTE(Клиенты_исходные!D90," ",""),"-",""),"+",""),"(",""),")",""))=10,"+7 ("&amp;MID(SUBSTITUTE(SUBSTITUTE(SUBSTITUTE(SUBSTITUTE(SUBSTITUTE(Клиенты_исходные!D90," ",""),"-",""),"+",""),"(",""),")",""),1,3)&amp;") "&amp;MID(SUBSTITUTE(SUBSTITUTE(SUBSTITUTE(SUBSTITUTE(SUBSTITUTE(Клиенты_исходные!D90," ",""),"-",""),"+",""),"(",""),")",""),4,3)&amp;"-"&amp;MID(SUBSTITUTE(SUBSTITUTE(SUBSTITUTE(SUBSTITUTE(SUBSTITUTE(Клиенты_исходные!D90," ",""),"-",""),"+",""),"(",""),")",""),6,2)&amp;"-"&amp;MID(SUBSTITUTE(SUBSTITUTE(SUBSTITUTE(SUBSTITUTE(SUBSTITUTE(Клиенты_исходные!D90," ",""),"-",""),"+",""),"(",""),")",""),8,2),Клиенты_исходные!D90)))</f>
        <v xml:space="preserve">+7 (903) 567-89-01</v>
      </c>
      <c r="F90" t="str">
        <f>IFERROR(VLOOKUP(Клиенты_исходные!F90,Справочники!$J$2:$K$50,2,FALSE),Клиенты_исходные!F90)</f>
        <v>Магнитогорск</v>
      </c>
      <c r="G90" s="8">
        <f>IFERROR(IF(ISNUMBER(FIND(".",Клиенты_исходные!G90)),DATE(RIGHT(Клиенты_исходные!G90,4),MID(Клиенты_исходные!G90,4,2),LEFT(Клиенты_исходные!G90,2)),DATE(LEFT(Клиенты_исходные!G90,4),MID(Клиенты_исходные!G90,6,2),RIGHT(Клиенты_исходные!G90,2))),Клиенты_исходные!G90)</f>
        <v>45453</v>
      </c>
      <c r="H90">
        <f t="shared" ca="1" si="49"/>
        <v>43</v>
      </c>
      <c r="I90" t="str">
        <f t="shared" si="50"/>
        <v>OK</v>
      </c>
      <c r="J90" t="str">
        <f t="shared" si="51"/>
        <v xml:space="preserve">Ошибка Email</v>
      </c>
    </row>
    <row r="91">
      <c r="A91" t="str">
        <f>Клиенты_исходные!A91</f>
        <v>C0090</v>
      </c>
      <c r="B91" t="str">
        <f>PROPER(TRIM(Клиенты_исходные!B91))</f>
        <v xml:space="preserve">Пчелинцева Наталья Владимировна</v>
      </c>
      <c r="C91" s="8">
        <f>IFERROR(IF(ISNUMBER(FIND(".",Клиенты_исходные!C91)),DATE(RIGHT(Клиенты_исходные!C91,4),MID(Клиенты_исходные!C91,4,2),LEFT(Клиенты_исходные!C91,2)),DATE(LEFT(Клиенты_исходные!C91,4),MID(Клиенты_исходные!C91,6,2),RIGHT(Клиенты_исходные!C91,2))),Клиенты_исходные!C91)</f>
        <v>32028</v>
      </c>
      <c r="D91" t="str">
        <f>IF(ISBLANK(Клиенты_исходные!D91),"",IF(LEN(SUBSTITUTE(SUBSTITUTE(SUBSTITUTE(SUBSTITUTE(SUBSTITUTE(Клиенты_исходные!D91," ",""),"-",""),"+",""),"(",""),")",""))=11,"+7 ("&amp;MID(IF(LEFT(SUBSTITUTE(SUBSTITUTE(SUBSTITUTE(SUBSTITUTE(SUBSTITUTE(Клиенты_исходные!D91," ",""),"-",""),"+",""),"(",""),")",""))="8","7"&amp;MID(SUBSTITUTE(SUBSTITUTE(SUBSTITUTE(SUBSTITUTE(SUBSTITUTE(Клиенты_исходные!D91," ",""),"-",""),"+",""),"(",""),")",""),2,10),SUBSTITUTE(SUBSTITUTE(SUBSTITUTE(SUBSTITUTE(SUBSTITUTE(Клиенты_исходные!D91," ",""),"-",""),"+",""),"(",""),")","")),2,3)&amp;") "&amp;MID(IF(LEFT(SUBSTITUTE(SUBSTITUTE(SUBSTITUTE(SUBSTITUTE(SUBSTITUTE(Клиенты_исходные!D91," ",""),"-",""),"+",""),"(",""),")",""))="8","7"&amp;MID(SUBSTITUTE(SUBSTITUTE(SUBSTITUTE(SUBSTITUTE(SUBSTITUTE(Клиенты_исходные!D91," ",""),"-",""),"+",""),"(",""),")",""),2,10),SUBSTITUTE(SUBSTITUTE(SUBSTITUTE(SUBSTITUTE(SUBSTITUTE(Клиенты_исходные!D91," ",""),"-",""),"+",""),"(",""),")","")),5,3)&amp;"-"&amp;MID(IF(LEFT(SUBSTITUTE(SUBSTITUTE(SUBSTITUTE(SUBSTITUTE(SUBSTITUTE(Клиенты_исходные!D91," ",""),"-",""),"+",""),"(",""),")",""))="8","7"&amp;MID(SUBSTITUTE(SUBSTITUTE(SUBSTITUTE(SUBSTITUTE(SUBSTITUTE(Клиенты_исходные!D91," ",""),"-",""),"+",""),"(",""),")",""),2,10),SUBSTITUTE(SUBSTITUTE(SUBSTITUTE(SUBSTITUTE(SUBSTITUTE(Клиенты_исходные!D91," ",""),"-",""),"+",""),"(",""),")","")),8,2)&amp;"-"&amp;MID(IF(LEFT(SUBSTITUTE(SUBSTITUTE(SUBSTITUTE(SUBSTITUTE(SUBSTITUTE(Клиенты_исходные!D91," ",""),"-",""),"+",""),"(",""),")",""))="8","7"&amp;MID(SUBSTITUTE(SUBSTITUTE(SUBSTITUTE(SUBSTITUTE(SUBSTITUTE(Клиенты_исходные!D91," ",""),"-",""),"+",""),"(",""),")",""),2,10),SUBSTITUTE(SUBSTITUTE(SUBSTITUTE(SUBSTITUTE(SUBSTITUTE(Клиенты_исходные!D91," ",""),"-",""),"+",""),"(",""),")","")),10,2),IF(LEN(SUBSTITUTE(SUBSTITUTE(SUBSTITUTE(SUBSTITUTE(SUBSTITUTE(Клиенты_исходные!D91," ",""),"-",""),"+",""),"(",""),")",""))=10,"+7 ("&amp;MID(SUBSTITUTE(SUBSTITUTE(SUBSTITUTE(SUBSTITUTE(SUBSTITUTE(Клиенты_исходные!D91," ",""),"-",""),"+",""),"(",""),")",""),1,3)&amp;") "&amp;MID(SUBSTITUTE(SUBSTITUTE(SUBSTITUTE(SUBSTITUTE(SUBSTITUTE(Клиенты_исходные!D91," ",""),"-",""),"+",""),"(",""),")",""),4,3)&amp;"-"&amp;MID(SUBSTITUTE(SUBSTITUTE(SUBSTITUTE(SUBSTITUTE(SUBSTITUTE(Клиенты_исходные!D91," ",""),"-",""),"+",""),"(",""),")",""),6,2)&amp;"-"&amp;MID(SUBSTITUTE(SUBSTITUTE(SUBSTITUTE(SUBSTITUTE(SUBSTITUTE(Клиенты_исходные!D91," ",""),"-",""),"+",""),"(",""),")",""),8,2),Клиенты_исходные!D91)))</f>
        <v xml:space="preserve">+7 (903) 678-90-12</v>
      </c>
      <c r="F91" t="str">
        <f>IFERROR(VLOOKUP(Клиенты_исходные!F91,Справочники!$J$2:$K$50,2,FALSE),Клиенты_исходные!F91)</f>
        <v>Якутск</v>
      </c>
      <c r="G91" s="8">
        <f>IFERROR(IF(ISNUMBER(FIND(".",Клиенты_исходные!G91)),DATE(RIGHT(Клиенты_исходные!G91,4),MID(Клиенты_исходные!G91,4,2),LEFT(Клиенты_исходные!G91,2)),DATE(LEFT(Клиенты_исходные!G91,4),MID(Клиенты_исходные!G91,6,2),RIGHT(Клиенты_исходные!G91,2))),Клиенты_исходные!G91)</f>
        <v>45453</v>
      </c>
      <c r="H91">
        <f t="shared" ca="1" si="49"/>
        <v>39</v>
      </c>
      <c r="I91" t="str">
        <f t="shared" si="50"/>
        <v>OK</v>
      </c>
      <c r="J91" t="str">
        <f t="shared" si="51"/>
        <v xml:space="preserve">Ошибка Email</v>
      </c>
    </row>
    <row r="92">
      <c r="A92" t="str">
        <f>Клиенты_исходные!A92</f>
        <v>C0091</v>
      </c>
      <c r="B92" t="str">
        <f>PROPER(TRIM(Клиенты_исходные!B92))</f>
        <v xml:space="preserve">Столяров Алексей Валентинович</v>
      </c>
      <c r="C92" s="8">
        <f>IFERROR(IF(ISNUMBER(FIND(".",Клиенты_исходные!C92)),DATE(RIGHT(Клиенты_исходные!C92,4),MID(Клиенты_исходные!C92,4,2),LEFT(Клиенты_исходные!C92,2)),DATE(LEFT(Клиенты_исходные!C92,4),MID(Клиенты_исходные!C92,6,2),RIGHT(Клиенты_исходные!C92,2))),Клиенты_исходные!C92)</f>
        <v>27899</v>
      </c>
      <c r="D92" t="str">
        <f>IF(ISBLANK(Клиенты_исходные!D92),"",IF(LEN(SUBSTITUTE(SUBSTITUTE(SUBSTITUTE(SUBSTITUTE(SUBSTITUTE(Клиенты_исходные!D92," ",""),"-",""),"+",""),"(",""),")",""))=11,"+7 ("&amp;MID(IF(LEFT(SUBSTITUTE(SUBSTITUTE(SUBSTITUTE(SUBSTITUTE(SUBSTITUTE(Клиенты_исходные!D92," ",""),"-",""),"+",""),"(",""),")",""))="8","7"&amp;MID(SUBSTITUTE(SUBSTITUTE(SUBSTITUTE(SUBSTITUTE(SUBSTITUTE(Клиенты_исходные!D92," ",""),"-",""),"+",""),"(",""),")",""),2,10),SUBSTITUTE(SUBSTITUTE(SUBSTITUTE(SUBSTITUTE(SUBSTITUTE(Клиенты_исходные!D92," ",""),"-",""),"+",""),"(",""),")","")),2,3)&amp;") "&amp;MID(IF(LEFT(SUBSTITUTE(SUBSTITUTE(SUBSTITUTE(SUBSTITUTE(SUBSTITUTE(Клиенты_исходные!D92," ",""),"-",""),"+",""),"(",""),")",""))="8","7"&amp;MID(SUBSTITUTE(SUBSTITUTE(SUBSTITUTE(SUBSTITUTE(SUBSTITUTE(Клиенты_исходные!D92," ",""),"-",""),"+",""),"(",""),")",""),2,10),SUBSTITUTE(SUBSTITUTE(SUBSTITUTE(SUBSTITUTE(SUBSTITUTE(Клиенты_исходные!D92," ",""),"-",""),"+",""),"(",""),")","")),5,3)&amp;"-"&amp;MID(IF(LEFT(SUBSTITUTE(SUBSTITUTE(SUBSTITUTE(SUBSTITUTE(SUBSTITUTE(Клиенты_исходные!D92," ",""),"-",""),"+",""),"(",""),")",""))="8","7"&amp;MID(SUBSTITUTE(SUBSTITUTE(SUBSTITUTE(SUBSTITUTE(SUBSTITUTE(Клиенты_исходные!D92," ",""),"-",""),"+",""),"(",""),")",""),2,10),SUBSTITUTE(SUBSTITUTE(SUBSTITUTE(SUBSTITUTE(SUBSTITUTE(Клиенты_исходные!D92," ",""),"-",""),"+",""),"(",""),")","")),8,2)&amp;"-"&amp;MID(IF(LEFT(SUBSTITUTE(SUBSTITUTE(SUBSTITUTE(SUBSTITUTE(SUBSTITUTE(Клиенты_исходные!D92," ",""),"-",""),"+",""),"(",""),")",""))="8","7"&amp;MID(SUBSTITUTE(SUBSTITUTE(SUBSTITUTE(SUBSTITUTE(SUBSTITUTE(Клиенты_исходные!D92," ",""),"-",""),"+",""),"(",""),")",""),2,10),SUBSTITUTE(SUBSTITUTE(SUBSTITUTE(SUBSTITUTE(SUBSTITUTE(Клиенты_исходные!D92," ",""),"-",""),"+",""),"(",""),")","")),10,2),IF(LEN(SUBSTITUTE(SUBSTITUTE(SUBSTITUTE(SUBSTITUTE(SUBSTITUTE(Клиенты_исходные!D92," ",""),"-",""),"+",""),"(",""),")",""))=10,"+7 ("&amp;MID(SUBSTITUTE(SUBSTITUTE(SUBSTITUTE(SUBSTITUTE(SUBSTITUTE(Клиенты_исходные!D92," ",""),"-",""),"+",""),"(",""),")",""),1,3)&amp;") "&amp;MID(SUBSTITUTE(SUBSTITUTE(SUBSTITUTE(SUBSTITUTE(SUBSTITUTE(Клиенты_исходные!D92," ",""),"-",""),"+",""),"(",""),")",""),4,3)&amp;"-"&amp;MID(SUBSTITUTE(SUBSTITUTE(SUBSTITUTE(SUBSTITUTE(SUBSTITUTE(Клиенты_исходные!D92," ",""),"-",""),"+",""),"(",""),")",""),6,2)&amp;"-"&amp;MID(SUBSTITUTE(SUBSTITUTE(SUBSTITUTE(SUBSTITUTE(SUBSTITUTE(Клиенты_исходные!D92," ",""),"-",""),"+",""),"(",""),")",""),8,2),Клиенты_исходные!D92)))</f>
        <v xml:space="preserve">+7 (903) 678-90-12</v>
      </c>
      <c r="F92" t="str">
        <f>IFERROR(VLOOKUP(Клиенты_исходные!F92,Справочники!$J$2:$K$50,2,FALSE),Клиенты_исходные!F92)</f>
        <v>Чебоксары</v>
      </c>
      <c r="G92" s="8">
        <f>IFERROR(IF(ISNUMBER(FIND(".",Клиенты_исходные!G92)),DATE(RIGHT(Клиенты_исходные!G92,4),MID(Клиенты_исходные!G92,4,2),LEFT(Клиенты_исходные!G92,2)),DATE(LEFT(Клиенты_исходные!G92,4),MID(Клиенты_исходные!G92,6,2),RIGHT(Клиенты_исходные!G92,2))),Клиенты_исходные!G92)</f>
        <v>45474</v>
      </c>
      <c r="H92">
        <f t="shared" ca="1" si="49"/>
        <v>50</v>
      </c>
      <c r="I92" t="str">
        <f t="shared" si="50"/>
        <v>OK</v>
      </c>
      <c r="J92" t="str">
        <f t="shared" si="51"/>
        <v xml:space="preserve">Ошибка Email</v>
      </c>
    </row>
    <row r="93">
      <c r="A93" t="str">
        <f>Клиенты_исходные!A93</f>
        <v>C0092</v>
      </c>
      <c r="B93" t="str">
        <f>PROPER(TRIM(Клиенты_исходные!B93))</f>
        <v xml:space="preserve">Королева Анжела Алексеевна</v>
      </c>
      <c r="C93" s="8">
        <f>IFERROR(IF(ISNUMBER(FIND(".",Клиенты_исходные!C93)),DATE(RIGHT(Клиенты_исходные!C93,4),MID(Клиенты_исходные!C93,4,2),LEFT(Клиенты_исходные!C93,2)),DATE(LEFT(Клиенты_исходные!C93,4),MID(Клиенты_исходные!C93,6,2),RIGHT(Клиенты_исходные!C93,2))),Клиенты_исходные!C93)</f>
        <v>33939</v>
      </c>
      <c r="D93" t="str">
        <f>IF(ISBLANK(Клиенты_исходные!D93),"",IF(LEN(SUBSTITUTE(SUBSTITUTE(SUBSTITUTE(SUBSTITUTE(SUBSTITUTE(Клиенты_исходные!D93," ",""),"-",""),"+",""),"(",""),")",""))=11,"+7 ("&amp;MID(IF(LEFT(SUBSTITUTE(SUBSTITUTE(SUBSTITUTE(SUBSTITUTE(SUBSTITUTE(Клиенты_исходные!D93," ",""),"-",""),"+",""),"(",""),")",""))="8","7"&amp;MID(SUBSTITUTE(SUBSTITUTE(SUBSTITUTE(SUBSTITUTE(SUBSTITUTE(Клиенты_исходные!D93," ",""),"-",""),"+",""),"(",""),")",""),2,10),SUBSTITUTE(SUBSTITUTE(SUBSTITUTE(SUBSTITUTE(SUBSTITUTE(Клиенты_исходные!D93," ",""),"-",""),"+",""),"(",""),")","")),2,3)&amp;") "&amp;MID(IF(LEFT(SUBSTITUTE(SUBSTITUTE(SUBSTITUTE(SUBSTITUTE(SUBSTITUTE(Клиенты_исходные!D93," ",""),"-",""),"+",""),"(",""),")",""))="8","7"&amp;MID(SUBSTITUTE(SUBSTITUTE(SUBSTITUTE(SUBSTITUTE(SUBSTITUTE(Клиенты_исходные!D93," ",""),"-",""),"+",""),"(",""),")",""),2,10),SUBSTITUTE(SUBSTITUTE(SUBSTITUTE(SUBSTITUTE(SUBSTITUTE(Клиенты_исходные!D93," ",""),"-",""),"+",""),"(",""),")","")),5,3)&amp;"-"&amp;MID(IF(LEFT(SUBSTITUTE(SUBSTITUTE(SUBSTITUTE(SUBSTITUTE(SUBSTITUTE(Клиенты_исходные!D93," ",""),"-",""),"+",""),"(",""),")",""))="8","7"&amp;MID(SUBSTITUTE(SUBSTITUTE(SUBSTITUTE(SUBSTITUTE(SUBSTITUTE(Клиенты_исходные!D93," ",""),"-",""),"+",""),"(",""),")",""),2,10),SUBSTITUTE(SUBSTITUTE(SUBSTITUTE(SUBSTITUTE(SUBSTITUTE(Клиенты_исходные!D93," ",""),"-",""),"+",""),"(",""),")","")),8,2)&amp;"-"&amp;MID(IF(LEFT(SUBSTITUTE(SUBSTITUTE(SUBSTITUTE(SUBSTITUTE(SUBSTITUTE(Клиенты_исходные!D93," ",""),"-",""),"+",""),"(",""),")",""))="8","7"&amp;MID(SUBSTITUTE(SUBSTITUTE(SUBSTITUTE(SUBSTITUTE(SUBSTITUTE(Клиенты_исходные!D93," ",""),"-",""),"+",""),"(",""),")",""),2,10),SUBSTITUTE(SUBSTITUTE(SUBSTITUTE(SUBSTITUTE(SUBSTITUTE(Клиенты_исходные!D93," ",""),"-",""),"+",""),"(",""),")","")),10,2),IF(LEN(SUBSTITUTE(SUBSTITUTE(SUBSTITUTE(SUBSTITUTE(SUBSTITUTE(Клиенты_исходные!D93," ",""),"-",""),"+",""),"(",""),")",""))=10,"+7 ("&amp;MID(SUBSTITUTE(SUBSTITUTE(SUBSTITUTE(SUBSTITUTE(SUBSTITUTE(Клиенты_исходные!D93," ",""),"-",""),"+",""),"(",""),")",""),1,3)&amp;") "&amp;MID(SUBSTITUTE(SUBSTITUTE(SUBSTITUTE(SUBSTITUTE(SUBSTITUTE(Клиенты_исходные!D93," ",""),"-",""),"+",""),"(",""),")",""),4,3)&amp;"-"&amp;MID(SUBSTITUTE(SUBSTITUTE(SUBSTITUTE(SUBSTITUTE(SUBSTITUTE(Клиенты_исходные!D93," ",""),"-",""),"+",""),"(",""),")",""),6,2)&amp;"-"&amp;MID(SUBSTITUTE(SUBSTITUTE(SUBSTITUTE(SUBSTITUTE(SUBSTITUTE(Клиенты_исходные!D93," ",""),"-",""),"+",""),"(",""),")",""),8,2),Клиенты_исходные!D93)))</f>
        <v xml:space="preserve">+7 (903) 678-90-12</v>
      </c>
      <c r="F93" t="str">
        <f>IFERROR(VLOOKUP(Клиенты_исходные!F93,Справочники!$J$2:$K$50,2,FALSE),Клиенты_исходные!F93)</f>
        <v>Мурманск</v>
      </c>
      <c r="G93" s="8">
        <f>IFERROR(IF(ISNUMBER(FIND(".",Клиенты_исходные!G93)),DATE(RIGHT(Клиенты_исходные!G93,4),MID(Клиенты_исходные!G93,4,2),LEFT(Клиенты_исходные!G93,2)),DATE(LEFT(Клиенты_исходные!G93,4),MID(Клиенты_исходные!G93,6,2),RIGHT(Клиенты_исходные!G93,2))),Клиенты_исходные!G93)</f>
        <v>45488</v>
      </c>
      <c r="H93">
        <f t="shared" ca="1" si="49"/>
        <v>33</v>
      </c>
      <c r="I93" t="str">
        <f t="shared" si="50"/>
        <v>OK</v>
      </c>
      <c r="J93" t="str">
        <f t="shared" si="51"/>
        <v xml:space="preserve">Ошибка Email</v>
      </c>
    </row>
    <row r="94">
      <c r="A94" t="str">
        <f>Клиенты_исходные!A94</f>
        <v>C0093</v>
      </c>
      <c r="B94" t="str">
        <f>PROPER(TRIM(Клиенты_исходные!B94))</f>
        <v xml:space="preserve">Мальцева Алла Борисовна</v>
      </c>
      <c r="C94" s="8">
        <f>IFERROR(IF(ISNUMBER(FIND(".",Клиенты_исходные!C94)),DATE(RIGHT(Клиенты_исходные!C94,4),MID(Клиенты_исходные!C94,4,2),LEFT(Клиенты_исходные!C94,2)),DATE(LEFT(Клиенты_исходные!C94,4),MID(Клиенты_исходные!C94,6,2),RIGHT(Клиенты_исходные!C94,2))),Клиенты_исходные!C94)</f>
        <v>29822</v>
      </c>
      <c r="D94" t="str">
        <f>IF(ISBLANK(Клиенты_исходные!D94),"",IF(LEN(SUBSTITUTE(SUBSTITUTE(SUBSTITUTE(SUBSTITUTE(SUBSTITUTE(Клиенты_исходные!D94," ",""),"-",""),"+",""),"(",""),")",""))=11,"+7 ("&amp;MID(IF(LEFT(SUBSTITUTE(SUBSTITUTE(SUBSTITUTE(SUBSTITUTE(SUBSTITUTE(Клиенты_исходные!D94," ",""),"-",""),"+",""),"(",""),")",""))="8","7"&amp;MID(SUBSTITUTE(SUBSTITUTE(SUBSTITUTE(SUBSTITUTE(SUBSTITUTE(Клиенты_исходные!D94," ",""),"-",""),"+",""),"(",""),")",""),2,10),SUBSTITUTE(SUBSTITUTE(SUBSTITUTE(SUBSTITUTE(SUBSTITUTE(Клиенты_исходные!D94," ",""),"-",""),"+",""),"(",""),")","")),2,3)&amp;") "&amp;MID(IF(LEFT(SUBSTITUTE(SUBSTITUTE(SUBSTITUTE(SUBSTITUTE(SUBSTITUTE(Клиенты_исходные!D94," ",""),"-",""),"+",""),"(",""),")",""))="8","7"&amp;MID(SUBSTITUTE(SUBSTITUTE(SUBSTITUTE(SUBSTITUTE(SUBSTITUTE(Клиенты_исходные!D94," ",""),"-",""),"+",""),"(",""),")",""),2,10),SUBSTITUTE(SUBSTITUTE(SUBSTITUTE(SUBSTITUTE(SUBSTITUTE(Клиенты_исходные!D94," ",""),"-",""),"+",""),"(",""),")","")),5,3)&amp;"-"&amp;MID(IF(LEFT(SUBSTITUTE(SUBSTITUTE(SUBSTITUTE(SUBSTITUTE(SUBSTITUTE(Клиенты_исходные!D94," ",""),"-",""),"+",""),"(",""),")",""))="8","7"&amp;MID(SUBSTITUTE(SUBSTITUTE(SUBSTITUTE(SUBSTITUTE(SUBSTITUTE(Клиенты_исходные!D94," ",""),"-",""),"+",""),"(",""),")",""),2,10),SUBSTITUTE(SUBSTITUTE(SUBSTITUTE(SUBSTITUTE(SUBSTITUTE(Клиенты_исходные!D94," ",""),"-",""),"+",""),"(",""),")","")),8,2)&amp;"-"&amp;MID(IF(LEFT(SUBSTITUTE(SUBSTITUTE(SUBSTITUTE(SUBSTITUTE(SUBSTITUTE(Клиенты_исходные!D94," ",""),"-",""),"+",""),"(",""),")",""))="8","7"&amp;MID(SUBSTITUTE(SUBSTITUTE(SUBSTITUTE(SUBSTITUTE(SUBSTITUTE(Клиенты_исходные!D94," ",""),"-",""),"+",""),"(",""),")",""),2,10),SUBSTITUTE(SUBSTITUTE(SUBSTITUTE(SUBSTITUTE(SUBSTITUTE(Клиенты_исходные!D94," ",""),"-",""),"+",""),"(",""),")","")),10,2),IF(LEN(SUBSTITUTE(SUBSTITUTE(SUBSTITUTE(SUBSTITUTE(SUBSTITUTE(Клиенты_исходные!D94," ",""),"-",""),"+",""),"(",""),")",""))=10,"+7 ("&amp;MID(SUBSTITUTE(SUBSTITUTE(SUBSTITUTE(SUBSTITUTE(SUBSTITUTE(Клиенты_исходные!D94," ",""),"-",""),"+",""),"(",""),")",""),1,3)&amp;") "&amp;MID(SUBSTITUTE(SUBSTITUTE(SUBSTITUTE(SUBSTITUTE(SUBSTITUTE(Клиенты_исходные!D94," ",""),"-",""),"+",""),"(",""),")",""),4,3)&amp;"-"&amp;MID(SUBSTITUTE(SUBSTITUTE(SUBSTITUTE(SUBSTITUTE(SUBSTITUTE(Клиенты_исходные!D94," ",""),"-",""),"+",""),"(",""),")",""),6,2)&amp;"-"&amp;MID(SUBSTITUTE(SUBSTITUTE(SUBSTITUTE(SUBSTITUTE(SUBSTITUTE(Клиенты_исходные!D94," ",""),"-",""),"+",""),"(",""),")",""),8,2),Клиенты_исходные!D94)))</f>
        <v xml:space="preserve">+7 (903) 789-01-23</v>
      </c>
      <c r="F94" t="str">
        <f>IFERROR(VLOOKUP(Клиенты_исходные!F94,Справочники!$J$2:$K$50,2,FALSE),Клиенты_исходные!F94)</f>
        <v>Смоленск</v>
      </c>
      <c r="G94" s="8">
        <f>IFERROR(IF(ISNUMBER(FIND(".",Клиенты_исходные!G94)),DATE(RIGHT(Клиенты_исходные!G94,4),MID(Клиенты_исходные!G94,4,2),LEFT(Клиенты_исходные!G94,2)),DATE(LEFT(Клиенты_исходные!G94,4),MID(Клиенты_исходные!G94,6,2),RIGHT(Клиенты_исходные!G94,2))),Клиенты_исходные!G94)</f>
        <v>45488</v>
      </c>
      <c r="H94">
        <f t="shared" ca="1" si="49"/>
        <v>45</v>
      </c>
      <c r="I94" t="str">
        <f t="shared" si="50"/>
        <v>OK</v>
      </c>
      <c r="J94" t="str">
        <f t="shared" si="51"/>
        <v xml:space="preserve">Ошибка Email</v>
      </c>
    </row>
    <row r="95">
      <c r="A95" t="str">
        <f>Клиенты_исходные!A95</f>
        <v>C0094</v>
      </c>
      <c r="B95" t="str">
        <f>PROPER(TRIM(Клиенты_исходные!B95))</f>
        <v xml:space="preserve">Тарасова Ирина Павловна</v>
      </c>
      <c r="C95" s="8">
        <f>IFERROR(IF(ISNUMBER(FIND(".",Клиенты_исходные!C95)),DATE(RIGHT(Клиенты_исходные!C95,4),MID(Клиенты_исходные!C95,4,2),LEFT(Клиенты_исходные!C95,2)),DATE(LEFT(Клиенты_исходные!C95,4),MID(Клиенты_исходные!C95,6,2),RIGHT(Клиенты_исходные!C95,2))),Клиенты_исходные!C95)</f>
        <v>27313</v>
      </c>
      <c r="D95" t="str">
        <f>IF(ISBLANK(Клиенты_исходные!D95),"",IF(LEN(SUBSTITUTE(SUBSTITUTE(SUBSTITUTE(SUBSTITUTE(SUBSTITUTE(Клиенты_исходные!D95," ",""),"-",""),"+",""),"(",""),")",""))=11,"+7 ("&amp;MID(IF(LEFT(SUBSTITUTE(SUBSTITUTE(SUBSTITUTE(SUBSTITUTE(SUBSTITUTE(Клиенты_исходные!D95," ",""),"-",""),"+",""),"(",""),")",""))="8","7"&amp;MID(SUBSTITUTE(SUBSTITUTE(SUBSTITUTE(SUBSTITUTE(SUBSTITUTE(Клиенты_исходные!D95," ",""),"-",""),"+",""),"(",""),")",""),2,10),SUBSTITUTE(SUBSTITUTE(SUBSTITUTE(SUBSTITUTE(SUBSTITUTE(Клиенты_исходные!D95," ",""),"-",""),"+",""),"(",""),")","")),2,3)&amp;") "&amp;MID(IF(LEFT(SUBSTITUTE(SUBSTITUTE(SUBSTITUTE(SUBSTITUTE(SUBSTITUTE(Клиенты_исходные!D95," ",""),"-",""),"+",""),"(",""),")",""))="8","7"&amp;MID(SUBSTITUTE(SUBSTITUTE(SUBSTITUTE(SUBSTITUTE(SUBSTITUTE(Клиенты_исходные!D95," ",""),"-",""),"+",""),"(",""),")",""),2,10),SUBSTITUTE(SUBSTITUTE(SUBSTITUTE(SUBSTITUTE(SUBSTITUTE(Клиенты_исходные!D95," ",""),"-",""),"+",""),"(",""),")","")),5,3)&amp;"-"&amp;MID(IF(LEFT(SUBSTITUTE(SUBSTITUTE(SUBSTITUTE(SUBSTITUTE(SUBSTITUTE(Клиенты_исходные!D95," ",""),"-",""),"+",""),"(",""),")",""))="8","7"&amp;MID(SUBSTITUTE(SUBSTITUTE(SUBSTITUTE(SUBSTITUTE(SUBSTITUTE(Клиенты_исходные!D95," ",""),"-",""),"+",""),"(",""),")",""),2,10),SUBSTITUTE(SUBSTITUTE(SUBSTITUTE(SUBSTITUTE(SUBSTITUTE(Клиенты_исходные!D95," ",""),"-",""),"+",""),"(",""),")","")),8,2)&amp;"-"&amp;MID(IF(LEFT(SUBSTITUTE(SUBSTITUTE(SUBSTITUTE(SUBSTITUTE(SUBSTITUTE(Клиенты_исходные!D95," ",""),"-",""),"+",""),"(",""),")",""))="8","7"&amp;MID(SUBSTITUTE(SUBSTITUTE(SUBSTITUTE(SUBSTITUTE(SUBSTITUTE(Клиенты_исходные!D95," ",""),"-",""),"+",""),"(",""),")",""),2,10),SUBSTITUTE(SUBSTITUTE(SUBSTITUTE(SUBSTITUTE(SUBSTITUTE(Клиенты_исходные!D95," ",""),"-",""),"+",""),"(",""),")","")),10,2),IF(LEN(SUBSTITUTE(SUBSTITUTE(SUBSTITUTE(SUBSTITUTE(SUBSTITUTE(Клиенты_исходные!D95," ",""),"-",""),"+",""),"(",""),")",""))=10,"+7 ("&amp;MID(SUBSTITUTE(SUBSTITUTE(SUBSTITUTE(SUBSTITUTE(SUBSTITUTE(Клиенты_исходные!D95," ",""),"-",""),"+",""),"(",""),")",""),1,3)&amp;") "&amp;MID(SUBSTITUTE(SUBSTITUTE(SUBSTITUTE(SUBSTITUTE(SUBSTITUTE(Клиенты_исходные!D95," ",""),"-",""),"+",""),"(",""),")",""),4,3)&amp;"-"&amp;MID(SUBSTITUTE(SUBSTITUTE(SUBSTITUTE(SUBSTITUTE(SUBSTITUTE(Клиенты_исходные!D95," ",""),"-",""),"+",""),"(",""),")",""),6,2)&amp;"-"&amp;MID(SUBSTITUTE(SUBSTITUTE(SUBSTITUTE(SUBSTITUTE(SUBSTITUTE(Клиенты_исходные!D95," ",""),"-",""),"+",""),"(",""),")",""),8,2),Клиенты_исходные!D95)))</f>
        <v xml:space="preserve">+7 (903) 789-01-23</v>
      </c>
      <c r="F95" t="str">
        <f>IFERROR(VLOOKUP(Клиенты_исходные!F95,Справочники!$J$2:$K$50,2,FALSE),Клиенты_исходные!F95)</f>
        <v>Тула</v>
      </c>
      <c r="G95" s="8">
        <f>IFERROR(IF(ISNUMBER(FIND(".",Клиенты_исходные!G95)),DATE(RIGHT(Клиенты_исходные!G95,4),MID(Клиенты_исходные!G95,4,2),LEFT(Клиенты_исходные!G95,2)),DATE(LEFT(Клиенты_исходные!G95,4),MID(Клиенты_исходные!G95,6,2),RIGHT(Клиенты_исходные!G95,2))),Клиенты_исходные!G95)</f>
        <v>45505</v>
      </c>
      <c r="H95">
        <f t="shared" ca="1" si="49"/>
        <v>51</v>
      </c>
      <c r="I95" t="str">
        <f t="shared" si="50"/>
        <v>OK</v>
      </c>
      <c r="J95" t="str">
        <f t="shared" si="51"/>
        <v xml:space="preserve">Ошибка Email</v>
      </c>
    </row>
    <row r="96">
      <c r="A96" t="str">
        <f>Клиенты_исходные!A96</f>
        <v>C0095</v>
      </c>
      <c r="B96" t="str">
        <f>PROPER(TRIM(Клиенты_исходные!B96))</f>
        <v xml:space="preserve">Беспалов Глеб Анатольевич</v>
      </c>
      <c r="C96" s="8">
        <f>IFERROR(IF(ISNUMBER(FIND(".",Клиенты_исходные!C96)),DATE(RIGHT(Клиенты_исходные!C96,4),MID(Клиенты_исходные!C96,4,2),LEFT(Клиенты_исходные!C96,2)),DATE(LEFT(Клиенты_исходные!C96,4),MID(Клиенты_исходные!C96,6,2),RIGHT(Клиенты_исходные!C96,2))),Клиенты_исходные!C96)</f>
        <v>32320</v>
      </c>
      <c r="D96" t="str">
        <f>IF(ISBLANK(Клиенты_исходные!D96),"",IF(LEN(SUBSTITUTE(SUBSTITUTE(SUBSTITUTE(SUBSTITUTE(SUBSTITUTE(Клиенты_исходные!D96," ",""),"-",""),"+",""),"(",""),")",""))=11,"+7 ("&amp;MID(IF(LEFT(SUBSTITUTE(SUBSTITUTE(SUBSTITUTE(SUBSTITUTE(SUBSTITUTE(Клиенты_исходные!D96," ",""),"-",""),"+",""),"(",""),")",""))="8","7"&amp;MID(SUBSTITUTE(SUBSTITUTE(SUBSTITUTE(SUBSTITUTE(SUBSTITUTE(Клиенты_исходные!D96," ",""),"-",""),"+",""),"(",""),")",""),2,10),SUBSTITUTE(SUBSTITUTE(SUBSTITUTE(SUBSTITUTE(SUBSTITUTE(Клиенты_исходные!D96," ",""),"-",""),"+",""),"(",""),")","")),2,3)&amp;") "&amp;MID(IF(LEFT(SUBSTITUTE(SUBSTITUTE(SUBSTITUTE(SUBSTITUTE(SUBSTITUTE(Клиенты_исходные!D96," ",""),"-",""),"+",""),"(",""),")",""))="8","7"&amp;MID(SUBSTITUTE(SUBSTITUTE(SUBSTITUTE(SUBSTITUTE(SUBSTITUTE(Клиенты_исходные!D96," ",""),"-",""),"+",""),"(",""),")",""),2,10),SUBSTITUTE(SUBSTITUTE(SUBSTITUTE(SUBSTITUTE(SUBSTITUTE(Клиенты_исходные!D96," ",""),"-",""),"+",""),"(",""),")","")),5,3)&amp;"-"&amp;MID(IF(LEFT(SUBSTITUTE(SUBSTITUTE(SUBSTITUTE(SUBSTITUTE(SUBSTITUTE(Клиенты_исходные!D96," ",""),"-",""),"+",""),"(",""),")",""))="8","7"&amp;MID(SUBSTITUTE(SUBSTITUTE(SUBSTITUTE(SUBSTITUTE(SUBSTITUTE(Клиенты_исходные!D96," ",""),"-",""),"+",""),"(",""),")",""),2,10),SUBSTITUTE(SUBSTITUTE(SUBSTITUTE(SUBSTITUTE(SUBSTITUTE(Клиенты_исходные!D96," ",""),"-",""),"+",""),"(",""),")","")),8,2)&amp;"-"&amp;MID(IF(LEFT(SUBSTITUTE(SUBSTITUTE(SUBSTITUTE(SUBSTITUTE(SUBSTITUTE(Клиенты_исходные!D96," ",""),"-",""),"+",""),"(",""),")",""))="8","7"&amp;MID(SUBSTITUTE(SUBSTITUTE(SUBSTITUTE(SUBSTITUTE(SUBSTITUTE(Клиенты_исходные!D96," ",""),"-",""),"+",""),"(",""),")",""),2,10),SUBSTITUTE(SUBSTITUTE(SUBSTITUTE(SUBSTITUTE(SUBSTITUTE(Клиенты_исходные!D96," ",""),"-",""),"+",""),"(",""),")","")),10,2),IF(LEN(SUBSTITUTE(SUBSTITUTE(SUBSTITUTE(SUBSTITUTE(SUBSTITUTE(Клиенты_исходные!D96," ",""),"-",""),"+",""),"(",""),")",""))=10,"+7 ("&amp;MID(SUBSTITUTE(SUBSTITUTE(SUBSTITUTE(SUBSTITUTE(SUBSTITUTE(Клиенты_исходные!D96," ",""),"-",""),"+",""),"(",""),")",""),1,3)&amp;") "&amp;MID(SUBSTITUTE(SUBSTITUTE(SUBSTITUTE(SUBSTITUTE(SUBSTITUTE(Клиенты_исходные!D96," ",""),"-",""),"+",""),"(",""),")",""),4,3)&amp;"-"&amp;MID(SUBSTITUTE(SUBSTITUTE(SUBSTITUTE(SUBSTITUTE(SUBSTITUTE(Клиенты_исходные!D96," ",""),"-",""),"+",""),"(",""),")",""),6,2)&amp;"-"&amp;MID(SUBSTITUTE(SUBSTITUTE(SUBSTITUTE(SUBSTITUTE(SUBSTITUTE(Клиенты_исходные!D96," ",""),"-",""),"+",""),"(",""),")",""),8,2),Клиенты_исходные!D96)))</f>
        <v xml:space="preserve">+7 (903) 789-01-23</v>
      </c>
      <c r="F96" t="str">
        <f>IFERROR(VLOOKUP(Клиенты_исходные!F96,Справочники!$J$2:$K$50,2,FALSE),Клиенты_исходные!F96)</f>
        <v>Калуга</v>
      </c>
      <c r="G96" s="8">
        <f>IFERROR(IF(ISNUMBER(FIND(".",Клиенты_исходные!G96)),DATE(RIGHT(Клиенты_исходные!G96,4),MID(Клиенты_исходные!G96,4,2),LEFT(Клиенты_исходные!G96,2)),DATE(LEFT(Клиенты_исходные!G96,4),MID(Клиенты_исходные!G96,6,2),RIGHT(Клиенты_исходные!G96,2))),Клиенты_исходные!G96)</f>
        <v>45514</v>
      </c>
      <c r="H96">
        <f t="shared" ca="1" si="49"/>
        <v>38</v>
      </c>
      <c r="I96" t="str">
        <f t="shared" si="50"/>
        <v>OK</v>
      </c>
      <c r="J96" t="str">
        <f t="shared" si="51"/>
        <v xml:space="preserve">Ошибка Email</v>
      </c>
    </row>
    <row r="97">
      <c r="A97" t="str">
        <f>Клиенты_исходные!A97</f>
        <v>C0096</v>
      </c>
      <c r="B97" t="str">
        <f>PROPER(TRIM(Клиенты_исходные!B97))</f>
        <v xml:space="preserve">Соколовская Ольга Михайловна</v>
      </c>
      <c r="C97" s="8">
        <f>IFERROR(IF(ISNUMBER(FIND(".",Клиенты_исходные!C97)),DATE(RIGHT(Клиенты_исходные!C97,4),MID(Клиенты_исходные!C97,4,2),LEFT(Клиенты_исходные!C97,2)),DATE(LEFT(Клиенты_исходные!C97,4),MID(Клиенты_исходные!C97,6,2),RIGHT(Клиенты_исходные!C97,2))),Клиенты_исходные!C97)</f>
        <v>28917</v>
      </c>
      <c r="D97" t="str">
        <f>IF(ISBLANK(Клиенты_исходные!D97),"",IF(LEN(SUBSTITUTE(SUBSTITUTE(SUBSTITUTE(SUBSTITUTE(SUBSTITUTE(Клиенты_исходные!D97," ",""),"-",""),"+",""),"(",""),")",""))=11,"+7 ("&amp;MID(IF(LEFT(SUBSTITUTE(SUBSTITUTE(SUBSTITUTE(SUBSTITUTE(SUBSTITUTE(Клиенты_исходные!D97," ",""),"-",""),"+",""),"(",""),")",""))="8","7"&amp;MID(SUBSTITUTE(SUBSTITUTE(SUBSTITUTE(SUBSTITUTE(SUBSTITUTE(Клиенты_исходные!D97," ",""),"-",""),"+",""),"(",""),")",""),2,10),SUBSTITUTE(SUBSTITUTE(SUBSTITUTE(SUBSTITUTE(SUBSTITUTE(Клиенты_исходные!D97," ",""),"-",""),"+",""),"(",""),")","")),2,3)&amp;") "&amp;MID(IF(LEFT(SUBSTITUTE(SUBSTITUTE(SUBSTITUTE(SUBSTITUTE(SUBSTITUTE(Клиенты_исходные!D97," ",""),"-",""),"+",""),"(",""),")",""))="8","7"&amp;MID(SUBSTITUTE(SUBSTITUTE(SUBSTITUTE(SUBSTITUTE(SUBSTITUTE(Клиенты_исходные!D97," ",""),"-",""),"+",""),"(",""),")",""),2,10),SUBSTITUTE(SUBSTITUTE(SUBSTITUTE(SUBSTITUTE(SUBSTITUTE(Клиенты_исходные!D97," ",""),"-",""),"+",""),"(",""),")","")),5,3)&amp;"-"&amp;MID(IF(LEFT(SUBSTITUTE(SUBSTITUTE(SUBSTITUTE(SUBSTITUTE(SUBSTITUTE(Клиенты_исходные!D97," ",""),"-",""),"+",""),"(",""),")",""))="8","7"&amp;MID(SUBSTITUTE(SUBSTITUTE(SUBSTITUTE(SUBSTITUTE(SUBSTITUTE(Клиенты_исходные!D97," ",""),"-",""),"+",""),"(",""),")",""),2,10),SUBSTITUTE(SUBSTITUTE(SUBSTITUTE(SUBSTITUTE(SUBSTITUTE(Клиенты_исходные!D97," ",""),"-",""),"+",""),"(",""),")","")),8,2)&amp;"-"&amp;MID(IF(LEFT(SUBSTITUTE(SUBSTITUTE(SUBSTITUTE(SUBSTITUTE(SUBSTITUTE(Клиенты_исходные!D97," ",""),"-",""),"+",""),"(",""),")",""))="8","7"&amp;MID(SUBSTITUTE(SUBSTITUTE(SUBSTITUTE(SUBSTITUTE(SUBSTITUTE(Клиенты_исходные!D97," ",""),"-",""),"+",""),"(",""),")",""),2,10),SUBSTITUTE(SUBSTITUTE(SUBSTITUTE(SUBSTITUTE(SUBSTITUTE(Клиенты_исходные!D97," ",""),"-",""),"+",""),"(",""),")","")),10,2),IF(LEN(SUBSTITUTE(SUBSTITUTE(SUBSTITUTE(SUBSTITUTE(SUBSTITUTE(Клиенты_исходные!D97," ",""),"-",""),"+",""),"(",""),")",""))=10,"+7 ("&amp;MID(SUBSTITUTE(SUBSTITUTE(SUBSTITUTE(SUBSTITUTE(SUBSTITUTE(Клиенты_исходные!D97," ",""),"-",""),"+",""),"(",""),")",""),1,3)&amp;") "&amp;MID(SUBSTITUTE(SUBSTITUTE(SUBSTITUTE(SUBSTITUTE(SUBSTITUTE(Клиенты_исходные!D97," ",""),"-",""),"+",""),"(",""),")",""),4,3)&amp;"-"&amp;MID(SUBSTITUTE(SUBSTITUTE(SUBSTITUTE(SUBSTITUTE(SUBSTITUTE(Клиенты_исходные!D97," ",""),"-",""),"+",""),"(",""),")",""),6,2)&amp;"-"&amp;MID(SUBSTITUTE(SUBSTITUTE(SUBSTITUTE(SUBSTITUTE(SUBSTITUTE(Клиенты_исходные!D97," ",""),"-",""),"+",""),"(",""),")",""),8,2),Клиенты_исходные!D97)))</f>
        <v xml:space="preserve">+7 (903) 890-12-34</v>
      </c>
      <c r="F97" t="str">
        <f>IFERROR(VLOOKUP(Клиенты_исходные!F97,Справочники!$J$2:$K$50,2,FALSE),Клиенты_исходные!F97)</f>
        <v>Владивосток</v>
      </c>
      <c r="G97" s="8">
        <f>IFERROR(IF(ISNUMBER(FIND(".",Клиенты_исходные!G97)),DATE(RIGHT(Клиенты_исходные!G97,4),MID(Клиенты_исходные!G97,4,2),LEFT(Клиенты_исходные!G97,2)),DATE(LEFT(Клиенты_исходные!G97,4),MID(Клиенты_исходные!G97,6,2),RIGHT(Клиенты_исходные!G97,2))),Клиенты_исходные!G97)</f>
        <v>45514</v>
      </c>
      <c r="H97">
        <f t="shared" ca="1" si="49"/>
        <v>47</v>
      </c>
      <c r="I97" t="str">
        <f t="shared" si="50"/>
        <v>OK</v>
      </c>
      <c r="J97" t="str">
        <f t="shared" si="51"/>
        <v xml:space="preserve">Ошибка Email</v>
      </c>
    </row>
    <row r="98">
      <c r="A98" t="str">
        <f>Клиенты_исходные!A98</f>
        <v>C0097</v>
      </c>
      <c r="B98" t="str">
        <f>PROPER(TRIM(Клиенты_исходные!B98))</f>
        <v xml:space="preserve">Ермаков Павел Владимирович</v>
      </c>
      <c r="C98" s="8">
        <f>IFERROR(IF(ISNUMBER(FIND(".",Клиенты_исходные!C98)),DATE(RIGHT(Клиенты_исходные!C98,4),MID(Клиенты_исходные!C98,4,2),LEFT(Клиенты_исходные!C98,2)),DATE(LEFT(Клиенты_исходные!C98,4),MID(Клиенты_исходные!C98,6,2),RIGHT(Клиенты_исходные!C98,2))),Клиенты_исходные!C98)</f>
        <v>31395</v>
      </c>
      <c r="D98" t="str">
        <f>IF(ISBLANK(Клиенты_исходные!D98),"",IF(LEN(SUBSTITUTE(SUBSTITUTE(SUBSTITUTE(SUBSTITUTE(SUBSTITUTE(Клиенты_исходные!D98," ",""),"-",""),"+",""),"(",""),")",""))=11,"+7 ("&amp;MID(IF(LEFT(SUBSTITUTE(SUBSTITUTE(SUBSTITUTE(SUBSTITUTE(SUBSTITUTE(Клиенты_исходные!D98," ",""),"-",""),"+",""),"(",""),")",""))="8","7"&amp;MID(SUBSTITUTE(SUBSTITUTE(SUBSTITUTE(SUBSTITUTE(SUBSTITUTE(Клиенты_исходные!D98," ",""),"-",""),"+",""),"(",""),")",""),2,10),SUBSTITUTE(SUBSTITUTE(SUBSTITUTE(SUBSTITUTE(SUBSTITUTE(Клиенты_исходные!D98," ",""),"-",""),"+",""),"(",""),")","")),2,3)&amp;") "&amp;MID(IF(LEFT(SUBSTITUTE(SUBSTITUTE(SUBSTITUTE(SUBSTITUTE(SUBSTITUTE(Клиенты_исходные!D98," ",""),"-",""),"+",""),"(",""),")",""))="8","7"&amp;MID(SUBSTITUTE(SUBSTITUTE(SUBSTITUTE(SUBSTITUTE(SUBSTITUTE(Клиенты_исходные!D98," ",""),"-",""),"+",""),"(",""),")",""),2,10),SUBSTITUTE(SUBSTITUTE(SUBSTITUTE(SUBSTITUTE(SUBSTITUTE(Клиенты_исходные!D98," ",""),"-",""),"+",""),"(",""),")","")),5,3)&amp;"-"&amp;MID(IF(LEFT(SUBSTITUTE(SUBSTITUTE(SUBSTITUTE(SUBSTITUTE(SUBSTITUTE(Клиенты_исходные!D98," ",""),"-",""),"+",""),"(",""),")",""))="8","7"&amp;MID(SUBSTITUTE(SUBSTITUTE(SUBSTITUTE(SUBSTITUTE(SUBSTITUTE(Клиенты_исходные!D98," ",""),"-",""),"+",""),"(",""),")",""),2,10),SUBSTITUTE(SUBSTITUTE(SUBSTITUTE(SUBSTITUTE(SUBSTITUTE(Клиенты_исходные!D98," ",""),"-",""),"+",""),"(",""),")","")),8,2)&amp;"-"&amp;MID(IF(LEFT(SUBSTITUTE(SUBSTITUTE(SUBSTITUTE(SUBSTITUTE(SUBSTITUTE(Клиенты_исходные!D98," ",""),"-",""),"+",""),"(",""),")",""))="8","7"&amp;MID(SUBSTITUTE(SUBSTITUTE(SUBSTITUTE(SUBSTITUTE(SUBSTITUTE(Клиенты_исходные!D98," ",""),"-",""),"+",""),"(",""),")",""),2,10),SUBSTITUTE(SUBSTITUTE(SUBSTITUTE(SUBSTITUTE(SUBSTITUTE(Клиенты_исходные!D98," ",""),"-",""),"+",""),"(",""),")","")),10,2),IF(LEN(SUBSTITUTE(SUBSTITUTE(SUBSTITUTE(SUBSTITUTE(SUBSTITUTE(Клиенты_исходные!D98," ",""),"-",""),"+",""),"(",""),")",""))=10,"+7 ("&amp;MID(SUBSTITUTE(SUBSTITUTE(SUBSTITUTE(SUBSTITUTE(SUBSTITUTE(Клиенты_исходные!D98," ",""),"-",""),"+",""),"(",""),")",""),1,3)&amp;") "&amp;MID(SUBSTITUTE(SUBSTITUTE(SUBSTITUTE(SUBSTITUTE(SUBSTITUTE(Клиенты_исходные!D98," ",""),"-",""),"+",""),"(",""),")",""),4,3)&amp;"-"&amp;MID(SUBSTITUTE(SUBSTITUTE(SUBSTITUTE(SUBSTITUTE(SUBSTITUTE(Клиенты_исходные!D98," ",""),"-",""),"+",""),"(",""),")",""),6,2)&amp;"-"&amp;MID(SUBSTITUTE(SUBSTITUTE(SUBSTITUTE(SUBSTITUTE(SUBSTITUTE(Клиенты_исходные!D98," ",""),"-",""),"+",""),"(",""),")",""),8,2),Клиенты_исходные!D98)))</f>
        <v xml:space="preserve">+7 (903) 890-12-34</v>
      </c>
      <c r="F98" t="str">
        <f>IFERROR(VLOOKUP(Клиенты_исходные!F98,Справочники!$J$2:$K$50,2,FALSE),Клиенты_исходные!F98)</f>
        <v>Пермь</v>
      </c>
      <c r="G98" s="8">
        <f>IFERROR(IF(ISNUMBER(FIND(".",Клиенты_исходные!G98)),DATE(RIGHT(Клиенты_исходные!G98,4),MID(Клиенты_исходные!G98,4,2),LEFT(Клиенты_исходные!G98,2)),DATE(LEFT(Клиенты_исходные!G98,4),MID(Клиенты_исходные!G98,6,2),RIGHT(Клиенты_исходные!G98,2))),Клиенты_исходные!G98)</f>
        <v>45536</v>
      </c>
      <c r="H98">
        <f t="shared" ca="1" si="49"/>
        <v>40</v>
      </c>
      <c r="I98" t="str">
        <f t="shared" si="50"/>
        <v>OK</v>
      </c>
      <c r="J98" t="str">
        <f t="shared" si="51"/>
        <v xml:space="preserve">Ошибка Email</v>
      </c>
    </row>
    <row r="99">
      <c r="A99" t="str">
        <f>Клиенты_исходные!A99</f>
        <v>C0098</v>
      </c>
      <c r="B99" t="str">
        <f>PROPER(TRIM(Клиенты_исходные!B99))</f>
        <v xml:space="preserve">Герасимова Анна Юрьевна</v>
      </c>
      <c r="C99" s="8">
        <f>IFERROR(IF(ISNUMBER(FIND(".",Клиенты_исходные!C99)),DATE(RIGHT(Клиенты_исходные!C99,4),MID(Клиенты_исходные!C99,4,2),LEFT(Клиенты_исходные!C99,2)),DATE(LEFT(Клиенты_исходные!C99,4),MID(Клиенты_исходные!C99,6,2),RIGHT(Клиенты_исходные!C99,2))),Клиенты_исходные!C99)</f>
        <v>34172</v>
      </c>
      <c r="D99" t="str">
        <f>IF(ISBLANK(Клиенты_исходные!D99),"",IF(LEN(SUBSTITUTE(SUBSTITUTE(SUBSTITUTE(SUBSTITUTE(SUBSTITUTE(Клиенты_исходные!D99," ",""),"-",""),"+",""),"(",""),")",""))=11,"+7 ("&amp;MID(IF(LEFT(SUBSTITUTE(SUBSTITUTE(SUBSTITUTE(SUBSTITUTE(SUBSTITUTE(Клиенты_исходные!D99," ",""),"-",""),"+",""),"(",""),")",""))="8","7"&amp;MID(SUBSTITUTE(SUBSTITUTE(SUBSTITUTE(SUBSTITUTE(SUBSTITUTE(Клиенты_исходные!D99," ",""),"-",""),"+",""),"(",""),")",""),2,10),SUBSTITUTE(SUBSTITUTE(SUBSTITUTE(SUBSTITUTE(SUBSTITUTE(Клиенты_исходные!D99," ",""),"-",""),"+",""),"(",""),")","")),2,3)&amp;") "&amp;MID(IF(LEFT(SUBSTITUTE(SUBSTITUTE(SUBSTITUTE(SUBSTITUTE(SUBSTITUTE(Клиенты_исходные!D99," ",""),"-",""),"+",""),"(",""),")",""))="8","7"&amp;MID(SUBSTITUTE(SUBSTITUTE(SUBSTITUTE(SUBSTITUTE(SUBSTITUTE(Клиенты_исходные!D99," ",""),"-",""),"+",""),"(",""),")",""),2,10),SUBSTITUTE(SUBSTITUTE(SUBSTITUTE(SUBSTITUTE(SUBSTITUTE(Клиенты_исходные!D99," ",""),"-",""),"+",""),"(",""),")","")),5,3)&amp;"-"&amp;MID(IF(LEFT(SUBSTITUTE(SUBSTITUTE(SUBSTITUTE(SUBSTITUTE(SUBSTITUTE(Клиенты_исходные!D99," ",""),"-",""),"+",""),"(",""),")",""))="8","7"&amp;MID(SUBSTITUTE(SUBSTITUTE(SUBSTITUTE(SUBSTITUTE(SUBSTITUTE(Клиенты_исходные!D99," ",""),"-",""),"+",""),"(",""),")",""),2,10),SUBSTITUTE(SUBSTITUTE(SUBSTITUTE(SUBSTITUTE(SUBSTITUTE(Клиенты_исходные!D99," ",""),"-",""),"+",""),"(",""),")","")),8,2)&amp;"-"&amp;MID(IF(LEFT(SUBSTITUTE(SUBSTITUTE(SUBSTITUTE(SUBSTITUTE(SUBSTITUTE(Клиенты_исходные!D99," ",""),"-",""),"+",""),"(",""),")",""))="8","7"&amp;MID(SUBSTITUTE(SUBSTITUTE(SUBSTITUTE(SUBSTITUTE(SUBSTITUTE(Клиенты_исходные!D99," ",""),"-",""),"+",""),"(",""),")",""),2,10),SUBSTITUTE(SUBSTITUTE(SUBSTITUTE(SUBSTITUTE(SUBSTITUTE(Клиенты_исходные!D99," ",""),"-",""),"+",""),"(",""),")","")),10,2),IF(LEN(SUBSTITUTE(SUBSTITUTE(SUBSTITUTE(SUBSTITUTE(SUBSTITUTE(Клиенты_исходные!D99," ",""),"-",""),"+",""),"(",""),")",""))=10,"+7 ("&amp;MID(SUBSTITUTE(SUBSTITUTE(SUBSTITUTE(SUBSTITUTE(SUBSTITUTE(Клиенты_исходные!D99," ",""),"-",""),"+",""),"(",""),")",""),1,3)&amp;") "&amp;MID(SUBSTITUTE(SUBSTITUTE(SUBSTITUTE(SUBSTITUTE(SUBSTITUTE(Клиенты_исходные!D99," ",""),"-",""),"+",""),"(",""),")",""),4,3)&amp;"-"&amp;MID(SUBSTITUTE(SUBSTITUTE(SUBSTITUTE(SUBSTITUTE(SUBSTITUTE(Клиенты_исходные!D99," ",""),"-",""),"+",""),"(",""),")",""),6,2)&amp;"-"&amp;MID(SUBSTITUTE(SUBSTITUTE(SUBSTITUTE(SUBSTITUTE(SUBSTITUTE(Клиенты_исходные!D99," ",""),"-",""),"+",""),"(",""),")",""),8,2),Клиенты_исходные!D99)))</f>
        <v xml:space="preserve">+7 (903) 890-12-34</v>
      </c>
      <c r="F99" t="str">
        <f>IFERROR(VLOOKUP(Клиенты_исходные!F99,Справочники!$J$2:$K$50,2,FALSE),Клиенты_исходные!F99)</f>
        <v>Краснодар</v>
      </c>
      <c r="G99" s="8">
        <f>IFERROR(IF(ISNUMBER(FIND(".",Клиенты_исходные!G99)),DATE(RIGHT(Клиенты_исходные!G99,4),MID(Клиенты_исходные!G99,4,2),LEFT(Клиенты_исходные!G99,2)),DATE(LEFT(Клиенты_исходные!G99,4),MID(Клиенты_исходные!G99,6,2),RIGHT(Клиенты_исходные!G99,2))),Клиенты_исходные!G99)</f>
        <v>45550</v>
      </c>
      <c r="H99">
        <f t="shared" ca="1" si="49"/>
        <v>33</v>
      </c>
      <c r="I99" t="str">
        <f t="shared" si="50"/>
        <v>OK</v>
      </c>
      <c r="J99" t="str">
        <f t="shared" si="51"/>
        <v xml:space="preserve">Ошибка Email</v>
      </c>
    </row>
    <row r="100">
      <c r="A100" t="str">
        <f>'Клиенты_исходные'!A100</f>
        <v>C0099</v>
      </c>
      <c r="B100" t="str">
        <f>PROPER(TRIM('Клиенты_исходные'!B100))</f>
        <v xml:space="preserve">Кузьмина Ева Евгеньевна</v>
      </c>
      <c r="C100" s="8">
        <f>IFERROR(IF(ISNUMBER(FIND(".",'Клиенты_исходные'!C100)),DATE(RIGHT('Клиенты_исходные'!C100,4),MID('Клиенты_исходные'!C100,4,2),LEFT('Клиенты_исходные'!C100,2)),DATE(LEFT('Клиенты_исходные'!C100,4),MID('Клиенты_исходные'!C100,6,2),RIGHT('Клиенты_исходные'!C100,2))),'Клиенты_исходные'!C100)</f>
        <v>28134</v>
      </c>
      <c r="D100" t="str">
        <f>IF(ISBLANK(Клиенты_исходные!D100),"",IF(LEN(SUBSTITUTE(SUBSTITUTE(SUBSTITUTE(SUBSTITUTE(SUBSTITUTE(Клиенты_исходные!D100," ",""),"-",""),"+",""),"(",""),")",""))=11,"+7 ("&amp;MID(IF(LEFT(SUBSTITUTE(SUBSTITUTE(SUBSTITUTE(SUBSTITUTE(SUBSTITUTE(Клиенты_исходные!D100," ",""),"-",""),"+",""),"(",""),")",""))="8","7"&amp;MID(SUBSTITUTE(SUBSTITUTE(SUBSTITUTE(SUBSTITUTE(SUBSTITUTE(Клиенты_исходные!D100," ",""),"-",""),"+",""),"(",""),")",""),2,10),SUBSTITUTE(SUBSTITUTE(SUBSTITUTE(SUBSTITUTE(SUBSTITUTE(Клиенты_исходные!D100," ",""),"-",""),"+",""),"(",""),")","")),2,3)&amp;") "&amp;MID(IF(LEFT(SUBSTITUTE(SUBSTITUTE(SUBSTITUTE(SUBSTITUTE(SUBSTITUTE(Клиенты_исходные!D100," ",""),"-",""),"+",""),"(",""),")",""))="8","7"&amp;MID(SUBSTITUTE(SUBSTITUTE(SUBSTITUTE(SUBSTITUTE(SUBSTITUTE(Клиенты_исходные!D100," ",""),"-",""),"+",""),"(",""),")",""),2,10),SUBSTITUTE(SUBSTITUTE(SUBSTITUTE(SUBSTITUTE(SUBSTITUTE(Клиенты_исходные!D100," ",""),"-",""),"+",""),"(",""),")","")),5,3)&amp;"-"&amp;MID(IF(LEFT(SUBSTITUTE(SUBSTITUTE(SUBSTITUTE(SUBSTITUTE(SUBSTITUTE(Клиенты_исходные!D100," ",""),"-",""),"+",""),"(",""),")",""))="8","7"&amp;MID(SUBSTITUTE(SUBSTITUTE(SUBSTITUTE(SUBSTITUTE(SUBSTITUTE(Клиенты_исходные!D100," ",""),"-",""),"+",""),"(",""),")",""),2,10),SUBSTITUTE(SUBSTITUTE(SUBSTITUTE(SUBSTITUTE(SUBSTITUTE(Клиенты_исходные!D100," ",""),"-",""),"+",""),"(",""),")","")),8,2)&amp;"-"&amp;MID(IF(LEFT(SUBSTITUTE(SUBSTITUTE(SUBSTITUTE(SUBSTITUTE(SUBSTITUTE(Клиенты_исходные!D100," ",""),"-",""),"+",""),"(",""),")",""))="8","7"&amp;MID(SUBSTITUTE(SUBSTITUTE(SUBSTITUTE(SUBSTITUTE(SUBSTITUTE(Клиенты_исходные!D100," ",""),"-",""),"+",""),"(",""),")",""),2,10),SUBSTITUTE(SUBSTITUTE(SUBSTITUTE(SUBSTITUTE(SUBSTITUTE(Клиенты_исходные!D100," ",""),"-",""),"+",""),"(",""),")","")),10,2),IF(LEN(SUBSTITUTE(SUBSTITUTE(SUBSTITUTE(SUBSTITUTE(SUBSTITUTE(Клиенты_исходные!D100," ",""),"-",""),"+",""),"(",""),")",""))=10,"+7 ("&amp;MID(SUBSTITUTE(SUBSTITUTE(SUBSTITUTE(SUBSTITUTE(SUBSTITUTE(Клиенты_исходные!D100," ",""),"-",""),"+",""),"(",""),")",""),1,3)&amp;") "&amp;MID(SUBSTITUTE(SUBSTITUTE(SUBSTITUTE(SUBSTITUTE(SUBSTITUTE(Клиенты_исходные!D100," ",""),"-",""),"+",""),"(",""),")",""),4,3)&amp;"-"&amp;MID(SUBSTITUTE(SUBSTITUTE(SUBSTITUTE(SUBSTITUTE(SUBSTITUTE(Клиенты_исходные!D100," ",""),"-",""),"+",""),"(",""),")",""),6,2)&amp;"-"&amp;MID(SUBSTITUTE(SUBSTITUTE(SUBSTITUTE(SUBSTITUTE(SUBSTITUTE(Клиенты_исходные!D100," ",""),"-",""),"+",""),"(",""),")",""),8,2),Клиенты_исходные!D100)))</f>
        <v xml:space="preserve">+7 (903) 901-23-45</v>
      </c>
      <c r="F100" t="str">
        <f>IFERROR(VLOOKUP('Клиенты_исходные'!F100,Справочники!$J$2:$K$50,2,FALSE),'Клиенты_исходные'!F100)</f>
        <v>Саратов</v>
      </c>
      <c r="G100" s="8">
        <f>IFERROR(IF(ISNUMBER(FIND(".",'Клиенты_исходные'!G100)),DATE(RIGHT('Клиенты_исходные'!G100,4),MID('Клиенты_исходные'!G100,4,2),LEFT('Клиенты_исходные'!G100,2)),DATE(LEFT('Клиенты_исходные'!G100,4),MID('Клиенты_исходные'!G100,6,2),RIGHT('Клиенты_исходные'!G100,2))),'Клиенты_исходные'!G100)</f>
        <v>45550</v>
      </c>
      <c r="H100">
        <f t="shared" ref="H100:H163" ca="1" si="52">DATEDIF(C100,TODAY(),"Y")</f>
        <v>49</v>
      </c>
      <c r="I100" t="str">
        <f t="shared" ref="I100:I163" si="53">IF(OR(H100&lt;18,H100&gt;80),"Ошибка даты рождения","OK")</f>
        <v>OK</v>
      </c>
      <c r="J100" t="str">
        <f t="shared" ref="J100:J163" si="54">IF(AND(ISNUMBER(FIND("@",E100)),ISNUMBER(FIND(".",MID(E100,FIND("@",E100)+1,255)))),"OK","Ошибка Email")</f>
        <v xml:space="preserve">Ошибка Email</v>
      </c>
    </row>
    <row r="101">
      <c r="A101" t="str">
        <f>Клиенты_исходные!A101</f>
        <v>C0100</v>
      </c>
      <c r="B101" t="str">
        <f>PROPER(TRIM(Клиенты_исходные!B101))</f>
        <v xml:space="preserve">Литвинов Станислав Андреевич</v>
      </c>
      <c r="C101" s="8">
        <f>IFERROR(IF(ISNUMBER(FIND(".",Клиенты_исходные!C101)),DATE(RIGHT(Клиенты_исходные!C101,4),MID(Клиенты_исходные!C101,4,2),LEFT(Клиенты_исходные!C101,2)),DATE(LEFT(Клиенты_исходные!C101,4),MID(Клиенты_исходные!C101,6,2),RIGHT(Клиенты_исходные!C101,2))),Клиенты_исходные!C101)</f>
        <v>30942</v>
      </c>
      <c r="D101" t="str">
        <f>IF(ISBLANK(Клиенты_исходные!D101),"",IF(LEN(SUBSTITUTE(SUBSTITUTE(SUBSTITUTE(SUBSTITUTE(SUBSTITUTE(Клиенты_исходные!D101," ",""),"-",""),"+",""),"(",""),")",""))=11,"+7 ("&amp;MID(IF(LEFT(SUBSTITUTE(SUBSTITUTE(SUBSTITUTE(SUBSTITUTE(SUBSTITUTE(Клиенты_исходные!D101," ",""),"-",""),"+",""),"(",""),")",""))="8","7"&amp;MID(SUBSTITUTE(SUBSTITUTE(SUBSTITUTE(SUBSTITUTE(SUBSTITUTE(Клиенты_исходные!D101," ",""),"-",""),"+",""),"(",""),")",""),2,10),SUBSTITUTE(SUBSTITUTE(SUBSTITUTE(SUBSTITUTE(SUBSTITUTE(Клиенты_исходные!D101," ",""),"-",""),"+",""),"(",""),")","")),2,3)&amp;") "&amp;MID(IF(LEFT(SUBSTITUTE(SUBSTITUTE(SUBSTITUTE(SUBSTITUTE(SUBSTITUTE(Клиенты_исходные!D101," ",""),"-",""),"+",""),"(",""),")",""))="8","7"&amp;MID(SUBSTITUTE(SUBSTITUTE(SUBSTITUTE(SUBSTITUTE(SUBSTITUTE(Клиенты_исходные!D101," ",""),"-",""),"+",""),"(",""),")",""),2,10),SUBSTITUTE(SUBSTITUTE(SUBSTITUTE(SUBSTITUTE(SUBSTITUTE(Клиенты_исходные!D101," ",""),"-",""),"+",""),"(",""),")","")),5,3)&amp;"-"&amp;MID(IF(LEFT(SUBSTITUTE(SUBSTITUTE(SUBSTITUTE(SUBSTITUTE(SUBSTITUTE(Клиенты_исходные!D101," ",""),"-",""),"+",""),"(",""),")",""))="8","7"&amp;MID(SUBSTITUTE(SUBSTITUTE(SUBSTITUTE(SUBSTITUTE(SUBSTITUTE(Клиенты_исходные!D101," ",""),"-",""),"+",""),"(",""),")",""),2,10),SUBSTITUTE(SUBSTITUTE(SUBSTITUTE(SUBSTITUTE(SUBSTITUTE(Клиенты_исходные!D101," ",""),"-",""),"+",""),"(",""),")","")),8,2)&amp;"-"&amp;MID(IF(LEFT(SUBSTITUTE(SUBSTITUTE(SUBSTITUTE(SUBSTITUTE(SUBSTITUTE(Клиенты_исходные!D101," ",""),"-",""),"+",""),"(",""),")",""))="8","7"&amp;MID(SUBSTITUTE(SUBSTITUTE(SUBSTITUTE(SUBSTITUTE(SUBSTITUTE(Клиенты_исходные!D101," ",""),"-",""),"+",""),"(",""),")",""),2,10),SUBSTITUTE(SUBSTITUTE(SUBSTITUTE(SUBSTITUTE(SUBSTITUTE(Клиенты_исходные!D101," ",""),"-",""),"+",""),"(",""),")","")),10,2),IF(LEN(SUBSTITUTE(SUBSTITUTE(SUBSTITUTE(SUBSTITUTE(SUBSTITUTE(Клиенты_исходные!D101," ",""),"-",""),"+",""),"(",""),")",""))=10,"+7 ("&amp;MID(SUBSTITUTE(SUBSTITUTE(SUBSTITUTE(SUBSTITUTE(SUBSTITUTE(Клиенты_исходные!D101," ",""),"-",""),"+",""),"(",""),")",""),1,3)&amp;") "&amp;MID(SUBSTITUTE(SUBSTITUTE(SUBSTITUTE(SUBSTITUTE(SUBSTITUTE(Клиенты_исходные!D101," ",""),"-",""),"+",""),"(",""),")",""),4,3)&amp;"-"&amp;MID(SUBSTITUTE(SUBSTITUTE(SUBSTITUTE(SUBSTITUTE(SUBSTITUTE(Клиенты_исходные!D101," ",""),"-",""),"+",""),"(",""),")",""),6,2)&amp;"-"&amp;MID(SUBSTITUTE(SUBSTITUTE(SUBSTITUTE(SUBSTITUTE(SUBSTITUTE(Клиенты_исходные!D101," ",""),"-",""),"+",""),"(",""),")",""),8,2),Клиенты_исходные!D101)))</f>
        <v xml:space="preserve">+7 (903) 901-23-45</v>
      </c>
      <c r="F101" t="str">
        <f>IFERROR(VLOOKUP(Клиенты_исходные!F101,Справочники!$J$2:$K$50,2,FALSE),Клиенты_исходные!F101)</f>
        <v>Тольятти</v>
      </c>
      <c r="G101" s="8">
        <f>IFERROR(IF(ISNUMBER(FIND(".",Клиенты_исходные!G101)),DATE(RIGHT(Клиенты_исходные!G101,4),MID(Клиенты_исходные!G101,4,2),LEFT(Клиенты_исходные!G101,2)),DATE(LEFT(Клиенты_исходные!G101,4),MID(Клиенты_исходные!G101,6,2),RIGHT(Клиенты_исходные!G101,2))),Клиенты_исходные!G101)</f>
        <v>45566</v>
      </c>
      <c r="H101">
        <f t="shared" ca="1" si="52"/>
        <v>42</v>
      </c>
      <c r="I101" t="str">
        <f t="shared" si="53"/>
        <v>OK</v>
      </c>
      <c r="J101" t="str">
        <f t="shared" si="54"/>
        <v xml:space="preserve">Ошибка Email</v>
      </c>
    </row>
    <row r="102">
      <c r="A102" t="str">
        <f>Клиенты_исходные!A102</f>
        <v>C0101</v>
      </c>
      <c r="B102" t="str">
        <f>PROPER(TRIM(Клиенты_исходные!B102))</f>
        <v xml:space="preserve">Архипова Диана Валерьевна</v>
      </c>
      <c r="C102" s="8">
        <f>IFERROR(IF(ISNUMBER(FIND(".",Клиенты_исходные!C102)),DATE(RIGHT(Клиенты_исходные!C102,4),MID(Клиенты_исходные!C102,4,2),LEFT(Клиенты_исходные!C102,2)),DATE(LEFT(Клиенты_исходные!C102,4),MID(Клиенты_исходные!C102,6,2),RIGHT(Клиенты_исходные!C102,2))),Клиенты_исходные!C102)</f>
        <v>33356</v>
      </c>
      <c r="D102" t="str">
        <f>IF(ISBLANK(Клиенты_исходные!D102),"",IF(LEN(SUBSTITUTE(SUBSTITUTE(SUBSTITUTE(SUBSTITUTE(SUBSTITUTE(Клиенты_исходные!D102," ",""),"-",""),"+",""),"(",""),")",""))=11,"+7 ("&amp;MID(IF(LEFT(SUBSTITUTE(SUBSTITUTE(SUBSTITUTE(SUBSTITUTE(SUBSTITUTE(Клиенты_исходные!D102," ",""),"-",""),"+",""),"(",""),")",""))="8","7"&amp;MID(SUBSTITUTE(SUBSTITUTE(SUBSTITUTE(SUBSTITUTE(SUBSTITUTE(Клиенты_исходные!D102," ",""),"-",""),"+",""),"(",""),")",""),2,10),SUBSTITUTE(SUBSTITUTE(SUBSTITUTE(SUBSTITUTE(SUBSTITUTE(Клиенты_исходные!D102," ",""),"-",""),"+",""),"(",""),")","")),2,3)&amp;") "&amp;MID(IF(LEFT(SUBSTITUTE(SUBSTITUTE(SUBSTITUTE(SUBSTITUTE(SUBSTITUTE(Клиенты_исходные!D102," ",""),"-",""),"+",""),"(",""),")",""))="8","7"&amp;MID(SUBSTITUTE(SUBSTITUTE(SUBSTITUTE(SUBSTITUTE(SUBSTITUTE(Клиенты_исходные!D102," ",""),"-",""),"+",""),"(",""),")",""),2,10),SUBSTITUTE(SUBSTITUTE(SUBSTITUTE(SUBSTITUTE(SUBSTITUTE(Клиенты_исходные!D102," ",""),"-",""),"+",""),"(",""),")","")),5,3)&amp;"-"&amp;MID(IF(LEFT(SUBSTITUTE(SUBSTITUTE(SUBSTITUTE(SUBSTITUTE(SUBSTITUTE(Клиенты_исходные!D102," ",""),"-",""),"+",""),"(",""),")",""))="8","7"&amp;MID(SUBSTITUTE(SUBSTITUTE(SUBSTITUTE(SUBSTITUTE(SUBSTITUTE(Клиенты_исходные!D102," ",""),"-",""),"+",""),"(",""),")",""),2,10),SUBSTITUTE(SUBSTITUTE(SUBSTITUTE(SUBSTITUTE(SUBSTITUTE(Клиенты_исходные!D102," ",""),"-",""),"+",""),"(",""),")","")),8,2)&amp;"-"&amp;MID(IF(LEFT(SUBSTITUTE(SUBSTITUTE(SUBSTITUTE(SUBSTITUTE(SUBSTITUTE(Клиенты_исходные!D102," ",""),"-",""),"+",""),"(",""),")",""))="8","7"&amp;MID(SUBSTITUTE(SUBSTITUTE(SUBSTITUTE(SUBSTITUTE(SUBSTITUTE(Клиенты_исходные!D102," ",""),"-",""),"+",""),"(",""),")",""),2,10),SUBSTITUTE(SUBSTITUTE(SUBSTITUTE(SUBSTITUTE(SUBSTITUTE(Клиенты_исходные!D102," ",""),"-",""),"+",""),"(",""),")","")),10,2),IF(LEN(SUBSTITUTE(SUBSTITUTE(SUBSTITUTE(SUBSTITUTE(SUBSTITUTE(Клиенты_исходные!D102," ",""),"-",""),"+",""),"(",""),")",""))=10,"+7 ("&amp;MID(SUBSTITUTE(SUBSTITUTE(SUBSTITUTE(SUBSTITUTE(SUBSTITUTE(Клиенты_исходные!D102," ",""),"-",""),"+",""),"(",""),")",""),1,3)&amp;") "&amp;MID(SUBSTITUTE(SUBSTITUTE(SUBSTITUTE(SUBSTITUTE(SUBSTITUTE(Клиенты_исходные!D102," ",""),"-",""),"+",""),"(",""),")",""),4,3)&amp;"-"&amp;MID(SUBSTITUTE(SUBSTITUTE(SUBSTITUTE(SUBSTITUTE(SUBSTITUTE(Клиенты_исходные!D102," ",""),"-",""),"+",""),"(",""),")",""),6,2)&amp;"-"&amp;MID(SUBSTITUTE(SUBSTITUTE(SUBSTITUTE(SUBSTITUTE(SUBSTITUTE(Клиенты_исходные!D102," ",""),"-",""),"+",""),"(",""),")",""),8,2),Клиенты_исходные!D102)))</f>
        <v xml:space="preserve">+7 (903) 901-23-45</v>
      </c>
      <c r="F102" t="str">
        <f>IFERROR(VLOOKUP(Клиенты_исходные!F102,Справочники!$J$2:$K$50,2,FALSE),Клиенты_исходные!F102)</f>
        <v>Ульяновск</v>
      </c>
      <c r="G102" s="8">
        <f>IFERROR(IF(ISNUMBER(FIND(".",Клиенты_исходные!G102)),DATE(RIGHT(Клиенты_исходные!G102,4),MID(Клиенты_исходные!G102,4,2),LEFT(Клиенты_исходные!G102,2)),DATE(LEFT(Клиенты_исходные!G102,4),MID(Клиенты_исходные!G102,6,2),RIGHT(Клиенты_исходные!G102,2))),Клиенты_исходные!G102)</f>
        <v>45575</v>
      </c>
      <c r="H102">
        <f t="shared" ca="1" si="52"/>
        <v>35</v>
      </c>
      <c r="I102" t="str">
        <f t="shared" si="53"/>
        <v>OK</v>
      </c>
      <c r="J102" t="str">
        <f t="shared" si="54"/>
        <v xml:space="preserve">Ошибка Email</v>
      </c>
    </row>
    <row r="103">
      <c r="A103" t="str">
        <f>Клиенты_исходные!A103</f>
        <v>C0102</v>
      </c>
      <c r="B103" t="str">
        <f>PROPER(TRIM(Клиенты_исходные!B103))</f>
        <v xml:space="preserve">Кузьмин Андрей Сергеевич</v>
      </c>
      <c r="C103" s="8">
        <f>IFERROR(IF(ISNUMBER(FIND(".",Клиенты_исходные!C103)),DATE(RIGHT(Клиенты_исходные!C103,4),MID(Клиенты_исходные!C103,4,2),LEFT(Клиенты_исходные!C103,2)),DATE(LEFT(Клиенты_исходные!C103,4),MID(Клиенты_исходные!C103,6,2),RIGHT(Клиенты_исходные!C103,2))),Клиенты_исходные!C103)</f>
        <v>26606</v>
      </c>
      <c r="D103" t="str">
        <f>IF(ISBLANK(Клиенты_исходные!D103),"",IF(LEN(SUBSTITUTE(SUBSTITUTE(SUBSTITUTE(SUBSTITUTE(SUBSTITUTE(Клиенты_исходные!D103," ",""),"-",""),"+",""),"(",""),")",""))=11,"+7 ("&amp;MID(IF(LEFT(SUBSTITUTE(SUBSTITUTE(SUBSTITUTE(SUBSTITUTE(SUBSTITUTE(Клиенты_исходные!D103," ",""),"-",""),"+",""),"(",""),")",""))="8","7"&amp;MID(SUBSTITUTE(SUBSTITUTE(SUBSTITUTE(SUBSTITUTE(SUBSTITUTE(Клиенты_исходные!D103," ",""),"-",""),"+",""),"(",""),")",""),2,10),SUBSTITUTE(SUBSTITUTE(SUBSTITUTE(SUBSTITUTE(SUBSTITUTE(Клиенты_исходные!D103," ",""),"-",""),"+",""),"(",""),")","")),2,3)&amp;") "&amp;MID(IF(LEFT(SUBSTITUTE(SUBSTITUTE(SUBSTITUTE(SUBSTITUTE(SUBSTITUTE(Клиенты_исходные!D103," ",""),"-",""),"+",""),"(",""),")",""))="8","7"&amp;MID(SUBSTITUTE(SUBSTITUTE(SUBSTITUTE(SUBSTITUTE(SUBSTITUTE(Клиенты_исходные!D103," ",""),"-",""),"+",""),"(",""),")",""),2,10),SUBSTITUTE(SUBSTITUTE(SUBSTITUTE(SUBSTITUTE(SUBSTITUTE(Клиенты_исходные!D103," ",""),"-",""),"+",""),"(",""),")","")),5,3)&amp;"-"&amp;MID(IF(LEFT(SUBSTITUTE(SUBSTITUTE(SUBSTITUTE(SUBSTITUTE(SUBSTITUTE(Клиенты_исходные!D103," ",""),"-",""),"+",""),"(",""),")",""))="8","7"&amp;MID(SUBSTITUTE(SUBSTITUTE(SUBSTITUTE(SUBSTITUTE(SUBSTITUTE(Клиенты_исходные!D103," ",""),"-",""),"+",""),"(",""),")",""),2,10),SUBSTITUTE(SUBSTITUTE(SUBSTITUTE(SUBSTITUTE(SUBSTITUTE(Клиенты_исходные!D103," ",""),"-",""),"+",""),"(",""),")","")),8,2)&amp;"-"&amp;MID(IF(LEFT(SUBSTITUTE(SUBSTITUTE(SUBSTITUTE(SUBSTITUTE(SUBSTITUTE(Клиенты_исходные!D103," ",""),"-",""),"+",""),"(",""),")",""))="8","7"&amp;MID(SUBSTITUTE(SUBSTITUTE(SUBSTITUTE(SUBSTITUTE(SUBSTITUTE(Клиенты_исходные!D103," ",""),"-",""),"+",""),"(",""),")",""),2,10),SUBSTITUTE(SUBSTITUTE(SUBSTITUTE(SUBSTITUTE(SUBSTITUTE(Клиенты_исходные!D103," ",""),"-",""),"+",""),"(",""),")","")),10,2),IF(LEN(SUBSTITUTE(SUBSTITUTE(SUBSTITUTE(SUBSTITUTE(SUBSTITUTE(Клиенты_исходные!D103," ",""),"-",""),"+",""),"(",""),")",""))=10,"+7 ("&amp;MID(SUBSTITUTE(SUBSTITUTE(SUBSTITUTE(SUBSTITUTE(SUBSTITUTE(Клиенты_исходные!D103," ",""),"-",""),"+",""),"(",""),")",""),1,3)&amp;") "&amp;MID(SUBSTITUTE(SUBSTITUTE(SUBSTITUTE(SUBSTITUTE(SUBSTITUTE(Клиенты_исходные!D103," ",""),"-",""),"+",""),"(",""),")",""),4,3)&amp;"-"&amp;MID(SUBSTITUTE(SUBSTITUTE(SUBSTITUTE(SUBSTITUTE(SUBSTITUTE(Клиенты_исходные!D103," ",""),"-",""),"+",""),"(",""),")",""),6,2)&amp;"-"&amp;MID(SUBSTITUTE(SUBSTITUTE(SUBSTITUTE(SUBSTITUTE(SUBSTITUTE(Клиенты_исходные!D103," ",""),"-",""),"+",""),"(",""),")",""),8,2),Клиенты_исходные!D103)))</f>
        <v xml:space="preserve">+7 (903) 012-34-56</v>
      </c>
      <c r="F103" t="str">
        <f>IFERROR(VLOOKUP(Клиенты_исходные!F103,Справочники!$J$2:$K$50,2,FALSE),Клиенты_исходные!F103)</f>
        <v>Хабаровск</v>
      </c>
      <c r="G103" s="8">
        <f>IFERROR(IF(ISNUMBER(FIND(".",Клиенты_исходные!G103)),DATE(RIGHT(Клиенты_исходные!G103,4),MID(Клиенты_исходные!G103,4,2),LEFT(Клиенты_исходные!G103,2)),DATE(LEFT(Клиенты_исходные!G103,4),MID(Клиенты_исходные!G103,6,2),RIGHT(Клиенты_исходные!G103,2))),Клиенты_исходные!G103)</f>
        <v>45575</v>
      </c>
      <c r="H103">
        <f t="shared" ca="1" si="52"/>
        <v>53</v>
      </c>
      <c r="I103" t="str">
        <f t="shared" si="53"/>
        <v>OK</v>
      </c>
      <c r="J103" t="str">
        <f t="shared" si="54"/>
        <v xml:space="preserve">Ошибка Email</v>
      </c>
    </row>
    <row r="104">
      <c r="A104" t="str">
        <f>Клиенты_исходные!A104</f>
        <v>C0103</v>
      </c>
      <c r="B104" t="str">
        <f>PROPER(TRIM(Клиенты_исходные!B104))</f>
        <v xml:space="preserve">Афанасьева Виктория Денисовна</v>
      </c>
      <c r="C104" s="8">
        <f>IFERROR(IF(ISNUMBER(FIND(".",Клиенты_исходные!C104)),DATE(RIGHT(Клиенты_исходные!C104,4),MID(Клиенты_исходные!C104,4,2),LEFT(Клиенты_исходные!C104,2)),DATE(LEFT(Клиенты_исходные!C104,4),MID(Клиенты_исходные!C104,6,2),RIGHT(Клиенты_исходные!C104,2))),Клиенты_исходные!C104)</f>
        <v>31579</v>
      </c>
      <c r="D104" t="str">
        <f>IF(ISBLANK(Клиенты_исходные!D104),"",IF(LEN(SUBSTITUTE(SUBSTITUTE(SUBSTITUTE(SUBSTITUTE(SUBSTITUTE(Клиенты_исходные!D104," ",""),"-",""),"+",""),"(",""),")",""))=11,"+7 ("&amp;MID(IF(LEFT(SUBSTITUTE(SUBSTITUTE(SUBSTITUTE(SUBSTITUTE(SUBSTITUTE(Клиенты_исходные!D104," ",""),"-",""),"+",""),"(",""),")",""))="8","7"&amp;MID(SUBSTITUTE(SUBSTITUTE(SUBSTITUTE(SUBSTITUTE(SUBSTITUTE(Клиенты_исходные!D104," ",""),"-",""),"+",""),"(",""),")",""),2,10),SUBSTITUTE(SUBSTITUTE(SUBSTITUTE(SUBSTITUTE(SUBSTITUTE(Клиенты_исходные!D104," ",""),"-",""),"+",""),"(",""),")","")),2,3)&amp;") "&amp;MID(IF(LEFT(SUBSTITUTE(SUBSTITUTE(SUBSTITUTE(SUBSTITUTE(SUBSTITUTE(Клиенты_исходные!D104," ",""),"-",""),"+",""),"(",""),")",""))="8","7"&amp;MID(SUBSTITUTE(SUBSTITUTE(SUBSTITUTE(SUBSTITUTE(SUBSTITUTE(Клиенты_исходные!D104," ",""),"-",""),"+",""),"(",""),")",""),2,10),SUBSTITUTE(SUBSTITUTE(SUBSTITUTE(SUBSTITUTE(SUBSTITUTE(Клиенты_исходные!D104," ",""),"-",""),"+",""),"(",""),")","")),5,3)&amp;"-"&amp;MID(IF(LEFT(SUBSTITUTE(SUBSTITUTE(SUBSTITUTE(SUBSTITUTE(SUBSTITUTE(Клиенты_исходные!D104," ",""),"-",""),"+",""),"(",""),")",""))="8","7"&amp;MID(SUBSTITUTE(SUBSTITUTE(SUBSTITUTE(SUBSTITUTE(SUBSTITUTE(Клиенты_исходные!D104," ",""),"-",""),"+",""),"(",""),")",""),2,10),SUBSTITUTE(SUBSTITUTE(SUBSTITUTE(SUBSTITUTE(SUBSTITUTE(Клиенты_исходные!D104," ",""),"-",""),"+",""),"(",""),")","")),8,2)&amp;"-"&amp;MID(IF(LEFT(SUBSTITUTE(SUBSTITUTE(SUBSTITUTE(SUBSTITUTE(SUBSTITUTE(Клиенты_исходные!D104," ",""),"-",""),"+",""),"(",""),")",""))="8","7"&amp;MID(SUBSTITUTE(SUBSTITUTE(SUBSTITUTE(SUBSTITUTE(SUBSTITUTE(Клиенты_исходные!D104," ",""),"-",""),"+",""),"(",""),")",""),2,10),SUBSTITUTE(SUBSTITUTE(SUBSTITUTE(SUBSTITUTE(SUBSTITUTE(Клиенты_исходные!D104," ",""),"-",""),"+",""),"(",""),")","")),10,2),IF(LEN(SUBSTITUTE(SUBSTITUTE(SUBSTITUTE(SUBSTITUTE(SUBSTITUTE(Клиенты_исходные!D104," ",""),"-",""),"+",""),"(",""),")",""))=10,"+7 ("&amp;MID(SUBSTITUTE(SUBSTITUTE(SUBSTITUTE(SUBSTITUTE(SUBSTITUTE(Клиенты_исходные!D104," ",""),"-",""),"+",""),"(",""),")",""),1,3)&amp;") "&amp;MID(SUBSTITUTE(SUBSTITUTE(SUBSTITUTE(SUBSTITUTE(SUBSTITUTE(Клиенты_исходные!D104," ",""),"-",""),"+",""),"(",""),")",""),4,3)&amp;"-"&amp;MID(SUBSTITUTE(SUBSTITUTE(SUBSTITUTE(SUBSTITUTE(SUBSTITUTE(Клиенты_исходные!D104," ",""),"-",""),"+",""),"(",""),")",""),6,2)&amp;"-"&amp;MID(SUBSTITUTE(SUBSTITUTE(SUBSTITUTE(SUBSTITUTE(SUBSTITUTE(Клиенты_исходные!D104," ",""),"-",""),"+",""),"(",""),")",""),8,2),Клиенты_исходные!D104)))</f>
        <v xml:space="preserve">+7 (903) 012-34-56</v>
      </c>
      <c r="F104" t="str">
        <f>IFERROR(VLOOKUP(Клиенты_исходные!F104,Справочники!$J$2:$K$50,2,FALSE),Клиенты_исходные!F104)</f>
        <v>Челябинск</v>
      </c>
      <c r="G104" s="8">
        <f>IFERROR(IF(ISNUMBER(FIND(".",Клиенты_исходные!G104)),DATE(RIGHT(Клиенты_исходные!G104,4),MID(Клиенты_исходные!G104,4,2),LEFT(Клиенты_исходные!G104,2)),DATE(LEFT(Клиенты_исходные!G104,4),MID(Клиенты_исходные!G104,6,2),RIGHT(Клиенты_исходные!G104,2))),Клиенты_исходные!G104)</f>
        <v>45597</v>
      </c>
      <c r="H104">
        <f t="shared" ca="1" si="52"/>
        <v>40</v>
      </c>
      <c r="I104" t="str">
        <f t="shared" si="53"/>
        <v>OK</v>
      </c>
      <c r="J104" t="str">
        <f t="shared" si="54"/>
        <v xml:space="preserve">Ошибка Email</v>
      </c>
    </row>
    <row r="105">
      <c r="A105" t="str">
        <f>Клиенты_исходные!A105</f>
        <v>C0104</v>
      </c>
      <c r="B105" t="str">
        <f>PROPER(TRIM(Клиенты_исходные!B105))</f>
        <v xml:space="preserve">Денисов Константин Викторович</v>
      </c>
      <c r="C105" s="8">
        <f>IFERROR(IF(ISNUMBER(FIND(".",Клиенты_исходные!C105)),DATE(RIGHT(Клиенты_исходные!C105,4),MID(Клиенты_исходные!C105,4,2),LEFT(Клиенты_исходные!C105,2)),DATE(LEFT(Клиенты_исходные!C105,4),MID(Клиенты_исходные!C105,6,2),RIGHT(Клиенты_исходные!C105,2))),Клиенты_исходные!C105)</f>
        <v>34363</v>
      </c>
      <c r="D105" t="str">
        <f>IF(ISBLANK(Клиенты_исходные!D105),"",IF(LEN(SUBSTITUTE(SUBSTITUTE(SUBSTITUTE(SUBSTITUTE(SUBSTITUTE(Клиенты_исходные!D105," ",""),"-",""),"+",""),"(",""),")",""))=11,"+7 ("&amp;MID(IF(LEFT(SUBSTITUTE(SUBSTITUTE(SUBSTITUTE(SUBSTITUTE(SUBSTITUTE(Клиенты_исходные!D105," ",""),"-",""),"+",""),"(",""),")",""))="8","7"&amp;MID(SUBSTITUTE(SUBSTITUTE(SUBSTITUTE(SUBSTITUTE(SUBSTITUTE(Клиенты_исходные!D105," ",""),"-",""),"+",""),"(",""),")",""),2,10),SUBSTITUTE(SUBSTITUTE(SUBSTITUTE(SUBSTITUTE(SUBSTITUTE(Клиенты_исходные!D105," ",""),"-",""),"+",""),"(",""),")","")),2,3)&amp;") "&amp;MID(IF(LEFT(SUBSTITUTE(SUBSTITUTE(SUBSTITUTE(SUBSTITUTE(SUBSTITUTE(Клиенты_исходные!D105," ",""),"-",""),"+",""),"(",""),")",""))="8","7"&amp;MID(SUBSTITUTE(SUBSTITUTE(SUBSTITUTE(SUBSTITUTE(SUBSTITUTE(Клиенты_исходные!D105," ",""),"-",""),"+",""),"(",""),")",""),2,10),SUBSTITUTE(SUBSTITUTE(SUBSTITUTE(SUBSTITUTE(SUBSTITUTE(Клиенты_исходные!D105," ",""),"-",""),"+",""),"(",""),")","")),5,3)&amp;"-"&amp;MID(IF(LEFT(SUBSTITUTE(SUBSTITUTE(SUBSTITUTE(SUBSTITUTE(SUBSTITUTE(Клиенты_исходные!D105," ",""),"-",""),"+",""),"(",""),")",""))="8","7"&amp;MID(SUBSTITUTE(SUBSTITUTE(SUBSTITUTE(SUBSTITUTE(SUBSTITUTE(Клиенты_исходные!D105," ",""),"-",""),"+",""),"(",""),")",""),2,10),SUBSTITUTE(SUBSTITUTE(SUBSTITUTE(SUBSTITUTE(SUBSTITUTE(Клиенты_исходные!D105," ",""),"-",""),"+",""),"(",""),")","")),8,2)&amp;"-"&amp;MID(IF(LEFT(SUBSTITUTE(SUBSTITUTE(SUBSTITUTE(SUBSTITUTE(SUBSTITUTE(Клиенты_исходные!D105," ",""),"-",""),"+",""),"(",""),")",""))="8","7"&amp;MID(SUBSTITUTE(SUBSTITUTE(SUBSTITUTE(SUBSTITUTE(SUBSTITUTE(Клиенты_исходные!D105," ",""),"-",""),"+",""),"(",""),")",""),2,10),SUBSTITUTE(SUBSTITUTE(SUBSTITUTE(SUBSTITUTE(SUBSTITUTE(Клиенты_исходные!D105," ",""),"-",""),"+",""),"(",""),")","")),10,2),IF(LEN(SUBSTITUTE(SUBSTITUTE(SUBSTITUTE(SUBSTITUTE(SUBSTITUTE(Клиенты_исходные!D105," ",""),"-",""),"+",""),"(",""),")",""))=10,"+7 ("&amp;MID(SUBSTITUTE(SUBSTITUTE(SUBSTITUTE(SUBSTITUTE(SUBSTITUTE(Клиенты_исходные!D105," ",""),"-",""),"+",""),"(",""),")",""),1,3)&amp;") "&amp;MID(SUBSTITUTE(SUBSTITUTE(SUBSTITUTE(SUBSTITUTE(SUBSTITUTE(Клиенты_исходные!D105," ",""),"-",""),"+",""),"(",""),")",""),4,3)&amp;"-"&amp;MID(SUBSTITUTE(SUBSTITUTE(SUBSTITUTE(SUBSTITUTE(SUBSTITUTE(Клиенты_исходные!D105," ",""),"-",""),"+",""),"(",""),")",""),6,2)&amp;"-"&amp;MID(SUBSTITUTE(SUBSTITUTE(SUBSTITUTE(SUBSTITUTE(SUBSTITUTE(Клиенты_исходные!D105," ",""),"-",""),"+",""),"(",""),")",""),8,2),Клиенты_исходные!D105)))</f>
        <v xml:space="preserve">+7 (903) 012-34-56</v>
      </c>
      <c r="F105" t="str">
        <f>IFERROR(VLOOKUP(Клиенты_исходные!F105,Справочники!$J$2:$K$50,2,FALSE),Клиенты_исходные!F105)</f>
        <v>Омск</v>
      </c>
      <c r="G105" s="8">
        <f>IFERROR(IF(ISNUMBER(FIND(".",Клиенты_исходные!G105)),DATE(RIGHT(Клиенты_исходные!G105,4),MID(Клиенты_исходные!G105,4,2),LEFT(Клиенты_исходные!G105,2)),DATE(LEFT(Клиенты_исходные!G105,4),MID(Клиенты_исходные!G105,6,2),RIGHT(Клиенты_исходные!G105,2))),Клиенты_исходные!G105)</f>
        <v>45611</v>
      </c>
      <c r="H105">
        <f t="shared" ca="1" si="52"/>
        <v>32</v>
      </c>
      <c r="I105" t="str">
        <f t="shared" si="53"/>
        <v>OK</v>
      </c>
      <c r="J105" t="str">
        <f t="shared" si="54"/>
        <v xml:space="preserve">Ошибка Email</v>
      </c>
    </row>
    <row r="106">
      <c r="A106" t="str">
        <f>Клиенты_исходные!A106</f>
        <v>C0105</v>
      </c>
      <c r="B106" t="str">
        <f>PROPER(TRIM(Клиенты_исходные!B106))</f>
        <v xml:space="preserve">Серова Наталья Анатольевна</v>
      </c>
      <c r="C106" s="8">
        <f>IFERROR(IF(ISNUMBER(FIND(".",Клиенты_исходные!C106)),DATE(RIGHT(Клиенты_исходные!C106,4),MID(Клиенты_исходные!C106,4,2),LEFT(Клиенты_исходные!C106,2)),DATE(LEFT(Клиенты_исходные!C106,4),MID(Клиенты_исходные!C106,6,2),RIGHT(Клиенты_исходные!C106,2))),Клиенты_исходные!C106)</f>
        <v>28714</v>
      </c>
      <c r="D106" t="str">
        <f>IF(ISBLANK(Клиенты_исходные!D106),"",IF(LEN(SUBSTITUTE(SUBSTITUTE(SUBSTITUTE(SUBSTITUTE(SUBSTITUTE(Клиенты_исходные!D106," ",""),"-",""),"+",""),"(",""),")",""))=11,"+7 ("&amp;MID(IF(LEFT(SUBSTITUTE(SUBSTITUTE(SUBSTITUTE(SUBSTITUTE(SUBSTITUTE(Клиенты_исходные!D106," ",""),"-",""),"+",""),"(",""),")",""))="8","7"&amp;MID(SUBSTITUTE(SUBSTITUTE(SUBSTITUTE(SUBSTITUTE(SUBSTITUTE(Клиенты_исходные!D106," ",""),"-",""),"+",""),"(",""),")",""),2,10),SUBSTITUTE(SUBSTITUTE(SUBSTITUTE(SUBSTITUTE(SUBSTITUTE(Клиенты_исходные!D106," ",""),"-",""),"+",""),"(",""),")","")),2,3)&amp;") "&amp;MID(IF(LEFT(SUBSTITUTE(SUBSTITUTE(SUBSTITUTE(SUBSTITUTE(SUBSTITUTE(Клиенты_исходные!D106," ",""),"-",""),"+",""),"(",""),")",""))="8","7"&amp;MID(SUBSTITUTE(SUBSTITUTE(SUBSTITUTE(SUBSTITUTE(SUBSTITUTE(Клиенты_исходные!D106," ",""),"-",""),"+",""),"(",""),")",""),2,10),SUBSTITUTE(SUBSTITUTE(SUBSTITUTE(SUBSTITUTE(SUBSTITUTE(Клиенты_исходные!D106," ",""),"-",""),"+",""),"(",""),")","")),5,3)&amp;"-"&amp;MID(IF(LEFT(SUBSTITUTE(SUBSTITUTE(SUBSTITUTE(SUBSTITUTE(SUBSTITUTE(Клиенты_исходные!D106," ",""),"-",""),"+",""),"(",""),")",""))="8","7"&amp;MID(SUBSTITUTE(SUBSTITUTE(SUBSTITUTE(SUBSTITUTE(SUBSTITUTE(Клиенты_исходные!D106," ",""),"-",""),"+",""),"(",""),")",""),2,10),SUBSTITUTE(SUBSTITUTE(SUBSTITUTE(SUBSTITUTE(SUBSTITUTE(Клиенты_исходные!D106," ",""),"-",""),"+",""),"(",""),")","")),8,2)&amp;"-"&amp;MID(IF(LEFT(SUBSTITUTE(SUBSTITUTE(SUBSTITUTE(SUBSTITUTE(SUBSTITUTE(Клиенты_исходные!D106," ",""),"-",""),"+",""),"(",""),")",""))="8","7"&amp;MID(SUBSTITUTE(SUBSTITUTE(SUBSTITUTE(SUBSTITUTE(SUBSTITUTE(Клиенты_исходные!D106," ",""),"-",""),"+",""),"(",""),")",""),2,10),SUBSTITUTE(SUBSTITUTE(SUBSTITUTE(SUBSTITUTE(SUBSTITUTE(Клиенты_исходные!D106," ",""),"-",""),"+",""),"(",""),")","")),10,2),IF(LEN(SUBSTITUTE(SUBSTITUTE(SUBSTITUTE(SUBSTITUTE(SUBSTITUTE(Клиенты_исходные!D106," ",""),"-",""),"+",""),"(",""),")",""))=10,"+7 ("&amp;MID(SUBSTITUTE(SUBSTITUTE(SUBSTITUTE(SUBSTITUTE(SUBSTITUTE(Клиенты_исходные!D106," ",""),"-",""),"+",""),"(",""),")",""),1,3)&amp;") "&amp;MID(SUBSTITUTE(SUBSTITUTE(SUBSTITUTE(SUBSTITUTE(SUBSTITUTE(Клиенты_исходные!D106," ",""),"-",""),"+",""),"(",""),")",""),4,3)&amp;"-"&amp;MID(SUBSTITUTE(SUBSTITUTE(SUBSTITUTE(SUBSTITUTE(SUBSTITUTE(Клиенты_исходные!D106," ",""),"-",""),"+",""),"(",""),")",""),6,2)&amp;"-"&amp;MID(SUBSTITUTE(SUBSTITUTE(SUBSTITUTE(SUBSTITUTE(SUBSTITUTE(Клиенты_исходные!D106," ",""),"-",""),"+",""),"(",""),")",""),8,2),Клиенты_исходные!D106)))</f>
        <v xml:space="preserve">+7 (903) 123-45-67</v>
      </c>
      <c r="F106" t="str">
        <f>IFERROR(VLOOKUP(Клиенты_исходные!F106,Справочники!$J$2:$K$50,2,FALSE),Клиенты_исходные!F106)</f>
        <v>Ростов-на-Дону</v>
      </c>
      <c r="G106" s="8">
        <f>IFERROR(IF(ISNUMBER(FIND(".",Клиенты_исходные!G106)),DATE(RIGHT(Клиенты_исходные!G106,4),MID(Клиенты_исходные!G106,4,2),LEFT(Клиенты_исходные!G106,2)),DATE(LEFT(Клиенты_исходные!G106,4),MID(Клиенты_исходные!G106,6,2),RIGHT(Клиенты_исходные!G106,2))),Клиенты_исходные!G106)</f>
        <v>45611</v>
      </c>
      <c r="H106">
        <f t="shared" ca="1" si="52"/>
        <v>48</v>
      </c>
      <c r="I106" t="str">
        <f t="shared" si="53"/>
        <v>OK</v>
      </c>
      <c r="J106" t="str">
        <f t="shared" si="54"/>
        <v xml:space="preserve">Ошибка Email</v>
      </c>
    </row>
    <row r="107">
      <c r="A107" t="str">
        <f>Клиенты_исходные!A107</f>
        <v>C0106</v>
      </c>
      <c r="B107" t="str">
        <f>PROPER(TRIM(Клиенты_исходные!B107))</f>
        <v xml:space="preserve">Голубев Максим Иванович</v>
      </c>
      <c r="C107" s="8">
        <f>IFERROR(IF(ISNUMBER(FIND(".",Клиенты_исходные!C107)),DATE(RIGHT(Клиенты_исходные!C107,4),MID(Клиенты_исходные!C107,4,2),LEFT(Клиенты_исходные!C107,2)),DATE(LEFT(Клиенты_исходные!C107,4),MID(Клиенты_исходные!C107,6,2),RIGHT(Клиенты_исходные!C107,2))),Клиенты_исходные!C107)</f>
        <v>30657</v>
      </c>
      <c r="D107" t="str">
        <f>IF(ISBLANK(Клиенты_исходные!D107),"",IF(LEN(SUBSTITUTE(SUBSTITUTE(SUBSTITUTE(SUBSTITUTE(SUBSTITUTE(Клиенты_исходные!D107," ",""),"-",""),"+",""),"(",""),")",""))=11,"+7 ("&amp;MID(IF(LEFT(SUBSTITUTE(SUBSTITUTE(SUBSTITUTE(SUBSTITUTE(SUBSTITUTE(Клиенты_исходные!D107," ",""),"-",""),"+",""),"(",""),")",""))="8","7"&amp;MID(SUBSTITUTE(SUBSTITUTE(SUBSTITUTE(SUBSTITUTE(SUBSTITUTE(Клиенты_исходные!D107," ",""),"-",""),"+",""),"(",""),")",""),2,10),SUBSTITUTE(SUBSTITUTE(SUBSTITUTE(SUBSTITUTE(SUBSTITUTE(Клиенты_исходные!D107," ",""),"-",""),"+",""),"(",""),")","")),2,3)&amp;") "&amp;MID(IF(LEFT(SUBSTITUTE(SUBSTITUTE(SUBSTITUTE(SUBSTITUTE(SUBSTITUTE(Клиенты_исходные!D107," ",""),"-",""),"+",""),"(",""),")",""))="8","7"&amp;MID(SUBSTITUTE(SUBSTITUTE(SUBSTITUTE(SUBSTITUTE(SUBSTITUTE(Клиенты_исходные!D107," ",""),"-",""),"+",""),"(",""),")",""),2,10),SUBSTITUTE(SUBSTITUTE(SUBSTITUTE(SUBSTITUTE(SUBSTITUTE(Клиенты_исходные!D107," ",""),"-",""),"+",""),"(",""),")","")),5,3)&amp;"-"&amp;MID(IF(LEFT(SUBSTITUTE(SUBSTITUTE(SUBSTITUTE(SUBSTITUTE(SUBSTITUTE(Клиенты_исходные!D107," ",""),"-",""),"+",""),"(",""),")",""))="8","7"&amp;MID(SUBSTITUTE(SUBSTITUTE(SUBSTITUTE(SUBSTITUTE(SUBSTITUTE(Клиенты_исходные!D107," ",""),"-",""),"+",""),"(",""),")",""),2,10),SUBSTITUTE(SUBSTITUTE(SUBSTITUTE(SUBSTITUTE(SUBSTITUTE(Клиенты_исходные!D107," ",""),"-",""),"+",""),"(",""),")","")),8,2)&amp;"-"&amp;MID(IF(LEFT(SUBSTITUTE(SUBSTITUTE(SUBSTITUTE(SUBSTITUTE(SUBSTITUTE(Клиенты_исходные!D107," ",""),"-",""),"+",""),"(",""),")",""))="8","7"&amp;MID(SUBSTITUTE(SUBSTITUTE(SUBSTITUTE(SUBSTITUTE(SUBSTITUTE(Клиенты_исходные!D107," ",""),"-",""),"+",""),"(",""),")",""),2,10),SUBSTITUTE(SUBSTITUTE(SUBSTITUTE(SUBSTITUTE(SUBSTITUTE(Клиенты_исходные!D107," ",""),"-",""),"+",""),"(",""),")","")),10,2),IF(LEN(SUBSTITUTE(SUBSTITUTE(SUBSTITUTE(SUBSTITUTE(SUBSTITUTE(Клиенты_исходные!D107," ",""),"-",""),"+",""),"(",""),")",""))=10,"+7 ("&amp;MID(SUBSTITUTE(SUBSTITUTE(SUBSTITUTE(SUBSTITUTE(SUBSTITUTE(Клиенты_исходные!D107," ",""),"-",""),"+",""),"(",""),")",""),1,3)&amp;") "&amp;MID(SUBSTITUTE(SUBSTITUTE(SUBSTITUTE(SUBSTITUTE(SUBSTITUTE(Клиенты_исходные!D107," ",""),"-",""),"+",""),"(",""),")",""),4,3)&amp;"-"&amp;MID(SUBSTITUTE(SUBSTITUTE(SUBSTITUTE(SUBSTITUTE(SUBSTITUTE(Клиенты_исходные!D107," ",""),"-",""),"+",""),"(",""),")",""),6,2)&amp;"-"&amp;MID(SUBSTITUTE(SUBSTITUTE(SUBSTITUTE(SUBSTITUTE(SUBSTITUTE(Клиенты_исходные!D107," ",""),"-",""),"+",""),"(",""),")",""),8,2),Клиенты_исходные!D107)))</f>
        <v xml:space="preserve">+7 (903) 123-45-67</v>
      </c>
      <c r="F107" t="str">
        <f>IFERROR(VLOOKUP(Клиенты_исходные!F107,Справочники!$J$2:$K$50,2,FALSE),Клиенты_исходные!F107)</f>
        <v>Уфа</v>
      </c>
      <c r="G107" s="8">
        <f>IFERROR(IF(ISNUMBER(FIND(".",Клиенты_исходные!G107)),DATE(RIGHT(Клиенты_исходные!G107,4),MID(Клиенты_исходные!G107,4,2),LEFT(Клиенты_исходные!G107,2)),DATE(LEFT(Клиенты_исходные!G107,4),MID(Клиенты_исходные!G107,6,2),RIGHT(Клиенты_исходные!G107,2))),Клиенты_исходные!G107)</f>
        <v>45627</v>
      </c>
      <c r="H107">
        <f t="shared" ca="1" si="52"/>
        <v>42</v>
      </c>
      <c r="I107" t="str">
        <f t="shared" si="53"/>
        <v>OK</v>
      </c>
      <c r="J107" t="str">
        <f t="shared" si="54"/>
        <v xml:space="preserve">Ошибка Email</v>
      </c>
    </row>
    <row r="108">
      <c r="A108" t="str">
        <f>Клиенты_исходные!A108</f>
        <v>C0107</v>
      </c>
      <c r="B108" t="str">
        <f>PROPER(TRIM(Клиенты_исходные!B108))</f>
        <v xml:space="preserve">Панова Карина Александровна</v>
      </c>
      <c r="C108" s="8">
        <f>IFERROR(IF(ISNUMBER(FIND(".",Клиенты_исходные!C108)),DATE(RIGHT(Клиенты_исходные!C108,4),MID(Клиенты_исходные!C108,4,2),LEFT(Клиенты_исходные!C108,2)),DATE(LEFT(Клиенты_исходные!C108,4),MID(Клиенты_исходные!C108,6,2),RIGHT(Клиенты_исходные!C108,2))),Клиенты_исходные!C108)</f>
        <v>32952</v>
      </c>
      <c r="D108" t="str">
        <f>IF(ISBLANK(Клиенты_исходные!D108),"",IF(LEN(SUBSTITUTE(SUBSTITUTE(SUBSTITUTE(SUBSTITUTE(SUBSTITUTE(Клиенты_исходные!D108," ",""),"-",""),"+",""),"(",""),")",""))=11,"+7 ("&amp;MID(IF(LEFT(SUBSTITUTE(SUBSTITUTE(SUBSTITUTE(SUBSTITUTE(SUBSTITUTE(Клиенты_исходные!D108," ",""),"-",""),"+",""),"(",""),")",""))="8","7"&amp;MID(SUBSTITUTE(SUBSTITUTE(SUBSTITUTE(SUBSTITUTE(SUBSTITUTE(Клиенты_исходные!D108," ",""),"-",""),"+",""),"(",""),")",""),2,10),SUBSTITUTE(SUBSTITUTE(SUBSTITUTE(SUBSTITUTE(SUBSTITUTE(Клиенты_исходные!D108," ",""),"-",""),"+",""),"(",""),")","")),2,3)&amp;") "&amp;MID(IF(LEFT(SUBSTITUTE(SUBSTITUTE(SUBSTITUTE(SUBSTITUTE(SUBSTITUTE(Клиенты_исходные!D108," ",""),"-",""),"+",""),"(",""),")",""))="8","7"&amp;MID(SUBSTITUTE(SUBSTITUTE(SUBSTITUTE(SUBSTITUTE(SUBSTITUTE(Клиенты_исходные!D108," ",""),"-",""),"+",""),"(",""),")",""),2,10),SUBSTITUTE(SUBSTITUTE(SUBSTITUTE(SUBSTITUTE(SUBSTITUTE(Клиенты_исходные!D108," ",""),"-",""),"+",""),"(",""),")","")),5,3)&amp;"-"&amp;MID(IF(LEFT(SUBSTITUTE(SUBSTITUTE(SUBSTITUTE(SUBSTITUTE(SUBSTITUTE(Клиенты_исходные!D108," ",""),"-",""),"+",""),"(",""),")",""))="8","7"&amp;MID(SUBSTITUTE(SUBSTITUTE(SUBSTITUTE(SUBSTITUTE(SUBSTITUTE(Клиенты_исходные!D108," ",""),"-",""),"+",""),"(",""),")",""),2,10),SUBSTITUTE(SUBSTITUTE(SUBSTITUTE(SUBSTITUTE(SUBSTITUTE(Клиенты_исходные!D108," ",""),"-",""),"+",""),"(",""),")","")),8,2)&amp;"-"&amp;MID(IF(LEFT(SUBSTITUTE(SUBSTITUTE(SUBSTITUTE(SUBSTITUTE(SUBSTITUTE(Клиенты_исходные!D108," ",""),"-",""),"+",""),"(",""),")",""))="8","7"&amp;MID(SUBSTITUTE(SUBSTITUTE(SUBSTITUTE(SUBSTITUTE(SUBSTITUTE(Клиенты_исходные!D108," ",""),"-",""),"+",""),"(",""),")",""),2,10),SUBSTITUTE(SUBSTITUTE(SUBSTITUTE(SUBSTITUTE(SUBSTITUTE(Клиенты_исходные!D108," ",""),"-",""),"+",""),"(",""),")","")),10,2),IF(LEN(SUBSTITUTE(SUBSTITUTE(SUBSTITUTE(SUBSTITUTE(SUBSTITUTE(Клиенты_исходные!D108," ",""),"-",""),"+",""),"(",""),")",""))=10,"+7 ("&amp;MID(SUBSTITUTE(SUBSTITUTE(SUBSTITUTE(SUBSTITUTE(SUBSTITUTE(Клиенты_исходные!D108," ",""),"-",""),"+",""),"(",""),")",""),1,3)&amp;") "&amp;MID(SUBSTITUTE(SUBSTITUTE(SUBSTITUTE(SUBSTITUTE(SUBSTITUTE(Клиенты_исходные!D108," ",""),"-",""),"+",""),"(",""),")",""),4,3)&amp;"-"&amp;MID(SUBSTITUTE(SUBSTITUTE(SUBSTITUTE(SUBSTITUTE(SUBSTITUTE(Клиенты_исходные!D108," ",""),"-",""),"+",""),"(",""),")",""),6,2)&amp;"-"&amp;MID(SUBSTITUTE(SUBSTITUTE(SUBSTITUTE(SUBSTITUTE(SUBSTITUTE(Клиенты_исходные!D108," ",""),"-",""),"+",""),"(",""),")",""),8,2),Клиенты_исходные!D108)))</f>
        <v xml:space="preserve">+7 (903) 123-45-67</v>
      </c>
      <c r="F108" t="str">
        <f>IFERROR(VLOOKUP(Клиенты_исходные!F108,Справочники!$J$2:$K$50,2,FALSE),Клиенты_исходные!F108)</f>
        <v>Красноярск</v>
      </c>
      <c r="G108" s="8">
        <f>IFERROR(IF(ISNUMBER(FIND(".",Клиенты_исходные!G108)),DATE(RIGHT(Клиенты_исходные!G108,4),MID(Клиенты_исходные!G108,4,2),LEFT(Клиенты_исходные!G108,2)),DATE(LEFT(Клиенты_исходные!G108,4),MID(Клиенты_исходные!G108,6,2),RIGHT(Клиенты_исходные!G108,2))),Клиенты_исходные!G108)</f>
        <v>45636</v>
      </c>
      <c r="H108">
        <f t="shared" ca="1" si="52"/>
        <v>36</v>
      </c>
      <c r="I108" t="str">
        <f t="shared" si="53"/>
        <v>OK</v>
      </c>
      <c r="J108" t="str">
        <f t="shared" si="54"/>
        <v xml:space="preserve">Ошибка Email</v>
      </c>
    </row>
    <row r="109">
      <c r="A109" t="str">
        <f>Клиенты_исходные!A109</f>
        <v>C0108</v>
      </c>
      <c r="B109" t="str">
        <f>PROPER(TRIM(Клиенты_исходные!B109))</f>
        <v xml:space="preserve">Шевченко Тимофей Олегович</v>
      </c>
      <c r="C109" s="8">
        <f>IFERROR(IF(ISNUMBER(FIND(".",Клиенты_исходные!C109)),DATE(RIGHT(Клиенты_исходные!C109,4),MID(Клиенты_исходные!C109,4,2),LEFT(Клиенты_исходные!C109,2)),DATE(LEFT(Клиенты_исходные!C109,4),MID(Клиенты_исходные!C109,6,2),RIGHT(Клиенты_исходные!C109,2))),Клиенты_исходные!C109)</f>
        <v>27692</v>
      </c>
      <c r="D109" t="str">
        <f>IF(ISBLANK(Клиенты_исходные!D109),"",IF(LEN(SUBSTITUTE(SUBSTITUTE(SUBSTITUTE(SUBSTITUTE(SUBSTITUTE(Клиенты_исходные!D109," ",""),"-",""),"+",""),"(",""),")",""))=11,"+7 ("&amp;MID(IF(LEFT(SUBSTITUTE(SUBSTITUTE(SUBSTITUTE(SUBSTITUTE(SUBSTITUTE(Клиенты_исходные!D109," ",""),"-",""),"+",""),"(",""),")",""))="8","7"&amp;MID(SUBSTITUTE(SUBSTITUTE(SUBSTITUTE(SUBSTITUTE(SUBSTITUTE(Клиенты_исходные!D109," ",""),"-",""),"+",""),"(",""),")",""),2,10),SUBSTITUTE(SUBSTITUTE(SUBSTITUTE(SUBSTITUTE(SUBSTITUTE(Клиенты_исходные!D109," ",""),"-",""),"+",""),"(",""),")","")),2,3)&amp;") "&amp;MID(IF(LEFT(SUBSTITUTE(SUBSTITUTE(SUBSTITUTE(SUBSTITUTE(SUBSTITUTE(Клиенты_исходные!D109," ",""),"-",""),"+",""),"(",""),")",""))="8","7"&amp;MID(SUBSTITUTE(SUBSTITUTE(SUBSTITUTE(SUBSTITUTE(SUBSTITUTE(Клиенты_исходные!D109," ",""),"-",""),"+",""),"(",""),")",""),2,10),SUBSTITUTE(SUBSTITUTE(SUBSTITUTE(SUBSTITUTE(SUBSTITUTE(Клиенты_исходные!D109," ",""),"-",""),"+",""),"(",""),")","")),5,3)&amp;"-"&amp;MID(IF(LEFT(SUBSTITUTE(SUBSTITUTE(SUBSTITUTE(SUBSTITUTE(SUBSTITUTE(Клиенты_исходные!D109," ",""),"-",""),"+",""),"(",""),")",""))="8","7"&amp;MID(SUBSTITUTE(SUBSTITUTE(SUBSTITUTE(SUBSTITUTE(SUBSTITUTE(Клиенты_исходные!D109," ",""),"-",""),"+",""),"(",""),")",""),2,10),SUBSTITUTE(SUBSTITUTE(SUBSTITUTE(SUBSTITUTE(SUBSTITUTE(Клиенты_исходные!D109," ",""),"-",""),"+",""),"(",""),")","")),8,2)&amp;"-"&amp;MID(IF(LEFT(SUBSTITUTE(SUBSTITUTE(SUBSTITUTE(SUBSTITUTE(SUBSTITUTE(Клиенты_исходные!D109," ",""),"-",""),"+",""),"(",""),")",""))="8","7"&amp;MID(SUBSTITUTE(SUBSTITUTE(SUBSTITUTE(SUBSTITUTE(SUBSTITUTE(Клиенты_исходные!D109," ",""),"-",""),"+",""),"(",""),")",""),2,10),SUBSTITUTE(SUBSTITUTE(SUBSTITUTE(SUBSTITUTE(SUBSTITUTE(Клиенты_исходные!D109," ",""),"-",""),"+",""),"(",""),")","")),10,2),IF(LEN(SUBSTITUTE(SUBSTITUTE(SUBSTITUTE(SUBSTITUTE(SUBSTITUTE(Клиенты_исходные!D109," ",""),"-",""),"+",""),"(",""),")",""))=10,"+7 ("&amp;MID(SUBSTITUTE(SUBSTITUTE(SUBSTITUTE(SUBSTITUTE(SUBSTITUTE(Клиенты_исходные!D109," ",""),"-",""),"+",""),"(",""),")",""),1,3)&amp;") "&amp;MID(SUBSTITUTE(SUBSTITUTE(SUBSTITUTE(SUBSTITUTE(SUBSTITUTE(Клиенты_исходные!D109," ",""),"-",""),"+",""),"(",""),")",""),4,3)&amp;"-"&amp;MID(SUBSTITUTE(SUBSTITUTE(SUBSTITUTE(SUBSTITUTE(SUBSTITUTE(Клиенты_исходные!D109," ",""),"-",""),"+",""),"(",""),")",""),6,2)&amp;"-"&amp;MID(SUBSTITUTE(SUBSTITUTE(SUBSTITUTE(SUBSTITUTE(SUBSTITUTE(Клиенты_исходные!D109," ",""),"-",""),"+",""),"(",""),")",""),8,2),Клиенты_исходные!D109)))</f>
        <v xml:space="preserve">+7 (903) 234-56-78</v>
      </c>
      <c r="F109" t="str">
        <f>IFERROR(VLOOKUP(Клиенты_исходные!F109,Справочники!$J$2:$K$50,2,FALSE),Клиенты_исходные!F109)</f>
        <v>Волгоград</v>
      </c>
      <c r="G109" s="8">
        <f>IFERROR(IF(ISNUMBER(FIND(".",Клиенты_исходные!G109)),DATE(RIGHT(Клиенты_исходные!G109,4),MID(Клиенты_исходные!G109,4,2),LEFT(Клиенты_исходные!G109,2)),DATE(LEFT(Клиенты_исходные!G109,4),MID(Клиенты_исходные!G109,6,2),RIGHT(Клиенты_исходные!G109,2))),Клиенты_исходные!G109)</f>
        <v>45636</v>
      </c>
      <c r="H109">
        <f t="shared" ca="1" si="52"/>
        <v>50</v>
      </c>
      <c r="I109" t="str">
        <f t="shared" si="53"/>
        <v>OK</v>
      </c>
      <c r="J109" t="str">
        <f t="shared" si="54"/>
        <v xml:space="preserve">Ошибка Email</v>
      </c>
    </row>
    <row r="110">
      <c r="A110" t="str">
        <f>Клиенты_исходные!A110</f>
        <v>C0109</v>
      </c>
      <c r="B110" t="str">
        <f>PROPER(TRIM(Клиенты_исходные!B110))</f>
        <v xml:space="preserve">Титова Ника Павловна</v>
      </c>
      <c r="C110" s="8">
        <f>IFERROR(IF(ISNUMBER(FIND(".",Клиенты_исходные!C110)),DATE(RIGHT(Клиенты_исходные!C110,4),MID(Клиенты_исходные!C110,4,2),LEFT(Клиенты_исходные!C110,2)),DATE(LEFT(Клиенты_исходные!C110,4),MID(Клиенты_исходные!C110,6,2),RIGHT(Клиенты_исходные!C110,2))),Клиенты_исходные!C110)</f>
        <v>30198</v>
      </c>
      <c r="D110" t="str">
        <f>IF(ISBLANK(Клиенты_исходные!D110),"",IF(LEN(SUBSTITUTE(SUBSTITUTE(SUBSTITUTE(SUBSTITUTE(SUBSTITUTE(Клиенты_исходные!D110," ",""),"-",""),"+",""),"(",""),")",""))=11,"+7 ("&amp;MID(IF(LEFT(SUBSTITUTE(SUBSTITUTE(SUBSTITUTE(SUBSTITUTE(SUBSTITUTE(Клиенты_исходные!D110," ",""),"-",""),"+",""),"(",""),")",""))="8","7"&amp;MID(SUBSTITUTE(SUBSTITUTE(SUBSTITUTE(SUBSTITUTE(SUBSTITUTE(Клиенты_исходные!D110," ",""),"-",""),"+",""),"(",""),")",""),2,10),SUBSTITUTE(SUBSTITUTE(SUBSTITUTE(SUBSTITUTE(SUBSTITUTE(Клиенты_исходные!D110," ",""),"-",""),"+",""),"(",""),")","")),2,3)&amp;") "&amp;MID(IF(LEFT(SUBSTITUTE(SUBSTITUTE(SUBSTITUTE(SUBSTITUTE(SUBSTITUTE(Клиенты_исходные!D110," ",""),"-",""),"+",""),"(",""),")",""))="8","7"&amp;MID(SUBSTITUTE(SUBSTITUTE(SUBSTITUTE(SUBSTITUTE(SUBSTITUTE(Клиенты_исходные!D110," ",""),"-",""),"+",""),"(",""),")",""),2,10),SUBSTITUTE(SUBSTITUTE(SUBSTITUTE(SUBSTITUTE(SUBSTITUTE(Клиенты_исходные!D110," ",""),"-",""),"+",""),"(",""),")","")),5,3)&amp;"-"&amp;MID(IF(LEFT(SUBSTITUTE(SUBSTITUTE(SUBSTITUTE(SUBSTITUTE(SUBSTITUTE(Клиенты_исходные!D110," ",""),"-",""),"+",""),"(",""),")",""))="8","7"&amp;MID(SUBSTITUTE(SUBSTITUTE(SUBSTITUTE(SUBSTITUTE(SUBSTITUTE(Клиенты_исходные!D110," ",""),"-",""),"+",""),"(",""),")",""),2,10),SUBSTITUTE(SUBSTITUTE(SUBSTITUTE(SUBSTITUTE(SUBSTITUTE(Клиенты_исходные!D110," ",""),"-",""),"+",""),"(",""),")","")),8,2)&amp;"-"&amp;MID(IF(LEFT(SUBSTITUTE(SUBSTITUTE(SUBSTITUTE(SUBSTITUTE(SUBSTITUTE(Клиенты_исходные!D110," ",""),"-",""),"+",""),"(",""),")",""))="8","7"&amp;MID(SUBSTITUTE(SUBSTITUTE(SUBSTITUTE(SUBSTITUTE(SUBSTITUTE(Клиенты_исходные!D110," ",""),"-",""),"+",""),"(",""),")",""),2,10),SUBSTITUTE(SUBSTITUTE(SUBSTITUTE(SUBSTITUTE(SUBSTITUTE(Клиенты_исходные!D110," ",""),"-",""),"+",""),"(",""),")","")),10,2),IF(LEN(SUBSTITUTE(SUBSTITUTE(SUBSTITUTE(SUBSTITUTE(SUBSTITUTE(Клиенты_исходные!D110," ",""),"-",""),"+",""),"(",""),")",""))=10,"+7 ("&amp;MID(SUBSTITUTE(SUBSTITUTE(SUBSTITUTE(SUBSTITUTE(SUBSTITUTE(Клиенты_исходные!D110," ",""),"-",""),"+",""),"(",""),")",""),1,3)&amp;") "&amp;MID(SUBSTITUTE(SUBSTITUTE(SUBSTITUTE(SUBSTITUTE(SUBSTITUTE(Клиенты_исходные!D110," ",""),"-",""),"+",""),"(",""),")",""),4,3)&amp;"-"&amp;MID(SUBSTITUTE(SUBSTITUTE(SUBSTITUTE(SUBSTITUTE(SUBSTITUTE(Клиенты_исходные!D110," ",""),"-",""),"+",""),"(",""),")",""),6,2)&amp;"-"&amp;MID(SUBSTITUTE(SUBSTITUTE(SUBSTITUTE(SUBSTITUTE(SUBSTITUTE(Клиенты_исходные!D110," ",""),"-",""),"+",""),"(",""),")",""),8,2),Клиенты_исходные!D110)))</f>
        <v xml:space="preserve">+7 (903) 234-56-78</v>
      </c>
      <c r="F110" t="str">
        <f>IFERROR(VLOOKUP(Клиенты_исходные!F110,Справочники!$J$2:$K$50,2,FALSE),Клиенты_исходные!F110)</f>
        <v>Воронеж</v>
      </c>
      <c r="G110" s="8">
        <f>IFERROR(IF(ISNUMBER(FIND(".",Клиенты_исходные!G110)),DATE(RIGHT(Клиенты_исходные!G110,4),MID(Клиенты_исходные!G110,4,2),LEFT(Клиенты_исходные!G110,2)),DATE(LEFT(Клиенты_исходные!G110,4),MID(Клиенты_исходные!G110,6,2),RIGHT(Клиенты_исходные!G110,2))),Клиенты_исходные!G110)</f>
        <v>45658</v>
      </c>
      <c r="H110">
        <f t="shared" ca="1" si="52"/>
        <v>44</v>
      </c>
      <c r="I110" t="str">
        <f t="shared" si="53"/>
        <v>OK</v>
      </c>
      <c r="J110" t="str">
        <f t="shared" si="54"/>
        <v xml:space="preserve">Ошибка Email</v>
      </c>
    </row>
    <row r="111">
      <c r="A111" t="str">
        <f>Клиенты_исходные!A111</f>
        <v>C0110</v>
      </c>
      <c r="B111" t="str">
        <f>PROPER(TRIM(Клиенты_исходные!B111))</f>
        <v xml:space="preserve">Федотов Илья Степанович</v>
      </c>
      <c r="C111" s="8">
        <f>IFERROR(IF(ISNUMBER(FIND(".",Клиенты_исходные!C111)),DATE(RIGHT(Клиенты_исходные!C111,4),MID(Клиенты_исходные!C111,4,2),LEFT(Клиенты_исходные!C111,2)),DATE(LEFT(Клиенты_исходные!C111,4),MID(Клиенты_исходные!C111,6,2),RIGHT(Клиенты_исходные!C111,2))),Клиенты_исходные!C111)</f>
        <v>34868</v>
      </c>
      <c r="D111" t="str">
        <f>IF(ISBLANK(Клиенты_исходные!D111),"",IF(LEN(SUBSTITUTE(SUBSTITUTE(SUBSTITUTE(SUBSTITUTE(SUBSTITUTE(Клиенты_исходные!D111," ",""),"-",""),"+",""),"(",""),")",""))=11,"+7 ("&amp;MID(IF(LEFT(SUBSTITUTE(SUBSTITUTE(SUBSTITUTE(SUBSTITUTE(SUBSTITUTE(Клиенты_исходные!D111," ",""),"-",""),"+",""),"(",""),")",""))="8","7"&amp;MID(SUBSTITUTE(SUBSTITUTE(SUBSTITUTE(SUBSTITUTE(SUBSTITUTE(Клиенты_исходные!D111," ",""),"-",""),"+",""),"(",""),")",""),2,10),SUBSTITUTE(SUBSTITUTE(SUBSTITUTE(SUBSTITUTE(SUBSTITUTE(Клиенты_исходные!D111," ",""),"-",""),"+",""),"(",""),")","")),2,3)&amp;") "&amp;MID(IF(LEFT(SUBSTITUTE(SUBSTITUTE(SUBSTITUTE(SUBSTITUTE(SUBSTITUTE(Клиенты_исходные!D111," ",""),"-",""),"+",""),"(",""),")",""))="8","7"&amp;MID(SUBSTITUTE(SUBSTITUTE(SUBSTITUTE(SUBSTITUTE(SUBSTITUTE(Клиенты_исходные!D111," ",""),"-",""),"+",""),"(",""),")",""),2,10),SUBSTITUTE(SUBSTITUTE(SUBSTITUTE(SUBSTITUTE(SUBSTITUTE(Клиенты_исходные!D111," ",""),"-",""),"+",""),"(",""),")","")),5,3)&amp;"-"&amp;MID(IF(LEFT(SUBSTITUTE(SUBSTITUTE(SUBSTITUTE(SUBSTITUTE(SUBSTITUTE(Клиенты_исходные!D111," ",""),"-",""),"+",""),"(",""),")",""))="8","7"&amp;MID(SUBSTITUTE(SUBSTITUTE(SUBSTITUTE(SUBSTITUTE(SUBSTITUTE(Клиенты_исходные!D111," ",""),"-",""),"+",""),"(",""),")",""),2,10),SUBSTITUTE(SUBSTITUTE(SUBSTITUTE(SUBSTITUTE(SUBSTITUTE(Клиенты_исходные!D111," ",""),"-",""),"+",""),"(",""),")","")),8,2)&amp;"-"&amp;MID(IF(LEFT(SUBSTITUTE(SUBSTITUTE(SUBSTITUTE(SUBSTITUTE(SUBSTITUTE(Клиенты_исходные!D111," ",""),"-",""),"+",""),"(",""),")",""))="8","7"&amp;MID(SUBSTITUTE(SUBSTITUTE(SUBSTITUTE(SUBSTITUTE(SUBSTITUTE(Клиенты_исходные!D111," ",""),"-",""),"+",""),"(",""),")",""),2,10),SUBSTITUTE(SUBSTITUTE(SUBSTITUTE(SUBSTITUTE(SUBSTITUTE(Клиенты_исходные!D111," ",""),"-",""),"+",""),"(",""),")","")),10,2),IF(LEN(SUBSTITUTE(SUBSTITUTE(SUBSTITUTE(SUBSTITUTE(SUBSTITUTE(Клиенты_исходные!D111," ",""),"-",""),"+",""),"(",""),")",""))=10,"+7 ("&amp;MID(SUBSTITUTE(SUBSTITUTE(SUBSTITUTE(SUBSTITUTE(SUBSTITUTE(Клиенты_исходные!D111," ",""),"-",""),"+",""),"(",""),")",""),1,3)&amp;") "&amp;MID(SUBSTITUTE(SUBSTITUTE(SUBSTITUTE(SUBSTITUTE(SUBSTITUTE(Клиенты_исходные!D111," ",""),"-",""),"+",""),"(",""),")",""),4,3)&amp;"-"&amp;MID(SUBSTITUTE(SUBSTITUTE(SUBSTITUTE(SUBSTITUTE(SUBSTITUTE(Клиенты_исходные!D111," ",""),"-",""),"+",""),"(",""),")",""),6,2)&amp;"-"&amp;MID(SUBSTITUTE(SUBSTITUTE(SUBSTITUTE(SUBSTITUTE(SUBSTITUTE(Клиенты_исходные!D111," ",""),"-",""),"+",""),"(",""),")",""),8,2),Клиенты_исходные!D111)))</f>
        <v xml:space="preserve">+7 (903) 234-56-78</v>
      </c>
      <c r="F111" t="str">
        <f>IFERROR(VLOOKUP(Клиенты_исходные!F111,Справочники!$J$2:$K$50,2,FALSE),Клиенты_исходные!F111)</f>
        <v xml:space="preserve">Нижний Новгород</v>
      </c>
      <c r="G111" s="8">
        <f>IFERROR(IF(ISNUMBER(FIND(".",Клиенты_исходные!G111)),DATE(RIGHT(Клиенты_исходные!G111,4),MID(Клиенты_исходные!G111,4,2),LEFT(Клиенты_исходные!G111,2)),DATE(LEFT(Клиенты_исходные!G111,4),MID(Клиенты_исходные!G111,6,2),RIGHT(Клиенты_исходные!G111,2))),Клиенты_исходные!G111)</f>
        <v>45672</v>
      </c>
      <c r="H111">
        <f t="shared" ca="1" si="52"/>
        <v>31</v>
      </c>
      <c r="I111" t="str">
        <f t="shared" si="53"/>
        <v>OK</v>
      </c>
      <c r="J111" t="str">
        <f t="shared" si="54"/>
        <v xml:space="preserve">Ошибка Email</v>
      </c>
    </row>
    <row r="112">
      <c r="A112" t="str">
        <f>Клиенты_исходные!A112</f>
        <v>C0111</v>
      </c>
      <c r="B112" t="str">
        <f>PROPER(TRIM(Клиенты_исходные!B112))</f>
        <v xml:space="preserve">Захарова Елизавета Максимовна</v>
      </c>
      <c r="C112" s="8">
        <f>IFERROR(IF(ISNUMBER(FIND(".",Клиенты_исходные!C112)),DATE(RIGHT(Клиенты_исходные!C112,4),MID(Клиенты_исходные!C112,4,2),LEFT(Клиенты_исходные!C112,2)),DATE(LEFT(Клиенты_исходные!C112,4),MID(Клиенты_исходные!C112,6,2),RIGHT(Клиенты_исходные!C112,2))),Клиенты_исходные!C112)</f>
        <v>25991</v>
      </c>
      <c r="D112" t="str">
        <f>IF(ISBLANK(Клиенты_исходные!D112),"",IF(LEN(SUBSTITUTE(SUBSTITUTE(SUBSTITUTE(SUBSTITUTE(SUBSTITUTE(Клиенты_исходные!D112," ",""),"-",""),"+",""),"(",""),")",""))=11,"+7 ("&amp;MID(IF(LEFT(SUBSTITUTE(SUBSTITUTE(SUBSTITUTE(SUBSTITUTE(SUBSTITUTE(Клиенты_исходные!D112," ",""),"-",""),"+",""),"(",""),")",""))="8","7"&amp;MID(SUBSTITUTE(SUBSTITUTE(SUBSTITUTE(SUBSTITUTE(SUBSTITUTE(Клиенты_исходные!D112," ",""),"-",""),"+",""),"(",""),")",""),2,10),SUBSTITUTE(SUBSTITUTE(SUBSTITUTE(SUBSTITUTE(SUBSTITUTE(Клиенты_исходные!D112," ",""),"-",""),"+",""),"(",""),")","")),2,3)&amp;") "&amp;MID(IF(LEFT(SUBSTITUTE(SUBSTITUTE(SUBSTITUTE(SUBSTITUTE(SUBSTITUTE(Клиенты_исходные!D112," ",""),"-",""),"+",""),"(",""),")",""))="8","7"&amp;MID(SUBSTITUTE(SUBSTITUTE(SUBSTITUTE(SUBSTITUTE(SUBSTITUTE(Клиенты_исходные!D112," ",""),"-",""),"+",""),"(",""),")",""),2,10),SUBSTITUTE(SUBSTITUTE(SUBSTITUTE(SUBSTITUTE(SUBSTITUTE(Клиенты_исходные!D112," ",""),"-",""),"+",""),"(",""),")","")),5,3)&amp;"-"&amp;MID(IF(LEFT(SUBSTITUTE(SUBSTITUTE(SUBSTITUTE(SUBSTITUTE(SUBSTITUTE(Клиенты_исходные!D112," ",""),"-",""),"+",""),"(",""),")",""))="8","7"&amp;MID(SUBSTITUTE(SUBSTITUTE(SUBSTITUTE(SUBSTITUTE(SUBSTITUTE(Клиенты_исходные!D112," ",""),"-",""),"+",""),"(",""),")",""),2,10),SUBSTITUTE(SUBSTITUTE(SUBSTITUTE(SUBSTITUTE(SUBSTITUTE(Клиенты_исходные!D112," ",""),"-",""),"+",""),"(",""),")","")),8,2)&amp;"-"&amp;MID(IF(LEFT(SUBSTITUTE(SUBSTITUTE(SUBSTITUTE(SUBSTITUTE(SUBSTITUTE(Клиенты_исходные!D112," ",""),"-",""),"+",""),"(",""),")",""))="8","7"&amp;MID(SUBSTITUTE(SUBSTITUTE(SUBSTITUTE(SUBSTITUTE(SUBSTITUTE(Клиенты_исходные!D112," ",""),"-",""),"+",""),"(",""),")",""),2,10),SUBSTITUTE(SUBSTITUTE(SUBSTITUTE(SUBSTITUTE(SUBSTITUTE(Клиенты_исходные!D112," ",""),"-",""),"+",""),"(",""),")","")),10,2),IF(LEN(SUBSTITUTE(SUBSTITUTE(SUBSTITUTE(SUBSTITUTE(SUBSTITUTE(Клиенты_исходные!D112," ",""),"-",""),"+",""),"(",""),")",""))=10,"+7 ("&amp;MID(SUBSTITUTE(SUBSTITUTE(SUBSTITUTE(SUBSTITUTE(SUBSTITUTE(Клиенты_исходные!D112," ",""),"-",""),"+",""),"(",""),")",""),1,3)&amp;") "&amp;MID(SUBSTITUTE(SUBSTITUTE(SUBSTITUTE(SUBSTITUTE(SUBSTITUTE(Клиенты_исходные!D112," ",""),"-",""),"+",""),"(",""),")",""),4,3)&amp;"-"&amp;MID(SUBSTITUTE(SUBSTITUTE(SUBSTITUTE(SUBSTITUTE(SUBSTITUTE(Клиенты_исходные!D112," ",""),"-",""),"+",""),"(",""),")",""),6,2)&amp;"-"&amp;MID(SUBSTITUTE(SUBSTITUTE(SUBSTITUTE(SUBSTITUTE(SUBSTITUTE(Клиенты_исходные!D112," ",""),"-",""),"+",""),"(",""),")",""),8,2),Клиенты_исходные!D112)))</f>
        <v xml:space="preserve">+7 (903) 345-67-89</v>
      </c>
      <c r="F112" t="str">
        <f>IFERROR(VLOOKUP(Клиенты_исходные!F112,Справочники!$J$2:$K$50,2,FALSE),Клиенты_исходные!F112)</f>
        <v>Новосибирск</v>
      </c>
      <c r="G112" s="8">
        <f>IFERROR(IF(ISNUMBER(FIND(".",Клиенты_исходные!G112)),DATE(RIGHT(Клиенты_исходные!G112,4),MID(Клиенты_исходные!G112,4,2),LEFT(Клиенты_исходные!G112,2)),DATE(LEFT(Клиенты_исходные!G112,4),MID(Клиенты_исходные!G112,6,2),RIGHT(Клиенты_исходные!G112,2))),Клиенты_исходные!G112)</f>
        <v>45672</v>
      </c>
      <c r="H112">
        <f t="shared" ca="1" si="52"/>
        <v>55</v>
      </c>
      <c r="I112" t="str">
        <f t="shared" si="53"/>
        <v>OK</v>
      </c>
      <c r="J112" t="str">
        <f t="shared" si="54"/>
        <v xml:space="preserve">Ошибка Email</v>
      </c>
    </row>
    <row r="113">
      <c r="A113" t="str">
        <f>Клиенты_исходные!A113</f>
        <v>C0112</v>
      </c>
      <c r="B113" t="str">
        <f>PROPER(TRIM(Клиенты_исходные!B113))</f>
        <v xml:space="preserve">Беляева Мария Сергеевна</v>
      </c>
      <c r="C113" s="8">
        <f>IFERROR(IF(ISNUMBER(FIND(".",Клиенты_исходные!C113)),DATE(RIGHT(Клиенты_исходные!C113,4),MID(Клиенты_исходные!C113,4,2),LEFT(Клиенты_исходные!C113,2)),DATE(LEFT(Клиенты_исходные!C113,4),MID(Клиенты_исходные!C113,6,2),RIGHT(Клиенты_исходные!C113,2))),Клиенты_исходные!C113)</f>
        <v>30995</v>
      </c>
      <c r="D113" t="str">
        <f>IF(ISBLANK(Клиенты_исходные!D113),"",IF(LEN(SUBSTITUTE(SUBSTITUTE(SUBSTITUTE(SUBSTITUTE(SUBSTITUTE(Клиенты_исходные!D113," ",""),"-",""),"+",""),"(",""),")",""))=11,"+7 ("&amp;MID(IF(LEFT(SUBSTITUTE(SUBSTITUTE(SUBSTITUTE(SUBSTITUTE(SUBSTITUTE(Клиенты_исходные!D113," ",""),"-",""),"+",""),"(",""),")",""))="8","7"&amp;MID(SUBSTITUTE(SUBSTITUTE(SUBSTITUTE(SUBSTITUTE(SUBSTITUTE(Клиенты_исходные!D113," ",""),"-",""),"+",""),"(",""),")",""),2,10),SUBSTITUTE(SUBSTITUTE(SUBSTITUTE(SUBSTITUTE(SUBSTITUTE(Клиенты_исходные!D113," ",""),"-",""),"+",""),"(",""),")","")),2,3)&amp;") "&amp;MID(IF(LEFT(SUBSTITUTE(SUBSTITUTE(SUBSTITUTE(SUBSTITUTE(SUBSTITUTE(Клиенты_исходные!D113," ",""),"-",""),"+",""),"(",""),")",""))="8","7"&amp;MID(SUBSTITUTE(SUBSTITUTE(SUBSTITUTE(SUBSTITUTE(SUBSTITUTE(Клиенты_исходные!D113," ",""),"-",""),"+",""),"(",""),")",""),2,10),SUBSTITUTE(SUBSTITUTE(SUBSTITUTE(SUBSTITUTE(SUBSTITUTE(Клиенты_исходные!D113," ",""),"-",""),"+",""),"(",""),")","")),5,3)&amp;"-"&amp;MID(IF(LEFT(SUBSTITUTE(SUBSTITUTE(SUBSTITUTE(SUBSTITUTE(SUBSTITUTE(Клиенты_исходные!D113," ",""),"-",""),"+",""),"(",""),")",""))="8","7"&amp;MID(SUBSTITUTE(SUBSTITUTE(SUBSTITUTE(SUBSTITUTE(SUBSTITUTE(Клиенты_исходные!D113," ",""),"-",""),"+",""),"(",""),")",""),2,10),SUBSTITUTE(SUBSTITUTE(SUBSTITUTE(SUBSTITUTE(SUBSTITUTE(Клиенты_исходные!D113," ",""),"-",""),"+",""),"(",""),")","")),8,2)&amp;"-"&amp;MID(IF(LEFT(SUBSTITUTE(SUBSTITUTE(SUBSTITUTE(SUBSTITUTE(SUBSTITUTE(Клиенты_исходные!D113," ",""),"-",""),"+",""),"(",""),")",""))="8","7"&amp;MID(SUBSTITUTE(SUBSTITUTE(SUBSTITUTE(SUBSTITUTE(SUBSTITUTE(Клиенты_исходные!D113," ",""),"-",""),"+",""),"(",""),")",""),2,10),SUBSTITUTE(SUBSTITUTE(SUBSTITUTE(SUBSTITUTE(SUBSTITUTE(Клиенты_исходные!D113," ",""),"-",""),"+",""),"(",""),")","")),10,2),IF(LEN(SUBSTITUTE(SUBSTITUTE(SUBSTITUTE(SUBSTITUTE(SUBSTITUTE(Клиенты_исходные!D113," ",""),"-",""),"+",""),"(",""),")",""))=10,"+7 ("&amp;MID(SUBSTITUTE(SUBSTITUTE(SUBSTITUTE(SUBSTITUTE(SUBSTITUTE(Клиенты_исходные!D113," ",""),"-",""),"+",""),"(",""),")",""),1,3)&amp;") "&amp;MID(SUBSTITUTE(SUBSTITUTE(SUBSTITUTE(SUBSTITUTE(SUBSTITUTE(Клиенты_исходные!D113," ",""),"-",""),"+",""),"(",""),")",""),4,3)&amp;"-"&amp;MID(SUBSTITUTE(SUBSTITUTE(SUBSTITUTE(SUBSTITUTE(SUBSTITUTE(Клиенты_исходные!D113," ",""),"-",""),"+",""),"(",""),")",""),6,2)&amp;"-"&amp;MID(SUBSTITUTE(SUBSTITUTE(SUBSTITUTE(SUBSTITUTE(SUBSTITUTE(Клиенты_исходные!D113," ",""),"-",""),"+",""),"(",""),")",""),8,2),Клиенты_исходные!D113)))</f>
        <v xml:space="preserve">+7 (903) 345-67-89</v>
      </c>
      <c r="F113" t="str">
        <f>IFERROR(VLOOKUP(Клиенты_исходные!F113,Справочники!$J$2:$K$50,2,FALSE),Клиенты_исходные!F113)</f>
        <v>Екатеринбург</v>
      </c>
      <c r="G113" s="8">
        <f>IFERROR(IF(ISNUMBER(FIND(".",Клиенты_исходные!G113)),DATE(RIGHT(Клиенты_исходные!G113,4),MID(Клиенты_исходные!G113,4,2),LEFT(Клиенты_исходные!G113,2)),DATE(LEFT(Клиенты_исходные!G113,4),MID(Клиенты_исходные!G113,6,2),RIGHT(Клиенты_исходные!G113,2))),Клиенты_исходные!G113)</f>
        <v>45689</v>
      </c>
      <c r="H113">
        <f t="shared" ca="1" si="52"/>
        <v>41</v>
      </c>
      <c r="I113" t="str">
        <f t="shared" si="53"/>
        <v>OK</v>
      </c>
      <c r="J113" t="str">
        <f t="shared" si="54"/>
        <v xml:space="preserve">Ошибка Email</v>
      </c>
    </row>
    <row r="114">
      <c r="A114" t="str">
        <f>Клиенты_исходные!A114</f>
        <v>C0113</v>
      </c>
      <c r="B114" t="str">
        <f>PROPER(TRIM(Клиенты_исходные!B114))</f>
        <v xml:space="preserve">Новиков Петр Дмитриевич</v>
      </c>
      <c r="C114" s="8">
        <f>IFERROR(IF(ISNUMBER(FIND(".",Клиенты_исходные!C114)),DATE(RIGHT(Клиенты_исходные!C114,4),MID(Клиенты_исходные!C114,4,2),LEFT(Клиенты_исходные!C114,2)),DATE(LEFT(Клиенты_исходные!C114,4),MID(Клиенты_исходные!C114,6,2),RIGHT(Клиенты_исходные!C114,2))),Клиенты_исходные!C114)</f>
        <v>33800</v>
      </c>
      <c r="D114" t="str">
        <f>IF(ISBLANK(Клиенты_исходные!D114),"",IF(LEN(SUBSTITUTE(SUBSTITUTE(SUBSTITUTE(SUBSTITUTE(SUBSTITUTE(Клиенты_исходные!D114," ",""),"-",""),"+",""),"(",""),")",""))=11,"+7 ("&amp;MID(IF(LEFT(SUBSTITUTE(SUBSTITUTE(SUBSTITUTE(SUBSTITUTE(SUBSTITUTE(Клиенты_исходные!D114," ",""),"-",""),"+",""),"(",""),")",""))="8","7"&amp;MID(SUBSTITUTE(SUBSTITUTE(SUBSTITUTE(SUBSTITUTE(SUBSTITUTE(Клиенты_исходные!D114," ",""),"-",""),"+",""),"(",""),")",""),2,10),SUBSTITUTE(SUBSTITUTE(SUBSTITUTE(SUBSTITUTE(SUBSTITUTE(Клиенты_исходные!D114," ",""),"-",""),"+",""),"(",""),")","")),2,3)&amp;") "&amp;MID(IF(LEFT(SUBSTITUTE(SUBSTITUTE(SUBSTITUTE(SUBSTITUTE(SUBSTITUTE(Клиенты_исходные!D114," ",""),"-",""),"+",""),"(",""),")",""))="8","7"&amp;MID(SUBSTITUTE(SUBSTITUTE(SUBSTITUTE(SUBSTITUTE(SUBSTITUTE(Клиенты_исходные!D114," ",""),"-",""),"+",""),"(",""),")",""),2,10),SUBSTITUTE(SUBSTITUTE(SUBSTITUTE(SUBSTITUTE(SUBSTITUTE(Клиенты_исходные!D114," ",""),"-",""),"+",""),"(",""),")","")),5,3)&amp;"-"&amp;MID(IF(LEFT(SUBSTITUTE(SUBSTITUTE(SUBSTITUTE(SUBSTITUTE(SUBSTITUTE(Клиенты_исходные!D114," ",""),"-",""),"+",""),"(",""),")",""))="8","7"&amp;MID(SUBSTITUTE(SUBSTITUTE(SUBSTITUTE(SUBSTITUTE(SUBSTITUTE(Клиенты_исходные!D114," ",""),"-",""),"+",""),"(",""),")",""),2,10),SUBSTITUTE(SUBSTITUTE(SUBSTITUTE(SUBSTITUTE(SUBSTITUTE(Клиенты_исходные!D114," ",""),"-",""),"+",""),"(",""),")","")),8,2)&amp;"-"&amp;MID(IF(LEFT(SUBSTITUTE(SUBSTITUTE(SUBSTITUTE(SUBSTITUTE(SUBSTITUTE(Клиенты_исходные!D114," ",""),"-",""),"+",""),"(",""),")",""))="8","7"&amp;MID(SUBSTITUTE(SUBSTITUTE(SUBSTITUTE(SUBSTITUTE(SUBSTITUTE(Клиенты_исходные!D114," ",""),"-",""),"+",""),"(",""),")",""),2,10),SUBSTITUTE(SUBSTITUTE(SUBSTITUTE(SUBSTITUTE(SUBSTITUTE(Клиенты_исходные!D114," ",""),"-",""),"+",""),"(",""),")","")),10,2),IF(LEN(SUBSTITUTE(SUBSTITUTE(SUBSTITUTE(SUBSTITUTE(SUBSTITUTE(Клиенты_исходные!D114," ",""),"-",""),"+",""),"(",""),")",""))=10,"+7 ("&amp;MID(SUBSTITUTE(SUBSTITUTE(SUBSTITUTE(SUBSTITUTE(SUBSTITUTE(Клиенты_исходные!D114," ",""),"-",""),"+",""),"(",""),")",""),1,3)&amp;") "&amp;MID(SUBSTITUTE(SUBSTITUTE(SUBSTITUTE(SUBSTITUTE(SUBSTITUTE(Клиенты_исходные!D114," ",""),"-",""),"+",""),"(",""),")",""),4,3)&amp;"-"&amp;MID(SUBSTITUTE(SUBSTITUTE(SUBSTITUTE(SUBSTITUTE(SUBSTITUTE(Клиенты_исходные!D114," ",""),"-",""),"+",""),"(",""),")",""),6,2)&amp;"-"&amp;MID(SUBSTITUTE(SUBSTITUTE(SUBSTITUTE(SUBSTITUTE(SUBSTITUTE(Клиенты_исходные!D114," ",""),"-",""),"+",""),"(",""),")",""),8,2),Клиенты_исходные!D114)))</f>
        <v xml:space="preserve">+7 (903) 345-67-89</v>
      </c>
      <c r="F114" t="str">
        <f>IFERROR(VLOOKUP(Клиенты_исходные!F114,Справочники!$J$2:$K$50,2,FALSE),Клиенты_исходные!F114)</f>
        <v>Казань</v>
      </c>
      <c r="G114" s="8">
        <f>IFERROR(IF(ISNUMBER(FIND(".",Клиенты_исходные!G114)),DATE(RIGHT(Клиенты_исходные!G114,4),MID(Клиенты_исходные!G114,4,2),LEFT(Клиенты_исходные!G114,2)),DATE(LEFT(Клиенты_исходные!G114,4),MID(Клиенты_исходные!G114,6,2),RIGHT(Клиенты_исходные!G114,2))),Клиенты_исходные!G114)</f>
        <v>45698</v>
      </c>
      <c r="H114">
        <f t="shared" ca="1" si="52"/>
        <v>34</v>
      </c>
      <c r="I114" t="str">
        <f t="shared" si="53"/>
        <v>OK</v>
      </c>
      <c r="J114" t="str">
        <f t="shared" si="54"/>
        <v xml:space="preserve">Ошибка Email</v>
      </c>
    </row>
    <row r="115">
      <c r="A115" t="str">
        <f>Клиенты_исходные!A115</f>
        <v>C0114</v>
      </c>
      <c r="B115" t="str">
        <f>PROPER(TRIM(Клиенты_исходные!B115))</f>
        <v xml:space="preserve">Осипова Ксения Игоревна</v>
      </c>
      <c r="C115" s="8">
        <f>IFERROR(IF(ISNUMBER(FIND(".",Клиенты_исходные!C115)),DATE(RIGHT(Клиенты_исходные!C115,4),MID(Клиенты_исходные!C115,4,2),LEFT(Клиенты_исходные!C115,2)),DATE(LEFT(Клиенты_исходные!C115,4),MID(Клиенты_исходные!C115,6,2),RIGHT(Клиенты_исходные!C115,2))),Клиенты_исходные!C115)</f>
        <v>28245</v>
      </c>
      <c r="D115" t="str">
        <f>IF(ISBLANK(Клиенты_исходные!D115),"",IF(LEN(SUBSTITUTE(SUBSTITUTE(SUBSTITUTE(SUBSTITUTE(SUBSTITUTE(Клиенты_исходные!D115," ",""),"-",""),"+",""),"(",""),")",""))=11,"+7 ("&amp;MID(IF(LEFT(SUBSTITUTE(SUBSTITUTE(SUBSTITUTE(SUBSTITUTE(SUBSTITUTE(Клиенты_исходные!D115," ",""),"-",""),"+",""),"(",""),")",""))="8","7"&amp;MID(SUBSTITUTE(SUBSTITUTE(SUBSTITUTE(SUBSTITUTE(SUBSTITUTE(Клиенты_исходные!D115," ",""),"-",""),"+",""),"(",""),")",""),2,10),SUBSTITUTE(SUBSTITUTE(SUBSTITUTE(SUBSTITUTE(SUBSTITUTE(Клиенты_исходные!D115," ",""),"-",""),"+",""),"(",""),")","")),2,3)&amp;") "&amp;MID(IF(LEFT(SUBSTITUTE(SUBSTITUTE(SUBSTITUTE(SUBSTITUTE(SUBSTITUTE(Клиенты_исходные!D115," ",""),"-",""),"+",""),"(",""),")",""))="8","7"&amp;MID(SUBSTITUTE(SUBSTITUTE(SUBSTITUTE(SUBSTITUTE(SUBSTITUTE(Клиенты_исходные!D115," ",""),"-",""),"+",""),"(",""),")",""),2,10),SUBSTITUTE(SUBSTITUTE(SUBSTITUTE(SUBSTITUTE(SUBSTITUTE(Клиенты_исходные!D115," ",""),"-",""),"+",""),"(",""),")","")),5,3)&amp;"-"&amp;MID(IF(LEFT(SUBSTITUTE(SUBSTITUTE(SUBSTITUTE(SUBSTITUTE(SUBSTITUTE(Клиенты_исходные!D115," ",""),"-",""),"+",""),"(",""),")",""))="8","7"&amp;MID(SUBSTITUTE(SUBSTITUTE(SUBSTITUTE(SUBSTITUTE(SUBSTITUTE(Клиенты_исходные!D115," ",""),"-",""),"+",""),"(",""),")",""),2,10),SUBSTITUTE(SUBSTITUTE(SUBSTITUTE(SUBSTITUTE(SUBSTITUTE(Клиенты_исходные!D115," ",""),"-",""),"+",""),"(",""),")","")),8,2)&amp;"-"&amp;MID(IF(LEFT(SUBSTITUTE(SUBSTITUTE(SUBSTITUTE(SUBSTITUTE(SUBSTITUTE(Клиенты_исходные!D115," ",""),"-",""),"+",""),"(",""),")",""))="8","7"&amp;MID(SUBSTITUTE(SUBSTITUTE(SUBSTITUTE(SUBSTITUTE(SUBSTITUTE(Клиенты_исходные!D115," ",""),"-",""),"+",""),"(",""),")",""),2,10),SUBSTITUTE(SUBSTITUTE(SUBSTITUTE(SUBSTITUTE(SUBSTITUTE(Клиенты_исходные!D115," ",""),"-",""),"+",""),"(",""),")","")),10,2),IF(LEN(SUBSTITUTE(SUBSTITUTE(SUBSTITUTE(SUBSTITUTE(SUBSTITUTE(Клиенты_исходные!D115," ",""),"-",""),"+",""),"(",""),")",""))=10,"+7 ("&amp;MID(SUBSTITUTE(SUBSTITUTE(SUBSTITUTE(SUBSTITUTE(SUBSTITUTE(Клиенты_исходные!D115," ",""),"-",""),"+",""),"(",""),")",""),1,3)&amp;") "&amp;MID(SUBSTITUTE(SUBSTITUTE(SUBSTITUTE(SUBSTITUTE(SUBSTITUTE(Клиенты_исходные!D115," ",""),"-",""),"+",""),"(",""),")",""),4,3)&amp;"-"&amp;MID(SUBSTITUTE(SUBSTITUTE(SUBSTITUTE(SUBSTITUTE(SUBSTITUTE(Клиенты_исходные!D115," ",""),"-",""),"+",""),"(",""),")",""),6,2)&amp;"-"&amp;MID(SUBSTITUTE(SUBSTITUTE(SUBSTITUTE(SUBSTITUTE(SUBSTITUTE(Клиенты_исходные!D115," ",""),"-",""),"+",""),"(",""),")",""),8,2),Клиенты_исходные!D115)))</f>
        <v xml:space="preserve">+7 (903) 456-78-90</v>
      </c>
      <c r="F115" t="str">
        <f>IFERROR(VLOOKUP(Клиенты_исходные!F115,Справочники!$J$2:$K$50,2,FALSE),Клиенты_исходные!F115)</f>
        <v>Самара</v>
      </c>
      <c r="G115" s="8">
        <f>IFERROR(IF(ISNUMBER(FIND(".",Клиенты_исходные!G115)),DATE(RIGHT(Клиенты_исходные!G115,4),MID(Клиенты_исходные!G115,4,2),LEFT(Клиенты_исходные!G115,2)),DATE(LEFT(Клиенты_исходные!G115,4),MID(Клиенты_исходные!G115,6,2),RIGHT(Клиенты_исходные!G115,2))),Клиенты_исходные!G115)</f>
        <v>45698</v>
      </c>
      <c r="H115">
        <f t="shared" ca="1" si="52"/>
        <v>49</v>
      </c>
      <c r="I115" t="str">
        <f t="shared" si="53"/>
        <v>OK</v>
      </c>
      <c r="J115" t="str">
        <f t="shared" si="54"/>
        <v xml:space="preserve">Ошибка Email</v>
      </c>
    </row>
    <row r="116">
      <c r="A116" t="str">
        <f>Клиенты_исходные!A116</f>
        <v>C0115</v>
      </c>
      <c r="B116" t="str">
        <f>PROPER(TRIM(Клиенты_исходные!B116))</f>
        <v xml:space="preserve">Климов Алексей Сергеевич</v>
      </c>
      <c r="C116" s="8">
        <f>IFERROR(IF(ISNUMBER(FIND(".",Клиенты_исходные!C116)),DATE(RIGHT(Клиенты_исходные!C116,4),MID(Клиенты_исходные!C116,4,2),LEFT(Клиенты_исходные!C116,2)),DATE(LEFT(Клиенты_исходные!C116,4),MID(Клиенты_исходные!C116,6,2),RIGHT(Клиенты_исходные!C116,2))),Клиенты_исходные!C116)</f>
        <v>32865</v>
      </c>
      <c r="D116" t="str">
        <f>IF(ISBLANK(Клиенты_исходные!D116),"",IF(LEN(SUBSTITUTE(SUBSTITUTE(SUBSTITUTE(SUBSTITUTE(SUBSTITUTE(Клиенты_исходные!D116," ",""),"-",""),"+",""),"(",""),")",""))=11,"+7 ("&amp;MID(IF(LEFT(SUBSTITUTE(SUBSTITUTE(SUBSTITUTE(SUBSTITUTE(SUBSTITUTE(Клиенты_исходные!D116," ",""),"-",""),"+",""),"(",""),")",""))="8","7"&amp;MID(SUBSTITUTE(SUBSTITUTE(SUBSTITUTE(SUBSTITUTE(SUBSTITUTE(Клиенты_исходные!D116," ",""),"-",""),"+",""),"(",""),")",""),2,10),SUBSTITUTE(SUBSTITUTE(SUBSTITUTE(SUBSTITUTE(SUBSTITUTE(Клиенты_исходные!D116," ",""),"-",""),"+",""),"(",""),")","")),2,3)&amp;") "&amp;MID(IF(LEFT(SUBSTITUTE(SUBSTITUTE(SUBSTITUTE(SUBSTITUTE(SUBSTITUTE(Клиенты_исходные!D116," ",""),"-",""),"+",""),"(",""),")",""))="8","7"&amp;MID(SUBSTITUTE(SUBSTITUTE(SUBSTITUTE(SUBSTITUTE(SUBSTITUTE(Клиенты_исходные!D116," ",""),"-",""),"+",""),"(",""),")",""),2,10),SUBSTITUTE(SUBSTITUTE(SUBSTITUTE(SUBSTITUTE(SUBSTITUTE(Клиенты_исходные!D116," ",""),"-",""),"+",""),"(",""),")","")),5,3)&amp;"-"&amp;MID(IF(LEFT(SUBSTITUTE(SUBSTITUTE(SUBSTITUTE(SUBSTITUTE(SUBSTITUTE(Клиенты_исходные!D116," ",""),"-",""),"+",""),"(",""),")",""))="8","7"&amp;MID(SUBSTITUTE(SUBSTITUTE(SUBSTITUTE(SUBSTITUTE(SUBSTITUTE(Клиенты_исходные!D116," ",""),"-",""),"+",""),"(",""),")",""),2,10),SUBSTITUTE(SUBSTITUTE(SUBSTITUTE(SUBSTITUTE(SUBSTITUTE(Клиенты_исходные!D116," ",""),"-",""),"+",""),"(",""),")","")),8,2)&amp;"-"&amp;MID(IF(LEFT(SUBSTITUTE(SUBSTITUTE(SUBSTITUTE(SUBSTITUTE(SUBSTITUTE(Клиенты_исходные!D116," ",""),"-",""),"+",""),"(",""),")",""))="8","7"&amp;MID(SUBSTITUTE(SUBSTITUTE(SUBSTITUTE(SUBSTITUTE(SUBSTITUTE(Клиенты_исходные!D116," ",""),"-",""),"+",""),"(",""),")",""),2,10),SUBSTITUTE(SUBSTITUTE(SUBSTITUTE(SUBSTITUTE(SUBSTITUTE(Клиенты_исходные!D116," ",""),"-",""),"+",""),"(",""),")","")),10,2),IF(LEN(SUBSTITUTE(SUBSTITUTE(SUBSTITUTE(SUBSTITUTE(SUBSTITUTE(Клиенты_исходные!D116," ",""),"-",""),"+",""),"(",""),")",""))=10,"+7 ("&amp;MID(SUBSTITUTE(SUBSTITUTE(SUBSTITUTE(SUBSTITUTE(SUBSTITUTE(Клиенты_исходные!D116," ",""),"-",""),"+",""),"(",""),")",""),1,3)&amp;") "&amp;MID(SUBSTITUTE(SUBSTITUTE(SUBSTITUTE(SUBSTITUTE(SUBSTITUTE(Клиенты_исходные!D116," ",""),"-",""),"+",""),"(",""),")",""),4,3)&amp;"-"&amp;MID(SUBSTITUTE(SUBSTITUTE(SUBSTITUTE(SUBSTITUTE(SUBSTITUTE(Клиенты_исходные!D116," ",""),"-",""),"+",""),"(",""),")",""),6,2)&amp;"-"&amp;MID(SUBSTITUTE(SUBSTITUTE(SUBSTITUTE(SUBSTITUTE(SUBSTITUTE(Клиенты_исходные!D116," ",""),"-",""),"+",""),"(",""),")",""),8,2),Клиенты_исходные!D116)))</f>
        <v xml:space="preserve">+7 (903) 456-78-90</v>
      </c>
      <c r="F116" t="str">
        <f>IFERROR(VLOOKUP(Клиенты_исходные!F116,Справочники!$J$2:$K$50,2,FALSE),Клиенты_исходные!F116)</f>
        <v>Челябинск</v>
      </c>
      <c r="G116" s="8">
        <f>IFERROR(IF(ISNUMBER(FIND(".",Клиенты_исходные!G116)),DATE(RIGHT(Клиенты_исходные!G116,4),MID(Клиенты_исходные!G116,4,2),LEFT(Клиенты_исходные!G116,2)),DATE(LEFT(Клиенты_исходные!G116,4),MID(Клиенты_исходные!G116,6,2),RIGHT(Клиенты_исходные!G116,2))),Клиенты_исходные!G116)</f>
        <v>45717</v>
      </c>
      <c r="H116">
        <f t="shared" ca="1" si="52"/>
        <v>36</v>
      </c>
      <c r="I116" t="str">
        <f t="shared" si="53"/>
        <v>OK</v>
      </c>
      <c r="J116" t="str">
        <f t="shared" si="54"/>
        <v xml:space="preserve">Ошибка Email</v>
      </c>
    </row>
    <row r="117">
      <c r="A117" t="str">
        <f>Клиенты_исходные!A117</f>
        <v>C0116</v>
      </c>
      <c r="B117" t="str">
        <f>PROPER(TRIM(Клиенты_исходные!B117))</f>
        <v xml:space="preserve">Шмидт Елена Викторовна</v>
      </c>
      <c r="C117" s="8">
        <f>IFERROR(IF(ISNUMBER(FIND(".",Клиенты_исходные!C117)),DATE(RIGHT(Клиенты_исходные!C117,4),MID(Клиенты_исходные!C117,4,2),LEFT(Клиенты_исходные!C117,2)),DATE(LEFT(Клиенты_исходные!C117,4),MID(Клиенты_исходные!C117,6,2),RIGHT(Клиенты_исходные!C117,2))),Клиенты_исходные!C117)</f>
        <v>27247</v>
      </c>
      <c r="D117" t="str">
        <f>IF(ISBLANK(Клиенты_исходные!D117),"",IF(LEN(SUBSTITUTE(SUBSTITUTE(SUBSTITUTE(SUBSTITUTE(SUBSTITUTE(Клиенты_исходные!D117," ",""),"-",""),"+",""),"(",""),")",""))=11,"+7 ("&amp;MID(IF(LEFT(SUBSTITUTE(SUBSTITUTE(SUBSTITUTE(SUBSTITUTE(SUBSTITUTE(Клиенты_исходные!D117," ",""),"-",""),"+",""),"(",""),")",""))="8","7"&amp;MID(SUBSTITUTE(SUBSTITUTE(SUBSTITUTE(SUBSTITUTE(SUBSTITUTE(Клиенты_исходные!D117," ",""),"-",""),"+",""),"(",""),")",""),2,10),SUBSTITUTE(SUBSTITUTE(SUBSTITUTE(SUBSTITUTE(SUBSTITUTE(Клиенты_исходные!D117," ",""),"-",""),"+",""),"(",""),")","")),2,3)&amp;") "&amp;MID(IF(LEFT(SUBSTITUTE(SUBSTITUTE(SUBSTITUTE(SUBSTITUTE(SUBSTITUTE(Клиенты_исходные!D117," ",""),"-",""),"+",""),"(",""),")",""))="8","7"&amp;MID(SUBSTITUTE(SUBSTITUTE(SUBSTITUTE(SUBSTITUTE(SUBSTITUTE(Клиенты_исходные!D117," ",""),"-",""),"+",""),"(",""),")",""),2,10),SUBSTITUTE(SUBSTITUTE(SUBSTITUTE(SUBSTITUTE(SUBSTITUTE(Клиенты_исходные!D117," ",""),"-",""),"+",""),"(",""),")","")),5,3)&amp;"-"&amp;MID(IF(LEFT(SUBSTITUTE(SUBSTITUTE(SUBSTITUTE(SUBSTITUTE(SUBSTITUTE(Клиенты_исходные!D117," ",""),"-",""),"+",""),"(",""),")",""))="8","7"&amp;MID(SUBSTITUTE(SUBSTITUTE(SUBSTITUTE(SUBSTITUTE(SUBSTITUTE(Клиенты_исходные!D117," ",""),"-",""),"+",""),"(",""),")",""),2,10),SUBSTITUTE(SUBSTITUTE(SUBSTITUTE(SUBSTITUTE(SUBSTITUTE(Клиенты_исходные!D117," ",""),"-",""),"+",""),"(",""),")","")),8,2)&amp;"-"&amp;MID(IF(LEFT(SUBSTITUTE(SUBSTITUTE(SUBSTITUTE(SUBSTITUTE(SUBSTITUTE(Клиенты_исходные!D117," ",""),"-",""),"+",""),"(",""),")",""))="8","7"&amp;MID(SUBSTITUTE(SUBSTITUTE(SUBSTITUTE(SUBSTITUTE(SUBSTITUTE(Клиенты_исходные!D117," ",""),"-",""),"+",""),"(",""),")",""),2,10),SUBSTITUTE(SUBSTITUTE(SUBSTITUTE(SUBSTITUTE(SUBSTITUTE(Клиенты_исходные!D117," ",""),"-",""),"+",""),"(",""),")","")),10,2),IF(LEN(SUBSTITUTE(SUBSTITUTE(SUBSTITUTE(SUBSTITUTE(SUBSTITUTE(Клиенты_исходные!D117," ",""),"-",""),"+",""),"(",""),")",""))=10,"+7 ("&amp;MID(SUBSTITUTE(SUBSTITUTE(SUBSTITUTE(SUBSTITUTE(SUBSTITUTE(Клиенты_исходные!D117," ",""),"-",""),"+",""),"(",""),")",""),1,3)&amp;") "&amp;MID(SUBSTITUTE(SUBSTITUTE(SUBSTITUTE(SUBSTITUTE(SUBSTITUTE(Клиенты_исходные!D117," ",""),"-",""),"+",""),"(",""),")",""),4,3)&amp;"-"&amp;MID(SUBSTITUTE(SUBSTITUTE(SUBSTITUTE(SUBSTITUTE(SUBSTITUTE(Клиенты_исходные!D117," ",""),"-",""),"+",""),"(",""),")",""),6,2)&amp;"-"&amp;MID(SUBSTITUTE(SUBSTITUTE(SUBSTITUTE(SUBSTITUTE(SUBSTITUTE(Клиенты_исходные!D117," ",""),"-",""),"+",""),"(",""),")",""),8,2),Клиенты_исходные!D117)))</f>
        <v xml:space="preserve">+7 (903) 456-78-90</v>
      </c>
      <c r="F117" t="str">
        <f>IFERROR(VLOOKUP(Клиенты_исходные!F117,Справочники!$J$2:$K$50,2,FALSE),Клиенты_исходные!F117)</f>
        <v>Омск</v>
      </c>
      <c r="G117" s="8">
        <f>IFERROR(IF(ISNUMBER(FIND(".",Клиенты_исходные!G117)),DATE(RIGHT(Клиенты_исходные!G117,4),MID(Клиенты_исходные!G117,4,2),LEFT(Клиенты_исходные!G117,2)),DATE(LEFT(Клиенты_исходные!G117,4),MID(Клиенты_исходные!G117,6,2),RIGHT(Клиенты_исходные!G117,2))),Клиенты_исходные!G117)</f>
        <v>45731</v>
      </c>
      <c r="H117">
        <f t="shared" ca="1" si="52"/>
        <v>52</v>
      </c>
      <c r="I117" t="str">
        <f t="shared" si="53"/>
        <v>OK</v>
      </c>
      <c r="J117" t="str">
        <f t="shared" si="54"/>
        <v xml:space="preserve">Ошибка Email</v>
      </c>
    </row>
    <row r="118">
      <c r="A118" t="str">
        <f>Клиенты_исходные!A118</f>
        <v>C0117</v>
      </c>
      <c r="B118" t="str">
        <f>PROPER(TRIM(Клиенты_исходные!B118))</f>
        <v xml:space="preserve">Золотарева Людмила Петровна</v>
      </c>
      <c r="C118" s="8">
        <f>IFERROR(IF(ISNUMBER(FIND(".",Клиенты_исходные!C118)),DATE(RIGHT(Клиенты_исходные!C118,4),MID(Клиенты_исходные!C118,4,2),LEFT(Клиенты_исходные!C118,2)),DATE(LEFT(Клиенты_исходные!C118,4),MID(Клиенты_исходные!C118,6,2),RIGHT(Клиенты_исходные!C118,2))),Клиенты_исходные!C118)</f>
        <v>31431</v>
      </c>
      <c r="D118" t="str">
        <f>IF(ISBLANK(Клиенты_исходные!D118),"",IF(LEN(SUBSTITUTE(SUBSTITUTE(SUBSTITUTE(SUBSTITUTE(SUBSTITUTE(Клиенты_исходные!D118," ",""),"-",""),"+",""),"(",""),")",""))=11,"+7 ("&amp;MID(IF(LEFT(SUBSTITUTE(SUBSTITUTE(SUBSTITUTE(SUBSTITUTE(SUBSTITUTE(Клиенты_исходные!D118," ",""),"-",""),"+",""),"(",""),")",""))="8","7"&amp;MID(SUBSTITUTE(SUBSTITUTE(SUBSTITUTE(SUBSTITUTE(SUBSTITUTE(Клиенты_исходные!D118," ",""),"-",""),"+",""),"(",""),")",""),2,10),SUBSTITUTE(SUBSTITUTE(SUBSTITUTE(SUBSTITUTE(SUBSTITUTE(Клиенты_исходные!D118," ",""),"-",""),"+",""),"(",""),")","")),2,3)&amp;") "&amp;MID(IF(LEFT(SUBSTITUTE(SUBSTITUTE(SUBSTITUTE(SUBSTITUTE(SUBSTITUTE(Клиенты_исходные!D118," ",""),"-",""),"+",""),"(",""),")",""))="8","7"&amp;MID(SUBSTITUTE(SUBSTITUTE(SUBSTITUTE(SUBSTITUTE(SUBSTITUTE(Клиенты_исходные!D118," ",""),"-",""),"+",""),"(",""),")",""),2,10),SUBSTITUTE(SUBSTITUTE(SUBSTITUTE(SUBSTITUTE(SUBSTITUTE(Клиенты_исходные!D118," ",""),"-",""),"+",""),"(",""),")","")),5,3)&amp;"-"&amp;MID(IF(LEFT(SUBSTITUTE(SUBSTITUTE(SUBSTITUTE(SUBSTITUTE(SUBSTITUTE(Клиенты_исходные!D118," ",""),"-",""),"+",""),"(",""),")",""))="8","7"&amp;MID(SUBSTITUTE(SUBSTITUTE(SUBSTITUTE(SUBSTITUTE(SUBSTITUTE(Клиенты_исходные!D118," ",""),"-",""),"+",""),"(",""),")",""),2,10),SUBSTITUTE(SUBSTITUTE(SUBSTITUTE(SUBSTITUTE(SUBSTITUTE(Клиенты_исходные!D118," ",""),"-",""),"+",""),"(",""),")","")),8,2)&amp;"-"&amp;MID(IF(LEFT(SUBSTITUTE(SUBSTITUTE(SUBSTITUTE(SUBSTITUTE(SUBSTITUTE(Клиенты_исходные!D118," ",""),"-",""),"+",""),"(",""),")",""))="8","7"&amp;MID(SUBSTITUTE(SUBSTITUTE(SUBSTITUTE(SUBSTITUTE(SUBSTITUTE(Клиенты_исходные!D118," ",""),"-",""),"+",""),"(",""),")",""),2,10),SUBSTITUTE(SUBSTITUTE(SUBSTITUTE(SUBSTITUTE(SUBSTITUTE(Клиенты_исходные!D118," ",""),"-",""),"+",""),"(",""),")","")),10,2),IF(LEN(SUBSTITUTE(SUBSTITUTE(SUBSTITUTE(SUBSTITUTE(SUBSTITUTE(Клиенты_исходные!D118," ",""),"-",""),"+",""),"(",""),")",""))=10,"+7 ("&amp;MID(SUBSTITUTE(SUBSTITUTE(SUBSTITUTE(SUBSTITUTE(SUBSTITUTE(Клиенты_исходные!D118," ",""),"-",""),"+",""),"(",""),")",""),1,3)&amp;") "&amp;MID(SUBSTITUTE(SUBSTITUTE(SUBSTITUTE(SUBSTITUTE(SUBSTITUTE(Клиенты_исходные!D118," ",""),"-",""),"+",""),"(",""),")",""),4,3)&amp;"-"&amp;MID(SUBSTITUTE(SUBSTITUTE(SUBSTITUTE(SUBSTITUTE(SUBSTITUTE(Клиенты_исходные!D118," ",""),"-",""),"+",""),"(",""),")",""),6,2)&amp;"-"&amp;MID(SUBSTITUTE(SUBSTITUTE(SUBSTITUTE(SUBSTITUTE(SUBSTITUTE(Клиенты_исходные!D118," ",""),"-",""),"+",""),"(",""),")",""),8,2),Клиенты_исходные!D118)))</f>
        <v xml:space="preserve">+7 (903) 567-89-01</v>
      </c>
      <c r="F118" t="str">
        <f>IFERROR(VLOOKUP(Клиенты_исходные!F118,Справочники!$J$2:$K$50,2,FALSE),Клиенты_исходные!F118)</f>
        <v>Ростов-на-Дону</v>
      </c>
      <c r="G118" s="8">
        <f>IFERROR(IF(ISNUMBER(FIND(".",Клиенты_исходные!G118)),DATE(RIGHT(Клиенты_исходные!G118,4),MID(Клиенты_исходные!G118,4,2),LEFT(Клиенты_исходные!G118,2)),DATE(LEFT(Клиенты_исходные!G118,4),MID(Клиенты_исходные!G118,6,2),RIGHT(Клиенты_исходные!G118,2))),Клиенты_исходные!G118)</f>
        <v>45731</v>
      </c>
      <c r="H118">
        <f t="shared" ca="1" si="52"/>
        <v>40</v>
      </c>
      <c r="I118" t="str">
        <f t="shared" si="53"/>
        <v>OK</v>
      </c>
      <c r="J118" t="str">
        <f t="shared" si="54"/>
        <v xml:space="preserve">Ошибка Email</v>
      </c>
    </row>
    <row r="119">
      <c r="A119" t="str">
        <f>Клиенты_исходные!A119</f>
        <v>C0118</v>
      </c>
      <c r="B119" t="str">
        <f>PROPER(TRIM(Клиенты_исходные!B119))</f>
        <v xml:space="preserve">Субботин Владислав Романович</v>
      </c>
      <c r="C119" s="8">
        <f>IFERROR(IF(ISNUMBER(FIND(".",Клиенты_исходные!C119)),DATE(RIGHT(Клиенты_исходные!C119,4),MID(Клиенты_исходные!C119,4,2),LEFT(Клиенты_исходные!C119,2)),DATE(LEFT(Клиенты_исходные!C119,4),MID(Клиенты_исходные!C119,6,2),RIGHT(Клиенты_исходные!C119,2))),Клиенты_исходные!C119)</f>
        <v>34244</v>
      </c>
      <c r="D119" t="str">
        <f>IF(ISBLANK(Клиенты_исходные!D119),"",IF(LEN(SUBSTITUTE(SUBSTITUTE(SUBSTITUTE(SUBSTITUTE(SUBSTITUTE(Клиенты_исходные!D119," ",""),"-",""),"+",""),"(",""),")",""))=11,"+7 ("&amp;MID(IF(LEFT(SUBSTITUTE(SUBSTITUTE(SUBSTITUTE(SUBSTITUTE(SUBSTITUTE(Клиенты_исходные!D119," ",""),"-",""),"+",""),"(",""),")",""))="8","7"&amp;MID(SUBSTITUTE(SUBSTITUTE(SUBSTITUTE(SUBSTITUTE(SUBSTITUTE(Клиенты_исходные!D119," ",""),"-",""),"+",""),"(",""),")",""),2,10),SUBSTITUTE(SUBSTITUTE(SUBSTITUTE(SUBSTITUTE(SUBSTITUTE(Клиенты_исходные!D119," ",""),"-",""),"+",""),"(",""),")","")),2,3)&amp;") "&amp;MID(IF(LEFT(SUBSTITUTE(SUBSTITUTE(SUBSTITUTE(SUBSTITUTE(SUBSTITUTE(Клиенты_исходные!D119," ",""),"-",""),"+",""),"(",""),")",""))="8","7"&amp;MID(SUBSTITUTE(SUBSTITUTE(SUBSTITUTE(SUBSTITUTE(SUBSTITUTE(Клиенты_исходные!D119," ",""),"-",""),"+",""),"(",""),")",""),2,10),SUBSTITUTE(SUBSTITUTE(SUBSTITUTE(SUBSTITUTE(SUBSTITUTE(Клиенты_исходные!D119," ",""),"-",""),"+",""),"(",""),")","")),5,3)&amp;"-"&amp;MID(IF(LEFT(SUBSTITUTE(SUBSTITUTE(SUBSTITUTE(SUBSTITUTE(SUBSTITUTE(Клиенты_исходные!D119," ",""),"-",""),"+",""),"(",""),")",""))="8","7"&amp;MID(SUBSTITUTE(SUBSTITUTE(SUBSTITUTE(SUBSTITUTE(SUBSTITUTE(Клиенты_исходные!D119," ",""),"-",""),"+",""),"(",""),")",""),2,10),SUBSTITUTE(SUBSTITUTE(SUBSTITUTE(SUBSTITUTE(SUBSTITUTE(Клиенты_исходные!D119," ",""),"-",""),"+",""),"(",""),")","")),8,2)&amp;"-"&amp;MID(IF(LEFT(SUBSTITUTE(SUBSTITUTE(SUBSTITUTE(SUBSTITUTE(SUBSTITUTE(Клиенты_исходные!D119," ",""),"-",""),"+",""),"(",""),")",""))="8","7"&amp;MID(SUBSTITUTE(SUBSTITUTE(SUBSTITUTE(SUBSTITUTE(SUBSTITUTE(Клиенты_исходные!D119," ",""),"-",""),"+",""),"(",""),")",""),2,10),SUBSTITUTE(SUBSTITUTE(SUBSTITUTE(SUBSTITUTE(SUBSTITUTE(Клиенты_исходные!D119," ",""),"-",""),"+",""),"(",""),")","")),10,2),IF(LEN(SUBSTITUTE(SUBSTITUTE(SUBSTITUTE(SUBSTITUTE(SUBSTITUTE(Клиенты_исходные!D119," ",""),"-",""),"+",""),"(",""),")",""))=10,"+7 ("&amp;MID(SUBSTITUTE(SUBSTITUTE(SUBSTITUTE(SUBSTITUTE(SUBSTITUTE(Клиенты_исходные!D119," ",""),"-",""),"+",""),"(",""),")",""),1,3)&amp;") "&amp;MID(SUBSTITUTE(SUBSTITUTE(SUBSTITUTE(SUBSTITUTE(SUBSTITUTE(Клиенты_исходные!D119," ",""),"-",""),"+",""),"(",""),")",""),4,3)&amp;"-"&amp;MID(SUBSTITUTE(SUBSTITUTE(SUBSTITUTE(SUBSTITUTE(SUBSTITUTE(Клиенты_исходные!D119," ",""),"-",""),"+",""),"(",""),")",""),6,2)&amp;"-"&amp;MID(SUBSTITUTE(SUBSTITUTE(SUBSTITUTE(SUBSTITUTE(SUBSTITUTE(Клиенты_исходные!D119," ",""),"-",""),"+",""),"(",""),")",""),8,2),Клиенты_исходные!D119)))</f>
        <v xml:space="preserve">+7 (903) 567-89-01</v>
      </c>
      <c r="F119" t="str">
        <f>IFERROR(VLOOKUP(Клиенты_исходные!F119,Справочники!$J$2:$K$50,2,FALSE),Клиенты_исходные!F119)</f>
        <v>Уфа</v>
      </c>
      <c r="G119" s="8">
        <f>IFERROR(IF(ISNUMBER(FIND(".",Клиенты_исходные!G119)),DATE(RIGHT(Клиенты_исходные!G119,4),MID(Клиенты_исходные!G119,4,2),LEFT(Клиенты_исходные!G119,2)),DATE(LEFT(Клиенты_исходные!G119,4),MID(Клиенты_исходные!G119,6,2),RIGHT(Клиенты_исходные!G119,2))),Клиенты_исходные!G119)</f>
        <v>45748</v>
      </c>
      <c r="H119">
        <f t="shared" ca="1" si="52"/>
        <v>33</v>
      </c>
      <c r="I119" t="str">
        <f t="shared" si="53"/>
        <v>OK</v>
      </c>
      <c r="J119" t="str">
        <f t="shared" si="54"/>
        <v xml:space="preserve">Ошибка Email</v>
      </c>
    </row>
    <row r="120">
      <c r="A120" t="str">
        <f>Клиенты_исходные!A120</f>
        <v>C0119</v>
      </c>
      <c r="B120" t="str">
        <f>PROPER(TRIM(Клиенты_исходные!B120))</f>
        <v xml:space="preserve">Карасев Арсений Николаевич</v>
      </c>
      <c r="C120" s="8">
        <f>IFERROR(IF(ISNUMBER(FIND(".",Клиенты_исходные!C120)),DATE(RIGHT(Клиенты_исходные!C120,4),MID(Клиенты_исходные!C120,4,2),LEFT(Клиенты_исходные!C120,2)),DATE(LEFT(Клиенты_исходные!C120,4),MID(Клиенты_исходные!C120,6,2),RIGHT(Клиенты_исходные!C120,2))),Клиенты_исходные!C120)</f>
        <v>29720</v>
      </c>
      <c r="D120" t="str">
        <f>IF(ISBLANK(Клиенты_исходные!D120),"",IF(LEN(SUBSTITUTE(SUBSTITUTE(SUBSTITUTE(SUBSTITUTE(SUBSTITUTE(Клиенты_исходные!D120," ",""),"-",""),"+",""),"(",""),")",""))=11,"+7 ("&amp;MID(IF(LEFT(SUBSTITUTE(SUBSTITUTE(SUBSTITUTE(SUBSTITUTE(SUBSTITUTE(Клиенты_исходные!D120," ",""),"-",""),"+",""),"(",""),")",""))="8","7"&amp;MID(SUBSTITUTE(SUBSTITUTE(SUBSTITUTE(SUBSTITUTE(SUBSTITUTE(Клиенты_исходные!D120," ",""),"-",""),"+",""),"(",""),")",""),2,10),SUBSTITUTE(SUBSTITUTE(SUBSTITUTE(SUBSTITUTE(SUBSTITUTE(Клиенты_исходные!D120," ",""),"-",""),"+",""),"(",""),")","")),2,3)&amp;") "&amp;MID(IF(LEFT(SUBSTITUTE(SUBSTITUTE(SUBSTITUTE(SUBSTITUTE(SUBSTITUTE(Клиенты_исходные!D120," ",""),"-",""),"+",""),"(",""),")",""))="8","7"&amp;MID(SUBSTITUTE(SUBSTITUTE(SUBSTITUTE(SUBSTITUTE(SUBSTITUTE(Клиенты_исходные!D120," ",""),"-",""),"+",""),"(",""),")",""),2,10),SUBSTITUTE(SUBSTITUTE(SUBSTITUTE(SUBSTITUTE(SUBSTITUTE(Клиенты_исходные!D120," ",""),"-",""),"+",""),"(",""),")","")),5,3)&amp;"-"&amp;MID(IF(LEFT(SUBSTITUTE(SUBSTITUTE(SUBSTITUTE(SUBSTITUTE(SUBSTITUTE(Клиенты_исходные!D120," ",""),"-",""),"+",""),"(",""),")",""))="8","7"&amp;MID(SUBSTITUTE(SUBSTITUTE(SUBSTITUTE(SUBSTITUTE(SUBSTITUTE(Клиенты_исходные!D120," ",""),"-",""),"+",""),"(",""),")",""),2,10),SUBSTITUTE(SUBSTITUTE(SUBSTITUTE(SUBSTITUTE(SUBSTITUTE(Клиенты_исходные!D120," ",""),"-",""),"+",""),"(",""),")","")),8,2)&amp;"-"&amp;MID(IF(LEFT(SUBSTITUTE(SUBSTITUTE(SUBSTITUTE(SUBSTITUTE(SUBSTITUTE(Клиенты_исходные!D120," ",""),"-",""),"+",""),"(",""),")",""))="8","7"&amp;MID(SUBSTITUTE(SUBSTITUTE(SUBSTITUTE(SUBSTITUTE(SUBSTITUTE(Клиенты_исходные!D120," ",""),"-",""),"+",""),"(",""),")",""),2,10),SUBSTITUTE(SUBSTITUTE(SUBSTITUTE(SUBSTITUTE(SUBSTITUTE(Клиенты_исходные!D120," ",""),"-",""),"+",""),"(",""),")","")),10,2),IF(LEN(SUBSTITUTE(SUBSTITUTE(SUBSTITUTE(SUBSTITUTE(SUBSTITUTE(Клиенты_исходные!D120," ",""),"-",""),"+",""),"(",""),")",""))=10,"+7 ("&amp;MID(SUBSTITUTE(SUBSTITUTE(SUBSTITUTE(SUBSTITUTE(SUBSTITUTE(Клиенты_исходные!D120," ",""),"-",""),"+",""),"(",""),")",""),1,3)&amp;") "&amp;MID(SUBSTITUTE(SUBSTITUTE(SUBSTITUTE(SUBSTITUTE(SUBSTITUTE(Клиенты_исходные!D120," ",""),"-",""),"+",""),"(",""),")",""),4,3)&amp;"-"&amp;MID(SUBSTITUTE(SUBSTITUTE(SUBSTITUTE(SUBSTITUTE(SUBSTITUTE(Клиенты_исходные!D120," ",""),"-",""),"+",""),"(",""),")",""),6,2)&amp;"-"&amp;MID(SUBSTITUTE(SUBSTITUTE(SUBSTITUTE(SUBSTITUTE(SUBSTITUTE(Клиенты_исходные!D120," ",""),"-",""),"+",""),"(",""),")",""),8,2),Клиенты_исходные!D120)))</f>
        <v xml:space="preserve">+7 (903) 567-89-01</v>
      </c>
      <c r="F120" t="str">
        <f>IFERROR(VLOOKUP(Клиенты_исходные!F120,Справочники!$J$2:$K$50,2,FALSE),Клиенты_исходные!F120)</f>
        <v>Красноярск</v>
      </c>
      <c r="G120" s="8">
        <f>IFERROR(IF(ISNUMBER(FIND(".",Клиенты_исходные!G120)),DATE(RIGHT(Клиенты_исходные!G120,4),MID(Клиенты_исходные!G120,4,2),LEFT(Клиенты_исходные!G120,2)),DATE(LEFT(Клиенты_исходные!G120,4),MID(Клиенты_исходные!G120,6,2),RIGHT(Клиенты_исходные!G120,2))),Клиенты_исходные!G120)</f>
        <v>45757</v>
      </c>
      <c r="H120">
        <f t="shared" ca="1" si="52"/>
        <v>45</v>
      </c>
      <c r="I120" t="str">
        <f t="shared" si="53"/>
        <v>OK</v>
      </c>
      <c r="J120" t="str">
        <f t="shared" si="54"/>
        <v xml:space="preserve">Ошибка Email</v>
      </c>
    </row>
    <row r="121">
      <c r="A121" t="str">
        <f>Клиенты_исходные!A121</f>
        <v>C0120</v>
      </c>
      <c r="B121" t="str">
        <f>PROPER(TRIM(Клиенты_исходные!B121))</f>
        <v xml:space="preserve">Шаповалова Валерия Андреевна</v>
      </c>
      <c r="C121" s="8">
        <f>IFERROR(IF(ISNUMBER(FIND(".",Клиенты_исходные!C121)),DATE(RIGHT(Клиенты_исходные!C121,4),MID(Клиенты_исходные!C121,4,2),LEFT(Клиенты_исходные!C121,2)),DATE(LEFT(Клиенты_исходные!C121,4),MID(Клиенты_исходные!C121,6,2),RIGHT(Клиенты_исходные!C121,2))),Клиенты_исходные!C121)</f>
        <v>25910</v>
      </c>
      <c r="D121" t="str">
        <f>IF(ISBLANK(Клиенты_исходные!D121),"",IF(LEN(SUBSTITUTE(SUBSTITUTE(SUBSTITUTE(SUBSTITUTE(SUBSTITUTE(Клиенты_исходные!D121," ",""),"-",""),"+",""),"(",""),")",""))=11,"+7 ("&amp;MID(IF(LEFT(SUBSTITUTE(SUBSTITUTE(SUBSTITUTE(SUBSTITUTE(SUBSTITUTE(Клиенты_исходные!D121," ",""),"-",""),"+",""),"(",""),")",""))="8","7"&amp;MID(SUBSTITUTE(SUBSTITUTE(SUBSTITUTE(SUBSTITUTE(SUBSTITUTE(Клиенты_исходные!D121," ",""),"-",""),"+",""),"(",""),")",""),2,10),SUBSTITUTE(SUBSTITUTE(SUBSTITUTE(SUBSTITUTE(SUBSTITUTE(Клиенты_исходные!D121," ",""),"-",""),"+",""),"(",""),")","")),2,3)&amp;") "&amp;MID(IF(LEFT(SUBSTITUTE(SUBSTITUTE(SUBSTITUTE(SUBSTITUTE(SUBSTITUTE(Клиенты_исходные!D121," ",""),"-",""),"+",""),"(",""),")",""))="8","7"&amp;MID(SUBSTITUTE(SUBSTITUTE(SUBSTITUTE(SUBSTITUTE(SUBSTITUTE(Клиенты_исходные!D121," ",""),"-",""),"+",""),"(",""),")",""),2,10),SUBSTITUTE(SUBSTITUTE(SUBSTITUTE(SUBSTITUTE(SUBSTITUTE(Клиенты_исходные!D121," ",""),"-",""),"+",""),"(",""),")","")),5,3)&amp;"-"&amp;MID(IF(LEFT(SUBSTITUTE(SUBSTITUTE(SUBSTITUTE(SUBSTITUTE(SUBSTITUTE(Клиенты_исходные!D121," ",""),"-",""),"+",""),"(",""),")",""))="8","7"&amp;MID(SUBSTITUTE(SUBSTITUTE(SUBSTITUTE(SUBSTITUTE(SUBSTITUTE(Клиенты_исходные!D121," ",""),"-",""),"+",""),"(",""),")",""),2,10),SUBSTITUTE(SUBSTITUTE(SUBSTITUTE(SUBSTITUTE(SUBSTITUTE(Клиенты_исходные!D121," ",""),"-",""),"+",""),"(",""),")","")),8,2)&amp;"-"&amp;MID(IF(LEFT(SUBSTITUTE(SUBSTITUTE(SUBSTITUTE(SUBSTITUTE(SUBSTITUTE(Клиенты_исходные!D121," ",""),"-",""),"+",""),"(",""),")",""))="8","7"&amp;MID(SUBSTITUTE(SUBSTITUTE(SUBSTITUTE(SUBSTITUTE(SUBSTITUTE(Клиенты_исходные!D121," ",""),"-",""),"+",""),"(",""),")",""),2,10),SUBSTITUTE(SUBSTITUTE(SUBSTITUTE(SUBSTITUTE(SUBSTITUTE(Клиенты_исходные!D121," ",""),"-",""),"+",""),"(",""),")","")),10,2),IF(LEN(SUBSTITUTE(SUBSTITUTE(SUBSTITUTE(SUBSTITUTE(SUBSTITUTE(Клиенты_исходные!D121," ",""),"-",""),"+",""),"(",""),")",""))=10,"+7 ("&amp;MID(SUBSTITUTE(SUBSTITUTE(SUBSTITUTE(SUBSTITUTE(SUBSTITUTE(Клиенты_исходные!D121," ",""),"-",""),"+",""),"(",""),")",""),1,3)&amp;") "&amp;MID(SUBSTITUTE(SUBSTITUTE(SUBSTITUTE(SUBSTITUTE(SUBSTITUTE(Клиенты_исходные!D121," ",""),"-",""),"+",""),"(",""),")",""),4,3)&amp;"-"&amp;MID(SUBSTITUTE(SUBSTITUTE(SUBSTITUTE(SUBSTITUTE(SUBSTITUTE(Клиенты_исходные!D121," ",""),"-",""),"+",""),"(",""),")",""),6,2)&amp;"-"&amp;MID(SUBSTITUTE(SUBSTITUTE(SUBSTITUTE(SUBSTITUTE(SUBSTITUTE(Клиенты_исходные!D121," ",""),"-",""),"+",""),"(",""),")",""),8,2),Клиенты_исходные!D121)))</f>
        <v xml:space="preserve">+7 (903) 678-90-12</v>
      </c>
      <c r="F121" t="str">
        <f>IFERROR(VLOOKUP(Клиенты_исходные!F121,Справочники!$J$2:$K$50,2,FALSE),Клиенты_исходные!F121)</f>
        <v>Волгоград</v>
      </c>
      <c r="G121" s="8">
        <f>IFERROR(IF(ISNUMBER(FIND(".",Клиенты_исходные!G121)),DATE(RIGHT(Клиенты_исходные!G121,4),MID(Клиенты_исходные!G121,4,2),LEFT(Клиенты_исходные!G121,2)),DATE(LEFT(Клиенты_исходные!G121,4),MID(Клиенты_исходные!G121,6,2),RIGHT(Клиенты_исходные!G121,2))),Клиенты_исходные!G121)</f>
        <v>45757</v>
      </c>
      <c r="H121">
        <f t="shared" ca="1" si="52"/>
        <v>55</v>
      </c>
      <c r="I121" t="str">
        <f t="shared" si="53"/>
        <v>OK</v>
      </c>
      <c r="J121" t="str">
        <f t="shared" si="54"/>
        <v xml:space="preserve">Ошибка Email</v>
      </c>
    </row>
    <row r="122">
      <c r="A122" t="str">
        <f>Клиенты_исходные!A122</f>
        <v>C0121</v>
      </c>
      <c r="B122" t="str">
        <f>PROPER(TRIM(Клиенты_исходные!B122))</f>
        <v xml:space="preserve">Васильев Иван Петрович</v>
      </c>
      <c r="C122" s="8">
        <f>IFERROR(IF(ISNUMBER(FIND(".",Клиенты_исходные!C122)),DATE(RIGHT(Клиенты_исходные!C122,4),MID(Клиенты_исходные!C122,4,2),LEFT(Клиенты_исходные!C122,2)),DATE(LEFT(Клиенты_исходные!C122,4),MID(Клиенты_исходные!C122,6,2),RIGHT(Клиенты_исходные!C122,2))),Клиенты_исходные!C122)</f>
        <v>32223</v>
      </c>
      <c r="D122" t="str">
        <f>IF(ISBLANK(Клиенты_исходные!D122),"",IF(LEN(SUBSTITUTE(SUBSTITUTE(SUBSTITUTE(SUBSTITUTE(SUBSTITUTE(Клиенты_исходные!D122," ",""),"-",""),"+",""),"(",""),")",""))=11,"+7 ("&amp;MID(IF(LEFT(SUBSTITUTE(SUBSTITUTE(SUBSTITUTE(SUBSTITUTE(SUBSTITUTE(Клиенты_исходные!D122," ",""),"-",""),"+",""),"(",""),")",""))="8","7"&amp;MID(SUBSTITUTE(SUBSTITUTE(SUBSTITUTE(SUBSTITUTE(SUBSTITUTE(Клиенты_исходные!D122," ",""),"-",""),"+",""),"(",""),")",""),2,10),SUBSTITUTE(SUBSTITUTE(SUBSTITUTE(SUBSTITUTE(SUBSTITUTE(Клиенты_исходные!D122," ",""),"-",""),"+",""),"(",""),")","")),2,3)&amp;") "&amp;MID(IF(LEFT(SUBSTITUTE(SUBSTITUTE(SUBSTITUTE(SUBSTITUTE(SUBSTITUTE(Клиенты_исходные!D122," ",""),"-",""),"+",""),"(",""),")",""))="8","7"&amp;MID(SUBSTITUTE(SUBSTITUTE(SUBSTITUTE(SUBSTITUTE(SUBSTITUTE(Клиенты_исходные!D122," ",""),"-",""),"+",""),"(",""),")",""),2,10),SUBSTITUTE(SUBSTITUTE(SUBSTITUTE(SUBSTITUTE(SUBSTITUTE(Клиенты_исходные!D122," ",""),"-",""),"+",""),"(",""),")","")),5,3)&amp;"-"&amp;MID(IF(LEFT(SUBSTITUTE(SUBSTITUTE(SUBSTITUTE(SUBSTITUTE(SUBSTITUTE(Клиенты_исходные!D122," ",""),"-",""),"+",""),"(",""),")",""))="8","7"&amp;MID(SUBSTITUTE(SUBSTITUTE(SUBSTITUTE(SUBSTITUTE(SUBSTITUTE(Клиенты_исходные!D122," ",""),"-",""),"+",""),"(",""),")",""),2,10),SUBSTITUTE(SUBSTITUTE(SUBSTITUTE(SUBSTITUTE(SUBSTITUTE(Клиенты_исходные!D122," ",""),"-",""),"+",""),"(",""),")","")),8,2)&amp;"-"&amp;MID(IF(LEFT(SUBSTITUTE(SUBSTITUTE(SUBSTITUTE(SUBSTITUTE(SUBSTITUTE(Клиенты_исходные!D122," ",""),"-",""),"+",""),"(",""),")",""))="8","7"&amp;MID(SUBSTITUTE(SUBSTITUTE(SUBSTITUTE(SUBSTITUTE(SUBSTITUTE(Клиенты_исходные!D122," ",""),"-",""),"+",""),"(",""),")",""),2,10),SUBSTITUTE(SUBSTITUTE(SUBSTITUTE(SUBSTITUTE(SUBSTITUTE(Клиенты_исходные!D122," ",""),"-",""),"+",""),"(",""),")","")),10,2),IF(LEN(SUBSTITUTE(SUBSTITUTE(SUBSTITUTE(SUBSTITUTE(SUBSTITUTE(Клиенты_исходные!D122," ",""),"-",""),"+",""),"(",""),")",""))=10,"+7 ("&amp;MID(SUBSTITUTE(SUBSTITUTE(SUBSTITUTE(SUBSTITUTE(SUBSTITUTE(Клиенты_исходные!D122," ",""),"-",""),"+",""),"(",""),")",""),1,3)&amp;") "&amp;MID(SUBSTITUTE(SUBSTITUTE(SUBSTITUTE(SUBSTITUTE(SUBSTITUTE(Клиенты_исходные!D122," ",""),"-",""),"+",""),"(",""),")",""),4,3)&amp;"-"&amp;MID(SUBSTITUTE(SUBSTITUTE(SUBSTITUTE(SUBSTITUTE(SUBSTITUTE(Клиенты_исходные!D122," ",""),"-",""),"+",""),"(",""),")",""),6,2)&amp;"-"&amp;MID(SUBSTITUTE(SUBSTITUTE(SUBSTITUTE(SUBSTITUTE(SUBSTITUTE(Клиенты_исходные!D122," ",""),"-",""),"+",""),"(",""),")",""),8,2),Клиенты_исходные!D122)))</f>
        <v xml:space="preserve">+7 (903) 678-90-12</v>
      </c>
      <c r="F122" t="str">
        <f>IFERROR(VLOOKUP(Клиенты_исходные!F122,Справочники!$J$2:$K$50,2,FALSE),Клиенты_исходные!F122)</f>
        <v>Воронеж</v>
      </c>
      <c r="G122" s="8">
        <f>IFERROR(IF(ISNUMBER(FIND(".",Клиенты_исходные!G122)),DATE(RIGHT(Клиенты_исходные!G122,4),MID(Клиенты_исходные!G122,4,2),LEFT(Клиенты_исходные!G122,2)),DATE(LEFT(Клиенты_исходные!G122,4),MID(Клиенты_исходные!G122,6,2),RIGHT(Клиенты_исходные!G122,2))),Клиенты_исходные!G122)</f>
        <v>45778</v>
      </c>
      <c r="H122">
        <f t="shared" ca="1" si="52"/>
        <v>38</v>
      </c>
      <c r="I122" t="str">
        <f t="shared" si="53"/>
        <v>OK</v>
      </c>
      <c r="J122" t="str">
        <f t="shared" si="54"/>
        <v xml:space="preserve">Ошибка Email</v>
      </c>
    </row>
    <row r="123">
      <c r="A123" t="str">
        <f>Клиенты_исходные!A123</f>
        <v>C0122</v>
      </c>
      <c r="B123" t="str">
        <f>PROPER(TRIM(Клиенты_исходные!B123))</f>
        <v xml:space="preserve">Ковалев Сергей Владимирович</v>
      </c>
      <c r="C123" s="8">
        <f>IFERROR(IF(ISNUMBER(FIND(".",Клиенты_исходные!C123)),DATE(RIGHT(Клиенты_исходные!C123,4),MID(Клиенты_исходные!C123,4,2),LEFT(Клиенты_исходные!C123,2)),DATE(LEFT(Клиенты_исходные!C123,4),MID(Клиенты_исходные!C123,6,2),RIGHT(Клиенты_исходные!C123,2))),Клиенты_исходные!C123)</f>
        <v>30576</v>
      </c>
      <c r="D123" t="str">
        <f>IF(ISBLANK(Клиенты_исходные!D123),"",IF(LEN(SUBSTITUTE(SUBSTITUTE(SUBSTITUTE(SUBSTITUTE(SUBSTITUTE(Клиенты_исходные!D123," ",""),"-",""),"+",""),"(",""),")",""))=11,"+7 ("&amp;MID(IF(LEFT(SUBSTITUTE(SUBSTITUTE(SUBSTITUTE(SUBSTITUTE(SUBSTITUTE(Клиенты_исходные!D123," ",""),"-",""),"+",""),"(",""),")",""))="8","7"&amp;MID(SUBSTITUTE(SUBSTITUTE(SUBSTITUTE(SUBSTITUTE(SUBSTITUTE(Клиенты_исходные!D123," ",""),"-",""),"+",""),"(",""),")",""),2,10),SUBSTITUTE(SUBSTITUTE(SUBSTITUTE(SUBSTITUTE(SUBSTITUTE(Клиенты_исходные!D123," ",""),"-",""),"+",""),"(",""),")","")),2,3)&amp;") "&amp;MID(IF(LEFT(SUBSTITUTE(SUBSTITUTE(SUBSTITUTE(SUBSTITUTE(SUBSTITUTE(Клиенты_исходные!D123," ",""),"-",""),"+",""),"(",""),")",""))="8","7"&amp;MID(SUBSTITUTE(SUBSTITUTE(SUBSTITUTE(SUBSTITUTE(SUBSTITUTE(Клиенты_исходные!D123," ",""),"-",""),"+",""),"(",""),")",""),2,10),SUBSTITUTE(SUBSTITUTE(SUBSTITUTE(SUBSTITUTE(SUBSTITUTE(Клиенты_исходные!D123," ",""),"-",""),"+",""),"(",""),")","")),5,3)&amp;"-"&amp;MID(IF(LEFT(SUBSTITUTE(SUBSTITUTE(SUBSTITUTE(SUBSTITUTE(SUBSTITUTE(Клиенты_исходные!D123," ",""),"-",""),"+",""),"(",""),")",""))="8","7"&amp;MID(SUBSTITUTE(SUBSTITUTE(SUBSTITUTE(SUBSTITUTE(SUBSTITUTE(Клиенты_исходные!D123," ",""),"-",""),"+",""),"(",""),")",""),2,10),SUBSTITUTE(SUBSTITUTE(SUBSTITUTE(SUBSTITUTE(SUBSTITUTE(Клиенты_исходные!D123," ",""),"-",""),"+",""),"(",""),")","")),8,2)&amp;"-"&amp;MID(IF(LEFT(SUBSTITUTE(SUBSTITUTE(SUBSTITUTE(SUBSTITUTE(SUBSTITUTE(Клиенты_исходные!D123," ",""),"-",""),"+",""),"(",""),")",""))="8","7"&amp;MID(SUBSTITUTE(SUBSTITUTE(SUBSTITUTE(SUBSTITUTE(SUBSTITUTE(Клиенты_исходные!D123," ",""),"-",""),"+",""),"(",""),")",""),2,10),SUBSTITUTE(SUBSTITUTE(SUBSTITUTE(SUBSTITUTE(SUBSTITUTE(Клиенты_исходные!D123," ",""),"-",""),"+",""),"(",""),")","")),10,2),IF(LEN(SUBSTITUTE(SUBSTITUTE(SUBSTITUTE(SUBSTITUTE(SUBSTITUTE(Клиенты_исходные!D123," ",""),"-",""),"+",""),"(",""),")",""))=10,"+7 ("&amp;MID(SUBSTITUTE(SUBSTITUTE(SUBSTITUTE(SUBSTITUTE(SUBSTITUTE(Клиенты_исходные!D123," ",""),"-",""),"+",""),"(",""),")",""),1,3)&amp;") "&amp;MID(SUBSTITUTE(SUBSTITUTE(SUBSTITUTE(SUBSTITUTE(SUBSTITUTE(Клиенты_исходные!D123," ",""),"-",""),"+",""),"(",""),")",""),4,3)&amp;"-"&amp;MID(SUBSTITUTE(SUBSTITUTE(SUBSTITUTE(SUBSTITUTE(SUBSTITUTE(Клиенты_исходные!D123," ",""),"-",""),"+",""),"(",""),")",""),6,2)&amp;"-"&amp;MID(SUBSTITUTE(SUBSTITUTE(SUBSTITUTE(SUBSTITUTE(SUBSTITUTE(Клиенты_исходные!D123," ",""),"-",""),"+",""),"(",""),")",""),8,2),Клиенты_исходные!D123)))</f>
        <v xml:space="preserve">+7 (903) 678-90-12</v>
      </c>
      <c r="F123" t="str">
        <f>IFERROR(VLOOKUP(Клиенты_исходные!F123,Справочники!$J$2:$K$50,2,FALSE),Клиенты_исходные!F123)</f>
        <v>Саратов</v>
      </c>
      <c r="G123" s="8">
        <f>IFERROR(IF(ISNUMBER(FIND(".",Клиенты_исходные!G123)),DATE(RIGHT(Клиенты_исходные!G123,4),MID(Клиенты_исходные!G123,4,2),LEFT(Клиенты_исходные!G123,2)),DATE(LEFT(Клиенты_исходные!G123,4),MID(Клиенты_исходные!G123,6,2),RIGHT(Клиенты_исходные!G123,2))),Клиенты_исходные!G123)</f>
        <v>45792</v>
      </c>
      <c r="H123">
        <f t="shared" ca="1" si="52"/>
        <v>43</v>
      </c>
      <c r="I123" t="str">
        <f t="shared" si="53"/>
        <v>OK</v>
      </c>
      <c r="J123" t="str">
        <f t="shared" si="54"/>
        <v xml:space="preserve">Ошибка Email</v>
      </c>
    </row>
    <row r="124">
      <c r="A124" t="str">
        <f>Клиенты_исходные!A124</f>
        <v>C0123</v>
      </c>
      <c r="B124" t="str">
        <f>PROPER(TRIM(Клиенты_исходные!B124))</f>
        <v xml:space="preserve">Мельникова Ольга Евгеньевна</v>
      </c>
      <c r="C124" s="8">
        <f>IFERROR(IF(ISNUMBER(FIND(".",Клиенты_исходные!C124)),DATE(RIGHT(Клиенты_исходные!C124,4),MID(Клиенты_исходные!C124,4,2),LEFT(Клиенты_исходные!C124,2)),DATE(LEFT(Клиенты_исходные!C124,4),MID(Клиенты_исходные!C124,6,2),RIGHT(Клиенты_исходные!C124,2))),Клиенты_исходные!C124)</f>
        <v>33430</v>
      </c>
      <c r="D124" t="str">
        <f>IF(ISBLANK(Клиенты_исходные!D124),"",IF(LEN(SUBSTITUTE(SUBSTITUTE(SUBSTITUTE(SUBSTITUTE(SUBSTITUTE(Клиенты_исходные!D124," ",""),"-",""),"+",""),"(",""),")",""))=11,"+7 ("&amp;MID(IF(LEFT(SUBSTITUTE(SUBSTITUTE(SUBSTITUTE(SUBSTITUTE(SUBSTITUTE(Клиенты_исходные!D124," ",""),"-",""),"+",""),"(",""),")",""))="8","7"&amp;MID(SUBSTITUTE(SUBSTITUTE(SUBSTITUTE(SUBSTITUTE(SUBSTITUTE(Клиенты_исходные!D124," ",""),"-",""),"+",""),"(",""),")",""),2,10),SUBSTITUTE(SUBSTITUTE(SUBSTITUTE(SUBSTITUTE(SUBSTITUTE(Клиенты_исходные!D124," ",""),"-",""),"+",""),"(",""),")","")),2,3)&amp;") "&amp;MID(IF(LEFT(SUBSTITUTE(SUBSTITUTE(SUBSTITUTE(SUBSTITUTE(SUBSTITUTE(Клиенты_исходные!D124," ",""),"-",""),"+",""),"(",""),")",""))="8","7"&amp;MID(SUBSTITUTE(SUBSTITUTE(SUBSTITUTE(SUBSTITUTE(SUBSTITUTE(Клиенты_исходные!D124," ",""),"-",""),"+",""),"(",""),")",""),2,10),SUBSTITUTE(SUBSTITUTE(SUBSTITUTE(SUBSTITUTE(SUBSTITUTE(Клиенты_исходные!D124," ",""),"-",""),"+",""),"(",""),")","")),5,3)&amp;"-"&amp;MID(IF(LEFT(SUBSTITUTE(SUBSTITUTE(SUBSTITUTE(SUBSTITUTE(SUBSTITUTE(Клиенты_исходные!D124," ",""),"-",""),"+",""),"(",""),")",""))="8","7"&amp;MID(SUBSTITUTE(SUBSTITUTE(SUBSTITUTE(SUBSTITUTE(SUBSTITUTE(Клиенты_исходные!D124," ",""),"-",""),"+",""),"(",""),")",""),2,10),SUBSTITUTE(SUBSTITUTE(SUBSTITUTE(SUBSTITUTE(SUBSTITUTE(Клиенты_исходные!D124," ",""),"-",""),"+",""),"(",""),")","")),8,2)&amp;"-"&amp;MID(IF(LEFT(SUBSTITUTE(SUBSTITUTE(SUBSTITUTE(SUBSTITUTE(SUBSTITUTE(Клиенты_исходные!D124," ",""),"-",""),"+",""),"(",""),")",""))="8","7"&amp;MID(SUBSTITUTE(SUBSTITUTE(SUBSTITUTE(SUBSTITUTE(SUBSTITUTE(Клиенты_исходные!D124," ",""),"-",""),"+",""),"(",""),")",""),2,10),SUBSTITUTE(SUBSTITUTE(SUBSTITUTE(SUBSTITUTE(SUBSTITUTE(Клиенты_исходные!D124," ",""),"-",""),"+",""),"(",""),")","")),10,2),IF(LEN(SUBSTITUTE(SUBSTITUTE(SUBSTITUTE(SUBSTITUTE(SUBSTITUTE(Клиенты_исходные!D124," ",""),"-",""),"+",""),"(",""),")",""))=10,"+7 ("&amp;MID(SUBSTITUTE(SUBSTITUTE(SUBSTITUTE(SUBSTITUTE(SUBSTITUTE(Клиенты_исходные!D124," ",""),"-",""),"+",""),"(",""),")",""),1,3)&amp;") "&amp;MID(SUBSTITUTE(SUBSTITUTE(SUBSTITUTE(SUBSTITUTE(SUBSTITUTE(Клиенты_исходные!D124," ",""),"-",""),"+",""),"(",""),")",""),4,3)&amp;"-"&amp;MID(SUBSTITUTE(SUBSTITUTE(SUBSTITUTE(SUBSTITUTE(SUBSTITUTE(Клиенты_исходные!D124," ",""),"-",""),"+",""),"(",""),")",""),6,2)&amp;"-"&amp;MID(SUBSTITUTE(SUBSTITUTE(SUBSTITUTE(SUBSTITUTE(SUBSTITUTE(Клиенты_исходные!D124," ",""),"-",""),"+",""),"(",""),")",""),8,2),Клиенты_исходные!D124)))</f>
        <v xml:space="preserve">+7 (903) 789-01-23</v>
      </c>
      <c r="F124" t="str">
        <f>IFERROR(VLOOKUP(Клиенты_исходные!F124,Справочники!$J$2:$K$50,2,FALSE),Клиенты_исходные!F124)</f>
        <v>Тольятти</v>
      </c>
      <c r="G124" s="8">
        <f>IFERROR(IF(ISNUMBER(FIND(".",Клиенты_исходные!G124)),DATE(RIGHT(Клиенты_исходные!G124,4),MID(Клиенты_исходные!G124,4,2),LEFT(Клиенты_исходные!G124,2)),DATE(LEFT(Клиенты_исходные!G124,4),MID(Клиенты_исходные!G124,6,2),RIGHT(Клиенты_исходные!G124,2))),Клиенты_исходные!G124)</f>
        <v>45792</v>
      </c>
      <c r="H124">
        <f t="shared" ca="1" si="52"/>
        <v>35</v>
      </c>
      <c r="I124" t="str">
        <f t="shared" si="53"/>
        <v>OK</v>
      </c>
      <c r="J124" t="str">
        <f t="shared" si="54"/>
        <v xml:space="preserve">Ошибка Email</v>
      </c>
    </row>
    <row r="125">
      <c r="A125" t="str">
        <f>Клиенты_исходные!A125</f>
        <v>C0124</v>
      </c>
      <c r="B125" t="str">
        <f>PROPER(TRIM(Клиенты_исходные!B125))</f>
        <v xml:space="preserve">Поляков Илья Анатольевич</v>
      </c>
      <c r="C125" s="8">
        <f>IFERROR(IF(ISNUMBER(FIND(".",Клиенты_исходные!C125)),DATE(RIGHT(Клиенты_исходные!C125,4),MID(Клиенты_исходные!C125,4,2),LEFT(Клиенты_исходные!C125,2)),DATE(LEFT(Клиенты_исходные!C125,4),MID(Клиенты_исходные!C125,6,2),RIGHT(Клиенты_исходные!C125,2))),Клиенты_исходные!C125)</f>
        <v>28092</v>
      </c>
      <c r="D125" t="str">
        <f>IF(ISBLANK(Клиенты_исходные!D125),"",IF(LEN(SUBSTITUTE(SUBSTITUTE(SUBSTITUTE(SUBSTITUTE(SUBSTITUTE(Клиенты_исходные!D125," ",""),"-",""),"+",""),"(",""),")",""))=11,"+7 ("&amp;MID(IF(LEFT(SUBSTITUTE(SUBSTITUTE(SUBSTITUTE(SUBSTITUTE(SUBSTITUTE(Клиенты_исходные!D125," ",""),"-",""),"+",""),"(",""),")",""))="8","7"&amp;MID(SUBSTITUTE(SUBSTITUTE(SUBSTITUTE(SUBSTITUTE(SUBSTITUTE(Клиенты_исходные!D125," ",""),"-",""),"+",""),"(",""),")",""),2,10),SUBSTITUTE(SUBSTITUTE(SUBSTITUTE(SUBSTITUTE(SUBSTITUTE(Клиенты_исходные!D125," ",""),"-",""),"+",""),"(",""),")","")),2,3)&amp;") "&amp;MID(IF(LEFT(SUBSTITUTE(SUBSTITUTE(SUBSTITUTE(SUBSTITUTE(SUBSTITUTE(Клиенты_исходные!D125," ",""),"-",""),"+",""),"(",""),")",""))="8","7"&amp;MID(SUBSTITUTE(SUBSTITUTE(SUBSTITUTE(SUBSTITUTE(SUBSTITUTE(Клиенты_исходные!D125," ",""),"-",""),"+",""),"(",""),")",""),2,10),SUBSTITUTE(SUBSTITUTE(SUBSTITUTE(SUBSTITUTE(SUBSTITUTE(Клиенты_исходные!D125," ",""),"-",""),"+",""),"(",""),")","")),5,3)&amp;"-"&amp;MID(IF(LEFT(SUBSTITUTE(SUBSTITUTE(SUBSTITUTE(SUBSTITUTE(SUBSTITUTE(Клиенты_исходные!D125," ",""),"-",""),"+",""),"(",""),")",""))="8","7"&amp;MID(SUBSTITUTE(SUBSTITUTE(SUBSTITUTE(SUBSTITUTE(SUBSTITUTE(Клиенты_исходные!D125," ",""),"-",""),"+",""),"(",""),")",""),2,10),SUBSTITUTE(SUBSTITUTE(SUBSTITUTE(SUBSTITUTE(SUBSTITUTE(Клиенты_исходные!D125," ",""),"-",""),"+",""),"(",""),")","")),8,2)&amp;"-"&amp;MID(IF(LEFT(SUBSTITUTE(SUBSTITUTE(SUBSTITUTE(SUBSTITUTE(SUBSTITUTE(Клиенты_исходные!D125," ",""),"-",""),"+",""),"(",""),")",""))="8","7"&amp;MID(SUBSTITUTE(SUBSTITUTE(SUBSTITUTE(SUBSTITUTE(SUBSTITUTE(Клиенты_исходные!D125," ",""),"-",""),"+",""),"(",""),")",""),2,10),SUBSTITUTE(SUBSTITUTE(SUBSTITUTE(SUBSTITUTE(SUBSTITUTE(Клиенты_исходные!D125," ",""),"-",""),"+",""),"(",""),")","")),10,2),IF(LEN(SUBSTITUTE(SUBSTITUTE(SUBSTITUTE(SUBSTITUTE(SUBSTITUTE(Клиенты_исходные!D125," ",""),"-",""),"+",""),"(",""),")",""))=10,"+7 ("&amp;MID(SUBSTITUTE(SUBSTITUTE(SUBSTITUTE(SUBSTITUTE(SUBSTITUTE(Клиенты_исходные!D125," ",""),"-",""),"+",""),"(",""),")",""),1,3)&amp;") "&amp;MID(SUBSTITUTE(SUBSTITUTE(SUBSTITUTE(SUBSTITUTE(SUBSTITUTE(Клиенты_исходные!D125," ",""),"-",""),"+",""),"(",""),")",""),4,3)&amp;"-"&amp;MID(SUBSTITUTE(SUBSTITUTE(SUBSTITUTE(SUBSTITUTE(SUBSTITUTE(Клиенты_исходные!D125," ",""),"-",""),"+",""),"(",""),")",""),6,2)&amp;"-"&amp;MID(SUBSTITUTE(SUBSTITUTE(SUBSTITUTE(SUBSTITUTE(SUBSTITUTE(Клиенты_исходные!D125," ",""),"-",""),"+",""),"(",""),")",""),8,2),Клиенты_исходные!D125)))</f>
        <v xml:space="preserve">+7 (903) 789-01-23</v>
      </c>
      <c r="F125" t="str">
        <f>IFERROR(VLOOKUP(Клиенты_исходные!F125,Справочники!$J$2:$K$50,2,FALSE),Клиенты_исходные!F125)</f>
        <v>Тюмень</v>
      </c>
      <c r="G125" s="8">
        <f>IFERROR(IF(ISNUMBER(FIND(".",Клиенты_исходные!G125)),DATE(RIGHT(Клиенты_исходные!G125,4),MID(Клиенты_исходные!G125,4,2),LEFT(Клиенты_исходные!G125,2)),DATE(LEFT(Клиенты_исходные!G125,4),MID(Клиенты_исходные!G125,6,2),RIGHT(Клиенты_исходные!G125,2))),Клиенты_исходные!G125)</f>
        <v>45809</v>
      </c>
      <c r="H125">
        <f t="shared" ca="1" si="52"/>
        <v>49</v>
      </c>
      <c r="I125" t="str">
        <f t="shared" si="53"/>
        <v>OK</v>
      </c>
      <c r="J125" t="str">
        <f t="shared" si="54"/>
        <v xml:space="preserve">Ошибка Email</v>
      </c>
    </row>
    <row r="126">
      <c r="A126" t="str">
        <f>Клиенты_исходные!A126</f>
        <v>C0125</v>
      </c>
      <c r="B126" t="str">
        <f>PROPER(TRIM(Клиенты_исходные!B126))</f>
        <v xml:space="preserve">Куликова Екатерина Игоревна</v>
      </c>
      <c r="C126" s="8">
        <f>IFERROR(IF(ISNUMBER(FIND(".",Клиенты_исходные!C126)),DATE(RIGHT(Клиенты_исходные!C126,4),MID(Клиенты_исходные!C126,4,2),LEFT(Клиенты_исходные!C126,2)),DATE(LEFT(Клиенты_исходные!C126,4),MID(Клиенты_исходные!C126,6,2),RIGHT(Клиенты_исходные!C126,2))),Клиенты_исходные!C126)</f>
        <v>31202</v>
      </c>
      <c r="D126" t="str">
        <f>IF(ISBLANK(Клиенты_исходные!D126),"",IF(LEN(SUBSTITUTE(SUBSTITUTE(SUBSTITUTE(SUBSTITUTE(SUBSTITUTE(Клиенты_исходные!D126," ",""),"-",""),"+",""),"(",""),")",""))=11,"+7 ("&amp;MID(IF(LEFT(SUBSTITUTE(SUBSTITUTE(SUBSTITUTE(SUBSTITUTE(SUBSTITUTE(Клиенты_исходные!D126," ",""),"-",""),"+",""),"(",""),")",""))="8","7"&amp;MID(SUBSTITUTE(SUBSTITUTE(SUBSTITUTE(SUBSTITUTE(SUBSTITUTE(Клиенты_исходные!D126," ",""),"-",""),"+",""),"(",""),")",""),2,10),SUBSTITUTE(SUBSTITUTE(SUBSTITUTE(SUBSTITUTE(SUBSTITUTE(Клиенты_исходные!D126," ",""),"-",""),"+",""),"(",""),")","")),2,3)&amp;") "&amp;MID(IF(LEFT(SUBSTITUTE(SUBSTITUTE(SUBSTITUTE(SUBSTITUTE(SUBSTITUTE(Клиенты_исходные!D126," ",""),"-",""),"+",""),"(",""),")",""))="8","7"&amp;MID(SUBSTITUTE(SUBSTITUTE(SUBSTITUTE(SUBSTITUTE(SUBSTITUTE(Клиенты_исходные!D126," ",""),"-",""),"+",""),"(",""),")",""),2,10),SUBSTITUTE(SUBSTITUTE(SUBSTITUTE(SUBSTITUTE(SUBSTITUTE(Клиенты_исходные!D126," ",""),"-",""),"+",""),"(",""),")","")),5,3)&amp;"-"&amp;MID(IF(LEFT(SUBSTITUTE(SUBSTITUTE(SUBSTITUTE(SUBSTITUTE(SUBSTITUTE(Клиенты_исходные!D126," ",""),"-",""),"+",""),"(",""),")",""))="8","7"&amp;MID(SUBSTITUTE(SUBSTITUTE(SUBSTITUTE(SUBSTITUTE(SUBSTITUTE(Клиенты_исходные!D126," ",""),"-",""),"+",""),"(",""),")",""),2,10),SUBSTITUTE(SUBSTITUTE(SUBSTITUTE(SUBSTITUTE(SUBSTITUTE(Клиенты_исходные!D126," ",""),"-",""),"+",""),"(",""),")","")),8,2)&amp;"-"&amp;MID(IF(LEFT(SUBSTITUTE(SUBSTITUTE(SUBSTITUTE(SUBSTITUTE(SUBSTITUTE(Клиенты_исходные!D126," ",""),"-",""),"+",""),"(",""),")",""))="8","7"&amp;MID(SUBSTITUTE(SUBSTITUTE(SUBSTITUTE(SUBSTITUTE(SUBSTITUTE(Клиенты_исходные!D126," ",""),"-",""),"+",""),"(",""),")",""),2,10),SUBSTITUTE(SUBSTITUTE(SUBSTITUTE(SUBSTITUTE(SUBSTITUTE(Клиенты_исходные!D126," ",""),"-",""),"+",""),"(",""),")","")),10,2),IF(LEN(SUBSTITUTE(SUBSTITUTE(SUBSTITUTE(SUBSTITUTE(SUBSTITUTE(Клиенты_исходные!D126," ",""),"-",""),"+",""),"(",""),")",""))=10,"+7 ("&amp;MID(SUBSTITUTE(SUBSTITUTE(SUBSTITUTE(SUBSTITUTE(SUBSTITUTE(Клиенты_исходные!D126," ",""),"-",""),"+",""),"(",""),")",""),1,3)&amp;") "&amp;MID(SUBSTITUTE(SUBSTITUTE(SUBSTITUTE(SUBSTITUTE(SUBSTITUTE(Клиенты_исходные!D126," ",""),"-",""),"+",""),"(",""),")",""),4,3)&amp;"-"&amp;MID(SUBSTITUTE(SUBSTITUTE(SUBSTITUTE(SUBSTITUTE(SUBSTITUTE(Клиенты_исходные!D126," ",""),"-",""),"+",""),"(",""),")",""),6,2)&amp;"-"&amp;MID(SUBSTITUTE(SUBSTITUTE(SUBSTITUTE(SUBSTITUTE(SUBSTITUTE(Клиенты_исходные!D126," ",""),"-",""),"+",""),"(",""),")",""),8,2),Клиенты_исходные!D126)))</f>
        <v xml:space="preserve">+7 (903) 789-01-23</v>
      </c>
      <c r="F126" t="str">
        <f>IFERROR(VLOOKUP(Клиенты_исходные!F126,Справочники!$J$2:$K$50,2,FALSE),Клиенты_исходные!F126)</f>
        <v>Ижевск</v>
      </c>
      <c r="G126" s="8">
        <f>IFERROR(IF(ISNUMBER(FIND(".",Клиенты_исходные!G126)),DATE(RIGHT(Клиенты_исходные!G126,4),MID(Клиенты_исходные!G126,4,2),LEFT(Клиенты_исходные!G126,2)),DATE(LEFT(Клиенты_исходные!G126,4),MID(Клиенты_исходные!G126,6,2),RIGHT(Клиенты_исходные!G126,2))),Клиенты_исходные!G126)</f>
        <v>45818</v>
      </c>
      <c r="H126">
        <f t="shared" ca="1" si="52"/>
        <v>41</v>
      </c>
      <c r="I126" t="str">
        <f t="shared" si="53"/>
        <v>OK</v>
      </c>
      <c r="J126" t="str">
        <f t="shared" si="54"/>
        <v xml:space="preserve">Ошибка Email</v>
      </c>
    </row>
    <row r="127">
      <c r="A127" t="str">
        <f>Клиенты_исходные!A127</f>
        <v>C0126</v>
      </c>
      <c r="B127" t="str">
        <f>PROPER(TRIM(Клиенты_исходные!B127))</f>
        <v xml:space="preserve">Самойлов Денис Олегович</v>
      </c>
      <c r="C127" s="8">
        <f>IFERROR(IF(ISNUMBER(FIND(".",Клиенты_исходные!C127)),DATE(RIGHT(Клиенты_исходные!C127,4),MID(Клиенты_исходные!C127,4,2),LEFT(Клиенты_исходные!C127,2)),DATE(LEFT(Клиенты_исходные!C127,4),MID(Клиенты_исходные!C127,6,2),RIGHT(Клиенты_исходные!C127,2))),Клиенты_исходные!C127)</f>
        <v>34387</v>
      </c>
      <c r="D127" t="str">
        <f>IF(ISBLANK(Клиенты_исходные!D127),"",IF(LEN(SUBSTITUTE(SUBSTITUTE(SUBSTITUTE(SUBSTITUTE(SUBSTITUTE(Клиенты_исходные!D127," ",""),"-",""),"+",""),"(",""),")",""))=11,"+7 ("&amp;MID(IF(LEFT(SUBSTITUTE(SUBSTITUTE(SUBSTITUTE(SUBSTITUTE(SUBSTITUTE(Клиенты_исходные!D127," ",""),"-",""),"+",""),"(",""),")",""))="8","7"&amp;MID(SUBSTITUTE(SUBSTITUTE(SUBSTITUTE(SUBSTITUTE(SUBSTITUTE(Клиенты_исходные!D127," ",""),"-",""),"+",""),"(",""),")",""),2,10),SUBSTITUTE(SUBSTITUTE(SUBSTITUTE(SUBSTITUTE(SUBSTITUTE(Клиенты_исходные!D127," ",""),"-",""),"+",""),"(",""),")","")),2,3)&amp;") "&amp;MID(IF(LEFT(SUBSTITUTE(SUBSTITUTE(SUBSTITUTE(SUBSTITUTE(SUBSTITUTE(Клиенты_исходные!D127," ",""),"-",""),"+",""),"(",""),")",""))="8","7"&amp;MID(SUBSTITUTE(SUBSTITUTE(SUBSTITUTE(SUBSTITUTE(SUBSTITUTE(Клиенты_исходные!D127," ",""),"-",""),"+",""),"(",""),")",""),2,10),SUBSTITUTE(SUBSTITUTE(SUBSTITUTE(SUBSTITUTE(SUBSTITUTE(Клиенты_исходные!D127," ",""),"-",""),"+",""),"(",""),")","")),5,3)&amp;"-"&amp;MID(IF(LEFT(SUBSTITUTE(SUBSTITUTE(SUBSTITUTE(SUBSTITUTE(SUBSTITUTE(Клиенты_исходные!D127," ",""),"-",""),"+",""),"(",""),")",""))="8","7"&amp;MID(SUBSTITUTE(SUBSTITUTE(SUBSTITUTE(SUBSTITUTE(SUBSTITUTE(Клиенты_исходные!D127," ",""),"-",""),"+",""),"(",""),")",""),2,10),SUBSTITUTE(SUBSTITUTE(SUBSTITUTE(SUBSTITUTE(SUBSTITUTE(Клиенты_исходные!D127," ",""),"-",""),"+",""),"(",""),")","")),8,2)&amp;"-"&amp;MID(IF(LEFT(SUBSTITUTE(SUBSTITUTE(SUBSTITUTE(SUBSTITUTE(SUBSTITUTE(Клиенты_исходные!D127," ",""),"-",""),"+",""),"(",""),")",""))="8","7"&amp;MID(SUBSTITUTE(SUBSTITUTE(SUBSTITUTE(SUBSTITUTE(SUBSTITUTE(Клиенты_исходные!D127," ",""),"-",""),"+",""),"(",""),")",""),2,10),SUBSTITUTE(SUBSTITUTE(SUBSTITUTE(SUBSTITUTE(SUBSTITUTE(Клиенты_исходные!D127," ",""),"-",""),"+",""),"(",""),")","")),10,2),IF(LEN(SUBSTITUTE(SUBSTITUTE(SUBSTITUTE(SUBSTITUTE(SUBSTITUTE(Клиенты_исходные!D127," ",""),"-",""),"+",""),"(",""),")",""))=10,"+7 ("&amp;MID(SUBSTITUTE(SUBSTITUTE(SUBSTITUTE(SUBSTITUTE(SUBSTITUTE(Клиенты_исходные!D127," ",""),"-",""),"+",""),"(",""),")",""),1,3)&amp;") "&amp;MID(SUBSTITUTE(SUBSTITUTE(SUBSTITUTE(SUBSTITUTE(SUBSTITUTE(Клиенты_исходные!D127," ",""),"-",""),"+",""),"(",""),")",""),4,3)&amp;"-"&amp;MID(SUBSTITUTE(SUBSTITUTE(SUBSTITUTE(SUBSTITUTE(SUBSTITUTE(Клиенты_исходные!D127," ",""),"-",""),"+",""),"(",""),")",""),6,2)&amp;"-"&amp;MID(SUBSTITUTE(SUBSTITUTE(SUBSTITUTE(SUBSTITUTE(SUBSTITUTE(Клиенты_исходные!D127," ",""),"-",""),"+",""),"(",""),")",""),8,2),Клиенты_исходные!D127)))</f>
        <v xml:space="preserve">+7 (903) 890-12-34</v>
      </c>
      <c r="F127" t="str">
        <f>IFERROR(VLOOKUP(Клиенты_исходные!F127,Справочники!$J$2:$K$50,2,FALSE),Клиенты_исходные!F127)</f>
        <v>Барнаул</v>
      </c>
      <c r="G127" s="8">
        <f>IFERROR(IF(ISNUMBER(FIND(".",Клиенты_исходные!G127)),DATE(RIGHT(Клиенты_исходные!G127,4),MID(Клиенты_исходные!G127,4,2),LEFT(Клиенты_исходные!G127,2)),DATE(LEFT(Клиенты_исходные!G127,4),MID(Клиенты_исходные!G127,6,2),RIGHT(Клиенты_исходные!G127,2))),Клиенты_исходные!G127)</f>
        <v>45818</v>
      </c>
      <c r="H127">
        <f t="shared" ca="1" si="52"/>
        <v>32</v>
      </c>
      <c r="I127" t="str">
        <f t="shared" si="53"/>
        <v>OK</v>
      </c>
      <c r="J127" t="str">
        <f t="shared" si="54"/>
        <v xml:space="preserve">Ошибка Email</v>
      </c>
    </row>
    <row r="128">
      <c r="A128" t="str">
        <f>Клиенты_исходные!A128</f>
        <v>C0127</v>
      </c>
      <c r="B128" t="str">
        <f>PROPER(TRIM(Клиенты_исходные!B128))</f>
        <v xml:space="preserve">Гущина Анастасия Павловна</v>
      </c>
      <c r="C128" s="8">
        <f>IFERROR(IF(ISNUMBER(FIND(".",Клиенты_исходные!C128)),DATE(RIGHT(Клиенты_исходные!C128,4),MID(Клиенты_исходные!C128,4,2),LEFT(Клиенты_исходные!C128,2)),DATE(LEFT(Клиенты_исходные!C128,4),MID(Клиенты_исходные!C128,6,2),RIGHT(Клиенты_исходные!C128,2))),Клиенты_исходные!C128)</f>
        <v>28772</v>
      </c>
      <c r="D128" t="str">
        <f>IF(ISBLANK(Клиенты_исходные!D128),"",IF(LEN(SUBSTITUTE(SUBSTITUTE(SUBSTITUTE(SUBSTITUTE(SUBSTITUTE(Клиенты_исходные!D128," ",""),"-",""),"+",""),"(",""),")",""))=11,"+7 ("&amp;MID(IF(LEFT(SUBSTITUTE(SUBSTITUTE(SUBSTITUTE(SUBSTITUTE(SUBSTITUTE(Клиенты_исходные!D128," ",""),"-",""),"+",""),"(",""),")",""))="8","7"&amp;MID(SUBSTITUTE(SUBSTITUTE(SUBSTITUTE(SUBSTITUTE(SUBSTITUTE(Клиенты_исходные!D128," ",""),"-",""),"+",""),"(",""),")",""),2,10),SUBSTITUTE(SUBSTITUTE(SUBSTITUTE(SUBSTITUTE(SUBSTITUTE(Клиенты_исходные!D128," ",""),"-",""),"+",""),"(",""),")","")),2,3)&amp;") "&amp;MID(IF(LEFT(SUBSTITUTE(SUBSTITUTE(SUBSTITUTE(SUBSTITUTE(SUBSTITUTE(Клиенты_исходные!D128," ",""),"-",""),"+",""),"(",""),")",""))="8","7"&amp;MID(SUBSTITUTE(SUBSTITUTE(SUBSTITUTE(SUBSTITUTE(SUBSTITUTE(Клиенты_исходные!D128," ",""),"-",""),"+",""),"(",""),")",""),2,10),SUBSTITUTE(SUBSTITUTE(SUBSTITUTE(SUBSTITUTE(SUBSTITUTE(Клиенты_исходные!D128," ",""),"-",""),"+",""),"(",""),")","")),5,3)&amp;"-"&amp;MID(IF(LEFT(SUBSTITUTE(SUBSTITUTE(SUBSTITUTE(SUBSTITUTE(SUBSTITUTE(Клиенты_исходные!D128," ",""),"-",""),"+",""),"(",""),")",""))="8","7"&amp;MID(SUBSTITUTE(SUBSTITUTE(SUBSTITUTE(SUBSTITUTE(SUBSTITUTE(Клиенты_исходные!D128," ",""),"-",""),"+",""),"(",""),")",""),2,10),SUBSTITUTE(SUBSTITUTE(SUBSTITUTE(SUBSTITUTE(SUBSTITUTE(Клиенты_исходные!D128," ",""),"-",""),"+",""),"(",""),")","")),8,2)&amp;"-"&amp;MID(IF(LEFT(SUBSTITUTE(SUBSTITUTE(SUBSTITUTE(SUBSTITUTE(SUBSTITUTE(Клиенты_исходные!D128," ",""),"-",""),"+",""),"(",""),")",""))="8","7"&amp;MID(SUBSTITUTE(SUBSTITUTE(SUBSTITUTE(SUBSTITUTE(SUBSTITUTE(Клиенты_исходные!D128," ",""),"-",""),"+",""),"(",""),")",""),2,10),SUBSTITUTE(SUBSTITUTE(SUBSTITUTE(SUBSTITUTE(SUBSTITUTE(Клиенты_исходные!D128," ",""),"-",""),"+",""),"(",""),")","")),10,2),IF(LEN(SUBSTITUTE(SUBSTITUTE(SUBSTITUTE(SUBSTITUTE(SUBSTITUTE(Клиенты_исходные!D128," ",""),"-",""),"+",""),"(",""),")",""))=10,"+7 ("&amp;MID(SUBSTITUTE(SUBSTITUTE(SUBSTITUTE(SUBSTITUTE(SUBSTITUTE(Клиенты_исходные!D128," ",""),"-",""),"+",""),"(",""),")",""),1,3)&amp;") "&amp;MID(SUBSTITUTE(SUBSTITUTE(SUBSTITUTE(SUBSTITUTE(SUBSTITUTE(Клиенты_исходные!D128," ",""),"-",""),"+",""),"(",""),")",""),4,3)&amp;"-"&amp;MID(SUBSTITUTE(SUBSTITUTE(SUBSTITUTE(SUBSTITUTE(SUBSTITUTE(Клиенты_исходные!D128," ",""),"-",""),"+",""),"(",""),")",""),6,2)&amp;"-"&amp;MID(SUBSTITUTE(SUBSTITUTE(SUBSTITUTE(SUBSTITUTE(SUBSTITUTE(Клиенты_исходные!D128," ",""),"-",""),"+",""),"(",""),")",""),8,2),Клиенты_исходные!D128)))</f>
        <v xml:space="preserve">+7 (903) 890-12-34</v>
      </c>
      <c r="F128" t="str">
        <f>IFERROR(VLOOKUP(Клиенты_исходные!F128,Справочники!$J$2:$K$50,2,FALSE),Клиенты_исходные!F128)</f>
        <v>Ульяновск</v>
      </c>
      <c r="G128" s="8">
        <f>IFERROR(IF(ISNUMBER(FIND(".",Клиенты_исходные!G128)),DATE(RIGHT(Клиенты_исходные!G128,4),MID(Клиенты_исходные!G128,4,2),LEFT(Клиенты_исходные!G128,2)),DATE(LEFT(Клиенты_исходные!G128,4),MID(Клиенты_исходные!G128,6,2),RIGHT(Клиенты_исходные!G128,2))),Клиенты_исходные!G128)</f>
        <v>45839</v>
      </c>
      <c r="H128">
        <f t="shared" ca="1" si="52"/>
        <v>47</v>
      </c>
      <c r="I128" t="str">
        <f t="shared" si="53"/>
        <v>OK</v>
      </c>
      <c r="J128" t="str">
        <f t="shared" si="54"/>
        <v xml:space="preserve">Ошибка Email</v>
      </c>
    </row>
    <row r="129">
      <c r="A129" t="str">
        <f>Клиенты_исходные!A129</f>
        <v>C0128</v>
      </c>
      <c r="B129" t="str">
        <f>PROPER(TRIM(Клиенты_исходные!B129))</f>
        <v xml:space="preserve">Кочетков Алексей Владиславович</v>
      </c>
      <c r="C129" s="8">
        <f>IFERROR(IF(ISNUMBER(FIND(".",Клиенты_исходные!C129)),DATE(RIGHT(Клиенты_исходные!C129,4),MID(Клиенты_исходные!C129,4,2),LEFT(Клиенты_исходные!C129,2)),DATE(LEFT(Клиенты_исходные!C129,4),MID(Клиенты_исходные!C129,6,2),RIGHT(Клиенты_исходные!C129,2))),Клиенты_исходные!C129)</f>
        <v>30178</v>
      </c>
      <c r="D129" t="str">
        <f>IF(ISBLANK(Клиенты_исходные!D129),"",IF(LEN(SUBSTITUTE(SUBSTITUTE(SUBSTITUTE(SUBSTITUTE(SUBSTITUTE(Клиенты_исходные!D129," ",""),"-",""),"+",""),"(",""),")",""))=11,"+7 ("&amp;MID(IF(LEFT(SUBSTITUTE(SUBSTITUTE(SUBSTITUTE(SUBSTITUTE(SUBSTITUTE(Клиенты_исходные!D129," ",""),"-",""),"+",""),"(",""),")",""))="8","7"&amp;MID(SUBSTITUTE(SUBSTITUTE(SUBSTITUTE(SUBSTITUTE(SUBSTITUTE(Клиенты_исходные!D129," ",""),"-",""),"+",""),"(",""),")",""),2,10),SUBSTITUTE(SUBSTITUTE(SUBSTITUTE(SUBSTITUTE(SUBSTITUTE(Клиенты_исходные!D129," ",""),"-",""),"+",""),"(",""),")","")),2,3)&amp;") "&amp;MID(IF(LEFT(SUBSTITUTE(SUBSTITUTE(SUBSTITUTE(SUBSTITUTE(SUBSTITUTE(Клиенты_исходные!D129," ",""),"-",""),"+",""),"(",""),")",""))="8","7"&amp;MID(SUBSTITUTE(SUBSTITUTE(SUBSTITUTE(SUBSTITUTE(SUBSTITUTE(Клиенты_исходные!D129," ",""),"-",""),"+",""),"(",""),")",""),2,10),SUBSTITUTE(SUBSTITUTE(SUBSTITUTE(SUBSTITUTE(SUBSTITUTE(Клиенты_исходные!D129," ",""),"-",""),"+",""),"(",""),")","")),5,3)&amp;"-"&amp;MID(IF(LEFT(SUBSTITUTE(SUBSTITUTE(SUBSTITUTE(SUBSTITUTE(SUBSTITUTE(Клиенты_исходные!D129," ",""),"-",""),"+",""),"(",""),")",""))="8","7"&amp;MID(SUBSTITUTE(SUBSTITUTE(SUBSTITUTE(SUBSTITUTE(SUBSTITUTE(Клиенты_исходные!D129," ",""),"-",""),"+",""),"(",""),")",""),2,10),SUBSTITUTE(SUBSTITUTE(SUBSTITUTE(SUBSTITUTE(SUBSTITUTE(Клиенты_исходные!D129," ",""),"-",""),"+",""),"(",""),")","")),8,2)&amp;"-"&amp;MID(IF(LEFT(SUBSTITUTE(SUBSTITUTE(SUBSTITUTE(SUBSTITUTE(SUBSTITUTE(Клиенты_исходные!D129," ",""),"-",""),"+",""),"(",""),")",""))="8","7"&amp;MID(SUBSTITUTE(SUBSTITUTE(SUBSTITUTE(SUBSTITUTE(SUBSTITUTE(Клиенты_исходные!D129," ",""),"-",""),"+",""),"(",""),")",""),2,10),SUBSTITUTE(SUBSTITUTE(SUBSTITUTE(SUBSTITUTE(SUBSTITUTE(Клиенты_исходные!D129," ",""),"-",""),"+",""),"(",""),")","")),10,2),IF(LEN(SUBSTITUTE(SUBSTITUTE(SUBSTITUTE(SUBSTITUTE(SUBSTITUTE(Клиенты_исходные!D129," ",""),"-",""),"+",""),"(",""),")",""))=10,"+7 ("&amp;MID(SUBSTITUTE(SUBSTITUTE(SUBSTITUTE(SUBSTITUTE(SUBSTITUTE(Клиенты_исходные!D129," ",""),"-",""),"+",""),"(",""),")",""),1,3)&amp;") "&amp;MID(SUBSTITUTE(SUBSTITUTE(SUBSTITUTE(SUBSTITUTE(SUBSTITUTE(Клиенты_исходные!D129," ",""),"-",""),"+",""),"(",""),")",""),4,3)&amp;"-"&amp;MID(SUBSTITUTE(SUBSTITUTE(SUBSTITUTE(SUBSTITUTE(SUBSTITUTE(Клиенты_исходные!D129," ",""),"-",""),"+",""),"(",""),")",""),6,2)&amp;"-"&amp;MID(SUBSTITUTE(SUBSTITUTE(SUBSTITUTE(SUBSTITUTE(SUBSTITUTE(Клиенты_исходные!D129," ",""),"-",""),"+",""),"(",""),")",""),8,2),Клиенты_исходные!D129)))</f>
        <v xml:space="preserve">+7 (903) 890-12-34</v>
      </c>
      <c r="F129" t="str">
        <f>IFERROR(VLOOKUP(Клиенты_исходные!F129,Справочники!$J$2:$K$50,2,FALSE),Клиенты_исходные!F129)</f>
        <v>Иркутск</v>
      </c>
      <c r="G129" s="8">
        <f>IFERROR(IF(ISNUMBER(FIND(".",Клиенты_исходные!G129)),DATE(RIGHT(Клиенты_исходные!G129,4),MID(Клиенты_исходные!G129,4,2),LEFT(Клиенты_исходные!G129,2)),DATE(LEFT(Клиенты_исходные!G129,4),MID(Клиенты_исходные!G129,6,2),RIGHT(Клиенты_исходные!G129,2))),Клиенты_исходные!G129)</f>
        <v>45853</v>
      </c>
      <c r="H129">
        <f t="shared" ca="1" si="52"/>
        <v>44</v>
      </c>
      <c r="I129" t="str">
        <f t="shared" si="53"/>
        <v>OK</v>
      </c>
      <c r="J129" t="str">
        <f t="shared" si="54"/>
        <v xml:space="preserve">Ошибка Email</v>
      </c>
    </row>
    <row r="130">
      <c r="A130" t="str">
        <f>Клиенты_исходные!A130</f>
        <v>C0129</v>
      </c>
      <c r="B130" t="str">
        <f>PROPER(TRIM(Клиенты_исходные!B130))</f>
        <v xml:space="preserve">Ерофеева Татьяна Дмитриевна</v>
      </c>
      <c r="C130" s="8">
        <f>IFERROR(IF(ISNUMBER(FIND(".",Клиенты_исходные!C130)),DATE(RIGHT(Клиенты_исходные!C130,4),MID(Клиенты_исходные!C130,4,2),LEFT(Клиенты_исходные!C130,2)),DATE(LEFT(Клиенты_исходные!C130,4),MID(Клиенты_исходные!C130,6,2),RIGHT(Клиенты_исходные!C130,2))),Клиенты_исходные!C130)</f>
        <v>33727</v>
      </c>
      <c r="D130" t="str">
        <f>IF(ISBLANK(Клиенты_исходные!D130),"",IF(LEN(SUBSTITUTE(SUBSTITUTE(SUBSTITUTE(SUBSTITUTE(SUBSTITUTE(Клиенты_исходные!D130," ",""),"-",""),"+",""),"(",""),")",""))=11,"+7 ("&amp;MID(IF(LEFT(SUBSTITUTE(SUBSTITUTE(SUBSTITUTE(SUBSTITUTE(SUBSTITUTE(Клиенты_исходные!D130," ",""),"-",""),"+",""),"(",""),")",""))="8","7"&amp;MID(SUBSTITUTE(SUBSTITUTE(SUBSTITUTE(SUBSTITUTE(SUBSTITUTE(Клиенты_исходные!D130," ",""),"-",""),"+",""),"(",""),")",""),2,10),SUBSTITUTE(SUBSTITUTE(SUBSTITUTE(SUBSTITUTE(SUBSTITUTE(Клиенты_исходные!D130," ",""),"-",""),"+",""),"(",""),")","")),2,3)&amp;") "&amp;MID(IF(LEFT(SUBSTITUTE(SUBSTITUTE(SUBSTITUTE(SUBSTITUTE(SUBSTITUTE(Клиенты_исходные!D130," ",""),"-",""),"+",""),"(",""),")",""))="8","7"&amp;MID(SUBSTITUTE(SUBSTITUTE(SUBSTITUTE(SUBSTITUTE(SUBSTITUTE(Клиенты_исходные!D130," ",""),"-",""),"+",""),"(",""),")",""),2,10),SUBSTITUTE(SUBSTITUTE(SUBSTITUTE(SUBSTITUTE(SUBSTITUTE(Клиенты_исходные!D130," ",""),"-",""),"+",""),"(",""),")","")),5,3)&amp;"-"&amp;MID(IF(LEFT(SUBSTITUTE(SUBSTITUTE(SUBSTITUTE(SUBSTITUTE(SUBSTITUTE(Клиенты_исходные!D130," ",""),"-",""),"+",""),"(",""),")",""))="8","7"&amp;MID(SUBSTITUTE(SUBSTITUTE(SUBSTITUTE(SUBSTITUTE(SUBSTITUTE(Клиенты_исходные!D130," ",""),"-",""),"+",""),"(",""),")",""),2,10),SUBSTITUTE(SUBSTITUTE(SUBSTITUTE(SUBSTITUTE(SUBSTITUTE(Клиенты_исходные!D130," ",""),"-",""),"+",""),"(",""),")","")),8,2)&amp;"-"&amp;MID(IF(LEFT(SUBSTITUTE(SUBSTITUTE(SUBSTITUTE(SUBSTITUTE(SUBSTITUTE(Клиенты_исходные!D130," ",""),"-",""),"+",""),"(",""),")",""))="8","7"&amp;MID(SUBSTITUTE(SUBSTITUTE(SUBSTITUTE(SUBSTITUTE(SUBSTITUTE(Клиенты_исходные!D130," ",""),"-",""),"+",""),"(",""),")",""),2,10),SUBSTITUTE(SUBSTITUTE(SUBSTITUTE(SUBSTITUTE(SUBSTITUTE(Клиенты_исходные!D130," ",""),"-",""),"+",""),"(",""),")","")),10,2),IF(LEN(SUBSTITUTE(SUBSTITUTE(SUBSTITUTE(SUBSTITUTE(SUBSTITUTE(Клиенты_исходные!D130," ",""),"-",""),"+",""),"(",""),")",""))=10,"+7 ("&amp;MID(SUBSTITUTE(SUBSTITUTE(SUBSTITUTE(SUBSTITUTE(SUBSTITUTE(Клиенты_исходные!D130," ",""),"-",""),"+",""),"(",""),")",""),1,3)&amp;") "&amp;MID(SUBSTITUTE(SUBSTITUTE(SUBSTITUTE(SUBSTITUTE(SUBSTITUTE(Клиенты_исходные!D130," ",""),"-",""),"+",""),"(",""),")",""),4,3)&amp;"-"&amp;MID(SUBSTITUTE(SUBSTITUTE(SUBSTITUTE(SUBSTITUTE(SUBSTITUTE(Клиенты_исходные!D130," ",""),"-",""),"+",""),"(",""),")",""),6,2)&amp;"-"&amp;MID(SUBSTITUTE(SUBSTITUTE(SUBSTITUTE(SUBSTITUTE(SUBSTITUTE(Клиенты_исходные!D130," ",""),"-",""),"+",""),"(",""),")",""),8,2),Клиенты_исходные!D130)))</f>
        <v xml:space="preserve">+7 (903) 901-23-45</v>
      </c>
      <c r="F130" t="str">
        <f>IFERROR(VLOOKUP(Клиенты_исходные!F130,Справочники!$J$2:$K$50,2,FALSE),Клиенты_исходные!F130)</f>
        <v>Хабаровск</v>
      </c>
      <c r="G130" s="8">
        <f>IFERROR(IF(ISNUMBER(FIND(".",Клиенты_исходные!G130)),DATE(RIGHT(Клиенты_исходные!G130,4),MID(Клиенты_исходные!G130,4,2),LEFT(Клиенты_исходные!G130,2)),DATE(LEFT(Клиенты_исходные!G130,4),MID(Клиенты_исходные!G130,6,2),RIGHT(Клиенты_исходные!G130,2))),Клиенты_исходные!G130)</f>
        <v>45853</v>
      </c>
      <c r="H130">
        <f t="shared" ca="1" si="52"/>
        <v>34</v>
      </c>
      <c r="I130" t="str">
        <f t="shared" si="53"/>
        <v>OK</v>
      </c>
      <c r="J130" t="str">
        <f t="shared" si="54"/>
        <v xml:space="preserve">Ошибка Email</v>
      </c>
    </row>
    <row r="131">
      <c r="A131" t="str">
        <f>Клиенты_исходные!A131</f>
        <v>C0130</v>
      </c>
      <c r="B131" t="str">
        <f>PROPER(TRIM(Клиенты_исходные!B131))</f>
        <v xml:space="preserve">Антонов Максим Юрьевич</v>
      </c>
      <c r="C131" s="8">
        <f>IFERROR(IF(ISNUMBER(FIND(".",Клиенты_исходные!C131)),DATE(RIGHT(Клиенты_исходные!C131,4),MID(Клиенты_исходные!C131,4,2),LEFT(Клиенты_исходные!C131,2)),DATE(LEFT(Клиенты_исходные!C131,4),MID(Клиенты_исходные!C131,6,2),RIGHT(Клиенты_исходные!C131,2))),Клиенты_исходные!C131)</f>
        <v>27024</v>
      </c>
      <c r="D131" t="str">
        <f>IF(ISBLANK(Клиенты_исходные!D131),"",IF(LEN(SUBSTITUTE(SUBSTITUTE(SUBSTITUTE(SUBSTITUTE(SUBSTITUTE(Клиенты_исходные!D131," ",""),"-",""),"+",""),"(",""),")",""))=11,"+7 ("&amp;MID(IF(LEFT(SUBSTITUTE(SUBSTITUTE(SUBSTITUTE(SUBSTITUTE(SUBSTITUTE(Клиенты_исходные!D131," ",""),"-",""),"+",""),"(",""),")",""))="8","7"&amp;MID(SUBSTITUTE(SUBSTITUTE(SUBSTITUTE(SUBSTITUTE(SUBSTITUTE(Клиенты_исходные!D131," ",""),"-",""),"+",""),"(",""),")",""),2,10),SUBSTITUTE(SUBSTITUTE(SUBSTITUTE(SUBSTITUTE(SUBSTITUTE(Клиенты_исходные!D131," ",""),"-",""),"+",""),"(",""),")","")),2,3)&amp;") "&amp;MID(IF(LEFT(SUBSTITUTE(SUBSTITUTE(SUBSTITUTE(SUBSTITUTE(SUBSTITUTE(Клиенты_исходные!D131," ",""),"-",""),"+",""),"(",""),")",""))="8","7"&amp;MID(SUBSTITUTE(SUBSTITUTE(SUBSTITUTE(SUBSTITUTE(SUBSTITUTE(Клиенты_исходные!D131," ",""),"-",""),"+",""),"(",""),")",""),2,10),SUBSTITUTE(SUBSTITUTE(SUBSTITUTE(SUBSTITUTE(SUBSTITUTE(Клиенты_исходные!D131," ",""),"-",""),"+",""),"(",""),")","")),5,3)&amp;"-"&amp;MID(IF(LEFT(SUBSTITUTE(SUBSTITUTE(SUBSTITUTE(SUBSTITUTE(SUBSTITUTE(Клиенты_исходные!D131," ",""),"-",""),"+",""),"(",""),")",""))="8","7"&amp;MID(SUBSTITUTE(SUBSTITUTE(SUBSTITUTE(SUBSTITUTE(SUBSTITUTE(Клиенты_исходные!D131," ",""),"-",""),"+",""),"(",""),")",""),2,10),SUBSTITUTE(SUBSTITUTE(SUBSTITUTE(SUBSTITUTE(SUBSTITUTE(Клиенты_исходные!D131," ",""),"-",""),"+",""),"(",""),")","")),8,2)&amp;"-"&amp;MID(IF(LEFT(SUBSTITUTE(SUBSTITUTE(SUBSTITUTE(SUBSTITUTE(SUBSTITUTE(Клиенты_исходные!D131," ",""),"-",""),"+",""),"(",""),")",""))="8","7"&amp;MID(SUBSTITUTE(SUBSTITUTE(SUBSTITUTE(SUBSTITUTE(SUBSTITUTE(Клиенты_исходные!D131," ",""),"-",""),"+",""),"(",""),")",""),2,10),SUBSTITUTE(SUBSTITUTE(SUBSTITUTE(SUBSTITUTE(SUBSTITUTE(Клиенты_исходные!D131," ",""),"-",""),"+",""),"(",""),")","")),10,2),IF(LEN(SUBSTITUTE(SUBSTITUTE(SUBSTITUTE(SUBSTITUTE(SUBSTITUTE(Клиенты_исходные!D131," ",""),"-",""),"+",""),"(",""),")",""))=10,"+7 ("&amp;MID(SUBSTITUTE(SUBSTITUTE(SUBSTITUTE(SUBSTITUTE(SUBSTITUTE(Клиенты_исходные!D131," ",""),"-",""),"+",""),"(",""),")",""),1,3)&amp;") "&amp;MID(SUBSTITUTE(SUBSTITUTE(SUBSTITUTE(SUBSTITUTE(SUBSTITUTE(Клиенты_исходные!D131," ",""),"-",""),"+",""),"(",""),")",""),4,3)&amp;"-"&amp;MID(SUBSTITUTE(SUBSTITUTE(SUBSTITUTE(SUBSTITUTE(SUBSTITUTE(Клиенты_исходные!D131," ",""),"-",""),"+",""),"(",""),")",""),6,2)&amp;"-"&amp;MID(SUBSTITUTE(SUBSTITUTE(SUBSTITUTE(SUBSTITUTE(SUBSTITUTE(Клиенты_исходные!D131," ",""),"-",""),"+",""),"(",""),")",""),8,2),Клиенты_исходные!D131)))</f>
        <v xml:space="preserve">+7 (903) 901-23-45</v>
      </c>
      <c r="F131" t="str">
        <f>IFERROR(VLOOKUP(Клиенты_исходные!F131,Справочники!$J$2:$K$50,2,FALSE),Клиенты_исходные!F131)</f>
        <v>Ярославль</v>
      </c>
      <c r="G131" s="8">
        <f>IFERROR(IF(ISNUMBER(FIND(".",Клиенты_исходные!G131)),DATE(RIGHT(Клиенты_исходные!G131,4),MID(Клиенты_исходные!G131,4,2),LEFT(Клиенты_исходные!G131,2)),DATE(LEFT(Клиенты_исходные!G131,4),MID(Клиенты_исходные!G131,6,2),RIGHT(Клиенты_исходные!G131,2))),Клиенты_исходные!G131)</f>
        <v>45870</v>
      </c>
      <c r="H131">
        <f t="shared" ca="1" si="52"/>
        <v>52</v>
      </c>
      <c r="I131" t="str">
        <f t="shared" si="53"/>
        <v>OK</v>
      </c>
      <c r="J131" t="str">
        <f t="shared" si="54"/>
        <v xml:space="preserve">Ошибка Email</v>
      </c>
    </row>
    <row r="132">
      <c r="A132" t="str">
        <f>Клиенты_исходные!A132</f>
        <v>C0131</v>
      </c>
      <c r="B132" t="str">
        <f>PROPER(TRIM(Клиенты_исходные!B132))</f>
        <v xml:space="preserve">Миронова Лариса Андреевна</v>
      </c>
      <c r="C132" s="8">
        <f>IFERROR(IF(ISNUMBER(FIND(".",Клиенты_исходные!C132)),DATE(RIGHT(Клиенты_исходные!C132,4),MID(Клиенты_исходные!C132,4,2),LEFT(Клиенты_исходные!C132,2)),DATE(LEFT(Клиенты_исходные!C132,4),MID(Клиенты_исходные!C132,6,2),RIGHT(Клиенты_исходные!C132,2))),Клиенты_исходные!C132)</f>
        <v>31977</v>
      </c>
      <c r="D132" t="str">
        <f>IF(ISBLANK(Клиенты_исходные!D132),"",IF(LEN(SUBSTITUTE(SUBSTITUTE(SUBSTITUTE(SUBSTITUTE(SUBSTITUTE(Клиенты_исходные!D132," ",""),"-",""),"+",""),"(",""),")",""))=11,"+7 ("&amp;MID(IF(LEFT(SUBSTITUTE(SUBSTITUTE(SUBSTITUTE(SUBSTITUTE(SUBSTITUTE(Клиенты_исходные!D132," ",""),"-",""),"+",""),"(",""),")",""))="8","7"&amp;MID(SUBSTITUTE(SUBSTITUTE(SUBSTITUTE(SUBSTITUTE(SUBSTITUTE(Клиенты_исходные!D132," ",""),"-",""),"+",""),"(",""),")",""),2,10),SUBSTITUTE(SUBSTITUTE(SUBSTITUTE(SUBSTITUTE(SUBSTITUTE(Клиенты_исходные!D132," ",""),"-",""),"+",""),"(",""),")","")),2,3)&amp;") "&amp;MID(IF(LEFT(SUBSTITUTE(SUBSTITUTE(SUBSTITUTE(SUBSTITUTE(SUBSTITUTE(Клиенты_исходные!D132," ",""),"-",""),"+",""),"(",""),")",""))="8","7"&amp;MID(SUBSTITUTE(SUBSTITUTE(SUBSTITUTE(SUBSTITUTE(SUBSTITUTE(Клиенты_исходные!D132," ",""),"-",""),"+",""),"(",""),")",""),2,10),SUBSTITUTE(SUBSTITUTE(SUBSTITUTE(SUBSTITUTE(SUBSTITUTE(Клиенты_исходные!D132," ",""),"-",""),"+",""),"(",""),")","")),5,3)&amp;"-"&amp;MID(IF(LEFT(SUBSTITUTE(SUBSTITUTE(SUBSTITUTE(SUBSTITUTE(SUBSTITUTE(Клиенты_исходные!D132," ",""),"-",""),"+",""),"(",""),")",""))="8","7"&amp;MID(SUBSTITUTE(SUBSTITUTE(SUBSTITUTE(SUBSTITUTE(SUBSTITUTE(Клиенты_исходные!D132," ",""),"-",""),"+",""),"(",""),")",""),2,10),SUBSTITUTE(SUBSTITUTE(SUBSTITUTE(SUBSTITUTE(SUBSTITUTE(Клиенты_исходные!D132," ",""),"-",""),"+",""),"(",""),")","")),8,2)&amp;"-"&amp;MID(IF(LEFT(SUBSTITUTE(SUBSTITUTE(SUBSTITUTE(SUBSTITUTE(SUBSTITUTE(Клиенты_исходные!D132," ",""),"-",""),"+",""),"(",""),")",""))="8","7"&amp;MID(SUBSTITUTE(SUBSTITUTE(SUBSTITUTE(SUBSTITUTE(SUBSTITUTE(Клиенты_исходные!D132," ",""),"-",""),"+",""),"(",""),")",""),2,10),SUBSTITUTE(SUBSTITUTE(SUBSTITUTE(SUBSTITUTE(SUBSTITUTE(Клиенты_исходные!D132," ",""),"-",""),"+",""),"(",""),")","")),10,2),IF(LEN(SUBSTITUTE(SUBSTITUTE(SUBSTITUTE(SUBSTITUTE(SUBSTITUTE(Клиенты_исходные!D132," ",""),"-",""),"+",""),"(",""),")",""))=10,"+7 ("&amp;MID(SUBSTITUTE(SUBSTITUTE(SUBSTITUTE(SUBSTITUTE(SUBSTITUTE(Клиенты_исходные!D132," ",""),"-",""),"+",""),"(",""),")",""),1,3)&amp;") "&amp;MID(SUBSTITUTE(SUBSTITUTE(SUBSTITUTE(SUBSTITUTE(SUBSTITUTE(Клиенты_исходные!D132," ",""),"-",""),"+",""),"(",""),")",""),4,3)&amp;"-"&amp;MID(SUBSTITUTE(SUBSTITUTE(SUBSTITUTE(SUBSTITUTE(SUBSTITUTE(Клиенты_исходные!D132," ",""),"-",""),"+",""),"(",""),")",""),6,2)&amp;"-"&amp;MID(SUBSTITUTE(SUBSTITUTE(SUBSTITUTE(SUBSTITUTE(SUBSTITUTE(Клиенты_исходные!D132," ",""),"-",""),"+",""),"(",""),")",""),8,2),Клиенты_исходные!D132)))</f>
        <v xml:space="preserve">+7 (903) 901-23-45</v>
      </c>
      <c r="F132" t="str">
        <f>IFERROR(VLOOKUP(Клиенты_исходные!F132,Справочники!$J$2:$K$50,2,FALSE),Клиенты_исходные!F132)</f>
        <v>Владивосток</v>
      </c>
      <c r="G132" s="8">
        <f>IFERROR(IF(ISNUMBER(FIND(".",Клиенты_исходные!G132)),DATE(RIGHT(Клиенты_исходные!G132,4),MID(Клиенты_исходные!G132,4,2),LEFT(Клиенты_исходные!G132,2)),DATE(LEFT(Клиенты_исходные!G132,4),MID(Клиенты_исходные!G132,6,2),RIGHT(Клиенты_исходные!G132,2))),Клиенты_исходные!G132)</f>
        <v>45879</v>
      </c>
      <c r="H132">
        <f t="shared" ca="1" si="52"/>
        <v>39</v>
      </c>
      <c r="I132" t="str">
        <f t="shared" si="53"/>
        <v>OK</v>
      </c>
      <c r="J132" t="str">
        <f t="shared" si="54"/>
        <v xml:space="preserve">Ошибка Email</v>
      </c>
    </row>
    <row r="133">
      <c r="A133" t="str">
        <f>Клиенты_исходные!A133</f>
        <v>C0132</v>
      </c>
      <c r="B133" t="str">
        <f>PROPER(TRIM(Клиенты_исходные!B133))</f>
        <v xml:space="preserve">Климова Оксана Борисовна</v>
      </c>
      <c r="C133" s="8">
        <f>IFERROR(IF(ISNUMBER(FIND(".",Клиенты_исходные!C133)),DATE(RIGHT(Клиенты_исходные!C133,4),MID(Клиенты_исходные!C133,4,2),LEFT(Клиенты_исходные!C133,2)),DATE(LEFT(Клиенты_исходные!C133,4),MID(Клиенты_исходные!C133,6,2),RIGHT(Клиенты_исходные!C133,2))),Клиенты_исходные!C133)</f>
        <v>29311</v>
      </c>
      <c r="D133" t="str">
        <f>IF(ISBLANK(Клиенты_исходные!D133),"",IF(LEN(SUBSTITUTE(SUBSTITUTE(SUBSTITUTE(SUBSTITUTE(SUBSTITUTE(Клиенты_исходные!D133," ",""),"-",""),"+",""),"(",""),")",""))=11,"+7 ("&amp;MID(IF(LEFT(SUBSTITUTE(SUBSTITUTE(SUBSTITUTE(SUBSTITUTE(SUBSTITUTE(Клиенты_исходные!D133," ",""),"-",""),"+",""),"(",""),")",""))="8","7"&amp;MID(SUBSTITUTE(SUBSTITUTE(SUBSTITUTE(SUBSTITUTE(SUBSTITUTE(Клиенты_исходные!D133," ",""),"-",""),"+",""),"(",""),")",""),2,10),SUBSTITUTE(SUBSTITUTE(SUBSTITUTE(SUBSTITUTE(SUBSTITUTE(Клиенты_исходные!D133," ",""),"-",""),"+",""),"(",""),")","")),2,3)&amp;") "&amp;MID(IF(LEFT(SUBSTITUTE(SUBSTITUTE(SUBSTITUTE(SUBSTITUTE(SUBSTITUTE(Клиенты_исходные!D133," ",""),"-",""),"+",""),"(",""),")",""))="8","7"&amp;MID(SUBSTITUTE(SUBSTITUTE(SUBSTITUTE(SUBSTITUTE(SUBSTITUTE(Клиенты_исходные!D133," ",""),"-",""),"+",""),"(",""),")",""),2,10),SUBSTITUTE(SUBSTITUTE(SUBSTITUTE(SUBSTITUTE(SUBSTITUTE(Клиенты_исходные!D133," ",""),"-",""),"+",""),"(",""),")","")),5,3)&amp;"-"&amp;MID(IF(LEFT(SUBSTITUTE(SUBSTITUTE(SUBSTITUTE(SUBSTITUTE(SUBSTITUTE(Клиенты_исходные!D133," ",""),"-",""),"+",""),"(",""),")",""))="8","7"&amp;MID(SUBSTITUTE(SUBSTITUTE(SUBSTITUTE(SUBSTITUTE(SUBSTITUTE(Клиенты_исходные!D133," ",""),"-",""),"+",""),"(",""),")",""),2,10),SUBSTITUTE(SUBSTITUTE(SUBSTITUTE(SUBSTITUTE(SUBSTITUTE(Клиенты_исходные!D133," ",""),"-",""),"+",""),"(",""),")","")),8,2)&amp;"-"&amp;MID(IF(LEFT(SUBSTITUTE(SUBSTITUTE(SUBSTITUTE(SUBSTITUTE(SUBSTITUTE(Клиенты_исходные!D133," ",""),"-",""),"+",""),"(",""),")",""))="8","7"&amp;MID(SUBSTITUTE(SUBSTITUTE(SUBSTITUTE(SUBSTITUTE(SUBSTITUTE(Клиенты_исходные!D133," ",""),"-",""),"+",""),"(",""),")",""),2,10),SUBSTITUTE(SUBSTITUTE(SUBSTITUTE(SUBSTITUTE(SUBSTITUTE(Клиенты_исходные!D133," ",""),"-",""),"+",""),"(",""),")","")),10,2),IF(LEN(SUBSTITUTE(SUBSTITUTE(SUBSTITUTE(SUBSTITUTE(SUBSTITUTE(Клиенты_исходные!D133," ",""),"-",""),"+",""),"(",""),")",""))=10,"+7 ("&amp;MID(SUBSTITUTE(SUBSTITUTE(SUBSTITUTE(SUBSTITUTE(SUBSTITUTE(Клиенты_исходные!D133," ",""),"-",""),"+",""),"(",""),")",""),1,3)&amp;") "&amp;MID(SUBSTITUTE(SUBSTITUTE(SUBSTITUTE(SUBSTITUTE(SUBSTITUTE(Клиенты_исходные!D133," ",""),"-",""),"+",""),"(",""),")",""),4,3)&amp;"-"&amp;MID(SUBSTITUTE(SUBSTITUTE(SUBSTITUTE(SUBSTITUTE(SUBSTITUTE(Клиенты_исходные!D133," ",""),"-",""),"+",""),"(",""),")",""),6,2)&amp;"-"&amp;MID(SUBSTITUTE(SUBSTITUTE(SUBSTITUTE(SUBSTITUTE(SUBSTITUTE(Клиенты_исходные!D133," ",""),"-",""),"+",""),"(",""),")",""),8,2),Клиенты_исходные!D133)))</f>
        <v xml:space="preserve">+7 (903) 012-34-56</v>
      </c>
      <c r="F133" t="str">
        <f>IFERROR(VLOOKUP(Клиенты_исходные!F133,Справочники!$J$2:$K$50,2,FALSE),Клиенты_исходные!F133)</f>
        <v>Махачкала</v>
      </c>
      <c r="G133" s="8">
        <f>IFERROR(IF(ISNUMBER(FIND(".",Клиенты_исходные!G133)),DATE(RIGHT(Клиенты_исходные!G133,4),MID(Клиенты_исходные!G133,4,2),LEFT(Клиенты_исходные!G133,2)),DATE(LEFT(Клиенты_исходные!G133,4),MID(Клиенты_исходные!G133,6,2),RIGHT(Клиенты_исходные!G133,2))),Клиенты_исходные!G133)</f>
        <v>45879</v>
      </c>
      <c r="H133">
        <f t="shared" ca="1" si="52"/>
        <v>46</v>
      </c>
      <c r="I133" t="str">
        <f t="shared" si="53"/>
        <v>OK</v>
      </c>
      <c r="J133" t="str">
        <f t="shared" si="54"/>
        <v xml:space="preserve">Ошибка Email</v>
      </c>
    </row>
    <row r="134">
      <c r="A134" t="str">
        <f>Клиенты_исходные!A134</f>
        <v>C0133</v>
      </c>
      <c r="B134" t="str">
        <f>PROPER(TRIM(Клиенты_исходные!B134))</f>
        <v xml:space="preserve">Сидоренко Артем Николаевич</v>
      </c>
      <c r="C134" s="8">
        <f>IFERROR(IF(ISNUMBER(FIND(".",Клиенты_исходные!C134)),DATE(RIGHT(Клиенты_исходные!C134,4),MID(Клиенты_исходные!C134,4,2),LEFT(Клиенты_исходные!C134,2)),DATE(LEFT(Клиенты_исходные!C134,4),MID(Клиенты_исходные!C134,6,2),RIGHT(Клиенты_исходные!C134,2))),Клиенты_исходные!C134)</f>
        <v>27710</v>
      </c>
      <c r="D134" t="str">
        <f>IF(ISBLANK(Клиенты_исходные!D134),"",IF(LEN(SUBSTITUTE(SUBSTITUTE(SUBSTITUTE(SUBSTITUTE(SUBSTITUTE(Клиенты_исходные!D134," ",""),"-",""),"+",""),"(",""),")",""))=11,"+7 ("&amp;MID(IF(LEFT(SUBSTITUTE(SUBSTITUTE(SUBSTITUTE(SUBSTITUTE(SUBSTITUTE(Клиенты_исходные!D134," ",""),"-",""),"+",""),"(",""),")",""))="8","7"&amp;MID(SUBSTITUTE(SUBSTITUTE(SUBSTITUTE(SUBSTITUTE(SUBSTITUTE(Клиенты_исходные!D134," ",""),"-",""),"+",""),"(",""),")",""),2,10),SUBSTITUTE(SUBSTITUTE(SUBSTITUTE(SUBSTITUTE(SUBSTITUTE(Клиенты_исходные!D134," ",""),"-",""),"+",""),"(",""),")","")),2,3)&amp;") "&amp;MID(IF(LEFT(SUBSTITUTE(SUBSTITUTE(SUBSTITUTE(SUBSTITUTE(SUBSTITUTE(Клиенты_исходные!D134," ",""),"-",""),"+",""),"(",""),")",""))="8","7"&amp;MID(SUBSTITUTE(SUBSTITUTE(SUBSTITUTE(SUBSTITUTE(SUBSTITUTE(Клиенты_исходные!D134," ",""),"-",""),"+",""),"(",""),")",""),2,10),SUBSTITUTE(SUBSTITUTE(SUBSTITUTE(SUBSTITUTE(SUBSTITUTE(Клиенты_исходные!D134," ",""),"-",""),"+",""),"(",""),")","")),5,3)&amp;"-"&amp;MID(IF(LEFT(SUBSTITUTE(SUBSTITUTE(SUBSTITUTE(SUBSTITUTE(SUBSTITUTE(Клиенты_исходные!D134," ",""),"-",""),"+",""),"(",""),")",""))="8","7"&amp;MID(SUBSTITUTE(SUBSTITUTE(SUBSTITUTE(SUBSTITUTE(SUBSTITUTE(Клиенты_исходные!D134," ",""),"-",""),"+",""),"(",""),")",""),2,10),SUBSTITUTE(SUBSTITUTE(SUBSTITUTE(SUBSTITUTE(SUBSTITUTE(Клиенты_исходные!D134," ",""),"-",""),"+",""),"(",""),")","")),8,2)&amp;"-"&amp;MID(IF(LEFT(SUBSTITUTE(SUBSTITUTE(SUBSTITUTE(SUBSTITUTE(SUBSTITUTE(Клиенты_исходные!D134," ",""),"-",""),"+",""),"(",""),")",""))="8","7"&amp;MID(SUBSTITUTE(SUBSTITUTE(SUBSTITUTE(SUBSTITUTE(SUBSTITUTE(Клиенты_исходные!D134," ",""),"-",""),"+",""),"(",""),")",""),2,10),SUBSTITUTE(SUBSTITUTE(SUBSTITUTE(SUBSTITUTE(SUBSTITUTE(Клиенты_исходные!D134," ",""),"-",""),"+",""),"(",""),")","")),10,2),IF(LEN(SUBSTITUTE(SUBSTITUTE(SUBSTITUTE(SUBSTITUTE(SUBSTITUTE(Клиенты_исходные!D134," ",""),"-",""),"+",""),"(",""),")",""))=10,"+7 ("&amp;MID(SUBSTITUTE(SUBSTITUTE(SUBSTITUTE(SUBSTITUTE(SUBSTITUTE(Клиенты_исходные!D134," ",""),"-",""),"+",""),"(",""),")",""),1,3)&amp;") "&amp;MID(SUBSTITUTE(SUBSTITUTE(SUBSTITUTE(SUBSTITUTE(SUBSTITUTE(Клиенты_исходные!D134," ",""),"-",""),"+",""),"(",""),")",""),4,3)&amp;"-"&amp;MID(SUBSTITUTE(SUBSTITUTE(SUBSTITUTE(SUBSTITUTE(SUBSTITUTE(Клиенты_исходные!D134," ",""),"-",""),"+",""),"(",""),")",""),6,2)&amp;"-"&amp;MID(SUBSTITUTE(SUBSTITUTE(SUBSTITUTE(SUBSTITUTE(SUBSTITUTE(Клиенты_исходные!D134," ",""),"-",""),"+",""),"(",""),")",""),8,2),Клиенты_исходные!D134)))</f>
        <v xml:space="preserve">+7 (903) 012-34-56</v>
      </c>
      <c r="F134" t="str">
        <f>IFERROR(VLOOKUP(Клиенты_исходные!F134,Справочники!$J$2:$K$50,2,FALSE),Клиенты_исходные!F134)</f>
        <v>Томск</v>
      </c>
      <c r="G134" s="8">
        <f>IFERROR(IF(ISNUMBER(FIND(".",Клиенты_исходные!G134)),DATE(RIGHT(Клиенты_исходные!G134,4),MID(Клиенты_исходные!G134,4,2),LEFT(Клиенты_исходные!G134,2)),DATE(LEFT(Клиенты_исходные!G134,4),MID(Клиенты_исходные!G134,6,2),RIGHT(Клиенты_исходные!G134,2))),Клиенты_исходные!G134)</f>
        <v>45901</v>
      </c>
      <c r="H134">
        <f t="shared" ca="1" si="52"/>
        <v>50</v>
      </c>
      <c r="I134" t="str">
        <f t="shared" si="53"/>
        <v>OK</v>
      </c>
      <c r="J134" t="str">
        <f t="shared" si="54"/>
        <v xml:space="preserve">Ошибка Email</v>
      </c>
    </row>
    <row r="135">
      <c r="A135" t="str">
        <f>Клиенты_исходные!A135</f>
        <v>C0134</v>
      </c>
      <c r="B135" t="str">
        <f>PROPER(TRIM(Клиенты_исходные!B135))</f>
        <v xml:space="preserve">Горбачев Глеб Ильич</v>
      </c>
      <c r="C135" s="8">
        <f>IFERROR(IF(ISNUMBER(FIND(".",Клиенты_исходные!C135)),DATE(RIGHT(Клиенты_исходные!C135,4),MID(Клиенты_исходные!C135,4,2),LEFT(Клиенты_исходные!C135,2)),DATE(LEFT(Клиенты_исходные!C135,4),MID(Клиенты_исходные!C135,6,2),RIGHT(Клиенты_исходные!C135,2))),Клиенты_исходные!C135)</f>
        <v>34878</v>
      </c>
      <c r="D135" t="str">
        <f>IF(ISBLANK(Клиенты_исходные!D135),"",IF(LEN(SUBSTITUTE(SUBSTITUTE(SUBSTITUTE(SUBSTITUTE(SUBSTITUTE(Клиенты_исходные!D135," ",""),"-",""),"+",""),"(",""),")",""))=11,"+7 ("&amp;MID(IF(LEFT(SUBSTITUTE(SUBSTITUTE(SUBSTITUTE(SUBSTITUTE(SUBSTITUTE(Клиенты_исходные!D135," ",""),"-",""),"+",""),"(",""),")",""))="8","7"&amp;MID(SUBSTITUTE(SUBSTITUTE(SUBSTITUTE(SUBSTITUTE(SUBSTITUTE(Клиенты_исходные!D135," ",""),"-",""),"+",""),"(",""),")",""),2,10),SUBSTITUTE(SUBSTITUTE(SUBSTITUTE(SUBSTITUTE(SUBSTITUTE(Клиенты_исходные!D135," ",""),"-",""),"+",""),"(",""),")","")),2,3)&amp;") "&amp;MID(IF(LEFT(SUBSTITUTE(SUBSTITUTE(SUBSTITUTE(SUBSTITUTE(SUBSTITUTE(Клиенты_исходные!D135," ",""),"-",""),"+",""),"(",""),")",""))="8","7"&amp;MID(SUBSTITUTE(SUBSTITUTE(SUBSTITUTE(SUBSTITUTE(SUBSTITUTE(Клиенты_исходные!D135," ",""),"-",""),"+",""),"(",""),")",""),2,10),SUBSTITUTE(SUBSTITUTE(SUBSTITUTE(SUBSTITUTE(SUBSTITUTE(Клиенты_исходные!D135," ",""),"-",""),"+",""),"(",""),")","")),5,3)&amp;"-"&amp;MID(IF(LEFT(SUBSTITUTE(SUBSTITUTE(SUBSTITUTE(SUBSTITUTE(SUBSTITUTE(Клиенты_исходные!D135," ",""),"-",""),"+",""),"(",""),")",""))="8","7"&amp;MID(SUBSTITUTE(SUBSTITUTE(SUBSTITUTE(SUBSTITUTE(SUBSTITUTE(Клиенты_исходные!D135," ",""),"-",""),"+",""),"(",""),")",""),2,10),SUBSTITUTE(SUBSTITUTE(SUBSTITUTE(SUBSTITUTE(SUBSTITUTE(Клиенты_исходные!D135," ",""),"-",""),"+",""),"(",""),")","")),8,2)&amp;"-"&amp;MID(IF(LEFT(SUBSTITUTE(SUBSTITUTE(SUBSTITUTE(SUBSTITUTE(SUBSTITUTE(Клиенты_исходные!D135," ",""),"-",""),"+",""),"(",""),")",""))="8","7"&amp;MID(SUBSTITUTE(SUBSTITUTE(SUBSTITUTE(SUBSTITUTE(SUBSTITUTE(Клиенты_исходные!D135," ",""),"-",""),"+",""),"(",""),")",""),2,10),SUBSTITUTE(SUBSTITUTE(SUBSTITUTE(SUBSTITUTE(SUBSTITUTE(Клиенты_исходные!D135," ",""),"-",""),"+",""),"(",""),")","")),10,2),IF(LEN(SUBSTITUTE(SUBSTITUTE(SUBSTITUTE(SUBSTITUTE(SUBSTITUTE(Клиенты_исходные!D135," ",""),"-",""),"+",""),"(",""),")",""))=10,"+7 ("&amp;MID(SUBSTITUTE(SUBSTITUTE(SUBSTITUTE(SUBSTITUTE(SUBSTITUTE(Клиенты_исходные!D135," ",""),"-",""),"+",""),"(",""),")",""),1,3)&amp;") "&amp;MID(SUBSTITUTE(SUBSTITUTE(SUBSTITUTE(SUBSTITUTE(SUBSTITUTE(Клиенты_исходные!D135," ",""),"-",""),"+",""),"(",""),")",""),4,3)&amp;"-"&amp;MID(SUBSTITUTE(SUBSTITUTE(SUBSTITUTE(SUBSTITUTE(SUBSTITUTE(Клиенты_исходные!D135," ",""),"-",""),"+",""),"(",""),")",""),6,2)&amp;"-"&amp;MID(SUBSTITUTE(SUBSTITUTE(SUBSTITUTE(SUBSTITUTE(SUBSTITUTE(Клиенты_исходные!D135," ",""),"-",""),"+",""),"(",""),")",""),8,2),Клиенты_исходные!D135)))</f>
        <v xml:space="preserve">+7 (903) 012-34-56</v>
      </c>
      <c r="F135" t="str">
        <f>IFERROR(VLOOKUP(Клиенты_исходные!F135,Справочники!$J$2:$K$50,2,FALSE),Клиенты_исходные!F135)</f>
        <v>Оренбург</v>
      </c>
      <c r="G135" s="8">
        <f>IFERROR(IF(ISNUMBER(FIND(".",Клиенты_исходные!G135)),DATE(RIGHT(Клиенты_исходные!G135,4),MID(Клиенты_исходные!G135,4,2),LEFT(Клиенты_исходные!G135,2)),DATE(LEFT(Клиенты_исходные!G135,4),MID(Клиенты_исходные!G135,6,2),RIGHT(Клиенты_исходные!G135,2))),Клиенты_исходные!G135)</f>
        <v>45915</v>
      </c>
      <c r="H135">
        <f t="shared" ca="1" si="52"/>
        <v>31</v>
      </c>
      <c r="I135" t="str">
        <f t="shared" si="53"/>
        <v>OK</v>
      </c>
      <c r="J135" t="str">
        <f t="shared" si="54"/>
        <v xml:space="preserve">Ошибка Email</v>
      </c>
    </row>
    <row r="136">
      <c r="A136" t="str">
        <f>Клиенты_исходные!A136</f>
        <v>C0135</v>
      </c>
      <c r="B136" t="str">
        <f>PROPER(TRIM(Клиенты_исходные!B136))</f>
        <v xml:space="preserve">Михайлова Елена Станиславовна</v>
      </c>
      <c r="C136" s="8">
        <f>IFERROR(IF(ISNUMBER(FIND(".",Клиенты_исходные!C136)),DATE(RIGHT(Клиенты_исходные!C136,4),MID(Клиенты_исходные!C136,4,2),LEFT(Клиенты_исходные!C136,2)),DATE(LEFT(Клиенты_исходные!C136,4),MID(Клиенты_исходные!C136,6,2),RIGHT(Клиенты_исходные!C136,2))),Клиенты_исходные!C136)</f>
        <v>30926</v>
      </c>
      <c r="D136" t="str">
        <f>IF(ISBLANK(Клиенты_исходные!D136),"",IF(LEN(SUBSTITUTE(SUBSTITUTE(SUBSTITUTE(SUBSTITUTE(SUBSTITUTE(Клиенты_исходные!D136," ",""),"-",""),"+",""),"(",""),")",""))=11,"+7 ("&amp;MID(IF(LEFT(SUBSTITUTE(SUBSTITUTE(SUBSTITUTE(SUBSTITUTE(SUBSTITUTE(Клиенты_исходные!D136," ",""),"-",""),"+",""),"(",""),")",""))="8","7"&amp;MID(SUBSTITUTE(SUBSTITUTE(SUBSTITUTE(SUBSTITUTE(SUBSTITUTE(Клиенты_исходные!D136," ",""),"-",""),"+",""),"(",""),")",""),2,10),SUBSTITUTE(SUBSTITUTE(SUBSTITUTE(SUBSTITUTE(SUBSTITUTE(Клиенты_исходные!D136," ",""),"-",""),"+",""),"(",""),")","")),2,3)&amp;") "&amp;MID(IF(LEFT(SUBSTITUTE(SUBSTITUTE(SUBSTITUTE(SUBSTITUTE(SUBSTITUTE(Клиенты_исходные!D136," ",""),"-",""),"+",""),"(",""),")",""))="8","7"&amp;MID(SUBSTITUTE(SUBSTITUTE(SUBSTITUTE(SUBSTITUTE(SUBSTITUTE(Клиенты_исходные!D136," ",""),"-",""),"+",""),"(",""),")",""),2,10),SUBSTITUTE(SUBSTITUTE(SUBSTITUTE(SUBSTITUTE(SUBSTITUTE(Клиенты_исходные!D136," ",""),"-",""),"+",""),"(",""),")","")),5,3)&amp;"-"&amp;MID(IF(LEFT(SUBSTITUTE(SUBSTITUTE(SUBSTITUTE(SUBSTITUTE(SUBSTITUTE(Клиенты_исходные!D136," ",""),"-",""),"+",""),"(",""),")",""))="8","7"&amp;MID(SUBSTITUTE(SUBSTITUTE(SUBSTITUTE(SUBSTITUTE(SUBSTITUTE(Клиенты_исходные!D136," ",""),"-",""),"+",""),"(",""),")",""),2,10),SUBSTITUTE(SUBSTITUTE(SUBSTITUTE(SUBSTITUTE(SUBSTITUTE(Клиенты_исходные!D136," ",""),"-",""),"+",""),"(",""),")","")),8,2)&amp;"-"&amp;MID(IF(LEFT(SUBSTITUTE(SUBSTITUTE(SUBSTITUTE(SUBSTITUTE(SUBSTITUTE(Клиенты_исходные!D136," ",""),"-",""),"+",""),"(",""),")",""))="8","7"&amp;MID(SUBSTITUTE(SUBSTITUTE(SUBSTITUTE(SUBSTITUTE(SUBSTITUTE(Клиенты_исходные!D136," ",""),"-",""),"+",""),"(",""),")",""),2,10),SUBSTITUTE(SUBSTITUTE(SUBSTITUTE(SUBSTITUTE(SUBSTITUTE(Клиенты_исходные!D136," ",""),"-",""),"+",""),"(",""),")","")),10,2),IF(LEN(SUBSTITUTE(SUBSTITUTE(SUBSTITUTE(SUBSTITUTE(SUBSTITUTE(Клиенты_исходные!D136," ",""),"-",""),"+",""),"(",""),")",""))=10,"+7 ("&amp;MID(SUBSTITUTE(SUBSTITUTE(SUBSTITUTE(SUBSTITUTE(SUBSTITUTE(Клиенты_исходные!D136," ",""),"-",""),"+",""),"(",""),")",""),1,3)&amp;") "&amp;MID(SUBSTITUTE(SUBSTITUTE(SUBSTITUTE(SUBSTITUTE(SUBSTITUTE(Клиенты_исходные!D136," ",""),"-",""),"+",""),"(",""),")",""),4,3)&amp;"-"&amp;MID(SUBSTITUTE(SUBSTITUTE(SUBSTITUTE(SUBSTITUTE(SUBSTITUTE(Клиенты_исходные!D136," ",""),"-",""),"+",""),"(",""),")",""),6,2)&amp;"-"&amp;MID(SUBSTITUTE(SUBSTITUTE(SUBSTITUTE(SUBSTITUTE(SUBSTITUTE(Клиенты_исходные!D136," ",""),"-",""),"+",""),"(",""),")",""),8,2),Клиенты_исходные!D136)))</f>
        <v xml:space="preserve">+7 (903) 123-45-67</v>
      </c>
      <c r="F136" t="str">
        <f>IFERROR(VLOOKUP(Клиенты_исходные!F136,Справочники!$J$2:$K$50,2,FALSE),Клиенты_исходные!F136)</f>
        <v>Кемерово</v>
      </c>
      <c r="G136" s="8">
        <f>IFERROR(IF(ISNUMBER(FIND(".",Клиенты_исходные!G136)),DATE(RIGHT(Клиенты_исходные!G136,4),MID(Клиенты_исходные!G136,4,2),LEFT(Клиенты_исходные!G136,2)),DATE(LEFT(Клиенты_исходные!G136,4),MID(Клиенты_исходные!G136,6,2),RIGHT(Клиенты_исходные!G136,2))),Клиенты_исходные!G136)</f>
        <v>45915</v>
      </c>
      <c r="H136">
        <f t="shared" ca="1" si="52"/>
        <v>42</v>
      </c>
      <c r="I136" t="str">
        <f t="shared" si="53"/>
        <v>OK</v>
      </c>
      <c r="J136" t="str">
        <f t="shared" si="54"/>
        <v xml:space="preserve">Ошибка Email</v>
      </c>
    </row>
    <row r="137">
      <c r="A137" t="str">
        <f>Клиенты_исходные!A137</f>
        <v>C0136</v>
      </c>
      <c r="B137" t="str">
        <f>PROPER(TRIM(Клиенты_исходные!B137))</f>
        <v xml:space="preserve">Сорокин Антон Викторович</v>
      </c>
      <c r="C137" s="8">
        <f>IFERROR(IF(ISNUMBER(FIND(".",Клиенты_исходные!C137)),DATE(RIGHT(Клиенты_исходные!C137,4),MID(Клиенты_исходные!C137,4,2),LEFT(Клиенты_исходные!C137,2)),DATE(LEFT(Клиенты_исходные!C137,4),MID(Клиенты_исходные!C137,6,2),RIGHT(Клиенты_исходные!C137,2))),Клиенты_исходные!C137)</f>
        <v>28968</v>
      </c>
      <c r="D137" t="str">
        <f>IF(ISBLANK(Клиенты_исходные!D137),"",IF(LEN(SUBSTITUTE(SUBSTITUTE(SUBSTITUTE(SUBSTITUTE(SUBSTITUTE(Клиенты_исходные!D137," ",""),"-",""),"+",""),"(",""),")",""))=11,"+7 ("&amp;MID(IF(LEFT(SUBSTITUTE(SUBSTITUTE(SUBSTITUTE(SUBSTITUTE(SUBSTITUTE(Клиенты_исходные!D137," ",""),"-",""),"+",""),"(",""),")",""))="8","7"&amp;MID(SUBSTITUTE(SUBSTITUTE(SUBSTITUTE(SUBSTITUTE(SUBSTITUTE(Клиенты_исходные!D137," ",""),"-",""),"+",""),"(",""),")",""),2,10),SUBSTITUTE(SUBSTITUTE(SUBSTITUTE(SUBSTITUTE(SUBSTITUTE(Клиенты_исходные!D137," ",""),"-",""),"+",""),"(",""),")","")),2,3)&amp;") "&amp;MID(IF(LEFT(SUBSTITUTE(SUBSTITUTE(SUBSTITUTE(SUBSTITUTE(SUBSTITUTE(Клиенты_исходные!D137," ",""),"-",""),"+",""),"(",""),")",""))="8","7"&amp;MID(SUBSTITUTE(SUBSTITUTE(SUBSTITUTE(SUBSTITUTE(SUBSTITUTE(Клиенты_исходные!D137," ",""),"-",""),"+",""),"(",""),")",""),2,10),SUBSTITUTE(SUBSTITUTE(SUBSTITUTE(SUBSTITUTE(SUBSTITUTE(Клиенты_исходные!D137," ",""),"-",""),"+",""),"(",""),")","")),5,3)&amp;"-"&amp;MID(IF(LEFT(SUBSTITUTE(SUBSTITUTE(SUBSTITUTE(SUBSTITUTE(SUBSTITUTE(Клиенты_исходные!D137," ",""),"-",""),"+",""),"(",""),")",""))="8","7"&amp;MID(SUBSTITUTE(SUBSTITUTE(SUBSTITUTE(SUBSTITUTE(SUBSTITUTE(Клиенты_исходные!D137," ",""),"-",""),"+",""),"(",""),")",""),2,10),SUBSTITUTE(SUBSTITUTE(SUBSTITUTE(SUBSTITUTE(SUBSTITUTE(Клиенты_исходные!D137," ",""),"-",""),"+",""),"(",""),")","")),8,2)&amp;"-"&amp;MID(IF(LEFT(SUBSTITUTE(SUBSTITUTE(SUBSTITUTE(SUBSTITUTE(SUBSTITUTE(Клиенты_исходные!D137," ",""),"-",""),"+",""),"(",""),")",""))="8","7"&amp;MID(SUBSTITUTE(SUBSTITUTE(SUBSTITUTE(SUBSTITUTE(SUBSTITUTE(Клиенты_исходные!D137," ",""),"-",""),"+",""),"(",""),")",""),2,10),SUBSTITUTE(SUBSTITUTE(SUBSTITUTE(SUBSTITUTE(SUBSTITUTE(Клиенты_исходные!D137," ",""),"-",""),"+",""),"(",""),")","")),10,2),IF(LEN(SUBSTITUTE(SUBSTITUTE(SUBSTITUTE(SUBSTITUTE(SUBSTITUTE(Клиенты_исходные!D137," ",""),"-",""),"+",""),"(",""),")",""))=10,"+7 ("&amp;MID(SUBSTITUTE(SUBSTITUTE(SUBSTITUTE(SUBSTITUTE(SUBSTITUTE(Клиенты_исходные!D137," ",""),"-",""),"+",""),"(",""),")",""),1,3)&amp;") "&amp;MID(SUBSTITUTE(SUBSTITUTE(SUBSTITUTE(SUBSTITUTE(SUBSTITUTE(Клиенты_исходные!D137," ",""),"-",""),"+",""),"(",""),")",""),4,3)&amp;"-"&amp;MID(SUBSTITUTE(SUBSTITUTE(SUBSTITUTE(SUBSTITUTE(SUBSTITUTE(Клиенты_исходные!D137," ",""),"-",""),"+",""),"(",""),")",""),6,2)&amp;"-"&amp;MID(SUBSTITUTE(SUBSTITUTE(SUBSTITUTE(SUBSTITUTE(SUBSTITUTE(Клиенты_исходные!D137," ",""),"-",""),"+",""),"(",""),")",""),8,2),Клиенты_исходные!D137)))</f>
        <v xml:space="preserve">+7 (903) 123-45-67</v>
      </c>
      <c r="F137" t="str">
        <f>IFERROR(VLOOKUP(Клиенты_исходные!F137,Справочники!$J$2:$K$50,2,FALSE),Клиенты_исходные!F137)</f>
        <v>Новокузнецк</v>
      </c>
      <c r="G137" s="8">
        <f>IFERROR(IF(ISNUMBER(FIND(".",Клиенты_исходные!G137)),DATE(RIGHT(Клиенты_исходные!G137,4),MID(Клиенты_исходные!G137,4,2),LEFT(Клиенты_исходные!G137,2)),DATE(LEFT(Клиенты_исходные!G137,4),MID(Клиенты_исходные!G137,6,2),RIGHT(Клиенты_исходные!G137,2))),Клиенты_исходные!G137)</f>
        <v>45931</v>
      </c>
      <c r="H137">
        <f t="shared" ca="1" si="52"/>
        <v>47</v>
      </c>
      <c r="I137" t="str">
        <f t="shared" si="53"/>
        <v>OK</v>
      </c>
      <c r="J137" t="str">
        <f t="shared" si="54"/>
        <v xml:space="preserve">Ошибка Email</v>
      </c>
    </row>
    <row r="138">
      <c r="A138" t="str">
        <f>Клиенты_исходные!A138</f>
        <v>C0137</v>
      </c>
      <c r="B138" t="str">
        <f>PROPER(TRIM(Клиенты_исходные!B138))</f>
        <v xml:space="preserve">Филиппов Юрий Игоревич</v>
      </c>
      <c r="C138" s="8">
        <f>IFERROR(IF(ISNUMBER(FIND(".",Клиенты_исходные!C138)),DATE(RIGHT(Клиенты_исходные!C138,4),MID(Клиенты_исходные!C138,4,2),LEFT(Клиенты_исходные!C138,2)),DATE(LEFT(Клиенты_исходные!C138,4),MID(Клиенты_исходные!C138,6,2),RIGHT(Клиенты_исходные!C138,2))),Клиенты_исходные!C138)</f>
        <v>31762</v>
      </c>
      <c r="D138" t="str">
        <f>IF(ISBLANK(Клиенты_исходные!D138),"",IF(LEN(SUBSTITUTE(SUBSTITUTE(SUBSTITUTE(SUBSTITUTE(SUBSTITUTE(Клиенты_исходные!D138," ",""),"-",""),"+",""),"(",""),")",""))=11,"+7 ("&amp;MID(IF(LEFT(SUBSTITUTE(SUBSTITUTE(SUBSTITUTE(SUBSTITUTE(SUBSTITUTE(Клиенты_исходные!D138," ",""),"-",""),"+",""),"(",""),")",""))="8","7"&amp;MID(SUBSTITUTE(SUBSTITUTE(SUBSTITUTE(SUBSTITUTE(SUBSTITUTE(Клиенты_исходные!D138," ",""),"-",""),"+",""),"(",""),")",""),2,10),SUBSTITUTE(SUBSTITUTE(SUBSTITUTE(SUBSTITUTE(SUBSTITUTE(Клиенты_исходные!D138," ",""),"-",""),"+",""),"(",""),")","")),2,3)&amp;") "&amp;MID(IF(LEFT(SUBSTITUTE(SUBSTITUTE(SUBSTITUTE(SUBSTITUTE(SUBSTITUTE(Клиенты_исходные!D138," ",""),"-",""),"+",""),"(",""),")",""))="8","7"&amp;MID(SUBSTITUTE(SUBSTITUTE(SUBSTITUTE(SUBSTITUTE(SUBSTITUTE(Клиенты_исходные!D138," ",""),"-",""),"+",""),"(",""),")",""),2,10),SUBSTITUTE(SUBSTITUTE(SUBSTITUTE(SUBSTITUTE(SUBSTITUTE(Клиенты_исходные!D138," ",""),"-",""),"+",""),"(",""),")","")),5,3)&amp;"-"&amp;MID(IF(LEFT(SUBSTITUTE(SUBSTITUTE(SUBSTITUTE(SUBSTITUTE(SUBSTITUTE(Клиенты_исходные!D138," ",""),"-",""),"+",""),"(",""),")",""))="8","7"&amp;MID(SUBSTITUTE(SUBSTITUTE(SUBSTITUTE(SUBSTITUTE(SUBSTITUTE(Клиенты_исходные!D138," ",""),"-",""),"+",""),"(",""),")",""),2,10),SUBSTITUTE(SUBSTITUTE(SUBSTITUTE(SUBSTITUTE(SUBSTITUTE(Клиенты_исходные!D138," ",""),"-",""),"+",""),"(",""),")","")),8,2)&amp;"-"&amp;MID(IF(LEFT(SUBSTITUTE(SUBSTITUTE(SUBSTITUTE(SUBSTITUTE(SUBSTITUTE(Клиенты_исходные!D138," ",""),"-",""),"+",""),"(",""),")",""))="8","7"&amp;MID(SUBSTITUTE(SUBSTITUTE(SUBSTITUTE(SUBSTITUTE(SUBSTITUTE(Клиенты_исходные!D138," ",""),"-",""),"+",""),"(",""),")",""),2,10),SUBSTITUTE(SUBSTITUTE(SUBSTITUTE(SUBSTITUTE(SUBSTITUTE(Клиенты_исходные!D138," ",""),"-",""),"+",""),"(",""),")","")),10,2),IF(LEN(SUBSTITUTE(SUBSTITUTE(SUBSTITUTE(SUBSTITUTE(SUBSTITUTE(Клиенты_исходные!D138," ",""),"-",""),"+",""),"(",""),")",""))=10,"+7 ("&amp;MID(SUBSTITUTE(SUBSTITUTE(SUBSTITUTE(SUBSTITUTE(SUBSTITUTE(Клиенты_исходные!D138," ",""),"-",""),"+",""),"(",""),")",""),1,3)&amp;") "&amp;MID(SUBSTITUTE(SUBSTITUTE(SUBSTITUTE(SUBSTITUTE(SUBSTITUTE(Клиенты_исходные!D138," ",""),"-",""),"+",""),"(",""),")",""),4,3)&amp;"-"&amp;MID(SUBSTITUTE(SUBSTITUTE(SUBSTITUTE(SUBSTITUTE(SUBSTITUTE(Клиенты_исходные!D138," ",""),"-",""),"+",""),"(",""),")",""),6,2)&amp;"-"&amp;MID(SUBSTITUTE(SUBSTITUTE(SUBSTITUTE(SUBSTITUTE(SUBSTITUTE(Клиенты_исходные!D138," ",""),"-",""),"+",""),"(",""),")",""),8,2),Клиенты_исходные!D138)))</f>
        <v xml:space="preserve">+7 (903) 123-45-67</v>
      </c>
      <c r="F138" t="str">
        <f>IFERROR(VLOOKUP(Клиенты_исходные!F138,Справочники!$J$2:$K$50,2,FALSE),Клиенты_исходные!F138)</f>
        <v>Рязань</v>
      </c>
      <c r="G138" s="8">
        <f>IFERROR(IF(ISNUMBER(FIND(".",Клиенты_исходные!G138)),DATE(RIGHT(Клиенты_исходные!G138,4),MID(Клиенты_исходные!G138,4,2),LEFT(Клиенты_исходные!G138,2)),DATE(LEFT(Клиенты_исходные!G138,4),MID(Клиенты_исходные!G138,6,2),RIGHT(Клиенты_исходные!G138,2))),Клиенты_исходные!G138)</f>
        <v>45940</v>
      </c>
      <c r="H138">
        <f t="shared" ca="1" si="52"/>
        <v>39</v>
      </c>
      <c r="I138" t="str">
        <f t="shared" si="53"/>
        <v>OK</v>
      </c>
      <c r="J138" t="str">
        <f t="shared" si="54"/>
        <v xml:space="preserve">Ошибка Email</v>
      </c>
    </row>
    <row r="139">
      <c r="A139" t="str">
        <f>Клиенты_исходные!A139</f>
        <v>C0138</v>
      </c>
      <c r="B139" t="str">
        <f>PROPER(TRIM(Клиенты_исходные!B139))</f>
        <v xml:space="preserve">Буркова Надежда Валерьевна</v>
      </c>
      <c r="C139" s="8">
        <f>IFERROR(IF(ISNUMBER(FIND(".",Клиенты_исходные!C139)),DATE(RIGHT(Клиенты_исходные!C139,4),MID(Клиенты_исходные!C139,4,2),LEFT(Клиенты_исходные!C139,2)),DATE(LEFT(Клиенты_исходные!C139,4),MID(Клиенты_исходные!C139,6,2),RIGHT(Клиенты_исходные!C139,2))),Клиенты_исходные!C139)</f>
        <v>34250</v>
      </c>
      <c r="D139" t="str">
        <f>IF(ISBLANK(Клиенты_исходные!D139),"",IF(LEN(SUBSTITUTE(SUBSTITUTE(SUBSTITUTE(SUBSTITUTE(SUBSTITUTE(Клиенты_исходные!D139," ",""),"-",""),"+",""),"(",""),")",""))=11,"+7 ("&amp;MID(IF(LEFT(SUBSTITUTE(SUBSTITUTE(SUBSTITUTE(SUBSTITUTE(SUBSTITUTE(Клиенты_исходные!D139," ",""),"-",""),"+",""),"(",""),")",""))="8","7"&amp;MID(SUBSTITUTE(SUBSTITUTE(SUBSTITUTE(SUBSTITUTE(SUBSTITUTE(Клиенты_исходные!D139," ",""),"-",""),"+",""),"(",""),")",""),2,10),SUBSTITUTE(SUBSTITUTE(SUBSTITUTE(SUBSTITUTE(SUBSTITUTE(Клиенты_исходные!D139," ",""),"-",""),"+",""),"(",""),")","")),2,3)&amp;") "&amp;MID(IF(LEFT(SUBSTITUTE(SUBSTITUTE(SUBSTITUTE(SUBSTITUTE(SUBSTITUTE(Клиенты_исходные!D139," ",""),"-",""),"+",""),"(",""),")",""))="8","7"&amp;MID(SUBSTITUTE(SUBSTITUTE(SUBSTITUTE(SUBSTITUTE(SUBSTITUTE(Клиенты_исходные!D139," ",""),"-",""),"+",""),"(",""),")",""),2,10),SUBSTITUTE(SUBSTITUTE(SUBSTITUTE(SUBSTITUTE(SUBSTITUTE(Клиенты_исходные!D139," ",""),"-",""),"+",""),"(",""),")","")),5,3)&amp;"-"&amp;MID(IF(LEFT(SUBSTITUTE(SUBSTITUTE(SUBSTITUTE(SUBSTITUTE(SUBSTITUTE(Клиенты_исходные!D139," ",""),"-",""),"+",""),"(",""),")",""))="8","7"&amp;MID(SUBSTITUTE(SUBSTITUTE(SUBSTITUTE(SUBSTITUTE(SUBSTITUTE(Клиенты_исходные!D139," ",""),"-",""),"+",""),"(",""),")",""),2,10),SUBSTITUTE(SUBSTITUTE(SUBSTITUTE(SUBSTITUTE(SUBSTITUTE(Клиенты_исходные!D139," ",""),"-",""),"+",""),"(",""),")","")),8,2)&amp;"-"&amp;MID(IF(LEFT(SUBSTITUTE(SUBSTITUTE(SUBSTITUTE(SUBSTITUTE(SUBSTITUTE(Клиенты_исходные!D139," ",""),"-",""),"+",""),"(",""),")",""))="8","7"&amp;MID(SUBSTITUTE(SUBSTITUTE(SUBSTITUTE(SUBSTITUTE(SUBSTITUTE(Клиенты_исходные!D139," ",""),"-",""),"+",""),"(",""),")",""),2,10),SUBSTITUTE(SUBSTITUTE(SUBSTITUTE(SUBSTITUTE(SUBSTITUTE(Клиенты_исходные!D139," ",""),"-",""),"+",""),"(",""),")","")),10,2),IF(LEN(SUBSTITUTE(SUBSTITUTE(SUBSTITUTE(SUBSTITUTE(SUBSTITUTE(Клиенты_исходные!D139," ",""),"-",""),"+",""),"(",""),")",""))=10,"+7 ("&amp;MID(SUBSTITUTE(SUBSTITUTE(SUBSTITUTE(SUBSTITUTE(SUBSTITUTE(Клиенты_исходные!D139," ",""),"-",""),"+",""),"(",""),")",""),1,3)&amp;") "&amp;MID(SUBSTITUTE(SUBSTITUTE(SUBSTITUTE(SUBSTITUTE(SUBSTITUTE(Клиенты_исходные!D139," ",""),"-",""),"+",""),"(",""),")",""),4,3)&amp;"-"&amp;MID(SUBSTITUTE(SUBSTITUTE(SUBSTITUTE(SUBSTITUTE(SUBSTITUTE(Клиенты_исходные!D139," ",""),"-",""),"+",""),"(",""),")",""),6,2)&amp;"-"&amp;MID(SUBSTITUTE(SUBSTITUTE(SUBSTITUTE(SUBSTITUTE(SUBSTITUTE(Клиенты_исходные!D139," ",""),"-",""),"+",""),"(",""),")",""),8,2),Клиенты_исходные!D139)))</f>
        <v xml:space="preserve">+7 (903) 234-56-78</v>
      </c>
      <c r="F139" t="str">
        <f>IFERROR(VLOOKUP(Клиенты_исходные!F139,Справочники!$J$2:$K$50,2,FALSE),Клиенты_исходные!F139)</f>
        <v>Астрахань</v>
      </c>
      <c r="G139" s="8">
        <f>IFERROR(IF(ISNUMBER(FIND(".",Клиенты_исходные!G139)),DATE(RIGHT(Клиенты_исходные!G139,4),MID(Клиенты_исходные!G139,4,2),LEFT(Клиенты_исходные!G139,2)),DATE(LEFT(Клиенты_исходные!G139,4),MID(Клиенты_исходные!G139,6,2),RIGHT(Клиенты_исходные!G139,2))),Клиенты_исходные!G139)</f>
        <v>45940</v>
      </c>
      <c r="H139">
        <f t="shared" ca="1" si="52"/>
        <v>32</v>
      </c>
      <c r="I139" t="str">
        <f t="shared" si="53"/>
        <v>OK</v>
      </c>
      <c r="J139" t="str">
        <f t="shared" si="54"/>
        <v xml:space="preserve">Ошибка Email</v>
      </c>
    </row>
    <row r="140">
      <c r="A140" t="str">
        <f>Клиенты_исходные!A140</f>
        <v>C0139</v>
      </c>
      <c r="B140" t="str">
        <f>PROPER(TRIM(Клиенты_исходные!B140))</f>
        <v xml:space="preserve">Маркова Галина Петровна</v>
      </c>
      <c r="C140" s="8">
        <f>IFERROR(IF(ISNUMBER(FIND(".",Клиенты_исходные!C140)),DATE(RIGHT(Клиенты_исходные!C140,4),MID(Клиенты_исходные!C140,4,2),LEFT(Клиенты_исходные!C140,2)),DATE(LEFT(Клиенты_исходные!C140,4),MID(Клиенты_исходные!C140,6,2),RIGHT(Клиенты_исходные!C140,2))),Клиенты_исходные!C140)</f>
        <v>25715</v>
      </c>
      <c r="D140" t="str">
        <f>IF(ISBLANK(Клиенты_исходные!D140),"",IF(LEN(SUBSTITUTE(SUBSTITUTE(SUBSTITUTE(SUBSTITUTE(SUBSTITUTE(Клиенты_исходные!D140," ",""),"-",""),"+",""),"(",""),")",""))=11,"+7 ("&amp;MID(IF(LEFT(SUBSTITUTE(SUBSTITUTE(SUBSTITUTE(SUBSTITUTE(SUBSTITUTE(Клиенты_исходные!D140," ",""),"-",""),"+",""),"(",""),")",""))="8","7"&amp;MID(SUBSTITUTE(SUBSTITUTE(SUBSTITUTE(SUBSTITUTE(SUBSTITUTE(Клиенты_исходные!D140," ",""),"-",""),"+",""),"(",""),")",""),2,10),SUBSTITUTE(SUBSTITUTE(SUBSTITUTE(SUBSTITUTE(SUBSTITUTE(Клиенты_исходные!D140," ",""),"-",""),"+",""),"(",""),")","")),2,3)&amp;") "&amp;MID(IF(LEFT(SUBSTITUTE(SUBSTITUTE(SUBSTITUTE(SUBSTITUTE(SUBSTITUTE(Клиенты_исходные!D140," ",""),"-",""),"+",""),"(",""),")",""))="8","7"&amp;MID(SUBSTITUTE(SUBSTITUTE(SUBSTITUTE(SUBSTITUTE(SUBSTITUTE(Клиенты_исходные!D140," ",""),"-",""),"+",""),"(",""),")",""),2,10),SUBSTITUTE(SUBSTITUTE(SUBSTITUTE(SUBSTITUTE(SUBSTITUTE(Клиенты_исходные!D140," ",""),"-",""),"+",""),"(",""),")","")),5,3)&amp;"-"&amp;MID(IF(LEFT(SUBSTITUTE(SUBSTITUTE(SUBSTITUTE(SUBSTITUTE(SUBSTITUTE(Клиенты_исходные!D140," ",""),"-",""),"+",""),"(",""),")",""))="8","7"&amp;MID(SUBSTITUTE(SUBSTITUTE(SUBSTITUTE(SUBSTITUTE(SUBSTITUTE(Клиенты_исходные!D140," ",""),"-",""),"+",""),"(",""),")",""),2,10),SUBSTITUTE(SUBSTITUTE(SUBSTITUTE(SUBSTITUTE(SUBSTITUTE(Клиенты_исходные!D140," ",""),"-",""),"+",""),"(",""),")","")),8,2)&amp;"-"&amp;MID(IF(LEFT(SUBSTITUTE(SUBSTITUTE(SUBSTITUTE(SUBSTITUTE(SUBSTITUTE(Клиенты_исходные!D140," ",""),"-",""),"+",""),"(",""),")",""))="8","7"&amp;MID(SUBSTITUTE(SUBSTITUTE(SUBSTITUTE(SUBSTITUTE(SUBSTITUTE(Клиенты_исходные!D140," ",""),"-",""),"+",""),"(",""),")",""),2,10),SUBSTITUTE(SUBSTITUTE(SUBSTITUTE(SUBSTITUTE(SUBSTITUTE(Клиенты_исходные!D140," ",""),"-",""),"+",""),"(",""),")","")),10,2),IF(LEN(SUBSTITUTE(SUBSTITUTE(SUBSTITUTE(SUBSTITUTE(SUBSTITUTE(Клиенты_исходные!D140," ",""),"-",""),"+",""),"(",""),")",""))=10,"+7 ("&amp;MID(SUBSTITUTE(SUBSTITUTE(SUBSTITUTE(SUBSTITUTE(SUBSTITUTE(Клиенты_исходные!D140," ",""),"-",""),"+",""),"(",""),")",""),1,3)&amp;") "&amp;MID(SUBSTITUTE(SUBSTITUTE(SUBSTITUTE(SUBSTITUTE(SUBSTITUTE(Клиенты_исходные!D140," ",""),"-",""),"+",""),"(",""),")",""),4,3)&amp;"-"&amp;MID(SUBSTITUTE(SUBSTITUTE(SUBSTITUTE(SUBSTITUTE(SUBSTITUTE(Клиенты_исходные!D140," ",""),"-",""),"+",""),"(",""),")",""),6,2)&amp;"-"&amp;MID(SUBSTITUTE(SUBSTITUTE(SUBSTITUTE(SUBSTITUTE(SUBSTITUTE(Клиенты_исходные!D140," ",""),"-",""),"+",""),"(",""),")",""),8,2),Клиенты_исходные!D140)))</f>
        <v xml:space="preserve">+7 (903) 234-56-78</v>
      </c>
      <c r="F140" t="str">
        <f>IFERROR(VLOOKUP(Клиенты_исходные!F140,Справочники!$J$2:$K$50,2,FALSE),Клиенты_исходные!F140)</f>
        <v xml:space="preserve">Набережные Челны</v>
      </c>
      <c r="G140" s="8">
        <f>IFERROR(IF(ISNUMBER(FIND(".",Клиенты_исходные!G140)),DATE(RIGHT(Клиенты_исходные!G140,4),MID(Клиенты_исходные!G140,4,2),LEFT(Клиенты_исходные!G140,2)),DATE(LEFT(Клиенты_исходные!G140,4),MID(Клиенты_исходные!G140,6,2),RIGHT(Клиенты_исходные!G140,2))),Клиенты_исходные!G140)</f>
        <v>45962</v>
      </c>
      <c r="H140">
        <f t="shared" ca="1" si="52"/>
        <v>56</v>
      </c>
      <c r="I140" t="str">
        <f t="shared" si="53"/>
        <v>OK</v>
      </c>
      <c r="J140" t="str">
        <f t="shared" si="54"/>
        <v xml:space="preserve">Ошибка Email</v>
      </c>
    </row>
    <row r="141">
      <c r="A141" t="str">
        <f>Клиенты_исходные!A141</f>
        <v>C0140</v>
      </c>
      <c r="B141" t="str">
        <f>PROPER(TRIM(Клиенты_исходные!B141))</f>
        <v xml:space="preserve">Дмитриев Степан Олегович</v>
      </c>
      <c r="C141" s="8">
        <f>IFERROR(IF(ISNUMBER(FIND(".",Клиенты_исходные!C141)),DATE(RIGHT(Клиенты_исходные!C141,4),MID(Клиенты_исходные!C141,4,2),LEFT(Клиенты_исходные!C141,2)),DATE(LEFT(Клиенты_исходные!C141,4),MID(Клиенты_исходные!C141,6,2),RIGHT(Клиенты_исходные!C141,2))),Клиенты_исходные!C141)</f>
        <v>32216</v>
      </c>
      <c r="D141" t="str">
        <f>IF(ISBLANK(Клиенты_исходные!D141),"",IF(LEN(SUBSTITUTE(SUBSTITUTE(SUBSTITUTE(SUBSTITUTE(SUBSTITUTE(Клиенты_исходные!D141," ",""),"-",""),"+",""),"(",""),")",""))=11,"+7 ("&amp;MID(IF(LEFT(SUBSTITUTE(SUBSTITUTE(SUBSTITUTE(SUBSTITUTE(SUBSTITUTE(Клиенты_исходные!D141," ",""),"-",""),"+",""),"(",""),")",""))="8","7"&amp;MID(SUBSTITUTE(SUBSTITUTE(SUBSTITUTE(SUBSTITUTE(SUBSTITUTE(Клиенты_исходные!D141," ",""),"-",""),"+",""),"(",""),")",""),2,10),SUBSTITUTE(SUBSTITUTE(SUBSTITUTE(SUBSTITUTE(SUBSTITUTE(Клиенты_исходные!D141," ",""),"-",""),"+",""),"(",""),")","")),2,3)&amp;") "&amp;MID(IF(LEFT(SUBSTITUTE(SUBSTITUTE(SUBSTITUTE(SUBSTITUTE(SUBSTITUTE(Клиенты_исходные!D141," ",""),"-",""),"+",""),"(",""),")",""))="8","7"&amp;MID(SUBSTITUTE(SUBSTITUTE(SUBSTITUTE(SUBSTITUTE(SUBSTITUTE(Клиенты_исходные!D141," ",""),"-",""),"+",""),"(",""),")",""),2,10),SUBSTITUTE(SUBSTITUTE(SUBSTITUTE(SUBSTITUTE(SUBSTITUTE(Клиенты_исходные!D141," ",""),"-",""),"+",""),"(",""),")","")),5,3)&amp;"-"&amp;MID(IF(LEFT(SUBSTITUTE(SUBSTITUTE(SUBSTITUTE(SUBSTITUTE(SUBSTITUTE(Клиенты_исходные!D141," ",""),"-",""),"+",""),"(",""),")",""))="8","7"&amp;MID(SUBSTITUTE(SUBSTITUTE(SUBSTITUTE(SUBSTITUTE(SUBSTITUTE(Клиенты_исходные!D141," ",""),"-",""),"+",""),"(",""),")",""),2,10),SUBSTITUTE(SUBSTITUTE(SUBSTITUTE(SUBSTITUTE(SUBSTITUTE(Клиенты_исходные!D141," ",""),"-",""),"+",""),"(",""),")","")),8,2)&amp;"-"&amp;MID(IF(LEFT(SUBSTITUTE(SUBSTITUTE(SUBSTITUTE(SUBSTITUTE(SUBSTITUTE(Клиенты_исходные!D141," ",""),"-",""),"+",""),"(",""),")",""))="8","7"&amp;MID(SUBSTITUTE(SUBSTITUTE(SUBSTITUTE(SUBSTITUTE(SUBSTITUTE(Клиенты_исходные!D141," ",""),"-",""),"+",""),"(",""),")",""),2,10),SUBSTITUTE(SUBSTITUTE(SUBSTITUTE(SUBSTITUTE(SUBSTITUTE(Клиенты_исходные!D141," ",""),"-",""),"+",""),"(",""),")","")),10,2),IF(LEN(SUBSTITUTE(SUBSTITUTE(SUBSTITUTE(SUBSTITUTE(SUBSTITUTE(Клиенты_исходные!D141," ",""),"-",""),"+",""),"(",""),")",""))=10,"+7 ("&amp;MID(SUBSTITUTE(SUBSTITUTE(SUBSTITUTE(SUBSTITUTE(SUBSTITUTE(Клиенты_исходные!D141," ",""),"-",""),"+",""),"(",""),")",""),1,3)&amp;") "&amp;MID(SUBSTITUTE(SUBSTITUTE(SUBSTITUTE(SUBSTITUTE(SUBSTITUTE(Клиенты_исходные!D141," ",""),"-",""),"+",""),"(",""),")",""),4,3)&amp;"-"&amp;MID(SUBSTITUTE(SUBSTITUTE(SUBSTITUTE(SUBSTITUTE(SUBSTITUTE(Клиенты_исходные!D141," ",""),"-",""),"+",""),"(",""),")",""),6,2)&amp;"-"&amp;MID(SUBSTITUTE(SUBSTITUTE(SUBSTITUTE(SUBSTITUTE(SUBSTITUTE(Клиенты_исходные!D141," ",""),"-",""),"+",""),"(",""),")",""),8,2),Клиенты_исходные!D141)))</f>
        <v xml:space="preserve">+7 (903) 234-56-78</v>
      </c>
      <c r="F141" t="str">
        <f>IFERROR(VLOOKUP(Клиенты_исходные!F141,Справочники!$J$2:$K$50,2,FALSE),Клиенты_исходные!F141)</f>
        <v>Липецк</v>
      </c>
      <c r="G141" s="8">
        <f>IFERROR(IF(ISNUMBER(FIND(".",Клиенты_исходные!G141)),DATE(RIGHT(Клиенты_исходные!G141,4),MID(Клиенты_исходные!G141,4,2),LEFT(Клиенты_исходные!G141,2)),DATE(LEFT(Клиенты_исходные!G141,4),MID(Клиенты_исходные!G141,6,2),RIGHT(Клиенты_исходные!G141,2))),Клиенты_исходные!G141)</f>
        <v>45976</v>
      </c>
      <c r="H141">
        <f t="shared" ca="1" si="52"/>
        <v>38</v>
      </c>
      <c r="I141" t="str">
        <f t="shared" si="53"/>
        <v>OK</v>
      </c>
      <c r="J141" t="str">
        <f t="shared" si="54"/>
        <v xml:space="preserve">Ошибка Email</v>
      </c>
    </row>
    <row r="142">
      <c r="A142" t="str">
        <f>Клиенты_исходные!A142</f>
        <v>C0141</v>
      </c>
      <c r="B142" t="str">
        <f>PROPER(TRIM(Клиенты_исходные!B142))</f>
        <v xml:space="preserve">Гришин Владислав Денисович</v>
      </c>
      <c r="C142" s="8">
        <f>IFERROR(IF(ISNUMBER(FIND(".",Клиенты_исходные!C142)),DATE(RIGHT(Клиенты_исходные!C142,4),MID(Клиенты_исходные!C142,4,2),LEFT(Клиенты_исходные!C142,2)),DATE(LEFT(Клиенты_исходные!C142,4),MID(Клиенты_исходные!C142,6,2),RIGHT(Клиенты_исходные!C142,2))),Клиенты_исходные!C142)</f>
        <v>29849</v>
      </c>
      <c r="D142" t="str">
        <f>IF(ISBLANK(Клиенты_исходные!D142),"",IF(LEN(SUBSTITUTE(SUBSTITUTE(SUBSTITUTE(SUBSTITUTE(SUBSTITUTE(Клиенты_исходные!D142," ",""),"-",""),"+",""),"(",""),")",""))=11,"+7 ("&amp;MID(IF(LEFT(SUBSTITUTE(SUBSTITUTE(SUBSTITUTE(SUBSTITUTE(SUBSTITUTE(Клиенты_исходные!D142," ",""),"-",""),"+",""),"(",""),")",""))="8","7"&amp;MID(SUBSTITUTE(SUBSTITUTE(SUBSTITUTE(SUBSTITUTE(SUBSTITUTE(Клиенты_исходные!D142," ",""),"-",""),"+",""),"(",""),")",""),2,10),SUBSTITUTE(SUBSTITUTE(SUBSTITUTE(SUBSTITUTE(SUBSTITUTE(Клиенты_исходные!D142," ",""),"-",""),"+",""),"(",""),")","")),2,3)&amp;") "&amp;MID(IF(LEFT(SUBSTITUTE(SUBSTITUTE(SUBSTITUTE(SUBSTITUTE(SUBSTITUTE(Клиенты_исходные!D142," ",""),"-",""),"+",""),"(",""),")",""))="8","7"&amp;MID(SUBSTITUTE(SUBSTITUTE(SUBSTITUTE(SUBSTITUTE(SUBSTITUTE(Клиенты_исходные!D142," ",""),"-",""),"+",""),"(",""),")",""),2,10),SUBSTITUTE(SUBSTITUTE(SUBSTITUTE(SUBSTITUTE(SUBSTITUTE(Клиенты_исходные!D142," ",""),"-",""),"+",""),"(",""),")","")),5,3)&amp;"-"&amp;MID(IF(LEFT(SUBSTITUTE(SUBSTITUTE(SUBSTITUTE(SUBSTITUTE(SUBSTITUTE(Клиенты_исходные!D142," ",""),"-",""),"+",""),"(",""),")",""))="8","7"&amp;MID(SUBSTITUTE(SUBSTITUTE(SUBSTITUTE(SUBSTITUTE(SUBSTITUTE(Клиенты_исходные!D142," ",""),"-",""),"+",""),"(",""),")",""),2,10),SUBSTITUTE(SUBSTITUTE(SUBSTITUTE(SUBSTITUTE(SUBSTITUTE(Клиенты_исходные!D142," ",""),"-",""),"+",""),"(",""),")","")),8,2)&amp;"-"&amp;MID(IF(LEFT(SUBSTITUTE(SUBSTITUTE(SUBSTITUTE(SUBSTITUTE(SUBSTITUTE(Клиенты_исходные!D142," ",""),"-",""),"+",""),"(",""),")",""))="8","7"&amp;MID(SUBSTITUTE(SUBSTITUTE(SUBSTITUTE(SUBSTITUTE(SUBSTITUTE(Клиенты_исходные!D142," ",""),"-",""),"+",""),"(",""),")",""),2,10),SUBSTITUTE(SUBSTITUTE(SUBSTITUTE(SUBSTITUTE(SUBSTITUTE(Клиенты_исходные!D142," ",""),"-",""),"+",""),"(",""),")","")),10,2),IF(LEN(SUBSTITUTE(SUBSTITUTE(SUBSTITUTE(SUBSTITUTE(SUBSTITUTE(Клиенты_исходные!D142," ",""),"-",""),"+",""),"(",""),")",""))=10,"+7 ("&amp;MID(SUBSTITUTE(SUBSTITUTE(SUBSTITUTE(SUBSTITUTE(SUBSTITUTE(Клиенты_исходные!D142," ",""),"-",""),"+",""),"(",""),")",""),1,3)&amp;") "&amp;MID(SUBSTITUTE(SUBSTITUTE(SUBSTITUTE(SUBSTITUTE(SUBSTITUTE(Клиенты_исходные!D142," ",""),"-",""),"+",""),"(",""),")",""),4,3)&amp;"-"&amp;MID(SUBSTITUTE(SUBSTITUTE(SUBSTITUTE(SUBSTITUTE(SUBSTITUTE(Клиенты_исходные!D142," ",""),"-",""),"+",""),"(",""),")",""),6,2)&amp;"-"&amp;MID(SUBSTITUTE(SUBSTITUTE(SUBSTITUTE(SUBSTITUTE(SUBSTITUTE(Клиенты_исходные!D142," ",""),"-",""),"+",""),"(",""),")",""),8,2),Клиенты_исходные!D142)))</f>
        <v xml:space="preserve">+7 (903) 345-67-89</v>
      </c>
      <c r="F142" t="str">
        <f>IFERROR(VLOOKUP(Клиенты_исходные!F142,Справочники!$J$2:$K$50,2,FALSE),Клиенты_исходные!F142)</f>
        <v>Киров</v>
      </c>
      <c r="G142" s="8">
        <f>IFERROR(IF(ISNUMBER(FIND(".",Клиенты_исходные!G142)),DATE(RIGHT(Клиенты_исходные!G142,4),MID(Клиенты_исходные!G142,4,2),LEFT(Клиенты_исходные!G142,2)),DATE(LEFT(Клиенты_исходные!G142,4),MID(Клиенты_исходные!G142,6,2),RIGHT(Клиенты_исходные!G142,2))),Клиенты_исходные!G142)</f>
        <v>45976</v>
      </c>
      <c r="H142">
        <f t="shared" ca="1" si="52"/>
        <v>45</v>
      </c>
      <c r="I142" t="str">
        <f t="shared" si="53"/>
        <v>OK</v>
      </c>
      <c r="J142" t="str">
        <f t="shared" si="54"/>
        <v xml:space="preserve">Ошибка Email</v>
      </c>
    </row>
    <row r="143">
      <c r="A143" t="str">
        <f>Клиенты_исходные!A143</f>
        <v>C0142</v>
      </c>
      <c r="B143" t="str">
        <f>PROPER(TRIM(Клиенты_исходные!B143))</f>
        <v xml:space="preserve">Симонова Татьяна Владимировна</v>
      </c>
      <c r="C143" s="8">
        <f>IFERROR(IF(ISNUMBER(FIND(".",Клиенты_исходные!C143)),DATE(RIGHT(Клиенты_исходные!C143,4),MID(Клиенты_исходные!C143,4,2),LEFT(Клиенты_исходные!C143,2)),DATE(LEFT(Клиенты_исходные!C143,4),MID(Клиенты_исходные!C143,6,2),RIGHT(Клиенты_исходные!C143,2))),Клиенты_исходные!C143)</f>
        <v>27221</v>
      </c>
      <c r="D143" t="str">
        <f>IF(ISBLANK(Клиенты_исходные!D143),"",IF(LEN(SUBSTITUTE(SUBSTITUTE(SUBSTITUTE(SUBSTITUTE(SUBSTITUTE(Клиенты_исходные!D143," ",""),"-",""),"+",""),"(",""),")",""))=11,"+7 ("&amp;MID(IF(LEFT(SUBSTITUTE(SUBSTITUTE(SUBSTITUTE(SUBSTITUTE(SUBSTITUTE(Клиенты_исходные!D143," ",""),"-",""),"+",""),"(",""),")",""))="8","7"&amp;MID(SUBSTITUTE(SUBSTITUTE(SUBSTITUTE(SUBSTITUTE(SUBSTITUTE(Клиенты_исходные!D143," ",""),"-",""),"+",""),"(",""),")",""),2,10),SUBSTITUTE(SUBSTITUTE(SUBSTITUTE(SUBSTITUTE(SUBSTITUTE(Клиенты_исходные!D143," ",""),"-",""),"+",""),"(",""),")","")),2,3)&amp;") "&amp;MID(IF(LEFT(SUBSTITUTE(SUBSTITUTE(SUBSTITUTE(SUBSTITUTE(SUBSTITUTE(Клиенты_исходные!D143," ",""),"-",""),"+",""),"(",""),")",""))="8","7"&amp;MID(SUBSTITUTE(SUBSTITUTE(SUBSTITUTE(SUBSTITUTE(SUBSTITUTE(Клиенты_исходные!D143," ",""),"-",""),"+",""),"(",""),")",""),2,10),SUBSTITUTE(SUBSTITUTE(SUBSTITUTE(SUBSTITUTE(SUBSTITUTE(Клиенты_исходные!D143," ",""),"-",""),"+",""),"(",""),")","")),5,3)&amp;"-"&amp;MID(IF(LEFT(SUBSTITUTE(SUBSTITUTE(SUBSTITUTE(SUBSTITUTE(SUBSTITUTE(Клиенты_исходные!D143," ",""),"-",""),"+",""),"(",""),")",""))="8","7"&amp;MID(SUBSTITUTE(SUBSTITUTE(SUBSTITUTE(SUBSTITUTE(SUBSTITUTE(Клиенты_исходные!D143," ",""),"-",""),"+",""),"(",""),")",""),2,10),SUBSTITUTE(SUBSTITUTE(SUBSTITUTE(SUBSTITUTE(SUBSTITUTE(Клиенты_исходные!D143," ",""),"-",""),"+",""),"(",""),")","")),8,2)&amp;"-"&amp;MID(IF(LEFT(SUBSTITUTE(SUBSTITUTE(SUBSTITUTE(SUBSTITUTE(SUBSTITUTE(Клиенты_исходные!D143," ",""),"-",""),"+",""),"(",""),")",""))="8","7"&amp;MID(SUBSTITUTE(SUBSTITUTE(SUBSTITUTE(SUBSTITUTE(SUBSTITUTE(Клиенты_исходные!D143," ",""),"-",""),"+",""),"(",""),")",""),2,10),SUBSTITUTE(SUBSTITUTE(SUBSTITUTE(SUBSTITUTE(SUBSTITUTE(Клиенты_исходные!D143," ",""),"-",""),"+",""),"(",""),")","")),10,2),IF(LEN(SUBSTITUTE(SUBSTITUTE(SUBSTITUTE(SUBSTITUTE(SUBSTITUTE(Клиенты_исходные!D143," ",""),"-",""),"+",""),"(",""),")",""))=10,"+7 ("&amp;MID(SUBSTITUTE(SUBSTITUTE(SUBSTITUTE(SUBSTITUTE(SUBSTITUTE(Клиенты_исходные!D143," ",""),"-",""),"+",""),"(",""),")",""),1,3)&amp;") "&amp;MID(SUBSTITUTE(SUBSTITUTE(SUBSTITUTE(SUBSTITUTE(SUBSTITUTE(Клиенты_исходные!D143," ",""),"-",""),"+",""),"(",""),")",""),4,3)&amp;"-"&amp;MID(SUBSTITUTE(SUBSTITUTE(SUBSTITUTE(SUBSTITUTE(SUBSTITUTE(Клиенты_исходные!D143," ",""),"-",""),"+",""),"(",""),")",""),6,2)&amp;"-"&amp;MID(SUBSTITUTE(SUBSTITUTE(SUBSTITUTE(SUBSTITUTE(SUBSTITUTE(Клиенты_исходные!D143," ",""),"-",""),"+",""),"(",""),")",""),8,2),Клиенты_исходные!D143)))</f>
        <v xml:space="preserve">+7 (903) 345-67-89</v>
      </c>
      <c r="F143" t="str">
        <f>IFERROR(VLOOKUP(Клиенты_исходные!F143,Справочники!$J$2:$K$50,2,FALSE),Клиенты_исходные!F143)</f>
        <v>Чебоксары</v>
      </c>
      <c r="G143" s="8">
        <f>IFERROR(IF(ISNUMBER(FIND(".",Клиенты_исходные!G143)),DATE(RIGHT(Клиенты_исходные!G143,4),MID(Клиенты_исходные!G143,4,2),LEFT(Клиенты_исходные!G143,2)),DATE(LEFT(Клиенты_исходные!G143,4),MID(Клиенты_исходные!G143,6,2),RIGHT(Клиенты_исходные!G143,2))),Клиенты_исходные!G143)</f>
        <v>45992</v>
      </c>
      <c r="H143">
        <f t="shared" ca="1" si="52"/>
        <v>52</v>
      </c>
      <c r="I143" t="str">
        <f t="shared" si="53"/>
        <v>OK</v>
      </c>
      <c r="J143" t="str">
        <f t="shared" si="54"/>
        <v xml:space="preserve">Ошибка Email</v>
      </c>
    </row>
    <row r="144">
      <c r="A144" t="str">
        <f>Клиенты_исходные!A144</f>
        <v>C0143</v>
      </c>
      <c r="B144" t="str">
        <f>PROPER(TRIM(Клиенты_исходные!B144))</f>
        <v xml:space="preserve">Назаров Антон Иванович</v>
      </c>
      <c r="C144" s="8">
        <f>IFERROR(IF(ISNUMBER(FIND(".",Клиенты_исходные!C144)),DATE(RIGHT(Клиенты_исходные!C144,4),MID(Клиенты_исходные!C144,4,2),LEFT(Клиенты_исходные!C144,2)),DATE(LEFT(Клиенты_исходные!C144,4),MID(Клиенты_исходные!C144,6,2),RIGHT(Клиенты_исходные!C144,2))),Клиенты_исходные!C144)</f>
        <v>33639</v>
      </c>
      <c r="D144" t="str">
        <f>IF(ISBLANK(Клиенты_исходные!D144),"",IF(LEN(SUBSTITUTE(SUBSTITUTE(SUBSTITUTE(SUBSTITUTE(SUBSTITUTE(Клиенты_исходные!D144," ",""),"-",""),"+",""),"(",""),")",""))=11,"+7 ("&amp;MID(IF(LEFT(SUBSTITUTE(SUBSTITUTE(SUBSTITUTE(SUBSTITUTE(SUBSTITUTE(Клиенты_исходные!D144," ",""),"-",""),"+",""),"(",""),")",""))="8","7"&amp;MID(SUBSTITUTE(SUBSTITUTE(SUBSTITUTE(SUBSTITUTE(SUBSTITUTE(Клиенты_исходные!D144," ",""),"-",""),"+",""),"(",""),")",""),2,10),SUBSTITUTE(SUBSTITUTE(SUBSTITUTE(SUBSTITUTE(SUBSTITUTE(Клиенты_исходные!D144," ",""),"-",""),"+",""),"(",""),")","")),2,3)&amp;") "&amp;MID(IF(LEFT(SUBSTITUTE(SUBSTITUTE(SUBSTITUTE(SUBSTITUTE(SUBSTITUTE(Клиенты_исходные!D144," ",""),"-",""),"+",""),"(",""),")",""))="8","7"&amp;MID(SUBSTITUTE(SUBSTITUTE(SUBSTITUTE(SUBSTITUTE(SUBSTITUTE(Клиенты_исходные!D144," ",""),"-",""),"+",""),"(",""),")",""),2,10),SUBSTITUTE(SUBSTITUTE(SUBSTITUTE(SUBSTITUTE(SUBSTITUTE(Клиенты_исходные!D144," ",""),"-",""),"+",""),"(",""),")","")),5,3)&amp;"-"&amp;MID(IF(LEFT(SUBSTITUTE(SUBSTITUTE(SUBSTITUTE(SUBSTITUTE(SUBSTITUTE(Клиенты_исходные!D144," ",""),"-",""),"+",""),"(",""),")",""))="8","7"&amp;MID(SUBSTITUTE(SUBSTITUTE(SUBSTITUTE(SUBSTITUTE(SUBSTITUTE(Клиенты_исходные!D144," ",""),"-",""),"+",""),"(",""),")",""),2,10),SUBSTITUTE(SUBSTITUTE(SUBSTITUTE(SUBSTITUTE(SUBSTITUTE(Клиенты_исходные!D144," ",""),"-",""),"+",""),"(",""),")","")),8,2)&amp;"-"&amp;MID(IF(LEFT(SUBSTITUTE(SUBSTITUTE(SUBSTITUTE(SUBSTITUTE(SUBSTITUTE(Клиенты_исходные!D144," ",""),"-",""),"+",""),"(",""),")",""))="8","7"&amp;MID(SUBSTITUTE(SUBSTITUTE(SUBSTITUTE(SUBSTITUTE(SUBSTITUTE(Клиенты_исходные!D144," ",""),"-",""),"+",""),"(",""),")",""),2,10),SUBSTITUTE(SUBSTITUTE(SUBSTITUTE(SUBSTITUTE(SUBSTITUTE(Клиенты_исходные!D144," ",""),"-",""),"+",""),"(",""),")","")),10,2),IF(LEN(SUBSTITUTE(SUBSTITUTE(SUBSTITUTE(SUBSTITUTE(SUBSTITUTE(Клиенты_исходные!D144," ",""),"-",""),"+",""),"(",""),")",""))=10,"+7 ("&amp;MID(SUBSTITUTE(SUBSTITUTE(SUBSTITUTE(SUBSTITUTE(SUBSTITUTE(Клиенты_исходные!D144," ",""),"-",""),"+",""),"(",""),")",""),1,3)&amp;") "&amp;MID(SUBSTITUTE(SUBSTITUTE(SUBSTITUTE(SUBSTITUTE(SUBSTITUTE(Клиенты_исходные!D144," ",""),"-",""),"+",""),"(",""),")",""),4,3)&amp;"-"&amp;MID(SUBSTITUTE(SUBSTITUTE(SUBSTITUTE(SUBSTITUTE(SUBSTITUTE(Клиенты_исходные!D144," ",""),"-",""),"+",""),"(",""),")",""),6,2)&amp;"-"&amp;MID(SUBSTITUTE(SUBSTITUTE(SUBSTITUTE(SUBSTITUTE(SUBSTITUTE(Клиенты_исходные!D144," ",""),"-",""),"+",""),"(",""),")",""),8,2),Клиенты_исходные!D144)))</f>
        <v xml:space="preserve">+7 (903) 345-67-89</v>
      </c>
      <c r="F144" t="str">
        <f>IFERROR(VLOOKUP(Клиенты_исходные!F144,Справочники!$J$2:$K$50,2,FALSE),Клиенты_исходные!F144)</f>
        <v>Тверь</v>
      </c>
      <c r="G144" s="8">
        <f>IFERROR(IF(ISNUMBER(FIND(".",Клиенты_исходные!G144)),DATE(RIGHT(Клиенты_исходные!G144,4),MID(Клиенты_исходные!G144,4,2),LEFT(Клиенты_исходные!G144,2)),DATE(LEFT(Клиенты_исходные!G144,4),MID(Клиенты_исходные!G144,6,2),RIGHT(Клиенты_исходные!G144,2))),Клиенты_исходные!G144)</f>
        <v>46001</v>
      </c>
      <c r="H144">
        <f t="shared" ca="1" si="52"/>
        <v>34</v>
      </c>
      <c r="I144" t="str">
        <f t="shared" si="53"/>
        <v>OK</v>
      </c>
      <c r="J144" t="str">
        <f t="shared" si="54"/>
        <v xml:space="preserve">Ошибка Email</v>
      </c>
    </row>
    <row r="145">
      <c r="A145" t="str">
        <f>Клиенты_исходные!A145</f>
        <v>C0144</v>
      </c>
      <c r="B145" t="str">
        <f>PROPER(TRIM(Клиенты_исходные!B145))</f>
        <v xml:space="preserve">Коновалова Людмила Юрьевна</v>
      </c>
      <c r="C145" s="8">
        <f>IFERROR(IF(ISNUMBER(FIND(".",Клиенты_исходные!C145)),DATE(RIGHT(Клиенты_исходные!C145,4),MID(Клиенты_исходные!C145,4,2),LEFT(Клиенты_исходные!C145,2)),DATE(LEFT(Клиенты_исходные!C145,4),MID(Клиенты_исходные!C145,6,2),RIGHT(Клиенты_исходные!C145,2))),Клиенты_исходные!C145)</f>
        <v>31370</v>
      </c>
      <c r="D145" t="str">
        <f>IF(ISBLANK(Клиенты_исходные!D145),"",IF(LEN(SUBSTITUTE(SUBSTITUTE(SUBSTITUTE(SUBSTITUTE(SUBSTITUTE(Клиенты_исходные!D145," ",""),"-",""),"+",""),"(",""),")",""))=11,"+7 ("&amp;MID(IF(LEFT(SUBSTITUTE(SUBSTITUTE(SUBSTITUTE(SUBSTITUTE(SUBSTITUTE(Клиенты_исходные!D145," ",""),"-",""),"+",""),"(",""),")",""))="8","7"&amp;MID(SUBSTITUTE(SUBSTITUTE(SUBSTITUTE(SUBSTITUTE(SUBSTITUTE(Клиенты_исходные!D145," ",""),"-",""),"+",""),"(",""),")",""),2,10),SUBSTITUTE(SUBSTITUTE(SUBSTITUTE(SUBSTITUTE(SUBSTITUTE(Клиенты_исходные!D145," ",""),"-",""),"+",""),"(",""),")","")),2,3)&amp;") "&amp;MID(IF(LEFT(SUBSTITUTE(SUBSTITUTE(SUBSTITUTE(SUBSTITUTE(SUBSTITUTE(Клиенты_исходные!D145," ",""),"-",""),"+",""),"(",""),")",""))="8","7"&amp;MID(SUBSTITUTE(SUBSTITUTE(SUBSTITUTE(SUBSTITUTE(SUBSTITUTE(Клиенты_исходные!D145," ",""),"-",""),"+",""),"(",""),")",""),2,10),SUBSTITUTE(SUBSTITUTE(SUBSTITUTE(SUBSTITUTE(SUBSTITUTE(Клиенты_исходные!D145," ",""),"-",""),"+",""),"(",""),")","")),5,3)&amp;"-"&amp;MID(IF(LEFT(SUBSTITUTE(SUBSTITUTE(SUBSTITUTE(SUBSTITUTE(SUBSTITUTE(Клиенты_исходные!D145," ",""),"-",""),"+",""),"(",""),")",""))="8","7"&amp;MID(SUBSTITUTE(SUBSTITUTE(SUBSTITUTE(SUBSTITUTE(SUBSTITUTE(Клиенты_исходные!D145," ",""),"-",""),"+",""),"(",""),")",""),2,10),SUBSTITUTE(SUBSTITUTE(SUBSTITUTE(SUBSTITUTE(SUBSTITUTE(Клиенты_исходные!D145," ",""),"-",""),"+",""),"(",""),")","")),8,2)&amp;"-"&amp;MID(IF(LEFT(SUBSTITUTE(SUBSTITUTE(SUBSTITUTE(SUBSTITUTE(SUBSTITUTE(Клиенты_исходные!D145," ",""),"-",""),"+",""),"(",""),")",""))="8","7"&amp;MID(SUBSTITUTE(SUBSTITUTE(SUBSTITUTE(SUBSTITUTE(SUBSTITUTE(Клиенты_исходные!D145," ",""),"-",""),"+",""),"(",""),")",""),2,10),SUBSTITUTE(SUBSTITUTE(SUBSTITUTE(SUBSTITUTE(SUBSTITUTE(Клиенты_исходные!D145," ",""),"-",""),"+",""),"(",""),")","")),10,2),IF(LEN(SUBSTITUTE(SUBSTITUTE(SUBSTITUTE(SUBSTITUTE(SUBSTITUTE(Клиенты_исходные!D145," ",""),"-",""),"+",""),"(",""),")",""))=10,"+7 ("&amp;MID(SUBSTITUTE(SUBSTITUTE(SUBSTITUTE(SUBSTITUTE(SUBSTITUTE(Клиенты_исходные!D145," ",""),"-",""),"+",""),"(",""),")",""),1,3)&amp;") "&amp;MID(SUBSTITUTE(SUBSTITUTE(SUBSTITUTE(SUBSTITUTE(SUBSTITUTE(Клиенты_исходные!D145," ",""),"-",""),"+",""),"(",""),")",""),4,3)&amp;"-"&amp;MID(SUBSTITUTE(SUBSTITUTE(SUBSTITUTE(SUBSTITUTE(SUBSTITUTE(Клиенты_исходные!D145," ",""),"-",""),"+",""),"(",""),")",""),6,2)&amp;"-"&amp;MID(SUBSTITUTE(SUBSTITUTE(SUBSTITUTE(SUBSTITUTE(SUBSTITUTE(Клиенты_исходные!D145," ",""),"-",""),"+",""),"(",""),")",""),8,2),Клиенты_исходные!D145)))</f>
        <v xml:space="preserve">+7 (903) 456-78-90</v>
      </c>
      <c r="F145" t="str">
        <f>IFERROR(VLOOKUP(Клиенты_исходные!F145,Справочники!$J$2:$K$50,2,FALSE),Клиенты_исходные!F145)</f>
        <v>Краснодар</v>
      </c>
      <c r="G145" s="8">
        <f>IFERROR(IF(ISNUMBER(FIND(".",Клиенты_исходные!G145)),DATE(RIGHT(Клиенты_исходные!G145,4),MID(Клиенты_исходные!G145,4,2),LEFT(Клиенты_исходные!G145,2)),DATE(LEFT(Клиенты_исходные!G145,4),MID(Клиенты_исходные!G145,6,2),RIGHT(Клиенты_исходные!G145,2))),Клиенты_исходные!G145)</f>
        <v>46001</v>
      </c>
      <c r="H145">
        <f t="shared" ca="1" si="52"/>
        <v>40</v>
      </c>
      <c r="I145" t="str">
        <f t="shared" si="53"/>
        <v>OK</v>
      </c>
      <c r="J145" t="str">
        <f t="shared" si="54"/>
        <v xml:space="preserve">Ошибка Email</v>
      </c>
    </row>
    <row r="146">
      <c r="A146" t="str">
        <f>Клиенты_исходные!A146</f>
        <v>C0145</v>
      </c>
      <c r="B146" t="str">
        <f>PROPER(TRIM(Клиенты_исходные!B146))</f>
        <v xml:space="preserve">Панфилов Николай Евгеньевич</v>
      </c>
      <c r="C146" s="8">
        <f>IFERROR(IF(ISNUMBER(FIND(".",Клиенты_исходные!C146)),DATE(RIGHT(Клиенты_исходные!C146,4),MID(Клиенты_исходные!C146,4,2),LEFT(Клиенты_исходные!C146,2)),DATE(LEFT(Клиенты_исходные!C146,4),MID(Клиенты_исходные!C146,6,2),RIGHT(Клиенты_исходные!C146,2))),Клиенты_исходные!C146)</f>
        <v>28363</v>
      </c>
      <c r="D146" t="str">
        <f>IF(ISBLANK(Клиенты_исходные!D146),"",IF(LEN(SUBSTITUTE(SUBSTITUTE(SUBSTITUTE(SUBSTITUTE(SUBSTITUTE(Клиенты_исходные!D146," ",""),"-",""),"+",""),"(",""),")",""))=11,"+7 ("&amp;MID(IF(LEFT(SUBSTITUTE(SUBSTITUTE(SUBSTITUTE(SUBSTITUTE(SUBSTITUTE(Клиенты_исходные!D146," ",""),"-",""),"+",""),"(",""),")",""))="8","7"&amp;MID(SUBSTITUTE(SUBSTITUTE(SUBSTITUTE(SUBSTITUTE(SUBSTITUTE(Клиенты_исходные!D146," ",""),"-",""),"+",""),"(",""),")",""),2,10),SUBSTITUTE(SUBSTITUTE(SUBSTITUTE(SUBSTITUTE(SUBSTITUTE(Клиенты_исходные!D146," ",""),"-",""),"+",""),"(",""),")","")),2,3)&amp;") "&amp;MID(IF(LEFT(SUBSTITUTE(SUBSTITUTE(SUBSTITUTE(SUBSTITUTE(SUBSTITUTE(Клиенты_исходные!D146," ",""),"-",""),"+",""),"(",""),")",""))="8","7"&amp;MID(SUBSTITUTE(SUBSTITUTE(SUBSTITUTE(SUBSTITUTE(SUBSTITUTE(Клиенты_исходные!D146," ",""),"-",""),"+",""),"(",""),")",""),2,10),SUBSTITUTE(SUBSTITUTE(SUBSTITUTE(SUBSTITUTE(SUBSTITUTE(Клиенты_исходные!D146," ",""),"-",""),"+",""),"(",""),")","")),5,3)&amp;"-"&amp;MID(IF(LEFT(SUBSTITUTE(SUBSTITUTE(SUBSTITUTE(SUBSTITUTE(SUBSTITUTE(Клиенты_исходные!D146," ",""),"-",""),"+",""),"(",""),")",""))="8","7"&amp;MID(SUBSTITUTE(SUBSTITUTE(SUBSTITUTE(SUBSTITUTE(SUBSTITUTE(Клиенты_исходные!D146," ",""),"-",""),"+",""),"(",""),")",""),2,10),SUBSTITUTE(SUBSTITUTE(SUBSTITUTE(SUBSTITUTE(SUBSTITUTE(Клиенты_исходные!D146," ",""),"-",""),"+",""),"(",""),")","")),8,2)&amp;"-"&amp;MID(IF(LEFT(SUBSTITUTE(SUBSTITUTE(SUBSTITUTE(SUBSTITUTE(SUBSTITUTE(Клиенты_исходные!D146," ",""),"-",""),"+",""),"(",""),")",""))="8","7"&amp;MID(SUBSTITUTE(SUBSTITUTE(SUBSTITUTE(SUBSTITUTE(SUBSTITUTE(Клиенты_исходные!D146," ",""),"-",""),"+",""),"(",""),")",""),2,10),SUBSTITUTE(SUBSTITUTE(SUBSTITUTE(SUBSTITUTE(SUBSTITUTE(Клиенты_исходные!D146," ",""),"-",""),"+",""),"(",""),")","")),10,2),IF(LEN(SUBSTITUTE(SUBSTITUTE(SUBSTITUTE(SUBSTITUTE(SUBSTITUTE(Клиенты_исходные!D146," ",""),"-",""),"+",""),"(",""),")",""))=10,"+7 ("&amp;MID(SUBSTITUTE(SUBSTITUTE(SUBSTITUTE(SUBSTITUTE(SUBSTITUTE(Клиенты_исходные!D146," ",""),"-",""),"+",""),"(",""),")",""),1,3)&amp;") "&amp;MID(SUBSTITUTE(SUBSTITUTE(SUBSTITUTE(SUBSTITUTE(SUBSTITUTE(Клиенты_исходные!D146," ",""),"-",""),"+",""),"(",""),")",""),4,3)&amp;"-"&amp;MID(SUBSTITUTE(SUBSTITUTE(SUBSTITUTE(SUBSTITUTE(SUBSTITUTE(Клиенты_исходные!D146," ",""),"-",""),"+",""),"(",""),")",""),6,2)&amp;"-"&amp;MID(SUBSTITUTE(SUBSTITUTE(SUBSTITUTE(SUBSTITUTE(SUBSTITUTE(Клиенты_исходные!D146," ",""),"-",""),"+",""),"(",""),")",""),8,2),Клиенты_исходные!D146)))</f>
        <v xml:space="preserve">+7 (903) 456-78-90</v>
      </c>
      <c r="F146" t="str">
        <f>IFERROR(VLOOKUP(Клиенты_исходные!F146,Справочники!$J$2:$K$50,2,FALSE),Клиенты_исходные!F146)</f>
        <v>Пенза</v>
      </c>
      <c r="G146" s="8">
        <f>IFERROR(IF(ISNUMBER(FIND(".",Клиенты_исходные!G146)),DATE(RIGHT(Клиенты_исходные!G146,4),MID(Клиенты_исходные!G146,4,2),LEFT(Клиенты_исходные!G146,2)),DATE(LEFT(Клиенты_исходные!G146,4),MID(Клиенты_исходные!G146,6,2),RIGHT(Клиенты_исходные!G146,2))),Клиенты_исходные!G146)</f>
        <v>46023</v>
      </c>
      <c r="H146">
        <f t="shared" ca="1" si="52"/>
        <v>49</v>
      </c>
      <c r="I146" t="str">
        <f t="shared" si="53"/>
        <v>OK</v>
      </c>
      <c r="J146" t="str">
        <f t="shared" si="54"/>
        <v xml:space="preserve">Ошибка Email</v>
      </c>
    </row>
    <row r="147">
      <c r="A147" t="str">
        <f>Клиенты_исходные!A147</f>
        <v>C0146</v>
      </c>
      <c r="B147" t="str">
        <f>PROPER(TRIM(Клиенты_исходные!B147))</f>
        <v xml:space="preserve">Щербакова Ирина Алексеевна</v>
      </c>
      <c r="C147" s="8">
        <f>IFERROR(IF(ISNUMBER(FIND(".",Клиенты_исходные!C147)),DATE(RIGHT(Клиенты_исходные!C147,4),MID(Клиенты_исходные!C147,4,2),LEFT(Клиенты_исходные!C147,2)),DATE(LEFT(Клиенты_исходные!C147,4),MID(Клиенты_исходные!C147,6,2),RIGHT(Клиенты_исходные!C147,2))),Клиенты_исходные!C147)</f>
        <v>30415</v>
      </c>
      <c r="D147" t="str">
        <f>IF(ISBLANK(Клиенты_исходные!D147),"",IF(LEN(SUBSTITUTE(SUBSTITUTE(SUBSTITUTE(SUBSTITUTE(SUBSTITUTE(Клиенты_исходные!D147," ",""),"-",""),"+",""),"(",""),")",""))=11,"+7 ("&amp;MID(IF(LEFT(SUBSTITUTE(SUBSTITUTE(SUBSTITUTE(SUBSTITUTE(SUBSTITUTE(Клиенты_исходные!D147," ",""),"-",""),"+",""),"(",""),")",""))="8","7"&amp;MID(SUBSTITUTE(SUBSTITUTE(SUBSTITUTE(SUBSTITUTE(SUBSTITUTE(Клиенты_исходные!D147," ",""),"-",""),"+",""),"(",""),")",""),2,10),SUBSTITUTE(SUBSTITUTE(SUBSTITUTE(SUBSTITUTE(SUBSTITUTE(Клиенты_исходные!D147," ",""),"-",""),"+",""),"(",""),")","")),2,3)&amp;") "&amp;MID(IF(LEFT(SUBSTITUTE(SUBSTITUTE(SUBSTITUTE(SUBSTITUTE(SUBSTITUTE(Клиенты_исходные!D147," ",""),"-",""),"+",""),"(",""),")",""))="8","7"&amp;MID(SUBSTITUTE(SUBSTITUTE(SUBSTITUTE(SUBSTITUTE(SUBSTITUTE(Клиенты_исходные!D147," ",""),"-",""),"+",""),"(",""),")",""),2,10),SUBSTITUTE(SUBSTITUTE(SUBSTITUTE(SUBSTITUTE(SUBSTITUTE(Клиенты_исходные!D147," ",""),"-",""),"+",""),"(",""),")","")),5,3)&amp;"-"&amp;MID(IF(LEFT(SUBSTITUTE(SUBSTITUTE(SUBSTITUTE(SUBSTITUTE(SUBSTITUTE(Клиенты_исходные!D147," ",""),"-",""),"+",""),"(",""),")",""))="8","7"&amp;MID(SUBSTITUTE(SUBSTITUTE(SUBSTITUTE(SUBSTITUTE(SUBSTITUTE(Клиенты_исходные!D147," ",""),"-",""),"+",""),"(",""),")",""),2,10),SUBSTITUTE(SUBSTITUTE(SUBSTITUTE(SUBSTITUTE(SUBSTITUTE(Клиенты_исходные!D147," ",""),"-",""),"+",""),"(",""),")","")),8,2)&amp;"-"&amp;MID(IF(LEFT(SUBSTITUTE(SUBSTITUTE(SUBSTITUTE(SUBSTITUTE(SUBSTITUTE(Клиенты_исходные!D147," ",""),"-",""),"+",""),"(",""),")",""))="8","7"&amp;MID(SUBSTITUTE(SUBSTITUTE(SUBSTITUTE(SUBSTITUTE(SUBSTITUTE(Клиенты_исходные!D147," ",""),"-",""),"+",""),"(",""),")",""),2,10),SUBSTITUTE(SUBSTITUTE(SUBSTITUTE(SUBSTITUTE(SUBSTITUTE(Клиенты_исходные!D147," ",""),"-",""),"+",""),"(",""),")","")),10,2),IF(LEN(SUBSTITUTE(SUBSTITUTE(SUBSTITUTE(SUBSTITUTE(SUBSTITUTE(Клиенты_исходные!D147," ",""),"-",""),"+",""),"(",""),")",""))=10,"+7 ("&amp;MID(SUBSTITUTE(SUBSTITUTE(SUBSTITUTE(SUBSTITUTE(SUBSTITUTE(Клиенты_исходные!D147," ",""),"-",""),"+",""),"(",""),")",""),1,3)&amp;") "&amp;MID(SUBSTITUTE(SUBSTITUTE(SUBSTITUTE(SUBSTITUTE(SUBSTITUTE(Клиенты_исходные!D147," ",""),"-",""),"+",""),"(",""),")",""),4,3)&amp;"-"&amp;MID(SUBSTITUTE(SUBSTITUTE(SUBSTITUTE(SUBSTITUTE(SUBSTITUTE(Клиенты_исходные!D147," ",""),"-",""),"+",""),"(",""),")",""),6,2)&amp;"-"&amp;MID(SUBSTITUTE(SUBSTITUTE(SUBSTITUTE(SUBSTITUTE(SUBSTITUTE(Клиенты_исходные!D147," ",""),"-",""),"+",""),"(",""),")",""),8,2),Клиенты_исходные!D147)))</f>
        <v xml:space="preserve">+7 (903) 456-78-90</v>
      </c>
      <c r="F147" t="str">
        <f>IFERROR(VLOOKUP(Клиенты_исходные!F147,Справочники!$J$2:$K$50,2,FALSE),Клиенты_исходные!F147)</f>
        <v>Стерлитамак</v>
      </c>
      <c r="G147" s="8">
        <f>IFERROR(IF(ISNUMBER(FIND(".",Клиенты_исходные!G147)),DATE(RIGHT(Клиенты_исходные!G147,4),MID(Клиенты_исходные!G147,4,2),LEFT(Клиенты_исходные!G147,2)),DATE(LEFT(Клиенты_исходные!G147,4),MID(Клиенты_исходные!G147,6,2),RIGHT(Клиенты_исходные!G147,2))),Клиенты_исходные!G147)</f>
        <v>46037</v>
      </c>
      <c r="H147">
        <f t="shared" ca="1" si="52"/>
        <v>43</v>
      </c>
      <c r="I147" t="str">
        <f t="shared" si="53"/>
        <v>OK</v>
      </c>
      <c r="J147" t="str">
        <f t="shared" si="54"/>
        <v xml:space="preserve">Ошибка Email</v>
      </c>
    </row>
    <row r="148">
      <c r="A148" t="str">
        <f>Клиенты_исходные!A148</f>
        <v>C0147</v>
      </c>
      <c r="B148" t="str">
        <f>PROPER(TRIM(Клиенты_исходные!B148))</f>
        <v xml:space="preserve">Терентьев Виталий Михайлович</v>
      </c>
      <c r="C148" s="8">
        <f>IFERROR(IF(ISNUMBER(FIND(".",Клиенты_исходные!C148)),DATE(RIGHT(Клиенты_исходные!C148,4),MID(Клиенты_исходные!C148,4,2),LEFT(Клиенты_исходные!C148,2)),DATE(LEFT(Клиенты_исходные!C148,4),MID(Клиенты_исходные!C148,6,2),RIGHT(Клиенты_исходные!C148,2))),Клиенты_исходные!C148)</f>
        <v>32872</v>
      </c>
      <c r="D148" t="str">
        <f>IF(ISBLANK(Клиенты_исходные!D148),"",IF(LEN(SUBSTITUTE(SUBSTITUTE(SUBSTITUTE(SUBSTITUTE(SUBSTITUTE(Клиенты_исходные!D148," ",""),"-",""),"+",""),"(",""),")",""))=11,"+7 ("&amp;MID(IF(LEFT(SUBSTITUTE(SUBSTITUTE(SUBSTITUTE(SUBSTITUTE(SUBSTITUTE(Клиенты_исходные!D148," ",""),"-",""),"+",""),"(",""),")",""))="8","7"&amp;MID(SUBSTITUTE(SUBSTITUTE(SUBSTITUTE(SUBSTITUTE(SUBSTITUTE(Клиенты_исходные!D148," ",""),"-",""),"+",""),"(",""),")",""),2,10),SUBSTITUTE(SUBSTITUTE(SUBSTITUTE(SUBSTITUTE(SUBSTITUTE(Клиенты_исходные!D148," ",""),"-",""),"+",""),"(",""),")","")),2,3)&amp;") "&amp;MID(IF(LEFT(SUBSTITUTE(SUBSTITUTE(SUBSTITUTE(SUBSTITUTE(SUBSTITUTE(Клиенты_исходные!D148," ",""),"-",""),"+",""),"(",""),")",""))="8","7"&amp;MID(SUBSTITUTE(SUBSTITUTE(SUBSTITUTE(SUBSTITUTE(SUBSTITUTE(Клиенты_исходные!D148," ",""),"-",""),"+",""),"(",""),")",""),2,10),SUBSTITUTE(SUBSTITUTE(SUBSTITUTE(SUBSTITUTE(SUBSTITUTE(Клиенты_исходные!D148," ",""),"-",""),"+",""),"(",""),")","")),5,3)&amp;"-"&amp;MID(IF(LEFT(SUBSTITUTE(SUBSTITUTE(SUBSTITUTE(SUBSTITUTE(SUBSTITUTE(Клиенты_исходные!D148," ",""),"-",""),"+",""),"(",""),")",""))="8","7"&amp;MID(SUBSTITUTE(SUBSTITUTE(SUBSTITUTE(SUBSTITUTE(SUBSTITUTE(Клиенты_исходные!D148," ",""),"-",""),"+",""),"(",""),")",""),2,10),SUBSTITUTE(SUBSTITUTE(SUBSTITUTE(SUBSTITUTE(SUBSTITUTE(Клиенты_исходные!D148," ",""),"-",""),"+",""),"(",""),")","")),8,2)&amp;"-"&amp;MID(IF(LEFT(SUBSTITUTE(SUBSTITUTE(SUBSTITUTE(SUBSTITUTE(SUBSTITUTE(Клиенты_исходные!D148," ",""),"-",""),"+",""),"(",""),")",""))="8","7"&amp;MID(SUBSTITUTE(SUBSTITUTE(SUBSTITUTE(SUBSTITUTE(SUBSTITUTE(Клиенты_исходные!D148," ",""),"-",""),"+",""),"(",""),")",""),2,10),SUBSTITUTE(SUBSTITUTE(SUBSTITUTE(SUBSTITUTE(SUBSTITUTE(Клиенты_исходные!D148," ",""),"-",""),"+",""),"(",""),")","")),10,2),IF(LEN(SUBSTITUTE(SUBSTITUTE(SUBSTITUTE(SUBSTITUTE(SUBSTITUTE(Клиенты_исходные!D148," ",""),"-",""),"+",""),"(",""),")",""))=10,"+7 ("&amp;MID(SUBSTITUTE(SUBSTITUTE(SUBSTITUTE(SUBSTITUTE(SUBSTITUTE(Клиенты_исходные!D148," ",""),"-",""),"+",""),"(",""),")",""),1,3)&amp;") "&amp;MID(SUBSTITUTE(SUBSTITUTE(SUBSTITUTE(SUBSTITUTE(SUBSTITUTE(Клиенты_исходные!D148," ",""),"-",""),"+",""),"(",""),")",""),4,3)&amp;"-"&amp;MID(SUBSTITUTE(SUBSTITUTE(SUBSTITUTE(SUBSTITUTE(SUBSTITUTE(Клиенты_исходные!D148," ",""),"-",""),"+",""),"(",""),")",""),6,2)&amp;"-"&amp;MID(SUBSTITUTE(SUBSTITUTE(SUBSTITUTE(SUBSTITUTE(SUBSTITUTE(Клиенты_исходные!D148," ",""),"-",""),"+",""),"(",""),")",""),8,2),Клиенты_исходные!D148)))</f>
        <v xml:space="preserve">+7 (903) 567-89-01</v>
      </c>
      <c r="F148" t="str">
        <f>IFERROR(VLOOKUP(Клиенты_исходные!F148,Справочники!$J$2:$K$50,2,FALSE),Клиенты_исходные!F148)</f>
        <v>Находка</v>
      </c>
      <c r="G148" s="8">
        <f>IFERROR(IF(ISNUMBER(FIND(".",Клиенты_исходные!G148)),DATE(RIGHT(Клиенты_исходные!G148,4),MID(Клиенты_исходные!G148,4,2),LEFT(Клиенты_исходные!G148,2)),DATE(LEFT(Клиенты_исходные!G148,4),MID(Клиенты_исходные!G148,6,2),RIGHT(Клиенты_исходные!G148,2))),Клиенты_исходные!G148)</f>
        <v>46037</v>
      </c>
      <c r="H148">
        <f t="shared" ca="1" si="52"/>
        <v>36</v>
      </c>
      <c r="I148" t="str">
        <f t="shared" si="53"/>
        <v>OK</v>
      </c>
      <c r="J148" t="str">
        <f t="shared" si="54"/>
        <v xml:space="preserve">Ошибка Email</v>
      </c>
    </row>
    <row r="149">
      <c r="A149" t="str">
        <f>Клиенты_исходные!A149</f>
        <v>C0148</v>
      </c>
      <c r="B149" t="str">
        <f>PROPER(TRIM(Клиенты_исходные!B149))</f>
        <v xml:space="preserve">Молчанова Ольга Сергеевна</v>
      </c>
      <c r="C149" s="8">
        <f>IFERROR(IF(ISNUMBER(FIND(".",Клиенты_исходные!C149)),DATE(RIGHT(Клиенты_исходные!C149,4),MID(Клиенты_исходные!C149,4,2),LEFT(Клиенты_исходные!C149,2)),DATE(LEFT(Клиенты_исходные!C149,4),MID(Клиенты_исходные!C149,6,2),RIGHT(Клиенты_исходные!C149,2))),Клиенты_исходные!C149)</f>
        <v>27927</v>
      </c>
      <c r="D149" t="str">
        <f>IF(ISBLANK(Клиенты_исходные!D149),"",IF(LEN(SUBSTITUTE(SUBSTITUTE(SUBSTITUTE(SUBSTITUTE(SUBSTITUTE(Клиенты_исходные!D149," ",""),"-",""),"+",""),"(",""),")",""))=11,"+7 ("&amp;MID(IF(LEFT(SUBSTITUTE(SUBSTITUTE(SUBSTITUTE(SUBSTITUTE(SUBSTITUTE(Клиенты_исходные!D149," ",""),"-",""),"+",""),"(",""),")",""))="8","7"&amp;MID(SUBSTITUTE(SUBSTITUTE(SUBSTITUTE(SUBSTITUTE(SUBSTITUTE(Клиенты_исходные!D149," ",""),"-",""),"+",""),"(",""),")",""),2,10),SUBSTITUTE(SUBSTITUTE(SUBSTITUTE(SUBSTITUTE(SUBSTITUTE(Клиенты_исходные!D149," ",""),"-",""),"+",""),"(",""),")","")),2,3)&amp;") "&amp;MID(IF(LEFT(SUBSTITUTE(SUBSTITUTE(SUBSTITUTE(SUBSTITUTE(SUBSTITUTE(Клиенты_исходные!D149," ",""),"-",""),"+",""),"(",""),")",""))="8","7"&amp;MID(SUBSTITUTE(SUBSTITUTE(SUBSTITUTE(SUBSTITUTE(SUBSTITUTE(Клиенты_исходные!D149," ",""),"-",""),"+",""),"(",""),")",""),2,10),SUBSTITUTE(SUBSTITUTE(SUBSTITUTE(SUBSTITUTE(SUBSTITUTE(Клиенты_исходные!D149," ",""),"-",""),"+",""),"(",""),")","")),5,3)&amp;"-"&amp;MID(IF(LEFT(SUBSTITUTE(SUBSTITUTE(SUBSTITUTE(SUBSTITUTE(SUBSTITUTE(Клиенты_исходные!D149," ",""),"-",""),"+",""),"(",""),")",""))="8","7"&amp;MID(SUBSTITUTE(SUBSTITUTE(SUBSTITUTE(SUBSTITUTE(SUBSTITUTE(Клиенты_исходные!D149," ",""),"-",""),"+",""),"(",""),")",""),2,10),SUBSTITUTE(SUBSTITUTE(SUBSTITUTE(SUBSTITUTE(SUBSTITUTE(Клиенты_исходные!D149," ",""),"-",""),"+",""),"(",""),")","")),8,2)&amp;"-"&amp;MID(IF(LEFT(SUBSTITUTE(SUBSTITUTE(SUBSTITUTE(SUBSTITUTE(SUBSTITUTE(Клиенты_исходные!D149," ",""),"-",""),"+",""),"(",""),")",""))="8","7"&amp;MID(SUBSTITUTE(SUBSTITUTE(SUBSTITUTE(SUBSTITUTE(SUBSTITUTE(Клиенты_исходные!D149," ",""),"-",""),"+",""),"(",""),")",""),2,10),SUBSTITUTE(SUBSTITUTE(SUBSTITUTE(SUBSTITUTE(SUBSTITUTE(Клиенты_исходные!D149," ",""),"-",""),"+",""),"(",""),")","")),10,2),IF(LEN(SUBSTITUTE(SUBSTITUTE(SUBSTITUTE(SUBSTITUTE(SUBSTITUTE(Клиенты_исходные!D149," ",""),"-",""),"+",""),"(",""),")",""))=10,"+7 ("&amp;MID(SUBSTITUTE(SUBSTITUTE(SUBSTITUTE(SUBSTITUTE(SUBSTITUTE(Клиенты_исходные!D149," ",""),"-",""),"+",""),"(",""),")",""),1,3)&amp;") "&amp;MID(SUBSTITUTE(SUBSTITUTE(SUBSTITUTE(SUBSTITUTE(SUBSTITUTE(Клиенты_исходные!D149," ",""),"-",""),"+",""),"(",""),")",""),4,3)&amp;"-"&amp;MID(SUBSTITUTE(SUBSTITUTE(SUBSTITUTE(SUBSTITUTE(SUBSTITUTE(Клиенты_исходные!D149," ",""),"-",""),"+",""),"(",""),")",""),6,2)&amp;"-"&amp;MID(SUBSTITUTE(SUBSTITUTE(SUBSTITUTE(SUBSTITUTE(SUBSTITUTE(Клиенты_исходные!D149," ",""),"-",""),"+",""),"(",""),")",""),8,2),Клиенты_исходные!D149)))</f>
        <v xml:space="preserve">+7 (903) 567-89-01</v>
      </c>
      <c r="F149" t="str">
        <f>IFERROR(VLOOKUP(Клиенты_исходные!F149,Справочники!$J$2:$K$50,2,FALSE),Клиенты_исходные!F149)</f>
        <v>Магнитогорск</v>
      </c>
      <c r="G149" s="8">
        <f>IFERROR(IF(ISNUMBER(FIND(".",Клиенты_исходные!G149)),DATE(RIGHT(Клиенты_исходные!G149,4),MID(Клиенты_исходные!G149,4,2),LEFT(Клиенты_исходные!G149,2)),DATE(LEFT(Клиенты_исходные!G149,4),MID(Клиенты_исходные!G149,6,2),RIGHT(Клиенты_исходные!G149,2))),Клиенты_исходные!G149)</f>
        <v>46054</v>
      </c>
      <c r="H149">
        <f t="shared" ca="1" si="52"/>
        <v>50</v>
      </c>
      <c r="I149" t="str">
        <f t="shared" si="53"/>
        <v>OK</v>
      </c>
      <c r="J149" t="str">
        <f t="shared" si="54"/>
        <v xml:space="preserve">Ошибка Email</v>
      </c>
    </row>
    <row r="150">
      <c r="A150" t="str">
        <f>Клиенты_исходные!A150</f>
        <v>C0149</v>
      </c>
      <c r="B150" t="str">
        <f>PROPER(TRIM(Клиенты_исходные!B150))</f>
        <v xml:space="preserve">Крымов Алексей Игоревич</v>
      </c>
      <c r="C150" s="8">
        <f>IFERROR(IF(ISNUMBER(FIND(".",Клиенты_исходные!C150)),DATE(RIGHT(Клиенты_исходные!C150,4),MID(Клиенты_исходные!C150,4,2),LEFT(Клиенты_исходные!C150,2)),DATE(LEFT(Клиенты_исходные!C150,4),MID(Клиенты_исходные!C150,6,2),RIGHT(Клиенты_исходные!C150,2))),Клиенты_исходные!C150)</f>
        <v>30959</v>
      </c>
      <c r="D150" t="str">
        <f>IF(ISBLANK(Клиенты_исходные!D150),"",IF(LEN(SUBSTITUTE(SUBSTITUTE(SUBSTITUTE(SUBSTITUTE(SUBSTITUTE(Клиенты_исходные!D150," ",""),"-",""),"+",""),"(",""),")",""))=11,"+7 ("&amp;MID(IF(LEFT(SUBSTITUTE(SUBSTITUTE(SUBSTITUTE(SUBSTITUTE(SUBSTITUTE(Клиенты_исходные!D150," ",""),"-",""),"+",""),"(",""),")",""))="8","7"&amp;MID(SUBSTITUTE(SUBSTITUTE(SUBSTITUTE(SUBSTITUTE(SUBSTITUTE(Клиенты_исходные!D150," ",""),"-",""),"+",""),"(",""),")",""),2,10),SUBSTITUTE(SUBSTITUTE(SUBSTITUTE(SUBSTITUTE(SUBSTITUTE(Клиенты_исходные!D150," ",""),"-",""),"+",""),"(",""),")","")),2,3)&amp;") "&amp;MID(IF(LEFT(SUBSTITUTE(SUBSTITUTE(SUBSTITUTE(SUBSTITUTE(SUBSTITUTE(Клиенты_исходные!D150," ",""),"-",""),"+",""),"(",""),")",""))="8","7"&amp;MID(SUBSTITUTE(SUBSTITUTE(SUBSTITUTE(SUBSTITUTE(SUBSTITUTE(Клиенты_исходные!D150," ",""),"-",""),"+",""),"(",""),")",""),2,10),SUBSTITUTE(SUBSTITUTE(SUBSTITUTE(SUBSTITUTE(SUBSTITUTE(Клиенты_исходные!D150," ",""),"-",""),"+",""),"(",""),")","")),5,3)&amp;"-"&amp;MID(IF(LEFT(SUBSTITUTE(SUBSTITUTE(SUBSTITUTE(SUBSTITUTE(SUBSTITUTE(Клиенты_исходные!D150," ",""),"-",""),"+",""),"(",""),")",""))="8","7"&amp;MID(SUBSTITUTE(SUBSTITUTE(SUBSTITUTE(SUBSTITUTE(SUBSTITUTE(Клиенты_исходные!D150," ",""),"-",""),"+",""),"(",""),")",""),2,10),SUBSTITUTE(SUBSTITUTE(SUBSTITUTE(SUBSTITUTE(SUBSTITUTE(Клиенты_исходные!D150," ",""),"-",""),"+",""),"(",""),")","")),8,2)&amp;"-"&amp;MID(IF(LEFT(SUBSTITUTE(SUBSTITUTE(SUBSTITUTE(SUBSTITUTE(SUBSTITUTE(Клиенты_исходные!D150," ",""),"-",""),"+",""),"(",""),")",""))="8","7"&amp;MID(SUBSTITUTE(SUBSTITUTE(SUBSTITUTE(SUBSTITUTE(SUBSTITUTE(Клиенты_исходные!D150," ",""),"-",""),"+",""),"(",""),")",""),2,10),SUBSTITUTE(SUBSTITUTE(SUBSTITUTE(SUBSTITUTE(SUBSTITUTE(Клиенты_исходные!D150," ",""),"-",""),"+",""),"(",""),")","")),10,2),IF(LEN(SUBSTITUTE(SUBSTITUTE(SUBSTITUTE(SUBSTITUTE(SUBSTITUTE(Клиенты_исходные!D150," ",""),"-",""),"+",""),"(",""),")",""))=10,"+7 ("&amp;MID(SUBSTITUTE(SUBSTITUTE(SUBSTITUTE(SUBSTITUTE(SUBSTITUTE(Клиенты_исходные!D150," ",""),"-",""),"+",""),"(",""),")",""),1,3)&amp;") "&amp;MID(SUBSTITUTE(SUBSTITUTE(SUBSTITUTE(SUBSTITUTE(SUBSTITUTE(Клиенты_исходные!D150," ",""),"-",""),"+",""),"(",""),")",""),4,3)&amp;"-"&amp;MID(SUBSTITUTE(SUBSTITUTE(SUBSTITUTE(SUBSTITUTE(SUBSTITUTE(Клиенты_исходные!D150," ",""),"-",""),"+",""),"(",""),")",""),6,2)&amp;"-"&amp;MID(SUBSTITUTE(SUBSTITUTE(SUBSTITUTE(SUBSTITUTE(SUBSTITUTE(Клиенты_исходные!D150," ",""),"-",""),"+",""),"(",""),")",""),8,2),Клиенты_исходные!D150)))</f>
        <v xml:space="preserve">+7 (903) 567-89-01</v>
      </c>
      <c r="F150" t="str">
        <f>IFERROR(VLOOKUP(Клиенты_исходные!F150,Справочники!$J$2:$K$50,2,FALSE),Клиенты_исходные!F150)</f>
        <v>Курск</v>
      </c>
      <c r="G150" s="8">
        <f>IFERROR(IF(ISNUMBER(FIND(".",Клиенты_исходные!G150)),DATE(RIGHT(Клиенты_исходные!G150,4),MID(Клиенты_исходные!G150,4,2),LEFT(Клиенты_исходные!G150,2)),DATE(LEFT(Клиенты_исходные!G150,4),MID(Клиенты_исходные!G150,6,2),RIGHT(Клиенты_исходные!G150,2))),Клиенты_исходные!G150)</f>
        <v>46063</v>
      </c>
      <c r="H150">
        <f t="shared" ca="1" si="52"/>
        <v>41</v>
      </c>
      <c r="I150" t="str">
        <f t="shared" si="53"/>
        <v>OK</v>
      </c>
      <c r="J150" t="str">
        <f t="shared" si="54"/>
        <v xml:space="preserve">Ошибка Email</v>
      </c>
    </row>
    <row r="151">
      <c r="A151" t="str">
        <f>Клиенты_исходные!A151</f>
        <v>C0150</v>
      </c>
      <c r="B151" t="str">
        <f>PROPER(TRIM(Клиенты_исходные!B151))</f>
        <v xml:space="preserve">Сидорова Екатерина Андреевна</v>
      </c>
      <c r="C151" s="8">
        <f>IFERROR(IF(ISNUMBER(FIND(".",Клиенты_исходные!C151)),DATE(RIGHT(Клиенты_исходные!C151,4),MID(Клиенты_исходные!C151,4,2),LEFT(Клиенты_исходные!C151,2)),DATE(LEFT(Клиенты_исходные!C151,4),MID(Клиенты_исходные!C151,6,2),RIGHT(Клиенты_исходные!C151,2))),Клиенты_исходные!C151)</f>
        <v>34356</v>
      </c>
      <c r="D151" t="str">
        <f>IF(ISBLANK(Клиенты_исходные!D151),"",IF(LEN(SUBSTITUTE(SUBSTITUTE(SUBSTITUTE(SUBSTITUTE(SUBSTITUTE(Клиенты_исходные!D151," ",""),"-",""),"+",""),"(",""),")",""))=11,"+7 ("&amp;MID(IF(LEFT(SUBSTITUTE(SUBSTITUTE(SUBSTITUTE(SUBSTITUTE(SUBSTITUTE(Клиенты_исходные!D151," ",""),"-",""),"+",""),"(",""),")",""))="8","7"&amp;MID(SUBSTITUTE(SUBSTITUTE(SUBSTITUTE(SUBSTITUTE(SUBSTITUTE(Клиенты_исходные!D151," ",""),"-",""),"+",""),"(",""),")",""),2,10),SUBSTITUTE(SUBSTITUTE(SUBSTITUTE(SUBSTITUTE(SUBSTITUTE(Клиенты_исходные!D151," ",""),"-",""),"+",""),"(",""),")","")),2,3)&amp;") "&amp;MID(IF(LEFT(SUBSTITUTE(SUBSTITUTE(SUBSTITUTE(SUBSTITUTE(SUBSTITUTE(Клиенты_исходные!D151," ",""),"-",""),"+",""),"(",""),")",""))="8","7"&amp;MID(SUBSTITUTE(SUBSTITUTE(SUBSTITUTE(SUBSTITUTE(SUBSTITUTE(Клиенты_исходные!D151," ",""),"-",""),"+",""),"(",""),")",""),2,10),SUBSTITUTE(SUBSTITUTE(SUBSTITUTE(SUBSTITUTE(SUBSTITUTE(Клиенты_исходные!D151," ",""),"-",""),"+",""),"(",""),")","")),5,3)&amp;"-"&amp;MID(IF(LEFT(SUBSTITUTE(SUBSTITUTE(SUBSTITUTE(SUBSTITUTE(SUBSTITUTE(Клиенты_исходные!D151," ",""),"-",""),"+",""),"(",""),")",""))="8","7"&amp;MID(SUBSTITUTE(SUBSTITUTE(SUBSTITUTE(SUBSTITUTE(SUBSTITUTE(Клиенты_исходные!D151," ",""),"-",""),"+",""),"(",""),")",""),2,10),SUBSTITUTE(SUBSTITUTE(SUBSTITUTE(SUBSTITUTE(SUBSTITUTE(Клиенты_исходные!D151," ",""),"-",""),"+",""),"(",""),")","")),8,2)&amp;"-"&amp;MID(IF(LEFT(SUBSTITUTE(SUBSTITUTE(SUBSTITUTE(SUBSTITUTE(SUBSTITUTE(Клиенты_исходные!D151," ",""),"-",""),"+",""),"(",""),")",""))="8","7"&amp;MID(SUBSTITUTE(SUBSTITUTE(SUBSTITUTE(SUBSTITUTE(SUBSTITUTE(Клиенты_исходные!D151," ",""),"-",""),"+",""),"(",""),")",""),2,10),SUBSTITUTE(SUBSTITUTE(SUBSTITUTE(SUBSTITUTE(SUBSTITUTE(Клиенты_исходные!D151," ",""),"-",""),"+",""),"(",""),")","")),10,2),IF(LEN(SUBSTITUTE(SUBSTITUTE(SUBSTITUTE(SUBSTITUTE(SUBSTITUTE(Клиенты_исходные!D151," ",""),"-",""),"+",""),"(",""),")",""))=10,"+7 ("&amp;MID(SUBSTITUTE(SUBSTITUTE(SUBSTITUTE(SUBSTITUTE(SUBSTITUTE(Клиенты_исходные!D151," ",""),"-",""),"+",""),"(",""),")",""),1,3)&amp;") "&amp;MID(SUBSTITUTE(SUBSTITUTE(SUBSTITUTE(SUBSTITUTE(SUBSTITUTE(Клиенты_исходные!D151," ",""),"-",""),"+",""),"(",""),")",""),4,3)&amp;"-"&amp;MID(SUBSTITUTE(SUBSTITUTE(SUBSTITUTE(SUBSTITUTE(SUBSTITUTE(Клиенты_исходные!D151," ",""),"-",""),"+",""),"(",""),")",""),6,2)&amp;"-"&amp;MID(SUBSTITUTE(SUBSTITUTE(SUBSTITUTE(SUBSTITUTE(SUBSTITUTE(Клиенты_исходные!D151," ",""),"-",""),"+",""),"(",""),")",""),8,2),Клиенты_исходные!D151)))</f>
        <v xml:space="preserve">+7 (903) 678-90-12</v>
      </c>
      <c r="F151" t="str">
        <f>IFERROR(VLOOKUP(Клиенты_исходные!F151,Справочники!$J$2:$K$50,2,FALSE),Клиенты_исходные!F151)</f>
        <v>Комсомольск-на-Амуре</v>
      </c>
      <c r="G151" s="8">
        <f>IFERROR(IF(ISNUMBER(FIND(".",Клиенты_исходные!G151)),DATE(RIGHT(Клиенты_исходные!G151,4),MID(Клиенты_исходные!G151,4,2),LEFT(Клиенты_исходные!G151,2)),DATE(LEFT(Клиенты_исходные!G151,4),MID(Клиенты_исходные!G151,6,2),RIGHT(Клиенты_исходные!G151,2))),Клиенты_исходные!G151)</f>
        <v>46063</v>
      </c>
      <c r="H151">
        <f t="shared" ca="1" si="52"/>
        <v>32</v>
      </c>
      <c r="I151" t="str">
        <f t="shared" si="53"/>
        <v>OK</v>
      </c>
      <c r="J151" t="str">
        <f t="shared" si="54"/>
        <v xml:space="preserve">Ошибка Email</v>
      </c>
    </row>
    <row r="152">
      <c r="A152" t="str">
        <f>Клиенты_исходные!A152</f>
        <v>C0151</v>
      </c>
      <c r="B152" t="str">
        <f>PROPER(TRIM(Клиенты_исходные!B152))</f>
        <v xml:space="preserve">Павлова Диана Петровна</v>
      </c>
      <c r="C152" s="8">
        <f>IFERROR(IF(ISNUMBER(FIND(".",Клиенты_исходные!C152)),DATE(RIGHT(Клиенты_исходные!C152,4),MID(Клиенты_исходные!C152,4,2),LEFT(Клиенты_исходные!C152,2)),DATE(LEFT(Клиенты_исходные!C152,4),MID(Клиенты_исходные!C152,6,2),RIGHT(Клиенты_исходные!C152,2))),Клиенты_исходные!C152)</f>
        <v>28678</v>
      </c>
      <c r="D152" t="str">
        <f>IF(ISBLANK(Клиенты_исходные!D152),"",IF(LEN(SUBSTITUTE(SUBSTITUTE(SUBSTITUTE(SUBSTITUTE(SUBSTITUTE(Клиенты_исходные!D152," ",""),"-",""),"+",""),"(",""),")",""))=11,"+7 ("&amp;MID(IF(LEFT(SUBSTITUTE(SUBSTITUTE(SUBSTITUTE(SUBSTITUTE(SUBSTITUTE(Клиенты_исходные!D152," ",""),"-",""),"+",""),"(",""),")",""))="8","7"&amp;MID(SUBSTITUTE(SUBSTITUTE(SUBSTITUTE(SUBSTITUTE(SUBSTITUTE(Клиенты_исходные!D152," ",""),"-",""),"+",""),"(",""),")",""),2,10),SUBSTITUTE(SUBSTITUTE(SUBSTITUTE(SUBSTITUTE(SUBSTITUTE(Клиенты_исходные!D152," ",""),"-",""),"+",""),"(",""),")","")),2,3)&amp;") "&amp;MID(IF(LEFT(SUBSTITUTE(SUBSTITUTE(SUBSTITUTE(SUBSTITUTE(SUBSTITUTE(Клиенты_исходные!D152," ",""),"-",""),"+",""),"(",""),")",""))="8","7"&amp;MID(SUBSTITUTE(SUBSTITUTE(SUBSTITUTE(SUBSTITUTE(SUBSTITUTE(Клиенты_исходные!D152," ",""),"-",""),"+",""),"(",""),")",""),2,10),SUBSTITUTE(SUBSTITUTE(SUBSTITUTE(SUBSTITUTE(SUBSTITUTE(Клиенты_исходные!D152," ",""),"-",""),"+",""),"(",""),")","")),5,3)&amp;"-"&amp;MID(IF(LEFT(SUBSTITUTE(SUBSTITUTE(SUBSTITUTE(SUBSTITUTE(SUBSTITUTE(Клиенты_исходные!D152," ",""),"-",""),"+",""),"(",""),")",""))="8","7"&amp;MID(SUBSTITUTE(SUBSTITUTE(SUBSTITUTE(SUBSTITUTE(SUBSTITUTE(Клиенты_исходные!D152," ",""),"-",""),"+",""),"(",""),")",""),2,10),SUBSTITUTE(SUBSTITUTE(SUBSTITUTE(SUBSTITUTE(SUBSTITUTE(Клиенты_исходные!D152," ",""),"-",""),"+",""),"(",""),")","")),8,2)&amp;"-"&amp;MID(IF(LEFT(SUBSTITUTE(SUBSTITUTE(SUBSTITUTE(SUBSTITUTE(SUBSTITUTE(Клиенты_исходные!D152," ",""),"-",""),"+",""),"(",""),")",""))="8","7"&amp;MID(SUBSTITUTE(SUBSTITUTE(SUBSTITUTE(SUBSTITUTE(SUBSTITUTE(Клиенты_исходные!D152," ",""),"-",""),"+",""),"(",""),")",""),2,10),SUBSTITUTE(SUBSTITUTE(SUBSTITUTE(SUBSTITUTE(SUBSTITUTE(Клиенты_исходные!D152," ",""),"-",""),"+",""),"(",""),")","")),10,2),IF(LEN(SUBSTITUTE(SUBSTITUTE(SUBSTITUTE(SUBSTITUTE(SUBSTITUTE(Клиенты_исходные!D152," ",""),"-",""),"+",""),"(",""),")",""))=10,"+7 ("&amp;MID(SUBSTITUTE(SUBSTITUTE(SUBSTITUTE(SUBSTITUTE(SUBSTITUTE(Клиенты_исходные!D152," ",""),"-",""),"+",""),"(",""),")",""),1,3)&amp;") "&amp;MID(SUBSTITUTE(SUBSTITUTE(SUBSTITUTE(SUBSTITUTE(SUBSTITUTE(Клиенты_исходные!D152," ",""),"-",""),"+",""),"(",""),")",""),4,3)&amp;"-"&amp;MID(SUBSTITUTE(SUBSTITUTE(SUBSTITUTE(SUBSTITUTE(SUBSTITUTE(Клиенты_исходные!D152," ",""),"-",""),"+",""),"(",""),")",""),6,2)&amp;"-"&amp;MID(SUBSTITUTE(SUBSTITUTE(SUBSTITUTE(SUBSTITUTE(SUBSTITUTE(Клиенты_исходные!D152," ",""),"-",""),"+",""),"(",""),")",""),8,2),Клиенты_исходные!D152)))</f>
        <v xml:space="preserve">+7 (903) 678-90-12</v>
      </c>
      <c r="F152" t="str">
        <f>IFERROR(VLOOKUP(Клиенты_исходные!F152,Справочники!$J$2:$K$50,2,FALSE),Клиенты_исходные!F152)</f>
        <v>Улан-Удэ</v>
      </c>
      <c r="G152" s="8">
        <f>IFERROR(IF(ISNUMBER(FIND(".",Клиенты_исходные!G152)),DATE(RIGHT(Клиенты_исходные!G152,4),MID(Клиенты_исходные!G152,4,2),LEFT(Клиенты_исходные!G152,2)),DATE(LEFT(Клиенты_исходные!G152,4),MID(Клиенты_исходные!G152,6,2),RIGHT(Клиенты_исходные!G152,2))),Клиенты_исходные!G152)</f>
        <v>46082</v>
      </c>
      <c r="H152">
        <f t="shared" ca="1" si="52"/>
        <v>48</v>
      </c>
      <c r="I152" t="str">
        <f t="shared" si="53"/>
        <v>OK</v>
      </c>
      <c r="J152" t="str">
        <f t="shared" si="54"/>
        <v xml:space="preserve">Ошибка Email</v>
      </c>
    </row>
    <row r="153">
      <c r="A153" t="str">
        <f>Клиенты_исходные!A153</f>
        <v>C0152</v>
      </c>
      <c r="B153" t="str">
        <f>PROPER(TRIM(Клиенты_исходные!B153))</f>
        <v xml:space="preserve">Степанова Антонина Алексеевна</v>
      </c>
      <c r="C153" s="8">
        <f>IFERROR(IF(ISNUMBER(FIND(".",Клиенты_исходные!C153)),DATE(RIGHT(Клиенты_исходные!C153,4),MID(Клиенты_исходные!C153,4,2),LEFT(Клиенты_исходные!C153,2)),DATE(LEFT(Клиенты_исходные!C153,4),MID(Клиенты_исходные!C153,6,2),RIGHT(Клиенты_исходные!C153,2))),Клиенты_исходные!C153)</f>
        <v>30100</v>
      </c>
      <c r="D153" t="str">
        <f>IF(ISBLANK(Клиенты_исходные!D153),"",IF(LEN(SUBSTITUTE(SUBSTITUTE(SUBSTITUTE(SUBSTITUTE(SUBSTITUTE(Клиенты_исходные!D153," ",""),"-",""),"+",""),"(",""),")",""))=11,"+7 ("&amp;MID(IF(LEFT(SUBSTITUTE(SUBSTITUTE(SUBSTITUTE(SUBSTITUTE(SUBSTITUTE(Клиенты_исходные!D153," ",""),"-",""),"+",""),"(",""),")",""))="8","7"&amp;MID(SUBSTITUTE(SUBSTITUTE(SUBSTITUTE(SUBSTITUTE(SUBSTITUTE(Клиенты_исходные!D153," ",""),"-",""),"+",""),"(",""),")",""),2,10),SUBSTITUTE(SUBSTITUTE(SUBSTITUTE(SUBSTITUTE(SUBSTITUTE(Клиенты_исходные!D153," ",""),"-",""),"+",""),"(",""),")","")),2,3)&amp;") "&amp;MID(IF(LEFT(SUBSTITUTE(SUBSTITUTE(SUBSTITUTE(SUBSTITUTE(SUBSTITUTE(Клиенты_исходные!D153," ",""),"-",""),"+",""),"(",""),")",""))="8","7"&amp;MID(SUBSTITUTE(SUBSTITUTE(SUBSTITUTE(SUBSTITUTE(SUBSTITUTE(Клиенты_исходные!D153," ",""),"-",""),"+",""),"(",""),")",""),2,10),SUBSTITUTE(SUBSTITUTE(SUBSTITUTE(SUBSTITUTE(SUBSTITUTE(Клиенты_исходные!D153," ",""),"-",""),"+",""),"(",""),")","")),5,3)&amp;"-"&amp;MID(IF(LEFT(SUBSTITUTE(SUBSTITUTE(SUBSTITUTE(SUBSTITUTE(SUBSTITUTE(Клиенты_исходные!D153," ",""),"-",""),"+",""),"(",""),")",""))="8","7"&amp;MID(SUBSTITUTE(SUBSTITUTE(SUBSTITUTE(SUBSTITUTE(SUBSTITUTE(Клиенты_исходные!D153," ",""),"-",""),"+",""),"(",""),")",""),2,10),SUBSTITUTE(SUBSTITUTE(SUBSTITUTE(SUBSTITUTE(SUBSTITUTE(Клиенты_исходные!D153," ",""),"-",""),"+",""),"(",""),")","")),8,2)&amp;"-"&amp;MID(IF(LEFT(SUBSTITUTE(SUBSTITUTE(SUBSTITUTE(SUBSTITUTE(SUBSTITUTE(Клиенты_исходные!D153," ",""),"-",""),"+",""),"(",""),")",""))="8","7"&amp;MID(SUBSTITUTE(SUBSTITUTE(SUBSTITUTE(SUBSTITUTE(SUBSTITUTE(Клиенты_исходные!D153," ",""),"-",""),"+",""),"(",""),")",""),2,10),SUBSTITUTE(SUBSTITUTE(SUBSTITUTE(SUBSTITUTE(SUBSTITUTE(Клиенты_исходные!D153," ",""),"-",""),"+",""),"(",""),")","")),10,2),IF(LEN(SUBSTITUTE(SUBSTITUTE(SUBSTITUTE(SUBSTITUTE(SUBSTITUTE(Клиенты_исходные!D153," ",""),"-",""),"+",""),"(",""),")",""))=10,"+7 ("&amp;MID(SUBSTITUTE(SUBSTITUTE(SUBSTITUTE(SUBSTITUTE(SUBSTITUTE(Клиенты_исходные!D153," ",""),"-",""),"+",""),"(",""),")",""),1,3)&amp;") "&amp;MID(SUBSTITUTE(SUBSTITUTE(SUBSTITUTE(SUBSTITUTE(SUBSTITUTE(Клиенты_исходные!D153," ",""),"-",""),"+",""),"(",""),")",""),4,3)&amp;"-"&amp;MID(SUBSTITUTE(SUBSTITUTE(SUBSTITUTE(SUBSTITUTE(SUBSTITUTE(Клиенты_исходные!D153," ",""),"-",""),"+",""),"(",""),")",""),6,2)&amp;"-"&amp;MID(SUBSTITUTE(SUBSTITUTE(SUBSTITUTE(SUBSTITUTE(SUBSTITUTE(Клиенты_исходные!D153," ",""),"-",""),"+",""),"(",""),")",""),8,2),Клиенты_исходные!D153)))</f>
        <v xml:space="preserve">+7 (903) 678-90-12</v>
      </c>
      <c r="F153" t="str">
        <f>IFERROR(VLOOKUP(Клиенты_исходные!F153,Справочники!$J$2:$K$50,2,FALSE),Клиенты_исходные!F153)</f>
        <v>Якутск</v>
      </c>
      <c r="G153" s="8">
        <f>IFERROR(IF(ISNUMBER(FIND(".",Клиенты_исходные!G153)),DATE(RIGHT(Клиенты_исходные!G153,4),MID(Клиенты_исходные!G153,4,2),LEFT(Клиенты_исходные!G153,2)),DATE(LEFT(Клиенты_исходные!G153,4),MID(Клиенты_исходные!G153,6,2),RIGHT(Клиенты_исходные!G153,2))),Клиенты_исходные!G153)</f>
        <v>46096</v>
      </c>
      <c r="H153">
        <f t="shared" ca="1" si="52"/>
        <v>44</v>
      </c>
      <c r="I153" t="str">
        <f t="shared" si="53"/>
        <v>OK</v>
      </c>
      <c r="J153" t="str">
        <f t="shared" si="54"/>
        <v xml:space="preserve">Ошибка Email</v>
      </c>
    </row>
    <row r="154">
      <c r="A154" t="str">
        <f>Клиенты_исходные!A154</f>
        <v>C0153</v>
      </c>
      <c r="B154" t="str">
        <f>PROPER(TRIM(Клиенты_исходные!B154))</f>
        <v xml:space="preserve">Моргунова Татьяна Ивановна</v>
      </c>
      <c r="C154" s="8">
        <f>IFERROR(IF(ISNUMBER(FIND(".",Клиенты_исходные!C154)),DATE(RIGHT(Клиенты_исходные!C154,4),MID(Клиенты_исходные!C154,4,2),LEFT(Клиенты_исходные!C154,2)),DATE(LEFT(Клиенты_исходные!C154,4),MID(Клиенты_исходные!C154,6,2),RIGHT(Клиенты_исходные!C154,2))),Клиенты_исходные!C154)</f>
        <v>32126</v>
      </c>
      <c r="D154" t="str">
        <f>IF(ISBLANK(Клиенты_исходные!D154),"",IF(LEN(SUBSTITUTE(SUBSTITUTE(SUBSTITUTE(SUBSTITUTE(SUBSTITUTE(Клиенты_исходные!D154," ",""),"-",""),"+",""),"(",""),")",""))=11,"+7 ("&amp;MID(IF(LEFT(SUBSTITUTE(SUBSTITUTE(SUBSTITUTE(SUBSTITUTE(SUBSTITUTE(Клиенты_исходные!D154," ",""),"-",""),"+",""),"(",""),")",""))="8","7"&amp;MID(SUBSTITUTE(SUBSTITUTE(SUBSTITUTE(SUBSTITUTE(SUBSTITUTE(Клиенты_исходные!D154," ",""),"-",""),"+",""),"(",""),")",""),2,10),SUBSTITUTE(SUBSTITUTE(SUBSTITUTE(SUBSTITUTE(SUBSTITUTE(Клиенты_исходные!D154," ",""),"-",""),"+",""),"(",""),")","")),2,3)&amp;") "&amp;MID(IF(LEFT(SUBSTITUTE(SUBSTITUTE(SUBSTITUTE(SUBSTITUTE(SUBSTITUTE(Клиенты_исходные!D154," ",""),"-",""),"+",""),"(",""),")",""))="8","7"&amp;MID(SUBSTITUTE(SUBSTITUTE(SUBSTITUTE(SUBSTITUTE(SUBSTITUTE(Клиенты_исходные!D154," ",""),"-",""),"+",""),"(",""),")",""),2,10),SUBSTITUTE(SUBSTITUTE(SUBSTITUTE(SUBSTITUTE(SUBSTITUTE(Клиенты_исходные!D154," ",""),"-",""),"+",""),"(",""),")","")),5,3)&amp;"-"&amp;MID(IF(LEFT(SUBSTITUTE(SUBSTITUTE(SUBSTITUTE(SUBSTITUTE(SUBSTITUTE(Клиенты_исходные!D154," ",""),"-",""),"+",""),"(",""),")",""))="8","7"&amp;MID(SUBSTITUTE(SUBSTITUTE(SUBSTITUTE(SUBSTITUTE(SUBSTITUTE(Клиенты_исходные!D154," ",""),"-",""),"+",""),"(",""),")",""),2,10),SUBSTITUTE(SUBSTITUTE(SUBSTITUTE(SUBSTITUTE(SUBSTITUTE(Клиенты_исходные!D154," ",""),"-",""),"+",""),"(",""),")","")),8,2)&amp;"-"&amp;MID(IF(LEFT(SUBSTITUTE(SUBSTITUTE(SUBSTITUTE(SUBSTITUTE(SUBSTITUTE(Клиенты_исходные!D154," ",""),"-",""),"+",""),"(",""),")",""))="8","7"&amp;MID(SUBSTITUTE(SUBSTITUTE(SUBSTITUTE(SUBSTITUTE(SUBSTITUTE(Клиенты_исходные!D154," ",""),"-",""),"+",""),"(",""),")",""),2,10),SUBSTITUTE(SUBSTITUTE(SUBSTITUTE(SUBSTITUTE(SUBSTITUTE(Клиенты_исходные!D154," ",""),"-",""),"+",""),"(",""),")","")),10,2),IF(LEN(SUBSTITUTE(SUBSTITUTE(SUBSTITUTE(SUBSTITUTE(SUBSTITUTE(Клиенты_исходные!D154," ",""),"-",""),"+",""),"(",""),")",""))=10,"+7 ("&amp;MID(SUBSTITUTE(SUBSTITUTE(SUBSTITUTE(SUBSTITUTE(SUBSTITUTE(Клиенты_исходные!D154," ",""),"-",""),"+",""),"(",""),")",""),1,3)&amp;") "&amp;MID(SUBSTITUTE(SUBSTITUTE(SUBSTITUTE(SUBSTITUTE(SUBSTITUTE(Клиенты_исходные!D154," ",""),"-",""),"+",""),"(",""),")",""),4,3)&amp;"-"&amp;MID(SUBSTITUTE(SUBSTITUTE(SUBSTITUTE(SUBSTITUTE(SUBSTITUTE(Клиенты_исходные!D154," ",""),"-",""),"+",""),"(",""),")",""),6,2)&amp;"-"&amp;MID(SUBSTITUTE(SUBSTITUTE(SUBSTITUTE(SUBSTITUTE(SUBSTITUTE(Клиенты_исходные!D154," ",""),"-",""),"+",""),"(",""),")",""),8,2),Клиенты_исходные!D154)))</f>
        <v xml:space="preserve">+7 (903) 789-01-23</v>
      </c>
      <c r="F154" t="str">
        <f>IFERROR(VLOOKUP(Клиенты_исходные!F154,Справочники!$J$2:$K$50,2,FALSE),Клиенты_исходные!F154)</f>
        <v>Череповец</v>
      </c>
      <c r="G154" s="8">
        <f>IFERROR(IF(ISNUMBER(FIND(".",Клиенты_исходные!G154)),DATE(RIGHT(Клиенты_исходные!G154,4),MID(Клиенты_исходные!G154,4,2),LEFT(Клиенты_исходные!G154,2)),DATE(LEFT(Клиенты_исходные!G154,4),MID(Клиенты_исходные!G154,6,2),RIGHT(Клиенты_исходные!G154,2))),Клиенты_исходные!G154)</f>
        <v>46096</v>
      </c>
      <c r="H154">
        <f t="shared" ca="1" si="52"/>
        <v>38</v>
      </c>
      <c r="I154" t="str">
        <f t="shared" si="53"/>
        <v>OK</v>
      </c>
      <c r="J154" t="str">
        <f t="shared" si="54"/>
        <v xml:space="preserve">Ошибка Email</v>
      </c>
    </row>
    <row r="155">
      <c r="A155" t="str">
        <f>Клиенты_исходные!A155</f>
        <v>C0154</v>
      </c>
      <c r="B155" t="str">
        <f>PROPER(TRIM(Клиенты_исходные!B155))</f>
        <v xml:space="preserve">Евдокимов Сергей Анатольевич</v>
      </c>
      <c r="C155" s="8">
        <f>IFERROR(IF(ISNUMBER(FIND(".",Клиенты_исходные!C155)),DATE(RIGHT(Клиенты_исходные!C155,4),MID(Клиенты_исходные!C155,4,2),LEFT(Клиенты_исходные!C155,2)),DATE(LEFT(Клиенты_исходные!C155,4),MID(Клиенты_исходные!C155,6,2),RIGHT(Клиенты_исходные!C155,2))),Клиенты_исходные!C155)</f>
        <v>26894</v>
      </c>
      <c r="D155" t="str">
        <f>IF(ISBLANK(Клиенты_исходные!D155),"",IF(LEN(SUBSTITUTE(SUBSTITUTE(SUBSTITUTE(SUBSTITUTE(SUBSTITUTE(Клиенты_исходные!D155," ",""),"-",""),"+",""),"(",""),")",""))=11,"+7 ("&amp;MID(IF(LEFT(SUBSTITUTE(SUBSTITUTE(SUBSTITUTE(SUBSTITUTE(SUBSTITUTE(Клиенты_исходные!D155," ",""),"-",""),"+",""),"(",""),")",""))="8","7"&amp;MID(SUBSTITUTE(SUBSTITUTE(SUBSTITUTE(SUBSTITUTE(SUBSTITUTE(Клиенты_исходные!D155," ",""),"-",""),"+",""),"(",""),")",""),2,10),SUBSTITUTE(SUBSTITUTE(SUBSTITUTE(SUBSTITUTE(SUBSTITUTE(Клиенты_исходные!D155," ",""),"-",""),"+",""),"(",""),")","")),2,3)&amp;") "&amp;MID(IF(LEFT(SUBSTITUTE(SUBSTITUTE(SUBSTITUTE(SUBSTITUTE(SUBSTITUTE(Клиенты_исходные!D155," ",""),"-",""),"+",""),"(",""),")",""))="8","7"&amp;MID(SUBSTITUTE(SUBSTITUTE(SUBSTITUTE(SUBSTITUTE(SUBSTITUTE(Клиенты_исходные!D155," ",""),"-",""),"+",""),"(",""),")",""),2,10),SUBSTITUTE(SUBSTITUTE(SUBSTITUTE(SUBSTITUTE(SUBSTITUTE(Клиенты_исходные!D155," ",""),"-",""),"+",""),"(",""),")","")),5,3)&amp;"-"&amp;MID(IF(LEFT(SUBSTITUTE(SUBSTITUTE(SUBSTITUTE(SUBSTITUTE(SUBSTITUTE(Клиенты_исходные!D155," ",""),"-",""),"+",""),"(",""),")",""))="8","7"&amp;MID(SUBSTITUTE(SUBSTITUTE(SUBSTITUTE(SUBSTITUTE(SUBSTITUTE(Клиенты_исходные!D155," ",""),"-",""),"+",""),"(",""),")",""),2,10),SUBSTITUTE(SUBSTITUTE(SUBSTITUTE(SUBSTITUTE(SUBSTITUTE(Клиенты_исходные!D155," ",""),"-",""),"+",""),"(",""),")","")),8,2)&amp;"-"&amp;MID(IF(LEFT(SUBSTITUTE(SUBSTITUTE(SUBSTITUTE(SUBSTITUTE(SUBSTITUTE(Клиенты_исходные!D155," ",""),"-",""),"+",""),"(",""),")",""))="8","7"&amp;MID(SUBSTITUTE(SUBSTITUTE(SUBSTITUTE(SUBSTITUTE(SUBSTITUTE(Клиенты_исходные!D155," ",""),"-",""),"+",""),"(",""),")",""),2,10),SUBSTITUTE(SUBSTITUTE(SUBSTITUTE(SUBSTITUTE(SUBSTITUTE(Клиенты_исходные!D155," ",""),"-",""),"+",""),"(",""),")","")),10,2),IF(LEN(SUBSTITUTE(SUBSTITUTE(SUBSTITUTE(SUBSTITUTE(SUBSTITUTE(Клиенты_исходные!D155," ",""),"-",""),"+",""),"(",""),")",""))=10,"+7 ("&amp;MID(SUBSTITUTE(SUBSTITUTE(SUBSTITUTE(SUBSTITUTE(SUBSTITUTE(Клиенты_исходные!D155," ",""),"-",""),"+",""),"(",""),")",""),1,3)&amp;") "&amp;MID(SUBSTITUTE(SUBSTITUTE(SUBSTITUTE(SUBSTITUTE(SUBSTITUTE(Клиенты_исходные!D155," ",""),"-",""),"+",""),"(",""),")",""),4,3)&amp;"-"&amp;MID(SUBSTITUTE(SUBSTITUTE(SUBSTITUTE(SUBSTITUTE(SUBSTITUTE(Клиенты_исходные!D155," ",""),"-",""),"+",""),"(",""),")",""),6,2)&amp;"-"&amp;MID(SUBSTITUTE(SUBSTITUTE(SUBSTITUTE(SUBSTITUTE(SUBSTITUTE(Клиенты_исходные!D155," ",""),"-",""),"+",""),"(",""),")",""),8,2),Клиенты_исходные!D155)))</f>
        <v xml:space="preserve">+7 (903) 789-01-23</v>
      </c>
      <c r="F155" t="str">
        <f>IFERROR(VLOOKUP(Клиенты_исходные!F155,Справочники!$J$2:$K$50,2,FALSE),Клиенты_исходные!F155)</f>
        <v>Саранск</v>
      </c>
      <c r="G155" s="8">
        <f>IFERROR(IF(ISNUMBER(FIND(".",Клиенты_исходные!G155)),DATE(RIGHT(Клиенты_исходные!G155,4),MID(Клиенты_исходные!G155,4,2),LEFT(Клиенты_исходные!G155,2)),DATE(LEFT(Клиенты_исходные!G155,4),MID(Клиенты_исходные!G155,6,2),RIGHT(Клиенты_исходные!G155,2))),Клиенты_исходные!G155)</f>
        <v>46113</v>
      </c>
      <c r="H155">
        <f t="shared" ca="1" si="52"/>
        <v>53</v>
      </c>
      <c r="I155" t="str">
        <f t="shared" si="53"/>
        <v>OK</v>
      </c>
      <c r="J155" t="str">
        <f t="shared" si="54"/>
        <v xml:space="preserve">Ошибка Email</v>
      </c>
    </row>
    <row r="156">
      <c r="A156" t="str">
        <f>Клиенты_исходные!A156</f>
        <v>C0155</v>
      </c>
      <c r="B156" t="str">
        <f>PROPER(TRIM(Клиенты_исходные!B156))</f>
        <v xml:space="preserve">Быкова Елизавета Николаевна</v>
      </c>
      <c r="C156" s="8">
        <f>IFERROR(IF(ISNUMBER(FIND(".",Клиенты_исходные!C156)),DATE(RIGHT(Клиенты_исходные!C156,4),MID(Клиенты_исходные!C156,4,2),LEFT(Клиенты_исходные!C156,2)),DATE(LEFT(Клиенты_исходные!C156,4),MID(Клиенты_исходные!C156,6,2),RIGHT(Клиенты_исходные!C156,2))),Клиенты_исходные!C156)</f>
        <v>31354</v>
      </c>
      <c r="D156" t="str">
        <f>IF(ISBLANK(Клиенты_исходные!D156),"",IF(LEN(SUBSTITUTE(SUBSTITUTE(SUBSTITUTE(SUBSTITUTE(SUBSTITUTE(Клиенты_исходные!D156," ",""),"-",""),"+",""),"(",""),")",""))=11,"+7 ("&amp;MID(IF(LEFT(SUBSTITUTE(SUBSTITUTE(SUBSTITUTE(SUBSTITUTE(SUBSTITUTE(Клиенты_исходные!D156," ",""),"-",""),"+",""),"(",""),")",""))="8","7"&amp;MID(SUBSTITUTE(SUBSTITUTE(SUBSTITUTE(SUBSTITUTE(SUBSTITUTE(Клиенты_исходные!D156," ",""),"-",""),"+",""),"(",""),")",""),2,10),SUBSTITUTE(SUBSTITUTE(SUBSTITUTE(SUBSTITUTE(SUBSTITUTE(Клиенты_исходные!D156," ",""),"-",""),"+",""),"(",""),")","")),2,3)&amp;") "&amp;MID(IF(LEFT(SUBSTITUTE(SUBSTITUTE(SUBSTITUTE(SUBSTITUTE(SUBSTITUTE(Клиенты_исходные!D156," ",""),"-",""),"+",""),"(",""),")",""))="8","7"&amp;MID(SUBSTITUTE(SUBSTITUTE(SUBSTITUTE(SUBSTITUTE(SUBSTITUTE(Клиенты_исходные!D156," ",""),"-",""),"+",""),"(",""),")",""),2,10),SUBSTITUTE(SUBSTITUTE(SUBSTITUTE(SUBSTITUTE(SUBSTITUTE(Клиенты_исходные!D156," ",""),"-",""),"+",""),"(",""),")","")),5,3)&amp;"-"&amp;MID(IF(LEFT(SUBSTITUTE(SUBSTITUTE(SUBSTITUTE(SUBSTITUTE(SUBSTITUTE(Клиенты_исходные!D156," ",""),"-",""),"+",""),"(",""),")",""))="8","7"&amp;MID(SUBSTITUTE(SUBSTITUTE(SUBSTITUTE(SUBSTITUTE(SUBSTITUTE(Клиенты_исходные!D156," ",""),"-",""),"+",""),"(",""),")",""),2,10),SUBSTITUTE(SUBSTITUTE(SUBSTITUTE(SUBSTITUTE(SUBSTITUTE(Клиенты_исходные!D156," ",""),"-",""),"+",""),"(",""),")","")),8,2)&amp;"-"&amp;MID(IF(LEFT(SUBSTITUTE(SUBSTITUTE(SUBSTITUTE(SUBSTITUTE(SUBSTITUTE(Клиенты_исходные!D156," ",""),"-",""),"+",""),"(",""),")",""))="8","7"&amp;MID(SUBSTITUTE(SUBSTITUTE(SUBSTITUTE(SUBSTITUTE(SUBSTITUTE(Клиенты_исходные!D156," ",""),"-",""),"+",""),"(",""),")",""),2,10),SUBSTITUTE(SUBSTITUTE(SUBSTITUTE(SUBSTITUTE(SUBSTITUTE(Клиенты_исходные!D156," ",""),"-",""),"+",""),"(",""),")","")),10,2),IF(LEN(SUBSTITUTE(SUBSTITUTE(SUBSTITUTE(SUBSTITUTE(SUBSTITUTE(Клиенты_исходные!D156," ",""),"-",""),"+",""),"(",""),")",""))=10,"+7 ("&amp;MID(SUBSTITUTE(SUBSTITUTE(SUBSTITUTE(SUBSTITUTE(SUBSTITUTE(Клиенты_исходные!D156," ",""),"-",""),"+",""),"(",""),")",""),1,3)&amp;") "&amp;MID(SUBSTITUTE(SUBSTITUTE(SUBSTITUTE(SUBSTITUTE(SUBSTITUTE(Клиенты_исходные!D156," ",""),"-",""),"+",""),"(",""),")",""),4,3)&amp;"-"&amp;MID(SUBSTITUTE(SUBSTITUTE(SUBSTITUTE(SUBSTITUTE(SUBSTITUTE(Клиенты_исходные!D156," ",""),"-",""),"+",""),"(",""),")",""),6,2)&amp;"-"&amp;MID(SUBSTITUTE(SUBSTITUTE(SUBSTITUTE(SUBSTITUTE(SUBSTITUTE(Клиенты_исходные!D156," ",""),"-",""),"+",""),"(",""),")",""),8,2),Клиенты_исходные!D156)))</f>
        <v xml:space="preserve">+7 (903) 789-01-23</v>
      </c>
      <c r="F156" t="str">
        <f>IFERROR(VLOOKUP(Клиенты_исходные!F156,Справочники!$J$2:$K$50,2,FALSE),Клиенты_исходные!F156)</f>
        <v>Тула</v>
      </c>
      <c r="G156" s="8">
        <f>IFERROR(IF(ISNUMBER(FIND(".",Клиенты_исходные!G156)),DATE(RIGHT(Клиенты_исходные!G156,4),MID(Клиенты_исходные!G156,4,2),LEFT(Клиенты_исходные!G156,2)),DATE(LEFT(Клиенты_исходные!G156,4),MID(Клиенты_исходные!G156,6,2),RIGHT(Клиенты_исходные!G156,2))),Клиенты_исходные!G156)</f>
        <v>46122</v>
      </c>
      <c r="H156">
        <f t="shared" ca="1" si="52"/>
        <v>40</v>
      </c>
      <c r="I156" t="str">
        <f t="shared" si="53"/>
        <v>OK</v>
      </c>
      <c r="J156" t="str">
        <f t="shared" si="54"/>
        <v xml:space="preserve">Ошибка Email</v>
      </c>
    </row>
    <row r="157">
      <c r="A157" t="str">
        <f>Клиенты_исходные!A157</f>
        <v>C0156</v>
      </c>
      <c r="B157" t="str">
        <f>PROPER(TRIM(Клиенты_исходные!B157))</f>
        <v xml:space="preserve">Тищенко Владимир Олегович</v>
      </c>
      <c r="C157" s="8">
        <f>IFERROR(IF(ISNUMBER(FIND(".",Клиенты_исходные!C157)),DATE(RIGHT(Клиенты_исходные!C157,4),MID(Клиенты_исходные!C157,4,2),LEFT(Клиенты_исходные!C157,2)),DATE(LEFT(Клиенты_исходные!C157,4),MID(Клиенты_исходные!C157,6,2),RIGHT(Клиенты_исходные!C157,2))),Клиенты_исходные!C157)</f>
        <v>33321</v>
      </c>
      <c r="D157" t="str">
        <f>IF(ISBLANK(Клиенты_исходные!D157),"",IF(LEN(SUBSTITUTE(SUBSTITUTE(SUBSTITUTE(SUBSTITUTE(SUBSTITUTE(Клиенты_исходные!D157," ",""),"-",""),"+",""),"(",""),")",""))=11,"+7 ("&amp;MID(IF(LEFT(SUBSTITUTE(SUBSTITUTE(SUBSTITUTE(SUBSTITUTE(SUBSTITUTE(Клиенты_исходные!D157," ",""),"-",""),"+",""),"(",""),")",""))="8","7"&amp;MID(SUBSTITUTE(SUBSTITUTE(SUBSTITUTE(SUBSTITUTE(SUBSTITUTE(Клиенты_исходные!D157," ",""),"-",""),"+",""),"(",""),")",""),2,10),SUBSTITUTE(SUBSTITUTE(SUBSTITUTE(SUBSTITUTE(SUBSTITUTE(Клиенты_исходные!D157," ",""),"-",""),"+",""),"(",""),")","")),2,3)&amp;") "&amp;MID(IF(LEFT(SUBSTITUTE(SUBSTITUTE(SUBSTITUTE(SUBSTITUTE(SUBSTITUTE(Клиенты_исходные!D157," ",""),"-",""),"+",""),"(",""),")",""))="8","7"&amp;MID(SUBSTITUTE(SUBSTITUTE(SUBSTITUTE(SUBSTITUTE(SUBSTITUTE(Клиенты_исходные!D157," ",""),"-",""),"+",""),"(",""),")",""),2,10),SUBSTITUTE(SUBSTITUTE(SUBSTITUTE(SUBSTITUTE(SUBSTITUTE(Клиенты_исходные!D157," ",""),"-",""),"+",""),"(",""),")","")),5,3)&amp;"-"&amp;MID(IF(LEFT(SUBSTITUTE(SUBSTITUTE(SUBSTITUTE(SUBSTITUTE(SUBSTITUTE(Клиенты_исходные!D157," ",""),"-",""),"+",""),"(",""),")",""))="8","7"&amp;MID(SUBSTITUTE(SUBSTITUTE(SUBSTITUTE(SUBSTITUTE(SUBSTITUTE(Клиенты_исходные!D157," ",""),"-",""),"+",""),"(",""),")",""),2,10),SUBSTITUTE(SUBSTITUTE(SUBSTITUTE(SUBSTITUTE(SUBSTITUTE(Клиенты_исходные!D157," ",""),"-",""),"+",""),"(",""),")","")),8,2)&amp;"-"&amp;MID(IF(LEFT(SUBSTITUTE(SUBSTITUTE(SUBSTITUTE(SUBSTITUTE(SUBSTITUTE(Клиенты_исходные!D157," ",""),"-",""),"+",""),"(",""),")",""))="8","7"&amp;MID(SUBSTITUTE(SUBSTITUTE(SUBSTITUTE(SUBSTITUTE(SUBSTITUTE(Клиенты_исходные!D157," ",""),"-",""),"+",""),"(",""),")",""),2,10),SUBSTITUTE(SUBSTITUTE(SUBSTITUTE(SUBSTITUTE(SUBSTITUTE(Клиенты_исходные!D157," ",""),"-",""),"+",""),"(",""),")","")),10,2),IF(LEN(SUBSTITUTE(SUBSTITUTE(SUBSTITUTE(SUBSTITUTE(SUBSTITUTE(Клиенты_исходные!D157," ",""),"-",""),"+",""),"(",""),")",""))=10,"+7 ("&amp;MID(SUBSTITUTE(SUBSTITUTE(SUBSTITUTE(SUBSTITUTE(SUBSTITUTE(Клиенты_исходные!D157," ",""),"-",""),"+",""),"(",""),")",""),1,3)&amp;") "&amp;MID(SUBSTITUTE(SUBSTITUTE(SUBSTITUTE(SUBSTITUTE(SUBSTITUTE(Клиенты_исходные!D157," ",""),"-",""),"+",""),"(",""),")",""),4,3)&amp;"-"&amp;MID(SUBSTITUTE(SUBSTITUTE(SUBSTITUTE(SUBSTITUTE(SUBSTITUTE(Клиенты_исходные!D157," ",""),"-",""),"+",""),"(",""),")",""),6,2)&amp;"-"&amp;MID(SUBSTITUTE(SUBSTITUTE(SUBSTITUTE(SUBSTITUTE(SUBSTITUTE(Клиенты_исходные!D157," ",""),"-",""),"+",""),"(",""),")",""),8,2),Клиенты_исходные!D157)))</f>
        <v xml:space="preserve">+7 (903) 890-12-34</v>
      </c>
      <c r="F157" t="str">
        <f>IFERROR(VLOOKUP(Клиенты_исходные!F157,Справочники!$J$2:$K$50,2,FALSE),Клиенты_исходные!F157)</f>
        <v>Калуга</v>
      </c>
      <c r="G157" s="8">
        <f>IFERROR(IF(ISNUMBER(FIND(".",Клиенты_исходные!G157)),DATE(RIGHT(Клиенты_исходные!G157,4),MID(Клиенты_исходные!G157,4,2),LEFT(Клиенты_исходные!G157,2)),DATE(LEFT(Клиенты_исходные!G157,4),MID(Клиенты_исходные!G157,6,2),RIGHT(Клиенты_исходные!G157,2))),Клиенты_исходные!G157)</f>
        <v>46122</v>
      </c>
      <c r="H157">
        <f t="shared" ca="1" si="52"/>
        <v>35</v>
      </c>
      <c r="I157" t="str">
        <f t="shared" si="53"/>
        <v>OK</v>
      </c>
      <c r="J157" t="str">
        <f t="shared" si="54"/>
        <v xml:space="preserve">Ошибка Email</v>
      </c>
    </row>
    <row r="158">
      <c r="A158" t="str">
        <f>Клиенты_исходные!A158</f>
        <v>C0157</v>
      </c>
      <c r="B158" t="str">
        <f>PROPER(TRIM(Клиенты_исходные!B158))</f>
        <v xml:space="preserve">Соколова Наталия Дмитриевна</v>
      </c>
      <c r="C158" s="8">
        <f>IFERROR(IF(ISNUMBER(FIND(".",Клиенты_исходные!C158)),DATE(RIGHT(Клиенты_исходные!C158,4),MID(Клиенты_исходные!C158,4,2),LEFT(Клиенты_исходные!C158,2)),DATE(LEFT(Клиенты_исходные!C158,4),MID(Клиенты_исходные!C158,6,2),RIGHT(Клиенты_исходные!C158,2))),Клиенты_исходные!C158)</f>
        <v>29107</v>
      </c>
      <c r="D158" t="str">
        <f>IF(ISBLANK(Клиенты_исходные!D158),"",IF(LEN(SUBSTITUTE(SUBSTITUTE(SUBSTITUTE(SUBSTITUTE(SUBSTITUTE(Клиенты_исходные!D158," ",""),"-",""),"+",""),"(",""),")",""))=11,"+7 ("&amp;MID(IF(LEFT(SUBSTITUTE(SUBSTITUTE(SUBSTITUTE(SUBSTITUTE(SUBSTITUTE(Клиенты_исходные!D158," ",""),"-",""),"+",""),"(",""),")",""))="8","7"&amp;MID(SUBSTITUTE(SUBSTITUTE(SUBSTITUTE(SUBSTITUTE(SUBSTITUTE(Клиенты_исходные!D158," ",""),"-",""),"+",""),"(",""),")",""),2,10),SUBSTITUTE(SUBSTITUTE(SUBSTITUTE(SUBSTITUTE(SUBSTITUTE(Клиенты_исходные!D158," ",""),"-",""),"+",""),"(",""),")","")),2,3)&amp;") "&amp;MID(IF(LEFT(SUBSTITUTE(SUBSTITUTE(SUBSTITUTE(SUBSTITUTE(SUBSTITUTE(Клиенты_исходные!D158," ",""),"-",""),"+",""),"(",""),")",""))="8","7"&amp;MID(SUBSTITUTE(SUBSTITUTE(SUBSTITUTE(SUBSTITUTE(SUBSTITUTE(Клиенты_исходные!D158," ",""),"-",""),"+",""),"(",""),")",""),2,10),SUBSTITUTE(SUBSTITUTE(SUBSTITUTE(SUBSTITUTE(SUBSTITUTE(Клиенты_исходные!D158," ",""),"-",""),"+",""),"(",""),")","")),5,3)&amp;"-"&amp;MID(IF(LEFT(SUBSTITUTE(SUBSTITUTE(SUBSTITUTE(SUBSTITUTE(SUBSTITUTE(Клиенты_исходные!D158," ",""),"-",""),"+",""),"(",""),")",""))="8","7"&amp;MID(SUBSTITUTE(SUBSTITUTE(SUBSTITUTE(SUBSTITUTE(SUBSTITUTE(Клиенты_исходные!D158," ",""),"-",""),"+",""),"(",""),")",""),2,10),SUBSTITUTE(SUBSTITUTE(SUBSTITUTE(SUBSTITUTE(SUBSTITUTE(Клиенты_исходные!D158," ",""),"-",""),"+",""),"(",""),")","")),8,2)&amp;"-"&amp;MID(IF(LEFT(SUBSTITUTE(SUBSTITUTE(SUBSTITUTE(SUBSTITUTE(SUBSTITUTE(Клиенты_исходные!D158," ",""),"-",""),"+",""),"(",""),")",""))="8","7"&amp;MID(SUBSTITUTE(SUBSTITUTE(SUBSTITUTE(SUBSTITUTE(SUBSTITUTE(Клиенты_исходные!D158," ",""),"-",""),"+",""),"(",""),")",""),2,10),SUBSTITUTE(SUBSTITUTE(SUBSTITUTE(SUBSTITUTE(SUBSTITUTE(Клиенты_исходные!D158," ",""),"-",""),"+",""),"(",""),")","")),10,2),IF(LEN(SUBSTITUTE(SUBSTITUTE(SUBSTITUTE(SUBSTITUTE(SUBSTITUTE(Клиенты_исходные!D158," ",""),"-",""),"+",""),"(",""),")",""))=10,"+7 ("&amp;MID(SUBSTITUTE(SUBSTITUTE(SUBSTITUTE(SUBSTITUTE(SUBSTITUTE(Клиенты_исходные!D158," ",""),"-",""),"+",""),"(",""),")",""),1,3)&amp;") "&amp;MID(SUBSTITUTE(SUBSTITUTE(SUBSTITUTE(SUBSTITUTE(SUBSTITUTE(Клиенты_исходные!D158," ",""),"-",""),"+",""),"(",""),")",""),4,3)&amp;"-"&amp;MID(SUBSTITUTE(SUBSTITUTE(SUBSTITUTE(SUBSTITUTE(SUBSTITUTE(Клиенты_исходные!D158," ",""),"-",""),"+",""),"(",""),")",""),6,2)&amp;"-"&amp;MID(SUBSTITUTE(SUBSTITUTE(SUBSTITUTE(SUBSTITUTE(SUBSTITUTE(Клиенты_исходные!D158," ",""),"-",""),"+",""),"(",""),")",""),8,2),Клиенты_исходные!D158)))</f>
        <v xml:space="preserve">+7 (903) 890-12-34</v>
      </c>
      <c r="F158" t="str">
        <f>IFERROR(VLOOKUP(Клиенты_исходные!F158,Справочники!$J$2:$K$50,2,FALSE),Клиенты_исходные!F158)</f>
        <v>Владикавказ</v>
      </c>
      <c r="G158" s="8">
        <f>IFERROR(IF(ISNUMBER(FIND(".",Клиенты_исходные!G158)),DATE(RIGHT(Клиенты_исходные!G158,4),MID(Клиенты_исходные!G158,4,2),LEFT(Клиенты_исходные!G158,2)),DATE(LEFT(Клиенты_исходные!G158,4),MID(Клиенты_исходные!G158,6,2),RIGHT(Клиенты_исходные!G158,2))),Клиенты_исходные!G158)</f>
        <v>46143</v>
      </c>
      <c r="H158">
        <f t="shared" ca="1" si="52"/>
        <v>47</v>
      </c>
      <c r="I158" t="str">
        <f t="shared" si="53"/>
        <v>OK</v>
      </c>
      <c r="J158" t="str">
        <f t="shared" si="54"/>
        <v xml:space="preserve">Ошибка Email</v>
      </c>
    </row>
    <row r="159">
      <c r="A159" t="str">
        <f>Клиенты_исходные!A159</f>
        <v>C0158</v>
      </c>
      <c r="B159" t="str">
        <f>PROPER(TRIM(Клиенты_исходные!B159))</f>
        <v xml:space="preserve">Громов Александр Валерьевич</v>
      </c>
      <c r="C159" s="8">
        <f>IFERROR(IF(ISNUMBER(FIND(".",Клиенты_исходные!C159)),DATE(RIGHT(Клиенты_исходные!C159,4),MID(Клиенты_исходные!C159,4,2),LEFT(Клиенты_исходные!C159,2)),DATE(LEFT(Клиенты_исходные!C159,4),MID(Клиенты_исходные!C159,6,2),RIGHT(Клиенты_исходные!C159,2))),Клиенты_исходные!C159)</f>
        <v>31614</v>
      </c>
      <c r="D159" t="str">
        <f>IF(ISBLANK(Клиенты_исходные!D159),"",IF(LEN(SUBSTITUTE(SUBSTITUTE(SUBSTITUTE(SUBSTITUTE(SUBSTITUTE(Клиенты_исходные!D159," ",""),"-",""),"+",""),"(",""),")",""))=11,"+7 ("&amp;MID(IF(LEFT(SUBSTITUTE(SUBSTITUTE(SUBSTITUTE(SUBSTITUTE(SUBSTITUTE(Клиенты_исходные!D159," ",""),"-",""),"+",""),"(",""),")",""))="8","7"&amp;MID(SUBSTITUTE(SUBSTITUTE(SUBSTITUTE(SUBSTITUTE(SUBSTITUTE(Клиенты_исходные!D159," ",""),"-",""),"+",""),"(",""),")",""),2,10),SUBSTITUTE(SUBSTITUTE(SUBSTITUTE(SUBSTITUTE(SUBSTITUTE(Клиенты_исходные!D159," ",""),"-",""),"+",""),"(",""),")","")),2,3)&amp;") "&amp;MID(IF(LEFT(SUBSTITUTE(SUBSTITUTE(SUBSTITUTE(SUBSTITUTE(SUBSTITUTE(Клиенты_исходные!D159," ",""),"-",""),"+",""),"(",""),")",""))="8","7"&amp;MID(SUBSTITUTE(SUBSTITUTE(SUBSTITUTE(SUBSTITUTE(SUBSTITUTE(Клиенты_исходные!D159," ",""),"-",""),"+",""),"(",""),")",""),2,10),SUBSTITUTE(SUBSTITUTE(SUBSTITUTE(SUBSTITUTE(SUBSTITUTE(Клиенты_исходные!D159," ",""),"-",""),"+",""),"(",""),")","")),5,3)&amp;"-"&amp;MID(IF(LEFT(SUBSTITUTE(SUBSTITUTE(SUBSTITUTE(SUBSTITUTE(SUBSTITUTE(Клиенты_исходные!D159," ",""),"-",""),"+",""),"(",""),")",""))="8","7"&amp;MID(SUBSTITUTE(SUBSTITUTE(SUBSTITUTE(SUBSTITUTE(SUBSTITUTE(Клиенты_исходные!D159," ",""),"-",""),"+",""),"(",""),")",""),2,10),SUBSTITUTE(SUBSTITUTE(SUBSTITUTE(SUBSTITUTE(SUBSTITUTE(Клиенты_исходные!D159," ",""),"-",""),"+",""),"(",""),")","")),8,2)&amp;"-"&amp;MID(IF(LEFT(SUBSTITUTE(SUBSTITUTE(SUBSTITUTE(SUBSTITUTE(SUBSTITUTE(Клиенты_исходные!D159," ",""),"-",""),"+",""),"(",""),")",""))="8","7"&amp;MID(SUBSTITUTE(SUBSTITUTE(SUBSTITUTE(SUBSTITUTE(SUBSTITUTE(Клиенты_исходные!D159," ",""),"-",""),"+",""),"(",""),")",""),2,10),SUBSTITUTE(SUBSTITUTE(SUBSTITUTE(SUBSTITUTE(SUBSTITUTE(Клиенты_исходные!D159," ",""),"-",""),"+",""),"(",""),")","")),10,2),IF(LEN(SUBSTITUTE(SUBSTITUTE(SUBSTITUTE(SUBSTITUTE(SUBSTITUTE(Клиенты_исходные!D159," ",""),"-",""),"+",""),"(",""),")",""))=10,"+7 ("&amp;MID(SUBSTITUTE(SUBSTITUTE(SUBSTITUTE(SUBSTITUTE(SUBSTITUTE(Клиенты_исходные!D159," ",""),"-",""),"+",""),"(",""),")",""),1,3)&amp;") "&amp;MID(SUBSTITUTE(SUBSTITUTE(SUBSTITUTE(SUBSTITUTE(SUBSTITUTE(Клиенты_исходные!D159," ",""),"-",""),"+",""),"(",""),")",""),4,3)&amp;"-"&amp;MID(SUBSTITUTE(SUBSTITUTE(SUBSTITUTE(SUBSTITUTE(SUBSTITUTE(Клиенты_исходные!D159," ",""),"-",""),"+",""),"(",""),")",""),6,2)&amp;"-"&amp;MID(SUBSTITUTE(SUBSTITUTE(SUBSTITUTE(SUBSTITUTE(SUBSTITUTE(Клиенты_исходные!D159," ",""),"-",""),"+",""),"(",""),")",""),8,2),Клиенты_исходные!D159)))</f>
        <v xml:space="preserve">+7 (903) 890-12-34</v>
      </c>
      <c r="F159" t="str">
        <f>IFERROR(VLOOKUP(Клиенты_исходные!F159,Справочники!$J$2:$K$50,2,FALSE),Клиенты_исходные!F159)</f>
        <v>Смоленск</v>
      </c>
      <c r="G159" s="8">
        <f>IFERROR(IF(ISNUMBER(FIND(".",Клиенты_исходные!G159)),DATE(RIGHT(Клиенты_исходные!G159,4),MID(Клиенты_исходные!G159,4,2),LEFT(Клиенты_исходные!G159,2)),DATE(LEFT(Клиенты_исходные!G159,4),MID(Клиенты_исходные!G159,6,2),RIGHT(Клиенты_исходные!G159,2))),Клиенты_исходные!G159)</f>
        <v>46157</v>
      </c>
      <c r="H159">
        <f t="shared" ca="1" si="52"/>
        <v>40</v>
      </c>
      <c r="I159" t="str">
        <f t="shared" si="53"/>
        <v>OK</v>
      </c>
      <c r="J159" t="str">
        <f t="shared" si="54"/>
        <v xml:space="preserve">Ошибка Email</v>
      </c>
    </row>
    <row r="160">
      <c r="A160" t="str">
        <f>Клиенты_исходные!A160</f>
        <v>C0159</v>
      </c>
      <c r="B160" t="str">
        <f>PROPER(TRIM(Клиенты_исходные!B160))</f>
        <v xml:space="preserve">Мищенко Валентина Алексеевна</v>
      </c>
      <c r="C160" s="8">
        <f>IFERROR(IF(ISNUMBER(FIND(".",Клиенты_исходные!C160)),DATE(RIGHT(Клиенты_исходные!C160,4),MID(Клиенты_исходные!C160,4,2),LEFT(Клиенты_исходные!C160,2)),DATE(LEFT(Клиенты_исходные!C160,4),MID(Клиенты_исходные!C160,6,2),RIGHT(Клиенты_исходные!C160,2))),Клиенты_исходные!C160)</f>
        <v>34317</v>
      </c>
      <c r="D160" t="str">
        <f>IF(ISBLANK(Клиенты_исходные!D160),"",IF(LEN(SUBSTITUTE(SUBSTITUTE(SUBSTITUTE(SUBSTITUTE(SUBSTITUTE(Клиенты_исходные!D160," ",""),"-",""),"+",""),"(",""),")",""))=11,"+7 ("&amp;MID(IF(LEFT(SUBSTITUTE(SUBSTITUTE(SUBSTITUTE(SUBSTITUTE(SUBSTITUTE(Клиенты_исходные!D160," ",""),"-",""),"+",""),"(",""),")",""))="8","7"&amp;MID(SUBSTITUTE(SUBSTITUTE(SUBSTITUTE(SUBSTITUTE(SUBSTITUTE(Клиенты_исходные!D160," ",""),"-",""),"+",""),"(",""),")",""),2,10),SUBSTITUTE(SUBSTITUTE(SUBSTITUTE(SUBSTITUTE(SUBSTITUTE(Клиенты_исходные!D160," ",""),"-",""),"+",""),"(",""),")","")),2,3)&amp;") "&amp;MID(IF(LEFT(SUBSTITUTE(SUBSTITUTE(SUBSTITUTE(SUBSTITUTE(SUBSTITUTE(Клиенты_исходные!D160," ",""),"-",""),"+",""),"(",""),")",""))="8","7"&amp;MID(SUBSTITUTE(SUBSTITUTE(SUBSTITUTE(SUBSTITUTE(SUBSTITUTE(Клиенты_исходные!D160," ",""),"-",""),"+",""),"(",""),")",""),2,10),SUBSTITUTE(SUBSTITUTE(SUBSTITUTE(SUBSTITUTE(SUBSTITUTE(Клиенты_исходные!D160," ",""),"-",""),"+",""),"(",""),")","")),5,3)&amp;"-"&amp;MID(IF(LEFT(SUBSTITUTE(SUBSTITUTE(SUBSTITUTE(SUBSTITUTE(SUBSTITUTE(Клиенты_исходные!D160," ",""),"-",""),"+",""),"(",""),")",""))="8","7"&amp;MID(SUBSTITUTE(SUBSTITUTE(SUBSTITUTE(SUBSTITUTE(SUBSTITUTE(Клиенты_исходные!D160," ",""),"-",""),"+",""),"(",""),")",""),2,10),SUBSTITUTE(SUBSTITUTE(SUBSTITUTE(SUBSTITUTE(SUBSTITUTE(Клиенты_исходные!D160," ",""),"-",""),"+",""),"(",""),")","")),8,2)&amp;"-"&amp;MID(IF(LEFT(SUBSTITUTE(SUBSTITUTE(SUBSTITUTE(SUBSTITUTE(SUBSTITUTE(Клиенты_исходные!D160," ",""),"-",""),"+",""),"(",""),")",""))="8","7"&amp;MID(SUBSTITUTE(SUBSTITUTE(SUBSTITUTE(SUBSTITUTE(SUBSTITUTE(Клиенты_исходные!D160," ",""),"-",""),"+",""),"(",""),")",""),2,10),SUBSTITUTE(SUBSTITUTE(SUBSTITUTE(SUBSTITUTE(SUBSTITUTE(Клиенты_исходные!D160," ",""),"-",""),"+",""),"(",""),")","")),10,2),IF(LEN(SUBSTITUTE(SUBSTITUTE(SUBSTITUTE(SUBSTITUTE(SUBSTITUTE(Клиенты_исходные!D160," ",""),"-",""),"+",""),"(",""),")",""))=10,"+7 ("&amp;MID(SUBSTITUTE(SUBSTITUTE(SUBSTITUTE(SUBSTITUTE(SUBSTITUTE(Клиенты_исходные!D160," ",""),"-",""),"+",""),"(",""),")",""),1,3)&amp;") "&amp;MID(SUBSTITUTE(SUBSTITUTE(SUBSTITUTE(SUBSTITUTE(SUBSTITUTE(Клиенты_исходные!D160," ",""),"-",""),"+",""),"(",""),")",""),4,3)&amp;"-"&amp;MID(SUBSTITUTE(SUBSTITUTE(SUBSTITUTE(SUBSTITUTE(SUBSTITUTE(Клиенты_исходные!D160," ",""),"-",""),"+",""),"(",""),")",""),6,2)&amp;"-"&amp;MID(SUBSTITUTE(SUBSTITUTE(SUBSTITUTE(SUBSTITUTE(SUBSTITUTE(Клиенты_исходные!D160," ",""),"-",""),"+",""),"(",""),")",""),8,2),Клиенты_исходные!D160)))</f>
        <v xml:space="preserve">+7 (903) 901-23-45</v>
      </c>
      <c r="F160" t="str">
        <f>IFERROR(VLOOKUP(Клиенты_исходные!F160,Справочники!$J$2:$K$50,2,FALSE),Клиенты_исходные!F160)</f>
        <v>Белгород</v>
      </c>
      <c r="G160" s="8">
        <f>IFERROR(IF(ISNUMBER(FIND(".",Клиенты_исходные!G160)),DATE(RIGHT(Клиенты_исходные!G160,4),MID(Клиенты_исходные!G160,4,2),LEFT(Клиенты_исходные!G160,2)),DATE(LEFT(Клиенты_исходные!G160,4),MID(Клиенты_исходные!G160,6,2),RIGHT(Клиенты_исходные!G160,2))),Клиенты_исходные!G160)</f>
        <v>46157</v>
      </c>
      <c r="H160">
        <f t="shared" ca="1" si="52"/>
        <v>32</v>
      </c>
      <c r="I160" t="str">
        <f t="shared" si="53"/>
        <v>OK</v>
      </c>
      <c r="J160" t="str">
        <f t="shared" si="54"/>
        <v xml:space="preserve">Ошибка Email</v>
      </c>
    </row>
    <row r="161">
      <c r="A161" t="str">
        <f>Клиенты_исходные!A161</f>
        <v>C0160</v>
      </c>
      <c r="B161" t="str">
        <f>PROPER(TRIM(Клиенты_исходные!B161))</f>
        <v xml:space="preserve">Лаврентьев Виталий Андреевич</v>
      </c>
      <c r="C161" s="8">
        <f>IFERROR(IF(ISNUMBER(FIND(".",Клиенты_исходные!C161)),DATE(RIGHT(Клиенты_исходные!C161,4),MID(Клиенты_исходные!C161,4,2),LEFT(Клиенты_исходные!C161,2)),DATE(LEFT(Клиенты_исходные!C161,4),MID(Клиенты_исходные!C161,6,2),RIGHT(Клиенты_исходные!C161,2))),Клиенты_исходные!C161)</f>
        <v>27693</v>
      </c>
      <c r="D161" t="str">
        <f>IF(ISBLANK(Клиенты_исходные!D161),"",IF(LEN(SUBSTITUTE(SUBSTITUTE(SUBSTITUTE(SUBSTITUTE(SUBSTITUTE(Клиенты_исходные!D161," ",""),"-",""),"+",""),"(",""),")",""))=11,"+7 ("&amp;MID(IF(LEFT(SUBSTITUTE(SUBSTITUTE(SUBSTITUTE(SUBSTITUTE(SUBSTITUTE(Клиенты_исходные!D161," ",""),"-",""),"+",""),"(",""),")",""))="8","7"&amp;MID(SUBSTITUTE(SUBSTITUTE(SUBSTITUTE(SUBSTITUTE(SUBSTITUTE(Клиенты_исходные!D161," ",""),"-",""),"+",""),"(",""),")",""),2,10),SUBSTITUTE(SUBSTITUTE(SUBSTITUTE(SUBSTITUTE(SUBSTITUTE(Клиенты_исходные!D161," ",""),"-",""),"+",""),"(",""),")","")),2,3)&amp;") "&amp;MID(IF(LEFT(SUBSTITUTE(SUBSTITUTE(SUBSTITUTE(SUBSTITUTE(SUBSTITUTE(Клиенты_исходные!D161," ",""),"-",""),"+",""),"(",""),")",""))="8","7"&amp;MID(SUBSTITUTE(SUBSTITUTE(SUBSTITUTE(SUBSTITUTE(SUBSTITUTE(Клиенты_исходные!D161," ",""),"-",""),"+",""),"(",""),")",""),2,10),SUBSTITUTE(SUBSTITUTE(SUBSTITUTE(SUBSTITUTE(SUBSTITUTE(Клиенты_исходные!D161," ",""),"-",""),"+",""),"(",""),")","")),5,3)&amp;"-"&amp;MID(IF(LEFT(SUBSTITUTE(SUBSTITUTE(SUBSTITUTE(SUBSTITUTE(SUBSTITUTE(Клиенты_исходные!D161," ",""),"-",""),"+",""),"(",""),")",""))="8","7"&amp;MID(SUBSTITUTE(SUBSTITUTE(SUBSTITUTE(SUBSTITUTE(SUBSTITUTE(Клиенты_исходные!D161," ",""),"-",""),"+",""),"(",""),")",""),2,10),SUBSTITUTE(SUBSTITUTE(SUBSTITUTE(SUBSTITUTE(SUBSTITUTE(Клиенты_исходные!D161," ",""),"-",""),"+",""),"(",""),")","")),8,2)&amp;"-"&amp;MID(IF(LEFT(SUBSTITUTE(SUBSTITUTE(SUBSTITUTE(SUBSTITUTE(SUBSTITUTE(Клиенты_исходные!D161," ",""),"-",""),"+",""),"(",""),")",""))="8","7"&amp;MID(SUBSTITUTE(SUBSTITUTE(SUBSTITUTE(SUBSTITUTE(SUBSTITUTE(Клиенты_исходные!D161," ",""),"-",""),"+",""),"(",""),")",""),2,10),SUBSTITUTE(SUBSTITUTE(SUBSTITUTE(SUBSTITUTE(SUBSTITUTE(Клиенты_исходные!D161," ",""),"-",""),"+",""),"(",""),")","")),10,2),IF(LEN(SUBSTITUTE(SUBSTITUTE(SUBSTITUTE(SUBSTITUTE(SUBSTITUTE(Клиенты_исходные!D161," ",""),"-",""),"+",""),"(",""),")",""))=10,"+7 ("&amp;MID(SUBSTITUTE(SUBSTITUTE(SUBSTITUTE(SUBSTITUTE(SUBSTITUTE(Клиенты_исходные!D161," ",""),"-",""),"+",""),"(",""),")",""),1,3)&amp;") "&amp;MID(SUBSTITUTE(SUBSTITUTE(SUBSTITUTE(SUBSTITUTE(SUBSTITUTE(Клиенты_исходные!D161," ",""),"-",""),"+",""),"(",""),")",""),4,3)&amp;"-"&amp;MID(SUBSTITUTE(SUBSTITUTE(SUBSTITUTE(SUBSTITUTE(SUBSTITUTE(Клиенты_исходные!D161," ",""),"-",""),"+",""),"(",""),")",""),6,2)&amp;"-"&amp;MID(SUBSTITUTE(SUBSTITUTE(SUBSTITUTE(SUBSTITUTE(SUBSTITUTE(Клиенты_исходные!D161," ",""),"-",""),"+",""),"(",""),")",""),8,2),Клиенты_исходные!D161)))</f>
        <v xml:space="preserve">+7 (903) 901-23-45</v>
      </c>
      <c r="F161" t="str">
        <f>IFERROR(VLOOKUP(Клиенты_исходные!F161,Справочники!$J$2:$K$50,2,FALSE),Клиенты_исходные!F161)</f>
        <v>Мурманск</v>
      </c>
      <c r="G161" s="8">
        <f>IFERROR(IF(ISNUMBER(FIND(".",Клиенты_исходные!G161)),DATE(RIGHT(Клиенты_исходные!G161,4),MID(Клиенты_исходные!G161,4,2),LEFT(Клиенты_исходные!G161,2)),DATE(LEFT(Клиенты_исходные!G161,4),MID(Клиенты_исходные!G161,6,2),RIGHT(Клиенты_исходные!G161,2))),Клиенты_исходные!G161)</f>
        <v>46174</v>
      </c>
      <c r="H161">
        <f t="shared" ca="1" si="52"/>
        <v>50</v>
      </c>
      <c r="I161" t="str">
        <f t="shared" si="53"/>
        <v>OK</v>
      </c>
      <c r="J161" t="str">
        <f t="shared" si="54"/>
        <v xml:space="preserve">Ошибка Email</v>
      </c>
    </row>
    <row r="162">
      <c r="A162" t="str">
        <f>Клиенты_исходные!A162</f>
        <v>C0161</v>
      </c>
      <c r="B162" t="str">
        <f>PROPER(TRIM(Клиенты_исходные!B162))</f>
        <v xml:space="preserve">Костина Анастасия Вячеславовна</v>
      </c>
      <c r="C162" s="8">
        <f>IFERROR(IF(ISNUMBER(FIND(".",Клиенты_исходные!C162)),DATE(RIGHT(Клиенты_исходные!C162,4),MID(Клиенты_исходные!C162,4,2),LEFT(Клиенты_исходные!C162,2)),DATE(LEFT(Клиенты_исходные!C162,4),MID(Клиенты_исходные!C162,6,2),RIGHT(Клиенты_исходные!C162,2))),Клиенты_исходные!C162)</f>
        <v>32235</v>
      </c>
      <c r="D162" t="str">
        <f>IF(ISBLANK(Клиенты_исходные!D162),"",IF(LEN(SUBSTITUTE(SUBSTITUTE(SUBSTITUTE(SUBSTITUTE(SUBSTITUTE(Клиенты_исходные!D162," ",""),"-",""),"+",""),"(",""),")",""))=11,"+7 ("&amp;MID(IF(LEFT(SUBSTITUTE(SUBSTITUTE(SUBSTITUTE(SUBSTITUTE(SUBSTITUTE(Клиенты_исходные!D162," ",""),"-",""),"+",""),"(",""),")",""))="8","7"&amp;MID(SUBSTITUTE(SUBSTITUTE(SUBSTITUTE(SUBSTITUTE(SUBSTITUTE(Клиенты_исходные!D162," ",""),"-",""),"+",""),"(",""),")",""),2,10),SUBSTITUTE(SUBSTITUTE(SUBSTITUTE(SUBSTITUTE(SUBSTITUTE(Клиенты_исходные!D162," ",""),"-",""),"+",""),"(",""),")","")),2,3)&amp;") "&amp;MID(IF(LEFT(SUBSTITUTE(SUBSTITUTE(SUBSTITUTE(SUBSTITUTE(SUBSTITUTE(Клиенты_исходные!D162," ",""),"-",""),"+",""),"(",""),")",""))="8","7"&amp;MID(SUBSTITUTE(SUBSTITUTE(SUBSTITUTE(SUBSTITUTE(SUBSTITUTE(Клиенты_исходные!D162," ",""),"-",""),"+",""),"(",""),")",""),2,10),SUBSTITUTE(SUBSTITUTE(SUBSTITUTE(SUBSTITUTE(SUBSTITUTE(Клиенты_исходные!D162," ",""),"-",""),"+",""),"(",""),")","")),5,3)&amp;"-"&amp;MID(IF(LEFT(SUBSTITUTE(SUBSTITUTE(SUBSTITUTE(SUBSTITUTE(SUBSTITUTE(Клиенты_исходные!D162," ",""),"-",""),"+",""),"(",""),")",""))="8","7"&amp;MID(SUBSTITUTE(SUBSTITUTE(SUBSTITUTE(SUBSTITUTE(SUBSTITUTE(Клиенты_исходные!D162," ",""),"-",""),"+",""),"(",""),")",""),2,10),SUBSTITUTE(SUBSTITUTE(SUBSTITUTE(SUBSTITUTE(SUBSTITUTE(Клиенты_исходные!D162," ",""),"-",""),"+",""),"(",""),")","")),8,2)&amp;"-"&amp;MID(IF(LEFT(SUBSTITUTE(SUBSTITUTE(SUBSTITUTE(SUBSTITUTE(SUBSTITUTE(Клиенты_исходные!D162," ",""),"-",""),"+",""),"(",""),")",""))="8","7"&amp;MID(SUBSTITUTE(SUBSTITUTE(SUBSTITUTE(SUBSTITUTE(SUBSTITUTE(Клиенты_исходные!D162," ",""),"-",""),"+",""),"(",""),")",""),2,10),SUBSTITUTE(SUBSTITUTE(SUBSTITUTE(SUBSTITUTE(SUBSTITUTE(Клиенты_исходные!D162," ",""),"-",""),"+",""),"(",""),")","")),10,2),IF(LEN(SUBSTITUTE(SUBSTITUTE(SUBSTITUTE(SUBSTITUTE(SUBSTITUTE(Клиенты_исходные!D162," ",""),"-",""),"+",""),"(",""),")",""))=10,"+7 ("&amp;MID(SUBSTITUTE(SUBSTITUTE(SUBSTITUTE(SUBSTITUTE(SUBSTITUTE(Клиенты_исходные!D162," ",""),"-",""),"+",""),"(",""),")",""),1,3)&amp;") "&amp;MID(SUBSTITUTE(SUBSTITUTE(SUBSTITUTE(SUBSTITUTE(SUBSTITUTE(Клиенты_исходные!D162," ",""),"-",""),"+",""),"(",""),")",""),4,3)&amp;"-"&amp;MID(SUBSTITUTE(SUBSTITUTE(SUBSTITUTE(SUBSTITUTE(SUBSTITUTE(Клиенты_исходные!D162," ",""),"-",""),"+",""),"(",""),")",""),6,2)&amp;"-"&amp;MID(SUBSTITUTE(SUBSTITUTE(SUBSTITUTE(SUBSTITUTE(SUBSTITUTE(Клиенты_исходные!D162," ",""),"-",""),"+",""),"(",""),")",""),8,2),Клиенты_исходные!D162)))</f>
        <v xml:space="preserve">+7 (903) 901-23-45</v>
      </c>
      <c r="F162" t="str">
        <f>IFERROR(VLOOKUP(Клиенты_исходные!F162,Справочники!$J$2:$K$50,2,FALSE),Клиенты_исходные!F162)</f>
        <v>Ставрополь</v>
      </c>
      <c r="G162" s="8">
        <f>IFERROR(IF(ISNUMBER(FIND(".",Клиенты_исходные!G162)),DATE(RIGHT(Клиенты_исходные!G162,4),MID(Клиенты_исходные!G162,4,2),LEFT(Клиенты_исходные!G162,2)),DATE(LEFT(Клиенты_исходные!G162,4),MID(Клиенты_исходные!G162,6,2),RIGHT(Клиенты_исходные!G162,2))),Клиенты_исходные!G162)</f>
        <v>46183</v>
      </c>
      <c r="H162">
        <f t="shared" ca="1" si="52"/>
        <v>38</v>
      </c>
      <c r="I162" t="str">
        <f t="shared" si="53"/>
        <v>OK</v>
      </c>
      <c r="J162" t="str">
        <f t="shared" si="54"/>
        <v xml:space="preserve">Ошибка Email</v>
      </c>
    </row>
    <row r="163">
      <c r="A163" t="str">
        <f>Клиенты_исходные!A163</f>
        <v>C0162</v>
      </c>
      <c r="B163" t="str">
        <f>PROPER(TRIM(Клиенты_исходные!B163))</f>
        <v xml:space="preserve">Белов Михаил Сергеевич</v>
      </c>
      <c r="C163" s="8">
        <f>IFERROR(IF(ISNUMBER(FIND(".",Клиенты_исходные!C163)),DATE(RIGHT(Клиенты_исходные!C163,4),MID(Клиенты_исходные!C163,4,2),LEFT(Клиенты_исходные!C163,2)),DATE(LEFT(Клиенты_исходные!C163,4),MID(Клиенты_исходные!C163,6,2),RIGHT(Клиенты_исходные!C163,2))),Клиенты_исходные!C163)</f>
        <v>30110</v>
      </c>
      <c r="D163" t="str">
        <f>IF(ISBLANK(Клиенты_исходные!D163),"",IF(LEN(SUBSTITUTE(SUBSTITUTE(SUBSTITUTE(SUBSTITUTE(SUBSTITUTE(Клиенты_исходные!D163," ",""),"-",""),"+",""),"(",""),")",""))=11,"+7 ("&amp;MID(IF(LEFT(SUBSTITUTE(SUBSTITUTE(SUBSTITUTE(SUBSTITUTE(SUBSTITUTE(Клиенты_исходные!D163," ",""),"-",""),"+",""),"(",""),")",""))="8","7"&amp;MID(SUBSTITUTE(SUBSTITUTE(SUBSTITUTE(SUBSTITUTE(SUBSTITUTE(Клиенты_исходные!D163," ",""),"-",""),"+",""),"(",""),")",""),2,10),SUBSTITUTE(SUBSTITUTE(SUBSTITUTE(SUBSTITUTE(SUBSTITUTE(Клиенты_исходные!D163," ",""),"-",""),"+",""),"(",""),")","")),2,3)&amp;") "&amp;MID(IF(LEFT(SUBSTITUTE(SUBSTITUTE(SUBSTITUTE(SUBSTITUTE(SUBSTITUTE(Клиенты_исходные!D163," ",""),"-",""),"+",""),"(",""),")",""))="8","7"&amp;MID(SUBSTITUTE(SUBSTITUTE(SUBSTITUTE(SUBSTITUTE(SUBSTITUTE(Клиенты_исходные!D163," ",""),"-",""),"+",""),"(",""),")",""),2,10),SUBSTITUTE(SUBSTITUTE(SUBSTITUTE(SUBSTITUTE(SUBSTITUTE(Клиенты_исходные!D163," ",""),"-",""),"+",""),"(",""),")","")),5,3)&amp;"-"&amp;MID(IF(LEFT(SUBSTITUTE(SUBSTITUTE(SUBSTITUTE(SUBSTITUTE(SUBSTITUTE(Клиенты_исходные!D163," ",""),"-",""),"+",""),"(",""),")",""))="8","7"&amp;MID(SUBSTITUTE(SUBSTITUTE(SUBSTITUTE(SUBSTITUTE(SUBSTITUTE(Клиенты_исходные!D163," ",""),"-",""),"+",""),"(",""),")",""),2,10),SUBSTITUTE(SUBSTITUTE(SUBSTITUTE(SUBSTITUTE(SUBSTITUTE(Клиенты_исходные!D163," ",""),"-",""),"+",""),"(",""),")","")),8,2)&amp;"-"&amp;MID(IF(LEFT(SUBSTITUTE(SUBSTITUTE(SUBSTITUTE(SUBSTITUTE(SUBSTITUTE(Клиенты_исходные!D163," ",""),"-",""),"+",""),"(",""),")",""))="8","7"&amp;MID(SUBSTITUTE(SUBSTITUTE(SUBSTITUTE(SUBSTITUTE(SUBSTITUTE(Клиенты_исходные!D163," ",""),"-",""),"+",""),"(",""),")",""),2,10),SUBSTITUTE(SUBSTITUTE(SUBSTITUTE(SUBSTITUTE(SUBSTITUTE(Клиенты_исходные!D163," ",""),"-",""),"+",""),"(",""),")","")),10,2),IF(LEN(SUBSTITUTE(SUBSTITUTE(SUBSTITUTE(SUBSTITUTE(SUBSTITUTE(Клиенты_исходные!D163," ",""),"-",""),"+",""),"(",""),")",""))=10,"+7 ("&amp;MID(SUBSTITUTE(SUBSTITUTE(SUBSTITUTE(SUBSTITUTE(SUBSTITUTE(Клиенты_исходные!D163," ",""),"-",""),"+",""),"(",""),")",""),1,3)&amp;") "&amp;MID(SUBSTITUTE(SUBSTITUTE(SUBSTITUTE(SUBSTITUTE(SUBSTITUTE(Клиенты_исходные!D163," ",""),"-",""),"+",""),"(",""),")",""),4,3)&amp;"-"&amp;MID(SUBSTITUTE(SUBSTITUTE(SUBSTITUTE(SUBSTITUTE(SUBSTITUTE(Клиенты_исходные!D163," ",""),"-",""),"+",""),"(",""),")",""),6,2)&amp;"-"&amp;MID(SUBSTITUTE(SUBSTITUTE(SUBSTITUTE(SUBSTITUTE(SUBSTITUTE(Клиенты_исходные!D163," ",""),"-",""),"+",""),"(",""),")",""),8,2),Клиенты_исходные!D163)))</f>
        <v xml:space="preserve">+7 (903) 012-34-56</v>
      </c>
      <c r="F163" t="str">
        <f>IFERROR(VLOOKUP(Клиенты_исходные!F163,Справочники!$J$2:$K$50,2,FALSE),Клиенты_исходные!F163)</f>
        <v>Севастополь</v>
      </c>
      <c r="G163" s="8">
        <f>IFERROR(IF(ISNUMBER(FIND(".",Клиенты_исходные!G163)),DATE(RIGHT(Клиенты_исходные!G163,4),MID(Клиенты_исходные!G163,4,2),LEFT(Клиенты_исходные!G163,2)),DATE(LEFT(Клиенты_исходные!G163,4),MID(Клиенты_исходные!G163,6,2),RIGHT(Клиенты_исходные!G163,2))),Клиенты_исходные!G163)</f>
        <v>46183</v>
      </c>
      <c r="H163">
        <f t="shared" ca="1" si="52"/>
        <v>44</v>
      </c>
      <c r="I163" t="str">
        <f t="shared" si="53"/>
        <v>OK</v>
      </c>
      <c r="J163" t="str">
        <f t="shared" si="54"/>
        <v xml:space="preserve">Ошибка Email</v>
      </c>
    </row>
    <row r="164">
      <c r="A164" t="str">
        <f>Клиенты_исходные!A164</f>
        <v>C0163</v>
      </c>
      <c r="B164" t="str">
        <f>PROPER(TRIM(Клиенты_исходные!B164))</f>
        <v xml:space="preserve">Кириллов Алексей Петрович</v>
      </c>
      <c r="C164" s="8">
        <f>IFERROR(IF(ISNUMBER(FIND(".",Клиенты_исходные!C164)),DATE(RIGHT(Клиенты_исходные!C164,4),MID(Клиенты_исходные!C164,4,2),LEFT(Клиенты_исходные!C164,2)),DATE(LEFT(Клиенты_исходные!C164,4),MID(Клиенты_исходные!C164,6,2),RIGHT(Клиенты_исходные!C164,2))),Клиенты_исходные!C164)</f>
        <v>27350</v>
      </c>
      <c r="D164" t="str">
        <f>IF(ISBLANK(Клиенты_исходные!D164),"",IF(LEN(SUBSTITUTE(SUBSTITUTE(SUBSTITUTE(SUBSTITUTE(SUBSTITUTE(Клиенты_исходные!D164," ",""),"-",""),"+",""),"(",""),")",""))=11,"+7 ("&amp;MID(IF(LEFT(SUBSTITUTE(SUBSTITUTE(SUBSTITUTE(SUBSTITUTE(SUBSTITUTE(Клиенты_исходные!D164," ",""),"-",""),"+",""),"(",""),")",""))="8","7"&amp;MID(SUBSTITUTE(SUBSTITUTE(SUBSTITUTE(SUBSTITUTE(SUBSTITUTE(Клиенты_исходные!D164," ",""),"-",""),"+",""),"(",""),")",""),2,10),SUBSTITUTE(SUBSTITUTE(SUBSTITUTE(SUBSTITUTE(SUBSTITUTE(Клиенты_исходные!D164," ",""),"-",""),"+",""),"(",""),")","")),2,3)&amp;") "&amp;MID(IF(LEFT(SUBSTITUTE(SUBSTITUTE(SUBSTITUTE(SUBSTITUTE(SUBSTITUTE(Клиенты_исходные!D164," ",""),"-",""),"+",""),"(",""),")",""))="8","7"&amp;MID(SUBSTITUTE(SUBSTITUTE(SUBSTITUTE(SUBSTITUTE(SUBSTITUTE(Клиенты_исходные!D164," ",""),"-",""),"+",""),"(",""),")",""),2,10),SUBSTITUTE(SUBSTITUTE(SUBSTITUTE(SUBSTITUTE(SUBSTITUTE(Клиенты_исходные!D164," ",""),"-",""),"+",""),"(",""),")","")),5,3)&amp;"-"&amp;MID(IF(LEFT(SUBSTITUTE(SUBSTITUTE(SUBSTITUTE(SUBSTITUTE(SUBSTITUTE(Клиенты_исходные!D164," ",""),"-",""),"+",""),"(",""),")",""))="8","7"&amp;MID(SUBSTITUTE(SUBSTITUTE(SUBSTITUTE(SUBSTITUTE(SUBSTITUTE(Клиенты_исходные!D164," ",""),"-",""),"+",""),"(",""),")",""),2,10),SUBSTITUTE(SUBSTITUTE(SUBSTITUTE(SUBSTITUTE(SUBSTITUTE(Клиенты_исходные!D164," ",""),"-",""),"+",""),"(",""),")","")),8,2)&amp;"-"&amp;MID(IF(LEFT(SUBSTITUTE(SUBSTITUTE(SUBSTITUTE(SUBSTITUTE(SUBSTITUTE(Клиенты_исходные!D164," ",""),"-",""),"+",""),"(",""),")",""))="8","7"&amp;MID(SUBSTITUTE(SUBSTITUTE(SUBSTITUTE(SUBSTITUTE(SUBSTITUTE(Клиенты_исходные!D164," ",""),"-",""),"+",""),"(",""),")",""),2,10),SUBSTITUTE(SUBSTITUTE(SUBSTITUTE(SUBSTITUTE(SUBSTITUTE(Клиенты_исходные!D164," ",""),"-",""),"+",""),"(",""),")","")),10,2),IF(LEN(SUBSTITUTE(SUBSTITUTE(SUBSTITUTE(SUBSTITUTE(SUBSTITUTE(Клиенты_исходные!D164," ",""),"-",""),"+",""),"(",""),")",""))=10,"+7 ("&amp;MID(SUBSTITUTE(SUBSTITUTE(SUBSTITUTE(SUBSTITUTE(SUBSTITUTE(Клиенты_исходные!D164," ",""),"-",""),"+",""),"(",""),")",""),1,3)&amp;") "&amp;MID(SUBSTITUTE(SUBSTITUTE(SUBSTITUTE(SUBSTITUTE(SUBSTITUTE(Клиенты_исходные!D164," ",""),"-",""),"+",""),"(",""),")",""),4,3)&amp;"-"&amp;MID(SUBSTITUTE(SUBSTITUTE(SUBSTITUTE(SUBSTITUTE(SUBSTITUTE(Клиенты_исходные!D164," ",""),"-",""),"+",""),"(",""),")",""),6,2)&amp;"-"&amp;MID(SUBSTITUTE(SUBSTITUTE(SUBSTITUTE(SUBSTITUTE(SUBSTITUTE(Клиенты_исходные!D164," ",""),"-",""),"+",""),"(",""),")",""),8,2),Клиенты_исходные!D164)))</f>
        <v xml:space="preserve">+7 (903) 012-34-56</v>
      </c>
      <c r="F164" t="str">
        <f>IFERROR(VLOOKUP(Клиенты_исходные!F164,Справочники!$J$2:$K$50,2,FALSE),Клиенты_исходные!F164)</f>
        <v>Сочи</v>
      </c>
      <c r="G164" s="8">
        <f>IFERROR(IF(ISNUMBER(FIND(".",Клиенты_исходные!G164)),DATE(RIGHT(Клиенты_исходные!G164,4),MID(Клиенты_исходные!G164,4,2),LEFT(Клиенты_исходные!G164,2)),DATE(LEFT(Клиенты_исходные!G164,4),MID(Клиенты_исходные!G164,6,2),RIGHT(Клиенты_исходные!G164,2))),Клиенты_исходные!G164)</f>
        <v>46204</v>
      </c>
      <c r="H164">
        <f t="shared" ref="H164:H227" ca="1" si="55">DATEDIF(C164,TODAY(),"Y")</f>
        <v>51</v>
      </c>
      <c r="I164" t="str">
        <f t="shared" ref="I164:I227" si="56">IF(OR(H164&lt;18,H164&gt;80),"Ошибка даты рождения","OK")</f>
        <v>OK</v>
      </c>
      <c r="J164" t="str">
        <f t="shared" ref="J164:J227" si="57">IF(AND(ISNUMBER(FIND("@",E164)),ISNUMBER(FIND(".",MID(E164,FIND("@",E164)+1,255)))),"OK","Ошибка Email")</f>
        <v xml:space="preserve">Ошибка Email</v>
      </c>
    </row>
    <row r="165">
      <c r="A165" t="str">
        <f>Клиенты_исходные!A165</f>
        <v>C0164</v>
      </c>
      <c r="B165" t="str">
        <f>PROPER(TRIM(Клиенты_исходные!B165))</f>
        <v xml:space="preserve">Исаев Вадим Евгеньевич</v>
      </c>
      <c r="C165" s="8">
        <f>IFERROR(IF(ISNUMBER(FIND(".",Клиенты_исходные!C165)),DATE(RIGHT(Клиенты_исходные!C165,4),MID(Клиенты_исходные!C165,4,2),LEFT(Клиенты_исходные!C165,2)),DATE(LEFT(Клиенты_исходные!C165,4),MID(Клиенты_исходные!C165,6,2),RIGHT(Клиенты_исходные!C165,2))),Клиенты_исходные!C165)</f>
        <v>29477</v>
      </c>
      <c r="D165" t="str">
        <f>IF(ISBLANK(Клиенты_исходные!D165),"",IF(LEN(SUBSTITUTE(SUBSTITUTE(SUBSTITUTE(SUBSTITUTE(SUBSTITUTE(Клиенты_исходные!D165," ",""),"-",""),"+",""),"(",""),")",""))=11,"+7 ("&amp;MID(IF(LEFT(SUBSTITUTE(SUBSTITUTE(SUBSTITUTE(SUBSTITUTE(SUBSTITUTE(Клиенты_исходные!D165," ",""),"-",""),"+",""),"(",""),")",""))="8","7"&amp;MID(SUBSTITUTE(SUBSTITUTE(SUBSTITUTE(SUBSTITUTE(SUBSTITUTE(Клиенты_исходные!D165," ",""),"-",""),"+",""),"(",""),")",""),2,10),SUBSTITUTE(SUBSTITUTE(SUBSTITUTE(SUBSTITUTE(SUBSTITUTE(Клиенты_исходные!D165," ",""),"-",""),"+",""),"(",""),")","")),2,3)&amp;") "&amp;MID(IF(LEFT(SUBSTITUTE(SUBSTITUTE(SUBSTITUTE(SUBSTITUTE(SUBSTITUTE(Клиенты_исходные!D165," ",""),"-",""),"+",""),"(",""),")",""))="8","7"&amp;MID(SUBSTITUTE(SUBSTITUTE(SUBSTITUTE(SUBSTITUTE(SUBSTITUTE(Клиенты_исходные!D165," ",""),"-",""),"+",""),"(",""),")",""),2,10),SUBSTITUTE(SUBSTITUTE(SUBSTITUTE(SUBSTITUTE(SUBSTITUTE(Клиенты_исходные!D165," ",""),"-",""),"+",""),"(",""),")","")),5,3)&amp;"-"&amp;MID(IF(LEFT(SUBSTITUTE(SUBSTITUTE(SUBSTITUTE(SUBSTITUTE(SUBSTITUTE(Клиенты_исходные!D165," ",""),"-",""),"+",""),"(",""),")",""))="8","7"&amp;MID(SUBSTITUTE(SUBSTITUTE(SUBSTITUTE(SUBSTITUTE(SUBSTITUTE(Клиенты_исходные!D165," ",""),"-",""),"+",""),"(",""),")",""),2,10),SUBSTITUTE(SUBSTITUTE(SUBSTITUTE(SUBSTITUTE(SUBSTITUTE(Клиенты_исходные!D165," ",""),"-",""),"+",""),"(",""),")","")),8,2)&amp;"-"&amp;MID(IF(LEFT(SUBSTITUTE(SUBSTITUTE(SUBSTITUTE(SUBSTITUTE(SUBSTITUTE(Клиенты_исходные!D165," ",""),"-",""),"+",""),"(",""),")",""))="8","7"&amp;MID(SUBSTITUTE(SUBSTITUTE(SUBSTITUTE(SUBSTITUTE(SUBSTITUTE(Клиенты_исходные!D165," ",""),"-",""),"+",""),"(",""),")",""),2,10),SUBSTITUTE(SUBSTITUTE(SUBSTITUTE(SUBSTITUTE(SUBSTITUTE(Клиенты_исходные!D165," ",""),"-",""),"+",""),"(",""),")","")),10,2),IF(LEN(SUBSTITUTE(SUBSTITUTE(SUBSTITUTE(SUBSTITUTE(SUBSTITUTE(Клиенты_исходные!D165," ",""),"-",""),"+",""),"(",""),")",""))=10,"+7 ("&amp;MID(SUBSTITUTE(SUBSTITUTE(SUBSTITUTE(SUBSTITUTE(SUBSTITUTE(Клиенты_исходные!D165," ",""),"-",""),"+",""),"(",""),")",""),1,3)&amp;") "&amp;MID(SUBSTITUTE(SUBSTITUTE(SUBSTITUTE(SUBSTITUTE(SUBSTITUTE(Клиенты_исходные!D165," ",""),"-",""),"+",""),"(",""),")",""),4,3)&amp;"-"&amp;MID(SUBSTITUTE(SUBSTITUTE(SUBSTITUTE(SUBSTITUTE(SUBSTITUTE(Клиенты_исходные!D165," ",""),"-",""),"+",""),"(",""),")",""),6,2)&amp;"-"&amp;MID(SUBSTITUTE(SUBSTITUTE(SUBSTITUTE(SUBSTITUTE(SUBSTITUTE(Клиенты_исходные!D165," ",""),"-",""),"+",""),"(",""),")",""),8,2),Клиенты_исходные!D165)))</f>
        <v xml:space="preserve">+7 (903) 012-34-56</v>
      </c>
      <c r="F165" t="str">
        <f>IFERROR(VLOOKUP(Клиенты_исходные!F165,Справочники!$J$2:$K$50,2,FALSE),Клиенты_исходные!F165)</f>
        <v>Симферополь</v>
      </c>
      <c r="G165" s="8">
        <f>IFERROR(IF(ISNUMBER(FIND(".",Клиенты_исходные!G165)),DATE(RIGHT(Клиенты_исходные!G165,4),MID(Клиенты_исходные!G165,4,2),LEFT(Клиенты_исходные!G165,2)),DATE(LEFT(Клиенты_исходные!G165,4),MID(Клиенты_исходные!G165,6,2),RIGHT(Клиенты_исходные!G165,2))),Клиенты_исходные!G165)</f>
        <v>46218</v>
      </c>
      <c r="H165">
        <f t="shared" ca="1" si="55"/>
        <v>46</v>
      </c>
      <c r="I165" t="str">
        <f t="shared" si="56"/>
        <v>OK</v>
      </c>
      <c r="J165" t="str">
        <f t="shared" si="57"/>
        <v xml:space="preserve">Ошибка Email</v>
      </c>
    </row>
    <row r="166">
      <c r="A166" t="str">
        <f>Клиенты_исходные!A166</f>
        <v>C0165</v>
      </c>
      <c r="B166" t="str">
        <f>PROPER(TRIM(Клиенты_исходные!B166))</f>
        <v xml:space="preserve">Гриценко Мария Владимировна</v>
      </c>
      <c r="C166" s="8">
        <f>IFERROR(IF(ISNUMBER(FIND(".",Клиенты_исходные!C166)),DATE(RIGHT(Клиенты_исходные!C166,4),MID(Клиенты_исходные!C166,4,2),LEFT(Клиенты_исходные!C166,2)),DATE(LEFT(Клиенты_исходные!C166,4),MID(Клиенты_исходные!C166,6,2),RIGHT(Клиенты_исходные!C166,2))),Клиенты_исходные!C166)</f>
        <v>34758</v>
      </c>
      <c r="D166" t="str">
        <f>IF(ISBLANK(Клиенты_исходные!D166),"",IF(LEN(SUBSTITUTE(SUBSTITUTE(SUBSTITUTE(SUBSTITUTE(SUBSTITUTE(Клиенты_исходные!D166," ",""),"-",""),"+",""),"(",""),")",""))=11,"+7 ("&amp;MID(IF(LEFT(SUBSTITUTE(SUBSTITUTE(SUBSTITUTE(SUBSTITUTE(SUBSTITUTE(Клиенты_исходные!D166," ",""),"-",""),"+",""),"(",""),")",""))="8","7"&amp;MID(SUBSTITUTE(SUBSTITUTE(SUBSTITUTE(SUBSTITUTE(SUBSTITUTE(Клиенты_исходные!D166," ",""),"-",""),"+",""),"(",""),")",""),2,10),SUBSTITUTE(SUBSTITUTE(SUBSTITUTE(SUBSTITUTE(SUBSTITUTE(Клиенты_исходные!D166," ",""),"-",""),"+",""),"(",""),")","")),2,3)&amp;") "&amp;MID(IF(LEFT(SUBSTITUTE(SUBSTITUTE(SUBSTITUTE(SUBSTITUTE(SUBSTITUTE(Клиенты_исходные!D166," ",""),"-",""),"+",""),"(",""),")",""))="8","7"&amp;MID(SUBSTITUTE(SUBSTITUTE(SUBSTITUTE(SUBSTITUTE(SUBSTITUTE(Клиенты_исходные!D166," ",""),"-",""),"+",""),"(",""),")",""),2,10),SUBSTITUTE(SUBSTITUTE(SUBSTITUTE(SUBSTITUTE(SUBSTITUTE(Клиенты_исходные!D166," ",""),"-",""),"+",""),"(",""),")","")),5,3)&amp;"-"&amp;MID(IF(LEFT(SUBSTITUTE(SUBSTITUTE(SUBSTITUTE(SUBSTITUTE(SUBSTITUTE(Клиенты_исходные!D166," ",""),"-",""),"+",""),"(",""),")",""))="8","7"&amp;MID(SUBSTITUTE(SUBSTITUTE(SUBSTITUTE(SUBSTITUTE(SUBSTITUTE(Клиенты_исходные!D166," ",""),"-",""),"+",""),"(",""),")",""),2,10),SUBSTITUTE(SUBSTITUTE(SUBSTITUTE(SUBSTITUTE(SUBSTITUTE(Клиенты_исходные!D166," ",""),"-",""),"+",""),"(",""),")","")),8,2)&amp;"-"&amp;MID(IF(LEFT(SUBSTITUTE(SUBSTITUTE(SUBSTITUTE(SUBSTITUTE(SUBSTITUTE(Клиенты_исходные!D166," ",""),"-",""),"+",""),"(",""),")",""))="8","7"&amp;MID(SUBSTITUTE(SUBSTITUTE(SUBSTITUTE(SUBSTITUTE(SUBSTITUTE(Клиенты_исходные!D166," ",""),"-",""),"+",""),"(",""),")",""),2,10),SUBSTITUTE(SUBSTITUTE(SUBSTITUTE(SUBSTITUTE(SUBSTITUTE(Клиенты_исходные!D166," ",""),"-",""),"+",""),"(",""),")","")),10,2),IF(LEN(SUBSTITUTE(SUBSTITUTE(SUBSTITUTE(SUBSTITUTE(SUBSTITUTE(Клиенты_исходные!D166," ",""),"-",""),"+",""),"(",""),")",""))=10,"+7 ("&amp;MID(SUBSTITUTE(SUBSTITUTE(SUBSTITUTE(SUBSTITUTE(SUBSTITUTE(Клиенты_исходные!D166," ",""),"-",""),"+",""),"(",""),")",""),1,3)&amp;") "&amp;MID(SUBSTITUTE(SUBSTITUTE(SUBSTITUTE(SUBSTITUTE(SUBSTITUTE(Клиенты_исходные!D166," ",""),"-",""),"+",""),"(",""),")",""),4,3)&amp;"-"&amp;MID(SUBSTITUTE(SUBSTITUTE(SUBSTITUTE(SUBSTITUTE(SUBSTITUTE(Клиенты_исходные!D166," ",""),"-",""),"+",""),"(",""),")",""),6,2)&amp;"-"&amp;MID(SUBSTITUTE(SUBSTITUTE(SUBSTITUTE(SUBSTITUTE(SUBSTITUTE(Клиенты_исходные!D166," ",""),"-",""),"+",""),"(",""),")",""),8,2),Клиенты_исходные!D166)))</f>
        <v xml:space="preserve">+7 (903) 123-45-67</v>
      </c>
      <c r="F166" t="str">
        <f>IFERROR(VLOOKUP(Клиенты_исходные!F166,Справочники!$J$2:$K$50,2,FALSE),Клиенты_исходные!F166)</f>
        <v>Брянск</v>
      </c>
      <c r="G166" s="8">
        <f>IFERROR(IF(ISNUMBER(FIND(".",Клиенты_исходные!G166)),DATE(RIGHT(Клиенты_исходные!G166,4),MID(Клиенты_исходные!G166,4,2),LEFT(Клиенты_исходные!G166,2)),DATE(LEFT(Клиенты_исходные!G166,4),MID(Клиенты_исходные!G166,6,2),RIGHT(Клиенты_исходные!G166,2))),Клиенты_исходные!G166)</f>
        <v>46218</v>
      </c>
      <c r="H166">
        <f t="shared" ca="1" si="55"/>
        <v>31</v>
      </c>
      <c r="I166" t="str">
        <f t="shared" si="56"/>
        <v>OK</v>
      </c>
      <c r="J166" t="str">
        <f t="shared" si="57"/>
        <v xml:space="preserve">Ошибка Email</v>
      </c>
    </row>
    <row r="167">
      <c r="A167" t="str">
        <f>Клиенты_исходные!A167</f>
        <v>C0166</v>
      </c>
      <c r="B167" t="str">
        <f>PROPER(TRIM(Клиенты_исходные!B167))</f>
        <v xml:space="preserve">Шевелева Екатерина Петровна</v>
      </c>
      <c r="C167" s="8">
        <f>IFERROR(IF(ISNUMBER(FIND(".",Клиенты_исходные!C167)),DATE(RIGHT(Клиенты_исходные!C167,4),MID(Клиенты_исходные!C167,4,2),LEFT(Клиенты_исходные!C167,2)),DATE(LEFT(Клиенты_исходные!C167,4),MID(Клиенты_исходные!C167,6,2),RIGHT(Клиенты_исходные!C167,2))),Клиенты_исходные!C167)</f>
        <v>32648</v>
      </c>
      <c r="D167" t="str">
        <f>IF(ISBLANK(Клиенты_исходные!D167),"",IF(LEN(SUBSTITUTE(SUBSTITUTE(SUBSTITUTE(SUBSTITUTE(SUBSTITUTE(Клиенты_исходные!D167," ",""),"-",""),"+",""),"(",""),")",""))=11,"+7 ("&amp;MID(IF(LEFT(SUBSTITUTE(SUBSTITUTE(SUBSTITUTE(SUBSTITUTE(SUBSTITUTE(Клиенты_исходные!D167," ",""),"-",""),"+",""),"(",""),")",""))="8","7"&amp;MID(SUBSTITUTE(SUBSTITUTE(SUBSTITUTE(SUBSTITUTE(SUBSTITUTE(Клиенты_исходные!D167," ",""),"-",""),"+",""),"(",""),")",""),2,10),SUBSTITUTE(SUBSTITUTE(SUBSTITUTE(SUBSTITUTE(SUBSTITUTE(Клиенты_исходные!D167," ",""),"-",""),"+",""),"(",""),")","")),2,3)&amp;") "&amp;MID(IF(LEFT(SUBSTITUTE(SUBSTITUTE(SUBSTITUTE(SUBSTITUTE(SUBSTITUTE(Клиенты_исходные!D167," ",""),"-",""),"+",""),"(",""),")",""))="8","7"&amp;MID(SUBSTITUTE(SUBSTITUTE(SUBSTITUTE(SUBSTITUTE(SUBSTITUTE(Клиенты_исходные!D167," ",""),"-",""),"+",""),"(",""),")",""),2,10),SUBSTITUTE(SUBSTITUTE(SUBSTITUTE(SUBSTITUTE(SUBSTITUTE(Клиенты_исходные!D167," ",""),"-",""),"+",""),"(",""),")","")),5,3)&amp;"-"&amp;MID(IF(LEFT(SUBSTITUTE(SUBSTITUTE(SUBSTITUTE(SUBSTITUTE(SUBSTITUTE(Клиенты_исходные!D167," ",""),"-",""),"+",""),"(",""),")",""))="8","7"&amp;MID(SUBSTITUTE(SUBSTITUTE(SUBSTITUTE(SUBSTITUTE(SUBSTITUTE(Клиенты_исходные!D167," ",""),"-",""),"+",""),"(",""),")",""),2,10),SUBSTITUTE(SUBSTITUTE(SUBSTITUTE(SUBSTITUTE(SUBSTITUTE(Клиенты_исходные!D167," ",""),"-",""),"+",""),"(",""),")","")),8,2)&amp;"-"&amp;MID(IF(LEFT(SUBSTITUTE(SUBSTITUTE(SUBSTITUTE(SUBSTITUTE(SUBSTITUTE(Клиенты_исходные!D167," ",""),"-",""),"+",""),"(",""),")",""))="8","7"&amp;MID(SUBSTITUTE(SUBSTITUTE(SUBSTITUTE(SUBSTITUTE(SUBSTITUTE(Клиенты_исходные!D167," ",""),"-",""),"+",""),"(",""),")",""),2,10),SUBSTITUTE(SUBSTITUTE(SUBSTITUTE(SUBSTITUTE(SUBSTITUTE(Клиенты_исходные!D167," ",""),"-",""),"+",""),"(",""),")","")),10,2),IF(LEN(SUBSTITUTE(SUBSTITUTE(SUBSTITUTE(SUBSTITUTE(SUBSTITUTE(Клиенты_исходные!D167," ",""),"-",""),"+",""),"(",""),")",""))=10,"+7 ("&amp;MID(SUBSTITUTE(SUBSTITUTE(SUBSTITUTE(SUBSTITUTE(SUBSTITUTE(Клиенты_исходные!D167," ",""),"-",""),"+",""),"(",""),")",""),1,3)&amp;") "&amp;MID(SUBSTITUTE(SUBSTITUTE(SUBSTITUTE(SUBSTITUTE(SUBSTITUTE(Клиенты_исходные!D167," ",""),"-",""),"+",""),"(",""),")",""),4,3)&amp;"-"&amp;MID(SUBSTITUTE(SUBSTITUTE(SUBSTITUTE(SUBSTITUTE(SUBSTITUTE(Клиенты_исходные!D167," ",""),"-",""),"+",""),"(",""),")",""),6,2)&amp;"-"&amp;MID(SUBSTITUTE(SUBSTITUTE(SUBSTITUTE(SUBSTITUTE(SUBSTITUTE(Клиенты_исходные!D167," ",""),"-",""),"+",""),"(",""),")",""),8,2),Клиенты_исходные!D167)))</f>
        <v xml:space="preserve">+7 (903) 123-45-67</v>
      </c>
      <c r="F167" t="str">
        <f>IFERROR(VLOOKUP(Клиенты_исходные!F167,Справочники!$J$2:$K$50,2,FALSE),Клиенты_исходные!F167)</f>
        <v>Абакан</v>
      </c>
      <c r="G167" s="8">
        <f>IFERROR(IF(ISNUMBER(FIND(".",Клиенты_исходные!G167)),DATE(RIGHT(Клиенты_исходные!G167,4),MID(Клиенты_исходные!G167,4,2),LEFT(Клиенты_исходные!G167,2)),DATE(LEFT(Клиенты_исходные!G167,4),MID(Клиенты_исходные!G167,6,2),RIGHT(Клиенты_исходные!G167,2))),Клиенты_исходные!G167)</f>
        <v>46235</v>
      </c>
      <c r="H167">
        <f t="shared" ca="1" si="55"/>
        <v>37</v>
      </c>
      <c r="I167" t="str">
        <f t="shared" si="56"/>
        <v>OK</v>
      </c>
      <c r="J167" t="str">
        <f t="shared" si="57"/>
        <v xml:space="preserve">Ошибка Email</v>
      </c>
    </row>
    <row r="168">
      <c r="A168" t="str">
        <f>Клиенты_исходные!A168</f>
        <v>C0167</v>
      </c>
      <c r="B168" t="str">
        <f>PROPER(TRIM(Клиенты_исходные!B168))</f>
        <v xml:space="preserve">Аничкин Илья Алексеевич</v>
      </c>
      <c r="C168" s="8">
        <f>IFERROR(IF(ISNUMBER(FIND(".",Клиенты_исходные!C168)),DATE(RIGHT(Клиенты_исходные!C168,4),MID(Клиенты_исходные!C168,4,2),LEFT(Клиенты_исходные!C168,2)),DATE(LEFT(Клиенты_исходные!C168,4),MID(Клиенты_исходные!C168,6,2),RIGHT(Клиенты_исходные!C168,2))),Клиенты_исходные!C168)</f>
        <v>26130</v>
      </c>
      <c r="D168" t="str">
        <f>IF(ISBLANK(Клиенты_исходные!D168),"",IF(LEN(SUBSTITUTE(SUBSTITUTE(SUBSTITUTE(SUBSTITUTE(SUBSTITUTE(Клиенты_исходные!D168," ",""),"-",""),"+",""),"(",""),")",""))=11,"+7 ("&amp;MID(IF(LEFT(SUBSTITUTE(SUBSTITUTE(SUBSTITUTE(SUBSTITUTE(SUBSTITUTE(Клиенты_исходные!D168," ",""),"-",""),"+",""),"(",""),")",""))="8","7"&amp;MID(SUBSTITUTE(SUBSTITUTE(SUBSTITUTE(SUBSTITUTE(SUBSTITUTE(Клиенты_исходные!D168," ",""),"-",""),"+",""),"(",""),")",""),2,10),SUBSTITUTE(SUBSTITUTE(SUBSTITUTE(SUBSTITUTE(SUBSTITUTE(Клиенты_исходные!D168," ",""),"-",""),"+",""),"(",""),")","")),2,3)&amp;") "&amp;MID(IF(LEFT(SUBSTITUTE(SUBSTITUTE(SUBSTITUTE(SUBSTITUTE(SUBSTITUTE(Клиенты_исходные!D168," ",""),"-",""),"+",""),"(",""),")",""))="8","7"&amp;MID(SUBSTITUTE(SUBSTITUTE(SUBSTITUTE(SUBSTITUTE(SUBSTITUTE(Клиенты_исходные!D168," ",""),"-",""),"+",""),"(",""),")",""),2,10),SUBSTITUTE(SUBSTITUTE(SUBSTITUTE(SUBSTITUTE(SUBSTITUTE(Клиенты_исходные!D168," ",""),"-",""),"+",""),"(",""),")","")),5,3)&amp;"-"&amp;MID(IF(LEFT(SUBSTITUTE(SUBSTITUTE(SUBSTITUTE(SUBSTITUTE(SUBSTITUTE(Клиенты_исходные!D168," ",""),"-",""),"+",""),"(",""),")",""))="8","7"&amp;MID(SUBSTITUTE(SUBSTITUTE(SUBSTITUTE(SUBSTITUTE(SUBSTITUTE(Клиенты_исходные!D168," ",""),"-",""),"+",""),"(",""),")",""),2,10),SUBSTITUTE(SUBSTITUTE(SUBSTITUTE(SUBSTITUTE(SUBSTITUTE(Клиенты_исходные!D168," ",""),"-",""),"+",""),"(",""),")","")),8,2)&amp;"-"&amp;MID(IF(LEFT(SUBSTITUTE(SUBSTITUTE(SUBSTITUTE(SUBSTITUTE(SUBSTITUTE(Клиенты_исходные!D168," ",""),"-",""),"+",""),"(",""),")",""))="8","7"&amp;MID(SUBSTITUTE(SUBSTITUTE(SUBSTITUTE(SUBSTITUTE(SUBSTITUTE(Клиенты_исходные!D168," ",""),"-",""),"+",""),"(",""),")",""),2,10),SUBSTITUTE(SUBSTITUTE(SUBSTITUTE(SUBSTITUTE(SUBSTITUTE(Клиенты_исходные!D168," ",""),"-",""),"+",""),"(",""),")","")),10,2),IF(LEN(SUBSTITUTE(SUBSTITUTE(SUBSTITUTE(SUBSTITUTE(SUBSTITUTE(Клиенты_исходные!D168," ",""),"-",""),"+",""),"(",""),")",""))=10,"+7 ("&amp;MID(SUBSTITUTE(SUBSTITUTE(SUBSTITUTE(SUBSTITUTE(SUBSTITUTE(Клиенты_исходные!D168," ",""),"-",""),"+",""),"(",""),")",""),1,3)&amp;") "&amp;MID(SUBSTITUTE(SUBSTITUTE(SUBSTITUTE(SUBSTITUTE(SUBSTITUTE(Клиенты_исходные!D168," ",""),"-",""),"+",""),"(",""),")",""),4,3)&amp;"-"&amp;MID(SUBSTITUTE(SUBSTITUTE(SUBSTITUTE(SUBSTITUTE(SUBSTITUTE(Клиенты_исходные!D168," ",""),"-",""),"+",""),"(",""),")",""),6,2)&amp;"-"&amp;MID(SUBSTITUTE(SUBSTITUTE(SUBSTITUTE(SUBSTITUTE(SUBSTITUTE(Клиенты_исходные!D168," ",""),"-",""),"+",""),"(",""),")",""),8,2),Клиенты_исходные!D168)))</f>
        <v xml:space="preserve">+7 (903) 123-45-67</v>
      </c>
      <c r="F168" t="str">
        <f>IFERROR(VLOOKUP(Клиенты_исходные!F168,Справочники!$J$2:$K$50,2,FALSE),Клиенты_исходные!F168)</f>
        <v>Грозный</v>
      </c>
      <c r="G168" s="8">
        <f>IFERROR(IF(ISNUMBER(FIND(".",Клиенты_исходные!G168)),DATE(RIGHT(Клиенты_исходные!G168,4),MID(Клиенты_исходные!G168,4,2),LEFT(Клиенты_исходные!G168,2)),DATE(LEFT(Клиенты_исходные!G168,4),MID(Клиенты_исходные!G168,6,2),RIGHT(Клиенты_исходные!G168,2))),Клиенты_исходные!G168)</f>
        <v>46244</v>
      </c>
      <c r="H168">
        <f t="shared" ca="1" si="55"/>
        <v>55</v>
      </c>
      <c r="I168" t="str">
        <f t="shared" si="56"/>
        <v>OK</v>
      </c>
      <c r="J168" t="str">
        <f t="shared" si="57"/>
        <v xml:space="preserve">Ошибка Email</v>
      </c>
    </row>
    <row r="169">
      <c r="A169" t="str">
        <f>Клиенты_исходные!A169</f>
        <v>C0168</v>
      </c>
      <c r="B169" t="str">
        <f>PROPER(TRIM(Клиенты_исходные!B169))</f>
        <v xml:space="preserve">Рябова Ольга Павловна</v>
      </c>
      <c r="C169" s="8">
        <f>IFERROR(IF(ISNUMBER(FIND(".",Клиенты_исходные!C169)),DATE(RIGHT(Клиенты_исходные!C169,4),MID(Клиенты_исходные!C169,4,2),LEFT(Клиенты_исходные!C169,2)),DATE(LEFT(Клиенты_исходные!C169,4),MID(Клиенты_исходные!C169,6,2),RIGHT(Клиенты_исходные!C169,2))),Клиенты_исходные!C169)</f>
        <v>30660</v>
      </c>
      <c r="D169" t="str">
        <f>IF(ISBLANK(Клиенты_исходные!D169),"",IF(LEN(SUBSTITUTE(SUBSTITUTE(SUBSTITUTE(SUBSTITUTE(SUBSTITUTE(Клиенты_исходные!D169," ",""),"-",""),"+",""),"(",""),")",""))=11,"+7 ("&amp;MID(IF(LEFT(SUBSTITUTE(SUBSTITUTE(SUBSTITUTE(SUBSTITUTE(SUBSTITUTE(Клиенты_исходные!D169," ",""),"-",""),"+",""),"(",""),")",""))="8","7"&amp;MID(SUBSTITUTE(SUBSTITUTE(SUBSTITUTE(SUBSTITUTE(SUBSTITUTE(Клиенты_исходные!D169," ",""),"-",""),"+",""),"(",""),")",""),2,10),SUBSTITUTE(SUBSTITUTE(SUBSTITUTE(SUBSTITUTE(SUBSTITUTE(Клиенты_исходные!D169," ",""),"-",""),"+",""),"(",""),")","")),2,3)&amp;") "&amp;MID(IF(LEFT(SUBSTITUTE(SUBSTITUTE(SUBSTITUTE(SUBSTITUTE(SUBSTITUTE(Клиенты_исходные!D169," ",""),"-",""),"+",""),"(",""),")",""))="8","7"&amp;MID(SUBSTITUTE(SUBSTITUTE(SUBSTITUTE(SUBSTITUTE(SUBSTITUTE(Клиенты_исходные!D169," ",""),"-",""),"+",""),"(",""),")",""),2,10),SUBSTITUTE(SUBSTITUTE(SUBSTITUTE(SUBSTITUTE(SUBSTITUTE(Клиенты_исходные!D169," ",""),"-",""),"+",""),"(",""),")","")),5,3)&amp;"-"&amp;MID(IF(LEFT(SUBSTITUTE(SUBSTITUTE(SUBSTITUTE(SUBSTITUTE(SUBSTITUTE(Клиенты_исходные!D169," ",""),"-",""),"+",""),"(",""),")",""))="8","7"&amp;MID(SUBSTITUTE(SUBSTITUTE(SUBSTITUTE(SUBSTITUTE(SUBSTITUTE(Клиенты_исходные!D169," ",""),"-",""),"+",""),"(",""),")",""),2,10),SUBSTITUTE(SUBSTITUTE(SUBSTITUTE(SUBSTITUTE(SUBSTITUTE(Клиенты_исходные!D169," ",""),"-",""),"+",""),"(",""),")","")),8,2)&amp;"-"&amp;MID(IF(LEFT(SUBSTITUTE(SUBSTITUTE(SUBSTITUTE(SUBSTITUTE(SUBSTITUTE(Клиенты_исходные!D169," ",""),"-",""),"+",""),"(",""),")",""))="8","7"&amp;MID(SUBSTITUTE(SUBSTITUTE(SUBSTITUTE(SUBSTITUTE(SUBSTITUTE(Клиенты_исходные!D169," ",""),"-",""),"+",""),"(",""),")",""),2,10),SUBSTITUTE(SUBSTITUTE(SUBSTITUTE(SUBSTITUTE(SUBSTITUTE(Клиенты_исходные!D169," ",""),"-",""),"+",""),"(",""),")","")),10,2),IF(LEN(SUBSTITUTE(SUBSTITUTE(SUBSTITUTE(SUBSTITUTE(SUBSTITUTE(Клиенты_исходные!D169," ",""),"-",""),"+",""),"(",""),")",""))=10,"+7 ("&amp;MID(SUBSTITUTE(SUBSTITUTE(SUBSTITUTE(SUBSTITUTE(SUBSTITUTE(Клиенты_исходные!D169," ",""),"-",""),"+",""),"(",""),")",""),1,3)&amp;") "&amp;MID(SUBSTITUTE(SUBSTITUTE(SUBSTITUTE(SUBSTITUTE(SUBSTITUTE(Клиенты_исходные!D169," ",""),"-",""),"+",""),"(",""),")",""),4,3)&amp;"-"&amp;MID(SUBSTITUTE(SUBSTITUTE(SUBSTITUTE(SUBSTITUTE(SUBSTITUTE(Клиенты_исходные!D169," ",""),"-",""),"+",""),"(",""),")",""),6,2)&amp;"-"&amp;MID(SUBSTITUTE(SUBSTITUTE(SUBSTITUTE(SUBSTITUTE(SUBSTITUTE(Клиенты_исходные!D169," ",""),"-",""),"+",""),"(",""),")",""),8,2),Клиенты_исходные!D169)))</f>
        <v xml:space="preserve">+7 (903) 234-56-78</v>
      </c>
      <c r="F169" t="str">
        <f>IFERROR(VLOOKUP(Клиенты_исходные!F169,Справочники!$J$2:$K$50,2,FALSE),Клиенты_исходные!F169)</f>
        <v>Бийск</v>
      </c>
      <c r="G169" s="8">
        <f>IFERROR(IF(ISNUMBER(FIND(".",Клиенты_исходные!G169)),DATE(RIGHT(Клиенты_исходные!G169,4),MID(Клиенты_исходные!G169,4,2),LEFT(Клиенты_исходные!G169,2)),DATE(LEFT(Клиенты_исходные!G169,4),MID(Клиенты_исходные!G169,6,2),RIGHT(Клиенты_исходные!G169,2))),Клиенты_исходные!G169)</f>
        <v>46244</v>
      </c>
      <c r="H169">
        <f t="shared" ca="1" si="55"/>
        <v>42</v>
      </c>
      <c r="I169" t="str">
        <f t="shared" si="56"/>
        <v>OK</v>
      </c>
      <c r="J169" t="str">
        <f t="shared" si="57"/>
        <v xml:space="preserve">Ошибка Email</v>
      </c>
    </row>
    <row r="170">
      <c r="A170" t="str">
        <f>Клиенты_исходные!A170</f>
        <v>C0169</v>
      </c>
      <c r="B170" t="str">
        <f>PROPER(TRIM(Клиенты_исходные!B170))</f>
        <v xml:space="preserve">Гуляев Денис Николаевич</v>
      </c>
      <c r="C170" s="8">
        <f>IFERROR(IF(ISNUMBER(FIND(".",Клиенты_исходные!C170)),DATE(RIGHT(Клиенты_исходные!C170,4),MID(Клиенты_исходные!C170,4,2),LEFT(Клиенты_исходные!C170,2)),DATE(LEFT(Клиенты_исходные!C170,4),MID(Клиенты_исходные!C170,6,2),RIGHT(Клиенты_исходные!C170,2))),Клиенты_исходные!C170)</f>
        <v>28205</v>
      </c>
      <c r="D170" t="str">
        <f>IF(ISBLANK(Клиенты_исходные!D170),"",IF(LEN(SUBSTITUTE(SUBSTITUTE(SUBSTITUTE(SUBSTITUTE(SUBSTITUTE(Клиенты_исходные!D170," ",""),"-",""),"+",""),"(",""),")",""))=11,"+7 ("&amp;MID(IF(LEFT(SUBSTITUTE(SUBSTITUTE(SUBSTITUTE(SUBSTITUTE(SUBSTITUTE(Клиенты_исходные!D170," ",""),"-",""),"+",""),"(",""),")",""))="8","7"&amp;MID(SUBSTITUTE(SUBSTITUTE(SUBSTITUTE(SUBSTITUTE(SUBSTITUTE(Клиенты_исходные!D170," ",""),"-",""),"+",""),"(",""),")",""),2,10),SUBSTITUTE(SUBSTITUTE(SUBSTITUTE(SUBSTITUTE(SUBSTITUTE(Клиенты_исходные!D170," ",""),"-",""),"+",""),"(",""),")","")),2,3)&amp;") "&amp;MID(IF(LEFT(SUBSTITUTE(SUBSTITUTE(SUBSTITUTE(SUBSTITUTE(SUBSTITUTE(Клиенты_исходные!D170," ",""),"-",""),"+",""),"(",""),")",""))="8","7"&amp;MID(SUBSTITUTE(SUBSTITUTE(SUBSTITUTE(SUBSTITUTE(SUBSTITUTE(Клиенты_исходные!D170," ",""),"-",""),"+",""),"(",""),")",""),2,10),SUBSTITUTE(SUBSTITUTE(SUBSTITUTE(SUBSTITUTE(SUBSTITUTE(Клиенты_исходные!D170," ",""),"-",""),"+",""),"(",""),")","")),5,3)&amp;"-"&amp;MID(IF(LEFT(SUBSTITUTE(SUBSTITUTE(SUBSTITUTE(SUBSTITUTE(SUBSTITUTE(Клиенты_исходные!D170," ",""),"-",""),"+",""),"(",""),")",""))="8","7"&amp;MID(SUBSTITUTE(SUBSTITUTE(SUBSTITUTE(SUBSTITUTE(SUBSTITUTE(Клиенты_исходные!D170," ",""),"-",""),"+",""),"(",""),")",""),2,10),SUBSTITUTE(SUBSTITUTE(SUBSTITUTE(SUBSTITUTE(SUBSTITUTE(Клиенты_исходные!D170," ",""),"-",""),"+",""),"(",""),")","")),8,2)&amp;"-"&amp;MID(IF(LEFT(SUBSTITUTE(SUBSTITUTE(SUBSTITUTE(SUBSTITUTE(SUBSTITUTE(Клиенты_исходные!D170," ",""),"-",""),"+",""),"(",""),")",""))="8","7"&amp;MID(SUBSTITUTE(SUBSTITUTE(SUBSTITUTE(SUBSTITUTE(SUBSTITUTE(Клиенты_исходные!D170," ",""),"-",""),"+",""),"(",""),")",""),2,10),SUBSTITUTE(SUBSTITUTE(SUBSTITUTE(SUBSTITUTE(SUBSTITUTE(Клиенты_исходные!D170," ",""),"-",""),"+",""),"(",""),")","")),10,2),IF(LEN(SUBSTITUTE(SUBSTITUTE(SUBSTITUTE(SUBSTITUTE(SUBSTITUTE(Клиенты_исходные!D170," ",""),"-",""),"+",""),"(",""),")",""))=10,"+7 ("&amp;MID(SUBSTITUTE(SUBSTITUTE(SUBSTITUTE(SUBSTITUTE(SUBSTITUTE(Клиенты_исходные!D170," ",""),"-",""),"+",""),"(",""),")",""),1,3)&amp;") "&amp;MID(SUBSTITUTE(SUBSTITUTE(SUBSTITUTE(SUBSTITUTE(SUBSTITUTE(Клиенты_исходные!D170," ",""),"-",""),"+",""),"(",""),")",""),4,3)&amp;"-"&amp;MID(SUBSTITUTE(SUBSTITUTE(SUBSTITUTE(SUBSTITUTE(SUBSTITUTE(Клиенты_исходные!D170," ",""),"-",""),"+",""),"(",""),")",""),6,2)&amp;"-"&amp;MID(SUBSTITUTE(SUBSTITUTE(SUBSTITUTE(SUBSTITUTE(SUBSTITUTE(Клиенты_исходные!D170," ",""),"-",""),"+",""),"(",""),")",""),8,2),Клиенты_исходные!D170)))</f>
        <v xml:space="preserve">+7 (903) 234-56-78</v>
      </c>
      <c r="E170" t="str">
        <f>IF(ISBLANK(Клиенты_исходные!E170),"",IF(ISNUMBER(FIND(".",MID(Клиенты_исходные!E170,FIND("@",Клиенты_исходные!E170)+1,255))),Клиенты_исходные!E170,IF(ISNUMBER(FIND("gmail",Клиенты_исходные!E170)),Клиенты_исходные!E170&amp;".com",Клиенты_исходные!E170&amp;".ru")))</f>
        <v>gulyaev@mail.ru</v>
      </c>
      <c r="F170" t="str">
        <f>IFERROR(VLOOKUP(Клиенты_исходные!F170,Справочники!$J$2:$K$50,2,FALSE),Клиенты_исходные!F170)</f>
        <v>Йошкар-Ола</v>
      </c>
      <c r="G170" s="8">
        <f>IFERROR(IF(ISNUMBER(FIND(".",Клиенты_исходные!G170)),DATE(RIGHT(Клиенты_исходные!G170,4),MID(Клиенты_исходные!G170,4,2),LEFT(Клиенты_исходные!G170,2)),DATE(LEFT(Клиенты_исходные!G170,4),MID(Клиенты_исходные!G170,6,2),RIGHT(Клиенты_исходные!G170,2))),Клиенты_исходные!G170)</f>
        <v>46266</v>
      </c>
      <c r="H170">
        <f t="shared" ca="1" si="55"/>
        <v>49</v>
      </c>
      <c r="I170" t="str">
        <f t="shared" si="56"/>
        <v>OK</v>
      </c>
      <c r="J170" t="str">
        <f t="shared" si="57"/>
        <v>OK</v>
      </c>
    </row>
    <row r="171">
      <c r="A171" t="str">
        <f>Клиенты_исходные!A171</f>
        <v>C0170</v>
      </c>
      <c r="B171" t="str">
        <f>PROPER(TRIM(Клиенты_исходные!B171))</f>
        <v xml:space="preserve">Горюнова Екатерина Андреевна</v>
      </c>
      <c r="C171" s="8">
        <f>IFERROR(IF(ISNUMBER(FIND(".",Клиенты_исходные!C171)),DATE(RIGHT(Клиенты_исходные!C171,4),MID(Клиенты_исходные!C171,4,2),LEFT(Клиенты_исходные!C171,2)),DATE(LEFT(Клиенты_исходные!C171,4),MID(Клиенты_исходные!C171,6,2),RIGHT(Клиенты_исходные!C171,2))),Клиенты_исходные!C171)</f>
        <v>33120</v>
      </c>
      <c r="D171" t="str">
        <f>IF(ISBLANK(Клиенты_исходные!D171),"",IF(LEN(SUBSTITUTE(SUBSTITUTE(SUBSTITUTE(SUBSTITUTE(SUBSTITUTE(Клиенты_исходные!D171," ",""),"-",""),"+",""),"(",""),")",""))=11,"+7 ("&amp;MID(IF(LEFT(SUBSTITUTE(SUBSTITUTE(SUBSTITUTE(SUBSTITUTE(SUBSTITUTE(Клиенты_исходные!D171," ",""),"-",""),"+",""),"(",""),")",""))="8","7"&amp;MID(SUBSTITUTE(SUBSTITUTE(SUBSTITUTE(SUBSTITUTE(SUBSTITUTE(Клиенты_исходные!D171," ",""),"-",""),"+",""),"(",""),")",""),2,10),SUBSTITUTE(SUBSTITUTE(SUBSTITUTE(SUBSTITUTE(SUBSTITUTE(Клиенты_исходные!D171," ",""),"-",""),"+",""),"(",""),")","")),2,3)&amp;") "&amp;MID(IF(LEFT(SUBSTITUTE(SUBSTITUTE(SUBSTITUTE(SUBSTITUTE(SUBSTITUTE(Клиенты_исходные!D171," ",""),"-",""),"+",""),"(",""),")",""))="8","7"&amp;MID(SUBSTITUTE(SUBSTITUTE(SUBSTITUTE(SUBSTITUTE(SUBSTITUTE(Клиенты_исходные!D171," ",""),"-",""),"+",""),"(",""),")",""),2,10),SUBSTITUTE(SUBSTITUTE(SUBSTITUTE(SUBSTITUTE(SUBSTITUTE(Клиенты_исходные!D171," ",""),"-",""),"+",""),"(",""),")","")),5,3)&amp;"-"&amp;MID(IF(LEFT(SUBSTITUTE(SUBSTITUTE(SUBSTITUTE(SUBSTITUTE(SUBSTITUTE(Клиенты_исходные!D171," ",""),"-",""),"+",""),"(",""),")",""))="8","7"&amp;MID(SUBSTITUTE(SUBSTITUTE(SUBSTITUTE(SUBSTITUTE(SUBSTITUTE(Клиенты_исходные!D171," ",""),"-",""),"+",""),"(",""),")",""),2,10),SUBSTITUTE(SUBSTITUTE(SUBSTITUTE(SUBSTITUTE(SUBSTITUTE(Клиенты_исходные!D171," ",""),"-",""),"+",""),"(",""),")","")),8,2)&amp;"-"&amp;MID(IF(LEFT(SUBSTITUTE(SUBSTITUTE(SUBSTITUTE(SUBSTITUTE(SUBSTITUTE(Клиенты_исходные!D171," ",""),"-",""),"+",""),"(",""),")",""))="8","7"&amp;MID(SUBSTITUTE(SUBSTITUTE(SUBSTITUTE(SUBSTITUTE(SUBSTITUTE(Клиенты_исходные!D171," ",""),"-",""),"+",""),"(",""),")",""),2,10),SUBSTITUTE(SUBSTITUTE(SUBSTITUTE(SUBSTITUTE(SUBSTITUTE(Клиенты_исходные!D171," ",""),"-",""),"+",""),"(",""),")","")),10,2),IF(LEN(SUBSTITUTE(SUBSTITUTE(SUBSTITUTE(SUBSTITUTE(SUBSTITUTE(Клиенты_исходные!D171," ",""),"-",""),"+",""),"(",""),")",""))=10,"+7 ("&amp;MID(SUBSTITUTE(SUBSTITUTE(SUBSTITUTE(SUBSTITUTE(SUBSTITUTE(Клиенты_исходные!D171," ",""),"-",""),"+",""),"(",""),")",""),1,3)&amp;") "&amp;MID(SUBSTITUTE(SUBSTITUTE(SUBSTITUTE(SUBSTITUTE(SUBSTITUTE(Клиенты_исходные!D171," ",""),"-",""),"+",""),"(",""),")",""),4,3)&amp;"-"&amp;MID(SUBSTITUTE(SUBSTITUTE(SUBSTITUTE(SUBSTITUTE(SUBSTITUTE(Клиенты_исходные!D171," ",""),"-",""),"+",""),"(",""),")",""),6,2)&amp;"-"&amp;MID(SUBSTITUTE(SUBSTITUTE(SUBSTITUTE(SUBSTITUTE(SUBSTITUTE(Клиенты_исходные!D171," ",""),"-",""),"+",""),"(",""),")",""),8,2),Клиенты_исходные!D171)))</f>
        <v xml:space="preserve">+7 (903) 234-56-78</v>
      </c>
      <c r="E171" t="str">
        <f>IF(ISBLANK(Клиенты_исходные!E171),"",IF(ISNUMBER(FIND(".",MID(Клиенты_исходные!E171,FIND("@",Клиенты_исходные!E171)+1,255))),Клиенты_исходные!E171,IF(ISNUMBER(FIND("gmail",Клиенты_исходные!E171)),Клиенты_исходные!E171&amp;".com",Клиенты_исходные!E171&amp;".ru")))</f>
        <v>goryunova@yandex.ru</v>
      </c>
      <c r="F171" t="str">
        <f>IFERROR(VLOOKUP(Клиенты_исходные!F171,Справочники!$J$2:$K$50,2,FALSE),Клиенты_исходные!F171)</f>
        <v>Курган</v>
      </c>
      <c r="G171" s="8">
        <f>IFERROR(IF(ISNUMBER(FIND(".",Клиенты_исходные!G171)),DATE(RIGHT(Клиенты_исходные!G171,4),MID(Клиенты_исходные!G171,4,2),LEFT(Клиенты_исходные!G171,2)),DATE(LEFT(Клиенты_исходные!G171,4),MID(Клиенты_исходные!G171,6,2),RIGHT(Клиенты_исходные!G171,2))),Клиенты_исходные!G171)</f>
        <v>46280</v>
      </c>
      <c r="H171">
        <f t="shared" ca="1" si="55"/>
        <v>36</v>
      </c>
      <c r="I171" t="str">
        <f t="shared" si="56"/>
        <v>OK</v>
      </c>
      <c r="J171" t="str">
        <f t="shared" si="57"/>
        <v>OK</v>
      </c>
    </row>
    <row r="172">
      <c r="A172" t="str">
        <f>Клиенты_исходные!A172</f>
        <v>C0171</v>
      </c>
      <c r="B172" t="str">
        <f>PROPER(TRIM(Клиенты_исходные!B172))</f>
        <v xml:space="preserve">Константинов Максим Викторович</v>
      </c>
      <c r="C172" s="8">
        <f>IFERROR(IF(ISNUMBER(FIND(".",Клиенты_исходные!C172)),DATE(RIGHT(Клиенты_исходные!C172,4),MID(Клиенты_исходные!C172,4,2),LEFT(Клиенты_исходные!C172,2)),DATE(LEFT(Клиенты_исходные!C172,4),MID(Клиенты_исходные!C172,6,2),RIGHT(Клиенты_исходные!C172,2))),Клиенты_исходные!C172)</f>
        <v>30852</v>
      </c>
      <c r="D172" t="str">
        <f>IF(ISBLANK(Клиенты_исходные!D172),"",IF(LEN(SUBSTITUTE(SUBSTITUTE(SUBSTITUTE(SUBSTITUTE(SUBSTITUTE(Клиенты_исходные!D172," ",""),"-",""),"+",""),"(",""),")",""))=11,"+7 ("&amp;MID(IF(LEFT(SUBSTITUTE(SUBSTITUTE(SUBSTITUTE(SUBSTITUTE(SUBSTITUTE(Клиенты_исходные!D172," ",""),"-",""),"+",""),"(",""),")",""))="8","7"&amp;MID(SUBSTITUTE(SUBSTITUTE(SUBSTITUTE(SUBSTITUTE(SUBSTITUTE(Клиенты_исходные!D172," ",""),"-",""),"+",""),"(",""),")",""),2,10),SUBSTITUTE(SUBSTITUTE(SUBSTITUTE(SUBSTITUTE(SUBSTITUTE(Клиенты_исходные!D172," ",""),"-",""),"+",""),"(",""),")","")),2,3)&amp;") "&amp;MID(IF(LEFT(SUBSTITUTE(SUBSTITUTE(SUBSTITUTE(SUBSTITUTE(SUBSTITUTE(Клиенты_исходные!D172," ",""),"-",""),"+",""),"(",""),")",""))="8","7"&amp;MID(SUBSTITUTE(SUBSTITUTE(SUBSTITUTE(SUBSTITUTE(SUBSTITUTE(Клиенты_исходные!D172," ",""),"-",""),"+",""),"(",""),")",""),2,10),SUBSTITUTE(SUBSTITUTE(SUBSTITUTE(SUBSTITUTE(SUBSTITUTE(Клиенты_исходные!D172," ",""),"-",""),"+",""),"(",""),")","")),5,3)&amp;"-"&amp;MID(IF(LEFT(SUBSTITUTE(SUBSTITUTE(SUBSTITUTE(SUBSTITUTE(SUBSTITUTE(Клиенты_исходные!D172," ",""),"-",""),"+",""),"(",""),")",""))="8","7"&amp;MID(SUBSTITUTE(SUBSTITUTE(SUBSTITUTE(SUBSTITUTE(SUBSTITUTE(Клиенты_исходные!D172," ",""),"-",""),"+",""),"(",""),")",""),2,10),SUBSTITUTE(SUBSTITUTE(SUBSTITUTE(SUBSTITUTE(SUBSTITUTE(Клиенты_исходные!D172," ",""),"-",""),"+",""),"(",""),")","")),8,2)&amp;"-"&amp;MID(IF(LEFT(SUBSTITUTE(SUBSTITUTE(SUBSTITUTE(SUBSTITUTE(SUBSTITUTE(Клиенты_исходные!D172," ",""),"-",""),"+",""),"(",""),")",""))="8","7"&amp;MID(SUBSTITUTE(SUBSTITUTE(SUBSTITUTE(SUBSTITUTE(SUBSTITUTE(Клиенты_исходные!D172," ",""),"-",""),"+",""),"(",""),")",""),2,10),SUBSTITUTE(SUBSTITUTE(SUBSTITUTE(SUBSTITUTE(SUBSTITUTE(Клиенты_исходные!D172," ",""),"-",""),"+",""),"(",""),")","")),10,2),IF(LEN(SUBSTITUTE(SUBSTITUTE(SUBSTITUTE(SUBSTITUTE(SUBSTITUTE(Клиенты_исходные!D172," ",""),"-",""),"+",""),"(",""),")",""))=10,"+7 ("&amp;MID(SUBSTITUTE(SUBSTITUTE(SUBSTITUTE(SUBSTITUTE(SUBSTITUTE(Клиенты_исходные!D172," ",""),"-",""),"+",""),"(",""),")",""),1,3)&amp;") "&amp;MID(SUBSTITUTE(SUBSTITUTE(SUBSTITUTE(SUBSTITUTE(SUBSTITUTE(Клиенты_исходные!D172," ",""),"-",""),"+",""),"(",""),")",""),4,3)&amp;"-"&amp;MID(SUBSTITUTE(SUBSTITUTE(SUBSTITUTE(SUBSTITUTE(SUBSTITUTE(Клиенты_исходные!D172," ",""),"-",""),"+",""),"(",""),")",""),6,2)&amp;"-"&amp;MID(SUBSTITUTE(SUBSTITUTE(SUBSTITUTE(SUBSTITUTE(SUBSTITUTE(Клиенты_исходные!D172," ",""),"-",""),"+",""),"(",""),")",""),8,2),Клиенты_исходные!D172)))</f>
        <v xml:space="preserve">+7 (903) 345-67-89</v>
      </c>
      <c r="E172" t="str">
        <f>IF(ISBLANK(Клиенты_исходные!E172),"",IF(ISNUMBER(FIND(".",MID(Клиенты_исходные!E172,FIND("@",Клиенты_исходные!E172)+1,255))),Клиенты_исходные!E172,IF(ISNUMBER(FIND("gmail",Клиенты_исходные!E172)),Клиенты_исходные!E172&amp;".com",Клиенты_исходные!E172&amp;".ru")))</f>
        <v>konstantinov@gmail.com</v>
      </c>
      <c r="F172" t="str">
        <f>IFERROR(VLOOKUP(Клиенты_исходные!F172,Справочники!$J$2:$K$50,2,FALSE),Клиенты_исходные!F172)</f>
        <v>Архангельск</v>
      </c>
      <c r="G172" s="8">
        <f>IFERROR(IF(ISNUMBER(FIND(".",Клиенты_исходные!G172)),DATE(RIGHT(Клиенты_исходные!G172,4),MID(Клиенты_исходные!G172,4,2),LEFT(Клиенты_исходные!G172,2)),DATE(LEFT(Клиенты_исходные!G172,4),MID(Клиенты_исходные!G172,6,2),RIGHT(Клиенты_исходные!G172,2))),Клиенты_исходные!G172)</f>
        <v>46280</v>
      </c>
      <c r="H172">
        <f t="shared" ca="1" si="55"/>
        <v>42</v>
      </c>
      <c r="I172" t="str">
        <f t="shared" si="56"/>
        <v>OK</v>
      </c>
      <c r="J172" t="str">
        <f t="shared" si="57"/>
        <v>OK</v>
      </c>
    </row>
    <row r="173">
      <c r="A173" t="str">
        <f>Клиенты_исходные!A173</f>
        <v>C0172</v>
      </c>
      <c r="B173" t="str">
        <f>PROPER(TRIM(Клиенты_исходные!B173))</f>
        <v xml:space="preserve">Пантелеева Надежда Владимировна</v>
      </c>
      <c r="C173" s="8">
        <f>IFERROR(IF(ISNUMBER(FIND(".",Клиенты_исходные!C173)),DATE(RIGHT(Клиенты_исходные!C173,4),MID(Клиенты_исходные!C173,4,2),LEFT(Клиенты_исходные!C173,2)),DATE(LEFT(Клиенты_исходные!C173,4),MID(Клиенты_исходные!C173,6,2),RIGHT(Клиенты_исходные!C173,2))),Клиенты_исходные!C173)</f>
        <v>26321</v>
      </c>
      <c r="D173" t="str">
        <f>IF(ISBLANK(Клиенты_исходные!D173),"",IF(LEN(SUBSTITUTE(SUBSTITUTE(SUBSTITUTE(SUBSTITUTE(SUBSTITUTE(Клиенты_исходные!D173," ",""),"-",""),"+",""),"(",""),")",""))=11,"+7 ("&amp;MID(IF(LEFT(SUBSTITUTE(SUBSTITUTE(SUBSTITUTE(SUBSTITUTE(SUBSTITUTE(Клиенты_исходные!D173," ",""),"-",""),"+",""),"(",""),")",""))="8","7"&amp;MID(SUBSTITUTE(SUBSTITUTE(SUBSTITUTE(SUBSTITUTE(SUBSTITUTE(Клиенты_исходные!D173," ",""),"-",""),"+",""),"(",""),")",""),2,10),SUBSTITUTE(SUBSTITUTE(SUBSTITUTE(SUBSTITUTE(SUBSTITUTE(Клиенты_исходные!D173," ",""),"-",""),"+",""),"(",""),")","")),2,3)&amp;") "&amp;MID(IF(LEFT(SUBSTITUTE(SUBSTITUTE(SUBSTITUTE(SUBSTITUTE(SUBSTITUTE(Клиенты_исходные!D173," ",""),"-",""),"+",""),"(",""),")",""))="8","7"&amp;MID(SUBSTITUTE(SUBSTITUTE(SUBSTITUTE(SUBSTITUTE(SUBSTITUTE(Клиенты_исходные!D173," ",""),"-",""),"+",""),"(",""),")",""),2,10),SUBSTITUTE(SUBSTITUTE(SUBSTITUTE(SUBSTITUTE(SUBSTITUTE(Клиенты_исходные!D173," ",""),"-",""),"+",""),"(",""),")","")),5,3)&amp;"-"&amp;MID(IF(LEFT(SUBSTITUTE(SUBSTITUTE(SUBSTITUTE(SUBSTITUTE(SUBSTITUTE(Клиенты_исходные!D173," ",""),"-",""),"+",""),"(",""),")",""))="8","7"&amp;MID(SUBSTITUTE(SUBSTITUTE(SUBSTITUTE(SUBSTITUTE(SUBSTITUTE(Клиенты_исходные!D173," ",""),"-",""),"+",""),"(",""),")",""),2,10),SUBSTITUTE(SUBSTITUTE(SUBSTITUTE(SUBSTITUTE(SUBSTITUTE(Клиенты_исходные!D173," ",""),"-",""),"+",""),"(",""),")","")),8,2)&amp;"-"&amp;MID(IF(LEFT(SUBSTITUTE(SUBSTITUTE(SUBSTITUTE(SUBSTITUTE(SUBSTITUTE(Клиенты_исходные!D173," ",""),"-",""),"+",""),"(",""),")",""))="8","7"&amp;MID(SUBSTITUTE(SUBSTITUTE(SUBSTITUTE(SUBSTITUTE(SUBSTITUTE(Клиенты_исходные!D173," ",""),"-",""),"+",""),"(",""),")",""),2,10),SUBSTITUTE(SUBSTITUTE(SUBSTITUTE(SUBSTITUTE(SUBSTITUTE(Клиенты_исходные!D173," ",""),"-",""),"+",""),"(",""),")","")),10,2),IF(LEN(SUBSTITUTE(SUBSTITUTE(SUBSTITUTE(SUBSTITUTE(SUBSTITUTE(Клиенты_исходные!D173," ",""),"-",""),"+",""),"(",""),")",""))=10,"+7 ("&amp;MID(SUBSTITUTE(SUBSTITUTE(SUBSTITUTE(SUBSTITUTE(SUBSTITUTE(Клиенты_исходные!D173," ",""),"-",""),"+",""),"(",""),")",""),1,3)&amp;") "&amp;MID(SUBSTITUTE(SUBSTITUTE(SUBSTITUTE(SUBSTITUTE(SUBSTITUTE(Клиенты_исходные!D173," ",""),"-",""),"+",""),"(",""),")",""),4,3)&amp;"-"&amp;MID(SUBSTITUTE(SUBSTITUTE(SUBSTITUTE(SUBSTITUTE(SUBSTITUTE(Клиенты_исходные!D173," ",""),"-",""),"+",""),"(",""),")",""),6,2)&amp;"-"&amp;MID(SUBSTITUTE(SUBSTITUTE(SUBSTITUTE(SUBSTITUTE(SUBSTITUTE(Клиенты_исходные!D173," ",""),"-",""),"+",""),"(",""),")",""),8,2),Клиенты_исходные!D173)))</f>
        <v xml:space="preserve">+7 (903) 345-67-89</v>
      </c>
      <c r="E173" t="str">
        <f>IF(ISBLANK(Клиенты_исходные!E173),"",IF(ISNUMBER(FIND(".",MID(Клиенты_исходные!E173,FIND("@",Клиенты_исходные!E173)+1,255))),Клиенты_исходные!E173,IF(ISNUMBER(FIND("gmail",Клиенты_исходные!E173)),Клиенты_исходные!E173&amp;".com",Клиенты_исходные!E173&amp;".ru")))</f>
        <v>panteleeva@mail.ru</v>
      </c>
      <c r="F173" t="str">
        <f>IFERROR(VLOOKUP(Клиенты_исходные!F173,Справочники!$J$2:$K$50,2,FALSE),Клиенты_исходные!F173)</f>
        <v>Благовещенск</v>
      </c>
      <c r="G173" s="8">
        <f>IFERROR(IF(ISNUMBER(FIND(".",Клиенты_исходные!G173)),DATE(RIGHT(Клиенты_исходные!G173,4),MID(Клиенты_исходные!G173,4,2),LEFT(Клиенты_исходные!G173,2)),DATE(LEFT(Клиенты_исходные!G173,4),MID(Клиенты_исходные!G173,6,2),RIGHT(Клиенты_исходные!G173,2))),Клиенты_исходные!G173)</f>
        <v>46296</v>
      </c>
      <c r="H173">
        <f t="shared" ca="1" si="55"/>
        <v>54</v>
      </c>
      <c r="I173" t="str">
        <f t="shared" si="56"/>
        <v>OK</v>
      </c>
      <c r="J173" t="str">
        <f t="shared" si="57"/>
        <v>OK</v>
      </c>
    </row>
    <row r="174">
      <c r="A174" t="str">
        <f>Клиенты_исходные!A174</f>
        <v>C0173</v>
      </c>
      <c r="B174" t="str">
        <f>PROPER(TRIM(Клиенты_исходные!B174))</f>
        <v xml:space="preserve">Елисеев Андрей Сергеевич</v>
      </c>
      <c r="C174" s="8">
        <f>IFERROR(IF(ISNUMBER(FIND(".",Клиенты_исходные!C174)),DATE(RIGHT(Клиенты_исходные!C174,4),MID(Клиенты_исходные!C174,4,2),LEFT(Клиенты_исходные!C174,2)),DATE(LEFT(Клиенты_исходные!C174,4),MID(Клиенты_исходные!C174,6,2),RIGHT(Клиенты_исходные!C174,2))),Клиенты_исходные!C174)</f>
        <v>31632</v>
      </c>
      <c r="D174" t="str">
        <f>IF(ISBLANK(Клиенты_исходные!D174),"",IF(LEN(SUBSTITUTE(SUBSTITUTE(SUBSTITUTE(SUBSTITUTE(SUBSTITUTE(Клиенты_исходные!D174," ",""),"-",""),"+",""),"(",""),")",""))=11,"+7 ("&amp;MID(IF(LEFT(SUBSTITUTE(SUBSTITUTE(SUBSTITUTE(SUBSTITUTE(SUBSTITUTE(Клиенты_исходные!D174," ",""),"-",""),"+",""),"(",""),")",""))="8","7"&amp;MID(SUBSTITUTE(SUBSTITUTE(SUBSTITUTE(SUBSTITUTE(SUBSTITUTE(Клиенты_исходные!D174," ",""),"-",""),"+",""),"(",""),")",""),2,10),SUBSTITUTE(SUBSTITUTE(SUBSTITUTE(SUBSTITUTE(SUBSTITUTE(Клиенты_исходные!D174," ",""),"-",""),"+",""),"(",""),")","")),2,3)&amp;") "&amp;MID(IF(LEFT(SUBSTITUTE(SUBSTITUTE(SUBSTITUTE(SUBSTITUTE(SUBSTITUTE(Клиенты_исходные!D174," ",""),"-",""),"+",""),"(",""),")",""))="8","7"&amp;MID(SUBSTITUTE(SUBSTITUTE(SUBSTITUTE(SUBSTITUTE(SUBSTITUTE(Клиенты_исходные!D174," ",""),"-",""),"+",""),"(",""),")",""),2,10),SUBSTITUTE(SUBSTITUTE(SUBSTITUTE(SUBSTITUTE(SUBSTITUTE(Клиенты_исходные!D174," ",""),"-",""),"+",""),"(",""),")","")),5,3)&amp;"-"&amp;MID(IF(LEFT(SUBSTITUTE(SUBSTITUTE(SUBSTITUTE(SUBSTITUTE(SUBSTITUTE(Клиенты_исходные!D174," ",""),"-",""),"+",""),"(",""),")",""))="8","7"&amp;MID(SUBSTITUTE(SUBSTITUTE(SUBSTITUTE(SUBSTITUTE(SUBSTITUTE(Клиенты_исходные!D174," ",""),"-",""),"+",""),"(",""),")",""),2,10),SUBSTITUTE(SUBSTITUTE(SUBSTITUTE(SUBSTITUTE(SUBSTITUTE(Клиенты_исходные!D174," ",""),"-",""),"+",""),"(",""),")","")),8,2)&amp;"-"&amp;MID(IF(LEFT(SUBSTITUTE(SUBSTITUTE(SUBSTITUTE(SUBSTITUTE(SUBSTITUTE(Клиенты_исходные!D174," ",""),"-",""),"+",""),"(",""),")",""))="8","7"&amp;MID(SUBSTITUTE(SUBSTITUTE(SUBSTITUTE(SUBSTITUTE(SUBSTITUTE(Клиенты_исходные!D174," ",""),"-",""),"+",""),"(",""),")",""),2,10),SUBSTITUTE(SUBSTITUTE(SUBSTITUTE(SUBSTITUTE(SUBSTITUTE(Клиенты_исходные!D174," ",""),"-",""),"+",""),"(",""),")","")),10,2),IF(LEN(SUBSTITUTE(SUBSTITUTE(SUBSTITUTE(SUBSTITUTE(SUBSTITUTE(Клиенты_исходные!D174," ",""),"-",""),"+",""),"(",""),")",""))=10,"+7 ("&amp;MID(SUBSTITUTE(SUBSTITUTE(SUBSTITUTE(SUBSTITUTE(SUBSTITUTE(Клиенты_исходные!D174," ",""),"-",""),"+",""),"(",""),")",""),1,3)&amp;") "&amp;MID(SUBSTITUTE(SUBSTITUTE(SUBSTITUTE(SUBSTITUTE(SUBSTITUTE(Клиенты_исходные!D174," ",""),"-",""),"+",""),"(",""),")",""),4,3)&amp;"-"&amp;MID(SUBSTITUTE(SUBSTITUTE(SUBSTITUTE(SUBSTITUTE(SUBSTITUTE(Клиенты_исходные!D174," ",""),"-",""),"+",""),"(",""),")",""),6,2)&amp;"-"&amp;MID(SUBSTITUTE(SUBSTITUTE(SUBSTITUTE(SUBSTITUTE(SUBSTITUTE(Клиенты_исходные!D174," ",""),"-",""),"+",""),"(",""),")",""),8,2),Клиенты_исходные!D174)))</f>
        <v xml:space="preserve">+7 (903) 345-67-89</v>
      </c>
      <c r="E174" t="str">
        <f>IF(ISBLANK(Клиенты_исходные!E174),"",IF(ISNUMBER(FIND(".",MID(Клиенты_исходные!E174,FIND("@",Клиенты_исходные!E174)+1,255))),Клиенты_исходные!E174,IF(ISNUMBER(FIND("gmail",Клиенты_исходные!E174)),Клиенты_исходные!E174&amp;".com",Клиенты_исходные!E174&amp;".ru")))</f>
        <v>eliseev@yandex.ru</v>
      </c>
      <c r="F174" t="str">
        <f>IFERROR(VLOOKUP(Клиенты_исходные!F174,Справочники!$J$2:$K$50,2,FALSE),Клиенты_исходные!F174)</f>
        <v>Майкоп</v>
      </c>
      <c r="G174" s="8">
        <f>IFERROR(IF(ISNUMBER(FIND(".",Клиенты_исходные!G174)),DATE(RIGHT(Клиенты_исходные!G174,4),MID(Клиенты_исходные!G174,4,2),LEFT(Клиенты_исходные!G174,2)),DATE(LEFT(Клиенты_исходные!G174,4),MID(Клиенты_исходные!G174,6,2),RIGHT(Клиенты_исходные!G174,2))),Клиенты_исходные!G174)</f>
        <v>46305</v>
      </c>
      <c r="H174">
        <f t="shared" ca="1" si="55"/>
        <v>40</v>
      </c>
      <c r="I174" t="str">
        <f t="shared" si="56"/>
        <v>OK</v>
      </c>
      <c r="J174" t="str">
        <f t="shared" si="57"/>
        <v>OK</v>
      </c>
    </row>
    <row r="175">
      <c r="A175" t="str">
        <f>Клиенты_исходные!A175</f>
        <v>C0174</v>
      </c>
      <c r="B175" t="str">
        <f>PROPER(TRIM(Клиенты_исходные!B175))</f>
        <v xml:space="preserve">Щеголева Татьяна Ивановна</v>
      </c>
      <c r="C175" s="8">
        <f>IFERROR(IF(ISNUMBER(FIND(".",Клиенты_исходные!C175)),DATE(RIGHT(Клиенты_исходные!C175,4),MID(Клиенты_исходные!C175,4,2),LEFT(Клиенты_исходные!C175,2)),DATE(LEFT(Клиенты_исходные!C175,4),MID(Клиенты_исходные!C175,6,2),RIGHT(Клиенты_исходные!C175,2))),Клиенты_исходные!C175)</f>
        <v>33933</v>
      </c>
      <c r="D175" t="str">
        <f>IF(ISBLANK(Клиенты_исходные!D175),"",IF(LEN(SUBSTITUTE(SUBSTITUTE(SUBSTITUTE(SUBSTITUTE(SUBSTITUTE(Клиенты_исходные!D175," ",""),"-",""),"+",""),"(",""),")",""))=11,"+7 ("&amp;MID(IF(LEFT(SUBSTITUTE(SUBSTITUTE(SUBSTITUTE(SUBSTITUTE(SUBSTITUTE(Клиенты_исходные!D175," ",""),"-",""),"+",""),"(",""),")",""))="8","7"&amp;MID(SUBSTITUTE(SUBSTITUTE(SUBSTITUTE(SUBSTITUTE(SUBSTITUTE(Клиенты_исходные!D175," ",""),"-",""),"+",""),"(",""),")",""),2,10),SUBSTITUTE(SUBSTITUTE(SUBSTITUTE(SUBSTITUTE(SUBSTITUTE(Клиенты_исходные!D175," ",""),"-",""),"+",""),"(",""),")","")),2,3)&amp;") "&amp;MID(IF(LEFT(SUBSTITUTE(SUBSTITUTE(SUBSTITUTE(SUBSTITUTE(SUBSTITUTE(Клиенты_исходные!D175," ",""),"-",""),"+",""),"(",""),")",""))="8","7"&amp;MID(SUBSTITUTE(SUBSTITUTE(SUBSTITUTE(SUBSTITUTE(SUBSTITUTE(Клиенты_исходные!D175," ",""),"-",""),"+",""),"(",""),")",""),2,10),SUBSTITUTE(SUBSTITUTE(SUBSTITUTE(SUBSTITUTE(SUBSTITUTE(Клиенты_исходные!D175," ",""),"-",""),"+",""),"(",""),")","")),5,3)&amp;"-"&amp;MID(IF(LEFT(SUBSTITUTE(SUBSTITUTE(SUBSTITUTE(SUBSTITUTE(SUBSTITUTE(Клиенты_исходные!D175," ",""),"-",""),"+",""),"(",""),")",""))="8","7"&amp;MID(SUBSTITUTE(SUBSTITUTE(SUBSTITUTE(SUBSTITUTE(SUBSTITUTE(Клиенты_исходные!D175," ",""),"-",""),"+",""),"(",""),")",""),2,10),SUBSTITUTE(SUBSTITUTE(SUBSTITUTE(SUBSTITUTE(SUBSTITUTE(Клиенты_исходные!D175," ",""),"-",""),"+",""),"(",""),")","")),8,2)&amp;"-"&amp;MID(IF(LEFT(SUBSTITUTE(SUBSTITUTE(SUBSTITUTE(SUBSTITUTE(SUBSTITUTE(Клиенты_исходные!D175," ",""),"-",""),"+",""),"(",""),")",""))="8","7"&amp;MID(SUBSTITUTE(SUBSTITUTE(SUBSTITUTE(SUBSTITUTE(SUBSTITUTE(Клиенты_исходные!D175," ",""),"-",""),"+",""),"(",""),")",""),2,10),SUBSTITUTE(SUBSTITUTE(SUBSTITUTE(SUBSTITUTE(SUBSTITUTE(Клиенты_исходные!D175," ",""),"-",""),"+",""),"(",""),")","")),10,2),IF(LEN(SUBSTITUTE(SUBSTITUTE(SUBSTITUTE(SUBSTITUTE(SUBSTITUTE(Клиенты_исходные!D175," ",""),"-",""),"+",""),"(",""),")",""))=10,"+7 ("&amp;MID(SUBSTITUTE(SUBSTITUTE(SUBSTITUTE(SUBSTITUTE(SUBSTITUTE(Клиенты_исходные!D175," ",""),"-",""),"+",""),"(",""),")",""),1,3)&amp;") "&amp;MID(SUBSTITUTE(SUBSTITUTE(SUBSTITUTE(SUBSTITUTE(SUBSTITUTE(Клиенты_исходные!D175," ",""),"-",""),"+",""),"(",""),")",""),4,3)&amp;"-"&amp;MID(SUBSTITUTE(SUBSTITUTE(SUBSTITUTE(SUBSTITUTE(SUBSTITUTE(Клиенты_исходные!D175," ",""),"-",""),"+",""),"(",""),")",""),6,2)&amp;"-"&amp;MID(SUBSTITUTE(SUBSTITUTE(SUBSTITUTE(SUBSTITUTE(SUBSTITUTE(Клиенты_исходные!D175," ",""),"-",""),"+",""),"(",""),")",""),8,2),Клиенты_исходные!D175)))</f>
        <v xml:space="preserve">+7 (903) 456-78-90</v>
      </c>
      <c r="E175" t="str">
        <f>IF(ISBLANK(Клиенты_исходные!E175),"",IF(ISNUMBER(FIND(".",MID(Клиенты_исходные!E175,FIND("@",Клиенты_исходные!E175)+1,255))),Клиенты_исходные!E175,IF(ISNUMBER(FIND("gmail",Клиенты_исходные!E175)),Клиенты_исходные!E175&amp;".com",Клиенты_исходные!E175&amp;".ru")))</f>
        <v>schegoleva@gmail.com</v>
      </c>
      <c r="F175" t="str">
        <f>IFERROR(VLOOKUP(Клиенты_исходные!F175,Справочники!$J$2:$K$50,2,FALSE),Клиенты_исходные!F175)</f>
        <v>Уссурийск</v>
      </c>
      <c r="G175" s="8">
        <f>IFERROR(IF(ISNUMBER(FIND(".",Клиенты_исходные!G175)),DATE(RIGHT(Клиенты_исходные!G175,4),MID(Клиенты_исходные!G175,4,2),LEFT(Клиенты_исходные!G175,2)),DATE(LEFT(Клиенты_исходные!G175,4),MID(Клиенты_исходные!G175,6,2),RIGHT(Клиенты_исходные!G175,2))),Клиенты_исходные!G175)</f>
        <v>46305</v>
      </c>
      <c r="H175">
        <f t="shared" ca="1" si="55"/>
        <v>33</v>
      </c>
      <c r="I175" t="str">
        <f t="shared" si="56"/>
        <v>OK</v>
      </c>
      <c r="J175" t="str">
        <f t="shared" si="57"/>
        <v>OK</v>
      </c>
    </row>
    <row r="176">
      <c r="A176" t="str">
        <f>Клиенты_исходные!A176</f>
        <v>C0175</v>
      </c>
      <c r="B176" t="str">
        <f>PROPER(TRIM(Клиенты_исходные!B176))</f>
        <v xml:space="preserve">Алехин Виктор Викторович</v>
      </c>
      <c r="C176" s="8">
        <f>IFERROR(IF(ISNUMBER(FIND(".",Клиенты_исходные!C176)),DATE(RIGHT(Клиенты_исходные!C176,4),MID(Клиенты_исходные!C176,4,2),LEFT(Клиенты_исходные!C176,2)),DATE(LEFT(Клиенты_исходные!C176,4),MID(Клиенты_исходные!C176,6,2),RIGHT(Клиенты_исходные!C176,2))),Клиенты_исходные!C176)</f>
        <v>28594</v>
      </c>
      <c r="D176" t="str">
        <f>IF(ISBLANK(Клиенты_исходные!D176),"",IF(LEN(SUBSTITUTE(SUBSTITUTE(SUBSTITUTE(SUBSTITUTE(SUBSTITUTE(Клиенты_исходные!D176," ",""),"-",""),"+",""),"(",""),")",""))=11,"+7 ("&amp;MID(IF(LEFT(SUBSTITUTE(SUBSTITUTE(SUBSTITUTE(SUBSTITUTE(SUBSTITUTE(Клиенты_исходные!D176," ",""),"-",""),"+",""),"(",""),")",""))="8","7"&amp;MID(SUBSTITUTE(SUBSTITUTE(SUBSTITUTE(SUBSTITUTE(SUBSTITUTE(Клиенты_исходные!D176," ",""),"-",""),"+",""),"(",""),")",""),2,10),SUBSTITUTE(SUBSTITUTE(SUBSTITUTE(SUBSTITUTE(SUBSTITUTE(Клиенты_исходные!D176," ",""),"-",""),"+",""),"(",""),")","")),2,3)&amp;") "&amp;MID(IF(LEFT(SUBSTITUTE(SUBSTITUTE(SUBSTITUTE(SUBSTITUTE(SUBSTITUTE(Клиенты_исходные!D176," ",""),"-",""),"+",""),"(",""),")",""))="8","7"&amp;MID(SUBSTITUTE(SUBSTITUTE(SUBSTITUTE(SUBSTITUTE(SUBSTITUTE(Клиенты_исходные!D176," ",""),"-",""),"+",""),"(",""),")",""),2,10),SUBSTITUTE(SUBSTITUTE(SUBSTITUTE(SUBSTITUTE(SUBSTITUTE(Клиенты_исходные!D176," ",""),"-",""),"+",""),"(",""),")","")),5,3)&amp;"-"&amp;MID(IF(LEFT(SUBSTITUTE(SUBSTITUTE(SUBSTITUTE(SUBSTITUTE(SUBSTITUTE(Клиенты_исходные!D176," ",""),"-",""),"+",""),"(",""),")",""))="8","7"&amp;MID(SUBSTITUTE(SUBSTITUTE(SUBSTITUTE(SUBSTITUTE(SUBSTITUTE(Клиенты_исходные!D176," ",""),"-",""),"+",""),"(",""),")",""),2,10),SUBSTITUTE(SUBSTITUTE(SUBSTITUTE(SUBSTITUTE(SUBSTITUTE(Клиенты_исходные!D176," ",""),"-",""),"+",""),"(",""),")","")),8,2)&amp;"-"&amp;MID(IF(LEFT(SUBSTITUTE(SUBSTITUTE(SUBSTITUTE(SUBSTITUTE(SUBSTITUTE(Клиенты_исходные!D176," ",""),"-",""),"+",""),"(",""),")",""))="8","7"&amp;MID(SUBSTITUTE(SUBSTITUTE(SUBSTITUTE(SUBSTITUTE(SUBSTITUTE(Клиенты_исходные!D176," ",""),"-",""),"+",""),"(",""),")",""),2,10),SUBSTITUTE(SUBSTITUTE(SUBSTITUTE(SUBSTITUTE(SUBSTITUTE(Клиенты_исходные!D176," ",""),"-",""),"+",""),"(",""),")","")),10,2),IF(LEN(SUBSTITUTE(SUBSTITUTE(SUBSTITUTE(SUBSTITUTE(SUBSTITUTE(Клиенты_исходные!D176," ",""),"-",""),"+",""),"(",""),")",""))=10,"+7 ("&amp;MID(SUBSTITUTE(SUBSTITUTE(SUBSTITUTE(SUBSTITUTE(SUBSTITUTE(Клиенты_исходные!D176," ",""),"-",""),"+",""),"(",""),")",""),1,3)&amp;") "&amp;MID(SUBSTITUTE(SUBSTITUTE(SUBSTITUTE(SUBSTITUTE(SUBSTITUTE(Клиенты_исходные!D176," ",""),"-",""),"+",""),"(",""),")",""),4,3)&amp;"-"&amp;MID(SUBSTITUTE(SUBSTITUTE(SUBSTITUTE(SUBSTITUTE(SUBSTITUTE(Клиенты_исходные!D176," ",""),"-",""),"+",""),"(",""),")",""),6,2)&amp;"-"&amp;MID(SUBSTITUTE(SUBSTITUTE(SUBSTITUTE(SUBSTITUTE(SUBSTITUTE(Клиенты_исходные!D176," ",""),"-",""),"+",""),"(",""),")",""),8,2),Клиенты_исходные!D176)))</f>
        <v xml:space="preserve">+7 (903) 456-78-90</v>
      </c>
      <c r="E176" t="str">
        <f>IF(ISBLANK(Клиенты_исходные!E176),"",IF(ISNUMBER(FIND(".",MID(Клиенты_исходные!E176,FIND("@",Клиенты_исходные!E176)+1,255))),Клиенты_исходные!E176,IF(ISNUMBER(FIND("gmail",Клиенты_исходные!E176)),Клиенты_исходные!E176&amp;".com",Клиенты_исходные!E176&amp;".ru")))</f>
        <v>alehin@mail.ru</v>
      </c>
      <c r="F176" t="str">
        <f>IFERROR(VLOOKUP(Клиенты_исходные!F176,Справочники!$J$2:$K$50,2,FALSE),Клиенты_исходные!F176)</f>
        <v>Миасс</v>
      </c>
      <c r="G176" s="8">
        <f>IFERROR(IF(ISNUMBER(FIND(".",Клиенты_исходные!G176)),DATE(RIGHT(Клиенты_исходные!G176,4),MID(Клиенты_исходные!G176,4,2),LEFT(Клиенты_исходные!G176,2)),DATE(LEFT(Клиенты_исходные!G176,4),MID(Клиенты_исходные!G176,6,2),RIGHT(Клиенты_исходные!G176,2))),Клиенты_исходные!G176)</f>
        <v>46327</v>
      </c>
      <c r="H176">
        <f t="shared" ca="1" si="55"/>
        <v>48</v>
      </c>
      <c r="I176" t="str">
        <f t="shared" si="56"/>
        <v>OK</v>
      </c>
      <c r="J176" t="str">
        <f t="shared" si="57"/>
        <v>OK</v>
      </c>
    </row>
    <row r="177">
      <c r="A177" t="str">
        <f>Клиенты_исходные!A177</f>
        <v>C0176</v>
      </c>
      <c r="B177" t="str">
        <f>PROPER(TRIM(Клиенты_исходные!B177))</f>
        <v xml:space="preserve">Зверев Артем Сергеевич</v>
      </c>
      <c r="C177" s="8">
        <f>IFERROR(IF(ISNUMBER(FIND(".",Клиенты_исходные!C177)),DATE(RIGHT(Клиенты_исходные!C177,4),MID(Клиенты_исходные!C177,4,2),LEFT(Клиенты_исходные!C177,2)),DATE(LEFT(Клиенты_исходные!C177,4),MID(Клиенты_исходные!C177,6,2),RIGHT(Клиенты_исходные!C177,2))),Клиенты_исходные!C177)</f>
        <v>29859</v>
      </c>
      <c r="D177" t="str">
        <f>IF(ISBLANK(Клиенты_исходные!D177),"",IF(LEN(SUBSTITUTE(SUBSTITUTE(SUBSTITUTE(SUBSTITUTE(SUBSTITUTE(Клиенты_исходные!D177," ",""),"-",""),"+",""),"(",""),")",""))=11,"+7 ("&amp;MID(IF(LEFT(SUBSTITUTE(SUBSTITUTE(SUBSTITUTE(SUBSTITUTE(SUBSTITUTE(Клиенты_исходные!D177," ",""),"-",""),"+",""),"(",""),")",""))="8","7"&amp;MID(SUBSTITUTE(SUBSTITUTE(SUBSTITUTE(SUBSTITUTE(SUBSTITUTE(Клиенты_исходные!D177," ",""),"-",""),"+",""),"(",""),")",""),2,10),SUBSTITUTE(SUBSTITUTE(SUBSTITUTE(SUBSTITUTE(SUBSTITUTE(Клиенты_исходные!D177," ",""),"-",""),"+",""),"(",""),")","")),2,3)&amp;") "&amp;MID(IF(LEFT(SUBSTITUTE(SUBSTITUTE(SUBSTITUTE(SUBSTITUTE(SUBSTITUTE(Клиенты_исходные!D177," ",""),"-",""),"+",""),"(",""),")",""))="8","7"&amp;MID(SUBSTITUTE(SUBSTITUTE(SUBSTITUTE(SUBSTITUTE(SUBSTITUTE(Клиенты_исходные!D177," ",""),"-",""),"+",""),"(",""),")",""),2,10),SUBSTITUTE(SUBSTITUTE(SUBSTITUTE(SUBSTITUTE(SUBSTITUTE(Клиенты_исходные!D177," ",""),"-",""),"+",""),"(",""),")","")),5,3)&amp;"-"&amp;MID(IF(LEFT(SUBSTITUTE(SUBSTITUTE(SUBSTITUTE(SUBSTITUTE(SUBSTITUTE(Клиенты_исходные!D177," ",""),"-",""),"+",""),"(",""),")",""))="8","7"&amp;MID(SUBSTITUTE(SUBSTITUTE(SUBSTITUTE(SUBSTITUTE(SUBSTITUTE(Клиенты_исходные!D177," ",""),"-",""),"+",""),"(",""),")",""),2,10),SUBSTITUTE(SUBSTITUTE(SUBSTITUTE(SUBSTITUTE(SUBSTITUTE(Клиенты_исходные!D177," ",""),"-",""),"+",""),"(",""),")","")),8,2)&amp;"-"&amp;MID(IF(LEFT(SUBSTITUTE(SUBSTITUTE(SUBSTITUTE(SUBSTITUTE(SUBSTITUTE(Клиенты_исходные!D177," ",""),"-",""),"+",""),"(",""),")",""))="8","7"&amp;MID(SUBSTITUTE(SUBSTITUTE(SUBSTITUTE(SUBSTITUTE(SUBSTITUTE(Клиенты_исходные!D177," ",""),"-",""),"+",""),"(",""),")",""),2,10),SUBSTITUTE(SUBSTITUTE(SUBSTITUTE(SUBSTITUTE(SUBSTITUTE(Клиенты_исходные!D177," ",""),"-",""),"+",""),"(",""),")","")),10,2),IF(LEN(SUBSTITUTE(SUBSTITUTE(SUBSTITUTE(SUBSTITUTE(SUBSTITUTE(Клиенты_исходные!D177," ",""),"-",""),"+",""),"(",""),")",""))=10,"+7 ("&amp;MID(SUBSTITUTE(SUBSTITUTE(SUBSTITUTE(SUBSTITUTE(SUBSTITUTE(Клиенты_исходные!D177," ",""),"-",""),"+",""),"(",""),")",""),1,3)&amp;") "&amp;MID(SUBSTITUTE(SUBSTITUTE(SUBSTITUTE(SUBSTITUTE(SUBSTITUTE(Клиенты_исходные!D177," ",""),"-",""),"+",""),"(",""),")",""),4,3)&amp;"-"&amp;MID(SUBSTITUTE(SUBSTITUTE(SUBSTITUTE(SUBSTITUTE(SUBSTITUTE(Клиенты_исходные!D177," ",""),"-",""),"+",""),"(",""),")",""),6,2)&amp;"-"&amp;MID(SUBSTITUTE(SUBSTITUTE(SUBSTITUTE(SUBSTITUTE(SUBSTITUTE(Клиенты_исходные!D177," ",""),"-",""),"+",""),"(",""),")",""),8,2),Клиенты_исходные!D177)))</f>
        <v xml:space="preserve">+7 (903) 456-78-90</v>
      </c>
      <c r="E177" t="str">
        <f>IF(ISBLANK(Клиенты_исходные!E177),"",IF(ISNUMBER(FIND(".",MID(Клиенты_исходные!E177,FIND("@",Клиенты_исходные!E177)+1,255))),Клиенты_исходные!E177,IF(ISNUMBER(FIND("gmail",Клиенты_исходные!E177)),Клиенты_исходные!E177&amp;".com",Клиенты_исходные!E177&amp;".ru")))</f>
        <v>zverev@yandex.ru</v>
      </c>
      <c r="F177" t="str">
        <f>IFERROR(VLOOKUP(Клиенты_исходные!F177,Справочники!$J$2:$K$50,2,FALSE),Клиенты_исходные!F177)</f>
        <v>Кызыл</v>
      </c>
      <c r="G177" s="8">
        <f>IFERROR(IF(ISNUMBER(FIND(".",Клиенты_исходные!G177)),DATE(RIGHT(Клиенты_исходные!G177,4),MID(Клиенты_исходные!G177,4,2),LEFT(Клиенты_исходные!G177,2)),DATE(LEFT(Клиенты_исходные!G177,4),MID(Клиенты_исходные!G177,6,2),RIGHT(Клиенты_исходные!G177,2))),Клиенты_исходные!G177)</f>
        <v>46341</v>
      </c>
      <c r="H177">
        <f t="shared" ca="1" si="55"/>
        <v>45</v>
      </c>
      <c r="I177" t="str">
        <f t="shared" si="56"/>
        <v>OK</v>
      </c>
      <c r="J177" t="str">
        <f t="shared" si="57"/>
        <v>OK</v>
      </c>
    </row>
    <row r="178">
      <c r="A178" t="str">
        <f>Клиенты_исходные!A178</f>
        <v>C0177</v>
      </c>
      <c r="B178" t="str">
        <f>PROPER(TRIM(Клиенты_исходные!B178))</f>
        <v xml:space="preserve">Исакова Мария Михайловна</v>
      </c>
      <c r="C178" s="8">
        <f>IFERROR(IF(ISNUMBER(FIND(".",Клиенты_исходные!C178)),DATE(RIGHT(Клиенты_исходные!C178,4),MID(Клиенты_исходные!C178,4,2),LEFT(Клиенты_исходные!C178,2)),DATE(LEFT(Клиенты_исходные!C178,4),MID(Клиенты_исходные!C178,6,2),RIGHT(Клиенты_исходные!C178,2))),Клиенты_исходные!C178)</f>
        <v>31969</v>
      </c>
      <c r="D178" t="str">
        <f>IF(ISBLANK(Клиенты_исходные!D178),"",IF(LEN(SUBSTITUTE(SUBSTITUTE(SUBSTITUTE(SUBSTITUTE(SUBSTITUTE(Клиенты_исходные!D178," ",""),"-",""),"+",""),"(",""),")",""))=11,"+7 ("&amp;MID(IF(LEFT(SUBSTITUTE(SUBSTITUTE(SUBSTITUTE(SUBSTITUTE(SUBSTITUTE(Клиенты_исходные!D178," ",""),"-",""),"+",""),"(",""),")",""))="8","7"&amp;MID(SUBSTITUTE(SUBSTITUTE(SUBSTITUTE(SUBSTITUTE(SUBSTITUTE(Клиенты_исходные!D178," ",""),"-",""),"+",""),"(",""),")",""),2,10),SUBSTITUTE(SUBSTITUTE(SUBSTITUTE(SUBSTITUTE(SUBSTITUTE(Клиенты_исходные!D178," ",""),"-",""),"+",""),"(",""),")","")),2,3)&amp;") "&amp;MID(IF(LEFT(SUBSTITUTE(SUBSTITUTE(SUBSTITUTE(SUBSTITUTE(SUBSTITUTE(Клиенты_исходные!D178," ",""),"-",""),"+",""),"(",""),")",""))="8","7"&amp;MID(SUBSTITUTE(SUBSTITUTE(SUBSTITUTE(SUBSTITUTE(SUBSTITUTE(Клиенты_исходные!D178," ",""),"-",""),"+",""),"(",""),")",""),2,10),SUBSTITUTE(SUBSTITUTE(SUBSTITUTE(SUBSTITUTE(SUBSTITUTE(Клиенты_исходные!D178," ",""),"-",""),"+",""),"(",""),")","")),5,3)&amp;"-"&amp;MID(IF(LEFT(SUBSTITUTE(SUBSTITUTE(SUBSTITUTE(SUBSTITUTE(SUBSTITUTE(Клиенты_исходные!D178," ",""),"-",""),"+",""),"(",""),")",""))="8","7"&amp;MID(SUBSTITUTE(SUBSTITUTE(SUBSTITUTE(SUBSTITUTE(SUBSTITUTE(Клиенты_исходные!D178," ",""),"-",""),"+",""),"(",""),")",""),2,10),SUBSTITUTE(SUBSTITUTE(SUBSTITUTE(SUBSTITUTE(SUBSTITUTE(Клиенты_исходные!D178," ",""),"-",""),"+",""),"(",""),")","")),8,2)&amp;"-"&amp;MID(IF(LEFT(SUBSTITUTE(SUBSTITUTE(SUBSTITUTE(SUBSTITUTE(SUBSTITUTE(Клиенты_исходные!D178," ",""),"-",""),"+",""),"(",""),")",""))="8","7"&amp;MID(SUBSTITUTE(SUBSTITUTE(SUBSTITUTE(SUBSTITUTE(SUBSTITUTE(Клиенты_исходные!D178," ",""),"-",""),"+",""),"(",""),")",""),2,10),SUBSTITUTE(SUBSTITUTE(SUBSTITUTE(SUBSTITUTE(SUBSTITUTE(Клиенты_исходные!D178," ",""),"-",""),"+",""),"(",""),")","")),10,2),IF(LEN(SUBSTITUTE(SUBSTITUTE(SUBSTITUTE(SUBSTITUTE(SUBSTITUTE(Клиенты_исходные!D178," ",""),"-",""),"+",""),"(",""),")",""))=10,"+7 ("&amp;MID(SUBSTITUTE(SUBSTITUTE(SUBSTITUTE(SUBSTITUTE(SUBSTITUTE(Клиенты_исходные!D178," ",""),"-",""),"+",""),"(",""),")",""),1,3)&amp;") "&amp;MID(SUBSTITUTE(SUBSTITUTE(SUBSTITUTE(SUBSTITUTE(SUBSTITUTE(Клиенты_исходные!D178," ",""),"-",""),"+",""),"(",""),")",""),4,3)&amp;"-"&amp;MID(SUBSTITUTE(SUBSTITUTE(SUBSTITUTE(SUBSTITUTE(SUBSTITUTE(Клиенты_исходные!D178," ",""),"-",""),"+",""),"(",""),")",""),6,2)&amp;"-"&amp;MID(SUBSTITUTE(SUBSTITUTE(SUBSTITUTE(SUBSTITUTE(SUBSTITUTE(Клиенты_исходные!D178," ",""),"-",""),"+",""),"(",""),")",""),8,2),Клиенты_исходные!D178)))</f>
        <v xml:space="preserve">+7 (903) 567-89-01</v>
      </c>
      <c r="E178" t="str">
        <f>IF(ISBLANK(Клиенты_исходные!E178),"",IF(ISNUMBER(FIND(".",MID(Клиенты_исходные!E178,FIND("@",Клиенты_исходные!E178)+1,255))),Клиенты_исходные!E178,IF(ISNUMBER(FIND("gmail",Клиенты_исходные!E178)),Клиенты_исходные!E178&amp;".com",Клиенты_исходные!E178&amp;".ru")))</f>
        <v>isakova@gmail.com</v>
      </c>
      <c r="F178" t="str">
        <f>IFERROR(VLOOKUP(Клиенты_исходные!F178,Справочники!$J$2:$K$50,2,FALSE),Клиенты_исходные!F178)</f>
        <v>Калининград</v>
      </c>
      <c r="G178" s="8">
        <f>IFERROR(IF(ISNUMBER(FIND(".",Клиенты_исходные!G178)),DATE(RIGHT(Клиенты_исходные!G178,4),MID(Клиенты_исходные!G178,4,2),LEFT(Клиенты_исходные!G178,2)),DATE(LEFT(Клиенты_исходные!G178,4),MID(Клиенты_исходные!G178,6,2),RIGHT(Клиенты_исходные!G178,2))),Клиенты_исходные!G178)</f>
        <v>46341</v>
      </c>
      <c r="H178">
        <f t="shared" ca="1" si="55"/>
        <v>39</v>
      </c>
      <c r="I178" t="str">
        <f t="shared" si="56"/>
        <v>OK</v>
      </c>
      <c r="J178" t="str">
        <f t="shared" si="57"/>
        <v>OK</v>
      </c>
    </row>
    <row r="179">
      <c r="A179" t="str">
        <f>Клиенты_исходные!A179</f>
        <v>C0178</v>
      </c>
      <c r="B179" t="str">
        <f>PROPER(TRIM(Клиенты_исходные!B179))</f>
        <v xml:space="preserve">Симаков Григорий Павлович</v>
      </c>
      <c r="C179" s="8">
        <f>IFERROR(IF(ISNUMBER(FIND(".",Клиенты_исходные!C179)),DATE(RIGHT(Клиенты_исходные!C179,4),MID(Клиенты_исходные!C179,4,2),LEFT(Клиенты_исходные!C179,2)),DATE(LEFT(Клиенты_исходные!C179,4),MID(Клиенты_исходные!C179,6,2),RIGHT(Клиенты_исходные!C179,2))),Клиенты_исходные!C179)</f>
        <v>34671</v>
      </c>
      <c r="D179" t="str">
        <f>IF(ISBLANK(Клиенты_исходные!D179),"",IF(LEN(SUBSTITUTE(SUBSTITUTE(SUBSTITUTE(SUBSTITUTE(SUBSTITUTE(Клиенты_исходные!D179," ",""),"-",""),"+",""),"(",""),")",""))=11,"+7 ("&amp;MID(IF(LEFT(SUBSTITUTE(SUBSTITUTE(SUBSTITUTE(SUBSTITUTE(SUBSTITUTE(Клиенты_исходные!D179," ",""),"-",""),"+",""),"(",""),")",""))="8","7"&amp;MID(SUBSTITUTE(SUBSTITUTE(SUBSTITUTE(SUBSTITUTE(SUBSTITUTE(Клиенты_исходные!D179," ",""),"-",""),"+",""),"(",""),")",""),2,10),SUBSTITUTE(SUBSTITUTE(SUBSTITUTE(SUBSTITUTE(SUBSTITUTE(Клиенты_исходные!D179," ",""),"-",""),"+",""),"(",""),")","")),2,3)&amp;") "&amp;MID(IF(LEFT(SUBSTITUTE(SUBSTITUTE(SUBSTITUTE(SUBSTITUTE(SUBSTITUTE(Клиенты_исходные!D179," ",""),"-",""),"+",""),"(",""),")",""))="8","7"&amp;MID(SUBSTITUTE(SUBSTITUTE(SUBSTITUTE(SUBSTITUTE(SUBSTITUTE(Клиенты_исходные!D179," ",""),"-",""),"+",""),"(",""),")",""),2,10),SUBSTITUTE(SUBSTITUTE(SUBSTITUTE(SUBSTITUTE(SUBSTITUTE(Клиенты_исходные!D179," ",""),"-",""),"+",""),"(",""),")","")),5,3)&amp;"-"&amp;MID(IF(LEFT(SUBSTITUTE(SUBSTITUTE(SUBSTITUTE(SUBSTITUTE(SUBSTITUTE(Клиенты_исходные!D179," ",""),"-",""),"+",""),"(",""),")",""))="8","7"&amp;MID(SUBSTITUTE(SUBSTITUTE(SUBSTITUTE(SUBSTITUTE(SUBSTITUTE(Клиенты_исходные!D179," ",""),"-",""),"+",""),"(",""),")",""),2,10),SUBSTITUTE(SUBSTITUTE(SUBSTITUTE(SUBSTITUTE(SUBSTITUTE(Клиенты_исходные!D179," ",""),"-",""),"+",""),"(",""),")","")),8,2)&amp;"-"&amp;MID(IF(LEFT(SUBSTITUTE(SUBSTITUTE(SUBSTITUTE(SUBSTITUTE(SUBSTITUTE(Клиенты_исходные!D179," ",""),"-",""),"+",""),"(",""),")",""))="8","7"&amp;MID(SUBSTITUTE(SUBSTITUTE(SUBSTITUTE(SUBSTITUTE(SUBSTITUTE(Клиенты_исходные!D179," ",""),"-",""),"+",""),"(",""),")",""),2,10),SUBSTITUTE(SUBSTITUTE(SUBSTITUTE(SUBSTITUTE(SUBSTITUTE(Клиенты_исходные!D179," ",""),"-",""),"+",""),"(",""),")","")),10,2),IF(LEN(SUBSTITUTE(SUBSTITUTE(SUBSTITUTE(SUBSTITUTE(SUBSTITUTE(Клиенты_исходные!D179," ",""),"-",""),"+",""),"(",""),")",""))=10,"+7 ("&amp;MID(SUBSTITUTE(SUBSTITUTE(SUBSTITUTE(SUBSTITUTE(SUBSTITUTE(Клиенты_исходные!D179," ",""),"-",""),"+",""),"(",""),")",""),1,3)&amp;") "&amp;MID(SUBSTITUTE(SUBSTITUTE(SUBSTITUTE(SUBSTITUTE(SUBSTITUTE(Клиенты_исходные!D179," ",""),"-",""),"+",""),"(",""),")",""),4,3)&amp;"-"&amp;MID(SUBSTITUTE(SUBSTITUTE(SUBSTITUTE(SUBSTITUTE(SUBSTITUTE(Клиенты_исходные!D179," ",""),"-",""),"+",""),"(",""),")",""),6,2)&amp;"-"&amp;MID(SUBSTITUTE(SUBSTITUTE(SUBSTITUTE(SUBSTITUTE(SUBSTITUTE(Клиенты_исходные!D179," ",""),"-",""),"+",""),"(",""),")",""),8,2),Клиенты_исходные!D179)))</f>
        <v xml:space="preserve">+7 (903) 567-89-01</v>
      </c>
      <c r="E179" t="str">
        <f>IF(ISBLANK(Клиенты_исходные!E179),"",IF(ISNUMBER(FIND(".",MID(Клиенты_исходные!E179,FIND("@",Клиенты_исходные!E179)+1,255))),Клиенты_исходные!E179,IF(ISNUMBER(FIND("gmail",Клиенты_исходные!E179)),Клиенты_исходные!E179&amp;".com",Клиенты_исходные!E179&amp;".ru")))</f>
        <v>simakov@mail.ru</v>
      </c>
      <c r="F179" t="str">
        <f>IFERROR(VLOOKUP(Клиенты_исходные!F179,Справочники!$J$2:$K$50,2,FALSE),Клиенты_исходные!F179)</f>
        <v>Петрозаводск</v>
      </c>
      <c r="G179" s="8">
        <f>IFERROR(IF(ISNUMBER(FIND(".",Клиенты_исходные!G179)),DATE(RIGHT(Клиенты_исходные!G179,4),MID(Клиенты_исходные!G179,4,2),LEFT(Клиенты_исходные!G179,2)),DATE(LEFT(Клиенты_исходные!G179,4),MID(Клиенты_исходные!G179,6,2),RIGHT(Клиенты_исходные!G179,2))),Клиенты_исходные!G179)</f>
        <v>46357</v>
      </c>
      <c r="H179">
        <f t="shared" ca="1" si="55"/>
        <v>31</v>
      </c>
      <c r="I179" t="str">
        <f t="shared" si="56"/>
        <v>OK</v>
      </c>
      <c r="J179" t="str">
        <f t="shared" si="57"/>
        <v>OK</v>
      </c>
    </row>
    <row r="180">
      <c r="A180" t="str">
        <f>Клиенты_исходные!A180</f>
        <v>C0179</v>
      </c>
      <c r="B180" t="str">
        <f>PROPER(TRIM(Клиенты_исходные!B180))</f>
        <v xml:space="preserve">Кузькина Ольга Олеговна</v>
      </c>
      <c r="C180" s="8">
        <f>IFERROR(IF(ISNUMBER(FIND(".",Клиенты_исходные!C180)),DATE(RIGHT(Клиенты_исходные!C180,4),MID(Клиенты_исходные!C180,4,2),LEFT(Клиенты_исходные!C180,2)),DATE(LEFT(Клиенты_исходные!C180,4),MID(Клиенты_исходные!C180,6,2),RIGHT(Клиенты_исходные!C180,2))),Клиенты_исходные!C180)</f>
        <v>27896</v>
      </c>
      <c r="D180" t="str">
        <f>IF(ISBLANK(Клиенты_исходные!D180),"",IF(LEN(SUBSTITUTE(SUBSTITUTE(SUBSTITUTE(SUBSTITUTE(SUBSTITUTE(Клиенты_исходные!D180," ",""),"-",""),"+",""),"(",""),")",""))=11,"+7 ("&amp;MID(IF(LEFT(SUBSTITUTE(SUBSTITUTE(SUBSTITUTE(SUBSTITUTE(SUBSTITUTE(Клиенты_исходные!D180," ",""),"-",""),"+",""),"(",""),")",""))="8","7"&amp;MID(SUBSTITUTE(SUBSTITUTE(SUBSTITUTE(SUBSTITUTE(SUBSTITUTE(Клиенты_исходные!D180," ",""),"-",""),"+",""),"(",""),")",""),2,10),SUBSTITUTE(SUBSTITUTE(SUBSTITUTE(SUBSTITUTE(SUBSTITUTE(Клиенты_исходные!D180," ",""),"-",""),"+",""),"(",""),")","")),2,3)&amp;") "&amp;MID(IF(LEFT(SUBSTITUTE(SUBSTITUTE(SUBSTITUTE(SUBSTITUTE(SUBSTITUTE(Клиенты_исходные!D180," ",""),"-",""),"+",""),"(",""),")",""))="8","7"&amp;MID(SUBSTITUTE(SUBSTITUTE(SUBSTITUTE(SUBSTITUTE(SUBSTITUTE(Клиенты_исходные!D180," ",""),"-",""),"+",""),"(",""),")",""),2,10),SUBSTITUTE(SUBSTITUTE(SUBSTITUTE(SUBSTITUTE(SUBSTITUTE(Клиенты_исходные!D180," ",""),"-",""),"+",""),"(",""),")","")),5,3)&amp;"-"&amp;MID(IF(LEFT(SUBSTITUTE(SUBSTITUTE(SUBSTITUTE(SUBSTITUTE(SUBSTITUTE(Клиенты_исходные!D180," ",""),"-",""),"+",""),"(",""),")",""))="8","7"&amp;MID(SUBSTITUTE(SUBSTITUTE(SUBSTITUTE(SUBSTITUTE(SUBSTITUTE(Клиенты_исходные!D180," ",""),"-",""),"+",""),"(",""),")",""),2,10),SUBSTITUTE(SUBSTITUTE(SUBSTITUTE(SUBSTITUTE(SUBSTITUTE(Клиенты_исходные!D180," ",""),"-",""),"+",""),"(",""),")","")),8,2)&amp;"-"&amp;MID(IF(LEFT(SUBSTITUTE(SUBSTITUTE(SUBSTITUTE(SUBSTITUTE(SUBSTITUTE(Клиенты_исходные!D180," ",""),"-",""),"+",""),"(",""),")",""))="8","7"&amp;MID(SUBSTITUTE(SUBSTITUTE(SUBSTITUTE(SUBSTITUTE(SUBSTITUTE(Клиенты_исходные!D180," ",""),"-",""),"+",""),"(",""),")",""),2,10),SUBSTITUTE(SUBSTITUTE(SUBSTITUTE(SUBSTITUTE(SUBSTITUTE(Клиенты_исходные!D180," ",""),"-",""),"+",""),"(",""),")","")),10,2),IF(LEN(SUBSTITUTE(SUBSTITUTE(SUBSTITUTE(SUBSTITUTE(SUBSTITUTE(Клиенты_исходные!D180," ",""),"-",""),"+",""),"(",""),")",""))=10,"+7 ("&amp;MID(SUBSTITUTE(SUBSTITUTE(SUBSTITUTE(SUBSTITUTE(SUBSTITUTE(Клиенты_исходные!D180," ",""),"-",""),"+",""),"(",""),")",""),1,3)&amp;") "&amp;MID(SUBSTITUTE(SUBSTITUTE(SUBSTITUTE(SUBSTITUTE(SUBSTITUTE(Клиенты_исходные!D180," ",""),"-",""),"+",""),"(",""),")",""),4,3)&amp;"-"&amp;MID(SUBSTITUTE(SUBSTITUTE(SUBSTITUTE(SUBSTITUTE(SUBSTITUTE(Клиенты_исходные!D180," ",""),"-",""),"+",""),"(",""),")",""),6,2)&amp;"-"&amp;MID(SUBSTITUTE(SUBSTITUTE(SUBSTITUTE(SUBSTITUTE(SUBSTITUTE(Клиенты_исходные!D180," ",""),"-",""),"+",""),"(",""),")",""),8,2),Клиенты_исходные!D180)))</f>
        <v xml:space="preserve">+7 (903) 567-89-01</v>
      </c>
      <c r="E180" t="str">
        <f>IF(ISBLANK(Клиенты_исходные!E180),"",IF(ISNUMBER(FIND(".",MID(Клиенты_исходные!E180,FIND("@",Клиенты_исходные!E180)+1,255))),Клиенты_исходные!E180,IF(ISNUMBER(FIND("gmail",Клиенты_исходные!E180)),Клиенты_исходные!E180&amp;".com",Клиенты_исходные!E180&amp;".ru")))</f>
        <v>kuzkina@yandex.ru</v>
      </c>
      <c r="F180" t="str">
        <f>IFERROR(VLOOKUP(Клиенты_исходные!F180,Справочники!$J$2:$K$50,2,FALSE),Клиенты_исходные!F180)</f>
        <v>Рубцовск</v>
      </c>
      <c r="G180" s="8">
        <f>IFERROR(IF(ISNUMBER(FIND(".",Клиенты_исходные!G180)),DATE(RIGHT(Клиенты_исходные!G180,4),MID(Клиенты_исходные!G180,4,2),LEFT(Клиенты_исходные!G180,2)),DATE(LEFT(Клиенты_исходные!G180,4),MID(Клиенты_исходные!G180,6,2),RIGHT(Клиенты_исходные!G180,2))),Клиенты_исходные!G180)</f>
        <v>46366</v>
      </c>
      <c r="H180">
        <f t="shared" ca="1" si="55"/>
        <v>50</v>
      </c>
      <c r="I180" t="str">
        <f t="shared" si="56"/>
        <v>OK</v>
      </c>
      <c r="J180" t="str">
        <f t="shared" si="57"/>
        <v>OK</v>
      </c>
    </row>
    <row r="181">
      <c r="A181" t="str">
        <f>Клиенты_исходные!A181</f>
        <v>C0180</v>
      </c>
      <c r="B181" t="str">
        <f>PROPER(TRIM(Клиенты_исходные!B181))</f>
        <v xml:space="preserve">Лукин Дмитрий Николаевич</v>
      </c>
      <c r="C181" s="8">
        <f>IFERROR(IF(ISNUMBER(FIND(".",Клиенты_исходные!C181)),DATE(RIGHT(Клиенты_исходные!C181,4),MID(Клиенты_исходные!C181,4,2),LEFT(Клиенты_исходные!C181,2)),DATE(LEFT(Клиенты_исходные!C181,4),MID(Клиенты_исходные!C181,6,2),RIGHT(Клиенты_исходные!C181,2))),Клиенты_исходные!C181)</f>
        <v>30225</v>
      </c>
      <c r="D181" t="str">
        <f>IF(ISBLANK(Клиенты_исходные!D181),"",IF(LEN(SUBSTITUTE(SUBSTITUTE(SUBSTITUTE(SUBSTITUTE(SUBSTITUTE(Клиенты_исходные!D181," ",""),"-",""),"+",""),"(",""),")",""))=11,"+7 ("&amp;MID(IF(LEFT(SUBSTITUTE(SUBSTITUTE(SUBSTITUTE(SUBSTITUTE(SUBSTITUTE(Клиенты_исходные!D181," ",""),"-",""),"+",""),"(",""),")",""))="8","7"&amp;MID(SUBSTITUTE(SUBSTITUTE(SUBSTITUTE(SUBSTITUTE(SUBSTITUTE(Клиенты_исходные!D181," ",""),"-",""),"+",""),"(",""),")",""),2,10),SUBSTITUTE(SUBSTITUTE(SUBSTITUTE(SUBSTITUTE(SUBSTITUTE(Клиенты_исходные!D181," ",""),"-",""),"+",""),"(",""),")","")),2,3)&amp;") "&amp;MID(IF(LEFT(SUBSTITUTE(SUBSTITUTE(SUBSTITUTE(SUBSTITUTE(SUBSTITUTE(Клиенты_исходные!D181," ",""),"-",""),"+",""),"(",""),")",""))="8","7"&amp;MID(SUBSTITUTE(SUBSTITUTE(SUBSTITUTE(SUBSTITUTE(SUBSTITUTE(Клиенты_исходные!D181," ",""),"-",""),"+",""),"(",""),")",""),2,10),SUBSTITUTE(SUBSTITUTE(SUBSTITUTE(SUBSTITUTE(SUBSTITUTE(Клиенты_исходные!D181," ",""),"-",""),"+",""),"(",""),")","")),5,3)&amp;"-"&amp;MID(IF(LEFT(SUBSTITUTE(SUBSTITUTE(SUBSTITUTE(SUBSTITUTE(SUBSTITUTE(Клиенты_исходные!D181," ",""),"-",""),"+",""),"(",""),")",""))="8","7"&amp;MID(SUBSTITUTE(SUBSTITUTE(SUBSTITUTE(SUBSTITUTE(SUBSTITUTE(Клиенты_исходные!D181," ",""),"-",""),"+",""),"(",""),")",""),2,10),SUBSTITUTE(SUBSTITUTE(SUBSTITUTE(SUBSTITUTE(SUBSTITUTE(Клиенты_исходные!D181," ",""),"-",""),"+",""),"(",""),")","")),8,2)&amp;"-"&amp;MID(IF(LEFT(SUBSTITUTE(SUBSTITUTE(SUBSTITUTE(SUBSTITUTE(SUBSTITUTE(Клиенты_исходные!D181," ",""),"-",""),"+",""),"(",""),")",""))="8","7"&amp;MID(SUBSTITUTE(SUBSTITUTE(SUBSTITUTE(SUBSTITUTE(SUBSTITUTE(Клиенты_исходные!D181," ",""),"-",""),"+",""),"(",""),")",""),2,10),SUBSTITUTE(SUBSTITUTE(SUBSTITUTE(SUBSTITUTE(SUBSTITUTE(Клиенты_исходные!D181," ",""),"-",""),"+",""),"(",""),")","")),10,2),IF(LEN(SUBSTITUTE(SUBSTITUTE(SUBSTITUTE(SUBSTITUTE(SUBSTITUTE(Клиенты_исходные!D181," ",""),"-",""),"+",""),"(",""),")",""))=10,"+7 ("&amp;MID(SUBSTITUTE(SUBSTITUTE(SUBSTITUTE(SUBSTITUTE(SUBSTITUTE(Клиенты_исходные!D181," ",""),"-",""),"+",""),"(",""),")",""),1,3)&amp;") "&amp;MID(SUBSTITUTE(SUBSTITUTE(SUBSTITUTE(SUBSTITUTE(SUBSTITUTE(Клиенты_исходные!D181," ",""),"-",""),"+",""),"(",""),")",""),4,3)&amp;"-"&amp;MID(SUBSTITUTE(SUBSTITUTE(SUBSTITUTE(SUBSTITUTE(SUBSTITUTE(Клиенты_исходные!D181," ",""),"-",""),"+",""),"(",""),")",""),6,2)&amp;"-"&amp;MID(SUBSTITUTE(SUBSTITUTE(SUBSTITUTE(SUBSTITUTE(SUBSTITUTE(Клиенты_исходные!D181," ",""),"-",""),"+",""),"(",""),")",""),8,2),Клиенты_исходные!D181)))</f>
        <v xml:space="preserve">+7 (903) 678-90-12</v>
      </c>
      <c r="E181" t="str">
        <f>IF(ISBLANK(Клиенты_исходные!E181),"",IF(ISNUMBER(FIND(".",MID(Клиенты_исходные!E181,FIND("@",Клиенты_исходные!E181)+1,255))),Клиенты_исходные!E181,IF(ISNUMBER(FIND("gmail",Клиенты_исходные!E181)),Клиенты_исходные!E181&amp;".com",Клиенты_исходные!E181&amp;".ru")))</f>
        <v>lukin@gmail.com</v>
      </c>
      <c r="F181" t="str">
        <f>IFERROR(VLOOKUP(Клиенты_исходные!F181,Справочники!$J$2:$K$50,2,FALSE),Клиенты_исходные!F181)</f>
        <v>Элиста</v>
      </c>
      <c r="G181" s="8">
        <f>IFERROR(IF(ISNUMBER(FIND(".",Клиенты_исходные!G181)),DATE(RIGHT(Клиенты_исходные!G181,4),MID(Клиенты_исходные!G181,4,2),LEFT(Клиенты_исходные!G181,2)),DATE(LEFT(Клиенты_исходные!G181,4),MID(Клиенты_исходные!G181,6,2),RIGHT(Клиенты_исходные!G181,2))),Клиенты_исходные!G181)</f>
        <v>46366</v>
      </c>
      <c r="H181">
        <f t="shared" ca="1" si="55"/>
        <v>44</v>
      </c>
      <c r="I181" t="str">
        <f t="shared" si="56"/>
        <v>OK</v>
      </c>
      <c r="J181" t="str">
        <f t="shared" si="57"/>
        <v>OK</v>
      </c>
    </row>
    <row r="182">
      <c r="A182" t="str">
        <f>Клиенты_исходные!A182</f>
        <v>C0181</v>
      </c>
      <c r="B182" t="str">
        <f>PROPER(TRIM(Клиенты_исходные!B182))</f>
        <v xml:space="preserve">Астафьева Татьяна Борисовна</v>
      </c>
      <c r="C182" s="8">
        <f>IFERROR(IF(ISNUMBER(FIND(".",Клиенты_исходные!C182)),DATE(RIGHT(Клиенты_исходные!C182,4),MID(Клиенты_исходные!C182,4,2),LEFT(Клиенты_исходные!C182,2)),DATE(LEFT(Клиенты_исходные!C182,4),MID(Клиенты_исходные!C182,6,2),RIGHT(Клиенты_исходные!C182,2))),Клиенты_исходные!C182)</f>
        <v>27453</v>
      </c>
      <c r="D182" t="str">
        <f>IF(ISBLANK(Клиенты_исходные!D182),"",IF(LEN(SUBSTITUTE(SUBSTITUTE(SUBSTITUTE(SUBSTITUTE(SUBSTITUTE(Клиенты_исходные!D182," ",""),"-",""),"+",""),"(",""),")",""))=11,"+7 ("&amp;MID(IF(LEFT(SUBSTITUTE(SUBSTITUTE(SUBSTITUTE(SUBSTITUTE(SUBSTITUTE(Клиенты_исходные!D182," ",""),"-",""),"+",""),"(",""),")",""))="8","7"&amp;MID(SUBSTITUTE(SUBSTITUTE(SUBSTITUTE(SUBSTITUTE(SUBSTITUTE(Клиенты_исходные!D182," ",""),"-",""),"+",""),"(",""),")",""),2,10),SUBSTITUTE(SUBSTITUTE(SUBSTITUTE(SUBSTITUTE(SUBSTITUTE(Клиенты_исходные!D182," ",""),"-",""),"+",""),"(",""),")","")),2,3)&amp;") "&amp;MID(IF(LEFT(SUBSTITUTE(SUBSTITUTE(SUBSTITUTE(SUBSTITUTE(SUBSTITUTE(Клиенты_исходные!D182," ",""),"-",""),"+",""),"(",""),")",""))="8","7"&amp;MID(SUBSTITUTE(SUBSTITUTE(SUBSTITUTE(SUBSTITUTE(SUBSTITUTE(Клиенты_исходные!D182," ",""),"-",""),"+",""),"(",""),")",""),2,10),SUBSTITUTE(SUBSTITUTE(SUBSTITUTE(SUBSTITUTE(SUBSTITUTE(Клиенты_исходные!D182," ",""),"-",""),"+",""),"(",""),")","")),5,3)&amp;"-"&amp;MID(IF(LEFT(SUBSTITUTE(SUBSTITUTE(SUBSTITUTE(SUBSTITUTE(SUBSTITUTE(Клиенты_исходные!D182," ",""),"-",""),"+",""),"(",""),")",""))="8","7"&amp;MID(SUBSTITUTE(SUBSTITUTE(SUBSTITUTE(SUBSTITUTE(SUBSTITUTE(Клиенты_исходные!D182," ",""),"-",""),"+",""),"(",""),")",""),2,10),SUBSTITUTE(SUBSTITUTE(SUBSTITUTE(SUBSTITUTE(SUBSTITUTE(Клиенты_исходные!D182," ",""),"-",""),"+",""),"(",""),")","")),8,2)&amp;"-"&amp;MID(IF(LEFT(SUBSTITUTE(SUBSTITUTE(SUBSTITUTE(SUBSTITUTE(SUBSTITUTE(Клиенты_исходные!D182," ",""),"-",""),"+",""),"(",""),")",""))="8","7"&amp;MID(SUBSTITUTE(SUBSTITUTE(SUBSTITUTE(SUBSTITUTE(SUBSTITUTE(Клиенты_исходные!D182," ",""),"-",""),"+",""),"(",""),")",""),2,10),SUBSTITUTE(SUBSTITUTE(SUBSTITUTE(SUBSTITUTE(SUBSTITUTE(Клиенты_исходные!D182," ",""),"-",""),"+",""),"(",""),")","")),10,2),IF(LEN(SUBSTITUTE(SUBSTITUTE(SUBSTITUTE(SUBSTITUTE(SUBSTITUTE(Клиенты_исходные!D182," ",""),"-",""),"+",""),"(",""),")",""))=10,"+7 ("&amp;MID(SUBSTITUTE(SUBSTITUTE(SUBSTITUTE(SUBSTITUTE(SUBSTITUTE(Клиенты_исходные!D182," ",""),"-",""),"+",""),"(",""),")",""),1,3)&amp;") "&amp;MID(SUBSTITUTE(SUBSTITUTE(SUBSTITUTE(SUBSTITUTE(SUBSTITUTE(Клиенты_исходные!D182," ",""),"-",""),"+",""),"(",""),")",""),4,3)&amp;"-"&amp;MID(SUBSTITUTE(SUBSTITUTE(SUBSTITUTE(SUBSTITUTE(SUBSTITUTE(Клиенты_исходные!D182," ",""),"-",""),"+",""),"(",""),")",""),6,2)&amp;"-"&amp;MID(SUBSTITUTE(SUBSTITUTE(SUBSTITUTE(SUBSTITUTE(SUBSTITUTE(Клиенты_исходные!D182," ",""),"-",""),"+",""),"(",""),")",""),8,2),Клиенты_исходные!D182)))</f>
        <v xml:space="preserve">+7 (903) 678-90-12</v>
      </c>
      <c r="E182" t="str">
        <f>IF(ISBLANK(Клиенты_исходные!E182),"",IF(ISNUMBER(FIND(".",MID(Клиенты_исходные!E182,FIND("@",Клиенты_исходные!E182)+1,255))),Клиенты_исходные!E182,IF(ISNUMBER(FIND("gmail",Клиенты_исходные!E182)),Клиенты_исходные!E182&amp;".com",Клиенты_исходные!E182&amp;".ru")))</f>
        <v>astafieva@mail.ru</v>
      </c>
      <c r="F182" t="str">
        <f>IFERROR(VLOOKUP(Клиенты_исходные!F182,Справочники!$J$2:$K$50,2,FALSE),Клиенты_исходные!F182)</f>
        <v>Орск</v>
      </c>
      <c r="G182" s="8">
        <f>IFERROR(IF(ISNUMBER(FIND(".",Клиенты_исходные!G182)),DATE(RIGHT(Клиенты_исходные!G182,4),MID(Клиенты_исходные!G182,4,2),LEFT(Клиенты_исходные!G182,2)),DATE(LEFT(Клиенты_исходные!G182,4),MID(Клиенты_исходные!G182,6,2),RIGHT(Клиенты_исходные!G182,2))),Клиенты_исходные!G182)</f>
        <v>46388</v>
      </c>
      <c r="H182">
        <f t="shared" ca="1" si="55"/>
        <v>51</v>
      </c>
      <c r="I182" t="str">
        <f t="shared" si="56"/>
        <v>OK</v>
      </c>
      <c r="J182" t="str">
        <f t="shared" si="57"/>
        <v>OK</v>
      </c>
    </row>
    <row r="183">
      <c r="A183" t="str">
        <f>Клиенты_исходные!A183</f>
        <v>C0182</v>
      </c>
      <c r="B183" t="str">
        <f>PROPER(TRIM(Клиенты_исходные!B183))</f>
        <v xml:space="preserve">Григорьев Андрей Игоревич</v>
      </c>
      <c r="C183" s="8">
        <f>IFERROR(IF(ISNUMBER(FIND(".",Клиенты_исходные!C183)),DATE(RIGHT(Клиенты_исходные!C183,4),MID(Клиенты_исходные!C183,4,2),LEFT(Клиенты_исходные!C183,2)),DATE(LEFT(Клиенты_исходные!C183,4),MID(Клиенты_исходные!C183,6,2),RIGHT(Клиенты_исходные!C183,2))),Клиенты_исходные!C183)</f>
        <v>33464</v>
      </c>
      <c r="D183" t="str">
        <f>IF(ISBLANK(Клиенты_исходные!D183),"",IF(LEN(SUBSTITUTE(SUBSTITUTE(SUBSTITUTE(SUBSTITUTE(SUBSTITUTE(Клиенты_исходные!D183," ",""),"-",""),"+",""),"(",""),")",""))=11,"+7 ("&amp;MID(IF(LEFT(SUBSTITUTE(SUBSTITUTE(SUBSTITUTE(SUBSTITUTE(SUBSTITUTE(Клиенты_исходные!D183," ",""),"-",""),"+",""),"(",""),")",""))="8","7"&amp;MID(SUBSTITUTE(SUBSTITUTE(SUBSTITUTE(SUBSTITUTE(SUBSTITUTE(Клиенты_исходные!D183," ",""),"-",""),"+",""),"(",""),")",""),2,10),SUBSTITUTE(SUBSTITUTE(SUBSTITUTE(SUBSTITUTE(SUBSTITUTE(Клиенты_исходные!D183," ",""),"-",""),"+",""),"(",""),")","")),2,3)&amp;") "&amp;MID(IF(LEFT(SUBSTITUTE(SUBSTITUTE(SUBSTITUTE(SUBSTITUTE(SUBSTITUTE(Клиенты_исходные!D183," ",""),"-",""),"+",""),"(",""),")",""))="8","7"&amp;MID(SUBSTITUTE(SUBSTITUTE(SUBSTITUTE(SUBSTITUTE(SUBSTITUTE(Клиенты_исходные!D183," ",""),"-",""),"+",""),"(",""),")",""),2,10),SUBSTITUTE(SUBSTITUTE(SUBSTITUTE(SUBSTITUTE(SUBSTITUTE(Клиенты_исходные!D183," ",""),"-",""),"+",""),"(",""),")","")),5,3)&amp;"-"&amp;MID(IF(LEFT(SUBSTITUTE(SUBSTITUTE(SUBSTITUTE(SUBSTITUTE(SUBSTITUTE(Клиенты_исходные!D183," ",""),"-",""),"+",""),"(",""),")",""))="8","7"&amp;MID(SUBSTITUTE(SUBSTITUTE(SUBSTITUTE(SUBSTITUTE(SUBSTITUTE(Клиенты_исходные!D183," ",""),"-",""),"+",""),"(",""),")",""),2,10),SUBSTITUTE(SUBSTITUTE(SUBSTITUTE(SUBSTITUTE(SUBSTITUTE(Клиенты_исходные!D183," ",""),"-",""),"+",""),"(",""),")","")),8,2)&amp;"-"&amp;MID(IF(LEFT(SUBSTITUTE(SUBSTITUTE(SUBSTITUTE(SUBSTITUTE(SUBSTITUTE(Клиенты_исходные!D183," ",""),"-",""),"+",""),"(",""),")",""))="8","7"&amp;MID(SUBSTITUTE(SUBSTITUTE(SUBSTITUTE(SUBSTITUTE(SUBSTITUTE(Клиенты_исходные!D183," ",""),"-",""),"+",""),"(",""),")",""),2,10),SUBSTITUTE(SUBSTITUTE(SUBSTITUTE(SUBSTITUTE(SUBSTITUTE(Клиенты_исходные!D183," ",""),"-",""),"+",""),"(",""),")","")),10,2),IF(LEN(SUBSTITUTE(SUBSTITUTE(SUBSTITUTE(SUBSTITUTE(SUBSTITUTE(Клиенты_исходные!D183," ",""),"-",""),"+",""),"(",""),")",""))=10,"+7 ("&amp;MID(SUBSTITUTE(SUBSTITUTE(SUBSTITUTE(SUBSTITUTE(SUBSTITUTE(Клиенты_исходные!D183," ",""),"-",""),"+",""),"(",""),")",""),1,3)&amp;") "&amp;MID(SUBSTITUTE(SUBSTITUTE(SUBSTITUTE(SUBSTITUTE(SUBSTITUTE(Клиенты_исходные!D183," ",""),"-",""),"+",""),"(",""),")",""),4,3)&amp;"-"&amp;MID(SUBSTITUTE(SUBSTITUTE(SUBSTITUTE(SUBSTITUTE(SUBSTITUTE(Клиенты_исходные!D183," ",""),"-",""),"+",""),"(",""),")",""),6,2)&amp;"-"&amp;MID(SUBSTITUTE(SUBSTITUTE(SUBSTITUTE(SUBSTITUTE(SUBSTITUTE(Клиенты_исходные!D183," ",""),"-",""),"+",""),"(",""),")",""),8,2),Клиенты_исходные!D183)))</f>
        <v xml:space="preserve">+7 (903) 678-90-12</v>
      </c>
      <c r="E183" t="str">
        <f>IF(ISBLANK(Клиенты_исходные!E183),"",IF(ISNUMBER(FIND(".",MID(Клиенты_исходные!E183,FIND("@",Клиенты_исходные!E183)+1,255))),Клиенты_исходные!E183,IF(ISNUMBER(FIND("gmail",Клиенты_исходные!E183)),Клиенты_исходные!E183&amp;".com",Клиенты_исходные!E183&amp;".ru")))</f>
        <v>grigoriev@yandex.ru</v>
      </c>
      <c r="F183" t="str">
        <f>IFERROR(VLOOKUP(Клиенты_исходные!F183,Справочники!$J$2:$K$50,2,FALSE),Клиенты_исходные!F183)</f>
        <v>Нижневартовск</v>
      </c>
      <c r="G183" s="8">
        <f>IFERROR(IF(ISNUMBER(FIND(".",Клиенты_исходные!G183)),DATE(RIGHT(Клиенты_исходные!G183,4),MID(Клиенты_исходные!G183,4,2),LEFT(Клиенты_исходные!G183,2)),DATE(LEFT(Клиенты_исходные!G183,4),MID(Клиенты_исходные!G183,6,2),RIGHT(Клиенты_исходные!G183,2))),Клиенты_исходные!G183)</f>
        <v>46402</v>
      </c>
      <c r="H183">
        <f t="shared" ca="1" si="55"/>
        <v>35</v>
      </c>
      <c r="I183" t="str">
        <f t="shared" si="56"/>
        <v>OK</v>
      </c>
      <c r="J183" t="str">
        <f t="shared" si="57"/>
        <v>OK</v>
      </c>
    </row>
    <row r="184">
      <c r="A184" t="str">
        <f>Клиенты_исходные!A184</f>
        <v>C0183</v>
      </c>
      <c r="B184" t="str">
        <f>PROPER(TRIM(Клиенты_исходные!B184))</f>
        <v xml:space="preserve">Чернова Екатерина Алексеевна</v>
      </c>
      <c r="C184" s="8">
        <f>IFERROR(IF(ISNUMBER(FIND(".",Клиенты_исходные!C184)),DATE(RIGHT(Клиенты_исходные!C184,4),MID(Клиенты_исходные!C184,4,2),LEFT(Клиенты_исходные!C184,2)),DATE(LEFT(Клиенты_исходные!C184,4),MID(Клиенты_исходные!C184,6,2),RIGHT(Клиенты_исходные!C184,2))),Клиенты_исходные!C184)</f>
        <v>30471</v>
      </c>
      <c r="D184" t="str">
        <f>IF(ISBLANK(Клиенты_исходные!D184),"",IF(LEN(SUBSTITUTE(SUBSTITUTE(SUBSTITUTE(SUBSTITUTE(SUBSTITUTE(Клиенты_исходные!D184," ",""),"-",""),"+",""),"(",""),")",""))=11,"+7 ("&amp;MID(IF(LEFT(SUBSTITUTE(SUBSTITUTE(SUBSTITUTE(SUBSTITUTE(SUBSTITUTE(Клиенты_исходные!D184," ",""),"-",""),"+",""),"(",""),")",""))="8","7"&amp;MID(SUBSTITUTE(SUBSTITUTE(SUBSTITUTE(SUBSTITUTE(SUBSTITUTE(Клиенты_исходные!D184," ",""),"-",""),"+",""),"(",""),")",""),2,10),SUBSTITUTE(SUBSTITUTE(SUBSTITUTE(SUBSTITUTE(SUBSTITUTE(Клиенты_исходные!D184," ",""),"-",""),"+",""),"(",""),")","")),2,3)&amp;") "&amp;MID(IF(LEFT(SUBSTITUTE(SUBSTITUTE(SUBSTITUTE(SUBSTITUTE(SUBSTITUTE(Клиенты_исходные!D184," ",""),"-",""),"+",""),"(",""),")",""))="8","7"&amp;MID(SUBSTITUTE(SUBSTITUTE(SUBSTITUTE(SUBSTITUTE(SUBSTITUTE(Клиенты_исходные!D184," ",""),"-",""),"+",""),"(",""),")",""),2,10),SUBSTITUTE(SUBSTITUTE(SUBSTITUTE(SUBSTITUTE(SUBSTITUTE(Клиенты_исходные!D184," ",""),"-",""),"+",""),"(",""),")","")),5,3)&amp;"-"&amp;MID(IF(LEFT(SUBSTITUTE(SUBSTITUTE(SUBSTITUTE(SUBSTITUTE(SUBSTITUTE(Клиенты_исходные!D184," ",""),"-",""),"+",""),"(",""),")",""))="8","7"&amp;MID(SUBSTITUTE(SUBSTITUTE(SUBSTITUTE(SUBSTITUTE(SUBSTITUTE(Клиенты_исходные!D184," ",""),"-",""),"+",""),"(",""),")",""),2,10),SUBSTITUTE(SUBSTITUTE(SUBSTITUTE(SUBSTITUTE(SUBSTITUTE(Клиенты_исходные!D184," ",""),"-",""),"+",""),"(",""),")","")),8,2)&amp;"-"&amp;MID(IF(LEFT(SUBSTITUTE(SUBSTITUTE(SUBSTITUTE(SUBSTITUTE(SUBSTITUTE(Клиенты_исходные!D184," ",""),"-",""),"+",""),"(",""),")",""))="8","7"&amp;MID(SUBSTITUTE(SUBSTITUTE(SUBSTITUTE(SUBSTITUTE(SUBSTITUTE(Клиенты_исходные!D184," ",""),"-",""),"+",""),"(",""),")",""),2,10),SUBSTITUTE(SUBSTITUTE(SUBSTITUTE(SUBSTITUTE(SUBSTITUTE(Клиенты_исходные!D184," ",""),"-",""),"+",""),"(",""),")","")),10,2),IF(LEN(SUBSTITUTE(SUBSTITUTE(SUBSTITUTE(SUBSTITUTE(SUBSTITUTE(Клиенты_исходные!D184," ",""),"-",""),"+",""),"(",""),")",""))=10,"+7 ("&amp;MID(SUBSTITUTE(SUBSTITUTE(SUBSTITUTE(SUBSTITUTE(SUBSTITUTE(Клиенты_исходные!D184," ",""),"-",""),"+",""),"(",""),")",""),1,3)&amp;") "&amp;MID(SUBSTITUTE(SUBSTITUTE(SUBSTITUTE(SUBSTITUTE(SUBSTITUTE(Клиенты_исходные!D184," ",""),"-",""),"+",""),"(",""),")",""),4,3)&amp;"-"&amp;MID(SUBSTITUTE(SUBSTITUTE(SUBSTITUTE(SUBSTITUTE(SUBSTITUTE(Клиенты_исходные!D184," ",""),"-",""),"+",""),"(",""),")",""),6,2)&amp;"-"&amp;MID(SUBSTITUTE(SUBSTITUTE(SUBSTITUTE(SUBSTITUTE(SUBSTITUTE(Клиенты_исходные!D184," ",""),"-",""),"+",""),"(",""),")",""),8,2),Клиенты_исходные!D184)))</f>
        <v xml:space="preserve">+7 (903) 789-01-23</v>
      </c>
      <c r="E184" t="str">
        <f>IF(ISBLANK(Клиенты_исходные!E184),"",IF(ISNUMBER(FIND(".",MID(Клиенты_исходные!E184,FIND("@",Клиенты_исходные!E184)+1,255))),Клиенты_исходные!E184,IF(ISNUMBER(FIND("gmail",Клиенты_исходные!E184)),Клиенты_исходные!E184&amp;".com",Клиенты_исходные!E184&amp;".ru")))</f>
        <v>chernova@gmail.com</v>
      </c>
      <c r="F184" t="str">
        <f>IFERROR(VLOOKUP(Клиенты_исходные!F184,Справочники!$J$2:$K$50,2,FALSE),Клиенты_исходные!F184)</f>
        <v>Новороссийск</v>
      </c>
      <c r="G184" s="8">
        <f>IFERROR(IF(ISNUMBER(FIND(".",Клиенты_исходные!G184)),DATE(RIGHT(Клиенты_исходные!G184,4),MID(Клиенты_исходные!G184,4,2),LEFT(Клиенты_исходные!G184,2)),DATE(LEFT(Клиенты_исходные!G184,4),MID(Клиенты_исходные!G184,6,2),RIGHT(Клиенты_исходные!G184,2))),Клиенты_исходные!G184)</f>
        <v>46402</v>
      </c>
      <c r="H184">
        <f t="shared" ca="1" si="55"/>
        <v>43</v>
      </c>
      <c r="I184" t="str">
        <f t="shared" si="56"/>
        <v>OK</v>
      </c>
      <c r="J184" t="str">
        <f t="shared" si="57"/>
        <v>OK</v>
      </c>
    </row>
    <row r="185">
      <c r="A185" t="str">
        <f>Клиенты_исходные!A185</f>
        <v>C0184</v>
      </c>
      <c r="B185" t="str">
        <f>PROPER(TRIM(Клиенты_исходные!B185))</f>
        <v xml:space="preserve">Прокопенко Олег Вадимович</v>
      </c>
      <c r="C185" s="8">
        <f>IFERROR(IF(ISNUMBER(FIND(".",Клиенты_исходные!C185)),DATE(RIGHT(Клиенты_исходные!C185,4),MID(Клиенты_исходные!C185,4,2),LEFT(Клиенты_исходные!C185,2)),DATE(LEFT(Клиенты_исходные!C185,4),MID(Клиенты_исходные!C185,6,2),RIGHT(Клиенты_исходные!C185,2))),Клиенты_исходные!C185)</f>
        <v>25868</v>
      </c>
      <c r="D185" t="str">
        <f>IF(ISBLANK(Клиенты_исходные!D185),"",IF(LEN(SUBSTITUTE(SUBSTITUTE(SUBSTITUTE(SUBSTITUTE(SUBSTITUTE(Клиенты_исходные!D185," ",""),"-",""),"+",""),"(",""),")",""))=11,"+7 ("&amp;MID(IF(LEFT(SUBSTITUTE(SUBSTITUTE(SUBSTITUTE(SUBSTITUTE(SUBSTITUTE(Клиенты_исходные!D185," ",""),"-",""),"+",""),"(",""),")",""))="8","7"&amp;MID(SUBSTITUTE(SUBSTITUTE(SUBSTITUTE(SUBSTITUTE(SUBSTITUTE(Клиенты_исходные!D185," ",""),"-",""),"+",""),"(",""),")",""),2,10),SUBSTITUTE(SUBSTITUTE(SUBSTITUTE(SUBSTITUTE(SUBSTITUTE(Клиенты_исходные!D185," ",""),"-",""),"+",""),"(",""),")","")),2,3)&amp;") "&amp;MID(IF(LEFT(SUBSTITUTE(SUBSTITUTE(SUBSTITUTE(SUBSTITUTE(SUBSTITUTE(Клиенты_исходные!D185," ",""),"-",""),"+",""),"(",""),")",""))="8","7"&amp;MID(SUBSTITUTE(SUBSTITUTE(SUBSTITUTE(SUBSTITUTE(SUBSTITUTE(Клиенты_исходные!D185," ",""),"-",""),"+",""),"(",""),")",""),2,10),SUBSTITUTE(SUBSTITUTE(SUBSTITUTE(SUBSTITUTE(SUBSTITUTE(Клиенты_исходные!D185," ",""),"-",""),"+",""),"(",""),")","")),5,3)&amp;"-"&amp;MID(IF(LEFT(SUBSTITUTE(SUBSTITUTE(SUBSTITUTE(SUBSTITUTE(SUBSTITUTE(Клиенты_исходные!D185," ",""),"-",""),"+",""),"(",""),")",""))="8","7"&amp;MID(SUBSTITUTE(SUBSTITUTE(SUBSTITUTE(SUBSTITUTE(SUBSTITUTE(Клиенты_исходные!D185," ",""),"-",""),"+",""),"(",""),")",""),2,10),SUBSTITUTE(SUBSTITUTE(SUBSTITUTE(SUBSTITUTE(SUBSTITUTE(Клиенты_исходные!D185," ",""),"-",""),"+",""),"(",""),")","")),8,2)&amp;"-"&amp;MID(IF(LEFT(SUBSTITUTE(SUBSTITUTE(SUBSTITUTE(SUBSTITUTE(SUBSTITUTE(Клиенты_исходные!D185," ",""),"-",""),"+",""),"(",""),")",""))="8","7"&amp;MID(SUBSTITUTE(SUBSTITUTE(SUBSTITUTE(SUBSTITUTE(SUBSTITUTE(Клиенты_исходные!D185," ",""),"-",""),"+",""),"(",""),")",""),2,10),SUBSTITUTE(SUBSTITUTE(SUBSTITUTE(SUBSTITUTE(SUBSTITUTE(Клиенты_исходные!D185," ",""),"-",""),"+",""),"(",""),")","")),10,2),IF(LEN(SUBSTITUTE(SUBSTITUTE(SUBSTITUTE(SUBSTITUTE(SUBSTITUTE(Клиенты_исходные!D185," ",""),"-",""),"+",""),"(",""),")",""))=10,"+7 ("&amp;MID(SUBSTITUTE(SUBSTITUTE(SUBSTITUTE(SUBSTITUTE(SUBSTITUTE(Клиенты_исходные!D185," ",""),"-",""),"+",""),"(",""),")",""),1,3)&amp;") "&amp;MID(SUBSTITUTE(SUBSTITUTE(SUBSTITUTE(SUBSTITUTE(SUBSTITUTE(Клиенты_исходные!D185," ",""),"-",""),"+",""),"(",""),")",""),4,3)&amp;"-"&amp;MID(SUBSTITUTE(SUBSTITUTE(SUBSTITUTE(SUBSTITUTE(SUBSTITUTE(Клиенты_исходные!D185," ",""),"-",""),"+",""),"(",""),")",""),6,2)&amp;"-"&amp;MID(SUBSTITUTE(SUBSTITUTE(SUBSTITUTE(SUBSTITUTE(SUBSTITUTE(Клиенты_исходные!D185," ",""),"-",""),"+",""),"(",""),")",""),8,2),Клиенты_исходные!D185)))</f>
        <v xml:space="preserve">+7 (903) 789-01-23</v>
      </c>
      <c r="E185" t="str">
        <f>IF(ISBLANK(Клиенты_исходные!E185),"",IF(ISNUMBER(FIND(".",MID(Клиенты_исходные!E185,FIND("@",Клиенты_исходные!E185)+1,255))),Клиенты_исходные!E185,IF(ISNUMBER(FIND("gmail",Клиенты_исходные!E185)),Клиенты_исходные!E185&amp;".com",Клиенты_исходные!E185&amp;".ru")))</f>
        <v>prokopenko@mail.ru</v>
      </c>
      <c r="F185" t="str">
        <f>IFERROR(VLOOKUP(Клиенты_исходные!F185,Справочники!$J$2:$K$50,2,FALSE),Клиенты_исходные!F185)</f>
        <v>Химки</v>
      </c>
      <c r="G185" s="8">
        <f>IFERROR(IF(ISNUMBER(FIND(".",Клиенты_исходные!G185)),DATE(RIGHT(Клиенты_исходные!G185,4),MID(Клиенты_исходные!G185,4,2),LEFT(Клиенты_исходные!G185,2)),DATE(LEFT(Клиенты_исходные!G185,4),MID(Клиенты_исходные!G185,6,2),RIGHT(Клиенты_исходные!G185,2))),Клиенты_исходные!G185)</f>
        <v>46419</v>
      </c>
      <c r="H185">
        <f t="shared" ca="1" si="55"/>
        <v>55</v>
      </c>
      <c r="I185" t="str">
        <f t="shared" si="56"/>
        <v>OK</v>
      </c>
      <c r="J185" t="str">
        <f t="shared" si="57"/>
        <v>OK</v>
      </c>
    </row>
    <row r="186">
      <c r="A186" t="str">
        <f>Клиенты_исходные!A186</f>
        <v>C0185</v>
      </c>
      <c r="B186" t="str">
        <f>PROPER(TRIM(Клиенты_исходные!B186))</f>
        <v xml:space="preserve">Сафонова Ирина Александровна</v>
      </c>
      <c r="C186" s="8">
        <f>IFERROR(IF(ISNUMBER(FIND(".",Клиенты_исходные!C186)),DATE(RIGHT(Клиенты_исходные!C186,4),MID(Клиенты_исходные!C186,4,2),LEFT(Клиенты_исходные!C186,2)),DATE(LEFT(Клиенты_исходные!C186,4),MID(Клиенты_исходные!C186,6,2),RIGHT(Клиенты_исходные!C186,2))),Клиенты_исходные!C186)</f>
        <v>32221</v>
      </c>
      <c r="D186" t="str">
        <f>IF(ISBLANK(Клиенты_исходные!D186),"",IF(LEN(SUBSTITUTE(SUBSTITUTE(SUBSTITUTE(SUBSTITUTE(SUBSTITUTE(Клиенты_исходные!D186," ",""),"-",""),"+",""),"(",""),")",""))=11,"+7 ("&amp;MID(IF(LEFT(SUBSTITUTE(SUBSTITUTE(SUBSTITUTE(SUBSTITUTE(SUBSTITUTE(Клиенты_исходные!D186," ",""),"-",""),"+",""),"(",""),")",""))="8","7"&amp;MID(SUBSTITUTE(SUBSTITUTE(SUBSTITUTE(SUBSTITUTE(SUBSTITUTE(Клиенты_исходные!D186," ",""),"-",""),"+",""),"(",""),")",""),2,10),SUBSTITUTE(SUBSTITUTE(SUBSTITUTE(SUBSTITUTE(SUBSTITUTE(Клиенты_исходные!D186," ",""),"-",""),"+",""),"(",""),")","")),2,3)&amp;") "&amp;MID(IF(LEFT(SUBSTITUTE(SUBSTITUTE(SUBSTITUTE(SUBSTITUTE(SUBSTITUTE(Клиенты_исходные!D186," ",""),"-",""),"+",""),"(",""),")",""))="8","7"&amp;MID(SUBSTITUTE(SUBSTITUTE(SUBSTITUTE(SUBSTITUTE(SUBSTITUTE(Клиенты_исходные!D186," ",""),"-",""),"+",""),"(",""),")",""),2,10),SUBSTITUTE(SUBSTITUTE(SUBSTITUTE(SUBSTITUTE(SUBSTITUTE(Клиенты_исходные!D186," ",""),"-",""),"+",""),"(",""),")","")),5,3)&amp;"-"&amp;MID(IF(LEFT(SUBSTITUTE(SUBSTITUTE(SUBSTITUTE(SUBSTITUTE(SUBSTITUTE(Клиенты_исходные!D186," ",""),"-",""),"+",""),"(",""),")",""))="8","7"&amp;MID(SUBSTITUTE(SUBSTITUTE(SUBSTITUTE(SUBSTITUTE(SUBSTITUTE(Клиенты_исходные!D186," ",""),"-",""),"+",""),"(",""),")",""),2,10),SUBSTITUTE(SUBSTITUTE(SUBSTITUTE(SUBSTITUTE(SUBSTITUTE(Клиенты_исходные!D186," ",""),"-",""),"+",""),"(",""),")","")),8,2)&amp;"-"&amp;MID(IF(LEFT(SUBSTITUTE(SUBSTITUTE(SUBSTITUTE(SUBSTITUTE(SUBSTITUTE(Клиенты_исходные!D186," ",""),"-",""),"+",""),"(",""),")",""))="8","7"&amp;MID(SUBSTITUTE(SUBSTITUTE(SUBSTITUTE(SUBSTITUTE(SUBSTITUTE(Клиенты_исходные!D186," ",""),"-",""),"+",""),"(",""),")",""),2,10),SUBSTITUTE(SUBSTITUTE(SUBSTITUTE(SUBSTITUTE(SUBSTITUTE(Клиенты_исходные!D186," ",""),"-",""),"+",""),"(",""),")","")),10,2),IF(LEN(SUBSTITUTE(SUBSTITUTE(SUBSTITUTE(SUBSTITUTE(SUBSTITUTE(Клиенты_исходные!D186," ",""),"-",""),"+",""),"(",""),")",""))=10,"+7 ("&amp;MID(SUBSTITUTE(SUBSTITUTE(SUBSTITUTE(SUBSTITUTE(SUBSTITUTE(Клиенты_исходные!D186," ",""),"-",""),"+",""),"(",""),")",""),1,3)&amp;") "&amp;MID(SUBSTITUTE(SUBSTITUTE(SUBSTITUTE(SUBSTITUTE(SUBSTITUTE(Клиенты_исходные!D186," ",""),"-",""),"+",""),"(",""),")",""),4,3)&amp;"-"&amp;MID(SUBSTITUTE(SUBSTITUTE(SUBSTITUTE(SUBSTITUTE(SUBSTITUTE(Клиенты_исходные!D186," ",""),"-",""),"+",""),"(",""),")",""),6,2)&amp;"-"&amp;MID(SUBSTITUTE(SUBSTITUTE(SUBSTITUTE(SUBSTITUTE(SUBSTITUTE(Клиенты_исходные!D186," ",""),"-",""),"+",""),"(",""),")",""),8,2),Клиенты_исходные!D186)))</f>
        <v xml:space="preserve">+7 (903) 789-01-23</v>
      </c>
      <c r="E186" t="str">
        <f>IF(ISBLANK(Клиенты_исходные!E186),"",IF(ISNUMBER(FIND(".",MID(Клиенты_исходные!E186,FIND("@",Клиенты_исходные!E186)+1,255))),Клиенты_исходные!E186,IF(ISNUMBER(FIND("gmail",Клиенты_исходные!E186)),Клиенты_исходные!E186&amp;".com",Клиенты_исходные!E186&amp;".ru")))</f>
        <v>safonova@yandex.ru</v>
      </c>
      <c r="F186" t="str">
        <f>IFERROR(VLOOKUP(Клиенты_исходные!F186,Справочники!$J$2:$K$50,2,FALSE),Клиенты_исходные!F186)</f>
        <v>Подольск</v>
      </c>
      <c r="G186" s="8">
        <f>IFERROR(IF(ISNUMBER(FIND(".",Клиенты_исходные!G186)),DATE(RIGHT(Клиенты_исходные!G186,4),MID(Клиенты_исходные!G186,4,2),LEFT(Клиенты_исходные!G186,2)),DATE(LEFT(Клиенты_исходные!G186,4),MID(Клиенты_исходные!G186,6,2),RIGHT(Клиенты_исходные!G186,2))),Клиенты_исходные!G186)</f>
        <v>46428</v>
      </c>
      <c r="H186">
        <f t="shared" ca="1" si="55"/>
        <v>38</v>
      </c>
      <c r="I186" t="str">
        <f t="shared" si="56"/>
        <v>OK</v>
      </c>
      <c r="J186" t="str">
        <f t="shared" si="57"/>
        <v>OK</v>
      </c>
    </row>
    <row r="187">
      <c r="A187" t="str">
        <f>Клиенты_исходные!A187</f>
        <v>C0186</v>
      </c>
      <c r="B187" t="str">
        <f>PROPER(TRIM(Клиенты_исходные!B187))</f>
        <v xml:space="preserve">Колесов Иван Михайлович</v>
      </c>
      <c r="C187" s="8">
        <f>IFERROR(IF(ISNUMBER(FIND(".",Клиенты_исходные!C187)),DATE(RIGHT(Клиенты_исходные!C187,4),MID(Клиенты_исходные!C187,4,2),LEFT(Клиенты_исходные!C187,2)),DATE(LEFT(Клиенты_исходные!C187,4),MID(Клиенты_исходные!C187,6,2),RIGHT(Клиенты_исходные!C187,2))),Клиенты_исходные!C187)</f>
        <v>35038</v>
      </c>
      <c r="D187" t="str">
        <f>IF(ISBLANK(Клиенты_исходные!D187),"",IF(LEN(SUBSTITUTE(SUBSTITUTE(SUBSTITUTE(SUBSTITUTE(SUBSTITUTE(Клиенты_исходные!D187," ",""),"-",""),"+",""),"(",""),")",""))=11,"+7 ("&amp;MID(IF(LEFT(SUBSTITUTE(SUBSTITUTE(SUBSTITUTE(SUBSTITUTE(SUBSTITUTE(Клиенты_исходные!D187," ",""),"-",""),"+",""),"(",""),")",""))="8","7"&amp;MID(SUBSTITUTE(SUBSTITUTE(SUBSTITUTE(SUBSTITUTE(SUBSTITUTE(Клиенты_исходные!D187," ",""),"-",""),"+",""),"(",""),")",""),2,10),SUBSTITUTE(SUBSTITUTE(SUBSTITUTE(SUBSTITUTE(SUBSTITUTE(Клиенты_исходные!D187," ",""),"-",""),"+",""),"(",""),")","")),2,3)&amp;") "&amp;MID(IF(LEFT(SUBSTITUTE(SUBSTITUTE(SUBSTITUTE(SUBSTITUTE(SUBSTITUTE(Клиенты_исходные!D187," ",""),"-",""),"+",""),"(",""),")",""))="8","7"&amp;MID(SUBSTITUTE(SUBSTITUTE(SUBSTITUTE(SUBSTITUTE(SUBSTITUTE(Клиенты_исходные!D187," ",""),"-",""),"+",""),"(",""),")",""),2,10),SUBSTITUTE(SUBSTITUTE(SUBSTITUTE(SUBSTITUTE(SUBSTITUTE(Клиенты_исходные!D187," ",""),"-",""),"+",""),"(",""),")","")),5,3)&amp;"-"&amp;MID(IF(LEFT(SUBSTITUTE(SUBSTITUTE(SUBSTITUTE(SUBSTITUTE(SUBSTITUTE(Клиенты_исходные!D187," ",""),"-",""),"+",""),"(",""),")",""))="8","7"&amp;MID(SUBSTITUTE(SUBSTITUTE(SUBSTITUTE(SUBSTITUTE(SUBSTITUTE(Клиенты_исходные!D187," ",""),"-",""),"+",""),"(",""),")",""),2,10),SUBSTITUTE(SUBSTITUTE(SUBSTITUTE(SUBSTITUTE(SUBSTITUTE(Клиенты_исходные!D187," ",""),"-",""),"+",""),"(",""),")","")),8,2)&amp;"-"&amp;MID(IF(LEFT(SUBSTITUTE(SUBSTITUTE(SUBSTITUTE(SUBSTITUTE(SUBSTITUTE(Клиенты_исходные!D187," ",""),"-",""),"+",""),"(",""),")",""))="8","7"&amp;MID(SUBSTITUTE(SUBSTITUTE(SUBSTITUTE(SUBSTITUTE(SUBSTITUTE(Клиенты_исходные!D187," ",""),"-",""),"+",""),"(",""),")",""),2,10),SUBSTITUTE(SUBSTITUTE(SUBSTITUTE(SUBSTITUTE(SUBSTITUTE(Клиенты_исходные!D187," ",""),"-",""),"+",""),"(",""),")","")),10,2),IF(LEN(SUBSTITUTE(SUBSTITUTE(SUBSTITUTE(SUBSTITUTE(SUBSTITUTE(Клиенты_исходные!D187," ",""),"-",""),"+",""),"(",""),")",""))=10,"+7 ("&amp;MID(SUBSTITUTE(SUBSTITUTE(SUBSTITUTE(SUBSTITUTE(SUBSTITUTE(Клиенты_исходные!D187," ",""),"-",""),"+",""),"(",""),")",""),1,3)&amp;") "&amp;MID(SUBSTITUTE(SUBSTITUTE(SUBSTITUTE(SUBSTITUTE(SUBSTITUTE(Клиенты_исходные!D187," ",""),"-",""),"+",""),"(",""),")",""),4,3)&amp;"-"&amp;MID(SUBSTITUTE(SUBSTITUTE(SUBSTITUTE(SUBSTITUTE(SUBSTITUTE(Клиенты_исходные!D187," ",""),"-",""),"+",""),"(",""),")",""),6,2)&amp;"-"&amp;MID(SUBSTITUTE(SUBSTITUTE(SUBSTITUTE(SUBSTITUTE(SUBSTITUTE(Клиенты_исходные!D187," ",""),"-",""),"+",""),"(",""),")",""),8,2),Клиенты_исходные!D187)))</f>
        <v xml:space="preserve">+7 (903) 890-12-34</v>
      </c>
      <c r="E187" t="str">
        <f>IF(ISBLANK(Клиенты_исходные!E187),"",IF(ISNUMBER(FIND(".",MID(Клиенты_исходные!E187,FIND("@",Клиенты_исходные!E187)+1,255))),Клиенты_исходные!E187,IF(ISNUMBER(FIND("gmail",Клиенты_исходные!E187)),Клиенты_исходные!E187&amp;".com",Клиенты_исходные!E187&amp;".ru")))</f>
        <v>kolesov@gmail.com</v>
      </c>
      <c r="F187" t="str">
        <f>IFERROR(VLOOKUP(Клиенты_исходные!F187,Справочники!$J$2:$K$50,2,FALSE),Клиенты_исходные!F187)</f>
        <v>Балашиха</v>
      </c>
      <c r="G187" s="8">
        <f>IFERROR(IF(ISNUMBER(FIND(".",Клиенты_исходные!G187)),DATE(RIGHT(Клиенты_исходные!G187,4),MID(Клиенты_исходные!G187,4,2),LEFT(Клиенты_исходные!G187,2)),DATE(LEFT(Клиенты_исходные!G187,4),MID(Клиенты_исходные!G187,6,2),RIGHT(Клиенты_исходные!G187,2))),Клиенты_исходные!G187)</f>
        <v>46428</v>
      </c>
      <c r="H187">
        <f t="shared" ca="1" si="55"/>
        <v>30</v>
      </c>
      <c r="I187" t="str">
        <f t="shared" si="56"/>
        <v>OK</v>
      </c>
      <c r="J187" t="str">
        <f t="shared" si="57"/>
        <v>OK</v>
      </c>
    </row>
    <row r="188">
      <c r="A188" t="str">
        <f>Клиенты_исходные!A188</f>
        <v>C0187</v>
      </c>
      <c r="B188" t="str">
        <f>PROPER(TRIM(Клиенты_исходные!B188))</f>
        <v xml:space="preserve">Трофимова Майя Сергеевна</v>
      </c>
      <c r="C188" s="8">
        <f>IFERROR(IF(ISNUMBER(FIND(".",Клиенты_исходные!C188)),DATE(RIGHT(Клиенты_исходные!C188,4),MID(Клиенты_исходные!C188,4,2),LEFT(Клиенты_исходные!C188,2)),DATE(LEFT(Клиенты_исходные!C188,4),MID(Клиенты_исходные!C188,6,2),RIGHT(Клиенты_исходные!C188,2))),Клиенты_исходные!C188)</f>
        <v>28328</v>
      </c>
      <c r="D188" t="str">
        <f>IF(ISBLANK(Клиенты_исходные!D188),"",IF(LEN(SUBSTITUTE(SUBSTITUTE(SUBSTITUTE(SUBSTITUTE(SUBSTITUTE(Клиенты_исходные!D188," ",""),"-",""),"+",""),"(",""),")",""))=11,"+7 ("&amp;MID(IF(LEFT(SUBSTITUTE(SUBSTITUTE(SUBSTITUTE(SUBSTITUTE(SUBSTITUTE(Клиенты_исходные!D188," ",""),"-",""),"+",""),"(",""),")",""))="8","7"&amp;MID(SUBSTITUTE(SUBSTITUTE(SUBSTITUTE(SUBSTITUTE(SUBSTITUTE(Клиенты_исходные!D188," ",""),"-",""),"+",""),"(",""),")",""),2,10),SUBSTITUTE(SUBSTITUTE(SUBSTITUTE(SUBSTITUTE(SUBSTITUTE(Клиенты_исходные!D188," ",""),"-",""),"+",""),"(",""),")","")),2,3)&amp;") "&amp;MID(IF(LEFT(SUBSTITUTE(SUBSTITUTE(SUBSTITUTE(SUBSTITUTE(SUBSTITUTE(Клиенты_исходные!D188," ",""),"-",""),"+",""),"(",""),")",""))="8","7"&amp;MID(SUBSTITUTE(SUBSTITUTE(SUBSTITUTE(SUBSTITUTE(SUBSTITUTE(Клиенты_исходные!D188," ",""),"-",""),"+",""),"(",""),")",""),2,10),SUBSTITUTE(SUBSTITUTE(SUBSTITUTE(SUBSTITUTE(SUBSTITUTE(Клиенты_исходные!D188," ",""),"-",""),"+",""),"(",""),")","")),5,3)&amp;"-"&amp;MID(IF(LEFT(SUBSTITUTE(SUBSTITUTE(SUBSTITUTE(SUBSTITUTE(SUBSTITUTE(Клиенты_исходные!D188," ",""),"-",""),"+",""),"(",""),")",""))="8","7"&amp;MID(SUBSTITUTE(SUBSTITUTE(SUBSTITUTE(SUBSTITUTE(SUBSTITUTE(Клиенты_исходные!D188," ",""),"-",""),"+",""),"(",""),")",""),2,10),SUBSTITUTE(SUBSTITUTE(SUBSTITUTE(SUBSTITUTE(SUBSTITUTE(Клиенты_исходные!D188," ",""),"-",""),"+",""),"(",""),")","")),8,2)&amp;"-"&amp;MID(IF(LEFT(SUBSTITUTE(SUBSTITUTE(SUBSTITUTE(SUBSTITUTE(SUBSTITUTE(Клиенты_исходные!D188," ",""),"-",""),"+",""),"(",""),")",""))="8","7"&amp;MID(SUBSTITUTE(SUBSTITUTE(SUBSTITUTE(SUBSTITUTE(SUBSTITUTE(Клиенты_исходные!D188," ",""),"-",""),"+",""),"(",""),")",""),2,10),SUBSTITUTE(SUBSTITUTE(SUBSTITUTE(SUBSTITUTE(SUBSTITUTE(Клиенты_исходные!D188," ",""),"-",""),"+",""),"(",""),")","")),10,2),IF(LEN(SUBSTITUTE(SUBSTITUTE(SUBSTITUTE(SUBSTITUTE(SUBSTITUTE(Клиенты_исходные!D188," ",""),"-",""),"+",""),"(",""),")",""))=10,"+7 ("&amp;MID(SUBSTITUTE(SUBSTITUTE(SUBSTITUTE(SUBSTITUTE(SUBSTITUTE(Клиенты_исходные!D188," ",""),"-",""),"+",""),"(",""),")",""),1,3)&amp;") "&amp;MID(SUBSTITUTE(SUBSTITUTE(SUBSTITUTE(SUBSTITUTE(SUBSTITUTE(Клиенты_исходные!D188," ",""),"-",""),"+",""),"(",""),")",""),4,3)&amp;"-"&amp;MID(SUBSTITUTE(SUBSTITUTE(SUBSTITUTE(SUBSTITUTE(SUBSTITUTE(Клиенты_исходные!D188," ",""),"-",""),"+",""),"(",""),")",""),6,2)&amp;"-"&amp;MID(SUBSTITUTE(SUBSTITUTE(SUBSTITUTE(SUBSTITUTE(SUBSTITUTE(Клиенты_исходные!D188," ",""),"-",""),"+",""),"(",""),")",""),8,2),Клиенты_исходные!D188)))</f>
        <v xml:space="preserve">+7 (903) 890-12-34</v>
      </c>
      <c r="E188" t="str">
        <f>IF(ISBLANK(Клиенты_исходные!E188),"",IF(ISNUMBER(FIND(".",MID(Клиенты_исходные!E188,FIND("@",Клиенты_исходные!E188)+1,255))),Клиенты_исходные!E188,IF(ISNUMBER(FIND("gmail",Клиенты_исходные!E188)),Клиенты_исходные!E188&amp;".com",Клиенты_исходные!E188&amp;".ru")))</f>
        <v>trofimova@mail.ru</v>
      </c>
      <c r="F188" t="str">
        <f>IFERROR(VLOOKUP(Клиенты_исходные!F188,Справочники!$J$2:$K$50,2,FALSE),Клиенты_исходные!F188)</f>
        <v>Сургут</v>
      </c>
      <c r="G188" s="8">
        <f>IFERROR(IF(ISNUMBER(FIND(".",Клиенты_исходные!G188)),DATE(RIGHT(Клиенты_исходные!G188,4),MID(Клиенты_исходные!G188,4,2),LEFT(Клиенты_исходные!G188,2)),DATE(LEFT(Клиенты_исходные!G188,4),MID(Клиенты_исходные!G188,6,2),RIGHT(Клиенты_исходные!G188,2))),Клиенты_исходные!G188)</f>
        <v>46447</v>
      </c>
      <c r="H188">
        <f t="shared" ca="1" si="55"/>
        <v>49</v>
      </c>
      <c r="I188" t="str">
        <f t="shared" si="56"/>
        <v>OK</v>
      </c>
      <c r="J188" t="str">
        <f t="shared" si="57"/>
        <v>OK</v>
      </c>
    </row>
    <row r="189">
      <c r="A189" t="str">
        <f>Клиенты_исходные!A189</f>
        <v>C0188</v>
      </c>
      <c r="B189" t="str">
        <f>PROPER(TRIM(Клиенты_исходные!B189))</f>
        <v xml:space="preserve">Василенко Константин Юрьевич</v>
      </c>
      <c r="C189" s="8">
        <f>IFERROR(IF(ISNUMBER(FIND(".",Клиенты_исходные!C189)),DATE(RIGHT(Клиенты_исходные!C189,4),MID(Клиенты_исходные!C189,4,2),LEFT(Клиенты_исходные!C189,2)),DATE(LEFT(Клиенты_исходные!C189,4),MID(Клиенты_исходные!C189,6,2),RIGHT(Клиенты_исходные!C189,2))),Клиенты_исходные!C189)</f>
        <v>31548</v>
      </c>
      <c r="D189" t="str">
        <f>IF(ISBLANK(Клиенты_исходные!D189),"",IF(LEN(SUBSTITUTE(SUBSTITUTE(SUBSTITUTE(SUBSTITUTE(SUBSTITUTE(Клиенты_исходные!D189," ",""),"-",""),"+",""),"(",""),")",""))=11,"+7 ("&amp;MID(IF(LEFT(SUBSTITUTE(SUBSTITUTE(SUBSTITUTE(SUBSTITUTE(SUBSTITUTE(Клиенты_исходные!D189," ",""),"-",""),"+",""),"(",""),")",""))="8","7"&amp;MID(SUBSTITUTE(SUBSTITUTE(SUBSTITUTE(SUBSTITUTE(SUBSTITUTE(Клиенты_исходные!D189," ",""),"-",""),"+",""),"(",""),")",""),2,10),SUBSTITUTE(SUBSTITUTE(SUBSTITUTE(SUBSTITUTE(SUBSTITUTE(Клиенты_исходные!D189," ",""),"-",""),"+",""),"(",""),")","")),2,3)&amp;") "&amp;MID(IF(LEFT(SUBSTITUTE(SUBSTITUTE(SUBSTITUTE(SUBSTITUTE(SUBSTITUTE(Клиенты_исходные!D189," ",""),"-",""),"+",""),"(",""),")",""))="8","7"&amp;MID(SUBSTITUTE(SUBSTITUTE(SUBSTITUTE(SUBSTITUTE(SUBSTITUTE(Клиенты_исходные!D189," ",""),"-",""),"+",""),"(",""),")",""),2,10),SUBSTITUTE(SUBSTITUTE(SUBSTITUTE(SUBSTITUTE(SUBSTITUTE(Клиенты_исходные!D189," ",""),"-",""),"+",""),"(",""),")","")),5,3)&amp;"-"&amp;MID(IF(LEFT(SUBSTITUTE(SUBSTITUTE(SUBSTITUTE(SUBSTITUTE(SUBSTITUTE(Клиенты_исходные!D189," ",""),"-",""),"+",""),"(",""),")",""))="8","7"&amp;MID(SUBSTITUTE(SUBSTITUTE(SUBSTITUTE(SUBSTITUTE(SUBSTITUTE(Клиенты_исходные!D189," ",""),"-",""),"+",""),"(",""),")",""),2,10),SUBSTITUTE(SUBSTITUTE(SUBSTITUTE(SUBSTITUTE(SUBSTITUTE(Клиенты_исходные!D189," ",""),"-",""),"+",""),"(",""),")","")),8,2)&amp;"-"&amp;MID(IF(LEFT(SUBSTITUTE(SUBSTITUTE(SUBSTITUTE(SUBSTITUTE(SUBSTITUTE(Клиенты_исходные!D189," ",""),"-",""),"+",""),"(",""),")",""))="8","7"&amp;MID(SUBSTITUTE(SUBSTITUTE(SUBSTITUTE(SUBSTITUTE(SUBSTITUTE(Клиенты_исходные!D189," ",""),"-",""),"+",""),"(",""),")",""),2,10),SUBSTITUTE(SUBSTITUTE(SUBSTITUTE(SUBSTITUTE(SUBSTITUTE(Клиенты_исходные!D189," ",""),"-",""),"+",""),"(",""),")","")),10,2),IF(LEN(SUBSTITUTE(SUBSTITUTE(SUBSTITUTE(SUBSTITUTE(SUBSTITUTE(Клиенты_исходные!D189," ",""),"-",""),"+",""),"(",""),")",""))=10,"+7 ("&amp;MID(SUBSTITUTE(SUBSTITUTE(SUBSTITUTE(SUBSTITUTE(SUBSTITUTE(Клиенты_исходные!D189," ",""),"-",""),"+",""),"(",""),")",""),1,3)&amp;") "&amp;MID(SUBSTITUTE(SUBSTITUTE(SUBSTITUTE(SUBSTITUTE(SUBSTITUTE(Клиенты_исходные!D189," ",""),"-",""),"+",""),"(",""),")",""),4,3)&amp;"-"&amp;MID(SUBSTITUTE(SUBSTITUTE(SUBSTITUTE(SUBSTITUTE(SUBSTITUTE(Клиенты_исходные!D189," ",""),"-",""),"+",""),"(",""),")",""),6,2)&amp;"-"&amp;MID(SUBSTITUTE(SUBSTITUTE(SUBSTITUTE(SUBSTITUTE(SUBSTITUTE(Клиенты_исходные!D189," ",""),"-",""),"+",""),"(",""),")",""),8,2),Клиенты_исходные!D189)))</f>
        <v xml:space="preserve">+7 (903) 890-12-34</v>
      </c>
      <c r="E189" t="str">
        <f>IF(ISBLANK(Клиенты_исходные!E189),"",IF(ISNUMBER(FIND(".",MID(Клиенты_исходные!E189,FIND("@",Клиенты_исходные!E189)+1,255))),Клиенты_исходные!E189,IF(ISNUMBER(FIND("gmail",Клиенты_исходные!E189)),Клиенты_исходные!E189&amp;".com",Клиенты_исходные!E189&amp;".ru")))</f>
        <v>vasilenko@yandex.ru</v>
      </c>
      <c r="F189" t="str">
        <f>IFERROR(VLOOKUP(Клиенты_исходные!F189,Справочники!$J$2:$K$50,2,FALSE),Клиенты_исходные!F189)</f>
        <v>Армавир</v>
      </c>
      <c r="G189" s="8">
        <f>IFERROR(IF(ISNUMBER(FIND(".",Клиенты_исходные!G189)),DATE(RIGHT(Клиенты_исходные!G189,4),MID(Клиенты_исходные!G189,4,2),LEFT(Клиенты_исходные!G189,2)),DATE(LEFT(Клиенты_исходные!G189,4),MID(Клиенты_исходные!G189,6,2),RIGHT(Клиенты_исходные!G189,2))),Клиенты_исходные!G189)</f>
        <v>46461</v>
      </c>
      <c r="H189">
        <f t="shared" ca="1" si="55"/>
        <v>40</v>
      </c>
      <c r="I189" t="str">
        <f t="shared" si="56"/>
        <v>OK</v>
      </c>
      <c r="J189" t="str">
        <f t="shared" si="57"/>
        <v>OK</v>
      </c>
    </row>
    <row r="190">
      <c r="A190" t="str">
        <f>Клиенты_исходные!A190</f>
        <v>C0189</v>
      </c>
      <c r="B190" t="str">
        <f>PROPER(TRIM(Клиенты_исходные!B190))</f>
        <v xml:space="preserve">Юрченко Наталья Станиславовна</v>
      </c>
      <c r="C190" s="8">
        <f>IFERROR(IF(ISNUMBER(FIND(".",Клиенты_исходные!C190)),DATE(RIGHT(Клиенты_исходные!C190,4),MID(Клиенты_исходные!C190,4,2),LEFT(Клиенты_исходные!C190,2)),DATE(LEFT(Клиенты_исходные!C190,4),MID(Клиенты_исходные!C190,6,2),RIGHT(Клиенты_исходные!C190,2))),Клиенты_исходные!C190)</f>
        <v>29228</v>
      </c>
      <c r="D190" t="str">
        <f>IF(ISBLANK(Клиенты_исходные!D190),"",IF(LEN(SUBSTITUTE(SUBSTITUTE(SUBSTITUTE(SUBSTITUTE(SUBSTITUTE(Клиенты_исходные!D190," ",""),"-",""),"+",""),"(",""),")",""))=11,"+7 ("&amp;MID(IF(LEFT(SUBSTITUTE(SUBSTITUTE(SUBSTITUTE(SUBSTITUTE(SUBSTITUTE(Клиенты_исходные!D190," ",""),"-",""),"+",""),"(",""),")",""))="8","7"&amp;MID(SUBSTITUTE(SUBSTITUTE(SUBSTITUTE(SUBSTITUTE(SUBSTITUTE(Клиенты_исходные!D190," ",""),"-",""),"+",""),"(",""),")",""),2,10),SUBSTITUTE(SUBSTITUTE(SUBSTITUTE(SUBSTITUTE(SUBSTITUTE(Клиенты_исходные!D190," ",""),"-",""),"+",""),"(",""),")","")),2,3)&amp;") "&amp;MID(IF(LEFT(SUBSTITUTE(SUBSTITUTE(SUBSTITUTE(SUBSTITUTE(SUBSTITUTE(Клиенты_исходные!D190," ",""),"-",""),"+",""),"(",""),")",""))="8","7"&amp;MID(SUBSTITUTE(SUBSTITUTE(SUBSTITUTE(SUBSTITUTE(SUBSTITUTE(Клиенты_исходные!D190," ",""),"-",""),"+",""),"(",""),")",""),2,10),SUBSTITUTE(SUBSTITUTE(SUBSTITUTE(SUBSTITUTE(SUBSTITUTE(Клиенты_исходные!D190," ",""),"-",""),"+",""),"(",""),")","")),5,3)&amp;"-"&amp;MID(IF(LEFT(SUBSTITUTE(SUBSTITUTE(SUBSTITUTE(SUBSTITUTE(SUBSTITUTE(Клиенты_исходные!D190," ",""),"-",""),"+",""),"(",""),")",""))="8","7"&amp;MID(SUBSTITUTE(SUBSTITUTE(SUBSTITUTE(SUBSTITUTE(SUBSTITUTE(Клиенты_исходные!D190," ",""),"-",""),"+",""),"(",""),")",""),2,10),SUBSTITUTE(SUBSTITUTE(SUBSTITUTE(SUBSTITUTE(SUBSTITUTE(Клиенты_исходные!D190," ",""),"-",""),"+",""),"(",""),")","")),8,2)&amp;"-"&amp;MID(IF(LEFT(SUBSTITUTE(SUBSTITUTE(SUBSTITUTE(SUBSTITUTE(SUBSTITUTE(Клиенты_исходные!D190," ",""),"-",""),"+",""),"(",""),")",""))="8","7"&amp;MID(SUBSTITUTE(SUBSTITUTE(SUBSTITUTE(SUBSTITUTE(SUBSTITUTE(Клиенты_исходные!D190," ",""),"-",""),"+",""),"(",""),")",""),2,10),SUBSTITUTE(SUBSTITUTE(SUBSTITUTE(SUBSTITUTE(SUBSTITUTE(Клиенты_исходные!D190," ",""),"-",""),"+",""),"(",""),")","")),10,2),IF(LEN(SUBSTITUTE(SUBSTITUTE(SUBSTITUTE(SUBSTITUTE(SUBSTITUTE(Клиенты_исходные!D190," ",""),"-",""),"+",""),"(",""),")",""))=10,"+7 ("&amp;MID(SUBSTITUTE(SUBSTITUTE(SUBSTITUTE(SUBSTITUTE(SUBSTITUTE(Клиенты_исходные!D190," ",""),"-",""),"+",""),"(",""),")",""),1,3)&amp;") "&amp;MID(SUBSTITUTE(SUBSTITUTE(SUBSTITUTE(SUBSTITUTE(SUBSTITUTE(Клиенты_исходные!D190," ",""),"-",""),"+",""),"(",""),")",""),4,3)&amp;"-"&amp;MID(SUBSTITUTE(SUBSTITUTE(SUBSTITUTE(SUBSTITUTE(SUBSTITUTE(Клиенты_исходные!D190," ",""),"-",""),"+",""),"(",""),")",""),6,2)&amp;"-"&amp;MID(SUBSTITUTE(SUBSTITUTE(SUBSTITUTE(SUBSTITUTE(SUBSTITUTE(Клиенты_исходные!D190," ",""),"-",""),"+",""),"(",""),")",""),8,2),Клиенты_исходные!D190)))</f>
        <v xml:space="preserve">+7 (903) 901-23-45</v>
      </c>
      <c r="E190" t="str">
        <f>IF(ISBLANK(Клиенты_исходные!E190),"",IF(ISNUMBER(FIND(".",MID(Клиенты_исходные!E190,FIND("@",Клиенты_исходные!E190)+1,255))),Клиенты_исходные!E190,IF(ISNUMBER(FIND("gmail",Клиенты_исходные!E190)),Клиенты_исходные!E190&amp;".com",Клиенты_исходные!E190&amp;".ru")))</f>
        <v>yurchenko@gmail.com</v>
      </c>
      <c r="F190" t="str">
        <f>IFERROR(VLOOKUP(Клиенты_исходные!F190,Справочники!$J$2:$K$50,2,FALSE),Клиенты_исходные!F190)</f>
        <v>Волжский</v>
      </c>
      <c r="G190" s="8">
        <f>IFERROR(IF(ISNUMBER(FIND(".",Клиенты_исходные!G190)),DATE(RIGHT(Клиенты_исходные!G190,4),MID(Клиенты_исходные!G190,4,2),LEFT(Клиенты_исходные!G190,2)),DATE(LEFT(Клиенты_исходные!G190,4),MID(Клиенты_исходные!G190,6,2),RIGHT(Клиенты_исходные!G190,2))),Клиенты_исходные!G190)</f>
        <v>46461</v>
      </c>
      <c r="H190">
        <f t="shared" ca="1" si="55"/>
        <v>46</v>
      </c>
      <c r="I190" t="str">
        <f t="shared" si="56"/>
        <v>OK</v>
      </c>
      <c r="J190" t="str">
        <f t="shared" si="57"/>
        <v>OK</v>
      </c>
    </row>
    <row r="191">
      <c r="A191" t="str">
        <f>Клиенты_исходные!A191</f>
        <v>C0190</v>
      </c>
      <c r="B191" t="str">
        <f>PROPER(TRIM(Клиенты_исходные!B191))</f>
        <v xml:space="preserve">Прокофьев Евгений Владиславович</v>
      </c>
      <c r="C191" s="8">
        <f>IFERROR(IF(ISNUMBER(FIND(".",Клиенты_исходные!C191)),DATE(RIGHT(Клиенты_исходные!C191,4),MID(Клиенты_исходные!C191,4,2),LEFT(Клиенты_исходные!C191,2)),DATE(LEFT(Клиенты_исходные!C191,4),MID(Клиенты_исходные!C191,6,2),RIGHT(Клиенты_исходные!C191,2))),Клиенты_исходные!C191)</f>
        <v>27275</v>
      </c>
      <c r="D191" t="str">
        <f>IF(ISBLANK(Клиенты_исходные!D191),"",IF(LEN(SUBSTITUTE(SUBSTITUTE(SUBSTITUTE(SUBSTITUTE(SUBSTITUTE(Клиенты_исходные!D191," ",""),"-",""),"+",""),"(",""),")",""))=11,"+7 ("&amp;MID(IF(LEFT(SUBSTITUTE(SUBSTITUTE(SUBSTITUTE(SUBSTITUTE(SUBSTITUTE(Клиенты_исходные!D191," ",""),"-",""),"+",""),"(",""),")",""))="8","7"&amp;MID(SUBSTITUTE(SUBSTITUTE(SUBSTITUTE(SUBSTITUTE(SUBSTITUTE(Клиенты_исходные!D191," ",""),"-",""),"+",""),"(",""),")",""),2,10),SUBSTITUTE(SUBSTITUTE(SUBSTITUTE(SUBSTITUTE(SUBSTITUTE(Клиенты_исходные!D191," ",""),"-",""),"+",""),"(",""),")","")),2,3)&amp;") "&amp;MID(IF(LEFT(SUBSTITUTE(SUBSTITUTE(SUBSTITUTE(SUBSTITUTE(SUBSTITUTE(Клиенты_исходные!D191," ",""),"-",""),"+",""),"(",""),")",""))="8","7"&amp;MID(SUBSTITUTE(SUBSTITUTE(SUBSTITUTE(SUBSTITUTE(SUBSTITUTE(Клиенты_исходные!D191," ",""),"-",""),"+",""),"(",""),")",""),2,10),SUBSTITUTE(SUBSTITUTE(SUBSTITUTE(SUBSTITUTE(SUBSTITUTE(Клиенты_исходные!D191," ",""),"-",""),"+",""),"(",""),")","")),5,3)&amp;"-"&amp;MID(IF(LEFT(SUBSTITUTE(SUBSTITUTE(SUBSTITUTE(SUBSTITUTE(SUBSTITUTE(Клиенты_исходные!D191," ",""),"-",""),"+",""),"(",""),")",""))="8","7"&amp;MID(SUBSTITUTE(SUBSTITUTE(SUBSTITUTE(SUBSTITUTE(SUBSTITUTE(Клиенты_исходные!D191," ",""),"-",""),"+",""),"(",""),")",""),2,10),SUBSTITUTE(SUBSTITUTE(SUBSTITUTE(SUBSTITUTE(SUBSTITUTE(Клиенты_исходные!D191," ",""),"-",""),"+",""),"(",""),")","")),8,2)&amp;"-"&amp;MID(IF(LEFT(SUBSTITUTE(SUBSTITUTE(SUBSTITUTE(SUBSTITUTE(SUBSTITUTE(Клиенты_исходные!D191," ",""),"-",""),"+",""),"(",""),")",""))="8","7"&amp;MID(SUBSTITUTE(SUBSTITUTE(SUBSTITUTE(SUBSTITUTE(SUBSTITUTE(Клиенты_исходные!D191," ",""),"-",""),"+",""),"(",""),")",""),2,10),SUBSTITUTE(SUBSTITUTE(SUBSTITUTE(SUBSTITUTE(SUBSTITUTE(Клиенты_исходные!D191," ",""),"-",""),"+",""),"(",""),")","")),10,2),IF(LEN(SUBSTITUTE(SUBSTITUTE(SUBSTITUTE(SUBSTITUTE(SUBSTITUTE(Клиенты_исходные!D191," ",""),"-",""),"+",""),"(",""),")",""))=10,"+7 ("&amp;MID(SUBSTITUTE(SUBSTITUTE(SUBSTITUTE(SUBSTITUTE(SUBSTITUTE(Клиенты_исходные!D191," ",""),"-",""),"+",""),"(",""),")",""),1,3)&amp;") "&amp;MID(SUBSTITUTE(SUBSTITUTE(SUBSTITUTE(SUBSTITUTE(SUBSTITUTE(Клиенты_исходные!D191," ",""),"-",""),"+",""),"(",""),")",""),4,3)&amp;"-"&amp;MID(SUBSTITUTE(SUBSTITUTE(SUBSTITUTE(SUBSTITUTE(SUBSTITUTE(Клиенты_исходные!D191," ",""),"-",""),"+",""),"(",""),")",""),6,2)&amp;"-"&amp;MID(SUBSTITUTE(SUBSTITUTE(SUBSTITUTE(SUBSTITUTE(SUBSTITUTE(Клиенты_исходные!D191," ",""),"-",""),"+",""),"(",""),")",""),8,2),Клиенты_исходные!D191)))</f>
        <v xml:space="preserve">+7 (903) 901-23-45</v>
      </c>
      <c r="E191" t="str">
        <f>IF(ISBLANK(Клиенты_исходные!E191),"",IF(ISNUMBER(FIND(".",MID(Клиенты_исходные!E191,FIND("@",Клиенты_исходные!E191)+1,255))),Клиенты_исходные!E191,IF(ISNUMBER(FIND("gmail",Клиенты_исходные!E191)),Клиенты_исходные!E191&amp;".com",Клиенты_исходные!E191&amp;".ru")))</f>
        <v>prokofiev@mail.ru</v>
      </c>
      <c r="F191" t="str">
        <f>IFERROR(VLOOKUP(Клиенты_исходные!F191,Справочники!$J$2:$K$50,2,FALSE),Клиенты_исходные!F191)</f>
        <v>Шахты</v>
      </c>
      <c r="G191" s="8">
        <f>IFERROR(IF(ISNUMBER(FIND(".",Клиенты_исходные!G191)),DATE(RIGHT(Клиенты_исходные!G191,4),MID(Клиенты_исходные!G191,4,2),LEFT(Клиенты_исходные!G191,2)),DATE(LEFT(Клиенты_исходные!G191,4),MID(Клиенты_исходные!G191,6,2),RIGHT(Клиенты_исходные!G191,2))),Клиенты_исходные!G191)</f>
        <v>46478</v>
      </c>
      <c r="H191">
        <f t="shared" ca="1" si="55"/>
        <v>52</v>
      </c>
      <c r="I191" t="str">
        <f t="shared" si="56"/>
        <v>OK</v>
      </c>
      <c r="J191" t="str">
        <f t="shared" si="57"/>
        <v>OK</v>
      </c>
    </row>
    <row r="192">
      <c r="A192" t="str">
        <f>Клиенты_исходные!A192</f>
        <v>C0191</v>
      </c>
      <c r="B192" t="str">
        <f>PROPER(TRIM(Клиенты_исходные!B192))</f>
        <v xml:space="preserve">Зыкова Анна Алексеевна</v>
      </c>
      <c r="C192" s="8">
        <f>IFERROR(IF(ISNUMBER(FIND(".",Клиенты_исходные!C192)),DATE(RIGHT(Клиенты_исходные!C192,4),MID(Клиенты_исходные!C192,4,2),LEFT(Клиенты_исходные!C192,2)),DATE(LEFT(Клиенты_исходные!C192,4),MID(Клиенты_исходные!C192,6,2),RIGHT(Клиенты_исходные!C192,2))),Клиенты_исходные!C192)</f>
        <v>32837</v>
      </c>
      <c r="D192" t="str">
        <f>IF(ISBLANK(Клиенты_исходные!D192),"",IF(LEN(SUBSTITUTE(SUBSTITUTE(SUBSTITUTE(SUBSTITUTE(SUBSTITUTE(Клиенты_исходные!D192," ",""),"-",""),"+",""),"(",""),")",""))=11,"+7 ("&amp;MID(IF(LEFT(SUBSTITUTE(SUBSTITUTE(SUBSTITUTE(SUBSTITUTE(SUBSTITUTE(Клиенты_исходные!D192," ",""),"-",""),"+",""),"(",""),")",""))="8","7"&amp;MID(SUBSTITUTE(SUBSTITUTE(SUBSTITUTE(SUBSTITUTE(SUBSTITUTE(Клиенты_исходные!D192," ",""),"-",""),"+",""),"(",""),")",""),2,10),SUBSTITUTE(SUBSTITUTE(SUBSTITUTE(SUBSTITUTE(SUBSTITUTE(Клиенты_исходные!D192," ",""),"-",""),"+",""),"(",""),")","")),2,3)&amp;") "&amp;MID(IF(LEFT(SUBSTITUTE(SUBSTITUTE(SUBSTITUTE(SUBSTITUTE(SUBSTITUTE(Клиенты_исходные!D192," ",""),"-",""),"+",""),"(",""),")",""))="8","7"&amp;MID(SUBSTITUTE(SUBSTITUTE(SUBSTITUTE(SUBSTITUTE(SUBSTITUTE(Клиенты_исходные!D192," ",""),"-",""),"+",""),"(",""),")",""),2,10),SUBSTITUTE(SUBSTITUTE(SUBSTITUTE(SUBSTITUTE(SUBSTITUTE(Клиенты_исходные!D192," ",""),"-",""),"+",""),"(",""),")","")),5,3)&amp;"-"&amp;MID(IF(LEFT(SUBSTITUTE(SUBSTITUTE(SUBSTITUTE(SUBSTITUTE(SUBSTITUTE(Клиенты_исходные!D192," ",""),"-",""),"+",""),"(",""),")",""))="8","7"&amp;MID(SUBSTITUTE(SUBSTITUTE(SUBSTITUTE(SUBSTITUTE(SUBSTITUTE(Клиенты_исходные!D192," ",""),"-",""),"+",""),"(",""),")",""),2,10),SUBSTITUTE(SUBSTITUTE(SUBSTITUTE(SUBSTITUTE(SUBSTITUTE(Клиенты_исходные!D192," ",""),"-",""),"+",""),"(",""),")","")),8,2)&amp;"-"&amp;MID(IF(LEFT(SUBSTITUTE(SUBSTITUTE(SUBSTITUTE(SUBSTITUTE(SUBSTITUTE(Клиенты_исходные!D192," ",""),"-",""),"+",""),"(",""),")",""))="8","7"&amp;MID(SUBSTITUTE(SUBSTITUTE(SUBSTITUTE(SUBSTITUTE(SUBSTITUTE(Клиенты_исходные!D192," ",""),"-",""),"+",""),"(",""),")",""),2,10),SUBSTITUTE(SUBSTITUTE(SUBSTITUTE(SUBSTITUTE(SUBSTITUTE(Клиенты_исходные!D192," ",""),"-",""),"+",""),"(",""),")","")),10,2),IF(LEN(SUBSTITUTE(SUBSTITUTE(SUBSTITUTE(SUBSTITUTE(SUBSTITUTE(Клиенты_исходные!D192," ",""),"-",""),"+",""),"(",""),")",""))=10,"+7 ("&amp;MID(SUBSTITUTE(SUBSTITUTE(SUBSTITUTE(SUBSTITUTE(SUBSTITUTE(Клиенты_исходные!D192," ",""),"-",""),"+",""),"(",""),")",""),1,3)&amp;") "&amp;MID(SUBSTITUTE(SUBSTITUTE(SUBSTITUTE(SUBSTITUTE(SUBSTITUTE(Клиенты_исходные!D192," ",""),"-",""),"+",""),"(",""),")",""),4,3)&amp;"-"&amp;MID(SUBSTITUTE(SUBSTITUTE(SUBSTITUTE(SUBSTITUTE(SUBSTITUTE(Клиенты_исходные!D192," ",""),"-",""),"+",""),"(",""),")",""),6,2)&amp;"-"&amp;MID(SUBSTITUTE(SUBSTITUTE(SUBSTITUTE(SUBSTITUTE(SUBSTITUTE(Клиенты_исходные!D192," ",""),"-",""),"+",""),"(",""),")",""),8,2),Клиенты_исходные!D192)))</f>
        <v xml:space="preserve">+7 (903) 901-23-45</v>
      </c>
      <c r="E192" t="str">
        <f>IF(ISBLANK(Клиенты_исходные!E192),"",IF(ISNUMBER(FIND(".",MID(Клиенты_исходные!E192,FIND("@",Клиенты_исходные!E192)+1,255))),Клиенты_исходные!E192,IF(ISNUMBER(FIND("gmail",Клиенты_исходные!E192)),Клиенты_исходные!E192&amp;".com",Клиенты_исходные!E192&amp;".ru")))</f>
        <v>zykova@yandex.ru</v>
      </c>
      <c r="F192" t="str">
        <f>IFERROR(VLOOKUP(Клиенты_исходные!F192,Справочники!$J$2:$K$50,2,FALSE),Клиенты_исходные!F192)</f>
        <v>Златоуст</v>
      </c>
      <c r="G192" s="8">
        <f>IFERROR(IF(ISNUMBER(FIND(".",Клиенты_исходные!G192)),DATE(RIGHT(Клиенты_исходные!G192,4),MID(Клиенты_исходные!G192,4,2),LEFT(Клиенты_исходные!G192,2)),DATE(LEFT(Клиенты_исходные!G192,4),MID(Клиенты_исходные!G192,6,2),RIGHT(Клиенты_исходные!G192,2))),Клиенты_исходные!G192)</f>
        <v>46487</v>
      </c>
      <c r="H192">
        <f t="shared" ca="1" si="55"/>
        <v>36</v>
      </c>
      <c r="I192" t="str">
        <f t="shared" si="56"/>
        <v>OK</v>
      </c>
      <c r="J192" t="str">
        <f t="shared" si="57"/>
        <v>OK</v>
      </c>
    </row>
    <row r="193">
      <c r="A193" t="str">
        <f>Клиенты_исходные!A193</f>
        <v>C0192</v>
      </c>
      <c r="B193" t="str">
        <f>PROPER(TRIM(Клиенты_исходные!B193))</f>
        <v xml:space="preserve">Шубин Илья Олегович</v>
      </c>
      <c r="C193" s="8">
        <f>IFERROR(IF(ISNUMBER(FIND(".",Клиенты_исходные!C193)),DATE(RIGHT(Клиенты_исходные!C193,4),MID(Клиенты_исходные!C193,4,2),LEFT(Клиенты_исходные!C193,2)),DATE(LEFT(Клиенты_исходные!C193,4),MID(Клиенты_исходные!C193,6,2),RIGHT(Клиенты_исходные!C193,2))),Клиенты_исходные!C193)</f>
        <v>31149</v>
      </c>
      <c r="D193" t="str">
        <f>IF(ISBLANK(Клиенты_исходные!D193),"",IF(LEN(SUBSTITUTE(SUBSTITUTE(SUBSTITUTE(SUBSTITUTE(SUBSTITUTE(Клиенты_исходные!D193," ",""),"-",""),"+",""),"(",""),")",""))=11,"+7 ("&amp;MID(IF(LEFT(SUBSTITUTE(SUBSTITUTE(SUBSTITUTE(SUBSTITUTE(SUBSTITUTE(Клиенты_исходные!D193," ",""),"-",""),"+",""),"(",""),")",""))="8","7"&amp;MID(SUBSTITUTE(SUBSTITUTE(SUBSTITUTE(SUBSTITUTE(SUBSTITUTE(Клиенты_исходные!D193," ",""),"-",""),"+",""),"(",""),")",""),2,10),SUBSTITUTE(SUBSTITUTE(SUBSTITUTE(SUBSTITUTE(SUBSTITUTE(Клиенты_исходные!D193," ",""),"-",""),"+",""),"(",""),")","")),2,3)&amp;") "&amp;MID(IF(LEFT(SUBSTITUTE(SUBSTITUTE(SUBSTITUTE(SUBSTITUTE(SUBSTITUTE(Клиенты_исходные!D193," ",""),"-",""),"+",""),"(",""),")",""))="8","7"&amp;MID(SUBSTITUTE(SUBSTITUTE(SUBSTITUTE(SUBSTITUTE(SUBSTITUTE(Клиенты_исходные!D193," ",""),"-",""),"+",""),"(",""),")",""),2,10),SUBSTITUTE(SUBSTITUTE(SUBSTITUTE(SUBSTITUTE(SUBSTITUTE(Клиенты_исходные!D193," ",""),"-",""),"+",""),"(",""),")","")),5,3)&amp;"-"&amp;MID(IF(LEFT(SUBSTITUTE(SUBSTITUTE(SUBSTITUTE(SUBSTITUTE(SUBSTITUTE(Клиенты_исходные!D193," ",""),"-",""),"+",""),"(",""),")",""))="8","7"&amp;MID(SUBSTITUTE(SUBSTITUTE(SUBSTITUTE(SUBSTITUTE(SUBSTITUTE(Клиенты_исходные!D193," ",""),"-",""),"+",""),"(",""),")",""),2,10),SUBSTITUTE(SUBSTITUTE(SUBSTITUTE(SUBSTITUTE(SUBSTITUTE(Клиенты_исходные!D193," ",""),"-",""),"+",""),"(",""),")","")),8,2)&amp;"-"&amp;MID(IF(LEFT(SUBSTITUTE(SUBSTITUTE(SUBSTITUTE(SUBSTITUTE(SUBSTITUTE(Клиенты_исходные!D193," ",""),"-",""),"+",""),"(",""),")",""))="8","7"&amp;MID(SUBSTITUTE(SUBSTITUTE(SUBSTITUTE(SUBSTITUTE(SUBSTITUTE(Клиенты_исходные!D193," ",""),"-",""),"+",""),"(",""),")",""),2,10),SUBSTITUTE(SUBSTITUTE(SUBSTITUTE(SUBSTITUTE(SUBSTITUTE(Клиенты_исходные!D193," ",""),"-",""),"+",""),"(",""),")","")),10,2),IF(LEN(SUBSTITUTE(SUBSTITUTE(SUBSTITUTE(SUBSTITUTE(SUBSTITUTE(Клиенты_исходные!D193," ",""),"-",""),"+",""),"(",""),")",""))=10,"+7 ("&amp;MID(SUBSTITUTE(SUBSTITUTE(SUBSTITUTE(SUBSTITUTE(SUBSTITUTE(Клиенты_исходные!D193," ",""),"-",""),"+",""),"(",""),")",""),1,3)&amp;") "&amp;MID(SUBSTITUTE(SUBSTITUTE(SUBSTITUTE(SUBSTITUTE(SUBSTITUTE(Клиенты_исходные!D193," ",""),"-",""),"+",""),"(",""),")",""),4,3)&amp;"-"&amp;MID(SUBSTITUTE(SUBSTITUTE(SUBSTITUTE(SUBSTITUTE(SUBSTITUTE(Клиенты_исходные!D193," ",""),"-",""),"+",""),"(",""),")",""),6,2)&amp;"-"&amp;MID(SUBSTITUTE(SUBSTITUTE(SUBSTITUTE(SUBSTITUTE(SUBSTITUTE(Клиенты_исходные!D193," ",""),"-",""),"+",""),"(",""),")",""),8,2),Клиенты_исходные!D193)))</f>
        <v xml:space="preserve">+7 (903) 012-34-56</v>
      </c>
      <c r="E193" t="str">
        <f>IF(ISBLANK(Клиенты_исходные!E193),"",IF(ISNUMBER(FIND(".",MID(Клиенты_исходные!E193,FIND("@",Клиенты_исходные!E193)+1,255))),Клиенты_исходные!E193,IF(ISNUMBER(FIND("gmail",Клиенты_исходные!E193)),Клиенты_исходные!E193&amp;".com",Клиенты_исходные!E193&amp;".ru")))</f>
        <v>shubin@gmail.com</v>
      </c>
      <c r="F193" t="str">
        <f>IFERROR(VLOOKUP(Клиенты_исходные!F193,Справочники!$J$2:$K$50,2,FALSE),Клиенты_исходные!F193)</f>
        <v>Ангарск</v>
      </c>
      <c r="G193" s="8">
        <f>IFERROR(IF(ISNUMBER(FIND(".",Клиенты_исходные!G193)),DATE(RIGHT(Клиенты_исходные!G193,4),MID(Клиенты_исходные!G193,4,2),LEFT(Клиенты_исходные!G193,2)),DATE(LEFT(Клиенты_исходные!G193,4),MID(Клиенты_исходные!G193,6,2),RIGHT(Клиенты_исходные!G193,2))),Клиенты_исходные!G193)</f>
        <v>46487</v>
      </c>
      <c r="H193">
        <f t="shared" ca="1" si="55"/>
        <v>41</v>
      </c>
      <c r="I193" t="str">
        <f t="shared" si="56"/>
        <v>OK</v>
      </c>
      <c r="J193" t="str">
        <f t="shared" si="57"/>
        <v>OK</v>
      </c>
    </row>
    <row r="194">
      <c r="A194" t="str">
        <f>Клиенты_исходные!A194</f>
        <v>C0193</v>
      </c>
      <c r="B194" t="str">
        <f>PROPER(TRIM(Клиенты_исходные!B194))</f>
        <v xml:space="preserve">Жукова Елена Сергеевна</v>
      </c>
      <c r="C194" s="8">
        <f>IFERROR(IF(ISNUMBER(FIND(".",Клиенты_исходные!C194)),DATE(RIGHT(Клиенты_исходные!C194,4),MID(Клиенты_исходные!C194,4,2),LEFT(Клиенты_исходные!C194,2)),DATE(LEFT(Клиенты_исходные!C194,4),MID(Клиенты_исходные!C194,6,2),RIGHT(Клиенты_исходные!C194,2))),Клиенты_исходные!C194)</f>
        <v>28047</v>
      </c>
      <c r="D194" t="str">
        <f>IF(ISBLANK(Клиенты_исходные!D194),"",IF(LEN(SUBSTITUTE(SUBSTITUTE(SUBSTITUTE(SUBSTITUTE(SUBSTITUTE(Клиенты_исходные!D194," ",""),"-",""),"+",""),"(",""),")",""))=11,"+7 ("&amp;MID(IF(LEFT(SUBSTITUTE(SUBSTITUTE(SUBSTITUTE(SUBSTITUTE(SUBSTITUTE(Клиенты_исходные!D194," ",""),"-",""),"+",""),"(",""),")",""))="8","7"&amp;MID(SUBSTITUTE(SUBSTITUTE(SUBSTITUTE(SUBSTITUTE(SUBSTITUTE(Клиенты_исходные!D194," ",""),"-",""),"+",""),"(",""),")",""),2,10),SUBSTITUTE(SUBSTITUTE(SUBSTITUTE(SUBSTITUTE(SUBSTITUTE(Клиенты_исходные!D194," ",""),"-",""),"+",""),"(",""),")","")),2,3)&amp;") "&amp;MID(IF(LEFT(SUBSTITUTE(SUBSTITUTE(SUBSTITUTE(SUBSTITUTE(SUBSTITUTE(Клиенты_исходные!D194," ",""),"-",""),"+",""),"(",""),")",""))="8","7"&amp;MID(SUBSTITUTE(SUBSTITUTE(SUBSTITUTE(SUBSTITUTE(SUBSTITUTE(Клиенты_исходные!D194," ",""),"-",""),"+",""),"(",""),")",""),2,10),SUBSTITUTE(SUBSTITUTE(SUBSTITUTE(SUBSTITUTE(SUBSTITUTE(Клиенты_исходные!D194," ",""),"-",""),"+",""),"(",""),")","")),5,3)&amp;"-"&amp;MID(IF(LEFT(SUBSTITUTE(SUBSTITUTE(SUBSTITUTE(SUBSTITUTE(SUBSTITUTE(Клиенты_исходные!D194," ",""),"-",""),"+",""),"(",""),")",""))="8","7"&amp;MID(SUBSTITUTE(SUBSTITUTE(SUBSTITUTE(SUBSTITUTE(SUBSTITUTE(Клиенты_исходные!D194," ",""),"-",""),"+",""),"(",""),")",""),2,10),SUBSTITUTE(SUBSTITUTE(SUBSTITUTE(SUBSTITUTE(SUBSTITUTE(Клиенты_исходные!D194," ",""),"-",""),"+",""),"(",""),")","")),8,2)&amp;"-"&amp;MID(IF(LEFT(SUBSTITUTE(SUBSTITUTE(SUBSTITUTE(SUBSTITUTE(SUBSTITUTE(Клиенты_исходные!D194," ",""),"-",""),"+",""),"(",""),")",""))="8","7"&amp;MID(SUBSTITUTE(SUBSTITUTE(SUBSTITUTE(SUBSTITUTE(SUBSTITUTE(Клиенты_исходные!D194," ",""),"-",""),"+",""),"(",""),")",""),2,10),SUBSTITUTE(SUBSTITUTE(SUBSTITUTE(SUBSTITUTE(SUBSTITUTE(Клиенты_исходные!D194," ",""),"-",""),"+",""),"(",""),")","")),10,2),IF(LEN(SUBSTITUTE(SUBSTITUTE(SUBSTITUTE(SUBSTITUTE(SUBSTITUTE(Клиенты_исходные!D194," ",""),"-",""),"+",""),"(",""),")",""))=10,"+7 ("&amp;MID(SUBSTITUTE(SUBSTITUTE(SUBSTITUTE(SUBSTITUTE(SUBSTITUTE(Клиенты_исходные!D194," ",""),"-",""),"+",""),"(",""),")",""),1,3)&amp;") "&amp;MID(SUBSTITUTE(SUBSTITUTE(SUBSTITUTE(SUBSTITUTE(SUBSTITUTE(Клиенты_исходные!D194," ",""),"-",""),"+",""),"(",""),")",""),4,3)&amp;"-"&amp;MID(SUBSTITUTE(SUBSTITUTE(SUBSTITUTE(SUBSTITUTE(SUBSTITUTE(Клиенты_исходные!D194," ",""),"-",""),"+",""),"(",""),")",""),6,2)&amp;"-"&amp;MID(SUBSTITUTE(SUBSTITUTE(SUBSTITUTE(SUBSTITUTE(SUBSTITUTE(Клиенты_исходные!D194," ",""),"-",""),"+",""),"(",""),")",""),8,2),Клиенты_исходные!D194)))</f>
        <v xml:space="preserve">+7 (903) 012-34-56</v>
      </c>
      <c r="E194" t="str">
        <f>IF(ISBLANK(Клиенты_исходные!E194),"",IF(ISNUMBER(FIND(".",MID(Клиенты_исходные!E194,FIND("@",Клиенты_исходные!E194)+1,255))),Клиенты_исходные!E194,IF(ISNUMBER(FIND("gmail",Клиенты_исходные!E194)),Клиенты_исходные!E194&amp;".com",Клиенты_исходные!E194&amp;".ru")))</f>
        <v>zhukova@mail.ru</v>
      </c>
      <c r="F194" t="str">
        <f>IFERROR(VLOOKUP(Клиенты_исходные!F194,Справочники!$J$2:$K$50,2,FALSE),Клиенты_исходные!F194)</f>
        <v>Озёрск</v>
      </c>
      <c r="G194" s="8">
        <f>IFERROR(IF(ISNUMBER(FIND(".",Клиенты_исходные!G194)),DATE(RIGHT(Клиенты_исходные!G194,4),MID(Клиенты_исходные!G194,4,2),LEFT(Клиенты_исходные!G194,2)),DATE(LEFT(Клиенты_исходные!G194,4),MID(Клиенты_исходные!G194,6,2),RIGHT(Клиенты_исходные!G194,2))),Клиенты_исходные!G194)</f>
        <v>46508</v>
      </c>
      <c r="H194">
        <f t="shared" ca="1" si="55"/>
        <v>49</v>
      </c>
      <c r="I194" t="str">
        <f t="shared" si="56"/>
        <v>OK</v>
      </c>
      <c r="J194" t="str">
        <f t="shared" si="57"/>
        <v>OK</v>
      </c>
    </row>
    <row r="195">
      <c r="A195" t="str">
        <f>Клиенты_исходные!A195</f>
        <v>C0194</v>
      </c>
      <c r="B195" t="str">
        <f>PROPER(TRIM(Клиенты_исходные!B195))</f>
        <v xml:space="preserve">Баранов Андрей Владимирович</v>
      </c>
      <c r="C195" s="8">
        <f>IFERROR(IF(ISNUMBER(FIND(".",Клиенты_исходные!C195)),DATE(RIGHT(Клиенты_исходные!C195,4),MID(Клиенты_исходные!C195,4,2),LEFT(Клиенты_исходные!C195,2)),DATE(LEFT(Клиенты_исходные!C195,4),MID(Клиенты_исходные!C195,6,2),RIGHT(Клиенты_исходные!C195,2))),Клиенты_исходные!C195)</f>
        <v>33030</v>
      </c>
      <c r="D195" t="str">
        <f>IF(ISBLANK(Клиенты_исходные!D195),"",IF(LEN(SUBSTITUTE(SUBSTITUTE(SUBSTITUTE(SUBSTITUTE(SUBSTITUTE(Клиенты_исходные!D195," ",""),"-",""),"+",""),"(",""),")",""))=11,"+7 ("&amp;MID(IF(LEFT(SUBSTITUTE(SUBSTITUTE(SUBSTITUTE(SUBSTITUTE(SUBSTITUTE(Клиенты_исходные!D195," ",""),"-",""),"+",""),"(",""),")",""))="8","7"&amp;MID(SUBSTITUTE(SUBSTITUTE(SUBSTITUTE(SUBSTITUTE(SUBSTITUTE(Клиенты_исходные!D195," ",""),"-",""),"+",""),"(",""),")",""),2,10),SUBSTITUTE(SUBSTITUTE(SUBSTITUTE(SUBSTITUTE(SUBSTITUTE(Клиенты_исходные!D195," ",""),"-",""),"+",""),"(",""),")","")),2,3)&amp;") "&amp;MID(IF(LEFT(SUBSTITUTE(SUBSTITUTE(SUBSTITUTE(SUBSTITUTE(SUBSTITUTE(Клиенты_исходные!D195," ",""),"-",""),"+",""),"(",""),")",""))="8","7"&amp;MID(SUBSTITUTE(SUBSTITUTE(SUBSTITUTE(SUBSTITUTE(SUBSTITUTE(Клиенты_исходные!D195," ",""),"-",""),"+",""),"(",""),")",""),2,10),SUBSTITUTE(SUBSTITUTE(SUBSTITUTE(SUBSTITUTE(SUBSTITUTE(Клиенты_исходные!D195," ",""),"-",""),"+",""),"(",""),")","")),5,3)&amp;"-"&amp;MID(IF(LEFT(SUBSTITUTE(SUBSTITUTE(SUBSTITUTE(SUBSTITUTE(SUBSTITUTE(Клиенты_исходные!D195," ",""),"-",""),"+",""),"(",""),")",""))="8","7"&amp;MID(SUBSTITUTE(SUBSTITUTE(SUBSTITUTE(SUBSTITUTE(SUBSTITUTE(Клиенты_исходные!D195," ",""),"-",""),"+",""),"(",""),")",""),2,10),SUBSTITUTE(SUBSTITUTE(SUBSTITUTE(SUBSTITUTE(SUBSTITUTE(Клиенты_исходные!D195," ",""),"-",""),"+",""),"(",""),")","")),8,2)&amp;"-"&amp;MID(IF(LEFT(SUBSTITUTE(SUBSTITUTE(SUBSTITUTE(SUBSTITUTE(SUBSTITUTE(Клиенты_исходные!D195," ",""),"-",""),"+",""),"(",""),")",""))="8","7"&amp;MID(SUBSTITUTE(SUBSTITUTE(SUBSTITUTE(SUBSTITUTE(SUBSTITUTE(Клиенты_исходные!D195," ",""),"-",""),"+",""),"(",""),")",""),2,10),SUBSTITUTE(SUBSTITUTE(SUBSTITUTE(SUBSTITUTE(SUBSTITUTE(Клиенты_исходные!D195," ",""),"-",""),"+",""),"(",""),")","")),10,2),IF(LEN(SUBSTITUTE(SUBSTITUTE(SUBSTITUTE(SUBSTITUTE(SUBSTITUTE(Клиенты_исходные!D195," ",""),"-",""),"+",""),"(",""),")",""))=10,"+7 ("&amp;MID(SUBSTITUTE(SUBSTITUTE(SUBSTITUTE(SUBSTITUTE(SUBSTITUTE(Клиенты_исходные!D195," ",""),"-",""),"+",""),"(",""),")",""),1,3)&amp;") "&amp;MID(SUBSTITUTE(SUBSTITUTE(SUBSTITUTE(SUBSTITUTE(SUBSTITUTE(Клиенты_исходные!D195," ",""),"-",""),"+",""),"(",""),")",""),4,3)&amp;"-"&amp;MID(SUBSTITUTE(SUBSTITUTE(SUBSTITUTE(SUBSTITUTE(SUBSTITUTE(Клиенты_исходные!D195," ",""),"-",""),"+",""),"(",""),")",""),6,2)&amp;"-"&amp;MID(SUBSTITUTE(SUBSTITUTE(SUBSTITUTE(SUBSTITUTE(SUBSTITUTE(Клиенты_исходные!D195," ",""),"-",""),"+",""),"(",""),")",""),8,2),Клиенты_исходные!D195)))</f>
        <v xml:space="preserve">+7 (903) 012-34-56</v>
      </c>
      <c r="E195" t="str">
        <f>IF(ISBLANK(Клиенты_исходные!E195),"",IF(ISNUMBER(FIND(".",MID(Клиенты_исходные!E195,FIND("@",Клиенты_исходные!E195)+1,255))),Клиенты_исходные!E195,IF(ISNUMBER(FIND("gmail",Клиенты_исходные!E195)),Клиенты_исходные!E195&amp;".com",Клиенты_исходные!E195&amp;".ru")))</f>
        <v>baranov@yandex.ru</v>
      </c>
      <c r="F195" t="str">
        <f>IFERROR(VLOOKUP(Клиенты_исходные!F195,Справочники!$J$2:$K$50,2,FALSE),Клиенты_исходные!F195)</f>
        <v>Орел</v>
      </c>
      <c r="G195" s="8">
        <f>IFERROR(IF(ISNUMBER(FIND(".",Клиенты_исходные!G195)),DATE(RIGHT(Клиенты_исходные!G195,4),MID(Клиенты_исходные!G195,4,2),LEFT(Клиенты_исходные!G195,2)),DATE(LEFT(Клиенты_исходные!G195,4),MID(Клиенты_исходные!G195,6,2),RIGHT(Клиенты_исходные!G195,2))),Клиенты_исходные!G195)</f>
        <v>46522</v>
      </c>
      <c r="H195">
        <f t="shared" ca="1" si="55"/>
        <v>36</v>
      </c>
      <c r="I195" t="str">
        <f t="shared" si="56"/>
        <v>OK</v>
      </c>
      <c r="J195" t="str">
        <f t="shared" si="57"/>
        <v>OK</v>
      </c>
    </row>
    <row r="196">
      <c r="A196" t="str">
        <f>Клиенты_исходные!A196</f>
        <v>C0195</v>
      </c>
      <c r="B196" t="str">
        <f>PROPER(TRIM(Клиенты_исходные!B196))</f>
        <v xml:space="preserve">Гурова Инна Павловна</v>
      </c>
      <c r="C196" s="8">
        <f>IFERROR(IF(ISNUMBER(FIND(".",Клиенты_исходные!C196)),DATE(RIGHT(Клиенты_исходные!C196,4),MID(Клиенты_исходные!C196,4,2),LEFT(Клиенты_исходные!C196,2)),DATE(LEFT(Клиенты_исходные!C196,4),MID(Клиенты_исходные!C196,6,2),RIGHT(Клиенты_исходные!C196,2))),Клиенты_исходные!C196)</f>
        <v>30368</v>
      </c>
      <c r="D196" t="str">
        <f>IF(ISBLANK(Клиенты_исходные!D196),"",IF(LEN(SUBSTITUTE(SUBSTITUTE(SUBSTITUTE(SUBSTITUTE(SUBSTITUTE(Клиенты_исходные!D196," ",""),"-",""),"+",""),"(",""),")",""))=11,"+7 ("&amp;MID(IF(LEFT(SUBSTITUTE(SUBSTITUTE(SUBSTITUTE(SUBSTITUTE(SUBSTITUTE(Клиенты_исходные!D196," ",""),"-",""),"+",""),"(",""),")",""))="8","7"&amp;MID(SUBSTITUTE(SUBSTITUTE(SUBSTITUTE(SUBSTITUTE(SUBSTITUTE(Клиенты_исходные!D196," ",""),"-",""),"+",""),"(",""),")",""),2,10),SUBSTITUTE(SUBSTITUTE(SUBSTITUTE(SUBSTITUTE(SUBSTITUTE(Клиенты_исходные!D196," ",""),"-",""),"+",""),"(",""),")","")),2,3)&amp;") "&amp;MID(IF(LEFT(SUBSTITUTE(SUBSTITUTE(SUBSTITUTE(SUBSTITUTE(SUBSTITUTE(Клиенты_исходные!D196," ",""),"-",""),"+",""),"(",""),")",""))="8","7"&amp;MID(SUBSTITUTE(SUBSTITUTE(SUBSTITUTE(SUBSTITUTE(SUBSTITUTE(Клиенты_исходные!D196," ",""),"-",""),"+",""),"(",""),")",""),2,10),SUBSTITUTE(SUBSTITUTE(SUBSTITUTE(SUBSTITUTE(SUBSTITUTE(Клиенты_исходные!D196," ",""),"-",""),"+",""),"(",""),")","")),5,3)&amp;"-"&amp;MID(IF(LEFT(SUBSTITUTE(SUBSTITUTE(SUBSTITUTE(SUBSTITUTE(SUBSTITUTE(Клиенты_исходные!D196," ",""),"-",""),"+",""),"(",""),")",""))="8","7"&amp;MID(SUBSTITUTE(SUBSTITUTE(SUBSTITUTE(SUBSTITUTE(SUBSTITUTE(Клиенты_исходные!D196," ",""),"-",""),"+",""),"(",""),")",""),2,10),SUBSTITUTE(SUBSTITUTE(SUBSTITUTE(SUBSTITUTE(SUBSTITUTE(Клиенты_исходные!D196," ",""),"-",""),"+",""),"(",""),")","")),8,2)&amp;"-"&amp;MID(IF(LEFT(SUBSTITUTE(SUBSTITUTE(SUBSTITUTE(SUBSTITUTE(SUBSTITUTE(Клиенты_исходные!D196," ",""),"-",""),"+",""),"(",""),")",""))="8","7"&amp;MID(SUBSTITUTE(SUBSTITUTE(SUBSTITUTE(SUBSTITUTE(SUBSTITUTE(Клиенты_исходные!D196," ",""),"-",""),"+",""),"(",""),")",""),2,10),SUBSTITUTE(SUBSTITUTE(SUBSTITUTE(SUBSTITUTE(SUBSTITUTE(Клиенты_исходные!D196," ",""),"-",""),"+",""),"(",""),")","")),10,2),IF(LEN(SUBSTITUTE(SUBSTITUTE(SUBSTITUTE(SUBSTITUTE(SUBSTITUTE(Клиенты_исходные!D196," ",""),"-",""),"+",""),"(",""),")",""))=10,"+7 ("&amp;MID(SUBSTITUTE(SUBSTITUTE(SUBSTITUTE(SUBSTITUTE(SUBSTITUTE(Клиенты_исходные!D196," ",""),"-",""),"+",""),"(",""),")",""),1,3)&amp;") "&amp;MID(SUBSTITUTE(SUBSTITUTE(SUBSTITUTE(SUBSTITUTE(SUBSTITUTE(Клиенты_исходные!D196," ",""),"-",""),"+",""),"(",""),")",""),4,3)&amp;"-"&amp;MID(SUBSTITUTE(SUBSTITUTE(SUBSTITUTE(SUBSTITUTE(SUBSTITUTE(Клиенты_исходные!D196," ",""),"-",""),"+",""),"(",""),")",""),6,2)&amp;"-"&amp;MID(SUBSTITUTE(SUBSTITUTE(SUBSTITUTE(SUBSTITUTE(SUBSTITUTE(Клиенты_исходные!D196," ",""),"-",""),"+",""),"(",""),")",""),8,2),Клиенты_исходные!D196)))</f>
        <v xml:space="preserve">+7 (903) 123-45-67</v>
      </c>
      <c r="E196" t="str">
        <f>IF(ISBLANK(Клиенты_исходные!E196),"",IF(ISNUMBER(FIND(".",MID(Клиенты_исходные!E196,FIND("@",Клиенты_исходные!E196)+1,255))),Клиенты_исходные!E196,IF(ISNUMBER(FIND("gmail",Клиенты_исходные!E196)),Клиенты_исходные!E196&amp;".com",Клиенты_исходные!E196&amp;".ru")))</f>
        <v>gurova@gmail.com</v>
      </c>
      <c r="F196" t="str">
        <f>IFERROR(VLOOKUP(Клиенты_исходные!F196,Справочники!$J$2:$K$50,2,FALSE),Клиенты_исходные!F196)</f>
        <v>Якутск</v>
      </c>
      <c r="G196" s="8">
        <f>IFERROR(IF(ISNUMBER(FIND(".",Клиенты_исходные!G196)),DATE(RIGHT(Клиенты_исходные!G196,4),MID(Клиенты_исходные!G196,4,2),LEFT(Клиенты_исходные!G196,2)),DATE(LEFT(Клиенты_исходные!G196,4),MID(Клиенты_исходные!G196,6,2),RIGHT(Клиенты_исходные!G196,2))),Клиенты_исходные!G196)</f>
        <v>46522</v>
      </c>
      <c r="H196">
        <f t="shared" ca="1" si="55"/>
        <v>43</v>
      </c>
      <c r="I196" t="str">
        <f t="shared" si="56"/>
        <v>OK</v>
      </c>
      <c r="J196" t="str">
        <f t="shared" si="57"/>
        <v>OK</v>
      </c>
    </row>
    <row r="197">
      <c r="A197" t="str">
        <f>Клиенты_исходные!A197</f>
        <v>C0196</v>
      </c>
      <c r="B197" t="str">
        <f>PROPER(TRIM(Клиенты_исходные!B197))</f>
        <v xml:space="preserve">Лазарев Алексей Олегович</v>
      </c>
      <c r="C197" s="8">
        <f>IFERROR(IF(ISNUMBER(FIND(".",Клиенты_исходные!C197)),DATE(RIGHT(Клиенты_исходные!C197,4),MID(Клиенты_исходные!C197,4,2),LEFT(Клиенты_исходные!C197,2)),DATE(LEFT(Клиенты_исходные!C197,4),MID(Клиенты_исходные!C197,6,2),RIGHT(Клиенты_исходные!C197,2))),Клиенты_исходные!C197)</f>
        <v>26162</v>
      </c>
      <c r="D197" t="str">
        <f>IF(ISBLANK(Клиенты_исходные!D197),"",IF(LEN(SUBSTITUTE(SUBSTITUTE(SUBSTITUTE(SUBSTITUTE(SUBSTITUTE(Клиенты_исходные!D197," ",""),"-",""),"+",""),"(",""),")",""))=11,"+7 ("&amp;MID(IF(LEFT(SUBSTITUTE(SUBSTITUTE(SUBSTITUTE(SUBSTITUTE(SUBSTITUTE(Клиенты_исходные!D197," ",""),"-",""),"+",""),"(",""),")",""))="8","7"&amp;MID(SUBSTITUTE(SUBSTITUTE(SUBSTITUTE(SUBSTITUTE(SUBSTITUTE(Клиенты_исходные!D197," ",""),"-",""),"+",""),"(",""),")",""),2,10),SUBSTITUTE(SUBSTITUTE(SUBSTITUTE(SUBSTITUTE(SUBSTITUTE(Клиенты_исходные!D197," ",""),"-",""),"+",""),"(",""),")","")),2,3)&amp;") "&amp;MID(IF(LEFT(SUBSTITUTE(SUBSTITUTE(SUBSTITUTE(SUBSTITUTE(SUBSTITUTE(Клиенты_исходные!D197," ",""),"-",""),"+",""),"(",""),")",""))="8","7"&amp;MID(SUBSTITUTE(SUBSTITUTE(SUBSTITUTE(SUBSTITUTE(SUBSTITUTE(Клиенты_исходные!D197," ",""),"-",""),"+",""),"(",""),")",""),2,10),SUBSTITUTE(SUBSTITUTE(SUBSTITUTE(SUBSTITUTE(SUBSTITUTE(Клиенты_исходные!D197," ",""),"-",""),"+",""),"(",""),")","")),5,3)&amp;"-"&amp;MID(IF(LEFT(SUBSTITUTE(SUBSTITUTE(SUBSTITUTE(SUBSTITUTE(SUBSTITUTE(Клиенты_исходные!D197," ",""),"-",""),"+",""),"(",""),")",""))="8","7"&amp;MID(SUBSTITUTE(SUBSTITUTE(SUBSTITUTE(SUBSTITUTE(SUBSTITUTE(Клиенты_исходные!D197," ",""),"-",""),"+",""),"(",""),")",""),2,10),SUBSTITUTE(SUBSTITUTE(SUBSTITUTE(SUBSTITUTE(SUBSTITUTE(Клиенты_исходные!D197," ",""),"-",""),"+",""),"(",""),")","")),8,2)&amp;"-"&amp;MID(IF(LEFT(SUBSTITUTE(SUBSTITUTE(SUBSTITUTE(SUBSTITUTE(SUBSTITUTE(Клиенты_исходные!D197," ",""),"-",""),"+",""),"(",""),")",""))="8","7"&amp;MID(SUBSTITUTE(SUBSTITUTE(SUBSTITUTE(SUBSTITUTE(SUBSTITUTE(Клиенты_исходные!D197," ",""),"-",""),"+",""),"(",""),")",""),2,10),SUBSTITUTE(SUBSTITUTE(SUBSTITUTE(SUBSTITUTE(SUBSTITUTE(Клиенты_исходные!D197," ",""),"-",""),"+",""),"(",""),")","")),10,2),IF(LEN(SUBSTITUTE(SUBSTITUTE(SUBSTITUTE(SUBSTITUTE(SUBSTITUTE(Клиенты_исходные!D197," ",""),"-",""),"+",""),"(",""),")",""))=10,"+7 ("&amp;MID(SUBSTITUTE(SUBSTITUTE(SUBSTITUTE(SUBSTITUTE(SUBSTITUTE(Клиенты_исходные!D197," ",""),"-",""),"+",""),"(",""),")",""),1,3)&amp;") "&amp;MID(SUBSTITUTE(SUBSTITUTE(SUBSTITUTE(SUBSTITUTE(SUBSTITUTE(Клиенты_исходные!D197," ",""),"-",""),"+",""),"(",""),")",""),4,3)&amp;"-"&amp;MID(SUBSTITUTE(SUBSTITUTE(SUBSTITUTE(SUBSTITUTE(SUBSTITUTE(Клиенты_исходные!D197," ",""),"-",""),"+",""),"(",""),")",""),6,2)&amp;"-"&amp;MID(SUBSTITUTE(SUBSTITUTE(SUBSTITUTE(SUBSTITUTE(SUBSTITUTE(Клиенты_исходные!D197," ",""),"-",""),"+",""),"(",""),")",""),8,2),Клиенты_исходные!D197)))</f>
        <v xml:space="preserve">+7 (903) 123-45-67</v>
      </c>
      <c r="E197" t="str">
        <f>IF(ISBLANK(Клиенты_исходные!E197),"",IF(ISNUMBER(FIND(".",MID(Клиенты_исходные!E197,FIND("@",Клиенты_исходные!E197)+1,255))),Клиенты_исходные!E197,IF(ISNUMBER(FIND("gmail",Клиенты_исходные!E197)),Клиенты_исходные!E197&amp;".com",Клиенты_исходные!E197&amp;".ru")))</f>
        <v>lazarev@mail.ru</v>
      </c>
      <c r="F197" t="str">
        <f>IFERROR(VLOOKUP(Клиенты_исходные!F197,Справочники!$J$2:$K$50,2,FALSE),Клиенты_исходные!F197)</f>
        <v>Чебоксары</v>
      </c>
      <c r="G197" s="8">
        <f>IFERROR(IF(ISNUMBER(FIND(".",Клиенты_исходные!G197)),DATE(RIGHT(Клиенты_исходные!G197,4),MID(Клиенты_исходные!G197,4,2),LEFT(Клиенты_исходные!G197,2)),DATE(LEFT(Клиенты_исходные!G197,4),MID(Клиенты_исходные!G197,6,2),RIGHT(Клиенты_исходные!G197,2))),Клиенты_исходные!G197)</f>
        <v>46539</v>
      </c>
      <c r="H197">
        <f t="shared" ca="1" si="55"/>
        <v>55</v>
      </c>
      <c r="I197" t="str">
        <f t="shared" si="56"/>
        <v>OK</v>
      </c>
      <c r="J197" t="str">
        <f t="shared" si="57"/>
        <v>OK</v>
      </c>
    </row>
    <row r="198">
      <c r="A198" t="str">
        <f>Клиенты_исходные!A198</f>
        <v>C0197</v>
      </c>
      <c r="B198" t="str">
        <f>PROPER(TRIM(Клиенты_исходные!B198))</f>
        <v xml:space="preserve">Карташова Ольга Валерьевна</v>
      </c>
      <c r="C198" s="8">
        <f>IFERROR(IF(ISNUMBER(FIND(".",Клиенты_исходные!C198)),DATE(RIGHT(Клиенты_исходные!C198,4),MID(Клиенты_исходные!C198,4,2),LEFT(Клиенты_исходные!C198,2)),DATE(LEFT(Клиенты_исходные!C198,4),MID(Клиенты_исходные!C198,6,2),RIGHT(Клиенты_исходные!C198,2))),Клиенты_исходные!C198)</f>
        <v>32120</v>
      </c>
      <c r="D198" t="str">
        <f>IF(ISBLANK(Клиенты_исходные!D198),"",IF(LEN(SUBSTITUTE(SUBSTITUTE(SUBSTITUTE(SUBSTITUTE(SUBSTITUTE(Клиенты_исходные!D198," ",""),"-",""),"+",""),"(",""),")",""))=11,"+7 ("&amp;MID(IF(LEFT(SUBSTITUTE(SUBSTITUTE(SUBSTITUTE(SUBSTITUTE(SUBSTITUTE(Клиенты_исходные!D198," ",""),"-",""),"+",""),"(",""),")",""))="8","7"&amp;MID(SUBSTITUTE(SUBSTITUTE(SUBSTITUTE(SUBSTITUTE(SUBSTITUTE(Клиенты_исходные!D198," ",""),"-",""),"+",""),"(",""),")",""),2,10),SUBSTITUTE(SUBSTITUTE(SUBSTITUTE(SUBSTITUTE(SUBSTITUTE(Клиенты_исходные!D198," ",""),"-",""),"+",""),"(",""),")","")),2,3)&amp;") "&amp;MID(IF(LEFT(SUBSTITUTE(SUBSTITUTE(SUBSTITUTE(SUBSTITUTE(SUBSTITUTE(Клиенты_исходные!D198," ",""),"-",""),"+",""),"(",""),")",""))="8","7"&amp;MID(SUBSTITUTE(SUBSTITUTE(SUBSTITUTE(SUBSTITUTE(SUBSTITUTE(Клиенты_исходные!D198," ",""),"-",""),"+",""),"(",""),")",""),2,10),SUBSTITUTE(SUBSTITUTE(SUBSTITUTE(SUBSTITUTE(SUBSTITUTE(Клиенты_исходные!D198," ",""),"-",""),"+",""),"(",""),")","")),5,3)&amp;"-"&amp;MID(IF(LEFT(SUBSTITUTE(SUBSTITUTE(SUBSTITUTE(SUBSTITUTE(SUBSTITUTE(Клиенты_исходные!D198," ",""),"-",""),"+",""),"(",""),")",""))="8","7"&amp;MID(SUBSTITUTE(SUBSTITUTE(SUBSTITUTE(SUBSTITUTE(SUBSTITUTE(Клиенты_исходные!D198," ",""),"-",""),"+",""),"(",""),")",""),2,10),SUBSTITUTE(SUBSTITUTE(SUBSTITUTE(SUBSTITUTE(SUBSTITUTE(Клиенты_исходные!D198," ",""),"-",""),"+",""),"(",""),")","")),8,2)&amp;"-"&amp;MID(IF(LEFT(SUBSTITUTE(SUBSTITUTE(SUBSTITUTE(SUBSTITUTE(SUBSTITUTE(Клиенты_исходные!D198," ",""),"-",""),"+",""),"(",""),")",""))="8","7"&amp;MID(SUBSTITUTE(SUBSTITUTE(SUBSTITUTE(SUBSTITUTE(SUBSTITUTE(Клиенты_исходные!D198," ",""),"-",""),"+",""),"(",""),")",""),2,10),SUBSTITUTE(SUBSTITUTE(SUBSTITUTE(SUBSTITUTE(SUBSTITUTE(Клиенты_исходные!D198," ",""),"-",""),"+",""),"(",""),")","")),10,2),IF(LEN(SUBSTITUTE(SUBSTITUTE(SUBSTITUTE(SUBSTITUTE(SUBSTITUTE(Клиенты_исходные!D198," ",""),"-",""),"+",""),"(",""),")",""))=10,"+7 ("&amp;MID(SUBSTITUTE(SUBSTITUTE(SUBSTITUTE(SUBSTITUTE(SUBSTITUTE(Клиенты_исходные!D198," ",""),"-",""),"+",""),"(",""),")",""),1,3)&amp;") "&amp;MID(SUBSTITUTE(SUBSTITUTE(SUBSTITUTE(SUBSTITUTE(SUBSTITUTE(Клиенты_исходные!D198," ",""),"-",""),"+",""),"(",""),")",""),4,3)&amp;"-"&amp;MID(SUBSTITUTE(SUBSTITUTE(SUBSTITUTE(SUBSTITUTE(SUBSTITUTE(Клиенты_исходные!D198," ",""),"-",""),"+",""),"(",""),")",""),6,2)&amp;"-"&amp;MID(SUBSTITUTE(SUBSTITUTE(SUBSTITUTE(SUBSTITUTE(SUBSTITUTE(Клиенты_исходные!D198," ",""),"-",""),"+",""),"(",""),")",""),8,2),Клиенты_исходные!D198)))</f>
        <v xml:space="preserve">+7 (903) 123-45-67</v>
      </c>
      <c r="E198" t="str">
        <f>IF(ISBLANK(Клиенты_исходные!E198),"",IF(ISNUMBER(FIND(".",MID(Клиенты_исходные!E198,FIND("@",Клиенты_исходные!E198)+1,255))),Клиенты_исходные!E198,IF(ISNUMBER(FIND("gmail",Клиенты_исходные!E198)),Клиенты_исходные!E198&amp;".com",Клиенты_исходные!E198&amp;".ru")))</f>
        <v>kartashova@yandex.ru</v>
      </c>
      <c r="F198" t="str">
        <f>IFERROR(VLOOKUP(Клиенты_исходные!F198,Справочники!$J$2:$K$50,2,FALSE),Клиенты_исходные!F198)</f>
        <v>Мурманск</v>
      </c>
      <c r="G198" s="8">
        <f>IFERROR(IF(ISNUMBER(FIND(".",Клиенты_исходные!G198)),DATE(RIGHT(Клиенты_исходные!G198,4),MID(Клиенты_исходные!G198,4,2),LEFT(Клиенты_исходные!G198,2)),DATE(LEFT(Клиенты_исходные!G198,4),MID(Клиенты_исходные!G198,6,2),RIGHT(Клиенты_исходные!G198,2))),Клиенты_исходные!G198)</f>
        <v>46548</v>
      </c>
      <c r="H198">
        <f t="shared" ca="1" si="55"/>
        <v>38</v>
      </c>
      <c r="I198" t="str">
        <f t="shared" si="56"/>
        <v>OK</v>
      </c>
      <c r="J198" t="str">
        <f t="shared" si="57"/>
        <v>OK</v>
      </c>
    </row>
    <row r="199">
      <c r="A199" t="str">
        <f>Клиенты_исходные!A199</f>
        <v>C0198</v>
      </c>
      <c r="B199" t="str">
        <f>PROPER(TRIM(Клиенты_исходные!B199))</f>
        <v xml:space="preserve">Олейник Светлана Николаевна</v>
      </c>
      <c r="C199" s="8">
        <f>IFERROR(IF(ISNUMBER(FIND(".",Клиенты_исходные!C199)),DATE(RIGHT(Клиенты_исходные!C199,4),MID(Клиенты_исходные!C199,4,2),LEFT(Клиенты_исходные!C199,2)),DATE(LEFT(Клиенты_исходные!C199,4),MID(Клиенты_исходные!C199,6,2),RIGHT(Клиенты_исходные!C199,2))),Клиенты_исходные!C199)</f>
        <v>34482</v>
      </c>
      <c r="D199" t="str">
        <f>IF(ISBLANK(Клиенты_исходные!D199),"",IF(LEN(SUBSTITUTE(SUBSTITUTE(SUBSTITUTE(SUBSTITUTE(SUBSTITUTE(Клиенты_исходные!D199," ",""),"-",""),"+",""),"(",""),")",""))=11,"+7 ("&amp;MID(IF(LEFT(SUBSTITUTE(SUBSTITUTE(SUBSTITUTE(SUBSTITUTE(SUBSTITUTE(Клиенты_исходные!D199," ",""),"-",""),"+",""),"(",""),")",""))="8","7"&amp;MID(SUBSTITUTE(SUBSTITUTE(SUBSTITUTE(SUBSTITUTE(SUBSTITUTE(Клиенты_исходные!D199," ",""),"-",""),"+",""),"(",""),")",""),2,10),SUBSTITUTE(SUBSTITUTE(SUBSTITUTE(SUBSTITUTE(SUBSTITUTE(Клиенты_исходные!D199," ",""),"-",""),"+",""),"(",""),")","")),2,3)&amp;") "&amp;MID(IF(LEFT(SUBSTITUTE(SUBSTITUTE(SUBSTITUTE(SUBSTITUTE(SUBSTITUTE(Клиенты_исходные!D199," ",""),"-",""),"+",""),"(",""),")",""))="8","7"&amp;MID(SUBSTITUTE(SUBSTITUTE(SUBSTITUTE(SUBSTITUTE(SUBSTITUTE(Клиенты_исходные!D199," ",""),"-",""),"+",""),"(",""),")",""),2,10),SUBSTITUTE(SUBSTITUTE(SUBSTITUTE(SUBSTITUTE(SUBSTITUTE(Клиенты_исходные!D199," ",""),"-",""),"+",""),"(",""),")","")),5,3)&amp;"-"&amp;MID(IF(LEFT(SUBSTITUTE(SUBSTITUTE(SUBSTITUTE(SUBSTITUTE(SUBSTITUTE(Клиенты_исходные!D199," ",""),"-",""),"+",""),"(",""),")",""))="8","7"&amp;MID(SUBSTITUTE(SUBSTITUTE(SUBSTITUTE(SUBSTITUTE(SUBSTITUTE(Клиенты_исходные!D199," ",""),"-",""),"+",""),"(",""),")",""),2,10),SUBSTITUTE(SUBSTITUTE(SUBSTITUTE(SUBSTITUTE(SUBSTITUTE(Клиенты_исходные!D199," ",""),"-",""),"+",""),"(",""),")","")),8,2)&amp;"-"&amp;MID(IF(LEFT(SUBSTITUTE(SUBSTITUTE(SUBSTITUTE(SUBSTITUTE(SUBSTITUTE(Клиенты_исходные!D199," ",""),"-",""),"+",""),"(",""),")",""))="8","7"&amp;MID(SUBSTITUTE(SUBSTITUTE(SUBSTITUTE(SUBSTITUTE(SUBSTITUTE(Клиенты_исходные!D199," ",""),"-",""),"+",""),"(",""),")",""),2,10),SUBSTITUTE(SUBSTITUTE(SUBSTITUTE(SUBSTITUTE(SUBSTITUTE(Клиенты_исходные!D199," ",""),"-",""),"+",""),"(",""),")","")),10,2),IF(LEN(SUBSTITUTE(SUBSTITUTE(SUBSTITUTE(SUBSTITUTE(SUBSTITUTE(Клиенты_исходные!D199," ",""),"-",""),"+",""),"(",""),")",""))=10,"+7 ("&amp;MID(SUBSTITUTE(SUBSTITUTE(SUBSTITUTE(SUBSTITUTE(SUBSTITUTE(Клиенты_исходные!D199," ",""),"-",""),"+",""),"(",""),")",""),1,3)&amp;") "&amp;MID(SUBSTITUTE(SUBSTITUTE(SUBSTITUTE(SUBSTITUTE(SUBSTITUTE(Клиенты_исходные!D199," ",""),"-",""),"+",""),"(",""),")",""),4,3)&amp;"-"&amp;MID(SUBSTITUTE(SUBSTITUTE(SUBSTITUTE(SUBSTITUTE(SUBSTITUTE(Клиенты_исходные!D199," ",""),"-",""),"+",""),"(",""),")",""),6,2)&amp;"-"&amp;MID(SUBSTITUTE(SUBSTITUTE(SUBSTITUTE(SUBSTITUTE(SUBSTITUTE(Клиенты_исходные!D199," ",""),"-",""),"+",""),"(",""),")",""),8,2),Клиенты_исходные!D199)))</f>
        <v xml:space="preserve">+7 (903) 234-56-78</v>
      </c>
      <c r="E199" t="str">
        <f>IF(ISBLANK(Клиенты_исходные!E199),"",IF(ISNUMBER(FIND(".",MID(Клиенты_исходные!E199,FIND("@",Клиенты_исходные!E199)+1,255))),Клиенты_исходные!E199,IF(ISNUMBER(FIND("gmail",Клиенты_исходные!E199)),Клиенты_исходные!E199&amp;".com",Клиенты_исходные!E199&amp;".ru")))</f>
        <v>oleynik@gmail.com</v>
      </c>
      <c r="F199" t="str">
        <f>IFERROR(VLOOKUP(Клиенты_исходные!F199,Справочники!$J$2:$K$50,2,FALSE),Клиенты_исходные!F199)</f>
        <v>Смоленск</v>
      </c>
      <c r="G199" s="8">
        <f>IFERROR(IF(ISNUMBER(FIND(".",Клиенты_исходные!G199)),DATE(RIGHT(Клиенты_исходные!G199,4),MID(Клиенты_исходные!G199,4,2),LEFT(Клиенты_исходные!G199,2)),DATE(LEFT(Клиенты_исходные!G199,4),MID(Клиенты_исходные!G199,6,2),RIGHT(Клиенты_исходные!G199,2))),Клиенты_исходные!G199)</f>
        <v>46548</v>
      </c>
      <c r="H199">
        <f t="shared" ca="1" si="55"/>
        <v>32</v>
      </c>
      <c r="I199" t="str">
        <f t="shared" si="56"/>
        <v>OK</v>
      </c>
      <c r="J199" t="str">
        <f t="shared" si="57"/>
        <v>OK</v>
      </c>
    </row>
    <row r="200">
      <c r="A200" t="str">
        <f>Клиенты_исходные!A200</f>
        <v>C0199</v>
      </c>
      <c r="B200" t="str">
        <f>PROPER(TRIM(Клиенты_исходные!B200))</f>
        <v xml:space="preserve">Нестеров Никита Алексеевич</v>
      </c>
      <c r="C200" s="8">
        <f>IFERROR(IF(ISNUMBER(FIND(".",Клиенты_исходные!C200)),DATE(RIGHT(Клиенты_исходные!C200,4),MID(Клиенты_исходные!C200,4,2),LEFT(Клиенты_исходные!C200,2)),DATE(LEFT(Клиенты_исходные!C200,4),MID(Клиенты_исходные!C200,6,2),RIGHT(Клиенты_исходные!C200,2))),Клиенты_исходные!C200)</f>
        <v>29039</v>
      </c>
      <c r="D200" t="str">
        <f>IF(ISBLANK(Клиенты_исходные!D200),"",IF(LEN(SUBSTITUTE(SUBSTITUTE(SUBSTITUTE(SUBSTITUTE(SUBSTITUTE(Клиенты_исходные!D200," ",""),"-",""),"+",""),"(",""),")",""))=11,"+7 ("&amp;MID(IF(LEFT(SUBSTITUTE(SUBSTITUTE(SUBSTITUTE(SUBSTITUTE(SUBSTITUTE(Клиенты_исходные!D200," ",""),"-",""),"+",""),"(",""),")",""))="8","7"&amp;MID(SUBSTITUTE(SUBSTITUTE(SUBSTITUTE(SUBSTITUTE(SUBSTITUTE(Клиенты_исходные!D200," ",""),"-",""),"+",""),"(",""),")",""),2,10),SUBSTITUTE(SUBSTITUTE(SUBSTITUTE(SUBSTITUTE(SUBSTITUTE(Клиенты_исходные!D200," ",""),"-",""),"+",""),"(",""),")","")),2,3)&amp;") "&amp;MID(IF(LEFT(SUBSTITUTE(SUBSTITUTE(SUBSTITUTE(SUBSTITUTE(SUBSTITUTE(Клиенты_исходные!D200," ",""),"-",""),"+",""),"(",""),")",""))="8","7"&amp;MID(SUBSTITUTE(SUBSTITUTE(SUBSTITUTE(SUBSTITUTE(SUBSTITUTE(Клиенты_исходные!D200," ",""),"-",""),"+",""),"(",""),")",""),2,10),SUBSTITUTE(SUBSTITUTE(SUBSTITUTE(SUBSTITUTE(SUBSTITUTE(Клиенты_исходные!D200," ",""),"-",""),"+",""),"(",""),")","")),5,3)&amp;"-"&amp;MID(IF(LEFT(SUBSTITUTE(SUBSTITUTE(SUBSTITUTE(SUBSTITUTE(SUBSTITUTE(Клиенты_исходные!D200," ",""),"-",""),"+",""),"(",""),")",""))="8","7"&amp;MID(SUBSTITUTE(SUBSTITUTE(SUBSTITUTE(SUBSTITUTE(SUBSTITUTE(Клиенты_исходные!D200," ",""),"-",""),"+",""),"(",""),")",""),2,10),SUBSTITUTE(SUBSTITUTE(SUBSTITUTE(SUBSTITUTE(SUBSTITUTE(Клиенты_исходные!D200," ",""),"-",""),"+",""),"(",""),")","")),8,2)&amp;"-"&amp;MID(IF(LEFT(SUBSTITUTE(SUBSTITUTE(SUBSTITUTE(SUBSTITUTE(SUBSTITUTE(Клиенты_исходные!D200," ",""),"-",""),"+",""),"(",""),")",""))="8","7"&amp;MID(SUBSTITUTE(SUBSTITUTE(SUBSTITUTE(SUBSTITUTE(SUBSTITUTE(Клиенты_исходные!D200," ",""),"-",""),"+",""),"(",""),")",""),2,10),SUBSTITUTE(SUBSTITUTE(SUBSTITUTE(SUBSTITUTE(SUBSTITUTE(Клиенты_исходные!D200," ",""),"-",""),"+",""),"(",""),")","")),10,2),IF(LEN(SUBSTITUTE(SUBSTITUTE(SUBSTITUTE(SUBSTITUTE(SUBSTITUTE(Клиенты_исходные!D200," ",""),"-",""),"+",""),"(",""),")",""))=10,"+7 ("&amp;MID(SUBSTITUTE(SUBSTITUTE(SUBSTITUTE(SUBSTITUTE(SUBSTITUTE(Клиенты_исходные!D200," ",""),"-",""),"+",""),"(",""),")",""),1,3)&amp;") "&amp;MID(SUBSTITUTE(SUBSTITUTE(SUBSTITUTE(SUBSTITUTE(SUBSTITUTE(Клиенты_исходные!D200," ",""),"-",""),"+",""),"(",""),")",""),4,3)&amp;"-"&amp;MID(SUBSTITUTE(SUBSTITUTE(SUBSTITUTE(SUBSTITUTE(SUBSTITUTE(Клиенты_исходные!D200," ",""),"-",""),"+",""),"(",""),")",""),6,2)&amp;"-"&amp;MID(SUBSTITUTE(SUBSTITUTE(SUBSTITUTE(SUBSTITUTE(SUBSTITUTE(Клиенты_исходные!D200," ",""),"-",""),"+",""),"(",""),")",""),8,2),Клиенты_исходные!D200)))</f>
        <v xml:space="preserve">+7 (903) 234-56-78</v>
      </c>
      <c r="E200" t="str">
        <f>IF(ISBLANK(Клиенты_исходные!E200),"",IF(ISNUMBER(FIND(".",MID(Клиенты_исходные!E200,FIND("@",Клиенты_исходные!E200)+1,255))),Клиенты_исходные!E200,IF(ISNUMBER(FIND("gmail",Клиенты_исходные!E200)),Клиенты_исходные!E200&amp;".com",Клиенты_исходные!E200&amp;".ru")))</f>
        <v>nesterov@mail.ru</v>
      </c>
      <c r="F200" t="str">
        <f>IFERROR(VLOOKUP(Клиенты_исходные!F200,Справочники!$J$2:$K$50,2,FALSE),Клиенты_исходные!F200)</f>
        <v>Тула</v>
      </c>
      <c r="G200" s="8">
        <f>IFERROR(IF(ISNUMBER(FIND(".",Клиенты_исходные!G200)),DATE(RIGHT(Клиенты_исходные!G200,4),MID(Клиенты_исходные!G200,4,2),LEFT(Клиенты_исходные!G200,2)),DATE(LEFT(Клиенты_исходные!G200,4),MID(Клиенты_исходные!G200,6,2),RIGHT(Клиенты_исходные!G200,2))),Клиенты_исходные!G200)</f>
        <v>46569</v>
      </c>
      <c r="H200">
        <f t="shared" ca="1" si="55"/>
        <v>47</v>
      </c>
      <c r="I200" t="str">
        <f t="shared" si="56"/>
        <v>OK</v>
      </c>
      <c r="J200" t="str">
        <f t="shared" si="57"/>
        <v>OK</v>
      </c>
    </row>
    <row r="201">
      <c r="A201" t="str">
        <f>Клиенты_исходные!A201</f>
        <v>C0200</v>
      </c>
      <c r="B201" t="str">
        <f>PROPER(TRIM(Клиенты_исходные!B201))</f>
        <v xml:space="preserve">Рожков Денис Вячеславович</v>
      </c>
      <c r="C201" s="8">
        <f>IFERROR(IF(ISNUMBER(FIND(".",Клиенты_исходные!C201)),DATE(RIGHT(Клиенты_исходные!C201,4),MID(Клиенты_исходные!C201,4,2),LEFT(Клиенты_исходные!C201,2)),DATE(LEFT(Клиенты_исходные!C201,4),MID(Клиенты_исходные!C201,6,2),RIGHT(Клиенты_исходные!C201,2))),Клиенты_исходные!C201)</f>
        <v>31735</v>
      </c>
      <c r="D201" t="str">
        <f>IF(ISBLANK(Клиенты_исходные!D201),"",IF(LEN(SUBSTITUTE(SUBSTITUTE(SUBSTITUTE(SUBSTITUTE(SUBSTITUTE(Клиенты_исходные!D201," ",""),"-",""),"+",""),"(",""),")",""))=11,"+7 ("&amp;MID(IF(LEFT(SUBSTITUTE(SUBSTITUTE(SUBSTITUTE(SUBSTITUTE(SUBSTITUTE(Клиенты_исходные!D201," ",""),"-",""),"+",""),"(",""),")",""))="8","7"&amp;MID(SUBSTITUTE(SUBSTITUTE(SUBSTITUTE(SUBSTITUTE(SUBSTITUTE(Клиенты_исходные!D201," ",""),"-",""),"+",""),"(",""),")",""),2,10),SUBSTITUTE(SUBSTITUTE(SUBSTITUTE(SUBSTITUTE(SUBSTITUTE(Клиенты_исходные!D201," ",""),"-",""),"+",""),"(",""),")","")),2,3)&amp;") "&amp;MID(IF(LEFT(SUBSTITUTE(SUBSTITUTE(SUBSTITUTE(SUBSTITUTE(SUBSTITUTE(Клиенты_исходные!D201," ",""),"-",""),"+",""),"(",""),")",""))="8","7"&amp;MID(SUBSTITUTE(SUBSTITUTE(SUBSTITUTE(SUBSTITUTE(SUBSTITUTE(Клиенты_исходные!D201," ",""),"-",""),"+",""),"(",""),")",""),2,10),SUBSTITUTE(SUBSTITUTE(SUBSTITUTE(SUBSTITUTE(SUBSTITUTE(Клиенты_исходные!D201," ",""),"-",""),"+",""),"(",""),")","")),5,3)&amp;"-"&amp;MID(IF(LEFT(SUBSTITUTE(SUBSTITUTE(SUBSTITUTE(SUBSTITUTE(SUBSTITUTE(Клиенты_исходные!D201," ",""),"-",""),"+",""),"(",""),")",""))="8","7"&amp;MID(SUBSTITUTE(SUBSTITUTE(SUBSTITUTE(SUBSTITUTE(SUBSTITUTE(Клиенты_исходные!D201," ",""),"-",""),"+",""),"(",""),")",""),2,10),SUBSTITUTE(SUBSTITUTE(SUBSTITUTE(SUBSTITUTE(SUBSTITUTE(Клиенты_исходные!D201," ",""),"-",""),"+",""),"(",""),")","")),8,2)&amp;"-"&amp;MID(IF(LEFT(SUBSTITUTE(SUBSTITUTE(SUBSTITUTE(SUBSTITUTE(SUBSTITUTE(Клиенты_исходные!D201," ",""),"-",""),"+",""),"(",""),")",""))="8","7"&amp;MID(SUBSTITUTE(SUBSTITUTE(SUBSTITUTE(SUBSTITUTE(SUBSTITUTE(Клиенты_исходные!D201," ",""),"-",""),"+",""),"(",""),")",""),2,10),SUBSTITUTE(SUBSTITUTE(SUBSTITUTE(SUBSTITUTE(SUBSTITUTE(Клиенты_исходные!D201," ",""),"-",""),"+",""),"(",""),")","")),10,2),IF(LEN(SUBSTITUTE(SUBSTITUTE(SUBSTITUTE(SUBSTITUTE(SUBSTITUTE(Клиенты_исходные!D201," ",""),"-",""),"+",""),"(",""),")",""))=10,"+7 ("&amp;MID(SUBSTITUTE(SUBSTITUTE(SUBSTITUTE(SUBSTITUTE(SUBSTITUTE(Клиенты_исходные!D201," ",""),"-",""),"+",""),"(",""),")",""),1,3)&amp;") "&amp;MID(SUBSTITUTE(SUBSTITUTE(SUBSTITUTE(SUBSTITUTE(SUBSTITUTE(Клиенты_исходные!D201," ",""),"-",""),"+",""),"(",""),")",""),4,3)&amp;"-"&amp;MID(SUBSTITUTE(SUBSTITUTE(SUBSTITUTE(SUBSTITUTE(SUBSTITUTE(Клиенты_исходные!D201," ",""),"-",""),"+",""),"(",""),")",""),6,2)&amp;"-"&amp;MID(SUBSTITUTE(SUBSTITUTE(SUBSTITUTE(SUBSTITUTE(SUBSTITUTE(Клиенты_исходные!D201," ",""),"-",""),"+",""),"(",""),")",""),8,2),Клиенты_исходные!D201)))</f>
        <v xml:space="preserve">+7 (903) 234-56-78</v>
      </c>
      <c r="E201" t="str">
        <f>IF(ISBLANK(Клиенты_исходные!E201),"",IF(ISNUMBER(FIND(".",MID(Клиенты_исходные!E201,FIND("@",Клиенты_исходные!E201)+1,255))),Клиенты_исходные!E201,IF(ISNUMBER(FIND("gmail",Клиенты_исходные!E201)),Клиенты_исходные!E201&amp;".com",Клиенты_исходные!E201&amp;".ru")))</f>
        <v>rozhkov@yandex.ru</v>
      </c>
      <c r="F201" t="str">
        <f>IFERROR(VLOOKUP(Клиенты_исходные!F201,Справочники!$J$2:$K$50,2,FALSE),Клиенты_исходные!F201)</f>
        <v>Калуга</v>
      </c>
      <c r="G201" s="8">
        <f>IFERROR(IF(ISNUMBER(FIND(".",Клиенты_исходные!G201)),DATE(RIGHT(Клиенты_исходные!G201,4),MID(Клиенты_исходные!G201,4,2),LEFT(Клиенты_исходные!G201,2)),DATE(LEFT(Клиенты_исходные!G201,4),MID(Клиенты_исходные!G201,6,2),RIGHT(Клиенты_исходные!G201,2))),Клиенты_исходные!G201)</f>
        <v>46583</v>
      </c>
      <c r="H201">
        <f t="shared" ca="1" si="55"/>
        <v>39</v>
      </c>
      <c r="I201" t="str">
        <f t="shared" si="56"/>
        <v>OK</v>
      </c>
      <c r="J201" t="str">
        <f t="shared" si="57"/>
        <v>OK</v>
      </c>
    </row>
    <row r="202">
      <c r="A202" t="str">
        <f>Клиенты_исходные!A202</f>
        <v>C0201</v>
      </c>
      <c r="B202" t="str">
        <f>PROPER(TRIM(Клиенты_исходные!B202))</f>
        <v xml:space="preserve">Кравченко Екатерина Игоревна</v>
      </c>
      <c r="C202" s="8">
        <f>IFERROR(IF(ISNUMBER(FIND(".",Клиенты_исходные!C202)),DATE(RIGHT(Клиенты_исходные!C202,4),MID(Клиенты_исходные!C202,4,2),LEFT(Клиенты_исходные!C202,2)),DATE(LEFT(Клиенты_исходные!C202,4),MID(Клиенты_исходные!C202,6,2),RIGHT(Клиенты_исходные!C202,2))),Клиенты_исходные!C202)</f>
        <v>29698</v>
      </c>
      <c r="D202" t="str">
        <f>IF(ISBLANK(Клиенты_исходные!D202),"",IF(LEN(SUBSTITUTE(SUBSTITUTE(SUBSTITUTE(SUBSTITUTE(SUBSTITUTE(Клиенты_исходные!D202," ",""),"-",""),"+",""),"(",""),")",""))=11,"+7 ("&amp;MID(IF(LEFT(SUBSTITUTE(SUBSTITUTE(SUBSTITUTE(SUBSTITUTE(SUBSTITUTE(Клиенты_исходные!D202," ",""),"-",""),"+",""),"(",""),")",""))="8","7"&amp;MID(SUBSTITUTE(SUBSTITUTE(SUBSTITUTE(SUBSTITUTE(SUBSTITUTE(Клиенты_исходные!D202," ",""),"-",""),"+",""),"(",""),")",""),2,10),SUBSTITUTE(SUBSTITUTE(SUBSTITUTE(SUBSTITUTE(SUBSTITUTE(Клиенты_исходные!D202," ",""),"-",""),"+",""),"(",""),")","")),2,3)&amp;") "&amp;MID(IF(LEFT(SUBSTITUTE(SUBSTITUTE(SUBSTITUTE(SUBSTITUTE(SUBSTITUTE(Клиенты_исходные!D202," ",""),"-",""),"+",""),"(",""),")",""))="8","7"&amp;MID(SUBSTITUTE(SUBSTITUTE(SUBSTITUTE(SUBSTITUTE(SUBSTITUTE(Клиенты_исходные!D202," ",""),"-",""),"+",""),"(",""),")",""),2,10),SUBSTITUTE(SUBSTITUTE(SUBSTITUTE(SUBSTITUTE(SUBSTITUTE(Клиенты_исходные!D202," ",""),"-",""),"+",""),"(",""),")","")),5,3)&amp;"-"&amp;MID(IF(LEFT(SUBSTITUTE(SUBSTITUTE(SUBSTITUTE(SUBSTITUTE(SUBSTITUTE(Клиенты_исходные!D202," ",""),"-",""),"+",""),"(",""),")",""))="8","7"&amp;MID(SUBSTITUTE(SUBSTITUTE(SUBSTITUTE(SUBSTITUTE(SUBSTITUTE(Клиенты_исходные!D202," ",""),"-",""),"+",""),"(",""),")",""),2,10),SUBSTITUTE(SUBSTITUTE(SUBSTITUTE(SUBSTITUTE(SUBSTITUTE(Клиенты_исходные!D202," ",""),"-",""),"+",""),"(",""),")","")),8,2)&amp;"-"&amp;MID(IF(LEFT(SUBSTITUTE(SUBSTITUTE(SUBSTITUTE(SUBSTITUTE(SUBSTITUTE(Клиенты_исходные!D202," ",""),"-",""),"+",""),"(",""),")",""))="8","7"&amp;MID(SUBSTITUTE(SUBSTITUTE(SUBSTITUTE(SUBSTITUTE(SUBSTITUTE(Клиенты_исходные!D202," ",""),"-",""),"+",""),"(",""),")",""),2,10),SUBSTITUTE(SUBSTITUTE(SUBSTITUTE(SUBSTITUTE(SUBSTITUTE(Клиенты_исходные!D202," ",""),"-",""),"+",""),"(",""),")","")),10,2),IF(LEN(SUBSTITUTE(SUBSTITUTE(SUBSTITUTE(SUBSTITUTE(SUBSTITUTE(Клиенты_исходные!D202," ",""),"-",""),"+",""),"(",""),")",""))=10,"+7 ("&amp;MID(SUBSTITUTE(SUBSTITUTE(SUBSTITUTE(SUBSTITUTE(SUBSTITUTE(Клиенты_исходные!D202," ",""),"-",""),"+",""),"(",""),")",""),1,3)&amp;") "&amp;MID(SUBSTITUTE(SUBSTITUTE(SUBSTITUTE(SUBSTITUTE(SUBSTITUTE(Клиенты_исходные!D202," ",""),"-",""),"+",""),"(",""),")",""),4,3)&amp;"-"&amp;MID(SUBSTITUTE(SUBSTITUTE(SUBSTITUTE(SUBSTITUTE(SUBSTITUTE(Клиенты_исходные!D202," ",""),"-",""),"+",""),"(",""),")",""),6,2)&amp;"-"&amp;MID(SUBSTITUTE(SUBSTITUTE(SUBSTITUTE(SUBSTITUTE(SUBSTITUTE(Клиенты_исходные!D202," ",""),"-",""),"+",""),"(",""),")",""),8,2),Клиенты_исходные!D202)))</f>
        <v xml:space="preserve">+7 (903) 345-67-89</v>
      </c>
      <c r="E202" t="str">
        <f>IF(ISBLANK(Клиенты_исходные!E202),"",IF(ISNUMBER(FIND(".",MID(Клиенты_исходные!E202,FIND("@",Клиенты_исходные!E202)+1,255))),Клиенты_исходные!E202,IF(ISNUMBER(FIND("gmail",Клиенты_исходные!E202)),Клиенты_исходные!E202&amp;".com",Клиенты_исходные!E202&amp;".ru")))</f>
        <v>kravchenko@gmail.com</v>
      </c>
      <c r="F202" t="str">
        <f>IFERROR(VLOOKUP(Клиенты_исходные!F202,Справочники!$J$2:$K$50,2,FALSE),Клиенты_исходные!F202)</f>
        <v>Владикавказ</v>
      </c>
      <c r="G202" s="8">
        <f>IFERROR(IF(ISNUMBER(FIND(".",Клиенты_исходные!G202)),DATE(RIGHT(Клиенты_исходные!G202,4),MID(Клиенты_исходные!G202,4,2),LEFT(Клиенты_исходные!G202,2)),DATE(LEFT(Клиенты_исходные!G202,4),MID(Клиенты_исходные!G202,6,2),RIGHT(Клиенты_исходные!G202,2))),Клиенты_исходные!G202)</f>
        <v>46583</v>
      </c>
      <c r="H202">
        <f t="shared" ca="1" si="55"/>
        <v>45</v>
      </c>
      <c r="I202" t="str">
        <f t="shared" si="56"/>
        <v>OK</v>
      </c>
      <c r="J202" t="str">
        <f t="shared" si="57"/>
        <v>OK</v>
      </c>
    </row>
    <row r="203">
      <c r="A203" t="str">
        <f>Клиенты_исходные!A203</f>
        <v>C0202</v>
      </c>
      <c r="B203" t="str">
        <f>PROPER(TRIM(Клиенты_исходные!B203))</f>
        <v xml:space="preserve">Иванченко Олег Сергеевич</v>
      </c>
      <c r="C203" s="8">
        <f>IFERROR(IF(ISNUMBER(FIND(".",Клиенты_исходные!C203)),DATE(RIGHT(Клиенты_исходные!C203,4),MID(Клиенты_исходные!C203,4,2),LEFT(Клиенты_исходные!C203,2)),DATE(LEFT(Клиенты_исходные!C203,4),MID(Клиенты_исходные!C203,6,2),RIGHT(Клиенты_исходные!C203,2))),Клиенты_исходные!C203)</f>
        <v>27651</v>
      </c>
      <c r="D203" t="str">
        <f>IF(ISBLANK(Клиенты_исходные!D203),"",IF(LEN(SUBSTITUTE(SUBSTITUTE(SUBSTITUTE(SUBSTITUTE(SUBSTITUTE(Клиенты_исходные!D203," ",""),"-",""),"+",""),"(",""),")",""))=11,"+7 ("&amp;MID(IF(LEFT(SUBSTITUTE(SUBSTITUTE(SUBSTITUTE(SUBSTITUTE(SUBSTITUTE(Клиенты_исходные!D203," ",""),"-",""),"+",""),"(",""),")",""))="8","7"&amp;MID(SUBSTITUTE(SUBSTITUTE(SUBSTITUTE(SUBSTITUTE(SUBSTITUTE(Клиенты_исходные!D203," ",""),"-",""),"+",""),"(",""),")",""),2,10),SUBSTITUTE(SUBSTITUTE(SUBSTITUTE(SUBSTITUTE(SUBSTITUTE(Клиенты_исходные!D203," ",""),"-",""),"+",""),"(",""),")","")),2,3)&amp;") "&amp;MID(IF(LEFT(SUBSTITUTE(SUBSTITUTE(SUBSTITUTE(SUBSTITUTE(SUBSTITUTE(Клиенты_исходные!D203," ",""),"-",""),"+",""),"(",""),")",""))="8","7"&amp;MID(SUBSTITUTE(SUBSTITUTE(SUBSTITUTE(SUBSTITUTE(SUBSTITUTE(Клиенты_исходные!D203," ",""),"-",""),"+",""),"(",""),")",""),2,10),SUBSTITUTE(SUBSTITUTE(SUBSTITUTE(SUBSTITUTE(SUBSTITUTE(Клиенты_исходные!D203," ",""),"-",""),"+",""),"(",""),")","")),5,3)&amp;"-"&amp;MID(IF(LEFT(SUBSTITUTE(SUBSTITUTE(SUBSTITUTE(SUBSTITUTE(SUBSTITUTE(Клиенты_исходные!D203," ",""),"-",""),"+",""),"(",""),")",""))="8","7"&amp;MID(SUBSTITUTE(SUBSTITUTE(SUBSTITUTE(SUBSTITUTE(SUBSTITUTE(Клиенты_исходные!D203," ",""),"-",""),"+",""),"(",""),")",""),2,10),SUBSTITUTE(SUBSTITUTE(SUBSTITUTE(SUBSTITUTE(SUBSTITUTE(Клиенты_исходные!D203," ",""),"-",""),"+",""),"(",""),")","")),8,2)&amp;"-"&amp;MID(IF(LEFT(SUBSTITUTE(SUBSTITUTE(SUBSTITUTE(SUBSTITUTE(SUBSTITUTE(Клиенты_исходные!D203," ",""),"-",""),"+",""),"(",""),")",""))="8","7"&amp;MID(SUBSTITUTE(SUBSTITUTE(SUBSTITUTE(SUBSTITUTE(SUBSTITUTE(Клиенты_исходные!D203," ",""),"-",""),"+",""),"(",""),")",""),2,10),SUBSTITUTE(SUBSTITUTE(SUBSTITUTE(SUBSTITUTE(SUBSTITUTE(Клиенты_исходные!D203," ",""),"-",""),"+",""),"(",""),")","")),10,2),IF(LEN(SUBSTITUTE(SUBSTITUTE(SUBSTITUTE(SUBSTITUTE(SUBSTITUTE(Клиенты_исходные!D203," ",""),"-",""),"+",""),"(",""),")",""))=10,"+7 ("&amp;MID(SUBSTITUTE(SUBSTITUTE(SUBSTITUTE(SUBSTITUTE(SUBSTITUTE(Клиенты_исходные!D203," ",""),"-",""),"+",""),"(",""),")",""),1,3)&amp;") "&amp;MID(SUBSTITUTE(SUBSTITUTE(SUBSTITUTE(SUBSTITUTE(SUBSTITUTE(Клиенты_исходные!D203," ",""),"-",""),"+",""),"(",""),")",""),4,3)&amp;"-"&amp;MID(SUBSTITUTE(SUBSTITUTE(SUBSTITUTE(SUBSTITUTE(SUBSTITUTE(Клиенты_исходные!D203," ",""),"-",""),"+",""),"(",""),")",""),6,2)&amp;"-"&amp;MID(SUBSTITUTE(SUBSTITUTE(SUBSTITUTE(SUBSTITUTE(SUBSTITUTE(Клиенты_исходные!D203," ",""),"-",""),"+",""),"(",""),")",""),8,2),Клиенты_исходные!D203)))</f>
        <v xml:space="preserve">+7 (903) 345-67-89</v>
      </c>
      <c r="E203" t="str">
        <f>IF(ISBLANK(Клиенты_исходные!E203),"",IF(ISNUMBER(FIND(".",MID(Клиенты_исходные!E203,FIND("@",Клиенты_исходные!E203)+1,255))),Клиенты_исходные!E203,IF(ISNUMBER(FIND("gmail",Клиенты_исходные!E203)),Клиенты_исходные!E203&amp;".com",Клиенты_исходные!E203&amp;".ru")))</f>
        <v>ivanchenko@mail.ru</v>
      </c>
      <c r="F203" t="str">
        <f>IFERROR(VLOOKUP(Клиенты_исходные!F203,Справочники!$J$2:$K$50,2,FALSE),Клиенты_исходные!F203)</f>
        <v>Смоленск</v>
      </c>
      <c r="G203" s="8">
        <f>IFERROR(IF(ISNUMBER(FIND(".",Клиенты_исходные!G203)),DATE(RIGHT(Клиенты_исходные!G203,4),MID(Клиенты_исходные!G203,4,2),LEFT(Клиенты_исходные!G203,2)),DATE(LEFT(Клиенты_исходные!G203,4),MID(Клиенты_исходные!G203,6,2),RIGHT(Клиенты_исходные!G203,2))),Клиенты_исходные!G203)</f>
        <v>46600</v>
      </c>
      <c r="H203">
        <f t="shared" ca="1" si="55"/>
        <v>51</v>
      </c>
      <c r="I203" t="str">
        <f t="shared" si="56"/>
        <v>OK</v>
      </c>
      <c r="J203" t="str">
        <f t="shared" si="57"/>
        <v>OK</v>
      </c>
    </row>
    <row r="204">
      <c r="A204" t="str">
        <f>Клиенты_исходные!A204</f>
        <v>C0203</v>
      </c>
      <c r="B204" t="str">
        <f>PROPER(TRIM(Клиенты_исходные!B204))</f>
        <v xml:space="preserve">Максимова Алина Павловна</v>
      </c>
      <c r="C204" s="8">
        <f>IFERROR(IF(ISNUMBER(FIND(".",Клиенты_исходные!C204)),DATE(RIGHT(Клиенты_исходные!C204,4),MID(Клиенты_исходные!C204,4,2),LEFT(Клиенты_исходные!C204,2)),DATE(LEFT(Клиенты_исходные!C204,4),MID(Клиенты_исходные!C204,6,2),RIGHT(Клиенты_исходные!C204,2))),Клиенты_исходные!C204)</f>
        <v>33610</v>
      </c>
      <c r="D204" t="str">
        <f>IF(ISBLANK(Клиенты_исходные!D204),"",IF(LEN(SUBSTITUTE(SUBSTITUTE(SUBSTITUTE(SUBSTITUTE(SUBSTITUTE(Клиенты_исходные!D204," ",""),"-",""),"+",""),"(",""),")",""))=11,"+7 ("&amp;MID(IF(LEFT(SUBSTITUTE(SUBSTITUTE(SUBSTITUTE(SUBSTITUTE(SUBSTITUTE(Клиенты_исходные!D204," ",""),"-",""),"+",""),"(",""),")",""))="8","7"&amp;MID(SUBSTITUTE(SUBSTITUTE(SUBSTITUTE(SUBSTITUTE(SUBSTITUTE(Клиенты_исходные!D204," ",""),"-",""),"+",""),"(",""),")",""),2,10),SUBSTITUTE(SUBSTITUTE(SUBSTITUTE(SUBSTITUTE(SUBSTITUTE(Клиенты_исходные!D204," ",""),"-",""),"+",""),"(",""),")","")),2,3)&amp;") "&amp;MID(IF(LEFT(SUBSTITUTE(SUBSTITUTE(SUBSTITUTE(SUBSTITUTE(SUBSTITUTE(Клиенты_исходные!D204," ",""),"-",""),"+",""),"(",""),")",""))="8","7"&amp;MID(SUBSTITUTE(SUBSTITUTE(SUBSTITUTE(SUBSTITUTE(SUBSTITUTE(Клиенты_исходные!D204," ",""),"-",""),"+",""),"(",""),")",""),2,10),SUBSTITUTE(SUBSTITUTE(SUBSTITUTE(SUBSTITUTE(SUBSTITUTE(Клиенты_исходные!D204," ",""),"-",""),"+",""),"(",""),")","")),5,3)&amp;"-"&amp;MID(IF(LEFT(SUBSTITUTE(SUBSTITUTE(SUBSTITUTE(SUBSTITUTE(SUBSTITUTE(Клиенты_исходные!D204," ",""),"-",""),"+",""),"(",""),")",""))="8","7"&amp;MID(SUBSTITUTE(SUBSTITUTE(SUBSTITUTE(SUBSTITUTE(SUBSTITUTE(Клиенты_исходные!D204," ",""),"-",""),"+",""),"(",""),")",""),2,10),SUBSTITUTE(SUBSTITUTE(SUBSTITUTE(SUBSTITUTE(SUBSTITUTE(Клиенты_исходные!D204," ",""),"-",""),"+",""),"(",""),")","")),8,2)&amp;"-"&amp;MID(IF(LEFT(SUBSTITUTE(SUBSTITUTE(SUBSTITUTE(SUBSTITUTE(SUBSTITUTE(Клиенты_исходные!D204," ",""),"-",""),"+",""),"(",""),")",""))="8","7"&amp;MID(SUBSTITUTE(SUBSTITUTE(SUBSTITUTE(SUBSTITUTE(SUBSTITUTE(Клиенты_исходные!D204," ",""),"-",""),"+",""),"(",""),")",""),2,10),SUBSTITUTE(SUBSTITUTE(SUBSTITUTE(SUBSTITUTE(SUBSTITUTE(Клиенты_исходные!D204," ",""),"-",""),"+",""),"(",""),")","")),10,2),IF(LEN(SUBSTITUTE(SUBSTITUTE(SUBSTITUTE(SUBSTITUTE(SUBSTITUTE(Клиенты_исходные!D204," ",""),"-",""),"+",""),"(",""),")",""))=10,"+7 ("&amp;MID(SUBSTITUTE(SUBSTITUTE(SUBSTITUTE(SUBSTITUTE(SUBSTITUTE(Клиенты_исходные!D204," ",""),"-",""),"+",""),"(",""),")",""),1,3)&amp;") "&amp;MID(SUBSTITUTE(SUBSTITUTE(SUBSTITUTE(SUBSTITUTE(SUBSTITUTE(Клиенты_исходные!D204," ",""),"-",""),"+",""),"(",""),")",""),4,3)&amp;"-"&amp;MID(SUBSTITUTE(SUBSTITUTE(SUBSTITUTE(SUBSTITUTE(SUBSTITUTE(Клиенты_исходные!D204," ",""),"-",""),"+",""),"(",""),")",""),6,2)&amp;"-"&amp;MID(SUBSTITUTE(SUBSTITUTE(SUBSTITUTE(SUBSTITUTE(SUBSTITUTE(Клиенты_исходные!D204," ",""),"-",""),"+",""),"(",""),")",""),8,2),Клиенты_исходные!D204)))</f>
        <v xml:space="preserve">+7 (903) 345-67-89</v>
      </c>
      <c r="E204" t="str">
        <f>IF(ISBLANK(Клиенты_исходные!E204),"",IF(ISNUMBER(FIND(".",MID(Клиенты_исходные!E204,FIND("@",Клиенты_исходные!E204)+1,255))),Клиенты_исходные!E204,IF(ISNUMBER(FIND("gmail",Клиенты_исходные!E204)),Клиенты_исходные!E204&amp;".com",Клиенты_исходные!E204&amp;".ru")))</f>
        <v>maksimova@yandex.ru</v>
      </c>
      <c r="F204" t="str">
        <f>IFERROR(VLOOKUP(Клиенты_исходные!F204,Справочники!$J$2:$K$50,2,FALSE),Клиенты_исходные!F204)</f>
        <v>Белгород</v>
      </c>
      <c r="G204" s="8">
        <f>IFERROR(IF(ISNUMBER(FIND(".",Клиенты_исходные!G204)),DATE(RIGHT(Клиенты_исходные!G204,4),MID(Клиенты_исходные!G204,4,2),LEFT(Клиенты_исходные!G204,2)),DATE(LEFT(Клиенты_исходные!G204,4),MID(Клиенты_исходные!G204,6,2),RIGHT(Клиенты_исходные!G204,2))),Клиенты_исходные!G204)</f>
        <v>46609</v>
      </c>
      <c r="H204">
        <f t="shared" ca="1" si="55"/>
        <v>34</v>
      </c>
      <c r="I204" t="str">
        <f t="shared" si="56"/>
        <v>OK</v>
      </c>
      <c r="J204" t="str">
        <f t="shared" si="57"/>
        <v>OK</v>
      </c>
    </row>
    <row r="205">
      <c r="A205" t="str">
        <f>Клиенты_исходные!A205</f>
        <v>C0204</v>
      </c>
      <c r="B205" t="str">
        <f>PROPER(TRIM(Клиенты_исходные!B205))</f>
        <v xml:space="preserve">Петрова Кристина Алексеевна</v>
      </c>
      <c r="C205" s="8">
        <f>IFERROR(IF(ISNUMBER(FIND(".",Клиенты_исходные!C205)),DATE(RIGHT(Клиенты_исходные!C205,4),MID(Клиенты_исходные!C205,4,2),LEFT(Клиенты_исходные!C205,2)),DATE(LEFT(Клиенты_исходные!C205,4),MID(Клиенты_исходные!C205,6,2),RIGHT(Клиенты_исходные!C205,2))),Клиенты_исходные!C205)</f>
        <v>30863</v>
      </c>
      <c r="D205" t="str">
        <f>IF(ISBLANK(Клиенты_исходные!D205),"",IF(LEN(SUBSTITUTE(SUBSTITUTE(SUBSTITUTE(SUBSTITUTE(SUBSTITUTE(Клиенты_исходные!D205," ",""),"-",""),"+",""),"(",""),")",""))=11,"+7 ("&amp;MID(IF(LEFT(SUBSTITUTE(SUBSTITUTE(SUBSTITUTE(SUBSTITUTE(SUBSTITUTE(Клиенты_исходные!D205," ",""),"-",""),"+",""),"(",""),")",""))="8","7"&amp;MID(SUBSTITUTE(SUBSTITUTE(SUBSTITUTE(SUBSTITUTE(SUBSTITUTE(Клиенты_исходные!D205," ",""),"-",""),"+",""),"(",""),")",""),2,10),SUBSTITUTE(SUBSTITUTE(SUBSTITUTE(SUBSTITUTE(SUBSTITUTE(Клиенты_исходные!D205," ",""),"-",""),"+",""),"(",""),")","")),2,3)&amp;") "&amp;MID(IF(LEFT(SUBSTITUTE(SUBSTITUTE(SUBSTITUTE(SUBSTITUTE(SUBSTITUTE(Клиенты_исходные!D205," ",""),"-",""),"+",""),"(",""),")",""))="8","7"&amp;MID(SUBSTITUTE(SUBSTITUTE(SUBSTITUTE(SUBSTITUTE(SUBSTITUTE(Клиенты_исходные!D205," ",""),"-",""),"+",""),"(",""),")",""),2,10),SUBSTITUTE(SUBSTITUTE(SUBSTITUTE(SUBSTITUTE(SUBSTITUTE(Клиенты_исходные!D205," ",""),"-",""),"+",""),"(",""),")","")),5,3)&amp;"-"&amp;MID(IF(LEFT(SUBSTITUTE(SUBSTITUTE(SUBSTITUTE(SUBSTITUTE(SUBSTITUTE(Клиенты_исходные!D205," ",""),"-",""),"+",""),"(",""),")",""))="8","7"&amp;MID(SUBSTITUTE(SUBSTITUTE(SUBSTITUTE(SUBSTITUTE(SUBSTITUTE(Клиенты_исходные!D205," ",""),"-",""),"+",""),"(",""),")",""),2,10),SUBSTITUTE(SUBSTITUTE(SUBSTITUTE(SUBSTITUTE(SUBSTITUTE(Клиенты_исходные!D205," ",""),"-",""),"+",""),"(",""),")","")),8,2)&amp;"-"&amp;MID(IF(LEFT(SUBSTITUTE(SUBSTITUTE(SUBSTITUTE(SUBSTITUTE(SUBSTITUTE(Клиенты_исходные!D205," ",""),"-",""),"+",""),"(",""),")",""))="8","7"&amp;MID(SUBSTITUTE(SUBSTITUTE(SUBSTITUTE(SUBSTITUTE(SUBSTITUTE(Клиенты_исходные!D205," ",""),"-",""),"+",""),"(",""),")",""),2,10),SUBSTITUTE(SUBSTITUTE(SUBSTITUTE(SUBSTITUTE(SUBSTITUTE(Клиенты_исходные!D205," ",""),"-",""),"+",""),"(",""),")","")),10,2),IF(LEN(SUBSTITUTE(SUBSTITUTE(SUBSTITUTE(SUBSTITUTE(SUBSTITUTE(Клиенты_исходные!D205," ",""),"-",""),"+",""),"(",""),")",""))=10,"+7 ("&amp;MID(SUBSTITUTE(SUBSTITUTE(SUBSTITUTE(SUBSTITUTE(SUBSTITUTE(Клиенты_исходные!D205," ",""),"-",""),"+",""),"(",""),")",""),1,3)&amp;") "&amp;MID(SUBSTITUTE(SUBSTITUTE(SUBSTITUTE(SUBSTITUTE(SUBSTITUTE(Клиенты_исходные!D205," ",""),"-",""),"+",""),"(",""),")",""),4,3)&amp;"-"&amp;MID(SUBSTITUTE(SUBSTITUTE(SUBSTITUTE(SUBSTITUTE(SUBSTITUTE(Клиенты_исходные!D205," ",""),"-",""),"+",""),"(",""),")",""),6,2)&amp;"-"&amp;MID(SUBSTITUTE(SUBSTITUTE(SUBSTITUTE(SUBSTITUTE(SUBSTITUTE(Клиенты_исходные!D205," ",""),"-",""),"+",""),"(",""),")",""),8,2),Клиенты_исходные!D205)))</f>
        <v xml:space="preserve">+7 (903) 456-78-90</v>
      </c>
      <c r="E205" t="str">
        <f>IF(ISBLANK(Клиенты_исходные!E205),"",IF(ISNUMBER(FIND(".",MID(Клиенты_исходные!E205,FIND("@",Клиенты_исходные!E205)+1,255))),Клиенты_исходные!E205,IF(ISNUMBER(FIND("gmail",Клиенты_исходные!E205)),Клиенты_исходные!E205&amp;".com",Клиенты_исходные!E205&amp;".ru")))</f>
        <v>petrova@gmail.com</v>
      </c>
      <c r="F205" t="str">
        <f>IFERROR(VLOOKUP(Клиенты_исходные!F205,Справочники!$J$2:$K$50,2,FALSE),Клиенты_исходные!F205)</f>
        <v>Мурманск</v>
      </c>
      <c r="G205" s="8">
        <f>IFERROR(IF(ISNUMBER(FIND(".",Клиенты_исходные!G205)),DATE(RIGHT(Клиенты_исходные!G205,4),MID(Клиенты_исходные!G205,4,2),LEFT(Клиенты_исходные!G205,2)),DATE(LEFT(Клиенты_исходные!G205,4),MID(Клиенты_исходные!G205,6,2),RIGHT(Клиенты_исходные!G205,2))),Клиенты_исходные!G205)</f>
        <v>46609</v>
      </c>
      <c r="H205">
        <f t="shared" ca="1" si="55"/>
        <v>42</v>
      </c>
      <c r="I205" t="str">
        <f t="shared" si="56"/>
        <v>OK</v>
      </c>
      <c r="J205" t="str">
        <f t="shared" si="57"/>
        <v>OK</v>
      </c>
    </row>
    <row r="206">
      <c r="A206" t="str">
        <f>Клиенты_исходные!A206</f>
        <v>C0205</v>
      </c>
      <c r="B206" t="str">
        <f>PROPER(TRIM(Клиенты_исходные!B206))</f>
        <v xml:space="preserve">Галкина Марина Викторовна</v>
      </c>
      <c r="C206" s="8">
        <f>IFERROR(IF(ISNUMBER(FIND(".",Клиенты_исходные!C206)),DATE(RIGHT(Клиенты_исходные!C206,4),MID(Клиенты_исходные!C206,4,2),LEFT(Клиенты_исходные!C206,2)),DATE(LEFT(Клиенты_исходные!C206,4),MID(Клиенты_исходные!C206,6,2),RIGHT(Клиенты_исходные!C206,2))),Клиенты_исходные!C206)</f>
        <v>28046</v>
      </c>
      <c r="D206" t="str">
        <f>IF(ISBLANK(Клиенты_исходные!D206),"",IF(LEN(SUBSTITUTE(SUBSTITUTE(SUBSTITUTE(SUBSTITUTE(SUBSTITUTE(Клиенты_исходные!D206," ",""),"-",""),"+",""),"(",""),")",""))=11,"+7 ("&amp;MID(IF(LEFT(SUBSTITUTE(SUBSTITUTE(SUBSTITUTE(SUBSTITUTE(SUBSTITUTE(Клиенты_исходные!D206," ",""),"-",""),"+",""),"(",""),")",""))="8","7"&amp;MID(SUBSTITUTE(SUBSTITUTE(SUBSTITUTE(SUBSTITUTE(SUBSTITUTE(Клиенты_исходные!D206," ",""),"-",""),"+",""),"(",""),")",""),2,10),SUBSTITUTE(SUBSTITUTE(SUBSTITUTE(SUBSTITUTE(SUBSTITUTE(Клиенты_исходные!D206," ",""),"-",""),"+",""),"(",""),")","")),2,3)&amp;") "&amp;MID(IF(LEFT(SUBSTITUTE(SUBSTITUTE(SUBSTITUTE(SUBSTITUTE(SUBSTITUTE(Клиенты_исходные!D206," ",""),"-",""),"+",""),"(",""),")",""))="8","7"&amp;MID(SUBSTITUTE(SUBSTITUTE(SUBSTITUTE(SUBSTITUTE(SUBSTITUTE(Клиенты_исходные!D206," ",""),"-",""),"+",""),"(",""),")",""),2,10),SUBSTITUTE(SUBSTITUTE(SUBSTITUTE(SUBSTITUTE(SUBSTITUTE(Клиенты_исходные!D206," ",""),"-",""),"+",""),"(",""),")","")),5,3)&amp;"-"&amp;MID(IF(LEFT(SUBSTITUTE(SUBSTITUTE(SUBSTITUTE(SUBSTITUTE(SUBSTITUTE(Клиенты_исходные!D206," ",""),"-",""),"+",""),"(",""),")",""))="8","7"&amp;MID(SUBSTITUTE(SUBSTITUTE(SUBSTITUTE(SUBSTITUTE(SUBSTITUTE(Клиенты_исходные!D206," ",""),"-",""),"+",""),"(",""),")",""),2,10),SUBSTITUTE(SUBSTITUTE(SUBSTITUTE(SUBSTITUTE(SUBSTITUTE(Клиенты_исходные!D206," ",""),"-",""),"+",""),"(",""),")","")),8,2)&amp;"-"&amp;MID(IF(LEFT(SUBSTITUTE(SUBSTITUTE(SUBSTITUTE(SUBSTITUTE(SUBSTITUTE(Клиенты_исходные!D206," ",""),"-",""),"+",""),"(",""),")",""))="8","7"&amp;MID(SUBSTITUTE(SUBSTITUTE(SUBSTITUTE(SUBSTITUTE(SUBSTITUTE(Клиенты_исходные!D206," ",""),"-",""),"+",""),"(",""),")",""),2,10),SUBSTITUTE(SUBSTITUTE(SUBSTITUTE(SUBSTITUTE(SUBSTITUTE(Клиенты_исходные!D206," ",""),"-",""),"+",""),"(",""),")","")),10,2),IF(LEN(SUBSTITUTE(SUBSTITUTE(SUBSTITUTE(SUBSTITUTE(SUBSTITUTE(Клиенты_исходные!D206," ",""),"-",""),"+",""),"(",""),")",""))=10,"+7 ("&amp;MID(SUBSTITUTE(SUBSTITUTE(SUBSTITUTE(SUBSTITUTE(SUBSTITUTE(Клиенты_исходные!D206," ",""),"-",""),"+",""),"(",""),")",""),1,3)&amp;") "&amp;MID(SUBSTITUTE(SUBSTITUTE(SUBSTITUTE(SUBSTITUTE(SUBSTITUTE(Клиенты_исходные!D206," ",""),"-",""),"+",""),"(",""),")",""),4,3)&amp;"-"&amp;MID(SUBSTITUTE(SUBSTITUTE(SUBSTITUTE(SUBSTITUTE(SUBSTITUTE(Клиенты_исходные!D206," ",""),"-",""),"+",""),"(",""),")",""),6,2)&amp;"-"&amp;MID(SUBSTITUTE(SUBSTITUTE(SUBSTITUTE(SUBSTITUTE(SUBSTITUTE(Клиенты_исходные!D206," ",""),"-",""),"+",""),"(",""),")",""),8,2),Клиенты_исходные!D206)))</f>
        <v xml:space="preserve">+7 (903) 456-78-90</v>
      </c>
      <c r="E206" t="str">
        <f>IF(ISBLANK(Клиенты_исходные!E206),"",IF(ISNUMBER(FIND(".",MID(Клиенты_исходные!E206,FIND("@",Клиенты_исходные!E206)+1,255))),Клиенты_исходные!E206,IF(ISNUMBER(FIND("gmail",Клиенты_исходные!E206)),Клиенты_исходные!E206&amp;".com",Клиенты_исходные!E206&amp;".ru")))</f>
        <v>galkina@mail.ru</v>
      </c>
      <c r="F206" t="str">
        <f>IFERROR(VLOOKUP(Клиенты_исходные!F206,Справочники!$J$2:$K$50,2,FALSE),Клиенты_исходные!F206)</f>
        <v>Ставрополь</v>
      </c>
      <c r="G206" s="8">
        <f>IFERROR(IF(ISNUMBER(FIND(".",Клиенты_исходные!G206)),DATE(RIGHT(Клиенты_исходные!G206,4),MID(Клиенты_исходные!G206,4,2),LEFT(Клиенты_исходные!G206,2)),DATE(LEFT(Клиенты_исходные!G206,4),MID(Клиенты_исходные!G206,6,2),RIGHT(Клиенты_исходные!G206,2))),Клиенты_исходные!G206)</f>
        <v>46631</v>
      </c>
      <c r="H206">
        <f t="shared" ca="1" si="55"/>
        <v>49</v>
      </c>
      <c r="I206" t="str">
        <f t="shared" si="56"/>
        <v>OK</v>
      </c>
      <c r="J206" t="str">
        <f t="shared" si="57"/>
        <v>OK</v>
      </c>
    </row>
    <row r="207">
      <c r="A207" t="str">
        <f>Клиенты_исходные!A207</f>
        <v>C0206</v>
      </c>
      <c r="B207" t="str">
        <f>PROPER(TRIM(Клиенты_исходные!B207))</f>
        <v xml:space="preserve">Чистяков Илья Андреевич</v>
      </c>
      <c r="C207" s="8">
        <f>IFERROR(IF(ISNUMBER(FIND(".",Клиенты_исходные!C207)),DATE(RIGHT(Клиенты_исходные!C207,4),MID(Клиенты_исходные!C207,4,2),LEFT(Клиенты_исходные!C207,2)),DATE(LEFT(Клиенты_исходные!C207,4),MID(Клиенты_исходные!C207,6,2),RIGHT(Клиенты_исходные!C207,2))),Клиенты_исходные!C207)</f>
        <v>34030</v>
      </c>
      <c r="D207" t="str">
        <f>IF(ISBLANK(Клиенты_исходные!D207),"",IF(LEN(SUBSTITUTE(SUBSTITUTE(SUBSTITUTE(SUBSTITUTE(SUBSTITUTE(Клиенты_исходные!D207," ",""),"-",""),"+",""),"(",""),")",""))=11,"+7 ("&amp;MID(IF(LEFT(SUBSTITUTE(SUBSTITUTE(SUBSTITUTE(SUBSTITUTE(SUBSTITUTE(Клиенты_исходные!D207," ",""),"-",""),"+",""),"(",""),")",""))="8","7"&amp;MID(SUBSTITUTE(SUBSTITUTE(SUBSTITUTE(SUBSTITUTE(SUBSTITUTE(Клиенты_исходные!D207," ",""),"-",""),"+",""),"(",""),")",""),2,10),SUBSTITUTE(SUBSTITUTE(SUBSTITUTE(SUBSTITUTE(SUBSTITUTE(Клиенты_исходные!D207," ",""),"-",""),"+",""),"(",""),")","")),2,3)&amp;") "&amp;MID(IF(LEFT(SUBSTITUTE(SUBSTITUTE(SUBSTITUTE(SUBSTITUTE(SUBSTITUTE(Клиенты_исходные!D207," ",""),"-",""),"+",""),"(",""),")",""))="8","7"&amp;MID(SUBSTITUTE(SUBSTITUTE(SUBSTITUTE(SUBSTITUTE(SUBSTITUTE(Клиенты_исходные!D207," ",""),"-",""),"+",""),"(",""),")",""),2,10),SUBSTITUTE(SUBSTITUTE(SUBSTITUTE(SUBSTITUTE(SUBSTITUTE(Клиенты_исходные!D207," ",""),"-",""),"+",""),"(",""),")","")),5,3)&amp;"-"&amp;MID(IF(LEFT(SUBSTITUTE(SUBSTITUTE(SUBSTITUTE(SUBSTITUTE(SUBSTITUTE(Клиенты_исходные!D207," ",""),"-",""),"+",""),"(",""),")",""))="8","7"&amp;MID(SUBSTITUTE(SUBSTITUTE(SUBSTITUTE(SUBSTITUTE(SUBSTITUTE(Клиенты_исходные!D207," ",""),"-",""),"+",""),"(",""),")",""),2,10),SUBSTITUTE(SUBSTITUTE(SUBSTITUTE(SUBSTITUTE(SUBSTITUTE(Клиенты_исходные!D207," ",""),"-",""),"+",""),"(",""),")","")),8,2)&amp;"-"&amp;MID(IF(LEFT(SUBSTITUTE(SUBSTITUTE(SUBSTITUTE(SUBSTITUTE(SUBSTITUTE(Клиенты_исходные!D207," ",""),"-",""),"+",""),"(",""),")",""))="8","7"&amp;MID(SUBSTITUTE(SUBSTITUTE(SUBSTITUTE(SUBSTITUTE(SUBSTITUTE(Клиенты_исходные!D207," ",""),"-",""),"+",""),"(",""),")",""),2,10),SUBSTITUTE(SUBSTITUTE(SUBSTITUTE(SUBSTITUTE(SUBSTITUTE(Клиенты_исходные!D207," ",""),"-",""),"+",""),"(",""),")","")),10,2),IF(LEN(SUBSTITUTE(SUBSTITUTE(SUBSTITUTE(SUBSTITUTE(SUBSTITUTE(Клиенты_исходные!D207," ",""),"-",""),"+",""),"(",""),")",""))=10,"+7 ("&amp;MID(SUBSTITUTE(SUBSTITUTE(SUBSTITUTE(SUBSTITUTE(SUBSTITUTE(Клиенты_исходные!D207," ",""),"-",""),"+",""),"(",""),")",""),1,3)&amp;") "&amp;MID(SUBSTITUTE(SUBSTITUTE(SUBSTITUTE(SUBSTITUTE(SUBSTITUTE(Клиенты_исходные!D207," ",""),"-",""),"+",""),"(",""),")",""),4,3)&amp;"-"&amp;MID(SUBSTITUTE(SUBSTITUTE(SUBSTITUTE(SUBSTITUTE(SUBSTITUTE(Клиенты_исходные!D207," ",""),"-",""),"+",""),"(",""),")",""),6,2)&amp;"-"&amp;MID(SUBSTITUTE(SUBSTITUTE(SUBSTITUTE(SUBSTITUTE(SUBSTITUTE(Клиенты_исходные!D207," ",""),"-",""),"+",""),"(",""),")",""),8,2),Клиенты_исходные!D207)))</f>
        <v xml:space="preserve">+7 (903) 456-78-90</v>
      </c>
      <c r="E207" t="str">
        <f>IF(ISBLANK(Клиенты_исходные!E207),"",IF(ISNUMBER(FIND(".",MID(Клиенты_исходные!E207,FIND("@",Клиенты_исходные!E207)+1,255))),Клиенты_исходные!E207,IF(ISNUMBER(FIND("gmail",Клиенты_исходные!E207)),Клиенты_исходные!E207&amp;".com",Клиенты_исходные!E207&amp;".ru")))</f>
        <v>chistyakov@yandex.ru</v>
      </c>
      <c r="F207" t="str">
        <f>IFERROR(VLOOKUP(Клиенты_исходные!F207,Справочники!$J$2:$K$50,2,FALSE),Клиенты_исходные!F207)</f>
        <v>Севастополь</v>
      </c>
      <c r="G207" s="8">
        <f>IFERROR(IF(ISNUMBER(FIND(".",Клиенты_исходные!G207)),DATE(RIGHT(Клиенты_исходные!G207,4),MID(Клиенты_исходные!G207,4,2),LEFT(Клиенты_исходные!G207,2)),DATE(LEFT(Клиенты_исходные!G207,4),MID(Клиенты_исходные!G207,6,2),RIGHT(Клиенты_исходные!G207,2))),Клиенты_исходные!G207)</f>
        <v>46645</v>
      </c>
      <c r="H207">
        <f t="shared" ca="1" si="55"/>
        <v>33</v>
      </c>
      <c r="I207" t="str">
        <f t="shared" si="56"/>
        <v>OK</v>
      </c>
      <c r="J207" t="str">
        <f t="shared" si="57"/>
        <v>OK</v>
      </c>
    </row>
    <row r="208">
      <c r="A208" t="str">
        <f>Клиенты_исходные!A208</f>
        <v>C0207</v>
      </c>
      <c r="B208" t="str">
        <f>PROPER(TRIM(Клиенты_исходные!B208))</f>
        <v xml:space="preserve">Чернышова Лариса Николаевна</v>
      </c>
      <c r="C208" s="8">
        <f>IFERROR(IF(ISNUMBER(FIND(".",Клиенты_исходные!C208)),DATE(RIGHT(Клиенты_исходные!C208,4),MID(Клиенты_исходные!C208,4,2),LEFT(Клиенты_исходные!C208,2)),DATE(LEFT(Клиенты_исходные!C208,4),MID(Клиенты_исходные!C208,6,2),RIGHT(Клиенты_исходные!C208,2))),Клиенты_исходные!C208)</f>
        <v>32373</v>
      </c>
      <c r="D208" t="str">
        <f>IF(ISBLANK(Клиенты_исходные!D208),"",IF(LEN(SUBSTITUTE(SUBSTITUTE(SUBSTITUTE(SUBSTITUTE(SUBSTITUTE(Клиенты_исходные!D208," ",""),"-",""),"+",""),"(",""),")",""))=11,"+7 ("&amp;MID(IF(LEFT(SUBSTITUTE(SUBSTITUTE(SUBSTITUTE(SUBSTITUTE(SUBSTITUTE(Клиенты_исходные!D208," ",""),"-",""),"+",""),"(",""),")",""))="8","7"&amp;MID(SUBSTITUTE(SUBSTITUTE(SUBSTITUTE(SUBSTITUTE(SUBSTITUTE(Клиенты_исходные!D208," ",""),"-",""),"+",""),"(",""),")",""),2,10),SUBSTITUTE(SUBSTITUTE(SUBSTITUTE(SUBSTITUTE(SUBSTITUTE(Клиенты_исходные!D208," ",""),"-",""),"+",""),"(",""),")","")),2,3)&amp;") "&amp;MID(IF(LEFT(SUBSTITUTE(SUBSTITUTE(SUBSTITUTE(SUBSTITUTE(SUBSTITUTE(Клиенты_исходные!D208," ",""),"-",""),"+",""),"(",""),")",""))="8","7"&amp;MID(SUBSTITUTE(SUBSTITUTE(SUBSTITUTE(SUBSTITUTE(SUBSTITUTE(Клиенты_исходные!D208," ",""),"-",""),"+",""),"(",""),")",""),2,10),SUBSTITUTE(SUBSTITUTE(SUBSTITUTE(SUBSTITUTE(SUBSTITUTE(Клиенты_исходные!D208," ",""),"-",""),"+",""),"(",""),")","")),5,3)&amp;"-"&amp;MID(IF(LEFT(SUBSTITUTE(SUBSTITUTE(SUBSTITUTE(SUBSTITUTE(SUBSTITUTE(Клиенты_исходные!D208," ",""),"-",""),"+",""),"(",""),")",""))="8","7"&amp;MID(SUBSTITUTE(SUBSTITUTE(SUBSTITUTE(SUBSTITUTE(SUBSTITUTE(Клиенты_исходные!D208," ",""),"-",""),"+",""),"(",""),")",""),2,10),SUBSTITUTE(SUBSTITUTE(SUBSTITUTE(SUBSTITUTE(SUBSTITUTE(Клиенты_исходные!D208," ",""),"-",""),"+",""),"(",""),")","")),8,2)&amp;"-"&amp;MID(IF(LEFT(SUBSTITUTE(SUBSTITUTE(SUBSTITUTE(SUBSTITUTE(SUBSTITUTE(Клиенты_исходные!D208," ",""),"-",""),"+",""),"(",""),")",""))="8","7"&amp;MID(SUBSTITUTE(SUBSTITUTE(SUBSTITUTE(SUBSTITUTE(SUBSTITUTE(Клиенты_исходные!D208," ",""),"-",""),"+",""),"(",""),")",""),2,10),SUBSTITUTE(SUBSTITUTE(SUBSTITUTE(SUBSTITUTE(SUBSTITUTE(Клиенты_исходные!D208," ",""),"-",""),"+",""),"(",""),")","")),10,2),IF(LEN(SUBSTITUTE(SUBSTITUTE(SUBSTITUTE(SUBSTITUTE(SUBSTITUTE(Клиенты_исходные!D208," ",""),"-",""),"+",""),"(",""),")",""))=10,"+7 ("&amp;MID(SUBSTITUTE(SUBSTITUTE(SUBSTITUTE(SUBSTITUTE(SUBSTITUTE(Клиенты_исходные!D208," ",""),"-",""),"+",""),"(",""),")",""),1,3)&amp;") "&amp;MID(SUBSTITUTE(SUBSTITUTE(SUBSTITUTE(SUBSTITUTE(SUBSTITUTE(Клиенты_исходные!D208," ",""),"-",""),"+",""),"(",""),")",""),4,3)&amp;"-"&amp;MID(SUBSTITUTE(SUBSTITUTE(SUBSTITUTE(SUBSTITUTE(SUBSTITUTE(Клиенты_исходные!D208," ",""),"-",""),"+",""),"(",""),")",""),6,2)&amp;"-"&amp;MID(SUBSTITUTE(SUBSTITUTE(SUBSTITUTE(SUBSTITUTE(SUBSTITUTE(Клиенты_исходные!D208," ",""),"-",""),"+",""),"(",""),")",""),8,2),Клиенты_исходные!D208)))</f>
        <v xml:space="preserve">+7 (903) 567-89-01</v>
      </c>
      <c r="E208" t="str">
        <f>IF(ISBLANK(Клиенты_исходные!E208),"",IF(ISNUMBER(FIND(".",MID(Клиенты_исходные!E208,FIND("@",Клиенты_исходные!E208)+1,255))),Клиенты_исходные!E208,IF(ISNUMBER(FIND("gmail",Клиенты_исходные!E208)),Клиенты_исходные!E208&amp;".com",Клиенты_исходные!E208&amp;".ru")))</f>
        <v>chernyshova@gmail.com</v>
      </c>
      <c r="F208" t="str">
        <f>IFERROR(VLOOKUP(Клиенты_исходные!F208,Справочники!$J$2:$K$50,2,FALSE),Клиенты_исходные!F208)</f>
        <v>Сочи</v>
      </c>
      <c r="G208" s="8">
        <f>IFERROR(IF(ISNUMBER(FIND(".",Клиенты_исходные!G208)),DATE(RIGHT(Клиенты_исходные!G208,4),MID(Клиенты_исходные!G208,4,2),LEFT(Клиенты_исходные!G208,2)),DATE(LEFT(Клиенты_исходные!G208,4),MID(Клиенты_исходные!G208,6,2),RIGHT(Клиенты_исходные!G208,2))),Клиенты_исходные!G208)</f>
        <v>46645</v>
      </c>
      <c r="H208">
        <f t="shared" ca="1" si="55"/>
        <v>38</v>
      </c>
      <c r="I208" t="str">
        <f t="shared" si="56"/>
        <v>OK</v>
      </c>
      <c r="J208" t="str">
        <f t="shared" si="57"/>
        <v>OK</v>
      </c>
    </row>
    <row r="209">
      <c r="A209" t="str">
        <f>Клиенты_исходные!A209</f>
        <v>C0208</v>
      </c>
      <c r="B209" t="str">
        <f>PROPER(TRIM(Клиенты_исходные!B209))</f>
        <v xml:space="preserve">Шишков Сергей Евгеньевич</v>
      </c>
      <c r="C209" s="8">
        <f>IFERROR(IF(ISNUMBER(FIND(".",Клиенты_исходные!C209)),DATE(RIGHT(Клиенты_исходные!C209,4),MID(Клиенты_исходные!C209,4,2),LEFT(Клиенты_исходные!C209,2)),DATE(LEFT(Клиенты_исходные!C209,4),MID(Клиенты_исходные!C209,6,2),RIGHT(Клиенты_исходные!C209,2))),Клиенты_исходные!C209)</f>
        <v>28850</v>
      </c>
      <c r="D209" t="str">
        <f>IF(ISBLANK(Клиенты_исходные!D209),"",IF(LEN(SUBSTITUTE(SUBSTITUTE(SUBSTITUTE(SUBSTITUTE(SUBSTITUTE(Клиенты_исходные!D209," ",""),"-",""),"+",""),"(",""),")",""))=11,"+7 ("&amp;MID(IF(LEFT(SUBSTITUTE(SUBSTITUTE(SUBSTITUTE(SUBSTITUTE(SUBSTITUTE(Клиенты_исходные!D209," ",""),"-",""),"+",""),"(",""),")",""))="8","7"&amp;MID(SUBSTITUTE(SUBSTITUTE(SUBSTITUTE(SUBSTITUTE(SUBSTITUTE(Клиенты_исходные!D209," ",""),"-",""),"+",""),"(",""),")",""),2,10),SUBSTITUTE(SUBSTITUTE(SUBSTITUTE(SUBSTITUTE(SUBSTITUTE(Клиенты_исходные!D209," ",""),"-",""),"+",""),"(",""),")","")),2,3)&amp;") "&amp;MID(IF(LEFT(SUBSTITUTE(SUBSTITUTE(SUBSTITUTE(SUBSTITUTE(SUBSTITUTE(Клиенты_исходные!D209," ",""),"-",""),"+",""),"(",""),")",""))="8","7"&amp;MID(SUBSTITUTE(SUBSTITUTE(SUBSTITUTE(SUBSTITUTE(SUBSTITUTE(Клиенты_исходные!D209," ",""),"-",""),"+",""),"(",""),")",""),2,10),SUBSTITUTE(SUBSTITUTE(SUBSTITUTE(SUBSTITUTE(SUBSTITUTE(Клиенты_исходные!D209," ",""),"-",""),"+",""),"(",""),")","")),5,3)&amp;"-"&amp;MID(IF(LEFT(SUBSTITUTE(SUBSTITUTE(SUBSTITUTE(SUBSTITUTE(SUBSTITUTE(Клиенты_исходные!D209," ",""),"-",""),"+",""),"(",""),")",""))="8","7"&amp;MID(SUBSTITUTE(SUBSTITUTE(SUBSTITUTE(SUBSTITUTE(SUBSTITUTE(Клиенты_исходные!D209," ",""),"-",""),"+",""),"(",""),")",""),2,10),SUBSTITUTE(SUBSTITUTE(SUBSTITUTE(SUBSTITUTE(SUBSTITUTE(Клиенты_исходные!D209," ",""),"-",""),"+",""),"(",""),")","")),8,2)&amp;"-"&amp;MID(IF(LEFT(SUBSTITUTE(SUBSTITUTE(SUBSTITUTE(SUBSTITUTE(SUBSTITUTE(Клиенты_исходные!D209," ",""),"-",""),"+",""),"(",""),")",""))="8","7"&amp;MID(SUBSTITUTE(SUBSTITUTE(SUBSTITUTE(SUBSTITUTE(SUBSTITUTE(Клиенты_исходные!D209," ",""),"-",""),"+",""),"(",""),")",""),2,10),SUBSTITUTE(SUBSTITUTE(SUBSTITUTE(SUBSTITUTE(SUBSTITUTE(Клиенты_исходные!D209," ",""),"-",""),"+",""),"(",""),")","")),10,2),IF(LEN(SUBSTITUTE(SUBSTITUTE(SUBSTITUTE(SUBSTITUTE(SUBSTITUTE(Клиенты_исходные!D209," ",""),"-",""),"+",""),"(",""),")",""))=10,"+7 ("&amp;MID(SUBSTITUTE(SUBSTITUTE(SUBSTITUTE(SUBSTITUTE(SUBSTITUTE(Клиенты_исходные!D209," ",""),"-",""),"+",""),"(",""),")",""),1,3)&amp;") "&amp;MID(SUBSTITUTE(SUBSTITUTE(SUBSTITUTE(SUBSTITUTE(SUBSTITUTE(Клиенты_исходные!D209," ",""),"-",""),"+",""),"(",""),")",""),4,3)&amp;"-"&amp;MID(SUBSTITUTE(SUBSTITUTE(SUBSTITUTE(SUBSTITUTE(SUBSTITUTE(Клиенты_исходные!D209," ",""),"-",""),"+",""),"(",""),")",""),6,2)&amp;"-"&amp;MID(SUBSTITUTE(SUBSTITUTE(SUBSTITUTE(SUBSTITUTE(SUBSTITUTE(Клиенты_исходные!D209," ",""),"-",""),"+",""),"(",""),")",""),8,2),Клиенты_исходные!D209)))</f>
        <v xml:space="preserve">+7 (903) 567-89-01</v>
      </c>
      <c r="E209" t="str">
        <f>IF(ISBLANK(Клиенты_исходные!E209),"",IF(ISNUMBER(FIND(".",MID(Клиенты_исходные!E209,FIND("@",Клиенты_исходные!E209)+1,255))),Клиенты_исходные!E209,IF(ISNUMBER(FIND("gmail",Клиенты_исходные!E209)),Клиенты_исходные!E209&amp;".com",Клиенты_исходные!E209&amp;".ru")))</f>
        <v>shishkov@mail.ru</v>
      </c>
      <c r="F209" t="str">
        <f>IFERROR(VLOOKUP(Клиенты_исходные!F209,Справочники!$J$2:$K$50,2,FALSE),Клиенты_исходные!F209)</f>
        <v>Симферополь</v>
      </c>
      <c r="G209" s="8">
        <f>IFERROR(IF(ISNUMBER(FIND(".",Клиенты_исходные!G209)),DATE(RIGHT(Клиенты_исходные!G209,4),MID(Клиенты_исходные!G209,4,2),LEFT(Клиенты_исходные!G209,2)),DATE(LEFT(Клиенты_исходные!G209,4),MID(Клиенты_исходные!G209,6,2),RIGHT(Клиенты_исходные!G209,2))),Клиенты_исходные!G209)</f>
        <v>46661</v>
      </c>
      <c r="H209">
        <f t="shared" ca="1" si="55"/>
        <v>47</v>
      </c>
      <c r="I209" t="str">
        <f t="shared" si="56"/>
        <v>OK</v>
      </c>
      <c r="J209" t="str">
        <f t="shared" si="57"/>
        <v>OK</v>
      </c>
    </row>
    <row r="210">
      <c r="A210" t="str">
        <f>Клиенты_исходные!A210</f>
        <v>C0209</v>
      </c>
      <c r="B210" t="str">
        <f>PROPER(TRIM(Клиенты_исходные!B210))</f>
        <v xml:space="preserve">Субботина Елена Валерьевна</v>
      </c>
      <c r="C210" s="8">
        <f>IFERROR(IF(ISNUMBER(FIND(".",Клиенты_исходные!C210)),DATE(RIGHT(Клиенты_исходные!C210,4),MID(Клиенты_исходные!C210,4,2),LEFT(Клиенты_исходные!C210,2)),DATE(LEFT(Клиенты_исходные!C210,4),MID(Клиенты_исходные!C210,6,2),RIGHT(Клиенты_исходные!C210,2))),Клиенты_исходные!C210)</f>
        <v>30075</v>
      </c>
      <c r="D210" t="str">
        <f>IF(ISBLANK(Клиенты_исходные!D210),"",IF(LEN(SUBSTITUTE(SUBSTITUTE(SUBSTITUTE(SUBSTITUTE(SUBSTITUTE(Клиенты_исходные!D210," ",""),"-",""),"+",""),"(",""),")",""))=11,"+7 ("&amp;MID(IF(LEFT(SUBSTITUTE(SUBSTITUTE(SUBSTITUTE(SUBSTITUTE(SUBSTITUTE(Клиенты_исходные!D210," ",""),"-",""),"+",""),"(",""),")",""))="8","7"&amp;MID(SUBSTITUTE(SUBSTITUTE(SUBSTITUTE(SUBSTITUTE(SUBSTITUTE(Клиенты_исходные!D210," ",""),"-",""),"+",""),"(",""),")",""),2,10),SUBSTITUTE(SUBSTITUTE(SUBSTITUTE(SUBSTITUTE(SUBSTITUTE(Клиенты_исходные!D210," ",""),"-",""),"+",""),"(",""),")","")),2,3)&amp;") "&amp;MID(IF(LEFT(SUBSTITUTE(SUBSTITUTE(SUBSTITUTE(SUBSTITUTE(SUBSTITUTE(Клиенты_исходные!D210," ",""),"-",""),"+",""),"(",""),")",""))="8","7"&amp;MID(SUBSTITUTE(SUBSTITUTE(SUBSTITUTE(SUBSTITUTE(SUBSTITUTE(Клиенты_исходные!D210," ",""),"-",""),"+",""),"(",""),")",""),2,10),SUBSTITUTE(SUBSTITUTE(SUBSTITUTE(SUBSTITUTE(SUBSTITUTE(Клиенты_исходные!D210," ",""),"-",""),"+",""),"(",""),")","")),5,3)&amp;"-"&amp;MID(IF(LEFT(SUBSTITUTE(SUBSTITUTE(SUBSTITUTE(SUBSTITUTE(SUBSTITUTE(Клиенты_исходные!D210," ",""),"-",""),"+",""),"(",""),")",""))="8","7"&amp;MID(SUBSTITUTE(SUBSTITUTE(SUBSTITUTE(SUBSTITUTE(SUBSTITUTE(Клиенты_исходные!D210," ",""),"-",""),"+",""),"(",""),")",""),2,10),SUBSTITUTE(SUBSTITUTE(SUBSTITUTE(SUBSTITUTE(SUBSTITUTE(Клиенты_исходные!D210," ",""),"-",""),"+",""),"(",""),")","")),8,2)&amp;"-"&amp;MID(IF(LEFT(SUBSTITUTE(SUBSTITUTE(SUBSTITUTE(SUBSTITUTE(SUBSTITUTE(Клиенты_исходные!D210," ",""),"-",""),"+",""),"(",""),")",""))="8","7"&amp;MID(SUBSTITUTE(SUBSTITUTE(SUBSTITUTE(SUBSTITUTE(SUBSTITUTE(Клиенты_исходные!D210," ",""),"-",""),"+",""),"(",""),")",""),2,10),SUBSTITUTE(SUBSTITUTE(SUBSTITUTE(SUBSTITUTE(SUBSTITUTE(Клиенты_исходные!D210," ",""),"-",""),"+",""),"(",""),")","")),10,2),IF(LEN(SUBSTITUTE(SUBSTITUTE(SUBSTITUTE(SUBSTITUTE(SUBSTITUTE(Клиенты_исходные!D210," ",""),"-",""),"+",""),"(",""),")",""))=10,"+7 ("&amp;MID(SUBSTITUTE(SUBSTITUTE(SUBSTITUTE(SUBSTITUTE(SUBSTITUTE(Клиенты_исходные!D210," ",""),"-",""),"+",""),"(",""),")",""),1,3)&amp;") "&amp;MID(SUBSTITUTE(SUBSTITUTE(SUBSTITUTE(SUBSTITUTE(SUBSTITUTE(Клиенты_исходные!D210," ",""),"-",""),"+",""),"(",""),")",""),4,3)&amp;"-"&amp;MID(SUBSTITUTE(SUBSTITUTE(SUBSTITUTE(SUBSTITUTE(SUBSTITUTE(Клиенты_исходные!D210," ",""),"-",""),"+",""),"(",""),")",""),6,2)&amp;"-"&amp;MID(SUBSTITUTE(SUBSTITUTE(SUBSTITUTE(SUBSTITUTE(SUBSTITUTE(Клиенты_исходные!D210," ",""),"-",""),"+",""),"(",""),")",""),8,2),Клиенты_исходные!D210)))</f>
        <v xml:space="preserve">+7 (903) 567-89-01</v>
      </c>
      <c r="E210" t="str">
        <f>IF(ISBLANK(Клиенты_исходные!E210),"",IF(ISNUMBER(FIND(".",MID(Клиенты_исходные!E210,FIND("@",Клиенты_исходные!E210)+1,255))),Клиенты_исходные!E210,IF(ISNUMBER(FIND("gmail",Клиенты_исходные!E210)),Клиенты_исходные!E210&amp;".com",Клиенты_исходные!E210&amp;".ru")))</f>
        <v>subbotina@yandex.ru</v>
      </c>
      <c r="F210" t="str">
        <f>IFERROR(VLOOKUP(Клиенты_исходные!F210,Справочники!$J$2:$K$50,2,FALSE),Клиенты_исходные!F210)</f>
        <v>Брянск</v>
      </c>
      <c r="G210" s="8">
        <f>IFERROR(IF(ISNUMBER(FIND(".",Клиенты_исходные!G210)),DATE(RIGHT(Клиенты_исходные!G210,4),MID(Клиенты_исходные!G210,4,2),LEFT(Клиенты_исходные!G210,2)),DATE(LEFT(Клиенты_исходные!G210,4),MID(Клиенты_исходные!G210,6,2),RIGHT(Клиенты_исходные!G210,2))),Клиенты_исходные!G210)</f>
        <v>46670</v>
      </c>
      <c r="H210">
        <f t="shared" ca="1" si="55"/>
        <v>44</v>
      </c>
      <c r="I210" t="str">
        <f t="shared" si="56"/>
        <v>OK</v>
      </c>
      <c r="J210" t="str">
        <f t="shared" si="57"/>
        <v>OK</v>
      </c>
    </row>
    <row r="211">
      <c r="A211" t="str">
        <f>Клиенты_исходные!A211</f>
        <v>C0210</v>
      </c>
      <c r="B211" t="str">
        <f>PROPER(TRIM(Клиенты_исходные!B211))</f>
        <v xml:space="preserve">Головина Татьяна Михайловна</v>
      </c>
      <c r="C211" s="8">
        <f>IFERROR(IF(ISNUMBER(FIND(".",Клиенты_исходные!C211)),DATE(RIGHT(Клиенты_исходные!C211,4),MID(Клиенты_исходные!C211,4,2),LEFT(Клиенты_исходные!C211,2)),DATE(LEFT(Клиенты_исходные!C211,4),MID(Клиенты_исходные!C211,6,2),RIGHT(Клиенты_исходные!C211,2))),Клиенты_исходные!C211)</f>
        <v>27225</v>
      </c>
      <c r="D211" t="str">
        <f>IF(ISBLANK(Клиенты_исходные!D211),"",IF(LEN(SUBSTITUTE(SUBSTITUTE(SUBSTITUTE(SUBSTITUTE(SUBSTITUTE(Клиенты_исходные!D211," ",""),"-",""),"+",""),"(",""),")",""))=11,"+7 ("&amp;MID(IF(LEFT(SUBSTITUTE(SUBSTITUTE(SUBSTITUTE(SUBSTITUTE(SUBSTITUTE(Клиенты_исходные!D211," ",""),"-",""),"+",""),"(",""),")",""))="8","7"&amp;MID(SUBSTITUTE(SUBSTITUTE(SUBSTITUTE(SUBSTITUTE(SUBSTITUTE(Клиенты_исходные!D211," ",""),"-",""),"+",""),"(",""),")",""),2,10),SUBSTITUTE(SUBSTITUTE(SUBSTITUTE(SUBSTITUTE(SUBSTITUTE(Клиенты_исходные!D211," ",""),"-",""),"+",""),"(",""),")","")),2,3)&amp;") "&amp;MID(IF(LEFT(SUBSTITUTE(SUBSTITUTE(SUBSTITUTE(SUBSTITUTE(SUBSTITUTE(Клиенты_исходные!D211," ",""),"-",""),"+",""),"(",""),")",""))="8","7"&amp;MID(SUBSTITUTE(SUBSTITUTE(SUBSTITUTE(SUBSTITUTE(SUBSTITUTE(Клиенты_исходные!D211," ",""),"-",""),"+",""),"(",""),")",""),2,10),SUBSTITUTE(SUBSTITUTE(SUBSTITUTE(SUBSTITUTE(SUBSTITUTE(Клиенты_исходные!D211," ",""),"-",""),"+",""),"(",""),")","")),5,3)&amp;"-"&amp;MID(IF(LEFT(SUBSTITUTE(SUBSTITUTE(SUBSTITUTE(SUBSTITUTE(SUBSTITUTE(Клиенты_исходные!D211," ",""),"-",""),"+",""),"(",""),")",""))="8","7"&amp;MID(SUBSTITUTE(SUBSTITUTE(SUBSTITUTE(SUBSTITUTE(SUBSTITUTE(Клиенты_исходные!D211," ",""),"-",""),"+",""),"(",""),")",""),2,10),SUBSTITUTE(SUBSTITUTE(SUBSTITUTE(SUBSTITUTE(SUBSTITUTE(Клиенты_исходные!D211," ",""),"-",""),"+",""),"(",""),")","")),8,2)&amp;"-"&amp;MID(IF(LEFT(SUBSTITUTE(SUBSTITUTE(SUBSTITUTE(SUBSTITUTE(SUBSTITUTE(Клиенты_исходные!D211," ",""),"-",""),"+",""),"(",""),")",""))="8","7"&amp;MID(SUBSTITUTE(SUBSTITUTE(SUBSTITUTE(SUBSTITUTE(SUBSTITUTE(Клиенты_исходные!D211," ",""),"-",""),"+",""),"(",""),")",""),2,10),SUBSTITUTE(SUBSTITUTE(SUBSTITUTE(SUBSTITUTE(SUBSTITUTE(Клиенты_исходные!D211," ",""),"-",""),"+",""),"(",""),")","")),10,2),IF(LEN(SUBSTITUTE(SUBSTITUTE(SUBSTITUTE(SUBSTITUTE(SUBSTITUTE(Клиенты_исходные!D211," ",""),"-",""),"+",""),"(",""),")",""))=10,"+7 ("&amp;MID(SUBSTITUTE(SUBSTITUTE(SUBSTITUTE(SUBSTITUTE(SUBSTITUTE(Клиенты_исходные!D211," ",""),"-",""),"+",""),"(",""),")",""),1,3)&amp;") "&amp;MID(SUBSTITUTE(SUBSTITUTE(SUBSTITUTE(SUBSTITUTE(SUBSTITUTE(Клиенты_исходные!D211," ",""),"-",""),"+",""),"(",""),")",""),4,3)&amp;"-"&amp;MID(SUBSTITUTE(SUBSTITUTE(SUBSTITUTE(SUBSTITUTE(SUBSTITUTE(Клиенты_исходные!D211," ",""),"-",""),"+",""),"(",""),")",""),6,2)&amp;"-"&amp;MID(SUBSTITUTE(SUBSTITUTE(SUBSTITUTE(SUBSTITUTE(SUBSTITUTE(Клиенты_исходные!D211," ",""),"-",""),"+",""),"(",""),")",""),8,2),Клиенты_исходные!D211)))</f>
        <v xml:space="preserve">+7 (903) 678-90-12</v>
      </c>
      <c r="E211" t="str">
        <f>IF(ISBLANK(Клиенты_исходные!E211),"",IF(ISNUMBER(FIND(".",MID(Клиенты_исходные!E211,FIND("@",Клиенты_исходные!E211)+1,255))),Клиенты_исходные!E211,IF(ISNUMBER(FIND("gmail",Клиенты_исходные!E211)),Клиенты_исходные!E211&amp;".com",Клиенты_исходные!E211&amp;".ru")))</f>
        <v>golovina@gmail.com</v>
      </c>
      <c r="F211" t="str">
        <f>IFERROR(VLOOKUP(Клиенты_исходные!F211,Справочники!$J$2:$K$50,2,FALSE),Клиенты_исходные!F211)</f>
        <v>Абакан</v>
      </c>
      <c r="G211" s="8">
        <f>IFERROR(IF(ISNUMBER(FIND(".",Клиенты_исходные!G211)),DATE(RIGHT(Клиенты_исходные!G211,4),MID(Клиенты_исходные!G211,4,2),LEFT(Клиенты_исходные!G211,2)),DATE(LEFT(Клиенты_исходные!G211,4),MID(Клиенты_исходные!G211,6,2),RIGHT(Клиенты_исходные!G211,2))),Клиенты_исходные!G211)</f>
        <v>46670</v>
      </c>
      <c r="H211">
        <f t="shared" ca="1" si="55"/>
        <v>52</v>
      </c>
      <c r="I211" t="str">
        <f t="shared" si="56"/>
        <v>OK</v>
      </c>
      <c r="J211" t="str">
        <f t="shared" si="57"/>
        <v>OK</v>
      </c>
    </row>
    <row r="212">
      <c r="A212" t="str">
        <f>Клиенты_исходные!A212</f>
        <v>C0211</v>
      </c>
      <c r="B212" t="str">
        <f>PROPER(TRIM(Клиенты_исходные!B212))</f>
        <v xml:space="preserve">Красильников Денис Павлович</v>
      </c>
      <c r="C212" s="8">
        <f>IFERROR(IF(ISNUMBER(FIND(".",Клиенты_исходные!C212)),DATE(RIGHT(Клиенты_исходные!C212,4),MID(Клиенты_исходные!C212,4,2),LEFT(Клиенты_исходные!C212,2)),DATE(LEFT(Клиенты_исходные!C212,4),MID(Клиенты_исходные!C212,6,2),RIGHT(Клиенты_исходные!C212,2))),Клиенты_исходные!C212)</f>
        <v>32810</v>
      </c>
      <c r="D212" t="str">
        <f>IF(ISBLANK(Клиенты_исходные!D212),"",IF(LEN(SUBSTITUTE(SUBSTITUTE(SUBSTITUTE(SUBSTITUTE(SUBSTITUTE(Клиенты_исходные!D212," ",""),"-",""),"+",""),"(",""),")",""))=11,"+7 ("&amp;MID(IF(LEFT(SUBSTITUTE(SUBSTITUTE(SUBSTITUTE(SUBSTITUTE(SUBSTITUTE(Клиенты_исходные!D212," ",""),"-",""),"+",""),"(",""),")",""))="8","7"&amp;MID(SUBSTITUTE(SUBSTITUTE(SUBSTITUTE(SUBSTITUTE(SUBSTITUTE(Клиенты_исходные!D212," ",""),"-",""),"+",""),"(",""),")",""),2,10),SUBSTITUTE(SUBSTITUTE(SUBSTITUTE(SUBSTITUTE(SUBSTITUTE(Клиенты_исходные!D212," ",""),"-",""),"+",""),"(",""),")","")),2,3)&amp;") "&amp;MID(IF(LEFT(SUBSTITUTE(SUBSTITUTE(SUBSTITUTE(SUBSTITUTE(SUBSTITUTE(Клиенты_исходные!D212," ",""),"-",""),"+",""),"(",""),")",""))="8","7"&amp;MID(SUBSTITUTE(SUBSTITUTE(SUBSTITUTE(SUBSTITUTE(SUBSTITUTE(Клиенты_исходные!D212," ",""),"-",""),"+",""),"(",""),")",""),2,10),SUBSTITUTE(SUBSTITUTE(SUBSTITUTE(SUBSTITUTE(SUBSTITUTE(Клиенты_исходные!D212," ",""),"-",""),"+",""),"(",""),")","")),5,3)&amp;"-"&amp;MID(IF(LEFT(SUBSTITUTE(SUBSTITUTE(SUBSTITUTE(SUBSTITUTE(SUBSTITUTE(Клиенты_исходные!D212," ",""),"-",""),"+",""),"(",""),")",""))="8","7"&amp;MID(SUBSTITUTE(SUBSTITUTE(SUBSTITUTE(SUBSTITUTE(SUBSTITUTE(Клиенты_исходные!D212," ",""),"-",""),"+",""),"(",""),")",""),2,10),SUBSTITUTE(SUBSTITUTE(SUBSTITUTE(SUBSTITUTE(SUBSTITUTE(Клиенты_исходные!D212," ",""),"-",""),"+",""),"(",""),")","")),8,2)&amp;"-"&amp;MID(IF(LEFT(SUBSTITUTE(SUBSTITUTE(SUBSTITUTE(SUBSTITUTE(SUBSTITUTE(Клиенты_исходные!D212," ",""),"-",""),"+",""),"(",""),")",""))="8","7"&amp;MID(SUBSTITUTE(SUBSTITUTE(SUBSTITUTE(SUBSTITUTE(SUBSTITUTE(Клиенты_исходные!D212," ",""),"-",""),"+",""),"(",""),")",""),2,10),SUBSTITUTE(SUBSTITUTE(SUBSTITUTE(SUBSTITUTE(SUBSTITUTE(Клиенты_исходные!D212," ",""),"-",""),"+",""),"(",""),")","")),10,2),IF(LEN(SUBSTITUTE(SUBSTITUTE(SUBSTITUTE(SUBSTITUTE(SUBSTITUTE(Клиенты_исходные!D212," ",""),"-",""),"+",""),"(",""),")",""))=10,"+7 ("&amp;MID(SUBSTITUTE(SUBSTITUTE(SUBSTITUTE(SUBSTITUTE(SUBSTITUTE(Клиенты_исходные!D212," ",""),"-",""),"+",""),"(",""),")",""),1,3)&amp;") "&amp;MID(SUBSTITUTE(SUBSTITUTE(SUBSTITUTE(SUBSTITUTE(SUBSTITUTE(Клиенты_исходные!D212," ",""),"-",""),"+",""),"(",""),")",""),4,3)&amp;"-"&amp;MID(SUBSTITUTE(SUBSTITUTE(SUBSTITUTE(SUBSTITUTE(SUBSTITUTE(Клиенты_исходные!D212," ",""),"-",""),"+",""),"(",""),")",""),6,2)&amp;"-"&amp;MID(SUBSTITUTE(SUBSTITUTE(SUBSTITUTE(SUBSTITUTE(SUBSTITUTE(Клиенты_исходные!D212," ",""),"-",""),"+",""),"(",""),")",""),8,2),Клиенты_исходные!D212)))</f>
        <v xml:space="preserve">+7 (903) 678-90-12</v>
      </c>
      <c r="E212" t="str">
        <f>IF(ISBLANK(Клиенты_исходные!E212),"",IF(ISNUMBER(FIND(".",MID(Клиенты_исходные!E212,FIND("@",Клиенты_исходные!E212)+1,255))),Клиенты_исходные!E212,IF(ISNUMBER(FIND("gmail",Клиенты_исходные!E212)),Клиенты_исходные!E212&amp;".com",Клиенты_исходные!E212&amp;".ru")))</f>
        <v>krasilnikov@mail.ru</v>
      </c>
      <c r="F212" t="str">
        <f>IFERROR(VLOOKUP(Клиенты_исходные!F212,Справочники!$J$2:$K$50,2,FALSE),Клиенты_исходные!F212)</f>
        <v>Грозный</v>
      </c>
      <c r="G212" s="8">
        <f>IFERROR(IF(ISNUMBER(FIND(".",Клиенты_исходные!G212)),DATE(RIGHT(Клиенты_исходные!G212,4),MID(Клиенты_исходные!G212,4,2),LEFT(Клиенты_исходные!G212,2)),DATE(LEFT(Клиенты_исходные!G212,4),MID(Клиенты_исходные!G212,6,2),RIGHT(Клиенты_исходные!G212,2))),Клиенты_исходные!G212)</f>
        <v>46692</v>
      </c>
      <c r="H212">
        <f t="shared" ca="1" si="55"/>
        <v>36</v>
      </c>
      <c r="I212" t="str">
        <f t="shared" si="56"/>
        <v>OK</v>
      </c>
      <c r="J212" t="str">
        <f t="shared" si="57"/>
        <v>OK</v>
      </c>
    </row>
    <row r="213">
      <c r="A213" t="str">
        <f>Клиенты_исходные!A213</f>
        <v>C0212</v>
      </c>
      <c r="B213" t="str">
        <f>PROPER(TRIM(Клиенты_исходные!B213))</f>
        <v xml:space="preserve">Шульженко Инна Дмитриевна</v>
      </c>
      <c r="C213" s="8">
        <f>IFERROR(IF(ISNUMBER(FIND(".",Клиенты_исходные!C213)),DATE(RIGHT(Клиенты_исходные!C213,4),MID(Клиенты_исходные!C213,4,2),LEFT(Клиенты_исходные!C213,2)),DATE(LEFT(Клиенты_исходные!C213,4),MID(Клиенты_исходные!C213,6,2),RIGHT(Клиенты_исходные!C213,2))),Клиенты_исходные!C213)</f>
        <v>33501</v>
      </c>
      <c r="D213" t="str">
        <f>IF(ISBLANK(Клиенты_исходные!D213),"",IF(LEN(SUBSTITUTE(SUBSTITUTE(SUBSTITUTE(SUBSTITUTE(SUBSTITUTE(Клиенты_исходные!D213," ",""),"-",""),"+",""),"(",""),")",""))=11,"+7 ("&amp;MID(IF(LEFT(SUBSTITUTE(SUBSTITUTE(SUBSTITUTE(SUBSTITUTE(SUBSTITUTE(Клиенты_исходные!D213," ",""),"-",""),"+",""),"(",""),")",""))="8","7"&amp;MID(SUBSTITUTE(SUBSTITUTE(SUBSTITUTE(SUBSTITUTE(SUBSTITUTE(Клиенты_исходные!D213," ",""),"-",""),"+",""),"(",""),")",""),2,10),SUBSTITUTE(SUBSTITUTE(SUBSTITUTE(SUBSTITUTE(SUBSTITUTE(Клиенты_исходные!D213," ",""),"-",""),"+",""),"(",""),")","")),2,3)&amp;") "&amp;MID(IF(LEFT(SUBSTITUTE(SUBSTITUTE(SUBSTITUTE(SUBSTITUTE(SUBSTITUTE(Клиенты_исходные!D213," ",""),"-",""),"+",""),"(",""),")",""))="8","7"&amp;MID(SUBSTITUTE(SUBSTITUTE(SUBSTITUTE(SUBSTITUTE(SUBSTITUTE(Клиенты_исходные!D213," ",""),"-",""),"+",""),"(",""),")",""),2,10),SUBSTITUTE(SUBSTITUTE(SUBSTITUTE(SUBSTITUTE(SUBSTITUTE(Клиенты_исходные!D213," ",""),"-",""),"+",""),"(",""),")","")),5,3)&amp;"-"&amp;MID(IF(LEFT(SUBSTITUTE(SUBSTITUTE(SUBSTITUTE(SUBSTITUTE(SUBSTITUTE(Клиенты_исходные!D213," ",""),"-",""),"+",""),"(",""),")",""))="8","7"&amp;MID(SUBSTITUTE(SUBSTITUTE(SUBSTITUTE(SUBSTITUTE(SUBSTITUTE(Клиенты_исходные!D213," ",""),"-",""),"+",""),"(",""),")",""),2,10),SUBSTITUTE(SUBSTITUTE(SUBSTITUTE(SUBSTITUTE(SUBSTITUTE(Клиенты_исходные!D213," ",""),"-",""),"+",""),"(",""),")","")),8,2)&amp;"-"&amp;MID(IF(LEFT(SUBSTITUTE(SUBSTITUTE(SUBSTITUTE(SUBSTITUTE(SUBSTITUTE(Клиенты_исходные!D213," ",""),"-",""),"+",""),"(",""),")",""))="8","7"&amp;MID(SUBSTITUTE(SUBSTITUTE(SUBSTITUTE(SUBSTITUTE(SUBSTITUTE(Клиенты_исходные!D213," ",""),"-",""),"+",""),"(",""),")",""),2,10),SUBSTITUTE(SUBSTITUTE(SUBSTITUTE(SUBSTITUTE(SUBSTITUTE(Клиенты_исходные!D213," ",""),"-",""),"+",""),"(",""),")","")),10,2),IF(LEN(SUBSTITUTE(SUBSTITUTE(SUBSTITUTE(SUBSTITUTE(SUBSTITUTE(Клиенты_исходные!D213," ",""),"-",""),"+",""),"(",""),")",""))=10,"+7 ("&amp;MID(SUBSTITUTE(SUBSTITUTE(SUBSTITUTE(SUBSTITUTE(SUBSTITUTE(Клиенты_исходные!D213," ",""),"-",""),"+",""),"(",""),")",""),1,3)&amp;") "&amp;MID(SUBSTITUTE(SUBSTITUTE(SUBSTITUTE(SUBSTITUTE(SUBSTITUTE(Клиенты_исходные!D213," ",""),"-",""),"+",""),"(",""),")",""),4,3)&amp;"-"&amp;MID(SUBSTITUTE(SUBSTITUTE(SUBSTITUTE(SUBSTITUTE(SUBSTITUTE(Клиенты_исходные!D213," ",""),"-",""),"+",""),"(",""),")",""),6,2)&amp;"-"&amp;MID(SUBSTITUTE(SUBSTITUTE(SUBSTITUTE(SUBSTITUTE(SUBSTITUTE(Клиенты_исходные!D213," ",""),"-",""),"+",""),"(",""),")",""),8,2),Клиенты_исходные!D213)))</f>
        <v xml:space="preserve">+7 (903) 678-90-12</v>
      </c>
      <c r="E213" t="str">
        <f>IF(ISBLANK(Клиенты_исходные!E213),"",IF(ISNUMBER(FIND(".",MID(Клиенты_исходные!E213,FIND("@",Клиенты_исходные!E213)+1,255))),Клиенты_исходные!E213,IF(ISNUMBER(FIND("gmail",Клиенты_исходные!E213)),Клиенты_исходные!E213&amp;".com",Клиенты_исходные!E213&amp;".ru")))</f>
        <v>shulzhenko@yandex.ru</v>
      </c>
      <c r="F213" t="str">
        <f>IFERROR(VLOOKUP(Клиенты_исходные!F213,Справочники!$J$2:$K$50,2,FALSE),Клиенты_исходные!F213)</f>
        <v>Бийск</v>
      </c>
      <c r="G213" s="8">
        <f>IFERROR(IF(ISNUMBER(FIND(".",Клиенты_исходные!G213)),DATE(RIGHT(Клиенты_исходные!G213,4),MID(Клиенты_исходные!G213,4,2),LEFT(Клиенты_исходные!G213,2)),DATE(LEFT(Клиенты_исходные!G213,4),MID(Клиенты_исходные!G213,6,2),RIGHT(Клиенты_исходные!G213,2))),Клиенты_исходные!G213)</f>
        <v>46706</v>
      </c>
      <c r="H213">
        <f t="shared" ca="1" si="55"/>
        <v>35</v>
      </c>
      <c r="I213" t="str">
        <f t="shared" si="56"/>
        <v>OK</v>
      </c>
      <c r="J213" t="str">
        <f t="shared" si="57"/>
        <v>OK</v>
      </c>
    </row>
    <row r="214">
      <c r="A214" t="str">
        <f>Клиенты_исходные!A214</f>
        <v>C0213</v>
      </c>
      <c r="B214" t="str">
        <f>PROPER(TRIM(Клиенты_исходные!B214))</f>
        <v xml:space="preserve">Боброва Екатерина Станиславовна</v>
      </c>
      <c r="C214" s="8">
        <f>IFERROR(IF(ISNUMBER(FIND(".",Клиенты_исходные!C214)),DATE(RIGHT(Клиенты_исходные!C214,4),MID(Клиенты_исходные!C214,4,2),LEFT(Клиенты_исходные!C214,2)),DATE(LEFT(Клиенты_исходные!C214,4),MID(Клиенты_исходные!C214,6,2),RIGHT(Клиенты_исходные!C214,2))),Клиенты_исходные!C214)</f>
        <v>28167</v>
      </c>
      <c r="D214" t="str">
        <f>IF(ISBLANK(Клиенты_исходные!D214),"",IF(LEN(SUBSTITUTE(SUBSTITUTE(SUBSTITUTE(SUBSTITUTE(SUBSTITUTE(Клиенты_исходные!D214," ",""),"-",""),"+",""),"(",""),")",""))=11,"+7 ("&amp;MID(IF(LEFT(SUBSTITUTE(SUBSTITUTE(SUBSTITUTE(SUBSTITUTE(SUBSTITUTE(Клиенты_исходные!D214," ",""),"-",""),"+",""),"(",""),")",""))="8","7"&amp;MID(SUBSTITUTE(SUBSTITUTE(SUBSTITUTE(SUBSTITUTE(SUBSTITUTE(Клиенты_исходные!D214," ",""),"-",""),"+",""),"(",""),")",""),2,10),SUBSTITUTE(SUBSTITUTE(SUBSTITUTE(SUBSTITUTE(SUBSTITUTE(Клиенты_исходные!D214," ",""),"-",""),"+",""),"(",""),")","")),2,3)&amp;") "&amp;MID(IF(LEFT(SUBSTITUTE(SUBSTITUTE(SUBSTITUTE(SUBSTITUTE(SUBSTITUTE(Клиенты_исходные!D214," ",""),"-",""),"+",""),"(",""),")",""))="8","7"&amp;MID(SUBSTITUTE(SUBSTITUTE(SUBSTITUTE(SUBSTITUTE(SUBSTITUTE(Клиенты_исходные!D214," ",""),"-",""),"+",""),"(",""),")",""),2,10),SUBSTITUTE(SUBSTITUTE(SUBSTITUTE(SUBSTITUTE(SUBSTITUTE(Клиенты_исходные!D214," ",""),"-",""),"+",""),"(",""),")","")),5,3)&amp;"-"&amp;MID(IF(LEFT(SUBSTITUTE(SUBSTITUTE(SUBSTITUTE(SUBSTITUTE(SUBSTITUTE(Клиенты_исходные!D214," ",""),"-",""),"+",""),"(",""),")",""))="8","7"&amp;MID(SUBSTITUTE(SUBSTITUTE(SUBSTITUTE(SUBSTITUTE(SUBSTITUTE(Клиенты_исходные!D214," ",""),"-",""),"+",""),"(",""),")",""),2,10),SUBSTITUTE(SUBSTITUTE(SUBSTITUTE(SUBSTITUTE(SUBSTITUTE(Клиенты_исходные!D214," ",""),"-",""),"+",""),"(",""),")","")),8,2)&amp;"-"&amp;MID(IF(LEFT(SUBSTITUTE(SUBSTITUTE(SUBSTITUTE(SUBSTITUTE(SUBSTITUTE(Клиенты_исходные!D214," ",""),"-",""),"+",""),"(",""),")",""))="8","7"&amp;MID(SUBSTITUTE(SUBSTITUTE(SUBSTITUTE(SUBSTITUTE(SUBSTITUTE(Клиенты_исходные!D214," ",""),"-",""),"+",""),"(",""),")",""),2,10),SUBSTITUTE(SUBSTITUTE(SUBSTITUTE(SUBSTITUTE(SUBSTITUTE(Клиенты_исходные!D214," ",""),"-",""),"+",""),"(",""),")","")),10,2),IF(LEN(SUBSTITUTE(SUBSTITUTE(SUBSTITUTE(SUBSTITUTE(SUBSTITUTE(Клиенты_исходные!D214," ",""),"-",""),"+",""),"(",""),")",""))=10,"+7 ("&amp;MID(SUBSTITUTE(SUBSTITUTE(SUBSTITUTE(SUBSTITUTE(SUBSTITUTE(Клиенты_исходные!D214," ",""),"-",""),"+",""),"(",""),")",""),1,3)&amp;") "&amp;MID(SUBSTITUTE(SUBSTITUTE(SUBSTITUTE(SUBSTITUTE(SUBSTITUTE(Клиенты_исходные!D214," ",""),"-",""),"+",""),"(",""),")",""),4,3)&amp;"-"&amp;MID(SUBSTITUTE(SUBSTITUTE(SUBSTITUTE(SUBSTITUTE(SUBSTITUTE(Клиенты_исходные!D214," ",""),"-",""),"+",""),"(",""),")",""),6,2)&amp;"-"&amp;MID(SUBSTITUTE(SUBSTITUTE(SUBSTITUTE(SUBSTITUTE(SUBSTITUTE(Клиенты_исходные!D214," ",""),"-",""),"+",""),"(",""),")",""),8,2),Клиенты_исходные!D214)))</f>
        <v xml:space="preserve">+7 (903) 789-01-23</v>
      </c>
      <c r="E214" t="str">
        <f>IF(ISBLANK(Клиенты_исходные!E214),"",IF(ISNUMBER(FIND(".",MID(Клиенты_исходные!E214,FIND("@",Клиенты_исходные!E214)+1,255))),Клиенты_исходные!E214,IF(ISNUMBER(FIND("gmail",Клиенты_исходные!E214)),Клиенты_исходные!E214&amp;".com",Клиенты_исходные!E214&amp;".ru")))</f>
        <v>bobrova@gmail.com</v>
      </c>
      <c r="F214" t="str">
        <f>IFERROR(VLOOKUP(Клиенты_исходные!F214,Справочники!$J$2:$K$50,2,FALSE),Клиенты_исходные!F214)</f>
        <v>Йошкар-Ола</v>
      </c>
      <c r="G214" s="8">
        <f>IFERROR(IF(ISNUMBER(FIND(".",Клиенты_исходные!G214)),DATE(RIGHT(Клиенты_исходные!G214,4),MID(Клиенты_исходные!G214,4,2),LEFT(Клиенты_исходные!G214,2)),DATE(LEFT(Клиенты_исходные!G214,4),MID(Клиенты_исходные!G214,6,2),RIGHT(Клиенты_исходные!G214,2))),Клиенты_исходные!G214)</f>
        <v>46706</v>
      </c>
      <c r="H214">
        <f t="shared" ca="1" si="55"/>
        <v>49</v>
      </c>
      <c r="I214" t="str">
        <f t="shared" si="56"/>
        <v>OK</v>
      </c>
      <c r="J214" t="str">
        <f t="shared" si="57"/>
        <v>OK</v>
      </c>
    </row>
    <row r="215">
      <c r="A215" t="str">
        <f>Клиенты_исходные!A215</f>
        <v>C0214</v>
      </c>
      <c r="B215" t="str">
        <f>PROPER(TRIM(Клиенты_исходные!B215))</f>
        <v xml:space="preserve">Носов Алексей Игоревич</v>
      </c>
      <c r="C215" s="8">
        <f>IFERROR(IF(ISNUMBER(FIND(".",Клиенты_исходные!C215)),DATE(RIGHT(Клиенты_исходные!C215,4),MID(Клиенты_исходные!C215,4,2),LEFT(Клиенты_исходные!C215,2)),DATE(LEFT(Клиенты_исходные!C215,4),MID(Клиенты_исходные!C215,6,2),RIGHT(Клиенты_исходные!C215,2))),Клиенты_исходные!C215)</f>
        <v>30643</v>
      </c>
      <c r="D215" t="str">
        <f>IF(ISBLANK(Клиенты_исходные!D215),"",IF(LEN(SUBSTITUTE(SUBSTITUTE(SUBSTITUTE(SUBSTITUTE(SUBSTITUTE(Клиенты_исходные!D215," ",""),"-",""),"+",""),"(",""),")",""))=11,"+7 ("&amp;MID(IF(LEFT(SUBSTITUTE(SUBSTITUTE(SUBSTITUTE(SUBSTITUTE(SUBSTITUTE(Клиенты_исходные!D215," ",""),"-",""),"+",""),"(",""),")",""))="8","7"&amp;MID(SUBSTITUTE(SUBSTITUTE(SUBSTITUTE(SUBSTITUTE(SUBSTITUTE(Клиенты_исходные!D215," ",""),"-",""),"+",""),"(",""),")",""),2,10),SUBSTITUTE(SUBSTITUTE(SUBSTITUTE(SUBSTITUTE(SUBSTITUTE(Клиенты_исходные!D215," ",""),"-",""),"+",""),"(",""),")","")),2,3)&amp;") "&amp;MID(IF(LEFT(SUBSTITUTE(SUBSTITUTE(SUBSTITUTE(SUBSTITUTE(SUBSTITUTE(Клиенты_исходные!D215," ",""),"-",""),"+",""),"(",""),")",""))="8","7"&amp;MID(SUBSTITUTE(SUBSTITUTE(SUBSTITUTE(SUBSTITUTE(SUBSTITUTE(Клиенты_исходные!D215," ",""),"-",""),"+",""),"(",""),")",""),2,10),SUBSTITUTE(SUBSTITUTE(SUBSTITUTE(SUBSTITUTE(SUBSTITUTE(Клиенты_исходные!D215," ",""),"-",""),"+",""),"(",""),")","")),5,3)&amp;"-"&amp;MID(IF(LEFT(SUBSTITUTE(SUBSTITUTE(SUBSTITUTE(SUBSTITUTE(SUBSTITUTE(Клиенты_исходные!D215," ",""),"-",""),"+",""),"(",""),")",""))="8","7"&amp;MID(SUBSTITUTE(SUBSTITUTE(SUBSTITUTE(SUBSTITUTE(SUBSTITUTE(Клиенты_исходные!D215," ",""),"-",""),"+",""),"(",""),")",""),2,10),SUBSTITUTE(SUBSTITUTE(SUBSTITUTE(SUBSTITUTE(SUBSTITUTE(Клиенты_исходные!D215," ",""),"-",""),"+",""),"(",""),")","")),8,2)&amp;"-"&amp;MID(IF(LEFT(SUBSTITUTE(SUBSTITUTE(SUBSTITUTE(SUBSTITUTE(SUBSTITUTE(Клиенты_исходные!D215," ",""),"-",""),"+",""),"(",""),")",""))="8","7"&amp;MID(SUBSTITUTE(SUBSTITUTE(SUBSTITUTE(SUBSTITUTE(SUBSTITUTE(Клиенты_исходные!D215," ",""),"-",""),"+",""),"(",""),")",""),2,10),SUBSTITUTE(SUBSTITUTE(SUBSTITUTE(SUBSTITUTE(SUBSTITUTE(Клиенты_исходные!D215," ",""),"-",""),"+",""),"(",""),")","")),10,2),IF(LEN(SUBSTITUTE(SUBSTITUTE(SUBSTITUTE(SUBSTITUTE(SUBSTITUTE(Клиенты_исходные!D215," ",""),"-",""),"+",""),"(",""),")",""))=10,"+7 ("&amp;MID(SUBSTITUTE(SUBSTITUTE(SUBSTITUTE(SUBSTITUTE(SUBSTITUTE(Клиенты_исходные!D215," ",""),"-",""),"+",""),"(",""),")",""),1,3)&amp;") "&amp;MID(SUBSTITUTE(SUBSTITUTE(SUBSTITUTE(SUBSTITUTE(SUBSTITUTE(Клиенты_исходные!D215," ",""),"-",""),"+",""),"(",""),")",""),4,3)&amp;"-"&amp;MID(SUBSTITUTE(SUBSTITUTE(SUBSTITUTE(SUBSTITUTE(SUBSTITUTE(Клиенты_исходные!D215," ",""),"-",""),"+",""),"(",""),")",""),6,2)&amp;"-"&amp;MID(SUBSTITUTE(SUBSTITUTE(SUBSTITUTE(SUBSTITUTE(SUBSTITUTE(Клиенты_исходные!D215," ",""),"-",""),"+",""),"(",""),")",""),8,2),Клиенты_исходные!D215)))</f>
        <v xml:space="preserve">+7 (903) 789-01-23</v>
      </c>
      <c r="E215" t="str">
        <f>IF(ISBLANK(Клиенты_исходные!E215),"",IF(ISNUMBER(FIND(".",MID(Клиенты_исходные!E215,FIND("@",Клиенты_исходные!E215)+1,255))),Клиенты_исходные!E215,IF(ISNUMBER(FIND("gmail",Клиенты_исходные!E215)),Клиенты_исходные!E215&amp;".com",Клиенты_исходные!E215&amp;".ru")))</f>
        <v>nosov@mail.ru</v>
      </c>
      <c r="F215" t="str">
        <f>IFERROR(VLOOKUP(Клиенты_исходные!F215,Справочники!$J$2:$K$50,2,FALSE),Клиенты_исходные!F215)</f>
        <v>Курган</v>
      </c>
      <c r="G215" s="8">
        <f>IFERROR(IF(ISNUMBER(FIND(".",Клиенты_исходные!G215)),DATE(RIGHT(Клиенты_исходные!G215,4),MID(Клиенты_исходные!G215,4,2),LEFT(Клиенты_исходные!G215,2)),DATE(LEFT(Клиенты_исходные!G215,4),MID(Клиенты_исходные!G215,6,2),RIGHT(Клиенты_исходные!G215,2))),Клиенты_исходные!G215)</f>
        <v>46722</v>
      </c>
      <c r="H215">
        <f t="shared" ca="1" si="55"/>
        <v>42</v>
      </c>
      <c r="I215" t="str">
        <f t="shared" si="56"/>
        <v>OK</v>
      </c>
      <c r="J215" t="str">
        <f t="shared" si="57"/>
        <v>OK</v>
      </c>
    </row>
    <row r="216">
      <c r="A216" t="str">
        <f>Клиенты_исходные!A216</f>
        <v>C0215</v>
      </c>
      <c r="B216" t="str">
        <f>PROPER(TRIM(Клиенты_исходные!B216))</f>
        <v xml:space="preserve">Кузьмина Анна Борисовна</v>
      </c>
      <c r="C216" s="8">
        <f>IFERROR(IF(ISNUMBER(FIND(".",Клиенты_исходные!C216)),DATE(RIGHT(Клиенты_исходные!C216,4),MID(Клиенты_исходные!C216,4,2),LEFT(Клиенты_исходные!C216,2)),DATE(LEFT(Клиенты_исходные!C216,4),MID(Клиенты_исходные!C216,6,2),RIGHT(Клиенты_исходные!C216,2))),Клиенты_исходные!C216)</f>
        <v>33091</v>
      </c>
      <c r="D216" t="str">
        <f>IF(ISBLANK(Клиенты_исходные!D216),"",IF(LEN(SUBSTITUTE(SUBSTITUTE(SUBSTITUTE(SUBSTITUTE(SUBSTITUTE(Клиенты_исходные!D216," ",""),"-",""),"+",""),"(",""),")",""))=11,"+7 ("&amp;MID(IF(LEFT(SUBSTITUTE(SUBSTITUTE(SUBSTITUTE(SUBSTITUTE(SUBSTITUTE(Клиенты_исходные!D216," ",""),"-",""),"+",""),"(",""),")",""))="8","7"&amp;MID(SUBSTITUTE(SUBSTITUTE(SUBSTITUTE(SUBSTITUTE(SUBSTITUTE(Клиенты_исходные!D216," ",""),"-",""),"+",""),"(",""),")",""),2,10),SUBSTITUTE(SUBSTITUTE(SUBSTITUTE(SUBSTITUTE(SUBSTITUTE(Клиенты_исходные!D216," ",""),"-",""),"+",""),"(",""),")","")),2,3)&amp;") "&amp;MID(IF(LEFT(SUBSTITUTE(SUBSTITUTE(SUBSTITUTE(SUBSTITUTE(SUBSTITUTE(Клиенты_исходные!D216," ",""),"-",""),"+",""),"(",""),")",""))="8","7"&amp;MID(SUBSTITUTE(SUBSTITUTE(SUBSTITUTE(SUBSTITUTE(SUBSTITUTE(Клиенты_исходные!D216," ",""),"-",""),"+",""),"(",""),")",""),2,10),SUBSTITUTE(SUBSTITUTE(SUBSTITUTE(SUBSTITUTE(SUBSTITUTE(Клиенты_исходные!D216," ",""),"-",""),"+",""),"(",""),")","")),5,3)&amp;"-"&amp;MID(IF(LEFT(SUBSTITUTE(SUBSTITUTE(SUBSTITUTE(SUBSTITUTE(SUBSTITUTE(Клиенты_исходные!D216," ",""),"-",""),"+",""),"(",""),")",""))="8","7"&amp;MID(SUBSTITUTE(SUBSTITUTE(SUBSTITUTE(SUBSTITUTE(SUBSTITUTE(Клиенты_исходные!D216," ",""),"-",""),"+",""),"(",""),")",""),2,10),SUBSTITUTE(SUBSTITUTE(SUBSTITUTE(SUBSTITUTE(SUBSTITUTE(Клиенты_исходные!D216," ",""),"-",""),"+",""),"(",""),")","")),8,2)&amp;"-"&amp;MID(IF(LEFT(SUBSTITUTE(SUBSTITUTE(SUBSTITUTE(SUBSTITUTE(SUBSTITUTE(Клиенты_исходные!D216," ",""),"-",""),"+",""),"(",""),")",""))="8","7"&amp;MID(SUBSTITUTE(SUBSTITUTE(SUBSTITUTE(SUBSTITUTE(SUBSTITUTE(Клиенты_исходные!D216," ",""),"-",""),"+",""),"(",""),")",""),2,10),SUBSTITUTE(SUBSTITUTE(SUBSTITUTE(SUBSTITUTE(SUBSTITUTE(Клиенты_исходные!D216," ",""),"-",""),"+",""),"(",""),")","")),10,2),IF(LEN(SUBSTITUTE(SUBSTITUTE(SUBSTITUTE(SUBSTITUTE(SUBSTITUTE(Клиенты_исходные!D216," ",""),"-",""),"+",""),"(",""),")",""))=10,"+7 ("&amp;MID(SUBSTITUTE(SUBSTITUTE(SUBSTITUTE(SUBSTITUTE(SUBSTITUTE(Клиенты_исходные!D216," ",""),"-",""),"+",""),"(",""),")",""),1,3)&amp;") "&amp;MID(SUBSTITUTE(SUBSTITUTE(SUBSTITUTE(SUBSTITUTE(SUBSTITUTE(Клиенты_исходные!D216," ",""),"-",""),"+",""),"(",""),")",""),4,3)&amp;"-"&amp;MID(SUBSTITUTE(SUBSTITUTE(SUBSTITUTE(SUBSTITUTE(SUBSTITUTE(Клиенты_исходные!D216," ",""),"-",""),"+",""),"(",""),")",""),6,2)&amp;"-"&amp;MID(SUBSTITUTE(SUBSTITUTE(SUBSTITUTE(SUBSTITUTE(SUBSTITUTE(Клиенты_исходные!D216," ",""),"-",""),"+",""),"(",""),")",""),8,2),Клиенты_исходные!D216)))</f>
        <v xml:space="preserve">+7 (903) 789-01-23</v>
      </c>
      <c r="E216" t="str">
        <f>IF(ISBLANK(Клиенты_исходные!E216),"",IF(ISNUMBER(FIND(".",MID(Клиенты_исходные!E216,FIND("@",Клиенты_исходные!E216)+1,255))),Клиенты_исходные!E216,IF(ISNUMBER(FIND("gmail",Клиенты_исходные!E216)),Клиенты_исходные!E216&amp;".com",Клиенты_исходные!E216&amp;".ru")))</f>
        <v>kuzmina@yandex.ru</v>
      </c>
      <c r="F216" t="str">
        <f>IFERROR(VLOOKUP(Клиенты_исходные!F216,Справочники!$J$2:$K$50,2,FALSE),Клиенты_исходные!F216)</f>
        <v>Архангельск</v>
      </c>
      <c r="G216" s="8">
        <f>IFERROR(IF(ISNUMBER(FIND(".",Клиенты_исходные!G216)),DATE(RIGHT(Клиенты_исходные!G216,4),MID(Клиенты_исходные!G216,4,2),LEFT(Клиенты_исходные!G216,2)),DATE(LEFT(Клиенты_исходные!G216,4),MID(Клиенты_исходные!G216,6,2),RIGHT(Клиенты_исходные!G216,2))),Клиенты_исходные!G216)</f>
        <v>46731</v>
      </c>
      <c r="H216">
        <f t="shared" ca="1" si="55"/>
        <v>36</v>
      </c>
      <c r="I216" t="str">
        <f t="shared" si="56"/>
        <v>OK</v>
      </c>
      <c r="J216" t="str">
        <f t="shared" si="57"/>
        <v>OK</v>
      </c>
    </row>
    <row r="217">
      <c r="A217" t="str">
        <f>Клиенты_исходные!A217</f>
        <v>C0216</v>
      </c>
      <c r="B217" t="str">
        <f>PROPER(TRIM(Клиенты_исходные!B217))</f>
        <v xml:space="preserve">Руденко Виктор Сергеевич</v>
      </c>
      <c r="C217" s="8">
        <f>IFERROR(IF(ISNUMBER(FIND(".",Клиенты_исходные!C217)),DATE(RIGHT(Клиенты_исходные!C217,4),MID(Клиенты_исходные!C217,4,2),LEFT(Клиенты_исходные!C217,2)),DATE(LEFT(Клиенты_исходные!C217,4),MID(Клиенты_исходные!C217,6,2),RIGHT(Клиенты_исходные!C217,2))),Клиенты_исходные!C217)</f>
        <v>26660</v>
      </c>
      <c r="D217" t="str">
        <f>IF(ISBLANK(Клиенты_исходные!D217),"",IF(LEN(SUBSTITUTE(SUBSTITUTE(SUBSTITUTE(SUBSTITUTE(SUBSTITUTE(Клиенты_исходные!D217," ",""),"-",""),"+",""),"(",""),")",""))=11,"+7 ("&amp;MID(IF(LEFT(SUBSTITUTE(SUBSTITUTE(SUBSTITUTE(SUBSTITUTE(SUBSTITUTE(Клиенты_исходные!D217," ",""),"-",""),"+",""),"(",""),")",""))="8","7"&amp;MID(SUBSTITUTE(SUBSTITUTE(SUBSTITUTE(SUBSTITUTE(SUBSTITUTE(Клиенты_исходные!D217," ",""),"-",""),"+",""),"(",""),")",""),2,10),SUBSTITUTE(SUBSTITUTE(SUBSTITUTE(SUBSTITUTE(SUBSTITUTE(Клиенты_исходные!D217," ",""),"-",""),"+",""),"(",""),")","")),2,3)&amp;") "&amp;MID(IF(LEFT(SUBSTITUTE(SUBSTITUTE(SUBSTITUTE(SUBSTITUTE(SUBSTITUTE(Клиенты_исходные!D217," ",""),"-",""),"+",""),"(",""),")",""))="8","7"&amp;MID(SUBSTITUTE(SUBSTITUTE(SUBSTITUTE(SUBSTITUTE(SUBSTITUTE(Клиенты_исходные!D217," ",""),"-",""),"+",""),"(",""),")",""),2,10),SUBSTITUTE(SUBSTITUTE(SUBSTITUTE(SUBSTITUTE(SUBSTITUTE(Клиенты_исходные!D217," ",""),"-",""),"+",""),"(",""),")","")),5,3)&amp;"-"&amp;MID(IF(LEFT(SUBSTITUTE(SUBSTITUTE(SUBSTITUTE(SUBSTITUTE(SUBSTITUTE(Клиенты_исходные!D217," ",""),"-",""),"+",""),"(",""),")",""))="8","7"&amp;MID(SUBSTITUTE(SUBSTITUTE(SUBSTITUTE(SUBSTITUTE(SUBSTITUTE(Клиенты_исходные!D217," ",""),"-",""),"+",""),"(",""),")",""),2,10),SUBSTITUTE(SUBSTITUTE(SUBSTITUTE(SUBSTITUTE(SUBSTITUTE(Клиенты_исходные!D217," ",""),"-",""),"+",""),"(",""),")","")),8,2)&amp;"-"&amp;MID(IF(LEFT(SUBSTITUTE(SUBSTITUTE(SUBSTITUTE(SUBSTITUTE(SUBSTITUTE(Клиенты_исходные!D217," ",""),"-",""),"+",""),"(",""),")",""))="8","7"&amp;MID(SUBSTITUTE(SUBSTITUTE(SUBSTITUTE(SUBSTITUTE(SUBSTITUTE(Клиенты_исходные!D217," ",""),"-",""),"+",""),"(",""),")",""),2,10),SUBSTITUTE(SUBSTITUTE(SUBSTITUTE(SUBSTITUTE(SUBSTITUTE(Клиенты_исходные!D217," ",""),"-",""),"+",""),"(",""),")","")),10,2),IF(LEN(SUBSTITUTE(SUBSTITUTE(SUBSTITUTE(SUBSTITUTE(SUBSTITUTE(Клиенты_исходные!D217," ",""),"-",""),"+",""),"(",""),")",""))=10,"+7 ("&amp;MID(SUBSTITUTE(SUBSTITUTE(SUBSTITUTE(SUBSTITUTE(SUBSTITUTE(Клиенты_исходные!D217," ",""),"-",""),"+",""),"(",""),")",""),1,3)&amp;") "&amp;MID(SUBSTITUTE(SUBSTITUTE(SUBSTITUTE(SUBSTITUTE(SUBSTITUTE(Клиенты_исходные!D217," ",""),"-",""),"+",""),"(",""),")",""),4,3)&amp;"-"&amp;MID(SUBSTITUTE(SUBSTITUTE(SUBSTITUTE(SUBSTITUTE(SUBSTITUTE(Клиенты_исходные!D217," ",""),"-",""),"+",""),"(",""),")",""),6,2)&amp;"-"&amp;MID(SUBSTITUTE(SUBSTITUTE(SUBSTITUTE(SUBSTITUTE(SUBSTITUTE(Клиенты_исходные!D217," ",""),"-",""),"+",""),"(",""),")",""),8,2),Клиенты_исходные!D217)))</f>
        <v xml:space="preserve">+7 (903) 890-12-34</v>
      </c>
      <c r="E217" t="str">
        <f>IF(ISBLANK(Клиенты_исходные!E217),"",IF(ISNUMBER(FIND(".",MID(Клиенты_исходные!E217,FIND("@",Клиенты_исходные!E217)+1,255))),Клиенты_исходные!E217,IF(ISNUMBER(FIND("gmail",Клиенты_исходные!E217)),Клиенты_исходные!E217&amp;".com",Клиенты_исходные!E217&amp;".ru")))</f>
        <v>rudenko@gmail.com</v>
      </c>
      <c r="F217" t="str">
        <f>IFERROR(VLOOKUP(Клиенты_исходные!F217,Справочники!$J$2:$K$50,2,FALSE),Клиенты_исходные!F217)</f>
        <v>Благовещенск</v>
      </c>
      <c r="G217" s="8">
        <f>IFERROR(IF(ISNUMBER(FIND(".",Клиенты_исходные!G217)),DATE(RIGHT(Клиенты_исходные!G217,4),MID(Клиенты_исходные!G217,4,2),LEFT(Клиенты_исходные!G217,2)),DATE(LEFT(Клиенты_исходные!G217,4),MID(Клиенты_исходные!G217,6,2),RIGHT(Клиенты_исходные!G217,2))),Клиенты_исходные!G217)</f>
        <v>46731</v>
      </c>
      <c r="H217">
        <f t="shared" ca="1" si="55"/>
        <v>53</v>
      </c>
      <c r="I217" t="str">
        <f t="shared" si="56"/>
        <v>OK</v>
      </c>
      <c r="J217" t="str">
        <f t="shared" si="57"/>
        <v>OK</v>
      </c>
    </row>
    <row r="218">
      <c r="A218" t="str">
        <f>Клиенты_исходные!A218</f>
        <v>C0217</v>
      </c>
      <c r="B218" t="str">
        <f>PROPER(TRIM(Клиенты_исходные!B218))</f>
        <v xml:space="preserve">Степанова Алла Владимировна</v>
      </c>
      <c r="C218" s="8">
        <f>IFERROR(IF(ISNUMBER(FIND(".",Клиенты_исходные!C218)),DATE(RIGHT(Клиенты_исходные!C218,4),MID(Клиенты_исходные!C218,4,2),LEFT(Клиенты_исходные!C218,2)),DATE(LEFT(Клиенты_исходные!C218,4),MID(Клиенты_исходные!C218,6,2),RIGHT(Клиенты_исходные!C218,2))),Клиенты_исходные!C218)</f>
        <v>31518</v>
      </c>
      <c r="D218" t="str">
        <f>IF(ISBLANK(Клиенты_исходные!D218),"",IF(LEN(SUBSTITUTE(SUBSTITUTE(SUBSTITUTE(SUBSTITUTE(SUBSTITUTE(Клиенты_исходные!D218," ",""),"-",""),"+",""),"(",""),")",""))=11,"+7 ("&amp;MID(IF(LEFT(SUBSTITUTE(SUBSTITUTE(SUBSTITUTE(SUBSTITUTE(SUBSTITUTE(Клиенты_исходные!D218," ",""),"-",""),"+",""),"(",""),")",""))="8","7"&amp;MID(SUBSTITUTE(SUBSTITUTE(SUBSTITUTE(SUBSTITUTE(SUBSTITUTE(Клиенты_исходные!D218," ",""),"-",""),"+",""),"(",""),")",""),2,10),SUBSTITUTE(SUBSTITUTE(SUBSTITUTE(SUBSTITUTE(SUBSTITUTE(Клиенты_исходные!D218," ",""),"-",""),"+",""),"(",""),")","")),2,3)&amp;") "&amp;MID(IF(LEFT(SUBSTITUTE(SUBSTITUTE(SUBSTITUTE(SUBSTITUTE(SUBSTITUTE(Клиенты_исходные!D218," ",""),"-",""),"+",""),"(",""),")",""))="8","7"&amp;MID(SUBSTITUTE(SUBSTITUTE(SUBSTITUTE(SUBSTITUTE(SUBSTITUTE(Клиенты_исходные!D218," ",""),"-",""),"+",""),"(",""),")",""),2,10),SUBSTITUTE(SUBSTITUTE(SUBSTITUTE(SUBSTITUTE(SUBSTITUTE(Клиенты_исходные!D218," ",""),"-",""),"+",""),"(",""),")","")),5,3)&amp;"-"&amp;MID(IF(LEFT(SUBSTITUTE(SUBSTITUTE(SUBSTITUTE(SUBSTITUTE(SUBSTITUTE(Клиенты_исходные!D218," ",""),"-",""),"+",""),"(",""),")",""))="8","7"&amp;MID(SUBSTITUTE(SUBSTITUTE(SUBSTITUTE(SUBSTITUTE(SUBSTITUTE(Клиенты_исходные!D218," ",""),"-",""),"+",""),"(",""),")",""),2,10),SUBSTITUTE(SUBSTITUTE(SUBSTITUTE(SUBSTITUTE(SUBSTITUTE(Клиенты_исходные!D218," ",""),"-",""),"+",""),"(",""),")","")),8,2)&amp;"-"&amp;MID(IF(LEFT(SUBSTITUTE(SUBSTITUTE(SUBSTITUTE(SUBSTITUTE(SUBSTITUTE(Клиенты_исходные!D218," ",""),"-",""),"+",""),"(",""),")",""))="8","7"&amp;MID(SUBSTITUTE(SUBSTITUTE(SUBSTITUTE(SUBSTITUTE(SUBSTITUTE(Клиенты_исходные!D218," ",""),"-",""),"+",""),"(",""),")",""),2,10),SUBSTITUTE(SUBSTITUTE(SUBSTITUTE(SUBSTITUTE(SUBSTITUTE(Клиенты_исходные!D218," ",""),"-",""),"+",""),"(",""),")","")),10,2),IF(LEN(SUBSTITUTE(SUBSTITUTE(SUBSTITUTE(SUBSTITUTE(SUBSTITUTE(Клиенты_исходные!D218," ",""),"-",""),"+",""),"(",""),")",""))=10,"+7 ("&amp;MID(SUBSTITUTE(SUBSTITUTE(SUBSTITUTE(SUBSTITUTE(SUBSTITUTE(Клиенты_исходные!D218," ",""),"-",""),"+",""),"(",""),")",""),1,3)&amp;") "&amp;MID(SUBSTITUTE(SUBSTITUTE(SUBSTITUTE(SUBSTITUTE(SUBSTITUTE(Клиенты_исходные!D218," ",""),"-",""),"+",""),"(",""),")",""),4,3)&amp;"-"&amp;MID(SUBSTITUTE(SUBSTITUTE(SUBSTITUTE(SUBSTITUTE(SUBSTITUTE(Клиенты_исходные!D218," ",""),"-",""),"+",""),"(",""),")",""),6,2)&amp;"-"&amp;MID(SUBSTITUTE(SUBSTITUTE(SUBSTITUTE(SUBSTITUTE(SUBSTITUTE(Клиенты_исходные!D218," ",""),"-",""),"+",""),"(",""),")",""),8,2),Клиенты_исходные!D218)))</f>
        <v xml:space="preserve">+7 (903) 890-12-34</v>
      </c>
      <c r="E218" t="str">
        <f>IF(ISBLANK(Клиенты_исходные!E218),"",IF(ISNUMBER(FIND(".",MID(Клиенты_исходные!E218,FIND("@",Клиенты_исходные!E218)+1,255))),Клиенты_исходные!E218,IF(ISNUMBER(FIND("gmail",Клиенты_исходные!E218)),Клиенты_исходные!E218&amp;".com",Клиенты_исходные!E218&amp;".ru")))</f>
        <v>stepanova@mail.ru</v>
      </c>
      <c r="F218" t="str">
        <f>IFERROR(VLOOKUP(Клиенты_исходные!F218,Справочники!$J$2:$K$50,2,FALSE),Клиенты_исходные!F218)</f>
        <v>Майкоп</v>
      </c>
      <c r="G218" s="8">
        <f>IFERROR(IF(ISNUMBER(FIND(".",Клиенты_исходные!G218)),DATE(RIGHT(Клиенты_исходные!G218,4),MID(Клиенты_исходные!G218,4,2),LEFT(Клиенты_исходные!G218,2)),DATE(LEFT(Клиенты_исходные!G218,4),MID(Клиенты_исходные!G218,6,2),RIGHT(Клиенты_исходные!G218,2))),Клиенты_исходные!G218)</f>
        <v>46753</v>
      </c>
      <c r="H218">
        <f t="shared" ca="1" si="55"/>
        <v>40</v>
      </c>
      <c r="I218" t="str">
        <f t="shared" si="56"/>
        <v>OK</v>
      </c>
      <c r="J218" t="str">
        <f t="shared" si="57"/>
        <v>OK</v>
      </c>
    </row>
    <row r="219">
      <c r="A219" t="str">
        <f>Клиенты_исходные!A219</f>
        <v>C0218</v>
      </c>
      <c r="B219" t="str">
        <f>PROPER(TRIM(Клиенты_исходные!B219))</f>
        <v xml:space="preserve">Мазур Илья Романович</v>
      </c>
      <c r="C219" s="8">
        <f>IFERROR(IF(ISNUMBER(FIND(".",Клиенты_исходные!C219)),DATE(RIGHT(Клиенты_исходные!C219,4),MID(Клиенты_исходные!C219,4,2),LEFT(Клиенты_исходные!C219,2)),DATE(LEFT(Клиенты_исходные!C219,4),MID(Клиенты_исходные!C219,6,2),RIGHT(Клиенты_исходные!C219,2))),Клиенты_исходные!C219)</f>
        <v>34585</v>
      </c>
      <c r="D219" t="str">
        <f>IF(ISBLANK(Клиенты_исходные!D219),"",IF(LEN(SUBSTITUTE(SUBSTITUTE(SUBSTITUTE(SUBSTITUTE(SUBSTITUTE(Клиенты_исходные!D219," ",""),"-",""),"+",""),"(",""),")",""))=11,"+7 ("&amp;MID(IF(LEFT(SUBSTITUTE(SUBSTITUTE(SUBSTITUTE(SUBSTITUTE(SUBSTITUTE(Клиенты_исходные!D219," ",""),"-",""),"+",""),"(",""),")",""))="8","7"&amp;MID(SUBSTITUTE(SUBSTITUTE(SUBSTITUTE(SUBSTITUTE(SUBSTITUTE(Клиенты_исходные!D219," ",""),"-",""),"+",""),"(",""),")",""),2,10),SUBSTITUTE(SUBSTITUTE(SUBSTITUTE(SUBSTITUTE(SUBSTITUTE(Клиенты_исходные!D219," ",""),"-",""),"+",""),"(",""),")","")),2,3)&amp;") "&amp;MID(IF(LEFT(SUBSTITUTE(SUBSTITUTE(SUBSTITUTE(SUBSTITUTE(SUBSTITUTE(Клиенты_исходные!D219," ",""),"-",""),"+",""),"(",""),")",""))="8","7"&amp;MID(SUBSTITUTE(SUBSTITUTE(SUBSTITUTE(SUBSTITUTE(SUBSTITUTE(Клиенты_исходные!D219," ",""),"-",""),"+",""),"(",""),")",""),2,10),SUBSTITUTE(SUBSTITUTE(SUBSTITUTE(SUBSTITUTE(SUBSTITUTE(Клиенты_исходные!D219," ",""),"-",""),"+",""),"(",""),")","")),5,3)&amp;"-"&amp;MID(IF(LEFT(SUBSTITUTE(SUBSTITUTE(SUBSTITUTE(SUBSTITUTE(SUBSTITUTE(Клиенты_исходные!D219," ",""),"-",""),"+",""),"(",""),")",""))="8","7"&amp;MID(SUBSTITUTE(SUBSTITUTE(SUBSTITUTE(SUBSTITUTE(SUBSTITUTE(Клиенты_исходные!D219," ",""),"-",""),"+",""),"(",""),")",""),2,10),SUBSTITUTE(SUBSTITUTE(SUBSTITUTE(SUBSTITUTE(SUBSTITUTE(Клиенты_исходные!D219," ",""),"-",""),"+",""),"(",""),")","")),8,2)&amp;"-"&amp;MID(IF(LEFT(SUBSTITUTE(SUBSTITUTE(SUBSTITUTE(SUBSTITUTE(SUBSTITUTE(Клиенты_исходные!D219," ",""),"-",""),"+",""),"(",""),")",""))="8","7"&amp;MID(SUBSTITUTE(SUBSTITUTE(SUBSTITUTE(SUBSTITUTE(SUBSTITUTE(Клиенты_исходные!D219," ",""),"-",""),"+",""),"(",""),")",""),2,10),SUBSTITUTE(SUBSTITUTE(SUBSTITUTE(SUBSTITUTE(SUBSTITUTE(Клиенты_исходные!D219," ",""),"-",""),"+",""),"(",""),")","")),10,2),IF(LEN(SUBSTITUTE(SUBSTITUTE(SUBSTITUTE(SUBSTITUTE(SUBSTITUTE(Клиенты_исходные!D219," ",""),"-",""),"+",""),"(",""),")",""))=10,"+7 ("&amp;MID(SUBSTITUTE(SUBSTITUTE(SUBSTITUTE(SUBSTITUTE(SUBSTITUTE(Клиенты_исходные!D219," ",""),"-",""),"+",""),"(",""),")",""),1,3)&amp;") "&amp;MID(SUBSTITUTE(SUBSTITUTE(SUBSTITUTE(SUBSTITUTE(SUBSTITUTE(Клиенты_исходные!D219," ",""),"-",""),"+",""),"(",""),")",""),4,3)&amp;"-"&amp;MID(SUBSTITUTE(SUBSTITUTE(SUBSTITUTE(SUBSTITUTE(SUBSTITUTE(Клиенты_исходные!D219," ",""),"-",""),"+",""),"(",""),")",""),6,2)&amp;"-"&amp;MID(SUBSTITUTE(SUBSTITUTE(SUBSTITUTE(SUBSTITUTE(SUBSTITUTE(Клиенты_исходные!D219," ",""),"-",""),"+",""),"(",""),")",""),8,2),Клиенты_исходные!D219)))</f>
        <v xml:space="preserve">+7 (903) 890-12-34</v>
      </c>
      <c r="E219" t="str">
        <f>IF(ISBLANK(Клиенты_исходные!E219),"",IF(ISNUMBER(FIND(".",MID(Клиенты_исходные!E219,FIND("@",Клиенты_исходные!E219)+1,255))),Клиенты_исходные!E219,IF(ISNUMBER(FIND("gmail",Клиенты_исходные!E219)),Клиенты_исходные!E219&amp;".com",Клиенты_исходные!E219&amp;".ru")))</f>
        <v>mazur@yandex.ru</v>
      </c>
      <c r="F219" t="str">
        <f>IFERROR(VLOOKUP(Клиенты_исходные!F219,Справочники!$J$2:$K$50,2,FALSE),Клиенты_исходные!F219)</f>
        <v>Уссурийск</v>
      </c>
      <c r="G219" s="8">
        <f>IFERROR(IF(ISNUMBER(FIND(".",Клиенты_исходные!G219)),DATE(RIGHT(Клиенты_исходные!G219,4),MID(Клиенты_исходные!G219,4,2),LEFT(Клиенты_исходные!G219,2)),DATE(LEFT(Клиенты_исходные!G219,4),MID(Клиенты_исходные!G219,6,2),RIGHT(Клиенты_исходные!G219,2))),Клиенты_исходные!G219)</f>
        <v>46767</v>
      </c>
      <c r="H219">
        <f t="shared" ca="1" si="55"/>
        <v>32</v>
      </c>
      <c r="I219" t="str">
        <f t="shared" si="56"/>
        <v>OK</v>
      </c>
      <c r="J219" t="str">
        <f t="shared" si="57"/>
        <v>OK</v>
      </c>
    </row>
    <row r="220">
      <c r="A220" t="str">
        <f>Клиенты_исходные!A220</f>
        <v>C0219</v>
      </c>
      <c r="B220" t="str">
        <f>PROPER(TRIM(Клиенты_исходные!B220))</f>
        <v xml:space="preserve">Касьянова Оксана Юрьевна</v>
      </c>
      <c r="C220" s="8">
        <f>IFERROR(IF(ISNUMBER(FIND(".",Клиенты_исходные!C220)),DATE(RIGHT(Клиенты_исходные!C220,4),MID(Клиенты_исходные!C220,4,2),LEFT(Клиенты_исходные!C220,2)),DATE(LEFT(Клиенты_исходные!C220,4),MID(Клиенты_исходные!C220,6,2),RIGHT(Клиенты_исходные!C220,2))),Клиенты_исходные!C220)</f>
        <v>29061</v>
      </c>
      <c r="D220" t="str">
        <f>IF(ISBLANK(Клиенты_исходные!D220),"",IF(LEN(SUBSTITUTE(SUBSTITUTE(SUBSTITUTE(SUBSTITUTE(SUBSTITUTE(Клиенты_исходные!D220," ",""),"-",""),"+",""),"(",""),")",""))=11,"+7 ("&amp;MID(IF(LEFT(SUBSTITUTE(SUBSTITUTE(SUBSTITUTE(SUBSTITUTE(SUBSTITUTE(Клиенты_исходные!D220," ",""),"-",""),"+",""),"(",""),")",""))="8","7"&amp;MID(SUBSTITUTE(SUBSTITUTE(SUBSTITUTE(SUBSTITUTE(SUBSTITUTE(Клиенты_исходные!D220," ",""),"-",""),"+",""),"(",""),")",""),2,10),SUBSTITUTE(SUBSTITUTE(SUBSTITUTE(SUBSTITUTE(SUBSTITUTE(Клиенты_исходные!D220," ",""),"-",""),"+",""),"(",""),")","")),2,3)&amp;") "&amp;MID(IF(LEFT(SUBSTITUTE(SUBSTITUTE(SUBSTITUTE(SUBSTITUTE(SUBSTITUTE(Клиенты_исходные!D220," ",""),"-",""),"+",""),"(",""),")",""))="8","7"&amp;MID(SUBSTITUTE(SUBSTITUTE(SUBSTITUTE(SUBSTITUTE(SUBSTITUTE(Клиенты_исходные!D220," ",""),"-",""),"+",""),"(",""),")",""),2,10),SUBSTITUTE(SUBSTITUTE(SUBSTITUTE(SUBSTITUTE(SUBSTITUTE(Клиенты_исходные!D220," ",""),"-",""),"+",""),"(",""),")","")),5,3)&amp;"-"&amp;MID(IF(LEFT(SUBSTITUTE(SUBSTITUTE(SUBSTITUTE(SUBSTITUTE(SUBSTITUTE(Клиенты_исходные!D220," ",""),"-",""),"+",""),"(",""),")",""))="8","7"&amp;MID(SUBSTITUTE(SUBSTITUTE(SUBSTITUTE(SUBSTITUTE(SUBSTITUTE(Клиенты_исходные!D220," ",""),"-",""),"+",""),"(",""),")",""),2,10),SUBSTITUTE(SUBSTITUTE(SUBSTITUTE(SUBSTITUTE(SUBSTITUTE(Клиенты_исходные!D220," ",""),"-",""),"+",""),"(",""),")","")),8,2)&amp;"-"&amp;MID(IF(LEFT(SUBSTITUTE(SUBSTITUTE(SUBSTITUTE(SUBSTITUTE(SUBSTITUTE(Клиенты_исходные!D220," ",""),"-",""),"+",""),"(",""),")",""))="8","7"&amp;MID(SUBSTITUTE(SUBSTITUTE(SUBSTITUTE(SUBSTITUTE(SUBSTITUTE(Клиенты_исходные!D220," ",""),"-",""),"+",""),"(",""),")",""),2,10),SUBSTITUTE(SUBSTITUTE(SUBSTITUTE(SUBSTITUTE(SUBSTITUTE(Клиенты_исходные!D220," ",""),"-",""),"+",""),"(",""),")","")),10,2),IF(LEN(SUBSTITUTE(SUBSTITUTE(SUBSTITUTE(SUBSTITUTE(SUBSTITUTE(Клиенты_исходные!D220," ",""),"-",""),"+",""),"(",""),")",""))=10,"+7 ("&amp;MID(SUBSTITUTE(SUBSTITUTE(SUBSTITUTE(SUBSTITUTE(SUBSTITUTE(Клиенты_исходные!D220," ",""),"-",""),"+",""),"(",""),")",""),1,3)&amp;") "&amp;MID(SUBSTITUTE(SUBSTITUTE(SUBSTITUTE(SUBSTITUTE(SUBSTITUTE(Клиенты_исходные!D220," ",""),"-",""),"+",""),"(",""),")",""),4,3)&amp;"-"&amp;MID(SUBSTITUTE(SUBSTITUTE(SUBSTITUTE(SUBSTITUTE(SUBSTITUTE(Клиенты_исходные!D220," ",""),"-",""),"+",""),"(",""),")",""),6,2)&amp;"-"&amp;MID(SUBSTITUTE(SUBSTITUTE(SUBSTITUTE(SUBSTITUTE(SUBSTITUTE(Клиенты_исходные!D220," ",""),"-",""),"+",""),"(",""),")",""),8,2),Клиенты_исходные!D220)))</f>
        <v xml:space="preserve">+7 (903) 901-23-45</v>
      </c>
      <c r="E220" t="str">
        <f>IF(ISBLANK(Клиенты_исходные!E220),"",IF(ISNUMBER(FIND(".",MID(Клиенты_исходные!E220,FIND("@",Клиенты_исходные!E220)+1,255))),Клиенты_исходные!E220,IF(ISNUMBER(FIND("gmail",Клиенты_исходные!E220)),Клиенты_исходные!E220&amp;".com",Клиенты_исходные!E220&amp;".ru")))</f>
        <v>kasyanova@gmail.com</v>
      </c>
      <c r="F220" t="str">
        <f>IFERROR(VLOOKUP(Клиенты_исходные!F220,Справочники!$J$2:$K$50,2,FALSE),Клиенты_исходные!F220)</f>
        <v>Миасс</v>
      </c>
      <c r="G220" s="8">
        <f>IFERROR(IF(ISNUMBER(FIND(".",Клиенты_исходные!G220)),DATE(RIGHT(Клиенты_исходные!G220,4),MID(Клиенты_исходные!G220,4,2),LEFT(Клиенты_исходные!G220,2)),DATE(LEFT(Клиенты_исходные!G220,4),MID(Клиенты_исходные!G220,6,2),RIGHT(Клиенты_исходные!G220,2))),Клиенты_исходные!G220)</f>
        <v>46767</v>
      </c>
      <c r="H220">
        <f t="shared" ca="1" si="55"/>
        <v>47</v>
      </c>
      <c r="I220" t="str">
        <f t="shared" si="56"/>
        <v>OK</v>
      </c>
      <c r="J220" t="str">
        <f t="shared" si="57"/>
        <v>OK</v>
      </c>
    </row>
    <row r="221">
      <c r="A221" t="str">
        <f>Клиенты_исходные!A221</f>
        <v>C0220</v>
      </c>
      <c r="B221" t="str">
        <f>PROPER(TRIM(Клиенты_исходные!B221))</f>
        <v xml:space="preserve">Масленников Денис Олегович</v>
      </c>
      <c r="C221" s="8">
        <f>IFERROR(IF(ISNUMBER(FIND(".",Клиенты_исходные!C221)),DATE(RIGHT(Клиенты_исходные!C221,4),MID(Клиенты_исходные!C221,4,2),LEFT(Клиенты_исходные!C221,2)),DATE(LEFT(Клиенты_исходные!C221,4),MID(Клиенты_исходные!C221,6,2),RIGHT(Клиенты_исходные!C221,2))),Клиенты_исходные!C221)</f>
        <v>32216</v>
      </c>
      <c r="D221" t="str">
        <f>IF(ISBLANK(Клиенты_исходные!D221),"",IF(LEN(SUBSTITUTE(SUBSTITUTE(SUBSTITUTE(SUBSTITUTE(SUBSTITUTE(Клиенты_исходные!D221," ",""),"-",""),"+",""),"(",""),")",""))=11,"+7 ("&amp;MID(IF(LEFT(SUBSTITUTE(SUBSTITUTE(SUBSTITUTE(SUBSTITUTE(SUBSTITUTE(Клиенты_исходные!D221," ",""),"-",""),"+",""),"(",""),")",""))="8","7"&amp;MID(SUBSTITUTE(SUBSTITUTE(SUBSTITUTE(SUBSTITUTE(SUBSTITUTE(Клиенты_исходные!D221," ",""),"-",""),"+",""),"(",""),")",""),2,10),SUBSTITUTE(SUBSTITUTE(SUBSTITUTE(SUBSTITUTE(SUBSTITUTE(Клиенты_исходные!D221," ",""),"-",""),"+",""),"(",""),")","")),2,3)&amp;") "&amp;MID(IF(LEFT(SUBSTITUTE(SUBSTITUTE(SUBSTITUTE(SUBSTITUTE(SUBSTITUTE(Клиенты_исходные!D221," ",""),"-",""),"+",""),"(",""),")",""))="8","7"&amp;MID(SUBSTITUTE(SUBSTITUTE(SUBSTITUTE(SUBSTITUTE(SUBSTITUTE(Клиенты_исходные!D221," ",""),"-",""),"+",""),"(",""),")",""),2,10),SUBSTITUTE(SUBSTITUTE(SUBSTITUTE(SUBSTITUTE(SUBSTITUTE(Клиенты_исходные!D221," ",""),"-",""),"+",""),"(",""),")","")),5,3)&amp;"-"&amp;MID(IF(LEFT(SUBSTITUTE(SUBSTITUTE(SUBSTITUTE(SUBSTITUTE(SUBSTITUTE(Клиенты_исходные!D221," ",""),"-",""),"+",""),"(",""),")",""))="8","7"&amp;MID(SUBSTITUTE(SUBSTITUTE(SUBSTITUTE(SUBSTITUTE(SUBSTITUTE(Клиенты_исходные!D221," ",""),"-",""),"+",""),"(",""),")",""),2,10),SUBSTITUTE(SUBSTITUTE(SUBSTITUTE(SUBSTITUTE(SUBSTITUTE(Клиенты_исходные!D221," ",""),"-",""),"+",""),"(",""),")","")),8,2)&amp;"-"&amp;MID(IF(LEFT(SUBSTITUTE(SUBSTITUTE(SUBSTITUTE(SUBSTITUTE(SUBSTITUTE(Клиенты_исходные!D221," ",""),"-",""),"+",""),"(",""),")",""))="8","7"&amp;MID(SUBSTITUTE(SUBSTITUTE(SUBSTITUTE(SUBSTITUTE(SUBSTITUTE(Клиенты_исходные!D221," ",""),"-",""),"+",""),"(",""),")",""),2,10),SUBSTITUTE(SUBSTITUTE(SUBSTITUTE(SUBSTITUTE(SUBSTITUTE(Клиенты_исходные!D221," ",""),"-",""),"+",""),"(",""),")","")),10,2),IF(LEN(SUBSTITUTE(SUBSTITUTE(SUBSTITUTE(SUBSTITUTE(SUBSTITUTE(Клиенты_исходные!D221," ",""),"-",""),"+",""),"(",""),")",""))=10,"+7 ("&amp;MID(SUBSTITUTE(SUBSTITUTE(SUBSTITUTE(SUBSTITUTE(SUBSTITUTE(Клиенты_исходные!D221," ",""),"-",""),"+",""),"(",""),")",""),1,3)&amp;") "&amp;MID(SUBSTITUTE(SUBSTITUTE(SUBSTITUTE(SUBSTITUTE(SUBSTITUTE(Клиенты_исходные!D221," ",""),"-",""),"+",""),"(",""),")",""),4,3)&amp;"-"&amp;MID(SUBSTITUTE(SUBSTITUTE(SUBSTITUTE(SUBSTITUTE(SUBSTITUTE(Клиенты_исходные!D221," ",""),"-",""),"+",""),"(",""),")",""),6,2)&amp;"-"&amp;MID(SUBSTITUTE(SUBSTITUTE(SUBSTITUTE(SUBSTITUTE(SUBSTITUTE(Клиенты_исходные!D221," ",""),"-",""),"+",""),"(",""),")",""),8,2),Клиенты_исходные!D221)))</f>
        <v xml:space="preserve">+7 (903) 901-23-45</v>
      </c>
      <c r="E221" t="str">
        <f>IF(ISBLANK(Клиенты_исходные!E221),"",IF(ISNUMBER(FIND(".",MID(Клиенты_исходные!E221,FIND("@",Клиенты_исходные!E221)+1,255))),Клиенты_исходные!E221,IF(ISNUMBER(FIND("gmail",Клиенты_исходные!E221)),Клиенты_исходные!E221&amp;".com",Клиенты_исходные!E221&amp;".ru")))</f>
        <v>maslennikov@mail.ru</v>
      </c>
      <c r="F221" t="str">
        <f>IFERROR(VLOOKUP(Клиенты_исходные!F221,Справочники!$J$2:$K$50,2,FALSE),Клиенты_исходные!F221)</f>
        <v>Кызыл</v>
      </c>
      <c r="G221" s="8">
        <f>IFERROR(IF(ISNUMBER(FIND(".",Клиенты_исходные!G221)),DATE(RIGHT(Клиенты_исходные!G221,4),MID(Клиенты_исходные!G221,4,2),LEFT(Клиенты_исходные!G221,2)),DATE(LEFT(Клиенты_исходные!G221,4),MID(Клиенты_исходные!G221,6,2),RIGHT(Клиенты_исходные!G221,2))),Клиенты_исходные!G221)</f>
        <v>46784</v>
      </c>
      <c r="H221">
        <f t="shared" ca="1" si="55"/>
        <v>38</v>
      </c>
      <c r="I221" t="str">
        <f t="shared" si="56"/>
        <v>OK</v>
      </c>
      <c r="J221" t="str">
        <f t="shared" si="57"/>
        <v>OK</v>
      </c>
    </row>
    <row r="222">
      <c r="A222" t="str">
        <f>Клиенты_исходные!A222</f>
        <v>C0221</v>
      </c>
      <c r="B222" t="str">
        <f>PROPER(TRIM(Клиенты_исходные!B222))</f>
        <v xml:space="preserve">Чумак Екатерина Алексеевна</v>
      </c>
      <c r="C222" s="8">
        <f>IFERROR(IF(ISNUMBER(FIND(".",Клиенты_исходные!C222)),DATE(RIGHT(Клиенты_исходные!C222,4),MID(Клиенты_исходные!C222,4,2),LEFT(Клиенты_исходные!C222,2)),DATE(LEFT(Клиенты_исходные!C222,4),MID(Клиенты_исходные!C222,6,2),RIGHT(Клиенты_исходные!C222,2))),Клиенты_исходные!C222)</f>
        <v>29756</v>
      </c>
      <c r="D222" t="str">
        <f>IF(ISBLANK(Клиенты_исходные!D222),"",IF(LEN(SUBSTITUTE(SUBSTITUTE(SUBSTITUTE(SUBSTITUTE(SUBSTITUTE(Клиенты_исходные!D222," ",""),"-",""),"+",""),"(",""),")",""))=11,"+7 ("&amp;MID(IF(LEFT(SUBSTITUTE(SUBSTITUTE(SUBSTITUTE(SUBSTITUTE(SUBSTITUTE(Клиенты_исходные!D222," ",""),"-",""),"+",""),"(",""),")",""))="8","7"&amp;MID(SUBSTITUTE(SUBSTITUTE(SUBSTITUTE(SUBSTITUTE(SUBSTITUTE(Клиенты_исходные!D222," ",""),"-",""),"+",""),"(",""),")",""),2,10),SUBSTITUTE(SUBSTITUTE(SUBSTITUTE(SUBSTITUTE(SUBSTITUTE(Клиенты_исходные!D222," ",""),"-",""),"+",""),"(",""),")","")),2,3)&amp;") "&amp;MID(IF(LEFT(SUBSTITUTE(SUBSTITUTE(SUBSTITUTE(SUBSTITUTE(SUBSTITUTE(Клиенты_исходные!D222," ",""),"-",""),"+",""),"(",""),")",""))="8","7"&amp;MID(SUBSTITUTE(SUBSTITUTE(SUBSTITUTE(SUBSTITUTE(SUBSTITUTE(Клиенты_исходные!D222," ",""),"-",""),"+",""),"(",""),")",""),2,10),SUBSTITUTE(SUBSTITUTE(SUBSTITUTE(SUBSTITUTE(SUBSTITUTE(Клиенты_исходные!D222," ",""),"-",""),"+",""),"(",""),")","")),5,3)&amp;"-"&amp;MID(IF(LEFT(SUBSTITUTE(SUBSTITUTE(SUBSTITUTE(SUBSTITUTE(SUBSTITUTE(Клиенты_исходные!D222," ",""),"-",""),"+",""),"(",""),")",""))="8","7"&amp;MID(SUBSTITUTE(SUBSTITUTE(SUBSTITUTE(SUBSTITUTE(SUBSTITUTE(Клиенты_исходные!D222," ",""),"-",""),"+",""),"(",""),")",""),2,10),SUBSTITUTE(SUBSTITUTE(SUBSTITUTE(SUBSTITUTE(SUBSTITUTE(Клиенты_исходные!D222," ",""),"-",""),"+",""),"(",""),")","")),8,2)&amp;"-"&amp;MID(IF(LEFT(SUBSTITUTE(SUBSTITUTE(SUBSTITUTE(SUBSTITUTE(SUBSTITUTE(Клиенты_исходные!D222," ",""),"-",""),"+",""),"(",""),")",""))="8","7"&amp;MID(SUBSTITUTE(SUBSTITUTE(SUBSTITUTE(SUBSTITUTE(SUBSTITUTE(Клиенты_исходные!D222," ",""),"-",""),"+",""),"(",""),")",""),2,10),SUBSTITUTE(SUBSTITUTE(SUBSTITUTE(SUBSTITUTE(SUBSTITUTE(Клиенты_исходные!D222," ",""),"-",""),"+",""),"(",""),")","")),10,2),IF(LEN(SUBSTITUTE(SUBSTITUTE(SUBSTITUTE(SUBSTITUTE(SUBSTITUTE(Клиенты_исходные!D222," ",""),"-",""),"+",""),"(",""),")",""))=10,"+7 ("&amp;MID(SUBSTITUTE(SUBSTITUTE(SUBSTITUTE(SUBSTITUTE(SUBSTITUTE(Клиенты_исходные!D222," ",""),"-",""),"+",""),"(",""),")",""),1,3)&amp;") "&amp;MID(SUBSTITUTE(SUBSTITUTE(SUBSTITUTE(SUBSTITUTE(SUBSTITUTE(Клиенты_исходные!D222," ",""),"-",""),"+",""),"(",""),")",""),4,3)&amp;"-"&amp;MID(SUBSTITUTE(SUBSTITUTE(SUBSTITUTE(SUBSTITUTE(SUBSTITUTE(Клиенты_исходные!D222," ",""),"-",""),"+",""),"(",""),")",""),6,2)&amp;"-"&amp;MID(SUBSTITUTE(SUBSTITUTE(SUBSTITUTE(SUBSTITUTE(SUBSTITUTE(Клиенты_исходные!D222," ",""),"-",""),"+",""),"(",""),")",""),8,2),Клиенты_исходные!D222)))</f>
        <v xml:space="preserve">+7 (903) 901-23-45</v>
      </c>
      <c r="E222" t="str">
        <f>IF(ISBLANK(Клиенты_исходные!E222),"",IF(ISNUMBER(FIND(".",MID(Клиенты_исходные!E222,FIND("@",Клиенты_исходные!E222)+1,255))),Клиенты_исходные!E222,IF(ISNUMBER(FIND("gmail",Клиенты_исходные!E222)),Клиенты_исходные!E222&amp;".com",Клиенты_исходные!E222&amp;".ru")))</f>
        <v>chumak@yandex.ru</v>
      </c>
      <c r="F222" t="str">
        <f>IFERROR(VLOOKUP(Клиенты_исходные!F222,Справочники!$J$2:$K$50,2,FALSE),Клиенты_исходные!F222)</f>
        <v>Калининград</v>
      </c>
      <c r="G222" s="8">
        <f>IFERROR(IF(ISNUMBER(FIND(".",Клиенты_исходные!G222)),DATE(RIGHT(Клиенты_исходные!G222,4),MID(Клиенты_исходные!G222,4,2),LEFT(Клиенты_исходные!G222,2)),DATE(LEFT(Клиенты_исходные!G222,4),MID(Клиенты_исходные!G222,6,2),RIGHT(Клиенты_исходные!G222,2))),Клиенты_исходные!G222)</f>
        <v>46793</v>
      </c>
      <c r="H222">
        <f t="shared" ca="1" si="55"/>
        <v>45</v>
      </c>
      <c r="I222" t="str">
        <f t="shared" si="56"/>
        <v>OK</v>
      </c>
      <c r="J222" t="str">
        <f t="shared" si="57"/>
        <v>OK</v>
      </c>
    </row>
    <row r="223">
      <c r="A223" t="str">
        <f>Клиенты_исходные!A223</f>
        <v>C0222</v>
      </c>
      <c r="B223" t="str">
        <f>PROPER(TRIM(Клиенты_исходные!B223))</f>
        <v xml:space="preserve">Спицин Никита Павлович</v>
      </c>
      <c r="C223" s="8">
        <f>IFERROR(IF(ISNUMBER(FIND(".",Клиенты_исходные!C223)),DATE(RIGHT(Клиенты_исходные!C223,4),MID(Клиенты_исходные!C223,4,2),LEFT(Клиенты_исходные!C223,2)),DATE(LEFT(Клиенты_исходные!C223,4),MID(Клиенты_исходные!C223,6,2),RIGHT(Клиенты_исходные!C223,2))),Клиенты_исходные!C223)</f>
        <v>27668</v>
      </c>
      <c r="D223" t="str">
        <f>IF(ISBLANK(Клиенты_исходные!D223),"",IF(LEN(SUBSTITUTE(SUBSTITUTE(SUBSTITUTE(SUBSTITUTE(SUBSTITUTE(Клиенты_исходные!D223," ",""),"-",""),"+",""),"(",""),")",""))=11,"+7 ("&amp;MID(IF(LEFT(SUBSTITUTE(SUBSTITUTE(SUBSTITUTE(SUBSTITUTE(SUBSTITUTE(Клиенты_исходные!D223," ",""),"-",""),"+",""),"(",""),")",""))="8","7"&amp;MID(SUBSTITUTE(SUBSTITUTE(SUBSTITUTE(SUBSTITUTE(SUBSTITUTE(Клиенты_исходные!D223," ",""),"-",""),"+",""),"(",""),")",""),2,10),SUBSTITUTE(SUBSTITUTE(SUBSTITUTE(SUBSTITUTE(SUBSTITUTE(Клиенты_исходные!D223," ",""),"-",""),"+",""),"(",""),")","")),2,3)&amp;") "&amp;MID(IF(LEFT(SUBSTITUTE(SUBSTITUTE(SUBSTITUTE(SUBSTITUTE(SUBSTITUTE(Клиенты_исходные!D223," ",""),"-",""),"+",""),"(",""),")",""))="8","7"&amp;MID(SUBSTITUTE(SUBSTITUTE(SUBSTITUTE(SUBSTITUTE(SUBSTITUTE(Клиенты_исходные!D223," ",""),"-",""),"+",""),"(",""),")",""),2,10),SUBSTITUTE(SUBSTITUTE(SUBSTITUTE(SUBSTITUTE(SUBSTITUTE(Клиенты_исходные!D223," ",""),"-",""),"+",""),"(",""),")","")),5,3)&amp;"-"&amp;MID(IF(LEFT(SUBSTITUTE(SUBSTITUTE(SUBSTITUTE(SUBSTITUTE(SUBSTITUTE(Клиенты_исходные!D223," ",""),"-",""),"+",""),"(",""),")",""))="8","7"&amp;MID(SUBSTITUTE(SUBSTITUTE(SUBSTITUTE(SUBSTITUTE(SUBSTITUTE(Клиенты_исходные!D223," ",""),"-",""),"+",""),"(",""),")",""),2,10),SUBSTITUTE(SUBSTITUTE(SUBSTITUTE(SUBSTITUTE(SUBSTITUTE(Клиенты_исходные!D223," ",""),"-",""),"+",""),"(",""),")","")),8,2)&amp;"-"&amp;MID(IF(LEFT(SUBSTITUTE(SUBSTITUTE(SUBSTITUTE(SUBSTITUTE(SUBSTITUTE(Клиенты_исходные!D223," ",""),"-",""),"+",""),"(",""),")",""))="8","7"&amp;MID(SUBSTITUTE(SUBSTITUTE(SUBSTITUTE(SUBSTITUTE(SUBSTITUTE(Клиенты_исходные!D223," ",""),"-",""),"+",""),"(",""),")",""),2,10),SUBSTITUTE(SUBSTITUTE(SUBSTITUTE(SUBSTITUTE(SUBSTITUTE(Клиенты_исходные!D223," ",""),"-",""),"+",""),"(",""),")","")),10,2),IF(LEN(SUBSTITUTE(SUBSTITUTE(SUBSTITUTE(SUBSTITUTE(SUBSTITUTE(Клиенты_исходные!D223," ",""),"-",""),"+",""),"(",""),")",""))=10,"+7 ("&amp;MID(SUBSTITUTE(SUBSTITUTE(SUBSTITUTE(SUBSTITUTE(SUBSTITUTE(Клиенты_исходные!D223," ",""),"-",""),"+",""),"(",""),")",""),1,3)&amp;") "&amp;MID(SUBSTITUTE(SUBSTITUTE(SUBSTITUTE(SUBSTITUTE(SUBSTITUTE(Клиенты_исходные!D223," ",""),"-",""),"+",""),"(",""),")",""),4,3)&amp;"-"&amp;MID(SUBSTITUTE(SUBSTITUTE(SUBSTITUTE(SUBSTITUTE(SUBSTITUTE(Клиенты_исходные!D223," ",""),"-",""),"+",""),"(",""),")",""),6,2)&amp;"-"&amp;MID(SUBSTITUTE(SUBSTITUTE(SUBSTITUTE(SUBSTITUTE(SUBSTITUTE(Клиенты_исходные!D223," ",""),"-",""),"+",""),"(",""),")",""),8,2),Клиенты_исходные!D223)))</f>
        <v xml:space="preserve">+7 (903) 012-34-56</v>
      </c>
      <c r="E223" t="str">
        <f>IF(ISBLANK(Клиенты_исходные!E223),"",IF(ISNUMBER(FIND(".",MID(Клиенты_исходные!E223,FIND("@",Клиенты_исходные!E223)+1,255))),Клиенты_исходные!E223,IF(ISNUMBER(FIND("gmail",Клиенты_исходные!E223)),Клиенты_исходные!E223&amp;".com",Клиенты_исходные!E223&amp;".ru")))</f>
        <v>spicin@gmail.com</v>
      </c>
      <c r="F223" t="str">
        <f>IFERROR(VLOOKUP(Клиенты_исходные!F223,Справочники!$J$2:$K$50,2,FALSE),Клиенты_исходные!F223)</f>
        <v>Петрозаводск</v>
      </c>
      <c r="G223" s="8">
        <f>IFERROR(IF(ISNUMBER(FIND(".",Клиенты_исходные!G223)),DATE(RIGHT(Клиенты_исходные!G223,4),MID(Клиенты_исходные!G223,4,2),LEFT(Клиенты_исходные!G223,2)),DATE(LEFT(Клиенты_исходные!G223,4),MID(Клиенты_исходные!G223,6,2),RIGHT(Клиенты_исходные!G223,2))),Клиенты_исходные!G223)</f>
        <v>46793</v>
      </c>
      <c r="H223">
        <f t="shared" ca="1" si="55"/>
        <v>51</v>
      </c>
      <c r="I223" t="str">
        <f t="shared" si="56"/>
        <v>OK</v>
      </c>
      <c r="J223" t="str">
        <f t="shared" si="57"/>
        <v>OK</v>
      </c>
    </row>
    <row r="224">
      <c r="A224" t="str">
        <f>Клиенты_исходные!A224</f>
        <v>C0223</v>
      </c>
      <c r="B224" t="str">
        <f>PROPER(TRIM(Клиенты_исходные!B224))</f>
        <v xml:space="preserve">Ткаченко Ольга Викторовна</v>
      </c>
      <c r="C224" s="8">
        <f>IFERROR(IF(ISNUMBER(FIND(".",Клиенты_исходные!C224)),DATE(RIGHT(Клиенты_исходные!C224,4),MID(Клиенты_исходные!C224,4,2),LEFT(Клиенты_исходные!C224,2)),DATE(LEFT(Клиенты_исходные!C224,4),MID(Клиенты_исходные!C224,6,2),RIGHT(Клиенты_исходные!C224,2))),Клиенты_исходные!C224)</f>
        <v>31043</v>
      </c>
      <c r="D224" t="str">
        <f>IF(ISBLANK(Клиенты_исходные!D224),"",IF(LEN(SUBSTITUTE(SUBSTITUTE(SUBSTITUTE(SUBSTITUTE(SUBSTITUTE(Клиенты_исходные!D224," ",""),"-",""),"+",""),"(",""),")",""))=11,"+7 ("&amp;MID(IF(LEFT(SUBSTITUTE(SUBSTITUTE(SUBSTITUTE(SUBSTITUTE(SUBSTITUTE(Клиенты_исходные!D224," ",""),"-",""),"+",""),"(",""),")",""))="8","7"&amp;MID(SUBSTITUTE(SUBSTITUTE(SUBSTITUTE(SUBSTITUTE(SUBSTITUTE(Клиенты_исходные!D224," ",""),"-",""),"+",""),"(",""),")",""),2,10),SUBSTITUTE(SUBSTITUTE(SUBSTITUTE(SUBSTITUTE(SUBSTITUTE(Клиенты_исходные!D224," ",""),"-",""),"+",""),"(",""),")","")),2,3)&amp;") "&amp;MID(IF(LEFT(SUBSTITUTE(SUBSTITUTE(SUBSTITUTE(SUBSTITUTE(SUBSTITUTE(Клиенты_исходные!D224," ",""),"-",""),"+",""),"(",""),")",""))="8","7"&amp;MID(SUBSTITUTE(SUBSTITUTE(SUBSTITUTE(SUBSTITUTE(SUBSTITUTE(Клиенты_исходные!D224," ",""),"-",""),"+",""),"(",""),")",""),2,10),SUBSTITUTE(SUBSTITUTE(SUBSTITUTE(SUBSTITUTE(SUBSTITUTE(Клиенты_исходные!D224," ",""),"-",""),"+",""),"(",""),")","")),5,3)&amp;"-"&amp;MID(IF(LEFT(SUBSTITUTE(SUBSTITUTE(SUBSTITUTE(SUBSTITUTE(SUBSTITUTE(Клиенты_исходные!D224," ",""),"-",""),"+",""),"(",""),")",""))="8","7"&amp;MID(SUBSTITUTE(SUBSTITUTE(SUBSTITUTE(SUBSTITUTE(SUBSTITUTE(Клиенты_исходные!D224," ",""),"-",""),"+",""),"(",""),")",""),2,10),SUBSTITUTE(SUBSTITUTE(SUBSTITUTE(SUBSTITUTE(SUBSTITUTE(Клиенты_исходные!D224," ",""),"-",""),"+",""),"(",""),")","")),8,2)&amp;"-"&amp;MID(IF(LEFT(SUBSTITUTE(SUBSTITUTE(SUBSTITUTE(SUBSTITUTE(SUBSTITUTE(Клиенты_исходные!D224," ",""),"-",""),"+",""),"(",""),")",""))="8","7"&amp;MID(SUBSTITUTE(SUBSTITUTE(SUBSTITUTE(SUBSTITUTE(SUBSTITUTE(Клиенты_исходные!D224," ",""),"-",""),"+",""),"(",""),")",""),2,10),SUBSTITUTE(SUBSTITUTE(SUBSTITUTE(SUBSTITUTE(SUBSTITUTE(Клиенты_исходные!D224," ",""),"-",""),"+",""),"(",""),")","")),10,2),IF(LEN(SUBSTITUTE(SUBSTITUTE(SUBSTITUTE(SUBSTITUTE(SUBSTITUTE(Клиенты_исходные!D224," ",""),"-",""),"+",""),"(",""),")",""))=10,"+7 ("&amp;MID(SUBSTITUTE(SUBSTITUTE(SUBSTITUTE(SUBSTITUTE(SUBSTITUTE(Клиенты_исходные!D224," ",""),"-",""),"+",""),"(",""),")",""),1,3)&amp;") "&amp;MID(SUBSTITUTE(SUBSTITUTE(SUBSTITUTE(SUBSTITUTE(SUBSTITUTE(Клиенты_исходные!D224," ",""),"-",""),"+",""),"(",""),")",""),4,3)&amp;"-"&amp;MID(SUBSTITUTE(SUBSTITUTE(SUBSTITUTE(SUBSTITUTE(SUBSTITUTE(Клиенты_исходные!D224," ",""),"-",""),"+",""),"(",""),")",""),6,2)&amp;"-"&amp;MID(SUBSTITUTE(SUBSTITUTE(SUBSTITUTE(SUBSTITUTE(SUBSTITUTE(Клиенты_исходные!D224," ",""),"-",""),"+",""),"(",""),")",""),8,2),Клиенты_исходные!D224)))</f>
        <v xml:space="preserve">+7 (903) 012-34-56</v>
      </c>
      <c r="E224" t="str">
        <f>IF(ISBLANK(Клиенты_исходные!E224),"",IF(ISNUMBER(FIND(".",MID(Клиенты_исходные!E224,FIND("@",Клиенты_исходные!E224)+1,255))),Клиенты_исходные!E224,IF(ISNUMBER(FIND("gmail",Клиенты_исходные!E224)),Клиенты_исходные!E224&amp;".com",Клиенты_исходные!E224&amp;".ru")))</f>
        <v>tkachenko@mail.ru</v>
      </c>
      <c r="F224" t="str">
        <f>IFERROR(VLOOKUP(Клиенты_исходные!F224,Справочники!$J$2:$K$50,2,FALSE),Клиенты_исходные!F224)</f>
        <v>Рубцовск</v>
      </c>
      <c r="G224" s="8">
        <f>IFERROR(IF(ISNUMBER(FIND(".",Клиенты_исходные!G224)),DATE(RIGHT(Клиенты_исходные!G224,4),MID(Клиенты_исходные!G224,4,2),LEFT(Клиенты_исходные!G224,2)),DATE(LEFT(Клиенты_исходные!G224,4),MID(Клиенты_исходные!G224,6,2),RIGHT(Клиенты_исходные!G224,2))),Клиенты_исходные!G224)</f>
        <v>46813</v>
      </c>
      <c r="H224">
        <f t="shared" ca="1" si="55"/>
        <v>41</v>
      </c>
      <c r="I224" t="str">
        <f t="shared" si="56"/>
        <v>OK</v>
      </c>
      <c r="J224" t="str">
        <f t="shared" si="57"/>
        <v>OK</v>
      </c>
    </row>
    <row r="225">
      <c r="A225" t="str">
        <f>Клиенты_исходные!A225</f>
        <v>C0224</v>
      </c>
      <c r="B225" t="str">
        <f>PROPER(TRIM(Клиенты_исходные!B225))</f>
        <v xml:space="preserve">Загорский Анатолий Сергеевич</v>
      </c>
      <c r="C225" s="8">
        <f>IFERROR(IF(ISNUMBER(FIND(".",Клиенты_исходные!C225)),DATE(RIGHT(Клиенты_исходные!C225,4),MID(Клиенты_исходные!C225,4,2),LEFT(Клиенты_исходные!C225,2)),DATE(LEFT(Клиенты_исходные!C225,4),MID(Клиенты_исходные!C225,6,2),RIGHT(Клиенты_исходные!C225,2))),Клиенты_исходные!C225)</f>
        <v>33831</v>
      </c>
      <c r="D225" t="str">
        <f>IF(ISBLANK(Клиенты_исходные!D225),"",IF(LEN(SUBSTITUTE(SUBSTITUTE(SUBSTITUTE(SUBSTITUTE(SUBSTITUTE(Клиенты_исходные!D225," ",""),"-",""),"+",""),"(",""),")",""))=11,"+7 ("&amp;MID(IF(LEFT(SUBSTITUTE(SUBSTITUTE(SUBSTITUTE(SUBSTITUTE(SUBSTITUTE(Клиенты_исходные!D225," ",""),"-",""),"+",""),"(",""),")",""))="8","7"&amp;MID(SUBSTITUTE(SUBSTITUTE(SUBSTITUTE(SUBSTITUTE(SUBSTITUTE(Клиенты_исходные!D225," ",""),"-",""),"+",""),"(",""),")",""),2,10),SUBSTITUTE(SUBSTITUTE(SUBSTITUTE(SUBSTITUTE(SUBSTITUTE(Клиенты_исходные!D225," ",""),"-",""),"+",""),"(",""),")","")),2,3)&amp;") "&amp;MID(IF(LEFT(SUBSTITUTE(SUBSTITUTE(SUBSTITUTE(SUBSTITUTE(SUBSTITUTE(Клиенты_исходные!D225," ",""),"-",""),"+",""),"(",""),")",""))="8","7"&amp;MID(SUBSTITUTE(SUBSTITUTE(SUBSTITUTE(SUBSTITUTE(SUBSTITUTE(Клиенты_исходные!D225," ",""),"-",""),"+",""),"(",""),")",""),2,10),SUBSTITUTE(SUBSTITUTE(SUBSTITUTE(SUBSTITUTE(SUBSTITUTE(Клиенты_исходные!D225," ",""),"-",""),"+",""),"(",""),")","")),5,3)&amp;"-"&amp;MID(IF(LEFT(SUBSTITUTE(SUBSTITUTE(SUBSTITUTE(SUBSTITUTE(SUBSTITUTE(Клиенты_исходные!D225," ",""),"-",""),"+",""),"(",""),")",""))="8","7"&amp;MID(SUBSTITUTE(SUBSTITUTE(SUBSTITUTE(SUBSTITUTE(SUBSTITUTE(Клиенты_исходные!D225," ",""),"-",""),"+",""),"(",""),")",""),2,10),SUBSTITUTE(SUBSTITUTE(SUBSTITUTE(SUBSTITUTE(SUBSTITUTE(Клиенты_исходные!D225," ",""),"-",""),"+",""),"(",""),")","")),8,2)&amp;"-"&amp;MID(IF(LEFT(SUBSTITUTE(SUBSTITUTE(SUBSTITUTE(SUBSTITUTE(SUBSTITUTE(Клиенты_исходные!D225," ",""),"-",""),"+",""),"(",""),")",""))="8","7"&amp;MID(SUBSTITUTE(SUBSTITUTE(SUBSTITUTE(SUBSTITUTE(SUBSTITUTE(Клиенты_исходные!D225," ",""),"-",""),"+",""),"(",""),")",""),2,10),SUBSTITUTE(SUBSTITUTE(SUBSTITUTE(SUBSTITUTE(SUBSTITUTE(Клиенты_исходные!D225," ",""),"-",""),"+",""),"(",""),")","")),10,2),IF(LEN(SUBSTITUTE(SUBSTITUTE(SUBSTITUTE(SUBSTITUTE(SUBSTITUTE(Клиенты_исходные!D225," ",""),"-",""),"+",""),"(",""),")",""))=10,"+7 ("&amp;MID(SUBSTITUTE(SUBSTITUTE(SUBSTITUTE(SUBSTITUTE(SUBSTITUTE(Клиенты_исходные!D225," ",""),"-",""),"+",""),"(",""),")",""),1,3)&amp;") "&amp;MID(SUBSTITUTE(SUBSTITUTE(SUBSTITUTE(SUBSTITUTE(SUBSTITUTE(Клиенты_исходные!D225," ",""),"-",""),"+",""),"(",""),")",""),4,3)&amp;"-"&amp;MID(SUBSTITUTE(SUBSTITUTE(SUBSTITUTE(SUBSTITUTE(SUBSTITUTE(Клиенты_исходные!D225," ",""),"-",""),"+",""),"(",""),")",""),6,2)&amp;"-"&amp;MID(SUBSTITUTE(SUBSTITUTE(SUBSTITUTE(SUBSTITUTE(SUBSTITUTE(Клиенты_исходные!D225," ",""),"-",""),"+",""),"(",""),")",""),8,2),Клиенты_исходные!D225)))</f>
        <v xml:space="preserve">+7 (903) 012-34-56</v>
      </c>
      <c r="E225" t="str">
        <f>IF(ISBLANK(Клиенты_исходные!E225),"",IF(ISNUMBER(FIND(".",MID(Клиенты_исходные!E225,FIND("@",Клиенты_исходные!E225)+1,255))),Клиенты_исходные!E225,IF(ISNUMBER(FIND("gmail",Клиенты_исходные!E225)),Клиенты_исходные!E225&amp;".com",Клиенты_исходные!E225&amp;".ru")))</f>
        <v>zagorsky@yandex.ru</v>
      </c>
      <c r="F225" t="str">
        <f>IFERROR(VLOOKUP(Клиенты_исходные!F225,Справочники!$J$2:$K$50,2,FALSE),Клиенты_исходные!F225)</f>
        <v>Элиста</v>
      </c>
      <c r="G225" s="8">
        <f>IFERROR(IF(ISNUMBER(FIND(".",Клиенты_исходные!G225)),DATE(RIGHT(Клиенты_исходные!G225,4),MID(Клиенты_исходные!G225,4,2),LEFT(Клиенты_исходные!G225,2)),DATE(LEFT(Клиенты_исходные!G225,4),MID(Клиенты_исходные!G225,6,2),RIGHT(Клиенты_исходные!G225,2))),Клиенты_исходные!G225)</f>
        <v>46827</v>
      </c>
      <c r="H225">
        <f t="shared" ca="1" si="55"/>
        <v>34</v>
      </c>
      <c r="I225" t="str">
        <f t="shared" si="56"/>
        <v>OK</v>
      </c>
      <c r="J225" t="str">
        <f t="shared" si="57"/>
        <v>OK</v>
      </c>
    </row>
    <row r="226">
      <c r="A226" t="str">
        <f>Клиенты_исходные!A226</f>
        <v>C0225</v>
      </c>
      <c r="B226" t="str">
        <f>PROPER(TRIM(Клиенты_исходные!B226))</f>
        <v xml:space="preserve">Сидорова Ольга Ивановна</v>
      </c>
      <c r="C226" s="8">
        <f>IFERROR(IF(ISNUMBER(FIND(".",Клиенты_исходные!C226)),DATE(RIGHT(Клиенты_исходные!C226,4),MID(Клиенты_исходные!C226,4,2),LEFT(Клиенты_исходные!C226,2)),DATE(LEFT(Клиенты_исходные!C226,4),MID(Клиенты_исходные!C226,6,2),RIGHT(Клиенты_исходные!C226,2))),Клиенты_исходные!C226)</f>
        <v>26972</v>
      </c>
      <c r="D226" t="str">
        <f>IF(ISBLANK(Клиенты_исходные!D226),"",IF(LEN(SUBSTITUTE(SUBSTITUTE(SUBSTITUTE(SUBSTITUTE(SUBSTITUTE(Клиенты_исходные!D226," ",""),"-",""),"+",""),"(",""),")",""))=11,"+7 ("&amp;MID(IF(LEFT(SUBSTITUTE(SUBSTITUTE(SUBSTITUTE(SUBSTITUTE(SUBSTITUTE(Клиенты_исходные!D226," ",""),"-",""),"+",""),"(",""),")",""))="8","7"&amp;MID(SUBSTITUTE(SUBSTITUTE(SUBSTITUTE(SUBSTITUTE(SUBSTITUTE(Клиенты_исходные!D226," ",""),"-",""),"+",""),"(",""),")",""),2,10),SUBSTITUTE(SUBSTITUTE(SUBSTITUTE(SUBSTITUTE(SUBSTITUTE(Клиенты_исходные!D226," ",""),"-",""),"+",""),"(",""),")","")),2,3)&amp;") "&amp;MID(IF(LEFT(SUBSTITUTE(SUBSTITUTE(SUBSTITUTE(SUBSTITUTE(SUBSTITUTE(Клиенты_исходные!D226," ",""),"-",""),"+",""),"(",""),")",""))="8","7"&amp;MID(SUBSTITUTE(SUBSTITUTE(SUBSTITUTE(SUBSTITUTE(SUBSTITUTE(Клиенты_исходные!D226," ",""),"-",""),"+",""),"(",""),")",""),2,10),SUBSTITUTE(SUBSTITUTE(SUBSTITUTE(SUBSTITUTE(SUBSTITUTE(Клиенты_исходные!D226," ",""),"-",""),"+",""),"(",""),")","")),5,3)&amp;"-"&amp;MID(IF(LEFT(SUBSTITUTE(SUBSTITUTE(SUBSTITUTE(SUBSTITUTE(SUBSTITUTE(Клиенты_исходные!D226," ",""),"-",""),"+",""),"(",""),")",""))="8","7"&amp;MID(SUBSTITUTE(SUBSTITUTE(SUBSTITUTE(SUBSTITUTE(SUBSTITUTE(Клиенты_исходные!D226," ",""),"-",""),"+",""),"(",""),")",""),2,10),SUBSTITUTE(SUBSTITUTE(SUBSTITUTE(SUBSTITUTE(SUBSTITUTE(Клиенты_исходные!D226," ",""),"-",""),"+",""),"(",""),")","")),8,2)&amp;"-"&amp;MID(IF(LEFT(SUBSTITUTE(SUBSTITUTE(SUBSTITUTE(SUBSTITUTE(SUBSTITUTE(Клиенты_исходные!D226," ",""),"-",""),"+",""),"(",""),")",""))="8","7"&amp;MID(SUBSTITUTE(SUBSTITUTE(SUBSTITUTE(SUBSTITUTE(SUBSTITUTE(Клиенты_исходные!D226," ",""),"-",""),"+",""),"(",""),")",""),2,10),SUBSTITUTE(SUBSTITUTE(SUBSTITUTE(SUBSTITUTE(SUBSTITUTE(Клиенты_исходные!D226," ",""),"-",""),"+",""),"(",""),")","")),10,2),IF(LEN(SUBSTITUTE(SUBSTITUTE(SUBSTITUTE(SUBSTITUTE(SUBSTITUTE(Клиенты_исходные!D226," ",""),"-",""),"+",""),"(",""),")",""))=10,"+7 ("&amp;MID(SUBSTITUTE(SUBSTITUTE(SUBSTITUTE(SUBSTITUTE(SUBSTITUTE(Клиенты_исходные!D226," ",""),"-",""),"+",""),"(",""),")",""),1,3)&amp;") "&amp;MID(SUBSTITUTE(SUBSTITUTE(SUBSTITUTE(SUBSTITUTE(SUBSTITUTE(Клиенты_исходные!D226," ",""),"-",""),"+",""),"(",""),")",""),4,3)&amp;"-"&amp;MID(SUBSTITUTE(SUBSTITUTE(SUBSTITUTE(SUBSTITUTE(SUBSTITUTE(Клиенты_исходные!D226," ",""),"-",""),"+",""),"(",""),")",""),6,2)&amp;"-"&amp;MID(SUBSTITUTE(SUBSTITUTE(SUBSTITUTE(SUBSTITUTE(SUBSTITUTE(Клиенты_исходные!D226," ",""),"-",""),"+",""),"(",""),")",""),8,2),Клиенты_исходные!D226)))</f>
        <v xml:space="preserve">+7 (903) 123-45-67</v>
      </c>
      <c r="E226" t="str">
        <f>IF(ISBLANK(Клиенты_исходные!E226),"",IF(ISNUMBER(FIND(".",MID(Клиенты_исходные!E226,FIND("@",Клиенты_исходные!E226)+1,255))),Клиенты_исходные!E226,IF(ISNUMBER(FIND("gmail",Клиенты_исходные!E226)),Клиенты_исходные!E226&amp;".com",Клиенты_исходные!E226&amp;".ru")))</f>
        <v>sidorova@gmail.com</v>
      </c>
      <c r="F226" t="str">
        <f>IFERROR(VLOOKUP(Клиенты_исходные!F226,Справочники!$J$2:$K$50,2,FALSE),Клиенты_исходные!F226)</f>
        <v>Орск</v>
      </c>
      <c r="G226" s="8">
        <f>IFERROR(IF(ISNUMBER(FIND(".",Клиенты_исходные!G226)),DATE(RIGHT(Клиенты_исходные!G226,4),MID(Клиенты_исходные!G226,4,2),LEFT(Клиенты_исходные!G226,2)),DATE(LEFT(Клиенты_исходные!G226,4),MID(Клиенты_исходные!G226,6,2),RIGHT(Клиенты_исходные!G226,2))),Клиенты_исходные!G226)</f>
        <v>46827</v>
      </c>
      <c r="H226">
        <f t="shared" ca="1" si="55"/>
        <v>52</v>
      </c>
      <c r="I226" t="str">
        <f t="shared" si="56"/>
        <v>OK</v>
      </c>
      <c r="J226" t="str">
        <f t="shared" si="57"/>
        <v>OK</v>
      </c>
    </row>
    <row r="227">
      <c r="A227" t="str">
        <f>Клиенты_исходные!A227</f>
        <v>C0226</v>
      </c>
      <c r="B227" t="str">
        <f>PROPER(TRIM(Клиенты_исходные!B227))</f>
        <v xml:space="preserve">Попова Надежда Петровна</v>
      </c>
      <c r="C227" s="8">
        <f>IFERROR(IF(ISNUMBER(FIND(".",Клиенты_исходные!C227)),DATE(RIGHT(Клиенты_исходные!C227,4),MID(Клиенты_исходные!C227,4,2),LEFT(Клиенты_исходные!C227,2)),DATE(LEFT(Клиенты_исходные!C227,4),MID(Клиенты_исходные!C227,6,2),RIGHT(Клиенты_исходные!C227,2))),Клиенты_исходные!C227)</f>
        <v>31492</v>
      </c>
      <c r="D227" t="str">
        <f>IF(ISBLANK(Клиенты_исходные!D227),"",IF(LEN(SUBSTITUTE(SUBSTITUTE(SUBSTITUTE(SUBSTITUTE(SUBSTITUTE(Клиенты_исходные!D227," ",""),"-",""),"+",""),"(",""),")",""))=11,"+7 ("&amp;MID(IF(LEFT(SUBSTITUTE(SUBSTITUTE(SUBSTITUTE(SUBSTITUTE(SUBSTITUTE(Клиенты_исходные!D227," ",""),"-",""),"+",""),"(",""),")",""))="8","7"&amp;MID(SUBSTITUTE(SUBSTITUTE(SUBSTITUTE(SUBSTITUTE(SUBSTITUTE(Клиенты_исходные!D227," ",""),"-",""),"+",""),"(",""),")",""),2,10),SUBSTITUTE(SUBSTITUTE(SUBSTITUTE(SUBSTITUTE(SUBSTITUTE(Клиенты_исходные!D227," ",""),"-",""),"+",""),"(",""),")","")),2,3)&amp;") "&amp;MID(IF(LEFT(SUBSTITUTE(SUBSTITUTE(SUBSTITUTE(SUBSTITUTE(SUBSTITUTE(Клиенты_исходные!D227," ",""),"-",""),"+",""),"(",""),")",""))="8","7"&amp;MID(SUBSTITUTE(SUBSTITUTE(SUBSTITUTE(SUBSTITUTE(SUBSTITUTE(Клиенты_исходные!D227," ",""),"-",""),"+",""),"(",""),")",""),2,10),SUBSTITUTE(SUBSTITUTE(SUBSTITUTE(SUBSTITUTE(SUBSTITUTE(Клиенты_исходные!D227," ",""),"-",""),"+",""),"(",""),")","")),5,3)&amp;"-"&amp;MID(IF(LEFT(SUBSTITUTE(SUBSTITUTE(SUBSTITUTE(SUBSTITUTE(SUBSTITUTE(Клиенты_исходные!D227," ",""),"-",""),"+",""),"(",""),")",""))="8","7"&amp;MID(SUBSTITUTE(SUBSTITUTE(SUBSTITUTE(SUBSTITUTE(SUBSTITUTE(Клиенты_исходные!D227," ",""),"-",""),"+",""),"(",""),")",""),2,10),SUBSTITUTE(SUBSTITUTE(SUBSTITUTE(SUBSTITUTE(SUBSTITUTE(Клиенты_исходные!D227," ",""),"-",""),"+",""),"(",""),")","")),8,2)&amp;"-"&amp;MID(IF(LEFT(SUBSTITUTE(SUBSTITUTE(SUBSTITUTE(SUBSTITUTE(SUBSTITUTE(Клиенты_исходные!D227," ",""),"-",""),"+",""),"(",""),")",""))="8","7"&amp;MID(SUBSTITUTE(SUBSTITUTE(SUBSTITUTE(SUBSTITUTE(SUBSTITUTE(Клиенты_исходные!D227," ",""),"-",""),"+",""),"(",""),")",""),2,10),SUBSTITUTE(SUBSTITUTE(SUBSTITUTE(SUBSTITUTE(SUBSTITUTE(Клиенты_исходные!D227," ",""),"-",""),"+",""),"(",""),")","")),10,2),IF(LEN(SUBSTITUTE(SUBSTITUTE(SUBSTITUTE(SUBSTITUTE(SUBSTITUTE(Клиенты_исходные!D227," ",""),"-",""),"+",""),"(",""),")",""))=10,"+7 ("&amp;MID(SUBSTITUTE(SUBSTITUTE(SUBSTITUTE(SUBSTITUTE(SUBSTITUTE(Клиенты_исходные!D227," ",""),"-",""),"+",""),"(",""),")",""),1,3)&amp;") "&amp;MID(SUBSTITUTE(SUBSTITUTE(SUBSTITUTE(SUBSTITUTE(SUBSTITUTE(Клиенты_исходные!D227," ",""),"-",""),"+",""),"(",""),")",""),4,3)&amp;"-"&amp;MID(SUBSTITUTE(SUBSTITUTE(SUBSTITUTE(SUBSTITUTE(SUBSTITUTE(Клиенты_исходные!D227," ",""),"-",""),"+",""),"(",""),")",""),6,2)&amp;"-"&amp;MID(SUBSTITUTE(SUBSTITUTE(SUBSTITUTE(SUBSTITUTE(SUBSTITUTE(Клиенты_исходные!D227," ",""),"-",""),"+",""),"(",""),")",""),8,2),Клиенты_исходные!D227)))</f>
        <v xml:space="preserve">+7 (903) 123-45-67</v>
      </c>
      <c r="E227" t="str">
        <f>IF(ISBLANK(Клиенты_исходные!E227),"",IF(ISNUMBER(FIND(".",MID(Клиенты_исходные!E227,FIND("@",Клиенты_исходные!E227)+1,255))),Клиенты_исходные!E227,IF(ISNUMBER(FIND("gmail",Клиенты_исходные!E227)),Клиенты_исходные!E227&amp;".com",Клиенты_исходные!E227&amp;".ru")))</f>
        <v>popova@mail.ru</v>
      </c>
      <c r="F227" t="str">
        <f>IFERROR(VLOOKUP(Клиенты_исходные!F227,Справочники!$J$2:$K$50,2,FALSE),Клиенты_исходные!F227)</f>
        <v>Нижневартовск</v>
      </c>
      <c r="G227" s="8">
        <f>IFERROR(IF(ISNUMBER(FIND(".",Клиенты_исходные!G227)),DATE(RIGHT(Клиенты_исходные!G227,4),MID(Клиенты_исходные!G227,4,2),LEFT(Клиенты_исходные!G227,2)),DATE(LEFT(Клиенты_исходные!G227,4),MID(Клиенты_исходные!G227,6,2),RIGHT(Клиенты_исходные!G227,2))),Клиенты_исходные!G227)</f>
        <v>46844</v>
      </c>
      <c r="H227">
        <f t="shared" ca="1" si="55"/>
        <v>40</v>
      </c>
      <c r="I227" t="str">
        <f t="shared" si="56"/>
        <v>OK</v>
      </c>
      <c r="J227" t="str">
        <f t="shared" si="57"/>
        <v>OK</v>
      </c>
    </row>
    <row r="228">
      <c r="A228" t="str">
        <f>Клиенты_исходные!A228</f>
        <v>C0227</v>
      </c>
      <c r="B228" t="str">
        <f>PROPER(TRIM(Клиенты_исходные!B228))</f>
        <v xml:space="preserve">Чехов Илья Александрович</v>
      </c>
      <c r="C228" s="8">
        <f>IFERROR(IF(ISNUMBER(FIND(".",Клиенты_исходные!C228)),DATE(RIGHT(Клиенты_исходные!C228,4),MID(Клиенты_исходные!C228,4,2),LEFT(Клиенты_исходные!C228,2)),DATE(LEFT(Клиенты_исходные!C228,4),MID(Клиенты_исходные!C228,6,2),RIGHT(Клиенты_исходные!C228,2))),Клиенты_исходные!C228)</f>
        <v>33397</v>
      </c>
      <c r="D228" t="str">
        <f>IF(ISBLANK(Клиенты_исходные!D228),"",IF(LEN(SUBSTITUTE(SUBSTITUTE(SUBSTITUTE(SUBSTITUTE(SUBSTITUTE(Клиенты_исходные!D228," ",""),"-",""),"+",""),"(",""),")",""))=11,"+7 ("&amp;MID(IF(LEFT(SUBSTITUTE(SUBSTITUTE(SUBSTITUTE(SUBSTITUTE(SUBSTITUTE(Клиенты_исходные!D228," ",""),"-",""),"+",""),"(",""),")",""))="8","7"&amp;MID(SUBSTITUTE(SUBSTITUTE(SUBSTITUTE(SUBSTITUTE(SUBSTITUTE(Клиенты_исходные!D228," ",""),"-",""),"+",""),"(",""),")",""),2,10),SUBSTITUTE(SUBSTITUTE(SUBSTITUTE(SUBSTITUTE(SUBSTITUTE(Клиенты_исходные!D228," ",""),"-",""),"+",""),"(",""),")","")),2,3)&amp;") "&amp;MID(IF(LEFT(SUBSTITUTE(SUBSTITUTE(SUBSTITUTE(SUBSTITUTE(SUBSTITUTE(Клиенты_исходные!D228," ",""),"-",""),"+",""),"(",""),")",""))="8","7"&amp;MID(SUBSTITUTE(SUBSTITUTE(SUBSTITUTE(SUBSTITUTE(SUBSTITUTE(Клиенты_исходные!D228," ",""),"-",""),"+",""),"(",""),")",""),2,10),SUBSTITUTE(SUBSTITUTE(SUBSTITUTE(SUBSTITUTE(SUBSTITUTE(Клиенты_исходные!D228," ",""),"-",""),"+",""),"(",""),")","")),5,3)&amp;"-"&amp;MID(IF(LEFT(SUBSTITUTE(SUBSTITUTE(SUBSTITUTE(SUBSTITUTE(SUBSTITUTE(Клиенты_исходные!D228," ",""),"-",""),"+",""),"(",""),")",""))="8","7"&amp;MID(SUBSTITUTE(SUBSTITUTE(SUBSTITUTE(SUBSTITUTE(SUBSTITUTE(Клиенты_исходные!D228," ",""),"-",""),"+",""),"(",""),")",""),2,10),SUBSTITUTE(SUBSTITUTE(SUBSTITUTE(SUBSTITUTE(SUBSTITUTE(Клиенты_исходные!D228," ",""),"-",""),"+",""),"(",""),")","")),8,2)&amp;"-"&amp;MID(IF(LEFT(SUBSTITUTE(SUBSTITUTE(SUBSTITUTE(SUBSTITUTE(SUBSTITUTE(Клиенты_исходные!D228," ",""),"-",""),"+",""),"(",""),")",""))="8","7"&amp;MID(SUBSTITUTE(SUBSTITUTE(SUBSTITUTE(SUBSTITUTE(SUBSTITUTE(Клиенты_исходные!D228," ",""),"-",""),"+",""),"(",""),")",""),2,10),SUBSTITUTE(SUBSTITUTE(SUBSTITUTE(SUBSTITUTE(SUBSTITUTE(Клиенты_исходные!D228," ",""),"-",""),"+",""),"(",""),")","")),10,2),IF(LEN(SUBSTITUTE(SUBSTITUTE(SUBSTITUTE(SUBSTITUTE(SUBSTITUTE(Клиенты_исходные!D228," ",""),"-",""),"+",""),"(",""),")",""))=10,"+7 ("&amp;MID(SUBSTITUTE(SUBSTITUTE(SUBSTITUTE(SUBSTITUTE(SUBSTITUTE(Клиенты_исходные!D228," ",""),"-",""),"+",""),"(",""),")",""),1,3)&amp;") "&amp;MID(SUBSTITUTE(SUBSTITUTE(SUBSTITUTE(SUBSTITUTE(SUBSTITUTE(Клиенты_исходные!D228," ",""),"-",""),"+",""),"(",""),")",""),4,3)&amp;"-"&amp;MID(SUBSTITUTE(SUBSTITUTE(SUBSTITUTE(SUBSTITUTE(SUBSTITUTE(Клиенты_исходные!D228," ",""),"-",""),"+",""),"(",""),")",""),6,2)&amp;"-"&amp;MID(SUBSTITUTE(SUBSTITUTE(SUBSTITUTE(SUBSTITUTE(SUBSTITUTE(Клиенты_исходные!D228," ",""),"-",""),"+",""),"(",""),")",""),8,2),Клиенты_исходные!D228)))</f>
        <v xml:space="preserve">+7 (903) 123-45-67</v>
      </c>
      <c r="E228" t="str">
        <f>IF(ISBLANK(Клиенты_исходные!E228),"",IF(ISNUMBER(FIND(".",MID(Клиенты_исходные!E228,FIND("@",Клиенты_исходные!E228)+1,255))),Клиенты_исходные!E228,IF(ISNUMBER(FIND("gmail",Клиенты_исходные!E228)),Клиенты_исходные!E228&amp;".com",Клиенты_исходные!E228&amp;".ru")))</f>
        <v>chehov@yandex.ru</v>
      </c>
      <c r="F228" t="str">
        <f>IFERROR(VLOOKUP(Клиенты_исходные!F228,Справочники!$J$2:$K$50,2,FALSE),Клиенты_исходные!F228)</f>
        <v>Новороссийск</v>
      </c>
      <c r="G228" s="8">
        <f>IFERROR(IF(ISNUMBER(FIND(".",Клиенты_исходные!G228)),DATE(RIGHT(Клиенты_исходные!G228,4),MID(Клиенты_исходные!G228,4,2),LEFT(Клиенты_исходные!G228,2)),DATE(LEFT(Клиенты_исходные!G228,4),MID(Клиенты_исходные!G228,6,2),RIGHT(Клиенты_исходные!G228,2))),Клиенты_исходные!G228)</f>
        <v>46853</v>
      </c>
      <c r="H228">
        <f t="shared" ref="H228:H291" ca="1" si="58">DATEDIF(C228,TODAY(),"Y")</f>
        <v>35</v>
      </c>
      <c r="I228" t="str">
        <f t="shared" ref="I228:I291" si="59">IF(OR(H228&lt;18,H228&gt;80),"Ошибка даты рождения","OK")</f>
        <v>OK</v>
      </c>
      <c r="J228" t="str">
        <f t="shared" ref="J228:J291" si="60">IF(AND(ISNUMBER(FIND("@",E228)),ISNUMBER(FIND(".",MID(E228,FIND("@",E228)+1,255)))),"OK","Ошибка Email")</f>
        <v>OK</v>
      </c>
    </row>
    <row r="229">
      <c r="A229" t="str">
        <f>Клиенты_исходные!A229</f>
        <v>C0228</v>
      </c>
      <c r="B229" t="str">
        <f>PROPER(TRIM(Клиенты_исходные!B229))</f>
        <v xml:space="preserve">Курочкина Мария Андреевна</v>
      </c>
      <c r="C229" s="8">
        <f>IFERROR(IF(ISNUMBER(FIND(".",Клиенты_исходные!C229)),DATE(RIGHT(Клиенты_исходные!C229,4),MID(Клиенты_исходные!C229,4,2),LEFT(Клиенты_исходные!C229,2)),DATE(LEFT(Клиенты_исходные!C229,4),MID(Клиенты_исходные!C229,6,2),RIGHT(Клиенты_исходные!C229,2))),Клиенты_исходные!C229)</f>
        <v>28475</v>
      </c>
      <c r="D229" t="str">
        <f>IF(ISBLANK(Клиенты_исходные!D229),"",IF(LEN(SUBSTITUTE(SUBSTITUTE(SUBSTITUTE(SUBSTITUTE(SUBSTITUTE(Клиенты_исходные!D229," ",""),"-",""),"+",""),"(",""),")",""))=11,"+7 ("&amp;MID(IF(LEFT(SUBSTITUTE(SUBSTITUTE(SUBSTITUTE(SUBSTITUTE(SUBSTITUTE(Клиенты_исходные!D229," ",""),"-",""),"+",""),"(",""),")",""))="8","7"&amp;MID(SUBSTITUTE(SUBSTITUTE(SUBSTITUTE(SUBSTITUTE(SUBSTITUTE(Клиенты_исходные!D229," ",""),"-",""),"+",""),"(",""),")",""),2,10),SUBSTITUTE(SUBSTITUTE(SUBSTITUTE(SUBSTITUTE(SUBSTITUTE(Клиенты_исходные!D229," ",""),"-",""),"+",""),"(",""),")","")),2,3)&amp;") "&amp;MID(IF(LEFT(SUBSTITUTE(SUBSTITUTE(SUBSTITUTE(SUBSTITUTE(SUBSTITUTE(Клиенты_исходные!D229," ",""),"-",""),"+",""),"(",""),")",""))="8","7"&amp;MID(SUBSTITUTE(SUBSTITUTE(SUBSTITUTE(SUBSTITUTE(SUBSTITUTE(Клиенты_исходные!D229," ",""),"-",""),"+",""),"(",""),")",""),2,10),SUBSTITUTE(SUBSTITUTE(SUBSTITUTE(SUBSTITUTE(SUBSTITUTE(Клиенты_исходные!D229," ",""),"-",""),"+",""),"(",""),")","")),5,3)&amp;"-"&amp;MID(IF(LEFT(SUBSTITUTE(SUBSTITUTE(SUBSTITUTE(SUBSTITUTE(SUBSTITUTE(Клиенты_исходные!D229," ",""),"-",""),"+",""),"(",""),")",""))="8","7"&amp;MID(SUBSTITUTE(SUBSTITUTE(SUBSTITUTE(SUBSTITUTE(SUBSTITUTE(Клиенты_исходные!D229," ",""),"-",""),"+",""),"(",""),")",""),2,10),SUBSTITUTE(SUBSTITUTE(SUBSTITUTE(SUBSTITUTE(SUBSTITUTE(Клиенты_исходные!D229," ",""),"-",""),"+",""),"(",""),")","")),8,2)&amp;"-"&amp;MID(IF(LEFT(SUBSTITUTE(SUBSTITUTE(SUBSTITUTE(SUBSTITUTE(SUBSTITUTE(Клиенты_исходные!D229," ",""),"-",""),"+",""),"(",""),")",""))="8","7"&amp;MID(SUBSTITUTE(SUBSTITUTE(SUBSTITUTE(SUBSTITUTE(SUBSTITUTE(Клиенты_исходные!D229," ",""),"-",""),"+",""),"(",""),")",""),2,10),SUBSTITUTE(SUBSTITUTE(SUBSTITUTE(SUBSTITUTE(SUBSTITUTE(Клиенты_исходные!D229," ",""),"-",""),"+",""),"(",""),")","")),10,2),IF(LEN(SUBSTITUTE(SUBSTITUTE(SUBSTITUTE(SUBSTITUTE(SUBSTITUTE(Клиенты_исходные!D229," ",""),"-",""),"+",""),"(",""),")",""))=10,"+7 ("&amp;MID(SUBSTITUTE(SUBSTITUTE(SUBSTITUTE(SUBSTITUTE(SUBSTITUTE(Клиенты_исходные!D229," ",""),"-",""),"+",""),"(",""),")",""),1,3)&amp;") "&amp;MID(SUBSTITUTE(SUBSTITUTE(SUBSTITUTE(SUBSTITUTE(SUBSTITUTE(Клиенты_исходные!D229," ",""),"-",""),"+",""),"(",""),")",""),4,3)&amp;"-"&amp;MID(SUBSTITUTE(SUBSTITUTE(SUBSTITUTE(SUBSTITUTE(SUBSTITUTE(Клиенты_исходные!D229," ",""),"-",""),"+",""),"(",""),")",""),6,2)&amp;"-"&amp;MID(SUBSTITUTE(SUBSTITUTE(SUBSTITUTE(SUBSTITUTE(SUBSTITUTE(Клиенты_исходные!D229," ",""),"-",""),"+",""),"(",""),")",""),8,2),Клиенты_исходные!D229)))</f>
        <v xml:space="preserve">+7 (903) 234-56-78</v>
      </c>
      <c r="E229" t="str">
        <f>IF(ISBLANK(Клиенты_исходные!E229),"",IF(ISNUMBER(FIND(".",MID(Клиенты_исходные!E229,FIND("@",Клиенты_исходные!E229)+1,255))),Клиенты_исходные!E229,IF(ISNUMBER(FIND("gmail",Клиенты_исходные!E229)),Клиенты_исходные!E229&amp;".com",Клиенты_исходные!E229&amp;".ru")))</f>
        <v>kurochkina@gmail.com</v>
      </c>
      <c r="F229" t="str">
        <f>IFERROR(VLOOKUP(Клиенты_исходные!F229,Справочники!$J$2:$K$50,2,FALSE),Клиенты_исходные!F229)</f>
        <v>Химки</v>
      </c>
      <c r="G229" s="8">
        <f>IFERROR(IF(ISNUMBER(FIND(".",Клиенты_исходные!G229)),DATE(RIGHT(Клиенты_исходные!G229,4),MID(Клиенты_исходные!G229,4,2),LEFT(Клиенты_исходные!G229,2)),DATE(LEFT(Клиенты_исходные!G229,4),MID(Клиенты_исходные!G229,6,2),RIGHT(Клиенты_исходные!G229,2))),Клиенты_исходные!G229)</f>
        <v>46853</v>
      </c>
      <c r="H229">
        <f t="shared" ca="1" si="58"/>
        <v>48</v>
      </c>
      <c r="I229" t="str">
        <f t="shared" si="59"/>
        <v>OK</v>
      </c>
      <c r="J229" t="str">
        <f t="shared" si="60"/>
        <v>OK</v>
      </c>
    </row>
    <row r="230">
      <c r="A230" t="str">
        <f>Клиенты_исходные!A230</f>
        <v>C0229</v>
      </c>
      <c r="B230" t="str">
        <f>PROPER(TRIM(Клиенты_исходные!B230))</f>
        <v xml:space="preserve">Печеневский Артем Валентинович</v>
      </c>
      <c r="C230" s="8">
        <f>IFERROR(IF(ISNUMBER(FIND(".",Клиенты_исходные!C230)),DATE(RIGHT(Клиенты_исходные!C230,4),MID(Клиенты_исходные!C230,4,2),LEFT(Клиенты_исходные!C230,2)),DATE(LEFT(Клиенты_исходные!C230,4),MID(Клиенты_исходные!C230,6,2),RIGHT(Клиенты_исходные!C230,2))),Клиенты_исходные!C230)</f>
        <v>30561</v>
      </c>
      <c r="D230" t="str">
        <f>IF(ISBLANK(Клиенты_исходные!D230),"",IF(LEN(SUBSTITUTE(SUBSTITUTE(SUBSTITUTE(SUBSTITUTE(SUBSTITUTE(Клиенты_исходные!D230," ",""),"-",""),"+",""),"(",""),")",""))=11,"+7 ("&amp;MID(IF(LEFT(SUBSTITUTE(SUBSTITUTE(SUBSTITUTE(SUBSTITUTE(SUBSTITUTE(Клиенты_исходные!D230," ",""),"-",""),"+",""),"(",""),")",""))="8","7"&amp;MID(SUBSTITUTE(SUBSTITUTE(SUBSTITUTE(SUBSTITUTE(SUBSTITUTE(Клиенты_исходные!D230," ",""),"-",""),"+",""),"(",""),")",""),2,10),SUBSTITUTE(SUBSTITUTE(SUBSTITUTE(SUBSTITUTE(SUBSTITUTE(Клиенты_исходные!D230," ",""),"-",""),"+",""),"(",""),")","")),2,3)&amp;") "&amp;MID(IF(LEFT(SUBSTITUTE(SUBSTITUTE(SUBSTITUTE(SUBSTITUTE(SUBSTITUTE(Клиенты_исходные!D230," ",""),"-",""),"+",""),"(",""),")",""))="8","7"&amp;MID(SUBSTITUTE(SUBSTITUTE(SUBSTITUTE(SUBSTITUTE(SUBSTITUTE(Клиенты_исходные!D230," ",""),"-",""),"+",""),"(",""),")",""),2,10),SUBSTITUTE(SUBSTITUTE(SUBSTITUTE(SUBSTITUTE(SUBSTITUTE(Клиенты_исходные!D230," ",""),"-",""),"+",""),"(",""),")","")),5,3)&amp;"-"&amp;MID(IF(LEFT(SUBSTITUTE(SUBSTITUTE(SUBSTITUTE(SUBSTITUTE(SUBSTITUTE(Клиенты_исходные!D230," ",""),"-",""),"+",""),"(",""),")",""))="8","7"&amp;MID(SUBSTITUTE(SUBSTITUTE(SUBSTITUTE(SUBSTITUTE(SUBSTITUTE(Клиенты_исходные!D230," ",""),"-",""),"+",""),"(",""),")",""),2,10),SUBSTITUTE(SUBSTITUTE(SUBSTITUTE(SUBSTITUTE(SUBSTITUTE(Клиенты_исходные!D230," ",""),"-",""),"+",""),"(",""),")","")),8,2)&amp;"-"&amp;MID(IF(LEFT(SUBSTITUTE(SUBSTITUTE(SUBSTITUTE(SUBSTITUTE(SUBSTITUTE(Клиенты_исходные!D230," ",""),"-",""),"+",""),"(",""),")",""))="8","7"&amp;MID(SUBSTITUTE(SUBSTITUTE(SUBSTITUTE(SUBSTITUTE(SUBSTITUTE(Клиенты_исходные!D230," ",""),"-",""),"+",""),"(",""),")",""),2,10),SUBSTITUTE(SUBSTITUTE(SUBSTITUTE(SUBSTITUTE(SUBSTITUTE(Клиенты_исходные!D230," ",""),"-",""),"+",""),"(",""),")","")),10,2),IF(LEN(SUBSTITUTE(SUBSTITUTE(SUBSTITUTE(SUBSTITUTE(SUBSTITUTE(Клиенты_исходные!D230," ",""),"-",""),"+",""),"(",""),")",""))=10,"+7 ("&amp;MID(SUBSTITUTE(SUBSTITUTE(SUBSTITUTE(SUBSTITUTE(SUBSTITUTE(Клиенты_исходные!D230," ",""),"-",""),"+",""),"(",""),")",""),1,3)&amp;") "&amp;MID(SUBSTITUTE(SUBSTITUTE(SUBSTITUTE(SUBSTITUTE(SUBSTITUTE(Клиенты_исходные!D230," ",""),"-",""),"+",""),"(",""),")",""),4,3)&amp;"-"&amp;MID(SUBSTITUTE(SUBSTITUTE(SUBSTITUTE(SUBSTITUTE(SUBSTITUTE(Клиенты_исходные!D230," ",""),"-",""),"+",""),"(",""),")",""),6,2)&amp;"-"&amp;MID(SUBSTITUTE(SUBSTITUTE(SUBSTITUTE(SUBSTITUTE(SUBSTITUTE(Клиенты_исходные!D230," ",""),"-",""),"+",""),"(",""),")",""),8,2),Клиенты_исходные!D230)))</f>
        <v xml:space="preserve">+7 (903) 234-56-78</v>
      </c>
      <c r="E230" t="str">
        <f>IF(ISBLANK(Клиенты_исходные!E230),"",IF(ISNUMBER(FIND(".",MID(Клиенты_исходные!E230,FIND("@",Клиенты_исходные!E230)+1,255))),Клиенты_исходные!E230,IF(ISNUMBER(FIND("gmail",Клиенты_исходные!E230)),Клиенты_исходные!E230&amp;".com",Клиенты_исходные!E230&amp;".ru")))</f>
        <v>pechenevsky@mail.ru</v>
      </c>
      <c r="F230" t="str">
        <f>IFERROR(VLOOKUP(Клиенты_исходные!F230,Справочники!$J$2:$K$50,2,FALSE),Клиенты_исходные!F230)</f>
        <v>Подольск</v>
      </c>
      <c r="G230" s="8">
        <f>IFERROR(IF(ISNUMBER(FIND(".",Клиенты_исходные!G230)),DATE(RIGHT(Клиенты_исходные!G230,4),MID(Клиенты_исходные!G230,4,2),LEFT(Клиенты_исходные!G230,2)),DATE(LEFT(Клиенты_исходные!G230,4),MID(Клиенты_исходные!G230,6,2),RIGHT(Клиенты_исходные!G230,2))),Клиенты_исходные!G230)</f>
        <v>46874</v>
      </c>
      <c r="H230">
        <f t="shared" ca="1" si="58"/>
        <v>43</v>
      </c>
      <c r="I230" t="str">
        <f t="shared" si="59"/>
        <v>OK</v>
      </c>
      <c r="J230" t="str">
        <f t="shared" si="60"/>
        <v>OK</v>
      </c>
    </row>
    <row r="231">
      <c r="A231" t="str">
        <f>Клиенты_исходные!A231</f>
        <v>C0230</v>
      </c>
      <c r="B231" t="str">
        <f>PROPER(TRIM(Клиенты_исходные!B231))</f>
        <v xml:space="preserve">Смагина Елена Юрьевна</v>
      </c>
      <c r="C231" s="8">
        <f>IFERROR(IF(ISNUMBER(FIND(".",Клиенты_исходные!C231)),DATE(RIGHT(Клиенты_исходные!C231,4),MID(Клиенты_исходные!C231,4,2),LEFT(Клиенты_исходные!C231,2)),DATE(LEFT(Клиенты_исходные!C231,4),MID(Клиенты_исходные!C231,6,2),RIGHT(Клиенты_исходные!C231,2))),Клиенты_исходные!C231)</f>
        <v>34112</v>
      </c>
      <c r="D231" t="str">
        <f>IF(ISBLANK(Клиенты_исходные!D231),"",IF(LEN(SUBSTITUTE(SUBSTITUTE(SUBSTITUTE(SUBSTITUTE(SUBSTITUTE(Клиенты_исходные!D231," ",""),"-",""),"+",""),"(",""),")",""))=11,"+7 ("&amp;MID(IF(LEFT(SUBSTITUTE(SUBSTITUTE(SUBSTITUTE(SUBSTITUTE(SUBSTITUTE(Клиенты_исходные!D231," ",""),"-",""),"+",""),"(",""),")",""))="8","7"&amp;MID(SUBSTITUTE(SUBSTITUTE(SUBSTITUTE(SUBSTITUTE(SUBSTITUTE(Клиенты_исходные!D231," ",""),"-",""),"+",""),"(",""),")",""),2,10),SUBSTITUTE(SUBSTITUTE(SUBSTITUTE(SUBSTITUTE(SUBSTITUTE(Клиенты_исходные!D231," ",""),"-",""),"+",""),"(",""),")","")),2,3)&amp;") "&amp;MID(IF(LEFT(SUBSTITUTE(SUBSTITUTE(SUBSTITUTE(SUBSTITUTE(SUBSTITUTE(Клиенты_исходные!D231," ",""),"-",""),"+",""),"(",""),")",""))="8","7"&amp;MID(SUBSTITUTE(SUBSTITUTE(SUBSTITUTE(SUBSTITUTE(SUBSTITUTE(Клиенты_исходные!D231," ",""),"-",""),"+",""),"(",""),")",""),2,10),SUBSTITUTE(SUBSTITUTE(SUBSTITUTE(SUBSTITUTE(SUBSTITUTE(Клиенты_исходные!D231," ",""),"-",""),"+",""),"(",""),")","")),5,3)&amp;"-"&amp;MID(IF(LEFT(SUBSTITUTE(SUBSTITUTE(SUBSTITUTE(SUBSTITUTE(SUBSTITUTE(Клиенты_исходные!D231," ",""),"-",""),"+",""),"(",""),")",""))="8","7"&amp;MID(SUBSTITUTE(SUBSTITUTE(SUBSTITUTE(SUBSTITUTE(SUBSTITUTE(Клиенты_исходные!D231," ",""),"-",""),"+",""),"(",""),")",""),2,10),SUBSTITUTE(SUBSTITUTE(SUBSTITUTE(SUBSTITUTE(SUBSTITUTE(Клиенты_исходные!D231," ",""),"-",""),"+",""),"(",""),")","")),8,2)&amp;"-"&amp;MID(IF(LEFT(SUBSTITUTE(SUBSTITUTE(SUBSTITUTE(SUBSTITUTE(SUBSTITUTE(Клиенты_исходные!D231," ",""),"-",""),"+",""),"(",""),")",""))="8","7"&amp;MID(SUBSTITUTE(SUBSTITUTE(SUBSTITUTE(SUBSTITUTE(SUBSTITUTE(Клиенты_исходные!D231," ",""),"-",""),"+",""),"(",""),")",""),2,10),SUBSTITUTE(SUBSTITUTE(SUBSTITUTE(SUBSTITUTE(SUBSTITUTE(Клиенты_исходные!D231," ",""),"-",""),"+",""),"(",""),")","")),10,2),IF(LEN(SUBSTITUTE(SUBSTITUTE(SUBSTITUTE(SUBSTITUTE(SUBSTITUTE(Клиенты_исходные!D231," ",""),"-",""),"+",""),"(",""),")",""))=10,"+7 ("&amp;MID(SUBSTITUTE(SUBSTITUTE(SUBSTITUTE(SUBSTITUTE(SUBSTITUTE(Клиенты_исходные!D231," ",""),"-",""),"+",""),"(",""),")",""),1,3)&amp;") "&amp;MID(SUBSTITUTE(SUBSTITUTE(SUBSTITUTE(SUBSTITUTE(SUBSTITUTE(Клиенты_исходные!D231," ",""),"-",""),"+",""),"(",""),")",""),4,3)&amp;"-"&amp;MID(SUBSTITUTE(SUBSTITUTE(SUBSTITUTE(SUBSTITUTE(SUBSTITUTE(Клиенты_исходные!D231," ",""),"-",""),"+",""),"(",""),")",""),6,2)&amp;"-"&amp;MID(SUBSTITUTE(SUBSTITUTE(SUBSTITUTE(SUBSTITUTE(SUBSTITUTE(Клиенты_исходные!D231," ",""),"-",""),"+",""),"(",""),")",""),8,2),Клиенты_исходные!D231)))</f>
        <v xml:space="preserve">+7 (903) 234-56-78</v>
      </c>
      <c r="E231" t="str">
        <f>IF(ISBLANK(Клиенты_исходные!E231),"",IF(ISNUMBER(FIND(".",MID(Клиенты_исходные!E231,FIND("@",Клиенты_исходные!E231)+1,255))),Клиенты_исходные!E231,IF(ISNUMBER(FIND("gmail",Клиенты_исходные!E231)),Клиенты_исходные!E231&amp;".com",Клиенты_исходные!E231&amp;".ru")))</f>
        <v>smagina@yandex.ru</v>
      </c>
      <c r="F231" t="str">
        <f>IFERROR(VLOOKUP(Клиенты_исходные!F231,Справочники!$J$2:$K$50,2,FALSE),Клиенты_исходные!F231)</f>
        <v>Балашиха</v>
      </c>
      <c r="G231" s="8">
        <f>IFERROR(IF(ISNUMBER(FIND(".",Клиенты_исходные!G231)),DATE(RIGHT(Клиенты_исходные!G231,4),MID(Клиенты_исходные!G231,4,2),LEFT(Клиенты_исходные!G231,2)),DATE(LEFT(Клиенты_исходные!G231,4),MID(Клиенты_исходные!G231,6,2),RIGHT(Клиенты_исходные!G231,2))),Клиенты_исходные!G231)</f>
        <v>46888</v>
      </c>
      <c r="H231">
        <f t="shared" ca="1" si="58"/>
        <v>33</v>
      </c>
      <c r="I231" t="str">
        <f t="shared" si="59"/>
        <v>OK</v>
      </c>
      <c r="J231" t="str">
        <f t="shared" si="60"/>
        <v>OK</v>
      </c>
    </row>
    <row r="232">
      <c r="A232" t="str">
        <f>Клиенты_исходные!A232</f>
        <v>C0231</v>
      </c>
      <c r="B232" t="str">
        <f>PROPER(TRIM(Клиенты_исходные!B232))</f>
        <v xml:space="preserve">Гущин Илья Николаевич</v>
      </c>
      <c r="C232" s="8">
        <f>IFERROR(IF(ISNUMBER(FIND(".",Клиенты_исходные!C232)),DATE(RIGHT(Клиенты_исходные!C232,4),MID(Клиенты_исходные!C232,4,2),LEFT(Клиенты_исходные!C232,2)),DATE(LEFT(Клиенты_исходные!C232,4),MID(Клиенты_исходные!C232,6,2),RIGHT(Клиенты_исходные!C232,2))),Клиенты_исходные!C232)</f>
        <v>26125</v>
      </c>
      <c r="D232" t="str">
        <f>IF(ISBLANK(Клиенты_исходные!D232),"",IF(LEN(SUBSTITUTE(SUBSTITUTE(SUBSTITUTE(SUBSTITUTE(SUBSTITUTE(Клиенты_исходные!D232," ",""),"-",""),"+",""),"(",""),")",""))=11,"+7 ("&amp;MID(IF(LEFT(SUBSTITUTE(SUBSTITUTE(SUBSTITUTE(SUBSTITUTE(SUBSTITUTE(Клиенты_исходные!D232," ",""),"-",""),"+",""),"(",""),")",""))="8","7"&amp;MID(SUBSTITUTE(SUBSTITUTE(SUBSTITUTE(SUBSTITUTE(SUBSTITUTE(Клиенты_исходные!D232," ",""),"-",""),"+",""),"(",""),")",""),2,10),SUBSTITUTE(SUBSTITUTE(SUBSTITUTE(SUBSTITUTE(SUBSTITUTE(Клиенты_исходные!D232," ",""),"-",""),"+",""),"(",""),")","")),2,3)&amp;") "&amp;MID(IF(LEFT(SUBSTITUTE(SUBSTITUTE(SUBSTITUTE(SUBSTITUTE(SUBSTITUTE(Клиенты_исходные!D232," ",""),"-",""),"+",""),"(",""),")",""))="8","7"&amp;MID(SUBSTITUTE(SUBSTITUTE(SUBSTITUTE(SUBSTITUTE(SUBSTITUTE(Клиенты_исходные!D232," ",""),"-",""),"+",""),"(",""),")",""),2,10),SUBSTITUTE(SUBSTITUTE(SUBSTITUTE(SUBSTITUTE(SUBSTITUTE(Клиенты_исходные!D232," ",""),"-",""),"+",""),"(",""),")","")),5,3)&amp;"-"&amp;MID(IF(LEFT(SUBSTITUTE(SUBSTITUTE(SUBSTITUTE(SUBSTITUTE(SUBSTITUTE(Клиенты_исходные!D232," ",""),"-",""),"+",""),"(",""),")",""))="8","7"&amp;MID(SUBSTITUTE(SUBSTITUTE(SUBSTITUTE(SUBSTITUTE(SUBSTITUTE(Клиенты_исходные!D232," ",""),"-",""),"+",""),"(",""),")",""),2,10),SUBSTITUTE(SUBSTITUTE(SUBSTITUTE(SUBSTITUTE(SUBSTITUTE(Клиенты_исходные!D232," ",""),"-",""),"+",""),"(",""),")","")),8,2)&amp;"-"&amp;MID(IF(LEFT(SUBSTITUTE(SUBSTITUTE(SUBSTITUTE(SUBSTITUTE(SUBSTITUTE(Клиенты_исходные!D232," ",""),"-",""),"+",""),"(",""),")",""))="8","7"&amp;MID(SUBSTITUTE(SUBSTITUTE(SUBSTITUTE(SUBSTITUTE(SUBSTITUTE(Клиенты_исходные!D232," ",""),"-",""),"+",""),"(",""),")",""),2,10),SUBSTITUTE(SUBSTITUTE(SUBSTITUTE(SUBSTITUTE(SUBSTITUTE(Клиенты_исходные!D232," ",""),"-",""),"+",""),"(",""),")","")),10,2),IF(LEN(SUBSTITUTE(SUBSTITUTE(SUBSTITUTE(SUBSTITUTE(SUBSTITUTE(Клиенты_исходные!D232," ",""),"-",""),"+",""),"(",""),")",""))=10,"+7 ("&amp;MID(SUBSTITUTE(SUBSTITUTE(SUBSTITUTE(SUBSTITUTE(SUBSTITUTE(Клиенты_исходные!D232," ",""),"-",""),"+",""),"(",""),")",""),1,3)&amp;") "&amp;MID(SUBSTITUTE(SUBSTITUTE(SUBSTITUTE(SUBSTITUTE(SUBSTITUTE(Клиенты_исходные!D232," ",""),"-",""),"+",""),"(",""),")",""),4,3)&amp;"-"&amp;MID(SUBSTITUTE(SUBSTITUTE(SUBSTITUTE(SUBSTITUTE(SUBSTITUTE(Клиенты_исходные!D232," ",""),"-",""),"+",""),"(",""),")",""),6,2)&amp;"-"&amp;MID(SUBSTITUTE(SUBSTITUTE(SUBSTITUTE(SUBSTITUTE(SUBSTITUTE(Клиенты_исходные!D232," ",""),"-",""),"+",""),"(",""),")",""),8,2),Клиенты_исходные!D232)))</f>
        <v xml:space="preserve">+7 (903) 345-67-89</v>
      </c>
      <c r="E232" t="str">
        <f>IF(ISBLANK(Клиенты_исходные!E232),"",IF(ISNUMBER(FIND(".",MID(Клиенты_исходные!E232,FIND("@",Клиенты_исходные!E232)+1,255))),Клиенты_исходные!E232,IF(ISNUMBER(FIND("gmail",Клиенты_исходные!E232)),Клиенты_исходные!E232&amp;".com",Клиенты_исходные!E232&amp;".ru")))</f>
        <v>guschin@gmail.com</v>
      </c>
      <c r="F232" t="str">
        <f>IFERROR(VLOOKUP(Клиенты_исходные!F232,Справочники!$J$2:$K$50,2,FALSE),Клиенты_исходные!F232)</f>
        <v>Сургут</v>
      </c>
      <c r="G232" s="8">
        <f>IFERROR(IF(ISNUMBER(FIND(".",Клиенты_исходные!G232)),DATE(RIGHT(Клиенты_исходные!G232,4),MID(Клиенты_исходные!G232,4,2),LEFT(Клиенты_исходные!G232,2)),DATE(LEFT(Клиенты_исходные!G232,4),MID(Клиенты_исходные!G232,6,2),RIGHT(Клиенты_исходные!G232,2))),Клиенты_исходные!G232)</f>
        <v>46888</v>
      </c>
      <c r="H232">
        <f t="shared" ca="1" si="58"/>
        <v>55</v>
      </c>
      <c r="I232" t="str">
        <f t="shared" si="59"/>
        <v>OK</v>
      </c>
      <c r="J232" t="str">
        <f t="shared" si="60"/>
        <v>OK</v>
      </c>
    </row>
    <row r="233">
      <c r="A233" t="str">
        <f>Клиенты_исходные!A233</f>
        <v>C0232</v>
      </c>
      <c r="B233" t="str">
        <f>PROPER(TRIM(Клиенты_исходные!B233))</f>
        <v xml:space="preserve">Минаев Владислав Владимирович</v>
      </c>
      <c r="C233" s="8">
        <f>IFERROR(IF(ISNUMBER(FIND(".",Клиенты_исходные!C233)),DATE(RIGHT(Клиенты_исходные!C233,4),MID(Клиенты_исходные!C233,4,2),LEFT(Клиенты_исходные!C233,2)),DATE(LEFT(Клиенты_исходные!C233,4),MID(Клиенты_исходные!C233,6,2),RIGHT(Клиенты_исходные!C233,2))),Клиенты_исходные!C233)</f>
        <v>31441</v>
      </c>
      <c r="D233" t="str">
        <f>IF(ISBLANK(Клиенты_исходные!D233),"",IF(LEN(SUBSTITUTE(SUBSTITUTE(SUBSTITUTE(SUBSTITUTE(SUBSTITUTE(Клиенты_исходные!D233," ",""),"-",""),"+",""),"(",""),")",""))=11,"+7 ("&amp;MID(IF(LEFT(SUBSTITUTE(SUBSTITUTE(SUBSTITUTE(SUBSTITUTE(SUBSTITUTE(Клиенты_исходные!D233," ",""),"-",""),"+",""),"(",""),")",""))="8","7"&amp;MID(SUBSTITUTE(SUBSTITUTE(SUBSTITUTE(SUBSTITUTE(SUBSTITUTE(Клиенты_исходные!D233," ",""),"-",""),"+",""),"(",""),")",""),2,10),SUBSTITUTE(SUBSTITUTE(SUBSTITUTE(SUBSTITUTE(SUBSTITUTE(Клиенты_исходные!D233," ",""),"-",""),"+",""),"(",""),")","")),2,3)&amp;") "&amp;MID(IF(LEFT(SUBSTITUTE(SUBSTITUTE(SUBSTITUTE(SUBSTITUTE(SUBSTITUTE(Клиенты_исходные!D233," ",""),"-",""),"+",""),"(",""),")",""))="8","7"&amp;MID(SUBSTITUTE(SUBSTITUTE(SUBSTITUTE(SUBSTITUTE(SUBSTITUTE(Клиенты_исходные!D233," ",""),"-",""),"+",""),"(",""),")",""),2,10),SUBSTITUTE(SUBSTITUTE(SUBSTITUTE(SUBSTITUTE(SUBSTITUTE(Клиенты_исходные!D233," ",""),"-",""),"+",""),"(",""),")","")),5,3)&amp;"-"&amp;MID(IF(LEFT(SUBSTITUTE(SUBSTITUTE(SUBSTITUTE(SUBSTITUTE(SUBSTITUTE(Клиенты_исходные!D233," ",""),"-",""),"+",""),"(",""),")",""))="8","7"&amp;MID(SUBSTITUTE(SUBSTITUTE(SUBSTITUTE(SUBSTITUTE(SUBSTITUTE(Клиенты_исходные!D233," ",""),"-",""),"+",""),"(",""),")",""),2,10),SUBSTITUTE(SUBSTITUTE(SUBSTITUTE(SUBSTITUTE(SUBSTITUTE(Клиенты_исходные!D233," ",""),"-",""),"+",""),"(",""),")","")),8,2)&amp;"-"&amp;MID(IF(LEFT(SUBSTITUTE(SUBSTITUTE(SUBSTITUTE(SUBSTITUTE(SUBSTITUTE(Клиенты_исходные!D233," ",""),"-",""),"+",""),"(",""),")",""))="8","7"&amp;MID(SUBSTITUTE(SUBSTITUTE(SUBSTITUTE(SUBSTITUTE(SUBSTITUTE(Клиенты_исходные!D233," ",""),"-",""),"+",""),"(",""),")",""),2,10),SUBSTITUTE(SUBSTITUTE(SUBSTITUTE(SUBSTITUTE(SUBSTITUTE(Клиенты_исходные!D233," ",""),"-",""),"+",""),"(",""),")","")),10,2),IF(LEN(SUBSTITUTE(SUBSTITUTE(SUBSTITUTE(SUBSTITUTE(SUBSTITUTE(Клиенты_исходные!D233," ",""),"-",""),"+",""),"(",""),")",""))=10,"+7 ("&amp;MID(SUBSTITUTE(SUBSTITUTE(SUBSTITUTE(SUBSTITUTE(SUBSTITUTE(Клиенты_исходные!D233," ",""),"-",""),"+",""),"(",""),")",""),1,3)&amp;") "&amp;MID(SUBSTITUTE(SUBSTITUTE(SUBSTITUTE(SUBSTITUTE(SUBSTITUTE(Клиенты_исходные!D233," ",""),"-",""),"+",""),"(",""),")",""),4,3)&amp;"-"&amp;MID(SUBSTITUTE(SUBSTITUTE(SUBSTITUTE(SUBSTITUTE(SUBSTITUTE(Клиенты_исходные!D233," ",""),"-",""),"+",""),"(",""),")",""),6,2)&amp;"-"&amp;MID(SUBSTITUTE(SUBSTITUTE(SUBSTITUTE(SUBSTITUTE(SUBSTITUTE(Клиенты_исходные!D233," ",""),"-",""),"+",""),"(",""),")",""),8,2),Клиенты_исходные!D233)))</f>
        <v xml:space="preserve">+7 (903) 345-67-89</v>
      </c>
      <c r="E233" t="str">
        <f>IF(ISBLANK(Клиенты_исходные!E233),"",IF(ISNUMBER(FIND(".",MID(Клиенты_исходные!E233,FIND("@",Клиенты_исходные!E233)+1,255))),Клиенты_исходные!E233,IF(ISNUMBER(FIND("gmail",Клиенты_исходные!E233)),Клиенты_исходные!E233&amp;".com",Клиенты_исходные!E233&amp;".ru")))</f>
        <v>minaev@mail.ru</v>
      </c>
      <c r="F233" t="str">
        <f>IFERROR(VLOOKUP(Клиенты_исходные!F233,Справочники!$J$2:$K$50,2,FALSE),Клиенты_исходные!F233)</f>
        <v>Армавир</v>
      </c>
      <c r="G233" s="8">
        <f>IFERROR(IF(ISNUMBER(FIND(".",Клиенты_исходные!G233)),DATE(RIGHT(Клиенты_исходные!G233,4),MID(Клиенты_исходные!G233,4,2),LEFT(Клиенты_исходные!G233,2)),DATE(LEFT(Клиенты_исходные!G233,4),MID(Клиенты_исходные!G233,6,2),RIGHT(Клиенты_исходные!G233,2))),Клиенты_исходные!G233)</f>
        <v>46905</v>
      </c>
      <c r="H233">
        <f t="shared" ca="1" si="58"/>
        <v>40</v>
      </c>
      <c r="I233" t="str">
        <f t="shared" si="59"/>
        <v>OK</v>
      </c>
      <c r="J233" t="str">
        <f t="shared" si="60"/>
        <v>OK</v>
      </c>
    </row>
    <row r="234">
      <c r="A234" t="str">
        <f>Клиенты_исходные!A234</f>
        <v>C0233</v>
      </c>
      <c r="B234" t="str">
        <f>PROPER(TRIM(Клиенты_исходные!B234))</f>
        <v xml:space="preserve">Жилинская Ольга Анатольевна</v>
      </c>
      <c r="C234" s="8">
        <f>IFERROR(IF(ISNUMBER(FIND(".",Клиенты_исходные!C234)),DATE(RIGHT(Клиенты_исходные!C234,4),MID(Клиенты_исходные!C234,4,2),LEFT(Клиенты_исходные!C234,2)),DATE(LEFT(Клиенты_исходные!C234,4),MID(Клиенты_исходные!C234,6,2),RIGHT(Клиенты_исходные!C234,2))),Клиенты_исходные!C234)</f>
        <v>32798</v>
      </c>
      <c r="D234" t="str">
        <f>IF(ISBLANK(Клиенты_исходные!D234),"",IF(LEN(SUBSTITUTE(SUBSTITUTE(SUBSTITUTE(SUBSTITUTE(SUBSTITUTE(Клиенты_исходные!D234," ",""),"-",""),"+",""),"(",""),")",""))=11,"+7 ("&amp;MID(IF(LEFT(SUBSTITUTE(SUBSTITUTE(SUBSTITUTE(SUBSTITUTE(SUBSTITUTE(Клиенты_исходные!D234," ",""),"-",""),"+",""),"(",""),")",""))="8","7"&amp;MID(SUBSTITUTE(SUBSTITUTE(SUBSTITUTE(SUBSTITUTE(SUBSTITUTE(Клиенты_исходные!D234," ",""),"-",""),"+",""),"(",""),")",""),2,10),SUBSTITUTE(SUBSTITUTE(SUBSTITUTE(SUBSTITUTE(SUBSTITUTE(Клиенты_исходные!D234," ",""),"-",""),"+",""),"(",""),")","")),2,3)&amp;") "&amp;MID(IF(LEFT(SUBSTITUTE(SUBSTITUTE(SUBSTITUTE(SUBSTITUTE(SUBSTITUTE(Клиенты_исходные!D234," ",""),"-",""),"+",""),"(",""),")",""))="8","7"&amp;MID(SUBSTITUTE(SUBSTITUTE(SUBSTITUTE(SUBSTITUTE(SUBSTITUTE(Клиенты_исходные!D234," ",""),"-",""),"+",""),"(",""),")",""),2,10),SUBSTITUTE(SUBSTITUTE(SUBSTITUTE(SUBSTITUTE(SUBSTITUTE(Клиенты_исходные!D234," ",""),"-",""),"+",""),"(",""),")","")),5,3)&amp;"-"&amp;MID(IF(LEFT(SUBSTITUTE(SUBSTITUTE(SUBSTITUTE(SUBSTITUTE(SUBSTITUTE(Клиенты_исходные!D234," ",""),"-",""),"+",""),"(",""),")",""))="8","7"&amp;MID(SUBSTITUTE(SUBSTITUTE(SUBSTITUTE(SUBSTITUTE(SUBSTITUTE(Клиенты_исходные!D234," ",""),"-",""),"+",""),"(",""),")",""),2,10),SUBSTITUTE(SUBSTITUTE(SUBSTITUTE(SUBSTITUTE(SUBSTITUTE(Клиенты_исходные!D234," ",""),"-",""),"+",""),"(",""),")","")),8,2)&amp;"-"&amp;MID(IF(LEFT(SUBSTITUTE(SUBSTITUTE(SUBSTITUTE(SUBSTITUTE(SUBSTITUTE(Клиенты_исходные!D234," ",""),"-",""),"+",""),"(",""),")",""))="8","7"&amp;MID(SUBSTITUTE(SUBSTITUTE(SUBSTITUTE(SUBSTITUTE(SUBSTITUTE(Клиенты_исходные!D234," ",""),"-",""),"+",""),"(",""),")",""),2,10),SUBSTITUTE(SUBSTITUTE(SUBSTITUTE(SUBSTITUTE(SUBSTITUTE(Клиенты_исходные!D234," ",""),"-",""),"+",""),"(",""),")","")),10,2),IF(LEN(SUBSTITUTE(SUBSTITUTE(SUBSTITUTE(SUBSTITUTE(SUBSTITUTE(Клиенты_исходные!D234," ",""),"-",""),"+",""),"(",""),")",""))=10,"+7 ("&amp;MID(SUBSTITUTE(SUBSTITUTE(SUBSTITUTE(SUBSTITUTE(SUBSTITUTE(Клиенты_исходные!D234," ",""),"-",""),"+",""),"(",""),")",""),1,3)&amp;") "&amp;MID(SUBSTITUTE(SUBSTITUTE(SUBSTITUTE(SUBSTITUTE(SUBSTITUTE(Клиенты_исходные!D234," ",""),"-",""),"+",""),"(",""),")",""),4,3)&amp;"-"&amp;MID(SUBSTITUTE(SUBSTITUTE(SUBSTITUTE(SUBSTITUTE(SUBSTITUTE(Клиенты_исходные!D234," ",""),"-",""),"+",""),"(",""),")",""),6,2)&amp;"-"&amp;MID(SUBSTITUTE(SUBSTITUTE(SUBSTITUTE(SUBSTITUTE(SUBSTITUTE(Клиенты_исходные!D234," ",""),"-",""),"+",""),"(",""),")",""),8,2),Клиенты_исходные!D234)))</f>
        <v xml:space="preserve">+7 (903) 345-67-89</v>
      </c>
      <c r="E234" t="str">
        <f>IF(ISBLANK(Клиенты_исходные!E234),"",IF(ISNUMBER(FIND(".",MID(Клиенты_исходные!E234,FIND("@",Клиенты_исходные!E234)+1,255))),Клиенты_исходные!E234,IF(ISNUMBER(FIND("gmail",Клиенты_исходные!E234)),Клиенты_исходные!E234&amp;".com",Клиенты_исходные!E234&amp;".ru")))</f>
        <v>zhilinskaya@yandex.ru</v>
      </c>
      <c r="F234" t="str">
        <f>IFERROR(VLOOKUP(Клиенты_исходные!F234,Справочники!$J$2:$K$50,2,FALSE),Клиенты_исходные!F234)</f>
        <v>Волжский</v>
      </c>
      <c r="G234" s="8">
        <f>IFERROR(IF(ISNUMBER(FIND(".",Клиенты_исходные!G234)),DATE(RIGHT(Клиенты_исходные!G234,4),MID(Клиенты_исходные!G234,4,2),LEFT(Клиенты_исходные!G234,2)),DATE(LEFT(Клиенты_исходные!G234,4),MID(Клиенты_исходные!G234,6,2),RIGHT(Клиенты_исходные!G234,2))),Клиенты_исходные!G234)</f>
        <v>46914</v>
      </c>
      <c r="H234">
        <f t="shared" ca="1" si="58"/>
        <v>36</v>
      </c>
      <c r="I234" t="str">
        <f t="shared" si="59"/>
        <v>OK</v>
      </c>
      <c r="J234" t="str">
        <f t="shared" si="60"/>
        <v>OK</v>
      </c>
    </row>
    <row r="235">
      <c r="A235" t="str">
        <f>Клиенты_исходные!A235</f>
        <v>C0234</v>
      </c>
      <c r="B235" t="str">
        <f>PROPER(TRIM(Клиенты_исходные!B235))</f>
        <v xml:space="preserve">Булычев Роман Викторович</v>
      </c>
      <c r="C235" s="8">
        <f>IFERROR(IF(ISNUMBER(FIND(".",Клиенты_исходные!C235)),DATE(RIGHT(Клиенты_исходные!C235,4),MID(Клиенты_исходные!C235,4,2),LEFT(Клиенты_исходные!C235,2)),DATE(LEFT(Клиенты_исходные!C235,4),MID(Клиенты_исходные!C235,6,2),RIGHT(Клиенты_исходные!C235,2))),Клиенты_исходные!C235)</f>
        <v>27864</v>
      </c>
      <c r="D235" t="str">
        <f>IF(ISBLANK(Клиенты_исходные!D235),"",IF(LEN(SUBSTITUTE(SUBSTITUTE(SUBSTITUTE(SUBSTITUTE(SUBSTITUTE(Клиенты_исходные!D235," ",""),"-",""),"+",""),"(",""),")",""))=11,"+7 ("&amp;MID(IF(LEFT(SUBSTITUTE(SUBSTITUTE(SUBSTITUTE(SUBSTITUTE(SUBSTITUTE(Клиенты_исходные!D235," ",""),"-",""),"+",""),"(",""),")",""))="8","7"&amp;MID(SUBSTITUTE(SUBSTITUTE(SUBSTITUTE(SUBSTITUTE(SUBSTITUTE(Клиенты_исходные!D235," ",""),"-",""),"+",""),"(",""),")",""),2,10),SUBSTITUTE(SUBSTITUTE(SUBSTITUTE(SUBSTITUTE(SUBSTITUTE(Клиенты_исходные!D235," ",""),"-",""),"+",""),"(",""),")","")),2,3)&amp;") "&amp;MID(IF(LEFT(SUBSTITUTE(SUBSTITUTE(SUBSTITUTE(SUBSTITUTE(SUBSTITUTE(Клиенты_исходные!D235," ",""),"-",""),"+",""),"(",""),")",""))="8","7"&amp;MID(SUBSTITUTE(SUBSTITUTE(SUBSTITUTE(SUBSTITUTE(SUBSTITUTE(Клиенты_исходные!D235," ",""),"-",""),"+",""),"(",""),")",""),2,10),SUBSTITUTE(SUBSTITUTE(SUBSTITUTE(SUBSTITUTE(SUBSTITUTE(Клиенты_исходные!D235," ",""),"-",""),"+",""),"(",""),")","")),5,3)&amp;"-"&amp;MID(IF(LEFT(SUBSTITUTE(SUBSTITUTE(SUBSTITUTE(SUBSTITUTE(SUBSTITUTE(Клиенты_исходные!D235," ",""),"-",""),"+",""),"(",""),")",""))="8","7"&amp;MID(SUBSTITUTE(SUBSTITUTE(SUBSTITUTE(SUBSTITUTE(SUBSTITUTE(Клиенты_исходные!D235," ",""),"-",""),"+",""),"(",""),")",""),2,10),SUBSTITUTE(SUBSTITUTE(SUBSTITUTE(SUBSTITUTE(SUBSTITUTE(Клиенты_исходные!D235," ",""),"-",""),"+",""),"(",""),")","")),8,2)&amp;"-"&amp;MID(IF(LEFT(SUBSTITUTE(SUBSTITUTE(SUBSTITUTE(SUBSTITUTE(SUBSTITUTE(Клиенты_исходные!D235," ",""),"-",""),"+",""),"(",""),")",""))="8","7"&amp;MID(SUBSTITUTE(SUBSTITUTE(SUBSTITUTE(SUBSTITUTE(SUBSTITUTE(Клиенты_исходные!D235," ",""),"-",""),"+",""),"(",""),")",""),2,10),SUBSTITUTE(SUBSTITUTE(SUBSTITUTE(SUBSTITUTE(SUBSTITUTE(Клиенты_исходные!D235," ",""),"-",""),"+",""),"(",""),")","")),10,2),IF(LEN(SUBSTITUTE(SUBSTITUTE(SUBSTITUTE(SUBSTITUTE(SUBSTITUTE(Клиенты_исходные!D235," ",""),"-",""),"+",""),"(",""),")",""))=10,"+7 ("&amp;MID(SUBSTITUTE(SUBSTITUTE(SUBSTITUTE(SUBSTITUTE(SUBSTITUTE(Клиенты_исходные!D235," ",""),"-",""),"+",""),"(",""),")",""),1,3)&amp;") "&amp;MID(SUBSTITUTE(SUBSTITUTE(SUBSTITUTE(SUBSTITUTE(SUBSTITUTE(Клиенты_исходные!D235," ",""),"-",""),"+",""),"(",""),")",""),4,3)&amp;"-"&amp;MID(SUBSTITUTE(SUBSTITUTE(SUBSTITUTE(SUBSTITUTE(SUBSTITUTE(Клиенты_исходные!D235," ",""),"-",""),"+",""),"(",""),")",""),6,2)&amp;"-"&amp;MID(SUBSTITUTE(SUBSTITUTE(SUBSTITUTE(SUBSTITUTE(SUBSTITUTE(Клиенты_исходные!D235," ",""),"-",""),"+",""),"(",""),")",""),8,2),Клиенты_исходные!D235)))</f>
        <v xml:space="preserve">+7 (903) 456-78-90</v>
      </c>
      <c r="E235" t="str">
        <f>IF(ISBLANK(Клиенты_исходные!E235),"",IF(ISNUMBER(FIND(".",MID(Клиенты_исходные!E235,FIND("@",Клиенты_исходные!E235)+1,255))),Клиенты_исходные!E235,IF(ISNUMBER(FIND("gmail",Клиенты_исходные!E235)),Клиенты_исходные!E235&amp;".com",Клиенты_исходные!E235&amp;".ru")))</f>
        <v>bulychev@gmail.com</v>
      </c>
      <c r="F235" t="str">
        <f>IFERROR(VLOOKUP(Клиенты_исходные!F235,Справочники!$J$2:$K$50,2,FALSE),Клиенты_исходные!F235)</f>
        <v>Шахты</v>
      </c>
      <c r="G235" s="8">
        <f>IFERROR(IF(ISNUMBER(FIND(".",Клиенты_исходные!G235)),DATE(RIGHT(Клиенты_исходные!G235,4),MID(Клиенты_исходные!G235,4,2),LEFT(Клиенты_исходные!G235,2)),DATE(LEFT(Клиенты_исходные!G235,4),MID(Клиенты_исходные!G235,6,2),RIGHT(Клиенты_исходные!G235,2))),Клиенты_исходные!G235)</f>
        <v>46914</v>
      </c>
      <c r="H235">
        <f t="shared" ca="1" si="58"/>
        <v>50</v>
      </c>
      <c r="I235" t="str">
        <f t="shared" si="59"/>
        <v>OK</v>
      </c>
      <c r="J235" t="str">
        <f t="shared" si="60"/>
        <v>OK</v>
      </c>
    </row>
    <row r="236">
      <c r="A236" t="str">
        <f>Клиенты_исходные!A236</f>
        <v>C0235</v>
      </c>
      <c r="B236" t="str">
        <f>PROPER(TRIM(Клиенты_исходные!B236))</f>
        <v xml:space="preserve">Дубова Марина Игоревна</v>
      </c>
      <c r="C236" s="8">
        <f>IFERROR(IF(ISNUMBER(FIND(".",Клиенты_исходные!C236)),DATE(RIGHT(Клиенты_исходные!C236,4),MID(Клиенты_исходные!C236,4,2),LEFT(Клиенты_исходные!C236,2)),DATE(LEFT(Клиенты_исходные!C236,4),MID(Клиенты_исходные!C236,6,2),RIGHT(Клиенты_исходные!C236,2))),Клиенты_исходные!C236)</f>
        <v>30293</v>
      </c>
      <c r="D236" t="str">
        <f>IF(ISBLANK(Клиенты_исходные!D236),"",IF(LEN(SUBSTITUTE(SUBSTITUTE(SUBSTITUTE(SUBSTITUTE(SUBSTITUTE(Клиенты_исходные!D236," ",""),"-",""),"+",""),"(",""),")",""))=11,"+7 ("&amp;MID(IF(LEFT(SUBSTITUTE(SUBSTITUTE(SUBSTITUTE(SUBSTITUTE(SUBSTITUTE(Клиенты_исходные!D236," ",""),"-",""),"+",""),"(",""),")",""))="8","7"&amp;MID(SUBSTITUTE(SUBSTITUTE(SUBSTITUTE(SUBSTITUTE(SUBSTITUTE(Клиенты_исходные!D236," ",""),"-",""),"+",""),"(",""),")",""),2,10),SUBSTITUTE(SUBSTITUTE(SUBSTITUTE(SUBSTITUTE(SUBSTITUTE(Клиенты_исходные!D236," ",""),"-",""),"+",""),"(",""),")","")),2,3)&amp;") "&amp;MID(IF(LEFT(SUBSTITUTE(SUBSTITUTE(SUBSTITUTE(SUBSTITUTE(SUBSTITUTE(Клиенты_исходные!D236," ",""),"-",""),"+",""),"(",""),")",""))="8","7"&amp;MID(SUBSTITUTE(SUBSTITUTE(SUBSTITUTE(SUBSTITUTE(SUBSTITUTE(Клиенты_исходные!D236," ",""),"-",""),"+",""),"(",""),")",""),2,10),SUBSTITUTE(SUBSTITUTE(SUBSTITUTE(SUBSTITUTE(SUBSTITUTE(Клиенты_исходные!D236," ",""),"-",""),"+",""),"(",""),")","")),5,3)&amp;"-"&amp;MID(IF(LEFT(SUBSTITUTE(SUBSTITUTE(SUBSTITUTE(SUBSTITUTE(SUBSTITUTE(Клиенты_исходные!D236," ",""),"-",""),"+",""),"(",""),")",""))="8","7"&amp;MID(SUBSTITUTE(SUBSTITUTE(SUBSTITUTE(SUBSTITUTE(SUBSTITUTE(Клиенты_исходные!D236," ",""),"-",""),"+",""),"(",""),")",""),2,10),SUBSTITUTE(SUBSTITUTE(SUBSTITUTE(SUBSTITUTE(SUBSTITUTE(Клиенты_исходные!D236," ",""),"-",""),"+",""),"(",""),")","")),8,2)&amp;"-"&amp;MID(IF(LEFT(SUBSTITUTE(SUBSTITUTE(SUBSTITUTE(SUBSTITUTE(SUBSTITUTE(Клиенты_исходные!D236," ",""),"-",""),"+",""),"(",""),")",""))="8","7"&amp;MID(SUBSTITUTE(SUBSTITUTE(SUBSTITUTE(SUBSTITUTE(SUBSTITUTE(Клиенты_исходные!D236," ",""),"-",""),"+",""),"(",""),")",""),2,10),SUBSTITUTE(SUBSTITUTE(SUBSTITUTE(SUBSTITUTE(SUBSTITUTE(Клиенты_исходные!D236," ",""),"-",""),"+",""),"(",""),")","")),10,2),IF(LEN(SUBSTITUTE(SUBSTITUTE(SUBSTITUTE(SUBSTITUTE(SUBSTITUTE(Клиенты_исходные!D236," ",""),"-",""),"+",""),"(",""),")",""))=10,"+7 ("&amp;MID(SUBSTITUTE(SUBSTITUTE(SUBSTITUTE(SUBSTITUTE(SUBSTITUTE(Клиенты_исходные!D236," ",""),"-",""),"+",""),"(",""),")",""),1,3)&amp;") "&amp;MID(SUBSTITUTE(SUBSTITUTE(SUBSTITUTE(SUBSTITUTE(SUBSTITUTE(Клиенты_исходные!D236," ",""),"-",""),"+",""),"(",""),")",""),4,3)&amp;"-"&amp;MID(SUBSTITUTE(SUBSTITUTE(SUBSTITUTE(SUBSTITUTE(SUBSTITUTE(Клиенты_исходные!D236," ",""),"-",""),"+",""),"(",""),")",""),6,2)&amp;"-"&amp;MID(SUBSTITUTE(SUBSTITUTE(SUBSTITUTE(SUBSTITUTE(SUBSTITUTE(Клиенты_исходные!D236," ",""),"-",""),"+",""),"(",""),")",""),8,2),Клиенты_исходные!D236)))</f>
        <v xml:space="preserve">+7 (903) 456-78-90</v>
      </c>
      <c r="E236" t="str">
        <f>IF(ISBLANK(Клиенты_исходные!E236),"",IF(ISNUMBER(FIND(".",MID(Клиенты_исходные!E236,FIND("@",Клиенты_исходные!E236)+1,255))),Клиенты_исходные!E236,IF(ISNUMBER(FIND("gmail",Клиенты_исходные!E236)),Клиенты_исходные!E236&amp;".com",Клиенты_исходные!E236&amp;".ru")))</f>
        <v>dubova@mail.ru</v>
      </c>
      <c r="F236" t="str">
        <f>IFERROR(VLOOKUP(Клиенты_исходные!F236,Справочники!$J$2:$K$50,2,FALSE),Клиенты_исходные!F236)</f>
        <v>Златоуст</v>
      </c>
      <c r="G236" s="8">
        <f>IFERROR(IF(ISNUMBER(FIND(".",Клиенты_исходные!G236)),DATE(RIGHT(Клиенты_исходные!G236,4),MID(Клиенты_исходные!G236,4,2),LEFT(Клиенты_исходные!G236,2)),DATE(LEFT(Клиенты_исходные!G236,4),MID(Клиенты_исходные!G236,6,2),RIGHT(Клиенты_исходные!G236,2))),Клиенты_исходные!G236)</f>
        <v>46935</v>
      </c>
      <c r="H236">
        <f t="shared" ca="1" si="58"/>
        <v>43</v>
      </c>
      <c r="I236" t="str">
        <f t="shared" si="59"/>
        <v>OK</v>
      </c>
      <c r="J236" t="str">
        <f t="shared" si="60"/>
        <v>OK</v>
      </c>
    </row>
    <row r="237">
      <c r="A237" t="str">
        <f>Клиенты_исходные!A237</f>
        <v>C0236</v>
      </c>
      <c r="B237" t="str">
        <f>PROPER(TRIM(Клиенты_исходные!B237))</f>
        <v xml:space="preserve">Анисимов Андрей Олегович</v>
      </c>
      <c r="C237" s="8">
        <f>IFERROR(IF(ISNUMBER(FIND(".",Клиенты_исходные!C237)),DATE(RIGHT(Клиенты_исходные!C237,4),MID(Клиенты_исходные!C237,4,2),LEFT(Клиенты_исходные!C237,2)),DATE(LEFT(Клиенты_исходные!C237,4),MID(Клиенты_исходные!C237,6,2),RIGHT(Клиенты_исходные!C237,2))),Клиенты_исходные!C237)</f>
        <v>34568</v>
      </c>
      <c r="D237" t="str">
        <f>IF(ISBLANK(Клиенты_исходные!D237),"",IF(LEN(SUBSTITUTE(SUBSTITUTE(SUBSTITUTE(SUBSTITUTE(SUBSTITUTE(Клиенты_исходные!D237," ",""),"-",""),"+",""),"(",""),")",""))=11,"+7 ("&amp;MID(IF(LEFT(SUBSTITUTE(SUBSTITUTE(SUBSTITUTE(SUBSTITUTE(SUBSTITUTE(Клиенты_исходные!D237," ",""),"-",""),"+",""),"(",""),")",""))="8","7"&amp;MID(SUBSTITUTE(SUBSTITUTE(SUBSTITUTE(SUBSTITUTE(SUBSTITUTE(Клиенты_исходные!D237," ",""),"-",""),"+",""),"(",""),")",""),2,10),SUBSTITUTE(SUBSTITUTE(SUBSTITUTE(SUBSTITUTE(SUBSTITUTE(Клиенты_исходные!D237," ",""),"-",""),"+",""),"(",""),")","")),2,3)&amp;") "&amp;MID(IF(LEFT(SUBSTITUTE(SUBSTITUTE(SUBSTITUTE(SUBSTITUTE(SUBSTITUTE(Клиенты_исходные!D237," ",""),"-",""),"+",""),"(",""),")",""))="8","7"&amp;MID(SUBSTITUTE(SUBSTITUTE(SUBSTITUTE(SUBSTITUTE(SUBSTITUTE(Клиенты_исходные!D237," ",""),"-",""),"+",""),"(",""),")",""),2,10),SUBSTITUTE(SUBSTITUTE(SUBSTITUTE(SUBSTITUTE(SUBSTITUTE(Клиенты_исходные!D237," ",""),"-",""),"+",""),"(",""),")","")),5,3)&amp;"-"&amp;MID(IF(LEFT(SUBSTITUTE(SUBSTITUTE(SUBSTITUTE(SUBSTITUTE(SUBSTITUTE(Клиенты_исходные!D237," ",""),"-",""),"+",""),"(",""),")",""))="8","7"&amp;MID(SUBSTITUTE(SUBSTITUTE(SUBSTITUTE(SUBSTITUTE(SUBSTITUTE(Клиенты_исходные!D237," ",""),"-",""),"+",""),"(",""),")",""),2,10),SUBSTITUTE(SUBSTITUTE(SUBSTITUTE(SUBSTITUTE(SUBSTITUTE(Клиенты_исходные!D237," ",""),"-",""),"+",""),"(",""),")","")),8,2)&amp;"-"&amp;MID(IF(LEFT(SUBSTITUTE(SUBSTITUTE(SUBSTITUTE(SUBSTITUTE(SUBSTITUTE(Клиенты_исходные!D237," ",""),"-",""),"+",""),"(",""),")",""))="8","7"&amp;MID(SUBSTITUTE(SUBSTITUTE(SUBSTITUTE(SUBSTITUTE(SUBSTITUTE(Клиенты_исходные!D237," ",""),"-",""),"+",""),"(",""),")",""),2,10),SUBSTITUTE(SUBSTITUTE(SUBSTITUTE(SUBSTITUTE(SUBSTITUTE(Клиенты_исходные!D237," ",""),"-",""),"+",""),"(",""),")","")),10,2),IF(LEN(SUBSTITUTE(SUBSTITUTE(SUBSTITUTE(SUBSTITUTE(SUBSTITUTE(Клиенты_исходные!D237," ",""),"-",""),"+",""),"(",""),")",""))=10,"+7 ("&amp;MID(SUBSTITUTE(SUBSTITUTE(SUBSTITUTE(SUBSTITUTE(SUBSTITUTE(Клиенты_исходные!D237," ",""),"-",""),"+",""),"(",""),")",""),1,3)&amp;") "&amp;MID(SUBSTITUTE(SUBSTITUTE(SUBSTITUTE(SUBSTITUTE(SUBSTITUTE(Клиенты_исходные!D237," ",""),"-",""),"+",""),"(",""),")",""),4,3)&amp;"-"&amp;MID(SUBSTITUTE(SUBSTITUTE(SUBSTITUTE(SUBSTITUTE(SUBSTITUTE(Клиенты_исходные!D237," ",""),"-",""),"+",""),"(",""),")",""),6,2)&amp;"-"&amp;MID(SUBSTITUTE(SUBSTITUTE(SUBSTITUTE(SUBSTITUTE(SUBSTITUTE(Клиенты_исходные!D237," ",""),"-",""),"+",""),"(",""),")",""),8,2),Клиенты_исходные!D237)))</f>
        <v xml:space="preserve">+7 (903) 456-78-90</v>
      </c>
      <c r="E237" t="str">
        <f>IF(ISBLANK(Клиенты_исходные!E237),"",IF(ISNUMBER(FIND(".",MID(Клиенты_исходные!E237,FIND("@",Клиенты_исходные!E237)+1,255))),Клиенты_исходные!E237,IF(ISNUMBER(FIND("gmail",Клиенты_исходные!E237)),Клиенты_исходные!E237&amp;".com",Клиенты_исходные!E237&amp;".ru")))</f>
        <v>anisimov@yandex.ru</v>
      </c>
      <c r="F237" t="str">
        <f>IFERROR(VLOOKUP(Клиенты_исходные!F237,Справочники!$J$2:$K$50,2,FALSE),Клиенты_исходные!F237)</f>
        <v>Ангарск</v>
      </c>
      <c r="G237" s="8">
        <f>IFERROR(IF(ISNUMBER(FIND(".",Клиенты_исходные!G237)),DATE(RIGHT(Клиенты_исходные!G237,4),MID(Клиенты_исходные!G237,4,2),LEFT(Клиенты_исходные!G237,2)),DATE(LEFT(Клиенты_исходные!G237,4),MID(Клиенты_исходные!G237,6,2),RIGHT(Клиенты_исходные!G237,2))),Клиенты_исходные!G237)</f>
        <v>46949</v>
      </c>
      <c r="H237">
        <f t="shared" ca="1" si="58"/>
        <v>32</v>
      </c>
      <c r="I237" t="str">
        <f t="shared" si="59"/>
        <v>OK</v>
      </c>
      <c r="J237" t="str">
        <f t="shared" si="60"/>
        <v>OK</v>
      </c>
    </row>
    <row r="238">
      <c r="A238" t="str">
        <f>Клиенты_исходные!A238</f>
        <v>C0237</v>
      </c>
      <c r="B238" t="str">
        <f>PROPER(TRIM(Клиенты_исходные!B238))</f>
        <v xml:space="preserve">Савицкая Оксана Николаевна</v>
      </c>
      <c r="C238" s="8">
        <f>IFERROR(IF(ISNUMBER(FIND(".",Клиенты_исходные!C238)),DATE(RIGHT(Клиенты_исходные!C238,4),MID(Клиенты_исходные!C238,4,2),LEFT(Клиенты_исходные!C238,2)),DATE(LEFT(Клиенты_исходные!C238,4),MID(Клиенты_исходные!C238,6,2),RIGHT(Клиенты_исходные!C238,2))),Клиенты_исходные!C238)</f>
        <v>29379</v>
      </c>
      <c r="D238" t="str">
        <f>IF(ISBLANK(Клиенты_исходные!D238),"",IF(LEN(SUBSTITUTE(SUBSTITUTE(SUBSTITUTE(SUBSTITUTE(SUBSTITUTE(Клиенты_исходные!D238," ",""),"-",""),"+",""),"(",""),")",""))=11,"+7 ("&amp;MID(IF(LEFT(SUBSTITUTE(SUBSTITUTE(SUBSTITUTE(SUBSTITUTE(SUBSTITUTE(Клиенты_исходные!D238," ",""),"-",""),"+",""),"(",""),")",""))="8","7"&amp;MID(SUBSTITUTE(SUBSTITUTE(SUBSTITUTE(SUBSTITUTE(SUBSTITUTE(Клиенты_исходные!D238," ",""),"-",""),"+",""),"(",""),")",""),2,10),SUBSTITUTE(SUBSTITUTE(SUBSTITUTE(SUBSTITUTE(SUBSTITUTE(Клиенты_исходные!D238," ",""),"-",""),"+",""),"(",""),")","")),2,3)&amp;") "&amp;MID(IF(LEFT(SUBSTITUTE(SUBSTITUTE(SUBSTITUTE(SUBSTITUTE(SUBSTITUTE(Клиенты_исходные!D238," ",""),"-",""),"+",""),"(",""),")",""))="8","7"&amp;MID(SUBSTITUTE(SUBSTITUTE(SUBSTITUTE(SUBSTITUTE(SUBSTITUTE(Клиенты_исходные!D238," ",""),"-",""),"+",""),"(",""),")",""),2,10),SUBSTITUTE(SUBSTITUTE(SUBSTITUTE(SUBSTITUTE(SUBSTITUTE(Клиенты_исходные!D238," ",""),"-",""),"+",""),"(",""),")","")),5,3)&amp;"-"&amp;MID(IF(LEFT(SUBSTITUTE(SUBSTITUTE(SUBSTITUTE(SUBSTITUTE(SUBSTITUTE(Клиенты_исходные!D238," ",""),"-",""),"+",""),"(",""),")",""))="8","7"&amp;MID(SUBSTITUTE(SUBSTITUTE(SUBSTITUTE(SUBSTITUTE(SUBSTITUTE(Клиенты_исходные!D238," ",""),"-",""),"+",""),"(",""),")",""),2,10),SUBSTITUTE(SUBSTITUTE(SUBSTITUTE(SUBSTITUTE(SUBSTITUTE(Клиенты_исходные!D238," ",""),"-",""),"+",""),"(",""),")","")),8,2)&amp;"-"&amp;MID(IF(LEFT(SUBSTITUTE(SUBSTITUTE(SUBSTITUTE(SUBSTITUTE(SUBSTITUTE(Клиенты_исходные!D238," ",""),"-",""),"+",""),"(",""),")",""))="8","7"&amp;MID(SUBSTITUTE(SUBSTITUTE(SUBSTITUTE(SUBSTITUTE(SUBSTITUTE(Клиенты_исходные!D238," ",""),"-",""),"+",""),"(",""),")",""),2,10),SUBSTITUTE(SUBSTITUTE(SUBSTITUTE(SUBSTITUTE(SUBSTITUTE(Клиенты_исходные!D238," ",""),"-",""),"+",""),"(",""),")","")),10,2),IF(LEN(SUBSTITUTE(SUBSTITUTE(SUBSTITUTE(SUBSTITUTE(SUBSTITUTE(Клиенты_исходные!D238," ",""),"-",""),"+",""),"(",""),")",""))=10,"+7 ("&amp;MID(SUBSTITUTE(SUBSTITUTE(SUBSTITUTE(SUBSTITUTE(SUBSTITUTE(Клиенты_исходные!D238," ",""),"-",""),"+",""),"(",""),")",""),1,3)&amp;") "&amp;MID(SUBSTITUTE(SUBSTITUTE(SUBSTITUTE(SUBSTITUTE(SUBSTITUTE(Клиенты_исходные!D238," ",""),"-",""),"+",""),"(",""),")",""),4,3)&amp;"-"&amp;MID(SUBSTITUTE(SUBSTITUTE(SUBSTITUTE(SUBSTITUTE(SUBSTITUTE(Клиенты_исходные!D238," ",""),"-",""),"+",""),"(",""),")",""),6,2)&amp;"-"&amp;MID(SUBSTITUTE(SUBSTITUTE(SUBSTITUTE(SUBSTITUTE(SUBSTITUTE(Клиенты_исходные!D238," ",""),"-",""),"+",""),"(",""),")",""),8,2),Клиенты_исходные!D238)))</f>
        <v xml:space="preserve">+7 (903) 567-89-01</v>
      </c>
      <c r="E238" t="str">
        <f>IF(ISBLANK(Клиенты_исходные!E238),"",IF(ISNUMBER(FIND(".",MID(Клиенты_исходные!E238,FIND("@",Клиенты_исходные!E238)+1,255))),Клиенты_исходные!E238,IF(ISNUMBER(FIND("gmail",Клиенты_исходные!E238)),Клиенты_исходные!E238&amp;".com",Клиенты_исходные!E238&amp;".ru")))</f>
        <v>savitskaya@gmail.com</v>
      </c>
      <c r="F238" t="str">
        <f>IFERROR(VLOOKUP(Клиенты_исходные!F238,Справочники!$J$2:$K$50,2,FALSE),Клиенты_исходные!F238)</f>
        <v>Озёрск</v>
      </c>
      <c r="G238" s="8">
        <f>IFERROR(IF(ISNUMBER(FIND(".",Клиенты_исходные!G238)),DATE(RIGHT(Клиенты_исходные!G238,4),MID(Клиенты_исходные!G238,4,2),LEFT(Клиенты_исходные!G238,2)),DATE(LEFT(Клиенты_исходные!G238,4),MID(Клиенты_исходные!G238,6,2),RIGHT(Клиенты_исходные!G238,2))),Клиенты_исходные!G238)</f>
        <v>46949</v>
      </c>
      <c r="H238">
        <f t="shared" ca="1" si="58"/>
        <v>46</v>
      </c>
      <c r="I238" t="str">
        <f t="shared" si="59"/>
        <v>OK</v>
      </c>
      <c r="J238" t="str">
        <f t="shared" si="60"/>
        <v>OK</v>
      </c>
    </row>
    <row r="239">
      <c r="A239" t="str">
        <f>Клиенты_исходные!A239</f>
        <v>C0238</v>
      </c>
      <c r="B239" t="str">
        <f>PROPER(TRIM(Клиенты_исходные!B239))</f>
        <v xml:space="preserve">Ефанов Дмитрий Алексеевич</v>
      </c>
      <c r="C239" s="8">
        <f>IFERROR(IF(ISNUMBER(FIND(".",Клиенты_исходные!C239)),DATE(RIGHT(Клиенты_исходные!C239,4),MID(Клиенты_исходные!C239,4,2),LEFT(Клиенты_исходные!C239,2)),DATE(LEFT(Клиенты_исходные!C239,4),MID(Клиенты_исходные!C239,6,2),RIGHT(Клиенты_исходные!C239,2))),Клиенты_исходные!C239)</f>
        <v>27352</v>
      </c>
      <c r="D239" t="str">
        <f>IF(ISBLANK(Клиенты_исходные!D239),"",IF(LEN(SUBSTITUTE(SUBSTITUTE(SUBSTITUTE(SUBSTITUTE(SUBSTITUTE(Клиенты_исходные!D239," ",""),"-",""),"+",""),"(",""),")",""))=11,"+7 ("&amp;MID(IF(LEFT(SUBSTITUTE(SUBSTITUTE(SUBSTITUTE(SUBSTITUTE(SUBSTITUTE(Клиенты_исходные!D239," ",""),"-",""),"+",""),"(",""),")",""))="8","7"&amp;MID(SUBSTITUTE(SUBSTITUTE(SUBSTITUTE(SUBSTITUTE(SUBSTITUTE(Клиенты_исходные!D239," ",""),"-",""),"+",""),"(",""),")",""),2,10),SUBSTITUTE(SUBSTITUTE(SUBSTITUTE(SUBSTITUTE(SUBSTITUTE(Клиенты_исходные!D239," ",""),"-",""),"+",""),"(",""),")","")),2,3)&amp;") "&amp;MID(IF(LEFT(SUBSTITUTE(SUBSTITUTE(SUBSTITUTE(SUBSTITUTE(SUBSTITUTE(Клиенты_исходные!D239," ",""),"-",""),"+",""),"(",""),")",""))="8","7"&amp;MID(SUBSTITUTE(SUBSTITUTE(SUBSTITUTE(SUBSTITUTE(SUBSTITUTE(Клиенты_исходные!D239," ",""),"-",""),"+",""),"(",""),")",""),2,10),SUBSTITUTE(SUBSTITUTE(SUBSTITUTE(SUBSTITUTE(SUBSTITUTE(Клиенты_исходные!D239," ",""),"-",""),"+",""),"(",""),")","")),5,3)&amp;"-"&amp;MID(IF(LEFT(SUBSTITUTE(SUBSTITUTE(SUBSTITUTE(SUBSTITUTE(SUBSTITUTE(Клиенты_исходные!D239," ",""),"-",""),"+",""),"(",""),")",""))="8","7"&amp;MID(SUBSTITUTE(SUBSTITUTE(SUBSTITUTE(SUBSTITUTE(SUBSTITUTE(Клиенты_исходные!D239," ",""),"-",""),"+",""),"(",""),")",""),2,10),SUBSTITUTE(SUBSTITUTE(SUBSTITUTE(SUBSTITUTE(SUBSTITUTE(Клиенты_исходные!D239," ",""),"-",""),"+",""),"(",""),")","")),8,2)&amp;"-"&amp;MID(IF(LEFT(SUBSTITUTE(SUBSTITUTE(SUBSTITUTE(SUBSTITUTE(SUBSTITUTE(Клиенты_исходные!D239," ",""),"-",""),"+",""),"(",""),")",""))="8","7"&amp;MID(SUBSTITUTE(SUBSTITUTE(SUBSTITUTE(SUBSTITUTE(SUBSTITUTE(Клиенты_исходные!D239," ",""),"-",""),"+",""),"(",""),")",""),2,10),SUBSTITUTE(SUBSTITUTE(SUBSTITUTE(SUBSTITUTE(SUBSTITUTE(Клиенты_исходные!D239," ",""),"-",""),"+",""),"(",""),")","")),10,2),IF(LEN(SUBSTITUTE(SUBSTITUTE(SUBSTITUTE(SUBSTITUTE(SUBSTITUTE(Клиенты_исходные!D239," ",""),"-",""),"+",""),"(",""),")",""))=10,"+7 ("&amp;MID(SUBSTITUTE(SUBSTITUTE(SUBSTITUTE(SUBSTITUTE(SUBSTITUTE(Клиенты_исходные!D239," ",""),"-",""),"+",""),"(",""),")",""),1,3)&amp;") "&amp;MID(SUBSTITUTE(SUBSTITUTE(SUBSTITUTE(SUBSTITUTE(SUBSTITUTE(Клиенты_исходные!D239," ",""),"-",""),"+",""),"(",""),")",""),4,3)&amp;"-"&amp;MID(SUBSTITUTE(SUBSTITUTE(SUBSTITUTE(SUBSTITUTE(SUBSTITUTE(Клиенты_исходные!D239," ",""),"-",""),"+",""),"(",""),")",""),6,2)&amp;"-"&amp;MID(SUBSTITUTE(SUBSTITUTE(SUBSTITUTE(SUBSTITUTE(SUBSTITUTE(Клиенты_исходные!D239," ",""),"-",""),"+",""),"(",""),")",""),8,2),Клиенты_исходные!D239)))</f>
        <v xml:space="preserve">+7 (903) 567-89-01</v>
      </c>
      <c r="E239" t="str">
        <f>IF(ISBLANK(Клиенты_исходные!E239),"",IF(ISNUMBER(FIND(".",MID(Клиенты_исходные!E239,FIND("@",Клиенты_исходные!E239)+1,255))),Клиенты_исходные!E239,IF(ISNUMBER(FIND("gmail",Клиенты_исходные!E239)),Клиенты_исходные!E239&amp;".com",Клиенты_исходные!E239&amp;".ru")))</f>
        <v>efanov@mail.ru</v>
      </c>
      <c r="F239" t="str">
        <f>IFERROR(VLOOKUP(Клиенты_исходные!F239,Справочники!$J$2:$K$50,2,FALSE),Клиенты_исходные!F239)</f>
        <v>Орел</v>
      </c>
      <c r="G239" s="8">
        <f>IFERROR(IF(ISNUMBER(FIND(".",Клиенты_исходные!G239)),DATE(RIGHT(Клиенты_исходные!G239,4),MID(Клиенты_исходные!G239,4,2),LEFT(Клиенты_исходные!G239,2)),DATE(LEFT(Клиенты_исходные!G239,4),MID(Клиенты_исходные!G239,6,2),RIGHT(Клиенты_исходные!G239,2))),Клиенты_исходные!G239)</f>
        <v>46966</v>
      </c>
      <c r="H239">
        <f t="shared" ca="1" si="58"/>
        <v>51</v>
      </c>
      <c r="I239" t="str">
        <f t="shared" si="59"/>
        <v>OK</v>
      </c>
      <c r="J239" t="str">
        <f t="shared" si="60"/>
        <v>OK</v>
      </c>
    </row>
    <row r="240">
      <c r="A240" t="str">
        <f>Клиенты_исходные!A240</f>
        <v>C0239</v>
      </c>
      <c r="B240" t="str">
        <f>PROPER(TRIM(Клиенты_исходные!B240))</f>
        <v xml:space="preserve">Яблочкова Татьяна Дмитриевна</v>
      </c>
      <c r="C240" s="8">
        <f>IFERROR(IF(ISNUMBER(FIND(".",Клиенты_исходные!C240)),DATE(RIGHT(Клиенты_исходные!C240,4),MID(Клиенты_исходные!C240,4,2),LEFT(Клиенты_исходные!C240,2)),DATE(LEFT(Клиенты_исходные!C240,4),MID(Клиенты_исходные!C240,6,2),RIGHT(Клиенты_исходные!C240,2))),Клиенты_исходные!C240)</f>
        <v>31833</v>
      </c>
      <c r="D240" t="str">
        <f>IF(ISBLANK(Клиенты_исходные!D240),"",IF(LEN(SUBSTITUTE(SUBSTITUTE(SUBSTITUTE(SUBSTITUTE(SUBSTITUTE(Клиенты_исходные!D240," ",""),"-",""),"+",""),"(",""),")",""))=11,"+7 ("&amp;MID(IF(LEFT(SUBSTITUTE(SUBSTITUTE(SUBSTITUTE(SUBSTITUTE(SUBSTITUTE(Клиенты_исходные!D240," ",""),"-",""),"+",""),"(",""),")",""))="8","7"&amp;MID(SUBSTITUTE(SUBSTITUTE(SUBSTITUTE(SUBSTITUTE(SUBSTITUTE(Клиенты_исходные!D240," ",""),"-",""),"+",""),"(",""),")",""),2,10),SUBSTITUTE(SUBSTITUTE(SUBSTITUTE(SUBSTITUTE(SUBSTITUTE(Клиенты_исходные!D240," ",""),"-",""),"+",""),"(",""),")","")),2,3)&amp;") "&amp;MID(IF(LEFT(SUBSTITUTE(SUBSTITUTE(SUBSTITUTE(SUBSTITUTE(SUBSTITUTE(Клиенты_исходные!D240," ",""),"-",""),"+",""),"(",""),")",""))="8","7"&amp;MID(SUBSTITUTE(SUBSTITUTE(SUBSTITUTE(SUBSTITUTE(SUBSTITUTE(Клиенты_исходные!D240," ",""),"-",""),"+",""),"(",""),")",""),2,10),SUBSTITUTE(SUBSTITUTE(SUBSTITUTE(SUBSTITUTE(SUBSTITUTE(Клиенты_исходные!D240," ",""),"-",""),"+",""),"(",""),")","")),5,3)&amp;"-"&amp;MID(IF(LEFT(SUBSTITUTE(SUBSTITUTE(SUBSTITUTE(SUBSTITUTE(SUBSTITUTE(Клиенты_исходные!D240," ",""),"-",""),"+",""),"(",""),")",""))="8","7"&amp;MID(SUBSTITUTE(SUBSTITUTE(SUBSTITUTE(SUBSTITUTE(SUBSTITUTE(Клиенты_исходные!D240," ",""),"-",""),"+",""),"(",""),")",""),2,10),SUBSTITUTE(SUBSTITUTE(SUBSTITUTE(SUBSTITUTE(SUBSTITUTE(Клиенты_исходные!D240," ",""),"-",""),"+",""),"(",""),")","")),8,2)&amp;"-"&amp;MID(IF(LEFT(SUBSTITUTE(SUBSTITUTE(SUBSTITUTE(SUBSTITUTE(SUBSTITUTE(Клиенты_исходные!D240," ",""),"-",""),"+",""),"(",""),")",""))="8","7"&amp;MID(SUBSTITUTE(SUBSTITUTE(SUBSTITUTE(SUBSTITUTE(SUBSTITUTE(Клиенты_исходные!D240," ",""),"-",""),"+",""),"(",""),")",""),2,10),SUBSTITUTE(SUBSTITUTE(SUBSTITUTE(SUBSTITUTE(SUBSTITUTE(Клиенты_исходные!D240," ",""),"-",""),"+",""),"(",""),")","")),10,2),IF(LEN(SUBSTITUTE(SUBSTITUTE(SUBSTITUTE(SUBSTITUTE(SUBSTITUTE(Клиенты_исходные!D240," ",""),"-",""),"+",""),"(",""),")",""))=10,"+7 ("&amp;MID(SUBSTITUTE(SUBSTITUTE(SUBSTITUTE(SUBSTITUTE(SUBSTITUTE(Клиенты_исходные!D240," ",""),"-",""),"+",""),"(",""),")",""),1,3)&amp;") "&amp;MID(SUBSTITUTE(SUBSTITUTE(SUBSTITUTE(SUBSTITUTE(SUBSTITUTE(Клиенты_исходные!D240," ",""),"-",""),"+",""),"(",""),")",""),4,3)&amp;"-"&amp;MID(SUBSTITUTE(SUBSTITUTE(SUBSTITUTE(SUBSTITUTE(SUBSTITUTE(Клиенты_исходные!D240," ",""),"-",""),"+",""),"(",""),")",""),6,2)&amp;"-"&amp;MID(SUBSTITUTE(SUBSTITUTE(SUBSTITUTE(SUBSTITUTE(SUBSTITUTE(Клиенты_исходные!D240," ",""),"-",""),"+",""),"(",""),")",""),8,2),Клиенты_исходные!D240)))</f>
        <v xml:space="preserve">+7 (903) 567-89-01</v>
      </c>
      <c r="E240" t="str">
        <f>IF(ISBLANK(Клиенты_исходные!E240),"",IF(ISNUMBER(FIND(".",MID(Клиенты_исходные!E240,FIND("@",Клиенты_исходные!E240)+1,255))),Клиенты_исходные!E240,IF(ISNUMBER(FIND("gmail",Клиенты_исходные!E240)),Клиенты_исходные!E240&amp;".com",Клиенты_исходные!E240&amp;".ru")))</f>
        <v>yablochkova@yandex.ru</v>
      </c>
      <c r="F240" t="str">
        <f>IFERROR(VLOOKUP(Клиенты_исходные!F240,Справочники!$J$2:$K$50,2,FALSE),Клиенты_исходные!F240)</f>
        <v>Магнитогорск</v>
      </c>
      <c r="G240" s="8">
        <f>IFERROR(IF(ISNUMBER(FIND(".",Клиенты_исходные!G240)),DATE(RIGHT(Клиенты_исходные!G240,4),MID(Клиенты_исходные!G240,4,2),LEFT(Клиенты_исходные!G240,2)),DATE(LEFT(Клиенты_исходные!G240,4),MID(Клиенты_исходные!G240,6,2),RIGHT(Клиенты_исходные!G240,2))),Клиенты_исходные!G240)</f>
        <v>46975</v>
      </c>
      <c r="H240">
        <f t="shared" ca="1" si="58"/>
        <v>39</v>
      </c>
      <c r="I240" t="str">
        <f t="shared" si="59"/>
        <v>OK</v>
      </c>
      <c r="J240" t="str">
        <f t="shared" si="60"/>
        <v>OK</v>
      </c>
    </row>
    <row r="241">
      <c r="A241" t="str">
        <f>Клиенты_исходные!A241</f>
        <v>C0240</v>
      </c>
      <c r="B241" t="str">
        <f>PROPER(TRIM(Клиенты_исходные!B241))</f>
        <v xml:space="preserve">Блинков Сергей Петрович</v>
      </c>
      <c r="C241" s="8">
        <f>IFERROR(IF(ISNUMBER(FIND(".",Клиенты_исходные!C241)),DATE(RIGHT(Клиенты_исходные!C241,4),MID(Клиенты_исходные!C241,4,2),LEFT(Клиенты_исходные!C241,2)),DATE(LEFT(Клиенты_исходные!C241,4),MID(Клиенты_исходные!C241,6,2),RIGHT(Клиенты_исходные!C241,2))),Клиенты_исходные!C241)</f>
        <v>33484</v>
      </c>
      <c r="D241" t="str">
        <f>IF(ISBLANK(Клиенты_исходные!D241),"",IF(LEN(SUBSTITUTE(SUBSTITUTE(SUBSTITUTE(SUBSTITUTE(SUBSTITUTE(Клиенты_исходные!D241," ",""),"-",""),"+",""),"(",""),")",""))=11,"+7 ("&amp;MID(IF(LEFT(SUBSTITUTE(SUBSTITUTE(SUBSTITUTE(SUBSTITUTE(SUBSTITUTE(Клиенты_исходные!D241," ",""),"-",""),"+",""),"(",""),")",""))="8","7"&amp;MID(SUBSTITUTE(SUBSTITUTE(SUBSTITUTE(SUBSTITUTE(SUBSTITUTE(Клиенты_исходные!D241," ",""),"-",""),"+",""),"(",""),")",""),2,10),SUBSTITUTE(SUBSTITUTE(SUBSTITUTE(SUBSTITUTE(SUBSTITUTE(Клиенты_исходные!D241," ",""),"-",""),"+",""),"(",""),")","")),2,3)&amp;") "&amp;MID(IF(LEFT(SUBSTITUTE(SUBSTITUTE(SUBSTITUTE(SUBSTITUTE(SUBSTITUTE(Клиенты_исходные!D241," ",""),"-",""),"+",""),"(",""),")",""))="8","7"&amp;MID(SUBSTITUTE(SUBSTITUTE(SUBSTITUTE(SUBSTITUTE(SUBSTITUTE(Клиенты_исходные!D241," ",""),"-",""),"+",""),"(",""),")",""),2,10),SUBSTITUTE(SUBSTITUTE(SUBSTITUTE(SUBSTITUTE(SUBSTITUTE(Клиенты_исходные!D241," ",""),"-",""),"+",""),"(",""),")","")),5,3)&amp;"-"&amp;MID(IF(LEFT(SUBSTITUTE(SUBSTITUTE(SUBSTITUTE(SUBSTITUTE(SUBSTITUTE(Клиенты_исходные!D241," ",""),"-",""),"+",""),"(",""),")",""))="8","7"&amp;MID(SUBSTITUTE(SUBSTITUTE(SUBSTITUTE(SUBSTITUTE(SUBSTITUTE(Клиенты_исходные!D241," ",""),"-",""),"+",""),"(",""),")",""),2,10),SUBSTITUTE(SUBSTITUTE(SUBSTITUTE(SUBSTITUTE(SUBSTITUTE(Клиенты_исходные!D241," ",""),"-",""),"+",""),"(",""),")","")),8,2)&amp;"-"&amp;MID(IF(LEFT(SUBSTITUTE(SUBSTITUTE(SUBSTITUTE(SUBSTITUTE(SUBSTITUTE(Клиенты_исходные!D241," ",""),"-",""),"+",""),"(",""),")",""))="8","7"&amp;MID(SUBSTITUTE(SUBSTITUTE(SUBSTITUTE(SUBSTITUTE(SUBSTITUTE(Клиенты_исходные!D241," ",""),"-",""),"+",""),"(",""),")",""),2,10),SUBSTITUTE(SUBSTITUTE(SUBSTITUTE(SUBSTITUTE(SUBSTITUTE(Клиенты_исходные!D241," ",""),"-",""),"+",""),"(",""),")","")),10,2),IF(LEN(SUBSTITUTE(SUBSTITUTE(SUBSTITUTE(SUBSTITUTE(SUBSTITUTE(Клиенты_исходные!D241," ",""),"-",""),"+",""),"(",""),")",""))=10,"+7 ("&amp;MID(SUBSTITUTE(SUBSTITUTE(SUBSTITUTE(SUBSTITUTE(SUBSTITUTE(Клиенты_исходные!D241," ",""),"-",""),"+",""),"(",""),")",""),1,3)&amp;") "&amp;MID(SUBSTITUTE(SUBSTITUTE(SUBSTITUTE(SUBSTITUTE(SUBSTITUTE(Клиенты_исходные!D241," ",""),"-",""),"+",""),"(",""),")",""),4,3)&amp;"-"&amp;MID(SUBSTITUTE(SUBSTITUTE(SUBSTITUTE(SUBSTITUTE(SUBSTITUTE(Клиенты_исходные!D241," ",""),"-",""),"+",""),"(",""),")",""),6,2)&amp;"-"&amp;MID(SUBSTITUTE(SUBSTITUTE(SUBSTITUTE(SUBSTITUTE(SUBSTITUTE(Клиенты_исходные!D241," ",""),"-",""),"+",""),"(",""),")",""),8,2),Клиенты_исходные!D241)))</f>
        <v xml:space="preserve">+7 (903) 678-90-12</v>
      </c>
      <c r="E241" t="str">
        <f>IF(ISBLANK(Клиенты_исходные!E241),"",IF(ISNUMBER(FIND(".",MID(Клиенты_исходные!E241,FIND("@",Клиенты_исходные!E241)+1,255))),Клиенты_исходные!E241,IF(ISNUMBER(FIND("gmail",Клиенты_исходные!E241)),Клиенты_исходные!E241&amp;".com",Клиенты_исходные!E241&amp;".ru")))</f>
        <v>blinkov@gmail.com</v>
      </c>
      <c r="F241" t="str">
        <f>IFERROR(VLOOKUP(Клиенты_исходные!F241,Справочники!$J$2:$K$50,2,FALSE),Клиенты_исходные!F241)</f>
        <v>Якутск</v>
      </c>
      <c r="G241" s="8">
        <f>IFERROR(IF(ISNUMBER(FIND(".",Клиенты_исходные!G241)),DATE(RIGHT(Клиенты_исходные!G241,4),MID(Клиенты_исходные!G241,4,2),LEFT(Клиенты_исходные!G241,2)),DATE(LEFT(Клиенты_исходные!G241,4),MID(Клиенты_исходные!G241,6,2),RIGHT(Клиенты_исходные!G241,2))),Клиенты_исходные!G241)</f>
        <v>46975</v>
      </c>
      <c r="H241">
        <f t="shared" ca="1" si="58"/>
        <v>35</v>
      </c>
      <c r="I241" t="str">
        <f t="shared" si="59"/>
        <v>OK</v>
      </c>
      <c r="J241" t="str">
        <f t="shared" si="60"/>
        <v>OK</v>
      </c>
    </row>
    <row r="242">
      <c r="A242" t="str">
        <f>Клиенты_исходные!A242</f>
        <v>C0241</v>
      </c>
      <c r="B242" t="str">
        <f>PROPER(TRIM(Клиенты_исходные!B242))</f>
        <v xml:space="preserve">Зубова Екатерина Сергеевна</v>
      </c>
      <c r="C242" s="8">
        <f>IFERROR(IF(ISNUMBER(FIND(".",Клиенты_исходные!C242)),DATE(RIGHT(Клиенты_исходные!C242,4),MID(Клиенты_исходные!C242,4,2),LEFT(Клиенты_исходные!C242,2)),DATE(LEFT(Клиенты_исходные!C242,4),MID(Клиенты_исходные!C242,6,2),RIGHT(Клиенты_исходные!C242,2))),Клиенты_исходные!C242)</f>
        <v>28683</v>
      </c>
      <c r="D242" t="str">
        <f>IF(ISBLANK(Клиенты_исходные!D242),"",IF(LEN(SUBSTITUTE(SUBSTITUTE(SUBSTITUTE(SUBSTITUTE(SUBSTITUTE(Клиенты_исходные!D242," ",""),"-",""),"+",""),"(",""),")",""))=11,"+7 ("&amp;MID(IF(LEFT(SUBSTITUTE(SUBSTITUTE(SUBSTITUTE(SUBSTITUTE(SUBSTITUTE(Клиенты_исходные!D242," ",""),"-",""),"+",""),"(",""),")",""))="8","7"&amp;MID(SUBSTITUTE(SUBSTITUTE(SUBSTITUTE(SUBSTITUTE(SUBSTITUTE(Клиенты_исходные!D242," ",""),"-",""),"+",""),"(",""),")",""),2,10),SUBSTITUTE(SUBSTITUTE(SUBSTITUTE(SUBSTITUTE(SUBSTITUTE(Клиенты_исходные!D242," ",""),"-",""),"+",""),"(",""),")","")),2,3)&amp;") "&amp;MID(IF(LEFT(SUBSTITUTE(SUBSTITUTE(SUBSTITUTE(SUBSTITUTE(SUBSTITUTE(Клиенты_исходные!D242," ",""),"-",""),"+",""),"(",""),")",""))="8","7"&amp;MID(SUBSTITUTE(SUBSTITUTE(SUBSTITUTE(SUBSTITUTE(SUBSTITUTE(Клиенты_исходные!D242," ",""),"-",""),"+",""),"(",""),")",""),2,10),SUBSTITUTE(SUBSTITUTE(SUBSTITUTE(SUBSTITUTE(SUBSTITUTE(Клиенты_исходные!D242," ",""),"-",""),"+",""),"(",""),")","")),5,3)&amp;"-"&amp;MID(IF(LEFT(SUBSTITUTE(SUBSTITUTE(SUBSTITUTE(SUBSTITUTE(SUBSTITUTE(Клиенты_исходные!D242," ",""),"-",""),"+",""),"(",""),")",""))="8","7"&amp;MID(SUBSTITUTE(SUBSTITUTE(SUBSTITUTE(SUBSTITUTE(SUBSTITUTE(Клиенты_исходные!D242," ",""),"-",""),"+",""),"(",""),")",""),2,10),SUBSTITUTE(SUBSTITUTE(SUBSTITUTE(SUBSTITUTE(SUBSTITUTE(Клиенты_исходные!D242," ",""),"-",""),"+",""),"(",""),")","")),8,2)&amp;"-"&amp;MID(IF(LEFT(SUBSTITUTE(SUBSTITUTE(SUBSTITUTE(SUBSTITUTE(SUBSTITUTE(Клиенты_исходные!D242," ",""),"-",""),"+",""),"(",""),")",""))="8","7"&amp;MID(SUBSTITUTE(SUBSTITUTE(SUBSTITUTE(SUBSTITUTE(SUBSTITUTE(Клиенты_исходные!D242," ",""),"-",""),"+",""),"(",""),")",""),2,10),SUBSTITUTE(SUBSTITUTE(SUBSTITUTE(SUBSTITUTE(SUBSTITUTE(Клиенты_исходные!D242," ",""),"-",""),"+",""),"(",""),")","")),10,2),IF(LEN(SUBSTITUTE(SUBSTITUTE(SUBSTITUTE(SUBSTITUTE(SUBSTITUTE(Клиенты_исходные!D242," ",""),"-",""),"+",""),"(",""),")",""))=10,"+7 ("&amp;MID(SUBSTITUTE(SUBSTITUTE(SUBSTITUTE(SUBSTITUTE(SUBSTITUTE(Клиенты_исходные!D242," ",""),"-",""),"+",""),"(",""),")",""),1,3)&amp;") "&amp;MID(SUBSTITUTE(SUBSTITUTE(SUBSTITUTE(SUBSTITUTE(SUBSTITUTE(Клиенты_исходные!D242," ",""),"-",""),"+",""),"(",""),")",""),4,3)&amp;"-"&amp;MID(SUBSTITUTE(SUBSTITUTE(SUBSTITUTE(SUBSTITUTE(SUBSTITUTE(Клиенты_исходные!D242," ",""),"-",""),"+",""),"(",""),")",""),6,2)&amp;"-"&amp;MID(SUBSTITUTE(SUBSTITUTE(SUBSTITUTE(SUBSTITUTE(SUBSTITUTE(Клиенты_исходные!D242," ",""),"-",""),"+",""),"(",""),")",""),8,2),Клиенты_исходные!D242)))</f>
        <v xml:space="preserve">+7 (903) 678-90-12</v>
      </c>
      <c r="E242" t="str">
        <f>IF(ISBLANK(Клиенты_исходные!E242),"",IF(ISNUMBER(FIND(".",MID(Клиенты_исходные!E242,FIND("@",Клиенты_исходные!E242)+1,255))),Клиенты_исходные!E242,IF(ISNUMBER(FIND("gmail",Клиенты_исходные!E242)),Клиенты_исходные!E242&amp;".com",Клиенты_исходные!E242&amp;".ru")))</f>
        <v>zubova@mail.ru</v>
      </c>
      <c r="F242" t="str">
        <f>IFERROR(VLOOKUP(Клиенты_исходные!F242,Справочники!$J$2:$K$50,2,FALSE),Клиенты_исходные!F242)</f>
        <v>Чебоксары</v>
      </c>
      <c r="G242" s="8">
        <f>IFERROR(IF(ISNUMBER(FIND(".",Клиенты_исходные!G242)),DATE(RIGHT(Клиенты_исходные!G242,4),MID(Клиенты_исходные!G242,4,2),LEFT(Клиенты_исходные!G242,2)),DATE(LEFT(Клиенты_исходные!G242,4),MID(Клиенты_исходные!G242,6,2),RIGHT(Клиенты_исходные!G242,2))),Клиенты_исходные!G242)</f>
        <v>46997</v>
      </c>
      <c r="H242">
        <f t="shared" ca="1" si="58"/>
        <v>48</v>
      </c>
      <c r="I242" t="str">
        <f t="shared" si="59"/>
        <v>OK</v>
      </c>
      <c r="J242" t="str">
        <f t="shared" si="60"/>
        <v>OK</v>
      </c>
    </row>
    <row r="243">
      <c r="A243" t="str">
        <f>Клиенты_исходные!A243</f>
        <v>C0242</v>
      </c>
      <c r="B243" t="str">
        <f>PROPER(TRIM(Клиенты_исходные!B243))</f>
        <v xml:space="preserve">Латкин Андрей Владимирович</v>
      </c>
      <c r="C243" s="8">
        <f>IFERROR(IF(ISNUMBER(FIND(".",Клиенты_исходные!C243)),DATE(RIGHT(Клиенты_исходные!C243,4),MID(Клиенты_исходные!C243,4,2),LEFT(Клиенты_исходные!C243,2)),DATE(LEFT(Клиенты_исходные!C243,4),MID(Клиенты_исходные!C243,6,2),RIGHT(Клиенты_исходные!C243,2))),Клиенты_исходные!C243)</f>
        <v>31077</v>
      </c>
      <c r="D243" t="str">
        <f>IF(ISBLANK(Клиенты_исходные!D243),"",IF(LEN(SUBSTITUTE(SUBSTITUTE(SUBSTITUTE(SUBSTITUTE(SUBSTITUTE(Клиенты_исходные!D243," ",""),"-",""),"+",""),"(",""),")",""))=11,"+7 ("&amp;MID(IF(LEFT(SUBSTITUTE(SUBSTITUTE(SUBSTITUTE(SUBSTITUTE(SUBSTITUTE(Клиенты_исходные!D243," ",""),"-",""),"+",""),"(",""),")",""))="8","7"&amp;MID(SUBSTITUTE(SUBSTITUTE(SUBSTITUTE(SUBSTITUTE(SUBSTITUTE(Клиенты_исходные!D243," ",""),"-",""),"+",""),"(",""),")",""),2,10),SUBSTITUTE(SUBSTITUTE(SUBSTITUTE(SUBSTITUTE(SUBSTITUTE(Клиенты_исходные!D243," ",""),"-",""),"+",""),"(",""),")","")),2,3)&amp;") "&amp;MID(IF(LEFT(SUBSTITUTE(SUBSTITUTE(SUBSTITUTE(SUBSTITUTE(SUBSTITUTE(Клиенты_исходные!D243," ",""),"-",""),"+",""),"(",""),")",""))="8","7"&amp;MID(SUBSTITUTE(SUBSTITUTE(SUBSTITUTE(SUBSTITUTE(SUBSTITUTE(Клиенты_исходные!D243," ",""),"-",""),"+",""),"(",""),")",""),2,10),SUBSTITUTE(SUBSTITUTE(SUBSTITUTE(SUBSTITUTE(SUBSTITUTE(Клиенты_исходные!D243," ",""),"-",""),"+",""),"(",""),")","")),5,3)&amp;"-"&amp;MID(IF(LEFT(SUBSTITUTE(SUBSTITUTE(SUBSTITUTE(SUBSTITUTE(SUBSTITUTE(Клиенты_исходные!D243," ",""),"-",""),"+",""),"(",""),")",""))="8","7"&amp;MID(SUBSTITUTE(SUBSTITUTE(SUBSTITUTE(SUBSTITUTE(SUBSTITUTE(Клиенты_исходные!D243," ",""),"-",""),"+",""),"(",""),")",""),2,10),SUBSTITUTE(SUBSTITUTE(SUBSTITUTE(SUBSTITUTE(SUBSTITUTE(Клиенты_исходные!D243," ",""),"-",""),"+",""),"(",""),")","")),8,2)&amp;"-"&amp;MID(IF(LEFT(SUBSTITUTE(SUBSTITUTE(SUBSTITUTE(SUBSTITUTE(SUBSTITUTE(Клиенты_исходные!D243," ",""),"-",""),"+",""),"(",""),")",""))="8","7"&amp;MID(SUBSTITUTE(SUBSTITUTE(SUBSTITUTE(SUBSTITUTE(SUBSTITUTE(Клиенты_исходные!D243," ",""),"-",""),"+",""),"(",""),")",""),2,10),SUBSTITUTE(SUBSTITUTE(SUBSTITUTE(SUBSTITUTE(SUBSTITUTE(Клиенты_исходные!D243," ",""),"-",""),"+",""),"(",""),")","")),10,2),IF(LEN(SUBSTITUTE(SUBSTITUTE(SUBSTITUTE(SUBSTITUTE(SUBSTITUTE(Клиенты_исходные!D243," ",""),"-",""),"+",""),"(",""),")",""))=10,"+7 ("&amp;MID(SUBSTITUTE(SUBSTITUTE(SUBSTITUTE(SUBSTITUTE(SUBSTITUTE(Клиенты_исходные!D243," ",""),"-",""),"+",""),"(",""),")",""),1,3)&amp;") "&amp;MID(SUBSTITUTE(SUBSTITUTE(SUBSTITUTE(SUBSTITUTE(SUBSTITUTE(Клиенты_исходные!D243," ",""),"-",""),"+",""),"(",""),")",""),4,3)&amp;"-"&amp;MID(SUBSTITUTE(SUBSTITUTE(SUBSTITUTE(SUBSTITUTE(SUBSTITUTE(Клиенты_исходные!D243," ",""),"-",""),"+",""),"(",""),")",""),6,2)&amp;"-"&amp;MID(SUBSTITUTE(SUBSTITUTE(SUBSTITUTE(SUBSTITUTE(SUBSTITUTE(Клиенты_исходные!D243," ",""),"-",""),"+",""),"(",""),")",""),8,2),Клиенты_исходные!D243)))</f>
        <v xml:space="preserve">+7 (903) 678-90-12</v>
      </c>
      <c r="E243" t="str">
        <f>IF(ISBLANK(Клиенты_исходные!E243),"",IF(ISNUMBER(FIND(".",MID(Клиенты_исходные!E243,FIND("@",Клиенты_исходные!E243)+1,255))),Клиенты_исходные!E243,IF(ISNUMBER(FIND("gmail",Клиенты_исходные!E243)),Клиенты_исходные!E243&amp;".com",Клиенты_исходные!E243&amp;".ru")))</f>
        <v>latkin@yandex.ru</v>
      </c>
      <c r="F243" t="str">
        <f>IFERROR(VLOOKUP(Клиенты_исходные!F243,Справочники!$J$2:$K$50,2,FALSE),Клиенты_исходные!F243)</f>
        <v>Мурманск</v>
      </c>
      <c r="G243" s="8">
        <f>IFERROR(IF(ISNUMBER(FIND(".",Клиенты_исходные!G243)),DATE(RIGHT(Клиенты_исходные!G243,4),MID(Клиенты_исходные!G243,4,2),LEFT(Клиенты_исходные!G243,2)),DATE(LEFT(Клиенты_исходные!G243,4),MID(Клиенты_исходные!G243,6,2),RIGHT(Клиенты_исходные!G243,2))),Клиенты_исходные!G243)</f>
        <v>47011</v>
      </c>
      <c r="H243">
        <f t="shared" ca="1" si="58"/>
        <v>41</v>
      </c>
      <c r="I243" t="str">
        <f t="shared" si="59"/>
        <v>OK</v>
      </c>
      <c r="J243" t="str">
        <f t="shared" si="60"/>
        <v>OK</v>
      </c>
    </row>
    <row r="244">
      <c r="A244" t="str">
        <f>Клиенты_исходные!A244</f>
        <v>C0243</v>
      </c>
      <c r="B244" t="str">
        <f>PROPER(TRIM(Клиенты_исходные!B244))</f>
        <v xml:space="preserve">Копылова Ольга Павловна</v>
      </c>
      <c r="C244" s="8">
        <f>IFERROR(IF(ISNUMBER(FIND(".",Клиенты_исходные!C244)),DATE(RIGHT(Клиенты_исходные!C244,4),MID(Клиенты_исходные!C244,4,2),LEFT(Клиенты_исходные!C244,2)),DATE(LEFT(Клиенты_исходные!C244,4),MID(Клиенты_исходные!C244,6,2),RIGHT(Клиенты_исходные!C244,2))),Клиенты_исходные!C244)</f>
        <v>33893</v>
      </c>
      <c r="D244" t="str">
        <f>IF(ISBLANK(Клиенты_исходные!D244),"",IF(LEN(SUBSTITUTE(SUBSTITUTE(SUBSTITUTE(SUBSTITUTE(SUBSTITUTE(Клиенты_исходные!D244," ",""),"-",""),"+",""),"(",""),")",""))=11,"+7 ("&amp;MID(IF(LEFT(SUBSTITUTE(SUBSTITUTE(SUBSTITUTE(SUBSTITUTE(SUBSTITUTE(Клиенты_исходные!D244," ",""),"-",""),"+",""),"(",""),")",""))="8","7"&amp;MID(SUBSTITUTE(SUBSTITUTE(SUBSTITUTE(SUBSTITUTE(SUBSTITUTE(Клиенты_исходные!D244," ",""),"-",""),"+",""),"(",""),")",""),2,10),SUBSTITUTE(SUBSTITUTE(SUBSTITUTE(SUBSTITUTE(SUBSTITUTE(Клиенты_исходные!D244," ",""),"-",""),"+",""),"(",""),")","")),2,3)&amp;") "&amp;MID(IF(LEFT(SUBSTITUTE(SUBSTITUTE(SUBSTITUTE(SUBSTITUTE(SUBSTITUTE(Клиенты_исходные!D244," ",""),"-",""),"+",""),"(",""),")",""))="8","7"&amp;MID(SUBSTITUTE(SUBSTITUTE(SUBSTITUTE(SUBSTITUTE(SUBSTITUTE(Клиенты_исходные!D244," ",""),"-",""),"+",""),"(",""),")",""),2,10),SUBSTITUTE(SUBSTITUTE(SUBSTITUTE(SUBSTITUTE(SUBSTITUTE(Клиенты_исходные!D244," ",""),"-",""),"+",""),"(",""),")","")),5,3)&amp;"-"&amp;MID(IF(LEFT(SUBSTITUTE(SUBSTITUTE(SUBSTITUTE(SUBSTITUTE(SUBSTITUTE(Клиенты_исходные!D244," ",""),"-",""),"+",""),"(",""),")",""))="8","7"&amp;MID(SUBSTITUTE(SUBSTITUTE(SUBSTITUTE(SUBSTITUTE(SUBSTITUTE(Клиенты_исходные!D244," ",""),"-",""),"+",""),"(",""),")",""),2,10),SUBSTITUTE(SUBSTITUTE(SUBSTITUTE(SUBSTITUTE(SUBSTITUTE(Клиенты_исходные!D244," ",""),"-",""),"+",""),"(",""),")","")),8,2)&amp;"-"&amp;MID(IF(LEFT(SUBSTITUTE(SUBSTITUTE(SUBSTITUTE(SUBSTITUTE(SUBSTITUTE(Клиенты_исходные!D244," ",""),"-",""),"+",""),"(",""),")",""))="8","7"&amp;MID(SUBSTITUTE(SUBSTITUTE(SUBSTITUTE(SUBSTITUTE(SUBSTITUTE(Клиенты_исходные!D244," ",""),"-",""),"+",""),"(",""),")",""),2,10),SUBSTITUTE(SUBSTITUTE(SUBSTITUTE(SUBSTITUTE(SUBSTITUTE(Клиенты_исходные!D244," ",""),"-",""),"+",""),"(",""),")","")),10,2),IF(LEN(SUBSTITUTE(SUBSTITUTE(SUBSTITUTE(SUBSTITUTE(SUBSTITUTE(Клиенты_исходные!D244," ",""),"-",""),"+",""),"(",""),")",""))=10,"+7 ("&amp;MID(SUBSTITUTE(SUBSTITUTE(SUBSTITUTE(SUBSTITUTE(SUBSTITUTE(Клиенты_исходные!D244," ",""),"-",""),"+",""),"(",""),")",""),1,3)&amp;") "&amp;MID(SUBSTITUTE(SUBSTITUTE(SUBSTITUTE(SUBSTITUTE(SUBSTITUTE(Клиенты_исходные!D244," ",""),"-",""),"+",""),"(",""),")",""),4,3)&amp;"-"&amp;MID(SUBSTITUTE(SUBSTITUTE(SUBSTITUTE(SUBSTITUTE(SUBSTITUTE(Клиенты_исходные!D244," ",""),"-",""),"+",""),"(",""),")",""),6,2)&amp;"-"&amp;MID(SUBSTITUTE(SUBSTITUTE(SUBSTITUTE(SUBSTITUTE(SUBSTITUTE(Клиенты_исходные!D244," ",""),"-",""),"+",""),"(",""),")",""),8,2),Клиенты_исходные!D244)))</f>
        <v xml:space="preserve">+7 (903) 789-01-23</v>
      </c>
      <c r="E244" t="str">
        <f>IF(ISBLANK(Клиенты_исходные!E244),"",IF(ISNUMBER(FIND(".",MID(Клиенты_исходные!E244,FIND("@",Клиенты_исходные!E244)+1,255))),Клиенты_исходные!E244,IF(ISNUMBER(FIND("gmail",Клиенты_исходные!E244)),Клиенты_исходные!E244&amp;".com",Клиенты_исходные!E244&amp;".ru")))</f>
        <v>kopylova@gmail.com</v>
      </c>
      <c r="F244" t="str">
        <f>IFERROR(VLOOKUP(Клиенты_исходные!F244,Справочники!$J$2:$K$50,2,FALSE),Клиенты_исходные!F244)</f>
        <v>Смоленск</v>
      </c>
      <c r="G244" s="8">
        <f>IFERROR(IF(ISNUMBER(FIND(".",Клиенты_исходные!G244)),DATE(RIGHT(Клиенты_исходные!G244,4),MID(Клиенты_исходные!G244,4,2),LEFT(Клиенты_исходные!G244,2)),DATE(LEFT(Клиенты_исходные!G244,4),MID(Клиенты_исходные!G244,6,2),RIGHT(Клиенты_исходные!G244,2))),Клиенты_исходные!G244)</f>
        <v>47011</v>
      </c>
      <c r="H244">
        <f t="shared" ca="1" si="58"/>
        <v>33</v>
      </c>
      <c r="I244" t="str">
        <f t="shared" si="59"/>
        <v>OK</v>
      </c>
      <c r="J244" t="str">
        <f t="shared" si="60"/>
        <v>OK</v>
      </c>
    </row>
    <row r="245">
      <c r="A245" t="str">
        <f>Клиенты_исходные!A245</f>
        <v>C0244</v>
      </c>
      <c r="B245" t="str">
        <f>PROPER(TRIM(Клиенты_исходные!B245))</f>
        <v xml:space="preserve">Селиверстов Игорь Евгеньевич</v>
      </c>
      <c r="C245" s="8">
        <f>IFERROR(IF(ISNUMBER(FIND(".",Клиенты_исходные!C245)),DATE(RIGHT(Клиенты_исходные!C245,4),MID(Клиенты_исходные!C245,4,2),LEFT(Клиенты_исходные!C245,2)),DATE(LEFT(Клиенты_исходные!C245,4),MID(Клиенты_исходные!C245,6,2),RIGHT(Клиенты_исходные!C245,2))),Клиенты_исходные!C245)</f>
        <v>25907</v>
      </c>
      <c r="D245" t="str">
        <f>IF(ISBLANK(Клиенты_исходные!D245),"",IF(LEN(SUBSTITUTE(SUBSTITUTE(SUBSTITUTE(SUBSTITUTE(SUBSTITUTE(Клиенты_исходные!D245," ",""),"-",""),"+",""),"(",""),")",""))=11,"+7 ("&amp;MID(IF(LEFT(SUBSTITUTE(SUBSTITUTE(SUBSTITUTE(SUBSTITUTE(SUBSTITUTE(Клиенты_исходные!D245," ",""),"-",""),"+",""),"(",""),")",""))="8","7"&amp;MID(SUBSTITUTE(SUBSTITUTE(SUBSTITUTE(SUBSTITUTE(SUBSTITUTE(Клиенты_исходные!D245," ",""),"-",""),"+",""),"(",""),")",""),2,10),SUBSTITUTE(SUBSTITUTE(SUBSTITUTE(SUBSTITUTE(SUBSTITUTE(Клиенты_исходные!D245," ",""),"-",""),"+",""),"(",""),")","")),2,3)&amp;") "&amp;MID(IF(LEFT(SUBSTITUTE(SUBSTITUTE(SUBSTITUTE(SUBSTITUTE(SUBSTITUTE(Клиенты_исходные!D245," ",""),"-",""),"+",""),"(",""),")",""))="8","7"&amp;MID(SUBSTITUTE(SUBSTITUTE(SUBSTITUTE(SUBSTITUTE(SUBSTITUTE(Клиенты_исходные!D245," ",""),"-",""),"+",""),"(",""),")",""),2,10),SUBSTITUTE(SUBSTITUTE(SUBSTITUTE(SUBSTITUTE(SUBSTITUTE(Клиенты_исходные!D245," ",""),"-",""),"+",""),"(",""),")","")),5,3)&amp;"-"&amp;MID(IF(LEFT(SUBSTITUTE(SUBSTITUTE(SUBSTITUTE(SUBSTITUTE(SUBSTITUTE(Клиенты_исходные!D245," ",""),"-",""),"+",""),"(",""),")",""))="8","7"&amp;MID(SUBSTITUTE(SUBSTITUTE(SUBSTITUTE(SUBSTITUTE(SUBSTITUTE(Клиенты_исходные!D245," ",""),"-",""),"+",""),"(",""),")",""),2,10),SUBSTITUTE(SUBSTITUTE(SUBSTITUTE(SUBSTITUTE(SUBSTITUTE(Клиенты_исходные!D245," ",""),"-",""),"+",""),"(",""),")","")),8,2)&amp;"-"&amp;MID(IF(LEFT(SUBSTITUTE(SUBSTITUTE(SUBSTITUTE(SUBSTITUTE(SUBSTITUTE(Клиенты_исходные!D245," ",""),"-",""),"+",""),"(",""),")",""))="8","7"&amp;MID(SUBSTITUTE(SUBSTITUTE(SUBSTITUTE(SUBSTITUTE(SUBSTITUTE(Клиенты_исходные!D245," ",""),"-",""),"+",""),"(",""),")",""),2,10),SUBSTITUTE(SUBSTITUTE(SUBSTITUTE(SUBSTITUTE(SUBSTITUTE(Клиенты_исходные!D245," ",""),"-",""),"+",""),"(",""),")","")),10,2),IF(LEN(SUBSTITUTE(SUBSTITUTE(SUBSTITUTE(SUBSTITUTE(SUBSTITUTE(Клиенты_исходные!D245," ",""),"-",""),"+",""),"(",""),")",""))=10,"+7 ("&amp;MID(SUBSTITUTE(SUBSTITUTE(SUBSTITUTE(SUBSTITUTE(SUBSTITUTE(Клиенты_исходные!D245," ",""),"-",""),"+",""),"(",""),")",""),1,3)&amp;") "&amp;MID(SUBSTITUTE(SUBSTITUTE(SUBSTITUTE(SUBSTITUTE(SUBSTITUTE(Клиенты_исходные!D245," ",""),"-",""),"+",""),"(",""),")",""),4,3)&amp;"-"&amp;MID(SUBSTITUTE(SUBSTITUTE(SUBSTITUTE(SUBSTITUTE(SUBSTITUTE(Клиенты_исходные!D245," ",""),"-",""),"+",""),"(",""),")",""),6,2)&amp;"-"&amp;MID(SUBSTITUTE(SUBSTITUTE(SUBSTITUTE(SUBSTITUTE(SUBSTITUTE(Клиенты_исходные!D245," ",""),"-",""),"+",""),"(",""),")",""),8,2),Клиенты_исходные!D245)))</f>
        <v xml:space="preserve">+7 (903) 789-01-23</v>
      </c>
      <c r="E245" t="str">
        <f>IF(ISBLANK(Клиенты_исходные!E245),"",IF(ISNUMBER(FIND(".",MID(Клиенты_исходные!E245,FIND("@",Клиенты_исходные!E245)+1,255))),Клиенты_исходные!E245,IF(ISNUMBER(FIND("gmail",Клиенты_исходные!E245)),Клиенты_исходные!E245&amp;".com",Клиенты_исходные!E245&amp;".ru")))</f>
        <v>seliverstov@mail.ru</v>
      </c>
      <c r="F245" t="str">
        <f>IFERROR(VLOOKUP(Клиенты_исходные!F245,Справочники!$J$2:$K$50,2,FALSE),Клиенты_исходные!F245)</f>
        <v>Тула</v>
      </c>
      <c r="G245" s="8">
        <f>IFERROR(IF(ISNUMBER(FIND(".",Клиенты_исходные!G245)),DATE(RIGHT(Клиенты_исходные!G245,4),MID(Клиенты_исходные!G245,4,2),LEFT(Клиенты_исходные!G245,2)),DATE(LEFT(Клиенты_исходные!G245,4),MID(Клиенты_исходные!G245,6,2),RIGHT(Клиенты_исходные!G245,2))),Клиенты_исходные!G245)</f>
        <v>47027</v>
      </c>
      <c r="H245">
        <f t="shared" ca="1" si="58"/>
        <v>55</v>
      </c>
      <c r="I245" t="str">
        <f t="shared" si="59"/>
        <v>OK</v>
      </c>
      <c r="J245" t="str">
        <f t="shared" si="60"/>
        <v>OK</v>
      </c>
    </row>
    <row r="246">
      <c r="A246" t="str">
        <f>Клиенты_исходные!A246</f>
        <v>C0245</v>
      </c>
      <c r="B246" t="str">
        <f>PROPER(TRIM(Клиенты_исходные!B246))</f>
        <v xml:space="preserve">Гаврикова Мария Николаевна</v>
      </c>
      <c r="C246" s="8">
        <f>IFERROR(IF(ISNUMBER(FIND(".",Клиенты_исходные!C246)),DATE(RIGHT(Клиенты_исходные!C246,4),MID(Клиенты_исходные!C246,4,2),LEFT(Клиенты_исходные!C246,2)),DATE(LEFT(Клиенты_исходные!C246,4),MID(Клиенты_исходные!C246,6,2),RIGHT(Клиенты_исходные!C246,2))),Клиенты_исходные!C246)</f>
        <v>30430</v>
      </c>
      <c r="D246" t="str">
        <f>IF(ISBLANK(Клиенты_исходные!D246),"",IF(LEN(SUBSTITUTE(SUBSTITUTE(SUBSTITUTE(SUBSTITUTE(SUBSTITUTE(Клиенты_исходные!D246," ",""),"-",""),"+",""),"(",""),")",""))=11,"+7 ("&amp;MID(IF(LEFT(SUBSTITUTE(SUBSTITUTE(SUBSTITUTE(SUBSTITUTE(SUBSTITUTE(Клиенты_исходные!D246," ",""),"-",""),"+",""),"(",""),")",""))="8","7"&amp;MID(SUBSTITUTE(SUBSTITUTE(SUBSTITUTE(SUBSTITUTE(SUBSTITUTE(Клиенты_исходные!D246," ",""),"-",""),"+",""),"(",""),")",""),2,10),SUBSTITUTE(SUBSTITUTE(SUBSTITUTE(SUBSTITUTE(SUBSTITUTE(Клиенты_исходные!D246," ",""),"-",""),"+",""),"(",""),")","")),2,3)&amp;") "&amp;MID(IF(LEFT(SUBSTITUTE(SUBSTITUTE(SUBSTITUTE(SUBSTITUTE(SUBSTITUTE(Клиенты_исходные!D246," ",""),"-",""),"+",""),"(",""),")",""))="8","7"&amp;MID(SUBSTITUTE(SUBSTITUTE(SUBSTITUTE(SUBSTITUTE(SUBSTITUTE(Клиенты_исходные!D246," ",""),"-",""),"+",""),"(",""),")",""),2,10),SUBSTITUTE(SUBSTITUTE(SUBSTITUTE(SUBSTITUTE(SUBSTITUTE(Клиенты_исходные!D246," ",""),"-",""),"+",""),"(",""),")","")),5,3)&amp;"-"&amp;MID(IF(LEFT(SUBSTITUTE(SUBSTITUTE(SUBSTITUTE(SUBSTITUTE(SUBSTITUTE(Клиенты_исходные!D246," ",""),"-",""),"+",""),"(",""),")",""))="8","7"&amp;MID(SUBSTITUTE(SUBSTITUTE(SUBSTITUTE(SUBSTITUTE(SUBSTITUTE(Клиенты_исходные!D246," ",""),"-",""),"+",""),"(",""),")",""),2,10),SUBSTITUTE(SUBSTITUTE(SUBSTITUTE(SUBSTITUTE(SUBSTITUTE(Клиенты_исходные!D246," ",""),"-",""),"+",""),"(",""),")","")),8,2)&amp;"-"&amp;MID(IF(LEFT(SUBSTITUTE(SUBSTITUTE(SUBSTITUTE(SUBSTITUTE(SUBSTITUTE(Клиенты_исходные!D246," ",""),"-",""),"+",""),"(",""),")",""))="8","7"&amp;MID(SUBSTITUTE(SUBSTITUTE(SUBSTITUTE(SUBSTITUTE(SUBSTITUTE(Клиенты_исходные!D246," ",""),"-",""),"+",""),"(",""),")",""),2,10),SUBSTITUTE(SUBSTITUTE(SUBSTITUTE(SUBSTITUTE(SUBSTITUTE(Клиенты_исходные!D246," ",""),"-",""),"+",""),"(",""),")","")),10,2),IF(LEN(SUBSTITUTE(SUBSTITUTE(SUBSTITUTE(SUBSTITUTE(SUBSTITUTE(Клиенты_исходные!D246," ",""),"-",""),"+",""),"(",""),")",""))=10,"+7 ("&amp;MID(SUBSTITUTE(SUBSTITUTE(SUBSTITUTE(SUBSTITUTE(SUBSTITUTE(Клиенты_исходные!D246," ",""),"-",""),"+",""),"(",""),")",""),1,3)&amp;") "&amp;MID(SUBSTITUTE(SUBSTITUTE(SUBSTITUTE(SUBSTITUTE(SUBSTITUTE(Клиенты_исходные!D246," ",""),"-",""),"+",""),"(",""),")",""),4,3)&amp;"-"&amp;MID(SUBSTITUTE(SUBSTITUTE(SUBSTITUTE(SUBSTITUTE(SUBSTITUTE(Клиенты_исходные!D246," ",""),"-",""),"+",""),"(",""),")",""),6,2)&amp;"-"&amp;MID(SUBSTITUTE(SUBSTITUTE(SUBSTITUTE(SUBSTITUTE(SUBSTITUTE(Клиенты_исходные!D246," ",""),"-",""),"+",""),"(",""),")",""),8,2),Клиенты_исходные!D246)))</f>
        <v xml:space="preserve">+7 (903) 789-01-23</v>
      </c>
      <c r="E246" t="str">
        <f>IF(ISBLANK(Клиенты_исходные!E246),"",IF(ISNUMBER(FIND(".",MID(Клиенты_исходные!E246,FIND("@",Клиенты_исходные!E246)+1,255))),Клиенты_исходные!E246,IF(ISNUMBER(FIND("gmail",Клиенты_исходные!E246)),Клиенты_исходные!E246&amp;".com",Клиенты_исходные!E246&amp;".ru")))</f>
        <v>gavrikova@yandex.ru</v>
      </c>
      <c r="F246" t="str">
        <f>IFERROR(VLOOKUP(Клиенты_исходные!F246,Справочники!$J$2:$K$50,2,FALSE),Клиенты_исходные!F246)</f>
        <v>Калуга</v>
      </c>
      <c r="G246" s="8">
        <f>IFERROR(IF(ISNUMBER(FIND(".",Клиенты_исходные!G246)),DATE(RIGHT(Клиенты_исходные!G246,4),MID(Клиенты_исходные!G246,4,2),LEFT(Клиенты_исходные!G246,2)),DATE(LEFT(Клиенты_исходные!G246,4),MID(Клиенты_исходные!G246,6,2),RIGHT(Клиенты_исходные!G246,2))),Клиенты_исходные!G246)</f>
        <v>47036</v>
      </c>
      <c r="H246">
        <f t="shared" ca="1" si="58"/>
        <v>43</v>
      </c>
      <c r="I246" t="str">
        <f t="shared" si="59"/>
        <v>OK</v>
      </c>
      <c r="J246" t="str">
        <f t="shared" si="60"/>
        <v>OK</v>
      </c>
    </row>
    <row r="247">
      <c r="A247" t="str">
        <f>Клиенты_исходные!A247</f>
        <v>C0246</v>
      </c>
      <c r="B247" t="str">
        <f>PROPER(TRIM(Клиенты_исходные!B247))</f>
        <v xml:space="preserve">Таратухин Денис Павлович</v>
      </c>
      <c r="C247" s="8">
        <f>IFERROR(IF(ISNUMBER(FIND(".",Клиенты_исходные!C247)),DATE(RIGHT(Клиенты_исходные!C247,4),MID(Клиенты_исходные!C247,4,2),LEFT(Клиенты_исходные!C247,2)),DATE(LEFT(Клиенты_исходные!C247,4),MID(Клиенты_исходные!C247,6,2),RIGHT(Клиенты_исходные!C247,2))),Клиенты_исходные!C247)</f>
        <v>32373</v>
      </c>
      <c r="D247" t="str">
        <f>IF(ISBLANK(Клиенты_исходные!D247),"",IF(LEN(SUBSTITUTE(SUBSTITUTE(SUBSTITUTE(SUBSTITUTE(SUBSTITUTE(Клиенты_исходные!D247," ",""),"-",""),"+",""),"(",""),")",""))=11,"+7 ("&amp;MID(IF(LEFT(SUBSTITUTE(SUBSTITUTE(SUBSTITUTE(SUBSTITUTE(SUBSTITUTE(Клиенты_исходные!D247," ",""),"-",""),"+",""),"(",""),")",""))="8","7"&amp;MID(SUBSTITUTE(SUBSTITUTE(SUBSTITUTE(SUBSTITUTE(SUBSTITUTE(Клиенты_исходные!D247," ",""),"-",""),"+",""),"(",""),")",""),2,10),SUBSTITUTE(SUBSTITUTE(SUBSTITUTE(SUBSTITUTE(SUBSTITUTE(Клиенты_исходные!D247," ",""),"-",""),"+",""),"(",""),")","")),2,3)&amp;") "&amp;MID(IF(LEFT(SUBSTITUTE(SUBSTITUTE(SUBSTITUTE(SUBSTITUTE(SUBSTITUTE(Клиенты_исходные!D247," ",""),"-",""),"+",""),"(",""),")",""))="8","7"&amp;MID(SUBSTITUTE(SUBSTITUTE(SUBSTITUTE(SUBSTITUTE(SUBSTITUTE(Клиенты_исходные!D247," ",""),"-",""),"+",""),"(",""),")",""),2,10),SUBSTITUTE(SUBSTITUTE(SUBSTITUTE(SUBSTITUTE(SUBSTITUTE(Клиенты_исходные!D247," ",""),"-",""),"+",""),"(",""),")","")),5,3)&amp;"-"&amp;MID(IF(LEFT(SUBSTITUTE(SUBSTITUTE(SUBSTITUTE(SUBSTITUTE(SUBSTITUTE(Клиенты_исходные!D247," ",""),"-",""),"+",""),"(",""),")",""))="8","7"&amp;MID(SUBSTITUTE(SUBSTITUTE(SUBSTITUTE(SUBSTITUTE(SUBSTITUTE(Клиенты_исходные!D247," ",""),"-",""),"+",""),"(",""),")",""),2,10),SUBSTITUTE(SUBSTITUTE(SUBSTITUTE(SUBSTITUTE(SUBSTITUTE(Клиенты_исходные!D247," ",""),"-",""),"+",""),"(",""),")","")),8,2)&amp;"-"&amp;MID(IF(LEFT(SUBSTITUTE(SUBSTITUTE(SUBSTITUTE(SUBSTITUTE(SUBSTITUTE(Клиенты_исходные!D247," ",""),"-",""),"+",""),"(",""),")",""))="8","7"&amp;MID(SUBSTITUTE(SUBSTITUTE(SUBSTITUTE(SUBSTITUTE(SUBSTITUTE(Клиенты_исходные!D247," ",""),"-",""),"+",""),"(",""),")",""),2,10),SUBSTITUTE(SUBSTITUTE(SUBSTITUTE(SUBSTITUTE(SUBSTITUTE(Клиенты_исходные!D247," ",""),"-",""),"+",""),"(",""),")","")),10,2),IF(LEN(SUBSTITUTE(SUBSTITUTE(SUBSTITUTE(SUBSTITUTE(SUBSTITUTE(Клиенты_исходные!D247," ",""),"-",""),"+",""),"(",""),")",""))=10,"+7 ("&amp;MID(SUBSTITUTE(SUBSTITUTE(SUBSTITUTE(SUBSTITUTE(SUBSTITUTE(Клиенты_исходные!D247," ",""),"-",""),"+",""),"(",""),")",""),1,3)&amp;") "&amp;MID(SUBSTITUTE(SUBSTITUTE(SUBSTITUTE(SUBSTITUTE(SUBSTITUTE(Клиенты_исходные!D247," ",""),"-",""),"+",""),"(",""),")",""),4,3)&amp;"-"&amp;MID(SUBSTITUTE(SUBSTITUTE(SUBSTITUTE(SUBSTITUTE(SUBSTITUTE(Клиенты_исходные!D247," ",""),"-",""),"+",""),"(",""),")",""),6,2)&amp;"-"&amp;MID(SUBSTITUTE(SUBSTITUTE(SUBSTITUTE(SUBSTITUTE(SUBSTITUTE(Клиенты_исходные!D247," ",""),"-",""),"+",""),"(",""),")",""),8,2),Клиенты_исходные!D247)))</f>
        <v xml:space="preserve">+7 (903) 890-12-34</v>
      </c>
      <c r="E247" t="str">
        <f>IF(ISBLANK(Клиенты_исходные!E247),"",IF(ISNUMBER(FIND(".",MID(Клиенты_исходные!E247,FIND("@",Клиенты_исходные!E247)+1,255))),Клиенты_исходные!E247,IF(ISNUMBER(FIND("gmail",Клиенты_исходные!E247)),Клиенты_исходные!E247&amp;".com",Клиенты_исходные!E247&amp;".ru")))</f>
        <v>taratuhin@gmail.com</v>
      </c>
      <c r="F247" t="str">
        <f>IFERROR(VLOOKUP(Клиенты_исходные!F247,Справочники!$J$2:$K$50,2,FALSE),Клиенты_исходные!F247)</f>
        <v>Владикавказ</v>
      </c>
      <c r="G247" s="8">
        <f>IFERROR(IF(ISNUMBER(FIND(".",Клиенты_исходные!G247)),DATE(RIGHT(Клиенты_исходные!G247,4),MID(Клиенты_исходные!G247,4,2),LEFT(Клиенты_исходные!G247,2)),DATE(LEFT(Клиенты_исходные!G247,4),MID(Клиенты_исходные!G247,6,2),RIGHT(Клиенты_исходные!G247,2))),Клиенты_исходные!G247)</f>
        <v>47036</v>
      </c>
      <c r="H247">
        <f t="shared" ca="1" si="58"/>
        <v>38</v>
      </c>
      <c r="I247" t="str">
        <f t="shared" si="59"/>
        <v>OK</v>
      </c>
      <c r="J247" t="str">
        <f t="shared" si="60"/>
        <v>OK</v>
      </c>
    </row>
    <row r="248">
      <c r="A248" t="str">
        <f>Клиенты_исходные!A248</f>
        <v>C0247</v>
      </c>
      <c r="B248" t="str">
        <f>PROPER(TRIM(Клиенты_исходные!B248))</f>
        <v xml:space="preserve">Киселева Ирина Степановна</v>
      </c>
      <c r="C248" s="8">
        <f>IFERROR(IF(ISNUMBER(FIND(".",Клиенты_исходные!C248)),DATE(RIGHT(Клиенты_исходные!C248,4),MID(Клиенты_исходные!C248,4,2),LEFT(Клиенты_исходные!C248,2)),DATE(LEFT(Клиенты_исходные!C248,4),MID(Клиенты_исходные!C248,6,2),RIGHT(Клиенты_исходные!C248,2))),Клиенты_исходные!C248)</f>
        <v>27912</v>
      </c>
      <c r="D248" t="str">
        <f>IF(ISBLANK(Клиенты_исходные!D248),"",IF(LEN(SUBSTITUTE(SUBSTITUTE(SUBSTITUTE(SUBSTITUTE(SUBSTITUTE(Клиенты_исходные!D248," ",""),"-",""),"+",""),"(",""),")",""))=11,"+7 ("&amp;MID(IF(LEFT(SUBSTITUTE(SUBSTITUTE(SUBSTITUTE(SUBSTITUTE(SUBSTITUTE(Клиенты_исходные!D248," ",""),"-",""),"+",""),"(",""),")",""))="8","7"&amp;MID(SUBSTITUTE(SUBSTITUTE(SUBSTITUTE(SUBSTITUTE(SUBSTITUTE(Клиенты_исходные!D248," ",""),"-",""),"+",""),"(",""),")",""),2,10),SUBSTITUTE(SUBSTITUTE(SUBSTITUTE(SUBSTITUTE(SUBSTITUTE(Клиенты_исходные!D248," ",""),"-",""),"+",""),"(",""),")","")),2,3)&amp;") "&amp;MID(IF(LEFT(SUBSTITUTE(SUBSTITUTE(SUBSTITUTE(SUBSTITUTE(SUBSTITUTE(Клиенты_исходные!D248," ",""),"-",""),"+",""),"(",""),")",""))="8","7"&amp;MID(SUBSTITUTE(SUBSTITUTE(SUBSTITUTE(SUBSTITUTE(SUBSTITUTE(Клиенты_исходные!D248," ",""),"-",""),"+",""),"(",""),")",""),2,10),SUBSTITUTE(SUBSTITUTE(SUBSTITUTE(SUBSTITUTE(SUBSTITUTE(Клиенты_исходные!D248," ",""),"-",""),"+",""),"(",""),")","")),5,3)&amp;"-"&amp;MID(IF(LEFT(SUBSTITUTE(SUBSTITUTE(SUBSTITUTE(SUBSTITUTE(SUBSTITUTE(Клиенты_исходные!D248," ",""),"-",""),"+",""),"(",""),")",""))="8","7"&amp;MID(SUBSTITUTE(SUBSTITUTE(SUBSTITUTE(SUBSTITUTE(SUBSTITUTE(Клиенты_исходные!D248," ",""),"-",""),"+",""),"(",""),")",""),2,10),SUBSTITUTE(SUBSTITUTE(SUBSTITUTE(SUBSTITUTE(SUBSTITUTE(Клиенты_исходные!D248," ",""),"-",""),"+",""),"(",""),")","")),8,2)&amp;"-"&amp;MID(IF(LEFT(SUBSTITUTE(SUBSTITUTE(SUBSTITUTE(SUBSTITUTE(SUBSTITUTE(Клиенты_исходные!D248," ",""),"-",""),"+",""),"(",""),")",""))="8","7"&amp;MID(SUBSTITUTE(SUBSTITUTE(SUBSTITUTE(SUBSTITUTE(SUBSTITUTE(Клиенты_исходные!D248," ",""),"-",""),"+",""),"(",""),")",""),2,10),SUBSTITUTE(SUBSTITUTE(SUBSTITUTE(SUBSTITUTE(SUBSTITUTE(Клиенты_исходные!D248," ",""),"-",""),"+",""),"(",""),")","")),10,2),IF(LEN(SUBSTITUTE(SUBSTITUTE(SUBSTITUTE(SUBSTITUTE(SUBSTITUTE(Клиенты_исходные!D248," ",""),"-",""),"+",""),"(",""),")",""))=10,"+7 ("&amp;MID(SUBSTITUTE(SUBSTITUTE(SUBSTITUTE(SUBSTITUTE(SUBSTITUTE(Клиенты_исходные!D248," ",""),"-",""),"+",""),"(",""),")",""),1,3)&amp;") "&amp;MID(SUBSTITUTE(SUBSTITUTE(SUBSTITUTE(SUBSTITUTE(SUBSTITUTE(Клиенты_исходные!D248," ",""),"-",""),"+",""),"(",""),")",""),4,3)&amp;"-"&amp;MID(SUBSTITUTE(SUBSTITUTE(SUBSTITUTE(SUBSTITUTE(SUBSTITUTE(Клиенты_исходные!D248," ",""),"-",""),"+",""),"(",""),")",""),6,2)&amp;"-"&amp;MID(SUBSTITUTE(SUBSTITUTE(SUBSTITUTE(SUBSTITUTE(SUBSTITUTE(Клиенты_исходные!D248," ",""),"-",""),"+",""),"(",""),")",""),8,2),Клиенты_исходные!D248)))</f>
        <v xml:space="preserve">+7 (903) 890-12-34</v>
      </c>
      <c r="E248" t="str">
        <f>IF(ISBLANK(Клиенты_исходные!E248),"",IF(ISNUMBER(FIND(".",MID(Клиенты_исходные!E248,FIND("@",Клиенты_исходные!E248)+1,255))),Клиенты_исходные!E248,IF(ISNUMBER(FIND("gmail",Клиенты_исходные!E248)),Клиенты_исходные!E248&amp;".com",Клиенты_исходные!E248&amp;".ru")))</f>
        <v>kiseleva@mail.ru</v>
      </c>
      <c r="F248" t="str">
        <f>IFERROR(VLOOKUP(Клиенты_исходные!F248,Справочники!$J$2:$K$50,2,FALSE),Клиенты_исходные!F248)</f>
        <v>Смоленск</v>
      </c>
      <c r="G248" s="8">
        <f>IFERROR(IF(ISNUMBER(FIND(".",Клиенты_исходные!G248)),DATE(RIGHT(Клиенты_исходные!G248,4),MID(Клиенты_исходные!G248,4,2),LEFT(Клиенты_исходные!G248,2)),DATE(LEFT(Клиенты_исходные!G248,4),MID(Клиенты_исходные!G248,6,2),RIGHT(Клиенты_исходные!G248,2))),Клиенты_исходные!G248)</f>
        <v>47058</v>
      </c>
      <c r="H248">
        <f t="shared" ca="1" si="58"/>
        <v>50</v>
      </c>
      <c r="I248" t="str">
        <f t="shared" si="59"/>
        <v>OK</v>
      </c>
      <c r="J248" t="str">
        <f t="shared" si="60"/>
        <v>OK</v>
      </c>
    </row>
    <row r="249">
      <c r="A249" t="str">
        <f>Клиенты_исходные!A249</f>
        <v>C0248</v>
      </c>
      <c r="B249" t="str">
        <f>PROPER(TRIM(Клиенты_исходные!B249))</f>
        <v xml:space="preserve">Хохлов Алексей Иванович</v>
      </c>
      <c r="C249" s="8">
        <f>IFERROR(IF(ISNUMBER(FIND(".",Клиенты_исходные!C249)),DATE(RIGHT(Клиенты_исходные!C249,4),MID(Клиенты_исходные!C249,4,2),LEFT(Клиенты_исходные!C249,2)),DATE(LEFT(Клиенты_исходные!C249,4),MID(Клиенты_исходные!C249,6,2),RIGHT(Клиенты_исходные!C249,2))),Клиенты_исходные!C249)</f>
        <v>31000</v>
      </c>
      <c r="D249" t="str">
        <f>IF(ISBLANK(Клиенты_исходные!D249),"",IF(LEN(SUBSTITUTE(SUBSTITUTE(SUBSTITUTE(SUBSTITUTE(SUBSTITUTE(Клиенты_исходные!D249," ",""),"-",""),"+",""),"(",""),")",""))=11,"+7 ("&amp;MID(IF(LEFT(SUBSTITUTE(SUBSTITUTE(SUBSTITUTE(SUBSTITUTE(SUBSTITUTE(Клиенты_исходные!D249," ",""),"-",""),"+",""),"(",""),")",""))="8","7"&amp;MID(SUBSTITUTE(SUBSTITUTE(SUBSTITUTE(SUBSTITUTE(SUBSTITUTE(Клиенты_исходные!D249," ",""),"-",""),"+",""),"(",""),")",""),2,10),SUBSTITUTE(SUBSTITUTE(SUBSTITUTE(SUBSTITUTE(SUBSTITUTE(Клиенты_исходные!D249," ",""),"-",""),"+",""),"(",""),")","")),2,3)&amp;") "&amp;MID(IF(LEFT(SUBSTITUTE(SUBSTITUTE(SUBSTITUTE(SUBSTITUTE(SUBSTITUTE(Клиенты_исходные!D249," ",""),"-",""),"+",""),"(",""),")",""))="8","7"&amp;MID(SUBSTITUTE(SUBSTITUTE(SUBSTITUTE(SUBSTITUTE(SUBSTITUTE(Клиенты_исходные!D249," ",""),"-",""),"+",""),"(",""),")",""),2,10),SUBSTITUTE(SUBSTITUTE(SUBSTITUTE(SUBSTITUTE(SUBSTITUTE(Клиенты_исходные!D249," ",""),"-",""),"+",""),"(",""),")","")),5,3)&amp;"-"&amp;MID(IF(LEFT(SUBSTITUTE(SUBSTITUTE(SUBSTITUTE(SUBSTITUTE(SUBSTITUTE(Клиенты_исходные!D249," ",""),"-",""),"+",""),"(",""),")",""))="8","7"&amp;MID(SUBSTITUTE(SUBSTITUTE(SUBSTITUTE(SUBSTITUTE(SUBSTITUTE(Клиенты_исходные!D249," ",""),"-",""),"+",""),"(",""),")",""),2,10),SUBSTITUTE(SUBSTITUTE(SUBSTITUTE(SUBSTITUTE(SUBSTITUTE(Клиенты_исходные!D249," ",""),"-",""),"+",""),"(",""),")","")),8,2)&amp;"-"&amp;MID(IF(LEFT(SUBSTITUTE(SUBSTITUTE(SUBSTITUTE(SUBSTITUTE(SUBSTITUTE(Клиенты_исходные!D249," ",""),"-",""),"+",""),"(",""),")",""))="8","7"&amp;MID(SUBSTITUTE(SUBSTITUTE(SUBSTITUTE(SUBSTITUTE(SUBSTITUTE(Клиенты_исходные!D249," ",""),"-",""),"+",""),"(",""),")",""),2,10),SUBSTITUTE(SUBSTITUTE(SUBSTITUTE(SUBSTITUTE(SUBSTITUTE(Клиенты_исходные!D249," ",""),"-",""),"+",""),"(",""),")","")),10,2),IF(LEN(SUBSTITUTE(SUBSTITUTE(SUBSTITUTE(SUBSTITUTE(SUBSTITUTE(Клиенты_исходные!D249," ",""),"-",""),"+",""),"(",""),")",""))=10,"+7 ("&amp;MID(SUBSTITUTE(SUBSTITUTE(SUBSTITUTE(SUBSTITUTE(SUBSTITUTE(Клиенты_исходные!D249," ",""),"-",""),"+",""),"(",""),")",""),1,3)&amp;") "&amp;MID(SUBSTITUTE(SUBSTITUTE(SUBSTITUTE(SUBSTITUTE(SUBSTITUTE(Клиенты_исходные!D249," ",""),"-",""),"+",""),"(",""),")",""),4,3)&amp;"-"&amp;MID(SUBSTITUTE(SUBSTITUTE(SUBSTITUTE(SUBSTITUTE(SUBSTITUTE(Клиенты_исходные!D249," ",""),"-",""),"+",""),"(",""),")",""),6,2)&amp;"-"&amp;MID(SUBSTITUTE(SUBSTITUTE(SUBSTITUTE(SUBSTITUTE(SUBSTITUTE(Клиенты_исходные!D249," ",""),"-",""),"+",""),"(",""),")",""),8,2),Клиенты_исходные!D249)))</f>
        <v xml:space="preserve">+7 (903) 890-12-34</v>
      </c>
      <c r="E249" t="str">
        <f>IF(ISBLANK(Клиенты_исходные!E249),"",IF(ISNUMBER(FIND(".",MID(Клиенты_исходные!E249,FIND("@",Клиенты_исходные!E249)+1,255))),Клиенты_исходные!E249,IF(ISNUMBER(FIND("gmail",Клиенты_исходные!E249)),Клиенты_исходные!E249&amp;".com",Клиенты_исходные!E249&amp;".ru")))</f>
        <v>hohlov@yandex.ru</v>
      </c>
      <c r="F249" t="str">
        <f>IFERROR(VLOOKUP(Клиенты_исходные!F249,Справочники!$J$2:$K$50,2,FALSE),Клиенты_исходные!F249)</f>
        <v>Белгород</v>
      </c>
      <c r="G249" s="8">
        <f>IFERROR(IF(ISNUMBER(FIND(".",Клиенты_исходные!G249)),DATE(RIGHT(Клиенты_исходные!G249,4),MID(Клиенты_исходные!G249,4,2),LEFT(Клиенты_исходные!G249,2)),DATE(LEFT(Клиенты_исходные!G249,4),MID(Клиенты_исходные!G249,6,2),RIGHT(Клиенты_исходные!G249,2))),Клиенты_исходные!G249)</f>
        <v>47072</v>
      </c>
      <c r="H249">
        <f t="shared" ca="1" si="58"/>
        <v>41</v>
      </c>
      <c r="I249" t="str">
        <f t="shared" si="59"/>
        <v>OK</v>
      </c>
      <c r="J249" t="str">
        <f t="shared" si="60"/>
        <v>OK</v>
      </c>
    </row>
    <row r="250">
      <c r="A250" t="str">
        <f>Клиенты_исходные!A250</f>
        <v>C0249</v>
      </c>
      <c r="B250" t="str">
        <f>PROPER(TRIM(Клиенты_исходные!B250))</f>
        <v xml:space="preserve">Мельник Елена Владимировна</v>
      </c>
      <c r="C250" s="8">
        <f>IFERROR(IF(ISNUMBER(FIND(".",Клиенты_исходные!C250)),DATE(RIGHT(Клиенты_исходные!C250,4),MID(Клиенты_исходные!C250,4,2),LEFT(Клиенты_исходные!C250,2)),DATE(LEFT(Клиенты_исходные!C250,4),MID(Клиенты_исходные!C250,6,2),RIGHT(Клиенты_исходные!C250,2))),Клиенты_исходные!C250)</f>
        <v>34221</v>
      </c>
      <c r="D250" t="str">
        <f>IF(ISBLANK(Клиенты_исходные!D250),"",IF(LEN(SUBSTITUTE(SUBSTITUTE(SUBSTITUTE(SUBSTITUTE(SUBSTITUTE(Клиенты_исходные!D250," ",""),"-",""),"+",""),"(",""),")",""))=11,"+7 ("&amp;MID(IF(LEFT(SUBSTITUTE(SUBSTITUTE(SUBSTITUTE(SUBSTITUTE(SUBSTITUTE(Клиенты_исходные!D250," ",""),"-",""),"+",""),"(",""),")",""))="8","7"&amp;MID(SUBSTITUTE(SUBSTITUTE(SUBSTITUTE(SUBSTITUTE(SUBSTITUTE(Клиенты_исходные!D250," ",""),"-",""),"+",""),"(",""),")",""),2,10),SUBSTITUTE(SUBSTITUTE(SUBSTITUTE(SUBSTITUTE(SUBSTITUTE(Клиенты_исходные!D250," ",""),"-",""),"+",""),"(",""),")","")),2,3)&amp;") "&amp;MID(IF(LEFT(SUBSTITUTE(SUBSTITUTE(SUBSTITUTE(SUBSTITUTE(SUBSTITUTE(Клиенты_исходные!D250," ",""),"-",""),"+",""),"(",""),")",""))="8","7"&amp;MID(SUBSTITUTE(SUBSTITUTE(SUBSTITUTE(SUBSTITUTE(SUBSTITUTE(Клиенты_исходные!D250," ",""),"-",""),"+",""),"(",""),")",""),2,10),SUBSTITUTE(SUBSTITUTE(SUBSTITUTE(SUBSTITUTE(SUBSTITUTE(Клиенты_исходные!D250," ",""),"-",""),"+",""),"(",""),")","")),5,3)&amp;"-"&amp;MID(IF(LEFT(SUBSTITUTE(SUBSTITUTE(SUBSTITUTE(SUBSTITUTE(SUBSTITUTE(Клиенты_исходные!D250," ",""),"-",""),"+",""),"(",""),")",""))="8","7"&amp;MID(SUBSTITUTE(SUBSTITUTE(SUBSTITUTE(SUBSTITUTE(SUBSTITUTE(Клиенты_исходные!D250," ",""),"-",""),"+",""),"(",""),")",""),2,10),SUBSTITUTE(SUBSTITUTE(SUBSTITUTE(SUBSTITUTE(SUBSTITUTE(Клиенты_исходные!D250," ",""),"-",""),"+",""),"(",""),")","")),8,2)&amp;"-"&amp;MID(IF(LEFT(SUBSTITUTE(SUBSTITUTE(SUBSTITUTE(SUBSTITUTE(SUBSTITUTE(Клиенты_исходные!D250," ",""),"-",""),"+",""),"(",""),")",""))="8","7"&amp;MID(SUBSTITUTE(SUBSTITUTE(SUBSTITUTE(SUBSTITUTE(SUBSTITUTE(Клиенты_исходные!D250," ",""),"-",""),"+",""),"(",""),")",""),2,10),SUBSTITUTE(SUBSTITUTE(SUBSTITUTE(SUBSTITUTE(SUBSTITUTE(Клиенты_исходные!D250," ",""),"-",""),"+",""),"(",""),")","")),10,2),IF(LEN(SUBSTITUTE(SUBSTITUTE(SUBSTITUTE(SUBSTITUTE(SUBSTITUTE(Клиенты_исходные!D250," ",""),"-",""),"+",""),"(",""),")",""))=10,"+7 ("&amp;MID(SUBSTITUTE(SUBSTITUTE(SUBSTITUTE(SUBSTITUTE(SUBSTITUTE(Клиенты_исходные!D250," ",""),"-",""),"+",""),"(",""),")",""),1,3)&amp;") "&amp;MID(SUBSTITUTE(SUBSTITUTE(SUBSTITUTE(SUBSTITUTE(SUBSTITUTE(Клиенты_исходные!D250," ",""),"-",""),"+",""),"(",""),")",""),4,3)&amp;"-"&amp;MID(SUBSTITUTE(SUBSTITUTE(SUBSTITUTE(SUBSTITUTE(SUBSTITUTE(Клиенты_исходные!D250," ",""),"-",""),"+",""),"(",""),")",""),6,2)&amp;"-"&amp;MID(SUBSTITUTE(SUBSTITUTE(SUBSTITUTE(SUBSTITUTE(SUBSTITUTE(Клиенты_исходные!D250," ",""),"-",""),"+",""),"(",""),")",""),8,2),Клиенты_исходные!D250)))</f>
        <v xml:space="preserve">+7 (903) 901-23-45</v>
      </c>
      <c r="E250" t="str">
        <f>IF(ISBLANK(Клиенты_исходные!E250),"",IF(ISNUMBER(FIND(".",MID(Клиенты_исходные!E250,FIND("@",Клиенты_исходные!E250)+1,255))),Клиенты_исходные!E250,IF(ISNUMBER(FIND("gmail",Клиенты_исходные!E250)),Клиенты_исходные!E250&amp;".com",Клиенты_исходные!E250&amp;".ru")))</f>
        <v>melnik@gmail.com</v>
      </c>
      <c r="F250" t="str">
        <f>IFERROR(VLOOKUP(Клиенты_исходные!F250,Справочники!$J$2:$K$50,2,FALSE),Клиенты_исходные!F250)</f>
        <v>Мурманск</v>
      </c>
      <c r="G250" s="8">
        <f>IFERROR(IF(ISNUMBER(FIND(".",Клиенты_исходные!G250)),DATE(RIGHT(Клиенты_исходные!G250,4),MID(Клиенты_исходные!G250,4,2),LEFT(Клиенты_исходные!G250,2)),DATE(LEFT(Клиенты_исходные!G250,4),MID(Клиенты_исходные!G250,6,2),RIGHT(Клиенты_исходные!G250,2))),Клиенты_исходные!G250)</f>
        <v>47072</v>
      </c>
      <c r="H250">
        <f t="shared" ca="1" si="58"/>
        <v>33</v>
      </c>
      <c r="I250" t="str">
        <f t="shared" si="59"/>
        <v>OK</v>
      </c>
      <c r="J250" t="str">
        <f t="shared" si="60"/>
        <v>OK</v>
      </c>
    </row>
    <row r="251">
      <c r="A251" t="str">
        <f>Клиенты_исходные!A251</f>
        <v>C0250</v>
      </c>
      <c r="B251" t="str">
        <f>PROPER(TRIM(Клиенты_исходные!B251))</f>
        <v xml:space="preserve">Кашкаров Илья Алексеевич</v>
      </c>
      <c r="C251" s="8">
        <f>IFERROR(IF(ISNUMBER(FIND(".",Клиенты_исходные!C251)),DATE(RIGHT(Клиенты_исходные!C251,4),MID(Клиенты_исходные!C251,4,2),LEFT(Клиенты_исходные!C251,2)),DATE(LEFT(Клиенты_исходные!C251,4),MID(Клиенты_исходные!C251,6,2),RIGHT(Клиенты_исходные!C251,2))),Клиенты_исходные!C251)</f>
        <v>29211</v>
      </c>
      <c r="D251" t="str">
        <f>IF(ISBLANK(Клиенты_исходные!D251),"",IF(LEN(SUBSTITUTE(SUBSTITUTE(SUBSTITUTE(SUBSTITUTE(SUBSTITUTE(Клиенты_исходные!D251," ",""),"-",""),"+",""),"(",""),")",""))=11,"+7 ("&amp;MID(IF(LEFT(SUBSTITUTE(SUBSTITUTE(SUBSTITUTE(SUBSTITUTE(SUBSTITUTE(Клиенты_исходные!D251," ",""),"-",""),"+",""),"(",""),")",""))="8","7"&amp;MID(SUBSTITUTE(SUBSTITUTE(SUBSTITUTE(SUBSTITUTE(SUBSTITUTE(Клиенты_исходные!D251," ",""),"-",""),"+",""),"(",""),")",""),2,10),SUBSTITUTE(SUBSTITUTE(SUBSTITUTE(SUBSTITUTE(SUBSTITUTE(Клиенты_исходные!D251," ",""),"-",""),"+",""),"(",""),")","")),2,3)&amp;") "&amp;MID(IF(LEFT(SUBSTITUTE(SUBSTITUTE(SUBSTITUTE(SUBSTITUTE(SUBSTITUTE(Клиенты_исходные!D251," ",""),"-",""),"+",""),"(",""),")",""))="8","7"&amp;MID(SUBSTITUTE(SUBSTITUTE(SUBSTITUTE(SUBSTITUTE(SUBSTITUTE(Клиенты_исходные!D251," ",""),"-",""),"+",""),"(",""),")",""),2,10),SUBSTITUTE(SUBSTITUTE(SUBSTITUTE(SUBSTITUTE(SUBSTITUTE(Клиенты_исходные!D251," ",""),"-",""),"+",""),"(",""),")","")),5,3)&amp;"-"&amp;MID(IF(LEFT(SUBSTITUTE(SUBSTITUTE(SUBSTITUTE(SUBSTITUTE(SUBSTITUTE(Клиенты_исходные!D251," ",""),"-",""),"+",""),"(",""),")",""))="8","7"&amp;MID(SUBSTITUTE(SUBSTITUTE(SUBSTITUTE(SUBSTITUTE(SUBSTITUTE(Клиенты_исходные!D251," ",""),"-",""),"+",""),"(",""),")",""),2,10),SUBSTITUTE(SUBSTITUTE(SUBSTITUTE(SUBSTITUTE(SUBSTITUTE(Клиенты_исходные!D251," ",""),"-",""),"+",""),"(",""),")","")),8,2)&amp;"-"&amp;MID(IF(LEFT(SUBSTITUTE(SUBSTITUTE(SUBSTITUTE(SUBSTITUTE(SUBSTITUTE(Клиенты_исходные!D251," ",""),"-",""),"+",""),"(",""),")",""))="8","7"&amp;MID(SUBSTITUTE(SUBSTITUTE(SUBSTITUTE(SUBSTITUTE(SUBSTITUTE(Клиенты_исходные!D251," ",""),"-",""),"+",""),"(",""),")",""),2,10),SUBSTITUTE(SUBSTITUTE(SUBSTITUTE(SUBSTITUTE(SUBSTITUTE(Клиенты_исходные!D251," ",""),"-",""),"+",""),"(",""),")","")),10,2),IF(LEN(SUBSTITUTE(SUBSTITUTE(SUBSTITUTE(SUBSTITUTE(SUBSTITUTE(Клиенты_исходные!D251," ",""),"-",""),"+",""),"(",""),")",""))=10,"+7 ("&amp;MID(SUBSTITUTE(SUBSTITUTE(SUBSTITUTE(SUBSTITUTE(SUBSTITUTE(Клиенты_исходные!D251," ",""),"-",""),"+",""),"(",""),")",""),1,3)&amp;") "&amp;MID(SUBSTITUTE(SUBSTITUTE(SUBSTITUTE(SUBSTITUTE(SUBSTITUTE(Клиенты_исходные!D251," ",""),"-",""),"+",""),"(",""),")",""),4,3)&amp;"-"&amp;MID(SUBSTITUTE(SUBSTITUTE(SUBSTITUTE(SUBSTITUTE(SUBSTITUTE(Клиенты_исходные!D251," ",""),"-",""),"+",""),"(",""),")",""),6,2)&amp;"-"&amp;MID(SUBSTITUTE(SUBSTITUTE(SUBSTITUTE(SUBSTITUTE(SUBSTITUTE(Клиенты_исходные!D251," ",""),"-",""),"+",""),"(",""),")",""),8,2),Клиенты_исходные!D251)))</f>
        <v xml:space="preserve">+7 (903) 901-23-45</v>
      </c>
      <c r="E251" t="str">
        <f>IF(ISBLANK(Клиенты_исходные!E251),"",IF(ISNUMBER(FIND(".",MID(Клиенты_исходные!E251,FIND("@",Клиенты_исходные!E251)+1,255))),Клиенты_исходные!E251,IF(ISNUMBER(FIND("gmail",Клиенты_исходные!E251)),Клиенты_исходные!E251&amp;".com",Клиенты_исходные!E251&amp;".ru")))</f>
        <v>kashkarov@mail.ru</v>
      </c>
      <c r="F251" t="str">
        <f>IFERROR(VLOOKUP(Клиенты_исходные!F251,Справочники!$J$2:$K$50,2,FALSE),Клиенты_исходные!F251)</f>
        <v>Ставрополь</v>
      </c>
      <c r="G251" s="8">
        <f>IFERROR(IF(ISNUMBER(FIND(".",Клиенты_исходные!G251)),DATE(RIGHT(Клиенты_исходные!G251,4),MID(Клиенты_исходные!G251,4,2),LEFT(Клиенты_исходные!G251,2)),DATE(LEFT(Клиенты_исходные!G251,4),MID(Клиенты_исходные!G251,6,2),RIGHT(Клиенты_исходные!G251,2))),Клиенты_исходные!G251)</f>
        <v>47088</v>
      </c>
      <c r="H251">
        <f t="shared" ca="1" si="58"/>
        <v>46</v>
      </c>
      <c r="I251" t="str">
        <f t="shared" si="59"/>
        <v>OK</v>
      </c>
      <c r="J251" t="str">
        <f t="shared" si="60"/>
        <v>OK</v>
      </c>
    </row>
    <row r="252">
      <c r="A252" t="str">
        <f>Клиенты_исходные!A252</f>
        <v>C0251</v>
      </c>
      <c r="B252" t="str">
        <f>PROPER(TRIM(Клиенты_исходные!B252))</f>
        <v xml:space="preserve">Любимова Анна Петровна</v>
      </c>
      <c r="C252" s="8">
        <f>IFERROR(IF(ISNUMBER(FIND(".",Клиенты_исходные!C252)),DATE(RIGHT(Клиенты_исходные!C252,4),MID(Клиенты_исходные!C252,4,2),LEFT(Клиенты_исходные!C252,2)),DATE(LEFT(Клиенты_исходные!C252,4),MID(Клиенты_исходные!C252,6,2),RIGHT(Клиенты_исходные!C252,2))),Клиенты_исходные!C252)</f>
        <v>31497</v>
      </c>
      <c r="D252" t="str">
        <f>IF(ISBLANK(Клиенты_исходные!D252),"",IF(LEN(SUBSTITUTE(SUBSTITUTE(SUBSTITUTE(SUBSTITUTE(SUBSTITUTE(Клиенты_исходные!D252," ",""),"-",""),"+",""),"(",""),")",""))=11,"+7 ("&amp;MID(IF(LEFT(SUBSTITUTE(SUBSTITUTE(SUBSTITUTE(SUBSTITUTE(SUBSTITUTE(Клиенты_исходные!D252," ",""),"-",""),"+",""),"(",""),")",""))="8","7"&amp;MID(SUBSTITUTE(SUBSTITUTE(SUBSTITUTE(SUBSTITUTE(SUBSTITUTE(Клиенты_исходные!D252," ",""),"-",""),"+",""),"(",""),")",""),2,10),SUBSTITUTE(SUBSTITUTE(SUBSTITUTE(SUBSTITUTE(SUBSTITUTE(Клиенты_исходные!D252," ",""),"-",""),"+",""),"(",""),")","")),2,3)&amp;") "&amp;MID(IF(LEFT(SUBSTITUTE(SUBSTITUTE(SUBSTITUTE(SUBSTITUTE(SUBSTITUTE(Клиенты_исходные!D252," ",""),"-",""),"+",""),"(",""),")",""))="8","7"&amp;MID(SUBSTITUTE(SUBSTITUTE(SUBSTITUTE(SUBSTITUTE(SUBSTITUTE(Клиенты_исходные!D252," ",""),"-",""),"+",""),"(",""),")",""),2,10),SUBSTITUTE(SUBSTITUTE(SUBSTITUTE(SUBSTITUTE(SUBSTITUTE(Клиенты_исходные!D252," ",""),"-",""),"+",""),"(",""),")","")),5,3)&amp;"-"&amp;MID(IF(LEFT(SUBSTITUTE(SUBSTITUTE(SUBSTITUTE(SUBSTITUTE(SUBSTITUTE(Клиенты_исходные!D252," ",""),"-",""),"+",""),"(",""),")",""))="8","7"&amp;MID(SUBSTITUTE(SUBSTITUTE(SUBSTITUTE(SUBSTITUTE(SUBSTITUTE(Клиенты_исходные!D252," ",""),"-",""),"+",""),"(",""),")",""),2,10),SUBSTITUTE(SUBSTITUTE(SUBSTITUTE(SUBSTITUTE(SUBSTITUTE(Клиенты_исходные!D252," ",""),"-",""),"+",""),"(",""),")","")),8,2)&amp;"-"&amp;MID(IF(LEFT(SUBSTITUTE(SUBSTITUTE(SUBSTITUTE(SUBSTITUTE(SUBSTITUTE(Клиенты_исходные!D252," ",""),"-",""),"+",""),"(",""),")",""))="8","7"&amp;MID(SUBSTITUTE(SUBSTITUTE(SUBSTITUTE(SUBSTITUTE(SUBSTITUTE(Клиенты_исходные!D252," ",""),"-",""),"+",""),"(",""),")",""),2,10),SUBSTITUTE(SUBSTITUTE(SUBSTITUTE(SUBSTITUTE(SUBSTITUTE(Клиенты_исходные!D252," ",""),"-",""),"+",""),"(",""),")","")),10,2),IF(LEN(SUBSTITUTE(SUBSTITUTE(SUBSTITUTE(SUBSTITUTE(SUBSTITUTE(Клиенты_исходные!D252," ",""),"-",""),"+",""),"(",""),")",""))=10,"+7 ("&amp;MID(SUBSTITUTE(SUBSTITUTE(SUBSTITUTE(SUBSTITUTE(SUBSTITUTE(Клиенты_исходные!D252," ",""),"-",""),"+",""),"(",""),")",""),1,3)&amp;") "&amp;MID(SUBSTITUTE(SUBSTITUTE(SUBSTITUTE(SUBSTITUTE(SUBSTITUTE(Клиенты_исходные!D252," ",""),"-",""),"+",""),"(",""),")",""),4,3)&amp;"-"&amp;MID(SUBSTITUTE(SUBSTITUTE(SUBSTITUTE(SUBSTITUTE(SUBSTITUTE(Клиенты_исходные!D252," ",""),"-",""),"+",""),"(",""),")",""),6,2)&amp;"-"&amp;MID(SUBSTITUTE(SUBSTITUTE(SUBSTITUTE(SUBSTITUTE(SUBSTITUTE(Клиенты_исходные!D252," ",""),"-",""),"+",""),"(",""),")",""),8,2),Клиенты_исходные!D252)))</f>
        <v xml:space="preserve">+7 (903) 901-23-45</v>
      </c>
      <c r="E252" t="str">
        <f>IF(ISBLANK(Клиенты_исходные!E252),"",IF(ISNUMBER(FIND(".",MID(Клиенты_исходные!E252,FIND("@",Клиенты_исходные!E252)+1,255))),Клиенты_исходные!E252,IF(ISNUMBER(FIND("gmail",Клиенты_исходные!E252)),Клиенты_исходные!E252&amp;".com",Клиенты_исходные!E252&amp;".ru")))</f>
        <v>lyubimova@yandex.ru</v>
      </c>
      <c r="F252" t="str">
        <f>IFERROR(VLOOKUP(Клиенты_исходные!F252,Справочники!$J$2:$K$50,2,FALSE),Клиенты_исходные!F252)</f>
        <v>Севастополь</v>
      </c>
      <c r="G252" s="8">
        <f>IFERROR(IF(ISNUMBER(FIND(".",Клиенты_исходные!G252)),DATE(RIGHT(Клиенты_исходные!G252,4),MID(Клиенты_исходные!G252,4,2),LEFT(Клиенты_исходные!G252,2)),DATE(LEFT(Клиенты_исходные!G252,4),MID(Клиенты_исходные!G252,6,2),RIGHT(Клиенты_исходные!G252,2))),Клиенты_исходные!G252)</f>
        <v>47097</v>
      </c>
      <c r="H252">
        <f t="shared" ca="1" si="58"/>
        <v>40</v>
      </c>
      <c r="I252" t="str">
        <f t="shared" si="59"/>
        <v>OK</v>
      </c>
      <c r="J252" t="str">
        <f t="shared" si="60"/>
        <v>OK</v>
      </c>
    </row>
    <row r="253">
      <c r="A253" t="str">
        <f>Клиенты_исходные!A253</f>
        <v>C0252</v>
      </c>
      <c r="B253" t="str">
        <f>PROPER(TRIM(Клиенты_исходные!B253))</f>
        <v xml:space="preserve">Грачев Александр Сергеевич</v>
      </c>
      <c r="C253" s="8">
        <f>IFERROR(IF(ISNUMBER(FIND(".",Клиенты_исходные!C253)),DATE(RIGHT(Клиенты_исходные!C253,4),MID(Клиенты_исходные!C253,4,2),LEFT(Клиенты_исходные!C253,2)),DATE(LEFT(Клиенты_исходные!C253,4),MID(Клиенты_исходные!C253,6,2),RIGHT(Клиенты_исходные!C253,2))),Клиенты_исходные!C253)</f>
        <v>33069</v>
      </c>
      <c r="D253" t="str">
        <f>IF(ISBLANK(Клиенты_исходные!D253),"",IF(LEN(SUBSTITUTE(SUBSTITUTE(SUBSTITUTE(SUBSTITUTE(SUBSTITUTE(Клиенты_исходные!D253," ",""),"-",""),"+",""),"(",""),")",""))=11,"+7 ("&amp;MID(IF(LEFT(SUBSTITUTE(SUBSTITUTE(SUBSTITUTE(SUBSTITUTE(SUBSTITUTE(Клиенты_исходные!D253," ",""),"-",""),"+",""),"(",""),")",""))="8","7"&amp;MID(SUBSTITUTE(SUBSTITUTE(SUBSTITUTE(SUBSTITUTE(SUBSTITUTE(Клиенты_исходные!D253," ",""),"-",""),"+",""),"(",""),")",""),2,10),SUBSTITUTE(SUBSTITUTE(SUBSTITUTE(SUBSTITUTE(SUBSTITUTE(Клиенты_исходные!D253," ",""),"-",""),"+",""),"(",""),")","")),2,3)&amp;") "&amp;MID(IF(LEFT(SUBSTITUTE(SUBSTITUTE(SUBSTITUTE(SUBSTITUTE(SUBSTITUTE(Клиенты_исходные!D253," ",""),"-",""),"+",""),"(",""),")",""))="8","7"&amp;MID(SUBSTITUTE(SUBSTITUTE(SUBSTITUTE(SUBSTITUTE(SUBSTITUTE(Клиенты_исходные!D253," ",""),"-",""),"+",""),"(",""),")",""),2,10),SUBSTITUTE(SUBSTITUTE(SUBSTITUTE(SUBSTITUTE(SUBSTITUTE(Клиенты_исходные!D253," ",""),"-",""),"+",""),"(",""),")","")),5,3)&amp;"-"&amp;MID(IF(LEFT(SUBSTITUTE(SUBSTITUTE(SUBSTITUTE(SUBSTITUTE(SUBSTITUTE(Клиенты_исходные!D253," ",""),"-",""),"+",""),"(",""),")",""))="8","7"&amp;MID(SUBSTITUTE(SUBSTITUTE(SUBSTITUTE(SUBSTITUTE(SUBSTITUTE(Клиенты_исходные!D253," ",""),"-",""),"+",""),"(",""),")",""),2,10),SUBSTITUTE(SUBSTITUTE(SUBSTITUTE(SUBSTITUTE(SUBSTITUTE(Клиенты_исходные!D253," ",""),"-",""),"+",""),"(",""),")","")),8,2)&amp;"-"&amp;MID(IF(LEFT(SUBSTITUTE(SUBSTITUTE(SUBSTITUTE(SUBSTITUTE(SUBSTITUTE(Клиенты_исходные!D253," ",""),"-",""),"+",""),"(",""),")",""))="8","7"&amp;MID(SUBSTITUTE(SUBSTITUTE(SUBSTITUTE(SUBSTITUTE(SUBSTITUTE(Клиенты_исходные!D253," ",""),"-",""),"+",""),"(",""),")",""),2,10),SUBSTITUTE(SUBSTITUTE(SUBSTITUTE(SUBSTITUTE(SUBSTITUTE(Клиенты_исходные!D253," ",""),"-",""),"+",""),"(",""),")","")),10,2),IF(LEN(SUBSTITUTE(SUBSTITUTE(SUBSTITUTE(SUBSTITUTE(SUBSTITUTE(Клиенты_исходные!D253," ",""),"-",""),"+",""),"(",""),")",""))=10,"+7 ("&amp;MID(SUBSTITUTE(SUBSTITUTE(SUBSTITUTE(SUBSTITUTE(SUBSTITUTE(Клиенты_исходные!D253," ",""),"-",""),"+",""),"(",""),")",""),1,3)&amp;") "&amp;MID(SUBSTITUTE(SUBSTITUTE(SUBSTITUTE(SUBSTITUTE(SUBSTITUTE(Клиенты_исходные!D253," ",""),"-",""),"+",""),"(",""),")",""),4,3)&amp;"-"&amp;MID(SUBSTITUTE(SUBSTITUTE(SUBSTITUTE(SUBSTITUTE(SUBSTITUTE(Клиенты_исходные!D253," ",""),"-",""),"+",""),"(",""),")",""),6,2)&amp;"-"&amp;MID(SUBSTITUTE(SUBSTITUTE(SUBSTITUTE(SUBSTITUTE(SUBSTITUTE(Клиенты_исходные!D253," ",""),"-",""),"+",""),"(",""),")",""),8,2),Клиенты_исходные!D253)))</f>
        <v xml:space="preserve">+7 (903) 012-34-56</v>
      </c>
      <c r="E253" t="str">
        <f>IF(ISBLANK(Клиенты_исходные!E253),"",IF(ISNUMBER(FIND(".",MID(Клиенты_исходные!E253,FIND("@",Клиенты_исходные!E253)+1,255))),Клиенты_исходные!E253,IF(ISNUMBER(FIND("gmail",Клиенты_исходные!E253)),Клиенты_исходные!E253&amp;".com",Клиенты_исходные!E253&amp;".ru")))</f>
        <v>grachev@gmail.com</v>
      </c>
      <c r="F253" t="str">
        <f>IFERROR(VLOOKUP(Клиенты_исходные!F253,Справочники!$J$2:$K$50,2,FALSE),Клиенты_исходные!F253)</f>
        <v>Сочи</v>
      </c>
      <c r="G253" s="8">
        <f>IFERROR(IF(ISNUMBER(FIND(".",Клиенты_исходные!G253)),DATE(RIGHT(Клиенты_исходные!G253,4),MID(Клиенты_исходные!G253,4,2),LEFT(Клиенты_исходные!G253,2)),DATE(LEFT(Клиенты_исходные!G253,4),MID(Клиенты_исходные!G253,6,2),RIGHT(Клиенты_исходные!G253,2))),Клиенты_исходные!G253)</f>
        <v>47097</v>
      </c>
      <c r="H253">
        <f t="shared" ca="1" si="58"/>
        <v>36</v>
      </c>
      <c r="I253" t="str">
        <f t="shared" si="59"/>
        <v>OK</v>
      </c>
      <c r="J253" t="str">
        <f t="shared" si="60"/>
        <v>OK</v>
      </c>
    </row>
    <row r="254">
      <c r="A254" t="str">
        <f>Клиенты_исходные!A254</f>
        <v>C0253</v>
      </c>
      <c r="B254" t="str">
        <f>PROPER(TRIM(Клиенты_исходные!B254))</f>
        <v xml:space="preserve">Корнилов Владимир Олегович</v>
      </c>
      <c r="C254" s="8">
        <f>IFERROR(IF(ISNUMBER(FIND(".",Клиенты_исходные!C254)),DATE(RIGHT(Клиенты_исходные!C254,4),MID(Клиенты_исходные!C254,4,2),LEFT(Клиенты_исходные!C254,2)),DATE(LEFT(Клиенты_исходные!C254,4),MID(Клиенты_исходные!C254,6,2),RIGHT(Клиенты_исходные!C254,2))),Клиенты_исходные!C254)</f>
        <v>27644</v>
      </c>
      <c r="D254" t="str">
        <f>IF(ISBLANK(Клиенты_исходные!D254),"",IF(LEN(SUBSTITUTE(SUBSTITUTE(SUBSTITUTE(SUBSTITUTE(SUBSTITUTE(Клиенты_исходные!D254," ",""),"-",""),"+",""),"(",""),")",""))=11,"+7 ("&amp;MID(IF(LEFT(SUBSTITUTE(SUBSTITUTE(SUBSTITUTE(SUBSTITUTE(SUBSTITUTE(Клиенты_исходные!D254," ",""),"-",""),"+",""),"(",""),")",""))="8","7"&amp;MID(SUBSTITUTE(SUBSTITUTE(SUBSTITUTE(SUBSTITUTE(SUBSTITUTE(Клиенты_исходные!D254," ",""),"-",""),"+",""),"(",""),")",""),2,10),SUBSTITUTE(SUBSTITUTE(SUBSTITUTE(SUBSTITUTE(SUBSTITUTE(Клиенты_исходные!D254," ",""),"-",""),"+",""),"(",""),")","")),2,3)&amp;") "&amp;MID(IF(LEFT(SUBSTITUTE(SUBSTITUTE(SUBSTITUTE(SUBSTITUTE(SUBSTITUTE(Клиенты_исходные!D254," ",""),"-",""),"+",""),"(",""),")",""))="8","7"&amp;MID(SUBSTITUTE(SUBSTITUTE(SUBSTITUTE(SUBSTITUTE(SUBSTITUTE(Клиенты_исходные!D254," ",""),"-",""),"+",""),"(",""),")",""),2,10),SUBSTITUTE(SUBSTITUTE(SUBSTITUTE(SUBSTITUTE(SUBSTITUTE(Клиенты_исходные!D254," ",""),"-",""),"+",""),"(",""),")","")),5,3)&amp;"-"&amp;MID(IF(LEFT(SUBSTITUTE(SUBSTITUTE(SUBSTITUTE(SUBSTITUTE(SUBSTITUTE(Клиенты_исходные!D254," ",""),"-",""),"+",""),"(",""),")",""))="8","7"&amp;MID(SUBSTITUTE(SUBSTITUTE(SUBSTITUTE(SUBSTITUTE(SUBSTITUTE(Клиенты_исходные!D254," ",""),"-",""),"+",""),"(",""),")",""),2,10),SUBSTITUTE(SUBSTITUTE(SUBSTITUTE(SUBSTITUTE(SUBSTITUTE(Клиенты_исходные!D254," ",""),"-",""),"+",""),"(",""),")","")),8,2)&amp;"-"&amp;MID(IF(LEFT(SUBSTITUTE(SUBSTITUTE(SUBSTITUTE(SUBSTITUTE(SUBSTITUTE(Клиенты_исходные!D254," ",""),"-",""),"+",""),"(",""),")",""))="8","7"&amp;MID(SUBSTITUTE(SUBSTITUTE(SUBSTITUTE(SUBSTITUTE(SUBSTITUTE(Клиенты_исходные!D254," ",""),"-",""),"+",""),"(",""),")",""),2,10),SUBSTITUTE(SUBSTITUTE(SUBSTITUTE(SUBSTITUTE(SUBSTITUTE(Клиенты_исходные!D254," ",""),"-",""),"+",""),"(",""),")","")),10,2),IF(LEN(SUBSTITUTE(SUBSTITUTE(SUBSTITUTE(SUBSTITUTE(SUBSTITUTE(Клиенты_исходные!D254," ",""),"-",""),"+",""),"(",""),")",""))=10,"+7 ("&amp;MID(SUBSTITUTE(SUBSTITUTE(SUBSTITUTE(SUBSTITUTE(SUBSTITUTE(Клиенты_исходные!D254," ",""),"-",""),"+",""),"(",""),")",""),1,3)&amp;") "&amp;MID(SUBSTITUTE(SUBSTITUTE(SUBSTITUTE(SUBSTITUTE(SUBSTITUTE(Клиенты_исходные!D254," ",""),"-",""),"+",""),"(",""),")",""),4,3)&amp;"-"&amp;MID(SUBSTITUTE(SUBSTITUTE(SUBSTITUTE(SUBSTITUTE(SUBSTITUTE(Клиенты_исходные!D254," ",""),"-",""),"+",""),"(",""),")",""),6,2)&amp;"-"&amp;MID(SUBSTITUTE(SUBSTITUTE(SUBSTITUTE(SUBSTITUTE(SUBSTITUTE(Клиенты_исходные!D254," ",""),"-",""),"+",""),"(",""),")",""),8,2),Клиенты_исходные!D254)))</f>
        <v xml:space="preserve">+7 (903) 012-34-56</v>
      </c>
      <c r="E254" t="str">
        <f>IF(ISBLANK(Клиенты_исходные!E254),"",IF(ISNUMBER(FIND(".",MID(Клиенты_исходные!E254,FIND("@",Клиенты_исходные!E254)+1,255))),Клиенты_исходные!E254,IF(ISNUMBER(FIND("gmail",Клиенты_исходные!E254)),Клиенты_исходные!E254&amp;".com",Клиенты_исходные!E254&amp;".ru")))</f>
        <v>kornilov@mail.ru</v>
      </c>
      <c r="F254" t="str">
        <f>IFERROR(VLOOKUP(Клиенты_исходные!F254,Справочники!$J$2:$K$50,2,FALSE),Клиенты_исходные!F254)</f>
        <v>Симферополь</v>
      </c>
      <c r="G254" s="8">
        <f>IFERROR(IF(ISNUMBER(FIND(".",Клиенты_исходные!G254)),DATE(RIGHT(Клиенты_исходные!G254,4),MID(Клиенты_исходные!G254,4,2),LEFT(Клиенты_исходные!G254,2)),DATE(LEFT(Клиенты_исходные!G254,4),MID(Клиенты_исходные!G254,6,2),RIGHT(Клиенты_исходные!G254,2))),Клиенты_исходные!G254)</f>
        <v>47119</v>
      </c>
      <c r="H254">
        <f t="shared" ca="1" si="58"/>
        <v>51</v>
      </c>
      <c r="I254" t="str">
        <f t="shared" si="59"/>
        <v>OK</v>
      </c>
      <c r="J254" t="str">
        <f t="shared" si="60"/>
        <v>OK</v>
      </c>
    </row>
    <row r="255">
      <c r="A255" t="str">
        <f>Клиенты_исходные!A255</f>
        <v>C0254</v>
      </c>
      <c r="B255" t="str">
        <f>PROPER(TRIM(Клиенты_исходные!B255))</f>
        <v xml:space="preserve">Филатова Наталья Игоревна</v>
      </c>
      <c r="C255" s="8">
        <f>IFERROR(IF(ISNUMBER(FIND(".",Клиенты_исходные!C255)),DATE(RIGHT(Клиенты_исходные!C255,4),MID(Клиенты_исходные!C255,4,2),LEFT(Клиенты_исходные!C255,2)),DATE(LEFT(Клиенты_исходные!C255,4),MID(Клиенты_исходные!C255,6,2),RIGHT(Клиенты_исходные!C255,2))),Клиенты_исходные!C255)</f>
        <v>30059</v>
      </c>
      <c r="D255" t="str">
        <f>IF(ISBLANK(Клиенты_исходные!D255),"",IF(LEN(SUBSTITUTE(SUBSTITUTE(SUBSTITUTE(SUBSTITUTE(SUBSTITUTE(Клиенты_исходные!D255," ",""),"-",""),"+",""),"(",""),")",""))=11,"+7 ("&amp;MID(IF(LEFT(SUBSTITUTE(SUBSTITUTE(SUBSTITUTE(SUBSTITUTE(SUBSTITUTE(Клиенты_исходные!D255," ",""),"-",""),"+",""),"(",""),")",""))="8","7"&amp;MID(SUBSTITUTE(SUBSTITUTE(SUBSTITUTE(SUBSTITUTE(SUBSTITUTE(Клиенты_исходные!D255," ",""),"-",""),"+",""),"(",""),")",""),2,10),SUBSTITUTE(SUBSTITUTE(SUBSTITUTE(SUBSTITUTE(SUBSTITUTE(Клиенты_исходные!D255," ",""),"-",""),"+",""),"(",""),")","")),2,3)&amp;") "&amp;MID(IF(LEFT(SUBSTITUTE(SUBSTITUTE(SUBSTITUTE(SUBSTITUTE(SUBSTITUTE(Клиенты_исходные!D255," ",""),"-",""),"+",""),"(",""),")",""))="8","7"&amp;MID(SUBSTITUTE(SUBSTITUTE(SUBSTITUTE(SUBSTITUTE(SUBSTITUTE(Клиенты_исходные!D255," ",""),"-",""),"+",""),"(",""),")",""),2,10),SUBSTITUTE(SUBSTITUTE(SUBSTITUTE(SUBSTITUTE(SUBSTITUTE(Клиенты_исходные!D255," ",""),"-",""),"+",""),"(",""),")","")),5,3)&amp;"-"&amp;MID(IF(LEFT(SUBSTITUTE(SUBSTITUTE(SUBSTITUTE(SUBSTITUTE(SUBSTITUTE(Клиенты_исходные!D255," ",""),"-",""),"+",""),"(",""),")",""))="8","7"&amp;MID(SUBSTITUTE(SUBSTITUTE(SUBSTITUTE(SUBSTITUTE(SUBSTITUTE(Клиенты_исходные!D255," ",""),"-",""),"+",""),"(",""),")",""),2,10),SUBSTITUTE(SUBSTITUTE(SUBSTITUTE(SUBSTITUTE(SUBSTITUTE(Клиенты_исходные!D255," ",""),"-",""),"+",""),"(",""),")","")),8,2)&amp;"-"&amp;MID(IF(LEFT(SUBSTITUTE(SUBSTITUTE(SUBSTITUTE(SUBSTITUTE(SUBSTITUTE(Клиенты_исходные!D255," ",""),"-",""),"+",""),"(",""),")",""))="8","7"&amp;MID(SUBSTITUTE(SUBSTITUTE(SUBSTITUTE(SUBSTITUTE(SUBSTITUTE(Клиенты_исходные!D255," ",""),"-",""),"+",""),"(",""),")",""),2,10),SUBSTITUTE(SUBSTITUTE(SUBSTITUTE(SUBSTITUTE(SUBSTITUTE(Клиенты_исходные!D255," ",""),"-",""),"+",""),"(",""),")","")),10,2),IF(LEN(SUBSTITUTE(SUBSTITUTE(SUBSTITUTE(SUBSTITUTE(SUBSTITUTE(Клиенты_исходные!D255," ",""),"-",""),"+",""),"(",""),")",""))=10,"+7 ("&amp;MID(SUBSTITUTE(SUBSTITUTE(SUBSTITUTE(SUBSTITUTE(SUBSTITUTE(Клиенты_исходные!D255," ",""),"-",""),"+",""),"(",""),")",""),1,3)&amp;") "&amp;MID(SUBSTITUTE(SUBSTITUTE(SUBSTITUTE(SUBSTITUTE(SUBSTITUTE(Клиенты_исходные!D255," ",""),"-",""),"+",""),"(",""),")",""),4,3)&amp;"-"&amp;MID(SUBSTITUTE(SUBSTITUTE(SUBSTITUTE(SUBSTITUTE(SUBSTITUTE(Клиенты_исходные!D255," ",""),"-",""),"+",""),"(",""),")",""),6,2)&amp;"-"&amp;MID(SUBSTITUTE(SUBSTITUTE(SUBSTITUTE(SUBSTITUTE(SUBSTITUTE(Клиенты_исходные!D255," ",""),"-",""),"+",""),"(",""),")",""),8,2),Клиенты_исходные!D255)))</f>
        <v xml:space="preserve">+7 (903) 012-34-56</v>
      </c>
      <c r="E255" t="str">
        <f>IF(ISBLANK(Клиенты_исходные!E255),"",IF(ISNUMBER(FIND(".",MID(Клиенты_исходные!E255,FIND("@",Клиенты_исходные!E255)+1,255))),Клиенты_исходные!E255,IF(ISNUMBER(FIND("gmail",Клиенты_исходные!E255)),Клиенты_исходные!E255&amp;".com",Клиенты_исходные!E255&amp;".ru")))</f>
        <v>filatova@yandex.ru</v>
      </c>
      <c r="F255" t="str">
        <f>IFERROR(VLOOKUP(Клиенты_исходные!F255,Справочники!$J$2:$K$50,2,FALSE),Клиенты_исходные!F255)</f>
        <v>Брянск</v>
      </c>
      <c r="G255" s="8">
        <f>IFERROR(IF(ISNUMBER(FIND(".",Клиенты_исходные!G255)),DATE(RIGHT(Клиенты_исходные!G255,4),MID(Клиенты_исходные!G255,4,2),LEFT(Клиенты_исходные!G255,2)),DATE(LEFT(Клиенты_исходные!G255,4),MID(Клиенты_исходные!G255,6,2),RIGHT(Клиенты_исходные!G255,2))),Клиенты_исходные!G255)</f>
        <v>47133</v>
      </c>
      <c r="H255">
        <f t="shared" ca="1" si="58"/>
        <v>44</v>
      </c>
      <c r="I255" t="str">
        <f t="shared" si="59"/>
        <v>OK</v>
      </c>
      <c r="J255" t="str">
        <f t="shared" si="60"/>
        <v>OK</v>
      </c>
    </row>
    <row r="256">
      <c r="A256" t="str">
        <f>Клиенты_исходные!A256</f>
        <v>C0255</v>
      </c>
      <c r="B256" t="str">
        <f>PROPER(TRIM(Клиенты_исходные!B256))</f>
        <v xml:space="preserve">Бердникова Мария Владимировна</v>
      </c>
      <c r="C256" s="8">
        <f>IFERROR(IF(ISNUMBER(FIND(".",Клиенты_исходные!C256)),DATE(RIGHT(Клиенты_исходные!C256,4),MID(Клиенты_исходные!C256,4,2),LEFT(Клиенты_исходные!C256,2)),DATE(LEFT(Клиенты_исходные!C256,4),MID(Клиенты_исходные!C256,6,2),RIGHT(Клиенты_исходные!C256,2))),Клиенты_исходные!C256)</f>
        <v>33542</v>
      </c>
      <c r="D256" t="str">
        <f>IF(ISBLANK(Клиенты_исходные!D256),"",IF(LEN(SUBSTITUTE(SUBSTITUTE(SUBSTITUTE(SUBSTITUTE(SUBSTITUTE(Клиенты_исходные!D256," ",""),"-",""),"+",""),"(",""),")",""))=11,"+7 ("&amp;MID(IF(LEFT(SUBSTITUTE(SUBSTITUTE(SUBSTITUTE(SUBSTITUTE(SUBSTITUTE(Клиенты_исходные!D256," ",""),"-",""),"+",""),"(",""),")",""))="8","7"&amp;MID(SUBSTITUTE(SUBSTITUTE(SUBSTITUTE(SUBSTITUTE(SUBSTITUTE(Клиенты_исходные!D256," ",""),"-",""),"+",""),"(",""),")",""),2,10),SUBSTITUTE(SUBSTITUTE(SUBSTITUTE(SUBSTITUTE(SUBSTITUTE(Клиенты_исходные!D256," ",""),"-",""),"+",""),"(",""),")","")),2,3)&amp;") "&amp;MID(IF(LEFT(SUBSTITUTE(SUBSTITUTE(SUBSTITUTE(SUBSTITUTE(SUBSTITUTE(Клиенты_исходные!D256," ",""),"-",""),"+",""),"(",""),")",""))="8","7"&amp;MID(SUBSTITUTE(SUBSTITUTE(SUBSTITUTE(SUBSTITUTE(SUBSTITUTE(Клиенты_исходные!D256," ",""),"-",""),"+",""),"(",""),")",""),2,10),SUBSTITUTE(SUBSTITUTE(SUBSTITUTE(SUBSTITUTE(SUBSTITUTE(Клиенты_исходные!D256," ",""),"-",""),"+",""),"(",""),")","")),5,3)&amp;"-"&amp;MID(IF(LEFT(SUBSTITUTE(SUBSTITUTE(SUBSTITUTE(SUBSTITUTE(SUBSTITUTE(Клиенты_исходные!D256," ",""),"-",""),"+",""),"(",""),")",""))="8","7"&amp;MID(SUBSTITUTE(SUBSTITUTE(SUBSTITUTE(SUBSTITUTE(SUBSTITUTE(Клиенты_исходные!D256," ",""),"-",""),"+",""),"(",""),")",""),2,10),SUBSTITUTE(SUBSTITUTE(SUBSTITUTE(SUBSTITUTE(SUBSTITUTE(Клиенты_исходные!D256," ",""),"-",""),"+",""),"(",""),")","")),8,2)&amp;"-"&amp;MID(IF(LEFT(SUBSTITUTE(SUBSTITUTE(SUBSTITUTE(SUBSTITUTE(SUBSTITUTE(Клиенты_исходные!D256," ",""),"-",""),"+",""),"(",""),")",""))="8","7"&amp;MID(SUBSTITUTE(SUBSTITUTE(SUBSTITUTE(SUBSTITUTE(SUBSTITUTE(Клиенты_исходные!D256," ",""),"-",""),"+",""),"(",""),")",""),2,10),SUBSTITUTE(SUBSTITUTE(SUBSTITUTE(SUBSTITUTE(SUBSTITUTE(Клиенты_исходные!D256," ",""),"-",""),"+",""),"(",""),")","")),10,2),IF(LEN(SUBSTITUTE(SUBSTITUTE(SUBSTITUTE(SUBSTITUTE(SUBSTITUTE(Клиенты_исходные!D256," ",""),"-",""),"+",""),"(",""),")",""))=10,"+7 ("&amp;MID(SUBSTITUTE(SUBSTITUTE(SUBSTITUTE(SUBSTITUTE(SUBSTITUTE(Клиенты_исходные!D256," ",""),"-",""),"+",""),"(",""),")",""),1,3)&amp;") "&amp;MID(SUBSTITUTE(SUBSTITUTE(SUBSTITUTE(SUBSTITUTE(SUBSTITUTE(Клиенты_исходные!D256," ",""),"-",""),"+",""),"(",""),")",""),4,3)&amp;"-"&amp;MID(SUBSTITUTE(SUBSTITUTE(SUBSTITUTE(SUBSTITUTE(SUBSTITUTE(Клиенты_исходные!D256," ",""),"-",""),"+",""),"(",""),")",""),6,2)&amp;"-"&amp;MID(SUBSTITUTE(SUBSTITUTE(SUBSTITUTE(SUBSTITUTE(SUBSTITUTE(Клиенты_исходные!D256," ",""),"-",""),"+",""),"(",""),")",""),8,2),Клиенты_исходные!D256)))</f>
        <v xml:space="preserve">+7 (903) 123-45-67</v>
      </c>
      <c r="E256" t="str">
        <f>IF(ISBLANK(Клиенты_исходные!E256),"",IF(ISNUMBER(FIND(".",MID(Клиенты_исходные!E256,FIND("@",Клиенты_исходные!E256)+1,255))),Клиенты_исходные!E256,IF(ISNUMBER(FIND("gmail",Клиенты_исходные!E256)),Клиенты_исходные!E256&amp;".com",Клиенты_исходные!E256&amp;".ru")))</f>
        <v>berdnikova@gmail.com</v>
      </c>
      <c r="F256" t="str">
        <f>IFERROR(VLOOKUP(Клиенты_исходные!F256,Справочники!$J$2:$K$50,2,FALSE),Клиенты_исходные!F256)</f>
        <v>Абакан</v>
      </c>
      <c r="G256" s="8">
        <f>IFERROR(IF(ISNUMBER(FIND(".",Клиенты_исходные!G256)),DATE(RIGHT(Клиенты_исходные!G256,4),MID(Клиенты_исходные!G256,4,2),LEFT(Клиенты_исходные!G256,2)),DATE(LEFT(Клиенты_исходные!G256,4),MID(Клиенты_исходные!G256,6,2),RIGHT(Клиенты_исходные!G256,2))),Клиенты_исходные!G256)</f>
        <v>47133</v>
      </c>
      <c r="H256">
        <f t="shared" ca="1" si="58"/>
        <v>34</v>
      </c>
      <c r="I256" t="str">
        <f t="shared" si="59"/>
        <v>OK</v>
      </c>
      <c r="J256" t="str">
        <f t="shared" si="60"/>
        <v>OK</v>
      </c>
    </row>
    <row r="257">
      <c r="A257" t="str">
        <f>Клиенты_исходные!A257</f>
        <v>C0256</v>
      </c>
      <c r="B257" t="str">
        <f>PROPER(TRIM(Клиенты_исходные!B257))</f>
        <v xml:space="preserve">Мельниченко Андрей Павлович</v>
      </c>
      <c r="C257" s="8">
        <f>IFERROR(IF(ISNUMBER(FIND(".",Клиенты_исходные!C257)),DATE(RIGHT(Клиенты_исходные!C257,4),MID(Клиенты_исходные!C257,4,2),LEFT(Клиенты_исходные!C257,2)),DATE(LEFT(Клиенты_исходные!C257,4),MID(Клиенты_исходные!C257,6,2),RIGHT(Клиенты_исходные!C257,2))),Клиенты_исходные!C257)</f>
        <v>28169</v>
      </c>
      <c r="D257" t="str">
        <f>IF(ISBLANK(Клиенты_исходные!D257),"",IF(LEN(SUBSTITUTE(SUBSTITUTE(SUBSTITUTE(SUBSTITUTE(SUBSTITUTE(Клиенты_исходные!D257," ",""),"-",""),"+",""),"(",""),")",""))=11,"+7 ("&amp;MID(IF(LEFT(SUBSTITUTE(SUBSTITUTE(SUBSTITUTE(SUBSTITUTE(SUBSTITUTE(Клиенты_исходные!D257," ",""),"-",""),"+",""),"(",""),")",""))="8","7"&amp;MID(SUBSTITUTE(SUBSTITUTE(SUBSTITUTE(SUBSTITUTE(SUBSTITUTE(Клиенты_исходные!D257," ",""),"-",""),"+",""),"(",""),")",""),2,10),SUBSTITUTE(SUBSTITUTE(SUBSTITUTE(SUBSTITUTE(SUBSTITUTE(Клиенты_исходные!D257," ",""),"-",""),"+",""),"(",""),")","")),2,3)&amp;") "&amp;MID(IF(LEFT(SUBSTITUTE(SUBSTITUTE(SUBSTITUTE(SUBSTITUTE(SUBSTITUTE(Клиенты_исходные!D257," ",""),"-",""),"+",""),"(",""),")",""))="8","7"&amp;MID(SUBSTITUTE(SUBSTITUTE(SUBSTITUTE(SUBSTITUTE(SUBSTITUTE(Клиенты_исходные!D257," ",""),"-",""),"+",""),"(",""),")",""),2,10),SUBSTITUTE(SUBSTITUTE(SUBSTITUTE(SUBSTITUTE(SUBSTITUTE(Клиенты_исходные!D257," ",""),"-",""),"+",""),"(",""),")","")),5,3)&amp;"-"&amp;MID(IF(LEFT(SUBSTITUTE(SUBSTITUTE(SUBSTITUTE(SUBSTITUTE(SUBSTITUTE(Клиенты_исходные!D257," ",""),"-",""),"+",""),"(",""),")",""))="8","7"&amp;MID(SUBSTITUTE(SUBSTITUTE(SUBSTITUTE(SUBSTITUTE(SUBSTITUTE(Клиенты_исходные!D257," ",""),"-",""),"+",""),"(",""),")",""),2,10),SUBSTITUTE(SUBSTITUTE(SUBSTITUTE(SUBSTITUTE(SUBSTITUTE(Клиенты_исходные!D257," ",""),"-",""),"+",""),"(",""),")","")),8,2)&amp;"-"&amp;MID(IF(LEFT(SUBSTITUTE(SUBSTITUTE(SUBSTITUTE(SUBSTITUTE(SUBSTITUTE(Клиенты_исходные!D257," ",""),"-",""),"+",""),"(",""),")",""))="8","7"&amp;MID(SUBSTITUTE(SUBSTITUTE(SUBSTITUTE(SUBSTITUTE(SUBSTITUTE(Клиенты_исходные!D257," ",""),"-",""),"+",""),"(",""),")",""),2,10),SUBSTITUTE(SUBSTITUTE(SUBSTITUTE(SUBSTITUTE(SUBSTITUTE(Клиенты_исходные!D257," ",""),"-",""),"+",""),"(",""),")","")),10,2),IF(LEN(SUBSTITUTE(SUBSTITUTE(SUBSTITUTE(SUBSTITUTE(SUBSTITUTE(Клиенты_исходные!D257," ",""),"-",""),"+",""),"(",""),")",""))=10,"+7 ("&amp;MID(SUBSTITUTE(SUBSTITUTE(SUBSTITUTE(SUBSTITUTE(SUBSTITUTE(Клиенты_исходные!D257," ",""),"-",""),"+",""),"(",""),")",""),1,3)&amp;") "&amp;MID(SUBSTITUTE(SUBSTITUTE(SUBSTITUTE(SUBSTITUTE(SUBSTITUTE(Клиенты_исходные!D257," ",""),"-",""),"+",""),"(",""),")",""),4,3)&amp;"-"&amp;MID(SUBSTITUTE(SUBSTITUTE(SUBSTITUTE(SUBSTITUTE(SUBSTITUTE(Клиенты_исходные!D257," ",""),"-",""),"+",""),"(",""),")",""),6,2)&amp;"-"&amp;MID(SUBSTITUTE(SUBSTITUTE(SUBSTITUTE(SUBSTITUTE(SUBSTITUTE(Клиенты_исходные!D257," ",""),"-",""),"+",""),"(",""),")",""),8,2),Клиенты_исходные!D257)))</f>
        <v xml:space="preserve">+7 (903) 123-45-67</v>
      </c>
      <c r="E257" t="str">
        <f>IF(ISBLANK(Клиенты_исходные!E257),"",IF(ISNUMBER(FIND(".",MID(Клиенты_исходные!E257,FIND("@",Клиенты_исходные!E257)+1,255))),Клиенты_исходные!E257,IF(ISNUMBER(FIND("gmail",Клиенты_исходные!E257)),Клиенты_исходные!E257&amp;".com",Клиенты_исходные!E257&amp;".ru")))</f>
        <v>melnichenko@mail.ru</v>
      </c>
      <c r="F257" t="str">
        <f>IFERROR(VLOOKUP(Клиенты_исходные!F257,Справочники!$J$2:$K$50,2,FALSE),Клиенты_исходные!F257)</f>
        <v>Грозный</v>
      </c>
      <c r="G257" s="8">
        <f>IFERROR(IF(ISNUMBER(FIND(".",Клиенты_исходные!G257)),DATE(RIGHT(Клиенты_исходные!G257,4),MID(Клиенты_исходные!G257,4,2),LEFT(Клиенты_исходные!G257,2)),DATE(LEFT(Клиенты_исходные!G257,4),MID(Клиенты_исходные!G257,6,2),RIGHT(Клиенты_исходные!G257,2))),Клиенты_исходные!G257)</f>
        <v>47150</v>
      </c>
      <c r="H257">
        <f t="shared" ca="1" si="58"/>
        <v>49</v>
      </c>
      <c r="I257" t="str">
        <f t="shared" si="59"/>
        <v>OK</v>
      </c>
      <c r="J257" t="str">
        <f t="shared" si="60"/>
        <v>OK</v>
      </c>
    </row>
    <row r="258">
      <c r="A258" t="str">
        <f>Клиенты_исходные!A258</f>
        <v>C0257</v>
      </c>
      <c r="B258" t="str">
        <f>PROPER(TRIM(Клиенты_исходные!B258))</f>
        <v xml:space="preserve">Воронина Ольга Владиславовна</v>
      </c>
      <c r="C258" s="8">
        <f>IFERROR(IF(ISNUMBER(FIND(".",Клиенты_исходные!C258)),DATE(RIGHT(Клиенты_исходные!C258,4),MID(Клиенты_исходные!C258,4,2),LEFT(Клиенты_исходные!C258,2)),DATE(LEFT(Клиенты_исходные!C258,4),MID(Клиенты_исходные!C258,6,2),RIGHT(Клиенты_исходные!C258,2))),Клиенты_исходные!C258)</f>
        <v>31220</v>
      </c>
      <c r="D258" t="str">
        <f>IF(ISBLANK(Клиенты_исходные!D258),"",IF(LEN(SUBSTITUTE(SUBSTITUTE(SUBSTITUTE(SUBSTITUTE(SUBSTITUTE(Клиенты_исходные!D258," ",""),"-",""),"+",""),"(",""),")",""))=11,"+7 ("&amp;MID(IF(LEFT(SUBSTITUTE(SUBSTITUTE(SUBSTITUTE(SUBSTITUTE(SUBSTITUTE(Клиенты_исходные!D258," ",""),"-",""),"+",""),"(",""),")",""))="8","7"&amp;MID(SUBSTITUTE(SUBSTITUTE(SUBSTITUTE(SUBSTITUTE(SUBSTITUTE(Клиенты_исходные!D258," ",""),"-",""),"+",""),"(",""),")",""),2,10),SUBSTITUTE(SUBSTITUTE(SUBSTITUTE(SUBSTITUTE(SUBSTITUTE(Клиенты_исходные!D258," ",""),"-",""),"+",""),"(",""),")","")),2,3)&amp;") "&amp;MID(IF(LEFT(SUBSTITUTE(SUBSTITUTE(SUBSTITUTE(SUBSTITUTE(SUBSTITUTE(Клиенты_исходные!D258," ",""),"-",""),"+",""),"(",""),")",""))="8","7"&amp;MID(SUBSTITUTE(SUBSTITUTE(SUBSTITUTE(SUBSTITUTE(SUBSTITUTE(Клиенты_исходные!D258," ",""),"-",""),"+",""),"(",""),")",""),2,10),SUBSTITUTE(SUBSTITUTE(SUBSTITUTE(SUBSTITUTE(SUBSTITUTE(Клиенты_исходные!D258," ",""),"-",""),"+",""),"(",""),")","")),5,3)&amp;"-"&amp;MID(IF(LEFT(SUBSTITUTE(SUBSTITUTE(SUBSTITUTE(SUBSTITUTE(SUBSTITUTE(Клиенты_исходные!D258," ",""),"-",""),"+",""),"(",""),")",""))="8","7"&amp;MID(SUBSTITUTE(SUBSTITUTE(SUBSTITUTE(SUBSTITUTE(SUBSTITUTE(Клиенты_исходные!D258," ",""),"-",""),"+",""),"(",""),")",""),2,10),SUBSTITUTE(SUBSTITUTE(SUBSTITUTE(SUBSTITUTE(SUBSTITUTE(Клиенты_исходные!D258," ",""),"-",""),"+",""),"(",""),")","")),8,2)&amp;"-"&amp;MID(IF(LEFT(SUBSTITUTE(SUBSTITUTE(SUBSTITUTE(SUBSTITUTE(SUBSTITUTE(Клиенты_исходные!D258," ",""),"-",""),"+",""),"(",""),")",""))="8","7"&amp;MID(SUBSTITUTE(SUBSTITUTE(SUBSTITUTE(SUBSTITUTE(SUBSTITUTE(Клиенты_исходные!D258," ",""),"-",""),"+",""),"(",""),")",""),2,10),SUBSTITUTE(SUBSTITUTE(SUBSTITUTE(SUBSTITUTE(SUBSTITUTE(Клиенты_исходные!D258," ",""),"-",""),"+",""),"(",""),")","")),10,2),IF(LEN(SUBSTITUTE(SUBSTITUTE(SUBSTITUTE(SUBSTITUTE(SUBSTITUTE(Клиенты_исходные!D258," ",""),"-",""),"+",""),"(",""),")",""))=10,"+7 ("&amp;MID(SUBSTITUTE(SUBSTITUTE(SUBSTITUTE(SUBSTITUTE(SUBSTITUTE(Клиенты_исходные!D258," ",""),"-",""),"+",""),"(",""),")",""),1,3)&amp;") "&amp;MID(SUBSTITUTE(SUBSTITUTE(SUBSTITUTE(SUBSTITUTE(SUBSTITUTE(Клиенты_исходные!D258," ",""),"-",""),"+",""),"(",""),")",""),4,3)&amp;"-"&amp;MID(SUBSTITUTE(SUBSTITUTE(SUBSTITUTE(SUBSTITUTE(SUBSTITUTE(Клиенты_исходные!D258," ",""),"-",""),"+",""),"(",""),")",""),6,2)&amp;"-"&amp;MID(SUBSTITUTE(SUBSTITUTE(SUBSTITUTE(SUBSTITUTE(SUBSTITUTE(Клиенты_исходные!D258," ",""),"-",""),"+",""),"(",""),")",""),8,2),Клиенты_исходные!D258)))</f>
        <v xml:space="preserve">+7 (903) 123-45-67</v>
      </c>
      <c r="E258" t="str">
        <f>IF(ISBLANK(Клиенты_исходные!E258),"",IF(ISNUMBER(FIND(".",MID(Клиенты_исходные!E258,FIND("@",Клиенты_исходные!E258)+1,255))),Клиенты_исходные!E258,IF(ISNUMBER(FIND("gmail",Клиенты_исходные!E258)),Клиенты_исходные!E258&amp;".com",Клиенты_исходные!E258&amp;".ru")))</f>
        <v>voronina@yandex.ru</v>
      </c>
      <c r="F258" t="str">
        <f>IFERROR(VLOOKUP(Клиенты_исходные!F258,Справочники!$J$2:$K$50,2,FALSE),Клиенты_исходные!F258)</f>
        <v>Бийск</v>
      </c>
      <c r="G258" s="8">
        <f>IFERROR(IF(ISNUMBER(FIND(".",Клиенты_исходные!G258)),DATE(RIGHT(Клиенты_исходные!G258,4),MID(Клиенты_исходные!G258,4,2),LEFT(Клиенты_исходные!G258,2)),DATE(LEFT(Клиенты_исходные!G258,4),MID(Клиенты_исходные!G258,6,2),RIGHT(Клиенты_исходные!G258,2))),Клиенты_исходные!G258)</f>
        <v>47159</v>
      </c>
      <c r="H258">
        <f t="shared" ca="1" si="58"/>
        <v>41</v>
      </c>
      <c r="I258" t="str">
        <f t="shared" si="59"/>
        <v>OK</v>
      </c>
      <c r="J258" t="str">
        <f t="shared" si="60"/>
        <v>OK</v>
      </c>
    </row>
    <row r="259">
      <c r="A259" t="str">
        <f>Клиенты_исходные!A259</f>
        <v>C0258</v>
      </c>
      <c r="B259" t="str">
        <f>PROPER(TRIM(Клиенты_исходные!B259))</f>
        <v xml:space="preserve">Зеленов Кирилл Валерьевич</v>
      </c>
      <c r="C259" s="8">
        <f>IFERROR(IF(ISNUMBER(FIND(".",Клиенты_исходные!C259)),DATE(RIGHT(Клиенты_исходные!C259,4),MID(Клиенты_исходные!C259,4,2),LEFT(Клиенты_исходные!C259,2)),DATE(LEFT(Клиенты_исходные!C259,4),MID(Клиенты_исходные!C259,6,2),RIGHT(Клиенты_исходные!C259,2))),Клиенты_исходные!C259)</f>
        <v>34676</v>
      </c>
      <c r="D259" t="str">
        <f>IF(ISBLANK(Клиенты_исходные!D259),"",IF(LEN(SUBSTITUTE(SUBSTITUTE(SUBSTITUTE(SUBSTITUTE(SUBSTITUTE(Клиенты_исходные!D259," ",""),"-",""),"+",""),"(",""),")",""))=11,"+7 ("&amp;MID(IF(LEFT(SUBSTITUTE(SUBSTITUTE(SUBSTITUTE(SUBSTITUTE(SUBSTITUTE(Клиенты_исходные!D259," ",""),"-",""),"+",""),"(",""),")",""))="8","7"&amp;MID(SUBSTITUTE(SUBSTITUTE(SUBSTITUTE(SUBSTITUTE(SUBSTITUTE(Клиенты_исходные!D259," ",""),"-",""),"+",""),"(",""),")",""),2,10),SUBSTITUTE(SUBSTITUTE(SUBSTITUTE(SUBSTITUTE(SUBSTITUTE(Клиенты_исходные!D259," ",""),"-",""),"+",""),"(",""),")","")),2,3)&amp;") "&amp;MID(IF(LEFT(SUBSTITUTE(SUBSTITUTE(SUBSTITUTE(SUBSTITUTE(SUBSTITUTE(Клиенты_исходные!D259," ",""),"-",""),"+",""),"(",""),")",""))="8","7"&amp;MID(SUBSTITUTE(SUBSTITUTE(SUBSTITUTE(SUBSTITUTE(SUBSTITUTE(Клиенты_исходные!D259," ",""),"-",""),"+",""),"(",""),")",""),2,10),SUBSTITUTE(SUBSTITUTE(SUBSTITUTE(SUBSTITUTE(SUBSTITUTE(Клиенты_исходные!D259," ",""),"-",""),"+",""),"(",""),")","")),5,3)&amp;"-"&amp;MID(IF(LEFT(SUBSTITUTE(SUBSTITUTE(SUBSTITUTE(SUBSTITUTE(SUBSTITUTE(Клиенты_исходные!D259," ",""),"-",""),"+",""),"(",""),")",""))="8","7"&amp;MID(SUBSTITUTE(SUBSTITUTE(SUBSTITUTE(SUBSTITUTE(SUBSTITUTE(Клиенты_исходные!D259," ",""),"-",""),"+",""),"(",""),")",""),2,10),SUBSTITUTE(SUBSTITUTE(SUBSTITUTE(SUBSTITUTE(SUBSTITUTE(Клиенты_исходные!D259," ",""),"-",""),"+",""),"(",""),")","")),8,2)&amp;"-"&amp;MID(IF(LEFT(SUBSTITUTE(SUBSTITUTE(SUBSTITUTE(SUBSTITUTE(SUBSTITUTE(Клиенты_исходные!D259," ",""),"-",""),"+",""),"(",""),")",""))="8","7"&amp;MID(SUBSTITUTE(SUBSTITUTE(SUBSTITUTE(SUBSTITUTE(SUBSTITUTE(Клиенты_исходные!D259," ",""),"-",""),"+",""),"(",""),")",""),2,10),SUBSTITUTE(SUBSTITUTE(SUBSTITUTE(SUBSTITUTE(SUBSTITUTE(Клиенты_исходные!D259," ",""),"-",""),"+",""),"(",""),")","")),10,2),IF(LEN(SUBSTITUTE(SUBSTITUTE(SUBSTITUTE(SUBSTITUTE(SUBSTITUTE(Клиенты_исходные!D259," ",""),"-",""),"+",""),"(",""),")",""))=10,"+7 ("&amp;MID(SUBSTITUTE(SUBSTITUTE(SUBSTITUTE(SUBSTITUTE(SUBSTITUTE(Клиенты_исходные!D259," ",""),"-",""),"+",""),"(",""),")",""),1,3)&amp;") "&amp;MID(SUBSTITUTE(SUBSTITUTE(SUBSTITUTE(SUBSTITUTE(SUBSTITUTE(Клиенты_исходные!D259," ",""),"-",""),"+",""),"(",""),")",""),4,3)&amp;"-"&amp;MID(SUBSTITUTE(SUBSTITUTE(SUBSTITUTE(SUBSTITUTE(SUBSTITUTE(Клиенты_исходные!D259," ",""),"-",""),"+",""),"(",""),")",""),6,2)&amp;"-"&amp;MID(SUBSTITUTE(SUBSTITUTE(SUBSTITUTE(SUBSTITUTE(SUBSTITUTE(Клиенты_исходные!D259," ",""),"-",""),"+",""),"(",""),")",""),8,2),Клиенты_исходные!D259)))</f>
        <v xml:space="preserve">+7 (903) 234-56-78</v>
      </c>
      <c r="E259" t="str">
        <f>IF(ISBLANK(Клиенты_исходные!E259),"",IF(ISNUMBER(FIND(".",MID(Клиенты_исходные!E259,FIND("@",Клиенты_исходные!E259)+1,255))),Клиенты_исходные!E259,IF(ISNUMBER(FIND("gmail",Клиенты_исходные!E259)),Клиенты_исходные!E259&amp;".com",Клиенты_исходные!E259&amp;".ru")))</f>
        <v>zelenov@gmail.com</v>
      </c>
      <c r="F259" t="str">
        <f>IFERROR(VLOOKUP(Клиенты_исходные!F259,Справочники!$J$2:$K$50,2,FALSE),Клиенты_исходные!F259)</f>
        <v>Йошкар-Ола</v>
      </c>
      <c r="G259" s="8">
        <f>IFERROR(IF(ISNUMBER(FIND(".",Клиенты_исходные!G259)),DATE(RIGHT(Клиенты_исходные!G259,4),MID(Клиенты_исходные!G259,4,2),LEFT(Клиенты_исходные!G259,2)),DATE(LEFT(Клиенты_исходные!G259,4),MID(Клиенты_исходные!G259,6,2),RIGHT(Клиенты_исходные!G259,2))),Клиенты_исходные!G259)</f>
        <v>47159</v>
      </c>
      <c r="H259">
        <f t="shared" ca="1" si="58"/>
        <v>31</v>
      </c>
      <c r="I259" t="str">
        <f t="shared" si="59"/>
        <v>OK</v>
      </c>
      <c r="J259" t="str">
        <f t="shared" si="60"/>
        <v>OK</v>
      </c>
    </row>
    <row r="260">
      <c r="A260" t="str">
        <f>Клиенты_исходные!A260</f>
        <v>C0259</v>
      </c>
      <c r="B260" t="str">
        <f>PROPER(TRIM(Клиенты_исходные!B260))</f>
        <v xml:space="preserve">Стручкова Екатерина Алексеевна</v>
      </c>
      <c r="C260" s="8">
        <f>IFERROR(IF(ISNUMBER(FIND(".",Клиенты_исходные!C260)),DATE(RIGHT(Клиенты_исходные!C260,4),MID(Клиенты_исходные!C260,4,2),LEFT(Клиенты_исходные!C260,2)),DATE(LEFT(Клиенты_исходные!C260,4),MID(Клиенты_исходные!C260,6,2),RIGHT(Клиенты_исходные!C260,2))),Клиенты_исходные!C260)</f>
        <v>26893</v>
      </c>
      <c r="D260" t="str">
        <f>IF(ISBLANK(Клиенты_исходные!D260),"",IF(LEN(SUBSTITUTE(SUBSTITUTE(SUBSTITUTE(SUBSTITUTE(SUBSTITUTE(Клиенты_исходные!D260," ",""),"-",""),"+",""),"(",""),")",""))=11,"+7 ("&amp;MID(IF(LEFT(SUBSTITUTE(SUBSTITUTE(SUBSTITUTE(SUBSTITUTE(SUBSTITUTE(Клиенты_исходные!D260," ",""),"-",""),"+",""),"(",""),")",""))="8","7"&amp;MID(SUBSTITUTE(SUBSTITUTE(SUBSTITUTE(SUBSTITUTE(SUBSTITUTE(Клиенты_исходные!D260," ",""),"-",""),"+",""),"(",""),")",""),2,10),SUBSTITUTE(SUBSTITUTE(SUBSTITUTE(SUBSTITUTE(SUBSTITUTE(Клиенты_исходные!D260," ",""),"-",""),"+",""),"(",""),")","")),2,3)&amp;") "&amp;MID(IF(LEFT(SUBSTITUTE(SUBSTITUTE(SUBSTITUTE(SUBSTITUTE(SUBSTITUTE(Клиенты_исходные!D260," ",""),"-",""),"+",""),"(",""),")",""))="8","7"&amp;MID(SUBSTITUTE(SUBSTITUTE(SUBSTITUTE(SUBSTITUTE(SUBSTITUTE(Клиенты_исходные!D260," ",""),"-",""),"+",""),"(",""),")",""),2,10),SUBSTITUTE(SUBSTITUTE(SUBSTITUTE(SUBSTITUTE(SUBSTITUTE(Клиенты_исходные!D260," ",""),"-",""),"+",""),"(",""),")","")),5,3)&amp;"-"&amp;MID(IF(LEFT(SUBSTITUTE(SUBSTITUTE(SUBSTITUTE(SUBSTITUTE(SUBSTITUTE(Клиенты_исходные!D260," ",""),"-",""),"+",""),"(",""),")",""))="8","7"&amp;MID(SUBSTITUTE(SUBSTITUTE(SUBSTITUTE(SUBSTITUTE(SUBSTITUTE(Клиенты_исходные!D260," ",""),"-",""),"+",""),"(",""),")",""),2,10),SUBSTITUTE(SUBSTITUTE(SUBSTITUTE(SUBSTITUTE(SUBSTITUTE(Клиенты_исходные!D260," ",""),"-",""),"+",""),"(",""),")","")),8,2)&amp;"-"&amp;MID(IF(LEFT(SUBSTITUTE(SUBSTITUTE(SUBSTITUTE(SUBSTITUTE(SUBSTITUTE(Клиенты_исходные!D260," ",""),"-",""),"+",""),"(",""),")",""))="8","7"&amp;MID(SUBSTITUTE(SUBSTITUTE(SUBSTITUTE(SUBSTITUTE(SUBSTITUTE(Клиенты_исходные!D260," ",""),"-",""),"+",""),"(",""),")",""),2,10),SUBSTITUTE(SUBSTITUTE(SUBSTITUTE(SUBSTITUTE(SUBSTITUTE(Клиенты_исходные!D260," ",""),"-",""),"+",""),"(",""),")","")),10,2),IF(LEN(SUBSTITUTE(SUBSTITUTE(SUBSTITUTE(SUBSTITUTE(SUBSTITUTE(Клиенты_исходные!D260," ",""),"-",""),"+",""),"(",""),")",""))=10,"+7 ("&amp;MID(SUBSTITUTE(SUBSTITUTE(SUBSTITUTE(SUBSTITUTE(SUBSTITUTE(Клиенты_исходные!D260," ",""),"-",""),"+",""),"(",""),")",""),1,3)&amp;") "&amp;MID(SUBSTITUTE(SUBSTITUTE(SUBSTITUTE(SUBSTITUTE(SUBSTITUTE(Клиенты_исходные!D260," ",""),"-",""),"+",""),"(",""),")",""),4,3)&amp;"-"&amp;MID(SUBSTITUTE(SUBSTITUTE(SUBSTITUTE(SUBSTITUTE(SUBSTITUTE(Клиенты_исходные!D260," ",""),"-",""),"+",""),"(",""),")",""),6,2)&amp;"-"&amp;MID(SUBSTITUTE(SUBSTITUTE(SUBSTITUTE(SUBSTITUTE(SUBSTITUTE(Клиенты_исходные!D260," ",""),"-",""),"+",""),"(",""),")",""),8,2),Клиенты_исходные!D260)))</f>
        <v xml:space="preserve">+7 (903) 234-56-78</v>
      </c>
      <c r="E260" t="str">
        <f>IF(ISBLANK(Клиенты_исходные!E260),"",IF(ISNUMBER(FIND(".",MID(Клиенты_исходные!E260,FIND("@",Клиенты_исходные!E260)+1,255))),Клиенты_исходные!E260,IF(ISNUMBER(FIND("gmail",Клиенты_исходные!E260)),Клиенты_исходные!E260&amp;".com",Клиенты_исходные!E260&amp;".ru")))</f>
        <v>struchkova@mail.ru</v>
      </c>
      <c r="F260" t="str">
        <f>IFERROR(VLOOKUP(Клиенты_исходные!F260,Справочники!$J$2:$K$50,2,FALSE),Клиенты_исходные!F260)</f>
        <v>Курган</v>
      </c>
      <c r="G260" s="8">
        <f>IFERROR(IF(ISNUMBER(FIND(".",Клиенты_исходные!G260)),DATE(RIGHT(Клиенты_исходные!G260,4),MID(Клиенты_исходные!G260,4,2),LEFT(Клиенты_исходные!G260,2)),DATE(LEFT(Клиенты_исходные!G260,4),MID(Клиенты_исходные!G260,6,2),RIGHT(Клиенты_исходные!G260,2))),Клиенты_исходные!G260)</f>
        <v>47178</v>
      </c>
      <c r="H260">
        <f t="shared" ca="1" si="58"/>
        <v>53</v>
      </c>
      <c r="I260" t="str">
        <f t="shared" si="59"/>
        <v>OK</v>
      </c>
      <c r="J260" t="str">
        <f t="shared" si="60"/>
        <v>OK</v>
      </c>
    </row>
    <row r="261">
      <c r="A261" t="str">
        <f>Клиенты_исходные!A261</f>
        <v>C0260</v>
      </c>
      <c r="B261" t="str">
        <f>PROPER(TRIM(Клиенты_исходные!B261))</f>
        <v xml:space="preserve">Шаламов Олег Игоревич</v>
      </c>
      <c r="C261" s="8">
        <f>IFERROR(IF(ISNUMBER(FIND(".",Клиенты_исходные!C261)),DATE(RIGHT(Клиенты_исходные!C261,4),MID(Клиенты_исходные!C261,4,2),LEFT(Клиенты_исходные!C261,2)),DATE(LEFT(Клиенты_исходные!C261,4),MID(Клиенты_исходные!C261,6,2),RIGHT(Клиенты_исходные!C261,2))),Клиенты_исходные!C261)</f>
        <v>32221</v>
      </c>
      <c r="D261" t="str">
        <f>IF(ISBLANK(Клиенты_исходные!D261),"",IF(LEN(SUBSTITUTE(SUBSTITUTE(SUBSTITUTE(SUBSTITUTE(SUBSTITUTE(Клиенты_исходные!D261," ",""),"-",""),"+",""),"(",""),")",""))=11,"+7 ("&amp;MID(IF(LEFT(SUBSTITUTE(SUBSTITUTE(SUBSTITUTE(SUBSTITUTE(SUBSTITUTE(Клиенты_исходные!D261," ",""),"-",""),"+",""),"(",""),")",""))="8","7"&amp;MID(SUBSTITUTE(SUBSTITUTE(SUBSTITUTE(SUBSTITUTE(SUBSTITUTE(Клиенты_исходные!D261," ",""),"-",""),"+",""),"(",""),")",""),2,10),SUBSTITUTE(SUBSTITUTE(SUBSTITUTE(SUBSTITUTE(SUBSTITUTE(Клиенты_исходные!D261," ",""),"-",""),"+",""),"(",""),")","")),2,3)&amp;") "&amp;MID(IF(LEFT(SUBSTITUTE(SUBSTITUTE(SUBSTITUTE(SUBSTITUTE(SUBSTITUTE(Клиенты_исходные!D261," ",""),"-",""),"+",""),"(",""),")",""))="8","7"&amp;MID(SUBSTITUTE(SUBSTITUTE(SUBSTITUTE(SUBSTITUTE(SUBSTITUTE(Клиенты_исходные!D261," ",""),"-",""),"+",""),"(",""),")",""),2,10),SUBSTITUTE(SUBSTITUTE(SUBSTITUTE(SUBSTITUTE(SUBSTITUTE(Клиенты_исходные!D261," ",""),"-",""),"+",""),"(",""),")","")),5,3)&amp;"-"&amp;MID(IF(LEFT(SUBSTITUTE(SUBSTITUTE(SUBSTITUTE(SUBSTITUTE(SUBSTITUTE(Клиенты_исходные!D261," ",""),"-",""),"+",""),"(",""),")",""))="8","7"&amp;MID(SUBSTITUTE(SUBSTITUTE(SUBSTITUTE(SUBSTITUTE(SUBSTITUTE(Клиенты_исходные!D261," ",""),"-",""),"+",""),"(",""),")",""),2,10),SUBSTITUTE(SUBSTITUTE(SUBSTITUTE(SUBSTITUTE(SUBSTITUTE(Клиенты_исходные!D261," ",""),"-",""),"+",""),"(",""),")","")),8,2)&amp;"-"&amp;MID(IF(LEFT(SUBSTITUTE(SUBSTITUTE(SUBSTITUTE(SUBSTITUTE(SUBSTITUTE(Клиенты_исходные!D261," ",""),"-",""),"+",""),"(",""),")",""))="8","7"&amp;MID(SUBSTITUTE(SUBSTITUTE(SUBSTITUTE(SUBSTITUTE(SUBSTITUTE(Клиенты_исходные!D261," ",""),"-",""),"+",""),"(",""),")",""),2,10),SUBSTITUTE(SUBSTITUTE(SUBSTITUTE(SUBSTITUTE(SUBSTITUTE(Клиенты_исходные!D261," ",""),"-",""),"+",""),"(",""),")","")),10,2),IF(LEN(SUBSTITUTE(SUBSTITUTE(SUBSTITUTE(SUBSTITUTE(SUBSTITUTE(Клиенты_исходные!D261," ",""),"-",""),"+",""),"(",""),")",""))=10,"+7 ("&amp;MID(SUBSTITUTE(SUBSTITUTE(SUBSTITUTE(SUBSTITUTE(SUBSTITUTE(Клиенты_исходные!D261," ",""),"-",""),"+",""),"(",""),")",""),1,3)&amp;") "&amp;MID(SUBSTITUTE(SUBSTITUTE(SUBSTITUTE(SUBSTITUTE(SUBSTITUTE(Клиенты_исходные!D261," ",""),"-",""),"+",""),"(",""),")",""),4,3)&amp;"-"&amp;MID(SUBSTITUTE(SUBSTITUTE(SUBSTITUTE(SUBSTITUTE(SUBSTITUTE(Клиенты_исходные!D261," ",""),"-",""),"+",""),"(",""),")",""),6,2)&amp;"-"&amp;MID(SUBSTITUTE(SUBSTITUTE(SUBSTITUTE(SUBSTITUTE(SUBSTITUTE(Клиенты_исходные!D261," ",""),"-",""),"+",""),"(",""),")",""),8,2),Клиенты_исходные!D261)))</f>
        <v xml:space="preserve">+7 (903) 234-56-78</v>
      </c>
      <c r="E261" t="str">
        <f>IF(ISBLANK(Клиенты_исходные!E261),"",IF(ISNUMBER(FIND(".",MID(Клиенты_исходные!E261,FIND("@",Клиенты_исходные!E261)+1,255))),Клиенты_исходные!E261,IF(ISNUMBER(FIND("gmail",Клиенты_исходные!E261)),Клиенты_исходные!E261&amp;".com",Клиенты_исходные!E261&amp;".ru")))</f>
        <v>shalamov@yandex.ru</v>
      </c>
      <c r="F261" t="str">
        <f>IFERROR(VLOOKUP(Клиенты_исходные!F261,Справочники!$J$2:$K$50,2,FALSE),Клиенты_исходные!F261)</f>
        <v>Архангельск</v>
      </c>
      <c r="G261" s="8">
        <f>IFERROR(IF(ISNUMBER(FIND(".",Клиенты_исходные!G261)),DATE(RIGHT(Клиенты_исходные!G261,4),MID(Клиенты_исходные!G261,4,2),LEFT(Клиенты_исходные!G261,2)),DATE(LEFT(Клиенты_исходные!G261,4),MID(Клиенты_исходные!G261,6,2),RIGHT(Клиенты_исходные!G261,2))),Клиенты_исходные!G261)</f>
        <v>47192</v>
      </c>
      <c r="H261">
        <f t="shared" ca="1" si="58"/>
        <v>38</v>
      </c>
      <c r="I261" t="str">
        <f t="shared" si="59"/>
        <v>OK</v>
      </c>
      <c r="J261" t="str">
        <f t="shared" si="60"/>
        <v>OK</v>
      </c>
    </row>
    <row r="262">
      <c r="A262" t="str">
        <f>Клиенты_исходные!A262</f>
        <v>C0261</v>
      </c>
      <c r="B262" t="str">
        <f>PROPER(TRIM(Клиенты_исходные!B262))</f>
        <v xml:space="preserve">Алексеев Дмитрий Петрович</v>
      </c>
      <c r="C262" s="8">
        <f>IFERROR(IF(ISNUMBER(FIND(".",Клиенты_исходные!C262)),DATE(RIGHT(Клиенты_исходные!C262,4),MID(Клиенты_исходные!C262,4,2),LEFT(Клиенты_исходные!C262,2)),DATE(LEFT(Клиенты_исходные!C262,4),MID(Клиенты_исходные!C262,6,2),RIGHT(Клиенты_исходные!C262,2))),Клиенты_исходные!C262)</f>
        <v>29901</v>
      </c>
      <c r="D262" t="str">
        <f>IF(ISBLANK(Клиенты_исходные!D262),"",IF(LEN(SUBSTITUTE(SUBSTITUTE(SUBSTITUTE(SUBSTITUTE(SUBSTITUTE(Клиенты_исходные!D262," ",""),"-",""),"+",""),"(",""),")",""))=11,"+7 ("&amp;MID(IF(LEFT(SUBSTITUTE(SUBSTITUTE(SUBSTITUTE(SUBSTITUTE(SUBSTITUTE(Клиенты_исходные!D262," ",""),"-",""),"+",""),"(",""),")",""))="8","7"&amp;MID(SUBSTITUTE(SUBSTITUTE(SUBSTITUTE(SUBSTITUTE(SUBSTITUTE(Клиенты_исходные!D262," ",""),"-",""),"+",""),"(",""),")",""),2,10),SUBSTITUTE(SUBSTITUTE(SUBSTITUTE(SUBSTITUTE(SUBSTITUTE(Клиенты_исходные!D262," ",""),"-",""),"+",""),"(",""),")","")),2,3)&amp;") "&amp;MID(IF(LEFT(SUBSTITUTE(SUBSTITUTE(SUBSTITUTE(SUBSTITUTE(SUBSTITUTE(Клиенты_исходные!D262," ",""),"-",""),"+",""),"(",""),")",""))="8","7"&amp;MID(SUBSTITUTE(SUBSTITUTE(SUBSTITUTE(SUBSTITUTE(SUBSTITUTE(Клиенты_исходные!D262," ",""),"-",""),"+",""),"(",""),")",""),2,10),SUBSTITUTE(SUBSTITUTE(SUBSTITUTE(SUBSTITUTE(SUBSTITUTE(Клиенты_исходные!D262," ",""),"-",""),"+",""),"(",""),")","")),5,3)&amp;"-"&amp;MID(IF(LEFT(SUBSTITUTE(SUBSTITUTE(SUBSTITUTE(SUBSTITUTE(SUBSTITUTE(Клиенты_исходные!D262," ",""),"-",""),"+",""),"(",""),")",""))="8","7"&amp;MID(SUBSTITUTE(SUBSTITUTE(SUBSTITUTE(SUBSTITUTE(SUBSTITUTE(Клиенты_исходные!D262," ",""),"-",""),"+",""),"(",""),")",""),2,10),SUBSTITUTE(SUBSTITUTE(SUBSTITUTE(SUBSTITUTE(SUBSTITUTE(Клиенты_исходные!D262," ",""),"-",""),"+",""),"(",""),")","")),8,2)&amp;"-"&amp;MID(IF(LEFT(SUBSTITUTE(SUBSTITUTE(SUBSTITUTE(SUBSTITUTE(SUBSTITUTE(Клиенты_исходные!D262," ",""),"-",""),"+",""),"(",""),")",""))="8","7"&amp;MID(SUBSTITUTE(SUBSTITUTE(SUBSTITUTE(SUBSTITUTE(SUBSTITUTE(Клиенты_исходные!D262," ",""),"-",""),"+",""),"(",""),")",""),2,10),SUBSTITUTE(SUBSTITUTE(SUBSTITUTE(SUBSTITUTE(SUBSTITUTE(Клиенты_исходные!D262," ",""),"-",""),"+",""),"(",""),")","")),10,2),IF(LEN(SUBSTITUTE(SUBSTITUTE(SUBSTITUTE(SUBSTITUTE(SUBSTITUTE(Клиенты_исходные!D262," ",""),"-",""),"+",""),"(",""),")",""))=10,"+7 ("&amp;MID(SUBSTITUTE(SUBSTITUTE(SUBSTITUTE(SUBSTITUTE(SUBSTITUTE(Клиенты_исходные!D262," ",""),"-",""),"+",""),"(",""),")",""),1,3)&amp;") "&amp;MID(SUBSTITUTE(SUBSTITUTE(SUBSTITUTE(SUBSTITUTE(SUBSTITUTE(Клиенты_исходные!D262," ",""),"-",""),"+",""),"(",""),")",""),4,3)&amp;"-"&amp;MID(SUBSTITUTE(SUBSTITUTE(SUBSTITUTE(SUBSTITUTE(SUBSTITUTE(Клиенты_исходные!D262," ",""),"-",""),"+",""),"(",""),")",""),6,2)&amp;"-"&amp;MID(SUBSTITUTE(SUBSTITUTE(SUBSTITUTE(SUBSTITUTE(SUBSTITUTE(Клиенты_исходные!D262," ",""),"-",""),"+",""),"(",""),")",""),8,2),Клиенты_исходные!D262)))</f>
        <v xml:space="preserve">+7 (903) 345-67-89</v>
      </c>
      <c r="E262" t="str">
        <f>IF(ISBLANK(Клиенты_исходные!E262),"",IF(ISNUMBER(FIND(".",MID(Клиенты_исходные!E262,FIND("@",Клиенты_исходные!E262)+1,255))),Клиенты_исходные!E262,IF(ISNUMBER(FIND("gmail",Клиенты_исходные!E262)),Клиенты_исходные!E262&amp;".com",Клиенты_исходные!E262&amp;".ru")))</f>
        <v>alekseev@gmail.com</v>
      </c>
      <c r="F262" t="str">
        <f>IFERROR(VLOOKUP(Клиенты_исходные!F262,Справочники!$J$2:$K$50,2,FALSE),Клиенты_исходные!F262)</f>
        <v>Благовещенск</v>
      </c>
      <c r="G262" s="8">
        <f>IFERROR(IF(ISNUMBER(FIND(".",Клиенты_исходные!G262)),DATE(RIGHT(Клиенты_исходные!G262,4),MID(Клиенты_исходные!G262,4,2),LEFT(Клиенты_исходные!G262,2)),DATE(LEFT(Клиенты_исходные!G262,4),MID(Клиенты_исходные!G262,6,2),RIGHT(Клиенты_исходные!G262,2))),Клиенты_исходные!G262)</f>
        <v>47192</v>
      </c>
      <c r="H262">
        <f t="shared" ca="1" si="58"/>
        <v>44</v>
      </c>
      <c r="I262" t="str">
        <f t="shared" si="59"/>
        <v>OK</v>
      </c>
      <c r="J262" t="str">
        <f t="shared" si="60"/>
        <v>OK</v>
      </c>
    </row>
    <row r="263">
      <c r="A263" t="str">
        <f>Клиенты_исходные!A263</f>
        <v>C0262</v>
      </c>
      <c r="B263" t="str">
        <f>PROPER(TRIM(Клиенты_исходные!B263))</f>
        <v xml:space="preserve">Сорокина Татьяна Борисовна</v>
      </c>
      <c r="C263" s="8">
        <f>IFERROR(IF(ISNUMBER(FIND(".",Клиенты_исходные!C263)),DATE(RIGHT(Клиенты_исходные!C263,4),MID(Клиенты_исходные!C263,4,2),LEFT(Клиенты_исходные!C263,2)),DATE(LEFT(Клиенты_исходные!C263,4),MID(Клиенты_исходные!C263,6,2),RIGHT(Клиенты_исходные!C263,2))),Клиенты_исходные!C263)</f>
        <v>27946</v>
      </c>
      <c r="D263" t="str">
        <f>IF(ISBLANK(Клиенты_исходные!D263),"",IF(LEN(SUBSTITUTE(SUBSTITUTE(SUBSTITUTE(SUBSTITUTE(SUBSTITUTE(Клиенты_исходные!D263," ",""),"-",""),"+",""),"(",""),")",""))=11,"+7 ("&amp;MID(IF(LEFT(SUBSTITUTE(SUBSTITUTE(SUBSTITUTE(SUBSTITUTE(SUBSTITUTE(Клиенты_исходные!D263," ",""),"-",""),"+",""),"(",""),")",""))="8","7"&amp;MID(SUBSTITUTE(SUBSTITUTE(SUBSTITUTE(SUBSTITUTE(SUBSTITUTE(Клиенты_исходные!D263," ",""),"-",""),"+",""),"(",""),")",""),2,10),SUBSTITUTE(SUBSTITUTE(SUBSTITUTE(SUBSTITUTE(SUBSTITUTE(Клиенты_исходные!D263," ",""),"-",""),"+",""),"(",""),")","")),2,3)&amp;") "&amp;MID(IF(LEFT(SUBSTITUTE(SUBSTITUTE(SUBSTITUTE(SUBSTITUTE(SUBSTITUTE(Клиенты_исходные!D263," ",""),"-",""),"+",""),"(",""),")",""))="8","7"&amp;MID(SUBSTITUTE(SUBSTITUTE(SUBSTITUTE(SUBSTITUTE(SUBSTITUTE(Клиенты_исходные!D263," ",""),"-",""),"+",""),"(",""),")",""),2,10),SUBSTITUTE(SUBSTITUTE(SUBSTITUTE(SUBSTITUTE(SUBSTITUTE(Клиенты_исходные!D263," ",""),"-",""),"+",""),"(",""),")","")),5,3)&amp;"-"&amp;MID(IF(LEFT(SUBSTITUTE(SUBSTITUTE(SUBSTITUTE(SUBSTITUTE(SUBSTITUTE(Клиенты_исходные!D263," ",""),"-",""),"+",""),"(",""),")",""))="8","7"&amp;MID(SUBSTITUTE(SUBSTITUTE(SUBSTITUTE(SUBSTITUTE(SUBSTITUTE(Клиенты_исходные!D263," ",""),"-",""),"+",""),"(",""),")",""),2,10),SUBSTITUTE(SUBSTITUTE(SUBSTITUTE(SUBSTITUTE(SUBSTITUTE(Клиенты_исходные!D263," ",""),"-",""),"+",""),"(",""),")","")),8,2)&amp;"-"&amp;MID(IF(LEFT(SUBSTITUTE(SUBSTITUTE(SUBSTITUTE(SUBSTITUTE(SUBSTITUTE(Клиенты_исходные!D263," ",""),"-",""),"+",""),"(",""),")",""))="8","7"&amp;MID(SUBSTITUTE(SUBSTITUTE(SUBSTITUTE(SUBSTITUTE(SUBSTITUTE(Клиенты_исходные!D263," ",""),"-",""),"+",""),"(",""),")",""),2,10),SUBSTITUTE(SUBSTITUTE(SUBSTITUTE(SUBSTITUTE(SUBSTITUTE(Клиенты_исходные!D263," ",""),"-",""),"+",""),"(",""),")","")),10,2),IF(LEN(SUBSTITUTE(SUBSTITUTE(SUBSTITUTE(SUBSTITUTE(SUBSTITUTE(Клиенты_исходные!D263," ",""),"-",""),"+",""),"(",""),")",""))=10,"+7 ("&amp;MID(SUBSTITUTE(SUBSTITUTE(SUBSTITUTE(SUBSTITUTE(SUBSTITUTE(Клиенты_исходные!D263," ",""),"-",""),"+",""),"(",""),")",""),1,3)&amp;") "&amp;MID(SUBSTITUTE(SUBSTITUTE(SUBSTITUTE(SUBSTITUTE(SUBSTITUTE(Клиенты_исходные!D263," ",""),"-",""),"+",""),"(",""),")",""),4,3)&amp;"-"&amp;MID(SUBSTITUTE(SUBSTITUTE(SUBSTITUTE(SUBSTITUTE(SUBSTITUTE(Клиенты_исходные!D263," ",""),"-",""),"+",""),"(",""),")",""),6,2)&amp;"-"&amp;MID(SUBSTITUTE(SUBSTITUTE(SUBSTITUTE(SUBSTITUTE(SUBSTITUTE(Клиенты_исходные!D263," ",""),"-",""),"+",""),"(",""),")",""),8,2),Клиенты_исходные!D263)))</f>
        <v xml:space="preserve">+7 (903) 345-67-89</v>
      </c>
      <c r="E263" t="str">
        <f>IF(ISBLANK(Клиенты_исходные!E263),"",IF(ISNUMBER(FIND(".",MID(Клиенты_исходные!E263,FIND("@",Клиенты_исходные!E263)+1,255))),Клиенты_исходные!E263,IF(ISNUMBER(FIND("gmail",Клиенты_исходные!E263)),Клиенты_исходные!E263&amp;".com",Клиенты_исходные!E263&amp;".ru")))</f>
        <v>sorokina@mail.ru</v>
      </c>
      <c r="F263" t="str">
        <f>IFERROR(VLOOKUP(Клиенты_исходные!F263,Справочники!$J$2:$K$50,2,FALSE),Клиенты_исходные!F263)</f>
        <v>Майкоп</v>
      </c>
      <c r="G263" s="8">
        <f>IFERROR(IF(ISNUMBER(FIND(".",Клиенты_исходные!G263)),DATE(RIGHT(Клиенты_исходные!G263,4),MID(Клиенты_исходные!G263,4,2),LEFT(Клиенты_исходные!G263,2)),DATE(LEFT(Клиенты_исходные!G263,4),MID(Клиенты_исходные!G263,6,2),RIGHT(Клиенты_исходные!G263,2))),Клиенты_исходные!G263)</f>
        <v>47209</v>
      </c>
      <c r="H263">
        <f t="shared" ca="1" si="58"/>
        <v>50</v>
      </c>
      <c r="I263" t="str">
        <f t="shared" si="59"/>
        <v>OK</v>
      </c>
      <c r="J263" t="str">
        <f t="shared" si="60"/>
        <v>OK</v>
      </c>
    </row>
    <row r="264">
      <c r="A264" t="str">
        <f>Клиенты_исходные!A264</f>
        <v>C0263</v>
      </c>
      <c r="B264" t="str">
        <f>PROPER(TRIM(Клиенты_исходные!B264))</f>
        <v xml:space="preserve">Пономарёв Сергей Александрович</v>
      </c>
      <c r="C264" s="8">
        <f>IFERROR(IF(ISNUMBER(FIND(".",Клиенты_исходные!C264)),DATE(RIGHT(Клиенты_исходные!C264,4),MID(Клиенты_исходные!C264,4,2),LEFT(Клиенты_исходные!C264,2)),DATE(LEFT(Клиенты_исходные!C264,4),MID(Клиенты_исходные!C264,6,2),RIGHT(Клиенты_исходные!C264,2))),Клиенты_исходные!C264)</f>
        <v>33871</v>
      </c>
      <c r="D264" t="str">
        <f>IF(ISBLANK(Клиенты_исходные!D264),"",IF(LEN(SUBSTITUTE(SUBSTITUTE(SUBSTITUTE(SUBSTITUTE(SUBSTITUTE(Клиенты_исходные!D264," ",""),"-",""),"+",""),"(",""),")",""))=11,"+7 ("&amp;MID(IF(LEFT(SUBSTITUTE(SUBSTITUTE(SUBSTITUTE(SUBSTITUTE(SUBSTITUTE(Клиенты_исходные!D264," ",""),"-",""),"+",""),"(",""),")",""))="8","7"&amp;MID(SUBSTITUTE(SUBSTITUTE(SUBSTITUTE(SUBSTITUTE(SUBSTITUTE(Клиенты_исходные!D264," ",""),"-",""),"+",""),"(",""),")",""),2,10),SUBSTITUTE(SUBSTITUTE(SUBSTITUTE(SUBSTITUTE(SUBSTITUTE(Клиенты_исходные!D264," ",""),"-",""),"+",""),"(",""),")","")),2,3)&amp;") "&amp;MID(IF(LEFT(SUBSTITUTE(SUBSTITUTE(SUBSTITUTE(SUBSTITUTE(SUBSTITUTE(Клиенты_исходные!D264," ",""),"-",""),"+",""),"(",""),")",""))="8","7"&amp;MID(SUBSTITUTE(SUBSTITUTE(SUBSTITUTE(SUBSTITUTE(SUBSTITUTE(Клиенты_исходные!D264," ",""),"-",""),"+",""),"(",""),")",""),2,10),SUBSTITUTE(SUBSTITUTE(SUBSTITUTE(SUBSTITUTE(SUBSTITUTE(Клиенты_исходные!D264," ",""),"-",""),"+",""),"(",""),")","")),5,3)&amp;"-"&amp;MID(IF(LEFT(SUBSTITUTE(SUBSTITUTE(SUBSTITUTE(SUBSTITUTE(SUBSTITUTE(Клиенты_исходные!D264," ",""),"-",""),"+",""),"(",""),")",""))="8","7"&amp;MID(SUBSTITUTE(SUBSTITUTE(SUBSTITUTE(SUBSTITUTE(SUBSTITUTE(Клиенты_исходные!D264," ",""),"-",""),"+",""),"(",""),")",""),2,10),SUBSTITUTE(SUBSTITUTE(SUBSTITUTE(SUBSTITUTE(SUBSTITUTE(Клиенты_исходные!D264," ",""),"-",""),"+",""),"(",""),")","")),8,2)&amp;"-"&amp;MID(IF(LEFT(SUBSTITUTE(SUBSTITUTE(SUBSTITUTE(SUBSTITUTE(SUBSTITUTE(Клиенты_исходные!D264," ",""),"-",""),"+",""),"(",""),")",""))="8","7"&amp;MID(SUBSTITUTE(SUBSTITUTE(SUBSTITUTE(SUBSTITUTE(SUBSTITUTE(Клиенты_исходные!D264," ",""),"-",""),"+",""),"(",""),")",""),2,10),SUBSTITUTE(SUBSTITUTE(SUBSTITUTE(SUBSTITUTE(SUBSTITUTE(Клиенты_исходные!D264," ",""),"-",""),"+",""),"(",""),")","")),10,2),IF(LEN(SUBSTITUTE(SUBSTITUTE(SUBSTITUTE(SUBSTITUTE(SUBSTITUTE(Клиенты_исходные!D264," ",""),"-",""),"+",""),"(",""),")",""))=10,"+7 ("&amp;MID(SUBSTITUTE(SUBSTITUTE(SUBSTITUTE(SUBSTITUTE(SUBSTITUTE(Клиенты_исходные!D264," ",""),"-",""),"+",""),"(",""),")",""),1,3)&amp;") "&amp;MID(SUBSTITUTE(SUBSTITUTE(SUBSTITUTE(SUBSTITUTE(SUBSTITUTE(Клиенты_исходные!D264," ",""),"-",""),"+",""),"(",""),")",""),4,3)&amp;"-"&amp;MID(SUBSTITUTE(SUBSTITUTE(SUBSTITUTE(SUBSTITUTE(SUBSTITUTE(Клиенты_исходные!D264," ",""),"-",""),"+",""),"(",""),")",""),6,2)&amp;"-"&amp;MID(SUBSTITUTE(SUBSTITUTE(SUBSTITUTE(SUBSTITUTE(SUBSTITUTE(Клиенты_исходные!D264," ",""),"-",""),"+",""),"(",""),")",""),8,2),Клиенты_исходные!D264)))</f>
        <v xml:space="preserve">+7 (903) 345-67-89</v>
      </c>
      <c r="E264" t="str">
        <f>IF(ISBLANK(Клиенты_исходные!E264),"",IF(ISNUMBER(FIND(".",MID(Клиенты_исходные!E264,FIND("@",Клиенты_исходные!E264)+1,255))),Клиенты_исходные!E264,IF(ISNUMBER(FIND("gmail",Клиенты_исходные!E264)),Клиенты_исходные!E264&amp;".com",Клиенты_исходные!E264&amp;".ru")))</f>
        <v>ponomarev@yandex.ru</v>
      </c>
      <c r="F264" t="str">
        <f>IFERROR(VLOOKUP(Клиенты_исходные!F264,Справочники!$J$2:$K$50,2,FALSE),Клиенты_исходные!F264)</f>
        <v>Уссурийск</v>
      </c>
      <c r="G264" s="8">
        <f>IFERROR(IF(ISNUMBER(FIND(".",Клиенты_исходные!G264)),DATE(RIGHT(Клиенты_исходные!G264,4),MID(Клиенты_исходные!G264,4,2),LEFT(Клиенты_исходные!G264,2)),DATE(LEFT(Клиенты_исходные!G264,4),MID(Клиенты_исходные!G264,6,2),RIGHT(Клиенты_исходные!G264,2))),Клиенты_исходные!G264)</f>
        <v>47218</v>
      </c>
      <c r="H264">
        <f t="shared" ca="1" si="58"/>
        <v>34</v>
      </c>
      <c r="I264" t="str">
        <f t="shared" si="59"/>
        <v>OK</v>
      </c>
      <c r="J264" t="str">
        <f t="shared" si="60"/>
        <v>OK</v>
      </c>
    </row>
    <row r="265">
      <c r="A265" t="str">
        <f>Клиенты_исходные!A265</f>
        <v>C0264</v>
      </c>
      <c r="B265" t="str">
        <f>PROPER(TRIM(Клиенты_исходные!B265))</f>
        <v xml:space="preserve">Репин Илья Васильевич</v>
      </c>
      <c r="C265" s="8">
        <f>IFERROR(IF(ISNUMBER(FIND(".",Клиенты_исходные!C265)),DATE(RIGHT(Клиенты_исходные!C265,4),MID(Клиенты_исходные!C265,4,2),LEFT(Клиенты_исходные!C265,2)),DATE(LEFT(Клиенты_исходные!C265,4),MID(Клиенты_исходные!C265,6,2),RIGHT(Клиенты_исходные!C265,2))),Клиенты_исходные!C265)</f>
        <v>30818</v>
      </c>
      <c r="D265" t="str">
        <f>IF(ISBLANK(Клиенты_исходные!D265),"",IF(LEN(SUBSTITUTE(SUBSTITUTE(SUBSTITUTE(SUBSTITUTE(SUBSTITUTE(Клиенты_исходные!D265," ",""),"-",""),"+",""),"(",""),")",""))=11,"+7 ("&amp;MID(IF(LEFT(SUBSTITUTE(SUBSTITUTE(SUBSTITUTE(SUBSTITUTE(SUBSTITUTE(Клиенты_исходные!D265," ",""),"-",""),"+",""),"(",""),")",""))="8","7"&amp;MID(SUBSTITUTE(SUBSTITUTE(SUBSTITUTE(SUBSTITUTE(SUBSTITUTE(Клиенты_исходные!D265," ",""),"-",""),"+",""),"(",""),")",""),2,10),SUBSTITUTE(SUBSTITUTE(SUBSTITUTE(SUBSTITUTE(SUBSTITUTE(Клиенты_исходные!D265," ",""),"-",""),"+",""),"(",""),")","")),2,3)&amp;") "&amp;MID(IF(LEFT(SUBSTITUTE(SUBSTITUTE(SUBSTITUTE(SUBSTITUTE(SUBSTITUTE(Клиенты_исходные!D265," ",""),"-",""),"+",""),"(",""),")",""))="8","7"&amp;MID(SUBSTITUTE(SUBSTITUTE(SUBSTITUTE(SUBSTITUTE(SUBSTITUTE(Клиенты_исходные!D265," ",""),"-",""),"+",""),"(",""),")",""),2,10),SUBSTITUTE(SUBSTITUTE(SUBSTITUTE(SUBSTITUTE(SUBSTITUTE(Клиенты_исходные!D265," ",""),"-",""),"+",""),"(",""),")","")),5,3)&amp;"-"&amp;MID(IF(LEFT(SUBSTITUTE(SUBSTITUTE(SUBSTITUTE(SUBSTITUTE(SUBSTITUTE(Клиенты_исходные!D265," ",""),"-",""),"+",""),"(",""),")",""))="8","7"&amp;MID(SUBSTITUTE(SUBSTITUTE(SUBSTITUTE(SUBSTITUTE(SUBSTITUTE(Клиенты_исходные!D265," ",""),"-",""),"+",""),"(",""),")",""),2,10),SUBSTITUTE(SUBSTITUTE(SUBSTITUTE(SUBSTITUTE(SUBSTITUTE(Клиенты_исходные!D265," ",""),"-",""),"+",""),"(",""),")","")),8,2)&amp;"-"&amp;MID(IF(LEFT(SUBSTITUTE(SUBSTITUTE(SUBSTITUTE(SUBSTITUTE(SUBSTITUTE(Клиенты_исходные!D265," ",""),"-",""),"+",""),"(",""),")",""))="8","7"&amp;MID(SUBSTITUTE(SUBSTITUTE(SUBSTITUTE(SUBSTITUTE(SUBSTITUTE(Клиенты_исходные!D265," ",""),"-",""),"+",""),"(",""),")",""),2,10),SUBSTITUTE(SUBSTITUTE(SUBSTITUTE(SUBSTITUTE(SUBSTITUTE(Клиенты_исходные!D265," ",""),"-",""),"+",""),"(",""),")","")),10,2),IF(LEN(SUBSTITUTE(SUBSTITUTE(SUBSTITUTE(SUBSTITUTE(SUBSTITUTE(Клиенты_исходные!D265," ",""),"-",""),"+",""),"(",""),")",""))=10,"+7 ("&amp;MID(SUBSTITUTE(SUBSTITUTE(SUBSTITUTE(SUBSTITUTE(SUBSTITUTE(Клиенты_исходные!D265," ",""),"-",""),"+",""),"(",""),")",""),1,3)&amp;") "&amp;MID(SUBSTITUTE(SUBSTITUTE(SUBSTITUTE(SUBSTITUTE(SUBSTITUTE(Клиенты_исходные!D265," ",""),"-",""),"+",""),"(",""),")",""),4,3)&amp;"-"&amp;MID(SUBSTITUTE(SUBSTITUTE(SUBSTITUTE(SUBSTITUTE(SUBSTITUTE(Клиенты_исходные!D265," ",""),"-",""),"+",""),"(",""),")",""),6,2)&amp;"-"&amp;MID(SUBSTITUTE(SUBSTITUTE(SUBSTITUTE(SUBSTITUTE(SUBSTITUTE(Клиенты_исходные!D265," ",""),"-",""),"+",""),"(",""),")",""),8,2),Клиенты_исходные!D265)))</f>
        <v xml:space="preserve">+7 (903) 456-78-90</v>
      </c>
      <c r="E265" t="str">
        <f>IF(ISBLANK(Клиенты_исходные!E265),"",IF(ISNUMBER(FIND(".",MID(Клиенты_исходные!E265,FIND("@",Клиенты_исходные!E265)+1,255))),Клиенты_исходные!E265,IF(ISNUMBER(FIND("gmail",Клиенты_исходные!E265)),Клиенты_исходные!E265&amp;".com",Клиенты_исходные!E265&amp;".ru")))</f>
        <v>repin@gmail.com</v>
      </c>
      <c r="F265" t="str">
        <f>IFERROR(VLOOKUP(Клиенты_исходные!F265,Справочники!$J$2:$K$50,2,FALSE),Клиенты_исходные!F265)</f>
        <v>Миасс</v>
      </c>
      <c r="G265" s="8">
        <f>IFERROR(IF(ISNUMBER(FIND(".",Клиенты_исходные!G265)),DATE(RIGHT(Клиенты_исходные!G265,4),MID(Клиенты_исходные!G265,4,2),LEFT(Клиенты_исходные!G265,2)),DATE(LEFT(Клиенты_исходные!G265,4),MID(Клиенты_исходные!G265,6,2),RIGHT(Клиенты_исходные!G265,2))),Клиенты_исходные!G265)</f>
        <v>47218</v>
      </c>
      <c r="H265">
        <f t="shared" ca="1" si="58"/>
        <v>42</v>
      </c>
      <c r="I265" t="str">
        <f t="shared" si="59"/>
        <v>OK</v>
      </c>
      <c r="J265" t="str">
        <f t="shared" si="60"/>
        <v>OK</v>
      </c>
    </row>
    <row r="266">
      <c r="A266" t="str">
        <f>Клиенты_исходные!A266</f>
        <v>C0265</v>
      </c>
      <c r="B266" t="str">
        <f>PROPER(TRIM(Клиенты_исходные!B266))</f>
        <v xml:space="preserve">Кудрявцева Оксана Юрьевна</v>
      </c>
      <c r="C266" s="8">
        <f>IFERROR(IF(ISNUMBER(FIND(".",Клиенты_исходные!C266)),DATE(RIGHT(Клиенты_исходные!C266,4),MID(Клиенты_исходные!C266,4,2),LEFT(Клиенты_исходные!C266,2)),DATE(LEFT(Клиенты_исходные!C266,4),MID(Клиенты_исходные!C266,6,2),RIGHT(Клиенты_исходные!C266,2))),Клиенты_исходные!C266)</f>
        <v>29158</v>
      </c>
      <c r="D266" t="str">
        <f>IF(ISBLANK(Клиенты_исходные!D266),"",IF(LEN(SUBSTITUTE(SUBSTITUTE(SUBSTITUTE(SUBSTITUTE(SUBSTITUTE(Клиенты_исходные!D266," ",""),"-",""),"+",""),"(",""),")",""))=11,"+7 ("&amp;MID(IF(LEFT(SUBSTITUTE(SUBSTITUTE(SUBSTITUTE(SUBSTITUTE(SUBSTITUTE(Клиенты_исходные!D266," ",""),"-",""),"+",""),"(",""),")",""))="8","7"&amp;MID(SUBSTITUTE(SUBSTITUTE(SUBSTITUTE(SUBSTITUTE(SUBSTITUTE(Клиенты_исходные!D266," ",""),"-",""),"+",""),"(",""),")",""),2,10),SUBSTITUTE(SUBSTITUTE(SUBSTITUTE(SUBSTITUTE(SUBSTITUTE(Клиенты_исходные!D266," ",""),"-",""),"+",""),"(",""),")","")),2,3)&amp;") "&amp;MID(IF(LEFT(SUBSTITUTE(SUBSTITUTE(SUBSTITUTE(SUBSTITUTE(SUBSTITUTE(Клиенты_исходные!D266," ",""),"-",""),"+",""),"(",""),")",""))="8","7"&amp;MID(SUBSTITUTE(SUBSTITUTE(SUBSTITUTE(SUBSTITUTE(SUBSTITUTE(Клиенты_исходные!D266," ",""),"-",""),"+",""),"(",""),")",""),2,10),SUBSTITUTE(SUBSTITUTE(SUBSTITUTE(SUBSTITUTE(SUBSTITUTE(Клиенты_исходные!D266," ",""),"-",""),"+",""),"(",""),")","")),5,3)&amp;"-"&amp;MID(IF(LEFT(SUBSTITUTE(SUBSTITUTE(SUBSTITUTE(SUBSTITUTE(SUBSTITUTE(Клиенты_исходные!D266," ",""),"-",""),"+",""),"(",""),")",""))="8","7"&amp;MID(SUBSTITUTE(SUBSTITUTE(SUBSTITUTE(SUBSTITUTE(SUBSTITUTE(Клиенты_исходные!D266," ",""),"-",""),"+",""),"(",""),")",""),2,10),SUBSTITUTE(SUBSTITUTE(SUBSTITUTE(SUBSTITUTE(SUBSTITUTE(Клиенты_исходные!D266," ",""),"-",""),"+",""),"(",""),")","")),8,2)&amp;"-"&amp;MID(IF(LEFT(SUBSTITUTE(SUBSTITUTE(SUBSTITUTE(SUBSTITUTE(SUBSTITUTE(Клиенты_исходные!D266," ",""),"-",""),"+",""),"(",""),")",""))="8","7"&amp;MID(SUBSTITUTE(SUBSTITUTE(SUBSTITUTE(SUBSTITUTE(SUBSTITUTE(Клиенты_исходные!D266," ",""),"-",""),"+",""),"(",""),")",""),2,10),SUBSTITUTE(SUBSTITUTE(SUBSTITUTE(SUBSTITUTE(SUBSTITUTE(Клиенты_исходные!D266," ",""),"-",""),"+",""),"(",""),")","")),10,2),IF(LEN(SUBSTITUTE(SUBSTITUTE(SUBSTITUTE(SUBSTITUTE(SUBSTITUTE(Клиенты_исходные!D266," ",""),"-",""),"+",""),"(",""),")",""))=10,"+7 ("&amp;MID(SUBSTITUTE(SUBSTITUTE(SUBSTITUTE(SUBSTITUTE(SUBSTITUTE(Клиенты_исходные!D266," ",""),"-",""),"+",""),"(",""),")",""),1,3)&amp;") "&amp;MID(SUBSTITUTE(SUBSTITUTE(SUBSTITUTE(SUBSTITUTE(SUBSTITUTE(Клиенты_исходные!D266," ",""),"-",""),"+",""),"(",""),")",""),4,3)&amp;"-"&amp;MID(SUBSTITUTE(SUBSTITUTE(SUBSTITUTE(SUBSTITUTE(SUBSTITUTE(Клиенты_исходные!D266," ",""),"-",""),"+",""),"(",""),")",""),6,2)&amp;"-"&amp;MID(SUBSTITUTE(SUBSTITUTE(SUBSTITUTE(SUBSTITUTE(SUBSTITUTE(Клиенты_исходные!D266," ",""),"-",""),"+",""),"(",""),")",""),8,2),Клиенты_исходные!D266)))</f>
        <v xml:space="preserve">+7 (903) 456-78-90</v>
      </c>
      <c r="E266" t="str">
        <f>IF(ISBLANK(Клиенты_исходные!E266),"",IF(ISNUMBER(FIND(".",MID(Клиенты_исходные!E266,FIND("@",Клиенты_исходные!E266)+1,255))),Клиенты_исходные!E266,IF(ISNUMBER(FIND("gmail",Клиенты_исходные!E266)),Клиенты_исходные!E266&amp;".com",Клиенты_исходные!E266&amp;".ru")))</f>
        <v>kudryavtseva@mail.ru</v>
      </c>
      <c r="F266" t="str">
        <f>IFERROR(VLOOKUP(Клиенты_исходные!F266,Справочники!$J$2:$K$50,2,FALSE),Клиенты_исходные!F266)</f>
        <v>Кызыл</v>
      </c>
      <c r="G266" s="8">
        <f>IFERROR(IF(ISNUMBER(FIND(".",Клиенты_исходные!G266)),DATE(RIGHT(Клиенты_исходные!G266,4),MID(Клиенты_исходные!G266,4,2),LEFT(Клиенты_исходные!G266,2)),DATE(LEFT(Клиенты_исходные!G266,4),MID(Клиенты_исходные!G266,6,2),RIGHT(Клиенты_исходные!G266,2))),Клиенты_исходные!G266)</f>
        <v>47239</v>
      </c>
      <c r="H266">
        <f t="shared" ca="1" si="58"/>
        <v>46</v>
      </c>
      <c r="I266" t="str">
        <f t="shared" si="59"/>
        <v>OK</v>
      </c>
      <c r="J266" t="str">
        <f t="shared" si="60"/>
        <v>OK</v>
      </c>
    </row>
    <row r="267">
      <c r="A267" t="str">
        <f>Клиенты_исходные!A267</f>
        <v>C0266</v>
      </c>
      <c r="B267" t="str">
        <f>PROPER(TRIM(Клиенты_исходные!B267))</f>
        <v xml:space="preserve">Лыков Алексей Павлович</v>
      </c>
      <c r="C267" s="8">
        <f>IFERROR(IF(ISNUMBER(FIND(".",Клиенты_исходные!C267)),DATE(RIGHT(Клиенты_исходные!C267,4),MID(Клиенты_исходные!C267,4,2),LEFT(Клиенты_исходные!C267,2)),DATE(LEFT(Клиенты_исходные!C267,4),MID(Клиенты_исходные!C267,6,2),RIGHT(Клиенты_исходные!C267,2))),Клиенты_исходные!C267)</f>
        <v>31791</v>
      </c>
      <c r="D267" t="str">
        <f>IF(ISBLANK(Клиенты_исходные!D267),"",IF(LEN(SUBSTITUTE(SUBSTITUTE(SUBSTITUTE(SUBSTITUTE(SUBSTITUTE(Клиенты_исходные!D267," ",""),"-",""),"+",""),"(",""),")",""))=11,"+7 ("&amp;MID(IF(LEFT(SUBSTITUTE(SUBSTITUTE(SUBSTITUTE(SUBSTITUTE(SUBSTITUTE(Клиенты_исходные!D267," ",""),"-",""),"+",""),"(",""),")",""))="8","7"&amp;MID(SUBSTITUTE(SUBSTITUTE(SUBSTITUTE(SUBSTITUTE(SUBSTITUTE(Клиенты_исходные!D267," ",""),"-",""),"+",""),"(",""),")",""),2,10),SUBSTITUTE(SUBSTITUTE(SUBSTITUTE(SUBSTITUTE(SUBSTITUTE(Клиенты_исходные!D267," ",""),"-",""),"+",""),"(",""),")","")),2,3)&amp;") "&amp;MID(IF(LEFT(SUBSTITUTE(SUBSTITUTE(SUBSTITUTE(SUBSTITUTE(SUBSTITUTE(Клиенты_исходные!D267," ",""),"-",""),"+",""),"(",""),")",""))="8","7"&amp;MID(SUBSTITUTE(SUBSTITUTE(SUBSTITUTE(SUBSTITUTE(SUBSTITUTE(Клиенты_исходные!D267," ",""),"-",""),"+",""),"(",""),")",""),2,10),SUBSTITUTE(SUBSTITUTE(SUBSTITUTE(SUBSTITUTE(SUBSTITUTE(Клиенты_исходные!D267," ",""),"-",""),"+",""),"(",""),")","")),5,3)&amp;"-"&amp;MID(IF(LEFT(SUBSTITUTE(SUBSTITUTE(SUBSTITUTE(SUBSTITUTE(SUBSTITUTE(Клиенты_исходные!D267," ",""),"-",""),"+",""),"(",""),")",""))="8","7"&amp;MID(SUBSTITUTE(SUBSTITUTE(SUBSTITUTE(SUBSTITUTE(SUBSTITUTE(Клиенты_исходные!D267," ",""),"-",""),"+",""),"(",""),")",""),2,10),SUBSTITUTE(SUBSTITUTE(SUBSTITUTE(SUBSTITUTE(SUBSTITUTE(Клиенты_исходные!D267," ",""),"-",""),"+",""),"(",""),")","")),8,2)&amp;"-"&amp;MID(IF(LEFT(SUBSTITUTE(SUBSTITUTE(SUBSTITUTE(SUBSTITUTE(SUBSTITUTE(Клиенты_исходные!D267," ",""),"-",""),"+",""),"(",""),")",""))="8","7"&amp;MID(SUBSTITUTE(SUBSTITUTE(SUBSTITUTE(SUBSTITUTE(SUBSTITUTE(Клиенты_исходные!D267," ",""),"-",""),"+",""),"(",""),")",""),2,10),SUBSTITUTE(SUBSTITUTE(SUBSTITUTE(SUBSTITUTE(SUBSTITUTE(Клиенты_исходные!D267," ",""),"-",""),"+",""),"(",""),")","")),10,2),IF(LEN(SUBSTITUTE(SUBSTITUTE(SUBSTITUTE(SUBSTITUTE(SUBSTITUTE(Клиенты_исходные!D267," ",""),"-",""),"+",""),"(",""),")",""))=10,"+7 ("&amp;MID(SUBSTITUTE(SUBSTITUTE(SUBSTITUTE(SUBSTITUTE(SUBSTITUTE(Клиенты_исходные!D267," ",""),"-",""),"+",""),"(",""),")",""),1,3)&amp;") "&amp;MID(SUBSTITUTE(SUBSTITUTE(SUBSTITUTE(SUBSTITUTE(SUBSTITUTE(Клиенты_исходные!D267," ",""),"-",""),"+",""),"(",""),")",""),4,3)&amp;"-"&amp;MID(SUBSTITUTE(SUBSTITUTE(SUBSTITUTE(SUBSTITUTE(SUBSTITUTE(Клиенты_исходные!D267," ",""),"-",""),"+",""),"(",""),")",""),6,2)&amp;"-"&amp;MID(SUBSTITUTE(SUBSTITUTE(SUBSTITUTE(SUBSTITUTE(SUBSTITUTE(Клиенты_исходные!D267," ",""),"-",""),"+",""),"(",""),")",""),8,2),Клиенты_исходные!D267)))</f>
        <v xml:space="preserve">+7 (903) 456-78-90</v>
      </c>
      <c r="E267" t="str">
        <f>IF(ISBLANK(Клиенты_исходные!E267),"",IF(ISNUMBER(FIND(".",MID(Клиенты_исходные!E267,FIND("@",Клиенты_исходные!E267)+1,255))),Клиенты_исходные!E267,IF(ISNUMBER(FIND("gmail",Клиенты_исходные!E267)),Клиенты_исходные!E267&amp;".com",Клиенты_исходные!E267&amp;".ru")))</f>
        <v>lykov@yandex.ru</v>
      </c>
      <c r="F267" t="str">
        <f>IFERROR(VLOOKUP(Клиенты_исходные!F267,Справочники!$J$2:$K$50,2,FALSE),Клиенты_исходные!F267)</f>
        <v>Калининград</v>
      </c>
      <c r="G267" s="8">
        <f>IFERROR(IF(ISNUMBER(FIND(".",Клиенты_исходные!G267)),DATE(RIGHT(Клиенты_исходные!G267,4),MID(Клиенты_исходные!G267,4,2),LEFT(Клиенты_исходные!G267,2)),DATE(LEFT(Клиенты_исходные!G267,4),MID(Клиенты_исходные!G267,6,2),RIGHT(Клиенты_исходные!G267,2))),Клиенты_исходные!G267)</f>
        <v>47253</v>
      </c>
      <c r="H267">
        <f t="shared" ca="1" si="58"/>
        <v>39</v>
      </c>
      <c r="I267" t="str">
        <f t="shared" si="59"/>
        <v>OK</v>
      </c>
      <c r="J267" t="str">
        <f t="shared" si="60"/>
        <v>OK</v>
      </c>
    </row>
    <row r="268">
      <c r="A268" t="str">
        <f>Клиенты_исходные!A268</f>
        <v>C0267</v>
      </c>
      <c r="B268" t="str">
        <f>PROPER(TRIM(Клиенты_исходные!B268))</f>
        <v xml:space="preserve">Туманова Наталья Владимировна</v>
      </c>
      <c r="C268" s="8">
        <f>IFERROR(IF(ISNUMBER(FIND(".",Клиенты_исходные!C268)),DATE(RIGHT(Клиенты_исходные!C268,4),MID(Клиенты_исходные!C268,4,2),LEFT(Клиенты_исходные!C268,2)),DATE(LEFT(Клиенты_исходные!C268,4),MID(Клиенты_исходные!C268,6,2),RIGHT(Клиенты_исходные!C268,2))),Клиенты_исходные!C268)</f>
        <v>34061</v>
      </c>
      <c r="D268" t="str">
        <f>IF(ISBLANK(Клиенты_исходные!D268),"",IF(LEN(SUBSTITUTE(SUBSTITUTE(SUBSTITUTE(SUBSTITUTE(SUBSTITUTE(Клиенты_исходные!D268," ",""),"-",""),"+",""),"(",""),")",""))=11,"+7 ("&amp;MID(IF(LEFT(SUBSTITUTE(SUBSTITUTE(SUBSTITUTE(SUBSTITUTE(SUBSTITUTE(Клиенты_исходные!D268," ",""),"-",""),"+",""),"(",""),")",""))="8","7"&amp;MID(SUBSTITUTE(SUBSTITUTE(SUBSTITUTE(SUBSTITUTE(SUBSTITUTE(Клиенты_исходные!D268," ",""),"-",""),"+",""),"(",""),")",""),2,10),SUBSTITUTE(SUBSTITUTE(SUBSTITUTE(SUBSTITUTE(SUBSTITUTE(Клиенты_исходные!D268," ",""),"-",""),"+",""),"(",""),")","")),2,3)&amp;") "&amp;MID(IF(LEFT(SUBSTITUTE(SUBSTITUTE(SUBSTITUTE(SUBSTITUTE(SUBSTITUTE(Клиенты_исходные!D268," ",""),"-",""),"+",""),"(",""),")",""))="8","7"&amp;MID(SUBSTITUTE(SUBSTITUTE(SUBSTITUTE(SUBSTITUTE(SUBSTITUTE(Клиенты_исходные!D268," ",""),"-",""),"+",""),"(",""),")",""),2,10),SUBSTITUTE(SUBSTITUTE(SUBSTITUTE(SUBSTITUTE(SUBSTITUTE(Клиенты_исходные!D268," ",""),"-",""),"+",""),"(",""),")","")),5,3)&amp;"-"&amp;MID(IF(LEFT(SUBSTITUTE(SUBSTITUTE(SUBSTITUTE(SUBSTITUTE(SUBSTITUTE(Клиенты_исходные!D268," ",""),"-",""),"+",""),"(",""),")",""))="8","7"&amp;MID(SUBSTITUTE(SUBSTITUTE(SUBSTITUTE(SUBSTITUTE(SUBSTITUTE(Клиенты_исходные!D268," ",""),"-",""),"+",""),"(",""),")",""),2,10),SUBSTITUTE(SUBSTITUTE(SUBSTITUTE(SUBSTITUTE(SUBSTITUTE(Клиенты_исходные!D268," ",""),"-",""),"+",""),"(",""),")","")),8,2)&amp;"-"&amp;MID(IF(LEFT(SUBSTITUTE(SUBSTITUTE(SUBSTITUTE(SUBSTITUTE(SUBSTITUTE(Клиенты_исходные!D268," ",""),"-",""),"+",""),"(",""),")",""))="8","7"&amp;MID(SUBSTITUTE(SUBSTITUTE(SUBSTITUTE(SUBSTITUTE(SUBSTITUTE(Клиенты_исходные!D268," ",""),"-",""),"+",""),"(",""),")",""),2,10),SUBSTITUTE(SUBSTITUTE(SUBSTITUTE(SUBSTITUTE(SUBSTITUTE(Клиенты_исходные!D268," ",""),"-",""),"+",""),"(",""),")","")),10,2),IF(LEN(SUBSTITUTE(SUBSTITUTE(SUBSTITUTE(SUBSTITUTE(SUBSTITUTE(Клиенты_исходные!D268," ",""),"-",""),"+",""),"(",""),")",""))=10,"+7 ("&amp;MID(SUBSTITUTE(SUBSTITUTE(SUBSTITUTE(SUBSTITUTE(SUBSTITUTE(Клиенты_исходные!D268," ",""),"-",""),"+",""),"(",""),")",""),1,3)&amp;") "&amp;MID(SUBSTITUTE(SUBSTITUTE(SUBSTITUTE(SUBSTITUTE(SUBSTITUTE(Клиенты_исходные!D268," ",""),"-",""),"+",""),"(",""),")",""),4,3)&amp;"-"&amp;MID(SUBSTITUTE(SUBSTITUTE(SUBSTITUTE(SUBSTITUTE(SUBSTITUTE(Клиенты_исходные!D268," ",""),"-",""),"+",""),"(",""),")",""),6,2)&amp;"-"&amp;MID(SUBSTITUTE(SUBSTITUTE(SUBSTITUTE(SUBSTITUTE(SUBSTITUTE(Клиенты_исходные!D268," ",""),"-",""),"+",""),"(",""),")",""),8,2),Клиенты_исходные!D268)))</f>
        <v xml:space="preserve">+7 (903) 567-89-01</v>
      </c>
      <c r="E268" t="str">
        <f>IF(ISBLANK(Клиенты_исходные!E268),"",IF(ISNUMBER(FIND(".",MID(Клиенты_исходные!E268,FIND("@",Клиенты_исходные!E268)+1,255))),Клиенты_исходные!E268,IF(ISNUMBER(FIND("gmail",Клиенты_исходные!E268)),Клиенты_исходные!E268&amp;".com",Клиенты_исходные!E268&amp;".ru")))</f>
        <v>tumanova@gmail.com</v>
      </c>
      <c r="F268" t="str">
        <f>IFERROR(VLOOKUP(Клиенты_исходные!F268,Справочники!$J$2:$K$50,2,FALSE),Клиенты_исходные!F268)</f>
        <v>Петрозаводск</v>
      </c>
      <c r="G268" s="8">
        <f>IFERROR(IF(ISNUMBER(FIND(".",Клиенты_исходные!G268)),DATE(RIGHT(Клиенты_исходные!G268,4),MID(Клиенты_исходные!G268,4,2),LEFT(Клиенты_исходные!G268,2)),DATE(LEFT(Клиенты_исходные!G268,4),MID(Клиенты_исходные!G268,6,2),RIGHT(Клиенты_исходные!G268,2))),Клиенты_исходные!G268)</f>
        <v>47253</v>
      </c>
      <c r="H268">
        <f t="shared" ca="1" si="58"/>
        <v>33</v>
      </c>
      <c r="I268" t="str">
        <f t="shared" si="59"/>
        <v>OK</v>
      </c>
      <c r="J268" t="str">
        <f t="shared" si="60"/>
        <v>OK</v>
      </c>
    </row>
    <row r="269">
      <c r="A269" t="str">
        <f>Клиенты_исходные!A269</f>
        <v>C0268</v>
      </c>
      <c r="B269" t="str">
        <f>PROPER(TRIM(Клиенты_исходные!B269))</f>
        <v xml:space="preserve">Сапожников Владислав Евгеньевич</v>
      </c>
      <c r="C269" s="8">
        <f>IFERROR(IF(ISNUMBER(FIND(".",Клиенты_исходные!C269)),DATE(RIGHT(Клиенты_исходные!C269,4),MID(Клиенты_исходные!C269,4,2),LEFT(Клиенты_исходные!C269,2)),DATE(LEFT(Клиенты_исходные!C269,4),MID(Клиенты_исходные!C269,6,2),RIGHT(Клиенты_исходные!C269,2))),Клиенты_исходные!C269)</f>
        <v>26135</v>
      </c>
      <c r="D269" t="str">
        <f>IF(ISBLANK(Клиенты_исходные!D269),"",IF(LEN(SUBSTITUTE(SUBSTITUTE(SUBSTITUTE(SUBSTITUTE(SUBSTITUTE(Клиенты_исходные!D269," ",""),"-",""),"+",""),"(",""),")",""))=11,"+7 ("&amp;MID(IF(LEFT(SUBSTITUTE(SUBSTITUTE(SUBSTITUTE(SUBSTITUTE(SUBSTITUTE(Клиенты_исходные!D269," ",""),"-",""),"+",""),"(",""),")",""))="8","7"&amp;MID(SUBSTITUTE(SUBSTITUTE(SUBSTITUTE(SUBSTITUTE(SUBSTITUTE(Клиенты_исходные!D269," ",""),"-",""),"+",""),"(",""),")",""),2,10),SUBSTITUTE(SUBSTITUTE(SUBSTITUTE(SUBSTITUTE(SUBSTITUTE(Клиенты_исходные!D269," ",""),"-",""),"+",""),"(",""),")","")),2,3)&amp;") "&amp;MID(IF(LEFT(SUBSTITUTE(SUBSTITUTE(SUBSTITUTE(SUBSTITUTE(SUBSTITUTE(Клиенты_исходные!D269," ",""),"-",""),"+",""),"(",""),")",""))="8","7"&amp;MID(SUBSTITUTE(SUBSTITUTE(SUBSTITUTE(SUBSTITUTE(SUBSTITUTE(Клиенты_исходные!D269," ",""),"-",""),"+",""),"(",""),")",""),2,10),SUBSTITUTE(SUBSTITUTE(SUBSTITUTE(SUBSTITUTE(SUBSTITUTE(Клиенты_исходные!D269," ",""),"-",""),"+",""),"(",""),")","")),5,3)&amp;"-"&amp;MID(IF(LEFT(SUBSTITUTE(SUBSTITUTE(SUBSTITUTE(SUBSTITUTE(SUBSTITUTE(Клиенты_исходные!D269," ",""),"-",""),"+",""),"(",""),")",""))="8","7"&amp;MID(SUBSTITUTE(SUBSTITUTE(SUBSTITUTE(SUBSTITUTE(SUBSTITUTE(Клиенты_исходные!D269," ",""),"-",""),"+",""),"(",""),")",""),2,10),SUBSTITUTE(SUBSTITUTE(SUBSTITUTE(SUBSTITUTE(SUBSTITUTE(Клиенты_исходные!D269," ",""),"-",""),"+",""),"(",""),")","")),8,2)&amp;"-"&amp;MID(IF(LEFT(SUBSTITUTE(SUBSTITUTE(SUBSTITUTE(SUBSTITUTE(SUBSTITUTE(Клиенты_исходные!D269," ",""),"-",""),"+",""),"(",""),")",""))="8","7"&amp;MID(SUBSTITUTE(SUBSTITUTE(SUBSTITUTE(SUBSTITUTE(SUBSTITUTE(Клиенты_исходные!D269," ",""),"-",""),"+",""),"(",""),")",""),2,10),SUBSTITUTE(SUBSTITUTE(SUBSTITUTE(SUBSTITUTE(SUBSTITUTE(Клиенты_исходные!D269," ",""),"-",""),"+",""),"(",""),")","")),10,2),IF(LEN(SUBSTITUTE(SUBSTITUTE(SUBSTITUTE(SUBSTITUTE(SUBSTITUTE(Клиенты_исходные!D269," ",""),"-",""),"+",""),"(",""),")",""))=10,"+7 ("&amp;MID(SUBSTITUTE(SUBSTITUTE(SUBSTITUTE(SUBSTITUTE(SUBSTITUTE(Клиенты_исходные!D269," ",""),"-",""),"+",""),"(",""),")",""),1,3)&amp;") "&amp;MID(SUBSTITUTE(SUBSTITUTE(SUBSTITUTE(SUBSTITUTE(SUBSTITUTE(Клиенты_исходные!D269," ",""),"-",""),"+",""),"(",""),")",""),4,3)&amp;"-"&amp;MID(SUBSTITUTE(SUBSTITUTE(SUBSTITUTE(SUBSTITUTE(SUBSTITUTE(Клиенты_исходные!D269," ",""),"-",""),"+",""),"(",""),")",""),6,2)&amp;"-"&amp;MID(SUBSTITUTE(SUBSTITUTE(SUBSTITUTE(SUBSTITUTE(SUBSTITUTE(Клиенты_исходные!D269," ",""),"-",""),"+",""),"(",""),")",""),8,2),Клиенты_исходные!D269)))</f>
        <v xml:space="preserve">+7 (903) 567-89-01</v>
      </c>
      <c r="E269" t="str">
        <f>IF(ISBLANK(Клиенты_исходные!E269),"",IF(ISNUMBER(FIND(".",MID(Клиенты_исходные!E269,FIND("@",Клиенты_исходные!E269)+1,255))),Клиенты_исходные!E269,IF(ISNUMBER(FIND("gmail",Клиенты_исходные!E269)),Клиенты_исходные!E269&amp;".com",Клиенты_исходные!E269&amp;".ru")))</f>
        <v>sapozhnikov@mail.ru</v>
      </c>
      <c r="F269" t="str">
        <f>IFERROR(VLOOKUP(Клиенты_исходные!F269,Справочники!$J$2:$K$50,2,FALSE),Клиенты_исходные!F269)</f>
        <v>Рубцовск</v>
      </c>
      <c r="G269" s="8">
        <f>IFERROR(IF(ISNUMBER(FIND(".",Клиенты_исходные!G269)),DATE(RIGHT(Клиенты_исходные!G269,4),MID(Клиенты_исходные!G269,4,2),LEFT(Клиенты_исходные!G269,2)),DATE(LEFT(Клиенты_исходные!G269,4),MID(Клиенты_исходные!G269,6,2),RIGHT(Клиенты_исходные!G269,2))),Клиенты_исходные!G269)</f>
        <v>47270</v>
      </c>
      <c r="H269">
        <f t="shared" ca="1" si="58"/>
        <v>55</v>
      </c>
      <c r="I269" t="str">
        <f t="shared" si="59"/>
        <v>OK</v>
      </c>
      <c r="J269" t="str">
        <f t="shared" si="60"/>
        <v>OK</v>
      </c>
    </row>
    <row r="270">
      <c r="A270" t="str">
        <f>Клиенты_исходные!A270</f>
        <v>C0269</v>
      </c>
      <c r="B270" t="str">
        <f>PROPER(TRIM(Клиенты_исходные!B270))</f>
        <v xml:space="preserve">Куницына Елена Алексеевна</v>
      </c>
      <c r="C270" s="8">
        <f>IFERROR(IF(ISNUMBER(FIND(".",Клиенты_исходные!C270)),DATE(RIGHT(Клиенты_исходные!C270,4),MID(Клиенты_исходные!C270,4,2),LEFT(Клиенты_исходные!C270,2)),DATE(LEFT(Клиенты_исходные!C270,4),MID(Клиенты_исходные!C270,6,2),RIGHT(Клиенты_исходные!C270,2))),Клиенты_исходные!C270)</f>
        <v>30298</v>
      </c>
      <c r="D270" t="str">
        <f>IF(ISBLANK(Клиенты_исходные!D270),"",IF(LEN(SUBSTITUTE(SUBSTITUTE(SUBSTITUTE(SUBSTITUTE(SUBSTITUTE(Клиенты_исходные!D270," ",""),"-",""),"+",""),"(",""),")",""))=11,"+7 ("&amp;MID(IF(LEFT(SUBSTITUTE(SUBSTITUTE(SUBSTITUTE(SUBSTITUTE(SUBSTITUTE(Клиенты_исходные!D270," ",""),"-",""),"+",""),"(",""),")",""))="8","7"&amp;MID(SUBSTITUTE(SUBSTITUTE(SUBSTITUTE(SUBSTITUTE(SUBSTITUTE(Клиенты_исходные!D270," ",""),"-",""),"+",""),"(",""),")",""),2,10),SUBSTITUTE(SUBSTITUTE(SUBSTITUTE(SUBSTITUTE(SUBSTITUTE(Клиенты_исходные!D270," ",""),"-",""),"+",""),"(",""),")","")),2,3)&amp;") "&amp;MID(IF(LEFT(SUBSTITUTE(SUBSTITUTE(SUBSTITUTE(SUBSTITUTE(SUBSTITUTE(Клиенты_исходные!D270," ",""),"-",""),"+",""),"(",""),")",""))="8","7"&amp;MID(SUBSTITUTE(SUBSTITUTE(SUBSTITUTE(SUBSTITUTE(SUBSTITUTE(Клиенты_исходные!D270," ",""),"-",""),"+",""),"(",""),")",""),2,10),SUBSTITUTE(SUBSTITUTE(SUBSTITUTE(SUBSTITUTE(SUBSTITUTE(Клиенты_исходные!D270," ",""),"-",""),"+",""),"(",""),")","")),5,3)&amp;"-"&amp;MID(IF(LEFT(SUBSTITUTE(SUBSTITUTE(SUBSTITUTE(SUBSTITUTE(SUBSTITUTE(Клиенты_исходные!D270," ",""),"-",""),"+",""),"(",""),")",""))="8","7"&amp;MID(SUBSTITUTE(SUBSTITUTE(SUBSTITUTE(SUBSTITUTE(SUBSTITUTE(Клиенты_исходные!D270," ",""),"-",""),"+",""),"(",""),")",""),2,10),SUBSTITUTE(SUBSTITUTE(SUBSTITUTE(SUBSTITUTE(SUBSTITUTE(Клиенты_исходные!D270," ",""),"-",""),"+",""),"(",""),")","")),8,2)&amp;"-"&amp;MID(IF(LEFT(SUBSTITUTE(SUBSTITUTE(SUBSTITUTE(SUBSTITUTE(SUBSTITUTE(Клиенты_исходные!D270," ",""),"-",""),"+",""),"(",""),")",""))="8","7"&amp;MID(SUBSTITUTE(SUBSTITUTE(SUBSTITUTE(SUBSTITUTE(SUBSTITUTE(Клиенты_исходные!D270," ",""),"-",""),"+",""),"(",""),")",""),2,10),SUBSTITUTE(SUBSTITUTE(SUBSTITUTE(SUBSTITUTE(SUBSTITUTE(Клиенты_исходные!D270," ",""),"-",""),"+",""),"(",""),")","")),10,2),IF(LEN(SUBSTITUTE(SUBSTITUTE(SUBSTITUTE(SUBSTITUTE(SUBSTITUTE(Клиенты_исходные!D270," ",""),"-",""),"+",""),"(",""),")",""))=10,"+7 ("&amp;MID(SUBSTITUTE(SUBSTITUTE(SUBSTITUTE(SUBSTITUTE(SUBSTITUTE(Клиенты_исходные!D270," ",""),"-",""),"+",""),"(",""),")",""),1,3)&amp;") "&amp;MID(SUBSTITUTE(SUBSTITUTE(SUBSTITUTE(SUBSTITUTE(SUBSTITUTE(Клиенты_исходные!D270," ",""),"-",""),"+",""),"(",""),")",""),4,3)&amp;"-"&amp;MID(SUBSTITUTE(SUBSTITUTE(SUBSTITUTE(SUBSTITUTE(SUBSTITUTE(Клиенты_исходные!D270," ",""),"-",""),"+",""),"(",""),")",""),6,2)&amp;"-"&amp;MID(SUBSTITUTE(SUBSTITUTE(SUBSTITUTE(SUBSTITUTE(SUBSTITUTE(Клиенты_исходные!D270," ",""),"-",""),"+",""),"(",""),")",""),8,2),Клиенты_исходные!D270)))</f>
        <v xml:space="preserve">+7 (903) 567-89-01</v>
      </c>
      <c r="E270" t="str">
        <f>IF(ISBLANK(Клиенты_исходные!E270),"",IF(ISNUMBER(FIND(".",MID(Клиенты_исходные!E270,FIND("@",Клиенты_исходные!E270)+1,255))),Клиенты_исходные!E270,IF(ISNUMBER(FIND("gmail",Клиенты_исходные!E270)),Клиенты_исходные!E270&amp;".com",Клиенты_исходные!E270&amp;".ru")))</f>
        <v>kunitsyna@yandex.ru</v>
      </c>
      <c r="F270" t="str">
        <f>IFERROR(VLOOKUP(Клиенты_исходные!F270,Справочники!$J$2:$K$50,2,FALSE),Клиенты_исходные!F270)</f>
        <v>Элиста</v>
      </c>
      <c r="G270" s="8">
        <f>IFERROR(IF(ISNUMBER(FIND(".",Клиенты_исходные!G270)),DATE(RIGHT(Клиенты_исходные!G270,4),MID(Клиенты_исходные!G270,4,2),LEFT(Клиенты_исходные!G270,2)),DATE(LEFT(Клиенты_исходные!G270,4),MID(Клиенты_исходные!G270,6,2),RIGHT(Клиенты_исходные!G270,2))),Клиенты_исходные!G270)</f>
        <v>47279</v>
      </c>
      <c r="H270">
        <f t="shared" ca="1" si="58"/>
        <v>43</v>
      </c>
      <c r="I270" t="str">
        <f t="shared" si="59"/>
        <v>OK</v>
      </c>
      <c r="J270" t="str">
        <f t="shared" si="60"/>
        <v>OK</v>
      </c>
    </row>
    <row r="271">
      <c r="A271" t="str">
        <f>Клиенты_исходные!A271</f>
        <v>C0270</v>
      </c>
      <c r="B271" t="str">
        <f>PROPER(TRIM(Клиенты_исходные!B271))</f>
        <v xml:space="preserve">Кондратьев Михаил Олегович</v>
      </c>
      <c r="C271" s="8">
        <f>IFERROR(IF(ISNUMBER(FIND(".",Клиенты_исходные!C271)),DATE(RIGHT(Клиенты_исходные!C271,4),MID(Клиенты_исходные!C271,4,2),LEFT(Клиенты_исходные!C271,2)),DATE(LEFT(Клиенты_исходные!C271,4),MID(Клиенты_исходные!C271,6,2),RIGHT(Клиенты_исходные!C271,2))),Клиенты_исходные!C271)</f>
        <v>33112</v>
      </c>
      <c r="D271" t="str">
        <f>IF(ISBLANK(Клиенты_исходные!D271),"",IF(LEN(SUBSTITUTE(SUBSTITUTE(SUBSTITUTE(SUBSTITUTE(SUBSTITUTE(Клиенты_исходные!D271," ",""),"-",""),"+",""),"(",""),")",""))=11,"+7 ("&amp;MID(IF(LEFT(SUBSTITUTE(SUBSTITUTE(SUBSTITUTE(SUBSTITUTE(SUBSTITUTE(Клиенты_исходные!D271," ",""),"-",""),"+",""),"(",""),")",""))="8","7"&amp;MID(SUBSTITUTE(SUBSTITUTE(SUBSTITUTE(SUBSTITUTE(SUBSTITUTE(Клиенты_исходные!D271," ",""),"-",""),"+",""),"(",""),")",""),2,10),SUBSTITUTE(SUBSTITUTE(SUBSTITUTE(SUBSTITUTE(SUBSTITUTE(Клиенты_исходные!D271," ",""),"-",""),"+",""),"(",""),")","")),2,3)&amp;") "&amp;MID(IF(LEFT(SUBSTITUTE(SUBSTITUTE(SUBSTITUTE(SUBSTITUTE(SUBSTITUTE(Клиенты_исходные!D271," ",""),"-",""),"+",""),"(",""),")",""))="8","7"&amp;MID(SUBSTITUTE(SUBSTITUTE(SUBSTITUTE(SUBSTITUTE(SUBSTITUTE(Клиенты_исходные!D271," ",""),"-",""),"+",""),"(",""),")",""),2,10),SUBSTITUTE(SUBSTITUTE(SUBSTITUTE(SUBSTITUTE(SUBSTITUTE(Клиенты_исходные!D271," ",""),"-",""),"+",""),"(",""),")","")),5,3)&amp;"-"&amp;MID(IF(LEFT(SUBSTITUTE(SUBSTITUTE(SUBSTITUTE(SUBSTITUTE(SUBSTITUTE(Клиенты_исходные!D271," ",""),"-",""),"+",""),"(",""),")",""))="8","7"&amp;MID(SUBSTITUTE(SUBSTITUTE(SUBSTITUTE(SUBSTITUTE(SUBSTITUTE(Клиенты_исходные!D271," ",""),"-",""),"+",""),"(",""),")",""),2,10),SUBSTITUTE(SUBSTITUTE(SUBSTITUTE(SUBSTITUTE(SUBSTITUTE(Клиенты_исходные!D271," ",""),"-",""),"+",""),"(",""),")","")),8,2)&amp;"-"&amp;MID(IF(LEFT(SUBSTITUTE(SUBSTITUTE(SUBSTITUTE(SUBSTITUTE(SUBSTITUTE(Клиенты_исходные!D271," ",""),"-",""),"+",""),"(",""),")",""))="8","7"&amp;MID(SUBSTITUTE(SUBSTITUTE(SUBSTITUTE(SUBSTITUTE(SUBSTITUTE(Клиенты_исходные!D271," ",""),"-",""),"+",""),"(",""),")",""),2,10),SUBSTITUTE(SUBSTITUTE(SUBSTITUTE(SUBSTITUTE(SUBSTITUTE(Клиенты_исходные!D271," ",""),"-",""),"+",""),"(",""),")","")),10,2),IF(LEN(SUBSTITUTE(SUBSTITUTE(SUBSTITUTE(SUBSTITUTE(SUBSTITUTE(Клиенты_исходные!D271," ",""),"-",""),"+",""),"(",""),")",""))=10,"+7 ("&amp;MID(SUBSTITUTE(SUBSTITUTE(SUBSTITUTE(SUBSTITUTE(SUBSTITUTE(Клиенты_исходные!D271," ",""),"-",""),"+",""),"(",""),")",""),1,3)&amp;") "&amp;MID(SUBSTITUTE(SUBSTITUTE(SUBSTITUTE(SUBSTITUTE(SUBSTITUTE(Клиенты_исходные!D271," ",""),"-",""),"+",""),"(",""),")",""),4,3)&amp;"-"&amp;MID(SUBSTITUTE(SUBSTITUTE(SUBSTITUTE(SUBSTITUTE(SUBSTITUTE(Клиенты_исходные!D271," ",""),"-",""),"+",""),"(",""),")",""),6,2)&amp;"-"&amp;MID(SUBSTITUTE(SUBSTITUTE(SUBSTITUTE(SUBSTITUTE(SUBSTITUTE(Клиенты_исходные!D271," ",""),"-",""),"+",""),"(",""),")",""),8,2),Клиенты_исходные!D271)))</f>
        <v xml:space="preserve">+7 (903) 678-90-12</v>
      </c>
      <c r="E271" t="str">
        <f>IF(ISBLANK(Клиенты_исходные!E271),"",IF(ISNUMBER(FIND(".",MID(Клиенты_исходные!E271,FIND("@",Клиенты_исходные!E271)+1,255))),Клиенты_исходные!E271,IF(ISNUMBER(FIND("gmail",Клиенты_исходные!E271)),Клиенты_исходные!E271&amp;".com",Клиенты_исходные!E271&amp;".ru")))</f>
        <v>kondratiev@gmail.com</v>
      </c>
      <c r="F271" t="str">
        <f>IFERROR(VLOOKUP(Клиенты_исходные!F271,Справочники!$J$2:$K$50,2,FALSE),Клиенты_исходные!F271)</f>
        <v>Орск</v>
      </c>
      <c r="G271" s="8">
        <f>IFERROR(IF(ISNUMBER(FIND(".",Клиенты_исходные!G271)),DATE(RIGHT(Клиенты_исходные!G271,4),MID(Клиенты_исходные!G271,4,2),LEFT(Клиенты_исходные!G271,2)),DATE(LEFT(Клиенты_исходные!G271,4),MID(Клиенты_исходные!G271,6,2),RIGHT(Клиенты_исходные!G271,2))),Клиенты_исходные!G271)</f>
        <v>47279</v>
      </c>
      <c r="H271">
        <f t="shared" ca="1" si="58"/>
        <v>36</v>
      </c>
      <c r="I271" t="str">
        <f t="shared" si="59"/>
        <v>OK</v>
      </c>
      <c r="J271" t="str">
        <f t="shared" si="60"/>
        <v>OK</v>
      </c>
    </row>
    <row r="272">
      <c r="A272" t="str">
        <f>Клиенты_исходные!A272</f>
        <v>C0271</v>
      </c>
      <c r="B272" t="str">
        <f>PROPER(TRIM(Клиенты_исходные!B272))</f>
        <v xml:space="preserve">Горшкова Инна Сергеевна</v>
      </c>
      <c r="C272" s="8">
        <f>IFERROR(IF(ISNUMBER(FIND(".",Клиенты_исходные!C272)),DATE(RIGHT(Клиенты_исходные!C272,4),MID(Клиенты_исходные!C272,4,2),LEFT(Клиенты_исходные!C272,2)),DATE(LEFT(Клиенты_исходные!C272,4),MID(Клиенты_исходные!C272,6,2),RIGHT(Клиенты_исходные!C272,2))),Клиенты_исходные!C272)</f>
        <v>28647</v>
      </c>
      <c r="D272" t="str">
        <f>IF(ISBLANK(Клиенты_исходные!D272),"",IF(LEN(SUBSTITUTE(SUBSTITUTE(SUBSTITUTE(SUBSTITUTE(SUBSTITUTE(Клиенты_исходные!D272," ",""),"-",""),"+",""),"(",""),")",""))=11,"+7 ("&amp;MID(IF(LEFT(SUBSTITUTE(SUBSTITUTE(SUBSTITUTE(SUBSTITUTE(SUBSTITUTE(Клиенты_исходные!D272," ",""),"-",""),"+",""),"(",""),")",""))="8","7"&amp;MID(SUBSTITUTE(SUBSTITUTE(SUBSTITUTE(SUBSTITUTE(SUBSTITUTE(Клиенты_исходные!D272," ",""),"-",""),"+",""),"(",""),")",""),2,10),SUBSTITUTE(SUBSTITUTE(SUBSTITUTE(SUBSTITUTE(SUBSTITUTE(Клиенты_исходные!D272," ",""),"-",""),"+",""),"(",""),")","")),2,3)&amp;") "&amp;MID(IF(LEFT(SUBSTITUTE(SUBSTITUTE(SUBSTITUTE(SUBSTITUTE(SUBSTITUTE(Клиенты_исходные!D272," ",""),"-",""),"+",""),"(",""),")",""))="8","7"&amp;MID(SUBSTITUTE(SUBSTITUTE(SUBSTITUTE(SUBSTITUTE(SUBSTITUTE(Клиенты_исходные!D272," ",""),"-",""),"+",""),"(",""),")",""),2,10),SUBSTITUTE(SUBSTITUTE(SUBSTITUTE(SUBSTITUTE(SUBSTITUTE(Клиенты_исходные!D272," ",""),"-",""),"+",""),"(",""),")","")),5,3)&amp;"-"&amp;MID(IF(LEFT(SUBSTITUTE(SUBSTITUTE(SUBSTITUTE(SUBSTITUTE(SUBSTITUTE(Клиенты_исходные!D272," ",""),"-",""),"+",""),"(",""),")",""))="8","7"&amp;MID(SUBSTITUTE(SUBSTITUTE(SUBSTITUTE(SUBSTITUTE(SUBSTITUTE(Клиенты_исходные!D272," ",""),"-",""),"+",""),"(",""),")",""),2,10),SUBSTITUTE(SUBSTITUTE(SUBSTITUTE(SUBSTITUTE(SUBSTITUTE(Клиенты_исходные!D272," ",""),"-",""),"+",""),"(",""),")","")),8,2)&amp;"-"&amp;MID(IF(LEFT(SUBSTITUTE(SUBSTITUTE(SUBSTITUTE(SUBSTITUTE(SUBSTITUTE(Клиенты_исходные!D272," ",""),"-",""),"+",""),"(",""),")",""))="8","7"&amp;MID(SUBSTITUTE(SUBSTITUTE(SUBSTITUTE(SUBSTITUTE(SUBSTITUTE(Клиенты_исходные!D272," ",""),"-",""),"+",""),"(",""),")",""),2,10),SUBSTITUTE(SUBSTITUTE(SUBSTITUTE(SUBSTITUTE(SUBSTITUTE(Клиенты_исходные!D272," ",""),"-",""),"+",""),"(",""),")","")),10,2),IF(LEN(SUBSTITUTE(SUBSTITUTE(SUBSTITUTE(SUBSTITUTE(SUBSTITUTE(Клиенты_исходные!D272," ",""),"-",""),"+",""),"(",""),")",""))=10,"+7 ("&amp;MID(SUBSTITUTE(SUBSTITUTE(SUBSTITUTE(SUBSTITUTE(SUBSTITUTE(Клиенты_исходные!D272," ",""),"-",""),"+",""),"(",""),")",""),1,3)&amp;") "&amp;MID(SUBSTITUTE(SUBSTITUTE(SUBSTITUTE(SUBSTITUTE(SUBSTITUTE(Клиенты_исходные!D272," ",""),"-",""),"+",""),"(",""),")",""),4,3)&amp;"-"&amp;MID(SUBSTITUTE(SUBSTITUTE(SUBSTITUTE(SUBSTITUTE(SUBSTITUTE(Клиенты_исходные!D272," ",""),"-",""),"+",""),"(",""),")",""),6,2)&amp;"-"&amp;MID(SUBSTITUTE(SUBSTITUTE(SUBSTITUTE(SUBSTITUTE(SUBSTITUTE(Клиенты_исходные!D272," ",""),"-",""),"+",""),"(",""),")",""),8,2),Клиенты_исходные!D272)))</f>
        <v xml:space="preserve">+7 (903) 678-90-12</v>
      </c>
      <c r="E272" t="str">
        <f>IF(ISBLANK(Клиенты_исходные!E272),"",IF(ISNUMBER(FIND(".",MID(Клиенты_исходные!E272,FIND("@",Клиенты_исходные!E272)+1,255))),Клиенты_исходные!E272,IF(ISNUMBER(FIND("gmail",Клиенты_исходные!E272)),Клиенты_исходные!E272&amp;".com",Клиенты_исходные!E272&amp;".ru")))</f>
        <v>gorshkova@mail.ru</v>
      </c>
      <c r="F272" t="str">
        <f>IFERROR(VLOOKUP(Клиенты_исходные!F272,Справочники!$J$2:$K$50,2,FALSE),Клиенты_исходные!F272)</f>
        <v>Нижневартовск</v>
      </c>
      <c r="G272" s="8">
        <f>IFERROR(IF(ISNUMBER(FIND(".",Клиенты_исходные!G272)),DATE(RIGHT(Клиенты_исходные!G272,4),MID(Клиенты_исходные!G272,4,2),LEFT(Клиенты_исходные!G272,2)),DATE(LEFT(Клиенты_исходные!G272,4),MID(Клиенты_исходные!G272,6,2),RIGHT(Клиенты_исходные!G272,2))),Клиенты_исходные!G272)</f>
        <v>47300</v>
      </c>
      <c r="H272">
        <f t="shared" ca="1" si="58"/>
        <v>48</v>
      </c>
      <c r="I272" t="str">
        <f t="shared" si="59"/>
        <v>OK</v>
      </c>
      <c r="J272" t="str">
        <f t="shared" si="60"/>
        <v>OK</v>
      </c>
    </row>
    <row r="273">
      <c r="A273" t="str">
        <f>Клиенты_исходные!A273</f>
        <v>C0272</v>
      </c>
      <c r="B273" t="str">
        <f>PROPER(TRIM(Клиенты_исходные!B273))</f>
        <v xml:space="preserve">Якушев Андрей Николаевич</v>
      </c>
      <c r="C273" s="8">
        <f>IFERROR(IF(ISNUMBER(FIND(".",Клиенты_исходные!C273)),DATE(RIGHT(Клиенты_исходные!C273,4),MID(Клиенты_исходные!C273,4,2),LEFT(Клиенты_исходные!C273,2)),DATE(LEFT(Клиенты_исходные!C273,4),MID(Клиенты_исходные!C273,6,2),RIGHT(Клиенты_исходные!C273,2))),Клиенты_исходные!C273)</f>
        <v>31369</v>
      </c>
      <c r="D273" t="str">
        <f>IF(ISBLANK(Клиенты_исходные!D273),"",IF(LEN(SUBSTITUTE(SUBSTITUTE(SUBSTITUTE(SUBSTITUTE(SUBSTITUTE(Клиенты_исходные!D273," ",""),"-",""),"+",""),"(",""),")",""))=11,"+7 ("&amp;MID(IF(LEFT(SUBSTITUTE(SUBSTITUTE(SUBSTITUTE(SUBSTITUTE(SUBSTITUTE(Клиенты_исходные!D273," ",""),"-",""),"+",""),"(",""),")",""))="8","7"&amp;MID(SUBSTITUTE(SUBSTITUTE(SUBSTITUTE(SUBSTITUTE(SUBSTITUTE(Клиенты_исходные!D273," ",""),"-",""),"+",""),"(",""),")",""),2,10),SUBSTITUTE(SUBSTITUTE(SUBSTITUTE(SUBSTITUTE(SUBSTITUTE(Клиенты_исходные!D273," ",""),"-",""),"+",""),"(",""),")","")),2,3)&amp;") "&amp;MID(IF(LEFT(SUBSTITUTE(SUBSTITUTE(SUBSTITUTE(SUBSTITUTE(SUBSTITUTE(Клиенты_исходные!D273," ",""),"-",""),"+",""),"(",""),")",""))="8","7"&amp;MID(SUBSTITUTE(SUBSTITUTE(SUBSTITUTE(SUBSTITUTE(SUBSTITUTE(Клиенты_исходные!D273," ",""),"-",""),"+",""),"(",""),")",""),2,10),SUBSTITUTE(SUBSTITUTE(SUBSTITUTE(SUBSTITUTE(SUBSTITUTE(Клиенты_исходные!D273," ",""),"-",""),"+",""),"(",""),")","")),5,3)&amp;"-"&amp;MID(IF(LEFT(SUBSTITUTE(SUBSTITUTE(SUBSTITUTE(SUBSTITUTE(SUBSTITUTE(Клиенты_исходные!D273," ",""),"-",""),"+",""),"(",""),")",""))="8","7"&amp;MID(SUBSTITUTE(SUBSTITUTE(SUBSTITUTE(SUBSTITUTE(SUBSTITUTE(Клиенты_исходные!D273," ",""),"-",""),"+",""),"(",""),")",""),2,10),SUBSTITUTE(SUBSTITUTE(SUBSTITUTE(SUBSTITUTE(SUBSTITUTE(Клиенты_исходные!D273," ",""),"-",""),"+",""),"(",""),")","")),8,2)&amp;"-"&amp;MID(IF(LEFT(SUBSTITUTE(SUBSTITUTE(SUBSTITUTE(SUBSTITUTE(SUBSTITUTE(Клиенты_исходные!D273," ",""),"-",""),"+",""),"(",""),")",""))="8","7"&amp;MID(SUBSTITUTE(SUBSTITUTE(SUBSTITUTE(SUBSTITUTE(SUBSTITUTE(Клиенты_исходные!D273," ",""),"-",""),"+",""),"(",""),")",""),2,10),SUBSTITUTE(SUBSTITUTE(SUBSTITUTE(SUBSTITUTE(SUBSTITUTE(Клиенты_исходные!D273," ",""),"-",""),"+",""),"(",""),")","")),10,2),IF(LEN(SUBSTITUTE(SUBSTITUTE(SUBSTITUTE(SUBSTITUTE(SUBSTITUTE(Клиенты_исходные!D273," ",""),"-",""),"+",""),"(",""),")",""))=10,"+7 ("&amp;MID(SUBSTITUTE(SUBSTITUTE(SUBSTITUTE(SUBSTITUTE(SUBSTITUTE(Клиенты_исходные!D273," ",""),"-",""),"+",""),"(",""),")",""),1,3)&amp;") "&amp;MID(SUBSTITUTE(SUBSTITUTE(SUBSTITUTE(SUBSTITUTE(SUBSTITUTE(Клиенты_исходные!D273," ",""),"-",""),"+",""),"(",""),")",""),4,3)&amp;"-"&amp;MID(SUBSTITUTE(SUBSTITUTE(SUBSTITUTE(SUBSTITUTE(SUBSTITUTE(Клиенты_исходные!D273," ",""),"-",""),"+",""),"(",""),")",""),6,2)&amp;"-"&amp;MID(SUBSTITUTE(SUBSTITUTE(SUBSTITUTE(SUBSTITUTE(SUBSTITUTE(Клиенты_исходные!D273," ",""),"-",""),"+",""),"(",""),")",""),8,2),Клиенты_исходные!D273)))</f>
        <v xml:space="preserve">+7 (903) 678-90-12</v>
      </c>
      <c r="E273" t="str">
        <f>IF(ISBLANK(Клиенты_исходные!E273),"",IF(ISNUMBER(FIND(".",MID(Клиенты_исходные!E273,FIND("@",Клиенты_исходные!E273)+1,255))),Клиенты_исходные!E273,IF(ISNUMBER(FIND("gmail",Клиенты_исходные!E273)),Клиенты_исходные!E273&amp;".com",Клиенты_исходные!E273&amp;".ru")))</f>
        <v>yakushev@yandex.ru</v>
      </c>
      <c r="F273" t="str">
        <f>IFERROR(VLOOKUP(Клиенты_исходные!F273,Справочники!$J$2:$K$50,2,FALSE),Клиенты_исходные!F273)</f>
        <v>Новороссийск</v>
      </c>
      <c r="G273" s="8">
        <f>IFERROR(IF(ISNUMBER(FIND(".",Клиенты_исходные!G273)),DATE(RIGHT(Клиенты_исходные!G273,4),MID(Клиенты_исходные!G273,4,2),LEFT(Клиенты_исходные!G273,2)),DATE(LEFT(Клиенты_исходные!G273,4),MID(Клиенты_исходные!G273,6,2),RIGHT(Клиенты_исходные!G273,2))),Клиенты_исходные!G273)</f>
        <v>47314</v>
      </c>
      <c r="H273">
        <f t="shared" ca="1" si="58"/>
        <v>40</v>
      </c>
      <c r="I273" t="str">
        <f t="shared" si="59"/>
        <v>OK</v>
      </c>
      <c r="J273" t="str">
        <f t="shared" si="60"/>
        <v>OK</v>
      </c>
    </row>
    <row r="274">
      <c r="A274" t="str">
        <f>Клиенты_исходные!A274</f>
        <v>C0273</v>
      </c>
      <c r="B274" t="str">
        <f>PROPER(TRIM(Клиенты_исходные!B274))</f>
        <v xml:space="preserve">Ермилова Ольга Викторовна</v>
      </c>
      <c r="C274" s="8">
        <f>IFERROR(IF(ISNUMBER(FIND(".",Клиенты_исходные!C274)),DATE(RIGHT(Клиенты_исходные!C274,4),MID(Клиенты_исходные!C274,4,2),LEFT(Клиенты_исходные!C274,2)),DATE(LEFT(Клиенты_исходные!C274,4),MID(Клиенты_исходные!C274,6,2),RIGHT(Клиенты_исходные!C274,2))),Клиенты_исходные!C274)</f>
        <v>29493</v>
      </c>
      <c r="D274" t="str">
        <f>IF(ISBLANK(Клиенты_исходные!D274),"",IF(LEN(SUBSTITUTE(SUBSTITUTE(SUBSTITUTE(SUBSTITUTE(SUBSTITUTE(Клиенты_исходные!D274," ",""),"-",""),"+",""),"(",""),")",""))=11,"+7 ("&amp;MID(IF(LEFT(SUBSTITUTE(SUBSTITUTE(SUBSTITUTE(SUBSTITUTE(SUBSTITUTE(Клиенты_исходные!D274," ",""),"-",""),"+",""),"(",""),")",""))="8","7"&amp;MID(SUBSTITUTE(SUBSTITUTE(SUBSTITUTE(SUBSTITUTE(SUBSTITUTE(Клиенты_исходные!D274," ",""),"-",""),"+",""),"(",""),")",""),2,10),SUBSTITUTE(SUBSTITUTE(SUBSTITUTE(SUBSTITUTE(SUBSTITUTE(Клиенты_исходные!D274," ",""),"-",""),"+",""),"(",""),")","")),2,3)&amp;") "&amp;MID(IF(LEFT(SUBSTITUTE(SUBSTITUTE(SUBSTITUTE(SUBSTITUTE(SUBSTITUTE(Клиенты_исходные!D274," ",""),"-",""),"+",""),"(",""),")",""))="8","7"&amp;MID(SUBSTITUTE(SUBSTITUTE(SUBSTITUTE(SUBSTITUTE(SUBSTITUTE(Клиенты_исходные!D274," ",""),"-",""),"+",""),"(",""),")",""),2,10),SUBSTITUTE(SUBSTITUTE(SUBSTITUTE(SUBSTITUTE(SUBSTITUTE(Клиенты_исходные!D274," ",""),"-",""),"+",""),"(",""),")","")),5,3)&amp;"-"&amp;MID(IF(LEFT(SUBSTITUTE(SUBSTITUTE(SUBSTITUTE(SUBSTITUTE(SUBSTITUTE(Клиенты_исходные!D274," ",""),"-",""),"+",""),"(",""),")",""))="8","7"&amp;MID(SUBSTITUTE(SUBSTITUTE(SUBSTITUTE(SUBSTITUTE(SUBSTITUTE(Клиенты_исходные!D274," ",""),"-",""),"+",""),"(",""),")",""),2,10),SUBSTITUTE(SUBSTITUTE(SUBSTITUTE(SUBSTITUTE(SUBSTITUTE(Клиенты_исходные!D274," ",""),"-",""),"+",""),"(",""),")","")),8,2)&amp;"-"&amp;MID(IF(LEFT(SUBSTITUTE(SUBSTITUTE(SUBSTITUTE(SUBSTITUTE(SUBSTITUTE(Клиенты_исходные!D274," ",""),"-",""),"+",""),"(",""),")",""))="8","7"&amp;MID(SUBSTITUTE(SUBSTITUTE(SUBSTITUTE(SUBSTITUTE(SUBSTITUTE(Клиенты_исходные!D274," ",""),"-",""),"+",""),"(",""),")",""),2,10),SUBSTITUTE(SUBSTITUTE(SUBSTITUTE(SUBSTITUTE(SUBSTITUTE(Клиенты_исходные!D274," ",""),"-",""),"+",""),"(",""),")","")),10,2),IF(LEN(SUBSTITUTE(SUBSTITUTE(SUBSTITUTE(SUBSTITUTE(SUBSTITUTE(Клиенты_исходные!D274," ",""),"-",""),"+",""),"(",""),")",""))=10,"+7 ("&amp;MID(SUBSTITUTE(SUBSTITUTE(SUBSTITUTE(SUBSTITUTE(SUBSTITUTE(Клиенты_исходные!D274," ",""),"-",""),"+",""),"(",""),")",""),1,3)&amp;") "&amp;MID(SUBSTITUTE(SUBSTITUTE(SUBSTITUTE(SUBSTITUTE(SUBSTITUTE(Клиенты_исходные!D274," ",""),"-",""),"+",""),"(",""),")",""),4,3)&amp;"-"&amp;MID(SUBSTITUTE(SUBSTITUTE(SUBSTITUTE(SUBSTITUTE(SUBSTITUTE(Клиенты_исходные!D274," ",""),"-",""),"+",""),"(",""),")",""),6,2)&amp;"-"&amp;MID(SUBSTITUTE(SUBSTITUTE(SUBSTITUTE(SUBSTITUTE(SUBSTITUTE(Клиенты_исходные!D274," ",""),"-",""),"+",""),"(",""),")",""),8,2),Клиенты_исходные!D274)))</f>
        <v xml:space="preserve">+7 (903) 789-01-23</v>
      </c>
      <c r="E274" t="str">
        <f>IF(ISBLANK(Клиенты_исходные!E274),"",IF(ISNUMBER(FIND(".",MID(Клиенты_исходные!E274,FIND("@",Клиенты_исходные!E274)+1,255))),Клиенты_исходные!E274,IF(ISNUMBER(FIND("gmail",Клиенты_исходные!E274)),Клиенты_исходные!E274&amp;".com",Клиенты_исходные!E274&amp;".ru")))</f>
        <v>ermilova@gmail.com</v>
      </c>
      <c r="F274" t="str">
        <f>IFERROR(VLOOKUP(Клиенты_исходные!F274,Справочники!$J$2:$K$50,2,FALSE),Клиенты_исходные!F274)</f>
        <v>Химки</v>
      </c>
      <c r="G274" s="8">
        <f>IFERROR(IF(ISNUMBER(FIND(".",Клиенты_исходные!G274)),DATE(RIGHT(Клиенты_исходные!G274,4),MID(Клиенты_исходные!G274,4,2),LEFT(Клиенты_исходные!G274,2)),DATE(LEFT(Клиенты_исходные!G274,4),MID(Клиенты_исходные!G274,6,2),RIGHT(Клиенты_исходные!G274,2))),Клиенты_исходные!G274)</f>
        <v>47314</v>
      </c>
      <c r="H274">
        <f t="shared" ca="1" si="58"/>
        <v>46</v>
      </c>
      <c r="I274" t="str">
        <f t="shared" si="59"/>
        <v>OK</v>
      </c>
      <c r="J274" t="str">
        <f t="shared" si="60"/>
        <v>OK</v>
      </c>
    </row>
    <row r="275">
      <c r="A275" t="str">
        <f>Клиенты_исходные!A275</f>
        <v>C0274</v>
      </c>
      <c r="B275" t="str">
        <f>PROPER(TRIM(Клиенты_исходные!B275))</f>
        <v xml:space="preserve">Шестопалов Евгений Сергеевич</v>
      </c>
      <c r="C275" s="8">
        <f>IFERROR(IF(ISNUMBER(FIND(".",Клиенты_исходные!C275)),DATE(RIGHT(Клиенты_исходные!C275,4),MID(Клиенты_исходные!C275,4,2),LEFT(Клиенты_исходные!C275,2)),DATE(LEFT(Клиенты_исходные!C275,4),MID(Клиенты_исходные!C275,6,2),RIGHT(Клиенты_исходные!C275,2))),Клиенты_исходные!C275)</f>
        <v>27131</v>
      </c>
      <c r="D275" t="str">
        <f>IF(ISBLANK(Клиенты_исходные!D275),"",IF(LEN(SUBSTITUTE(SUBSTITUTE(SUBSTITUTE(SUBSTITUTE(SUBSTITUTE(Клиенты_исходные!D275," ",""),"-",""),"+",""),"(",""),")",""))=11,"+7 ("&amp;MID(IF(LEFT(SUBSTITUTE(SUBSTITUTE(SUBSTITUTE(SUBSTITUTE(SUBSTITUTE(Клиенты_исходные!D275," ",""),"-",""),"+",""),"(",""),")",""))="8","7"&amp;MID(SUBSTITUTE(SUBSTITUTE(SUBSTITUTE(SUBSTITUTE(SUBSTITUTE(Клиенты_исходные!D275," ",""),"-",""),"+",""),"(",""),")",""),2,10),SUBSTITUTE(SUBSTITUTE(SUBSTITUTE(SUBSTITUTE(SUBSTITUTE(Клиенты_исходные!D275," ",""),"-",""),"+",""),"(",""),")","")),2,3)&amp;") "&amp;MID(IF(LEFT(SUBSTITUTE(SUBSTITUTE(SUBSTITUTE(SUBSTITUTE(SUBSTITUTE(Клиенты_исходные!D275," ",""),"-",""),"+",""),"(",""),")",""))="8","7"&amp;MID(SUBSTITUTE(SUBSTITUTE(SUBSTITUTE(SUBSTITUTE(SUBSTITUTE(Клиенты_исходные!D275," ",""),"-",""),"+",""),"(",""),")",""),2,10),SUBSTITUTE(SUBSTITUTE(SUBSTITUTE(SUBSTITUTE(SUBSTITUTE(Клиенты_исходные!D275," ",""),"-",""),"+",""),"(",""),")","")),5,3)&amp;"-"&amp;MID(IF(LEFT(SUBSTITUTE(SUBSTITUTE(SUBSTITUTE(SUBSTITUTE(SUBSTITUTE(Клиенты_исходные!D275," ",""),"-",""),"+",""),"(",""),")",""))="8","7"&amp;MID(SUBSTITUTE(SUBSTITUTE(SUBSTITUTE(SUBSTITUTE(SUBSTITUTE(Клиенты_исходные!D275," ",""),"-",""),"+",""),"(",""),")",""),2,10),SUBSTITUTE(SUBSTITUTE(SUBSTITUTE(SUBSTITUTE(SUBSTITUTE(Клиенты_исходные!D275," ",""),"-",""),"+",""),"(",""),")","")),8,2)&amp;"-"&amp;MID(IF(LEFT(SUBSTITUTE(SUBSTITUTE(SUBSTITUTE(SUBSTITUTE(SUBSTITUTE(Клиенты_исходные!D275," ",""),"-",""),"+",""),"(",""),")",""))="8","7"&amp;MID(SUBSTITUTE(SUBSTITUTE(SUBSTITUTE(SUBSTITUTE(SUBSTITUTE(Клиенты_исходные!D275," ",""),"-",""),"+",""),"(",""),")",""),2,10),SUBSTITUTE(SUBSTITUTE(SUBSTITUTE(SUBSTITUTE(SUBSTITUTE(Клиенты_исходные!D275," ",""),"-",""),"+",""),"(",""),")","")),10,2),IF(LEN(SUBSTITUTE(SUBSTITUTE(SUBSTITUTE(SUBSTITUTE(SUBSTITUTE(Клиенты_исходные!D275," ",""),"-",""),"+",""),"(",""),")",""))=10,"+7 ("&amp;MID(SUBSTITUTE(SUBSTITUTE(SUBSTITUTE(SUBSTITUTE(SUBSTITUTE(Клиенты_исходные!D275," ",""),"-",""),"+",""),"(",""),")",""),1,3)&amp;") "&amp;MID(SUBSTITUTE(SUBSTITUTE(SUBSTITUTE(SUBSTITUTE(SUBSTITUTE(Клиенты_исходные!D275," ",""),"-",""),"+",""),"(",""),")",""),4,3)&amp;"-"&amp;MID(SUBSTITUTE(SUBSTITUTE(SUBSTITUTE(SUBSTITUTE(SUBSTITUTE(Клиенты_исходные!D275," ",""),"-",""),"+",""),"(",""),")",""),6,2)&amp;"-"&amp;MID(SUBSTITUTE(SUBSTITUTE(SUBSTITUTE(SUBSTITUTE(SUBSTITUTE(Клиенты_исходные!D275," ",""),"-",""),"+",""),"(",""),")",""),8,2),Клиенты_исходные!D275)))</f>
        <v xml:space="preserve">+7 (903) 789-01-23</v>
      </c>
      <c r="E275" t="str">
        <f>IF(ISBLANK(Клиенты_исходные!E275),"",IF(ISNUMBER(FIND(".",MID(Клиенты_исходные!E275,FIND("@",Клиенты_исходные!E275)+1,255))),Клиенты_исходные!E275,IF(ISNUMBER(FIND("gmail",Клиенты_исходные!E275)),Клиенты_исходные!E275&amp;".com",Клиенты_исходные!E275&amp;".ru")))</f>
        <v>shestopalov@mail.ru</v>
      </c>
      <c r="F275" t="str">
        <f>IFERROR(VLOOKUP(Клиенты_исходные!F275,Справочники!$J$2:$K$50,2,FALSE),Клиенты_исходные!F275)</f>
        <v>Подольск</v>
      </c>
      <c r="G275" s="8">
        <f>IFERROR(IF(ISNUMBER(FIND(".",Клиенты_исходные!G275)),DATE(RIGHT(Клиенты_исходные!G275,4),MID(Клиенты_исходные!G275,4,2),LEFT(Клиенты_исходные!G275,2)),DATE(LEFT(Клиенты_исходные!G275,4),MID(Клиенты_исходные!G275,6,2),RIGHT(Клиенты_исходные!G275,2))),Клиенты_исходные!G275)</f>
        <v>47331</v>
      </c>
      <c r="H275">
        <f t="shared" ca="1" si="58"/>
        <v>52</v>
      </c>
      <c r="I275" t="str">
        <f t="shared" si="59"/>
        <v>OK</v>
      </c>
      <c r="J275" t="str">
        <f t="shared" si="60"/>
        <v>OK</v>
      </c>
    </row>
    <row r="276">
      <c r="A276" t="str">
        <f>Клиенты_исходные!A276</f>
        <v>C0275</v>
      </c>
      <c r="B276" t="str">
        <f>PROPER(TRIM(Клиенты_исходные!B276))</f>
        <v xml:space="preserve">Ванюшина Мария Игоревна</v>
      </c>
      <c r="C276" s="8">
        <f>IFERROR(IF(ISNUMBER(FIND(".",Клиенты_исходные!C276)),DATE(RIGHT(Клиенты_исходные!C276,4),MID(Клиенты_исходные!C276,4,2),LEFT(Клиенты_исходные!C276,2)),DATE(LEFT(Клиенты_исходные!C276,4),MID(Клиенты_исходные!C276,6,2),RIGHT(Клиенты_исходные!C276,2))),Клиенты_исходные!C276)</f>
        <v>32544</v>
      </c>
      <c r="D276" t="str">
        <f>IF(ISBLANK(Клиенты_исходные!D276),"",IF(LEN(SUBSTITUTE(SUBSTITUTE(SUBSTITUTE(SUBSTITUTE(SUBSTITUTE(Клиенты_исходные!D276," ",""),"-",""),"+",""),"(",""),")",""))=11,"+7 ("&amp;MID(IF(LEFT(SUBSTITUTE(SUBSTITUTE(SUBSTITUTE(SUBSTITUTE(SUBSTITUTE(Клиенты_исходные!D276," ",""),"-",""),"+",""),"(",""),")",""))="8","7"&amp;MID(SUBSTITUTE(SUBSTITUTE(SUBSTITUTE(SUBSTITUTE(SUBSTITUTE(Клиенты_исходные!D276," ",""),"-",""),"+",""),"(",""),")",""),2,10),SUBSTITUTE(SUBSTITUTE(SUBSTITUTE(SUBSTITUTE(SUBSTITUTE(Клиенты_исходные!D276," ",""),"-",""),"+",""),"(",""),")","")),2,3)&amp;") "&amp;MID(IF(LEFT(SUBSTITUTE(SUBSTITUTE(SUBSTITUTE(SUBSTITUTE(SUBSTITUTE(Клиенты_исходные!D276," ",""),"-",""),"+",""),"(",""),")",""))="8","7"&amp;MID(SUBSTITUTE(SUBSTITUTE(SUBSTITUTE(SUBSTITUTE(SUBSTITUTE(Клиенты_исходные!D276," ",""),"-",""),"+",""),"(",""),")",""),2,10),SUBSTITUTE(SUBSTITUTE(SUBSTITUTE(SUBSTITUTE(SUBSTITUTE(Клиенты_исходные!D276," ",""),"-",""),"+",""),"(",""),")","")),5,3)&amp;"-"&amp;MID(IF(LEFT(SUBSTITUTE(SUBSTITUTE(SUBSTITUTE(SUBSTITUTE(SUBSTITUTE(Клиенты_исходные!D276," ",""),"-",""),"+",""),"(",""),")",""))="8","7"&amp;MID(SUBSTITUTE(SUBSTITUTE(SUBSTITUTE(SUBSTITUTE(SUBSTITUTE(Клиенты_исходные!D276," ",""),"-",""),"+",""),"(",""),")",""),2,10),SUBSTITUTE(SUBSTITUTE(SUBSTITUTE(SUBSTITUTE(SUBSTITUTE(Клиенты_исходные!D276," ",""),"-",""),"+",""),"(",""),")","")),8,2)&amp;"-"&amp;MID(IF(LEFT(SUBSTITUTE(SUBSTITUTE(SUBSTITUTE(SUBSTITUTE(SUBSTITUTE(Клиенты_исходные!D276," ",""),"-",""),"+",""),"(",""),")",""))="8","7"&amp;MID(SUBSTITUTE(SUBSTITUTE(SUBSTITUTE(SUBSTITUTE(SUBSTITUTE(Клиенты_исходные!D276," ",""),"-",""),"+",""),"(",""),")",""),2,10),SUBSTITUTE(SUBSTITUTE(SUBSTITUTE(SUBSTITUTE(SUBSTITUTE(Клиенты_исходные!D276," ",""),"-",""),"+",""),"(",""),")","")),10,2),IF(LEN(SUBSTITUTE(SUBSTITUTE(SUBSTITUTE(SUBSTITUTE(SUBSTITUTE(Клиенты_исходные!D276," ",""),"-",""),"+",""),"(",""),")",""))=10,"+7 ("&amp;MID(SUBSTITUTE(SUBSTITUTE(SUBSTITUTE(SUBSTITUTE(SUBSTITUTE(Клиенты_исходные!D276," ",""),"-",""),"+",""),"(",""),")",""),1,3)&amp;") "&amp;MID(SUBSTITUTE(SUBSTITUTE(SUBSTITUTE(SUBSTITUTE(SUBSTITUTE(Клиенты_исходные!D276," ",""),"-",""),"+",""),"(",""),")",""),4,3)&amp;"-"&amp;MID(SUBSTITUTE(SUBSTITUTE(SUBSTITUTE(SUBSTITUTE(SUBSTITUTE(Клиенты_исходные!D276," ",""),"-",""),"+",""),"(",""),")",""),6,2)&amp;"-"&amp;MID(SUBSTITUTE(SUBSTITUTE(SUBSTITUTE(SUBSTITUTE(SUBSTITUTE(Клиенты_исходные!D276," ",""),"-",""),"+",""),"(",""),")",""),8,2),Клиенты_исходные!D276)))</f>
        <v xml:space="preserve">+7 (903) 789-01-23</v>
      </c>
      <c r="E276" t="str">
        <f>IF(ISBLANK(Клиенты_исходные!E276),"",IF(ISNUMBER(FIND(".",MID(Клиенты_исходные!E276,FIND("@",Клиенты_исходные!E276)+1,255))),Клиенты_исходные!E276,IF(ISNUMBER(FIND("gmail",Клиенты_исходные!E276)),Клиенты_исходные!E276&amp;".com",Клиенты_исходные!E276&amp;".ru")))</f>
        <v>vanyushina@yandex.ru</v>
      </c>
      <c r="F276" t="str">
        <f>IFERROR(VLOOKUP(Клиенты_исходные!F276,Справочники!$J$2:$K$50,2,FALSE),Клиенты_исходные!F276)</f>
        <v>Балашиха</v>
      </c>
      <c r="G276" s="8">
        <f>IFERROR(IF(ISNUMBER(FIND(".",Клиенты_исходные!G276)),DATE(RIGHT(Клиенты_исходные!G276,4),MID(Клиенты_исходные!G276,4,2),LEFT(Клиенты_исходные!G276,2)),DATE(LEFT(Клиенты_исходные!G276,4),MID(Клиенты_исходные!G276,6,2),RIGHT(Клиенты_исходные!G276,2))),Клиенты_исходные!G276)</f>
        <v>47340</v>
      </c>
      <c r="H276">
        <f t="shared" ca="1" si="58"/>
        <v>37</v>
      </c>
      <c r="I276" t="str">
        <f t="shared" si="59"/>
        <v>OK</v>
      </c>
      <c r="J276" t="str">
        <f t="shared" si="60"/>
        <v>OK</v>
      </c>
    </row>
    <row r="277">
      <c r="A277" t="str">
        <f>Клиенты_исходные!A277</f>
        <v>C0276</v>
      </c>
      <c r="B277" t="str">
        <f>PROPER(TRIM(Клиенты_исходные!B277))</f>
        <v xml:space="preserve">Краснов Денис Александрович</v>
      </c>
      <c r="C277" s="8">
        <f>IFERROR(IF(ISNUMBER(FIND(".",Клиенты_исходные!C277)),DATE(RIGHT(Клиенты_исходные!C277,4),MID(Клиенты_исходные!C277,4,2),LEFT(Клиенты_исходные!C277,2)),DATE(LEFT(Клиенты_исходные!C277,4),MID(Клиенты_исходные!C277,6,2),RIGHT(Клиенты_исходные!C277,2))),Клиенты_исходные!C277)</f>
        <v>34541</v>
      </c>
      <c r="D277" t="str">
        <f>IF(ISBLANK(Клиенты_исходные!D277),"",IF(LEN(SUBSTITUTE(SUBSTITUTE(SUBSTITUTE(SUBSTITUTE(SUBSTITUTE(Клиенты_исходные!D277," ",""),"-",""),"+",""),"(",""),")",""))=11,"+7 ("&amp;MID(IF(LEFT(SUBSTITUTE(SUBSTITUTE(SUBSTITUTE(SUBSTITUTE(SUBSTITUTE(Клиенты_исходные!D277," ",""),"-",""),"+",""),"(",""),")",""))="8","7"&amp;MID(SUBSTITUTE(SUBSTITUTE(SUBSTITUTE(SUBSTITUTE(SUBSTITUTE(Клиенты_исходные!D277," ",""),"-",""),"+",""),"(",""),")",""),2,10),SUBSTITUTE(SUBSTITUTE(SUBSTITUTE(SUBSTITUTE(SUBSTITUTE(Клиенты_исходные!D277," ",""),"-",""),"+",""),"(",""),")","")),2,3)&amp;") "&amp;MID(IF(LEFT(SUBSTITUTE(SUBSTITUTE(SUBSTITUTE(SUBSTITUTE(SUBSTITUTE(Клиенты_исходные!D277," ",""),"-",""),"+",""),"(",""),")",""))="8","7"&amp;MID(SUBSTITUTE(SUBSTITUTE(SUBSTITUTE(SUBSTITUTE(SUBSTITUTE(Клиенты_исходные!D277," ",""),"-",""),"+",""),"(",""),")",""),2,10),SUBSTITUTE(SUBSTITUTE(SUBSTITUTE(SUBSTITUTE(SUBSTITUTE(Клиенты_исходные!D277," ",""),"-",""),"+",""),"(",""),")","")),5,3)&amp;"-"&amp;MID(IF(LEFT(SUBSTITUTE(SUBSTITUTE(SUBSTITUTE(SUBSTITUTE(SUBSTITUTE(Клиенты_исходные!D277," ",""),"-",""),"+",""),"(",""),")",""))="8","7"&amp;MID(SUBSTITUTE(SUBSTITUTE(SUBSTITUTE(SUBSTITUTE(SUBSTITUTE(Клиенты_исходные!D277," ",""),"-",""),"+",""),"(",""),")",""),2,10),SUBSTITUTE(SUBSTITUTE(SUBSTITUTE(SUBSTITUTE(SUBSTITUTE(Клиенты_исходные!D277," ",""),"-",""),"+",""),"(",""),")","")),8,2)&amp;"-"&amp;MID(IF(LEFT(SUBSTITUTE(SUBSTITUTE(SUBSTITUTE(SUBSTITUTE(SUBSTITUTE(Клиенты_исходные!D277," ",""),"-",""),"+",""),"(",""),")",""))="8","7"&amp;MID(SUBSTITUTE(SUBSTITUTE(SUBSTITUTE(SUBSTITUTE(SUBSTITUTE(Клиенты_исходные!D277," ",""),"-",""),"+",""),"(",""),")",""),2,10),SUBSTITUTE(SUBSTITUTE(SUBSTITUTE(SUBSTITUTE(SUBSTITUTE(Клиенты_исходные!D277," ",""),"-",""),"+",""),"(",""),")","")),10,2),IF(LEN(SUBSTITUTE(SUBSTITUTE(SUBSTITUTE(SUBSTITUTE(SUBSTITUTE(Клиенты_исходные!D277," ",""),"-",""),"+",""),"(",""),")",""))=10,"+7 ("&amp;MID(SUBSTITUTE(SUBSTITUTE(SUBSTITUTE(SUBSTITUTE(SUBSTITUTE(Клиенты_исходные!D277," ",""),"-",""),"+",""),"(",""),")",""),1,3)&amp;") "&amp;MID(SUBSTITUTE(SUBSTITUTE(SUBSTITUTE(SUBSTITUTE(SUBSTITUTE(Клиенты_исходные!D277," ",""),"-",""),"+",""),"(",""),")",""),4,3)&amp;"-"&amp;MID(SUBSTITUTE(SUBSTITUTE(SUBSTITUTE(SUBSTITUTE(SUBSTITUTE(Клиенты_исходные!D277," ",""),"-",""),"+",""),"(",""),")",""),6,2)&amp;"-"&amp;MID(SUBSTITUTE(SUBSTITUTE(SUBSTITUTE(SUBSTITUTE(SUBSTITUTE(Клиенты_исходные!D277," ",""),"-",""),"+",""),"(",""),")",""),8,2),Клиенты_исходные!D277)))</f>
        <v xml:space="preserve">+7 (903) 890-12-34</v>
      </c>
      <c r="E277" t="str">
        <f>IF(ISBLANK(Клиенты_исходные!E277),"",IF(ISNUMBER(FIND(".",MID(Клиенты_исходные!E277,FIND("@",Клиенты_исходные!E277)+1,255))),Клиенты_исходные!E277,IF(ISNUMBER(FIND("gmail",Клиенты_исходные!E277)),Клиенты_исходные!E277&amp;".com",Клиенты_исходные!E277&amp;".ru")))</f>
        <v>krasnov@gmail.com</v>
      </c>
      <c r="F277" t="str">
        <f>IFERROR(VLOOKUP(Клиенты_исходные!F277,Справочники!$J$2:$K$50,2,FALSE),Клиенты_исходные!F277)</f>
        <v>Сургут</v>
      </c>
      <c r="G277" s="8">
        <f>IFERROR(IF(ISNUMBER(FIND(".",Клиенты_исходные!G277)),DATE(RIGHT(Клиенты_исходные!G277,4),MID(Клиенты_исходные!G277,4,2),LEFT(Клиенты_исходные!G277,2)),DATE(LEFT(Клиенты_исходные!G277,4),MID(Клиенты_исходные!G277,6,2),RIGHT(Клиенты_исходные!G277,2))),Клиенты_исходные!G277)</f>
        <v>47340</v>
      </c>
      <c r="H277">
        <f t="shared" ca="1" si="58"/>
        <v>32</v>
      </c>
      <c r="I277" t="str">
        <f t="shared" si="59"/>
        <v>OK</v>
      </c>
      <c r="J277" t="str">
        <f t="shared" si="60"/>
        <v>OK</v>
      </c>
    </row>
    <row r="278">
      <c r="A278" t="str">
        <f>Клиенты_исходные!A278</f>
        <v>C0277</v>
      </c>
      <c r="B278" t="str">
        <f>PROPER(TRIM(Клиенты_исходные!B278))</f>
        <v xml:space="preserve">Мухина Татьяна Павловна</v>
      </c>
      <c r="C278" s="8">
        <f>IFERROR(IF(ISNUMBER(FIND(".",Клиенты_исходные!C278)),DATE(RIGHT(Клиенты_исходные!C278,4),MID(Клиенты_исходные!C278,4,2),LEFT(Клиенты_исходные!C278,2)),DATE(LEFT(Клиенты_исходные!C278,4),MID(Клиенты_исходные!C278,6,2),RIGHT(Клиенты_исходные!C278,2))),Клиенты_исходные!C278)</f>
        <v>27682</v>
      </c>
      <c r="D278" t="str">
        <f>IF(ISBLANK(Клиенты_исходные!D278),"",IF(LEN(SUBSTITUTE(SUBSTITUTE(SUBSTITUTE(SUBSTITUTE(SUBSTITUTE(Клиенты_исходные!D278," ",""),"-",""),"+",""),"(",""),")",""))=11,"+7 ("&amp;MID(IF(LEFT(SUBSTITUTE(SUBSTITUTE(SUBSTITUTE(SUBSTITUTE(SUBSTITUTE(Клиенты_исходные!D278," ",""),"-",""),"+",""),"(",""),")",""))="8","7"&amp;MID(SUBSTITUTE(SUBSTITUTE(SUBSTITUTE(SUBSTITUTE(SUBSTITUTE(Клиенты_исходные!D278," ",""),"-",""),"+",""),"(",""),")",""),2,10),SUBSTITUTE(SUBSTITUTE(SUBSTITUTE(SUBSTITUTE(SUBSTITUTE(Клиенты_исходные!D278," ",""),"-",""),"+",""),"(",""),")","")),2,3)&amp;") "&amp;MID(IF(LEFT(SUBSTITUTE(SUBSTITUTE(SUBSTITUTE(SUBSTITUTE(SUBSTITUTE(Клиенты_исходные!D278," ",""),"-",""),"+",""),"(",""),")",""))="8","7"&amp;MID(SUBSTITUTE(SUBSTITUTE(SUBSTITUTE(SUBSTITUTE(SUBSTITUTE(Клиенты_исходные!D278," ",""),"-",""),"+",""),"(",""),")",""),2,10),SUBSTITUTE(SUBSTITUTE(SUBSTITUTE(SUBSTITUTE(SUBSTITUTE(Клиенты_исходные!D278," ",""),"-",""),"+",""),"(",""),")","")),5,3)&amp;"-"&amp;MID(IF(LEFT(SUBSTITUTE(SUBSTITUTE(SUBSTITUTE(SUBSTITUTE(SUBSTITUTE(Клиенты_исходные!D278," ",""),"-",""),"+",""),"(",""),")",""))="8","7"&amp;MID(SUBSTITUTE(SUBSTITUTE(SUBSTITUTE(SUBSTITUTE(SUBSTITUTE(Клиенты_исходные!D278," ",""),"-",""),"+",""),"(",""),")",""),2,10),SUBSTITUTE(SUBSTITUTE(SUBSTITUTE(SUBSTITUTE(SUBSTITUTE(Клиенты_исходные!D278," ",""),"-",""),"+",""),"(",""),")","")),8,2)&amp;"-"&amp;MID(IF(LEFT(SUBSTITUTE(SUBSTITUTE(SUBSTITUTE(SUBSTITUTE(SUBSTITUTE(Клиенты_исходные!D278," ",""),"-",""),"+",""),"(",""),")",""))="8","7"&amp;MID(SUBSTITUTE(SUBSTITUTE(SUBSTITUTE(SUBSTITUTE(SUBSTITUTE(Клиенты_исходные!D278," ",""),"-",""),"+",""),"(",""),")",""),2,10),SUBSTITUTE(SUBSTITUTE(SUBSTITUTE(SUBSTITUTE(SUBSTITUTE(Клиенты_исходные!D278," ",""),"-",""),"+",""),"(",""),")","")),10,2),IF(LEN(SUBSTITUTE(SUBSTITUTE(SUBSTITUTE(SUBSTITUTE(SUBSTITUTE(Клиенты_исходные!D278," ",""),"-",""),"+",""),"(",""),")",""))=10,"+7 ("&amp;MID(SUBSTITUTE(SUBSTITUTE(SUBSTITUTE(SUBSTITUTE(SUBSTITUTE(Клиенты_исходные!D278," ",""),"-",""),"+",""),"(",""),")",""),1,3)&amp;") "&amp;MID(SUBSTITUTE(SUBSTITUTE(SUBSTITUTE(SUBSTITUTE(SUBSTITUTE(Клиенты_исходные!D278," ",""),"-",""),"+",""),"(",""),")",""),4,3)&amp;"-"&amp;MID(SUBSTITUTE(SUBSTITUTE(SUBSTITUTE(SUBSTITUTE(SUBSTITUTE(Клиенты_исходные!D278," ",""),"-",""),"+",""),"(",""),")",""),6,2)&amp;"-"&amp;MID(SUBSTITUTE(SUBSTITUTE(SUBSTITUTE(SUBSTITUTE(SUBSTITUTE(Клиенты_исходные!D278," ",""),"-",""),"+",""),"(",""),")",""),8,2),Клиенты_исходные!D278)))</f>
        <v xml:space="preserve">+7 (903) 890-12-34</v>
      </c>
      <c r="E278" t="str">
        <f>IF(ISBLANK(Клиенты_исходные!E278),"",IF(ISNUMBER(FIND(".",MID(Клиенты_исходные!E278,FIND("@",Клиенты_исходные!E278)+1,255))),Клиенты_исходные!E278,IF(ISNUMBER(FIND("gmail",Клиенты_исходные!E278)),Клиенты_исходные!E278&amp;".com",Клиенты_исходные!E278&amp;".ru")))</f>
        <v>muhina@mail.ru</v>
      </c>
      <c r="F278" t="str">
        <f>IFERROR(VLOOKUP(Клиенты_исходные!F278,Справочники!$J$2:$K$50,2,FALSE),Клиенты_исходные!F278)</f>
        <v>Армавир</v>
      </c>
      <c r="G278" s="8">
        <f>IFERROR(IF(ISNUMBER(FIND(".",Клиенты_исходные!G278)),DATE(RIGHT(Клиенты_исходные!G278,4),MID(Клиенты_исходные!G278,4,2),LEFT(Клиенты_исходные!G278,2)),DATE(LEFT(Клиенты_исходные!G278,4),MID(Клиенты_исходные!G278,6,2),RIGHT(Клиенты_исходные!G278,2))),Клиенты_исходные!G278)</f>
        <v>47362</v>
      </c>
      <c r="H278">
        <f t="shared" ca="1" si="58"/>
        <v>50</v>
      </c>
      <c r="I278" t="str">
        <f t="shared" si="59"/>
        <v>OK</v>
      </c>
      <c r="J278" t="str">
        <f t="shared" si="60"/>
        <v>OK</v>
      </c>
    </row>
    <row r="279">
      <c r="A279" t="str">
        <f>Клиенты_исходные!A279</f>
        <v>C0278</v>
      </c>
      <c r="B279" t="str">
        <f>PROPER(TRIM(Клиенты_исходные!B279))</f>
        <v xml:space="preserve">Вакуленко Андрей Олегович</v>
      </c>
      <c r="C279" s="8">
        <f>IFERROR(IF(ISNUMBER(FIND(".",Клиенты_исходные!C279)),DATE(RIGHT(Клиенты_исходные!C279,4),MID(Клиенты_исходные!C279,4,2),LEFT(Клиенты_исходные!C279,2)),DATE(LEFT(Клиенты_исходные!C279,4),MID(Клиенты_исходные!C279,6,2),RIGHT(Клиенты_исходные!C279,2))),Клиенты_исходные!C279)</f>
        <v>30669</v>
      </c>
      <c r="D279" t="str">
        <f>IF(ISBLANK(Клиенты_исходные!D279),"",IF(LEN(SUBSTITUTE(SUBSTITUTE(SUBSTITUTE(SUBSTITUTE(SUBSTITUTE(Клиенты_исходные!D279," ",""),"-",""),"+",""),"(",""),")",""))=11,"+7 ("&amp;MID(IF(LEFT(SUBSTITUTE(SUBSTITUTE(SUBSTITUTE(SUBSTITUTE(SUBSTITUTE(Клиенты_исходные!D279," ",""),"-",""),"+",""),"(",""),")",""))="8","7"&amp;MID(SUBSTITUTE(SUBSTITUTE(SUBSTITUTE(SUBSTITUTE(SUBSTITUTE(Клиенты_исходные!D279," ",""),"-",""),"+",""),"(",""),")",""),2,10),SUBSTITUTE(SUBSTITUTE(SUBSTITUTE(SUBSTITUTE(SUBSTITUTE(Клиенты_исходные!D279," ",""),"-",""),"+",""),"(",""),")","")),2,3)&amp;") "&amp;MID(IF(LEFT(SUBSTITUTE(SUBSTITUTE(SUBSTITUTE(SUBSTITUTE(SUBSTITUTE(Клиенты_исходные!D279," ",""),"-",""),"+",""),"(",""),")",""))="8","7"&amp;MID(SUBSTITUTE(SUBSTITUTE(SUBSTITUTE(SUBSTITUTE(SUBSTITUTE(Клиенты_исходные!D279," ",""),"-",""),"+",""),"(",""),")",""),2,10),SUBSTITUTE(SUBSTITUTE(SUBSTITUTE(SUBSTITUTE(SUBSTITUTE(Клиенты_исходные!D279," ",""),"-",""),"+",""),"(",""),")","")),5,3)&amp;"-"&amp;MID(IF(LEFT(SUBSTITUTE(SUBSTITUTE(SUBSTITUTE(SUBSTITUTE(SUBSTITUTE(Клиенты_исходные!D279," ",""),"-",""),"+",""),"(",""),")",""))="8","7"&amp;MID(SUBSTITUTE(SUBSTITUTE(SUBSTITUTE(SUBSTITUTE(SUBSTITUTE(Клиенты_исходные!D279," ",""),"-",""),"+",""),"(",""),")",""),2,10),SUBSTITUTE(SUBSTITUTE(SUBSTITUTE(SUBSTITUTE(SUBSTITUTE(Клиенты_исходные!D279," ",""),"-",""),"+",""),"(",""),")","")),8,2)&amp;"-"&amp;MID(IF(LEFT(SUBSTITUTE(SUBSTITUTE(SUBSTITUTE(SUBSTITUTE(SUBSTITUTE(Клиенты_исходные!D279," ",""),"-",""),"+",""),"(",""),")",""))="8","7"&amp;MID(SUBSTITUTE(SUBSTITUTE(SUBSTITUTE(SUBSTITUTE(SUBSTITUTE(Клиенты_исходные!D279," ",""),"-",""),"+",""),"(",""),")",""),2,10),SUBSTITUTE(SUBSTITUTE(SUBSTITUTE(SUBSTITUTE(SUBSTITUTE(Клиенты_исходные!D279," ",""),"-",""),"+",""),"(",""),")","")),10,2),IF(LEN(SUBSTITUTE(SUBSTITUTE(SUBSTITUTE(SUBSTITUTE(SUBSTITUTE(Клиенты_исходные!D279," ",""),"-",""),"+",""),"(",""),")",""))=10,"+7 ("&amp;MID(SUBSTITUTE(SUBSTITUTE(SUBSTITUTE(SUBSTITUTE(SUBSTITUTE(Клиенты_исходные!D279," ",""),"-",""),"+",""),"(",""),")",""),1,3)&amp;") "&amp;MID(SUBSTITUTE(SUBSTITUTE(SUBSTITUTE(SUBSTITUTE(SUBSTITUTE(Клиенты_исходные!D279," ",""),"-",""),"+",""),"(",""),")",""),4,3)&amp;"-"&amp;MID(SUBSTITUTE(SUBSTITUTE(SUBSTITUTE(SUBSTITUTE(SUBSTITUTE(Клиенты_исходные!D279," ",""),"-",""),"+",""),"(",""),")",""),6,2)&amp;"-"&amp;MID(SUBSTITUTE(SUBSTITUTE(SUBSTITUTE(SUBSTITUTE(SUBSTITUTE(Клиенты_исходные!D279," ",""),"-",""),"+",""),"(",""),")",""),8,2),Клиенты_исходные!D279)))</f>
        <v xml:space="preserve">+7 (903) 890-12-34</v>
      </c>
      <c r="E279" t="str">
        <f>IF(ISBLANK(Клиенты_исходные!E279),"",IF(ISNUMBER(FIND(".",MID(Клиенты_исходные!E279,FIND("@",Клиенты_исходные!E279)+1,255))),Клиенты_исходные!E279,IF(ISNUMBER(FIND("gmail",Клиенты_исходные!E279)),Клиенты_исходные!E279&amp;".com",Клиенты_исходные!E279&amp;".ru")))</f>
        <v>vakulenko@yandex.ru</v>
      </c>
      <c r="F279" t="str">
        <f>IFERROR(VLOOKUP(Клиенты_исходные!F279,Справочники!$J$2:$K$50,2,FALSE),Клиенты_исходные!F279)</f>
        <v>Волжский</v>
      </c>
      <c r="G279" s="8">
        <f>IFERROR(IF(ISNUMBER(FIND(".",Клиенты_исходные!G279)),DATE(RIGHT(Клиенты_исходные!G279,4),MID(Клиенты_исходные!G279,4,2),LEFT(Клиенты_исходные!G279,2)),DATE(LEFT(Клиенты_исходные!G279,4),MID(Клиенты_исходные!G279,6,2),RIGHT(Клиенты_исходные!G279,2))),Клиенты_исходные!G279)</f>
        <v>47376</v>
      </c>
      <c r="H279">
        <f t="shared" ca="1" si="58"/>
        <v>42</v>
      </c>
      <c r="I279" t="str">
        <f t="shared" si="59"/>
        <v>OK</v>
      </c>
      <c r="J279" t="str">
        <f t="shared" si="60"/>
        <v>OK</v>
      </c>
    </row>
    <row r="280">
      <c r="A280" t="str">
        <f>Клиенты_исходные!A280</f>
        <v>C0279</v>
      </c>
      <c r="B280" t="str">
        <f>PROPER(TRIM(Клиенты_исходные!B280))</f>
        <v xml:space="preserve">Терехова Светлана Николаевна</v>
      </c>
      <c r="C280" s="8">
        <f>IFERROR(IF(ISNUMBER(FIND(".",Клиенты_исходные!C280)),DATE(RIGHT(Клиенты_исходные!C280,4),MID(Клиенты_исходные!C280,4,2),LEFT(Клиенты_исходные!C280,2)),DATE(LEFT(Клиенты_исходные!C280,4),MID(Клиенты_исходные!C280,6,2),RIGHT(Клиенты_исходные!C280,2))),Клиенты_исходные!C280)</f>
        <v>33392</v>
      </c>
      <c r="D280" t="str">
        <f>IF(ISBLANK(Клиенты_исходные!D280),"",IF(LEN(SUBSTITUTE(SUBSTITUTE(SUBSTITUTE(SUBSTITUTE(SUBSTITUTE(Клиенты_исходные!D280," ",""),"-",""),"+",""),"(",""),")",""))=11,"+7 ("&amp;MID(IF(LEFT(SUBSTITUTE(SUBSTITUTE(SUBSTITUTE(SUBSTITUTE(SUBSTITUTE(Клиенты_исходные!D280," ",""),"-",""),"+",""),"(",""),")",""))="8","7"&amp;MID(SUBSTITUTE(SUBSTITUTE(SUBSTITUTE(SUBSTITUTE(SUBSTITUTE(Клиенты_исходные!D280," ",""),"-",""),"+",""),"(",""),")",""),2,10),SUBSTITUTE(SUBSTITUTE(SUBSTITUTE(SUBSTITUTE(SUBSTITUTE(Клиенты_исходные!D280," ",""),"-",""),"+",""),"(",""),")","")),2,3)&amp;") "&amp;MID(IF(LEFT(SUBSTITUTE(SUBSTITUTE(SUBSTITUTE(SUBSTITUTE(SUBSTITUTE(Клиенты_исходные!D280," ",""),"-",""),"+",""),"(",""),")",""))="8","7"&amp;MID(SUBSTITUTE(SUBSTITUTE(SUBSTITUTE(SUBSTITUTE(SUBSTITUTE(Клиенты_исходные!D280," ",""),"-",""),"+",""),"(",""),")",""),2,10),SUBSTITUTE(SUBSTITUTE(SUBSTITUTE(SUBSTITUTE(SUBSTITUTE(Клиенты_исходные!D280," ",""),"-",""),"+",""),"(",""),")","")),5,3)&amp;"-"&amp;MID(IF(LEFT(SUBSTITUTE(SUBSTITUTE(SUBSTITUTE(SUBSTITUTE(SUBSTITUTE(Клиенты_исходные!D280," ",""),"-",""),"+",""),"(",""),")",""))="8","7"&amp;MID(SUBSTITUTE(SUBSTITUTE(SUBSTITUTE(SUBSTITUTE(SUBSTITUTE(Клиенты_исходные!D280," ",""),"-",""),"+",""),"(",""),")",""),2,10),SUBSTITUTE(SUBSTITUTE(SUBSTITUTE(SUBSTITUTE(SUBSTITUTE(Клиенты_исходные!D280," ",""),"-",""),"+",""),"(",""),")","")),8,2)&amp;"-"&amp;MID(IF(LEFT(SUBSTITUTE(SUBSTITUTE(SUBSTITUTE(SUBSTITUTE(SUBSTITUTE(Клиенты_исходные!D280," ",""),"-",""),"+",""),"(",""),")",""))="8","7"&amp;MID(SUBSTITUTE(SUBSTITUTE(SUBSTITUTE(SUBSTITUTE(SUBSTITUTE(Клиенты_исходные!D280," ",""),"-",""),"+",""),"(",""),")",""),2,10),SUBSTITUTE(SUBSTITUTE(SUBSTITUTE(SUBSTITUTE(SUBSTITUTE(Клиенты_исходные!D280," ",""),"-",""),"+",""),"(",""),")","")),10,2),IF(LEN(SUBSTITUTE(SUBSTITUTE(SUBSTITUTE(SUBSTITUTE(SUBSTITUTE(Клиенты_исходные!D280," ",""),"-",""),"+",""),"(",""),")",""))=10,"+7 ("&amp;MID(SUBSTITUTE(SUBSTITUTE(SUBSTITUTE(SUBSTITUTE(SUBSTITUTE(Клиенты_исходные!D280," ",""),"-",""),"+",""),"(",""),")",""),1,3)&amp;") "&amp;MID(SUBSTITUTE(SUBSTITUTE(SUBSTITUTE(SUBSTITUTE(SUBSTITUTE(Клиенты_исходные!D280," ",""),"-",""),"+",""),"(",""),")",""),4,3)&amp;"-"&amp;MID(SUBSTITUTE(SUBSTITUTE(SUBSTITUTE(SUBSTITUTE(SUBSTITUTE(Клиенты_исходные!D280," ",""),"-",""),"+",""),"(",""),")",""),6,2)&amp;"-"&amp;MID(SUBSTITUTE(SUBSTITUTE(SUBSTITUTE(SUBSTITUTE(SUBSTITUTE(Клиенты_исходные!D280," ",""),"-",""),"+",""),"(",""),")",""),8,2),Клиенты_исходные!D280)))</f>
        <v xml:space="preserve">+7 (903) 901-23-45</v>
      </c>
      <c r="E280" t="str">
        <f>IF(ISBLANK(Клиенты_исходные!E280),"",IF(ISNUMBER(FIND(".",MID(Клиенты_исходные!E280,FIND("@",Клиенты_исходные!E280)+1,255))),Клиенты_исходные!E280,IF(ISNUMBER(FIND("gmail",Клиенты_исходные!E280)),Клиенты_исходные!E280&amp;".com",Клиенты_исходные!E280&amp;".ru")))</f>
        <v>terehova@gmail.com</v>
      </c>
      <c r="F280" t="str">
        <f>IFERROR(VLOOKUP(Клиенты_исходные!F280,Справочники!$J$2:$K$50,2,FALSE),Клиенты_исходные!F280)</f>
        <v>Шахты</v>
      </c>
      <c r="G280" s="8">
        <f>IFERROR(IF(ISNUMBER(FIND(".",Клиенты_исходные!G280)),DATE(RIGHT(Клиенты_исходные!G280,4),MID(Клиенты_исходные!G280,4,2),LEFT(Клиенты_исходные!G280,2)),DATE(LEFT(Клиенты_исходные!G280,4),MID(Клиенты_исходные!G280,6,2),RIGHT(Клиенты_исходные!G280,2))),Клиенты_исходные!G280)</f>
        <v>47376</v>
      </c>
      <c r="H280">
        <f t="shared" ca="1" si="58"/>
        <v>35</v>
      </c>
      <c r="I280" t="str">
        <f t="shared" si="59"/>
        <v>OK</v>
      </c>
      <c r="J280" t="str">
        <f t="shared" si="60"/>
        <v>OK</v>
      </c>
    </row>
    <row r="281">
      <c r="A281" t="str">
        <f>Клиенты_исходные!A281</f>
        <v>C0280</v>
      </c>
      <c r="B281" t="str">
        <f>PROPER(TRIM(Клиенты_исходные!B281))</f>
        <v xml:space="preserve">Бобков Илья Алексеевич</v>
      </c>
      <c r="C281" s="8">
        <f>IFERROR(IF(ISNUMBER(FIND(".",Клиенты_исходные!C281)),DATE(RIGHT(Клиенты_исходные!C281,4),MID(Клиенты_исходные!C281,4,2),LEFT(Клиенты_исходные!C281,2)),DATE(LEFT(Клиенты_исходные!C281,4),MID(Клиенты_исходные!C281,6,2),RIGHT(Клиенты_исходные!C281,2))),Клиенты_исходные!C281)</f>
        <v>26533</v>
      </c>
      <c r="D281" t="str">
        <f>IF(ISBLANK(Клиенты_исходные!D281),"",IF(LEN(SUBSTITUTE(SUBSTITUTE(SUBSTITUTE(SUBSTITUTE(SUBSTITUTE(Клиенты_исходные!D281," ",""),"-",""),"+",""),"(",""),")",""))=11,"+7 ("&amp;MID(IF(LEFT(SUBSTITUTE(SUBSTITUTE(SUBSTITUTE(SUBSTITUTE(SUBSTITUTE(Клиенты_исходные!D281," ",""),"-",""),"+",""),"(",""),")",""))="8","7"&amp;MID(SUBSTITUTE(SUBSTITUTE(SUBSTITUTE(SUBSTITUTE(SUBSTITUTE(Клиенты_исходные!D281," ",""),"-",""),"+",""),"(",""),")",""),2,10),SUBSTITUTE(SUBSTITUTE(SUBSTITUTE(SUBSTITUTE(SUBSTITUTE(Клиенты_исходные!D281," ",""),"-",""),"+",""),"(",""),")","")),2,3)&amp;") "&amp;MID(IF(LEFT(SUBSTITUTE(SUBSTITUTE(SUBSTITUTE(SUBSTITUTE(SUBSTITUTE(Клиенты_исходные!D281," ",""),"-",""),"+",""),"(",""),")",""))="8","7"&amp;MID(SUBSTITUTE(SUBSTITUTE(SUBSTITUTE(SUBSTITUTE(SUBSTITUTE(Клиенты_исходные!D281," ",""),"-",""),"+",""),"(",""),")",""),2,10),SUBSTITUTE(SUBSTITUTE(SUBSTITUTE(SUBSTITUTE(SUBSTITUTE(Клиенты_исходные!D281," ",""),"-",""),"+",""),"(",""),")","")),5,3)&amp;"-"&amp;MID(IF(LEFT(SUBSTITUTE(SUBSTITUTE(SUBSTITUTE(SUBSTITUTE(SUBSTITUTE(Клиенты_исходные!D281," ",""),"-",""),"+",""),"(",""),")",""))="8","7"&amp;MID(SUBSTITUTE(SUBSTITUTE(SUBSTITUTE(SUBSTITUTE(SUBSTITUTE(Клиенты_исходные!D281," ",""),"-",""),"+",""),"(",""),")",""),2,10),SUBSTITUTE(SUBSTITUTE(SUBSTITUTE(SUBSTITUTE(SUBSTITUTE(Клиенты_исходные!D281," ",""),"-",""),"+",""),"(",""),")","")),8,2)&amp;"-"&amp;MID(IF(LEFT(SUBSTITUTE(SUBSTITUTE(SUBSTITUTE(SUBSTITUTE(SUBSTITUTE(Клиенты_исходные!D281," ",""),"-",""),"+",""),"(",""),")",""))="8","7"&amp;MID(SUBSTITUTE(SUBSTITUTE(SUBSTITUTE(SUBSTITUTE(SUBSTITUTE(Клиенты_исходные!D281," ",""),"-",""),"+",""),"(",""),")",""),2,10),SUBSTITUTE(SUBSTITUTE(SUBSTITUTE(SUBSTITUTE(SUBSTITUTE(Клиенты_исходные!D281," ",""),"-",""),"+",""),"(",""),")","")),10,2),IF(LEN(SUBSTITUTE(SUBSTITUTE(SUBSTITUTE(SUBSTITUTE(SUBSTITUTE(Клиенты_исходные!D281," ",""),"-",""),"+",""),"(",""),")",""))=10,"+7 ("&amp;MID(SUBSTITUTE(SUBSTITUTE(SUBSTITUTE(SUBSTITUTE(SUBSTITUTE(Клиенты_исходные!D281," ",""),"-",""),"+",""),"(",""),")",""),1,3)&amp;") "&amp;MID(SUBSTITUTE(SUBSTITUTE(SUBSTITUTE(SUBSTITUTE(SUBSTITUTE(Клиенты_исходные!D281," ",""),"-",""),"+",""),"(",""),")",""),4,3)&amp;"-"&amp;MID(SUBSTITUTE(SUBSTITUTE(SUBSTITUTE(SUBSTITUTE(SUBSTITUTE(Клиенты_исходные!D281," ",""),"-",""),"+",""),"(",""),")",""),6,2)&amp;"-"&amp;MID(SUBSTITUTE(SUBSTITUTE(SUBSTITUTE(SUBSTITUTE(SUBSTITUTE(Клиенты_исходные!D281," ",""),"-",""),"+",""),"(",""),")",""),8,2),Клиенты_исходные!D281)))</f>
        <v xml:space="preserve">+7 (903) 901-23-45</v>
      </c>
      <c r="E281" t="str">
        <f>IF(ISBLANK(Клиенты_исходные!E281),"",IF(ISNUMBER(FIND(".",MID(Клиенты_исходные!E281,FIND("@",Клиенты_исходные!E281)+1,255))),Клиенты_исходные!E281,IF(ISNUMBER(FIND("gmail",Клиенты_исходные!E281)),Клиенты_исходные!E281&amp;".com",Клиенты_исходные!E281&amp;".ru")))</f>
        <v>bobkov@mail.ru</v>
      </c>
      <c r="F281" t="str">
        <f>IFERROR(VLOOKUP(Клиенты_исходные!F281,Справочники!$J$2:$K$50,2,FALSE),Клиенты_исходные!F281)</f>
        <v>Златоуст</v>
      </c>
      <c r="G281" s="8">
        <f>IFERROR(IF(ISNUMBER(FIND(".",Клиенты_исходные!G281)),DATE(RIGHT(Клиенты_исходные!G281,4),MID(Клиенты_исходные!G281,4,2),LEFT(Клиенты_исходные!G281,2)),DATE(LEFT(Клиенты_исходные!G281,4),MID(Клиенты_исходные!G281,6,2),RIGHT(Клиенты_исходные!G281,2))),Клиенты_исходные!G281)</f>
        <v>47392</v>
      </c>
      <c r="H281">
        <f t="shared" ca="1" si="58"/>
        <v>54</v>
      </c>
      <c r="I281" t="str">
        <f t="shared" si="59"/>
        <v>OK</v>
      </c>
      <c r="J281" t="str">
        <f t="shared" si="60"/>
        <v>OK</v>
      </c>
    </row>
    <row r="282">
      <c r="A282" t="str">
        <f>Клиенты_исходные!A282</f>
        <v>C0281</v>
      </c>
      <c r="B282" t="str">
        <f>PROPER(TRIM(Клиенты_исходные!B282))</f>
        <v xml:space="preserve">Ильина Анна Владимировна</v>
      </c>
      <c r="C282" s="8">
        <f>IFERROR(IF(ISNUMBER(FIND(".",Клиенты_исходные!C282)),DATE(RIGHT(Клиенты_исходные!C282,4),MID(Клиенты_исходные!C282,4,2),LEFT(Клиенты_исходные!C282,2)),DATE(LEFT(Клиенты_исходные!C282,4),MID(Клиенты_исходные!C282,6,2),RIGHT(Клиенты_исходные!C282,2))),Клиенты_исходные!C282)</f>
        <v>31726</v>
      </c>
      <c r="D282" t="str">
        <f>IF(ISBLANK(Клиенты_исходные!D282),"",IF(LEN(SUBSTITUTE(SUBSTITUTE(SUBSTITUTE(SUBSTITUTE(SUBSTITUTE(Клиенты_исходные!D282," ",""),"-",""),"+",""),"(",""),")",""))=11,"+7 ("&amp;MID(IF(LEFT(SUBSTITUTE(SUBSTITUTE(SUBSTITUTE(SUBSTITUTE(SUBSTITUTE(Клиенты_исходные!D282," ",""),"-",""),"+",""),"(",""),")",""))="8","7"&amp;MID(SUBSTITUTE(SUBSTITUTE(SUBSTITUTE(SUBSTITUTE(SUBSTITUTE(Клиенты_исходные!D282," ",""),"-",""),"+",""),"(",""),")",""),2,10),SUBSTITUTE(SUBSTITUTE(SUBSTITUTE(SUBSTITUTE(SUBSTITUTE(Клиенты_исходные!D282," ",""),"-",""),"+",""),"(",""),")","")),2,3)&amp;") "&amp;MID(IF(LEFT(SUBSTITUTE(SUBSTITUTE(SUBSTITUTE(SUBSTITUTE(SUBSTITUTE(Клиенты_исходные!D282," ",""),"-",""),"+",""),"(",""),")",""))="8","7"&amp;MID(SUBSTITUTE(SUBSTITUTE(SUBSTITUTE(SUBSTITUTE(SUBSTITUTE(Клиенты_исходные!D282," ",""),"-",""),"+",""),"(",""),")",""),2,10),SUBSTITUTE(SUBSTITUTE(SUBSTITUTE(SUBSTITUTE(SUBSTITUTE(Клиенты_исходные!D282," ",""),"-",""),"+",""),"(",""),")","")),5,3)&amp;"-"&amp;MID(IF(LEFT(SUBSTITUTE(SUBSTITUTE(SUBSTITUTE(SUBSTITUTE(SUBSTITUTE(Клиенты_исходные!D282," ",""),"-",""),"+",""),"(",""),")",""))="8","7"&amp;MID(SUBSTITUTE(SUBSTITUTE(SUBSTITUTE(SUBSTITUTE(SUBSTITUTE(Клиенты_исходные!D282," ",""),"-",""),"+",""),"(",""),")",""),2,10),SUBSTITUTE(SUBSTITUTE(SUBSTITUTE(SUBSTITUTE(SUBSTITUTE(Клиенты_исходные!D282," ",""),"-",""),"+",""),"(",""),")","")),8,2)&amp;"-"&amp;MID(IF(LEFT(SUBSTITUTE(SUBSTITUTE(SUBSTITUTE(SUBSTITUTE(SUBSTITUTE(Клиенты_исходные!D282," ",""),"-",""),"+",""),"(",""),")",""))="8","7"&amp;MID(SUBSTITUTE(SUBSTITUTE(SUBSTITUTE(SUBSTITUTE(SUBSTITUTE(Клиенты_исходные!D282," ",""),"-",""),"+",""),"(",""),")",""),2,10),SUBSTITUTE(SUBSTITUTE(SUBSTITUTE(SUBSTITUTE(SUBSTITUTE(Клиенты_исходные!D282," ",""),"-",""),"+",""),"(",""),")","")),10,2),IF(LEN(SUBSTITUTE(SUBSTITUTE(SUBSTITUTE(SUBSTITUTE(SUBSTITUTE(Клиенты_исходные!D282," ",""),"-",""),"+",""),"(",""),")",""))=10,"+7 ("&amp;MID(SUBSTITUTE(SUBSTITUTE(SUBSTITUTE(SUBSTITUTE(SUBSTITUTE(Клиенты_исходные!D282," ",""),"-",""),"+",""),"(",""),")",""),1,3)&amp;") "&amp;MID(SUBSTITUTE(SUBSTITUTE(SUBSTITUTE(SUBSTITUTE(SUBSTITUTE(Клиенты_исходные!D282," ",""),"-",""),"+",""),"(",""),")",""),4,3)&amp;"-"&amp;MID(SUBSTITUTE(SUBSTITUTE(SUBSTITUTE(SUBSTITUTE(SUBSTITUTE(Клиенты_исходные!D282," ",""),"-",""),"+",""),"(",""),")",""),6,2)&amp;"-"&amp;MID(SUBSTITUTE(SUBSTITUTE(SUBSTITUTE(SUBSTITUTE(SUBSTITUTE(Клиенты_исходные!D282," ",""),"-",""),"+",""),"(",""),")",""),8,2),Клиенты_исходные!D282)))</f>
        <v xml:space="preserve">+7 (903) 901-23-45</v>
      </c>
      <c r="E282" t="str">
        <f>IF(ISBLANK(Клиенты_исходные!E282),"",IF(ISNUMBER(FIND(".",MID(Клиенты_исходные!E282,FIND("@",Клиенты_исходные!E282)+1,255))),Клиенты_исходные!E282,IF(ISNUMBER(FIND("gmail",Клиенты_исходные!E282)),Клиенты_исходные!E282&amp;".com",Клиенты_исходные!E282&amp;".ru")))</f>
        <v>ilina@yandex.ru</v>
      </c>
      <c r="F282" t="str">
        <f>IFERROR(VLOOKUP(Клиенты_исходные!F282,Справочники!$J$2:$K$50,2,FALSE),Клиенты_исходные!F282)</f>
        <v>Ангарск</v>
      </c>
      <c r="G282" s="8">
        <f>IFERROR(IF(ISNUMBER(FIND(".",Клиенты_исходные!G282)),DATE(RIGHT(Клиенты_исходные!G282,4),MID(Клиенты_исходные!G282,4,2),LEFT(Клиенты_исходные!G282,2)),DATE(LEFT(Клиенты_исходные!G282,4),MID(Клиенты_исходные!G282,6,2),RIGHT(Клиенты_исходные!G282,2))),Клиенты_исходные!G282)</f>
        <v>47401</v>
      </c>
      <c r="H282">
        <f t="shared" ca="1" si="58"/>
        <v>39</v>
      </c>
      <c r="I282" t="str">
        <f t="shared" si="59"/>
        <v>OK</v>
      </c>
      <c r="J282" t="str">
        <f t="shared" si="60"/>
        <v>OK</v>
      </c>
    </row>
    <row r="283">
      <c r="A283" t="str">
        <f>Клиенты_исходные!A283</f>
        <v>C0282</v>
      </c>
      <c r="B283" t="str">
        <f>PROPER(TRIM(Клиенты_исходные!B283))</f>
        <v xml:space="preserve">Силин Олег Валериевич</v>
      </c>
      <c r="C283" s="8">
        <f>IFERROR(IF(ISNUMBER(FIND(".",Клиенты_исходные!C283)),DATE(RIGHT(Клиенты_исходные!C283,4),MID(Клиенты_исходные!C283,4,2),LEFT(Клиенты_исходные!C283,2)),DATE(LEFT(Клиенты_исходные!C283,4),MID(Клиенты_исходные!C283,6,2),RIGHT(Клиенты_исходные!C283,2))),Клиенты_исходные!C283)</f>
        <v>30038</v>
      </c>
      <c r="D283" t="str">
        <f>IF(ISBLANK(Клиенты_исходные!D283),"",IF(LEN(SUBSTITUTE(SUBSTITUTE(SUBSTITUTE(SUBSTITUTE(SUBSTITUTE(Клиенты_исходные!D283," ",""),"-",""),"+",""),"(",""),")",""))=11,"+7 ("&amp;MID(IF(LEFT(SUBSTITUTE(SUBSTITUTE(SUBSTITUTE(SUBSTITUTE(SUBSTITUTE(Клиенты_исходные!D283," ",""),"-",""),"+",""),"(",""),")",""))="8","7"&amp;MID(SUBSTITUTE(SUBSTITUTE(SUBSTITUTE(SUBSTITUTE(SUBSTITUTE(Клиенты_исходные!D283," ",""),"-",""),"+",""),"(",""),")",""),2,10),SUBSTITUTE(SUBSTITUTE(SUBSTITUTE(SUBSTITUTE(SUBSTITUTE(Клиенты_исходные!D283," ",""),"-",""),"+",""),"(",""),")","")),2,3)&amp;") "&amp;MID(IF(LEFT(SUBSTITUTE(SUBSTITUTE(SUBSTITUTE(SUBSTITUTE(SUBSTITUTE(Клиенты_исходные!D283," ",""),"-",""),"+",""),"(",""),")",""))="8","7"&amp;MID(SUBSTITUTE(SUBSTITUTE(SUBSTITUTE(SUBSTITUTE(SUBSTITUTE(Клиенты_исходные!D283," ",""),"-",""),"+",""),"(",""),")",""),2,10),SUBSTITUTE(SUBSTITUTE(SUBSTITUTE(SUBSTITUTE(SUBSTITUTE(Клиенты_исходные!D283," ",""),"-",""),"+",""),"(",""),")","")),5,3)&amp;"-"&amp;MID(IF(LEFT(SUBSTITUTE(SUBSTITUTE(SUBSTITUTE(SUBSTITUTE(SUBSTITUTE(Клиенты_исходные!D283," ",""),"-",""),"+",""),"(",""),")",""))="8","7"&amp;MID(SUBSTITUTE(SUBSTITUTE(SUBSTITUTE(SUBSTITUTE(SUBSTITUTE(Клиенты_исходные!D283," ",""),"-",""),"+",""),"(",""),")",""),2,10),SUBSTITUTE(SUBSTITUTE(SUBSTITUTE(SUBSTITUTE(SUBSTITUTE(Клиенты_исходные!D283," ",""),"-",""),"+",""),"(",""),")","")),8,2)&amp;"-"&amp;MID(IF(LEFT(SUBSTITUTE(SUBSTITUTE(SUBSTITUTE(SUBSTITUTE(SUBSTITUTE(Клиенты_исходные!D283," ",""),"-",""),"+",""),"(",""),")",""))="8","7"&amp;MID(SUBSTITUTE(SUBSTITUTE(SUBSTITUTE(SUBSTITUTE(SUBSTITUTE(Клиенты_исходные!D283," ",""),"-",""),"+",""),"(",""),")",""),2,10),SUBSTITUTE(SUBSTITUTE(SUBSTITUTE(SUBSTITUTE(SUBSTITUTE(Клиенты_исходные!D283," ",""),"-",""),"+",""),"(",""),")","")),10,2),IF(LEN(SUBSTITUTE(SUBSTITUTE(SUBSTITUTE(SUBSTITUTE(SUBSTITUTE(Клиенты_исходные!D283," ",""),"-",""),"+",""),"(",""),")",""))=10,"+7 ("&amp;MID(SUBSTITUTE(SUBSTITUTE(SUBSTITUTE(SUBSTITUTE(SUBSTITUTE(Клиенты_исходные!D283," ",""),"-",""),"+",""),"(",""),")",""),1,3)&amp;") "&amp;MID(SUBSTITUTE(SUBSTITUTE(SUBSTITUTE(SUBSTITUTE(SUBSTITUTE(Клиенты_исходные!D283," ",""),"-",""),"+",""),"(",""),")",""),4,3)&amp;"-"&amp;MID(SUBSTITUTE(SUBSTITUTE(SUBSTITUTE(SUBSTITUTE(SUBSTITUTE(Клиенты_исходные!D283," ",""),"-",""),"+",""),"(",""),")",""),6,2)&amp;"-"&amp;MID(SUBSTITUTE(SUBSTITUTE(SUBSTITUTE(SUBSTITUTE(SUBSTITUTE(Клиенты_исходные!D283," ",""),"-",""),"+",""),"(",""),")",""),8,2),Клиенты_исходные!D283)))</f>
        <v xml:space="preserve">+7 (903) 012-34-56</v>
      </c>
      <c r="E283" t="str">
        <f>IF(ISBLANK(Клиенты_исходные!E283),"",IF(ISNUMBER(FIND(".",MID(Клиенты_исходные!E283,FIND("@",Клиенты_исходные!E283)+1,255))),Клиенты_исходные!E283,IF(ISNUMBER(FIND("gmail",Клиенты_исходные!E283)),Клиенты_исходные!E283&amp;".com",Клиенты_исходные!E283&amp;".ru")))</f>
        <v>silin@gmail.com</v>
      </c>
      <c r="F283" t="str">
        <f>IFERROR(VLOOKUP(Клиенты_исходные!F283,Справочники!$J$2:$K$50,2,FALSE),Клиенты_исходные!F283)</f>
        <v>Озёрск</v>
      </c>
      <c r="G283" s="8">
        <f>IFERROR(IF(ISNUMBER(FIND(".",Клиенты_исходные!G283)),DATE(RIGHT(Клиенты_исходные!G283,4),MID(Клиенты_исходные!G283,4,2),LEFT(Клиенты_исходные!G283,2)),DATE(LEFT(Клиенты_исходные!G283,4),MID(Клиенты_исходные!G283,6,2),RIGHT(Клиенты_исходные!G283,2))),Клиенты_исходные!G283)</f>
        <v>47401</v>
      </c>
      <c r="H283">
        <f t="shared" ca="1" si="58"/>
        <v>44</v>
      </c>
      <c r="I283" t="str">
        <f t="shared" si="59"/>
        <v>OK</v>
      </c>
      <c r="J283" t="str">
        <f t="shared" si="60"/>
        <v>OK</v>
      </c>
    </row>
    <row r="284">
      <c r="A284" t="str">
        <f>Клиенты_исходные!A284</f>
        <v>C0283</v>
      </c>
      <c r="B284" t="str">
        <f>PROPER(TRIM(Клиенты_исходные!B284))</f>
        <v xml:space="preserve">Лобова Екатерина Петровна</v>
      </c>
      <c r="C284" s="8">
        <f>IFERROR(IF(ISNUMBER(FIND(".",Клиенты_исходные!C284)),DATE(RIGHT(Клиенты_исходные!C284,4),MID(Клиенты_исходные!C284,4,2),LEFT(Клиенты_исходные!C284,2)),DATE(LEFT(Клиенты_исходные!C284,4),MID(Клиенты_исходные!C284,6,2),RIGHT(Клиенты_исходные!C284,2))),Клиенты_исходные!C284)</f>
        <v>28320</v>
      </c>
      <c r="D284" t="str">
        <f>IF(ISBLANK(Клиенты_исходные!D284),"",IF(LEN(SUBSTITUTE(SUBSTITUTE(SUBSTITUTE(SUBSTITUTE(SUBSTITUTE(Клиенты_исходные!D284," ",""),"-",""),"+",""),"(",""),")",""))=11,"+7 ("&amp;MID(IF(LEFT(SUBSTITUTE(SUBSTITUTE(SUBSTITUTE(SUBSTITUTE(SUBSTITUTE(Клиенты_исходные!D284," ",""),"-",""),"+",""),"(",""),")",""))="8","7"&amp;MID(SUBSTITUTE(SUBSTITUTE(SUBSTITUTE(SUBSTITUTE(SUBSTITUTE(Клиенты_исходные!D284," ",""),"-",""),"+",""),"(",""),")",""),2,10),SUBSTITUTE(SUBSTITUTE(SUBSTITUTE(SUBSTITUTE(SUBSTITUTE(Клиенты_исходные!D284," ",""),"-",""),"+",""),"(",""),")","")),2,3)&amp;") "&amp;MID(IF(LEFT(SUBSTITUTE(SUBSTITUTE(SUBSTITUTE(SUBSTITUTE(SUBSTITUTE(Клиенты_исходные!D284," ",""),"-",""),"+",""),"(",""),")",""))="8","7"&amp;MID(SUBSTITUTE(SUBSTITUTE(SUBSTITUTE(SUBSTITUTE(SUBSTITUTE(Клиенты_исходные!D284," ",""),"-",""),"+",""),"(",""),")",""),2,10),SUBSTITUTE(SUBSTITUTE(SUBSTITUTE(SUBSTITUTE(SUBSTITUTE(Клиенты_исходные!D284," ",""),"-",""),"+",""),"(",""),")","")),5,3)&amp;"-"&amp;MID(IF(LEFT(SUBSTITUTE(SUBSTITUTE(SUBSTITUTE(SUBSTITUTE(SUBSTITUTE(Клиенты_исходные!D284," ",""),"-",""),"+",""),"(",""),")",""))="8","7"&amp;MID(SUBSTITUTE(SUBSTITUTE(SUBSTITUTE(SUBSTITUTE(SUBSTITUTE(Клиенты_исходные!D284," ",""),"-",""),"+",""),"(",""),")",""),2,10),SUBSTITUTE(SUBSTITUTE(SUBSTITUTE(SUBSTITUTE(SUBSTITUTE(Клиенты_исходные!D284," ",""),"-",""),"+",""),"(",""),")","")),8,2)&amp;"-"&amp;MID(IF(LEFT(SUBSTITUTE(SUBSTITUTE(SUBSTITUTE(SUBSTITUTE(SUBSTITUTE(Клиенты_исходные!D284," ",""),"-",""),"+",""),"(",""),")",""))="8","7"&amp;MID(SUBSTITUTE(SUBSTITUTE(SUBSTITUTE(SUBSTITUTE(SUBSTITUTE(Клиенты_исходные!D284," ",""),"-",""),"+",""),"(",""),")",""),2,10),SUBSTITUTE(SUBSTITUTE(SUBSTITUTE(SUBSTITUTE(SUBSTITUTE(Клиенты_исходные!D284," ",""),"-",""),"+",""),"(",""),")","")),10,2),IF(LEN(SUBSTITUTE(SUBSTITUTE(SUBSTITUTE(SUBSTITUTE(SUBSTITUTE(Клиенты_исходные!D284," ",""),"-",""),"+",""),"(",""),")",""))=10,"+7 ("&amp;MID(SUBSTITUTE(SUBSTITUTE(SUBSTITUTE(SUBSTITUTE(SUBSTITUTE(Клиенты_исходные!D284," ",""),"-",""),"+",""),"(",""),")",""),1,3)&amp;") "&amp;MID(SUBSTITUTE(SUBSTITUTE(SUBSTITUTE(SUBSTITUTE(SUBSTITUTE(Клиенты_исходные!D284," ",""),"-",""),"+",""),"(",""),")",""),4,3)&amp;"-"&amp;MID(SUBSTITUTE(SUBSTITUTE(SUBSTITUTE(SUBSTITUTE(SUBSTITUTE(Клиенты_исходные!D284," ",""),"-",""),"+",""),"(",""),")",""),6,2)&amp;"-"&amp;MID(SUBSTITUTE(SUBSTITUTE(SUBSTITUTE(SUBSTITUTE(SUBSTITUTE(Клиенты_исходные!D284," ",""),"-",""),"+",""),"(",""),")",""),8,2),Клиенты_исходные!D284)))</f>
        <v xml:space="preserve">+7 (903) 012-34-56</v>
      </c>
      <c r="E284" t="str">
        <f>IF(ISBLANK(Клиенты_исходные!E284),"",IF(ISNUMBER(FIND(".",MID(Клиенты_исходные!E284,FIND("@",Клиенты_исходные!E284)+1,255))),Клиенты_исходные!E284,IF(ISNUMBER(FIND("gmail",Клиенты_исходные!E284)),Клиенты_исходные!E284&amp;".com",Клиенты_исходные!E284&amp;".ru")))</f>
        <v>lobova@mail.ru</v>
      </c>
      <c r="F284" t="str">
        <f>IFERROR(VLOOKUP(Клиенты_исходные!F284,Справочники!$J$2:$K$50,2,FALSE),Клиенты_исходные!F284)</f>
        <v>Орел</v>
      </c>
      <c r="G284" s="8">
        <f>IFERROR(IF(ISNUMBER(FIND(".",Клиенты_исходные!G284)),DATE(RIGHT(Клиенты_исходные!G284,4),MID(Клиенты_исходные!G284,4,2),LEFT(Клиенты_исходные!G284,2)),DATE(LEFT(Клиенты_исходные!G284,4),MID(Клиенты_исходные!G284,6,2),RIGHT(Клиенты_исходные!G284,2))),Клиенты_исходные!G284)</f>
        <v>47423</v>
      </c>
      <c r="H284">
        <f t="shared" ca="1" si="58"/>
        <v>49</v>
      </c>
      <c r="I284" t="str">
        <f t="shared" si="59"/>
        <v>OK</v>
      </c>
      <c r="J284" t="str">
        <f t="shared" si="60"/>
        <v>OK</v>
      </c>
    </row>
    <row r="285">
      <c r="A285" t="str">
        <f>Клиенты_исходные!A285</f>
        <v>C0284</v>
      </c>
      <c r="B285" t="str">
        <f>PROPER(TRIM(Клиенты_исходные!B285))</f>
        <v xml:space="preserve">Дубровин Вячеслав Николаевич</v>
      </c>
      <c r="C285" s="8">
        <f>IFERROR(IF(ISNUMBER(FIND(".",Клиенты_исходные!C285)),DATE(RIGHT(Клиенты_исходные!C285,4),MID(Клиенты_исходные!C285,4,2),LEFT(Клиенты_исходные!C285,2)),DATE(LEFT(Клиенты_исходные!C285,4),MID(Клиенты_исходные!C285,6,2),RIGHT(Клиенты_исходные!C285,2))),Клиенты_исходные!C285)</f>
        <v>30686</v>
      </c>
      <c r="D285" t="str">
        <f>IF(ISBLANK(Клиенты_исходные!D285),"",IF(LEN(SUBSTITUTE(SUBSTITUTE(SUBSTITUTE(SUBSTITUTE(SUBSTITUTE(Клиенты_исходные!D285," ",""),"-",""),"+",""),"(",""),")",""))=11,"+7 ("&amp;MID(IF(LEFT(SUBSTITUTE(SUBSTITUTE(SUBSTITUTE(SUBSTITUTE(SUBSTITUTE(Клиенты_исходные!D285," ",""),"-",""),"+",""),"(",""),")",""))="8","7"&amp;MID(SUBSTITUTE(SUBSTITUTE(SUBSTITUTE(SUBSTITUTE(SUBSTITUTE(Клиенты_исходные!D285," ",""),"-",""),"+",""),"(",""),")",""),2,10),SUBSTITUTE(SUBSTITUTE(SUBSTITUTE(SUBSTITUTE(SUBSTITUTE(Клиенты_исходные!D285," ",""),"-",""),"+",""),"(",""),")","")),2,3)&amp;") "&amp;MID(IF(LEFT(SUBSTITUTE(SUBSTITUTE(SUBSTITUTE(SUBSTITUTE(SUBSTITUTE(Клиенты_исходные!D285," ",""),"-",""),"+",""),"(",""),")",""))="8","7"&amp;MID(SUBSTITUTE(SUBSTITUTE(SUBSTITUTE(SUBSTITUTE(SUBSTITUTE(Клиенты_исходные!D285," ",""),"-",""),"+",""),"(",""),")",""),2,10),SUBSTITUTE(SUBSTITUTE(SUBSTITUTE(SUBSTITUTE(SUBSTITUTE(Клиенты_исходные!D285," ",""),"-",""),"+",""),"(",""),")","")),5,3)&amp;"-"&amp;MID(IF(LEFT(SUBSTITUTE(SUBSTITUTE(SUBSTITUTE(SUBSTITUTE(SUBSTITUTE(Клиенты_исходные!D285," ",""),"-",""),"+",""),"(",""),")",""))="8","7"&amp;MID(SUBSTITUTE(SUBSTITUTE(SUBSTITUTE(SUBSTITUTE(SUBSTITUTE(Клиенты_исходные!D285," ",""),"-",""),"+",""),"(",""),")",""),2,10),SUBSTITUTE(SUBSTITUTE(SUBSTITUTE(SUBSTITUTE(SUBSTITUTE(Клиенты_исходные!D285," ",""),"-",""),"+",""),"(",""),")","")),8,2)&amp;"-"&amp;MID(IF(LEFT(SUBSTITUTE(SUBSTITUTE(SUBSTITUTE(SUBSTITUTE(SUBSTITUTE(Клиенты_исходные!D285," ",""),"-",""),"+",""),"(",""),")",""))="8","7"&amp;MID(SUBSTITUTE(SUBSTITUTE(SUBSTITUTE(SUBSTITUTE(SUBSTITUTE(Клиенты_исходные!D285," ",""),"-",""),"+",""),"(",""),")",""),2,10),SUBSTITUTE(SUBSTITUTE(SUBSTITUTE(SUBSTITUTE(SUBSTITUTE(Клиенты_исходные!D285," ",""),"-",""),"+",""),"(",""),")","")),10,2),IF(LEN(SUBSTITUTE(SUBSTITUTE(SUBSTITUTE(SUBSTITUTE(SUBSTITUTE(Клиенты_исходные!D285," ",""),"-",""),"+",""),"(",""),")",""))=10,"+7 ("&amp;MID(SUBSTITUTE(SUBSTITUTE(SUBSTITUTE(SUBSTITUTE(SUBSTITUTE(Клиенты_исходные!D285," ",""),"-",""),"+",""),"(",""),")",""),1,3)&amp;") "&amp;MID(SUBSTITUTE(SUBSTITUTE(SUBSTITUTE(SUBSTITUTE(SUBSTITUTE(Клиенты_исходные!D285," ",""),"-",""),"+",""),"(",""),")",""),4,3)&amp;"-"&amp;MID(SUBSTITUTE(SUBSTITUTE(SUBSTITUTE(SUBSTITUTE(SUBSTITUTE(Клиенты_исходные!D285," ",""),"-",""),"+",""),"(",""),")",""),6,2)&amp;"-"&amp;MID(SUBSTITUTE(SUBSTITUTE(SUBSTITUTE(SUBSTITUTE(SUBSTITUTE(Клиенты_исходные!D285," ",""),"-",""),"+",""),"(",""),")",""),8,2),Клиенты_исходные!D285)))</f>
        <v xml:space="preserve">+7 (903) 012-34-56</v>
      </c>
      <c r="E285" t="str">
        <f>IF(ISBLANK(Клиенты_исходные!E285),"",IF(ISNUMBER(FIND(".",MID(Клиенты_исходные!E285,FIND("@",Клиенты_исходные!E285)+1,255))),Клиенты_исходные!E285,IF(ISNUMBER(FIND("gmail",Клиенты_исходные!E285)),Клиенты_исходные!E285&amp;".com",Клиенты_исходные!E285&amp;".ru")))</f>
        <v>dubrovin@yandex.ru</v>
      </c>
      <c r="F285" t="str">
        <f>IFERROR(VLOOKUP(Клиенты_исходные!F285,Справочники!$J$2:$K$50,2,FALSE),Клиенты_исходные!F285)</f>
        <v>Якутск</v>
      </c>
      <c r="G285" s="8">
        <f>IFERROR(IF(ISNUMBER(FIND(".",Клиенты_исходные!G285)),DATE(RIGHT(Клиенты_исходные!G285,4),MID(Клиенты_исходные!G285,4,2),LEFT(Клиенты_исходные!G285,2)),DATE(LEFT(Клиенты_исходные!G285,4),MID(Клиенты_исходные!G285,6,2),RIGHT(Клиенты_исходные!G285,2))),Клиенты_исходные!G285)</f>
        <v>47437</v>
      </c>
      <c r="H285">
        <f t="shared" ca="1" si="58"/>
        <v>42</v>
      </c>
      <c r="I285" t="str">
        <f t="shared" si="59"/>
        <v>OK</v>
      </c>
      <c r="J285" t="str">
        <f t="shared" si="60"/>
        <v>OK</v>
      </c>
    </row>
    <row r="286">
      <c r="A286" t="str">
        <f>Клиенты_исходные!A286</f>
        <v>C0285</v>
      </c>
      <c r="B286" t="str">
        <f>PROPER(TRIM(Клиенты_исходные!B286))</f>
        <v xml:space="preserve">Паршина Ольга Сергеевна</v>
      </c>
      <c r="C286" s="8">
        <f>IFERROR(IF(ISNUMBER(FIND(".",Клиенты_исходные!C286)),DATE(RIGHT(Клиенты_исходные!C286,4),MID(Клиенты_исходные!C286,4,2),LEFT(Клиенты_исходные!C286,2)),DATE(LEFT(Клиенты_исходные!C286,4),MID(Клиенты_исходные!C286,6,2),RIGHT(Клиенты_исходные!C286,2))),Клиенты_исходные!C286)</f>
        <v>32768</v>
      </c>
      <c r="D286" t="str">
        <f>IF(ISBLANK(Клиенты_исходные!D286),"",IF(LEN(SUBSTITUTE(SUBSTITUTE(SUBSTITUTE(SUBSTITUTE(SUBSTITUTE(Клиенты_исходные!D286," ",""),"-",""),"+",""),"(",""),")",""))=11,"+7 ("&amp;MID(IF(LEFT(SUBSTITUTE(SUBSTITUTE(SUBSTITUTE(SUBSTITUTE(SUBSTITUTE(Клиенты_исходные!D286," ",""),"-",""),"+",""),"(",""),")",""))="8","7"&amp;MID(SUBSTITUTE(SUBSTITUTE(SUBSTITUTE(SUBSTITUTE(SUBSTITUTE(Клиенты_исходные!D286," ",""),"-",""),"+",""),"(",""),")",""),2,10),SUBSTITUTE(SUBSTITUTE(SUBSTITUTE(SUBSTITUTE(SUBSTITUTE(Клиенты_исходные!D286," ",""),"-",""),"+",""),"(",""),")","")),2,3)&amp;") "&amp;MID(IF(LEFT(SUBSTITUTE(SUBSTITUTE(SUBSTITUTE(SUBSTITUTE(SUBSTITUTE(Клиенты_исходные!D286," ",""),"-",""),"+",""),"(",""),")",""))="8","7"&amp;MID(SUBSTITUTE(SUBSTITUTE(SUBSTITUTE(SUBSTITUTE(SUBSTITUTE(Клиенты_исходные!D286," ",""),"-",""),"+",""),"(",""),")",""),2,10),SUBSTITUTE(SUBSTITUTE(SUBSTITUTE(SUBSTITUTE(SUBSTITUTE(Клиенты_исходные!D286," ",""),"-",""),"+",""),"(",""),")","")),5,3)&amp;"-"&amp;MID(IF(LEFT(SUBSTITUTE(SUBSTITUTE(SUBSTITUTE(SUBSTITUTE(SUBSTITUTE(Клиенты_исходные!D286," ",""),"-",""),"+",""),"(",""),")",""))="8","7"&amp;MID(SUBSTITUTE(SUBSTITUTE(SUBSTITUTE(SUBSTITUTE(SUBSTITUTE(Клиенты_исходные!D286," ",""),"-",""),"+",""),"(",""),")",""),2,10),SUBSTITUTE(SUBSTITUTE(SUBSTITUTE(SUBSTITUTE(SUBSTITUTE(Клиенты_исходные!D286," ",""),"-",""),"+",""),"(",""),")","")),8,2)&amp;"-"&amp;MID(IF(LEFT(SUBSTITUTE(SUBSTITUTE(SUBSTITUTE(SUBSTITUTE(SUBSTITUTE(Клиенты_исходные!D286," ",""),"-",""),"+",""),"(",""),")",""))="8","7"&amp;MID(SUBSTITUTE(SUBSTITUTE(SUBSTITUTE(SUBSTITUTE(SUBSTITUTE(Клиенты_исходные!D286," ",""),"-",""),"+",""),"(",""),")",""),2,10),SUBSTITUTE(SUBSTITUTE(SUBSTITUTE(SUBSTITUTE(SUBSTITUTE(Клиенты_исходные!D286," ",""),"-",""),"+",""),"(",""),")","")),10,2),IF(LEN(SUBSTITUTE(SUBSTITUTE(SUBSTITUTE(SUBSTITUTE(SUBSTITUTE(Клиенты_исходные!D286," ",""),"-",""),"+",""),"(",""),")",""))=10,"+7 ("&amp;MID(SUBSTITUTE(SUBSTITUTE(SUBSTITUTE(SUBSTITUTE(SUBSTITUTE(Клиенты_исходные!D286," ",""),"-",""),"+",""),"(",""),")",""),1,3)&amp;") "&amp;MID(SUBSTITUTE(SUBSTITUTE(SUBSTITUTE(SUBSTITUTE(SUBSTITUTE(Клиенты_исходные!D286," ",""),"-",""),"+",""),"(",""),")",""),4,3)&amp;"-"&amp;MID(SUBSTITUTE(SUBSTITUTE(SUBSTITUTE(SUBSTITUTE(SUBSTITUTE(Клиенты_исходные!D286," ",""),"-",""),"+",""),"(",""),")",""),6,2)&amp;"-"&amp;MID(SUBSTITUTE(SUBSTITUTE(SUBSTITUTE(SUBSTITUTE(SUBSTITUTE(Клиенты_исходные!D286," ",""),"-",""),"+",""),"(",""),")",""),8,2),Клиенты_исходные!D286)))</f>
        <v xml:space="preserve">+7 (903) 123-45-67</v>
      </c>
      <c r="E286" t="str">
        <f>IF(ISBLANK(Клиенты_исходные!E286),"",IF(ISNUMBER(FIND(".",MID(Клиенты_исходные!E286,FIND("@",Клиенты_исходные!E286)+1,255))),Клиенты_исходные!E286,IF(ISNUMBER(FIND("gmail",Клиенты_исходные!E286)),Клиенты_исходные!E286&amp;".com",Клиенты_исходные!E286&amp;".ru")))</f>
        <v>parshina@gmail.com</v>
      </c>
      <c r="F286" t="str">
        <f>IFERROR(VLOOKUP(Клиенты_исходные!F286,Справочники!$J$2:$K$50,2,FALSE),Клиенты_исходные!F286)</f>
        <v>Чебоксары</v>
      </c>
      <c r="G286" s="8">
        <f>IFERROR(IF(ISNUMBER(FIND(".",Клиенты_исходные!G286)),DATE(RIGHT(Клиенты_исходные!G286,4),MID(Клиенты_исходные!G286,4,2),LEFT(Клиенты_исходные!G286,2)),DATE(LEFT(Клиенты_исходные!G286,4),MID(Клиенты_исходные!G286,6,2),RIGHT(Клиенты_исходные!G286,2))),Клиенты_исходные!G286)</f>
        <v>47437</v>
      </c>
      <c r="H286">
        <f t="shared" ca="1" si="58"/>
        <v>37</v>
      </c>
      <c r="I286" t="str">
        <f t="shared" si="59"/>
        <v>OK</v>
      </c>
      <c r="J286" t="str">
        <f t="shared" si="60"/>
        <v>OK</v>
      </c>
    </row>
    <row r="287">
      <c r="A287" t="str">
        <f>Клиенты_исходные!A287</f>
        <v>C0286</v>
      </c>
      <c r="B287" t="str">
        <f>PROPER(TRIM(Клиенты_исходные!B287))</f>
        <v xml:space="preserve">Липатова Наталья Игоревна</v>
      </c>
      <c r="C287" s="8">
        <f>IFERROR(IF(ISNUMBER(FIND(".",Клиенты_исходные!C287)),DATE(RIGHT(Клиенты_исходные!C287,4),MID(Клиенты_исходные!C287,4,2),LEFT(Клиенты_исходные!C287,2)),DATE(LEFT(Клиенты_исходные!C287,4),MID(Клиенты_исходные!C287,6,2),RIGHT(Клиенты_исходные!C287,2))),Клиенты_исходные!C287)</f>
        <v>25932</v>
      </c>
      <c r="D287" t="str">
        <f>IF(ISBLANK(Клиенты_исходные!D287),"",IF(LEN(SUBSTITUTE(SUBSTITUTE(SUBSTITUTE(SUBSTITUTE(SUBSTITUTE(Клиенты_исходные!D287," ",""),"-",""),"+",""),"(",""),")",""))=11,"+7 ("&amp;MID(IF(LEFT(SUBSTITUTE(SUBSTITUTE(SUBSTITUTE(SUBSTITUTE(SUBSTITUTE(Клиенты_исходные!D287," ",""),"-",""),"+",""),"(",""),")",""))="8","7"&amp;MID(SUBSTITUTE(SUBSTITUTE(SUBSTITUTE(SUBSTITUTE(SUBSTITUTE(Клиенты_исходные!D287," ",""),"-",""),"+",""),"(",""),")",""),2,10),SUBSTITUTE(SUBSTITUTE(SUBSTITUTE(SUBSTITUTE(SUBSTITUTE(Клиенты_исходные!D287," ",""),"-",""),"+",""),"(",""),")","")),2,3)&amp;") "&amp;MID(IF(LEFT(SUBSTITUTE(SUBSTITUTE(SUBSTITUTE(SUBSTITUTE(SUBSTITUTE(Клиенты_исходные!D287," ",""),"-",""),"+",""),"(",""),")",""))="8","7"&amp;MID(SUBSTITUTE(SUBSTITUTE(SUBSTITUTE(SUBSTITUTE(SUBSTITUTE(Клиенты_исходные!D287," ",""),"-",""),"+",""),"(",""),")",""),2,10),SUBSTITUTE(SUBSTITUTE(SUBSTITUTE(SUBSTITUTE(SUBSTITUTE(Клиенты_исходные!D287," ",""),"-",""),"+",""),"(",""),")","")),5,3)&amp;"-"&amp;MID(IF(LEFT(SUBSTITUTE(SUBSTITUTE(SUBSTITUTE(SUBSTITUTE(SUBSTITUTE(Клиенты_исходные!D287," ",""),"-",""),"+",""),"(",""),")",""))="8","7"&amp;MID(SUBSTITUTE(SUBSTITUTE(SUBSTITUTE(SUBSTITUTE(SUBSTITUTE(Клиенты_исходные!D287," ",""),"-",""),"+",""),"(",""),")",""),2,10),SUBSTITUTE(SUBSTITUTE(SUBSTITUTE(SUBSTITUTE(SUBSTITUTE(Клиенты_исходные!D287," ",""),"-",""),"+",""),"(",""),")","")),8,2)&amp;"-"&amp;MID(IF(LEFT(SUBSTITUTE(SUBSTITUTE(SUBSTITUTE(SUBSTITUTE(SUBSTITUTE(Клиенты_исходные!D287," ",""),"-",""),"+",""),"(",""),")",""))="8","7"&amp;MID(SUBSTITUTE(SUBSTITUTE(SUBSTITUTE(SUBSTITUTE(SUBSTITUTE(Клиенты_исходные!D287," ",""),"-",""),"+",""),"(",""),")",""),2,10),SUBSTITUTE(SUBSTITUTE(SUBSTITUTE(SUBSTITUTE(SUBSTITUTE(Клиенты_исходные!D287," ",""),"-",""),"+",""),"(",""),")","")),10,2),IF(LEN(SUBSTITUTE(SUBSTITUTE(SUBSTITUTE(SUBSTITUTE(SUBSTITUTE(Клиенты_исходные!D287," ",""),"-",""),"+",""),"(",""),")",""))=10,"+7 ("&amp;MID(SUBSTITUTE(SUBSTITUTE(SUBSTITUTE(SUBSTITUTE(SUBSTITUTE(Клиенты_исходные!D287," ",""),"-",""),"+",""),"(",""),")",""),1,3)&amp;") "&amp;MID(SUBSTITUTE(SUBSTITUTE(SUBSTITUTE(SUBSTITUTE(SUBSTITUTE(Клиенты_исходные!D287," ",""),"-",""),"+",""),"(",""),")",""),4,3)&amp;"-"&amp;MID(SUBSTITUTE(SUBSTITUTE(SUBSTITUTE(SUBSTITUTE(SUBSTITUTE(Клиенты_исходные!D287," ",""),"-",""),"+",""),"(",""),")",""),6,2)&amp;"-"&amp;MID(SUBSTITUTE(SUBSTITUTE(SUBSTITUTE(SUBSTITUTE(SUBSTITUTE(Клиенты_исходные!D287," ",""),"-",""),"+",""),"(",""),")",""),8,2),Клиенты_исходные!D287)))</f>
        <v xml:space="preserve">+7 (903) 123-45-67</v>
      </c>
      <c r="E287" t="str">
        <f>IF(ISBLANK(Клиенты_исходные!E287),"",IF(ISNUMBER(FIND(".",MID(Клиенты_исходные!E287,FIND("@",Клиенты_исходные!E287)+1,255))),Клиенты_исходные!E287,IF(ISNUMBER(FIND("gmail",Клиенты_исходные!E287)),Клиенты_исходные!E287&amp;".com",Клиенты_исходные!E287&amp;".ru")))</f>
        <v>lipatova@mail.ru</v>
      </c>
      <c r="F287" t="str">
        <f>IFERROR(VLOOKUP(Клиенты_исходные!F287,Справочники!$J$2:$K$50,2,FALSE),Клиенты_исходные!F287)</f>
        <v>Мурманск</v>
      </c>
      <c r="G287" s="8">
        <f>IFERROR(IF(ISNUMBER(FIND(".",Клиенты_исходные!G287)),DATE(RIGHT(Клиенты_исходные!G287,4),MID(Клиенты_исходные!G287,4,2),LEFT(Клиенты_исходные!G287,2)),DATE(LEFT(Клиенты_исходные!G287,4),MID(Клиенты_исходные!G287,6,2),RIGHT(Клиенты_исходные!G287,2))),Клиенты_исходные!G287)</f>
        <v>47453</v>
      </c>
      <c r="H287">
        <f t="shared" ca="1" si="58"/>
        <v>55</v>
      </c>
      <c r="I287" t="str">
        <f t="shared" si="59"/>
        <v>OK</v>
      </c>
      <c r="J287" t="str">
        <f t="shared" si="60"/>
        <v>OK</v>
      </c>
    </row>
    <row r="288">
      <c r="A288" t="str">
        <f>Клиенты_исходные!A288</f>
        <v>C0287</v>
      </c>
      <c r="B288" t="str">
        <f>PROPER(TRIM(Клиенты_исходные!B288))</f>
        <v xml:space="preserve">Губанов Андрей Викторович</v>
      </c>
      <c r="C288" s="8">
        <f>IFERROR(IF(ISNUMBER(FIND(".",Клиенты_исходные!C288)),DATE(RIGHT(Клиенты_исходные!C288,4),MID(Клиенты_исходные!C288,4,2),LEFT(Клиенты_исходные!C288,2)),DATE(LEFT(Клиенты_исходные!C288,4),MID(Клиенты_исходные!C288,6,2),RIGHT(Клиенты_исходные!C288,2))),Клиенты_исходные!C288)</f>
        <v>31936</v>
      </c>
      <c r="D288" t="str">
        <f>IF(ISBLANK(Клиенты_исходные!D288),"",IF(LEN(SUBSTITUTE(SUBSTITUTE(SUBSTITUTE(SUBSTITUTE(SUBSTITUTE(Клиенты_исходные!D288," ",""),"-",""),"+",""),"(",""),")",""))=11,"+7 ("&amp;MID(IF(LEFT(SUBSTITUTE(SUBSTITUTE(SUBSTITUTE(SUBSTITUTE(SUBSTITUTE(Клиенты_исходные!D288," ",""),"-",""),"+",""),"(",""),")",""))="8","7"&amp;MID(SUBSTITUTE(SUBSTITUTE(SUBSTITUTE(SUBSTITUTE(SUBSTITUTE(Клиенты_исходные!D288," ",""),"-",""),"+",""),"(",""),")",""),2,10),SUBSTITUTE(SUBSTITUTE(SUBSTITUTE(SUBSTITUTE(SUBSTITUTE(Клиенты_исходные!D288," ",""),"-",""),"+",""),"(",""),")","")),2,3)&amp;") "&amp;MID(IF(LEFT(SUBSTITUTE(SUBSTITUTE(SUBSTITUTE(SUBSTITUTE(SUBSTITUTE(Клиенты_исходные!D288," ",""),"-",""),"+",""),"(",""),")",""))="8","7"&amp;MID(SUBSTITUTE(SUBSTITUTE(SUBSTITUTE(SUBSTITUTE(SUBSTITUTE(Клиенты_исходные!D288," ",""),"-",""),"+",""),"(",""),")",""),2,10),SUBSTITUTE(SUBSTITUTE(SUBSTITUTE(SUBSTITUTE(SUBSTITUTE(Клиенты_исходные!D288," ",""),"-",""),"+",""),"(",""),")","")),5,3)&amp;"-"&amp;MID(IF(LEFT(SUBSTITUTE(SUBSTITUTE(SUBSTITUTE(SUBSTITUTE(SUBSTITUTE(Клиенты_исходные!D288," ",""),"-",""),"+",""),"(",""),")",""))="8","7"&amp;MID(SUBSTITUTE(SUBSTITUTE(SUBSTITUTE(SUBSTITUTE(SUBSTITUTE(Клиенты_исходные!D288," ",""),"-",""),"+",""),"(",""),")",""),2,10),SUBSTITUTE(SUBSTITUTE(SUBSTITUTE(SUBSTITUTE(SUBSTITUTE(Клиенты_исходные!D288," ",""),"-",""),"+",""),"(",""),")","")),8,2)&amp;"-"&amp;MID(IF(LEFT(SUBSTITUTE(SUBSTITUTE(SUBSTITUTE(SUBSTITUTE(SUBSTITUTE(Клиенты_исходные!D288," ",""),"-",""),"+",""),"(",""),")",""))="8","7"&amp;MID(SUBSTITUTE(SUBSTITUTE(SUBSTITUTE(SUBSTITUTE(SUBSTITUTE(Клиенты_исходные!D288," ",""),"-",""),"+",""),"(",""),")",""),2,10),SUBSTITUTE(SUBSTITUTE(SUBSTITUTE(SUBSTITUTE(SUBSTITUTE(Клиенты_исходные!D288," ",""),"-",""),"+",""),"(",""),")","")),10,2),IF(LEN(SUBSTITUTE(SUBSTITUTE(SUBSTITUTE(SUBSTITUTE(SUBSTITUTE(Клиенты_исходные!D288," ",""),"-",""),"+",""),"(",""),")",""))=10,"+7 ("&amp;MID(SUBSTITUTE(SUBSTITUTE(SUBSTITUTE(SUBSTITUTE(SUBSTITUTE(Клиенты_исходные!D288," ",""),"-",""),"+",""),"(",""),")",""),1,3)&amp;") "&amp;MID(SUBSTITUTE(SUBSTITUTE(SUBSTITUTE(SUBSTITUTE(SUBSTITUTE(Клиенты_исходные!D288," ",""),"-",""),"+",""),"(",""),")",""),4,3)&amp;"-"&amp;MID(SUBSTITUTE(SUBSTITUTE(SUBSTITUTE(SUBSTITUTE(SUBSTITUTE(Клиенты_исходные!D288," ",""),"-",""),"+",""),"(",""),")",""),6,2)&amp;"-"&amp;MID(SUBSTITUTE(SUBSTITUTE(SUBSTITUTE(SUBSTITUTE(SUBSTITUTE(Клиенты_исходные!D288," ",""),"-",""),"+",""),"(",""),")",""),8,2),Клиенты_исходные!D288)))</f>
        <v xml:space="preserve">+7 (903) 123-45-67</v>
      </c>
      <c r="E288" t="str">
        <f>IF(ISBLANK(Клиенты_исходные!E288),"",IF(ISNUMBER(FIND(".",MID(Клиенты_исходные!E288,FIND("@",Клиенты_исходные!E288)+1,255))),Клиенты_исходные!E288,IF(ISNUMBER(FIND("gmail",Клиенты_исходные!E288)),Клиенты_исходные!E288&amp;".com",Клиенты_исходные!E288&amp;".ru")))</f>
        <v>gubanov@yandex.ru</v>
      </c>
      <c r="F288" t="str">
        <f>IFERROR(VLOOKUP(Клиенты_исходные!F288,Справочники!$J$2:$K$50,2,FALSE),Клиенты_исходные!F288)</f>
        <v>Смоленск</v>
      </c>
      <c r="G288" s="8">
        <f>IFERROR(IF(ISNUMBER(FIND(".",Клиенты_исходные!G288)),DATE(RIGHT(Клиенты_исходные!G288,4),MID(Клиенты_исходные!G288,4,2),LEFT(Клиенты_исходные!G288,2)),DATE(LEFT(Клиенты_исходные!G288,4),MID(Клиенты_исходные!G288,6,2),RIGHT(Клиенты_исходные!G288,2))),Клиенты_исходные!G288)</f>
        <v>47462</v>
      </c>
      <c r="H288">
        <f t="shared" ca="1" si="58"/>
        <v>39</v>
      </c>
      <c r="I288" t="str">
        <f t="shared" si="59"/>
        <v>OK</v>
      </c>
      <c r="J288" t="str">
        <f t="shared" si="60"/>
        <v>OK</v>
      </c>
    </row>
    <row r="289">
      <c r="A289" t="str">
        <f>Клиенты_исходные!A289</f>
        <v>C0288</v>
      </c>
      <c r="B289" t="str">
        <f>PROPER(TRIM(Клиенты_исходные!B289))</f>
        <v xml:space="preserve">Богомолова Мария Александровна</v>
      </c>
      <c r="C289" s="8">
        <f>IFERROR(IF(ISNUMBER(FIND(".",Клиенты_исходные!C289)),DATE(RIGHT(Клиенты_исходные!C289,4),MID(Клиенты_исходные!C289,4,2),LEFT(Клиенты_исходные!C289,2)),DATE(LEFT(Клиенты_исходные!C289,4),MID(Клиенты_исходные!C289,6,2),RIGHT(Клиенты_исходные!C289,2))),Клиенты_исходные!C289)</f>
        <v>28054</v>
      </c>
      <c r="D289" t="str">
        <f>IF(ISBLANK(Клиенты_исходные!D289),"",IF(LEN(SUBSTITUTE(SUBSTITUTE(SUBSTITUTE(SUBSTITUTE(SUBSTITUTE(Клиенты_исходные!D289," ",""),"-",""),"+",""),"(",""),")",""))=11,"+7 ("&amp;MID(IF(LEFT(SUBSTITUTE(SUBSTITUTE(SUBSTITUTE(SUBSTITUTE(SUBSTITUTE(Клиенты_исходные!D289," ",""),"-",""),"+",""),"(",""),")",""))="8","7"&amp;MID(SUBSTITUTE(SUBSTITUTE(SUBSTITUTE(SUBSTITUTE(SUBSTITUTE(Клиенты_исходные!D289," ",""),"-",""),"+",""),"(",""),")",""),2,10),SUBSTITUTE(SUBSTITUTE(SUBSTITUTE(SUBSTITUTE(SUBSTITUTE(Клиенты_исходные!D289," ",""),"-",""),"+",""),"(",""),")","")),2,3)&amp;") "&amp;MID(IF(LEFT(SUBSTITUTE(SUBSTITUTE(SUBSTITUTE(SUBSTITUTE(SUBSTITUTE(Клиенты_исходные!D289," ",""),"-",""),"+",""),"(",""),")",""))="8","7"&amp;MID(SUBSTITUTE(SUBSTITUTE(SUBSTITUTE(SUBSTITUTE(SUBSTITUTE(Клиенты_исходные!D289," ",""),"-",""),"+",""),"(",""),")",""),2,10),SUBSTITUTE(SUBSTITUTE(SUBSTITUTE(SUBSTITUTE(SUBSTITUTE(Клиенты_исходные!D289," ",""),"-",""),"+",""),"(",""),")","")),5,3)&amp;"-"&amp;MID(IF(LEFT(SUBSTITUTE(SUBSTITUTE(SUBSTITUTE(SUBSTITUTE(SUBSTITUTE(Клиенты_исходные!D289," ",""),"-",""),"+",""),"(",""),")",""))="8","7"&amp;MID(SUBSTITUTE(SUBSTITUTE(SUBSTITUTE(SUBSTITUTE(SUBSTITUTE(Клиенты_исходные!D289," ",""),"-",""),"+",""),"(",""),")",""),2,10),SUBSTITUTE(SUBSTITUTE(SUBSTITUTE(SUBSTITUTE(SUBSTITUTE(Клиенты_исходные!D289," ",""),"-",""),"+",""),"(",""),")","")),8,2)&amp;"-"&amp;MID(IF(LEFT(SUBSTITUTE(SUBSTITUTE(SUBSTITUTE(SUBSTITUTE(SUBSTITUTE(Клиенты_исходные!D289," ",""),"-",""),"+",""),"(",""),")",""))="8","7"&amp;MID(SUBSTITUTE(SUBSTITUTE(SUBSTITUTE(SUBSTITUTE(SUBSTITUTE(Клиенты_исходные!D289," ",""),"-",""),"+",""),"(",""),")",""),2,10),SUBSTITUTE(SUBSTITUTE(SUBSTITUTE(SUBSTITUTE(SUBSTITUTE(Клиенты_исходные!D289," ",""),"-",""),"+",""),"(",""),")","")),10,2),IF(LEN(SUBSTITUTE(SUBSTITUTE(SUBSTITUTE(SUBSTITUTE(SUBSTITUTE(Клиенты_исходные!D289," ",""),"-",""),"+",""),"(",""),")",""))=10,"+7 ("&amp;MID(SUBSTITUTE(SUBSTITUTE(SUBSTITUTE(SUBSTITUTE(SUBSTITUTE(Клиенты_исходные!D289," ",""),"-",""),"+",""),"(",""),")",""),1,3)&amp;") "&amp;MID(SUBSTITUTE(SUBSTITUTE(SUBSTITUTE(SUBSTITUTE(SUBSTITUTE(Клиенты_исходные!D289," ",""),"-",""),"+",""),"(",""),")",""),4,3)&amp;"-"&amp;MID(SUBSTITUTE(SUBSTITUTE(SUBSTITUTE(SUBSTITUTE(SUBSTITUTE(Клиенты_исходные!D289," ",""),"-",""),"+",""),"(",""),")",""),6,2)&amp;"-"&amp;MID(SUBSTITUTE(SUBSTITUTE(SUBSTITUTE(SUBSTITUTE(SUBSTITUTE(Клиенты_исходные!D289," ",""),"-",""),"+",""),"(",""),")",""),8,2),Клиенты_исходные!D289)))</f>
        <v xml:space="preserve">+7 (903) 234-56-78</v>
      </c>
      <c r="E289" t="str">
        <f>IF(ISBLANK(Клиенты_исходные!E289),"",IF(ISNUMBER(FIND(".",MID(Клиенты_исходные!E289,FIND("@",Клиенты_исходные!E289)+1,255))),Клиенты_исходные!E289,IF(ISNUMBER(FIND("gmail",Клиенты_исходные!E289)),Клиенты_исходные!E289&amp;".com",Клиенты_исходные!E289&amp;".ru")))</f>
        <v>bogomolova@gmail.com</v>
      </c>
      <c r="F289" t="str">
        <f>IFERROR(VLOOKUP(Клиенты_исходные!F289,Справочники!$J$2:$K$50,2,FALSE),Клиенты_исходные!F289)</f>
        <v>Тула</v>
      </c>
      <c r="G289" s="8">
        <f>IFERROR(IF(ISNUMBER(FIND(".",Клиенты_исходные!G289)),DATE(RIGHT(Клиенты_исходные!G289,4),MID(Клиенты_исходные!G289,4,2),LEFT(Клиенты_исходные!G289,2)),DATE(LEFT(Клиенты_исходные!G289,4),MID(Клиенты_исходные!G289,6,2),RIGHT(Клиенты_исходные!G289,2))),Клиенты_исходные!G289)</f>
        <v>47462</v>
      </c>
      <c r="H289">
        <f t="shared" ca="1" si="58"/>
        <v>49</v>
      </c>
      <c r="I289" t="str">
        <f t="shared" si="59"/>
        <v>OK</v>
      </c>
      <c r="J289" t="str">
        <f t="shared" si="60"/>
        <v>OK</v>
      </c>
    </row>
    <row r="290">
      <c r="A290" t="str">
        <f>Клиенты_исходные!A290</f>
        <v>C0289</v>
      </c>
      <c r="B290" t="str">
        <f>PROPER(TRIM(Клиенты_исходные!B290))</f>
        <v xml:space="preserve">Харитонов Алексей Павлович</v>
      </c>
      <c r="C290" s="8">
        <f>IFERROR(IF(ISNUMBER(FIND(".",Клиенты_исходные!C290)),DATE(RIGHT(Клиенты_исходные!C290,4),MID(Клиенты_исходные!C290,4,2),LEFT(Клиенты_исходные!C290,2)),DATE(LEFT(Клиенты_исходные!C290,4),MID(Клиенты_исходные!C290,6,2),RIGHT(Клиенты_исходные!C290,2))),Клиенты_исходные!C290)</f>
        <v>33698</v>
      </c>
      <c r="D290" t="str">
        <f>IF(ISBLANK(Клиенты_исходные!D290),"",IF(LEN(SUBSTITUTE(SUBSTITUTE(SUBSTITUTE(SUBSTITUTE(SUBSTITUTE(Клиенты_исходные!D290," ",""),"-",""),"+",""),"(",""),")",""))=11,"+7 ("&amp;MID(IF(LEFT(SUBSTITUTE(SUBSTITUTE(SUBSTITUTE(SUBSTITUTE(SUBSTITUTE(Клиенты_исходные!D290," ",""),"-",""),"+",""),"(",""),")",""))="8","7"&amp;MID(SUBSTITUTE(SUBSTITUTE(SUBSTITUTE(SUBSTITUTE(SUBSTITUTE(Клиенты_исходные!D290," ",""),"-",""),"+",""),"(",""),")",""),2,10),SUBSTITUTE(SUBSTITUTE(SUBSTITUTE(SUBSTITUTE(SUBSTITUTE(Клиенты_исходные!D290," ",""),"-",""),"+",""),"(",""),")","")),2,3)&amp;") "&amp;MID(IF(LEFT(SUBSTITUTE(SUBSTITUTE(SUBSTITUTE(SUBSTITUTE(SUBSTITUTE(Клиенты_исходные!D290," ",""),"-",""),"+",""),"(",""),")",""))="8","7"&amp;MID(SUBSTITUTE(SUBSTITUTE(SUBSTITUTE(SUBSTITUTE(SUBSTITUTE(Клиенты_исходные!D290," ",""),"-",""),"+",""),"(",""),")",""),2,10),SUBSTITUTE(SUBSTITUTE(SUBSTITUTE(SUBSTITUTE(SUBSTITUTE(Клиенты_исходные!D290," ",""),"-",""),"+",""),"(",""),")","")),5,3)&amp;"-"&amp;MID(IF(LEFT(SUBSTITUTE(SUBSTITUTE(SUBSTITUTE(SUBSTITUTE(SUBSTITUTE(Клиенты_исходные!D290," ",""),"-",""),"+",""),"(",""),")",""))="8","7"&amp;MID(SUBSTITUTE(SUBSTITUTE(SUBSTITUTE(SUBSTITUTE(SUBSTITUTE(Клиенты_исходные!D290," ",""),"-",""),"+",""),"(",""),")",""),2,10),SUBSTITUTE(SUBSTITUTE(SUBSTITUTE(SUBSTITUTE(SUBSTITUTE(Клиенты_исходные!D290," ",""),"-",""),"+",""),"(",""),")","")),8,2)&amp;"-"&amp;MID(IF(LEFT(SUBSTITUTE(SUBSTITUTE(SUBSTITUTE(SUBSTITUTE(SUBSTITUTE(Клиенты_исходные!D290," ",""),"-",""),"+",""),"(",""),")",""))="8","7"&amp;MID(SUBSTITUTE(SUBSTITUTE(SUBSTITUTE(SUBSTITUTE(SUBSTITUTE(Клиенты_исходные!D290," ",""),"-",""),"+",""),"(",""),")",""),2,10),SUBSTITUTE(SUBSTITUTE(SUBSTITUTE(SUBSTITUTE(SUBSTITUTE(Клиенты_исходные!D290," ",""),"-",""),"+",""),"(",""),")","")),10,2),IF(LEN(SUBSTITUTE(SUBSTITUTE(SUBSTITUTE(SUBSTITUTE(SUBSTITUTE(Клиенты_исходные!D290," ",""),"-",""),"+",""),"(",""),")",""))=10,"+7 ("&amp;MID(SUBSTITUTE(SUBSTITUTE(SUBSTITUTE(SUBSTITUTE(SUBSTITUTE(Клиенты_исходные!D290," ",""),"-",""),"+",""),"(",""),")",""),1,3)&amp;") "&amp;MID(SUBSTITUTE(SUBSTITUTE(SUBSTITUTE(SUBSTITUTE(SUBSTITUTE(Клиенты_исходные!D290," ",""),"-",""),"+",""),"(",""),")",""),4,3)&amp;"-"&amp;MID(SUBSTITUTE(SUBSTITUTE(SUBSTITUTE(SUBSTITUTE(SUBSTITUTE(Клиенты_исходные!D290," ",""),"-",""),"+",""),"(",""),")",""),6,2)&amp;"-"&amp;MID(SUBSTITUTE(SUBSTITUTE(SUBSTITUTE(SUBSTITUTE(SUBSTITUTE(Клиенты_исходные!D290," ",""),"-",""),"+",""),"(",""),")",""),8,2),Клиенты_исходные!D290)))</f>
        <v xml:space="preserve">+7 (903) 234-56-78</v>
      </c>
      <c r="E290" t="str">
        <f>IF(ISBLANK(Клиенты_исходные!E290),"",IF(ISNUMBER(FIND(".",MID(Клиенты_исходные!E290,FIND("@",Клиенты_исходные!E290)+1,255))),Клиенты_исходные!E290,IF(ISNUMBER(FIND("gmail",Клиенты_исходные!E290)),Клиенты_исходные!E290&amp;".com",Клиенты_исходные!E290&amp;".ru")))</f>
        <v>haritonov@mail.ru</v>
      </c>
      <c r="F290" t="str">
        <f>IFERROR(VLOOKUP(Клиенты_исходные!F290,Справочники!$J$2:$K$50,2,FALSE),Клиенты_исходные!F290)</f>
        <v>Калуга</v>
      </c>
      <c r="G290" s="8">
        <f>IFERROR(IF(ISNUMBER(FIND(".",Клиенты_исходные!G290)),DATE(RIGHT(Клиенты_исходные!G290,4),MID(Клиенты_исходные!G290,4,2),LEFT(Клиенты_исходные!G290,2)),DATE(LEFT(Клиенты_исходные!G290,4),MID(Клиенты_исходные!G290,6,2),RIGHT(Клиенты_исходные!G290,2))),Клиенты_исходные!G290)</f>
        <v>47484</v>
      </c>
      <c r="H290">
        <f t="shared" ca="1" si="58"/>
        <v>34</v>
      </c>
      <c r="I290" t="str">
        <f t="shared" si="59"/>
        <v>OK</v>
      </c>
      <c r="J290" t="str">
        <f t="shared" si="60"/>
        <v>OK</v>
      </c>
    </row>
    <row r="291">
      <c r="A291" t="str">
        <f>Клиенты_исходные!A291</f>
        <v>C0290</v>
      </c>
      <c r="B291" t="str">
        <f>PROPER(TRIM(Клиенты_исходные!B291))</f>
        <v xml:space="preserve">Ким Олег Иванович</v>
      </c>
      <c r="C291" s="8">
        <f>IFERROR(IF(ISNUMBER(FIND(".",Клиенты_исходные!C291)),DATE(RIGHT(Клиенты_исходные!C291,4),MID(Клиенты_исходные!C291,4,2),LEFT(Клиенты_исходные!C291,2)),DATE(LEFT(Клиенты_исходные!C291,4),MID(Клиенты_исходные!C291,6,2),RIGHT(Клиенты_исходные!C291,2))),Клиенты_исходные!C291)</f>
        <v>29947</v>
      </c>
      <c r="D291" t="str">
        <f>IF(ISBLANK(Клиенты_исходные!D291),"",IF(LEN(SUBSTITUTE(SUBSTITUTE(SUBSTITUTE(SUBSTITUTE(SUBSTITUTE(Клиенты_исходные!D291," ",""),"-",""),"+",""),"(",""),")",""))=11,"+7 ("&amp;MID(IF(LEFT(SUBSTITUTE(SUBSTITUTE(SUBSTITUTE(SUBSTITUTE(SUBSTITUTE(Клиенты_исходные!D291," ",""),"-",""),"+",""),"(",""),")",""))="8","7"&amp;MID(SUBSTITUTE(SUBSTITUTE(SUBSTITUTE(SUBSTITUTE(SUBSTITUTE(Клиенты_исходные!D291," ",""),"-",""),"+",""),"(",""),")",""),2,10),SUBSTITUTE(SUBSTITUTE(SUBSTITUTE(SUBSTITUTE(SUBSTITUTE(Клиенты_исходные!D291," ",""),"-",""),"+",""),"(",""),")","")),2,3)&amp;") "&amp;MID(IF(LEFT(SUBSTITUTE(SUBSTITUTE(SUBSTITUTE(SUBSTITUTE(SUBSTITUTE(Клиенты_исходные!D291," ",""),"-",""),"+",""),"(",""),")",""))="8","7"&amp;MID(SUBSTITUTE(SUBSTITUTE(SUBSTITUTE(SUBSTITUTE(SUBSTITUTE(Клиенты_исходные!D291," ",""),"-",""),"+",""),"(",""),")",""),2,10),SUBSTITUTE(SUBSTITUTE(SUBSTITUTE(SUBSTITUTE(SUBSTITUTE(Клиенты_исходные!D291," ",""),"-",""),"+",""),"(",""),")","")),5,3)&amp;"-"&amp;MID(IF(LEFT(SUBSTITUTE(SUBSTITUTE(SUBSTITUTE(SUBSTITUTE(SUBSTITUTE(Клиенты_исходные!D291," ",""),"-",""),"+",""),"(",""),")",""))="8","7"&amp;MID(SUBSTITUTE(SUBSTITUTE(SUBSTITUTE(SUBSTITUTE(SUBSTITUTE(Клиенты_исходные!D291," ",""),"-",""),"+",""),"(",""),")",""),2,10),SUBSTITUTE(SUBSTITUTE(SUBSTITUTE(SUBSTITUTE(SUBSTITUTE(Клиенты_исходные!D291," ",""),"-",""),"+",""),"(",""),")","")),8,2)&amp;"-"&amp;MID(IF(LEFT(SUBSTITUTE(SUBSTITUTE(SUBSTITUTE(SUBSTITUTE(SUBSTITUTE(Клиенты_исходные!D291," ",""),"-",""),"+",""),"(",""),")",""))="8","7"&amp;MID(SUBSTITUTE(SUBSTITUTE(SUBSTITUTE(SUBSTITUTE(SUBSTITUTE(Клиенты_исходные!D291," ",""),"-",""),"+",""),"(",""),")",""),2,10),SUBSTITUTE(SUBSTITUTE(SUBSTITUTE(SUBSTITUTE(SUBSTITUTE(Клиенты_исходные!D291," ",""),"-",""),"+",""),"(",""),")","")),10,2),IF(LEN(SUBSTITUTE(SUBSTITUTE(SUBSTITUTE(SUBSTITUTE(SUBSTITUTE(Клиенты_исходные!D291," ",""),"-",""),"+",""),"(",""),")",""))=10,"+7 ("&amp;MID(SUBSTITUTE(SUBSTITUTE(SUBSTITUTE(SUBSTITUTE(SUBSTITUTE(Клиенты_исходные!D291," ",""),"-",""),"+",""),"(",""),")",""),1,3)&amp;") "&amp;MID(SUBSTITUTE(SUBSTITUTE(SUBSTITUTE(SUBSTITUTE(SUBSTITUTE(Клиенты_исходные!D291," ",""),"-",""),"+",""),"(",""),")",""),4,3)&amp;"-"&amp;MID(SUBSTITUTE(SUBSTITUTE(SUBSTITUTE(SUBSTITUTE(SUBSTITUTE(Клиенты_исходные!D291," ",""),"-",""),"+",""),"(",""),")",""),6,2)&amp;"-"&amp;MID(SUBSTITUTE(SUBSTITUTE(SUBSTITUTE(SUBSTITUTE(SUBSTITUTE(Клиенты_исходные!D291," ",""),"-",""),"+",""),"(",""),")",""),8,2),Клиенты_исходные!D291)))</f>
        <v xml:space="preserve">+7 (903) 234-56-78</v>
      </c>
      <c r="E291" t="str">
        <f>IF(ISBLANK(Клиенты_исходные!E291),"",IF(ISNUMBER(FIND(".",MID(Клиенты_исходные!E291,FIND("@",Клиенты_исходные!E291)+1,255))),Клиенты_исходные!E291,IF(ISNUMBER(FIND("gmail",Клиенты_исходные!E291)),Клиенты_исходные!E291&amp;".com",Клиенты_исходные!E291&amp;".ru")))</f>
        <v>kim@yandex.ru</v>
      </c>
      <c r="F291" t="str">
        <f>IFERROR(VLOOKUP(Клиенты_исходные!F291,Справочники!$J$2:$K$50,2,FALSE),Клиенты_исходные!F291)</f>
        <v>Владикавказ</v>
      </c>
      <c r="G291" s="8">
        <f>IFERROR(IF(ISNUMBER(FIND(".",Клиенты_исходные!G291)),DATE(RIGHT(Клиенты_исходные!G291,4),MID(Клиенты_исходные!G291,4,2),LEFT(Клиенты_исходные!G291,2)),DATE(LEFT(Клиенты_исходные!G291,4),MID(Клиенты_исходные!G291,6,2),RIGHT(Клиенты_исходные!G291,2))),Клиенты_исходные!G291)</f>
        <v>47498</v>
      </c>
      <c r="H291">
        <f t="shared" ca="1" si="58"/>
        <v>44</v>
      </c>
      <c r="I291" t="str">
        <f t="shared" si="59"/>
        <v>OK</v>
      </c>
      <c r="J291" t="str">
        <f t="shared" si="60"/>
        <v>OK</v>
      </c>
    </row>
    <row r="292">
      <c r="A292" t="str">
        <f>Клиенты_исходные!A292</f>
        <v>C0291</v>
      </c>
      <c r="B292" t="str">
        <f>PROPER(TRIM(Клиенты_исходные!B292))</f>
        <v xml:space="preserve">Лаврова Елена Викторовна</v>
      </c>
      <c r="C292" s="8">
        <f>IFERROR(IF(ISNUMBER(FIND(".",Клиенты_исходные!C292)),DATE(RIGHT(Клиенты_исходные!C292,4),MID(Клиенты_исходные!C292,4,2),LEFT(Клиенты_исходные!C292,2)),DATE(LEFT(Клиенты_исходные!C292,4),MID(Клиенты_исходные!C292,6,2),RIGHT(Клиенты_исходные!C292,2))),Клиенты_исходные!C292)</f>
        <v>27621</v>
      </c>
      <c r="D292" t="str">
        <f>IF(ISBLANK(Клиенты_исходные!D292),"",IF(LEN(SUBSTITUTE(SUBSTITUTE(SUBSTITUTE(SUBSTITUTE(SUBSTITUTE(Клиенты_исходные!D292," ",""),"-",""),"+",""),"(",""),")",""))=11,"+7 ("&amp;MID(IF(LEFT(SUBSTITUTE(SUBSTITUTE(SUBSTITUTE(SUBSTITUTE(SUBSTITUTE(Клиенты_исходные!D292," ",""),"-",""),"+",""),"(",""),")",""))="8","7"&amp;MID(SUBSTITUTE(SUBSTITUTE(SUBSTITUTE(SUBSTITUTE(SUBSTITUTE(Клиенты_исходные!D292," ",""),"-",""),"+",""),"(",""),")",""),2,10),SUBSTITUTE(SUBSTITUTE(SUBSTITUTE(SUBSTITUTE(SUBSTITUTE(Клиенты_исходные!D292," ",""),"-",""),"+",""),"(",""),")","")),2,3)&amp;") "&amp;MID(IF(LEFT(SUBSTITUTE(SUBSTITUTE(SUBSTITUTE(SUBSTITUTE(SUBSTITUTE(Клиенты_исходные!D292," ",""),"-",""),"+",""),"(",""),")",""))="8","7"&amp;MID(SUBSTITUTE(SUBSTITUTE(SUBSTITUTE(SUBSTITUTE(SUBSTITUTE(Клиенты_исходные!D292," ",""),"-",""),"+",""),"(",""),")",""),2,10),SUBSTITUTE(SUBSTITUTE(SUBSTITUTE(SUBSTITUTE(SUBSTITUTE(Клиенты_исходные!D292," ",""),"-",""),"+",""),"(",""),")","")),5,3)&amp;"-"&amp;MID(IF(LEFT(SUBSTITUTE(SUBSTITUTE(SUBSTITUTE(SUBSTITUTE(SUBSTITUTE(Клиенты_исходные!D292," ",""),"-",""),"+",""),"(",""),")",""))="8","7"&amp;MID(SUBSTITUTE(SUBSTITUTE(SUBSTITUTE(SUBSTITUTE(SUBSTITUTE(Клиенты_исходные!D292," ",""),"-",""),"+",""),"(",""),")",""),2,10),SUBSTITUTE(SUBSTITUTE(SUBSTITUTE(SUBSTITUTE(SUBSTITUTE(Клиенты_исходные!D292," ",""),"-",""),"+",""),"(",""),")","")),8,2)&amp;"-"&amp;MID(IF(LEFT(SUBSTITUTE(SUBSTITUTE(SUBSTITUTE(SUBSTITUTE(SUBSTITUTE(Клиенты_исходные!D292," ",""),"-",""),"+",""),"(",""),")",""))="8","7"&amp;MID(SUBSTITUTE(SUBSTITUTE(SUBSTITUTE(SUBSTITUTE(SUBSTITUTE(Клиенты_исходные!D292," ",""),"-",""),"+",""),"(",""),")",""),2,10),SUBSTITUTE(SUBSTITUTE(SUBSTITUTE(SUBSTITUTE(SUBSTITUTE(Клиенты_исходные!D292," ",""),"-",""),"+",""),"(",""),")","")),10,2),IF(LEN(SUBSTITUTE(SUBSTITUTE(SUBSTITUTE(SUBSTITUTE(SUBSTITUTE(Клиенты_исходные!D292," ",""),"-",""),"+",""),"(",""),")",""))=10,"+7 ("&amp;MID(SUBSTITUTE(SUBSTITUTE(SUBSTITUTE(SUBSTITUTE(SUBSTITUTE(Клиенты_исходные!D292," ",""),"-",""),"+",""),"(",""),")",""),1,3)&amp;") "&amp;MID(SUBSTITUTE(SUBSTITUTE(SUBSTITUTE(SUBSTITUTE(SUBSTITUTE(Клиенты_исходные!D292," ",""),"-",""),"+",""),"(",""),")",""),4,3)&amp;"-"&amp;MID(SUBSTITUTE(SUBSTITUTE(SUBSTITUTE(SUBSTITUTE(SUBSTITUTE(Клиенты_исходные!D292," ",""),"-",""),"+",""),"(",""),")",""),6,2)&amp;"-"&amp;MID(SUBSTITUTE(SUBSTITUTE(SUBSTITUTE(SUBSTITUTE(SUBSTITUTE(Клиенты_исходные!D292," ",""),"-",""),"+",""),"(",""),")",""),8,2),Клиенты_исходные!D292)))</f>
        <v xml:space="preserve">+7 (903) 345-67-89</v>
      </c>
      <c r="E292" t="str">
        <f>IF(ISBLANK(Клиенты_исходные!E292),"",IF(ISNUMBER(FIND(".",MID(Клиенты_исходные!E292,FIND("@",Клиенты_исходные!E292)+1,255))),Клиенты_исходные!E292,IF(ISNUMBER(FIND("gmail",Клиенты_исходные!E292)),Клиенты_исходные!E292&amp;".com",Клиенты_исходные!E292&amp;".ru")))</f>
        <v>lavrova@gmail.com</v>
      </c>
      <c r="F292" t="str">
        <f>IFERROR(VLOOKUP(Клиенты_исходные!F292,Справочники!$J$2:$K$50,2,FALSE),Клиенты_исходные!F292)</f>
        <v>Смоленск</v>
      </c>
      <c r="G292" s="8">
        <f>IFERROR(IF(ISNUMBER(FIND(".",Клиенты_исходные!G292)),DATE(RIGHT(Клиенты_исходные!G292,4),MID(Клиенты_исходные!G292,4,2),LEFT(Клиенты_исходные!G292,2)),DATE(LEFT(Клиенты_исходные!G292,4),MID(Клиенты_исходные!G292,6,2),RIGHT(Клиенты_исходные!G292,2))),Клиенты_исходные!G292)</f>
        <v>47498</v>
      </c>
      <c r="H292">
        <f t="shared" ref="H292:H355" ca="1" si="61">DATEDIF(C292,TODAY(),"Y")</f>
        <v>51</v>
      </c>
      <c r="I292" t="str">
        <f t="shared" ref="I292:I355" si="62">IF(OR(H292&lt;18,H292&gt;80),"Ошибка даты рождения","OK")</f>
        <v>OK</v>
      </c>
      <c r="J292" t="str">
        <f t="shared" ref="J292:J355" si="63">IF(AND(ISNUMBER(FIND("@",E292)),ISNUMBER(FIND(".",MID(E292,FIND("@",E292)+1,255)))),"OK","Ошибка Email")</f>
        <v>OK</v>
      </c>
    </row>
    <row r="293">
      <c r="A293" t="str">
        <f>Клиенты_исходные!A293</f>
        <v>C0292</v>
      </c>
      <c r="B293" t="str">
        <f>PROPER(TRIM(Клиенты_исходные!B293))</f>
        <v xml:space="preserve">Завьялов Владимир Сергеевич</v>
      </c>
      <c r="C293" s="8">
        <f>IFERROR(IF(ISNUMBER(FIND(".",Клиенты_исходные!C293)),DATE(RIGHT(Клиенты_исходные!C293,4),MID(Клиенты_исходные!C293,4,2),LEFT(Клиенты_исходные!C293,2)),DATE(LEFT(Клиенты_исходные!C293,4),MID(Клиенты_исходные!C293,6,2),RIGHT(Клиенты_исходные!C293,2))),Клиенты_исходные!C293)</f>
        <v>30388</v>
      </c>
      <c r="D293" t="str">
        <f>IF(ISBLANK(Клиенты_исходные!D293),"",IF(LEN(SUBSTITUTE(SUBSTITUTE(SUBSTITUTE(SUBSTITUTE(SUBSTITUTE(Клиенты_исходные!D293," ",""),"-",""),"+",""),"(",""),")",""))=11,"+7 ("&amp;MID(IF(LEFT(SUBSTITUTE(SUBSTITUTE(SUBSTITUTE(SUBSTITUTE(SUBSTITUTE(Клиенты_исходные!D293," ",""),"-",""),"+",""),"(",""),")",""))="8","7"&amp;MID(SUBSTITUTE(SUBSTITUTE(SUBSTITUTE(SUBSTITUTE(SUBSTITUTE(Клиенты_исходные!D293," ",""),"-",""),"+",""),"(",""),")",""),2,10),SUBSTITUTE(SUBSTITUTE(SUBSTITUTE(SUBSTITUTE(SUBSTITUTE(Клиенты_исходные!D293," ",""),"-",""),"+",""),"(",""),")","")),2,3)&amp;") "&amp;MID(IF(LEFT(SUBSTITUTE(SUBSTITUTE(SUBSTITUTE(SUBSTITUTE(SUBSTITUTE(Клиенты_исходные!D293," ",""),"-",""),"+",""),"(",""),")",""))="8","7"&amp;MID(SUBSTITUTE(SUBSTITUTE(SUBSTITUTE(SUBSTITUTE(SUBSTITUTE(Клиенты_исходные!D293," ",""),"-",""),"+",""),"(",""),")",""),2,10),SUBSTITUTE(SUBSTITUTE(SUBSTITUTE(SUBSTITUTE(SUBSTITUTE(Клиенты_исходные!D293," ",""),"-",""),"+",""),"(",""),")","")),5,3)&amp;"-"&amp;MID(IF(LEFT(SUBSTITUTE(SUBSTITUTE(SUBSTITUTE(SUBSTITUTE(SUBSTITUTE(Клиенты_исходные!D293," ",""),"-",""),"+",""),"(",""),")",""))="8","7"&amp;MID(SUBSTITUTE(SUBSTITUTE(SUBSTITUTE(SUBSTITUTE(SUBSTITUTE(Клиенты_исходные!D293," ",""),"-",""),"+",""),"(",""),")",""),2,10),SUBSTITUTE(SUBSTITUTE(SUBSTITUTE(SUBSTITUTE(SUBSTITUTE(Клиенты_исходные!D293," ",""),"-",""),"+",""),"(",""),")","")),8,2)&amp;"-"&amp;MID(IF(LEFT(SUBSTITUTE(SUBSTITUTE(SUBSTITUTE(SUBSTITUTE(SUBSTITUTE(Клиенты_исходные!D293," ",""),"-",""),"+",""),"(",""),")",""))="8","7"&amp;MID(SUBSTITUTE(SUBSTITUTE(SUBSTITUTE(SUBSTITUTE(SUBSTITUTE(Клиенты_исходные!D293," ",""),"-",""),"+",""),"(",""),")",""),2,10),SUBSTITUTE(SUBSTITUTE(SUBSTITUTE(SUBSTITUTE(SUBSTITUTE(Клиенты_исходные!D293," ",""),"-",""),"+",""),"(",""),")","")),10,2),IF(LEN(SUBSTITUTE(SUBSTITUTE(SUBSTITUTE(SUBSTITUTE(SUBSTITUTE(Клиенты_исходные!D293," ",""),"-",""),"+",""),"(",""),")",""))=10,"+7 ("&amp;MID(SUBSTITUTE(SUBSTITUTE(SUBSTITUTE(SUBSTITUTE(SUBSTITUTE(Клиенты_исходные!D293," ",""),"-",""),"+",""),"(",""),")",""),1,3)&amp;") "&amp;MID(SUBSTITUTE(SUBSTITUTE(SUBSTITUTE(SUBSTITUTE(SUBSTITUTE(Клиенты_исходные!D293," ",""),"-",""),"+",""),"(",""),")",""),4,3)&amp;"-"&amp;MID(SUBSTITUTE(SUBSTITUTE(SUBSTITUTE(SUBSTITUTE(SUBSTITUTE(Клиенты_исходные!D293," ",""),"-",""),"+",""),"(",""),")",""),6,2)&amp;"-"&amp;MID(SUBSTITUTE(SUBSTITUTE(SUBSTITUTE(SUBSTITUTE(SUBSTITUTE(Клиенты_исходные!D293," ",""),"-",""),"+",""),"(",""),")",""),8,2),Клиенты_исходные!D293)))</f>
        <v xml:space="preserve">+7 (903) 345-67-89</v>
      </c>
      <c r="E293" t="str">
        <f>IF(ISBLANK(Клиенты_исходные!E293),"",IF(ISNUMBER(FIND(".",MID(Клиенты_исходные!E293,FIND("@",Клиенты_исходные!E293)+1,255))),Клиенты_исходные!E293,IF(ISNUMBER(FIND("gmail",Клиенты_исходные!E293)),Клиенты_исходные!E293&amp;".com",Клиенты_исходные!E293&amp;".ru")))</f>
        <v>zavyalov@mail.ru</v>
      </c>
      <c r="F293" t="str">
        <f>IFERROR(VLOOKUP(Клиенты_исходные!F293,Справочники!$J$2:$K$50,2,FALSE),Клиенты_исходные!F293)</f>
        <v>Белгород</v>
      </c>
      <c r="G293" s="8">
        <f>IFERROR(IF(ISNUMBER(FIND(".",Клиенты_исходные!G293)),DATE(RIGHT(Клиенты_исходные!G293,4),MID(Клиенты_исходные!G293,4,2),LEFT(Клиенты_исходные!G293,2)),DATE(LEFT(Клиенты_исходные!G293,4),MID(Клиенты_исходные!G293,6,2),RIGHT(Клиенты_исходные!G293,2))),Клиенты_исходные!G293)</f>
        <v>47515</v>
      </c>
      <c r="H293">
        <f t="shared" ca="1" si="61"/>
        <v>43</v>
      </c>
      <c r="I293" t="str">
        <f t="shared" si="62"/>
        <v>OK</v>
      </c>
      <c r="J293" t="str">
        <f t="shared" si="63"/>
        <v>OK</v>
      </c>
    </row>
    <row r="294">
      <c r="A294" t="str">
        <f>Клиенты_исходные!A294</f>
        <v>C0293</v>
      </c>
      <c r="B294" t="str">
        <f>PROPER(TRIM(Клиенты_исходные!B294))</f>
        <v xml:space="preserve">Костин Денис Алексеевич</v>
      </c>
      <c r="C294" s="8">
        <f>IFERROR(IF(ISNUMBER(FIND(".",Клиенты_исходные!C294)),DATE(RIGHT(Клиенты_исходные!C294,4),MID(Клиенты_исходные!C294,4,2),LEFT(Клиенты_исходные!C294,2)),DATE(LEFT(Клиенты_исходные!C294,4),MID(Клиенты_исходные!C294,6,2),RIGHT(Клиенты_исходные!C294,2))),Клиенты_исходные!C294)</f>
        <v>33183</v>
      </c>
      <c r="D294" t="str">
        <f>IF(ISBLANK(Клиенты_исходные!D294),"",IF(LEN(SUBSTITUTE(SUBSTITUTE(SUBSTITUTE(SUBSTITUTE(SUBSTITUTE(Клиенты_исходные!D294," ",""),"-",""),"+",""),"(",""),")",""))=11,"+7 ("&amp;MID(IF(LEFT(SUBSTITUTE(SUBSTITUTE(SUBSTITUTE(SUBSTITUTE(SUBSTITUTE(Клиенты_исходные!D294," ",""),"-",""),"+",""),"(",""),")",""))="8","7"&amp;MID(SUBSTITUTE(SUBSTITUTE(SUBSTITUTE(SUBSTITUTE(SUBSTITUTE(Клиенты_исходные!D294," ",""),"-",""),"+",""),"(",""),")",""),2,10),SUBSTITUTE(SUBSTITUTE(SUBSTITUTE(SUBSTITUTE(SUBSTITUTE(Клиенты_исходные!D294," ",""),"-",""),"+",""),"(",""),")","")),2,3)&amp;") "&amp;MID(IF(LEFT(SUBSTITUTE(SUBSTITUTE(SUBSTITUTE(SUBSTITUTE(SUBSTITUTE(Клиенты_исходные!D294," ",""),"-",""),"+",""),"(",""),")",""))="8","7"&amp;MID(SUBSTITUTE(SUBSTITUTE(SUBSTITUTE(SUBSTITUTE(SUBSTITUTE(Клиенты_исходные!D294," ",""),"-",""),"+",""),"(",""),")",""),2,10),SUBSTITUTE(SUBSTITUTE(SUBSTITUTE(SUBSTITUTE(SUBSTITUTE(Клиенты_исходные!D294," ",""),"-",""),"+",""),"(",""),")","")),5,3)&amp;"-"&amp;MID(IF(LEFT(SUBSTITUTE(SUBSTITUTE(SUBSTITUTE(SUBSTITUTE(SUBSTITUTE(Клиенты_исходные!D294," ",""),"-",""),"+",""),"(",""),")",""))="8","7"&amp;MID(SUBSTITUTE(SUBSTITUTE(SUBSTITUTE(SUBSTITUTE(SUBSTITUTE(Клиенты_исходные!D294," ",""),"-",""),"+",""),"(",""),")",""),2,10),SUBSTITUTE(SUBSTITUTE(SUBSTITUTE(SUBSTITUTE(SUBSTITUTE(Клиенты_исходные!D294," ",""),"-",""),"+",""),"(",""),")","")),8,2)&amp;"-"&amp;MID(IF(LEFT(SUBSTITUTE(SUBSTITUTE(SUBSTITUTE(SUBSTITUTE(SUBSTITUTE(Клиенты_исходные!D294," ",""),"-",""),"+",""),"(",""),")",""))="8","7"&amp;MID(SUBSTITUTE(SUBSTITUTE(SUBSTITUTE(SUBSTITUTE(SUBSTITUTE(Клиенты_исходные!D294," ",""),"-",""),"+",""),"(",""),")",""),2,10),SUBSTITUTE(SUBSTITUTE(SUBSTITUTE(SUBSTITUTE(SUBSTITUTE(Клиенты_исходные!D294," ",""),"-",""),"+",""),"(",""),")","")),10,2),IF(LEN(SUBSTITUTE(SUBSTITUTE(SUBSTITUTE(SUBSTITUTE(SUBSTITUTE(Клиенты_исходные!D294," ",""),"-",""),"+",""),"(",""),")",""))=10,"+7 ("&amp;MID(SUBSTITUTE(SUBSTITUTE(SUBSTITUTE(SUBSTITUTE(SUBSTITUTE(Клиенты_исходные!D294," ",""),"-",""),"+",""),"(",""),")",""),1,3)&amp;") "&amp;MID(SUBSTITUTE(SUBSTITUTE(SUBSTITUTE(SUBSTITUTE(SUBSTITUTE(Клиенты_исходные!D294," ",""),"-",""),"+",""),"(",""),")",""),4,3)&amp;"-"&amp;MID(SUBSTITUTE(SUBSTITUTE(SUBSTITUTE(SUBSTITUTE(SUBSTITUTE(Клиенты_исходные!D294," ",""),"-",""),"+",""),"(",""),")",""),6,2)&amp;"-"&amp;MID(SUBSTITUTE(SUBSTITUTE(SUBSTITUTE(SUBSTITUTE(SUBSTITUTE(Клиенты_исходные!D294," ",""),"-",""),"+",""),"(",""),")",""),8,2),Клиенты_исходные!D294)))</f>
        <v xml:space="preserve">+7 (903) 345-67-89</v>
      </c>
      <c r="E294" t="str">
        <f>IF(ISBLANK(Клиенты_исходные!E294),"",IF(ISNUMBER(FIND(".",MID(Клиенты_исходные!E294,FIND("@",Клиенты_исходные!E294)+1,255))),Клиенты_исходные!E294,IF(ISNUMBER(FIND("gmail",Клиенты_исходные!E294)),Клиенты_исходные!E294&amp;".com",Клиенты_исходные!E294&amp;".ru")))</f>
        <v>kostin@yandex.ru</v>
      </c>
      <c r="F294" t="str">
        <f>IFERROR(VLOOKUP(Клиенты_исходные!F294,Справочники!$J$2:$K$50,2,FALSE),Клиенты_исходные!F294)</f>
        <v>Мурманск</v>
      </c>
      <c r="G294" s="8">
        <f>IFERROR(IF(ISNUMBER(FIND(".",Клиенты_исходные!G294)),DATE(RIGHT(Клиенты_исходные!G294,4),MID(Клиенты_исходные!G294,4,2),LEFT(Клиенты_исходные!G294,2)),DATE(LEFT(Клиенты_исходные!G294,4),MID(Клиенты_исходные!G294,6,2),RIGHT(Клиенты_исходные!G294,2))),Клиенты_исходные!G294)</f>
        <v>47524</v>
      </c>
      <c r="H294">
        <f t="shared" ca="1" si="61"/>
        <v>35</v>
      </c>
      <c r="I294" t="str">
        <f t="shared" si="62"/>
        <v>OK</v>
      </c>
      <c r="J294" t="str">
        <f t="shared" si="63"/>
        <v>OK</v>
      </c>
    </row>
    <row r="295">
      <c r="A295" t="str">
        <f>Клиенты_исходные!A295</f>
        <v>C0294</v>
      </c>
      <c r="B295" t="str">
        <f>PROPER(TRIM(Клиенты_исходные!B295))</f>
        <v xml:space="preserve">Арсеньева Ирина Павловна</v>
      </c>
      <c r="C295" s="8">
        <f>IFERROR(IF(ISNUMBER(FIND(".",Клиенты_исходные!C295)),DATE(RIGHT(Клиенты_исходные!C295,4),MID(Клиенты_исходные!C295,4,2),LEFT(Клиенты_исходные!C295,2)),DATE(LEFT(Клиенты_исходные!C295,4),MID(Клиенты_исходные!C295,6,2),RIGHT(Клиенты_исходные!C295,2))),Клиенты_исходные!C295)</f>
        <v>28387</v>
      </c>
      <c r="D295" t="str">
        <f>IF(ISBLANK(Клиенты_исходные!D295),"",IF(LEN(SUBSTITUTE(SUBSTITUTE(SUBSTITUTE(SUBSTITUTE(SUBSTITUTE(Клиенты_исходные!D295," ",""),"-",""),"+",""),"(",""),")",""))=11,"+7 ("&amp;MID(IF(LEFT(SUBSTITUTE(SUBSTITUTE(SUBSTITUTE(SUBSTITUTE(SUBSTITUTE(Клиенты_исходные!D295," ",""),"-",""),"+",""),"(",""),")",""))="8","7"&amp;MID(SUBSTITUTE(SUBSTITUTE(SUBSTITUTE(SUBSTITUTE(SUBSTITUTE(Клиенты_исходные!D295," ",""),"-",""),"+",""),"(",""),")",""),2,10),SUBSTITUTE(SUBSTITUTE(SUBSTITUTE(SUBSTITUTE(SUBSTITUTE(Клиенты_исходные!D295," ",""),"-",""),"+",""),"(",""),")","")),2,3)&amp;") "&amp;MID(IF(LEFT(SUBSTITUTE(SUBSTITUTE(SUBSTITUTE(SUBSTITUTE(SUBSTITUTE(Клиенты_исходные!D295," ",""),"-",""),"+",""),"(",""),")",""))="8","7"&amp;MID(SUBSTITUTE(SUBSTITUTE(SUBSTITUTE(SUBSTITUTE(SUBSTITUTE(Клиенты_исходные!D295," ",""),"-",""),"+",""),"(",""),")",""),2,10),SUBSTITUTE(SUBSTITUTE(SUBSTITUTE(SUBSTITUTE(SUBSTITUTE(Клиенты_исходные!D295," ",""),"-",""),"+",""),"(",""),")","")),5,3)&amp;"-"&amp;MID(IF(LEFT(SUBSTITUTE(SUBSTITUTE(SUBSTITUTE(SUBSTITUTE(SUBSTITUTE(Клиенты_исходные!D295," ",""),"-",""),"+",""),"(",""),")",""))="8","7"&amp;MID(SUBSTITUTE(SUBSTITUTE(SUBSTITUTE(SUBSTITUTE(SUBSTITUTE(Клиенты_исходные!D295," ",""),"-",""),"+",""),"(",""),")",""),2,10),SUBSTITUTE(SUBSTITUTE(SUBSTITUTE(SUBSTITUTE(SUBSTITUTE(Клиенты_исходные!D295," ",""),"-",""),"+",""),"(",""),")","")),8,2)&amp;"-"&amp;MID(IF(LEFT(SUBSTITUTE(SUBSTITUTE(SUBSTITUTE(SUBSTITUTE(SUBSTITUTE(Клиенты_исходные!D295," ",""),"-",""),"+",""),"(",""),")",""))="8","7"&amp;MID(SUBSTITUTE(SUBSTITUTE(SUBSTITUTE(SUBSTITUTE(SUBSTITUTE(Клиенты_исходные!D295," ",""),"-",""),"+",""),"(",""),")",""),2,10),SUBSTITUTE(SUBSTITUTE(SUBSTITUTE(SUBSTITUTE(SUBSTITUTE(Клиенты_исходные!D295," ",""),"-",""),"+",""),"(",""),")","")),10,2),IF(LEN(SUBSTITUTE(SUBSTITUTE(SUBSTITUTE(SUBSTITUTE(SUBSTITUTE(Клиенты_исходные!D295," ",""),"-",""),"+",""),"(",""),")",""))=10,"+7 ("&amp;MID(SUBSTITUTE(SUBSTITUTE(SUBSTITUTE(SUBSTITUTE(SUBSTITUTE(Клиенты_исходные!D295," ",""),"-",""),"+",""),"(",""),")",""),1,3)&amp;") "&amp;MID(SUBSTITUTE(SUBSTITUTE(SUBSTITUTE(SUBSTITUTE(SUBSTITUTE(Клиенты_исходные!D295," ",""),"-",""),"+",""),"(",""),")",""),4,3)&amp;"-"&amp;MID(SUBSTITUTE(SUBSTITUTE(SUBSTITUTE(SUBSTITUTE(SUBSTITUTE(Клиенты_исходные!D295," ",""),"-",""),"+",""),"(",""),")",""),6,2)&amp;"-"&amp;MID(SUBSTITUTE(SUBSTITUTE(SUBSTITUTE(SUBSTITUTE(SUBSTITUTE(Клиенты_исходные!D295," ",""),"-",""),"+",""),"(",""),")",""),8,2),Клиенты_исходные!D295)))</f>
        <v xml:space="preserve">+7 (903) 456-78-90</v>
      </c>
      <c r="E295" t="str">
        <f>IF(ISBLANK(Клиенты_исходные!E295),"",IF(ISNUMBER(FIND(".",MID(Клиенты_исходные!E295,FIND("@",Клиенты_исходные!E295)+1,255))),Клиенты_исходные!E295,IF(ISNUMBER(FIND("gmail",Клиенты_исходные!E295)),Клиенты_исходные!E295&amp;".com",Клиенты_исходные!E295&amp;".ru")))</f>
        <v>arsenieva@gmail.com</v>
      </c>
      <c r="F295" t="str">
        <f>IFERROR(VLOOKUP(Клиенты_исходные!F295,Справочники!$J$2:$K$50,2,FALSE),Клиенты_исходные!F295)</f>
        <v>Ставрополь</v>
      </c>
      <c r="G295" s="8">
        <f>IFERROR(IF(ISNUMBER(FIND(".",Клиенты_исходные!G295)),DATE(RIGHT(Клиенты_исходные!G295,4),MID(Клиенты_исходные!G295,4,2),LEFT(Клиенты_исходные!G295,2)),DATE(LEFT(Клиенты_исходные!G295,4),MID(Клиенты_исходные!G295,6,2),RIGHT(Клиенты_исходные!G295,2))),Клиенты_исходные!G295)</f>
        <v>47524</v>
      </c>
      <c r="H295">
        <f t="shared" ca="1" si="61"/>
        <v>49</v>
      </c>
      <c r="I295" t="str">
        <f t="shared" si="62"/>
        <v>OK</v>
      </c>
      <c r="J295" t="str">
        <f t="shared" si="63"/>
        <v>OK</v>
      </c>
    </row>
    <row r="296">
      <c r="A296" t="str">
        <f>Клиенты_исходные!A296</f>
        <v>C0295</v>
      </c>
      <c r="B296" t="str">
        <f>PROPER(TRIM(Клиенты_исходные!B296))</f>
        <v xml:space="preserve">Крутиков Александр Игоревич</v>
      </c>
      <c r="C296" s="8">
        <f>IFERROR(IF(ISNUMBER(FIND(".",Клиенты_исходные!C296)),DATE(RIGHT(Клиенты_исходные!C296,4),MID(Клиенты_исходные!C296,4,2),LEFT(Клиенты_исходные!C296,2)),DATE(LEFT(Клиенты_исходные!C296,4),MID(Клиенты_исходные!C296,6,2),RIGHT(Клиенты_исходные!C296,2))),Клиенты_исходные!C296)</f>
        <v>30824</v>
      </c>
      <c r="D296" t="str">
        <f>IF(ISBLANK(Клиенты_исходные!D296),"",IF(LEN(SUBSTITUTE(SUBSTITUTE(SUBSTITUTE(SUBSTITUTE(SUBSTITUTE(Клиенты_исходные!D296," ",""),"-",""),"+",""),"(",""),")",""))=11,"+7 ("&amp;MID(IF(LEFT(SUBSTITUTE(SUBSTITUTE(SUBSTITUTE(SUBSTITUTE(SUBSTITUTE(Клиенты_исходные!D296," ",""),"-",""),"+",""),"(",""),")",""))="8","7"&amp;MID(SUBSTITUTE(SUBSTITUTE(SUBSTITUTE(SUBSTITUTE(SUBSTITUTE(Клиенты_исходные!D296," ",""),"-",""),"+",""),"(",""),")",""),2,10),SUBSTITUTE(SUBSTITUTE(SUBSTITUTE(SUBSTITUTE(SUBSTITUTE(Клиенты_исходные!D296," ",""),"-",""),"+",""),"(",""),")","")),2,3)&amp;") "&amp;MID(IF(LEFT(SUBSTITUTE(SUBSTITUTE(SUBSTITUTE(SUBSTITUTE(SUBSTITUTE(Клиенты_исходные!D296," ",""),"-",""),"+",""),"(",""),")",""))="8","7"&amp;MID(SUBSTITUTE(SUBSTITUTE(SUBSTITUTE(SUBSTITUTE(SUBSTITUTE(Клиенты_исходные!D296," ",""),"-",""),"+",""),"(",""),")",""),2,10),SUBSTITUTE(SUBSTITUTE(SUBSTITUTE(SUBSTITUTE(SUBSTITUTE(Клиенты_исходные!D296," ",""),"-",""),"+",""),"(",""),")","")),5,3)&amp;"-"&amp;MID(IF(LEFT(SUBSTITUTE(SUBSTITUTE(SUBSTITUTE(SUBSTITUTE(SUBSTITUTE(Клиенты_исходные!D296," ",""),"-",""),"+",""),"(",""),")",""))="8","7"&amp;MID(SUBSTITUTE(SUBSTITUTE(SUBSTITUTE(SUBSTITUTE(SUBSTITUTE(Клиенты_исходные!D296," ",""),"-",""),"+",""),"(",""),")",""),2,10),SUBSTITUTE(SUBSTITUTE(SUBSTITUTE(SUBSTITUTE(SUBSTITUTE(Клиенты_исходные!D296," ",""),"-",""),"+",""),"(",""),")","")),8,2)&amp;"-"&amp;MID(IF(LEFT(SUBSTITUTE(SUBSTITUTE(SUBSTITUTE(SUBSTITUTE(SUBSTITUTE(Клиенты_исходные!D296," ",""),"-",""),"+",""),"(",""),")",""))="8","7"&amp;MID(SUBSTITUTE(SUBSTITUTE(SUBSTITUTE(SUBSTITUTE(SUBSTITUTE(Клиенты_исходные!D296," ",""),"-",""),"+",""),"(",""),")",""),2,10),SUBSTITUTE(SUBSTITUTE(SUBSTITUTE(SUBSTITUTE(SUBSTITUTE(Клиенты_исходные!D296," ",""),"-",""),"+",""),"(",""),")","")),10,2),IF(LEN(SUBSTITUTE(SUBSTITUTE(SUBSTITUTE(SUBSTITUTE(SUBSTITUTE(Клиенты_исходные!D296," ",""),"-",""),"+",""),"(",""),")",""))=10,"+7 ("&amp;MID(SUBSTITUTE(SUBSTITUTE(SUBSTITUTE(SUBSTITUTE(SUBSTITUTE(Клиенты_исходные!D296," ",""),"-",""),"+",""),"(",""),")",""),1,3)&amp;") "&amp;MID(SUBSTITUTE(SUBSTITUTE(SUBSTITUTE(SUBSTITUTE(SUBSTITUTE(Клиенты_исходные!D296," ",""),"-",""),"+",""),"(",""),")",""),4,3)&amp;"-"&amp;MID(SUBSTITUTE(SUBSTITUTE(SUBSTITUTE(SUBSTITUTE(SUBSTITUTE(Клиенты_исходные!D296," ",""),"-",""),"+",""),"(",""),")",""),6,2)&amp;"-"&amp;MID(SUBSTITUTE(SUBSTITUTE(SUBSTITUTE(SUBSTITUTE(SUBSTITUTE(Клиенты_исходные!D296," ",""),"-",""),"+",""),"(",""),")",""),8,2),Клиенты_исходные!D296)))</f>
        <v xml:space="preserve">+7 (903) 456-78-90</v>
      </c>
      <c r="E296" t="str">
        <f>IF(ISBLANK(Клиенты_исходные!E296),"",IF(ISNUMBER(FIND(".",MID(Клиенты_исходные!E296,FIND("@",Клиенты_исходные!E296)+1,255))),Клиенты_исходные!E296,IF(ISNUMBER(FIND("gmail",Клиенты_исходные!E296)),Клиенты_исходные!E296&amp;".com",Клиенты_исходные!E296&amp;".ru")))</f>
        <v>krutikov@mail.ru</v>
      </c>
      <c r="F296" t="str">
        <f>IFERROR(VLOOKUP(Клиенты_исходные!F296,Справочники!$J$2:$K$50,2,FALSE),Клиенты_исходные!F296)</f>
        <v>Севастополь</v>
      </c>
      <c r="G296" s="8">
        <f>IFERROR(IF(ISNUMBER(FIND(".",Клиенты_исходные!G296)),DATE(RIGHT(Клиенты_исходные!G296,4),MID(Клиенты_исходные!G296,4,2),LEFT(Клиенты_исходные!G296,2)),DATE(LEFT(Клиенты_исходные!G296,4),MID(Клиенты_исходные!G296,6,2),RIGHT(Клиенты_исходные!G296,2))),Клиенты_исходные!G296)</f>
        <v>47543</v>
      </c>
      <c r="H296">
        <f t="shared" ca="1" si="61"/>
        <v>42</v>
      </c>
      <c r="I296" t="str">
        <f t="shared" si="62"/>
        <v>OK</v>
      </c>
      <c r="J296" t="str">
        <f t="shared" si="63"/>
        <v>OK</v>
      </c>
    </row>
    <row r="297">
      <c r="A297" t="str">
        <f>Клиенты_исходные!A297</f>
        <v>C0296</v>
      </c>
      <c r="B297" t="str">
        <f>PROPER(TRIM(Клиенты_исходные!B297))</f>
        <v xml:space="preserve">Озерова Светлана Владимировна</v>
      </c>
      <c r="C297" s="8">
        <f>IFERROR(IF(ISNUMBER(FIND(".",Клиенты_исходные!C297)),DATE(RIGHT(Клиенты_исходные!C297,4),MID(Клиенты_исходные!C297,4,2),LEFT(Клиенты_исходные!C297,2)),DATE(LEFT(Клиенты_исходные!C297,4),MID(Клиенты_исходные!C297,6,2),RIGHT(Клиенты_исходные!C297,2))),Клиенты_исходные!C297)</f>
        <v>33252</v>
      </c>
      <c r="D297" t="str">
        <f>IF(ISBLANK(Клиенты_исходные!D297),"",IF(LEN(SUBSTITUTE(SUBSTITUTE(SUBSTITUTE(SUBSTITUTE(SUBSTITUTE(Клиенты_исходные!D297," ",""),"-",""),"+",""),"(",""),")",""))=11,"+7 ("&amp;MID(IF(LEFT(SUBSTITUTE(SUBSTITUTE(SUBSTITUTE(SUBSTITUTE(SUBSTITUTE(Клиенты_исходные!D297," ",""),"-",""),"+",""),"(",""),")",""))="8","7"&amp;MID(SUBSTITUTE(SUBSTITUTE(SUBSTITUTE(SUBSTITUTE(SUBSTITUTE(Клиенты_исходные!D297," ",""),"-",""),"+",""),"(",""),")",""),2,10),SUBSTITUTE(SUBSTITUTE(SUBSTITUTE(SUBSTITUTE(SUBSTITUTE(Клиенты_исходные!D297," ",""),"-",""),"+",""),"(",""),")","")),2,3)&amp;") "&amp;MID(IF(LEFT(SUBSTITUTE(SUBSTITUTE(SUBSTITUTE(SUBSTITUTE(SUBSTITUTE(Клиенты_исходные!D297," ",""),"-",""),"+",""),"(",""),")",""))="8","7"&amp;MID(SUBSTITUTE(SUBSTITUTE(SUBSTITUTE(SUBSTITUTE(SUBSTITUTE(Клиенты_исходные!D297," ",""),"-",""),"+",""),"(",""),")",""),2,10),SUBSTITUTE(SUBSTITUTE(SUBSTITUTE(SUBSTITUTE(SUBSTITUTE(Клиенты_исходные!D297," ",""),"-",""),"+",""),"(",""),")","")),5,3)&amp;"-"&amp;MID(IF(LEFT(SUBSTITUTE(SUBSTITUTE(SUBSTITUTE(SUBSTITUTE(SUBSTITUTE(Клиенты_исходные!D297," ",""),"-",""),"+",""),"(",""),")",""))="8","7"&amp;MID(SUBSTITUTE(SUBSTITUTE(SUBSTITUTE(SUBSTITUTE(SUBSTITUTE(Клиенты_исходные!D297," ",""),"-",""),"+",""),"(",""),")",""),2,10),SUBSTITUTE(SUBSTITUTE(SUBSTITUTE(SUBSTITUTE(SUBSTITUTE(Клиенты_исходные!D297," ",""),"-",""),"+",""),"(",""),")","")),8,2)&amp;"-"&amp;MID(IF(LEFT(SUBSTITUTE(SUBSTITUTE(SUBSTITUTE(SUBSTITUTE(SUBSTITUTE(Клиенты_исходные!D297," ",""),"-",""),"+",""),"(",""),")",""))="8","7"&amp;MID(SUBSTITUTE(SUBSTITUTE(SUBSTITUTE(SUBSTITUTE(SUBSTITUTE(Клиенты_исходные!D297," ",""),"-",""),"+",""),"(",""),")",""),2,10),SUBSTITUTE(SUBSTITUTE(SUBSTITUTE(SUBSTITUTE(SUBSTITUTE(Клиенты_исходные!D297," ",""),"-",""),"+",""),"(",""),")","")),10,2),IF(LEN(SUBSTITUTE(SUBSTITUTE(SUBSTITUTE(SUBSTITUTE(SUBSTITUTE(Клиенты_исходные!D297," ",""),"-",""),"+",""),"(",""),")",""))=10,"+7 ("&amp;MID(SUBSTITUTE(SUBSTITUTE(SUBSTITUTE(SUBSTITUTE(SUBSTITUTE(Клиенты_исходные!D297," ",""),"-",""),"+",""),"(",""),")",""),1,3)&amp;") "&amp;MID(SUBSTITUTE(SUBSTITUTE(SUBSTITUTE(SUBSTITUTE(SUBSTITUTE(Клиенты_исходные!D297," ",""),"-",""),"+",""),"(",""),")",""),4,3)&amp;"-"&amp;MID(SUBSTITUTE(SUBSTITUTE(SUBSTITUTE(SUBSTITUTE(SUBSTITUTE(Клиенты_исходные!D297," ",""),"-",""),"+",""),"(",""),")",""),6,2)&amp;"-"&amp;MID(SUBSTITUTE(SUBSTITUTE(SUBSTITUTE(SUBSTITUTE(SUBSTITUTE(Клиенты_исходные!D297," ",""),"-",""),"+",""),"(",""),")",""),8,2),Клиенты_исходные!D297)))</f>
        <v xml:space="preserve">+7 (903) 456-78-90</v>
      </c>
      <c r="E297" t="str">
        <f>IF(ISBLANK(Клиенты_исходные!E297),"",IF(ISNUMBER(FIND(".",MID(Клиенты_исходные!E297,FIND("@",Клиенты_исходные!E297)+1,255))),Клиенты_исходные!E297,IF(ISNUMBER(FIND("gmail",Клиенты_исходные!E297)),Клиенты_исходные!E297&amp;".com",Клиенты_исходные!E297&amp;".ru")))</f>
        <v>ozerova@yandex.ru</v>
      </c>
      <c r="F297" t="str">
        <f>IFERROR(VLOOKUP(Клиенты_исходные!F297,Справочники!$J$2:$K$50,2,FALSE),Клиенты_исходные!F297)</f>
        <v>Сочи</v>
      </c>
      <c r="G297" s="8">
        <f>IFERROR(IF(ISNUMBER(FIND(".",Клиенты_исходные!G297)),DATE(RIGHT(Клиенты_исходные!G297,4),MID(Клиенты_исходные!G297,4,2),LEFT(Клиенты_исходные!G297,2)),DATE(LEFT(Клиенты_исходные!G297,4),MID(Клиенты_исходные!G297,6,2),RIGHT(Клиенты_исходные!G297,2))),Клиенты_исходные!G297)</f>
        <v>47557</v>
      </c>
      <c r="H297">
        <f t="shared" ca="1" si="61"/>
        <v>35</v>
      </c>
      <c r="I297" t="str">
        <f t="shared" si="62"/>
        <v>OK</v>
      </c>
      <c r="J297" t="str">
        <f t="shared" si="63"/>
        <v>OK</v>
      </c>
    </row>
    <row r="298">
      <c r="A298" t="str">
        <f>Клиенты_исходные!A298</f>
        <v>C0297</v>
      </c>
      <c r="B298" t="str">
        <f>PROPER(TRIM(Клиенты_исходные!B298))</f>
        <v xml:space="preserve">Литвинова Ольга Николаевна</v>
      </c>
      <c r="C298" s="8">
        <f>IFERROR(IF(ISNUMBER(FIND(".",Клиенты_исходные!C298)),DATE(RIGHT(Клиенты_исходные!C298,4),MID(Клиенты_исходные!C298,4,2),LEFT(Клиенты_исходные!C298,2)),DATE(LEFT(Клиенты_исходные!C298,4),MID(Клиенты_исходные!C298,6,2),RIGHT(Клиенты_исходные!C298,2))),Клиенты_исходные!C298)</f>
        <v>26482</v>
      </c>
      <c r="D298" t="str">
        <f>IF(ISBLANK(Клиенты_исходные!D298),"",IF(LEN(SUBSTITUTE(SUBSTITUTE(SUBSTITUTE(SUBSTITUTE(SUBSTITUTE(Клиенты_исходные!D298," ",""),"-",""),"+",""),"(",""),")",""))=11,"+7 ("&amp;MID(IF(LEFT(SUBSTITUTE(SUBSTITUTE(SUBSTITUTE(SUBSTITUTE(SUBSTITUTE(Клиенты_исходные!D298," ",""),"-",""),"+",""),"(",""),")",""))="8","7"&amp;MID(SUBSTITUTE(SUBSTITUTE(SUBSTITUTE(SUBSTITUTE(SUBSTITUTE(Клиенты_исходные!D298," ",""),"-",""),"+",""),"(",""),")",""),2,10),SUBSTITUTE(SUBSTITUTE(SUBSTITUTE(SUBSTITUTE(SUBSTITUTE(Клиенты_исходные!D298," ",""),"-",""),"+",""),"(",""),")","")),2,3)&amp;") "&amp;MID(IF(LEFT(SUBSTITUTE(SUBSTITUTE(SUBSTITUTE(SUBSTITUTE(SUBSTITUTE(Клиенты_исходные!D298," ",""),"-",""),"+",""),"(",""),")",""))="8","7"&amp;MID(SUBSTITUTE(SUBSTITUTE(SUBSTITUTE(SUBSTITUTE(SUBSTITUTE(Клиенты_исходные!D298," ",""),"-",""),"+",""),"(",""),")",""),2,10),SUBSTITUTE(SUBSTITUTE(SUBSTITUTE(SUBSTITUTE(SUBSTITUTE(Клиенты_исходные!D298," ",""),"-",""),"+",""),"(",""),")","")),5,3)&amp;"-"&amp;MID(IF(LEFT(SUBSTITUTE(SUBSTITUTE(SUBSTITUTE(SUBSTITUTE(SUBSTITUTE(Клиенты_исходные!D298," ",""),"-",""),"+",""),"(",""),")",""))="8","7"&amp;MID(SUBSTITUTE(SUBSTITUTE(SUBSTITUTE(SUBSTITUTE(SUBSTITUTE(Клиенты_исходные!D298," ",""),"-",""),"+",""),"(",""),")",""),2,10),SUBSTITUTE(SUBSTITUTE(SUBSTITUTE(SUBSTITUTE(SUBSTITUTE(Клиенты_исходные!D298," ",""),"-",""),"+",""),"(",""),")","")),8,2)&amp;"-"&amp;MID(IF(LEFT(SUBSTITUTE(SUBSTITUTE(SUBSTITUTE(SUBSTITUTE(SUBSTITUTE(Клиенты_исходные!D298," ",""),"-",""),"+",""),"(",""),")",""))="8","7"&amp;MID(SUBSTITUTE(SUBSTITUTE(SUBSTITUTE(SUBSTITUTE(SUBSTITUTE(Клиенты_исходные!D298," ",""),"-",""),"+",""),"(",""),")",""),2,10),SUBSTITUTE(SUBSTITUTE(SUBSTITUTE(SUBSTITUTE(SUBSTITUTE(Клиенты_исходные!D298," ",""),"-",""),"+",""),"(",""),")","")),10,2),IF(LEN(SUBSTITUTE(SUBSTITUTE(SUBSTITUTE(SUBSTITUTE(SUBSTITUTE(Клиенты_исходные!D298," ",""),"-",""),"+",""),"(",""),")",""))=10,"+7 ("&amp;MID(SUBSTITUTE(SUBSTITUTE(SUBSTITUTE(SUBSTITUTE(SUBSTITUTE(Клиенты_исходные!D298," ",""),"-",""),"+",""),"(",""),")",""),1,3)&amp;") "&amp;MID(SUBSTITUTE(SUBSTITUTE(SUBSTITUTE(SUBSTITUTE(SUBSTITUTE(Клиенты_исходные!D298," ",""),"-",""),"+",""),"(",""),")",""),4,3)&amp;"-"&amp;MID(SUBSTITUTE(SUBSTITUTE(SUBSTITUTE(SUBSTITUTE(SUBSTITUTE(Клиенты_исходные!D298," ",""),"-",""),"+",""),"(",""),")",""),6,2)&amp;"-"&amp;MID(SUBSTITUTE(SUBSTITUTE(SUBSTITUTE(SUBSTITUTE(SUBSTITUTE(Клиенты_исходные!D298," ",""),"-",""),"+",""),"(",""),")",""),8,2),Клиенты_исходные!D298)))</f>
        <v xml:space="preserve">+7 (903) 567-89-01</v>
      </c>
      <c r="E298" t="str">
        <f>IF(ISBLANK(Клиенты_исходные!E298),"",IF(ISNUMBER(FIND(".",MID(Клиенты_исходные!E298,FIND("@",Клиенты_исходные!E298)+1,255))),Клиенты_исходные!E298,IF(ISNUMBER(FIND("gmail",Клиенты_исходные!E298)),Клиенты_исходные!E298&amp;".com",Клиенты_исходные!E298&amp;".ru")))</f>
        <v>litvinova@gmail.com</v>
      </c>
      <c r="F298" t="str">
        <f>IFERROR(VLOOKUP(Клиенты_исходные!F298,Справочники!$J$2:$K$50,2,FALSE),Клиенты_исходные!F298)</f>
        <v>Симферополь</v>
      </c>
      <c r="G298" s="8">
        <f>IFERROR(IF(ISNUMBER(FIND(".",Клиенты_исходные!G298)),DATE(RIGHT(Клиенты_исходные!G298,4),MID(Клиенты_исходные!G298,4,2),LEFT(Клиенты_исходные!G298,2)),DATE(LEFT(Клиенты_исходные!G298,4),MID(Клиенты_исходные!G298,6,2),RIGHT(Клиенты_исходные!G298,2))),Клиенты_исходные!G298)</f>
        <v>47557</v>
      </c>
      <c r="H298">
        <f t="shared" ca="1" si="61"/>
        <v>54</v>
      </c>
      <c r="I298" t="str">
        <f t="shared" si="62"/>
        <v>OK</v>
      </c>
      <c r="J298" t="str">
        <f t="shared" si="63"/>
        <v>OK</v>
      </c>
    </row>
    <row r="299">
      <c r="A299" t="str">
        <f>Клиенты_исходные!A299</f>
        <v>C0298</v>
      </c>
      <c r="B299" t="str">
        <f>PROPER(TRIM(Клиенты_исходные!B299))</f>
        <v xml:space="preserve">Аксенов Илья Евгеньевич</v>
      </c>
      <c r="C299" s="8">
        <f>IFERROR(IF(ISNUMBER(FIND(".",Клиенты_исходные!C299)),DATE(RIGHT(Клиенты_исходные!C299,4),MID(Клиенты_исходные!C299,4,2),LEFT(Клиенты_исходные!C299,2)),DATE(LEFT(Клиенты_исходные!C299,4),MID(Клиенты_исходные!C299,6,2),RIGHT(Клиенты_исходные!C299,2))),Клиенты_исходные!C299)</f>
        <v>32505</v>
      </c>
      <c r="D299" t="str">
        <f>IF(ISBLANK(Клиенты_исходные!D299),"",IF(LEN(SUBSTITUTE(SUBSTITUTE(SUBSTITUTE(SUBSTITUTE(SUBSTITUTE(Клиенты_исходные!D299," ",""),"-",""),"+",""),"(",""),")",""))=11,"+7 ("&amp;MID(IF(LEFT(SUBSTITUTE(SUBSTITUTE(SUBSTITUTE(SUBSTITUTE(SUBSTITUTE(Клиенты_исходные!D299," ",""),"-",""),"+",""),"(",""),")",""))="8","7"&amp;MID(SUBSTITUTE(SUBSTITUTE(SUBSTITUTE(SUBSTITUTE(SUBSTITUTE(Клиенты_исходные!D299," ",""),"-",""),"+",""),"(",""),")",""),2,10),SUBSTITUTE(SUBSTITUTE(SUBSTITUTE(SUBSTITUTE(SUBSTITUTE(Клиенты_исходные!D299," ",""),"-",""),"+",""),"(",""),")","")),2,3)&amp;") "&amp;MID(IF(LEFT(SUBSTITUTE(SUBSTITUTE(SUBSTITUTE(SUBSTITUTE(SUBSTITUTE(Клиенты_исходные!D299," ",""),"-",""),"+",""),"(",""),")",""))="8","7"&amp;MID(SUBSTITUTE(SUBSTITUTE(SUBSTITUTE(SUBSTITUTE(SUBSTITUTE(Клиенты_исходные!D299," ",""),"-",""),"+",""),"(",""),")",""),2,10),SUBSTITUTE(SUBSTITUTE(SUBSTITUTE(SUBSTITUTE(SUBSTITUTE(Клиенты_исходные!D299," ",""),"-",""),"+",""),"(",""),")","")),5,3)&amp;"-"&amp;MID(IF(LEFT(SUBSTITUTE(SUBSTITUTE(SUBSTITUTE(SUBSTITUTE(SUBSTITUTE(Клиенты_исходные!D299," ",""),"-",""),"+",""),"(",""),")",""))="8","7"&amp;MID(SUBSTITUTE(SUBSTITUTE(SUBSTITUTE(SUBSTITUTE(SUBSTITUTE(Клиенты_исходные!D299," ",""),"-",""),"+",""),"(",""),")",""),2,10),SUBSTITUTE(SUBSTITUTE(SUBSTITUTE(SUBSTITUTE(SUBSTITUTE(Клиенты_исходные!D299," ",""),"-",""),"+",""),"(",""),")","")),8,2)&amp;"-"&amp;MID(IF(LEFT(SUBSTITUTE(SUBSTITUTE(SUBSTITUTE(SUBSTITUTE(SUBSTITUTE(Клиенты_исходные!D299," ",""),"-",""),"+",""),"(",""),")",""))="8","7"&amp;MID(SUBSTITUTE(SUBSTITUTE(SUBSTITUTE(SUBSTITUTE(SUBSTITUTE(Клиенты_исходные!D299," ",""),"-",""),"+",""),"(",""),")",""),2,10),SUBSTITUTE(SUBSTITUTE(SUBSTITUTE(SUBSTITUTE(SUBSTITUTE(Клиенты_исходные!D299," ",""),"-",""),"+",""),"(",""),")","")),10,2),IF(LEN(SUBSTITUTE(SUBSTITUTE(SUBSTITUTE(SUBSTITUTE(SUBSTITUTE(Клиенты_исходные!D299," ",""),"-",""),"+",""),"(",""),")",""))=10,"+7 ("&amp;MID(SUBSTITUTE(SUBSTITUTE(SUBSTITUTE(SUBSTITUTE(SUBSTITUTE(Клиенты_исходные!D299," ",""),"-",""),"+",""),"(",""),")",""),1,3)&amp;") "&amp;MID(SUBSTITUTE(SUBSTITUTE(SUBSTITUTE(SUBSTITUTE(SUBSTITUTE(Клиенты_исходные!D299," ",""),"-",""),"+",""),"(",""),")",""),4,3)&amp;"-"&amp;MID(SUBSTITUTE(SUBSTITUTE(SUBSTITUTE(SUBSTITUTE(SUBSTITUTE(Клиенты_исходные!D299," ",""),"-",""),"+",""),"(",""),")",""),6,2)&amp;"-"&amp;MID(SUBSTITUTE(SUBSTITUTE(SUBSTITUTE(SUBSTITUTE(SUBSTITUTE(Клиенты_исходные!D299," ",""),"-",""),"+",""),"(",""),")",""),8,2),Клиенты_исходные!D299)))</f>
        <v xml:space="preserve">+7 (903) 567-89-01</v>
      </c>
      <c r="E299" t="str">
        <f>IF(ISBLANK(Клиенты_исходные!E299),"",IF(ISNUMBER(FIND(".",MID(Клиенты_исходные!E299,FIND("@",Клиенты_исходные!E299)+1,255))),Клиенты_исходные!E299,IF(ISNUMBER(FIND("gmail",Клиенты_исходные!E299)),Клиенты_исходные!E299&amp;".com",Клиенты_исходные!E299&amp;".ru")))</f>
        <v>aksenov@mail.ru</v>
      </c>
      <c r="F299" t="str">
        <f>IFERROR(VLOOKUP(Клиенты_исходные!F299,Справочники!$J$2:$K$50,2,FALSE),Клиенты_исходные!F299)</f>
        <v>Брянск</v>
      </c>
      <c r="G299" s="8">
        <f>IFERROR(IF(ISNUMBER(FIND(".",Клиенты_исходные!G299)),DATE(RIGHT(Клиенты_исходные!G299,4),MID(Клиенты_исходные!G299,4,2),LEFT(Клиенты_исходные!G299,2)),DATE(LEFT(Клиенты_исходные!G299,4),MID(Клиенты_исходные!G299,6,2),RIGHT(Клиенты_исходные!G299,2))),Клиенты_исходные!G299)</f>
        <v>47574</v>
      </c>
      <c r="H299">
        <f t="shared" ca="1" si="61"/>
        <v>37</v>
      </c>
      <c r="I299" t="str">
        <f t="shared" si="62"/>
        <v>OK</v>
      </c>
      <c r="J299" t="str">
        <f t="shared" si="63"/>
        <v>OK</v>
      </c>
    </row>
    <row r="300">
      <c r="A300" t="str">
        <f>Клиенты_исходные!A300</f>
        <v>C0299</v>
      </c>
      <c r="B300" t="str">
        <f>PROPER(TRIM(Клиенты_исходные!B300))</f>
        <v xml:space="preserve">Сычев Андрей Александрович</v>
      </c>
      <c r="C300" s="8">
        <f>IFERROR(IF(ISNUMBER(FIND(".",Клиенты_исходные!C300)),DATE(RIGHT(Клиенты_исходные!C300,4),MID(Клиенты_исходные!C300,4,2),LEFT(Клиенты_исходные!C300,2)),DATE(LEFT(Клиенты_исходные!C300,4),MID(Клиенты_исходные!C300,6,2),RIGHT(Клиенты_исходные!C300,2))),Клиенты_исходные!C300)</f>
        <v>28962</v>
      </c>
      <c r="D300" t="str">
        <f>IF(ISBLANK(Клиенты_исходные!D300),"",IF(LEN(SUBSTITUTE(SUBSTITUTE(SUBSTITUTE(SUBSTITUTE(SUBSTITUTE(Клиенты_исходные!D300," ",""),"-",""),"+",""),"(",""),")",""))=11,"+7 ("&amp;MID(IF(LEFT(SUBSTITUTE(SUBSTITUTE(SUBSTITUTE(SUBSTITUTE(SUBSTITUTE(Клиенты_исходные!D300," ",""),"-",""),"+",""),"(",""),")",""))="8","7"&amp;MID(SUBSTITUTE(SUBSTITUTE(SUBSTITUTE(SUBSTITUTE(SUBSTITUTE(Клиенты_исходные!D300," ",""),"-",""),"+",""),"(",""),")",""),2,10),SUBSTITUTE(SUBSTITUTE(SUBSTITUTE(SUBSTITUTE(SUBSTITUTE(Клиенты_исходные!D300," ",""),"-",""),"+",""),"(",""),")","")),2,3)&amp;") "&amp;MID(IF(LEFT(SUBSTITUTE(SUBSTITUTE(SUBSTITUTE(SUBSTITUTE(SUBSTITUTE(Клиенты_исходные!D300," ",""),"-",""),"+",""),"(",""),")",""))="8","7"&amp;MID(SUBSTITUTE(SUBSTITUTE(SUBSTITUTE(SUBSTITUTE(SUBSTITUTE(Клиенты_исходные!D300," ",""),"-",""),"+",""),"(",""),")",""),2,10),SUBSTITUTE(SUBSTITUTE(SUBSTITUTE(SUBSTITUTE(SUBSTITUTE(Клиенты_исходные!D300," ",""),"-",""),"+",""),"(",""),")","")),5,3)&amp;"-"&amp;MID(IF(LEFT(SUBSTITUTE(SUBSTITUTE(SUBSTITUTE(SUBSTITUTE(SUBSTITUTE(Клиенты_исходные!D300," ",""),"-",""),"+",""),"(",""),")",""))="8","7"&amp;MID(SUBSTITUTE(SUBSTITUTE(SUBSTITUTE(SUBSTITUTE(SUBSTITUTE(Клиенты_исходные!D300," ",""),"-",""),"+",""),"(",""),")",""),2,10),SUBSTITUTE(SUBSTITUTE(SUBSTITUTE(SUBSTITUTE(SUBSTITUTE(Клиенты_исходные!D300," ",""),"-",""),"+",""),"(",""),")","")),8,2)&amp;"-"&amp;MID(IF(LEFT(SUBSTITUTE(SUBSTITUTE(SUBSTITUTE(SUBSTITUTE(SUBSTITUTE(Клиенты_исходные!D300," ",""),"-",""),"+",""),"(",""),")",""))="8","7"&amp;MID(SUBSTITUTE(SUBSTITUTE(SUBSTITUTE(SUBSTITUTE(SUBSTITUTE(Клиенты_исходные!D300," ",""),"-",""),"+",""),"(",""),")",""),2,10),SUBSTITUTE(SUBSTITUTE(SUBSTITUTE(SUBSTITUTE(SUBSTITUTE(Клиенты_исходные!D300," ",""),"-",""),"+",""),"(",""),")","")),10,2),IF(LEN(SUBSTITUTE(SUBSTITUTE(SUBSTITUTE(SUBSTITUTE(SUBSTITUTE(Клиенты_исходные!D300," ",""),"-",""),"+",""),"(",""),")",""))=10,"+7 ("&amp;MID(SUBSTITUTE(SUBSTITUTE(SUBSTITUTE(SUBSTITUTE(SUBSTITUTE(Клиенты_исходные!D300," ",""),"-",""),"+",""),"(",""),")",""),1,3)&amp;") "&amp;MID(SUBSTITUTE(SUBSTITUTE(SUBSTITUTE(SUBSTITUTE(SUBSTITUTE(Клиенты_исходные!D300," ",""),"-",""),"+",""),"(",""),")",""),4,3)&amp;"-"&amp;MID(SUBSTITUTE(SUBSTITUTE(SUBSTITUTE(SUBSTITUTE(SUBSTITUTE(Клиенты_исходные!D300," ",""),"-",""),"+",""),"(",""),")",""),6,2)&amp;"-"&amp;MID(SUBSTITUTE(SUBSTITUTE(SUBSTITUTE(SUBSTITUTE(SUBSTITUTE(Клиенты_исходные!D300," ",""),"-",""),"+",""),"(",""),")",""),8,2),Клиенты_исходные!D300)))</f>
        <v xml:space="preserve">+7 (903) 567-89-01</v>
      </c>
      <c r="E300" t="str">
        <f>IF(ISBLANK(Клиенты_исходные!E300),"",IF(ISNUMBER(FIND(".",MID(Клиенты_исходные!E300,FIND("@",Клиенты_исходные!E300)+1,255))),Клиенты_исходные!E300,IF(ISNUMBER(FIND("gmail",Клиенты_исходные!E300)),Клиенты_исходные!E300&amp;".com",Клиенты_исходные!E300&amp;".ru")))</f>
        <v>sychev@yandex.ru</v>
      </c>
      <c r="F300" t="str">
        <f>IFERROR(VLOOKUP(Клиенты_исходные!F300,Справочники!$J$2:$K$50,2,FALSE),Клиенты_исходные!F300)</f>
        <v>Абакан</v>
      </c>
      <c r="G300" s="8">
        <f>IFERROR(IF(ISNUMBER(FIND(".",Клиенты_исходные!G300)),DATE(RIGHT(Клиенты_исходные!G300,4),MID(Клиенты_исходные!G300,4,2),LEFT(Клиенты_исходные!G300,2)),DATE(LEFT(Клиенты_исходные!G300,4),MID(Клиенты_исходные!G300,6,2),RIGHT(Клиенты_исходные!G300,2))),Клиенты_исходные!G300)</f>
        <v>47583</v>
      </c>
      <c r="H300">
        <f t="shared" ca="1" si="61"/>
        <v>47</v>
      </c>
      <c r="I300" t="str">
        <f t="shared" si="62"/>
        <v>OK</v>
      </c>
      <c r="J300" t="str">
        <f t="shared" si="63"/>
        <v>OK</v>
      </c>
    </row>
    <row r="301">
      <c r="A301" t="str">
        <f>Клиенты_исходные!A301</f>
        <v>C0300</v>
      </c>
      <c r="B301" t="str">
        <f>PROPER(TRIM(Клиенты_исходные!B301))</f>
        <v xml:space="preserve">Пименова Татьяна Сергеевна</v>
      </c>
      <c r="C301" s="8">
        <f>IFERROR(IF(ISNUMBER(FIND(".",Клиенты_исходные!C301)),DATE(RIGHT(Клиенты_исходные!C301,4),MID(Клиенты_исходные!C301,4,2),LEFT(Клиенты_исходные!C301,2)),DATE(LEFT(Клиенты_исходные!C301,4),MID(Клиенты_исходные!C301,6,2),RIGHT(Клиенты_исходные!C301,2))),Клиенты_исходные!C301)</f>
        <v>31629</v>
      </c>
      <c r="D301" t="str">
        <f>IF(ISBLANK(Клиенты_исходные!D301),"",IF(LEN(SUBSTITUTE(SUBSTITUTE(SUBSTITUTE(SUBSTITUTE(SUBSTITUTE(Клиенты_исходные!D301," ",""),"-",""),"+",""),"(",""),")",""))=11,"+7 ("&amp;MID(IF(LEFT(SUBSTITUTE(SUBSTITUTE(SUBSTITUTE(SUBSTITUTE(SUBSTITUTE(Клиенты_исходные!D301," ",""),"-",""),"+",""),"(",""),")",""))="8","7"&amp;MID(SUBSTITUTE(SUBSTITUTE(SUBSTITUTE(SUBSTITUTE(SUBSTITUTE(Клиенты_исходные!D301," ",""),"-",""),"+",""),"(",""),")",""),2,10),SUBSTITUTE(SUBSTITUTE(SUBSTITUTE(SUBSTITUTE(SUBSTITUTE(Клиенты_исходные!D301," ",""),"-",""),"+",""),"(",""),")","")),2,3)&amp;") "&amp;MID(IF(LEFT(SUBSTITUTE(SUBSTITUTE(SUBSTITUTE(SUBSTITUTE(SUBSTITUTE(Клиенты_исходные!D301," ",""),"-",""),"+",""),"(",""),")",""))="8","7"&amp;MID(SUBSTITUTE(SUBSTITUTE(SUBSTITUTE(SUBSTITUTE(SUBSTITUTE(Клиенты_исходные!D301," ",""),"-",""),"+",""),"(",""),")",""),2,10),SUBSTITUTE(SUBSTITUTE(SUBSTITUTE(SUBSTITUTE(SUBSTITUTE(Клиенты_исходные!D301," ",""),"-",""),"+",""),"(",""),")","")),5,3)&amp;"-"&amp;MID(IF(LEFT(SUBSTITUTE(SUBSTITUTE(SUBSTITUTE(SUBSTITUTE(SUBSTITUTE(Клиенты_исходные!D301," ",""),"-",""),"+",""),"(",""),")",""))="8","7"&amp;MID(SUBSTITUTE(SUBSTITUTE(SUBSTITUTE(SUBSTITUTE(SUBSTITUTE(Клиенты_исходные!D301," ",""),"-",""),"+",""),"(",""),")",""),2,10),SUBSTITUTE(SUBSTITUTE(SUBSTITUTE(SUBSTITUTE(SUBSTITUTE(Клиенты_исходные!D301," ",""),"-",""),"+",""),"(",""),")","")),8,2)&amp;"-"&amp;MID(IF(LEFT(SUBSTITUTE(SUBSTITUTE(SUBSTITUTE(SUBSTITUTE(SUBSTITUTE(Клиенты_исходные!D301," ",""),"-",""),"+",""),"(",""),")",""))="8","7"&amp;MID(SUBSTITUTE(SUBSTITUTE(SUBSTITUTE(SUBSTITUTE(SUBSTITUTE(Клиенты_исходные!D301," ",""),"-",""),"+",""),"(",""),")",""),2,10),SUBSTITUTE(SUBSTITUTE(SUBSTITUTE(SUBSTITUTE(SUBSTITUTE(Клиенты_исходные!D301," ",""),"-",""),"+",""),"(",""),")","")),10,2),IF(LEN(SUBSTITUTE(SUBSTITUTE(SUBSTITUTE(SUBSTITUTE(SUBSTITUTE(Клиенты_исходные!D301," ",""),"-",""),"+",""),"(",""),")",""))=10,"+7 ("&amp;MID(SUBSTITUTE(SUBSTITUTE(SUBSTITUTE(SUBSTITUTE(SUBSTITUTE(Клиенты_исходные!D301," ",""),"-",""),"+",""),"(",""),")",""),1,3)&amp;") "&amp;MID(SUBSTITUTE(SUBSTITUTE(SUBSTITUTE(SUBSTITUTE(SUBSTITUTE(Клиенты_исходные!D301," ",""),"-",""),"+",""),"(",""),")",""),4,3)&amp;"-"&amp;MID(SUBSTITUTE(SUBSTITUTE(SUBSTITUTE(SUBSTITUTE(SUBSTITUTE(Клиенты_исходные!D301," ",""),"-",""),"+",""),"(",""),")",""),6,2)&amp;"-"&amp;MID(SUBSTITUTE(SUBSTITUTE(SUBSTITUTE(SUBSTITUTE(SUBSTITUTE(Клиенты_исходные!D301," ",""),"-",""),"+",""),"(",""),")",""),8,2),Клиенты_исходные!D301)))</f>
        <v xml:space="preserve">+7 (903) 678-90-12</v>
      </c>
      <c r="E301" t="str">
        <f>IF(ISBLANK(Клиенты_исходные!E301),"",IF(ISNUMBER(FIND(".",MID(Клиенты_исходные!E301,FIND("@",Клиенты_исходные!E301)+1,255))),Клиенты_исходные!E301,IF(ISNUMBER(FIND("gmail",Клиенты_исходные!E301)),Клиенты_исходные!E301&amp;".com",Клиенты_исходные!E301&amp;".ru")))</f>
        <v>pimenova@gmail.com</v>
      </c>
      <c r="F301" t="str">
        <f>IFERROR(VLOOKUP(Клиенты_исходные!F301,Справочники!$J$2:$K$50,2,FALSE),Клиенты_исходные!F301)</f>
        <v>Грозный</v>
      </c>
      <c r="G301" s="8">
        <f>IFERROR(IF(ISNUMBER(FIND(".",Клиенты_исходные!G301)),DATE(RIGHT(Клиенты_исходные!G301,4),MID(Клиенты_исходные!G301,4,2),LEFT(Клиенты_исходные!G301,2)),DATE(LEFT(Клиенты_исходные!G301,4),MID(Клиенты_исходные!G301,6,2),RIGHT(Клиенты_исходные!G301,2))),Клиенты_исходные!G301)</f>
        <v>47583</v>
      </c>
      <c r="H301">
        <f t="shared" ca="1" si="61"/>
        <v>40</v>
      </c>
      <c r="I301" t="str">
        <f t="shared" si="62"/>
        <v>OK</v>
      </c>
      <c r="J301" t="str">
        <f t="shared" si="63"/>
        <v>OK</v>
      </c>
    </row>
    <row r="302">
      <c r="A302" t="str">
        <f>Клиенты_исходные!A302</f>
        <v>C0301</v>
      </c>
      <c r="B302" t="str">
        <f>PROPER(TRIM(Клиенты_исходные!B302))</f>
        <v xml:space="preserve">Блохин Денис Викторович</v>
      </c>
      <c r="C302" s="8">
        <f>IFERROR(IF(ISNUMBER(FIND(".",Клиенты_исходные!C302)),DATE(RIGHT(Клиенты_исходные!C302,4),MID(Клиенты_исходные!C302,4,2),LEFT(Клиенты_исходные!C302,2)),DATE(LEFT(Клиенты_исходные!C302,4),MID(Клиенты_исходные!C302,6,2),RIGHT(Клиенты_исходные!C302,2))),Клиенты_исходные!C302)</f>
        <v>27312</v>
      </c>
      <c r="D302" t="str">
        <f>IF(ISBLANK(Клиенты_исходные!D302),"",IF(LEN(SUBSTITUTE(SUBSTITUTE(SUBSTITUTE(SUBSTITUTE(SUBSTITUTE(Клиенты_исходные!D302," ",""),"-",""),"+",""),"(",""),")",""))=11,"+7 ("&amp;MID(IF(LEFT(SUBSTITUTE(SUBSTITUTE(SUBSTITUTE(SUBSTITUTE(SUBSTITUTE(Клиенты_исходные!D302," ",""),"-",""),"+",""),"(",""),")",""))="8","7"&amp;MID(SUBSTITUTE(SUBSTITUTE(SUBSTITUTE(SUBSTITUTE(SUBSTITUTE(Клиенты_исходные!D302," ",""),"-",""),"+",""),"(",""),")",""),2,10),SUBSTITUTE(SUBSTITUTE(SUBSTITUTE(SUBSTITUTE(SUBSTITUTE(Клиенты_исходные!D302," ",""),"-",""),"+",""),"(",""),")","")),2,3)&amp;") "&amp;MID(IF(LEFT(SUBSTITUTE(SUBSTITUTE(SUBSTITUTE(SUBSTITUTE(SUBSTITUTE(Клиенты_исходные!D302," ",""),"-",""),"+",""),"(",""),")",""))="8","7"&amp;MID(SUBSTITUTE(SUBSTITUTE(SUBSTITUTE(SUBSTITUTE(SUBSTITUTE(Клиенты_исходные!D302," ",""),"-",""),"+",""),"(",""),")",""),2,10),SUBSTITUTE(SUBSTITUTE(SUBSTITUTE(SUBSTITUTE(SUBSTITUTE(Клиенты_исходные!D302," ",""),"-",""),"+",""),"(",""),")","")),5,3)&amp;"-"&amp;MID(IF(LEFT(SUBSTITUTE(SUBSTITUTE(SUBSTITUTE(SUBSTITUTE(SUBSTITUTE(Клиенты_исходные!D302," ",""),"-",""),"+",""),"(",""),")",""))="8","7"&amp;MID(SUBSTITUTE(SUBSTITUTE(SUBSTITUTE(SUBSTITUTE(SUBSTITUTE(Клиенты_исходные!D302," ",""),"-",""),"+",""),"(",""),")",""),2,10),SUBSTITUTE(SUBSTITUTE(SUBSTITUTE(SUBSTITUTE(SUBSTITUTE(Клиенты_исходные!D302," ",""),"-",""),"+",""),"(",""),")","")),8,2)&amp;"-"&amp;MID(IF(LEFT(SUBSTITUTE(SUBSTITUTE(SUBSTITUTE(SUBSTITUTE(SUBSTITUTE(Клиенты_исходные!D302," ",""),"-",""),"+",""),"(",""),")",""))="8","7"&amp;MID(SUBSTITUTE(SUBSTITUTE(SUBSTITUTE(SUBSTITUTE(SUBSTITUTE(Клиенты_исходные!D302," ",""),"-",""),"+",""),"(",""),")",""),2,10),SUBSTITUTE(SUBSTITUTE(SUBSTITUTE(SUBSTITUTE(SUBSTITUTE(Клиенты_исходные!D302," ",""),"-",""),"+",""),"(",""),")","")),10,2),IF(LEN(SUBSTITUTE(SUBSTITUTE(SUBSTITUTE(SUBSTITUTE(SUBSTITUTE(Клиенты_исходные!D302," ",""),"-",""),"+",""),"(",""),")",""))=10,"+7 ("&amp;MID(SUBSTITUTE(SUBSTITUTE(SUBSTITUTE(SUBSTITUTE(SUBSTITUTE(Клиенты_исходные!D302," ",""),"-",""),"+",""),"(",""),")",""),1,3)&amp;") "&amp;MID(SUBSTITUTE(SUBSTITUTE(SUBSTITUTE(SUBSTITUTE(SUBSTITUTE(Клиенты_исходные!D302," ",""),"-",""),"+",""),"(",""),")",""),4,3)&amp;"-"&amp;MID(SUBSTITUTE(SUBSTITUTE(SUBSTITUTE(SUBSTITUTE(SUBSTITUTE(Клиенты_исходные!D302," ",""),"-",""),"+",""),"(",""),")",""),6,2)&amp;"-"&amp;MID(SUBSTITUTE(SUBSTITUTE(SUBSTITUTE(SUBSTITUTE(SUBSTITUTE(Клиенты_исходные!D302," ",""),"-",""),"+",""),"(",""),")",""),8,2),Клиенты_исходные!D302)))</f>
        <v xml:space="preserve">+7 (903) 678-90-12</v>
      </c>
      <c r="E302" t="str">
        <f>IF(ISBLANK(Клиенты_исходные!E302),"",IF(ISNUMBER(FIND(".",MID(Клиенты_исходные!E302,FIND("@",Клиенты_исходные!E302)+1,255))),Клиенты_исходные!E302,IF(ISNUMBER(FIND("gmail",Клиенты_исходные!E302)),Клиенты_исходные!E302&amp;".com",Клиенты_исходные!E302&amp;".ru")))</f>
        <v>blohin@mail.ru</v>
      </c>
      <c r="F302" t="str">
        <f>IFERROR(VLOOKUP(Клиенты_исходные!F302,Справочники!$J$2:$K$50,2,FALSE),Клиенты_исходные!F302)</f>
        <v>Бийск</v>
      </c>
      <c r="G302" s="8">
        <f>IFERROR(IF(ISNUMBER(FIND(".",Клиенты_исходные!G302)),DATE(RIGHT(Клиенты_исходные!G302,4),MID(Клиенты_исходные!G302,4,2),LEFT(Клиенты_исходные!G302,2)),DATE(LEFT(Клиенты_исходные!G302,4),MID(Клиенты_исходные!G302,6,2),RIGHT(Клиенты_исходные!G302,2))),Клиенты_исходные!G302)</f>
        <v>47604</v>
      </c>
      <c r="H302">
        <f t="shared" ca="1" si="61"/>
        <v>51</v>
      </c>
      <c r="I302" t="str">
        <f t="shared" si="62"/>
        <v>OK</v>
      </c>
      <c r="J302" t="str">
        <f t="shared" si="63"/>
        <v>OK</v>
      </c>
    </row>
    <row r="303">
      <c r="A303" t="str">
        <f>Клиенты_исходные!A303</f>
        <v>C0302</v>
      </c>
      <c r="B303" t="str">
        <f>PROPER(TRIM(Клиенты_исходные!B303))</f>
        <v xml:space="preserve">Майорова Мария Павловна</v>
      </c>
      <c r="C303" s="8">
        <f>IFERROR(IF(ISNUMBER(FIND(".",Клиенты_исходные!C303)),DATE(RIGHT(Клиенты_исходные!C303,4),MID(Клиенты_исходные!C303,4,2),LEFT(Клиенты_исходные!C303,2)),DATE(LEFT(Клиенты_исходные!C303,4),MID(Клиенты_исходные!C303,6,2),RIGHT(Клиенты_исходные!C303,2))),Клиенты_исходные!C303)</f>
        <v>30125</v>
      </c>
      <c r="D303" t="str">
        <f>IF(ISBLANK(Клиенты_исходные!D303),"",IF(LEN(SUBSTITUTE(SUBSTITUTE(SUBSTITUTE(SUBSTITUTE(SUBSTITUTE(Клиенты_исходные!D303," ",""),"-",""),"+",""),"(",""),")",""))=11,"+7 ("&amp;MID(IF(LEFT(SUBSTITUTE(SUBSTITUTE(SUBSTITUTE(SUBSTITUTE(SUBSTITUTE(Клиенты_исходные!D303," ",""),"-",""),"+",""),"(",""),")",""))="8","7"&amp;MID(SUBSTITUTE(SUBSTITUTE(SUBSTITUTE(SUBSTITUTE(SUBSTITUTE(Клиенты_исходные!D303," ",""),"-",""),"+",""),"(",""),")",""),2,10),SUBSTITUTE(SUBSTITUTE(SUBSTITUTE(SUBSTITUTE(SUBSTITUTE(Клиенты_исходные!D303," ",""),"-",""),"+",""),"(",""),")","")),2,3)&amp;") "&amp;MID(IF(LEFT(SUBSTITUTE(SUBSTITUTE(SUBSTITUTE(SUBSTITUTE(SUBSTITUTE(Клиенты_исходные!D303," ",""),"-",""),"+",""),"(",""),")",""))="8","7"&amp;MID(SUBSTITUTE(SUBSTITUTE(SUBSTITUTE(SUBSTITUTE(SUBSTITUTE(Клиенты_исходные!D303," ",""),"-",""),"+",""),"(",""),")",""),2,10),SUBSTITUTE(SUBSTITUTE(SUBSTITUTE(SUBSTITUTE(SUBSTITUTE(Клиенты_исходные!D303," ",""),"-",""),"+",""),"(",""),")","")),5,3)&amp;"-"&amp;MID(IF(LEFT(SUBSTITUTE(SUBSTITUTE(SUBSTITUTE(SUBSTITUTE(SUBSTITUTE(Клиенты_исходные!D303," ",""),"-",""),"+",""),"(",""),")",""))="8","7"&amp;MID(SUBSTITUTE(SUBSTITUTE(SUBSTITUTE(SUBSTITUTE(SUBSTITUTE(Клиенты_исходные!D303," ",""),"-",""),"+",""),"(",""),")",""),2,10),SUBSTITUTE(SUBSTITUTE(SUBSTITUTE(SUBSTITUTE(SUBSTITUTE(Клиенты_исходные!D303," ",""),"-",""),"+",""),"(",""),")","")),8,2)&amp;"-"&amp;MID(IF(LEFT(SUBSTITUTE(SUBSTITUTE(SUBSTITUTE(SUBSTITUTE(SUBSTITUTE(Клиенты_исходные!D303," ",""),"-",""),"+",""),"(",""),")",""))="8","7"&amp;MID(SUBSTITUTE(SUBSTITUTE(SUBSTITUTE(SUBSTITUTE(SUBSTITUTE(Клиенты_исходные!D303," ",""),"-",""),"+",""),"(",""),")",""),2,10),SUBSTITUTE(SUBSTITUTE(SUBSTITUTE(SUBSTITUTE(SUBSTITUTE(Клиенты_исходные!D303," ",""),"-",""),"+",""),"(",""),")","")),10,2),IF(LEN(SUBSTITUTE(SUBSTITUTE(SUBSTITUTE(SUBSTITUTE(SUBSTITUTE(Клиенты_исходные!D303," ",""),"-",""),"+",""),"(",""),")",""))=10,"+7 ("&amp;MID(SUBSTITUTE(SUBSTITUTE(SUBSTITUTE(SUBSTITUTE(SUBSTITUTE(Клиенты_исходные!D303," ",""),"-",""),"+",""),"(",""),")",""),1,3)&amp;") "&amp;MID(SUBSTITUTE(SUBSTITUTE(SUBSTITUTE(SUBSTITUTE(SUBSTITUTE(Клиенты_исходные!D303," ",""),"-",""),"+",""),"(",""),")",""),4,3)&amp;"-"&amp;MID(SUBSTITUTE(SUBSTITUTE(SUBSTITUTE(SUBSTITUTE(SUBSTITUTE(Клиенты_исходные!D303," ",""),"-",""),"+",""),"(",""),")",""),6,2)&amp;"-"&amp;MID(SUBSTITUTE(SUBSTITUTE(SUBSTITUTE(SUBSTITUTE(SUBSTITUTE(Клиенты_исходные!D303," ",""),"-",""),"+",""),"(",""),")",""),8,2),Клиенты_исходные!D303)))</f>
        <v xml:space="preserve">+7 (903) 678-90-12</v>
      </c>
      <c r="E303" t="str">
        <f>IF(ISBLANK(Клиенты_исходные!E303),"",IF(ISNUMBER(FIND(".",MID(Клиенты_исходные!E303,FIND("@",Клиенты_исходные!E303)+1,255))),Клиенты_исходные!E303,IF(ISNUMBER(FIND("gmail",Клиенты_исходные!E303)),Клиенты_исходные!E303&amp;".com",Клиенты_исходные!E303&amp;".ru")))</f>
        <v>mayorova@yandex.ru</v>
      </c>
      <c r="F303" t="str">
        <f>IFERROR(VLOOKUP(Клиенты_исходные!F303,Справочники!$J$2:$K$50,2,FALSE),Клиенты_исходные!F303)</f>
        <v>Йошкар-Ола</v>
      </c>
      <c r="G303" s="8">
        <f>IFERROR(IF(ISNUMBER(FIND(".",Клиенты_исходные!G303)),DATE(RIGHT(Клиенты_исходные!G303,4),MID(Клиенты_исходные!G303,4,2),LEFT(Клиенты_исходные!G303,2)),DATE(LEFT(Клиенты_исходные!G303,4),MID(Клиенты_исходные!G303,6,2),RIGHT(Клиенты_исходные!G303,2))),Клиенты_исходные!G303)</f>
        <v>47618</v>
      </c>
      <c r="H303">
        <f t="shared" ca="1" si="61"/>
        <v>44</v>
      </c>
      <c r="I303" t="str">
        <f t="shared" si="62"/>
        <v>OK</v>
      </c>
      <c r="J303" t="str">
        <f t="shared" si="63"/>
        <v>OK</v>
      </c>
    </row>
    <row r="304">
      <c r="A304" t="str">
        <f>Клиенты_исходные!A304</f>
        <v>C0303</v>
      </c>
      <c r="B304" t="str">
        <f>PROPER(TRIM(Клиенты_исходные!B304))</f>
        <v xml:space="preserve">Кравчук Алексей Олегович</v>
      </c>
      <c r="C304" s="8">
        <f>IFERROR(IF(ISNUMBER(FIND(".",Клиенты_исходные!C304)),DATE(RIGHT(Клиенты_исходные!C304,4),MID(Клиенты_исходные!C304,4,2),LEFT(Клиенты_исходные!C304,2)),DATE(LEFT(Клиенты_исходные!C304,4),MID(Клиенты_исходные!C304,6,2),RIGHT(Клиенты_исходные!C304,2))),Клиенты_исходные!C304)</f>
        <v>32906</v>
      </c>
      <c r="D304" t="str">
        <f>IF(ISBLANK(Клиенты_исходные!D304),"",IF(LEN(SUBSTITUTE(SUBSTITUTE(SUBSTITUTE(SUBSTITUTE(SUBSTITUTE(Клиенты_исходные!D304," ",""),"-",""),"+",""),"(",""),")",""))=11,"+7 ("&amp;MID(IF(LEFT(SUBSTITUTE(SUBSTITUTE(SUBSTITUTE(SUBSTITUTE(SUBSTITUTE(Клиенты_исходные!D304," ",""),"-",""),"+",""),"(",""),")",""))="8","7"&amp;MID(SUBSTITUTE(SUBSTITUTE(SUBSTITUTE(SUBSTITUTE(SUBSTITUTE(Клиенты_исходные!D304," ",""),"-",""),"+",""),"(",""),")",""),2,10),SUBSTITUTE(SUBSTITUTE(SUBSTITUTE(SUBSTITUTE(SUBSTITUTE(Клиенты_исходные!D304," ",""),"-",""),"+",""),"(",""),")","")),2,3)&amp;") "&amp;MID(IF(LEFT(SUBSTITUTE(SUBSTITUTE(SUBSTITUTE(SUBSTITUTE(SUBSTITUTE(Клиенты_исходные!D304," ",""),"-",""),"+",""),"(",""),")",""))="8","7"&amp;MID(SUBSTITUTE(SUBSTITUTE(SUBSTITUTE(SUBSTITUTE(SUBSTITUTE(Клиенты_исходные!D304," ",""),"-",""),"+",""),"(",""),")",""),2,10),SUBSTITUTE(SUBSTITUTE(SUBSTITUTE(SUBSTITUTE(SUBSTITUTE(Клиенты_исходные!D304," ",""),"-",""),"+",""),"(",""),")","")),5,3)&amp;"-"&amp;MID(IF(LEFT(SUBSTITUTE(SUBSTITUTE(SUBSTITUTE(SUBSTITUTE(SUBSTITUTE(Клиенты_исходные!D304," ",""),"-",""),"+",""),"(",""),")",""))="8","7"&amp;MID(SUBSTITUTE(SUBSTITUTE(SUBSTITUTE(SUBSTITUTE(SUBSTITUTE(Клиенты_исходные!D304," ",""),"-",""),"+",""),"(",""),")",""),2,10),SUBSTITUTE(SUBSTITUTE(SUBSTITUTE(SUBSTITUTE(SUBSTITUTE(Клиенты_исходные!D304," ",""),"-",""),"+",""),"(",""),")","")),8,2)&amp;"-"&amp;MID(IF(LEFT(SUBSTITUTE(SUBSTITUTE(SUBSTITUTE(SUBSTITUTE(SUBSTITUTE(Клиенты_исходные!D304," ",""),"-",""),"+",""),"(",""),")",""))="8","7"&amp;MID(SUBSTITUTE(SUBSTITUTE(SUBSTITUTE(SUBSTITUTE(SUBSTITUTE(Клиенты_исходные!D304," ",""),"-",""),"+",""),"(",""),")",""),2,10),SUBSTITUTE(SUBSTITUTE(SUBSTITUTE(SUBSTITUTE(SUBSTITUTE(Клиенты_исходные!D304," ",""),"-",""),"+",""),"(",""),")","")),10,2),IF(LEN(SUBSTITUTE(SUBSTITUTE(SUBSTITUTE(SUBSTITUTE(SUBSTITUTE(Клиенты_исходные!D304," ",""),"-",""),"+",""),"(",""),")",""))=10,"+7 ("&amp;MID(SUBSTITUTE(SUBSTITUTE(SUBSTITUTE(SUBSTITUTE(SUBSTITUTE(Клиенты_исходные!D304," ",""),"-",""),"+",""),"(",""),")",""),1,3)&amp;") "&amp;MID(SUBSTITUTE(SUBSTITUTE(SUBSTITUTE(SUBSTITUTE(SUBSTITUTE(Клиенты_исходные!D304," ",""),"-",""),"+",""),"(",""),")",""),4,3)&amp;"-"&amp;MID(SUBSTITUTE(SUBSTITUTE(SUBSTITUTE(SUBSTITUTE(SUBSTITUTE(Клиенты_исходные!D304," ",""),"-",""),"+",""),"(",""),")",""),6,2)&amp;"-"&amp;MID(SUBSTITUTE(SUBSTITUTE(SUBSTITUTE(SUBSTITUTE(SUBSTITUTE(Клиенты_исходные!D304," ",""),"-",""),"+",""),"(",""),")",""),8,2),Клиенты_исходные!D304)))</f>
        <v xml:space="preserve">+7 (903) 789-01-23</v>
      </c>
      <c r="E304" t="str">
        <f>IF(ISBLANK(Клиенты_исходные!E304),"",IF(ISNUMBER(FIND(".",MID(Клиенты_исходные!E304,FIND("@",Клиенты_исходные!E304)+1,255))),Клиенты_исходные!E304,IF(ISNUMBER(FIND("gmail",Клиенты_исходные!E304)),Клиенты_исходные!E304&amp;".com",Клиенты_исходные!E304&amp;".ru")))</f>
        <v>kravchuk@gmail.com</v>
      </c>
      <c r="F304" t="str">
        <f>IFERROR(VLOOKUP(Клиенты_исходные!F304,Справочники!$J$2:$K$50,2,FALSE),Клиенты_исходные!F304)</f>
        <v>Курган</v>
      </c>
      <c r="G304" s="8">
        <f>IFERROR(IF(ISNUMBER(FIND(".",Клиенты_исходные!G304)),DATE(RIGHT(Клиенты_исходные!G304,4),MID(Клиенты_исходные!G304,4,2),LEFT(Клиенты_исходные!G304,2)),DATE(LEFT(Клиенты_исходные!G304,4),MID(Клиенты_исходные!G304,6,2),RIGHT(Клиенты_исходные!G304,2))),Клиенты_исходные!G304)</f>
        <v>47618</v>
      </c>
      <c r="H304">
        <f t="shared" ca="1" si="61"/>
        <v>36</v>
      </c>
      <c r="I304" t="str">
        <f t="shared" si="62"/>
        <v>OK</v>
      </c>
      <c r="J304" t="str">
        <f t="shared" si="63"/>
        <v>OK</v>
      </c>
    </row>
    <row r="305">
      <c r="A305" t="str">
        <f>Клиенты_исходные!A305</f>
        <v>C0304</v>
      </c>
      <c r="B305" t="str">
        <f>PROPER(TRIM(Клиенты_исходные!B305))</f>
        <v xml:space="preserve">Черкасова Наталья Игоревна</v>
      </c>
      <c r="C305" s="8">
        <f>IFERROR(IF(ISNUMBER(FIND(".",Клиенты_исходные!C305)),DATE(RIGHT(Клиенты_исходные!C305,4),MID(Клиенты_исходные!C305,4,2),LEFT(Клиенты_исходные!C305,2)),DATE(LEFT(Клиенты_исходные!C305,4),MID(Клиенты_исходные!C305,6,2),RIGHT(Клиенты_исходные!C305,2))),Клиенты_исходные!C305)</f>
        <v>28083</v>
      </c>
      <c r="D305" t="str">
        <f>IF(ISBLANK(Клиенты_исходные!D305),"",IF(LEN(SUBSTITUTE(SUBSTITUTE(SUBSTITUTE(SUBSTITUTE(SUBSTITUTE(Клиенты_исходные!D305," ",""),"-",""),"+",""),"(",""),")",""))=11,"+7 ("&amp;MID(IF(LEFT(SUBSTITUTE(SUBSTITUTE(SUBSTITUTE(SUBSTITUTE(SUBSTITUTE(Клиенты_исходные!D305," ",""),"-",""),"+",""),"(",""),")",""))="8","7"&amp;MID(SUBSTITUTE(SUBSTITUTE(SUBSTITUTE(SUBSTITUTE(SUBSTITUTE(Клиенты_исходные!D305," ",""),"-",""),"+",""),"(",""),")",""),2,10),SUBSTITUTE(SUBSTITUTE(SUBSTITUTE(SUBSTITUTE(SUBSTITUTE(Клиенты_исходные!D305," ",""),"-",""),"+",""),"(",""),")","")),2,3)&amp;") "&amp;MID(IF(LEFT(SUBSTITUTE(SUBSTITUTE(SUBSTITUTE(SUBSTITUTE(SUBSTITUTE(Клиенты_исходные!D305," ",""),"-",""),"+",""),"(",""),")",""))="8","7"&amp;MID(SUBSTITUTE(SUBSTITUTE(SUBSTITUTE(SUBSTITUTE(SUBSTITUTE(Клиенты_исходные!D305," ",""),"-",""),"+",""),"(",""),")",""),2,10),SUBSTITUTE(SUBSTITUTE(SUBSTITUTE(SUBSTITUTE(SUBSTITUTE(Клиенты_исходные!D305," ",""),"-",""),"+",""),"(",""),")","")),5,3)&amp;"-"&amp;MID(IF(LEFT(SUBSTITUTE(SUBSTITUTE(SUBSTITUTE(SUBSTITUTE(SUBSTITUTE(Клиенты_исходные!D305," ",""),"-",""),"+",""),"(",""),")",""))="8","7"&amp;MID(SUBSTITUTE(SUBSTITUTE(SUBSTITUTE(SUBSTITUTE(SUBSTITUTE(Клиенты_исходные!D305," ",""),"-",""),"+",""),"(",""),")",""),2,10),SUBSTITUTE(SUBSTITUTE(SUBSTITUTE(SUBSTITUTE(SUBSTITUTE(Клиенты_исходные!D305," ",""),"-",""),"+",""),"(",""),")","")),8,2)&amp;"-"&amp;MID(IF(LEFT(SUBSTITUTE(SUBSTITUTE(SUBSTITUTE(SUBSTITUTE(SUBSTITUTE(Клиенты_исходные!D305," ",""),"-",""),"+",""),"(",""),")",""))="8","7"&amp;MID(SUBSTITUTE(SUBSTITUTE(SUBSTITUTE(SUBSTITUTE(SUBSTITUTE(Клиенты_исходные!D305," ",""),"-",""),"+",""),"(",""),")",""),2,10),SUBSTITUTE(SUBSTITUTE(SUBSTITUTE(SUBSTITUTE(SUBSTITUTE(Клиенты_исходные!D305," ",""),"-",""),"+",""),"(",""),")","")),10,2),IF(LEN(SUBSTITUTE(SUBSTITUTE(SUBSTITUTE(SUBSTITUTE(SUBSTITUTE(Клиенты_исходные!D305," ",""),"-",""),"+",""),"(",""),")",""))=10,"+7 ("&amp;MID(SUBSTITUTE(SUBSTITUTE(SUBSTITUTE(SUBSTITUTE(SUBSTITUTE(Клиенты_исходные!D305," ",""),"-",""),"+",""),"(",""),")",""),1,3)&amp;") "&amp;MID(SUBSTITUTE(SUBSTITUTE(SUBSTITUTE(SUBSTITUTE(SUBSTITUTE(Клиенты_исходные!D305," ",""),"-",""),"+",""),"(",""),")",""),4,3)&amp;"-"&amp;MID(SUBSTITUTE(SUBSTITUTE(SUBSTITUTE(SUBSTITUTE(SUBSTITUTE(Клиенты_исходные!D305," ",""),"-",""),"+",""),"(",""),")",""),6,2)&amp;"-"&amp;MID(SUBSTITUTE(SUBSTITUTE(SUBSTITUTE(SUBSTITUTE(SUBSTITUTE(Клиенты_исходные!D305," ",""),"-",""),"+",""),"(",""),")",""),8,2),Клиенты_исходные!D305)))</f>
        <v xml:space="preserve">+7 (903) 789-01-23</v>
      </c>
      <c r="E305" t="str">
        <f>IF(ISBLANK(Клиенты_исходные!E305),"",IF(ISNUMBER(FIND(".",MID(Клиенты_исходные!E305,FIND("@",Клиенты_исходные!E305)+1,255))),Клиенты_исходные!E305,IF(ISNUMBER(FIND("gmail",Клиенты_исходные!E305)),Клиенты_исходные!E305&amp;".com",Клиенты_исходные!E305&amp;".ru")))</f>
        <v>cherkasova@mail.ru</v>
      </c>
      <c r="F305" t="str">
        <f>IFERROR(VLOOKUP(Клиенты_исходные!F305,Справочники!$J$2:$K$50,2,FALSE),Клиенты_исходные!F305)</f>
        <v>Архангельск</v>
      </c>
      <c r="G305" s="8">
        <f>IFERROR(IF(ISNUMBER(FIND(".",Клиенты_исходные!G305)),DATE(RIGHT(Клиенты_исходные!G305,4),MID(Клиенты_исходные!G305,4,2),LEFT(Клиенты_исходные!G305,2)),DATE(LEFT(Клиенты_исходные!G305,4),MID(Клиенты_исходные!G305,6,2),RIGHT(Клиенты_исходные!G305,2))),Клиенты_исходные!G305)</f>
        <v>47635</v>
      </c>
      <c r="H305">
        <f t="shared" ca="1" si="61"/>
        <v>49</v>
      </c>
      <c r="I305" t="str">
        <f t="shared" si="62"/>
        <v>OK</v>
      </c>
      <c r="J305" t="str">
        <f t="shared" si="63"/>
        <v>OK</v>
      </c>
    </row>
    <row r="306">
      <c r="A306" t="str">
        <f>Клиенты_исходные!A306</f>
        <v>C0305</v>
      </c>
      <c r="B306" t="str">
        <f>PROPER(TRIM(Клиенты_исходные!B306))</f>
        <v xml:space="preserve">Шаповалов Андрей Николаевич</v>
      </c>
      <c r="C306" s="8">
        <f>IFERROR(IF(ISNUMBER(FIND(".",Клиенты_исходные!C306)),DATE(RIGHT(Клиенты_исходные!C306,4),MID(Клиенты_исходные!C306,4,2),LEFT(Клиенты_исходные!C306,2)),DATE(LEFT(Клиенты_исходные!C306,4),MID(Клиенты_исходные!C306,6,2),RIGHT(Клиенты_исходные!C306,2))),Клиенты_исходные!C306)</f>
        <v>31306</v>
      </c>
      <c r="D306" t="str">
        <f>IF(ISBLANK(Клиенты_исходные!D306),"",IF(LEN(SUBSTITUTE(SUBSTITUTE(SUBSTITUTE(SUBSTITUTE(SUBSTITUTE(Клиенты_исходные!D306," ",""),"-",""),"+",""),"(",""),")",""))=11,"+7 ("&amp;MID(IF(LEFT(SUBSTITUTE(SUBSTITUTE(SUBSTITUTE(SUBSTITUTE(SUBSTITUTE(Клиенты_исходные!D306," ",""),"-",""),"+",""),"(",""),")",""))="8","7"&amp;MID(SUBSTITUTE(SUBSTITUTE(SUBSTITUTE(SUBSTITUTE(SUBSTITUTE(Клиенты_исходные!D306," ",""),"-",""),"+",""),"(",""),")",""),2,10),SUBSTITUTE(SUBSTITUTE(SUBSTITUTE(SUBSTITUTE(SUBSTITUTE(Клиенты_исходные!D306," ",""),"-",""),"+",""),"(",""),")","")),2,3)&amp;") "&amp;MID(IF(LEFT(SUBSTITUTE(SUBSTITUTE(SUBSTITUTE(SUBSTITUTE(SUBSTITUTE(Клиенты_исходные!D306," ",""),"-",""),"+",""),"(",""),")",""))="8","7"&amp;MID(SUBSTITUTE(SUBSTITUTE(SUBSTITUTE(SUBSTITUTE(SUBSTITUTE(Клиенты_исходные!D306," ",""),"-",""),"+",""),"(",""),")",""),2,10),SUBSTITUTE(SUBSTITUTE(SUBSTITUTE(SUBSTITUTE(SUBSTITUTE(Клиенты_исходные!D306," ",""),"-",""),"+",""),"(",""),")","")),5,3)&amp;"-"&amp;MID(IF(LEFT(SUBSTITUTE(SUBSTITUTE(SUBSTITUTE(SUBSTITUTE(SUBSTITUTE(Клиенты_исходные!D306," ",""),"-",""),"+",""),"(",""),")",""))="8","7"&amp;MID(SUBSTITUTE(SUBSTITUTE(SUBSTITUTE(SUBSTITUTE(SUBSTITUTE(Клиенты_исходные!D306," ",""),"-",""),"+",""),"(",""),")",""),2,10),SUBSTITUTE(SUBSTITUTE(SUBSTITUTE(SUBSTITUTE(SUBSTITUTE(Клиенты_исходные!D306," ",""),"-",""),"+",""),"(",""),")","")),8,2)&amp;"-"&amp;MID(IF(LEFT(SUBSTITUTE(SUBSTITUTE(SUBSTITUTE(SUBSTITUTE(SUBSTITUTE(Клиенты_исходные!D306," ",""),"-",""),"+",""),"(",""),")",""))="8","7"&amp;MID(SUBSTITUTE(SUBSTITUTE(SUBSTITUTE(SUBSTITUTE(SUBSTITUTE(Клиенты_исходные!D306," ",""),"-",""),"+",""),"(",""),")",""),2,10),SUBSTITUTE(SUBSTITUTE(SUBSTITUTE(SUBSTITUTE(SUBSTITUTE(Клиенты_исходные!D306," ",""),"-",""),"+",""),"(",""),")","")),10,2),IF(LEN(SUBSTITUTE(SUBSTITUTE(SUBSTITUTE(SUBSTITUTE(SUBSTITUTE(Клиенты_исходные!D306," ",""),"-",""),"+",""),"(",""),")",""))=10,"+7 ("&amp;MID(SUBSTITUTE(SUBSTITUTE(SUBSTITUTE(SUBSTITUTE(SUBSTITUTE(Клиенты_исходные!D306," ",""),"-",""),"+",""),"(",""),")",""),1,3)&amp;") "&amp;MID(SUBSTITUTE(SUBSTITUTE(SUBSTITUTE(SUBSTITUTE(SUBSTITUTE(Клиенты_исходные!D306," ",""),"-",""),"+",""),"(",""),")",""),4,3)&amp;"-"&amp;MID(SUBSTITUTE(SUBSTITUTE(SUBSTITUTE(SUBSTITUTE(SUBSTITUTE(Клиенты_исходные!D306," ",""),"-",""),"+",""),"(",""),")",""),6,2)&amp;"-"&amp;MID(SUBSTITUTE(SUBSTITUTE(SUBSTITUTE(SUBSTITUTE(SUBSTITUTE(Клиенты_исходные!D306," ",""),"-",""),"+",""),"(",""),")",""),8,2),Клиенты_исходные!D306)))</f>
        <v xml:space="preserve">+7 (903) 789-01-23</v>
      </c>
      <c r="E306" t="str">
        <f>IF(ISBLANK(Клиенты_исходные!E306),"",IF(ISNUMBER(FIND(".",MID(Клиенты_исходные!E306,FIND("@",Клиенты_исходные!E306)+1,255))),Клиенты_исходные!E306,IF(ISNUMBER(FIND("gmail",Клиенты_исходные!E306)),Клиенты_исходные!E306&amp;".com",Клиенты_исходные!E306&amp;".ru")))</f>
        <v>shapovalov@yandex.ru</v>
      </c>
      <c r="F306" t="str">
        <f>IFERROR(VLOOKUP(Клиенты_исходные!F306,Справочники!$J$2:$K$50,2,FALSE),Клиенты_исходные!F306)</f>
        <v>Благовещенск</v>
      </c>
      <c r="G306" s="8">
        <f>IFERROR(IF(ISNUMBER(FIND(".",Клиенты_исходные!G306)),DATE(RIGHT(Клиенты_исходные!G306,4),MID(Клиенты_исходные!G306,4,2),LEFT(Клиенты_исходные!G306,2)),DATE(LEFT(Клиенты_исходные!G306,4),MID(Клиенты_исходные!G306,6,2),RIGHT(Клиенты_исходные!G306,2))),Клиенты_исходные!G306)</f>
        <v>47644</v>
      </c>
      <c r="H306">
        <f t="shared" ca="1" si="61"/>
        <v>41</v>
      </c>
      <c r="I306" t="str">
        <f t="shared" si="62"/>
        <v>OK</v>
      </c>
      <c r="J306" t="str">
        <f t="shared" si="63"/>
        <v>OK</v>
      </c>
    </row>
    <row r="307">
      <c r="A307" t="str">
        <f>Клиенты_исходные!A307</f>
        <v>C0306</v>
      </c>
      <c r="B307" t="str">
        <f>PROPER(TRIM(Клиенты_исходные!B307))</f>
        <v xml:space="preserve">Козырева Елена Станиславовна</v>
      </c>
      <c r="C307" s="8">
        <f>IFERROR(IF(ISNUMBER(FIND(".",Клиенты_исходные!C307)),DATE(RIGHT(Клиенты_исходные!C307,4),MID(Клиенты_исходные!C307,4,2),LEFT(Клиенты_исходные!C307,2)),DATE(LEFT(Клиенты_исходные!C307,4),MID(Клиенты_исходные!C307,6,2),RIGHT(Клиенты_исходные!C307,2))),Клиенты_исходные!C307)</f>
        <v>29737</v>
      </c>
      <c r="D307" t="str">
        <f>IF(ISBLANK(Клиенты_исходные!D307),"",IF(LEN(SUBSTITUTE(SUBSTITUTE(SUBSTITUTE(SUBSTITUTE(SUBSTITUTE(Клиенты_исходные!D307," ",""),"-",""),"+",""),"(",""),")",""))=11,"+7 ("&amp;MID(IF(LEFT(SUBSTITUTE(SUBSTITUTE(SUBSTITUTE(SUBSTITUTE(SUBSTITUTE(Клиенты_исходные!D307," ",""),"-",""),"+",""),"(",""),")",""))="8","7"&amp;MID(SUBSTITUTE(SUBSTITUTE(SUBSTITUTE(SUBSTITUTE(SUBSTITUTE(Клиенты_исходные!D307," ",""),"-",""),"+",""),"(",""),")",""),2,10),SUBSTITUTE(SUBSTITUTE(SUBSTITUTE(SUBSTITUTE(SUBSTITUTE(Клиенты_исходные!D307," ",""),"-",""),"+",""),"(",""),")","")),2,3)&amp;") "&amp;MID(IF(LEFT(SUBSTITUTE(SUBSTITUTE(SUBSTITUTE(SUBSTITUTE(SUBSTITUTE(Клиенты_исходные!D307," ",""),"-",""),"+",""),"(",""),")",""))="8","7"&amp;MID(SUBSTITUTE(SUBSTITUTE(SUBSTITUTE(SUBSTITUTE(SUBSTITUTE(Клиенты_исходные!D307," ",""),"-",""),"+",""),"(",""),")",""),2,10),SUBSTITUTE(SUBSTITUTE(SUBSTITUTE(SUBSTITUTE(SUBSTITUTE(Клиенты_исходные!D307," ",""),"-",""),"+",""),"(",""),")","")),5,3)&amp;"-"&amp;MID(IF(LEFT(SUBSTITUTE(SUBSTITUTE(SUBSTITUTE(SUBSTITUTE(SUBSTITUTE(Клиенты_исходные!D307," ",""),"-",""),"+",""),"(",""),")",""))="8","7"&amp;MID(SUBSTITUTE(SUBSTITUTE(SUBSTITUTE(SUBSTITUTE(SUBSTITUTE(Клиенты_исходные!D307," ",""),"-",""),"+",""),"(",""),")",""),2,10),SUBSTITUTE(SUBSTITUTE(SUBSTITUTE(SUBSTITUTE(SUBSTITUTE(Клиенты_исходные!D307," ",""),"-",""),"+",""),"(",""),")","")),8,2)&amp;"-"&amp;MID(IF(LEFT(SUBSTITUTE(SUBSTITUTE(SUBSTITUTE(SUBSTITUTE(SUBSTITUTE(Клиенты_исходные!D307," ",""),"-",""),"+",""),"(",""),")",""))="8","7"&amp;MID(SUBSTITUTE(SUBSTITUTE(SUBSTITUTE(SUBSTITUTE(SUBSTITUTE(Клиенты_исходные!D307," ",""),"-",""),"+",""),"(",""),")",""),2,10),SUBSTITUTE(SUBSTITUTE(SUBSTITUTE(SUBSTITUTE(SUBSTITUTE(Клиенты_исходные!D307," ",""),"-",""),"+",""),"(",""),")","")),10,2),IF(LEN(SUBSTITUTE(SUBSTITUTE(SUBSTITUTE(SUBSTITUTE(SUBSTITUTE(Клиенты_исходные!D307," ",""),"-",""),"+",""),"(",""),")",""))=10,"+7 ("&amp;MID(SUBSTITUTE(SUBSTITUTE(SUBSTITUTE(SUBSTITUTE(SUBSTITUTE(Клиенты_исходные!D307," ",""),"-",""),"+",""),"(",""),")",""),1,3)&amp;") "&amp;MID(SUBSTITUTE(SUBSTITUTE(SUBSTITUTE(SUBSTITUTE(SUBSTITUTE(Клиенты_исходные!D307," ",""),"-",""),"+",""),"(",""),")",""),4,3)&amp;"-"&amp;MID(SUBSTITUTE(SUBSTITUTE(SUBSTITUTE(SUBSTITUTE(SUBSTITUTE(Клиенты_исходные!D307," ",""),"-",""),"+",""),"(",""),")",""),6,2)&amp;"-"&amp;MID(SUBSTITUTE(SUBSTITUTE(SUBSTITUTE(SUBSTITUTE(SUBSTITUTE(Клиенты_исходные!D307," ",""),"-",""),"+",""),"(",""),")",""),8,2),Клиенты_исходные!D307)))</f>
        <v xml:space="preserve">+7 (903) 890-12-34</v>
      </c>
      <c r="E307" t="str">
        <f>IF(ISBLANK(Клиенты_исходные!E307),"",IF(ISNUMBER(FIND(".",MID(Клиенты_исходные!E307,FIND("@",Клиенты_исходные!E307)+1,255))),Клиенты_исходные!E307,IF(ISNUMBER(FIND("gmail",Клиенты_исходные!E307)),Клиенты_исходные!E307&amp;".com",Клиенты_исходные!E307&amp;".ru")))</f>
        <v>kozyreva@gmail.com</v>
      </c>
      <c r="F307" t="str">
        <f>IFERROR(VLOOKUP(Клиенты_исходные!F307,Справочники!$J$2:$K$50,2,FALSE),Клиенты_исходные!F307)</f>
        <v>Майкоп</v>
      </c>
      <c r="G307" s="8">
        <f>IFERROR(IF(ISNUMBER(FIND(".",Клиенты_исходные!G307)),DATE(RIGHT(Клиенты_исходные!G307,4),MID(Клиенты_исходные!G307,4,2),LEFT(Клиенты_исходные!G307,2)),DATE(LEFT(Клиенты_исходные!G307,4),MID(Клиенты_исходные!G307,6,2),RIGHT(Клиенты_исходные!G307,2))),Клиенты_исходные!G307)</f>
        <v>47644</v>
      </c>
      <c r="H307">
        <f t="shared" ca="1" si="61"/>
        <v>45</v>
      </c>
      <c r="I307" t="str">
        <f t="shared" si="62"/>
        <v>OK</v>
      </c>
      <c r="J307" t="str">
        <f t="shared" si="63"/>
        <v>OK</v>
      </c>
    </row>
    <row r="308">
      <c r="A308" t="str">
        <f>Клиенты_исходные!A308</f>
        <v>C0307</v>
      </c>
      <c r="B308" t="str">
        <f>PROPER(TRIM(Клиенты_исходные!B308))</f>
        <v xml:space="preserve">Сысоев Игорь Викторович</v>
      </c>
      <c r="C308" s="8">
        <f>IFERROR(IF(ISNUMBER(FIND(".",Клиенты_исходные!C308)),DATE(RIGHT(Клиенты_исходные!C308,4),MID(Клиенты_исходные!C308,4,2),LEFT(Клиенты_исходные!C308,2)),DATE(LEFT(Клиенты_исходные!C308,4),MID(Клиенты_исходные!C308,6,2),RIGHT(Клиенты_исходные!C308,2))),Клиенты_исходные!C308)</f>
        <v>27010</v>
      </c>
      <c r="D308" t="str">
        <f>IF(ISBLANK(Клиенты_исходные!D308),"",IF(LEN(SUBSTITUTE(SUBSTITUTE(SUBSTITUTE(SUBSTITUTE(SUBSTITUTE(Клиенты_исходные!D308," ",""),"-",""),"+",""),"(",""),")",""))=11,"+7 ("&amp;MID(IF(LEFT(SUBSTITUTE(SUBSTITUTE(SUBSTITUTE(SUBSTITUTE(SUBSTITUTE(Клиенты_исходные!D308," ",""),"-",""),"+",""),"(",""),")",""))="8","7"&amp;MID(SUBSTITUTE(SUBSTITUTE(SUBSTITUTE(SUBSTITUTE(SUBSTITUTE(Клиенты_исходные!D308," ",""),"-",""),"+",""),"(",""),")",""),2,10),SUBSTITUTE(SUBSTITUTE(SUBSTITUTE(SUBSTITUTE(SUBSTITUTE(Клиенты_исходные!D308," ",""),"-",""),"+",""),"(",""),")","")),2,3)&amp;") "&amp;MID(IF(LEFT(SUBSTITUTE(SUBSTITUTE(SUBSTITUTE(SUBSTITUTE(SUBSTITUTE(Клиенты_исходные!D308," ",""),"-",""),"+",""),"(",""),")",""))="8","7"&amp;MID(SUBSTITUTE(SUBSTITUTE(SUBSTITUTE(SUBSTITUTE(SUBSTITUTE(Клиенты_исходные!D308," ",""),"-",""),"+",""),"(",""),")",""),2,10),SUBSTITUTE(SUBSTITUTE(SUBSTITUTE(SUBSTITUTE(SUBSTITUTE(Клиенты_исходные!D308," ",""),"-",""),"+",""),"(",""),")","")),5,3)&amp;"-"&amp;MID(IF(LEFT(SUBSTITUTE(SUBSTITUTE(SUBSTITUTE(SUBSTITUTE(SUBSTITUTE(Клиенты_исходные!D308," ",""),"-",""),"+",""),"(",""),")",""))="8","7"&amp;MID(SUBSTITUTE(SUBSTITUTE(SUBSTITUTE(SUBSTITUTE(SUBSTITUTE(Клиенты_исходные!D308," ",""),"-",""),"+",""),"(",""),")",""),2,10),SUBSTITUTE(SUBSTITUTE(SUBSTITUTE(SUBSTITUTE(SUBSTITUTE(Клиенты_исходные!D308," ",""),"-",""),"+",""),"(",""),")","")),8,2)&amp;"-"&amp;MID(IF(LEFT(SUBSTITUTE(SUBSTITUTE(SUBSTITUTE(SUBSTITUTE(SUBSTITUTE(Клиенты_исходные!D308," ",""),"-",""),"+",""),"(",""),")",""))="8","7"&amp;MID(SUBSTITUTE(SUBSTITUTE(SUBSTITUTE(SUBSTITUTE(SUBSTITUTE(Клиенты_исходные!D308," ",""),"-",""),"+",""),"(",""),")",""),2,10),SUBSTITUTE(SUBSTITUTE(SUBSTITUTE(SUBSTITUTE(SUBSTITUTE(Клиенты_исходные!D308," ",""),"-",""),"+",""),"(",""),")","")),10,2),IF(LEN(SUBSTITUTE(SUBSTITUTE(SUBSTITUTE(SUBSTITUTE(SUBSTITUTE(Клиенты_исходные!D308," ",""),"-",""),"+",""),"(",""),")",""))=10,"+7 ("&amp;MID(SUBSTITUTE(SUBSTITUTE(SUBSTITUTE(SUBSTITUTE(SUBSTITUTE(Клиенты_исходные!D308," ",""),"-",""),"+",""),"(",""),")",""),1,3)&amp;") "&amp;MID(SUBSTITUTE(SUBSTITUTE(SUBSTITUTE(SUBSTITUTE(SUBSTITUTE(Клиенты_исходные!D308," ",""),"-",""),"+",""),"(",""),")",""),4,3)&amp;"-"&amp;MID(SUBSTITUTE(SUBSTITUTE(SUBSTITUTE(SUBSTITUTE(SUBSTITUTE(Клиенты_исходные!D308," ",""),"-",""),"+",""),"(",""),")",""),6,2)&amp;"-"&amp;MID(SUBSTITUTE(SUBSTITUTE(SUBSTITUTE(SUBSTITUTE(SUBSTITUTE(Клиенты_исходные!D308," ",""),"-",""),"+",""),"(",""),")",""),8,2),Клиенты_исходные!D308)))</f>
        <v xml:space="preserve">+7 (903) 890-12-34</v>
      </c>
      <c r="E308" t="str">
        <f>IF(ISBLANK(Клиенты_исходные!E308),"",IF(ISNUMBER(FIND(".",MID(Клиенты_исходные!E308,FIND("@",Клиенты_исходные!E308)+1,255))),Клиенты_исходные!E308,IF(ISNUMBER(FIND("gmail",Клиенты_исходные!E308)),Клиенты_исходные!E308&amp;".com",Клиенты_исходные!E308&amp;".ru")))</f>
        <v>sysoev@mail.ru</v>
      </c>
      <c r="F308" t="str">
        <f>IFERROR(VLOOKUP(Клиенты_исходные!F308,Справочники!$J$2:$K$50,2,FALSE),Клиенты_исходные!F308)</f>
        <v>Уссурийск</v>
      </c>
      <c r="G308" s="8">
        <f>IFERROR(IF(ISNUMBER(FIND(".",Клиенты_исходные!G308)),DATE(RIGHT(Клиенты_исходные!G308,4),MID(Клиенты_исходные!G308,4,2),LEFT(Клиенты_исходные!G308,2)),DATE(LEFT(Клиенты_исходные!G308,4),MID(Клиенты_исходные!G308,6,2),RIGHT(Клиенты_исходные!G308,2))),Клиенты_исходные!G308)</f>
        <v>47665</v>
      </c>
      <c r="H308">
        <f t="shared" ca="1" si="61"/>
        <v>52</v>
      </c>
      <c r="I308" t="str">
        <f t="shared" si="62"/>
        <v>OK</v>
      </c>
      <c r="J308" t="str">
        <f t="shared" si="63"/>
        <v>OK</v>
      </c>
    </row>
    <row r="309">
      <c r="A309" t="str">
        <f>Клиенты_исходные!A309</f>
        <v>C0308</v>
      </c>
      <c r="B309" t="str">
        <f>PROPER(TRIM(Клиенты_исходные!B309))</f>
        <v xml:space="preserve">Орешкин Олег Сергеевич</v>
      </c>
      <c r="C309" s="8">
        <f>IFERROR(IF(ISNUMBER(FIND(".",Клиенты_исходные!C309)),DATE(RIGHT(Клиенты_исходные!C309,4),MID(Клиенты_исходные!C309,4,2),LEFT(Клиенты_исходные!C309,2)),DATE(LEFT(Клиенты_исходные!C309,4),MID(Клиенты_исходные!C309,6,2),RIGHT(Клиенты_исходные!C309,2))),Клиенты_исходные!C309)</f>
        <v>32209</v>
      </c>
      <c r="D309" t="str">
        <f>IF(ISBLANK(Клиенты_исходные!D309),"",IF(LEN(SUBSTITUTE(SUBSTITUTE(SUBSTITUTE(SUBSTITUTE(SUBSTITUTE(Клиенты_исходные!D309," ",""),"-",""),"+",""),"(",""),")",""))=11,"+7 ("&amp;MID(IF(LEFT(SUBSTITUTE(SUBSTITUTE(SUBSTITUTE(SUBSTITUTE(SUBSTITUTE(Клиенты_исходные!D309," ",""),"-",""),"+",""),"(",""),")",""))="8","7"&amp;MID(SUBSTITUTE(SUBSTITUTE(SUBSTITUTE(SUBSTITUTE(SUBSTITUTE(Клиенты_исходные!D309," ",""),"-",""),"+",""),"(",""),")",""),2,10),SUBSTITUTE(SUBSTITUTE(SUBSTITUTE(SUBSTITUTE(SUBSTITUTE(Клиенты_исходные!D309," ",""),"-",""),"+",""),"(",""),")","")),2,3)&amp;") "&amp;MID(IF(LEFT(SUBSTITUTE(SUBSTITUTE(SUBSTITUTE(SUBSTITUTE(SUBSTITUTE(Клиенты_исходные!D309," ",""),"-",""),"+",""),"(",""),")",""))="8","7"&amp;MID(SUBSTITUTE(SUBSTITUTE(SUBSTITUTE(SUBSTITUTE(SUBSTITUTE(Клиенты_исходные!D309," ",""),"-",""),"+",""),"(",""),")",""),2,10),SUBSTITUTE(SUBSTITUTE(SUBSTITUTE(SUBSTITUTE(SUBSTITUTE(Клиенты_исходные!D309," ",""),"-",""),"+",""),"(",""),")","")),5,3)&amp;"-"&amp;MID(IF(LEFT(SUBSTITUTE(SUBSTITUTE(SUBSTITUTE(SUBSTITUTE(SUBSTITUTE(Клиенты_исходные!D309," ",""),"-",""),"+",""),"(",""),")",""))="8","7"&amp;MID(SUBSTITUTE(SUBSTITUTE(SUBSTITUTE(SUBSTITUTE(SUBSTITUTE(Клиенты_исходные!D309," ",""),"-",""),"+",""),"(",""),")",""),2,10),SUBSTITUTE(SUBSTITUTE(SUBSTITUTE(SUBSTITUTE(SUBSTITUTE(Клиенты_исходные!D309," ",""),"-",""),"+",""),"(",""),")","")),8,2)&amp;"-"&amp;MID(IF(LEFT(SUBSTITUTE(SUBSTITUTE(SUBSTITUTE(SUBSTITUTE(SUBSTITUTE(Клиенты_исходные!D309," ",""),"-",""),"+",""),"(",""),")",""))="8","7"&amp;MID(SUBSTITUTE(SUBSTITUTE(SUBSTITUTE(SUBSTITUTE(SUBSTITUTE(Клиенты_исходные!D309," ",""),"-",""),"+",""),"(",""),")",""),2,10),SUBSTITUTE(SUBSTITUTE(SUBSTITUTE(SUBSTITUTE(SUBSTITUTE(Клиенты_исходные!D309," ",""),"-",""),"+",""),"(",""),")","")),10,2),IF(LEN(SUBSTITUTE(SUBSTITUTE(SUBSTITUTE(SUBSTITUTE(SUBSTITUTE(Клиенты_исходные!D309," ",""),"-",""),"+",""),"(",""),")",""))=10,"+7 ("&amp;MID(SUBSTITUTE(SUBSTITUTE(SUBSTITUTE(SUBSTITUTE(SUBSTITUTE(Клиенты_исходные!D309," ",""),"-",""),"+",""),"(",""),")",""),1,3)&amp;") "&amp;MID(SUBSTITUTE(SUBSTITUTE(SUBSTITUTE(SUBSTITUTE(SUBSTITUTE(Клиенты_исходные!D309," ",""),"-",""),"+",""),"(",""),")",""),4,3)&amp;"-"&amp;MID(SUBSTITUTE(SUBSTITUTE(SUBSTITUTE(SUBSTITUTE(SUBSTITUTE(Клиенты_исходные!D309," ",""),"-",""),"+",""),"(",""),")",""),6,2)&amp;"-"&amp;MID(SUBSTITUTE(SUBSTITUTE(SUBSTITUTE(SUBSTITUTE(SUBSTITUTE(Клиенты_исходные!D309," ",""),"-",""),"+",""),"(",""),")",""),8,2),Клиенты_исходные!D309)))</f>
        <v xml:space="preserve">+7 (903) 890-12-34</v>
      </c>
      <c r="E309" t="str">
        <f>IF(ISBLANK(Клиенты_исходные!E309),"",IF(ISNUMBER(FIND(".",MID(Клиенты_исходные!E309,FIND("@",Клиенты_исходные!E309)+1,255))),Клиенты_исходные!E309,IF(ISNUMBER(FIND("gmail",Клиенты_исходные!E309)),Клиенты_исходные!E309&amp;".com",Клиенты_исходные!E309&amp;".ru")))</f>
        <v>oreshkin@yandex.ru</v>
      </c>
      <c r="F309" t="str">
        <f>IFERROR(VLOOKUP(Клиенты_исходные!F309,Справочники!$J$2:$K$50,2,FALSE),Клиенты_исходные!F309)</f>
        <v>Миасс</v>
      </c>
      <c r="G309" s="8">
        <f>IFERROR(IF(ISNUMBER(FIND(".",Клиенты_исходные!G309)),DATE(RIGHT(Клиенты_исходные!G309,4),MID(Клиенты_исходные!G309,4,2),LEFT(Клиенты_исходные!G309,2)),DATE(LEFT(Клиенты_исходные!G309,4),MID(Клиенты_исходные!G309,6,2),RIGHT(Клиенты_исходные!G309,2))),Клиенты_исходные!G309)</f>
        <v>47679</v>
      </c>
      <c r="H309">
        <f t="shared" ca="1" si="61"/>
        <v>38</v>
      </c>
      <c r="I309" t="str">
        <f t="shared" si="62"/>
        <v>OK</v>
      </c>
      <c r="J309" t="str">
        <f t="shared" si="63"/>
        <v>OK</v>
      </c>
    </row>
    <row r="310">
      <c r="A310" t="str">
        <f>Клиенты_исходные!A310</f>
        <v>C0309</v>
      </c>
      <c r="B310" t="str">
        <f>PROPER(TRIM(Клиенты_исходные!B310))</f>
        <v xml:space="preserve">Котлярова Ольга Валерьевна</v>
      </c>
      <c r="C310" s="8">
        <f>IFERROR(IF(ISNUMBER(FIND(".",Клиенты_исходные!C310)),DATE(RIGHT(Клиенты_исходные!C310,4),MID(Клиенты_исходные!C310,4,2),LEFT(Клиенты_исходные!C310,2)),DATE(LEFT(Клиенты_исходные!C310,4),MID(Клиенты_исходные!C310,6,2),RIGHT(Клиенты_исходные!C310,2))),Клиенты_исходные!C310)</f>
        <v>33840</v>
      </c>
      <c r="D310" t="str">
        <f>IF(ISBLANK(Клиенты_исходные!D310),"",IF(LEN(SUBSTITUTE(SUBSTITUTE(SUBSTITUTE(SUBSTITUTE(SUBSTITUTE(Клиенты_исходные!D310," ",""),"-",""),"+",""),"(",""),")",""))=11,"+7 ("&amp;MID(IF(LEFT(SUBSTITUTE(SUBSTITUTE(SUBSTITUTE(SUBSTITUTE(SUBSTITUTE(Клиенты_исходные!D310," ",""),"-",""),"+",""),"(",""),")",""))="8","7"&amp;MID(SUBSTITUTE(SUBSTITUTE(SUBSTITUTE(SUBSTITUTE(SUBSTITUTE(Клиенты_исходные!D310," ",""),"-",""),"+",""),"(",""),")",""),2,10),SUBSTITUTE(SUBSTITUTE(SUBSTITUTE(SUBSTITUTE(SUBSTITUTE(Клиенты_исходные!D310," ",""),"-",""),"+",""),"(",""),")","")),2,3)&amp;") "&amp;MID(IF(LEFT(SUBSTITUTE(SUBSTITUTE(SUBSTITUTE(SUBSTITUTE(SUBSTITUTE(Клиенты_исходные!D310," ",""),"-",""),"+",""),"(",""),")",""))="8","7"&amp;MID(SUBSTITUTE(SUBSTITUTE(SUBSTITUTE(SUBSTITUTE(SUBSTITUTE(Клиенты_исходные!D310," ",""),"-",""),"+",""),"(",""),")",""),2,10),SUBSTITUTE(SUBSTITUTE(SUBSTITUTE(SUBSTITUTE(SUBSTITUTE(Клиенты_исходные!D310," ",""),"-",""),"+",""),"(",""),")","")),5,3)&amp;"-"&amp;MID(IF(LEFT(SUBSTITUTE(SUBSTITUTE(SUBSTITUTE(SUBSTITUTE(SUBSTITUTE(Клиенты_исходные!D310," ",""),"-",""),"+",""),"(",""),")",""))="8","7"&amp;MID(SUBSTITUTE(SUBSTITUTE(SUBSTITUTE(SUBSTITUTE(SUBSTITUTE(Клиенты_исходные!D310," ",""),"-",""),"+",""),"(",""),")",""),2,10),SUBSTITUTE(SUBSTITUTE(SUBSTITUTE(SUBSTITUTE(SUBSTITUTE(Клиенты_исходные!D310," ",""),"-",""),"+",""),"(",""),")","")),8,2)&amp;"-"&amp;MID(IF(LEFT(SUBSTITUTE(SUBSTITUTE(SUBSTITUTE(SUBSTITUTE(SUBSTITUTE(Клиенты_исходные!D310," ",""),"-",""),"+",""),"(",""),")",""))="8","7"&amp;MID(SUBSTITUTE(SUBSTITUTE(SUBSTITUTE(SUBSTITUTE(SUBSTITUTE(Клиенты_исходные!D310," ",""),"-",""),"+",""),"(",""),")",""),2,10),SUBSTITUTE(SUBSTITUTE(SUBSTITUTE(SUBSTITUTE(SUBSTITUTE(Клиенты_исходные!D310," ",""),"-",""),"+",""),"(",""),")","")),10,2),IF(LEN(SUBSTITUTE(SUBSTITUTE(SUBSTITUTE(SUBSTITUTE(SUBSTITUTE(Клиенты_исходные!D310," ",""),"-",""),"+",""),"(",""),")",""))=10,"+7 ("&amp;MID(SUBSTITUTE(SUBSTITUTE(SUBSTITUTE(SUBSTITUTE(SUBSTITUTE(Клиенты_исходные!D310," ",""),"-",""),"+",""),"(",""),")",""),1,3)&amp;") "&amp;MID(SUBSTITUTE(SUBSTITUTE(SUBSTITUTE(SUBSTITUTE(SUBSTITUTE(Клиенты_исходные!D310," ",""),"-",""),"+",""),"(",""),")",""),4,3)&amp;"-"&amp;MID(SUBSTITUTE(SUBSTITUTE(SUBSTITUTE(SUBSTITUTE(SUBSTITUTE(Клиенты_исходные!D310," ",""),"-",""),"+",""),"(",""),")",""),6,2)&amp;"-"&amp;MID(SUBSTITUTE(SUBSTITUTE(SUBSTITUTE(SUBSTITUTE(SUBSTITUTE(Клиенты_исходные!D310," ",""),"-",""),"+",""),"(",""),")",""),8,2),Клиенты_исходные!D310)))</f>
        <v xml:space="preserve">+7 (903) 901-23-45</v>
      </c>
      <c r="E310" t="str">
        <f>IF(ISBLANK(Клиенты_исходные!E310),"",IF(ISNUMBER(FIND(".",MID(Клиенты_исходные!E310,FIND("@",Клиенты_исходные!E310)+1,255))),Клиенты_исходные!E310,IF(ISNUMBER(FIND("gmail",Клиенты_исходные!E310)),Клиенты_исходные!E310&amp;".com",Клиенты_исходные!E310&amp;".ru")))</f>
        <v>kotlyarova@gmail.com</v>
      </c>
      <c r="F310" t="str">
        <f>IFERROR(VLOOKUP(Клиенты_исходные!F310,Справочники!$J$2:$K$50,2,FALSE),Клиенты_исходные!F310)</f>
        <v>Кызыл</v>
      </c>
      <c r="G310" s="8">
        <f>IFERROR(IF(ISNUMBER(FIND(".",Клиенты_исходные!G310)),DATE(RIGHT(Клиенты_исходные!G310,4),MID(Клиенты_исходные!G310,4,2),LEFT(Клиенты_исходные!G310,2)),DATE(LEFT(Клиенты_исходные!G310,4),MID(Клиенты_исходные!G310,6,2),RIGHT(Клиенты_исходные!G310,2))),Клиенты_исходные!G310)</f>
        <v>47679</v>
      </c>
      <c r="H310">
        <f t="shared" ca="1" si="61"/>
        <v>34</v>
      </c>
      <c r="I310" t="str">
        <f t="shared" si="62"/>
        <v>OK</v>
      </c>
      <c r="J310" t="str">
        <f t="shared" si="63"/>
        <v>OK</v>
      </c>
    </row>
    <row r="311">
      <c r="A311" t="str">
        <f>Клиенты_исходные!A311</f>
        <v>C0310</v>
      </c>
      <c r="B311" t="str">
        <f>PROPER(TRIM(Клиенты_исходные!B311))</f>
        <v xml:space="preserve">Неклюдов Александр Петрович</v>
      </c>
      <c r="C311" s="8">
        <f>IFERROR(IF(ISNUMBER(FIND(".",Клиенты_исходные!C311)),DATE(RIGHT(Клиенты_исходные!C311,4),MID(Клиенты_исходные!C311,4,2),LEFT(Клиенты_исходные!C311,2)),DATE(LEFT(Клиенты_исходные!C311,4),MID(Клиенты_исходные!C311,6,2),RIGHT(Клиенты_исходные!C311,2))),Клиенты_исходные!C311)</f>
        <v>27682</v>
      </c>
      <c r="D311" t="str">
        <f>IF(ISBLANK(Клиенты_исходные!D311),"",IF(LEN(SUBSTITUTE(SUBSTITUTE(SUBSTITUTE(SUBSTITUTE(SUBSTITUTE(Клиенты_исходные!D311," ",""),"-",""),"+",""),"(",""),")",""))=11,"+7 ("&amp;MID(IF(LEFT(SUBSTITUTE(SUBSTITUTE(SUBSTITUTE(SUBSTITUTE(SUBSTITUTE(Клиенты_исходные!D311," ",""),"-",""),"+",""),"(",""),")",""))="8","7"&amp;MID(SUBSTITUTE(SUBSTITUTE(SUBSTITUTE(SUBSTITUTE(SUBSTITUTE(Клиенты_исходные!D311," ",""),"-",""),"+",""),"(",""),")",""),2,10),SUBSTITUTE(SUBSTITUTE(SUBSTITUTE(SUBSTITUTE(SUBSTITUTE(Клиенты_исходные!D311," ",""),"-",""),"+",""),"(",""),")","")),2,3)&amp;") "&amp;MID(IF(LEFT(SUBSTITUTE(SUBSTITUTE(SUBSTITUTE(SUBSTITUTE(SUBSTITUTE(Клиенты_исходные!D311," ",""),"-",""),"+",""),"(",""),")",""))="8","7"&amp;MID(SUBSTITUTE(SUBSTITUTE(SUBSTITUTE(SUBSTITUTE(SUBSTITUTE(Клиенты_исходные!D311," ",""),"-",""),"+",""),"(",""),")",""),2,10),SUBSTITUTE(SUBSTITUTE(SUBSTITUTE(SUBSTITUTE(SUBSTITUTE(Клиенты_исходные!D311," ",""),"-",""),"+",""),"(",""),")","")),5,3)&amp;"-"&amp;MID(IF(LEFT(SUBSTITUTE(SUBSTITUTE(SUBSTITUTE(SUBSTITUTE(SUBSTITUTE(Клиенты_исходные!D311," ",""),"-",""),"+",""),"(",""),")",""))="8","7"&amp;MID(SUBSTITUTE(SUBSTITUTE(SUBSTITUTE(SUBSTITUTE(SUBSTITUTE(Клиенты_исходные!D311," ",""),"-",""),"+",""),"(",""),")",""),2,10),SUBSTITUTE(SUBSTITUTE(SUBSTITUTE(SUBSTITUTE(SUBSTITUTE(Клиенты_исходные!D311," ",""),"-",""),"+",""),"(",""),")","")),8,2)&amp;"-"&amp;MID(IF(LEFT(SUBSTITUTE(SUBSTITUTE(SUBSTITUTE(SUBSTITUTE(SUBSTITUTE(Клиенты_исходные!D311," ",""),"-",""),"+",""),"(",""),")",""))="8","7"&amp;MID(SUBSTITUTE(SUBSTITUTE(SUBSTITUTE(SUBSTITUTE(SUBSTITUTE(Клиенты_исходные!D311," ",""),"-",""),"+",""),"(",""),")",""),2,10),SUBSTITUTE(SUBSTITUTE(SUBSTITUTE(SUBSTITUTE(SUBSTITUTE(Клиенты_исходные!D311," ",""),"-",""),"+",""),"(",""),")","")),10,2),IF(LEN(SUBSTITUTE(SUBSTITUTE(SUBSTITUTE(SUBSTITUTE(SUBSTITUTE(Клиенты_исходные!D311," ",""),"-",""),"+",""),"(",""),")",""))=10,"+7 ("&amp;MID(SUBSTITUTE(SUBSTITUTE(SUBSTITUTE(SUBSTITUTE(SUBSTITUTE(Клиенты_исходные!D311," ",""),"-",""),"+",""),"(",""),")",""),1,3)&amp;") "&amp;MID(SUBSTITUTE(SUBSTITUTE(SUBSTITUTE(SUBSTITUTE(SUBSTITUTE(Клиенты_исходные!D311," ",""),"-",""),"+",""),"(",""),")",""),4,3)&amp;"-"&amp;MID(SUBSTITUTE(SUBSTITUTE(SUBSTITUTE(SUBSTITUTE(SUBSTITUTE(Клиенты_исходные!D311," ",""),"-",""),"+",""),"(",""),")",""),6,2)&amp;"-"&amp;MID(SUBSTITUTE(SUBSTITUTE(SUBSTITUTE(SUBSTITUTE(SUBSTITUTE(Клиенты_исходные!D311," ",""),"-",""),"+",""),"(",""),")",""),8,2),Клиенты_исходные!D311)))</f>
        <v xml:space="preserve">+7 (903) 901-23-45</v>
      </c>
      <c r="E311" t="str">
        <f>IF(ISBLANK(Клиенты_исходные!E311),"",IF(ISNUMBER(FIND(".",MID(Клиенты_исходные!E311,FIND("@",Клиенты_исходные!E311)+1,255))),Клиенты_исходные!E311,IF(ISNUMBER(FIND("gmail",Клиенты_исходные!E311)),Клиенты_исходные!E311&amp;".com",Клиенты_исходные!E311&amp;".ru")))</f>
        <v>neklyudov@mail.ru</v>
      </c>
      <c r="F311" t="str">
        <f>IFERROR(VLOOKUP(Клиенты_исходные!F311,Справочники!$J$2:$K$50,2,FALSE),Клиенты_исходные!F311)</f>
        <v>Калининград</v>
      </c>
      <c r="G311" s="8">
        <f>IFERROR(IF(ISNUMBER(FIND(".",Клиенты_исходные!G311)),DATE(RIGHT(Клиенты_исходные!G311,4),MID(Клиенты_исходные!G311,4,2),LEFT(Клиенты_исходные!G311,2)),DATE(LEFT(Клиенты_исходные!G311,4),MID(Клиенты_исходные!G311,6,2),RIGHT(Клиенты_исходные!G311,2))),Клиенты_исходные!G311)</f>
        <v>47696</v>
      </c>
      <c r="H311">
        <f t="shared" ca="1" si="61"/>
        <v>50</v>
      </c>
      <c r="I311" t="str">
        <f t="shared" si="62"/>
        <v>OK</v>
      </c>
      <c r="J311" t="str">
        <f t="shared" si="63"/>
        <v>OK</v>
      </c>
    </row>
    <row r="312">
      <c r="A312" t="str">
        <f>Клиенты_исходные!A312</f>
        <v>C0311</v>
      </c>
      <c r="B312" t="str">
        <f>PROPER(TRIM(Клиенты_исходные!B312))</f>
        <v xml:space="preserve">Савченко Екатерина Алексеевна</v>
      </c>
      <c r="C312" s="8">
        <f>IFERROR(IF(ISNUMBER(FIND(".",Клиенты_исходные!C312)),DATE(RIGHT(Клиенты_исходные!C312,4),MID(Клиенты_исходные!C312,4,2),LEFT(Клиенты_исходные!C312,2)),DATE(LEFT(Клиенты_исходные!C312,4),MID(Клиенты_исходные!C312,6,2),RIGHT(Клиенты_исходные!C312,2))),Клиенты_исходные!C312)</f>
        <v>31894</v>
      </c>
      <c r="D312" t="str">
        <f>IF(ISBLANK(Клиенты_исходные!D312),"",IF(LEN(SUBSTITUTE(SUBSTITUTE(SUBSTITUTE(SUBSTITUTE(SUBSTITUTE(Клиенты_исходные!D312," ",""),"-",""),"+",""),"(",""),")",""))=11,"+7 ("&amp;MID(IF(LEFT(SUBSTITUTE(SUBSTITUTE(SUBSTITUTE(SUBSTITUTE(SUBSTITUTE(Клиенты_исходные!D312," ",""),"-",""),"+",""),"(",""),")",""))="8","7"&amp;MID(SUBSTITUTE(SUBSTITUTE(SUBSTITUTE(SUBSTITUTE(SUBSTITUTE(Клиенты_исходные!D312," ",""),"-",""),"+",""),"(",""),")",""),2,10),SUBSTITUTE(SUBSTITUTE(SUBSTITUTE(SUBSTITUTE(SUBSTITUTE(Клиенты_исходные!D312," ",""),"-",""),"+",""),"(",""),")","")),2,3)&amp;") "&amp;MID(IF(LEFT(SUBSTITUTE(SUBSTITUTE(SUBSTITUTE(SUBSTITUTE(SUBSTITUTE(Клиенты_исходные!D312," ",""),"-",""),"+",""),"(",""),")",""))="8","7"&amp;MID(SUBSTITUTE(SUBSTITUTE(SUBSTITUTE(SUBSTITUTE(SUBSTITUTE(Клиенты_исходные!D312," ",""),"-",""),"+",""),"(",""),")",""),2,10),SUBSTITUTE(SUBSTITUTE(SUBSTITUTE(SUBSTITUTE(SUBSTITUTE(Клиенты_исходные!D312," ",""),"-",""),"+",""),"(",""),")","")),5,3)&amp;"-"&amp;MID(IF(LEFT(SUBSTITUTE(SUBSTITUTE(SUBSTITUTE(SUBSTITUTE(SUBSTITUTE(Клиенты_исходные!D312," ",""),"-",""),"+",""),"(",""),")",""))="8","7"&amp;MID(SUBSTITUTE(SUBSTITUTE(SUBSTITUTE(SUBSTITUTE(SUBSTITUTE(Клиенты_исходные!D312," ",""),"-",""),"+",""),"(",""),")",""),2,10),SUBSTITUTE(SUBSTITUTE(SUBSTITUTE(SUBSTITUTE(SUBSTITUTE(Клиенты_исходные!D312," ",""),"-",""),"+",""),"(",""),")","")),8,2)&amp;"-"&amp;MID(IF(LEFT(SUBSTITUTE(SUBSTITUTE(SUBSTITUTE(SUBSTITUTE(SUBSTITUTE(Клиенты_исходные!D312," ",""),"-",""),"+",""),"(",""),")",""))="8","7"&amp;MID(SUBSTITUTE(SUBSTITUTE(SUBSTITUTE(SUBSTITUTE(SUBSTITUTE(Клиенты_исходные!D312," ",""),"-",""),"+",""),"(",""),")",""),2,10),SUBSTITUTE(SUBSTITUTE(SUBSTITUTE(SUBSTITUTE(SUBSTITUTE(Клиенты_исходные!D312," ",""),"-",""),"+",""),"(",""),")","")),10,2),IF(LEN(SUBSTITUTE(SUBSTITUTE(SUBSTITUTE(SUBSTITUTE(SUBSTITUTE(Клиенты_исходные!D312," ",""),"-",""),"+",""),"(",""),")",""))=10,"+7 ("&amp;MID(SUBSTITUTE(SUBSTITUTE(SUBSTITUTE(SUBSTITUTE(SUBSTITUTE(Клиенты_исходные!D312," ",""),"-",""),"+",""),"(",""),")",""),1,3)&amp;") "&amp;MID(SUBSTITUTE(SUBSTITUTE(SUBSTITUTE(SUBSTITUTE(SUBSTITUTE(Клиенты_исходные!D312," ",""),"-",""),"+",""),"(",""),")",""),4,3)&amp;"-"&amp;MID(SUBSTITUTE(SUBSTITUTE(SUBSTITUTE(SUBSTITUTE(SUBSTITUTE(Клиенты_исходные!D312," ",""),"-",""),"+",""),"(",""),")",""),6,2)&amp;"-"&amp;MID(SUBSTITUTE(SUBSTITUTE(SUBSTITUTE(SUBSTITUTE(SUBSTITUTE(Клиенты_исходные!D312," ",""),"-",""),"+",""),"(",""),")",""),8,2),Клиенты_исходные!D312)))</f>
        <v xml:space="preserve">+7 (903) 901-23-45</v>
      </c>
      <c r="E312" t="str">
        <f>IF(ISBLANK(Клиенты_исходные!E312),"",IF(ISNUMBER(FIND(".",MID(Клиенты_исходные!E312,FIND("@",Клиенты_исходные!E312)+1,255))),Клиенты_исходные!E312,IF(ISNUMBER(FIND("gmail",Клиенты_исходные!E312)),Клиенты_исходные!E312&amp;".com",Клиенты_исходные!E312&amp;".ru")))</f>
        <v>savchenko@yandex.ru</v>
      </c>
      <c r="F312" t="str">
        <f>IFERROR(VLOOKUP(Клиенты_исходные!F312,Справочники!$J$2:$K$50,2,FALSE),Клиенты_исходные!F312)</f>
        <v>Петрозаводск</v>
      </c>
      <c r="G312" s="8">
        <f>IFERROR(IF(ISNUMBER(FIND(".",Клиенты_исходные!G312)),DATE(RIGHT(Клиенты_исходные!G312,4),MID(Клиенты_исходные!G312,4,2),LEFT(Клиенты_исходные!G312,2)),DATE(LEFT(Клиенты_исходные!G312,4),MID(Клиенты_исходные!G312,6,2),RIGHT(Клиенты_исходные!G312,2))),Клиенты_исходные!G312)</f>
        <v>47705</v>
      </c>
      <c r="H312">
        <f t="shared" ca="1" si="61"/>
        <v>39</v>
      </c>
      <c r="I312" t="str">
        <f t="shared" si="62"/>
        <v>OK</v>
      </c>
      <c r="J312" t="str">
        <f t="shared" si="63"/>
        <v>OK</v>
      </c>
    </row>
    <row r="313">
      <c r="A313" t="str">
        <f>Клиенты_исходные!A313</f>
        <v>C0312</v>
      </c>
      <c r="B313" t="str">
        <f>PROPER(TRIM(Клиенты_исходные!B313))</f>
        <v xml:space="preserve">Колесник Илья Дмитриевич</v>
      </c>
      <c r="C313" s="8">
        <f>IFERROR(IF(ISNUMBER(FIND(".",Клиенты_исходные!C313)),DATE(RIGHT(Клиенты_исходные!C313,4),MID(Клиенты_исходные!C313,4,2),LEFT(Клиенты_исходные!C313,2)),DATE(LEFT(Клиенты_исходные!C313,4),MID(Клиенты_исходные!C313,6,2),RIGHT(Клиенты_исходные!C313,2))),Клиенты_исходные!C313)</f>
        <v>34671</v>
      </c>
      <c r="D313" t="str">
        <f>IF(ISBLANK(Клиенты_исходные!D313),"",IF(LEN(SUBSTITUTE(SUBSTITUTE(SUBSTITUTE(SUBSTITUTE(SUBSTITUTE(Клиенты_исходные!D313," ",""),"-",""),"+",""),"(",""),")",""))=11,"+7 ("&amp;MID(IF(LEFT(SUBSTITUTE(SUBSTITUTE(SUBSTITUTE(SUBSTITUTE(SUBSTITUTE(Клиенты_исходные!D313," ",""),"-",""),"+",""),"(",""),")",""))="8","7"&amp;MID(SUBSTITUTE(SUBSTITUTE(SUBSTITUTE(SUBSTITUTE(SUBSTITUTE(Клиенты_исходные!D313," ",""),"-",""),"+",""),"(",""),")",""),2,10),SUBSTITUTE(SUBSTITUTE(SUBSTITUTE(SUBSTITUTE(SUBSTITUTE(Клиенты_исходные!D313," ",""),"-",""),"+",""),"(",""),")","")),2,3)&amp;") "&amp;MID(IF(LEFT(SUBSTITUTE(SUBSTITUTE(SUBSTITUTE(SUBSTITUTE(SUBSTITUTE(Клиенты_исходные!D313," ",""),"-",""),"+",""),"(",""),")",""))="8","7"&amp;MID(SUBSTITUTE(SUBSTITUTE(SUBSTITUTE(SUBSTITUTE(SUBSTITUTE(Клиенты_исходные!D313," ",""),"-",""),"+",""),"(",""),")",""),2,10),SUBSTITUTE(SUBSTITUTE(SUBSTITUTE(SUBSTITUTE(SUBSTITUTE(Клиенты_исходные!D313," ",""),"-",""),"+",""),"(",""),")","")),5,3)&amp;"-"&amp;MID(IF(LEFT(SUBSTITUTE(SUBSTITUTE(SUBSTITUTE(SUBSTITUTE(SUBSTITUTE(Клиенты_исходные!D313," ",""),"-",""),"+",""),"(",""),")",""))="8","7"&amp;MID(SUBSTITUTE(SUBSTITUTE(SUBSTITUTE(SUBSTITUTE(SUBSTITUTE(Клиенты_исходные!D313," ",""),"-",""),"+",""),"(",""),")",""),2,10),SUBSTITUTE(SUBSTITUTE(SUBSTITUTE(SUBSTITUTE(SUBSTITUTE(Клиенты_исходные!D313," ",""),"-",""),"+",""),"(",""),")","")),8,2)&amp;"-"&amp;MID(IF(LEFT(SUBSTITUTE(SUBSTITUTE(SUBSTITUTE(SUBSTITUTE(SUBSTITUTE(Клиенты_исходные!D313," ",""),"-",""),"+",""),"(",""),")",""))="8","7"&amp;MID(SUBSTITUTE(SUBSTITUTE(SUBSTITUTE(SUBSTITUTE(SUBSTITUTE(Клиенты_исходные!D313," ",""),"-",""),"+",""),"(",""),")",""),2,10),SUBSTITUTE(SUBSTITUTE(SUBSTITUTE(SUBSTITUTE(SUBSTITUTE(Клиенты_исходные!D313," ",""),"-",""),"+",""),"(",""),")","")),10,2),IF(LEN(SUBSTITUTE(SUBSTITUTE(SUBSTITUTE(SUBSTITUTE(SUBSTITUTE(Клиенты_исходные!D313," ",""),"-",""),"+",""),"(",""),")",""))=10,"+7 ("&amp;MID(SUBSTITUTE(SUBSTITUTE(SUBSTITUTE(SUBSTITUTE(SUBSTITUTE(Клиенты_исходные!D313," ",""),"-",""),"+",""),"(",""),")",""),1,3)&amp;") "&amp;MID(SUBSTITUTE(SUBSTITUTE(SUBSTITUTE(SUBSTITUTE(SUBSTITUTE(Клиенты_исходные!D313," ",""),"-",""),"+",""),"(",""),")",""),4,3)&amp;"-"&amp;MID(SUBSTITUTE(SUBSTITUTE(SUBSTITUTE(SUBSTITUTE(SUBSTITUTE(Клиенты_исходные!D313," ",""),"-",""),"+",""),"(",""),")",""),6,2)&amp;"-"&amp;MID(SUBSTITUTE(SUBSTITUTE(SUBSTITUTE(SUBSTITUTE(SUBSTITUTE(Клиенты_исходные!D313," ",""),"-",""),"+",""),"(",""),")",""),8,2),Клиенты_исходные!D313)))</f>
        <v xml:space="preserve">+7 (903) 012-34-56</v>
      </c>
      <c r="E313" t="str">
        <f>IF(ISBLANK(Клиенты_исходные!E313),"",IF(ISNUMBER(FIND(".",MID(Клиенты_исходные!E313,FIND("@",Клиенты_исходные!E313)+1,255))),Клиенты_исходные!E313,IF(ISNUMBER(FIND("gmail",Клиенты_исходные!E313)),Клиенты_исходные!E313&amp;".com",Клиенты_исходные!E313&amp;".ru")))</f>
        <v>kolesnik@gmail.com</v>
      </c>
      <c r="F313" t="str">
        <f>IFERROR(VLOOKUP(Клиенты_исходные!F313,Справочники!$J$2:$K$50,2,FALSE),Клиенты_исходные!F313)</f>
        <v>Рубцовск</v>
      </c>
      <c r="G313" s="8">
        <f>IFERROR(IF(ISNUMBER(FIND(".",Клиенты_исходные!G313)),DATE(RIGHT(Клиенты_исходные!G313,4),MID(Клиенты_исходные!G313,4,2),LEFT(Клиенты_исходные!G313,2)),DATE(LEFT(Клиенты_исходные!G313,4),MID(Клиенты_исходные!G313,6,2),RIGHT(Клиенты_исходные!G313,2))),Клиенты_исходные!G313)</f>
        <v>47705</v>
      </c>
      <c r="H313">
        <f t="shared" ca="1" si="61"/>
        <v>31</v>
      </c>
      <c r="I313" t="str">
        <f t="shared" si="62"/>
        <v>OK</v>
      </c>
      <c r="J313" t="str">
        <f t="shared" si="63"/>
        <v>OK</v>
      </c>
    </row>
    <row r="314">
      <c r="A314" t="str">
        <f>Клиенты_исходные!A314</f>
        <v>C0313</v>
      </c>
      <c r="B314" t="str">
        <f>PROPER(TRIM(Клиенты_исходные!B314))</f>
        <v xml:space="preserve">Гладкова Мария Владимировна</v>
      </c>
      <c r="C314" s="8">
        <f>IFERROR(IF(ISNUMBER(FIND(".",Клиенты_исходные!C314)),DATE(RIGHT(Клиенты_исходные!C314,4),MID(Клиенты_исходные!C314,4,2),LEFT(Клиенты_исходные!C314,2)),DATE(LEFT(Клиенты_исходные!C314,4),MID(Клиенты_исходные!C314,6,2),RIGHT(Клиенты_исходные!C314,2))),Клиенты_исходные!C314)</f>
        <v>28663</v>
      </c>
      <c r="D314" t="str">
        <f>IF(ISBLANK(Клиенты_исходные!D314),"",IF(LEN(SUBSTITUTE(SUBSTITUTE(SUBSTITUTE(SUBSTITUTE(SUBSTITUTE(Клиенты_исходные!D314," ",""),"-",""),"+",""),"(",""),")",""))=11,"+7 ("&amp;MID(IF(LEFT(SUBSTITUTE(SUBSTITUTE(SUBSTITUTE(SUBSTITUTE(SUBSTITUTE(Клиенты_исходные!D314," ",""),"-",""),"+",""),"(",""),")",""))="8","7"&amp;MID(SUBSTITUTE(SUBSTITUTE(SUBSTITUTE(SUBSTITUTE(SUBSTITUTE(Клиенты_исходные!D314," ",""),"-",""),"+",""),"(",""),")",""),2,10),SUBSTITUTE(SUBSTITUTE(SUBSTITUTE(SUBSTITUTE(SUBSTITUTE(Клиенты_исходные!D314," ",""),"-",""),"+",""),"(",""),")","")),2,3)&amp;") "&amp;MID(IF(LEFT(SUBSTITUTE(SUBSTITUTE(SUBSTITUTE(SUBSTITUTE(SUBSTITUTE(Клиенты_исходные!D314," ",""),"-",""),"+",""),"(",""),")",""))="8","7"&amp;MID(SUBSTITUTE(SUBSTITUTE(SUBSTITUTE(SUBSTITUTE(SUBSTITUTE(Клиенты_исходные!D314," ",""),"-",""),"+",""),"(",""),")",""),2,10),SUBSTITUTE(SUBSTITUTE(SUBSTITUTE(SUBSTITUTE(SUBSTITUTE(Клиенты_исходные!D314," ",""),"-",""),"+",""),"(",""),")","")),5,3)&amp;"-"&amp;MID(IF(LEFT(SUBSTITUTE(SUBSTITUTE(SUBSTITUTE(SUBSTITUTE(SUBSTITUTE(Клиенты_исходные!D314," ",""),"-",""),"+",""),"(",""),")",""))="8","7"&amp;MID(SUBSTITUTE(SUBSTITUTE(SUBSTITUTE(SUBSTITUTE(SUBSTITUTE(Клиенты_исходные!D314," ",""),"-",""),"+",""),"(",""),")",""),2,10),SUBSTITUTE(SUBSTITUTE(SUBSTITUTE(SUBSTITUTE(SUBSTITUTE(Клиенты_исходные!D314," ",""),"-",""),"+",""),"(",""),")","")),8,2)&amp;"-"&amp;MID(IF(LEFT(SUBSTITUTE(SUBSTITUTE(SUBSTITUTE(SUBSTITUTE(SUBSTITUTE(Клиенты_исходные!D314," ",""),"-",""),"+",""),"(",""),")",""))="8","7"&amp;MID(SUBSTITUTE(SUBSTITUTE(SUBSTITUTE(SUBSTITUTE(SUBSTITUTE(Клиенты_исходные!D314," ",""),"-",""),"+",""),"(",""),")",""),2,10),SUBSTITUTE(SUBSTITUTE(SUBSTITUTE(SUBSTITUTE(SUBSTITUTE(Клиенты_исходные!D314," ",""),"-",""),"+",""),"(",""),")","")),10,2),IF(LEN(SUBSTITUTE(SUBSTITUTE(SUBSTITUTE(SUBSTITUTE(SUBSTITUTE(Клиенты_исходные!D314," ",""),"-",""),"+",""),"(",""),")",""))=10,"+7 ("&amp;MID(SUBSTITUTE(SUBSTITUTE(SUBSTITUTE(SUBSTITUTE(SUBSTITUTE(Клиенты_исходные!D314," ",""),"-",""),"+",""),"(",""),")",""),1,3)&amp;") "&amp;MID(SUBSTITUTE(SUBSTITUTE(SUBSTITUTE(SUBSTITUTE(SUBSTITUTE(Клиенты_исходные!D314," ",""),"-",""),"+",""),"(",""),")",""),4,3)&amp;"-"&amp;MID(SUBSTITUTE(SUBSTITUTE(SUBSTITUTE(SUBSTITUTE(SUBSTITUTE(Клиенты_исходные!D314," ",""),"-",""),"+",""),"(",""),")",""),6,2)&amp;"-"&amp;MID(SUBSTITUTE(SUBSTITUTE(SUBSTITUTE(SUBSTITUTE(SUBSTITUTE(Клиенты_исходные!D314," ",""),"-",""),"+",""),"(",""),")",""),8,2),Клиенты_исходные!D314)))</f>
        <v xml:space="preserve">+7 (903) 012-34-56</v>
      </c>
      <c r="E314" t="str">
        <f>IF(ISBLANK(Клиенты_исходные!E314),"",IF(ISNUMBER(FIND(".",MID(Клиенты_исходные!E314,FIND("@",Клиенты_исходные!E314)+1,255))),Клиенты_исходные!E314,IF(ISNUMBER(FIND("gmail",Клиенты_исходные!E314)),Клиенты_исходные!E314&amp;".com",Клиенты_исходные!E314&amp;".ru")))</f>
        <v>gladkova@mail.ru</v>
      </c>
      <c r="F314" t="str">
        <f>IFERROR(VLOOKUP(Клиенты_исходные!F314,Справочники!$J$2:$K$50,2,FALSE),Клиенты_исходные!F314)</f>
        <v>Элиста</v>
      </c>
      <c r="G314" s="8">
        <f>IFERROR(IF(ISNUMBER(FIND(".",Клиенты_исходные!G314)),DATE(RIGHT(Клиенты_исходные!G314,4),MID(Клиенты_исходные!G314,4,2),LEFT(Клиенты_исходные!G314,2)),DATE(LEFT(Клиенты_исходные!G314,4),MID(Клиенты_исходные!G314,6,2),RIGHT(Клиенты_исходные!G314,2))),Клиенты_исходные!G314)</f>
        <v>47727</v>
      </c>
      <c r="H314">
        <f t="shared" ca="1" si="61"/>
        <v>48</v>
      </c>
      <c r="I314" t="str">
        <f t="shared" si="62"/>
        <v>OK</v>
      </c>
      <c r="J314" t="str">
        <f t="shared" si="63"/>
        <v>OK</v>
      </c>
    </row>
    <row r="315">
      <c r="A315" t="str">
        <f>Клиенты_исходные!A315</f>
        <v>C0314</v>
      </c>
      <c r="B315" t="str">
        <f>PROPER(TRIM(Клиенты_исходные!B315))</f>
        <v xml:space="preserve">Снигирев Сергей Олегович</v>
      </c>
      <c r="C315" s="8">
        <f>IFERROR(IF(ISNUMBER(FIND(".",Клиенты_исходные!C315)),DATE(RIGHT(Клиенты_исходные!C315,4),MID(Клиенты_исходные!C315,4,2),LEFT(Клиенты_исходные!C315,2)),DATE(LEFT(Клиенты_исходные!C315,4),MID(Клиенты_исходные!C315,6,2),RIGHT(Клиенты_исходные!C315,2))),Клиенты_исходные!C315)</f>
        <v>30511</v>
      </c>
      <c r="D315" t="str">
        <f>IF(ISBLANK(Клиенты_исходные!D315),"",IF(LEN(SUBSTITUTE(SUBSTITUTE(SUBSTITUTE(SUBSTITUTE(SUBSTITUTE(Клиенты_исходные!D315," ",""),"-",""),"+",""),"(",""),")",""))=11,"+7 ("&amp;MID(IF(LEFT(SUBSTITUTE(SUBSTITUTE(SUBSTITUTE(SUBSTITUTE(SUBSTITUTE(Клиенты_исходные!D315," ",""),"-",""),"+",""),"(",""),")",""))="8","7"&amp;MID(SUBSTITUTE(SUBSTITUTE(SUBSTITUTE(SUBSTITUTE(SUBSTITUTE(Клиенты_исходные!D315," ",""),"-",""),"+",""),"(",""),")",""),2,10),SUBSTITUTE(SUBSTITUTE(SUBSTITUTE(SUBSTITUTE(SUBSTITUTE(Клиенты_исходные!D315," ",""),"-",""),"+",""),"(",""),")","")),2,3)&amp;") "&amp;MID(IF(LEFT(SUBSTITUTE(SUBSTITUTE(SUBSTITUTE(SUBSTITUTE(SUBSTITUTE(Клиенты_исходные!D315," ",""),"-",""),"+",""),"(",""),")",""))="8","7"&amp;MID(SUBSTITUTE(SUBSTITUTE(SUBSTITUTE(SUBSTITUTE(SUBSTITUTE(Клиенты_исходные!D315," ",""),"-",""),"+",""),"(",""),")",""),2,10),SUBSTITUTE(SUBSTITUTE(SUBSTITUTE(SUBSTITUTE(SUBSTITUTE(Клиенты_исходные!D315," ",""),"-",""),"+",""),"(",""),")","")),5,3)&amp;"-"&amp;MID(IF(LEFT(SUBSTITUTE(SUBSTITUTE(SUBSTITUTE(SUBSTITUTE(SUBSTITUTE(Клиенты_исходные!D315," ",""),"-",""),"+",""),"(",""),")",""))="8","7"&amp;MID(SUBSTITUTE(SUBSTITUTE(SUBSTITUTE(SUBSTITUTE(SUBSTITUTE(Клиенты_исходные!D315," ",""),"-",""),"+",""),"(",""),")",""),2,10),SUBSTITUTE(SUBSTITUTE(SUBSTITUTE(SUBSTITUTE(SUBSTITUTE(Клиенты_исходные!D315," ",""),"-",""),"+",""),"(",""),")","")),8,2)&amp;"-"&amp;MID(IF(LEFT(SUBSTITUTE(SUBSTITUTE(SUBSTITUTE(SUBSTITUTE(SUBSTITUTE(Клиенты_исходные!D315," ",""),"-",""),"+",""),"(",""),")",""))="8","7"&amp;MID(SUBSTITUTE(SUBSTITUTE(SUBSTITUTE(SUBSTITUTE(SUBSTITUTE(Клиенты_исходные!D315," ",""),"-",""),"+",""),"(",""),")",""),2,10),SUBSTITUTE(SUBSTITUTE(SUBSTITUTE(SUBSTITUTE(SUBSTITUTE(Клиенты_исходные!D315," ",""),"-",""),"+",""),"(",""),")","")),10,2),IF(LEN(SUBSTITUTE(SUBSTITUTE(SUBSTITUTE(SUBSTITUTE(SUBSTITUTE(Клиенты_исходные!D315," ",""),"-",""),"+",""),"(",""),")",""))=10,"+7 ("&amp;MID(SUBSTITUTE(SUBSTITUTE(SUBSTITUTE(SUBSTITUTE(SUBSTITUTE(Клиенты_исходные!D315," ",""),"-",""),"+",""),"(",""),")",""),1,3)&amp;") "&amp;MID(SUBSTITUTE(SUBSTITUTE(SUBSTITUTE(SUBSTITUTE(SUBSTITUTE(Клиенты_исходные!D315," ",""),"-",""),"+",""),"(",""),")",""),4,3)&amp;"-"&amp;MID(SUBSTITUTE(SUBSTITUTE(SUBSTITUTE(SUBSTITUTE(SUBSTITUTE(Клиенты_исходные!D315," ",""),"-",""),"+",""),"(",""),")",""),6,2)&amp;"-"&amp;MID(SUBSTITUTE(SUBSTITUTE(SUBSTITUTE(SUBSTITUTE(SUBSTITUTE(Клиенты_исходные!D315," ",""),"-",""),"+",""),"(",""),")",""),8,2),Клиенты_исходные!D315)))</f>
        <v xml:space="preserve">+7 (903) 012-34-56</v>
      </c>
      <c r="E315" t="str">
        <f>IF(ISBLANK(Клиенты_исходные!E315),"",IF(ISNUMBER(FIND(".",MID(Клиенты_исходные!E315,FIND("@",Клиенты_исходные!E315)+1,255))),Клиенты_исходные!E315,IF(ISNUMBER(FIND("gmail",Клиенты_исходные!E315)),Клиенты_исходные!E315&amp;".com",Клиенты_исходные!E315&amp;".ru")))</f>
        <v>snigirev@yandex.ru</v>
      </c>
      <c r="F315" t="str">
        <f>IFERROR(VLOOKUP(Клиенты_исходные!F315,Справочники!$J$2:$K$50,2,FALSE),Клиенты_исходные!F315)</f>
        <v>Орск</v>
      </c>
      <c r="G315" s="8">
        <f>IFERROR(IF(ISNUMBER(FIND(".",Клиенты_исходные!G315)),DATE(RIGHT(Клиенты_исходные!G315,4),MID(Клиенты_исходные!G315,4,2),LEFT(Клиенты_исходные!G315,2)),DATE(LEFT(Клиенты_исходные!G315,4),MID(Клиенты_исходные!G315,6,2),RIGHT(Клиенты_исходные!G315,2))),Клиенты_исходные!G315)</f>
        <v>47741</v>
      </c>
      <c r="H315">
        <f t="shared" ca="1" si="61"/>
        <v>43</v>
      </c>
      <c r="I315" t="str">
        <f t="shared" si="62"/>
        <v>OK</v>
      </c>
      <c r="J315" t="str">
        <f t="shared" si="63"/>
        <v>OK</v>
      </c>
    </row>
    <row r="316">
      <c r="A316" t="str">
        <f>Клиенты_исходные!A316</f>
        <v>C0315</v>
      </c>
      <c r="B316" t="str">
        <f>PROPER(TRIM(Клиенты_исходные!B316))</f>
        <v xml:space="preserve">Яшина Татьяна Николаевна</v>
      </c>
      <c r="C316" s="8">
        <f>IFERROR(IF(ISNUMBER(FIND(".",Клиенты_исходные!C316)),DATE(RIGHT(Клиенты_исходные!C316,4),MID(Клиенты_исходные!C316,4,2),LEFT(Клиенты_исходные!C316,2)),DATE(LEFT(Клиенты_исходные!C316,4),MID(Клиенты_исходные!C316,6,2),RIGHT(Клиенты_исходные!C316,2))),Клиенты_исходные!C316)</f>
        <v>33288</v>
      </c>
      <c r="D316" t="str">
        <f>IF(ISBLANK(Клиенты_исходные!D316),"",IF(LEN(SUBSTITUTE(SUBSTITUTE(SUBSTITUTE(SUBSTITUTE(SUBSTITUTE(Клиенты_исходные!D316," ",""),"-",""),"+",""),"(",""),")",""))=11,"+7 ("&amp;MID(IF(LEFT(SUBSTITUTE(SUBSTITUTE(SUBSTITUTE(SUBSTITUTE(SUBSTITUTE(Клиенты_исходные!D316," ",""),"-",""),"+",""),"(",""),")",""))="8","7"&amp;MID(SUBSTITUTE(SUBSTITUTE(SUBSTITUTE(SUBSTITUTE(SUBSTITUTE(Клиенты_исходные!D316," ",""),"-",""),"+",""),"(",""),")",""),2,10),SUBSTITUTE(SUBSTITUTE(SUBSTITUTE(SUBSTITUTE(SUBSTITUTE(Клиенты_исходные!D316," ",""),"-",""),"+",""),"(",""),")","")),2,3)&amp;") "&amp;MID(IF(LEFT(SUBSTITUTE(SUBSTITUTE(SUBSTITUTE(SUBSTITUTE(SUBSTITUTE(Клиенты_исходные!D316," ",""),"-",""),"+",""),"(",""),")",""))="8","7"&amp;MID(SUBSTITUTE(SUBSTITUTE(SUBSTITUTE(SUBSTITUTE(SUBSTITUTE(Клиенты_исходные!D316," ",""),"-",""),"+",""),"(",""),")",""),2,10),SUBSTITUTE(SUBSTITUTE(SUBSTITUTE(SUBSTITUTE(SUBSTITUTE(Клиенты_исходные!D316," ",""),"-",""),"+",""),"(",""),")","")),5,3)&amp;"-"&amp;MID(IF(LEFT(SUBSTITUTE(SUBSTITUTE(SUBSTITUTE(SUBSTITUTE(SUBSTITUTE(Клиенты_исходные!D316," ",""),"-",""),"+",""),"(",""),")",""))="8","7"&amp;MID(SUBSTITUTE(SUBSTITUTE(SUBSTITUTE(SUBSTITUTE(SUBSTITUTE(Клиенты_исходные!D316," ",""),"-",""),"+",""),"(",""),")",""),2,10),SUBSTITUTE(SUBSTITUTE(SUBSTITUTE(SUBSTITUTE(SUBSTITUTE(Клиенты_исходные!D316," ",""),"-",""),"+",""),"(",""),")","")),8,2)&amp;"-"&amp;MID(IF(LEFT(SUBSTITUTE(SUBSTITUTE(SUBSTITUTE(SUBSTITUTE(SUBSTITUTE(Клиенты_исходные!D316," ",""),"-",""),"+",""),"(",""),")",""))="8","7"&amp;MID(SUBSTITUTE(SUBSTITUTE(SUBSTITUTE(SUBSTITUTE(SUBSTITUTE(Клиенты_исходные!D316," ",""),"-",""),"+",""),"(",""),")",""),2,10),SUBSTITUTE(SUBSTITUTE(SUBSTITUTE(SUBSTITUTE(SUBSTITUTE(Клиенты_исходные!D316," ",""),"-",""),"+",""),"(",""),")","")),10,2),IF(LEN(SUBSTITUTE(SUBSTITUTE(SUBSTITUTE(SUBSTITUTE(SUBSTITUTE(Клиенты_исходные!D316," ",""),"-",""),"+",""),"(",""),")",""))=10,"+7 ("&amp;MID(SUBSTITUTE(SUBSTITUTE(SUBSTITUTE(SUBSTITUTE(SUBSTITUTE(Клиенты_исходные!D316," ",""),"-",""),"+",""),"(",""),")",""),1,3)&amp;") "&amp;MID(SUBSTITUTE(SUBSTITUTE(SUBSTITUTE(SUBSTITUTE(SUBSTITUTE(Клиенты_исходные!D316," ",""),"-",""),"+",""),"(",""),")",""),4,3)&amp;"-"&amp;MID(SUBSTITUTE(SUBSTITUTE(SUBSTITUTE(SUBSTITUTE(SUBSTITUTE(Клиенты_исходные!D316," ",""),"-",""),"+",""),"(",""),")",""),6,2)&amp;"-"&amp;MID(SUBSTITUTE(SUBSTITUTE(SUBSTITUTE(SUBSTITUTE(SUBSTITUTE(Клиенты_исходные!D316," ",""),"-",""),"+",""),"(",""),")",""),8,2),Клиенты_исходные!D316)))</f>
        <v xml:space="preserve">+7 (903) 123-45-67</v>
      </c>
      <c r="E316" t="str">
        <f>IF(ISBLANK(Клиенты_исходные!E316),"",IF(ISNUMBER(FIND(".",MID(Клиенты_исходные!E316,FIND("@",Клиенты_исходные!E316)+1,255))),Клиенты_исходные!E316,IF(ISNUMBER(FIND("gmail",Клиенты_исходные!E316)),Клиенты_исходные!E316&amp;".com",Клиенты_исходные!E316&amp;".ru")))</f>
        <v>yashina@gmail.com</v>
      </c>
      <c r="F316" t="str">
        <f>IFERROR(VLOOKUP(Клиенты_исходные!F316,Справочники!$J$2:$K$50,2,FALSE),Клиенты_исходные!F316)</f>
        <v>Нижневартовск</v>
      </c>
      <c r="G316" s="8">
        <f>IFERROR(IF(ISNUMBER(FIND(".",Клиенты_исходные!G316)),DATE(RIGHT(Клиенты_исходные!G316,4),MID(Клиенты_исходные!G316,4,2),LEFT(Клиенты_исходные!G316,2)),DATE(LEFT(Клиенты_исходные!G316,4),MID(Клиенты_исходные!G316,6,2),RIGHT(Клиенты_исходные!G316,2))),Клиенты_исходные!G316)</f>
        <v>47741</v>
      </c>
      <c r="H316">
        <f t="shared" ca="1" si="61"/>
        <v>35</v>
      </c>
      <c r="I316" t="str">
        <f t="shared" si="62"/>
        <v>OK</v>
      </c>
      <c r="J316" t="str">
        <f t="shared" si="63"/>
        <v>OK</v>
      </c>
    </row>
    <row r="317">
      <c r="A317" t="str">
        <f>Клиенты_исходные!A317</f>
        <v>C0316</v>
      </c>
      <c r="B317" t="str">
        <f>PROPER(TRIM(Клиенты_исходные!B317))</f>
        <v xml:space="preserve">Суворов Алексей Александрович</v>
      </c>
      <c r="C317" s="8">
        <f>IFERROR(IF(ISNUMBER(FIND(".",Клиенты_исходные!C317)),DATE(RIGHT(Клиенты_исходные!C317,4),MID(Клиенты_исходные!C317,4,2),LEFT(Клиенты_исходные!C317,2)),DATE(LEFT(Клиенты_исходные!C317,4),MID(Клиенты_исходные!C317,6,2),RIGHT(Клиенты_исходные!C317,2))),Клиенты_исходные!C317)</f>
        <v>28070</v>
      </c>
      <c r="D317" t="str">
        <f>IF(ISBLANK(Клиенты_исходные!D317),"",IF(LEN(SUBSTITUTE(SUBSTITUTE(SUBSTITUTE(SUBSTITUTE(SUBSTITUTE(Клиенты_исходные!D317," ",""),"-",""),"+",""),"(",""),")",""))=11,"+7 ("&amp;MID(IF(LEFT(SUBSTITUTE(SUBSTITUTE(SUBSTITUTE(SUBSTITUTE(SUBSTITUTE(Клиенты_исходные!D317," ",""),"-",""),"+",""),"(",""),")",""))="8","7"&amp;MID(SUBSTITUTE(SUBSTITUTE(SUBSTITUTE(SUBSTITUTE(SUBSTITUTE(Клиенты_исходные!D317," ",""),"-",""),"+",""),"(",""),")",""),2,10),SUBSTITUTE(SUBSTITUTE(SUBSTITUTE(SUBSTITUTE(SUBSTITUTE(Клиенты_исходные!D317," ",""),"-",""),"+",""),"(",""),")","")),2,3)&amp;") "&amp;MID(IF(LEFT(SUBSTITUTE(SUBSTITUTE(SUBSTITUTE(SUBSTITUTE(SUBSTITUTE(Клиенты_исходные!D317," ",""),"-",""),"+",""),"(",""),")",""))="8","7"&amp;MID(SUBSTITUTE(SUBSTITUTE(SUBSTITUTE(SUBSTITUTE(SUBSTITUTE(Клиенты_исходные!D317," ",""),"-",""),"+",""),"(",""),")",""),2,10),SUBSTITUTE(SUBSTITUTE(SUBSTITUTE(SUBSTITUTE(SUBSTITUTE(Клиенты_исходные!D317," ",""),"-",""),"+",""),"(",""),")","")),5,3)&amp;"-"&amp;MID(IF(LEFT(SUBSTITUTE(SUBSTITUTE(SUBSTITUTE(SUBSTITUTE(SUBSTITUTE(Клиенты_исходные!D317," ",""),"-",""),"+",""),"(",""),")",""))="8","7"&amp;MID(SUBSTITUTE(SUBSTITUTE(SUBSTITUTE(SUBSTITUTE(SUBSTITUTE(Клиенты_исходные!D317," ",""),"-",""),"+",""),"(",""),")",""),2,10),SUBSTITUTE(SUBSTITUTE(SUBSTITUTE(SUBSTITUTE(SUBSTITUTE(Клиенты_исходные!D317," ",""),"-",""),"+",""),"(",""),")","")),8,2)&amp;"-"&amp;MID(IF(LEFT(SUBSTITUTE(SUBSTITUTE(SUBSTITUTE(SUBSTITUTE(SUBSTITUTE(Клиенты_исходные!D317," ",""),"-",""),"+",""),"(",""),")",""))="8","7"&amp;MID(SUBSTITUTE(SUBSTITUTE(SUBSTITUTE(SUBSTITUTE(SUBSTITUTE(Клиенты_исходные!D317," ",""),"-",""),"+",""),"(",""),")",""),2,10),SUBSTITUTE(SUBSTITUTE(SUBSTITUTE(SUBSTITUTE(SUBSTITUTE(Клиенты_исходные!D317," ",""),"-",""),"+",""),"(",""),")","")),10,2),IF(LEN(SUBSTITUTE(SUBSTITUTE(SUBSTITUTE(SUBSTITUTE(SUBSTITUTE(Клиенты_исходные!D317," ",""),"-",""),"+",""),"(",""),")",""))=10,"+7 ("&amp;MID(SUBSTITUTE(SUBSTITUTE(SUBSTITUTE(SUBSTITUTE(SUBSTITUTE(Клиенты_исходные!D317," ",""),"-",""),"+",""),"(",""),")",""),1,3)&amp;") "&amp;MID(SUBSTITUTE(SUBSTITUTE(SUBSTITUTE(SUBSTITUTE(SUBSTITUTE(Клиенты_исходные!D317," ",""),"-",""),"+",""),"(",""),")",""),4,3)&amp;"-"&amp;MID(SUBSTITUTE(SUBSTITUTE(SUBSTITUTE(SUBSTITUTE(SUBSTITUTE(Клиенты_исходные!D317," ",""),"-",""),"+",""),"(",""),")",""),6,2)&amp;"-"&amp;MID(SUBSTITUTE(SUBSTITUTE(SUBSTITUTE(SUBSTITUTE(SUBSTITUTE(Клиенты_исходные!D317," ",""),"-",""),"+",""),"(",""),")",""),8,2),Клиенты_исходные!D317)))</f>
        <v xml:space="preserve">+7 (903) 123-45-67</v>
      </c>
      <c r="E317" t="str">
        <f>IF(ISBLANK(Клиенты_исходные!E317),"",IF(ISNUMBER(FIND(".",MID(Клиенты_исходные!E317,FIND("@",Клиенты_исходные!E317)+1,255))),Клиенты_исходные!E317,IF(ISNUMBER(FIND("gmail",Клиенты_исходные!E317)),Клиенты_исходные!E317&amp;".com",Клиенты_исходные!E317&amp;".ru")))</f>
        <v>suvorov@mail.ru</v>
      </c>
      <c r="F317" t="str">
        <f>IFERROR(VLOOKUP(Клиенты_исходные!F317,Справочники!$J$2:$K$50,2,FALSE),Клиенты_исходные!F317)</f>
        <v>Новороссийск</v>
      </c>
      <c r="G317" s="8">
        <f>IFERROR(IF(ISNUMBER(FIND(".",Клиенты_исходные!G317)),DATE(RIGHT(Клиенты_исходные!G317,4),MID(Клиенты_исходные!G317,4,2),LEFT(Клиенты_исходные!G317,2)),DATE(LEFT(Клиенты_исходные!G317,4),MID(Клиенты_исходные!G317,6,2),RIGHT(Клиенты_исходные!G317,2))),Клиенты_исходные!G317)</f>
        <v>47757</v>
      </c>
      <c r="H317">
        <f t="shared" ca="1" si="61"/>
        <v>49</v>
      </c>
      <c r="I317" t="str">
        <f t="shared" si="62"/>
        <v>OK</v>
      </c>
      <c r="J317" t="str">
        <f t="shared" si="63"/>
        <v>OK</v>
      </c>
    </row>
    <row r="318">
      <c r="A318" t="str">
        <f>Клиенты_исходные!A318</f>
        <v>C0317</v>
      </c>
      <c r="B318" t="str">
        <f>PROPER(TRIM(Клиенты_исходные!B318))</f>
        <v xml:space="preserve">Бабенко Инна Олеговна</v>
      </c>
      <c r="C318" s="8">
        <f>IFERROR(IF(ISNUMBER(FIND(".",Клиенты_исходные!C318)),DATE(RIGHT(Клиенты_исходные!C318,4),MID(Клиенты_исходные!C318,4,2),LEFT(Клиенты_исходные!C318,2)),DATE(LEFT(Клиенты_исходные!C318,4),MID(Клиенты_исходные!C318,6,2),RIGHT(Клиенты_исходные!C318,2))),Клиенты_исходные!C318)</f>
        <v>30953</v>
      </c>
      <c r="D318" t="str">
        <f>IF(ISBLANK(Клиенты_исходные!D318),"",IF(LEN(SUBSTITUTE(SUBSTITUTE(SUBSTITUTE(SUBSTITUTE(SUBSTITUTE(Клиенты_исходные!D318," ",""),"-",""),"+",""),"(",""),")",""))=11,"+7 ("&amp;MID(IF(LEFT(SUBSTITUTE(SUBSTITUTE(SUBSTITUTE(SUBSTITUTE(SUBSTITUTE(Клиенты_исходные!D318," ",""),"-",""),"+",""),"(",""),")",""))="8","7"&amp;MID(SUBSTITUTE(SUBSTITUTE(SUBSTITUTE(SUBSTITUTE(SUBSTITUTE(Клиенты_исходные!D318," ",""),"-",""),"+",""),"(",""),")",""),2,10),SUBSTITUTE(SUBSTITUTE(SUBSTITUTE(SUBSTITUTE(SUBSTITUTE(Клиенты_исходные!D318," ",""),"-",""),"+",""),"(",""),")","")),2,3)&amp;") "&amp;MID(IF(LEFT(SUBSTITUTE(SUBSTITUTE(SUBSTITUTE(SUBSTITUTE(SUBSTITUTE(Клиенты_исходные!D318," ",""),"-",""),"+",""),"(",""),")",""))="8","7"&amp;MID(SUBSTITUTE(SUBSTITUTE(SUBSTITUTE(SUBSTITUTE(SUBSTITUTE(Клиенты_исходные!D318," ",""),"-",""),"+",""),"(",""),")",""),2,10),SUBSTITUTE(SUBSTITUTE(SUBSTITUTE(SUBSTITUTE(SUBSTITUTE(Клиенты_исходные!D318," ",""),"-",""),"+",""),"(",""),")","")),5,3)&amp;"-"&amp;MID(IF(LEFT(SUBSTITUTE(SUBSTITUTE(SUBSTITUTE(SUBSTITUTE(SUBSTITUTE(Клиенты_исходные!D318," ",""),"-",""),"+",""),"(",""),")",""))="8","7"&amp;MID(SUBSTITUTE(SUBSTITUTE(SUBSTITUTE(SUBSTITUTE(SUBSTITUTE(Клиенты_исходные!D318," ",""),"-",""),"+",""),"(",""),")",""),2,10),SUBSTITUTE(SUBSTITUTE(SUBSTITUTE(SUBSTITUTE(SUBSTITUTE(Клиенты_исходные!D318," ",""),"-",""),"+",""),"(",""),")","")),8,2)&amp;"-"&amp;MID(IF(LEFT(SUBSTITUTE(SUBSTITUTE(SUBSTITUTE(SUBSTITUTE(SUBSTITUTE(Клиенты_исходные!D318," ",""),"-",""),"+",""),"(",""),")",""))="8","7"&amp;MID(SUBSTITUTE(SUBSTITUTE(SUBSTITUTE(SUBSTITUTE(SUBSTITUTE(Клиенты_исходные!D318," ",""),"-",""),"+",""),"(",""),")",""),2,10),SUBSTITUTE(SUBSTITUTE(SUBSTITUTE(SUBSTITUTE(SUBSTITUTE(Клиенты_исходные!D318," ",""),"-",""),"+",""),"(",""),")","")),10,2),IF(LEN(SUBSTITUTE(SUBSTITUTE(SUBSTITUTE(SUBSTITUTE(SUBSTITUTE(Клиенты_исходные!D318," ",""),"-",""),"+",""),"(",""),")",""))=10,"+7 ("&amp;MID(SUBSTITUTE(SUBSTITUTE(SUBSTITUTE(SUBSTITUTE(SUBSTITUTE(Клиенты_исходные!D318," ",""),"-",""),"+",""),"(",""),")",""),1,3)&amp;") "&amp;MID(SUBSTITUTE(SUBSTITUTE(SUBSTITUTE(SUBSTITUTE(SUBSTITUTE(Клиенты_исходные!D318," ",""),"-",""),"+",""),"(",""),")",""),4,3)&amp;"-"&amp;MID(SUBSTITUTE(SUBSTITUTE(SUBSTITUTE(SUBSTITUTE(SUBSTITUTE(Клиенты_исходные!D318," ",""),"-",""),"+",""),"(",""),")",""),6,2)&amp;"-"&amp;MID(SUBSTITUTE(SUBSTITUTE(SUBSTITUTE(SUBSTITUTE(SUBSTITUTE(Клиенты_исходные!D318," ",""),"-",""),"+",""),"(",""),")",""),8,2),Клиенты_исходные!D318)))</f>
        <v xml:space="preserve">+7 (903) 123-45-67</v>
      </c>
      <c r="E318" t="str">
        <f>IF(ISBLANK(Клиенты_исходные!E318),"",IF(ISNUMBER(FIND(".",MID(Клиенты_исходные!E318,FIND("@",Клиенты_исходные!E318)+1,255))),Клиенты_исходные!E318,IF(ISNUMBER(FIND("gmail",Клиенты_исходные!E318)),Клиенты_исходные!E318&amp;".com",Клиенты_исходные!E318&amp;".ru")))</f>
        <v>babenko@yandex.ru</v>
      </c>
      <c r="F318" t="str">
        <f>IFERROR(VLOOKUP(Клиенты_исходные!F318,Справочники!$J$2:$K$50,2,FALSE),Клиенты_исходные!F318)</f>
        <v>Химки</v>
      </c>
      <c r="G318" s="8">
        <f>IFERROR(IF(ISNUMBER(FIND(".",Клиенты_исходные!G318)),DATE(RIGHT(Клиенты_исходные!G318,4),MID(Клиенты_исходные!G318,4,2),LEFT(Клиенты_исходные!G318,2)),DATE(LEFT(Клиенты_исходные!G318,4),MID(Клиенты_исходные!G318,6,2),RIGHT(Клиенты_исходные!G318,2))),Клиенты_исходные!G318)</f>
        <v>47766</v>
      </c>
      <c r="H318">
        <f t="shared" ca="1" si="61"/>
        <v>42</v>
      </c>
      <c r="I318" t="str">
        <f t="shared" si="62"/>
        <v>OK</v>
      </c>
      <c r="J318" t="str">
        <f t="shared" si="63"/>
        <v>OK</v>
      </c>
    </row>
    <row r="319">
      <c r="A319" t="str">
        <f>Клиенты_исходные!A319</f>
        <v>C0318</v>
      </c>
      <c r="B319" t="str">
        <f>PROPER(TRIM(Клиенты_исходные!B319))</f>
        <v xml:space="preserve">Кислов Денис Павлович</v>
      </c>
      <c r="C319" s="8">
        <f>IFERROR(IF(ISNUMBER(FIND(".",Клиенты_исходные!C319)),DATE(RIGHT(Клиенты_исходные!C319,4),MID(Клиенты_исходные!C319,4,2),LEFT(Клиенты_исходные!C319,2)),DATE(LEFT(Клиенты_исходные!C319,4),MID(Клиенты_исходные!C319,6,2),RIGHT(Клиенты_исходные!C319,2))),Клиенты_исходные!C319)</f>
        <v>25919</v>
      </c>
      <c r="D319" t="str">
        <f>IF(ISBLANK(Клиенты_исходные!D319),"",IF(LEN(SUBSTITUTE(SUBSTITUTE(SUBSTITUTE(SUBSTITUTE(SUBSTITUTE(Клиенты_исходные!D319," ",""),"-",""),"+",""),"(",""),")",""))=11,"+7 ("&amp;MID(IF(LEFT(SUBSTITUTE(SUBSTITUTE(SUBSTITUTE(SUBSTITUTE(SUBSTITUTE(Клиенты_исходные!D319," ",""),"-",""),"+",""),"(",""),")",""))="8","7"&amp;MID(SUBSTITUTE(SUBSTITUTE(SUBSTITUTE(SUBSTITUTE(SUBSTITUTE(Клиенты_исходные!D319," ",""),"-",""),"+",""),"(",""),")",""),2,10),SUBSTITUTE(SUBSTITUTE(SUBSTITUTE(SUBSTITUTE(SUBSTITUTE(Клиенты_исходные!D319," ",""),"-",""),"+",""),"(",""),")","")),2,3)&amp;") "&amp;MID(IF(LEFT(SUBSTITUTE(SUBSTITUTE(SUBSTITUTE(SUBSTITUTE(SUBSTITUTE(Клиенты_исходные!D319," ",""),"-",""),"+",""),"(",""),")",""))="8","7"&amp;MID(SUBSTITUTE(SUBSTITUTE(SUBSTITUTE(SUBSTITUTE(SUBSTITUTE(Клиенты_исходные!D319," ",""),"-",""),"+",""),"(",""),")",""),2,10),SUBSTITUTE(SUBSTITUTE(SUBSTITUTE(SUBSTITUTE(SUBSTITUTE(Клиенты_исходные!D319," ",""),"-",""),"+",""),"(",""),")","")),5,3)&amp;"-"&amp;MID(IF(LEFT(SUBSTITUTE(SUBSTITUTE(SUBSTITUTE(SUBSTITUTE(SUBSTITUTE(Клиенты_исходные!D319," ",""),"-",""),"+",""),"(",""),")",""))="8","7"&amp;MID(SUBSTITUTE(SUBSTITUTE(SUBSTITUTE(SUBSTITUTE(SUBSTITUTE(Клиенты_исходные!D319," ",""),"-",""),"+",""),"(",""),")",""),2,10),SUBSTITUTE(SUBSTITUTE(SUBSTITUTE(SUBSTITUTE(SUBSTITUTE(Клиенты_исходные!D319," ",""),"-",""),"+",""),"(",""),")","")),8,2)&amp;"-"&amp;MID(IF(LEFT(SUBSTITUTE(SUBSTITUTE(SUBSTITUTE(SUBSTITUTE(SUBSTITUTE(Клиенты_исходные!D319," ",""),"-",""),"+",""),"(",""),")",""))="8","7"&amp;MID(SUBSTITUTE(SUBSTITUTE(SUBSTITUTE(SUBSTITUTE(SUBSTITUTE(Клиенты_исходные!D319," ",""),"-",""),"+",""),"(",""),")",""),2,10),SUBSTITUTE(SUBSTITUTE(SUBSTITUTE(SUBSTITUTE(SUBSTITUTE(Клиенты_исходные!D319," ",""),"-",""),"+",""),"(",""),")","")),10,2),IF(LEN(SUBSTITUTE(SUBSTITUTE(SUBSTITUTE(SUBSTITUTE(SUBSTITUTE(Клиенты_исходные!D319," ",""),"-",""),"+",""),"(",""),")",""))=10,"+7 ("&amp;MID(SUBSTITUTE(SUBSTITUTE(SUBSTITUTE(SUBSTITUTE(SUBSTITUTE(Клиенты_исходные!D319," ",""),"-",""),"+",""),"(",""),")",""),1,3)&amp;") "&amp;MID(SUBSTITUTE(SUBSTITUTE(SUBSTITUTE(SUBSTITUTE(SUBSTITUTE(Клиенты_исходные!D319," ",""),"-",""),"+",""),"(",""),")",""),4,3)&amp;"-"&amp;MID(SUBSTITUTE(SUBSTITUTE(SUBSTITUTE(SUBSTITUTE(SUBSTITUTE(Клиенты_исходные!D319," ",""),"-",""),"+",""),"(",""),")",""),6,2)&amp;"-"&amp;MID(SUBSTITUTE(SUBSTITUTE(SUBSTITUTE(SUBSTITUTE(SUBSTITUTE(Клиенты_исходные!D319," ",""),"-",""),"+",""),"(",""),")",""),8,2),Клиенты_исходные!D319)))</f>
        <v xml:space="preserve">+7 (903) 234-56-78</v>
      </c>
      <c r="E319" t="str">
        <f>IF(ISBLANK(Клиенты_исходные!E319),"",IF(ISNUMBER(FIND(".",MID(Клиенты_исходные!E319,FIND("@",Клиенты_исходные!E319)+1,255))),Клиенты_исходные!E319,IF(ISNUMBER(FIND("gmail",Клиенты_исходные!E319)),Клиенты_исходные!E319&amp;".com",Клиенты_исходные!E319&amp;".ru")))</f>
        <v>kislov@gmail.com</v>
      </c>
      <c r="F319" t="str">
        <f>IFERROR(VLOOKUP(Клиенты_исходные!F319,Справочники!$J$2:$K$50,2,FALSE),Клиенты_исходные!F319)</f>
        <v>Подольск</v>
      </c>
      <c r="G319" s="8">
        <f>IFERROR(IF(ISNUMBER(FIND(".",Клиенты_исходные!G319)),DATE(RIGHT(Клиенты_исходные!G319,4),MID(Клиенты_исходные!G319,4,2),LEFT(Клиенты_исходные!G319,2)),DATE(LEFT(Клиенты_исходные!G319,4),MID(Клиенты_исходные!G319,6,2),RIGHT(Клиенты_исходные!G319,2))),Клиенты_исходные!G319)</f>
        <v>47766</v>
      </c>
      <c r="H319">
        <f t="shared" ca="1" si="61"/>
        <v>55</v>
      </c>
      <c r="I319" t="str">
        <f t="shared" si="62"/>
        <v>OK</v>
      </c>
      <c r="J319" t="str">
        <f t="shared" si="63"/>
        <v>OK</v>
      </c>
    </row>
    <row r="320">
      <c r="A320" t="str">
        <f>Клиенты_исходные!A320</f>
        <v>C0319</v>
      </c>
      <c r="B320" t="str">
        <f>PROPER(TRIM(Клиенты_исходные!B320))</f>
        <v xml:space="preserve">Серикова Ольга Михайловна</v>
      </c>
      <c r="C320" s="8">
        <f>IFERROR(IF(ISNUMBER(FIND(".",Клиенты_исходные!C320)),DATE(RIGHT(Клиенты_исходные!C320,4),MID(Клиенты_исходные!C320,4,2),LEFT(Клиенты_исходные!C320,2)),DATE(LEFT(Клиенты_исходные!C320,4),MID(Клиенты_исходные!C320,6,2),RIGHT(Клиенты_исходные!C320,2))),Клиенты_исходные!C320)</f>
        <v>32268</v>
      </c>
      <c r="D320" t="str">
        <f>IF(ISBLANK(Клиенты_исходные!D320),"",IF(LEN(SUBSTITUTE(SUBSTITUTE(SUBSTITUTE(SUBSTITUTE(SUBSTITUTE(Клиенты_исходные!D320," ",""),"-",""),"+",""),"(",""),")",""))=11,"+7 ("&amp;MID(IF(LEFT(SUBSTITUTE(SUBSTITUTE(SUBSTITUTE(SUBSTITUTE(SUBSTITUTE(Клиенты_исходные!D320," ",""),"-",""),"+",""),"(",""),")",""))="8","7"&amp;MID(SUBSTITUTE(SUBSTITUTE(SUBSTITUTE(SUBSTITUTE(SUBSTITUTE(Клиенты_исходные!D320," ",""),"-",""),"+",""),"(",""),")",""),2,10),SUBSTITUTE(SUBSTITUTE(SUBSTITUTE(SUBSTITUTE(SUBSTITUTE(Клиенты_исходные!D320," ",""),"-",""),"+",""),"(",""),")","")),2,3)&amp;") "&amp;MID(IF(LEFT(SUBSTITUTE(SUBSTITUTE(SUBSTITUTE(SUBSTITUTE(SUBSTITUTE(Клиенты_исходные!D320," ",""),"-",""),"+",""),"(",""),")",""))="8","7"&amp;MID(SUBSTITUTE(SUBSTITUTE(SUBSTITUTE(SUBSTITUTE(SUBSTITUTE(Клиенты_исходные!D320," ",""),"-",""),"+",""),"(",""),")",""),2,10),SUBSTITUTE(SUBSTITUTE(SUBSTITUTE(SUBSTITUTE(SUBSTITUTE(Клиенты_исходные!D320," ",""),"-",""),"+",""),"(",""),")","")),5,3)&amp;"-"&amp;MID(IF(LEFT(SUBSTITUTE(SUBSTITUTE(SUBSTITUTE(SUBSTITUTE(SUBSTITUTE(Клиенты_исходные!D320," ",""),"-",""),"+",""),"(",""),")",""))="8","7"&amp;MID(SUBSTITUTE(SUBSTITUTE(SUBSTITUTE(SUBSTITUTE(SUBSTITUTE(Клиенты_исходные!D320," ",""),"-",""),"+",""),"(",""),")",""),2,10),SUBSTITUTE(SUBSTITUTE(SUBSTITUTE(SUBSTITUTE(SUBSTITUTE(Клиенты_исходные!D320," ",""),"-",""),"+",""),"(",""),")","")),8,2)&amp;"-"&amp;MID(IF(LEFT(SUBSTITUTE(SUBSTITUTE(SUBSTITUTE(SUBSTITUTE(SUBSTITUTE(Клиенты_исходные!D320," ",""),"-",""),"+",""),"(",""),")",""))="8","7"&amp;MID(SUBSTITUTE(SUBSTITUTE(SUBSTITUTE(SUBSTITUTE(SUBSTITUTE(Клиенты_исходные!D320," ",""),"-",""),"+",""),"(",""),")",""),2,10),SUBSTITUTE(SUBSTITUTE(SUBSTITUTE(SUBSTITUTE(SUBSTITUTE(Клиенты_исходные!D320," ",""),"-",""),"+",""),"(",""),")","")),10,2),IF(LEN(SUBSTITUTE(SUBSTITUTE(SUBSTITUTE(SUBSTITUTE(SUBSTITUTE(Клиенты_исходные!D320," ",""),"-",""),"+",""),"(",""),")",""))=10,"+7 ("&amp;MID(SUBSTITUTE(SUBSTITUTE(SUBSTITUTE(SUBSTITUTE(SUBSTITUTE(Клиенты_исходные!D320," ",""),"-",""),"+",""),"(",""),")",""),1,3)&amp;") "&amp;MID(SUBSTITUTE(SUBSTITUTE(SUBSTITUTE(SUBSTITUTE(SUBSTITUTE(Клиенты_исходные!D320," ",""),"-",""),"+",""),"(",""),")",""),4,3)&amp;"-"&amp;MID(SUBSTITUTE(SUBSTITUTE(SUBSTITUTE(SUBSTITUTE(SUBSTITUTE(Клиенты_исходные!D320," ",""),"-",""),"+",""),"(",""),")",""),6,2)&amp;"-"&amp;MID(SUBSTITUTE(SUBSTITUTE(SUBSTITUTE(SUBSTITUTE(SUBSTITUTE(Клиенты_исходные!D320," ",""),"-",""),"+",""),"(",""),")",""),8,2),Клиенты_исходные!D320)))</f>
        <v xml:space="preserve">+7 (903) 234-56-78</v>
      </c>
      <c r="E320" t="str">
        <f>IF(ISBLANK(Клиенты_исходные!E320),"",IF(ISNUMBER(FIND(".",MID(Клиенты_исходные!E320,FIND("@",Клиенты_исходные!E320)+1,255))),Клиенты_исходные!E320,IF(ISNUMBER(FIND("gmail",Клиенты_исходные!E320)),Клиенты_исходные!E320&amp;".com",Клиенты_исходные!E320&amp;".ru")))</f>
        <v>serikova@mail.ru</v>
      </c>
      <c r="F320" t="str">
        <f>IFERROR(VLOOKUP(Клиенты_исходные!F320,Справочники!$J$2:$K$50,2,FALSE),Клиенты_исходные!F320)</f>
        <v>Балашиха</v>
      </c>
      <c r="G320" s="8">
        <f>IFERROR(IF(ISNUMBER(FIND(".",Клиенты_исходные!G320)),DATE(RIGHT(Клиенты_исходные!G320,4),MID(Клиенты_исходные!G320,4,2),LEFT(Клиенты_исходные!G320,2)),DATE(LEFT(Клиенты_исходные!G320,4),MID(Клиенты_исходные!G320,6,2),RIGHT(Клиенты_исходные!G320,2))),Клиенты_исходные!G320)</f>
        <v>47788</v>
      </c>
      <c r="H320">
        <f t="shared" ca="1" si="61"/>
        <v>38</v>
      </c>
      <c r="I320" t="str">
        <f t="shared" si="62"/>
        <v>OK</v>
      </c>
      <c r="J320" t="str">
        <f t="shared" si="63"/>
        <v>OK</v>
      </c>
    </row>
    <row r="321">
      <c r="A321" t="str">
        <f>Клиенты_исходные!A321</f>
        <v>C0320</v>
      </c>
      <c r="B321" t="str">
        <f>PROPER(TRIM(Клиенты_исходные!B321))</f>
        <v xml:space="preserve">Мокрушин Илья Валентинович</v>
      </c>
      <c r="C321" s="8">
        <f>IFERROR(IF(ISNUMBER(FIND(".",Клиенты_исходные!C321)),DATE(RIGHT(Клиенты_исходные!C321,4),MID(Клиенты_исходные!C321,4,2),LEFT(Клиенты_исходные!C321,2)),DATE(LEFT(Клиенты_исходные!C321,4),MID(Клиенты_исходные!C321,6,2),RIGHT(Клиенты_исходные!C321,2))),Клиенты_исходные!C321)</f>
        <v>34204</v>
      </c>
      <c r="D321" t="str">
        <f>IF(ISBLANK(Клиенты_исходные!D321),"",IF(LEN(SUBSTITUTE(SUBSTITUTE(SUBSTITUTE(SUBSTITUTE(SUBSTITUTE(Клиенты_исходные!D321," ",""),"-",""),"+",""),"(",""),")",""))=11,"+7 ("&amp;MID(IF(LEFT(SUBSTITUTE(SUBSTITUTE(SUBSTITUTE(SUBSTITUTE(SUBSTITUTE(Клиенты_исходные!D321," ",""),"-",""),"+",""),"(",""),")",""))="8","7"&amp;MID(SUBSTITUTE(SUBSTITUTE(SUBSTITUTE(SUBSTITUTE(SUBSTITUTE(Клиенты_исходные!D321," ",""),"-",""),"+",""),"(",""),")",""),2,10),SUBSTITUTE(SUBSTITUTE(SUBSTITUTE(SUBSTITUTE(SUBSTITUTE(Клиенты_исходные!D321," ",""),"-",""),"+",""),"(",""),")","")),2,3)&amp;") "&amp;MID(IF(LEFT(SUBSTITUTE(SUBSTITUTE(SUBSTITUTE(SUBSTITUTE(SUBSTITUTE(Клиенты_исходные!D321," ",""),"-",""),"+",""),"(",""),")",""))="8","7"&amp;MID(SUBSTITUTE(SUBSTITUTE(SUBSTITUTE(SUBSTITUTE(SUBSTITUTE(Клиенты_исходные!D321," ",""),"-",""),"+",""),"(",""),")",""),2,10),SUBSTITUTE(SUBSTITUTE(SUBSTITUTE(SUBSTITUTE(SUBSTITUTE(Клиенты_исходные!D321," ",""),"-",""),"+",""),"(",""),")","")),5,3)&amp;"-"&amp;MID(IF(LEFT(SUBSTITUTE(SUBSTITUTE(SUBSTITUTE(SUBSTITUTE(SUBSTITUTE(Клиенты_исходные!D321," ",""),"-",""),"+",""),"(",""),")",""))="8","7"&amp;MID(SUBSTITUTE(SUBSTITUTE(SUBSTITUTE(SUBSTITUTE(SUBSTITUTE(Клиенты_исходные!D321," ",""),"-",""),"+",""),"(",""),")",""),2,10),SUBSTITUTE(SUBSTITUTE(SUBSTITUTE(SUBSTITUTE(SUBSTITUTE(Клиенты_исходные!D321," ",""),"-",""),"+",""),"(",""),")","")),8,2)&amp;"-"&amp;MID(IF(LEFT(SUBSTITUTE(SUBSTITUTE(SUBSTITUTE(SUBSTITUTE(SUBSTITUTE(Клиенты_исходные!D321," ",""),"-",""),"+",""),"(",""),")",""))="8","7"&amp;MID(SUBSTITUTE(SUBSTITUTE(SUBSTITUTE(SUBSTITUTE(SUBSTITUTE(Клиенты_исходные!D321," ",""),"-",""),"+",""),"(",""),")",""),2,10),SUBSTITUTE(SUBSTITUTE(SUBSTITUTE(SUBSTITUTE(SUBSTITUTE(Клиенты_исходные!D321," ",""),"-",""),"+",""),"(",""),")","")),10,2),IF(LEN(SUBSTITUTE(SUBSTITUTE(SUBSTITUTE(SUBSTITUTE(SUBSTITUTE(Клиенты_исходные!D321," ",""),"-",""),"+",""),"(",""),")",""))=10,"+7 ("&amp;MID(SUBSTITUTE(SUBSTITUTE(SUBSTITUTE(SUBSTITUTE(SUBSTITUTE(Клиенты_исходные!D321," ",""),"-",""),"+",""),"(",""),")",""),1,3)&amp;") "&amp;MID(SUBSTITUTE(SUBSTITUTE(SUBSTITUTE(SUBSTITUTE(SUBSTITUTE(Клиенты_исходные!D321," ",""),"-",""),"+",""),"(",""),")",""),4,3)&amp;"-"&amp;MID(SUBSTITUTE(SUBSTITUTE(SUBSTITUTE(SUBSTITUTE(SUBSTITUTE(Клиенты_исходные!D321," ",""),"-",""),"+",""),"(",""),")",""),6,2)&amp;"-"&amp;MID(SUBSTITUTE(SUBSTITUTE(SUBSTITUTE(SUBSTITUTE(SUBSTITUTE(Клиенты_исходные!D321," ",""),"-",""),"+",""),"(",""),")",""),8,2),Клиенты_исходные!D321)))</f>
        <v xml:space="preserve">+7 (903) 234-56-78</v>
      </c>
      <c r="E321" t="str">
        <f>IF(ISBLANK(Клиенты_исходные!E321),"",IF(ISNUMBER(FIND(".",MID(Клиенты_исходные!E321,FIND("@",Клиенты_исходные!E321)+1,255))),Клиенты_исходные!E321,IF(ISNUMBER(FIND("gmail",Клиенты_исходные!E321)),Клиенты_исходные!E321&amp;".com",Клиенты_исходные!E321&amp;".ru")))</f>
        <v>mokrushin@yandex.ru</v>
      </c>
      <c r="F321" t="str">
        <f>IFERROR(VLOOKUP(Клиенты_исходные!F321,Справочники!$J$2:$K$50,2,FALSE),Клиенты_исходные!F321)</f>
        <v>Сургут</v>
      </c>
      <c r="G321" s="8">
        <f>IFERROR(IF(ISNUMBER(FIND(".",Клиенты_исходные!G321)),DATE(RIGHT(Клиенты_исходные!G321,4),MID(Клиенты_исходные!G321,4,2),LEFT(Клиенты_исходные!G321,2)),DATE(LEFT(Клиенты_исходные!G321,4),MID(Клиенты_исходные!G321,6,2),RIGHT(Клиенты_исходные!G321,2))),Клиенты_исходные!G321)</f>
        <v>47802</v>
      </c>
      <c r="H321">
        <f t="shared" ca="1" si="61"/>
        <v>33</v>
      </c>
      <c r="I321" t="str">
        <f t="shared" si="62"/>
        <v>OK</v>
      </c>
      <c r="J321" t="str">
        <f t="shared" si="63"/>
        <v>OK</v>
      </c>
    </row>
    <row r="322">
      <c r="A322" t="str">
        <f>Клиенты_исходные!A322</f>
        <v>C0321</v>
      </c>
      <c r="B322" t="str">
        <f>PROPER(TRIM(Клиенты_исходные!B322))</f>
        <v xml:space="preserve">Гуреева Елена Александровна</v>
      </c>
      <c r="C322" s="8">
        <f>IFERROR(IF(ISNUMBER(FIND(".",Клиенты_исходные!C322)),DATE(RIGHT(Клиенты_исходные!C322,4),MID(Клиенты_исходные!C322,4,2),LEFT(Клиенты_исходные!C322,2)),DATE(LEFT(Клиенты_исходные!C322,4),MID(Клиенты_исходные!C322,6,2),RIGHT(Клиенты_исходные!C322,2))),Клиенты_исходные!C322)</f>
        <v>28197</v>
      </c>
      <c r="D322" t="str">
        <f>IF(ISBLANK(Клиенты_исходные!D322),"",IF(LEN(SUBSTITUTE(SUBSTITUTE(SUBSTITUTE(SUBSTITUTE(SUBSTITUTE(Клиенты_исходные!D322," ",""),"-",""),"+",""),"(",""),")",""))=11,"+7 ("&amp;MID(IF(LEFT(SUBSTITUTE(SUBSTITUTE(SUBSTITUTE(SUBSTITUTE(SUBSTITUTE(Клиенты_исходные!D322," ",""),"-",""),"+",""),"(",""),")",""))="8","7"&amp;MID(SUBSTITUTE(SUBSTITUTE(SUBSTITUTE(SUBSTITUTE(SUBSTITUTE(Клиенты_исходные!D322," ",""),"-",""),"+",""),"(",""),")",""),2,10),SUBSTITUTE(SUBSTITUTE(SUBSTITUTE(SUBSTITUTE(SUBSTITUTE(Клиенты_исходные!D322," ",""),"-",""),"+",""),"(",""),")","")),2,3)&amp;") "&amp;MID(IF(LEFT(SUBSTITUTE(SUBSTITUTE(SUBSTITUTE(SUBSTITUTE(SUBSTITUTE(Клиенты_исходные!D322," ",""),"-",""),"+",""),"(",""),")",""))="8","7"&amp;MID(SUBSTITUTE(SUBSTITUTE(SUBSTITUTE(SUBSTITUTE(SUBSTITUTE(Клиенты_исходные!D322," ",""),"-",""),"+",""),"(",""),")",""),2,10),SUBSTITUTE(SUBSTITUTE(SUBSTITUTE(SUBSTITUTE(SUBSTITUTE(Клиенты_исходные!D322," ",""),"-",""),"+",""),"(",""),")","")),5,3)&amp;"-"&amp;MID(IF(LEFT(SUBSTITUTE(SUBSTITUTE(SUBSTITUTE(SUBSTITUTE(SUBSTITUTE(Клиенты_исходные!D322," ",""),"-",""),"+",""),"(",""),")",""))="8","7"&amp;MID(SUBSTITUTE(SUBSTITUTE(SUBSTITUTE(SUBSTITUTE(SUBSTITUTE(Клиенты_исходные!D322," ",""),"-",""),"+",""),"(",""),")",""),2,10),SUBSTITUTE(SUBSTITUTE(SUBSTITUTE(SUBSTITUTE(SUBSTITUTE(Клиенты_исходные!D322," ",""),"-",""),"+",""),"(",""),")","")),8,2)&amp;"-"&amp;MID(IF(LEFT(SUBSTITUTE(SUBSTITUTE(SUBSTITUTE(SUBSTITUTE(SUBSTITUTE(Клиенты_исходные!D322," ",""),"-",""),"+",""),"(",""),")",""))="8","7"&amp;MID(SUBSTITUTE(SUBSTITUTE(SUBSTITUTE(SUBSTITUTE(SUBSTITUTE(Клиенты_исходные!D322," ",""),"-",""),"+",""),"(",""),")",""),2,10),SUBSTITUTE(SUBSTITUTE(SUBSTITUTE(SUBSTITUTE(SUBSTITUTE(Клиенты_исходные!D322," ",""),"-",""),"+",""),"(",""),")","")),10,2),IF(LEN(SUBSTITUTE(SUBSTITUTE(SUBSTITUTE(SUBSTITUTE(SUBSTITUTE(Клиенты_исходные!D322," ",""),"-",""),"+",""),"(",""),")",""))=10,"+7 ("&amp;MID(SUBSTITUTE(SUBSTITUTE(SUBSTITUTE(SUBSTITUTE(SUBSTITUTE(Клиенты_исходные!D322," ",""),"-",""),"+",""),"(",""),")",""),1,3)&amp;") "&amp;MID(SUBSTITUTE(SUBSTITUTE(SUBSTITUTE(SUBSTITUTE(SUBSTITUTE(Клиенты_исходные!D322," ",""),"-",""),"+",""),"(",""),")",""),4,3)&amp;"-"&amp;MID(SUBSTITUTE(SUBSTITUTE(SUBSTITUTE(SUBSTITUTE(SUBSTITUTE(Клиенты_исходные!D322," ",""),"-",""),"+",""),"(",""),")",""),6,2)&amp;"-"&amp;MID(SUBSTITUTE(SUBSTITUTE(SUBSTITUTE(SUBSTITUTE(SUBSTITUTE(Клиенты_исходные!D322," ",""),"-",""),"+",""),"(",""),")",""),8,2),Клиенты_исходные!D322)))</f>
        <v xml:space="preserve">+7 (903) 345-67-89</v>
      </c>
      <c r="E322" t="str">
        <f>IF(ISBLANK(Клиенты_исходные!E322),"",IF(ISNUMBER(FIND(".",MID(Клиенты_исходные!E322,FIND("@",Клиенты_исходные!E322)+1,255))),Клиенты_исходные!E322,IF(ISNUMBER(FIND("gmail",Клиенты_исходные!E322)),Клиенты_исходные!E322&amp;".com",Клиенты_исходные!E322&amp;".ru")))</f>
        <v>gureeva@gmail.com</v>
      </c>
      <c r="F322" t="str">
        <f>IFERROR(VLOOKUP(Клиенты_исходные!F322,Справочники!$J$2:$K$50,2,FALSE),Клиенты_исходные!F322)</f>
        <v>Армавир</v>
      </c>
      <c r="G322" s="8">
        <f>IFERROR(IF(ISNUMBER(FIND(".",Клиенты_исходные!G322)),DATE(RIGHT(Клиенты_исходные!G322,4),MID(Клиенты_исходные!G322,4,2),LEFT(Клиенты_исходные!G322,2)),DATE(LEFT(Клиенты_исходные!G322,4),MID(Клиенты_исходные!G322,6,2),RIGHT(Клиенты_исходные!G322,2))),Клиенты_исходные!G322)</f>
        <v>47802</v>
      </c>
      <c r="H322">
        <f t="shared" ca="1" si="61"/>
        <v>49</v>
      </c>
      <c r="I322" t="str">
        <f t="shared" si="62"/>
        <v>OK</v>
      </c>
      <c r="J322" t="str">
        <f t="shared" si="63"/>
        <v>OK</v>
      </c>
    </row>
    <row r="323">
      <c r="A323" t="str">
        <f>Клиенты_исходные!A323</f>
        <v>C0322</v>
      </c>
      <c r="B323" t="str">
        <f>PROPER(TRIM(Клиенты_исходные!B323))</f>
        <v xml:space="preserve">Синицын Виталий Олегович</v>
      </c>
      <c r="C323" s="8">
        <f>IFERROR(IF(ISNUMBER(FIND(".",Клиенты_исходные!C323)),DATE(RIGHT(Клиенты_исходные!C323,4),MID(Клиенты_исходные!C323,4,2),LEFT(Клиенты_исходные!C323,2)),DATE(LEFT(Клиенты_исходные!C323,4),MID(Клиенты_исходные!C323,6,2),RIGHT(Клиенты_исходные!C323,2))),Клиенты_исходные!C323)</f>
        <v>29879</v>
      </c>
      <c r="D323" t="str">
        <f>IF(ISBLANK(Клиенты_исходные!D323),"",IF(LEN(SUBSTITUTE(SUBSTITUTE(SUBSTITUTE(SUBSTITUTE(SUBSTITUTE(Клиенты_исходные!D323," ",""),"-",""),"+",""),"(",""),")",""))=11,"+7 ("&amp;MID(IF(LEFT(SUBSTITUTE(SUBSTITUTE(SUBSTITUTE(SUBSTITUTE(SUBSTITUTE(Клиенты_исходные!D323," ",""),"-",""),"+",""),"(",""),")",""))="8","7"&amp;MID(SUBSTITUTE(SUBSTITUTE(SUBSTITUTE(SUBSTITUTE(SUBSTITUTE(Клиенты_исходные!D323," ",""),"-",""),"+",""),"(",""),")",""),2,10),SUBSTITUTE(SUBSTITUTE(SUBSTITUTE(SUBSTITUTE(SUBSTITUTE(Клиенты_исходные!D323," ",""),"-",""),"+",""),"(",""),")","")),2,3)&amp;") "&amp;MID(IF(LEFT(SUBSTITUTE(SUBSTITUTE(SUBSTITUTE(SUBSTITUTE(SUBSTITUTE(Клиенты_исходные!D323," ",""),"-",""),"+",""),"(",""),")",""))="8","7"&amp;MID(SUBSTITUTE(SUBSTITUTE(SUBSTITUTE(SUBSTITUTE(SUBSTITUTE(Клиенты_исходные!D323," ",""),"-",""),"+",""),"(",""),")",""),2,10),SUBSTITUTE(SUBSTITUTE(SUBSTITUTE(SUBSTITUTE(SUBSTITUTE(Клиенты_исходные!D323," ",""),"-",""),"+",""),"(",""),")","")),5,3)&amp;"-"&amp;MID(IF(LEFT(SUBSTITUTE(SUBSTITUTE(SUBSTITUTE(SUBSTITUTE(SUBSTITUTE(Клиенты_исходные!D323," ",""),"-",""),"+",""),"(",""),")",""))="8","7"&amp;MID(SUBSTITUTE(SUBSTITUTE(SUBSTITUTE(SUBSTITUTE(SUBSTITUTE(Клиенты_исходные!D323," ",""),"-",""),"+",""),"(",""),")",""),2,10),SUBSTITUTE(SUBSTITUTE(SUBSTITUTE(SUBSTITUTE(SUBSTITUTE(Клиенты_исходные!D323," ",""),"-",""),"+",""),"(",""),")","")),8,2)&amp;"-"&amp;MID(IF(LEFT(SUBSTITUTE(SUBSTITUTE(SUBSTITUTE(SUBSTITUTE(SUBSTITUTE(Клиенты_исходные!D323," ",""),"-",""),"+",""),"(",""),")",""))="8","7"&amp;MID(SUBSTITUTE(SUBSTITUTE(SUBSTITUTE(SUBSTITUTE(SUBSTITUTE(Клиенты_исходные!D323," ",""),"-",""),"+",""),"(",""),")",""),2,10),SUBSTITUTE(SUBSTITUTE(SUBSTITUTE(SUBSTITUTE(SUBSTITUTE(Клиенты_исходные!D323," ",""),"-",""),"+",""),"(",""),")","")),10,2),IF(LEN(SUBSTITUTE(SUBSTITUTE(SUBSTITUTE(SUBSTITUTE(SUBSTITUTE(Клиенты_исходные!D323," ",""),"-",""),"+",""),"(",""),")",""))=10,"+7 ("&amp;MID(SUBSTITUTE(SUBSTITUTE(SUBSTITUTE(SUBSTITUTE(SUBSTITUTE(Клиенты_исходные!D323," ",""),"-",""),"+",""),"(",""),")",""),1,3)&amp;") "&amp;MID(SUBSTITUTE(SUBSTITUTE(SUBSTITUTE(SUBSTITUTE(SUBSTITUTE(Клиенты_исходные!D323," ",""),"-",""),"+",""),"(",""),")",""),4,3)&amp;"-"&amp;MID(SUBSTITUTE(SUBSTITUTE(SUBSTITUTE(SUBSTITUTE(SUBSTITUTE(Клиенты_исходные!D323," ",""),"-",""),"+",""),"(",""),")",""),6,2)&amp;"-"&amp;MID(SUBSTITUTE(SUBSTITUTE(SUBSTITUTE(SUBSTITUTE(SUBSTITUTE(Клиенты_исходные!D323," ",""),"-",""),"+",""),"(",""),")",""),8,2),Клиенты_исходные!D323)))</f>
        <v xml:space="preserve">+7 (903) 345-67-89</v>
      </c>
      <c r="E323" t="str">
        <f>IF(ISBLANK(Клиенты_исходные!E323),"",IF(ISNUMBER(FIND(".",MID(Клиенты_исходные!E323,FIND("@",Клиенты_исходные!E323)+1,255))),Клиенты_исходные!E323,IF(ISNUMBER(FIND("gmail",Клиенты_исходные!E323)),Клиенты_исходные!E323&amp;".com",Клиенты_исходные!E323&amp;".ru")))</f>
        <v>sinitsin@mail.ru</v>
      </c>
      <c r="F323" t="str">
        <f>IFERROR(VLOOKUP(Клиенты_исходные!F323,Справочники!$J$2:$K$50,2,FALSE),Клиенты_исходные!F323)</f>
        <v>Волжский</v>
      </c>
      <c r="G323" s="8">
        <f>IFERROR(IF(ISNUMBER(FIND(".",Клиенты_исходные!G323)),DATE(RIGHT(Клиенты_исходные!G323,4),MID(Клиенты_исходные!G323,4,2),LEFT(Клиенты_исходные!G323,2)),DATE(LEFT(Клиенты_исходные!G323,4),MID(Клиенты_исходные!G323,6,2),RIGHT(Клиенты_исходные!G323,2))),Клиенты_исходные!G323)</f>
        <v>47818</v>
      </c>
      <c r="H323">
        <f t="shared" ca="1" si="61"/>
        <v>44</v>
      </c>
      <c r="I323" t="str">
        <f t="shared" si="62"/>
        <v>OK</v>
      </c>
      <c r="J323" t="str">
        <f t="shared" si="63"/>
        <v>OK</v>
      </c>
    </row>
    <row r="324">
      <c r="A324" t="str">
        <f>Клиенты_исходные!A324</f>
        <v>C0323</v>
      </c>
      <c r="B324" t="str">
        <f>PROPER(TRIM(Клиенты_исходные!B324))</f>
        <v xml:space="preserve">Чернова Анна Игоревна</v>
      </c>
      <c r="C324" s="8">
        <f>IFERROR(IF(ISNUMBER(FIND(".",Клиенты_исходные!C324)),DATE(RIGHT(Клиенты_исходные!C324,4),MID(Клиенты_исходные!C324,4,2),LEFT(Клиенты_исходные!C324,2)),DATE(LEFT(Клиенты_исходные!C324,4),MID(Клиенты_исходные!C324,6,2),RIGHT(Клиенты_исходные!C324,2))),Клиенты_исходные!C324)</f>
        <v>32891</v>
      </c>
      <c r="D324" t="str">
        <f>IF(ISBLANK(Клиенты_исходные!D324),"",IF(LEN(SUBSTITUTE(SUBSTITUTE(SUBSTITUTE(SUBSTITUTE(SUBSTITUTE(Клиенты_исходные!D324," ",""),"-",""),"+",""),"(",""),")",""))=11,"+7 ("&amp;MID(IF(LEFT(SUBSTITUTE(SUBSTITUTE(SUBSTITUTE(SUBSTITUTE(SUBSTITUTE(Клиенты_исходные!D324," ",""),"-",""),"+",""),"(",""),")",""))="8","7"&amp;MID(SUBSTITUTE(SUBSTITUTE(SUBSTITUTE(SUBSTITUTE(SUBSTITUTE(Клиенты_исходные!D324," ",""),"-",""),"+",""),"(",""),")",""),2,10),SUBSTITUTE(SUBSTITUTE(SUBSTITUTE(SUBSTITUTE(SUBSTITUTE(Клиенты_исходные!D324," ",""),"-",""),"+",""),"(",""),")","")),2,3)&amp;") "&amp;MID(IF(LEFT(SUBSTITUTE(SUBSTITUTE(SUBSTITUTE(SUBSTITUTE(SUBSTITUTE(Клиенты_исходные!D324," ",""),"-",""),"+",""),"(",""),")",""))="8","7"&amp;MID(SUBSTITUTE(SUBSTITUTE(SUBSTITUTE(SUBSTITUTE(SUBSTITUTE(Клиенты_исходные!D324," ",""),"-",""),"+",""),"(",""),")",""),2,10),SUBSTITUTE(SUBSTITUTE(SUBSTITUTE(SUBSTITUTE(SUBSTITUTE(Клиенты_исходные!D324," ",""),"-",""),"+",""),"(",""),")","")),5,3)&amp;"-"&amp;MID(IF(LEFT(SUBSTITUTE(SUBSTITUTE(SUBSTITUTE(SUBSTITUTE(SUBSTITUTE(Клиенты_исходные!D324," ",""),"-",""),"+",""),"(",""),")",""))="8","7"&amp;MID(SUBSTITUTE(SUBSTITUTE(SUBSTITUTE(SUBSTITUTE(SUBSTITUTE(Клиенты_исходные!D324," ",""),"-",""),"+",""),"(",""),")",""),2,10),SUBSTITUTE(SUBSTITUTE(SUBSTITUTE(SUBSTITUTE(SUBSTITUTE(Клиенты_исходные!D324," ",""),"-",""),"+",""),"(",""),")","")),8,2)&amp;"-"&amp;MID(IF(LEFT(SUBSTITUTE(SUBSTITUTE(SUBSTITUTE(SUBSTITUTE(SUBSTITUTE(Клиенты_исходные!D324," ",""),"-",""),"+",""),"(",""),")",""))="8","7"&amp;MID(SUBSTITUTE(SUBSTITUTE(SUBSTITUTE(SUBSTITUTE(SUBSTITUTE(Клиенты_исходные!D324," ",""),"-",""),"+",""),"(",""),")",""),2,10),SUBSTITUTE(SUBSTITUTE(SUBSTITUTE(SUBSTITUTE(SUBSTITUTE(Клиенты_исходные!D324," ",""),"-",""),"+",""),"(",""),")","")),10,2),IF(LEN(SUBSTITUTE(SUBSTITUTE(SUBSTITUTE(SUBSTITUTE(SUBSTITUTE(Клиенты_исходные!D324," ",""),"-",""),"+",""),"(",""),")",""))=10,"+7 ("&amp;MID(SUBSTITUTE(SUBSTITUTE(SUBSTITUTE(SUBSTITUTE(SUBSTITUTE(Клиенты_исходные!D324," ",""),"-",""),"+",""),"(",""),")",""),1,3)&amp;") "&amp;MID(SUBSTITUTE(SUBSTITUTE(SUBSTITUTE(SUBSTITUTE(SUBSTITUTE(Клиенты_исходные!D324," ",""),"-",""),"+",""),"(",""),")",""),4,3)&amp;"-"&amp;MID(SUBSTITUTE(SUBSTITUTE(SUBSTITUTE(SUBSTITUTE(SUBSTITUTE(Клиенты_исходные!D324," ",""),"-",""),"+",""),"(",""),")",""),6,2)&amp;"-"&amp;MID(SUBSTITUTE(SUBSTITUTE(SUBSTITUTE(SUBSTITUTE(SUBSTITUTE(Клиенты_исходные!D324," ",""),"-",""),"+",""),"(",""),")",""),8,2),Клиенты_исходные!D324)))</f>
        <v xml:space="preserve">+7 (903) 345-67-89</v>
      </c>
      <c r="E324" t="str">
        <f>IF(ISBLANK(Клиенты_исходные!E324),"",IF(ISNUMBER(FIND(".",MID(Клиенты_исходные!E324,FIND("@",Клиенты_исходные!E324)+1,255))),Клиенты_исходные!E324,IF(ISNUMBER(FIND("gmail",Клиенты_исходные!E324)),Клиенты_исходные!E324&amp;".com",Клиенты_исходные!E324&amp;".ru")))</f>
        <v>chernova@yandex.ru</v>
      </c>
      <c r="F324" t="str">
        <f>IFERROR(VLOOKUP(Клиенты_исходные!F324,Справочники!$J$2:$K$50,2,FALSE),Клиенты_исходные!F324)</f>
        <v>Шахты</v>
      </c>
      <c r="G324" s="8">
        <f>IFERROR(IF(ISNUMBER(FIND(".",Клиенты_исходные!G324)),DATE(RIGHT(Клиенты_исходные!G324,4),MID(Клиенты_исходные!G324,4,2),LEFT(Клиенты_исходные!G324,2)),DATE(LEFT(Клиенты_исходные!G324,4),MID(Клиенты_исходные!G324,6,2),RIGHT(Клиенты_исходные!G324,2))),Клиенты_исходные!G324)</f>
        <v>47827</v>
      </c>
      <c r="H324">
        <f t="shared" ca="1" si="61"/>
        <v>36</v>
      </c>
      <c r="I324" t="str">
        <f t="shared" si="62"/>
        <v>OK</v>
      </c>
      <c r="J324" t="str">
        <f t="shared" si="63"/>
        <v>OK</v>
      </c>
    </row>
    <row r="325">
      <c r="A325" t="str">
        <f>Клиенты_исходные!A325</f>
        <v>C0324</v>
      </c>
      <c r="B325" t="str">
        <f>PROPER(TRIM(Клиенты_исходные!B325))</f>
        <v xml:space="preserve">Ширяев Андрей Викторович</v>
      </c>
      <c r="C325" s="8">
        <f>IFERROR(IF(ISNUMBER(FIND(".",Клиенты_исходные!C325)),DATE(RIGHT(Клиенты_исходные!C325,4),MID(Клиенты_исходные!C325,4,2),LEFT(Клиенты_исходные!C325,2)),DATE(LEFT(Клиенты_исходные!C325,4),MID(Клиенты_исходные!C325,6,2),RIGHT(Клиенты_исходные!C325,2))),Клиенты_исходные!C325)</f>
        <v>27187</v>
      </c>
      <c r="D325" t="str">
        <f>IF(ISBLANK(Клиенты_исходные!D325),"",IF(LEN(SUBSTITUTE(SUBSTITUTE(SUBSTITUTE(SUBSTITUTE(SUBSTITUTE(Клиенты_исходные!D325," ",""),"-",""),"+",""),"(",""),")",""))=11,"+7 ("&amp;MID(IF(LEFT(SUBSTITUTE(SUBSTITUTE(SUBSTITUTE(SUBSTITUTE(SUBSTITUTE(Клиенты_исходные!D325," ",""),"-",""),"+",""),"(",""),")",""))="8","7"&amp;MID(SUBSTITUTE(SUBSTITUTE(SUBSTITUTE(SUBSTITUTE(SUBSTITUTE(Клиенты_исходные!D325," ",""),"-",""),"+",""),"(",""),")",""),2,10),SUBSTITUTE(SUBSTITUTE(SUBSTITUTE(SUBSTITUTE(SUBSTITUTE(Клиенты_исходные!D325," ",""),"-",""),"+",""),"(",""),")","")),2,3)&amp;") "&amp;MID(IF(LEFT(SUBSTITUTE(SUBSTITUTE(SUBSTITUTE(SUBSTITUTE(SUBSTITUTE(Клиенты_исходные!D325," ",""),"-",""),"+",""),"(",""),")",""))="8","7"&amp;MID(SUBSTITUTE(SUBSTITUTE(SUBSTITUTE(SUBSTITUTE(SUBSTITUTE(Клиенты_исходные!D325," ",""),"-",""),"+",""),"(",""),")",""),2,10),SUBSTITUTE(SUBSTITUTE(SUBSTITUTE(SUBSTITUTE(SUBSTITUTE(Клиенты_исходные!D325," ",""),"-",""),"+",""),"(",""),")","")),5,3)&amp;"-"&amp;MID(IF(LEFT(SUBSTITUTE(SUBSTITUTE(SUBSTITUTE(SUBSTITUTE(SUBSTITUTE(Клиенты_исходные!D325," ",""),"-",""),"+",""),"(",""),")",""))="8","7"&amp;MID(SUBSTITUTE(SUBSTITUTE(SUBSTITUTE(SUBSTITUTE(SUBSTITUTE(Клиенты_исходные!D325," ",""),"-",""),"+",""),"(",""),")",""),2,10),SUBSTITUTE(SUBSTITUTE(SUBSTITUTE(SUBSTITUTE(SUBSTITUTE(Клиенты_исходные!D325," ",""),"-",""),"+",""),"(",""),")","")),8,2)&amp;"-"&amp;MID(IF(LEFT(SUBSTITUTE(SUBSTITUTE(SUBSTITUTE(SUBSTITUTE(SUBSTITUTE(Клиенты_исходные!D325," ",""),"-",""),"+",""),"(",""),")",""))="8","7"&amp;MID(SUBSTITUTE(SUBSTITUTE(SUBSTITUTE(SUBSTITUTE(SUBSTITUTE(Клиенты_исходные!D325," ",""),"-",""),"+",""),"(",""),")",""),2,10),SUBSTITUTE(SUBSTITUTE(SUBSTITUTE(SUBSTITUTE(SUBSTITUTE(Клиенты_исходные!D325," ",""),"-",""),"+",""),"(",""),")","")),10,2),IF(LEN(SUBSTITUTE(SUBSTITUTE(SUBSTITUTE(SUBSTITUTE(SUBSTITUTE(Клиенты_исходные!D325," ",""),"-",""),"+",""),"(",""),")",""))=10,"+7 ("&amp;MID(SUBSTITUTE(SUBSTITUTE(SUBSTITUTE(SUBSTITUTE(SUBSTITUTE(Клиенты_исходные!D325," ",""),"-",""),"+",""),"(",""),")",""),1,3)&amp;") "&amp;MID(SUBSTITUTE(SUBSTITUTE(SUBSTITUTE(SUBSTITUTE(SUBSTITUTE(Клиенты_исходные!D325," ",""),"-",""),"+",""),"(",""),")",""),4,3)&amp;"-"&amp;MID(SUBSTITUTE(SUBSTITUTE(SUBSTITUTE(SUBSTITUTE(SUBSTITUTE(Клиенты_исходные!D325," ",""),"-",""),"+",""),"(",""),")",""),6,2)&amp;"-"&amp;MID(SUBSTITUTE(SUBSTITUTE(SUBSTITUTE(SUBSTITUTE(SUBSTITUTE(Клиенты_исходные!D325," ",""),"-",""),"+",""),"(",""),")",""),8,2),Клиенты_исходные!D325)))</f>
        <v xml:space="preserve">+7 (903) 456-78-90</v>
      </c>
      <c r="E325" t="str">
        <f>IF(ISBLANK(Клиенты_исходные!E325),"",IF(ISNUMBER(FIND(".",MID(Клиенты_исходные!E325,FIND("@",Клиенты_исходные!E325)+1,255))),Клиенты_исходные!E325,IF(ISNUMBER(FIND("gmail",Клиенты_исходные!E325)),Клиенты_исходные!E325&amp;".com",Клиенты_исходные!E325&amp;".ru")))</f>
        <v>shiryaev@gmail.com</v>
      </c>
      <c r="F325" t="str">
        <f>IFERROR(VLOOKUP(Клиенты_исходные!F325,Справочники!$J$2:$K$50,2,FALSE),Клиенты_исходные!F325)</f>
        <v>Златоуст</v>
      </c>
      <c r="G325" s="8">
        <f>IFERROR(IF(ISNUMBER(FIND(".",Клиенты_исходные!G325)),DATE(RIGHT(Клиенты_исходные!G325,4),MID(Клиенты_исходные!G325,4,2),LEFT(Клиенты_исходные!G325,2)),DATE(LEFT(Клиенты_исходные!G325,4),MID(Клиенты_исходные!G325,6,2),RIGHT(Клиенты_исходные!G325,2))),Клиенты_исходные!G325)</f>
        <v>47827</v>
      </c>
      <c r="H325">
        <f t="shared" ca="1" si="61"/>
        <v>52</v>
      </c>
      <c r="I325" t="str">
        <f t="shared" si="62"/>
        <v>OK</v>
      </c>
      <c r="J325" t="str">
        <f t="shared" si="63"/>
        <v>OK</v>
      </c>
    </row>
    <row r="326">
      <c r="A326" t="str">
        <f>Клиенты_исходные!A326</f>
        <v>C0325</v>
      </c>
      <c r="B326" t="str">
        <f>PROPER(TRIM(Клиенты_исходные!B326))</f>
        <v xml:space="preserve">Казанцев Дмитрий Сергеевич</v>
      </c>
      <c r="C326" s="8">
        <f>IFERROR(IF(ISNUMBER(FIND(".",Клиенты_исходные!C326)),DATE(RIGHT(Клиенты_исходные!C326,4),MID(Клиенты_исходные!C326,4,2),LEFT(Клиенты_исходные!C326,2)),DATE(LEFT(Клиенты_исходные!C326,4),MID(Клиенты_исходные!C326,6,2),RIGHT(Клиенты_исходные!C326,2))),Клиенты_исходные!C326)</f>
        <v>31681</v>
      </c>
      <c r="D326" t="str">
        <f>IF(ISBLANK(Клиенты_исходные!D326),"",IF(LEN(SUBSTITUTE(SUBSTITUTE(SUBSTITUTE(SUBSTITUTE(SUBSTITUTE(Клиенты_исходные!D326," ",""),"-",""),"+",""),"(",""),")",""))=11,"+7 ("&amp;MID(IF(LEFT(SUBSTITUTE(SUBSTITUTE(SUBSTITUTE(SUBSTITUTE(SUBSTITUTE(Клиенты_исходные!D326," ",""),"-",""),"+",""),"(",""),")",""))="8","7"&amp;MID(SUBSTITUTE(SUBSTITUTE(SUBSTITUTE(SUBSTITUTE(SUBSTITUTE(Клиенты_исходные!D326," ",""),"-",""),"+",""),"(",""),")",""),2,10),SUBSTITUTE(SUBSTITUTE(SUBSTITUTE(SUBSTITUTE(SUBSTITUTE(Клиенты_исходные!D326," ",""),"-",""),"+",""),"(",""),")","")),2,3)&amp;") "&amp;MID(IF(LEFT(SUBSTITUTE(SUBSTITUTE(SUBSTITUTE(SUBSTITUTE(SUBSTITUTE(Клиенты_исходные!D326," ",""),"-",""),"+",""),"(",""),")",""))="8","7"&amp;MID(SUBSTITUTE(SUBSTITUTE(SUBSTITUTE(SUBSTITUTE(SUBSTITUTE(Клиенты_исходные!D326," ",""),"-",""),"+",""),"(",""),")",""),2,10),SUBSTITUTE(SUBSTITUTE(SUBSTITUTE(SUBSTITUTE(SUBSTITUTE(Клиенты_исходные!D326," ",""),"-",""),"+",""),"(",""),")","")),5,3)&amp;"-"&amp;MID(IF(LEFT(SUBSTITUTE(SUBSTITUTE(SUBSTITUTE(SUBSTITUTE(SUBSTITUTE(Клиенты_исходные!D326," ",""),"-",""),"+",""),"(",""),")",""))="8","7"&amp;MID(SUBSTITUTE(SUBSTITUTE(SUBSTITUTE(SUBSTITUTE(SUBSTITUTE(Клиенты_исходные!D326," ",""),"-",""),"+",""),"(",""),")",""),2,10),SUBSTITUTE(SUBSTITUTE(SUBSTITUTE(SUBSTITUTE(SUBSTITUTE(Клиенты_исходные!D326," ",""),"-",""),"+",""),"(",""),")","")),8,2)&amp;"-"&amp;MID(IF(LEFT(SUBSTITUTE(SUBSTITUTE(SUBSTITUTE(SUBSTITUTE(SUBSTITUTE(Клиенты_исходные!D326," ",""),"-",""),"+",""),"(",""),")",""))="8","7"&amp;MID(SUBSTITUTE(SUBSTITUTE(SUBSTITUTE(SUBSTITUTE(SUBSTITUTE(Клиенты_исходные!D326," ",""),"-",""),"+",""),"(",""),")",""),2,10),SUBSTITUTE(SUBSTITUTE(SUBSTITUTE(SUBSTITUTE(SUBSTITUTE(Клиенты_исходные!D326," ",""),"-",""),"+",""),"(",""),")","")),10,2),IF(LEN(SUBSTITUTE(SUBSTITUTE(SUBSTITUTE(SUBSTITUTE(SUBSTITUTE(Клиенты_исходные!D326," ",""),"-",""),"+",""),"(",""),")",""))=10,"+7 ("&amp;MID(SUBSTITUTE(SUBSTITUTE(SUBSTITUTE(SUBSTITUTE(SUBSTITUTE(Клиенты_исходные!D326," ",""),"-",""),"+",""),"(",""),")",""),1,3)&amp;") "&amp;MID(SUBSTITUTE(SUBSTITUTE(SUBSTITUTE(SUBSTITUTE(SUBSTITUTE(Клиенты_исходные!D326," ",""),"-",""),"+",""),"(",""),")",""),4,3)&amp;"-"&amp;MID(SUBSTITUTE(SUBSTITUTE(SUBSTITUTE(SUBSTITUTE(SUBSTITUTE(Клиенты_исходные!D326," ",""),"-",""),"+",""),"(",""),")",""),6,2)&amp;"-"&amp;MID(SUBSTITUTE(SUBSTITUTE(SUBSTITUTE(SUBSTITUTE(SUBSTITUTE(Клиенты_исходные!D326," ",""),"-",""),"+",""),"(",""),")",""),8,2),Клиенты_исходные!D326)))</f>
        <v xml:space="preserve">+7 (903) 456-78-90</v>
      </c>
      <c r="E326" t="str">
        <f>IF(ISBLANK(Клиенты_исходные!E326),"",IF(ISNUMBER(FIND(".",MID(Клиенты_исходные!E326,FIND("@",Клиенты_исходные!E326)+1,255))),Клиенты_исходные!E326,IF(ISNUMBER(FIND("gmail",Клиенты_исходные!E326)),Клиенты_исходные!E326&amp;".com",Клиенты_исходные!E326&amp;".ru")))</f>
        <v>kazantsev@mail.ru</v>
      </c>
      <c r="F326" t="str">
        <f>IFERROR(VLOOKUP(Клиенты_исходные!F326,Справочники!$J$2:$K$50,2,FALSE),Клиенты_исходные!F326)</f>
        <v>Ангарск</v>
      </c>
      <c r="G326" s="8">
        <f>IFERROR(IF(ISNUMBER(FIND(".",Клиенты_исходные!G326)),DATE(RIGHT(Клиенты_исходные!G326,4),MID(Клиенты_исходные!G326,4,2),LEFT(Клиенты_исходные!G326,2)),DATE(LEFT(Клиенты_исходные!G326,4),MID(Клиенты_исходные!G326,6,2),RIGHT(Клиенты_исходные!G326,2))),Клиенты_исходные!G326)</f>
        <v>47849</v>
      </c>
      <c r="H326">
        <f t="shared" ca="1" si="61"/>
        <v>40</v>
      </c>
      <c r="I326" t="str">
        <f t="shared" si="62"/>
        <v>OK</v>
      </c>
      <c r="J326" t="str">
        <f t="shared" si="63"/>
        <v>OK</v>
      </c>
    </row>
    <row r="327">
      <c r="A327" t="str">
        <f>Клиенты_исходные!A327</f>
        <v>C0326</v>
      </c>
      <c r="B327" t="str">
        <f>PROPER(TRIM(Клиенты_исходные!B327))</f>
        <v xml:space="preserve">Медведев Артем Павлович</v>
      </c>
      <c r="C327" s="8">
        <f>IFERROR(IF(ISNUMBER(FIND(".",Клиенты_исходные!C327)),DATE(RIGHT(Клиенты_исходные!C327,4),MID(Клиенты_исходные!C327,4,2),LEFT(Клиенты_исходные!C327,2)),DATE(LEFT(Клиенты_исходные!C327,4),MID(Клиенты_исходные!C327,6,2),RIGHT(Клиенты_исходные!C327,2))),Клиенты_исходные!C327)</f>
        <v>33952</v>
      </c>
      <c r="D327" t="str">
        <f>IF(ISBLANK(Клиенты_исходные!D327),"",IF(LEN(SUBSTITUTE(SUBSTITUTE(SUBSTITUTE(SUBSTITUTE(SUBSTITUTE(Клиенты_исходные!D327," ",""),"-",""),"+",""),"(",""),")",""))=11,"+7 ("&amp;MID(IF(LEFT(SUBSTITUTE(SUBSTITUTE(SUBSTITUTE(SUBSTITUTE(SUBSTITUTE(Клиенты_исходные!D327," ",""),"-",""),"+",""),"(",""),")",""))="8","7"&amp;MID(SUBSTITUTE(SUBSTITUTE(SUBSTITUTE(SUBSTITUTE(SUBSTITUTE(Клиенты_исходные!D327," ",""),"-",""),"+",""),"(",""),")",""),2,10),SUBSTITUTE(SUBSTITUTE(SUBSTITUTE(SUBSTITUTE(SUBSTITUTE(Клиенты_исходные!D327," ",""),"-",""),"+",""),"(",""),")","")),2,3)&amp;") "&amp;MID(IF(LEFT(SUBSTITUTE(SUBSTITUTE(SUBSTITUTE(SUBSTITUTE(SUBSTITUTE(Клиенты_исходные!D327," ",""),"-",""),"+",""),"(",""),")",""))="8","7"&amp;MID(SUBSTITUTE(SUBSTITUTE(SUBSTITUTE(SUBSTITUTE(SUBSTITUTE(Клиенты_исходные!D327," ",""),"-",""),"+",""),"(",""),")",""),2,10),SUBSTITUTE(SUBSTITUTE(SUBSTITUTE(SUBSTITUTE(SUBSTITUTE(Клиенты_исходные!D327," ",""),"-",""),"+",""),"(",""),")","")),5,3)&amp;"-"&amp;MID(IF(LEFT(SUBSTITUTE(SUBSTITUTE(SUBSTITUTE(SUBSTITUTE(SUBSTITUTE(Клиенты_исходные!D327," ",""),"-",""),"+",""),"(",""),")",""))="8","7"&amp;MID(SUBSTITUTE(SUBSTITUTE(SUBSTITUTE(SUBSTITUTE(SUBSTITUTE(Клиенты_исходные!D327," ",""),"-",""),"+",""),"(",""),")",""),2,10),SUBSTITUTE(SUBSTITUTE(SUBSTITUTE(SUBSTITUTE(SUBSTITUTE(Клиенты_исходные!D327," ",""),"-",""),"+",""),"(",""),")","")),8,2)&amp;"-"&amp;MID(IF(LEFT(SUBSTITUTE(SUBSTITUTE(SUBSTITUTE(SUBSTITUTE(SUBSTITUTE(Клиенты_исходные!D327," ",""),"-",""),"+",""),"(",""),")",""))="8","7"&amp;MID(SUBSTITUTE(SUBSTITUTE(SUBSTITUTE(SUBSTITUTE(SUBSTITUTE(Клиенты_исходные!D327," ",""),"-",""),"+",""),"(",""),")",""),2,10),SUBSTITUTE(SUBSTITUTE(SUBSTITUTE(SUBSTITUTE(SUBSTITUTE(Клиенты_исходные!D327," ",""),"-",""),"+",""),"(",""),")","")),10,2),IF(LEN(SUBSTITUTE(SUBSTITUTE(SUBSTITUTE(SUBSTITUTE(SUBSTITUTE(Клиенты_исходные!D327," ",""),"-",""),"+",""),"(",""),")",""))=10,"+7 ("&amp;MID(SUBSTITUTE(SUBSTITUTE(SUBSTITUTE(SUBSTITUTE(SUBSTITUTE(Клиенты_исходные!D327," ",""),"-",""),"+",""),"(",""),")",""),1,3)&amp;") "&amp;MID(SUBSTITUTE(SUBSTITUTE(SUBSTITUTE(SUBSTITUTE(SUBSTITUTE(Клиенты_исходные!D327," ",""),"-",""),"+",""),"(",""),")",""),4,3)&amp;"-"&amp;MID(SUBSTITUTE(SUBSTITUTE(SUBSTITUTE(SUBSTITUTE(SUBSTITUTE(Клиенты_исходные!D327," ",""),"-",""),"+",""),"(",""),")",""),6,2)&amp;"-"&amp;MID(SUBSTITUTE(SUBSTITUTE(SUBSTITUTE(SUBSTITUTE(SUBSTITUTE(Клиенты_исходные!D327," ",""),"-",""),"+",""),"(",""),")",""),8,2),Клиенты_исходные!D327)))</f>
        <v xml:space="preserve">+7 (903) 456-78-90</v>
      </c>
      <c r="E327" t="str">
        <f>IF(ISBLANK(Клиенты_исходные!E327),"",IF(ISNUMBER(FIND(".",MID(Клиенты_исходные!E327,FIND("@",Клиенты_исходные!E327)+1,255))),Клиенты_исходные!E327,IF(ISNUMBER(FIND("gmail",Клиенты_исходные!E327)),Клиенты_исходные!E327&amp;".com",Клиенты_исходные!E327&amp;".ru")))</f>
        <v>medvedev@yandex.ru</v>
      </c>
      <c r="F327" t="str">
        <f>IFERROR(VLOOKUP(Клиенты_исходные!F327,Справочники!$J$2:$K$50,2,FALSE),Клиенты_исходные!F327)</f>
        <v>Озёрск</v>
      </c>
      <c r="G327" s="8">
        <f>IFERROR(IF(ISNUMBER(FIND(".",Клиенты_исходные!G327)),DATE(RIGHT(Клиенты_исходные!G327,4),MID(Клиенты_исходные!G327,4,2),LEFT(Клиенты_исходные!G327,2)),DATE(LEFT(Клиенты_исходные!G327,4),MID(Клиенты_исходные!G327,6,2),RIGHT(Клиенты_исходные!G327,2))),Клиенты_исходные!G327)</f>
        <v>47863</v>
      </c>
      <c r="H327">
        <f t="shared" ca="1" si="61"/>
        <v>33</v>
      </c>
      <c r="I327" t="str">
        <f t="shared" si="62"/>
        <v>OK</v>
      </c>
      <c r="J327" t="str">
        <f t="shared" si="63"/>
        <v>OK</v>
      </c>
    </row>
    <row r="328">
      <c r="A328" t="str">
        <f>Клиенты_исходные!A328</f>
        <v>C0327</v>
      </c>
      <c r="B328" t="str">
        <f>PROPER(TRIM(Клиенты_исходные!B328))</f>
        <v xml:space="preserve">Широкова Светлана Николаевна</v>
      </c>
      <c r="C328" s="8">
        <f>IFERROR(IF(ISNUMBER(FIND(".",Клиенты_исходные!C328)),DATE(RIGHT(Клиенты_исходные!C328,4),MID(Клиенты_исходные!C328,4,2),LEFT(Клиенты_исходные!C328,2)),DATE(LEFT(Клиенты_исходные!C328,4),MID(Клиенты_исходные!C328,6,2),RIGHT(Клиенты_исходные!C328,2))),Клиенты_исходные!C328)</f>
        <v>28589</v>
      </c>
      <c r="D328" t="str">
        <f>IF(ISBLANK(Клиенты_исходные!D328),"",IF(LEN(SUBSTITUTE(SUBSTITUTE(SUBSTITUTE(SUBSTITUTE(SUBSTITUTE(Клиенты_исходные!D328," ",""),"-",""),"+",""),"(",""),")",""))=11,"+7 ("&amp;MID(IF(LEFT(SUBSTITUTE(SUBSTITUTE(SUBSTITUTE(SUBSTITUTE(SUBSTITUTE(Клиенты_исходные!D328," ",""),"-",""),"+",""),"(",""),")",""))="8","7"&amp;MID(SUBSTITUTE(SUBSTITUTE(SUBSTITUTE(SUBSTITUTE(SUBSTITUTE(Клиенты_исходные!D328," ",""),"-",""),"+",""),"(",""),")",""),2,10),SUBSTITUTE(SUBSTITUTE(SUBSTITUTE(SUBSTITUTE(SUBSTITUTE(Клиенты_исходные!D328," ",""),"-",""),"+",""),"(",""),")","")),2,3)&amp;") "&amp;MID(IF(LEFT(SUBSTITUTE(SUBSTITUTE(SUBSTITUTE(SUBSTITUTE(SUBSTITUTE(Клиенты_исходные!D328," ",""),"-",""),"+",""),"(",""),")",""))="8","7"&amp;MID(SUBSTITUTE(SUBSTITUTE(SUBSTITUTE(SUBSTITUTE(SUBSTITUTE(Клиенты_исходные!D328," ",""),"-",""),"+",""),"(",""),")",""),2,10),SUBSTITUTE(SUBSTITUTE(SUBSTITUTE(SUBSTITUTE(SUBSTITUTE(Клиенты_исходные!D328," ",""),"-",""),"+",""),"(",""),")","")),5,3)&amp;"-"&amp;MID(IF(LEFT(SUBSTITUTE(SUBSTITUTE(SUBSTITUTE(SUBSTITUTE(SUBSTITUTE(Клиенты_исходные!D328," ",""),"-",""),"+",""),"(",""),")",""))="8","7"&amp;MID(SUBSTITUTE(SUBSTITUTE(SUBSTITUTE(SUBSTITUTE(SUBSTITUTE(Клиенты_исходные!D328," ",""),"-",""),"+",""),"(",""),")",""),2,10),SUBSTITUTE(SUBSTITUTE(SUBSTITUTE(SUBSTITUTE(SUBSTITUTE(Клиенты_исходные!D328," ",""),"-",""),"+",""),"(",""),")","")),8,2)&amp;"-"&amp;MID(IF(LEFT(SUBSTITUTE(SUBSTITUTE(SUBSTITUTE(SUBSTITUTE(SUBSTITUTE(Клиенты_исходные!D328," ",""),"-",""),"+",""),"(",""),")",""))="8","7"&amp;MID(SUBSTITUTE(SUBSTITUTE(SUBSTITUTE(SUBSTITUTE(SUBSTITUTE(Клиенты_исходные!D328," ",""),"-",""),"+",""),"(",""),")",""),2,10),SUBSTITUTE(SUBSTITUTE(SUBSTITUTE(SUBSTITUTE(SUBSTITUTE(Клиенты_исходные!D328," ",""),"-",""),"+",""),"(",""),")","")),10,2),IF(LEN(SUBSTITUTE(SUBSTITUTE(SUBSTITUTE(SUBSTITUTE(SUBSTITUTE(Клиенты_исходные!D328," ",""),"-",""),"+",""),"(",""),")",""))=10,"+7 ("&amp;MID(SUBSTITUTE(SUBSTITUTE(SUBSTITUTE(SUBSTITUTE(SUBSTITUTE(Клиенты_исходные!D328," ",""),"-",""),"+",""),"(",""),")",""),1,3)&amp;") "&amp;MID(SUBSTITUTE(SUBSTITUTE(SUBSTITUTE(SUBSTITUTE(SUBSTITUTE(Клиенты_исходные!D328," ",""),"-",""),"+",""),"(",""),")",""),4,3)&amp;"-"&amp;MID(SUBSTITUTE(SUBSTITUTE(SUBSTITUTE(SUBSTITUTE(SUBSTITUTE(Клиенты_исходные!D328," ",""),"-",""),"+",""),"(",""),")",""),6,2)&amp;"-"&amp;MID(SUBSTITUTE(SUBSTITUTE(SUBSTITUTE(SUBSTITUTE(SUBSTITUTE(Клиенты_исходные!D328," ",""),"-",""),"+",""),"(",""),")",""),8,2),Клиенты_исходные!D328)))</f>
        <v xml:space="preserve">+7 (903) 567-89-01</v>
      </c>
      <c r="E328" t="str">
        <f>IF(ISBLANK(Клиенты_исходные!E328),"",IF(ISNUMBER(FIND(".",MID(Клиенты_исходные!E328,FIND("@",Клиенты_исходные!E328)+1,255))),Клиенты_исходные!E328,IF(ISNUMBER(FIND("gmail",Клиенты_исходные!E328)),Клиенты_исходные!E328&amp;".com",Клиенты_исходные!E328&amp;".ru")))</f>
        <v>shirokova@gmail.com</v>
      </c>
      <c r="F328" t="str">
        <f>IFERROR(VLOOKUP(Клиенты_исходные!F328,Справочники!$J$2:$K$50,2,FALSE),Клиенты_исходные!F328)</f>
        <v>Орел</v>
      </c>
      <c r="G328" s="8">
        <f>IFERROR(IF(ISNUMBER(FIND(".",Клиенты_исходные!G328)),DATE(RIGHT(Клиенты_исходные!G328,4),MID(Клиенты_исходные!G328,4,2),LEFT(Клиенты_исходные!G328,2)),DATE(LEFT(Клиенты_исходные!G328,4),MID(Клиенты_исходные!G328,6,2),RIGHT(Клиенты_исходные!G328,2))),Клиенты_исходные!G328)</f>
        <v>47863</v>
      </c>
      <c r="H328">
        <f t="shared" ca="1" si="61"/>
        <v>48</v>
      </c>
      <c r="I328" t="str">
        <f t="shared" si="62"/>
        <v>OK</v>
      </c>
      <c r="J328" t="str">
        <f t="shared" si="63"/>
        <v>OK</v>
      </c>
    </row>
    <row r="329">
      <c r="A329" t="str">
        <f>Клиенты_исходные!A329</f>
        <v>C0328</v>
      </c>
      <c r="B329" t="str">
        <f>PROPER(TRIM(Клиенты_исходные!B329))</f>
        <v xml:space="preserve">Анищенко Владимир Игоревич</v>
      </c>
      <c r="C329" s="8">
        <f>IFERROR(IF(ISNUMBER(FIND(".",Клиенты_исходные!C329)),DATE(RIGHT(Клиенты_исходные!C329,4),MID(Клиенты_исходные!C329,4,2),LEFT(Клиенты_исходные!C329,2)),DATE(LEFT(Клиенты_исходные!C329,4),MID(Клиенты_исходные!C329,6,2),RIGHT(Клиенты_исходные!C329,2))),Клиенты_исходные!C329)</f>
        <v>30551</v>
      </c>
      <c r="D329" t="str">
        <f>IF(ISBLANK(Клиенты_исходные!D329),"",IF(LEN(SUBSTITUTE(SUBSTITUTE(SUBSTITUTE(SUBSTITUTE(SUBSTITUTE(Клиенты_исходные!D329," ",""),"-",""),"+",""),"(",""),")",""))=11,"+7 ("&amp;MID(IF(LEFT(SUBSTITUTE(SUBSTITUTE(SUBSTITUTE(SUBSTITUTE(SUBSTITUTE(Клиенты_исходные!D329," ",""),"-",""),"+",""),"(",""),")",""))="8","7"&amp;MID(SUBSTITUTE(SUBSTITUTE(SUBSTITUTE(SUBSTITUTE(SUBSTITUTE(Клиенты_исходные!D329," ",""),"-",""),"+",""),"(",""),")",""),2,10),SUBSTITUTE(SUBSTITUTE(SUBSTITUTE(SUBSTITUTE(SUBSTITUTE(Клиенты_исходные!D329," ",""),"-",""),"+",""),"(",""),")","")),2,3)&amp;") "&amp;MID(IF(LEFT(SUBSTITUTE(SUBSTITUTE(SUBSTITUTE(SUBSTITUTE(SUBSTITUTE(Клиенты_исходные!D329," ",""),"-",""),"+",""),"(",""),")",""))="8","7"&amp;MID(SUBSTITUTE(SUBSTITUTE(SUBSTITUTE(SUBSTITUTE(SUBSTITUTE(Клиенты_исходные!D329," ",""),"-",""),"+",""),"(",""),")",""),2,10),SUBSTITUTE(SUBSTITUTE(SUBSTITUTE(SUBSTITUTE(SUBSTITUTE(Клиенты_исходные!D329," ",""),"-",""),"+",""),"(",""),")","")),5,3)&amp;"-"&amp;MID(IF(LEFT(SUBSTITUTE(SUBSTITUTE(SUBSTITUTE(SUBSTITUTE(SUBSTITUTE(Клиенты_исходные!D329," ",""),"-",""),"+",""),"(",""),")",""))="8","7"&amp;MID(SUBSTITUTE(SUBSTITUTE(SUBSTITUTE(SUBSTITUTE(SUBSTITUTE(Клиенты_исходные!D329," ",""),"-",""),"+",""),"(",""),")",""),2,10),SUBSTITUTE(SUBSTITUTE(SUBSTITUTE(SUBSTITUTE(SUBSTITUTE(Клиенты_исходные!D329," ",""),"-",""),"+",""),"(",""),")","")),8,2)&amp;"-"&amp;MID(IF(LEFT(SUBSTITUTE(SUBSTITUTE(SUBSTITUTE(SUBSTITUTE(SUBSTITUTE(Клиенты_исходные!D329," ",""),"-",""),"+",""),"(",""),")",""))="8","7"&amp;MID(SUBSTITUTE(SUBSTITUTE(SUBSTITUTE(SUBSTITUTE(SUBSTITUTE(Клиенты_исходные!D329," ",""),"-",""),"+",""),"(",""),")",""),2,10),SUBSTITUTE(SUBSTITUTE(SUBSTITUTE(SUBSTITUTE(SUBSTITUTE(Клиенты_исходные!D329," ",""),"-",""),"+",""),"(",""),")","")),10,2),IF(LEN(SUBSTITUTE(SUBSTITUTE(SUBSTITUTE(SUBSTITUTE(SUBSTITUTE(Клиенты_исходные!D329," ",""),"-",""),"+",""),"(",""),")",""))=10,"+7 ("&amp;MID(SUBSTITUTE(SUBSTITUTE(SUBSTITUTE(SUBSTITUTE(SUBSTITUTE(Клиенты_исходные!D329," ",""),"-",""),"+",""),"(",""),")",""),1,3)&amp;") "&amp;MID(SUBSTITUTE(SUBSTITUTE(SUBSTITUTE(SUBSTITUTE(SUBSTITUTE(Клиенты_исходные!D329," ",""),"-",""),"+",""),"(",""),")",""),4,3)&amp;"-"&amp;MID(SUBSTITUTE(SUBSTITUTE(SUBSTITUTE(SUBSTITUTE(SUBSTITUTE(Клиенты_исходные!D329," ",""),"-",""),"+",""),"(",""),")",""),6,2)&amp;"-"&amp;MID(SUBSTITUTE(SUBSTITUTE(SUBSTITUTE(SUBSTITUTE(SUBSTITUTE(Клиенты_исходные!D329," ",""),"-",""),"+",""),"(",""),")",""),8,2),Клиенты_исходные!D329)))</f>
        <v xml:space="preserve">+7 (903) 567-89-01</v>
      </c>
      <c r="E329" t="str">
        <f>IF(ISBLANK(Клиенты_исходные!E329),"",IF(ISNUMBER(FIND(".",MID(Клиенты_исходные!E329,FIND("@",Клиенты_исходные!E329)+1,255))),Клиенты_исходные!E329,IF(ISNUMBER(FIND("gmail",Клиенты_исходные!E329)),Клиенты_исходные!E329&amp;".com",Клиенты_исходные!E329&amp;".ru")))</f>
        <v>anischenko@mail.ru</v>
      </c>
      <c r="F329" t="str">
        <f>IFERROR(VLOOKUP(Клиенты_исходные!F329,Справочники!$J$2:$K$50,2,FALSE),Клиенты_исходные!F329)</f>
        <v>Магнитогорск</v>
      </c>
      <c r="G329" s="8">
        <f>IFERROR(IF(ISNUMBER(FIND(".",Клиенты_исходные!G329)),DATE(RIGHT(Клиенты_исходные!G329,4),MID(Клиенты_исходные!G329,4,2),LEFT(Клиенты_исходные!G329,2)),DATE(LEFT(Клиенты_исходные!G329,4),MID(Клиенты_исходные!G329,6,2),RIGHT(Клиенты_исходные!G329,2))),Клиенты_исходные!G329)</f>
        <v>47880</v>
      </c>
      <c r="H329">
        <f t="shared" ca="1" si="61"/>
        <v>43</v>
      </c>
      <c r="I329" t="str">
        <f t="shared" si="62"/>
        <v>OK</v>
      </c>
      <c r="J329" t="str">
        <f t="shared" si="63"/>
        <v>OK</v>
      </c>
    </row>
    <row r="330">
      <c r="A330" t="str">
        <f>Клиенты_исходные!A330</f>
        <v>C0329</v>
      </c>
      <c r="B330" t="str">
        <f>PROPER(TRIM(Клиенты_исходные!B330))</f>
        <v xml:space="preserve">Стукалова Ольга Сергеевна</v>
      </c>
      <c r="C330" s="8">
        <f>IFERROR(IF(ISNUMBER(FIND(".",Клиенты_исходные!C330)),DATE(RIGHT(Клиенты_исходные!C330,4),MID(Клиенты_исходные!C330,4,2),LEFT(Клиенты_исходные!C330,2)),DATE(LEFT(Клиенты_исходные!C330,4),MID(Клиенты_исходные!C330,6,2),RIGHT(Клиенты_исходные!C330,2))),Клиенты_исходные!C330)</f>
        <v>32824</v>
      </c>
      <c r="D330" t="str">
        <f>IF(ISBLANK(Клиенты_исходные!D330),"",IF(LEN(SUBSTITUTE(SUBSTITUTE(SUBSTITUTE(SUBSTITUTE(SUBSTITUTE(Клиенты_исходные!D330," ",""),"-",""),"+",""),"(",""),")",""))=11,"+7 ("&amp;MID(IF(LEFT(SUBSTITUTE(SUBSTITUTE(SUBSTITUTE(SUBSTITUTE(SUBSTITUTE(Клиенты_исходные!D330," ",""),"-",""),"+",""),"(",""),")",""))="8","7"&amp;MID(SUBSTITUTE(SUBSTITUTE(SUBSTITUTE(SUBSTITUTE(SUBSTITUTE(Клиенты_исходные!D330," ",""),"-",""),"+",""),"(",""),")",""),2,10),SUBSTITUTE(SUBSTITUTE(SUBSTITUTE(SUBSTITUTE(SUBSTITUTE(Клиенты_исходные!D330," ",""),"-",""),"+",""),"(",""),")","")),2,3)&amp;") "&amp;MID(IF(LEFT(SUBSTITUTE(SUBSTITUTE(SUBSTITUTE(SUBSTITUTE(SUBSTITUTE(Клиенты_исходные!D330," ",""),"-",""),"+",""),"(",""),")",""))="8","7"&amp;MID(SUBSTITUTE(SUBSTITUTE(SUBSTITUTE(SUBSTITUTE(SUBSTITUTE(Клиенты_исходные!D330," ",""),"-",""),"+",""),"(",""),")",""),2,10),SUBSTITUTE(SUBSTITUTE(SUBSTITUTE(SUBSTITUTE(SUBSTITUTE(Клиенты_исходные!D330," ",""),"-",""),"+",""),"(",""),")","")),5,3)&amp;"-"&amp;MID(IF(LEFT(SUBSTITUTE(SUBSTITUTE(SUBSTITUTE(SUBSTITUTE(SUBSTITUTE(Клиенты_исходные!D330," ",""),"-",""),"+",""),"(",""),")",""))="8","7"&amp;MID(SUBSTITUTE(SUBSTITUTE(SUBSTITUTE(SUBSTITUTE(SUBSTITUTE(Клиенты_исходные!D330," ",""),"-",""),"+",""),"(",""),")",""),2,10),SUBSTITUTE(SUBSTITUTE(SUBSTITUTE(SUBSTITUTE(SUBSTITUTE(Клиенты_исходные!D330," ",""),"-",""),"+",""),"(",""),")","")),8,2)&amp;"-"&amp;MID(IF(LEFT(SUBSTITUTE(SUBSTITUTE(SUBSTITUTE(SUBSTITUTE(SUBSTITUTE(Клиенты_исходные!D330," ",""),"-",""),"+",""),"(",""),")",""))="8","7"&amp;MID(SUBSTITUTE(SUBSTITUTE(SUBSTITUTE(SUBSTITUTE(SUBSTITUTE(Клиенты_исходные!D330," ",""),"-",""),"+",""),"(",""),")",""),2,10),SUBSTITUTE(SUBSTITUTE(SUBSTITUTE(SUBSTITUTE(SUBSTITUTE(Клиенты_исходные!D330," ",""),"-",""),"+",""),"(",""),")","")),10,2),IF(LEN(SUBSTITUTE(SUBSTITUTE(SUBSTITUTE(SUBSTITUTE(SUBSTITUTE(Клиенты_исходные!D330," ",""),"-",""),"+",""),"(",""),")",""))=10,"+7 ("&amp;MID(SUBSTITUTE(SUBSTITUTE(SUBSTITUTE(SUBSTITUTE(SUBSTITUTE(Клиенты_исходные!D330," ",""),"-",""),"+",""),"(",""),")",""),1,3)&amp;") "&amp;MID(SUBSTITUTE(SUBSTITUTE(SUBSTITUTE(SUBSTITUTE(SUBSTITUTE(Клиенты_исходные!D330," ",""),"-",""),"+",""),"(",""),")",""),4,3)&amp;"-"&amp;MID(SUBSTITUTE(SUBSTITUTE(SUBSTITUTE(SUBSTITUTE(SUBSTITUTE(Клиенты_исходные!D330," ",""),"-",""),"+",""),"(",""),")",""),6,2)&amp;"-"&amp;MID(SUBSTITUTE(SUBSTITUTE(SUBSTITUTE(SUBSTITUTE(SUBSTITUTE(Клиенты_исходные!D330," ",""),"-",""),"+",""),"(",""),")",""),8,2),Клиенты_исходные!D330)))</f>
        <v xml:space="preserve">+7 (903) 567-89-01</v>
      </c>
      <c r="E330" t="str">
        <f>IF(ISBLANK(Клиенты_исходные!E330),"",IF(ISNUMBER(FIND(".",MID(Клиенты_исходные!E330,FIND("@",Клиенты_исходные!E330)+1,255))),Клиенты_исходные!E330,IF(ISNUMBER(FIND("gmail",Клиенты_исходные!E330)),Клиенты_исходные!E330&amp;".com",Клиенты_исходные!E330&amp;".ru")))</f>
        <v>stukalova@yandex.ru</v>
      </c>
      <c r="F330" t="str">
        <f>IFERROR(VLOOKUP(Клиенты_исходные!F330,Справочники!$J$2:$K$50,2,FALSE),Клиенты_исходные!F330)</f>
        <v>Якутск</v>
      </c>
      <c r="G330" s="8">
        <f>IFERROR(IF(ISNUMBER(FIND(".",Клиенты_исходные!G330)),DATE(RIGHT(Клиенты_исходные!G330,4),MID(Клиенты_исходные!G330,4,2),LEFT(Клиенты_исходные!G330,2)),DATE(LEFT(Клиенты_исходные!G330,4),MID(Клиенты_исходные!G330,6,2),RIGHT(Клиенты_исходные!G330,2))),Клиенты_исходные!G330)</f>
        <v>47889</v>
      </c>
      <c r="H330">
        <f t="shared" ca="1" si="61"/>
        <v>36</v>
      </c>
      <c r="I330" t="str">
        <f t="shared" si="62"/>
        <v>OK</v>
      </c>
      <c r="J330" t="str">
        <f t="shared" si="63"/>
        <v>OK</v>
      </c>
    </row>
    <row r="331">
      <c r="A331" t="str">
        <f>Клиенты_исходные!A331</f>
        <v>C0330</v>
      </c>
      <c r="B331" t="str">
        <f>PROPER(TRIM(Клиенты_исходные!B331))</f>
        <v xml:space="preserve">Панков Андрей Владимирович</v>
      </c>
      <c r="C331" s="8">
        <f>IFERROR(IF(ISNUMBER(FIND(".",Клиенты_исходные!C331)),DATE(RIGHT(Клиенты_исходные!C331,4),MID(Клиенты_исходные!C331,4,2),LEFT(Клиенты_исходные!C331,2)),DATE(LEFT(Клиенты_исходные!C331,4),MID(Клиенты_исходные!C331,6,2),RIGHT(Клиенты_исходные!C331,2))),Клиенты_исходные!C331)</f>
        <v>25969</v>
      </c>
      <c r="D331" t="str">
        <f>IF(ISBLANK(Клиенты_исходные!D331),"",IF(LEN(SUBSTITUTE(SUBSTITUTE(SUBSTITUTE(SUBSTITUTE(SUBSTITUTE(Клиенты_исходные!D331," ",""),"-",""),"+",""),"(",""),")",""))=11,"+7 ("&amp;MID(IF(LEFT(SUBSTITUTE(SUBSTITUTE(SUBSTITUTE(SUBSTITUTE(SUBSTITUTE(Клиенты_исходные!D331," ",""),"-",""),"+",""),"(",""),")",""))="8","7"&amp;MID(SUBSTITUTE(SUBSTITUTE(SUBSTITUTE(SUBSTITUTE(SUBSTITUTE(Клиенты_исходные!D331," ",""),"-",""),"+",""),"(",""),")",""),2,10),SUBSTITUTE(SUBSTITUTE(SUBSTITUTE(SUBSTITUTE(SUBSTITUTE(Клиенты_исходные!D331," ",""),"-",""),"+",""),"(",""),")","")),2,3)&amp;") "&amp;MID(IF(LEFT(SUBSTITUTE(SUBSTITUTE(SUBSTITUTE(SUBSTITUTE(SUBSTITUTE(Клиенты_исходные!D331," ",""),"-",""),"+",""),"(",""),")",""))="8","7"&amp;MID(SUBSTITUTE(SUBSTITUTE(SUBSTITUTE(SUBSTITUTE(SUBSTITUTE(Клиенты_исходные!D331," ",""),"-",""),"+",""),"(",""),")",""),2,10),SUBSTITUTE(SUBSTITUTE(SUBSTITUTE(SUBSTITUTE(SUBSTITUTE(Клиенты_исходные!D331," ",""),"-",""),"+",""),"(",""),")","")),5,3)&amp;"-"&amp;MID(IF(LEFT(SUBSTITUTE(SUBSTITUTE(SUBSTITUTE(SUBSTITUTE(SUBSTITUTE(Клиенты_исходные!D331," ",""),"-",""),"+",""),"(",""),")",""))="8","7"&amp;MID(SUBSTITUTE(SUBSTITUTE(SUBSTITUTE(SUBSTITUTE(SUBSTITUTE(Клиенты_исходные!D331," ",""),"-",""),"+",""),"(",""),")",""),2,10),SUBSTITUTE(SUBSTITUTE(SUBSTITUTE(SUBSTITUTE(SUBSTITUTE(Клиенты_исходные!D331," ",""),"-",""),"+",""),"(",""),")","")),8,2)&amp;"-"&amp;MID(IF(LEFT(SUBSTITUTE(SUBSTITUTE(SUBSTITUTE(SUBSTITUTE(SUBSTITUTE(Клиенты_исходные!D331," ",""),"-",""),"+",""),"(",""),")",""))="8","7"&amp;MID(SUBSTITUTE(SUBSTITUTE(SUBSTITUTE(SUBSTITUTE(SUBSTITUTE(Клиенты_исходные!D331," ",""),"-",""),"+",""),"(",""),")",""),2,10),SUBSTITUTE(SUBSTITUTE(SUBSTITUTE(SUBSTITUTE(SUBSTITUTE(Клиенты_исходные!D331," ",""),"-",""),"+",""),"(",""),")","")),10,2),IF(LEN(SUBSTITUTE(SUBSTITUTE(SUBSTITUTE(SUBSTITUTE(SUBSTITUTE(Клиенты_исходные!D331," ",""),"-",""),"+",""),"(",""),")",""))=10,"+7 ("&amp;MID(SUBSTITUTE(SUBSTITUTE(SUBSTITUTE(SUBSTITUTE(SUBSTITUTE(Клиенты_исходные!D331," ",""),"-",""),"+",""),"(",""),")",""),1,3)&amp;") "&amp;MID(SUBSTITUTE(SUBSTITUTE(SUBSTITUTE(SUBSTITUTE(SUBSTITUTE(Клиенты_исходные!D331," ",""),"-",""),"+",""),"(",""),")",""),4,3)&amp;"-"&amp;MID(SUBSTITUTE(SUBSTITUTE(SUBSTITUTE(SUBSTITUTE(SUBSTITUTE(Клиенты_исходные!D331," ",""),"-",""),"+",""),"(",""),")",""),6,2)&amp;"-"&amp;MID(SUBSTITUTE(SUBSTITUTE(SUBSTITUTE(SUBSTITUTE(SUBSTITUTE(Клиенты_исходные!D331," ",""),"-",""),"+",""),"(",""),")",""),8,2),Клиенты_исходные!D331)))</f>
        <v xml:space="preserve">+7 (903) 678-90-12</v>
      </c>
      <c r="E331" t="str">
        <f>IF(ISBLANK(Клиенты_исходные!E331),"",IF(ISNUMBER(FIND(".",MID(Клиенты_исходные!E331,FIND("@",Клиенты_исходные!E331)+1,255))),Клиенты_исходные!E331,IF(ISNUMBER(FIND("gmail",Клиенты_исходные!E331)),Клиенты_исходные!E331&amp;".com",Клиенты_исходные!E331&amp;".ru")))</f>
        <v>pankov@gmail.com</v>
      </c>
      <c r="F331" t="str">
        <f>IFERROR(VLOOKUP(Клиенты_исходные!F331,Справочники!$J$2:$K$50,2,FALSE),Клиенты_исходные!F331)</f>
        <v>Чебоксары</v>
      </c>
      <c r="G331" s="8">
        <f>IFERROR(IF(ISNUMBER(FIND(".",Клиенты_исходные!G331)),DATE(RIGHT(Клиенты_исходные!G331,4),MID(Клиенты_исходные!G331,4,2),LEFT(Клиенты_исходные!G331,2)),DATE(LEFT(Клиенты_исходные!G331,4),MID(Клиенты_исходные!G331,6,2),RIGHT(Клиенты_исходные!G331,2))),Клиенты_исходные!G331)</f>
        <v>47889</v>
      </c>
      <c r="H331">
        <f t="shared" ca="1" si="61"/>
        <v>55</v>
      </c>
      <c r="I331" t="str">
        <f t="shared" si="62"/>
        <v>OK</v>
      </c>
      <c r="J331" t="str">
        <f t="shared" si="63"/>
        <v>OK</v>
      </c>
    </row>
    <row r="332">
      <c r="A332" t="str">
        <f>Клиенты_исходные!A332</f>
        <v>C0331</v>
      </c>
      <c r="B332" t="str">
        <f>PROPER(TRIM(Клиенты_исходные!B332))</f>
        <v xml:space="preserve">Коршунова Елена Петровна</v>
      </c>
      <c r="C332" s="8">
        <f>IFERROR(IF(ISNUMBER(FIND(".",Клиенты_исходные!C332)),DATE(RIGHT(Клиенты_исходные!C332,4),MID(Клиенты_исходные!C332,4,2),LEFT(Клиенты_исходные!C332,2)),DATE(LEFT(Клиенты_исходные!C332,4),MID(Клиенты_исходные!C332,6,2),RIGHT(Клиенты_исходные!C332,2))),Клиенты_исходные!C332)</f>
        <v>31247</v>
      </c>
      <c r="D332" t="str">
        <f>IF(ISBLANK(Клиенты_исходные!D332),"",IF(LEN(SUBSTITUTE(SUBSTITUTE(SUBSTITUTE(SUBSTITUTE(SUBSTITUTE(Клиенты_исходные!D332," ",""),"-",""),"+",""),"(",""),")",""))=11,"+7 ("&amp;MID(IF(LEFT(SUBSTITUTE(SUBSTITUTE(SUBSTITUTE(SUBSTITUTE(SUBSTITUTE(Клиенты_исходные!D332," ",""),"-",""),"+",""),"(",""),")",""))="8","7"&amp;MID(SUBSTITUTE(SUBSTITUTE(SUBSTITUTE(SUBSTITUTE(SUBSTITUTE(Клиенты_исходные!D332," ",""),"-",""),"+",""),"(",""),")",""),2,10),SUBSTITUTE(SUBSTITUTE(SUBSTITUTE(SUBSTITUTE(SUBSTITUTE(Клиенты_исходные!D332," ",""),"-",""),"+",""),"(",""),")","")),2,3)&amp;") "&amp;MID(IF(LEFT(SUBSTITUTE(SUBSTITUTE(SUBSTITUTE(SUBSTITUTE(SUBSTITUTE(Клиенты_исходные!D332," ",""),"-",""),"+",""),"(",""),")",""))="8","7"&amp;MID(SUBSTITUTE(SUBSTITUTE(SUBSTITUTE(SUBSTITUTE(SUBSTITUTE(Клиенты_исходные!D332," ",""),"-",""),"+",""),"(",""),")",""),2,10),SUBSTITUTE(SUBSTITUTE(SUBSTITUTE(SUBSTITUTE(SUBSTITUTE(Клиенты_исходные!D332," ",""),"-",""),"+",""),"(",""),")","")),5,3)&amp;"-"&amp;MID(IF(LEFT(SUBSTITUTE(SUBSTITUTE(SUBSTITUTE(SUBSTITUTE(SUBSTITUTE(Клиенты_исходные!D332," ",""),"-",""),"+",""),"(",""),")",""))="8","7"&amp;MID(SUBSTITUTE(SUBSTITUTE(SUBSTITUTE(SUBSTITUTE(SUBSTITUTE(Клиенты_исходные!D332," ",""),"-",""),"+",""),"(",""),")",""),2,10),SUBSTITUTE(SUBSTITUTE(SUBSTITUTE(SUBSTITUTE(SUBSTITUTE(Клиенты_исходные!D332," ",""),"-",""),"+",""),"(",""),")","")),8,2)&amp;"-"&amp;MID(IF(LEFT(SUBSTITUTE(SUBSTITUTE(SUBSTITUTE(SUBSTITUTE(SUBSTITUTE(Клиенты_исходные!D332," ",""),"-",""),"+",""),"(",""),")",""))="8","7"&amp;MID(SUBSTITUTE(SUBSTITUTE(SUBSTITUTE(SUBSTITUTE(SUBSTITUTE(Клиенты_исходные!D332," ",""),"-",""),"+",""),"(",""),")",""),2,10),SUBSTITUTE(SUBSTITUTE(SUBSTITUTE(SUBSTITUTE(SUBSTITUTE(Клиенты_исходные!D332," ",""),"-",""),"+",""),"(",""),")","")),10,2),IF(LEN(SUBSTITUTE(SUBSTITUTE(SUBSTITUTE(SUBSTITUTE(SUBSTITUTE(Клиенты_исходные!D332," ",""),"-",""),"+",""),"(",""),")",""))=10,"+7 ("&amp;MID(SUBSTITUTE(SUBSTITUTE(SUBSTITUTE(SUBSTITUTE(SUBSTITUTE(Клиенты_исходные!D332," ",""),"-",""),"+",""),"(",""),")",""),1,3)&amp;") "&amp;MID(SUBSTITUTE(SUBSTITUTE(SUBSTITUTE(SUBSTITUTE(SUBSTITUTE(Клиенты_исходные!D332," ",""),"-",""),"+",""),"(",""),")",""),4,3)&amp;"-"&amp;MID(SUBSTITUTE(SUBSTITUTE(SUBSTITUTE(SUBSTITUTE(SUBSTITUTE(Клиенты_исходные!D332," ",""),"-",""),"+",""),"(",""),")",""),6,2)&amp;"-"&amp;MID(SUBSTITUTE(SUBSTITUTE(SUBSTITUTE(SUBSTITUTE(SUBSTITUTE(Клиенты_исходные!D332," ",""),"-",""),"+",""),"(",""),")",""),8,2),Клиенты_исходные!D332)))</f>
        <v xml:space="preserve">+7 (903) 678-90-12</v>
      </c>
      <c r="E332" t="str">
        <f>IF(ISBLANK(Клиенты_исходные!E332),"",IF(ISNUMBER(FIND(".",MID(Клиенты_исходные!E332,FIND("@",Клиенты_исходные!E332)+1,255))),Клиенты_исходные!E332,IF(ISNUMBER(FIND("gmail",Клиенты_исходные!E332)),Клиенты_исходные!E332&amp;".com",Клиенты_исходные!E332&amp;".ru")))</f>
        <v>korshunova@mail.ru</v>
      </c>
      <c r="F332" t="str">
        <f>IFERROR(VLOOKUP(Клиенты_исходные!F332,Справочники!$J$2:$K$50,2,FALSE),Клиенты_исходные!F332)</f>
        <v>Мурманск</v>
      </c>
      <c r="G332" s="8">
        <f>IFERROR(IF(ISNUMBER(FIND(".",Клиенты_исходные!G332)),DATE(RIGHT(Клиенты_исходные!G332,4),MID(Клиенты_исходные!G332,4,2),LEFT(Клиенты_исходные!G332,2)),DATE(LEFT(Клиенты_исходные!G332,4),MID(Клиенты_исходные!G332,6,2),RIGHT(Клиенты_исходные!G332,2))),Клиенты_исходные!G332)</f>
        <v>47908</v>
      </c>
      <c r="H332">
        <f t="shared" ca="1" si="61"/>
        <v>41</v>
      </c>
      <c r="I332" t="str">
        <f t="shared" si="62"/>
        <v>OK</v>
      </c>
      <c r="J332" t="str">
        <f t="shared" si="63"/>
        <v>OK</v>
      </c>
    </row>
    <row r="333">
      <c r="A333" t="str">
        <f>Клиенты_исходные!A333</f>
        <v>C0332</v>
      </c>
      <c r="B333" t="str">
        <f>PROPER(TRIM(Клиенты_исходные!B333))</f>
        <v xml:space="preserve">Гордеев Сергей Александрович</v>
      </c>
      <c r="C333" s="8">
        <f>IFERROR(IF(ISNUMBER(FIND(".",Клиенты_исходные!C333)),DATE(RIGHT(Клиенты_исходные!C333,4),MID(Клиенты_исходные!C333,4,2),LEFT(Клиенты_исходные!C333,2)),DATE(LEFT(Клиенты_исходные!C333,4),MID(Клиенты_исходные!C333,6,2),RIGHT(Клиенты_исходные!C333,2))),Клиенты_исходные!C333)</f>
        <v>34635</v>
      </c>
      <c r="D333" t="str">
        <f>IF(ISBLANK(Клиенты_исходные!D333),"",IF(LEN(SUBSTITUTE(SUBSTITUTE(SUBSTITUTE(SUBSTITUTE(SUBSTITUTE(Клиенты_исходные!D333," ",""),"-",""),"+",""),"(",""),")",""))=11,"+7 ("&amp;MID(IF(LEFT(SUBSTITUTE(SUBSTITUTE(SUBSTITUTE(SUBSTITUTE(SUBSTITUTE(Клиенты_исходные!D333," ",""),"-",""),"+",""),"(",""),")",""))="8","7"&amp;MID(SUBSTITUTE(SUBSTITUTE(SUBSTITUTE(SUBSTITUTE(SUBSTITUTE(Клиенты_исходные!D333," ",""),"-",""),"+",""),"(",""),")",""),2,10),SUBSTITUTE(SUBSTITUTE(SUBSTITUTE(SUBSTITUTE(SUBSTITUTE(Клиенты_исходные!D333," ",""),"-",""),"+",""),"(",""),")","")),2,3)&amp;") "&amp;MID(IF(LEFT(SUBSTITUTE(SUBSTITUTE(SUBSTITUTE(SUBSTITUTE(SUBSTITUTE(Клиенты_исходные!D333," ",""),"-",""),"+",""),"(",""),")",""))="8","7"&amp;MID(SUBSTITUTE(SUBSTITUTE(SUBSTITUTE(SUBSTITUTE(SUBSTITUTE(Клиенты_исходные!D333," ",""),"-",""),"+",""),"(",""),")",""),2,10),SUBSTITUTE(SUBSTITUTE(SUBSTITUTE(SUBSTITUTE(SUBSTITUTE(Клиенты_исходные!D333," ",""),"-",""),"+",""),"(",""),")","")),5,3)&amp;"-"&amp;MID(IF(LEFT(SUBSTITUTE(SUBSTITUTE(SUBSTITUTE(SUBSTITUTE(SUBSTITUTE(Клиенты_исходные!D333," ",""),"-",""),"+",""),"(",""),")",""))="8","7"&amp;MID(SUBSTITUTE(SUBSTITUTE(SUBSTITUTE(SUBSTITUTE(SUBSTITUTE(Клиенты_исходные!D333," ",""),"-",""),"+",""),"(",""),")",""),2,10),SUBSTITUTE(SUBSTITUTE(SUBSTITUTE(SUBSTITUTE(SUBSTITUTE(Клиенты_исходные!D333," ",""),"-",""),"+",""),"(",""),")","")),8,2)&amp;"-"&amp;MID(IF(LEFT(SUBSTITUTE(SUBSTITUTE(SUBSTITUTE(SUBSTITUTE(SUBSTITUTE(Клиенты_исходные!D333," ",""),"-",""),"+",""),"(",""),")",""))="8","7"&amp;MID(SUBSTITUTE(SUBSTITUTE(SUBSTITUTE(SUBSTITUTE(SUBSTITUTE(Клиенты_исходные!D333," ",""),"-",""),"+",""),"(",""),")",""),2,10),SUBSTITUTE(SUBSTITUTE(SUBSTITUTE(SUBSTITUTE(SUBSTITUTE(Клиенты_исходные!D333," ",""),"-",""),"+",""),"(",""),")","")),10,2),IF(LEN(SUBSTITUTE(SUBSTITUTE(SUBSTITUTE(SUBSTITUTE(SUBSTITUTE(Клиенты_исходные!D333," ",""),"-",""),"+",""),"(",""),")",""))=10,"+7 ("&amp;MID(SUBSTITUTE(SUBSTITUTE(SUBSTITUTE(SUBSTITUTE(SUBSTITUTE(Клиенты_исходные!D333," ",""),"-",""),"+",""),"(",""),")",""),1,3)&amp;") "&amp;MID(SUBSTITUTE(SUBSTITUTE(SUBSTITUTE(SUBSTITUTE(SUBSTITUTE(Клиенты_исходные!D333," ",""),"-",""),"+",""),"(",""),")",""),4,3)&amp;"-"&amp;MID(SUBSTITUTE(SUBSTITUTE(SUBSTITUTE(SUBSTITUTE(SUBSTITUTE(Клиенты_исходные!D333," ",""),"-",""),"+",""),"(",""),")",""),6,2)&amp;"-"&amp;MID(SUBSTITUTE(SUBSTITUTE(SUBSTITUTE(SUBSTITUTE(SUBSTITUTE(Клиенты_исходные!D333," ",""),"-",""),"+",""),"(",""),")",""),8,2),Клиенты_исходные!D333)))</f>
        <v xml:space="preserve">+7 (903) 678-90-12</v>
      </c>
      <c r="E333" t="str">
        <f>IF(ISBLANK(Клиенты_исходные!E333),"",IF(ISNUMBER(FIND(".",MID(Клиенты_исходные!E333,FIND("@",Клиенты_исходные!E333)+1,255))),Клиенты_исходные!E333,IF(ISNUMBER(FIND("gmail",Клиенты_исходные!E333)),Клиенты_исходные!E333&amp;".com",Клиенты_исходные!E333&amp;".ru")))</f>
        <v>gordeev@yandex.ru</v>
      </c>
      <c r="F333" t="str">
        <f>IFERROR(VLOOKUP(Клиенты_исходные!F333,Справочники!$J$2:$K$50,2,FALSE),Клиенты_исходные!F333)</f>
        <v>Смоленск</v>
      </c>
      <c r="G333" s="8">
        <f>IFERROR(IF(ISNUMBER(FIND(".",Клиенты_исходные!G333)),DATE(RIGHT(Клиенты_исходные!G333,4),MID(Клиенты_исходные!G333,4,2),LEFT(Клиенты_исходные!G333,2)),DATE(LEFT(Клиенты_исходные!G333,4),MID(Клиенты_исходные!G333,6,2),RIGHT(Клиенты_исходные!G333,2))),Клиенты_исходные!G333)</f>
        <v>47922</v>
      </c>
      <c r="H333">
        <f t="shared" ca="1" si="61"/>
        <v>31</v>
      </c>
      <c r="I333" t="str">
        <f t="shared" si="62"/>
        <v>OK</v>
      </c>
      <c r="J333" t="str">
        <f t="shared" si="63"/>
        <v>OK</v>
      </c>
    </row>
    <row r="334">
      <c r="A334" t="str">
        <f>Клиенты_исходные!A334</f>
        <v>C0333</v>
      </c>
      <c r="B334" t="str">
        <f>PROPER(TRIM(Клиенты_исходные!B334))</f>
        <v xml:space="preserve">Новикова Татьяна Владимировна</v>
      </c>
      <c r="C334" s="8">
        <f>IFERROR(IF(ISNUMBER(FIND(".",Клиенты_исходные!C334)),DATE(RIGHT(Клиенты_исходные!C334,4),MID(Клиенты_исходные!C334,4,2),LEFT(Клиенты_исходные!C334,2)),DATE(LEFT(Клиенты_исходные!C334,4),MID(Клиенты_исходные!C334,6,2),RIGHT(Клиенты_исходные!C334,2))),Клиенты_исходные!C334)</f>
        <v>27927</v>
      </c>
      <c r="D334" t="str">
        <f>IF(ISBLANK(Клиенты_исходные!D334),"",IF(LEN(SUBSTITUTE(SUBSTITUTE(SUBSTITUTE(SUBSTITUTE(SUBSTITUTE(Клиенты_исходные!D334," ",""),"-",""),"+",""),"(",""),")",""))=11,"+7 ("&amp;MID(IF(LEFT(SUBSTITUTE(SUBSTITUTE(SUBSTITUTE(SUBSTITUTE(SUBSTITUTE(Клиенты_исходные!D334," ",""),"-",""),"+",""),"(",""),")",""))="8","7"&amp;MID(SUBSTITUTE(SUBSTITUTE(SUBSTITUTE(SUBSTITUTE(SUBSTITUTE(Клиенты_исходные!D334," ",""),"-",""),"+",""),"(",""),")",""),2,10),SUBSTITUTE(SUBSTITUTE(SUBSTITUTE(SUBSTITUTE(SUBSTITUTE(Клиенты_исходные!D334," ",""),"-",""),"+",""),"(",""),")","")),2,3)&amp;") "&amp;MID(IF(LEFT(SUBSTITUTE(SUBSTITUTE(SUBSTITUTE(SUBSTITUTE(SUBSTITUTE(Клиенты_исходные!D334," ",""),"-",""),"+",""),"(",""),")",""))="8","7"&amp;MID(SUBSTITUTE(SUBSTITUTE(SUBSTITUTE(SUBSTITUTE(SUBSTITUTE(Клиенты_исходные!D334," ",""),"-",""),"+",""),"(",""),")",""),2,10),SUBSTITUTE(SUBSTITUTE(SUBSTITUTE(SUBSTITUTE(SUBSTITUTE(Клиенты_исходные!D334," ",""),"-",""),"+",""),"(",""),")","")),5,3)&amp;"-"&amp;MID(IF(LEFT(SUBSTITUTE(SUBSTITUTE(SUBSTITUTE(SUBSTITUTE(SUBSTITUTE(Клиенты_исходные!D334," ",""),"-",""),"+",""),"(",""),")",""))="8","7"&amp;MID(SUBSTITUTE(SUBSTITUTE(SUBSTITUTE(SUBSTITUTE(SUBSTITUTE(Клиенты_исходные!D334," ",""),"-",""),"+",""),"(",""),")",""),2,10),SUBSTITUTE(SUBSTITUTE(SUBSTITUTE(SUBSTITUTE(SUBSTITUTE(Клиенты_исходные!D334," ",""),"-",""),"+",""),"(",""),")","")),8,2)&amp;"-"&amp;MID(IF(LEFT(SUBSTITUTE(SUBSTITUTE(SUBSTITUTE(SUBSTITUTE(SUBSTITUTE(Клиенты_исходные!D334," ",""),"-",""),"+",""),"(",""),")",""))="8","7"&amp;MID(SUBSTITUTE(SUBSTITUTE(SUBSTITUTE(SUBSTITUTE(SUBSTITUTE(Клиенты_исходные!D334," ",""),"-",""),"+",""),"(",""),")",""),2,10),SUBSTITUTE(SUBSTITUTE(SUBSTITUTE(SUBSTITUTE(SUBSTITUTE(Клиенты_исходные!D334," ",""),"-",""),"+",""),"(",""),")","")),10,2),IF(LEN(SUBSTITUTE(SUBSTITUTE(SUBSTITUTE(SUBSTITUTE(SUBSTITUTE(Клиенты_исходные!D334," ",""),"-",""),"+",""),"(",""),")",""))=10,"+7 ("&amp;MID(SUBSTITUTE(SUBSTITUTE(SUBSTITUTE(SUBSTITUTE(SUBSTITUTE(Клиенты_исходные!D334," ",""),"-",""),"+",""),"(",""),")",""),1,3)&amp;") "&amp;MID(SUBSTITUTE(SUBSTITUTE(SUBSTITUTE(SUBSTITUTE(SUBSTITUTE(Клиенты_исходные!D334," ",""),"-",""),"+",""),"(",""),")",""),4,3)&amp;"-"&amp;MID(SUBSTITUTE(SUBSTITUTE(SUBSTITUTE(SUBSTITUTE(SUBSTITUTE(Клиенты_исходные!D334," ",""),"-",""),"+",""),"(",""),")",""),6,2)&amp;"-"&amp;MID(SUBSTITUTE(SUBSTITUTE(SUBSTITUTE(SUBSTITUTE(SUBSTITUTE(Клиенты_исходные!D334," ",""),"-",""),"+",""),"(",""),")",""),8,2),Клиенты_исходные!D334)))</f>
        <v xml:space="preserve">+7 (903) 789-01-23</v>
      </c>
      <c r="E334" t="str">
        <f>IF(ISBLANK(Клиенты_исходные!E334),"",IF(ISNUMBER(FIND(".",MID(Клиенты_исходные!E334,FIND("@",Клиенты_исходные!E334)+1,255))),Клиенты_исходные!E334,IF(ISNUMBER(FIND("gmail",Клиенты_исходные!E334)),Клиенты_исходные!E334&amp;".com",Клиенты_исходные!E334&amp;".ru")))</f>
        <v>novikova@gmail.com</v>
      </c>
      <c r="F334" t="str">
        <f>IFERROR(VLOOKUP(Клиенты_исходные!F334,Справочники!$J$2:$K$50,2,FALSE),Клиенты_исходные!F334)</f>
        <v>Тула</v>
      </c>
      <c r="G334" s="8">
        <f>IFERROR(IF(ISNUMBER(FIND(".",Клиенты_исходные!G334)),DATE(RIGHT(Клиенты_исходные!G334,4),MID(Клиенты_исходные!G334,4,2),LEFT(Клиенты_исходные!G334,2)),DATE(LEFT(Клиенты_исходные!G334,4),MID(Клиенты_исходные!G334,6,2),RIGHT(Клиенты_исходные!G334,2))),Клиенты_исходные!G334)</f>
        <v>47922</v>
      </c>
      <c r="H334">
        <f t="shared" ca="1" si="61"/>
        <v>50</v>
      </c>
      <c r="I334" t="str">
        <f t="shared" si="62"/>
        <v>OK</v>
      </c>
      <c r="J334" t="str">
        <f t="shared" si="63"/>
        <v>OK</v>
      </c>
    </row>
    <row r="335">
      <c r="A335" t="str">
        <f>Клиенты_исходные!A335</f>
        <v>C0334</v>
      </c>
      <c r="B335" t="str">
        <f>PROPER(TRIM(Клиенты_исходные!B335))</f>
        <v xml:space="preserve">Меркулова Ирина Алексеевна</v>
      </c>
      <c r="C335" s="8">
        <f>IFERROR(IF(ISNUMBER(FIND(".",Клиенты_исходные!C335)),DATE(RIGHT(Клиенты_исходные!C335,4),MID(Клиенты_исходные!C335,4,2),LEFT(Клиенты_исходные!C335,2)),DATE(LEFT(Клиенты_исходные!C335,4),MID(Клиенты_исходные!C335,6,2),RIGHT(Клиенты_исходные!C335,2))),Клиенты_исходные!C335)</f>
        <v>30013</v>
      </c>
      <c r="D335" t="str">
        <f>IF(ISBLANK(Клиенты_исходные!D335),"",IF(LEN(SUBSTITUTE(SUBSTITUTE(SUBSTITUTE(SUBSTITUTE(SUBSTITUTE(Клиенты_исходные!D335," ",""),"-",""),"+",""),"(",""),")",""))=11,"+7 ("&amp;MID(IF(LEFT(SUBSTITUTE(SUBSTITUTE(SUBSTITUTE(SUBSTITUTE(SUBSTITUTE(Клиенты_исходные!D335," ",""),"-",""),"+",""),"(",""),")",""))="8","7"&amp;MID(SUBSTITUTE(SUBSTITUTE(SUBSTITUTE(SUBSTITUTE(SUBSTITUTE(Клиенты_исходные!D335," ",""),"-",""),"+",""),"(",""),")",""),2,10),SUBSTITUTE(SUBSTITUTE(SUBSTITUTE(SUBSTITUTE(SUBSTITUTE(Клиенты_исходные!D335," ",""),"-",""),"+",""),"(",""),")","")),2,3)&amp;") "&amp;MID(IF(LEFT(SUBSTITUTE(SUBSTITUTE(SUBSTITUTE(SUBSTITUTE(SUBSTITUTE(Клиенты_исходные!D335," ",""),"-",""),"+",""),"(",""),")",""))="8","7"&amp;MID(SUBSTITUTE(SUBSTITUTE(SUBSTITUTE(SUBSTITUTE(SUBSTITUTE(Клиенты_исходные!D335," ",""),"-",""),"+",""),"(",""),")",""),2,10),SUBSTITUTE(SUBSTITUTE(SUBSTITUTE(SUBSTITUTE(SUBSTITUTE(Клиенты_исходные!D335," ",""),"-",""),"+",""),"(",""),")","")),5,3)&amp;"-"&amp;MID(IF(LEFT(SUBSTITUTE(SUBSTITUTE(SUBSTITUTE(SUBSTITUTE(SUBSTITUTE(Клиенты_исходные!D335," ",""),"-",""),"+",""),"(",""),")",""))="8","7"&amp;MID(SUBSTITUTE(SUBSTITUTE(SUBSTITUTE(SUBSTITUTE(SUBSTITUTE(Клиенты_исходные!D335," ",""),"-",""),"+",""),"(",""),")",""),2,10),SUBSTITUTE(SUBSTITUTE(SUBSTITUTE(SUBSTITUTE(SUBSTITUTE(Клиенты_исходные!D335," ",""),"-",""),"+",""),"(",""),")","")),8,2)&amp;"-"&amp;MID(IF(LEFT(SUBSTITUTE(SUBSTITUTE(SUBSTITUTE(SUBSTITUTE(SUBSTITUTE(Клиенты_исходные!D335," ",""),"-",""),"+",""),"(",""),")",""))="8","7"&amp;MID(SUBSTITUTE(SUBSTITUTE(SUBSTITUTE(SUBSTITUTE(SUBSTITUTE(Клиенты_исходные!D335," ",""),"-",""),"+",""),"(",""),")",""),2,10),SUBSTITUTE(SUBSTITUTE(SUBSTITUTE(SUBSTITUTE(SUBSTITUTE(Клиенты_исходные!D335," ",""),"-",""),"+",""),"(",""),")","")),10,2),IF(LEN(SUBSTITUTE(SUBSTITUTE(SUBSTITUTE(SUBSTITUTE(SUBSTITUTE(Клиенты_исходные!D335," ",""),"-",""),"+",""),"(",""),")",""))=10,"+7 ("&amp;MID(SUBSTITUTE(SUBSTITUTE(SUBSTITUTE(SUBSTITUTE(SUBSTITUTE(Клиенты_исходные!D335," ",""),"-",""),"+",""),"(",""),")",""),1,3)&amp;") "&amp;MID(SUBSTITUTE(SUBSTITUTE(SUBSTITUTE(SUBSTITUTE(SUBSTITUTE(Клиенты_исходные!D335," ",""),"-",""),"+",""),"(",""),")",""),4,3)&amp;"-"&amp;MID(SUBSTITUTE(SUBSTITUTE(SUBSTITUTE(SUBSTITUTE(SUBSTITUTE(Клиенты_исходные!D335," ",""),"-",""),"+",""),"(",""),")",""),6,2)&amp;"-"&amp;MID(SUBSTITUTE(SUBSTITUTE(SUBSTITUTE(SUBSTITUTE(SUBSTITUTE(Клиенты_исходные!D335," ",""),"-",""),"+",""),"(",""),")",""),8,2),Клиенты_исходные!D335)))</f>
        <v xml:space="preserve">+7 (903) 789-01-23</v>
      </c>
      <c r="E335" t="str">
        <f>IF(ISBLANK(Клиенты_исходные!E335),"",IF(ISNUMBER(FIND(".",MID(Клиенты_исходные!E335,FIND("@",Клиенты_исходные!E335)+1,255))),Клиенты_исходные!E335,IF(ISNUMBER(FIND("gmail",Клиенты_исходные!E335)),Клиенты_исходные!E335&amp;".com",Клиенты_исходные!E335&amp;".ru")))</f>
        <v>merkulova@mail.ru</v>
      </c>
      <c r="F335" t="str">
        <f>IFERROR(VLOOKUP(Клиенты_исходные!F335,Справочники!$J$2:$K$50,2,FALSE),Клиенты_исходные!F335)</f>
        <v>Калуга</v>
      </c>
      <c r="G335" s="8">
        <f>IFERROR(IF(ISNUMBER(FIND(".",Клиенты_исходные!G335)),DATE(RIGHT(Клиенты_исходные!G335,4),MID(Клиенты_исходные!G335,4,2),LEFT(Клиенты_исходные!G335,2)),DATE(LEFT(Клиенты_исходные!G335,4),MID(Клиенты_исходные!G335,6,2),RIGHT(Клиенты_исходные!G335,2))),Клиенты_исходные!G335)</f>
        <v>47939</v>
      </c>
      <c r="H335">
        <f t="shared" ca="1" si="61"/>
        <v>44</v>
      </c>
      <c r="I335" t="str">
        <f t="shared" si="62"/>
        <v>OK</v>
      </c>
      <c r="J335" t="str">
        <f t="shared" si="63"/>
        <v>OK</v>
      </c>
    </row>
    <row r="336">
      <c r="A336" t="str">
        <f>Клиенты_исходные!A336</f>
        <v>C0335</v>
      </c>
      <c r="B336" t="str">
        <f>PROPER(TRIM(Клиенты_исходные!B336))</f>
        <v xml:space="preserve">Ланской Илья Евгеньевич</v>
      </c>
      <c r="C336" s="8">
        <f>IFERROR(IF(ISNUMBER(FIND(".",Клиенты_исходные!C336)),DATE(RIGHT(Клиенты_исходные!C336,4),MID(Клиенты_исходные!C336,4,2),LEFT(Клиенты_исходные!C336,2)),DATE(LEFT(Клиенты_исходные!C336,4),MID(Клиенты_исходные!C336,6,2),RIGHT(Клиенты_исходные!C336,2))),Клиенты_исходные!C336)</f>
        <v>33231</v>
      </c>
      <c r="D336" t="str">
        <f>IF(ISBLANK(Клиенты_исходные!D336),"",IF(LEN(SUBSTITUTE(SUBSTITUTE(SUBSTITUTE(SUBSTITUTE(SUBSTITUTE(Клиенты_исходные!D336," ",""),"-",""),"+",""),"(",""),")",""))=11,"+7 ("&amp;MID(IF(LEFT(SUBSTITUTE(SUBSTITUTE(SUBSTITUTE(SUBSTITUTE(SUBSTITUTE(Клиенты_исходные!D336," ",""),"-",""),"+",""),"(",""),")",""))="8","7"&amp;MID(SUBSTITUTE(SUBSTITUTE(SUBSTITUTE(SUBSTITUTE(SUBSTITUTE(Клиенты_исходные!D336," ",""),"-",""),"+",""),"(",""),")",""),2,10),SUBSTITUTE(SUBSTITUTE(SUBSTITUTE(SUBSTITUTE(SUBSTITUTE(Клиенты_исходные!D336," ",""),"-",""),"+",""),"(",""),")","")),2,3)&amp;") "&amp;MID(IF(LEFT(SUBSTITUTE(SUBSTITUTE(SUBSTITUTE(SUBSTITUTE(SUBSTITUTE(Клиенты_исходные!D336," ",""),"-",""),"+",""),"(",""),")",""))="8","7"&amp;MID(SUBSTITUTE(SUBSTITUTE(SUBSTITUTE(SUBSTITUTE(SUBSTITUTE(Клиенты_исходные!D336," ",""),"-",""),"+",""),"(",""),")",""),2,10),SUBSTITUTE(SUBSTITUTE(SUBSTITUTE(SUBSTITUTE(SUBSTITUTE(Клиенты_исходные!D336," ",""),"-",""),"+",""),"(",""),")","")),5,3)&amp;"-"&amp;MID(IF(LEFT(SUBSTITUTE(SUBSTITUTE(SUBSTITUTE(SUBSTITUTE(SUBSTITUTE(Клиенты_исходные!D336," ",""),"-",""),"+",""),"(",""),")",""))="8","7"&amp;MID(SUBSTITUTE(SUBSTITUTE(SUBSTITUTE(SUBSTITUTE(SUBSTITUTE(Клиенты_исходные!D336," ",""),"-",""),"+",""),"(",""),")",""),2,10),SUBSTITUTE(SUBSTITUTE(SUBSTITUTE(SUBSTITUTE(SUBSTITUTE(Клиенты_исходные!D336," ",""),"-",""),"+",""),"(",""),")","")),8,2)&amp;"-"&amp;MID(IF(LEFT(SUBSTITUTE(SUBSTITUTE(SUBSTITUTE(SUBSTITUTE(SUBSTITUTE(Клиенты_исходные!D336," ",""),"-",""),"+",""),"(",""),")",""))="8","7"&amp;MID(SUBSTITUTE(SUBSTITUTE(SUBSTITUTE(SUBSTITUTE(SUBSTITUTE(Клиенты_исходные!D336," ",""),"-",""),"+",""),"(",""),")",""),2,10),SUBSTITUTE(SUBSTITUTE(SUBSTITUTE(SUBSTITUTE(SUBSTITUTE(Клиенты_исходные!D336," ",""),"-",""),"+",""),"(",""),")","")),10,2),IF(LEN(SUBSTITUTE(SUBSTITUTE(SUBSTITUTE(SUBSTITUTE(SUBSTITUTE(Клиенты_исходные!D336," ",""),"-",""),"+",""),"(",""),")",""))=10,"+7 ("&amp;MID(SUBSTITUTE(SUBSTITUTE(SUBSTITUTE(SUBSTITUTE(SUBSTITUTE(Клиенты_исходные!D336," ",""),"-",""),"+",""),"(",""),")",""),1,3)&amp;") "&amp;MID(SUBSTITUTE(SUBSTITUTE(SUBSTITUTE(SUBSTITUTE(SUBSTITUTE(Клиенты_исходные!D336," ",""),"-",""),"+",""),"(",""),")",""),4,3)&amp;"-"&amp;MID(SUBSTITUTE(SUBSTITUTE(SUBSTITUTE(SUBSTITUTE(SUBSTITUTE(Клиенты_исходные!D336," ",""),"-",""),"+",""),"(",""),")",""),6,2)&amp;"-"&amp;MID(SUBSTITUTE(SUBSTITUTE(SUBSTITUTE(SUBSTITUTE(SUBSTITUTE(Клиенты_исходные!D336," ",""),"-",""),"+",""),"(",""),")",""),8,2),Клиенты_исходные!D336)))</f>
        <v xml:space="preserve">+7 (903) 789-01-23</v>
      </c>
      <c r="E336" t="str">
        <f>IF(ISBLANK(Клиенты_исходные!E336),"",IF(ISNUMBER(FIND(".",MID(Клиенты_исходные!E336,FIND("@",Клиенты_исходные!E336)+1,255))),Клиенты_исходные!E336,IF(ISNUMBER(FIND("gmail",Клиенты_исходные!E336)),Клиенты_исходные!E336&amp;".com",Клиенты_исходные!E336&amp;".ru")))</f>
        <v>lanskoy@yandex.ru</v>
      </c>
      <c r="F336" t="str">
        <f>IFERROR(VLOOKUP(Клиенты_исходные!F336,Справочники!$J$2:$K$50,2,FALSE),Клиенты_исходные!F336)</f>
        <v>Владикавказ</v>
      </c>
      <c r="G336" s="8">
        <f>IFERROR(IF(ISNUMBER(FIND(".",Клиенты_исходные!G336)),DATE(RIGHT(Клиенты_исходные!G336,4),MID(Клиенты_исходные!G336,4,2),LEFT(Клиенты_исходные!G336,2)),DATE(LEFT(Клиенты_исходные!G336,4),MID(Клиенты_исходные!G336,6,2),RIGHT(Клиенты_исходные!G336,2))),Клиенты_исходные!G336)</f>
        <v>47948</v>
      </c>
      <c r="H336">
        <f t="shared" ca="1" si="61"/>
        <v>35</v>
      </c>
      <c r="I336" t="str">
        <f t="shared" si="62"/>
        <v>OK</v>
      </c>
      <c r="J336" t="str">
        <f t="shared" si="63"/>
        <v>OK</v>
      </c>
    </row>
    <row r="337">
      <c r="A337" t="str">
        <f>Клиенты_исходные!A337</f>
        <v>C0336</v>
      </c>
      <c r="B337" t="str">
        <f>PROPER(TRIM(Клиенты_исходные!B337))</f>
        <v xml:space="preserve">Карельский Денис Олегович</v>
      </c>
      <c r="C337" s="8">
        <f>IFERROR(IF(ISNUMBER(FIND(".",Клиенты_исходные!C337)),DATE(RIGHT(Клиенты_исходные!C337,4),MID(Клиенты_исходные!C337,4,2),LEFT(Клиенты_исходные!C337,2)),DATE(LEFT(Клиенты_исходные!C337,4),MID(Клиенты_исходные!C337,6,2),RIGHT(Клиенты_исходные!C337,2))),Клиенты_исходные!C337)</f>
        <v>26887</v>
      </c>
      <c r="D337" t="str">
        <f>IF(ISBLANK(Клиенты_исходные!D337),"",IF(LEN(SUBSTITUTE(SUBSTITUTE(SUBSTITUTE(SUBSTITUTE(SUBSTITUTE(Клиенты_исходные!D337," ",""),"-",""),"+",""),"(",""),")",""))=11,"+7 ("&amp;MID(IF(LEFT(SUBSTITUTE(SUBSTITUTE(SUBSTITUTE(SUBSTITUTE(SUBSTITUTE(Клиенты_исходные!D337," ",""),"-",""),"+",""),"(",""),")",""))="8","7"&amp;MID(SUBSTITUTE(SUBSTITUTE(SUBSTITUTE(SUBSTITUTE(SUBSTITUTE(Клиенты_исходные!D337," ",""),"-",""),"+",""),"(",""),")",""),2,10),SUBSTITUTE(SUBSTITUTE(SUBSTITUTE(SUBSTITUTE(SUBSTITUTE(Клиенты_исходные!D337," ",""),"-",""),"+",""),"(",""),")","")),2,3)&amp;") "&amp;MID(IF(LEFT(SUBSTITUTE(SUBSTITUTE(SUBSTITUTE(SUBSTITUTE(SUBSTITUTE(Клиенты_исходные!D337," ",""),"-",""),"+",""),"(",""),")",""))="8","7"&amp;MID(SUBSTITUTE(SUBSTITUTE(SUBSTITUTE(SUBSTITUTE(SUBSTITUTE(Клиенты_исходные!D337," ",""),"-",""),"+",""),"(",""),")",""),2,10),SUBSTITUTE(SUBSTITUTE(SUBSTITUTE(SUBSTITUTE(SUBSTITUTE(Клиенты_исходные!D337," ",""),"-",""),"+",""),"(",""),")","")),5,3)&amp;"-"&amp;MID(IF(LEFT(SUBSTITUTE(SUBSTITUTE(SUBSTITUTE(SUBSTITUTE(SUBSTITUTE(Клиенты_исходные!D337," ",""),"-",""),"+",""),"(",""),")",""))="8","7"&amp;MID(SUBSTITUTE(SUBSTITUTE(SUBSTITUTE(SUBSTITUTE(SUBSTITUTE(Клиенты_исходные!D337," ",""),"-",""),"+",""),"(",""),")",""),2,10),SUBSTITUTE(SUBSTITUTE(SUBSTITUTE(SUBSTITUTE(SUBSTITUTE(Клиенты_исходные!D337," ",""),"-",""),"+",""),"(",""),")","")),8,2)&amp;"-"&amp;MID(IF(LEFT(SUBSTITUTE(SUBSTITUTE(SUBSTITUTE(SUBSTITUTE(SUBSTITUTE(Клиенты_исходные!D337," ",""),"-",""),"+",""),"(",""),")",""))="8","7"&amp;MID(SUBSTITUTE(SUBSTITUTE(SUBSTITUTE(SUBSTITUTE(SUBSTITUTE(Клиенты_исходные!D337," ",""),"-",""),"+",""),"(",""),")",""),2,10),SUBSTITUTE(SUBSTITUTE(SUBSTITUTE(SUBSTITUTE(SUBSTITUTE(Клиенты_исходные!D337," ",""),"-",""),"+",""),"(",""),")","")),10,2),IF(LEN(SUBSTITUTE(SUBSTITUTE(SUBSTITUTE(SUBSTITUTE(SUBSTITUTE(Клиенты_исходные!D337," ",""),"-",""),"+",""),"(",""),")",""))=10,"+7 ("&amp;MID(SUBSTITUTE(SUBSTITUTE(SUBSTITUTE(SUBSTITUTE(SUBSTITUTE(Клиенты_исходные!D337," ",""),"-",""),"+",""),"(",""),")",""),1,3)&amp;") "&amp;MID(SUBSTITUTE(SUBSTITUTE(SUBSTITUTE(SUBSTITUTE(SUBSTITUTE(Клиенты_исходные!D337," ",""),"-",""),"+",""),"(",""),")",""),4,3)&amp;"-"&amp;MID(SUBSTITUTE(SUBSTITUTE(SUBSTITUTE(SUBSTITUTE(SUBSTITUTE(Клиенты_исходные!D337," ",""),"-",""),"+",""),"(",""),")",""),6,2)&amp;"-"&amp;MID(SUBSTITUTE(SUBSTITUTE(SUBSTITUTE(SUBSTITUTE(SUBSTITUTE(Клиенты_исходные!D337," ",""),"-",""),"+",""),"(",""),")",""),8,2),Клиенты_исходные!D337)))</f>
        <v xml:space="preserve">+7 (903) 890-12-34</v>
      </c>
      <c r="E337" t="str">
        <f>IF(ISBLANK(Клиенты_исходные!E337),"",IF(ISNUMBER(FIND(".",MID(Клиенты_исходные!E337,FIND("@",Клиенты_исходные!E337)+1,255))),Клиенты_исходные!E337,IF(ISNUMBER(FIND("gmail",Клиенты_исходные!E337)),Клиенты_исходные!E337&amp;".com",Клиенты_исходные!E337&amp;".ru")))</f>
        <v>karelsky@gmail.com</v>
      </c>
      <c r="F337" t="str">
        <f>IFERROR(VLOOKUP(Клиенты_исходные!F337,Справочники!$J$2:$K$50,2,FALSE),Клиенты_исходные!F337)</f>
        <v>Смоленск</v>
      </c>
      <c r="G337" s="8">
        <f>IFERROR(IF(ISNUMBER(FIND(".",Клиенты_исходные!G337)),DATE(RIGHT(Клиенты_исходные!G337,4),MID(Клиенты_исходные!G337,4,2),LEFT(Клиенты_исходные!G337,2)),DATE(LEFT(Клиенты_исходные!G337,4),MID(Клиенты_исходные!G337,6,2),RIGHT(Клиенты_исходные!G337,2))),Клиенты_исходные!G337)</f>
        <v>47948</v>
      </c>
      <c r="H337">
        <f t="shared" ca="1" si="61"/>
        <v>53</v>
      </c>
      <c r="I337" t="str">
        <f t="shared" si="62"/>
        <v>OK</v>
      </c>
      <c r="J337" t="str">
        <f t="shared" si="63"/>
        <v>OK</v>
      </c>
    </row>
    <row r="338">
      <c r="A338" t="str">
        <f>Клиенты_исходные!A338</f>
        <v>C0337</v>
      </c>
      <c r="B338" t="str">
        <f>PROPER(TRIM(Клиенты_исходные!B338))</f>
        <v xml:space="preserve">Шилова Оксана Викторовна</v>
      </c>
      <c r="C338" s="8">
        <f>IFERROR(IF(ISNUMBER(FIND(".",Клиенты_исходные!C338)),DATE(RIGHT(Клиенты_исходные!C338,4),MID(Клиенты_исходные!C338,4,2),LEFT(Клиенты_исходные!C338,2)),DATE(LEFT(Клиенты_исходные!C338,4),MID(Клиенты_исходные!C338,6,2),RIGHT(Клиенты_исходные!C338,2))),Клиенты_исходные!C338)</f>
        <v>30831</v>
      </c>
      <c r="D338" t="str">
        <f>IF(ISBLANK(Клиенты_исходные!D338),"",IF(LEN(SUBSTITUTE(SUBSTITUTE(SUBSTITUTE(SUBSTITUTE(SUBSTITUTE(Клиенты_исходные!D338," ",""),"-",""),"+",""),"(",""),")",""))=11,"+7 ("&amp;MID(IF(LEFT(SUBSTITUTE(SUBSTITUTE(SUBSTITUTE(SUBSTITUTE(SUBSTITUTE(Клиенты_исходные!D338," ",""),"-",""),"+",""),"(",""),")",""))="8","7"&amp;MID(SUBSTITUTE(SUBSTITUTE(SUBSTITUTE(SUBSTITUTE(SUBSTITUTE(Клиенты_исходные!D338," ",""),"-",""),"+",""),"(",""),")",""),2,10),SUBSTITUTE(SUBSTITUTE(SUBSTITUTE(SUBSTITUTE(SUBSTITUTE(Клиенты_исходные!D338," ",""),"-",""),"+",""),"(",""),")","")),2,3)&amp;") "&amp;MID(IF(LEFT(SUBSTITUTE(SUBSTITUTE(SUBSTITUTE(SUBSTITUTE(SUBSTITUTE(Клиенты_исходные!D338," ",""),"-",""),"+",""),"(",""),")",""))="8","7"&amp;MID(SUBSTITUTE(SUBSTITUTE(SUBSTITUTE(SUBSTITUTE(SUBSTITUTE(Клиенты_исходные!D338," ",""),"-",""),"+",""),"(",""),")",""),2,10),SUBSTITUTE(SUBSTITUTE(SUBSTITUTE(SUBSTITUTE(SUBSTITUTE(Клиенты_исходные!D338," ",""),"-",""),"+",""),"(",""),")","")),5,3)&amp;"-"&amp;MID(IF(LEFT(SUBSTITUTE(SUBSTITUTE(SUBSTITUTE(SUBSTITUTE(SUBSTITUTE(Клиенты_исходные!D338," ",""),"-",""),"+",""),"(",""),")",""))="8","7"&amp;MID(SUBSTITUTE(SUBSTITUTE(SUBSTITUTE(SUBSTITUTE(SUBSTITUTE(Клиенты_исходные!D338," ",""),"-",""),"+",""),"(",""),")",""),2,10),SUBSTITUTE(SUBSTITUTE(SUBSTITUTE(SUBSTITUTE(SUBSTITUTE(Клиенты_исходные!D338," ",""),"-",""),"+",""),"(",""),")","")),8,2)&amp;"-"&amp;MID(IF(LEFT(SUBSTITUTE(SUBSTITUTE(SUBSTITUTE(SUBSTITUTE(SUBSTITUTE(Клиенты_исходные!D338," ",""),"-",""),"+",""),"(",""),")",""))="8","7"&amp;MID(SUBSTITUTE(SUBSTITUTE(SUBSTITUTE(SUBSTITUTE(SUBSTITUTE(Клиенты_исходные!D338," ",""),"-",""),"+",""),"(",""),")",""),2,10),SUBSTITUTE(SUBSTITUTE(SUBSTITUTE(SUBSTITUTE(SUBSTITUTE(Клиенты_исходные!D338," ",""),"-",""),"+",""),"(",""),")","")),10,2),IF(LEN(SUBSTITUTE(SUBSTITUTE(SUBSTITUTE(SUBSTITUTE(SUBSTITUTE(Клиенты_исходные!D338," ",""),"-",""),"+",""),"(",""),")",""))=10,"+7 ("&amp;MID(SUBSTITUTE(SUBSTITUTE(SUBSTITUTE(SUBSTITUTE(SUBSTITUTE(Клиенты_исходные!D338," ",""),"-",""),"+",""),"(",""),")",""),1,3)&amp;") "&amp;MID(SUBSTITUTE(SUBSTITUTE(SUBSTITUTE(SUBSTITUTE(SUBSTITUTE(Клиенты_исходные!D338," ",""),"-",""),"+",""),"(",""),")",""),4,3)&amp;"-"&amp;MID(SUBSTITUTE(SUBSTITUTE(SUBSTITUTE(SUBSTITUTE(SUBSTITUTE(Клиенты_исходные!D338," ",""),"-",""),"+",""),"(",""),")",""),6,2)&amp;"-"&amp;MID(SUBSTITUTE(SUBSTITUTE(SUBSTITUTE(SUBSTITUTE(SUBSTITUTE(Клиенты_исходные!D338," ",""),"-",""),"+",""),"(",""),")",""),8,2),Клиенты_исходные!D338)))</f>
        <v xml:space="preserve">+7 (903) 890-12-34</v>
      </c>
      <c r="E338" t="str">
        <f>IF(ISBLANK(Клиенты_исходные!E338),"",IF(ISNUMBER(FIND(".",MID(Клиенты_исходные!E338,FIND("@",Клиенты_исходные!E338)+1,255))),Клиенты_исходные!E338,IF(ISNUMBER(FIND("gmail",Клиенты_исходные!E338)),Клиенты_исходные!E338&amp;".com",Клиенты_исходные!E338&amp;".ru")))</f>
        <v>shilova@mail.ru</v>
      </c>
      <c r="F338" t="str">
        <f>IFERROR(VLOOKUP(Клиенты_исходные!F338,Справочники!$J$2:$K$50,2,FALSE),Клиенты_исходные!F338)</f>
        <v>Белгород</v>
      </c>
      <c r="G338" s="8">
        <f>IFERROR(IF(ISNUMBER(FIND(".",Клиенты_исходные!G338)),DATE(RIGHT(Клиенты_исходные!G338,4),MID(Клиенты_исходные!G338,4,2),LEFT(Клиенты_исходные!G338,2)),DATE(LEFT(Клиенты_исходные!G338,4),MID(Клиенты_исходные!G338,6,2),RIGHT(Клиенты_исходные!G338,2))),Клиенты_исходные!G338)</f>
        <v>47969</v>
      </c>
      <c r="H338">
        <f t="shared" ca="1" si="61"/>
        <v>42</v>
      </c>
      <c r="I338" t="str">
        <f t="shared" si="62"/>
        <v>OK</v>
      </c>
      <c r="J338" t="str">
        <f t="shared" si="63"/>
        <v>OK</v>
      </c>
    </row>
    <row r="339">
      <c r="A339" t="str">
        <f>Клиенты_исходные!A339</f>
        <v>C0338</v>
      </c>
      <c r="B339" t="str">
        <f>PROPER(TRIM(Клиенты_исходные!B339))</f>
        <v xml:space="preserve">Козырев Никита Павлович</v>
      </c>
      <c r="C339" s="8">
        <f>IFERROR(IF(ISNUMBER(FIND(".",Клиенты_исходные!C339)),DATE(RIGHT(Клиенты_исходные!C339,4),MID(Клиенты_исходные!C339,4,2),LEFT(Клиенты_исходные!C339,2)),DATE(LEFT(Клиенты_исходные!C339,4),MID(Клиенты_исходные!C339,6,2),RIGHT(Клиенты_исходные!C339,2))),Клиенты_исходные!C339)</f>
        <v>33503</v>
      </c>
      <c r="D339" t="str">
        <f>IF(ISBLANK(Клиенты_исходные!D339),"",IF(LEN(SUBSTITUTE(SUBSTITUTE(SUBSTITUTE(SUBSTITUTE(SUBSTITUTE(Клиенты_исходные!D339," ",""),"-",""),"+",""),"(",""),")",""))=11,"+7 ("&amp;MID(IF(LEFT(SUBSTITUTE(SUBSTITUTE(SUBSTITUTE(SUBSTITUTE(SUBSTITUTE(Клиенты_исходные!D339," ",""),"-",""),"+",""),"(",""),")",""))="8","7"&amp;MID(SUBSTITUTE(SUBSTITUTE(SUBSTITUTE(SUBSTITUTE(SUBSTITUTE(Клиенты_исходные!D339," ",""),"-",""),"+",""),"(",""),")",""),2,10),SUBSTITUTE(SUBSTITUTE(SUBSTITUTE(SUBSTITUTE(SUBSTITUTE(Клиенты_исходные!D339," ",""),"-",""),"+",""),"(",""),")","")),2,3)&amp;") "&amp;MID(IF(LEFT(SUBSTITUTE(SUBSTITUTE(SUBSTITUTE(SUBSTITUTE(SUBSTITUTE(Клиенты_исходные!D339," ",""),"-",""),"+",""),"(",""),")",""))="8","7"&amp;MID(SUBSTITUTE(SUBSTITUTE(SUBSTITUTE(SUBSTITUTE(SUBSTITUTE(Клиенты_исходные!D339," ",""),"-",""),"+",""),"(",""),")",""),2,10),SUBSTITUTE(SUBSTITUTE(SUBSTITUTE(SUBSTITUTE(SUBSTITUTE(Клиенты_исходные!D339," ",""),"-",""),"+",""),"(",""),")","")),5,3)&amp;"-"&amp;MID(IF(LEFT(SUBSTITUTE(SUBSTITUTE(SUBSTITUTE(SUBSTITUTE(SUBSTITUTE(Клиенты_исходные!D339," ",""),"-",""),"+",""),"(",""),")",""))="8","7"&amp;MID(SUBSTITUTE(SUBSTITUTE(SUBSTITUTE(SUBSTITUTE(SUBSTITUTE(Клиенты_исходные!D339," ",""),"-",""),"+",""),"(",""),")",""),2,10),SUBSTITUTE(SUBSTITUTE(SUBSTITUTE(SUBSTITUTE(SUBSTITUTE(Клиенты_исходные!D339," ",""),"-",""),"+",""),"(",""),")","")),8,2)&amp;"-"&amp;MID(IF(LEFT(SUBSTITUTE(SUBSTITUTE(SUBSTITUTE(SUBSTITUTE(SUBSTITUTE(Клиенты_исходные!D339," ",""),"-",""),"+",""),"(",""),")",""))="8","7"&amp;MID(SUBSTITUTE(SUBSTITUTE(SUBSTITUTE(SUBSTITUTE(SUBSTITUTE(Клиенты_исходные!D339," ",""),"-",""),"+",""),"(",""),")",""),2,10),SUBSTITUTE(SUBSTITUTE(SUBSTITUTE(SUBSTITUTE(SUBSTITUTE(Клиенты_исходные!D339," ",""),"-",""),"+",""),"(",""),")","")),10,2),IF(LEN(SUBSTITUTE(SUBSTITUTE(SUBSTITUTE(SUBSTITUTE(SUBSTITUTE(Клиенты_исходные!D339," ",""),"-",""),"+",""),"(",""),")",""))=10,"+7 ("&amp;MID(SUBSTITUTE(SUBSTITUTE(SUBSTITUTE(SUBSTITUTE(SUBSTITUTE(Клиенты_исходные!D339," ",""),"-",""),"+",""),"(",""),")",""),1,3)&amp;") "&amp;MID(SUBSTITUTE(SUBSTITUTE(SUBSTITUTE(SUBSTITUTE(SUBSTITUTE(Клиенты_исходные!D339," ",""),"-",""),"+",""),"(",""),")",""),4,3)&amp;"-"&amp;MID(SUBSTITUTE(SUBSTITUTE(SUBSTITUTE(SUBSTITUTE(SUBSTITUTE(Клиенты_исходные!D339," ",""),"-",""),"+",""),"(",""),")",""),6,2)&amp;"-"&amp;MID(SUBSTITUTE(SUBSTITUTE(SUBSTITUTE(SUBSTITUTE(SUBSTITUTE(Клиенты_исходные!D339," ",""),"-",""),"+",""),"(",""),")",""),8,2),Клиенты_исходные!D339)))</f>
        <v xml:space="preserve">+7 (903) 890-12-34</v>
      </c>
      <c r="E339" t="str">
        <f>IF(ISBLANK(Клиенты_исходные!E339),"",IF(ISNUMBER(FIND(".",MID(Клиенты_исходные!E339,FIND("@",Клиенты_исходные!E339)+1,255))),Клиенты_исходные!E339,IF(ISNUMBER(FIND("gmail",Клиенты_исходные!E339)),Клиенты_исходные!E339&amp;".com",Клиенты_исходные!E339&amp;".ru")))</f>
        <v>kozyrev@yandex.ru</v>
      </c>
      <c r="F339" t="str">
        <f>IFERROR(VLOOKUP(Клиенты_исходные!F339,Справочники!$J$2:$K$50,2,FALSE),Клиенты_исходные!F339)</f>
        <v>Мурманск</v>
      </c>
      <c r="G339" s="8">
        <f>IFERROR(IF(ISNUMBER(FIND(".",Клиенты_исходные!G339)),DATE(RIGHT(Клиенты_исходные!G339,4),MID(Клиенты_исходные!G339,4,2),LEFT(Клиенты_исходные!G339,2)),DATE(LEFT(Клиенты_исходные!G339,4),MID(Клиенты_исходные!G339,6,2),RIGHT(Клиенты_исходные!G339,2))),Клиенты_исходные!G339)</f>
        <v>47983</v>
      </c>
      <c r="H339">
        <f t="shared" ca="1" si="61"/>
        <v>35</v>
      </c>
      <c r="I339" t="str">
        <f t="shared" si="62"/>
        <v>OK</v>
      </c>
      <c r="J339" t="str">
        <f t="shared" si="63"/>
        <v>OK</v>
      </c>
    </row>
    <row r="340">
      <c r="A340" t="str">
        <f>Клиенты_исходные!A340</f>
        <v>C0339</v>
      </c>
      <c r="B340" t="str">
        <f>PROPER(TRIM(Клиенты_исходные!B340))</f>
        <v xml:space="preserve">Купреева Мария Александровна</v>
      </c>
      <c r="C340" s="8">
        <f>IFERROR(IF(ISNUMBER(FIND(".",Клиенты_исходные!C340)),DATE(RIGHT(Клиенты_исходные!C340,4),MID(Клиенты_исходные!C340,4,2),LEFT(Клиенты_исходные!C340,2)),DATE(LEFT(Клиенты_исходные!C340,4),MID(Клиенты_исходные!C340,6,2),RIGHT(Клиенты_исходные!C340,2))),Клиенты_исходные!C340)</f>
        <v>28861</v>
      </c>
      <c r="D340" t="str">
        <f>IF(ISBLANK(Клиенты_исходные!D340),"",IF(LEN(SUBSTITUTE(SUBSTITUTE(SUBSTITUTE(SUBSTITUTE(SUBSTITUTE(Клиенты_исходные!D340," ",""),"-",""),"+",""),"(",""),")",""))=11,"+7 ("&amp;MID(IF(LEFT(SUBSTITUTE(SUBSTITUTE(SUBSTITUTE(SUBSTITUTE(SUBSTITUTE(Клиенты_исходные!D340," ",""),"-",""),"+",""),"(",""),")",""))="8","7"&amp;MID(SUBSTITUTE(SUBSTITUTE(SUBSTITUTE(SUBSTITUTE(SUBSTITUTE(Клиенты_исходные!D340," ",""),"-",""),"+",""),"(",""),")",""),2,10),SUBSTITUTE(SUBSTITUTE(SUBSTITUTE(SUBSTITUTE(SUBSTITUTE(Клиенты_исходные!D340," ",""),"-",""),"+",""),"(",""),")","")),2,3)&amp;") "&amp;MID(IF(LEFT(SUBSTITUTE(SUBSTITUTE(SUBSTITUTE(SUBSTITUTE(SUBSTITUTE(Клиенты_исходные!D340," ",""),"-",""),"+",""),"(",""),")",""))="8","7"&amp;MID(SUBSTITUTE(SUBSTITUTE(SUBSTITUTE(SUBSTITUTE(SUBSTITUTE(Клиенты_исходные!D340," ",""),"-",""),"+",""),"(",""),")",""),2,10),SUBSTITUTE(SUBSTITUTE(SUBSTITUTE(SUBSTITUTE(SUBSTITUTE(Клиенты_исходные!D340," ",""),"-",""),"+",""),"(",""),")","")),5,3)&amp;"-"&amp;MID(IF(LEFT(SUBSTITUTE(SUBSTITUTE(SUBSTITUTE(SUBSTITUTE(SUBSTITUTE(Клиенты_исходные!D340," ",""),"-",""),"+",""),"(",""),")",""))="8","7"&amp;MID(SUBSTITUTE(SUBSTITUTE(SUBSTITUTE(SUBSTITUTE(SUBSTITUTE(Клиенты_исходные!D340," ",""),"-",""),"+",""),"(",""),")",""),2,10),SUBSTITUTE(SUBSTITUTE(SUBSTITUTE(SUBSTITUTE(SUBSTITUTE(Клиенты_исходные!D340," ",""),"-",""),"+",""),"(",""),")","")),8,2)&amp;"-"&amp;MID(IF(LEFT(SUBSTITUTE(SUBSTITUTE(SUBSTITUTE(SUBSTITUTE(SUBSTITUTE(Клиенты_исходные!D340," ",""),"-",""),"+",""),"(",""),")",""))="8","7"&amp;MID(SUBSTITUTE(SUBSTITUTE(SUBSTITUTE(SUBSTITUTE(SUBSTITUTE(Клиенты_исходные!D340," ",""),"-",""),"+",""),"(",""),")",""),2,10),SUBSTITUTE(SUBSTITUTE(SUBSTITUTE(SUBSTITUTE(SUBSTITUTE(Клиенты_исходные!D340," ",""),"-",""),"+",""),"(",""),")","")),10,2),IF(LEN(SUBSTITUTE(SUBSTITUTE(SUBSTITUTE(SUBSTITUTE(SUBSTITUTE(Клиенты_исходные!D340," ",""),"-",""),"+",""),"(",""),")",""))=10,"+7 ("&amp;MID(SUBSTITUTE(SUBSTITUTE(SUBSTITUTE(SUBSTITUTE(SUBSTITUTE(Клиенты_исходные!D340," ",""),"-",""),"+",""),"(",""),")",""),1,3)&amp;") "&amp;MID(SUBSTITUTE(SUBSTITUTE(SUBSTITUTE(SUBSTITUTE(SUBSTITUTE(Клиенты_исходные!D340," ",""),"-",""),"+",""),"(",""),")",""),4,3)&amp;"-"&amp;MID(SUBSTITUTE(SUBSTITUTE(SUBSTITUTE(SUBSTITUTE(SUBSTITUTE(Клиенты_исходные!D340," ",""),"-",""),"+",""),"(",""),")",""),6,2)&amp;"-"&amp;MID(SUBSTITUTE(SUBSTITUTE(SUBSTITUTE(SUBSTITUTE(SUBSTITUTE(Клиенты_исходные!D340," ",""),"-",""),"+",""),"(",""),")",""),8,2),Клиенты_исходные!D340)))</f>
        <v xml:space="preserve">+7 (903) 901-23-45</v>
      </c>
      <c r="E340" t="str">
        <f>IF(ISBLANK(Клиенты_исходные!E340),"",IF(ISNUMBER(FIND(".",MID(Клиенты_исходные!E340,FIND("@",Клиенты_исходные!E340)+1,255))),Клиенты_исходные!E340,IF(ISNUMBER(FIND("gmail",Клиенты_исходные!E340)),Клиенты_исходные!E340&amp;".com",Клиенты_исходные!E340&amp;".ru")))</f>
        <v>kupreeva@gmail.com</v>
      </c>
      <c r="F340" t="str">
        <f>IFERROR(VLOOKUP(Клиенты_исходные!F340,Справочники!$J$2:$K$50,2,FALSE),Клиенты_исходные!F340)</f>
        <v>Ставрополь</v>
      </c>
      <c r="G340" s="8">
        <f>IFERROR(IF(ISNUMBER(FIND(".",Клиенты_исходные!G340)),DATE(RIGHT(Клиенты_исходные!G340,4),MID(Клиенты_исходные!G340,4,2),LEFT(Клиенты_исходные!G340,2)),DATE(LEFT(Клиенты_исходные!G340,4),MID(Клиенты_исходные!G340,6,2),RIGHT(Клиенты_исходные!G340,2))),Клиенты_исходные!G340)</f>
        <v>47983</v>
      </c>
      <c r="H340">
        <f t="shared" ca="1" si="61"/>
        <v>47</v>
      </c>
      <c r="I340" t="str">
        <f t="shared" si="62"/>
        <v>OK</v>
      </c>
      <c r="J340" t="str">
        <f t="shared" si="63"/>
        <v>OK</v>
      </c>
    </row>
    <row r="341">
      <c r="A341" t="str">
        <f>Клиенты_исходные!A341</f>
        <v>C0340</v>
      </c>
      <c r="B341" t="str">
        <f>PROPER(TRIM(Клиенты_исходные!B341))</f>
        <v xml:space="preserve">Разумовский Олег Сергеевич</v>
      </c>
      <c r="C341" s="8">
        <f>IFERROR(IF(ISNUMBER(FIND(".",Клиенты_исходные!C341)),DATE(RIGHT(Клиенты_исходные!C341,4),MID(Клиенты_исходные!C341,4,2),LEFT(Клиенты_исходные!C341,2)),DATE(LEFT(Клиенты_исходные!C341,4),MID(Клиенты_исходные!C341,6,2),RIGHT(Клиенты_исходные!C341,2))),Клиенты_исходные!C341)</f>
        <v>31733</v>
      </c>
      <c r="D341" t="str">
        <f>IF(ISBLANK(Клиенты_исходные!D341),"",IF(LEN(SUBSTITUTE(SUBSTITUTE(SUBSTITUTE(SUBSTITUTE(SUBSTITUTE(Клиенты_исходные!D341," ",""),"-",""),"+",""),"(",""),")",""))=11,"+7 ("&amp;MID(IF(LEFT(SUBSTITUTE(SUBSTITUTE(SUBSTITUTE(SUBSTITUTE(SUBSTITUTE(Клиенты_исходные!D341," ",""),"-",""),"+",""),"(",""),")",""))="8","7"&amp;MID(SUBSTITUTE(SUBSTITUTE(SUBSTITUTE(SUBSTITUTE(SUBSTITUTE(Клиенты_исходные!D341," ",""),"-",""),"+",""),"(",""),")",""),2,10),SUBSTITUTE(SUBSTITUTE(SUBSTITUTE(SUBSTITUTE(SUBSTITUTE(Клиенты_исходные!D341," ",""),"-",""),"+",""),"(",""),")","")),2,3)&amp;") "&amp;MID(IF(LEFT(SUBSTITUTE(SUBSTITUTE(SUBSTITUTE(SUBSTITUTE(SUBSTITUTE(Клиенты_исходные!D341," ",""),"-",""),"+",""),"(",""),")",""))="8","7"&amp;MID(SUBSTITUTE(SUBSTITUTE(SUBSTITUTE(SUBSTITUTE(SUBSTITUTE(Клиенты_исходные!D341," ",""),"-",""),"+",""),"(",""),")",""),2,10),SUBSTITUTE(SUBSTITUTE(SUBSTITUTE(SUBSTITUTE(SUBSTITUTE(Клиенты_исходные!D341," ",""),"-",""),"+",""),"(",""),")","")),5,3)&amp;"-"&amp;MID(IF(LEFT(SUBSTITUTE(SUBSTITUTE(SUBSTITUTE(SUBSTITUTE(SUBSTITUTE(Клиенты_исходные!D341," ",""),"-",""),"+",""),"(",""),")",""))="8","7"&amp;MID(SUBSTITUTE(SUBSTITUTE(SUBSTITUTE(SUBSTITUTE(SUBSTITUTE(Клиенты_исходные!D341," ",""),"-",""),"+",""),"(",""),")",""),2,10),SUBSTITUTE(SUBSTITUTE(SUBSTITUTE(SUBSTITUTE(SUBSTITUTE(Клиенты_исходные!D341," ",""),"-",""),"+",""),"(",""),")","")),8,2)&amp;"-"&amp;MID(IF(LEFT(SUBSTITUTE(SUBSTITUTE(SUBSTITUTE(SUBSTITUTE(SUBSTITUTE(Клиенты_исходные!D341," ",""),"-",""),"+",""),"(",""),")",""))="8","7"&amp;MID(SUBSTITUTE(SUBSTITUTE(SUBSTITUTE(SUBSTITUTE(SUBSTITUTE(Клиенты_исходные!D341," ",""),"-",""),"+",""),"(",""),")",""),2,10),SUBSTITUTE(SUBSTITUTE(SUBSTITUTE(SUBSTITUTE(SUBSTITUTE(Клиенты_исходные!D341," ",""),"-",""),"+",""),"(",""),")","")),10,2),IF(LEN(SUBSTITUTE(SUBSTITUTE(SUBSTITUTE(SUBSTITUTE(SUBSTITUTE(Клиенты_исходные!D341," ",""),"-",""),"+",""),"(",""),")",""))=10,"+7 ("&amp;MID(SUBSTITUTE(SUBSTITUTE(SUBSTITUTE(SUBSTITUTE(SUBSTITUTE(Клиенты_исходные!D341," ",""),"-",""),"+",""),"(",""),")",""),1,3)&amp;") "&amp;MID(SUBSTITUTE(SUBSTITUTE(SUBSTITUTE(SUBSTITUTE(SUBSTITUTE(Клиенты_исходные!D341," ",""),"-",""),"+",""),"(",""),")",""),4,3)&amp;"-"&amp;MID(SUBSTITUTE(SUBSTITUTE(SUBSTITUTE(SUBSTITUTE(SUBSTITUTE(Клиенты_исходные!D341," ",""),"-",""),"+",""),"(",""),")",""),6,2)&amp;"-"&amp;MID(SUBSTITUTE(SUBSTITUTE(SUBSTITUTE(SUBSTITUTE(SUBSTITUTE(Клиенты_исходные!D341," ",""),"-",""),"+",""),"(",""),")",""),8,2),Клиенты_исходные!D341)))</f>
        <v xml:space="preserve">+7 (903) 901-23-45</v>
      </c>
      <c r="E341" t="str">
        <f>IF(ISBLANK(Клиенты_исходные!E341),"",IF(ISNUMBER(FIND(".",MID(Клиенты_исходные!E341,FIND("@",Клиенты_исходные!E341)+1,255))),Клиенты_исходные!E341,IF(ISNUMBER(FIND("gmail",Клиенты_исходные!E341)),Клиенты_исходные!E341&amp;".com",Клиенты_исходные!E341&amp;".ru")))</f>
        <v>razumovsky@mail.ru</v>
      </c>
      <c r="F341" t="str">
        <f>IFERROR(VLOOKUP(Клиенты_исходные!F341,Справочники!$J$2:$K$50,2,FALSE),Клиенты_исходные!F341)</f>
        <v>Севастополь</v>
      </c>
      <c r="G341" s="8">
        <f>IFERROR(IF(ISNUMBER(FIND(".",Клиенты_исходные!G341)),DATE(RIGHT(Клиенты_исходные!G341,4),MID(Клиенты_исходные!G341,4,2),LEFT(Клиенты_исходные!G341,2)),DATE(LEFT(Клиенты_исходные!G341,4),MID(Клиенты_исходные!G341,6,2),RIGHT(Клиенты_исходные!G341,2))),Клиенты_исходные!G341)</f>
        <v>48000</v>
      </c>
      <c r="H341">
        <f t="shared" ca="1" si="61"/>
        <v>39</v>
      </c>
      <c r="I341" t="str">
        <f t="shared" si="62"/>
        <v>OK</v>
      </c>
      <c r="J341" t="str">
        <f t="shared" si="63"/>
        <v>OK</v>
      </c>
    </row>
    <row r="342">
      <c r="A342" t="str">
        <f>Клиенты_исходные!A342</f>
        <v>C0341</v>
      </c>
      <c r="B342" t="str">
        <f>PROPER(TRIM(Клиенты_исходные!B342))</f>
        <v xml:space="preserve">Майорова Анастасия Игоревна</v>
      </c>
      <c r="C342" s="8">
        <f>IFERROR(IF(ISNUMBER(FIND(".",Клиенты_исходные!C342)),DATE(RIGHT(Клиенты_исходные!C342,4),MID(Клиенты_исходные!C342,4,2),LEFT(Клиенты_исходные!C342,2)),DATE(LEFT(Клиенты_исходные!C342,4),MID(Клиенты_исходные!C342,6,2),RIGHT(Клиенты_исходные!C342,2))),Клиенты_исходные!C342)</f>
        <v>30512</v>
      </c>
      <c r="D342" t="str">
        <f>IF(ISBLANK(Клиенты_исходные!D342),"",IF(LEN(SUBSTITUTE(SUBSTITUTE(SUBSTITUTE(SUBSTITUTE(SUBSTITUTE(Клиенты_исходные!D342," ",""),"-",""),"+",""),"(",""),")",""))=11,"+7 ("&amp;MID(IF(LEFT(SUBSTITUTE(SUBSTITUTE(SUBSTITUTE(SUBSTITUTE(SUBSTITUTE(Клиенты_исходные!D342," ",""),"-",""),"+",""),"(",""),")",""))="8","7"&amp;MID(SUBSTITUTE(SUBSTITUTE(SUBSTITUTE(SUBSTITUTE(SUBSTITUTE(Клиенты_исходные!D342," ",""),"-",""),"+",""),"(",""),")",""),2,10),SUBSTITUTE(SUBSTITUTE(SUBSTITUTE(SUBSTITUTE(SUBSTITUTE(Клиенты_исходные!D342," ",""),"-",""),"+",""),"(",""),")","")),2,3)&amp;") "&amp;MID(IF(LEFT(SUBSTITUTE(SUBSTITUTE(SUBSTITUTE(SUBSTITUTE(SUBSTITUTE(Клиенты_исходные!D342," ",""),"-",""),"+",""),"(",""),")",""))="8","7"&amp;MID(SUBSTITUTE(SUBSTITUTE(SUBSTITUTE(SUBSTITUTE(SUBSTITUTE(Клиенты_исходные!D342," ",""),"-",""),"+",""),"(",""),")",""),2,10),SUBSTITUTE(SUBSTITUTE(SUBSTITUTE(SUBSTITUTE(SUBSTITUTE(Клиенты_исходные!D342," ",""),"-",""),"+",""),"(",""),")","")),5,3)&amp;"-"&amp;MID(IF(LEFT(SUBSTITUTE(SUBSTITUTE(SUBSTITUTE(SUBSTITUTE(SUBSTITUTE(Клиенты_исходные!D342," ",""),"-",""),"+",""),"(",""),")",""))="8","7"&amp;MID(SUBSTITUTE(SUBSTITUTE(SUBSTITUTE(SUBSTITUTE(SUBSTITUTE(Клиенты_исходные!D342," ",""),"-",""),"+",""),"(",""),")",""),2,10),SUBSTITUTE(SUBSTITUTE(SUBSTITUTE(SUBSTITUTE(SUBSTITUTE(Клиенты_исходные!D342," ",""),"-",""),"+",""),"(",""),")","")),8,2)&amp;"-"&amp;MID(IF(LEFT(SUBSTITUTE(SUBSTITUTE(SUBSTITUTE(SUBSTITUTE(SUBSTITUTE(Клиенты_исходные!D342," ",""),"-",""),"+",""),"(",""),")",""))="8","7"&amp;MID(SUBSTITUTE(SUBSTITUTE(SUBSTITUTE(SUBSTITUTE(SUBSTITUTE(Клиенты_исходные!D342," ",""),"-",""),"+",""),"(",""),")",""),2,10),SUBSTITUTE(SUBSTITUTE(SUBSTITUTE(SUBSTITUTE(SUBSTITUTE(Клиенты_исходные!D342," ",""),"-",""),"+",""),"(",""),")","")),10,2),IF(LEN(SUBSTITUTE(SUBSTITUTE(SUBSTITUTE(SUBSTITUTE(SUBSTITUTE(Клиенты_исходные!D342," ",""),"-",""),"+",""),"(",""),")",""))=10,"+7 ("&amp;MID(SUBSTITUTE(SUBSTITUTE(SUBSTITUTE(SUBSTITUTE(SUBSTITUTE(Клиенты_исходные!D342," ",""),"-",""),"+",""),"(",""),")",""),1,3)&amp;") "&amp;MID(SUBSTITUTE(SUBSTITUTE(SUBSTITUTE(SUBSTITUTE(SUBSTITUTE(Клиенты_исходные!D342," ",""),"-",""),"+",""),"(",""),")",""),4,3)&amp;"-"&amp;MID(SUBSTITUTE(SUBSTITUTE(SUBSTITUTE(SUBSTITUTE(SUBSTITUTE(Клиенты_исходные!D342," ",""),"-",""),"+",""),"(",""),")",""),6,2)&amp;"-"&amp;MID(SUBSTITUTE(SUBSTITUTE(SUBSTITUTE(SUBSTITUTE(SUBSTITUTE(Клиенты_исходные!D342," ",""),"-",""),"+",""),"(",""),")",""),8,2),Клиенты_исходные!D342)))</f>
        <v xml:space="preserve">+7 (903) 901-23-45</v>
      </c>
      <c r="E342" t="str">
        <f>IF(ISBLANK(Клиенты_исходные!E342),"",IF(ISNUMBER(FIND(".",MID(Клиенты_исходные!E342,FIND("@",Клиенты_исходные!E342)+1,255))),Клиенты_исходные!E342,IF(ISNUMBER(FIND("gmail",Клиенты_исходные!E342)),Клиенты_исходные!E342&amp;".com",Клиенты_исходные!E342&amp;".ru")))</f>
        <v>mayorova@yandex.ru</v>
      </c>
      <c r="F342" t="str">
        <f>IFERROR(VLOOKUP(Клиенты_исходные!F342,Справочники!$J$2:$K$50,2,FALSE),Клиенты_исходные!F342)</f>
        <v>Сочи</v>
      </c>
      <c r="G342" s="8">
        <f>IFERROR(IF(ISNUMBER(FIND(".",Клиенты_исходные!G342)),DATE(RIGHT(Клиенты_исходные!G342,4),MID(Клиенты_исходные!G342,4,2),LEFT(Клиенты_исходные!G342,2)),DATE(LEFT(Клиенты_исходные!G342,4),MID(Клиенты_исходные!G342,6,2),RIGHT(Клиенты_исходные!G342,2))),Клиенты_исходные!G342)</f>
        <v>48009</v>
      </c>
      <c r="H342">
        <f t="shared" ca="1" si="61"/>
        <v>43</v>
      </c>
      <c r="I342" t="str">
        <f t="shared" si="62"/>
        <v>OK</v>
      </c>
      <c r="J342" t="str">
        <f t="shared" si="63"/>
        <v>OK</v>
      </c>
    </row>
    <row r="343">
      <c r="A343" t="str">
        <f>Клиенты_исходные!A343</f>
        <v>C0342</v>
      </c>
      <c r="B343" t="str">
        <f>PROPER(TRIM(Клиенты_исходные!B343))</f>
        <v xml:space="preserve">Скуратов Илья Владимирович</v>
      </c>
      <c r="C343" s="8">
        <f>IFERROR(IF(ISNUMBER(FIND(".",Клиенты_исходные!C343)),DATE(RIGHT(Клиенты_исходные!C343,4),MID(Клиенты_исходные!C343,4,2),LEFT(Клиенты_исходные!C343,2)),DATE(LEFT(Клиенты_исходные!C343,4),MID(Клиенты_исходные!C343,6,2),RIGHT(Клиенты_исходные!C343,2))),Клиенты_исходные!C343)</f>
        <v>27510</v>
      </c>
      <c r="D343" t="str">
        <f>IF(ISBLANK(Клиенты_исходные!D343),"",IF(LEN(SUBSTITUTE(SUBSTITUTE(SUBSTITUTE(SUBSTITUTE(SUBSTITUTE(Клиенты_исходные!D343," ",""),"-",""),"+",""),"(",""),")",""))=11,"+7 ("&amp;MID(IF(LEFT(SUBSTITUTE(SUBSTITUTE(SUBSTITUTE(SUBSTITUTE(SUBSTITUTE(Клиенты_исходные!D343," ",""),"-",""),"+",""),"(",""),")",""))="8","7"&amp;MID(SUBSTITUTE(SUBSTITUTE(SUBSTITUTE(SUBSTITUTE(SUBSTITUTE(Клиенты_исходные!D343," ",""),"-",""),"+",""),"(",""),")",""),2,10),SUBSTITUTE(SUBSTITUTE(SUBSTITUTE(SUBSTITUTE(SUBSTITUTE(Клиенты_исходные!D343," ",""),"-",""),"+",""),"(",""),")","")),2,3)&amp;") "&amp;MID(IF(LEFT(SUBSTITUTE(SUBSTITUTE(SUBSTITUTE(SUBSTITUTE(SUBSTITUTE(Клиенты_исходные!D343," ",""),"-",""),"+",""),"(",""),")",""))="8","7"&amp;MID(SUBSTITUTE(SUBSTITUTE(SUBSTITUTE(SUBSTITUTE(SUBSTITUTE(Клиенты_исходные!D343," ",""),"-",""),"+",""),"(",""),")",""),2,10),SUBSTITUTE(SUBSTITUTE(SUBSTITUTE(SUBSTITUTE(SUBSTITUTE(Клиенты_исходные!D343," ",""),"-",""),"+",""),"(",""),")","")),5,3)&amp;"-"&amp;MID(IF(LEFT(SUBSTITUTE(SUBSTITUTE(SUBSTITUTE(SUBSTITUTE(SUBSTITUTE(Клиенты_исходные!D343," ",""),"-",""),"+",""),"(",""),")",""))="8","7"&amp;MID(SUBSTITUTE(SUBSTITUTE(SUBSTITUTE(SUBSTITUTE(SUBSTITUTE(Клиенты_исходные!D343," ",""),"-",""),"+",""),"(",""),")",""),2,10),SUBSTITUTE(SUBSTITUTE(SUBSTITUTE(SUBSTITUTE(SUBSTITUTE(Клиенты_исходные!D343," ",""),"-",""),"+",""),"(",""),")","")),8,2)&amp;"-"&amp;MID(IF(LEFT(SUBSTITUTE(SUBSTITUTE(SUBSTITUTE(SUBSTITUTE(SUBSTITUTE(Клиенты_исходные!D343," ",""),"-",""),"+",""),"(",""),")",""))="8","7"&amp;MID(SUBSTITUTE(SUBSTITUTE(SUBSTITUTE(SUBSTITUTE(SUBSTITUTE(Клиенты_исходные!D343," ",""),"-",""),"+",""),"(",""),")",""),2,10),SUBSTITUTE(SUBSTITUTE(SUBSTITUTE(SUBSTITUTE(SUBSTITUTE(Клиенты_исходные!D343," ",""),"-",""),"+",""),"(",""),")","")),10,2),IF(LEN(SUBSTITUTE(SUBSTITUTE(SUBSTITUTE(SUBSTITUTE(SUBSTITUTE(Клиенты_исходные!D343," ",""),"-",""),"+",""),"(",""),")",""))=10,"+7 ("&amp;MID(SUBSTITUTE(SUBSTITUTE(SUBSTITUTE(SUBSTITUTE(SUBSTITUTE(Клиенты_исходные!D343," ",""),"-",""),"+",""),"(",""),")",""),1,3)&amp;") "&amp;MID(SUBSTITUTE(SUBSTITUTE(SUBSTITUTE(SUBSTITUTE(SUBSTITUTE(Клиенты_исходные!D343," ",""),"-",""),"+",""),"(",""),")",""),4,3)&amp;"-"&amp;MID(SUBSTITUTE(SUBSTITUTE(SUBSTITUTE(SUBSTITUTE(SUBSTITUTE(Клиенты_исходные!D343," ",""),"-",""),"+",""),"(",""),")",""),6,2)&amp;"-"&amp;MID(SUBSTITUTE(SUBSTITUTE(SUBSTITUTE(SUBSTITUTE(SUBSTITUTE(Клиенты_исходные!D343," ",""),"-",""),"+",""),"(",""),")",""),8,2),Клиенты_исходные!D343)))</f>
        <v xml:space="preserve">+7 (903) 012-34-56</v>
      </c>
      <c r="E343" t="str">
        <f>IF(ISBLANK(Клиенты_исходные!E343),"",IF(ISNUMBER(FIND(".",MID(Клиенты_исходные!E343,FIND("@",Клиенты_исходные!E343)+1,255))),Клиенты_исходные!E343,IF(ISNUMBER(FIND("gmail",Клиенты_исходные!E343)),Клиенты_исходные!E343&amp;".com",Клиенты_исходные!E343&amp;".ru")))</f>
        <v>skuratov@gmail.com</v>
      </c>
      <c r="F343" t="str">
        <f>IFERROR(VLOOKUP(Клиенты_исходные!F343,Справочники!$J$2:$K$50,2,FALSE),Клиенты_исходные!F343)</f>
        <v>Симферополь</v>
      </c>
      <c r="G343" s="8">
        <f>IFERROR(IF(ISNUMBER(FIND(".",Клиенты_исходные!G343)),DATE(RIGHT(Клиенты_исходные!G343,4),MID(Клиенты_исходные!G343,4,2),LEFT(Клиенты_исходные!G343,2)),DATE(LEFT(Клиенты_исходные!G343,4),MID(Клиенты_исходные!G343,6,2),RIGHT(Клиенты_исходные!G343,2))),Клиенты_исходные!G343)</f>
        <v>48009</v>
      </c>
      <c r="H343">
        <f t="shared" ca="1" si="61"/>
        <v>51</v>
      </c>
      <c r="I343" t="str">
        <f t="shared" si="62"/>
        <v>OK</v>
      </c>
      <c r="J343" t="str">
        <f t="shared" si="63"/>
        <v>OK</v>
      </c>
    </row>
    <row r="344">
      <c r="A344" t="str">
        <f>Клиенты_исходные!A344</f>
        <v>C0343</v>
      </c>
      <c r="B344" t="str">
        <f>PROPER(TRIM(Клиенты_исходные!B344))</f>
        <v xml:space="preserve">Кузовлева Елена Сергеевна</v>
      </c>
      <c r="C344" s="8">
        <f>IFERROR(IF(ISNUMBER(FIND(".",Клиенты_исходные!C344)),DATE(RIGHT(Клиенты_исходные!C344,4),MID(Клиенты_исходные!C344,4,2),LEFT(Клиенты_исходные!C344,2)),DATE(LEFT(Клиенты_исходные!C344,4),MID(Клиенты_исходные!C344,6,2),RIGHT(Клиенты_исходные!C344,2))),Клиенты_исходные!C344)</f>
        <v>32439</v>
      </c>
      <c r="D344" t="str">
        <f>IF(ISBLANK(Клиенты_исходные!D344),"",IF(LEN(SUBSTITUTE(SUBSTITUTE(SUBSTITUTE(SUBSTITUTE(SUBSTITUTE(Клиенты_исходные!D344," ",""),"-",""),"+",""),"(",""),")",""))=11,"+7 ("&amp;MID(IF(LEFT(SUBSTITUTE(SUBSTITUTE(SUBSTITUTE(SUBSTITUTE(SUBSTITUTE(Клиенты_исходные!D344," ",""),"-",""),"+",""),"(",""),")",""))="8","7"&amp;MID(SUBSTITUTE(SUBSTITUTE(SUBSTITUTE(SUBSTITUTE(SUBSTITUTE(Клиенты_исходные!D344," ",""),"-",""),"+",""),"(",""),")",""),2,10),SUBSTITUTE(SUBSTITUTE(SUBSTITUTE(SUBSTITUTE(SUBSTITUTE(Клиенты_исходные!D344," ",""),"-",""),"+",""),"(",""),")","")),2,3)&amp;") "&amp;MID(IF(LEFT(SUBSTITUTE(SUBSTITUTE(SUBSTITUTE(SUBSTITUTE(SUBSTITUTE(Клиенты_исходные!D344," ",""),"-",""),"+",""),"(",""),")",""))="8","7"&amp;MID(SUBSTITUTE(SUBSTITUTE(SUBSTITUTE(SUBSTITUTE(SUBSTITUTE(Клиенты_исходные!D344," ",""),"-",""),"+",""),"(",""),")",""),2,10),SUBSTITUTE(SUBSTITUTE(SUBSTITUTE(SUBSTITUTE(SUBSTITUTE(Клиенты_исходные!D344," ",""),"-",""),"+",""),"(",""),")","")),5,3)&amp;"-"&amp;MID(IF(LEFT(SUBSTITUTE(SUBSTITUTE(SUBSTITUTE(SUBSTITUTE(SUBSTITUTE(Клиенты_исходные!D344," ",""),"-",""),"+",""),"(",""),")",""))="8","7"&amp;MID(SUBSTITUTE(SUBSTITUTE(SUBSTITUTE(SUBSTITUTE(SUBSTITUTE(Клиенты_исходные!D344," ",""),"-",""),"+",""),"(",""),")",""),2,10),SUBSTITUTE(SUBSTITUTE(SUBSTITUTE(SUBSTITUTE(SUBSTITUTE(Клиенты_исходные!D344," ",""),"-",""),"+",""),"(",""),")","")),8,2)&amp;"-"&amp;MID(IF(LEFT(SUBSTITUTE(SUBSTITUTE(SUBSTITUTE(SUBSTITUTE(SUBSTITUTE(Клиенты_исходные!D344," ",""),"-",""),"+",""),"(",""),")",""))="8","7"&amp;MID(SUBSTITUTE(SUBSTITUTE(SUBSTITUTE(SUBSTITUTE(SUBSTITUTE(Клиенты_исходные!D344," ",""),"-",""),"+",""),"(",""),")",""),2,10),SUBSTITUTE(SUBSTITUTE(SUBSTITUTE(SUBSTITUTE(SUBSTITUTE(Клиенты_исходные!D344," ",""),"-",""),"+",""),"(",""),")","")),10,2),IF(LEN(SUBSTITUTE(SUBSTITUTE(SUBSTITUTE(SUBSTITUTE(SUBSTITUTE(Клиенты_исходные!D344," ",""),"-",""),"+",""),"(",""),")",""))=10,"+7 ("&amp;MID(SUBSTITUTE(SUBSTITUTE(SUBSTITUTE(SUBSTITUTE(SUBSTITUTE(Клиенты_исходные!D344," ",""),"-",""),"+",""),"(",""),")",""),1,3)&amp;") "&amp;MID(SUBSTITUTE(SUBSTITUTE(SUBSTITUTE(SUBSTITUTE(SUBSTITUTE(Клиенты_исходные!D344," ",""),"-",""),"+",""),"(",""),")",""),4,3)&amp;"-"&amp;MID(SUBSTITUTE(SUBSTITUTE(SUBSTITUTE(SUBSTITUTE(SUBSTITUTE(Клиенты_исходные!D344," ",""),"-",""),"+",""),"(",""),")",""),6,2)&amp;"-"&amp;MID(SUBSTITUTE(SUBSTITUTE(SUBSTITUTE(SUBSTITUTE(SUBSTITUTE(Клиенты_исходные!D344," ",""),"-",""),"+",""),"(",""),")",""),8,2),Клиенты_исходные!D344)))</f>
        <v xml:space="preserve">+7 (903) 012-34-56</v>
      </c>
      <c r="E344" t="str">
        <f>IF(ISBLANK(Клиенты_исходные!E344),"",IF(ISNUMBER(FIND(".",MID(Клиенты_исходные!E344,FIND("@",Клиенты_исходные!E344)+1,255))),Клиенты_исходные!E344,IF(ISNUMBER(FIND("gmail",Клиенты_исходные!E344)),Клиенты_исходные!E344&amp;".com",Клиенты_исходные!E344&amp;".ru")))</f>
        <v>kuzovleva@mail.ru</v>
      </c>
      <c r="F344" t="str">
        <f>IFERROR(VLOOKUP(Клиенты_исходные!F344,Справочники!$J$2:$K$50,2,FALSE),Клиенты_исходные!F344)</f>
        <v>Брянск</v>
      </c>
      <c r="G344" s="8">
        <f>IFERROR(IF(ISNUMBER(FIND(".",Клиенты_исходные!G344)),DATE(RIGHT(Клиенты_исходные!G344,4),MID(Клиенты_исходные!G344,4,2),LEFT(Клиенты_исходные!G344,2)),DATE(LEFT(Клиенты_исходные!G344,4),MID(Клиенты_исходные!G344,6,2),RIGHT(Клиенты_исходные!G344,2))),Клиенты_исходные!G344)</f>
        <v>48030</v>
      </c>
      <c r="H344">
        <f t="shared" ca="1" si="61"/>
        <v>37</v>
      </c>
      <c r="I344" t="str">
        <f t="shared" si="62"/>
        <v>OK</v>
      </c>
      <c r="J344" t="str">
        <f t="shared" si="63"/>
        <v>OK</v>
      </c>
    </row>
    <row r="345">
      <c r="A345" t="str">
        <f>Клиенты_исходные!A345</f>
        <v>C0344</v>
      </c>
      <c r="B345" t="str">
        <f>PROPER(TRIM(Клиенты_исходные!B345))</f>
        <v xml:space="preserve">Станкевич Артем Николаевич</v>
      </c>
      <c r="C345" s="8">
        <f>IFERROR(IF(ISNUMBER(FIND(".",Клиенты_исходные!C345)),DATE(RIGHT(Клиенты_исходные!C345,4),MID(Клиенты_исходные!C345,4,2),LEFT(Клиенты_исходные!C345,2)),DATE(LEFT(Клиенты_исходные!C345,4),MID(Клиенты_исходные!C345,6,2),RIGHT(Клиенты_исходные!C345,2))),Клиенты_исходные!C345)</f>
        <v>29631</v>
      </c>
      <c r="D345" t="str">
        <f>IF(ISBLANK(Клиенты_исходные!D345),"",IF(LEN(SUBSTITUTE(SUBSTITUTE(SUBSTITUTE(SUBSTITUTE(SUBSTITUTE(Клиенты_исходные!D345," ",""),"-",""),"+",""),"(",""),")",""))=11,"+7 ("&amp;MID(IF(LEFT(SUBSTITUTE(SUBSTITUTE(SUBSTITUTE(SUBSTITUTE(SUBSTITUTE(Клиенты_исходные!D345," ",""),"-",""),"+",""),"(",""),")",""))="8","7"&amp;MID(SUBSTITUTE(SUBSTITUTE(SUBSTITUTE(SUBSTITUTE(SUBSTITUTE(Клиенты_исходные!D345," ",""),"-",""),"+",""),"(",""),")",""),2,10),SUBSTITUTE(SUBSTITUTE(SUBSTITUTE(SUBSTITUTE(SUBSTITUTE(Клиенты_исходные!D345," ",""),"-",""),"+",""),"(",""),")","")),2,3)&amp;") "&amp;MID(IF(LEFT(SUBSTITUTE(SUBSTITUTE(SUBSTITUTE(SUBSTITUTE(SUBSTITUTE(Клиенты_исходные!D345," ",""),"-",""),"+",""),"(",""),")",""))="8","7"&amp;MID(SUBSTITUTE(SUBSTITUTE(SUBSTITUTE(SUBSTITUTE(SUBSTITUTE(Клиенты_исходные!D345," ",""),"-",""),"+",""),"(",""),")",""),2,10),SUBSTITUTE(SUBSTITUTE(SUBSTITUTE(SUBSTITUTE(SUBSTITUTE(Клиенты_исходные!D345," ",""),"-",""),"+",""),"(",""),")","")),5,3)&amp;"-"&amp;MID(IF(LEFT(SUBSTITUTE(SUBSTITUTE(SUBSTITUTE(SUBSTITUTE(SUBSTITUTE(Клиенты_исходные!D345," ",""),"-",""),"+",""),"(",""),")",""))="8","7"&amp;MID(SUBSTITUTE(SUBSTITUTE(SUBSTITUTE(SUBSTITUTE(SUBSTITUTE(Клиенты_исходные!D345," ",""),"-",""),"+",""),"(",""),")",""),2,10),SUBSTITUTE(SUBSTITUTE(SUBSTITUTE(SUBSTITUTE(SUBSTITUTE(Клиенты_исходные!D345," ",""),"-",""),"+",""),"(",""),")","")),8,2)&amp;"-"&amp;MID(IF(LEFT(SUBSTITUTE(SUBSTITUTE(SUBSTITUTE(SUBSTITUTE(SUBSTITUTE(Клиенты_исходные!D345," ",""),"-",""),"+",""),"(",""),")",""))="8","7"&amp;MID(SUBSTITUTE(SUBSTITUTE(SUBSTITUTE(SUBSTITUTE(SUBSTITUTE(Клиенты_исходные!D345," ",""),"-",""),"+",""),"(",""),")",""),2,10),SUBSTITUTE(SUBSTITUTE(SUBSTITUTE(SUBSTITUTE(SUBSTITUTE(Клиенты_исходные!D345," ",""),"-",""),"+",""),"(",""),")","")),10,2),IF(LEN(SUBSTITUTE(SUBSTITUTE(SUBSTITUTE(SUBSTITUTE(SUBSTITUTE(Клиенты_исходные!D345," ",""),"-",""),"+",""),"(",""),")",""))=10,"+7 ("&amp;MID(SUBSTITUTE(SUBSTITUTE(SUBSTITUTE(SUBSTITUTE(SUBSTITUTE(Клиенты_исходные!D345," ",""),"-",""),"+",""),"(",""),")",""),1,3)&amp;") "&amp;MID(SUBSTITUTE(SUBSTITUTE(SUBSTITUTE(SUBSTITUTE(SUBSTITUTE(Клиенты_исходные!D345," ",""),"-",""),"+",""),"(",""),")",""),4,3)&amp;"-"&amp;MID(SUBSTITUTE(SUBSTITUTE(SUBSTITUTE(SUBSTITUTE(SUBSTITUTE(Клиенты_исходные!D345," ",""),"-",""),"+",""),"(",""),")",""),6,2)&amp;"-"&amp;MID(SUBSTITUTE(SUBSTITUTE(SUBSTITUTE(SUBSTITUTE(SUBSTITUTE(Клиенты_исходные!D345," ",""),"-",""),"+",""),"(",""),")",""),8,2),Клиенты_исходные!D345)))</f>
        <v xml:space="preserve">+7 (903) 012-34-56</v>
      </c>
      <c r="E345" t="str">
        <f>IF(ISBLANK(Клиенты_исходные!E345),"",IF(ISNUMBER(FIND(".",MID(Клиенты_исходные!E345,FIND("@",Клиенты_исходные!E345)+1,255))),Клиенты_исходные!E345,IF(ISNUMBER(FIND("gmail",Клиенты_исходные!E345)),Клиенты_исходные!E345&amp;".com",Клиенты_исходные!E345&amp;".ru")))</f>
        <v>stankevich@yandex.ru</v>
      </c>
      <c r="F345" t="str">
        <f>IFERROR(VLOOKUP(Клиенты_исходные!F345,Справочники!$J$2:$K$50,2,FALSE),Клиенты_исходные!F345)</f>
        <v>Абакан</v>
      </c>
      <c r="G345" s="8">
        <f>IFERROR(IF(ISNUMBER(FIND(".",Клиенты_исходные!G345)),DATE(RIGHT(Клиенты_исходные!G345,4),MID(Клиенты_исходные!G345,4,2),LEFT(Клиенты_исходные!G345,2)),DATE(LEFT(Клиенты_исходные!G345,4),MID(Клиенты_исходные!G345,6,2),RIGHT(Клиенты_исходные!G345,2))),Клиенты_исходные!G345)</f>
        <v>48044</v>
      </c>
      <c r="H345">
        <f t="shared" ca="1" si="61"/>
        <v>45</v>
      </c>
      <c r="I345" t="str">
        <f t="shared" si="62"/>
        <v>OK</v>
      </c>
      <c r="J345" t="str">
        <f t="shared" si="63"/>
        <v>OK</v>
      </c>
    </row>
    <row r="346">
      <c r="A346" t="str">
        <f>Клиенты_исходные!A346</f>
        <v>C0345</v>
      </c>
      <c r="B346" t="str">
        <f>PROPER(TRIM(Клиенты_исходные!B346))</f>
        <v xml:space="preserve">Милютина Ольга Валерьевна</v>
      </c>
      <c r="C346" s="8">
        <f>IFERROR(IF(ISNUMBER(FIND(".",Клиенты_исходные!C346)),DATE(RIGHT(Клиенты_исходные!C346,4),MID(Клиенты_исходные!C346,4,2),LEFT(Клиенты_исходные!C346,2)),DATE(LEFT(Клиенты_исходные!C346,4),MID(Клиенты_исходные!C346,6,2),RIGHT(Клиенты_исходные!C346,2))),Клиенты_исходные!C346)</f>
        <v>33763</v>
      </c>
      <c r="D346" t="str">
        <f>IF(ISBLANK(Клиенты_исходные!D346),"",IF(LEN(SUBSTITUTE(SUBSTITUTE(SUBSTITUTE(SUBSTITUTE(SUBSTITUTE(Клиенты_исходные!D346," ",""),"-",""),"+",""),"(",""),")",""))=11,"+7 ("&amp;MID(IF(LEFT(SUBSTITUTE(SUBSTITUTE(SUBSTITUTE(SUBSTITUTE(SUBSTITUTE(Клиенты_исходные!D346," ",""),"-",""),"+",""),"(",""),")",""))="8","7"&amp;MID(SUBSTITUTE(SUBSTITUTE(SUBSTITUTE(SUBSTITUTE(SUBSTITUTE(Клиенты_исходные!D346," ",""),"-",""),"+",""),"(",""),")",""),2,10),SUBSTITUTE(SUBSTITUTE(SUBSTITUTE(SUBSTITUTE(SUBSTITUTE(Клиенты_исходные!D346," ",""),"-",""),"+",""),"(",""),")","")),2,3)&amp;") "&amp;MID(IF(LEFT(SUBSTITUTE(SUBSTITUTE(SUBSTITUTE(SUBSTITUTE(SUBSTITUTE(Клиенты_исходные!D346," ",""),"-",""),"+",""),"(",""),")",""))="8","7"&amp;MID(SUBSTITUTE(SUBSTITUTE(SUBSTITUTE(SUBSTITUTE(SUBSTITUTE(Клиенты_исходные!D346," ",""),"-",""),"+",""),"(",""),")",""),2,10),SUBSTITUTE(SUBSTITUTE(SUBSTITUTE(SUBSTITUTE(SUBSTITUTE(Клиенты_исходные!D346," ",""),"-",""),"+",""),"(",""),")","")),5,3)&amp;"-"&amp;MID(IF(LEFT(SUBSTITUTE(SUBSTITUTE(SUBSTITUTE(SUBSTITUTE(SUBSTITUTE(Клиенты_исходные!D346," ",""),"-",""),"+",""),"(",""),")",""))="8","7"&amp;MID(SUBSTITUTE(SUBSTITUTE(SUBSTITUTE(SUBSTITUTE(SUBSTITUTE(Клиенты_исходные!D346," ",""),"-",""),"+",""),"(",""),")",""),2,10),SUBSTITUTE(SUBSTITUTE(SUBSTITUTE(SUBSTITUTE(SUBSTITUTE(Клиенты_исходные!D346," ",""),"-",""),"+",""),"(",""),")","")),8,2)&amp;"-"&amp;MID(IF(LEFT(SUBSTITUTE(SUBSTITUTE(SUBSTITUTE(SUBSTITUTE(SUBSTITUTE(Клиенты_исходные!D346," ",""),"-",""),"+",""),"(",""),")",""))="8","7"&amp;MID(SUBSTITUTE(SUBSTITUTE(SUBSTITUTE(SUBSTITUTE(SUBSTITUTE(Клиенты_исходные!D346," ",""),"-",""),"+",""),"(",""),")",""),2,10),SUBSTITUTE(SUBSTITUTE(SUBSTITUTE(SUBSTITUTE(SUBSTITUTE(Клиенты_исходные!D346," ",""),"-",""),"+",""),"(",""),")","")),10,2),IF(LEN(SUBSTITUTE(SUBSTITUTE(SUBSTITUTE(SUBSTITUTE(SUBSTITUTE(Клиенты_исходные!D346," ",""),"-",""),"+",""),"(",""),")",""))=10,"+7 ("&amp;MID(SUBSTITUTE(SUBSTITUTE(SUBSTITUTE(SUBSTITUTE(SUBSTITUTE(Клиенты_исходные!D346," ",""),"-",""),"+",""),"(",""),")",""),1,3)&amp;") "&amp;MID(SUBSTITUTE(SUBSTITUTE(SUBSTITUTE(SUBSTITUTE(SUBSTITUTE(Клиенты_исходные!D346," ",""),"-",""),"+",""),"(",""),")",""),4,3)&amp;"-"&amp;MID(SUBSTITUTE(SUBSTITUTE(SUBSTITUTE(SUBSTITUTE(SUBSTITUTE(Клиенты_исходные!D346," ",""),"-",""),"+",""),"(",""),")",""),6,2)&amp;"-"&amp;MID(SUBSTITUTE(SUBSTITUTE(SUBSTITUTE(SUBSTITUTE(SUBSTITUTE(Клиенты_исходные!D346," ",""),"-",""),"+",""),"(",""),")",""),8,2),Клиенты_исходные!D346)))</f>
        <v xml:space="preserve">+7 (903) 123-45-67</v>
      </c>
      <c r="E346" t="str">
        <f>IF(ISBLANK(Клиенты_исходные!E346),"",IF(ISNUMBER(FIND(".",MID(Клиенты_исходные!E346,FIND("@",Клиенты_исходные!E346)+1,255))),Клиенты_исходные!E346,IF(ISNUMBER(FIND("gmail",Клиенты_исходные!E346)),Клиенты_исходные!E346&amp;".com",Клиенты_исходные!E346&amp;".ru")))</f>
        <v>milyutina@gmail.com</v>
      </c>
      <c r="F346" t="str">
        <f>IFERROR(VLOOKUP(Клиенты_исходные!F346,Справочники!$J$2:$K$50,2,FALSE),Клиенты_исходные!F346)</f>
        <v>Грозный</v>
      </c>
      <c r="G346" s="8">
        <f>IFERROR(IF(ISNUMBER(FIND(".",Клиенты_исходные!G346)),DATE(RIGHT(Клиенты_исходные!G346,4),MID(Клиенты_исходные!G346,4,2),LEFT(Клиенты_исходные!G346,2)),DATE(LEFT(Клиенты_исходные!G346,4),MID(Клиенты_исходные!G346,6,2),RIGHT(Клиенты_исходные!G346,2))),Клиенты_исходные!G346)</f>
        <v>48044</v>
      </c>
      <c r="H346">
        <f t="shared" ca="1" si="61"/>
        <v>34</v>
      </c>
      <c r="I346" t="str">
        <f t="shared" si="62"/>
        <v>OK</v>
      </c>
      <c r="J346" t="str">
        <f t="shared" si="63"/>
        <v>OK</v>
      </c>
    </row>
    <row r="347">
      <c r="A347" t="str">
        <f>Клиенты_исходные!A347</f>
        <v>C0346</v>
      </c>
      <c r="B347" t="str">
        <f>PROPER(TRIM(Клиенты_исходные!B347))</f>
        <v xml:space="preserve">Белоусов Андрей Павлович</v>
      </c>
      <c r="C347" s="8">
        <f>IFERROR(IF(ISNUMBER(FIND(".",Клиенты_исходные!C347)),DATE(RIGHT(Клиенты_исходные!C347,4),MID(Клиенты_исходные!C347,4,2),LEFT(Клиенты_исходные!C347,2)),DATE(LEFT(Клиенты_исходные!C347,4),MID(Клиенты_исходные!C347,6,2),RIGHT(Клиенты_исходные!C347,2))),Клиенты_исходные!C347)</f>
        <v>28488</v>
      </c>
      <c r="D347" t="str">
        <f>IF(ISBLANK(Клиенты_исходные!D347),"",IF(LEN(SUBSTITUTE(SUBSTITUTE(SUBSTITUTE(SUBSTITUTE(SUBSTITUTE(Клиенты_исходные!D347," ",""),"-",""),"+",""),"(",""),")",""))=11,"+7 ("&amp;MID(IF(LEFT(SUBSTITUTE(SUBSTITUTE(SUBSTITUTE(SUBSTITUTE(SUBSTITUTE(Клиенты_исходные!D347," ",""),"-",""),"+",""),"(",""),")",""))="8","7"&amp;MID(SUBSTITUTE(SUBSTITUTE(SUBSTITUTE(SUBSTITUTE(SUBSTITUTE(Клиенты_исходные!D347," ",""),"-",""),"+",""),"(",""),")",""),2,10),SUBSTITUTE(SUBSTITUTE(SUBSTITUTE(SUBSTITUTE(SUBSTITUTE(Клиенты_исходные!D347," ",""),"-",""),"+",""),"(",""),")","")),2,3)&amp;") "&amp;MID(IF(LEFT(SUBSTITUTE(SUBSTITUTE(SUBSTITUTE(SUBSTITUTE(SUBSTITUTE(Клиенты_исходные!D347," ",""),"-",""),"+",""),"(",""),")",""))="8","7"&amp;MID(SUBSTITUTE(SUBSTITUTE(SUBSTITUTE(SUBSTITUTE(SUBSTITUTE(Клиенты_исходные!D347," ",""),"-",""),"+",""),"(",""),")",""),2,10),SUBSTITUTE(SUBSTITUTE(SUBSTITUTE(SUBSTITUTE(SUBSTITUTE(Клиенты_исходные!D347," ",""),"-",""),"+",""),"(",""),")","")),5,3)&amp;"-"&amp;MID(IF(LEFT(SUBSTITUTE(SUBSTITUTE(SUBSTITUTE(SUBSTITUTE(SUBSTITUTE(Клиенты_исходные!D347," ",""),"-",""),"+",""),"(",""),")",""))="8","7"&amp;MID(SUBSTITUTE(SUBSTITUTE(SUBSTITUTE(SUBSTITUTE(SUBSTITUTE(Клиенты_исходные!D347," ",""),"-",""),"+",""),"(",""),")",""),2,10),SUBSTITUTE(SUBSTITUTE(SUBSTITUTE(SUBSTITUTE(SUBSTITUTE(Клиенты_исходные!D347," ",""),"-",""),"+",""),"(",""),")","")),8,2)&amp;"-"&amp;MID(IF(LEFT(SUBSTITUTE(SUBSTITUTE(SUBSTITUTE(SUBSTITUTE(SUBSTITUTE(Клиенты_исходные!D347," ",""),"-",""),"+",""),"(",""),")",""))="8","7"&amp;MID(SUBSTITUTE(SUBSTITUTE(SUBSTITUTE(SUBSTITUTE(SUBSTITUTE(Клиенты_исходные!D347," ",""),"-",""),"+",""),"(",""),")",""),2,10),SUBSTITUTE(SUBSTITUTE(SUBSTITUTE(SUBSTITUTE(SUBSTITUTE(Клиенты_исходные!D347," ",""),"-",""),"+",""),"(",""),")","")),10,2),IF(LEN(SUBSTITUTE(SUBSTITUTE(SUBSTITUTE(SUBSTITUTE(SUBSTITUTE(Клиенты_исходные!D347," ",""),"-",""),"+",""),"(",""),")",""))=10,"+7 ("&amp;MID(SUBSTITUTE(SUBSTITUTE(SUBSTITUTE(SUBSTITUTE(SUBSTITUTE(Клиенты_исходные!D347," ",""),"-",""),"+",""),"(",""),")",""),1,3)&amp;") "&amp;MID(SUBSTITUTE(SUBSTITUTE(SUBSTITUTE(SUBSTITUTE(SUBSTITUTE(Клиенты_исходные!D347," ",""),"-",""),"+",""),"(",""),")",""),4,3)&amp;"-"&amp;MID(SUBSTITUTE(SUBSTITUTE(SUBSTITUTE(SUBSTITUTE(SUBSTITUTE(Клиенты_исходные!D347," ",""),"-",""),"+",""),"(",""),")",""),6,2)&amp;"-"&amp;MID(SUBSTITUTE(SUBSTITUTE(SUBSTITUTE(SUBSTITUTE(SUBSTITUTE(Клиенты_исходные!D347," ",""),"-",""),"+",""),"(",""),")",""),8,2),Клиенты_исходные!D347)))</f>
        <v xml:space="preserve">+7 (903) 123-45-67</v>
      </c>
      <c r="E347" t="str">
        <f>IF(ISBLANK(Клиенты_исходные!E347),"",IF(ISNUMBER(FIND(".",MID(Клиенты_исходные!E347,FIND("@",Клиенты_исходные!E347)+1,255))),Клиенты_исходные!E347,IF(ISNUMBER(FIND("gmail",Клиенты_исходные!E347)),Клиенты_исходные!E347&amp;".com",Клиенты_исходные!E347&amp;".ru")))</f>
        <v>belousov@mail.ru</v>
      </c>
      <c r="F347" t="str">
        <f>IFERROR(VLOOKUP(Клиенты_исходные!F347,Справочники!$J$2:$K$50,2,FALSE),Клиенты_исходные!F347)</f>
        <v>Бийск</v>
      </c>
      <c r="G347" s="8">
        <f>IFERROR(IF(ISNUMBER(FIND(".",Клиенты_исходные!G347)),DATE(RIGHT(Клиенты_исходные!G347,4),MID(Клиенты_исходные!G347,4,2),LEFT(Клиенты_исходные!G347,2)),DATE(LEFT(Клиенты_исходные!G347,4),MID(Клиенты_исходные!G347,6,2),RIGHT(Клиенты_исходные!G347,2))),Клиенты_исходные!G347)</f>
        <v>48061</v>
      </c>
      <c r="H347">
        <f t="shared" ca="1" si="61"/>
        <v>48</v>
      </c>
      <c r="I347" t="str">
        <f t="shared" si="62"/>
        <v>OK</v>
      </c>
      <c r="J347" t="str">
        <f t="shared" si="63"/>
        <v>OK</v>
      </c>
    </row>
    <row r="348">
      <c r="A348" t="str">
        <f>Клиенты_исходные!A348</f>
        <v>C0347</v>
      </c>
      <c r="B348" t="str">
        <f>PROPER(TRIM(Клиенты_исходные!B348))</f>
        <v xml:space="preserve">Рябчинская Наталья Юрьевна</v>
      </c>
      <c r="C348" s="8">
        <f>IFERROR(IF(ISNUMBER(FIND(".",Клиенты_исходные!C348)),DATE(RIGHT(Клиенты_исходные!C348,4),MID(Клиенты_исходные!C348,4,2),LEFT(Клиенты_исходные!C348,2)),DATE(LEFT(Клиенты_исходные!C348,4),MID(Клиенты_исходные!C348,6,2),RIGHT(Клиенты_исходные!C348,2))),Клиенты_исходные!C348)</f>
        <v>31309</v>
      </c>
      <c r="D348" t="str">
        <f>IF(ISBLANK(Клиенты_исходные!D348),"",IF(LEN(SUBSTITUTE(SUBSTITUTE(SUBSTITUTE(SUBSTITUTE(SUBSTITUTE(Клиенты_исходные!D348," ",""),"-",""),"+",""),"(",""),")",""))=11,"+7 ("&amp;MID(IF(LEFT(SUBSTITUTE(SUBSTITUTE(SUBSTITUTE(SUBSTITUTE(SUBSTITUTE(Клиенты_исходные!D348," ",""),"-",""),"+",""),"(",""),")",""))="8","7"&amp;MID(SUBSTITUTE(SUBSTITUTE(SUBSTITUTE(SUBSTITUTE(SUBSTITUTE(Клиенты_исходные!D348," ",""),"-",""),"+",""),"(",""),")",""),2,10),SUBSTITUTE(SUBSTITUTE(SUBSTITUTE(SUBSTITUTE(SUBSTITUTE(Клиенты_исходные!D348," ",""),"-",""),"+",""),"(",""),")","")),2,3)&amp;") "&amp;MID(IF(LEFT(SUBSTITUTE(SUBSTITUTE(SUBSTITUTE(SUBSTITUTE(SUBSTITUTE(Клиенты_исходные!D348," ",""),"-",""),"+",""),"(",""),")",""))="8","7"&amp;MID(SUBSTITUTE(SUBSTITUTE(SUBSTITUTE(SUBSTITUTE(SUBSTITUTE(Клиенты_исходные!D348," ",""),"-",""),"+",""),"(",""),")",""),2,10),SUBSTITUTE(SUBSTITUTE(SUBSTITUTE(SUBSTITUTE(SUBSTITUTE(Клиенты_исходные!D348," ",""),"-",""),"+",""),"(",""),")","")),5,3)&amp;"-"&amp;MID(IF(LEFT(SUBSTITUTE(SUBSTITUTE(SUBSTITUTE(SUBSTITUTE(SUBSTITUTE(Клиенты_исходные!D348," ",""),"-",""),"+",""),"(",""),")",""))="8","7"&amp;MID(SUBSTITUTE(SUBSTITUTE(SUBSTITUTE(SUBSTITUTE(SUBSTITUTE(Клиенты_исходные!D348," ",""),"-",""),"+",""),"(",""),")",""),2,10),SUBSTITUTE(SUBSTITUTE(SUBSTITUTE(SUBSTITUTE(SUBSTITUTE(Клиенты_исходные!D348," ",""),"-",""),"+",""),"(",""),")","")),8,2)&amp;"-"&amp;MID(IF(LEFT(SUBSTITUTE(SUBSTITUTE(SUBSTITUTE(SUBSTITUTE(SUBSTITUTE(Клиенты_исходные!D348," ",""),"-",""),"+",""),"(",""),")",""))="8","7"&amp;MID(SUBSTITUTE(SUBSTITUTE(SUBSTITUTE(SUBSTITUTE(SUBSTITUTE(Клиенты_исходные!D348," ",""),"-",""),"+",""),"(",""),")",""),2,10),SUBSTITUTE(SUBSTITUTE(SUBSTITUTE(SUBSTITUTE(SUBSTITUTE(Клиенты_исходные!D348," ",""),"-",""),"+",""),"(",""),")","")),10,2),IF(LEN(SUBSTITUTE(SUBSTITUTE(SUBSTITUTE(SUBSTITUTE(SUBSTITUTE(Клиенты_исходные!D348," ",""),"-",""),"+",""),"(",""),")",""))=10,"+7 ("&amp;MID(SUBSTITUTE(SUBSTITUTE(SUBSTITUTE(SUBSTITUTE(SUBSTITUTE(Клиенты_исходные!D348," ",""),"-",""),"+",""),"(",""),")",""),1,3)&amp;") "&amp;MID(SUBSTITUTE(SUBSTITUTE(SUBSTITUTE(SUBSTITUTE(SUBSTITUTE(Клиенты_исходные!D348," ",""),"-",""),"+",""),"(",""),")",""),4,3)&amp;"-"&amp;MID(SUBSTITUTE(SUBSTITUTE(SUBSTITUTE(SUBSTITUTE(SUBSTITUTE(Клиенты_исходные!D348," ",""),"-",""),"+",""),"(",""),")",""),6,2)&amp;"-"&amp;MID(SUBSTITUTE(SUBSTITUTE(SUBSTITUTE(SUBSTITUTE(SUBSTITUTE(Клиенты_исходные!D348," ",""),"-",""),"+",""),"(",""),")",""),8,2),Клиенты_исходные!D348)))</f>
        <v xml:space="preserve">+7 (903) 123-45-67</v>
      </c>
      <c r="E348" t="str">
        <f>IF(ISBLANK(Клиенты_исходные!E348),"",IF(ISNUMBER(FIND(".",MID(Клиенты_исходные!E348,FIND("@",Клиенты_исходные!E348)+1,255))),Клиенты_исходные!E348,IF(ISNUMBER(FIND("gmail",Клиенты_исходные!E348)),Клиенты_исходные!E348&amp;".com",Клиенты_исходные!E348&amp;".ru")))</f>
        <v>ryabchinskaya@yandex.ru</v>
      </c>
      <c r="F348" t="str">
        <f>IFERROR(VLOOKUP(Клиенты_исходные!F348,Справочники!$J$2:$K$50,2,FALSE),Клиенты_исходные!F348)</f>
        <v>Йошкар-Ола</v>
      </c>
      <c r="G348" s="8">
        <f>IFERROR(IF(ISNUMBER(FIND(".",Клиенты_исходные!G348)),DATE(RIGHT(Клиенты_исходные!G348,4),MID(Клиенты_исходные!G348,4,2),LEFT(Клиенты_исходные!G348,2)),DATE(LEFT(Клиенты_исходные!G348,4),MID(Клиенты_исходные!G348,6,2),RIGHT(Клиенты_исходные!G348,2))),Клиенты_исходные!G348)</f>
        <v>48070</v>
      </c>
      <c r="H348">
        <f t="shared" ca="1" si="61"/>
        <v>41</v>
      </c>
      <c r="I348" t="str">
        <f t="shared" si="62"/>
        <v>OK</v>
      </c>
      <c r="J348" t="str">
        <f t="shared" si="63"/>
        <v>OK</v>
      </c>
    </row>
    <row r="349">
      <c r="A349" t="str">
        <f>Клиенты_исходные!A349</f>
        <v>C0348</v>
      </c>
      <c r="B349" t="str">
        <f>PROPER(TRIM(Клиенты_исходные!B349))</f>
        <v xml:space="preserve">Толстиков Денис Алексеевич</v>
      </c>
      <c r="C349" s="8">
        <f>IFERROR(IF(ISNUMBER(FIND(".",Клиенты_исходные!C349)),DATE(RIGHT(Клиенты_исходные!C349,4),MID(Клиенты_исходные!C349,4,2),LEFT(Клиенты_исходные!C349,2)),DATE(LEFT(Клиенты_исходные!C349,4),MID(Клиенты_исходные!C349,6,2),RIGHT(Клиенты_исходные!C349,2))),Клиенты_исходные!C349)</f>
        <v>29372</v>
      </c>
      <c r="D349" t="str">
        <f>IF(ISBLANK(Клиенты_исходные!D349),"",IF(LEN(SUBSTITUTE(SUBSTITUTE(SUBSTITUTE(SUBSTITUTE(SUBSTITUTE(Клиенты_исходные!D349," ",""),"-",""),"+",""),"(",""),")",""))=11,"+7 ("&amp;MID(IF(LEFT(SUBSTITUTE(SUBSTITUTE(SUBSTITUTE(SUBSTITUTE(SUBSTITUTE(Клиенты_исходные!D349," ",""),"-",""),"+",""),"(",""),")",""))="8","7"&amp;MID(SUBSTITUTE(SUBSTITUTE(SUBSTITUTE(SUBSTITUTE(SUBSTITUTE(Клиенты_исходные!D349," ",""),"-",""),"+",""),"(",""),")",""),2,10),SUBSTITUTE(SUBSTITUTE(SUBSTITUTE(SUBSTITUTE(SUBSTITUTE(Клиенты_исходные!D349," ",""),"-",""),"+",""),"(",""),")","")),2,3)&amp;") "&amp;MID(IF(LEFT(SUBSTITUTE(SUBSTITUTE(SUBSTITUTE(SUBSTITUTE(SUBSTITUTE(Клиенты_исходные!D349," ",""),"-",""),"+",""),"(",""),")",""))="8","7"&amp;MID(SUBSTITUTE(SUBSTITUTE(SUBSTITUTE(SUBSTITUTE(SUBSTITUTE(Клиенты_исходные!D349," ",""),"-",""),"+",""),"(",""),")",""),2,10),SUBSTITUTE(SUBSTITUTE(SUBSTITUTE(SUBSTITUTE(SUBSTITUTE(Клиенты_исходные!D349," ",""),"-",""),"+",""),"(",""),")","")),5,3)&amp;"-"&amp;MID(IF(LEFT(SUBSTITUTE(SUBSTITUTE(SUBSTITUTE(SUBSTITUTE(SUBSTITUTE(Клиенты_исходные!D349," ",""),"-",""),"+",""),"(",""),")",""))="8","7"&amp;MID(SUBSTITUTE(SUBSTITUTE(SUBSTITUTE(SUBSTITUTE(SUBSTITUTE(Клиенты_исходные!D349," ",""),"-",""),"+",""),"(",""),")",""),2,10),SUBSTITUTE(SUBSTITUTE(SUBSTITUTE(SUBSTITUTE(SUBSTITUTE(Клиенты_исходные!D349," ",""),"-",""),"+",""),"(",""),")","")),8,2)&amp;"-"&amp;MID(IF(LEFT(SUBSTITUTE(SUBSTITUTE(SUBSTITUTE(SUBSTITUTE(SUBSTITUTE(Клиенты_исходные!D349," ",""),"-",""),"+",""),"(",""),")",""))="8","7"&amp;MID(SUBSTITUTE(SUBSTITUTE(SUBSTITUTE(SUBSTITUTE(SUBSTITUTE(Клиенты_исходные!D349," ",""),"-",""),"+",""),"(",""),")",""),2,10),SUBSTITUTE(SUBSTITUTE(SUBSTITUTE(SUBSTITUTE(SUBSTITUTE(Клиенты_исходные!D349," ",""),"-",""),"+",""),"(",""),")","")),10,2),IF(LEN(SUBSTITUTE(SUBSTITUTE(SUBSTITUTE(SUBSTITUTE(SUBSTITUTE(Клиенты_исходные!D349," ",""),"-",""),"+",""),"(",""),")",""))=10,"+7 ("&amp;MID(SUBSTITUTE(SUBSTITUTE(SUBSTITUTE(SUBSTITUTE(SUBSTITUTE(Клиенты_исходные!D349," ",""),"-",""),"+",""),"(",""),")",""),1,3)&amp;") "&amp;MID(SUBSTITUTE(SUBSTITUTE(SUBSTITUTE(SUBSTITUTE(SUBSTITUTE(Клиенты_исходные!D349," ",""),"-",""),"+",""),"(",""),")",""),4,3)&amp;"-"&amp;MID(SUBSTITUTE(SUBSTITUTE(SUBSTITUTE(SUBSTITUTE(SUBSTITUTE(Клиенты_исходные!D349," ",""),"-",""),"+",""),"(",""),")",""),6,2)&amp;"-"&amp;MID(SUBSTITUTE(SUBSTITUTE(SUBSTITUTE(SUBSTITUTE(SUBSTITUTE(Клиенты_исходные!D349," ",""),"-",""),"+",""),"(",""),")",""),8,2),Клиенты_исходные!D349)))</f>
        <v xml:space="preserve">+7 (903) 234-56-78</v>
      </c>
      <c r="E349" t="str">
        <f>IF(ISBLANK(Клиенты_исходные!E349),"",IF(ISNUMBER(FIND(".",MID(Клиенты_исходные!E349,FIND("@",Клиенты_исходные!E349)+1,255))),Клиенты_исходные!E349,IF(ISNUMBER(FIND("gmail",Клиенты_исходные!E349)),Клиенты_исходные!E349&amp;".com",Клиенты_исходные!E349&amp;".ru")))</f>
        <v>tolstikov@gmail.com</v>
      </c>
      <c r="F349" t="str">
        <f>IFERROR(VLOOKUP(Клиенты_исходные!F349,Справочники!$J$2:$K$50,2,FALSE),Клиенты_исходные!F349)</f>
        <v>Курган</v>
      </c>
      <c r="G349" s="8">
        <f>IFERROR(IF(ISNUMBER(FIND(".",Клиенты_исходные!G349)),DATE(RIGHT(Клиенты_исходные!G349,4),MID(Клиенты_исходные!G349,4,2),LEFT(Клиенты_исходные!G349,2)),DATE(LEFT(Клиенты_исходные!G349,4),MID(Клиенты_исходные!G349,6,2),RIGHT(Клиенты_исходные!G349,2))),Клиенты_исходные!G349)</f>
        <v>48070</v>
      </c>
      <c r="H349">
        <f t="shared" ca="1" si="61"/>
        <v>46</v>
      </c>
      <c r="I349" t="str">
        <f t="shared" si="62"/>
        <v>OK</v>
      </c>
      <c r="J349" t="str">
        <f t="shared" si="63"/>
        <v>OK</v>
      </c>
    </row>
    <row r="350">
      <c r="A350" t="str">
        <f>Клиенты_исходные!A350</f>
        <v>C0349</v>
      </c>
      <c r="B350" t="str">
        <f>PROPER(TRIM(Клиенты_исходные!B350))</f>
        <v xml:space="preserve">Скворцова Мария Игоревна</v>
      </c>
      <c r="C350" s="8">
        <f>IFERROR(IF(ISNUMBER(FIND(".",Клиенты_исходные!C350)),DATE(RIGHT(Клиенты_исходные!C350,4),MID(Клиенты_исходные!C350,4,2),LEFT(Клиенты_исходные!C350,2)),DATE(LEFT(Клиенты_исходные!C350,4),MID(Клиенты_исходные!C350,6,2),RIGHT(Клиенты_исходные!C350,2))),Клиенты_исходные!C350)</f>
        <v>31856</v>
      </c>
      <c r="D350" t="str">
        <f>IF(ISBLANK(Клиенты_исходные!D350),"",IF(LEN(SUBSTITUTE(SUBSTITUTE(SUBSTITUTE(SUBSTITUTE(SUBSTITUTE(Клиенты_исходные!D350," ",""),"-",""),"+",""),"(",""),")",""))=11,"+7 ("&amp;MID(IF(LEFT(SUBSTITUTE(SUBSTITUTE(SUBSTITUTE(SUBSTITUTE(SUBSTITUTE(Клиенты_исходные!D350," ",""),"-",""),"+",""),"(",""),")",""))="8","7"&amp;MID(SUBSTITUTE(SUBSTITUTE(SUBSTITUTE(SUBSTITUTE(SUBSTITUTE(Клиенты_исходные!D350," ",""),"-",""),"+",""),"(",""),")",""),2,10),SUBSTITUTE(SUBSTITUTE(SUBSTITUTE(SUBSTITUTE(SUBSTITUTE(Клиенты_исходные!D350," ",""),"-",""),"+",""),"(",""),")","")),2,3)&amp;") "&amp;MID(IF(LEFT(SUBSTITUTE(SUBSTITUTE(SUBSTITUTE(SUBSTITUTE(SUBSTITUTE(Клиенты_исходные!D350," ",""),"-",""),"+",""),"(",""),")",""))="8","7"&amp;MID(SUBSTITUTE(SUBSTITUTE(SUBSTITUTE(SUBSTITUTE(SUBSTITUTE(Клиенты_исходные!D350," ",""),"-",""),"+",""),"(",""),")",""),2,10),SUBSTITUTE(SUBSTITUTE(SUBSTITUTE(SUBSTITUTE(SUBSTITUTE(Клиенты_исходные!D350," ",""),"-",""),"+",""),"(",""),")","")),5,3)&amp;"-"&amp;MID(IF(LEFT(SUBSTITUTE(SUBSTITUTE(SUBSTITUTE(SUBSTITUTE(SUBSTITUTE(Клиенты_исходные!D350," ",""),"-",""),"+",""),"(",""),")",""))="8","7"&amp;MID(SUBSTITUTE(SUBSTITUTE(SUBSTITUTE(SUBSTITUTE(SUBSTITUTE(Клиенты_исходные!D350," ",""),"-",""),"+",""),"(",""),")",""),2,10),SUBSTITUTE(SUBSTITUTE(SUBSTITUTE(SUBSTITUTE(SUBSTITUTE(Клиенты_исходные!D350," ",""),"-",""),"+",""),"(",""),")","")),8,2)&amp;"-"&amp;MID(IF(LEFT(SUBSTITUTE(SUBSTITUTE(SUBSTITUTE(SUBSTITUTE(SUBSTITUTE(Клиенты_исходные!D350," ",""),"-",""),"+",""),"(",""),")",""))="8","7"&amp;MID(SUBSTITUTE(SUBSTITUTE(SUBSTITUTE(SUBSTITUTE(SUBSTITUTE(Клиенты_исходные!D350," ",""),"-",""),"+",""),"(",""),")",""),2,10),SUBSTITUTE(SUBSTITUTE(SUBSTITUTE(SUBSTITUTE(SUBSTITUTE(Клиенты_исходные!D350," ",""),"-",""),"+",""),"(",""),")","")),10,2),IF(LEN(SUBSTITUTE(SUBSTITUTE(SUBSTITUTE(SUBSTITUTE(SUBSTITUTE(Клиенты_исходные!D350," ",""),"-",""),"+",""),"(",""),")",""))=10,"+7 ("&amp;MID(SUBSTITUTE(SUBSTITUTE(SUBSTITUTE(SUBSTITUTE(SUBSTITUTE(Клиенты_исходные!D350," ",""),"-",""),"+",""),"(",""),")",""),1,3)&amp;") "&amp;MID(SUBSTITUTE(SUBSTITUTE(SUBSTITUTE(SUBSTITUTE(SUBSTITUTE(Клиенты_исходные!D350," ",""),"-",""),"+",""),"(",""),")",""),4,3)&amp;"-"&amp;MID(SUBSTITUTE(SUBSTITUTE(SUBSTITUTE(SUBSTITUTE(SUBSTITUTE(Клиенты_исходные!D350," ",""),"-",""),"+",""),"(",""),")",""),6,2)&amp;"-"&amp;MID(SUBSTITUTE(SUBSTITUTE(SUBSTITUTE(SUBSTITUTE(SUBSTITUTE(Клиенты_исходные!D350," ",""),"-",""),"+",""),"(",""),")",""),8,2),Клиенты_исходные!D350)))</f>
        <v xml:space="preserve">+7 (903) 234-56-78</v>
      </c>
      <c r="E350" t="str">
        <f>IF(ISBLANK(Клиенты_исходные!E350),"",IF(ISNUMBER(FIND(".",MID(Клиенты_исходные!E350,FIND("@",Клиенты_исходные!E350)+1,255))),Клиенты_исходные!E350,IF(ISNUMBER(FIND("gmail",Клиенты_исходные!E350)),Клиенты_исходные!E350&amp;".com",Клиенты_исходные!E350&amp;".ru")))</f>
        <v>skvortsova@mail.ru</v>
      </c>
      <c r="F350" t="str">
        <f>IFERROR(VLOOKUP(Клиенты_исходные!F350,Справочники!$J$2:$K$50,2,FALSE),Клиенты_исходные!F350)</f>
        <v>Архангельск</v>
      </c>
      <c r="G350" s="8">
        <f>IFERROR(IF(ISNUMBER(FIND(".",Клиенты_исходные!G350)),DATE(RIGHT(Клиенты_исходные!G350,4),MID(Клиенты_исходные!G350,4,2),LEFT(Клиенты_исходные!G350,2)),DATE(LEFT(Клиенты_исходные!G350,4),MID(Клиенты_исходные!G350,6,2),RIGHT(Клиенты_исходные!G350,2))),Клиенты_исходные!G350)</f>
        <v>48092</v>
      </c>
      <c r="H350">
        <f t="shared" ca="1" si="61"/>
        <v>39</v>
      </c>
      <c r="I350" t="str">
        <f t="shared" si="62"/>
        <v>OK</v>
      </c>
      <c r="J350" t="str">
        <f t="shared" si="63"/>
        <v>OK</v>
      </c>
    </row>
    <row r="351">
      <c r="A351" t="str">
        <f>Клиенты_исходные!A351</f>
        <v>C0350</v>
      </c>
      <c r="B351" t="str">
        <f>PROPER(TRIM(Клиенты_исходные!B351))</f>
        <v xml:space="preserve">Данильчук Алексей Олегович</v>
      </c>
      <c r="C351" s="8">
        <f>IFERROR(IF(ISNUMBER(FIND(".",Клиенты_исходные!C351)),DATE(RIGHT(Клиенты_исходные!C351,4),MID(Клиенты_исходные!C351,4,2),LEFT(Клиенты_исходные!C351,2)),DATE(LEFT(Клиенты_исходные!C351,4),MID(Клиенты_исходные!C351,6,2),RIGHT(Клиенты_исходные!C351,2))),Клиенты_исходные!C351)</f>
        <v>33554</v>
      </c>
      <c r="D351" t="str">
        <f>IF(ISBLANK(Клиенты_исходные!D351),"",IF(LEN(SUBSTITUTE(SUBSTITUTE(SUBSTITUTE(SUBSTITUTE(SUBSTITUTE(Клиенты_исходные!D351," ",""),"-",""),"+",""),"(",""),")",""))=11,"+7 ("&amp;MID(IF(LEFT(SUBSTITUTE(SUBSTITUTE(SUBSTITUTE(SUBSTITUTE(SUBSTITUTE(Клиенты_исходные!D351," ",""),"-",""),"+",""),"(",""),")",""))="8","7"&amp;MID(SUBSTITUTE(SUBSTITUTE(SUBSTITUTE(SUBSTITUTE(SUBSTITUTE(Клиенты_исходные!D351," ",""),"-",""),"+",""),"(",""),")",""),2,10),SUBSTITUTE(SUBSTITUTE(SUBSTITUTE(SUBSTITUTE(SUBSTITUTE(Клиенты_исходные!D351," ",""),"-",""),"+",""),"(",""),")","")),2,3)&amp;") "&amp;MID(IF(LEFT(SUBSTITUTE(SUBSTITUTE(SUBSTITUTE(SUBSTITUTE(SUBSTITUTE(Клиенты_исходные!D351," ",""),"-",""),"+",""),"(",""),")",""))="8","7"&amp;MID(SUBSTITUTE(SUBSTITUTE(SUBSTITUTE(SUBSTITUTE(SUBSTITUTE(Клиенты_исходные!D351," ",""),"-",""),"+",""),"(",""),")",""),2,10),SUBSTITUTE(SUBSTITUTE(SUBSTITUTE(SUBSTITUTE(SUBSTITUTE(Клиенты_исходные!D351," ",""),"-",""),"+",""),"(",""),")","")),5,3)&amp;"-"&amp;MID(IF(LEFT(SUBSTITUTE(SUBSTITUTE(SUBSTITUTE(SUBSTITUTE(SUBSTITUTE(Клиенты_исходные!D351," ",""),"-",""),"+",""),"(",""),")",""))="8","7"&amp;MID(SUBSTITUTE(SUBSTITUTE(SUBSTITUTE(SUBSTITUTE(SUBSTITUTE(Клиенты_исходные!D351," ",""),"-",""),"+",""),"(",""),")",""),2,10),SUBSTITUTE(SUBSTITUTE(SUBSTITUTE(SUBSTITUTE(SUBSTITUTE(Клиенты_исходные!D351," ",""),"-",""),"+",""),"(",""),")","")),8,2)&amp;"-"&amp;MID(IF(LEFT(SUBSTITUTE(SUBSTITUTE(SUBSTITUTE(SUBSTITUTE(SUBSTITUTE(Клиенты_исходные!D351," ",""),"-",""),"+",""),"(",""),")",""))="8","7"&amp;MID(SUBSTITUTE(SUBSTITUTE(SUBSTITUTE(SUBSTITUTE(SUBSTITUTE(Клиенты_исходные!D351," ",""),"-",""),"+",""),"(",""),")",""),2,10),SUBSTITUTE(SUBSTITUTE(SUBSTITUTE(SUBSTITUTE(SUBSTITUTE(Клиенты_исходные!D351," ",""),"-",""),"+",""),"(",""),")","")),10,2),IF(LEN(SUBSTITUTE(SUBSTITUTE(SUBSTITUTE(SUBSTITUTE(SUBSTITUTE(Клиенты_исходные!D351," ",""),"-",""),"+",""),"(",""),")",""))=10,"+7 ("&amp;MID(SUBSTITUTE(SUBSTITUTE(SUBSTITUTE(SUBSTITUTE(SUBSTITUTE(Клиенты_исходные!D351," ",""),"-",""),"+",""),"(",""),")",""),1,3)&amp;") "&amp;MID(SUBSTITUTE(SUBSTITUTE(SUBSTITUTE(SUBSTITUTE(SUBSTITUTE(Клиенты_исходные!D351," ",""),"-",""),"+",""),"(",""),")",""),4,3)&amp;"-"&amp;MID(SUBSTITUTE(SUBSTITUTE(SUBSTITUTE(SUBSTITUTE(SUBSTITUTE(Клиенты_исходные!D351," ",""),"-",""),"+",""),"(",""),")",""),6,2)&amp;"-"&amp;MID(SUBSTITUTE(SUBSTITUTE(SUBSTITUTE(SUBSTITUTE(SUBSTITUTE(Клиенты_исходные!D351," ",""),"-",""),"+",""),"(",""),")",""),8,2),Клиенты_исходные!D351)))</f>
        <v xml:space="preserve">+7 (903) 234-56-78</v>
      </c>
      <c r="E351" t="str">
        <f>IF(ISBLANK(Клиенты_исходные!E351),"",IF(ISNUMBER(FIND(".",MID(Клиенты_исходные!E351,FIND("@",Клиенты_исходные!E351)+1,255))),Клиенты_исходные!E351,IF(ISNUMBER(FIND("gmail",Клиенты_исходные!E351)),Клиенты_исходные!E351&amp;".com",Клиенты_исходные!E351&amp;".ru")))</f>
        <v>danilchuk@yandex.ru</v>
      </c>
      <c r="F351" t="str">
        <f>IFERROR(VLOOKUP(Клиенты_исходные!F351,Справочники!$J$2:$K$50,2,FALSE),Клиенты_исходные!F351)</f>
        <v>Благовещенск</v>
      </c>
      <c r="G351" s="8">
        <f>IFERROR(IF(ISNUMBER(FIND(".",Клиенты_исходные!G351)),DATE(RIGHT(Клиенты_исходные!G351,4),MID(Клиенты_исходные!G351,4,2),LEFT(Клиенты_исходные!G351,2)),DATE(LEFT(Клиенты_исходные!G351,4),MID(Клиенты_исходные!G351,6,2),RIGHT(Клиенты_исходные!G351,2))),Клиенты_исходные!G351)</f>
        <v>48106</v>
      </c>
      <c r="H351">
        <f t="shared" ca="1" si="61"/>
        <v>34</v>
      </c>
      <c r="I351" t="str">
        <f t="shared" si="62"/>
        <v>OK</v>
      </c>
      <c r="J351" t="str">
        <f t="shared" si="63"/>
        <v>OK</v>
      </c>
    </row>
    <row r="352">
      <c r="A352" t="str">
        <f>Клиенты_исходные!A352</f>
        <v>C0351</v>
      </c>
      <c r="B352" t="str">
        <f>PROPER(TRIM(Клиенты_исходные!B352))</f>
        <v xml:space="preserve">Протасова Елена Владимировна</v>
      </c>
      <c r="C352" s="8">
        <f>IFERROR(IF(ISNUMBER(FIND(".",Клиенты_исходные!C352)),DATE(RIGHT(Клиенты_исходные!C352,4),MID(Клиенты_исходные!C352,4,2),LEFT(Клиенты_исходные!C352,2)),DATE(LEFT(Клиенты_исходные!C352,4),MID(Клиенты_исходные!C352,6,2),RIGHT(Клиенты_исходные!C352,2))),Клиенты_исходные!C352)</f>
        <v>27237</v>
      </c>
      <c r="D352" t="str">
        <f>IF(ISBLANK(Клиенты_исходные!D352),"",IF(LEN(SUBSTITUTE(SUBSTITUTE(SUBSTITUTE(SUBSTITUTE(SUBSTITUTE(Клиенты_исходные!D352," ",""),"-",""),"+",""),"(",""),")",""))=11,"+7 ("&amp;MID(IF(LEFT(SUBSTITUTE(SUBSTITUTE(SUBSTITUTE(SUBSTITUTE(SUBSTITUTE(Клиенты_исходные!D352," ",""),"-",""),"+",""),"(",""),")",""))="8","7"&amp;MID(SUBSTITUTE(SUBSTITUTE(SUBSTITUTE(SUBSTITUTE(SUBSTITUTE(Клиенты_исходные!D352," ",""),"-",""),"+",""),"(",""),")",""),2,10),SUBSTITUTE(SUBSTITUTE(SUBSTITUTE(SUBSTITUTE(SUBSTITUTE(Клиенты_исходные!D352," ",""),"-",""),"+",""),"(",""),")","")),2,3)&amp;") "&amp;MID(IF(LEFT(SUBSTITUTE(SUBSTITUTE(SUBSTITUTE(SUBSTITUTE(SUBSTITUTE(Клиенты_исходные!D352," ",""),"-",""),"+",""),"(",""),")",""))="8","7"&amp;MID(SUBSTITUTE(SUBSTITUTE(SUBSTITUTE(SUBSTITUTE(SUBSTITUTE(Клиенты_исходные!D352," ",""),"-",""),"+",""),"(",""),")",""),2,10),SUBSTITUTE(SUBSTITUTE(SUBSTITUTE(SUBSTITUTE(SUBSTITUTE(Клиенты_исходные!D352," ",""),"-",""),"+",""),"(",""),")","")),5,3)&amp;"-"&amp;MID(IF(LEFT(SUBSTITUTE(SUBSTITUTE(SUBSTITUTE(SUBSTITUTE(SUBSTITUTE(Клиенты_исходные!D352," ",""),"-",""),"+",""),"(",""),")",""))="8","7"&amp;MID(SUBSTITUTE(SUBSTITUTE(SUBSTITUTE(SUBSTITUTE(SUBSTITUTE(Клиенты_исходные!D352," ",""),"-",""),"+",""),"(",""),")",""),2,10),SUBSTITUTE(SUBSTITUTE(SUBSTITUTE(SUBSTITUTE(SUBSTITUTE(Клиенты_исходные!D352," ",""),"-",""),"+",""),"(",""),")","")),8,2)&amp;"-"&amp;MID(IF(LEFT(SUBSTITUTE(SUBSTITUTE(SUBSTITUTE(SUBSTITUTE(SUBSTITUTE(Клиенты_исходные!D352," ",""),"-",""),"+",""),"(",""),")",""))="8","7"&amp;MID(SUBSTITUTE(SUBSTITUTE(SUBSTITUTE(SUBSTITUTE(SUBSTITUTE(Клиенты_исходные!D352," ",""),"-",""),"+",""),"(",""),")",""),2,10),SUBSTITUTE(SUBSTITUTE(SUBSTITUTE(SUBSTITUTE(SUBSTITUTE(Клиенты_исходные!D352," ",""),"-",""),"+",""),"(",""),")","")),10,2),IF(LEN(SUBSTITUTE(SUBSTITUTE(SUBSTITUTE(SUBSTITUTE(SUBSTITUTE(Клиенты_исходные!D352," ",""),"-",""),"+",""),"(",""),")",""))=10,"+7 ("&amp;MID(SUBSTITUTE(SUBSTITUTE(SUBSTITUTE(SUBSTITUTE(SUBSTITUTE(Клиенты_исходные!D352," ",""),"-",""),"+",""),"(",""),")",""),1,3)&amp;") "&amp;MID(SUBSTITUTE(SUBSTITUTE(SUBSTITUTE(SUBSTITUTE(SUBSTITUTE(Клиенты_исходные!D352," ",""),"-",""),"+",""),"(",""),")",""),4,3)&amp;"-"&amp;MID(SUBSTITUTE(SUBSTITUTE(SUBSTITUTE(SUBSTITUTE(SUBSTITUTE(Клиенты_исходные!D352," ",""),"-",""),"+",""),"(",""),")",""),6,2)&amp;"-"&amp;MID(SUBSTITUTE(SUBSTITUTE(SUBSTITUTE(SUBSTITUTE(SUBSTITUTE(Клиенты_исходные!D352," ",""),"-",""),"+",""),"(",""),")",""),8,2),Клиенты_исходные!D352)))</f>
        <v xml:space="preserve">+7 (903) 345-67-89</v>
      </c>
      <c r="E352" t="str">
        <f>IF(ISBLANK(Клиенты_исходные!E352),"",IF(ISNUMBER(FIND(".",MID(Клиенты_исходные!E352,FIND("@",Клиенты_исходные!E352)+1,255))),Клиенты_исходные!E352,IF(ISNUMBER(FIND("gmail",Клиенты_исходные!E352)),Клиенты_исходные!E352&amp;".com",Клиенты_исходные!E352&amp;".ru")))</f>
        <v>protasova@gmail.com</v>
      </c>
      <c r="F352" t="str">
        <f>IFERROR(VLOOKUP(Клиенты_исходные!F352,Справочники!$J$2:$K$50,2,FALSE),Клиенты_исходные!F352)</f>
        <v>Майкоп</v>
      </c>
      <c r="G352" s="8">
        <f>IFERROR(IF(ISNUMBER(FIND(".",Клиенты_исходные!G352)),DATE(RIGHT(Клиенты_исходные!G352,4),MID(Клиенты_исходные!G352,4,2),LEFT(Клиенты_исходные!G352,2)),DATE(LEFT(Клиенты_исходные!G352,4),MID(Клиенты_исходные!G352,6,2),RIGHT(Клиенты_исходные!G352,2))),Клиенты_исходные!G352)</f>
        <v>48106</v>
      </c>
      <c r="H352">
        <f t="shared" ca="1" si="61"/>
        <v>52</v>
      </c>
      <c r="I352" t="str">
        <f t="shared" si="62"/>
        <v>OK</v>
      </c>
      <c r="J352" t="str">
        <f t="shared" si="63"/>
        <v>OK</v>
      </c>
    </row>
    <row r="353">
      <c r="A353" t="str">
        <f>Клиенты_исходные!A353</f>
        <v>C0352</v>
      </c>
      <c r="B353" t="str">
        <f>PROPER(TRIM(Клиенты_исходные!B353))</f>
        <v xml:space="preserve">Кувшинов Илья Николаевич</v>
      </c>
      <c r="C353" s="8">
        <f>IFERROR(IF(ISNUMBER(FIND(".",Клиенты_исходные!C353)),DATE(RIGHT(Клиенты_исходные!C353,4),MID(Клиенты_исходные!C353,4,2),LEFT(Клиенты_исходные!C353,2)),DATE(LEFT(Клиенты_исходные!C353,4),MID(Клиенты_исходные!C353,6,2),RIGHT(Клиенты_исходные!C353,2))),Клиенты_исходные!C353)</f>
        <v>30332</v>
      </c>
      <c r="D353" t="str">
        <f>IF(ISBLANK(Клиенты_исходные!D353),"",IF(LEN(SUBSTITUTE(SUBSTITUTE(SUBSTITUTE(SUBSTITUTE(SUBSTITUTE(Клиенты_исходные!D353," ",""),"-",""),"+",""),"(",""),")",""))=11,"+7 ("&amp;MID(IF(LEFT(SUBSTITUTE(SUBSTITUTE(SUBSTITUTE(SUBSTITUTE(SUBSTITUTE(Клиенты_исходные!D353," ",""),"-",""),"+",""),"(",""),")",""))="8","7"&amp;MID(SUBSTITUTE(SUBSTITUTE(SUBSTITUTE(SUBSTITUTE(SUBSTITUTE(Клиенты_исходные!D353," ",""),"-",""),"+",""),"(",""),")",""),2,10),SUBSTITUTE(SUBSTITUTE(SUBSTITUTE(SUBSTITUTE(SUBSTITUTE(Клиенты_исходные!D353," ",""),"-",""),"+",""),"(",""),")","")),2,3)&amp;") "&amp;MID(IF(LEFT(SUBSTITUTE(SUBSTITUTE(SUBSTITUTE(SUBSTITUTE(SUBSTITUTE(Клиенты_исходные!D353," ",""),"-",""),"+",""),"(",""),")",""))="8","7"&amp;MID(SUBSTITUTE(SUBSTITUTE(SUBSTITUTE(SUBSTITUTE(SUBSTITUTE(Клиенты_исходные!D353," ",""),"-",""),"+",""),"(",""),")",""),2,10),SUBSTITUTE(SUBSTITUTE(SUBSTITUTE(SUBSTITUTE(SUBSTITUTE(Клиенты_исходные!D353," ",""),"-",""),"+",""),"(",""),")","")),5,3)&amp;"-"&amp;MID(IF(LEFT(SUBSTITUTE(SUBSTITUTE(SUBSTITUTE(SUBSTITUTE(SUBSTITUTE(Клиенты_исходные!D353," ",""),"-",""),"+",""),"(",""),")",""))="8","7"&amp;MID(SUBSTITUTE(SUBSTITUTE(SUBSTITUTE(SUBSTITUTE(SUBSTITUTE(Клиенты_исходные!D353," ",""),"-",""),"+",""),"(",""),")",""),2,10),SUBSTITUTE(SUBSTITUTE(SUBSTITUTE(SUBSTITUTE(SUBSTITUTE(Клиенты_исходные!D353," ",""),"-",""),"+",""),"(",""),")","")),8,2)&amp;"-"&amp;MID(IF(LEFT(SUBSTITUTE(SUBSTITUTE(SUBSTITUTE(SUBSTITUTE(SUBSTITUTE(Клиенты_исходные!D353," ",""),"-",""),"+",""),"(",""),")",""))="8","7"&amp;MID(SUBSTITUTE(SUBSTITUTE(SUBSTITUTE(SUBSTITUTE(SUBSTITUTE(Клиенты_исходные!D353," ",""),"-",""),"+",""),"(",""),")",""),2,10),SUBSTITUTE(SUBSTITUTE(SUBSTITUTE(SUBSTITUTE(SUBSTITUTE(Клиенты_исходные!D353," ",""),"-",""),"+",""),"(",""),")","")),10,2),IF(LEN(SUBSTITUTE(SUBSTITUTE(SUBSTITUTE(SUBSTITUTE(SUBSTITUTE(Клиенты_исходные!D353," ",""),"-",""),"+",""),"(",""),")",""))=10,"+7 ("&amp;MID(SUBSTITUTE(SUBSTITUTE(SUBSTITUTE(SUBSTITUTE(SUBSTITUTE(Клиенты_исходные!D353," ",""),"-",""),"+",""),"(",""),")",""),1,3)&amp;") "&amp;MID(SUBSTITUTE(SUBSTITUTE(SUBSTITUTE(SUBSTITUTE(SUBSTITUTE(Клиенты_исходные!D353," ",""),"-",""),"+",""),"(",""),")",""),4,3)&amp;"-"&amp;MID(SUBSTITUTE(SUBSTITUTE(SUBSTITUTE(SUBSTITUTE(SUBSTITUTE(Клиенты_исходные!D353," ",""),"-",""),"+",""),"(",""),")",""),6,2)&amp;"-"&amp;MID(SUBSTITUTE(SUBSTITUTE(SUBSTITUTE(SUBSTITUTE(SUBSTITUTE(Клиенты_исходные!D353," ",""),"-",""),"+",""),"(",""),")",""),8,2),Клиенты_исходные!D353)))</f>
        <v xml:space="preserve">+7 (903) 345-67-89</v>
      </c>
      <c r="E353" t="str">
        <f>IF(ISBLANK(Клиенты_исходные!E353),"",IF(ISNUMBER(FIND(".",MID(Клиенты_исходные!E353,FIND("@",Клиенты_исходные!E353)+1,255))),Клиенты_исходные!E353,IF(ISNUMBER(FIND("gmail",Клиенты_исходные!E353)),Клиенты_исходные!E353&amp;".com",Клиенты_исходные!E353&amp;".ru")))</f>
        <v>kuvshinov@mail.ru</v>
      </c>
      <c r="F353" t="str">
        <f>IFERROR(VLOOKUP(Клиенты_исходные!F353,Справочники!$J$2:$K$50,2,FALSE),Клиенты_исходные!F353)</f>
        <v>Уссурийск</v>
      </c>
      <c r="G353" s="8">
        <f>IFERROR(IF(ISNUMBER(FIND(".",Клиенты_исходные!G353)),DATE(RIGHT(Клиенты_исходные!G353,4),MID(Клиенты_исходные!G353,4,2),LEFT(Клиенты_исходные!G353,2)),DATE(LEFT(Клиенты_исходные!G353,4),MID(Клиенты_исходные!G353,6,2),RIGHT(Клиенты_исходные!G353,2))),Клиенты_исходные!G353)</f>
        <v>48122</v>
      </c>
      <c r="H353">
        <f t="shared" ca="1" si="61"/>
        <v>43</v>
      </c>
      <c r="I353" t="str">
        <f t="shared" si="62"/>
        <v>OK</v>
      </c>
      <c r="J353" t="str">
        <f t="shared" si="63"/>
        <v>OK</v>
      </c>
    </row>
    <row r="354">
      <c r="A354" t="str">
        <f>Клиенты_исходные!A354</f>
        <v>C0353</v>
      </c>
      <c r="B354" t="str">
        <f>PROPER(TRIM(Клиенты_исходные!B354))</f>
        <v xml:space="preserve">Шумилова Оксана Павловна</v>
      </c>
      <c r="C354" s="8">
        <f>IFERROR(IF(ISNUMBER(FIND(".",Клиенты_исходные!C354)),DATE(RIGHT(Клиенты_исходные!C354,4),MID(Клиенты_исходные!C354,4,2),LEFT(Клиенты_исходные!C354,2)),DATE(LEFT(Клиенты_исходные!C354,4),MID(Клиенты_исходные!C354,6,2),RIGHT(Клиенты_исходные!C354,2))),Клиенты_исходные!C354)</f>
        <v>32421</v>
      </c>
      <c r="D354" t="str">
        <f>IF(ISBLANK(Клиенты_исходные!D354),"",IF(LEN(SUBSTITUTE(SUBSTITUTE(SUBSTITUTE(SUBSTITUTE(SUBSTITUTE(Клиенты_исходные!D354," ",""),"-",""),"+",""),"(",""),")",""))=11,"+7 ("&amp;MID(IF(LEFT(SUBSTITUTE(SUBSTITUTE(SUBSTITUTE(SUBSTITUTE(SUBSTITUTE(Клиенты_исходные!D354," ",""),"-",""),"+",""),"(",""),")",""))="8","7"&amp;MID(SUBSTITUTE(SUBSTITUTE(SUBSTITUTE(SUBSTITUTE(SUBSTITUTE(Клиенты_исходные!D354," ",""),"-",""),"+",""),"(",""),")",""),2,10),SUBSTITUTE(SUBSTITUTE(SUBSTITUTE(SUBSTITUTE(SUBSTITUTE(Клиенты_исходные!D354," ",""),"-",""),"+",""),"(",""),")","")),2,3)&amp;") "&amp;MID(IF(LEFT(SUBSTITUTE(SUBSTITUTE(SUBSTITUTE(SUBSTITUTE(SUBSTITUTE(Клиенты_исходные!D354," ",""),"-",""),"+",""),"(",""),")",""))="8","7"&amp;MID(SUBSTITUTE(SUBSTITUTE(SUBSTITUTE(SUBSTITUTE(SUBSTITUTE(Клиенты_исходные!D354," ",""),"-",""),"+",""),"(",""),")",""),2,10),SUBSTITUTE(SUBSTITUTE(SUBSTITUTE(SUBSTITUTE(SUBSTITUTE(Клиенты_исходные!D354," ",""),"-",""),"+",""),"(",""),")","")),5,3)&amp;"-"&amp;MID(IF(LEFT(SUBSTITUTE(SUBSTITUTE(SUBSTITUTE(SUBSTITUTE(SUBSTITUTE(Клиенты_исходные!D354," ",""),"-",""),"+",""),"(",""),")",""))="8","7"&amp;MID(SUBSTITUTE(SUBSTITUTE(SUBSTITUTE(SUBSTITUTE(SUBSTITUTE(Клиенты_исходные!D354," ",""),"-",""),"+",""),"(",""),")",""),2,10),SUBSTITUTE(SUBSTITUTE(SUBSTITUTE(SUBSTITUTE(SUBSTITUTE(Клиенты_исходные!D354," ",""),"-",""),"+",""),"(",""),")","")),8,2)&amp;"-"&amp;MID(IF(LEFT(SUBSTITUTE(SUBSTITUTE(SUBSTITUTE(SUBSTITUTE(SUBSTITUTE(Клиенты_исходные!D354," ",""),"-",""),"+",""),"(",""),")",""))="8","7"&amp;MID(SUBSTITUTE(SUBSTITUTE(SUBSTITUTE(SUBSTITUTE(SUBSTITUTE(Клиенты_исходные!D354," ",""),"-",""),"+",""),"(",""),")",""),2,10),SUBSTITUTE(SUBSTITUTE(SUBSTITUTE(SUBSTITUTE(SUBSTITUTE(Клиенты_исходные!D354," ",""),"-",""),"+",""),"(",""),")","")),10,2),IF(LEN(SUBSTITUTE(SUBSTITUTE(SUBSTITUTE(SUBSTITUTE(SUBSTITUTE(Клиенты_исходные!D354," ",""),"-",""),"+",""),"(",""),")",""))=10,"+7 ("&amp;MID(SUBSTITUTE(SUBSTITUTE(SUBSTITUTE(SUBSTITUTE(SUBSTITUTE(Клиенты_исходные!D354," ",""),"-",""),"+",""),"(",""),")",""),1,3)&amp;") "&amp;MID(SUBSTITUTE(SUBSTITUTE(SUBSTITUTE(SUBSTITUTE(SUBSTITUTE(Клиенты_исходные!D354," ",""),"-",""),"+",""),"(",""),")",""),4,3)&amp;"-"&amp;MID(SUBSTITUTE(SUBSTITUTE(SUBSTITUTE(SUBSTITUTE(SUBSTITUTE(Клиенты_исходные!D354," ",""),"-",""),"+",""),"(",""),")",""),6,2)&amp;"-"&amp;MID(SUBSTITUTE(SUBSTITUTE(SUBSTITUTE(SUBSTITUTE(SUBSTITUTE(Клиенты_исходные!D354," ",""),"-",""),"+",""),"(",""),")",""),8,2),Клиенты_исходные!D354)))</f>
        <v xml:space="preserve">+7 (903) 345-67-89</v>
      </c>
      <c r="E354" t="str">
        <f>IF(ISBLANK(Клиенты_исходные!E354),"",IF(ISNUMBER(FIND(".",MID(Клиенты_исходные!E354,FIND("@",Клиенты_исходные!E354)+1,255))),Клиенты_исходные!E354,IF(ISNUMBER(FIND("gmail",Клиенты_исходные!E354)),Клиенты_исходные!E354&amp;".com",Клиенты_исходные!E354&amp;".ru")))</f>
        <v>shumilova@yandex.ru</v>
      </c>
      <c r="F354" t="str">
        <f>IFERROR(VLOOKUP(Клиенты_исходные!F354,Справочники!$J$2:$K$50,2,FALSE),Клиенты_исходные!F354)</f>
        <v>Миасс</v>
      </c>
      <c r="G354" s="8">
        <f>IFERROR(IF(ISNUMBER(FIND(".",Клиенты_исходные!G354)),DATE(RIGHT(Клиенты_исходные!G354,4),MID(Клиенты_исходные!G354,4,2),LEFT(Клиенты_исходные!G354,2)),DATE(LEFT(Клиенты_исходные!G354,4),MID(Клиенты_исходные!G354,6,2),RIGHT(Клиенты_исходные!G354,2))),Клиенты_исходные!G354)</f>
        <v>48131</v>
      </c>
      <c r="H354">
        <f t="shared" ca="1" si="61"/>
        <v>37</v>
      </c>
      <c r="I354" t="str">
        <f t="shared" si="62"/>
        <v>OK</v>
      </c>
      <c r="J354" t="str">
        <f t="shared" si="63"/>
        <v>OK</v>
      </c>
    </row>
    <row r="355">
      <c r="A355" t="str">
        <f>Клиенты_исходные!A355</f>
        <v>C0354</v>
      </c>
      <c r="B355" t="str">
        <f>PROPER(TRIM(Клиенты_исходные!B355))</f>
        <v xml:space="preserve">Михайличенко Денис Сергеевич</v>
      </c>
      <c r="C355" s="8">
        <f>IFERROR(IF(ISNUMBER(FIND(".",Клиенты_исходные!C355)),DATE(RIGHT(Клиенты_исходные!C355,4),MID(Клиенты_исходные!C355,4,2),LEFT(Клиенты_исходные!C355,2)),DATE(LEFT(Клиенты_исходные!C355,4),MID(Клиенты_исходные!C355,6,2),RIGHT(Клиенты_исходные!C355,2))),Клиенты_исходные!C355)</f>
        <v>25930</v>
      </c>
      <c r="D355" t="str">
        <f>IF(ISBLANK(Клиенты_исходные!D355),"",IF(LEN(SUBSTITUTE(SUBSTITUTE(SUBSTITUTE(SUBSTITUTE(SUBSTITUTE(Клиенты_исходные!D355," ",""),"-",""),"+",""),"(",""),")",""))=11,"+7 ("&amp;MID(IF(LEFT(SUBSTITUTE(SUBSTITUTE(SUBSTITUTE(SUBSTITUTE(SUBSTITUTE(Клиенты_исходные!D355," ",""),"-",""),"+",""),"(",""),")",""))="8","7"&amp;MID(SUBSTITUTE(SUBSTITUTE(SUBSTITUTE(SUBSTITUTE(SUBSTITUTE(Клиенты_исходные!D355," ",""),"-",""),"+",""),"(",""),")",""),2,10),SUBSTITUTE(SUBSTITUTE(SUBSTITUTE(SUBSTITUTE(SUBSTITUTE(Клиенты_исходные!D355," ",""),"-",""),"+",""),"(",""),")","")),2,3)&amp;") "&amp;MID(IF(LEFT(SUBSTITUTE(SUBSTITUTE(SUBSTITUTE(SUBSTITUTE(SUBSTITUTE(Клиенты_исходные!D355," ",""),"-",""),"+",""),"(",""),")",""))="8","7"&amp;MID(SUBSTITUTE(SUBSTITUTE(SUBSTITUTE(SUBSTITUTE(SUBSTITUTE(Клиенты_исходные!D355," ",""),"-",""),"+",""),"(",""),")",""),2,10),SUBSTITUTE(SUBSTITUTE(SUBSTITUTE(SUBSTITUTE(SUBSTITUTE(Клиенты_исходные!D355," ",""),"-",""),"+",""),"(",""),")","")),5,3)&amp;"-"&amp;MID(IF(LEFT(SUBSTITUTE(SUBSTITUTE(SUBSTITUTE(SUBSTITUTE(SUBSTITUTE(Клиенты_исходные!D355," ",""),"-",""),"+",""),"(",""),")",""))="8","7"&amp;MID(SUBSTITUTE(SUBSTITUTE(SUBSTITUTE(SUBSTITUTE(SUBSTITUTE(Клиенты_исходные!D355," ",""),"-",""),"+",""),"(",""),")",""),2,10),SUBSTITUTE(SUBSTITUTE(SUBSTITUTE(SUBSTITUTE(SUBSTITUTE(Клиенты_исходные!D355," ",""),"-",""),"+",""),"(",""),")","")),8,2)&amp;"-"&amp;MID(IF(LEFT(SUBSTITUTE(SUBSTITUTE(SUBSTITUTE(SUBSTITUTE(SUBSTITUTE(Клиенты_исходные!D355," ",""),"-",""),"+",""),"(",""),")",""))="8","7"&amp;MID(SUBSTITUTE(SUBSTITUTE(SUBSTITUTE(SUBSTITUTE(SUBSTITUTE(Клиенты_исходные!D355," ",""),"-",""),"+",""),"(",""),")",""),2,10),SUBSTITUTE(SUBSTITUTE(SUBSTITUTE(SUBSTITUTE(SUBSTITUTE(Клиенты_исходные!D355," ",""),"-",""),"+",""),"(",""),")","")),10,2),IF(LEN(SUBSTITUTE(SUBSTITUTE(SUBSTITUTE(SUBSTITUTE(SUBSTITUTE(Клиенты_исходные!D355," ",""),"-",""),"+",""),"(",""),")",""))=10,"+7 ("&amp;MID(SUBSTITUTE(SUBSTITUTE(SUBSTITUTE(SUBSTITUTE(SUBSTITUTE(Клиенты_исходные!D355," ",""),"-",""),"+",""),"(",""),")",""),1,3)&amp;") "&amp;MID(SUBSTITUTE(SUBSTITUTE(SUBSTITUTE(SUBSTITUTE(SUBSTITUTE(Клиенты_исходные!D355," ",""),"-",""),"+",""),"(",""),")",""),4,3)&amp;"-"&amp;MID(SUBSTITUTE(SUBSTITUTE(SUBSTITUTE(SUBSTITUTE(SUBSTITUTE(Клиенты_исходные!D355," ",""),"-",""),"+",""),"(",""),")",""),6,2)&amp;"-"&amp;MID(SUBSTITUTE(SUBSTITUTE(SUBSTITUTE(SUBSTITUTE(SUBSTITUTE(Клиенты_исходные!D355," ",""),"-",""),"+",""),"(",""),")",""),8,2),Клиенты_исходные!D355)))</f>
        <v xml:space="preserve">+7 (903) 456-78-90</v>
      </c>
      <c r="E355" t="str">
        <f>IF(ISBLANK(Клиенты_исходные!E355),"",IF(ISNUMBER(FIND(".",MID(Клиенты_исходные!E355,FIND("@",Клиенты_исходные!E355)+1,255))),Клиенты_исходные!E355,IF(ISNUMBER(FIND("gmail",Клиенты_исходные!E355)),Клиенты_исходные!E355&amp;".com",Клиенты_исходные!E355&amp;".ru")))</f>
        <v>mihaylichenko@gmail.com</v>
      </c>
      <c r="F355" t="str">
        <f>IFERROR(VLOOKUP(Клиенты_исходные!F355,Справочники!$J$2:$K$50,2,FALSE),Клиенты_исходные!F355)</f>
        <v>Кызыл</v>
      </c>
      <c r="G355" s="8">
        <f>IFERROR(IF(ISNUMBER(FIND(".",Клиенты_исходные!G355)),DATE(RIGHT(Клиенты_исходные!G355,4),MID(Клиенты_исходные!G355,4,2),LEFT(Клиенты_исходные!G355,2)),DATE(LEFT(Клиенты_исходные!G355,4),MID(Клиенты_исходные!G355,6,2),RIGHT(Клиенты_исходные!G355,2))),Клиенты_исходные!G355)</f>
        <v>48131</v>
      </c>
      <c r="H355">
        <f t="shared" ca="1" si="61"/>
        <v>55</v>
      </c>
      <c r="I355" t="str">
        <f t="shared" si="62"/>
        <v>OK</v>
      </c>
      <c r="J355" t="str">
        <f t="shared" si="63"/>
        <v>OK</v>
      </c>
    </row>
    <row r="356">
      <c r="A356" t="str">
        <f>Клиенты_исходные!A356</f>
        <v>C0355</v>
      </c>
      <c r="B356" t="str">
        <f>PROPER(TRIM(Клиенты_исходные!B356))</f>
        <v xml:space="preserve">Лысенко Татьяна Александровна</v>
      </c>
      <c r="C356" s="8">
        <f>IFERROR(IF(ISNUMBER(FIND(".",Клиенты_исходные!C356)),DATE(RIGHT(Клиенты_исходные!C356,4),MID(Клиенты_исходные!C356,4,2),LEFT(Клиенты_исходные!C356,2)),DATE(LEFT(Клиенты_исходные!C356,4),MID(Клиенты_исходные!C356,6,2),RIGHT(Клиенты_исходные!C356,2))),Клиенты_исходные!C356)</f>
        <v>29027</v>
      </c>
      <c r="D356" t="str">
        <f>IF(ISBLANK(Клиенты_исходные!D356),"",IF(LEN(SUBSTITUTE(SUBSTITUTE(SUBSTITUTE(SUBSTITUTE(SUBSTITUTE(Клиенты_исходные!D356," ",""),"-",""),"+",""),"(",""),")",""))=11,"+7 ("&amp;MID(IF(LEFT(SUBSTITUTE(SUBSTITUTE(SUBSTITUTE(SUBSTITUTE(SUBSTITUTE(Клиенты_исходные!D356," ",""),"-",""),"+",""),"(",""),")",""))="8","7"&amp;MID(SUBSTITUTE(SUBSTITUTE(SUBSTITUTE(SUBSTITUTE(SUBSTITUTE(Клиенты_исходные!D356," ",""),"-",""),"+",""),"(",""),")",""),2,10),SUBSTITUTE(SUBSTITUTE(SUBSTITUTE(SUBSTITUTE(SUBSTITUTE(Клиенты_исходные!D356," ",""),"-",""),"+",""),"(",""),")","")),2,3)&amp;") "&amp;MID(IF(LEFT(SUBSTITUTE(SUBSTITUTE(SUBSTITUTE(SUBSTITUTE(SUBSTITUTE(Клиенты_исходные!D356," ",""),"-",""),"+",""),"(",""),")",""))="8","7"&amp;MID(SUBSTITUTE(SUBSTITUTE(SUBSTITUTE(SUBSTITUTE(SUBSTITUTE(Клиенты_исходные!D356," ",""),"-",""),"+",""),"(",""),")",""),2,10),SUBSTITUTE(SUBSTITUTE(SUBSTITUTE(SUBSTITUTE(SUBSTITUTE(Клиенты_исходные!D356," ",""),"-",""),"+",""),"(",""),")","")),5,3)&amp;"-"&amp;MID(IF(LEFT(SUBSTITUTE(SUBSTITUTE(SUBSTITUTE(SUBSTITUTE(SUBSTITUTE(Клиенты_исходные!D356," ",""),"-",""),"+",""),"(",""),")",""))="8","7"&amp;MID(SUBSTITUTE(SUBSTITUTE(SUBSTITUTE(SUBSTITUTE(SUBSTITUTE(Клиенты_исходные!D356," ",""),"-",""),"+",""),"(",""),")",""),2,10),SUBSTITUTE(SUBSTITUTE(SUBSTITUTE(SUBSTITUTE(SUBSTITUTE(Клиенты_исходные!D356," ",""),"-",""),"+",""),"(",""),")","")),8,2)&amp;"-"&amp;MID(IF(LEFT(SUBSTITUTE(SUBSTITUTE(SUBSTITUTE(SUBSTITUTE(SUBSTITUTE(Клиенты_исходные!D356," ",""),"-",""),"+",""),"(",""),")",""))="8","7"&amp;MID(SUBSTITUTE(SUBSTITUTE(SUBSTITUTE(SUBSTITUTE(SUBSTITUTE(Клиенты_исходные!D356," ",""),"-",""),"+",""),"(",""),")",""),2,10),SUBSTITUTE(SUBSTITUTE(SUBSTITUTE(SUBSTITUTE(SUBSTITUTE(Клиенты_исходные!D356," ",""),"-",""),"+",""),"(",""),")","")),10,2),IF(LEN(SUBSTITUTE(SUBSTITUTE(SUBSTITUTE(SUBSTITUTE(SUBSTITUTE(Клиенты_исходные!D356," ",""),"-",""),"+",""),"(",""),")",""))=10,"+7 ("&amp;MID(SUBSTITUTE(SUBSTITUTE(SUBSTITUTE(SUBSTITUTE(SUBSTITUTE(Клиенты_исходные!D356," ",""),"-",""),"+",""),"(",""),")",""),1,3)&amp;") "&amp;MID(SUBSTITUTE(SUBSTITUTE(SUBSTITUTE(SUBSTITUTE(SUBSTITUTE(Клиенты_исходные!D356," ",""),"-",""),"+",""),"(",""),")",""),4,3)&amp;"-"&amp;MID(SUBSTITUTE(SUBSTITUTE(SUBSTITUTE(SUBSTITUTE(SUBSTITUTE(Клиенты_исходные!D356," ",""),"-",""),"+",""),"(",""),")",""),6,2)&amp;"-"&amp;MID(SUBSTITUTE(SUBSTITUTE(SUBSTITUTE(SUBSTITUTE(SUBSTITUTE(Клиенты_исходные!D356," ",""),"-",""),"+",""),"(",""),")",""),8,2),Клиенты_исходные!D356)))</f>
        <v xml:space="preserve">+7 (903) 456-78-90</v>
      </c>
      <c r="E356" t="str">
        <f>IF(ISBLANK(Клиенты_исходные!E356),"",IF(ISNUMBER(FIND(".",MID(Клиенты_исходные!E356,FIND("@",Клиенты_исходные!E356)+1,255))),Клиенты_исходные!E356,IF(ISNUMBER(FIND("gmail",Клиенты_исходные!E356)),Клиенты_исходные!E356&amp;".com",Клиенты_исходные!E356&amp;".ru")))</f>
        <v>lysenko@mail.ru</v>
      </c>
      <c r="F356" t="str">
        <f>IFERROR(VLOOKUP(Клиенты_исходные!F356,Справочники!$J$2:$K$50,2,FALSE),Клиенты_исходные!F356)</f>
        <v>Калининград</v>
      </c>
      <c r="G356" s="8">
        <f>IFERROR(IF(ISNUMBER(FIND(".",Клиенты_исходные!G356)),DATE(RIGHT(Клиенты_исходные!G356,4),MID(Клиенты_исходные!G356,4,2),LEFT(Клиенты_исходные!G356,2)),DATE(LEFT(Клиенты_исходные!G356,4),MID(Клиенты_исходные!G356,6,2),RIGHT(Клиенты_исходные!G356,2))),Клиенты_исходные!G356)</f>
        <v>48153</v>
      </c>
      <c r="H356">
        <f t="shared" ref="H356:H419" ca="1" si="64">DATEDIF(C356,TODAY(),"Y")</f>
        <v>47</v>
      </c>
      <c r="I356" t="str">
        <f t="shared" ref="I356:I419" si="65">IF(OR(H356&lt;18,H356&gt;80),"Ошибка даты рождения","OK")</f>
        <v>OK</v>
      </c>
      <c r="J356" t="str">
        <f t="shared" ref="J356:J419" si="66">IF(AND(ISNUMBER(FIND("@",E356)),ISNUMBER(FIND(".",MID(E356,FIND("@",E356)+1,255)))),"OK","Ошибка Email")</f>
        <v>OK</v>
      </c>
    </row>
    <row r="357">
      <c r="A357" t="str">
        <f>Клиенты_исходные!A357</f>
        <v>C0356</v>
      </c>
      <c r="B357" t="str">
        <f>PROPER(TRIM(Клиенты_исходные!B357))</f>
        <v xml:space="preserve">Назарчук Андрей Викторович</v>
      </c>
      <c r="C357" s="8">
        <f>IFERROR(IF(ISNUMBER(FIND(".",Клиенты_исходные!C357)),DATE(RIGHT(Клиенты_исходные!C357,4),MID(Клиенты_исходные!C357,4,2),LEFT(Клиенты_исходные!C357,2)),DATE(LEFT(Клиенты_исходные!C357,4),MID(Клиенты_исходные!C357,6,2),RIGHT(Клиенты_исходные!C357,2))),Клиенты_исходные!C357)</f>
        <v>33130</v>
      </c>
      <c r="D357" t="str">
        <f>IF(ISBLANK(Клиенты_исходные!D357),"",IF(LEN(SUBSTITUTE(SUBSTITUTE(SUBSTITUTE(SUBSTITUTE(SUBSTITUTE(Клиенты_исходные!D357," ",""),"-",""),"+",""),"(",""),")",""))=11,"+7 ("&amp;MID(IF(LEFT(SUBSTITUTE(SUBSTITUTE(SUBSTITUTE(SUBSTITUTE(SUBSTITUTE(Клиенты_исходные!D357," ",""),"-",""),"+",""),"(",""),")",""))="8","7"&amp;MID(SUBSTITUTE(SUBSTITUTE(SUBSTITUTE(SUBSTITUTE(SUBSTITUTE(Клиенты_исходные!D357," ",""),"-",""),"+",""),"(",""),")",""),2,10),SUBSTITUTE(SUBSTITUTE(SUBSTITUTE(SUBSTITUTE(SUBSTITUTE(Клиенты_исходные!D357," ",""),"-",""),"+",""),"(",""),")","")),2,3)&amp;") "&amp;MID(IF(LEFT(SUBSTITUTE(SUBSTITUTE(SUBSTITUTE(SUBSTITUTE(SUBSTITUTE(Клиенты_исходные!D357," ",""),"-",""),"+",""),"(",""),")",""))="8","7"&amp;MID(SUBSTITUTE(SUBSTITUTE(SUBSTITUTE(SUBSTITUTE(SUBSTITUTE(Клиенты_исходные!D357," ",""),"-",""),"+",""),"(",""),")",""),2,10),SUBSTITUTE(SUBSTITUTE(SUBSTITUTE(SUBSTITUTE(SUBSTITUTE(Клиенты_исходные!D357," ",""),"-",""),"+",""),"(",""),")","")),5,3)&amp;"-"&amp;MID(IF(LEFT(SUBSTITUTE(SUBSTITUTE(SUBSTITUTE(SUBSTITUTE(SUBSTITUTE(Клиенты_исходные!D357," ",""),"-",""),"+",""),"(",""),")",""))="8","7"&amp;MID(SUBSTITUTE(SUBSTITUTE(SUBSTITUTE(SUBSTITUTE(SUBSTITUTE(Клиенты_исходные!D357," ",""),"-",""),"+",""),"(",""),")",""),2,10),SUBSTITUTE(SUBSTITUTE(SUBSTITUTE(SUBSTITUTE(SUBSTITUTE(Клиенты_исходные!D357," ",""),"-",""),"+",""),"(",""),")","")),8,2)&amp;"-"&amp;MID(IF(LEFT(SUBSTITUTE(SUBSTITUTE(SUBSTITUTE(SUBSTITUTE(SUBSTITUTE(Клиенты_исходные!D357," ",""),"-",""),"+",""),"(",""),")",""))="8","7"&amp;MID(SUBSTITUTE(SUBSTITUTE(SUBSTITUTE(SUBSTITUTE(SUBSTITUTE(Клиенты_исходные!D357," ",""),"-",""),"+",""),"(",""),")",""),2,10),SUBSTITUTE(SUBSTITUTE(SUBSTITUTE(SUBSTITUTE(SUBSTITUTE(Клиенты_исходные!D357," ",""),"-",""),"+",""),"(",""),")","")),10,2),IF(LEN(SUBSTITUTE(SUBSTITUTE(SUBSTITUTE(SUBSTITUTE(SUBSTITUTE(Клиенты_исходные!D357," ",""),"-",""),"+",""),"(",""),")",""))=10,"+7 ("&amp;MID(SUBSTITUTE(SUBSTITUTE(SUBSTITUTE(SUBSTITUTE(SUBSTITUTE(Клиенты_исходные!D357," ",""),"-",""),"+",""),"(",""),")",""),1,3)&amp;") "&amp;MID(SUBSTITUTE(SUBSTITUTE(SUBSTITUTE(SUBSTITUTE(SUBSTITUTE(Клиенты_исходные!D357," ",""),"-",""),"+",""),"(",""),")",""),4,3)&amp;"-"&amp;MID(SUBSTITUTE(SUBSTITUTE(SUBSTITUTE(SUBSTITUTE(SUBSTITUTE(Клиенты_исходные!D357," ",""),"-",""),"+",""),"(",""),")",""),6,2)&amp;"-"&amp;MID(SUBSTITUTE(SUBSTITUTE(SUBSTITUTE(SUBSTITUTE(SUBSTITUTE(Клиенты_исходные!D357," ",""),"-",""),"+",""),"(",""),")",""),8,2),Клиенты_исходные!D357)))</f>
        <v xml:space="preserve">+7 (903) 456-78-90</v>
      </c>
      <c r="E357" t="str">
        <f>IF(ISBLANK(Клиенты_исходные!E357),"",IF(ISNUMBER(FIND(".",MID(Клиенты_исходные!E357,FIND("@",Клиенты_исходные!E357)+1,255))),Клиенты_исходные!E357,IF(ISNUMBER(FIND("gmail",Клиенты_исходные!E357)),Клиенты_исходные!E357&amp;".com",Клиенты_исходные!E357&amp;".ru")))</f>
        <v>nazarchuk@yandex.ru</v>
      </c>
      <c r="F357" t="str">
        <f>IFERROR(VLOOKUP(Клиенты_исходные!F357,Справочники!$J$2:$K$50,2,FALSE),Клиенты_исходные!F357)</f>
        <v>Петрозаводск</v>
      </c>
      <c r="G357" s="8">
        <f>IFERROR(IF(ISNUMBER(FIND(".",Клиенты_исходные!G357)),DATE(RIGHT(Клиенты_исходные!G357,4),MID(Клиенты_исходные!G357,4,2),LEFT(Клиенты_исходные!G357,2)),DATE(LEFT(Клиенты_исходные!G357,4),MID(Клиенты_исходные!G357,6,2),RIGHT(Клиенты_исходные!G357,2))),Клиенты_исходные!G357)</f>
        <v>48167</v>
      </c>
      <c r="H357">
        <f t="shared" ca="1" si="64"/>
        <v>36</v>
      </c>
      <c r="I357" t="str">
        <f t="shared" si="65"/>
        <v>OK</v>
      </c>
      <c r="J357" t="str">
        <f t="shared" si="66"/>
        <v>OK</v>
      </c>
    </row>
    <row r="358">
      <c r="A358" t="str">
        <f>Клиенты_исходные!A358</f>
        <v>C0357</v>
      </c>
      <c r="B358" t="str">
        <f>PROPER(TRIM(Клиенты_исходные!B358))</f>
        <v xml:space="preserve">Скачкова Мария Игоревна</v>
      </c>
      <c r="C358" s="8">
        <f>IFERROR(IF(ISNUMBER(FIND(".",Клиенты_исходные!C358)),DATE(RIGHT(Клиенты_исходные!C358,4),MID(Клиенты_исходные!C358,4,2),LEFT(Клиенты_исходные!C358,2)),DATE(LEFT(Клиенты_исходные!C358,4),MID(Клиенты_исходные!C358,6,2),RIGHT(Клиенты_исходные!C358,2))),Клиенты_исходные!C358)</f>
        <v>31445</v>
      </c>
      <c r="D358" t="str">
        <f>IF(ISBLANK(Клиенты_исходные!D358),"",IF(LEN(SUBSTITUTE(SUBSTITUTE(SUBSTITUTE(SUBSTITUTE(SUBSTITUTE(Клиенты_исходные!D358," ",""),"-",""),"+",""),"(",""),")",""))=11,"+7 ("&amp;MID(IF(LEFT(SUBSTITUTE(SUBSTITUTE(SUBSTITUTE(SUBSTITUTE(SUBSTITUTE(Клиенты_исходные!D358," ",""),"-",""),"+",""),"(",""),")",""))="8","7"&amp;MID(SUBSTITUTE(SUBSTITUTE(SUBSTITUTE(SUBSTITUTE(SUBSTITUTE(Клиенты_исходные!D358," ",""),"-",""),"+",""),"(",""),")",""),2,10),SUBSTITUTE(SUBSTITUTE(SUBSTITUTE(SUBSTITUTE(SUBSTITUTE(Клиенты_исходные!D358," ",""),"-",""),"+",""),"(",""),")","")),2,3)&amp;") "&amp;MID(IF(LEFT(SUBSTITUTE(SUBSTITUTE(SUBSTITUTE(SUBSTITUTE(SUBSTITUTE(Клиенты_исходные!D358," ",""),"-",""),"+",""),"(",""),")",""))="8","7"&amp;MID(SUBSTITUTE(SUBSTITUTE(SUBSTITUTE(SUBSTITUTE(SUBSTITUTE(Клиенты_исходные!D358," ",""),"-",""),"+",""),"(",""),")",""),2,10),SUBSTITUTE(SUBSTITUTE(SUBSTITUTE(SUBSTITUTE(SUBSTITUTE(Клиенты_исходные!D358," ",""),"-",""),"+",""),"(",""),")","")),5,3)&amp;"-"&amp;MID(IF(LEFT(SUBSTITUTE(SUBSTITUTE(SUBSTITUTE(SUBSTITUTE(SUBSTITUTE(Клиенты_исходные!D358," ",""),"-",""),"+",""),"(",""),")",""))="8","7"&amp;MID(SUBSTITUTE(SUBSTITUTE(SUBSTITUTE(SUBSTITUTE(SUBSTITUTE(Клиенты_исходные!D358," ",""),"-",""),"+",""),"(",""),")",""),2,10),SUBSTITUTE(SUBSTITUTE(SUBSTITUTE(SUBSTITUTE(SUBSTITUTE(Клиенты_исходные!D358," ",""),"-",""),"+",""),"(",""),")","")),8,2)&amp;"-"&amp;MID(IF(LEFT(SUBSTITUTE(SUBSTITUTE(SUBSTITUTE(SUBSTITUTE(SUBSTITUTE(Клиенты_исходные!D358," ",""),"-",""),"+",""),"(",""),")",""))="8","7"&amp;MID(SUBSTITUTE(SUBSTITUTE(SUBSTITUTE(SUBSTITUTE(SUBSTITUTE(Клиенты_исходные!D358," ",""),"-",""),"+",""),"(",""),")",""),2,10),SUBSTITUTE(SUBSTITUTE(SUBSTITUTE(SUBSTITUTE(SUBSTITUTE(Клиенты_исходные!D358," ",""),"-",""),"+",""),"(",""),")","")),10,2),IF(LEN(SUBSTITUTE(SUBSTITUTE(SUBSTITUTE(SUBSTITUTE(SUBSTITUTE(Клиенты_исходные!D358," ",""),"-",""),"+",""),"(",""),")",""))=10,"+7 ("&amp;MID(SUBSTITUTE(SUBSTITUTE(SUBSTITUTE(SUBSTITUTE(SUBSTITUTE(Клиенты_исходные!D358," ",""),"-",""),"+",""),"(",""),")",""),1,3)&amp;") "&amp;MID(SUBSTITUTE(SUBSTITUTE(SUBSTITUTE(SUBSTITUTE(SUBSTITUTE(Клиенты_исходные!D358," ",""),"-",""),"+",""),"(",""),")",""),4,3)&amp;"-"&amp;MID(SUBSTITUTE(SUBSTITUTE(SUBSTITUTE(SUBSTITUTE(SUBSTITUTE(Клиенты_исходные!D358," ",""),"-",""),"+",""),"(",""),")",""),6,2)&amp;"-"&amp;MID(SUBSTITUTE(SUBSTITUTE(SUBSTITUTE(SUBSTITUTE(SUBSTITUTE(Клиенты_исходные!D358," ",""),"-",""),"+",""),"(",""),")",""),8,2),Клиенты_исходные!D358)))</f>
        <v xml:space="preserve">+7 (903) 567-89-01</v>
      </c>
      <c r="E358" t="str">
        <f>IF(ISBLANK(Клиенты_исходные!E358),"",IF(ISNUMBER(FIND(".",MID(Клиенты_исходные!E358,FIND("@",Клиенты_исходные!E358)+1,255))),Клиенты_исходные!E358,IF(ISNUMBER(FIND("gmail",Клиенты_исходные!E358)),Клиенты_исходные!E358&amp;".com",Клиенты_исходные!E358&amp;".ru")))</f>
        <v>skachkova@gmail.com</v>
      </c>
      <c r="F358" t="str">
        <f>IFERROR(VLOOKUP(Клиенты_исходные!F358,Справочники!$J$2:$K$50,2,FALSE),Клиенты_исходные!F358)</f>
        <v>Рубцовск</v>
      </c>
      <c r="G358" s="8">
        <f>IFERROR(IF(ISNUMBER(FIND(".",Клиенты_исходные!G358)),DATE(RIGHT(Клиенты_исходные!G358,4),MID(Клиенты_исходные!G358,4,2),LEFT(Клиенты_исходные!G358,2)),DATE(LEFT(Клиенты_исходные!G358,4),MID(Клиенты_исходные!G358,6,2),RIGHT(Клиенты_исходные!G358,2))),Клиенты_исходные!G358)</f>
        <v>48167</v>
      </c>
      <c r="H358">
        <f t="shared" ca="1" si="64"/>
        <v>40</v>
      </c>
      <c r="I358" t="str">
        <f t="shared" si="65"/>
        <v>OK</v>
      </c>
      <c r="J358" t="str">
        <f t="shared" si="66"/>
        <v>OK</v>
      </c>
    </row>
    <row r="359">
      <c r="A359" t="str">
        <f>Клиенты_исходные!A359</f>
        <v>C0358</v>
      </c>
      <c r="B359" t="str">
        <f>PROPER(TRIM(Клиенты_исходные!B359))</f>
        <v xml:space="preserve">Чернышев Олег Павлович</v>
      </c>
      <c r="C359" s="8">
        <f>IFERROR(IF(ISNUMBER(FIND(".",Клиенты_исходные!C359)),DATE(RIGHT(Клиенты_исходные!C359,4),MID(Клиенты_исходные!C359,4,2),LEFT(Клиенты_исходные!C359,2)),DATE(LEFT(Клиенты_исходные!C359,4),MID(Клиенты_исходные!C359,6,2),RIGHT(Клиенты_исходные!C359,2))),Клиенты_исходные!C359)</f>
        <v>30094</v>
      </c>
      <c r="D359" t="str">
        <f>IF(ISBLANK(Клиенты_исходные!D359),"",IF(LEN(SUBSTITUTE(SUBSTITUTE(SUBSTITUTE(SUBSTITUTE(SUBSTITUTE(Клиенты_исходные!D359," ",""),"-",""),"+",""),"(",""),")",""))=11,"+7 ("&amp;MID(IF(LEFT(SUBSTITUTE(SUBSTITUTE(SUBSTITUTE(SUBSTITUTE(SUBSTITUTE(Клиенты_исходные!D359," ",""),"-",""),"+",""),"(",""),")",""))="8","7"&amp;MID(SUBSTITUTE(SUBSTITUTE(SUBSTITUTE(SUBSTITUTE(SUBSTITUTE(Клиенты_исходные!D359," ",""),"-",""),"+",""),"(",""),")",""),2,10),SUBSTITUTE(SUBSTITUTE(SUBSTITUTE(SUBSTITUTE(SUBSTITUTE(Клиенты_исходные!D359," ",""),"-",""),"+",""),"(",""),")","")),2,3)&amp;") "&amp;MID(IF(LEFT(SUBSTITUTE(SUBSTITUTE(SUBSTITUTE(SUBSTITUTE(SUBSTITUTE(Клиенты_исходные!D359," ",""),"-",""),"+",""),"(",""),")",""))="8","7"&amp;MID(SUBSTITUTE(SUBSTITUTE(SUBSTITUTE(SUBSTITUTE(SUBSTITUTE(Клиенты_исходные!D359," ",""),"-",""),"+",""),"(",""),")",""),2,10),SUBSTITUTE(SUBSTITUTE(SUBSTITUTE(SUBSTITUTE(SUBSTITUTE(Клиенты_исходные!D359," ",""),"-",""),"+",""),"(",""),")","")),5,3)&amp;"-"&amp;MID(IF(LEFT(SUBSTITUTE(SUBSTITUTE(SUBSTITUTE(SUBSTITUTE(SUBSTITUTE(Клиенты_исходные!D359," ",""),"-",""),"+",""),"(",""),")",""))="8","7"&amp;MID(SUBSTITUTE(SUBSTITUTE(SUBSTITUTE(SUBSTITUTE(SUBSTITUTE(Клиенты_исходные!D359," ",""),"-",""),"+",""),"(",""),")",""),2,10),SUBSTITUTE(SUBSTITUTE(SUBSTITUTE(SUBSTITUTE(SUBSTITUTE(Клиенты_исходные!D359," ",""),"-",""),"+",""),"(",""),")","")),8,2)&amp;"-"&amp;MID(IF(LEFT(SUBSTITUTE(SUBSTITUTE(SUBSTITUTE(SUBSTITUTE(SUBSTITUTE(Клиенты_исходные!D359," ",""),"-",""),"+",""),"(",""),")",""))="8","7"&amp;MID(SUBSTITUTE(SUBSTITUTE(SUBSTITUTE(SUBSTITUTE(SUBSTITUTE(Клиенты_исходные!D359," ",""),"-",""),"+",""),"(",""),")",""),2,10),SUBSTITUTE(SUBSTITUTE(SUBSTITUTE(SUBSTITUTE(SUBSTITUTE(Клиенты_исходные!D359," ",""),"-",""),"+",""),"(",""),")","")),10,2),IF(LEN(SUBSTITUTE(SUBSTITUTE(SUBSTITUTE(SUBSTITUTE(SUBSTITUTE(Клиенты_исходные!D359," ",""),"-",""),"+",""),"(",""),")",""))=10,"+7 ("&amp;MID(SUBSTITUTE(SUBSTITUTE(SUBSTITUTE(SUBSTITUTE(SUBSTITUTE(Клиенты_исходные!D359," ",""),"-",""),"+",""),"(",""),")",""),1,3)&amp;") "&amp;MID(SUBSTITUTE(SUBSTITUTE(SUBSTITUTE(SUBSTITUTE(SUBSTITUTE(Клиенты_исходные!D359," ",""),"-",""),"+",""),"(",""),")",""),4,3)&amp;"-"&amp;MID(SUBSTITUTE(SUBSTITUTE(SUBSTITUTE(SUBSTITUTE(SUBSTITUTE(Клиенты_исходные!D359," ",""),"-",""),"+",""),"(",""),")",""),6,2)&amp;"-"&amp;MID(SUBSTITUTE(SUBSTITUTE(SUBSTITUTE(SUBSTITUTE(SUBSTITUTE(Клиенты_исходные!D359," ",""),"-",""),"+",""),"(",""),")",""),8,2),Клиенты_исходные!D359)))</f>
        <v xml:space="preserve">+7 (903) 567-89-01</v>
      </c>
      <c r="E359" t="str">
        <f>IF(ISBLANK(Клиенты_исходные!E359),"",IF(ISNUMBER(FIND(".",MID(Клиенты_исходные!E359,FIND("@",Клиенты_исходные!E359)+1,255))),Клиенты_исходные!E359,IF(ISNUMBER(FIND("gmail",Клиенты_исходные!E359)),Клиенты_исходные!E359&amp;".com",Клиенты_исходные!E359&amp;".ru")))</f>
        <v>chernyshev@mail.ru</v>
      </c>
      <c r="F359" t="str">
        <f>IFERROR(VLOOKUP(Клиенты_исходные!F359,Справочники!$J$2:$K$50,2,FALSE),Клиенты_исходные!F359)</f>
        <v>Элиста</v>
      </c>
      <c r="G359" s="8">
        <f>IFERROR(IF(ISNUMBER(FIND(".",Клиенты_исходные!G359)),DATE(RIGHT(Клиенты_исходные!G359,4),MID(Клиенты_исходные!G359,4,2),LEFT(Клиенты_исходные!G359,2)),DATE(LEFT(Клиенты_исходные!G359,4),MID(Клиенты_исходные!G359,6,2),RIGHT(Клиенты_исходные!G359,2))),Клиенты_исходные!G359)</f>
        <v>48183</v>
      </c>
      <c r="H359">
        <f t="shared" ca="1" si="64"/>
        <v>44</v>
      </c>
      <c r="I359" t="str">
        <f t="shared" si="65"/>
        <v>OK</v>
      </c>
      <c r="J359" t="str">
        <f t="shared" si="66"/>
        <v>OK</v>
      </c>
    </row>
    <row r="360">
      <c r="A360" t="str">
        <f>Клиенты_исходные!A360</f>
        <v>C0359</v>
      </c>
      <c r="B360" t="str">
        <f>PROPER(TRIM(Клиенты_исходные!B360))</f>
        <v xml:space="preserve">Покровская Елена Владимировна</v>
      </c>
      <c r="C360" s="8">
        <f>IFERROR(IF(ISNUMBER(FIND(".",Клиенты_исходные!C360)),DATE(RIGHT(Клиенты_исходные!C360,4),MID(Клиенты_исходные!C360,4,2),LEFT(Клиенты_исходные!C360,2)),DATE(LEFT(Клиенты_исходные!C360,4),MID(Клиенты_исходные!C360,6,2),RIGHT(Клиенты_исходные!C360,2))),Клиенты_исходные!C360)</f>
        <v>27616</v>
      </c>
      <c r="D360" t="str">
        <f>IF(ISBLANK(Клиенты_исходные!D360),"",IF(LEN(SUBSTITUTE(SUBSTITUTE(SUBSTITUTE(SUBSTITUTE(SUBSTITUTE(Клиенты_исходные!D360," ",""),"-",""),"+",""),"(",""),")",""))=11,"+7 ("&amp;MID(IF(LEFT(SUBSTITUTE(SUBSTITUTE(SUBSTITUTE(SUBSTITUTE(SUBSTITUTE(Клиенты_исходные!D360," ",""),"-",""),"+",""),"(",""),")",""))="8","7"&amp;MID(SUBSTITUTE(SUBSTITUTE(SUBSTITUTE(SUBSTITUTE(SUBSTITUTE(Клиенты_исходные!D360," ",""),"-",""),"+",""),"(",""),")",""),2,10),SUBSTITUTE(SUBSTITUTE(SUBSTITUTE(SUBSTITUTE(SUBSTITUTE(Клиенты_исходные!D360," ",""),"-",""),"+",""),"(",""),")","")),2,3)&amp;") "&amp;MID(IF(LEFT(SUBSTITUTE(SUBSTITUTE(SUBSTITUTE(SUBSTITUTE(SUBSTITUTE(Клиенты_исходные!D360," ",""),"-",""),"+",""),"(",""),")",""))="8","7"&amp;MID(SUBSTITUTE(SUBSTITUTE(SUBSTITUTE(SUBSTITUTE(SUBSTITUTE(Клиенты_исходные!D360," ",""),"-",""),"+",""),"(",""),")",""),2,10),SUBSTITUTE(SUBSTITUTE(SUBSTITUTE(SUBSTITUTE(SUBSTITUTE(Клиенты_исходные!D360," ",""),"-",""),"+",""),"(",""),")","")),5,3)&amp;"-"&amp;MID(IF(LEFT(SUBSTITUTE(SUBSTITUTE(SUBSTITUTE(SUBSTITUTE(SUBSTITUTE(Клиенты_исходные!D360," ",""),"-",""),"+",""),"(",""),")",""))="8","7"&amp;MID(SUBSTITUTE(SUBSTITUTE(SUBSTITUTE(SUBSTITUTE(SUBSTITUTE(Клиенты_исходные!D360," ",""),"-",""),"+",""),"(",""),")",""),2,10),SUBSTITUTE(SUBSTITUTE(SUBSTITUTE(SUBSTITUTE(SUBSTITUTE(Клиенты_исходные!D360," ",""),"-",""),"+",""),"(",""),")","")),8,2)&amp;"-"&amp;MID(IF(LEFT(SUBSTITUTE(SUBSTITUTE(SUBSTITUTE(SUBSTITUTE(SUBSTITUTE(Клиенты_исходные!D360," ",""),"-",""),"+",""),"(",""),")",""))="8","7"&amp;MID(SUBSTITUTE(SUBSTITUTE(SUBSTITUTE(SUBSTITUTE(SUBSTITUTE(Клиенты_исходные!D360," ",""),"-",""),"+",""),"(",""),")",""),2,10),SUBSTITUTE(SUBSTITUTE(SUBSTITUTE(SUBSTITUTE(SUBSTITUTE(Клиенты_исходные!D360," ",""),"-",""),"+",""),"(",""),")","")),10,2),IF(LEN(SUBSTITUTE(SUBSTITUTE(SUBSTITUTE(SUBSTITUTE(SUBSTITUTE(Клиенты_исходные!D360," ",""),"-",""),"+",""),"(",""),")",""))=10,"+7 ("&amp;MID(SUBSTITUTE(SUBSTITUTE(SUBSTITUTE(SUBSTITUTE(SUBSTITUTE(Клиенты_исходные!D360," ",""),"-",""),"+",""),"(",""),")",""),1,3)&amp;") "&amp;MID(SUBSTITUTE(SUBSTITUTE(SUBSTITUTE(SUBSTITUTE(SUBSTITUTE(Клиенты_исходные!D360," ",""),"-",""),"+",""),"(",""),")",""),4,3)&amp;"-"&amp;MID(SUBSTITUTE(SUBSTITUTE(SUBSTITUTE(SUBSTITUTE(SUBSTITUTE(Клиенты_исходные!D360," ",""),"-",""),"+",""),"(",""),")",""),6,2)&amp;"-"&amp;MID(SUBSTITUTE(SUBSTITUTE(SUBSTITUTE(SUBSTITUTE(SUBSTITUTE(Клиенты_исходные!D360," ",""),"-",""),"+",""),"(",""),")",""),8,2),Клиенты_исходные!D360)))</f>
        <v xml:space="preserve">+7 (903) 567-89-01</v>
      </c>
      <c r="E360" t="str">
        <f>IF(ISBLANK(Клиенты_исходные!E360),"",IF(ISNUMBER(FIND(".",MID(Клиенты_исходные!E360,FIND("@",Клиенты_исходные!E360)+1,255))),Клиенты_исходные!E360,IF(ISNUMBER(FIND("gmail",Клиенты_исходные!E360)),Клиенты_исходные!E360&amp;".com",Клиенты_исходные!E360&amp;".ru")))</f>
        <v>pokrovskaya@yandex.ru</v>
      </c>
      <c r="F360" t="str">
        <f>IFERROR(VLOOKUP(Клиенты_исходные!F360,Справочники!$J$2:$K$50,2,FALSE),Клиенты_исходные!F360)</f>
        <v>Орск</v>
      </c>
      <c r="G360" s="8">
        <f>IFERROR(IF(ISNUMBER(FIND(".",Клиенты_исходные!G360)),DATE(RIGHT(Клиенты_исходные!G360,4),MID(Клиенты_исходные!G360,4,2),LEFT(Клиенты_исходные!G360,2)),DATE(LEFT(Клиенты_исходные!G360,4),MID(Клиенты_исходные!G360,6,2),RIGHT(Клиенты_исходные!G360,2))),Клиенты_исходные!G360)</f>
        <v>48192</v>
      </c>
      <c r="H360">
        <f t="shared" ca="1" si="64"/>
        <v>51</v>
      </c>
      <c r="I360" t="str">
        <f t="shared" si="65"/>
        <v>OK</v>
      </c>
      <c r="J360" t="str">
        <f t="shared" si="66"/>
        <v>OK</v>
      </c>
    </row>
    <row r="361">
      <c r="A361" t="str">
        <f>Клиенты_исходные!A361</f>
        <v>C0360</v>
      </c>
      <c r="B361" t="str">
        <f>PROPER(TRIM(Клиенты_исходные!B361))</f>
        <v xml:space="preserve">Шабалин Илья Олегович</v>
      </c>
      <c r="C361" s="8">
        <f>IFERROR(IF(ISNUMBER(FIND(".",Клиенты_исходные!C361)),DATE(RIGHT(Клиенты_исходные!C361,4),MID(Клиенты_исходные!C361,4,2),LEFT(Клиенты_исходные!C361,2)),DATE(LEFT(Клиенты_исходные!C361,4),MID(Клиенты_исходные!C361,6,2),RIGHT(Клиенты_исходные!C361,2))),Клиенты_исходные!C361)</f>
        <v>34292</v>
      </c>
      <c r="D361" t="str">
        <f>IF(ISBLANK(Клиенты_исходные!D361),"",IF(LEN(SUBSTITUTE(SUBSTITUTE(SUBSTITUTE(SUBSTITUTE(SUBSTITUTE(Клиенты_исходные!D361," ",""),"-",""),"+",""),"(",""),")",""))=11,"+7 ("&amp;MID(IF(LEFT(SUBSTITUTE(SUBSTITUTE(SUBSTITUTE(SUBSTITUTE(SUBSTITUTE(Клиенты_исходные!D361," ",""),"-",""),"+",""),"(",""),")",""))="8","7"&amp;MID(SUBSTITUTE(SUBSTITUTE(SUBSTITUTE(SUBSTITUTE(SUBSTITUTE(Клиенты_исходные!D361," ",""),"-",""),"+",""),"(",""),")",""),2,10),SUBSTITUTE(SUBSTITUTE(SUBSTITUTE(SUBSTITUTE(SUBSTITUTE(Клиенты_исходные!D361," ",""),"-",""),"+",""),"(",""),")","")),2,3)&amp;") "&amp;MID(IF(LEFT(SUBSTITUTE(SUBSTITUTE(SUBSTITUTE(SUBSTITUTE(SUBSTITUTE(Клиенты_исходные!D361," ",""),"-",""),"+",""),"(",""),")",""))="8","7"&amp;MID(SUBSTITUTE(SUBSTITUTE(SUBSTITUTE(SUBSTITUTE(SUBSTITUTE(Клиенты_исходные!D361," ",""),"-",""),"+",""),"(",""),")",""),2,10),SUBSTITUTE(SUBSTITUTE(SUBSTITUTE(SUBSTITUTE(SUBSTITUTE(Клиенты_исходные!D361," ",""),"-",""),"+",""),"(",""),")","")),5,3)&amp;"-"&amp;MID(IF(LEFT(SUBSTITUTE(SUBSTITUTE(SUBSTITUTE(SUBSTITUTE(SUBSTITUTE(Клиенты_исходные!D361," ",""),"-",""),"+",""),"(",""),")",""))="8","7"&amp;MID(SUBSTITUTE(SUBSTITUTE(SUBSTITUTE(SUBSTITUTE(SUBSTITUTE(Клиенты_исходные!D361," ",""),"-",""),"+",""),"(",""),")",""),2,10),SUBSTITUTE(SUBSTITUTE(SUBSTITUTE(SUBSTITUTE(SUBSTITUTE(Клиенты_исходные!D361," ",""),"-",""),"+",""),"(",""),")","")),8,2)&amp;"-"&amp;MID(IF(LEFT(SUBSTITUTE(SUBSTITUTE(SUBSTITUTE(SUBSTITUTE(SUBSTITUTE(Клиенты_исходные!D361," ",""),"-",""),"+",""),"(",""),")",""))="8","7"&amp;MID(SUBSTITUTE(SUBSTITUTE(SUBSTITUTE(SUBSTITUTE(SUBSTITUTE(Клиенты_исходные!D361," ",""),"-",""),"+",""),"(",""),")",""),2,10),SUBSTITUTE(SUBSTITUTE(SUBSTITUTE(SUBSTITUTE(SUBSTITUTE(Клиенты_исходные!D361," ",""),"-",""),"+",""),"(",""),")","")),10,2),IF(LEN(SUBSTITUTE(SUBSTITUTE(SUBSTITUTE(SUBSTITUTE(SUBSTITUTE(Клиенты_исходные!D361," ",""),"-",""),"+",""),"(",""),")",""))=10,"+7 ("&amp;MID(SUBSTITUTE(SUBSTITUTE(SUBSTITUTE(SUBSTITUTE(SUBSTITUTE(Клиенты_исходные!D361," ",""),"-",""),"+",""),"(",""),")",""),1,3)&amp;") "&amp;MID(SUBSTITUTE(SUBSTITUTE(SUBSTITUTE(SUBSTITUTE(SUBSTITUTE(Клиенты_исходные!D361," ",""),"-",""),"+",""),"(",""),")",""),4,3)&amp;"-"&amp;MID(SUBSTITUTE(SUBSTITUTE(SUBSTITUTE(SUBSTITUTE(SUBSTITUTE(Клиенты_исходные!D361," ",""),"-",""),"+",""),"(",""),")",""),6,2)&amp;"-"&amp;MID(SUBSTITUTE(SUBSTITUTE(SUBSTITUTE(SUBSTITUTE(SUBSTITUTE(Клиенты_исходные!D361," ",""),"-",""),"+",""),"(",""),")",""),8,2),Клиенты_исходные!D361)))</f>
        <v xml:space="preserve">+7 (903) 678-90-12</v>
      </c>
      <c r="E361" t="str">
        <f>IF(ISBLANK(Клиенты_исходные!E361),"",IF(ISNUMBER(FIND(".",MID(Клиенты_исходные!E361,FIND("@",Клиенты_исходные!E361)+1,255))),Клиенты_исходные!E361,IF(ISNUMBER(FIND("gmail",Клиенты_исходные!E361)),Клиенты_исходные!E361&amp;".com",Клиенты_исходные!E361&amp;".ru")))</f>
        <v>shabalin@gmail.com</v>
      </c>
      <c r="F361" t="str">
        <f>IFERROR(VLOOKUP(Клиенты_исходные!F361,Справочники!$J$2:$K$50,2,FALSE),Клиенты_исходные!F361)</f>
        <v>Нижневартовск</v>
      </c>
      <c r="G361" s="8">
        <f>IFERROR(IF(ISNUMBER(FIND(".",Клиенты_исходные!G361)),DATE(RIGHT(Клиенты_исходные!G361,4),MID(Клиенты_исходные!G361,4,2),LEFT(Клиенты_исходные!G361,2)),DATE(LEFT(Клиенты_исходные!G361,4),MID(Клиенты_исходные!G361,6,2),RIGHT(Клиенты_исходные!G361,2))),Клиенты_исходные!G361)</f>
        <v>48192</v>
      </c>
      <c r="H361">
        <f t="shared" ca="1" si="64"/>
        <v>32</v>
      </c>
      <c r="I361" t="str">
        <f t="shared" si="65"/>
        <v>OK</v>
      </c>
      <c r="J361" t="str">
        <f t="shared" si="66"/>
        <v>OK</v>
      </c>
    </row>
    <row r="362">
      <c r="A362" t="str">
        <f>Клиенты_исходные!A362</f>
        <v>C0361</v>
      </c>
      <c r="B362" t="str">
        <f>PROPER(TRIM(Клиенты_исходные!B362))</f>
        <v xml:space="preserve">Кубасова Наталья Алексеевна</v>
      </c>
      <c r="C362" s="8">
        <f>IFERROR(IF(ISNUMBER(FIND(".",Клиенты_исходные!C362)),DATE(RIGHT(Клиенты_исходные!C362,4),MID(Клиенты_исходные!C362,4,2),LEFT(Клиенты_исходные!C362,2)),DATE(LEFT(Клиенты_исходные!C362,4),MID(Клиенты_исходные!C362,6,2),RIGHT(Клиенты_исходные!C362,2))),Клиенты_исходные!C362)</f>
        <v>28855</v>
      </c>
      <c r="D362" t="str">
        <f>IF(ISBLANK(Клиенты_исходные!D362),"",IF(LEN(SUBSTITUTE(SUBSTITUTE(SUBSTITUTE(SUBSTITUTE(SUBSTITUTE(Клиенты_исходные!D362," ",""),"-",""),"+",""),"(",""),")",""))=11,"+7 ("&amp;MID(IF(LEFT(SUBSTITUTE(SUBSTITUTE(SUBSTITUTE(SUBSTITUTE(SUBSTITUTE(Клиенты_исходные!D362," ",""),"-",""),"+",""),"(",""),")",""))="8","7"&amp;MID(SUBSTITUTE(SUBSTITUTE(SUBSTITUTE(SUBSTITUTE(SUBSTITUTE(Клиенты_исходные!D362," ",""),"-",""),"+",""),"(",""),")",""),2,10),SUBSTITUTE(SUBSTITUTE(SUBSTITUTE(SUBSTITUTE(SUBSTITUTE(Клиенты_исходные!D362," ",""),"-",""),"+",""),"(",""),")","")),2,3)&amp;") "&amp;MID(IF(LEFT(SUBSTITUTE(SUBSTITUTE(SUBSTITUTE(SUBSTITUTE(SUBSTITUTE(Клиенты_исходные!D362," ",""),"-",""),"+",""),"(",""),")",""))="8","7"&amp;MID(SUBSTITUTE(SUBSTITUTE(SUBSTITUTE(SUBSTITUTE(SUBSTITUTE(Клиенты_исходные!D362," ",""),"-",""),"+",""),"(",""),")",""),2,10),SUBSTITUTE(SUBSTITUTE(SUBSTITUTE(SUBSTITUTE(SUBSTITUTE(Клиенты_исходные!D362," ",""),"-",""),"+",""),"(",""),")","")),5,3)&amp;"-"&amp;MID(IF(LEFT(SUBSTITUTE(SUBSTITUTE(SUBSTITUTE(SUBSTITUTE(SUBSTITUTE(Клиенты_исходные!D362," ",""),"-",""),"+",""),"(",""),")",""))="8","7"&amp;MID(SUBSTITUTE(SUBSTITUTE(SUBSTITUTE(SUBSTITUTE(SUBSTITUTE(Клиенты_исходные!D362," ",""),"-",""),"+",""),"(",""),")",""),2,10),SUBSTITUTE(SUBSTITUTE(SUBSTITUTE(SUBSTITUTE(SUBSTITUTE(Клиенты_исходные!D362," ",""),"-",""),"+",""),"(",""),")","")),8,2)&amp;"-"&amp;MID(IF(LEFT(SUBSTITUTE(SUBSTITUTE(SUBSTITUTE(SUBSTITUTE(SUBSTITUTE(Клиенты_исходные!D362," ",""),"-",""),"+",""),"(",""),")",""))="8","7"&amp;MID(SUBSTITUTE(SUBSTITUTE(SUBSTITUTE(SUBSTITUTE(SUBSTITUTE(Клиенты_исходные!D362," ",""),"-",""),"+",""),"(",""),")",""),2,10),SUBSTITUTE(SUBSTITUTE(SUBSTITUTE(SUBSTITUTE(SUBSTITUTE(Клиенты_исходные!D362," ",""),"-",""),"+",""),"(",""),")","")),10,2),IF(LEN(SUBSTITUTE(SUBSTITUTE(SUBSTITUTE(SUBSTITUTE(SUBSTITUTE(Клиенты_исходные!D362," ",""),"-",""),"+",""),"(",""),")",""))=10,"+7 ("&amp;MID(SUBSTITUTE(SUBSTITUTE(SUBSTITUTE(SUBSTITUTE(SUBSTITUTE(Клиенты_исходные!D362," ",""),"-",""),"+",""),"(",""),")",""),1,3)&amp;") "&amp;MID(SUBSTITUTE(SUBSTITUTE(SUBSTITUTE(SUBSTITUTE(SUBSTITUTE(Клиенты_исходные!D362," ",""),"-",""),"+",""),"(",""),")",""),4,3)&amp;"-"&amp;MID(SUBSTITUTE(SUBSTITUTE(SUBSTITUTE(SUBSTITUTE(SUBSTITUTE(Клиенты_исходные!D362," ",""),"-",""),"+",""),"(",""),")",""),6,2)&amp;"-"&amp;MID(SUBSTITUTE(SUBSTITUTE(SUBSTITUTE(SUBSTITUTE(SUBSTITUTE(Клиенты_исходные!D362," ",""),"-",""),"+",""),"(",""),")",""),8,2),Клиенты_исходные!D362)))</f>
        <v xml:space="preserve">+7 (903) 678-90-12</v>
      </c>
      <c r="E362" t="str">
        <f>IF(ISBLANK(Клиенты_исходные!E362),"",IF(ISNUMBER(FIND(".",MID(Клиенты_исходные!E362,FIND("@",Клиенты_исходные!E362)+1,255))),Клиенты_исходные!E362,IF(ISNUMBER(FIND("gmail",Клиенты_исходные!E362)),Клиенты_исходные!E362&amp;".com",Клиенты_исходные!E362&amp;".ru")))</f>
        <v>kubasova@mail.ru</v>
      </c>
      <c r="F362" t="str">
        <f>IFERROR(VLOOKUP(Клиенты_исходные!F362,Справочники!$J$2:$K$50,2,FALSE),Клиенты_исходные!F362)</f>
        <v>Новороссийск</v>
      </c>
      <c r="G362" s="8">
        <f>IFERROR(IF(ISNUMBER(FIND(".",Клиенты_исходные!G362)),DATE(RIGHT(Клиенты_исходные!G362,4),MID(Клиенты_исходные!G362,4,2),LEFT(Клиенты_исходные!G362,2)),DATE(LEFT(Клиенты_исходные!G362,4),MID(Клиенты_исходные!G362,6,2),RIGHT(Клиенты_исходные!G362,2))),Клиенты_исходные!G362)</f>
        <v>48214</v>
      </c>
      <c r="H362">
        <f t="shared" ca="1" si="64"/>
        <v>47</v>
      </c>
      <c r="I362" t="str">
        <f t="shared" si="65"/>
        <v>OK</v>
      </c>
      <c r="J362" t="str">
        <f t="shared" si="66"/>
        <v>OK</v>
      </c>
    </row>
    <row r="363">
      <c r="A363" t="str">
        <f>Клиенты_исходные!A363</f>
        <v>C0362</v>
      </c>
      <c r="B363" t="str">
        <f>PROPER(TRIM(Клиенты_исходные!B363))</f>
        <v xml:space="preserve">Логунов Андрей Сергеевич</v>
      </c>
      <c r="C363" s="8">
        <f>IFERROR(IF(ISNUMBER(FIND(".",Клиенты_исходные!C363)),DATE(RIGHT(Клиенты_исходные!C363,4),MID(Клиенты_исходные!C363,4,2),LEFT(Клиенты_исходные!C363,2)),DATE(LEFT(Клиенты_исходные!C363,4),MID(Клиенты_исходные!C363,6,2),RIGHT(Клиенты_исходные!C363,2))),Клиенты_исходные!C363)</f>
        <v>31883</v>
      </c>
      <c r="D363" t="str">
        <f>IF(ISBLANK(Клиенты_исходные!D363),"",IF(LEN(SUBSTITUTE(SUBSTITUTE(SUBSTITUTE(SUBSTITUTE(SUBSTITUTE(Клиенты_исходные!D363," ",""),"-",""),"+",""),"(",""),")",""))=11,"+7 ("&amp;MID(IF(LEFT(SUBSTITUTE(SUBSTITUTE(SUBSTITUTE(SUBSTITUTE(SUBSTITUTE(Клиенты_исходные!D363," ",""),"-",""),"+",""),"(",""),")",""))="8","7"&amp;MID(SUBSTITUTE(SUBSTITUTE(SUBSTITUTE(SUBSTITUTE(SUBSTITUTE(Клиенты_исходные!D363," ",""),"-",""),"+",""),"(",""),")",""),2,10),SUBSTITUTE(SUBSTITUTE(SUBSTITUTE(SUBSTITUTE(SUBSTITUTE(Клиенты_исходные!D363," ",""),"-",""),"+",""),"(",""),")","")),2,3)&amp;") "&amp;MID(IF(LEFT(SUBSTITUTE(SUBSTITUTE(SUBSTITUTE(SUBSTITUTE(SUBSTITUTE(Клиенты_исходные!D363," ",""),"-",""),"+",""),"(",""),")",""))="8","7"&amp;MID(SUBSTITUTE(SUBSTITUTE(SUBSTITUTE(SUBSTITUTE(SUBSTITUTE(Клиенты_исходные!D363," ",""),"-",""),"+",""),"(",""),")",""),2,10),SUBSTITUTE(SUBSTITUTE(SUBSTITUTE(SUBSTITUTE(SUBSTITUTE(Клиенты_исходные!D363," ",""),"-",""),"+",""),"(",""),")","")),5,3)&amp;"-"&amp;MID(IF(LEFT(SUBSTITUTE(SUBSTITUTE(SUBSTITUTE(SUBSTITUTE(SUBSTITUTE(Клиенты_исходные!D363," ",""),"-",""),"+",""),"(",""),")",""))="8","7"&amp;MID(SUBSTITUTE(SUBSTITUTE(SUBSTITUTE(SUBSTITUTE(SUBSTITUTE(Клиенты_исходные!D363," ",""),"-",""),"+",""),"(",""),")",""),2,10),SUBSTITUTE(SUBSTITUTE(SUBSTITUTE(SUBSTITUTE(SUBSTITUTE(Клиенты_исходные!D363," ",""),"-",""),"+",""),"(",""),")","")),8,2)&amp;"-"&amp;MID(IF(LEFT(SUBSTITUTE(SUBSTITUTE(SUBSTITUTE(SUBSTITUTE(SUBSTITUTE(Клиенты_исходные!D363," ",""),"-",""),"+",""),"(",""),")",""))="8","7"&amp;MID(SUBSTITUTE(SUBSTITUTE(SUBSTITUTE(SUBSTITUTE(SUBSTITUTE(Клиенты_исходные!D363," ",""),"-",""),"+",""),"(",""),")",""),2,10),SUBSTITUTE(SUBSTITUTE(SUBSTITUTE(SUBSTITUTE(SUBSTITUTE(Клиенты_исходные!D363," ",""),"-",""),"+",""),"(",""),")","")),10,2),IF(LEN(SUBSTITUTE(SUBSTITUTE(SUBSTITUTE(SUBSTITUTE(SUBSTITUTE(Клиенты_исходные!D363," ",""),"-",""),"+",""),"(",""),")",""))=10,"+7 ("&amp;MID(SUBSTITUTE(SUBSTITUTE(SUBSTITUTE(SUBSTITUTE(SUBSTITUTE(Клиенты_исходные!D363," ",""),"-",""),"+",""),"(",""),")",""),1,3)&amp;") "&amp;MID(SUBSTITUTE(SUBSTITUTE(SUBSTITUTE(SUBSTITUTE(SUBSTITUTE(Клиенты_исходные!D363," ",""),"-",""),"+",""),"(",""),")",""),4,3)&amp;"-"&amp;MID(SUBSTITUTE(SUBSTITUTE(SUBSTITUTE(SUBSTITUTE(SUBSTITUTE(Клиенты_исходные!D363," ",""),"-",""),"+",""),"(",""),")",""),6,2)&amp;"-"&amp;MID(SUBSTITUTE(SUBSTITUTE(SUBSTITUTE(SUBSTITUTE(SUBSTITUTE(Клиенты_исходные!D363," ",""),"-",""),"+",""),"(",""),")",""),8,2),Клиенты_исходные!D363)))</f>
        <v xml:space="preserve">+7 (903) 678-90-12</v>
      </c>
      <c r="E363" t="str">
        <f>IF(ISBLANK(Клиенты_исходные!E363),"",IF(ISNUMBER(FIND(".",MID(Клиенты_исходные!E363,FIND("@",Клиенты_исходные!E363)+1,255))),Клиенты_исходные!E363,IF(ISNUMBER(FIND("gmail",Клиенты_исходные!E363)),Клиенты_исходные!E363&amp;".com",Клиенты_исходные!E363&amp;".ru")))</f>
        <v>logunov@yandex.ru</v>
      </c>
      <c r="F363" t="str">
        <f>IFERROR(VLOOKUP(Клиенты_исходные!F363,Справочники!$J$2:$K$50,2,FALSE),Клиенты_исходные!F363)</f>
        <v>Химки</v>
      </c>
      <c r="G363" s="8">
        <f>IFERROR(IF(ISNUMBER(FIND(".",Клиенты_исходные!G363)),DATE(RIGHT(Клиенты_исходные!G363,4),MID(Клиенты_исходные!G363,4,2),LEFT(Клиенты_исходные!G363,2)),DATE(LEFT(Клиенты_исходные!G363,4),MID(Клиенты_исходные!G363,6,2),RIGHT(Клиенты_исходные!G363,2))),Клиенты_исходные!G363)</f>
        <v>48228</v>
      </c>
      <c r="H363">
        <f t="shared" ca="1" si="64"/>
        <v>39</v>
      </c>
      <c r="I363" t="str">
        <f t="shared" si="65"/>
        <v>OK</v>
      </c>
      <c r="J363" t="str">
        <f t="shared" si="66"/>
        <v>OK</v>
      </c>
    </row>
    <row r="364">
      <c r="A364" t="str">
        <f>Клиенты_исходные!A364</f>
        <v>C0363</v>
      </c>
      <c r="B364" t="str">
        <f>PROPER(TRIM(Клиенты_исходные!B364))</f>
        <v xml:space="preserve">Топоркова Ольга Владимировна</v>
      </c>
      <c r="C364" s="8">
        <f>IFERROR(IF(ISNUMBER(FIND(".",Клиенты_исходные!C364)),DATE(RIGHT(Клиенты_исходные!C364,4),MID(Клиенты_исходные!C364,4,2),LEFT(Клиенты_исходные!C364,2)),DATE(LEFT(Клиенты_исходные!C364,4),MID(Клиенты_исходные!C364,6,2),RIGHT(Клиенты_исходные!C364,2))),Клиенты_исходные!C364)</f>
        <v>30891</v>
      </c>
      <c r="D364" t="str">
        <f>IF(ISBLANK(Клиенты_исходные!D364),"",IF(LEN(SUBSTITUTE(SUBSTITUTE(SUBSTITUTE(SUBSTITUTE(SUBSTITUTE(Клиенты_исходные!D364," ",""),"-",""),"+",""),"(",""),")",""))=11,"+7 ("&amp;MID(IF(LEFT(SUBSTITUTE(SUBSTITUTE(SUBSTITUTE(SUBSTITUTE(SUBSTITUTE(Клиенты_исходные!D364," ",""),"-",""),"+",""),"(",""),")",""))="8","7"&amp;MID(SUBSTITUTE(SUBSTITUTE(SUBSTITUTE(SUBSTITUTE(SUBSTITUTE(Клиенты_исходные!D364," ",""),"-",""),"+",""),"(",""),")",""),2,10),SUBSTITUTE(SUBSTITUTE(SUBSTITUTE(SUBSTITUTE(SUBSTITUTE(Клиенты_исходные!D364," ",""),"-",""),"+",""),"(",""),")","")),2,3)&amp;") "&amp;MID(IF(LEFT(SUBSTITUTE(SUBSTITUTE(SUBSTITUTE(SUBSTITUTE(SUBSTITUTE(Клиенты_исходные!D364," ",""),"-",""),"+",""),"(",""),")",""))="8","7"&amp;MID(SUBSTITUTE(SUBSTITUTE(SUBSTITUTE(SUBSTITUTE(SUBSTITUTE(Клиенты_исходные!D364," ",""),"-",""),"+",""),"(",""),")",""),2,10),SUBSTITUTE(SUBSTITUTE(SUBSTITUTE(SUBSTITUTE(SUBSTITUTE(Клиенты_исходные!D364," ",""),"-",""),"+",""),"(",""),")","")),5,3)&amp;"-"&amp;MID(IF(LEFT(SUBSTITUTE(SUBSTITUTE(SUBSTITUTE(SUBSTITUTE(SUBSTITUTE(Клиенты_исходные!D364," ",""),"-",""),"+",""),"(",""),")",""))="8","7"&amp;MID(SUBSTITUTE(SUBSTITUTE(SUBSTITUTE(SUBSTITUTE(SUBSTITUTE(Клиенты_исходные!D364," ",""),"-",""),"+",""),"(",""),")",""),2,10),SUBSTITUTE(SUBSTITUTE(SUBSTITUTE(SUBSTITUTE(SUBSTITUTE(Клиенты_исходные!D364," ",""),"-",""),"+",""),"(",""),")","")),8,2)&amp;"-"&amp;MID(IF(LEFT(SUBSTITUTE(SUBSTITUTE(SUBSTITUTE(SUBSTITUTE(SUBSTITUTE(Клиенты_исходные!D364," ",""),"-",""),"+",""),"(",""),")",""))="8","7"&amp;MID(SUBSTITUTE(SUBSTITUTE(SUBSTITUTE(SUBSTITUTE(SUBSTITUTE(Клиенты_исходные!D364," ",""),"-",""),"+",""),"(",""),")",""),2,10),SUBSTITUTE(SUBSTITUTE(SUBSTITUTE(SUBSTITUTE(SUBSTITUTE(Клиенты_исходные!D364," ",""),"-",""),"+",""),"(",""),")","")),10,2),IF(LEN(SUBSTITUTE(SUBSTITUTE(SUBSTITUTE(SUBSTITUTE(SUBSTITUTE(Клиенты_исходные!D364," ",""),"-",""),"+",""),"(",""),")",""))=10,"+7 ("&amp;MID(SUBSTITUTE(SUBSTITUTE(SUBSTITUTE(SUBSTITUTE(SUBSTITUTE(Клиенты_исходные!D364," ",""),"-",""),"+",""),"(",""),")",""),1,3)&amp;") "&amp;MID(SUBSTITUTE(SUBSTITUTE(SUBSTITUTE(SUBSTITUTE(SUBSTITUTE(Клиенты_исходные!D364," ",""),"-",""),"+",""),"(",""),")",""),4,3)&amp;"-"&amp;MID(SUBSTITUTE(SUBSTITUTE(SUBSTITUTE(SUBSTITUTE(SUBSTITUTE(Клиенты_исходные!D364," ",""),"-",""),"+",""),"(",""),")",""),6,2)&amp;"-"&amp;MID(SUBSTITUTE(SUBSTITUTE(SUBSTITUTE(SUBSTITUTE(SUBSTITUTE(Клиенты_исходные!D364," ",""),"-",""),"+",""),"(",""),")",""),8,2),Клиенты_исходные!D364)))</f>
        <v xml:space="preserve">+7 (903) 789-01-23</v>
      </c>
      <c r="E364" t="str">
        <f>IF(ISBLANK(Клиенты_исходные!E364),"",IF(ISNUMBER(FIND(".",MID(Клиенты_исходные!E364,FIND("@",Клиенты_исходные!E364)+1,255))),Клиенты_исходные!E364,IF(ISNUMBER(FIND("gmail",Клиенты_исходные!E364)),Клиенты_исходные!E364&amp;".com",Клиенты_исходные!E364&amp;".ru")))</f>
        <v>toporkova@gmail.com</v>
      </c>
      <c r="F364" t="str">
        <f>IFERROR(VLOOKUP(Клиенты_исходные!F364,Справочники!$J$2:$K$50,2,FALSE),Клиенты_исходные!F364)</f>
        <v>Подольск</v>
      </c>
      <c r="G364" s="8">
        <f>IFERROR(IF(ISNUMBER(FIND(".",Клиенты_исходные!G364)),DATE(RIGHT(Клиенты_исходные!G364,4),MID(Клиенты_исходные!G364,4,2),LEFT(Клиенты_исходные!G364,2)),DATE(LEFT(Клиенты_исходные!G364,4),MID(Клиенты_исходные!G364,6,2),RIGHT(Клиенты_исходные!G364,2))),Клиенты_исходные!G364)</f>
        <v>48228</v>
      </c>
      <c r="H364">
        <f t="shared" ca="1" si="64"/>
        <v>42</v>
      </c>
      <c r="I364" t="str">
        <f t="shared" si="65"/>
        <v>OK</v>
      </c>
      <c r="J364" t="str">
        <f t="shared" si="66"/>
        <v>OK</v>
      </c>
    </row>
    <row r="365">
      <c r="A365" t="str">
        <f>Клиенты_исходные!A365</f>
        <v>C0364</v>
      </c>
      <c r="B365" t="str">
        <f>PROPER(TRIM(Клиенты_исходные!B365))</f>
        <v xml:space="preserve">Кирьянов Денис Павлович</v>
      </c>
      <c r="C365" s="8">
        <f>IFERROR(IF(ISNUMBER(FIND(".",Клиенты_исходные!C365)),DATE(RIGHT(Клиенты_исходные!C365,4),MID(Клиенты_исходные!C365,4,2),LEFT(Клиенты_исходные!C365,2)),DATE(LEFT(Клиенты_исходные!C365,4),MID(Клиенты_исходные!C365,6,2),RIGHT(Клиенты_исходные!C365,2))),Клиенты_исходные!C365)</f>
        <v>27803</v>
      </c>
      <c r="D365" t="str">
        <f>IF(ISBLANK(Клиенты_исходные!D365),"",IF(LEN(SUBSTITUTE(SUBSTITUTE(SUBSTITUTE(SUBSTITUTE(SUBSTITUTE(Клиенты_исходные!D365," ",""),"-",""),"+",""),"(",""),")",""))=11,"+7 ("&amp;MID(IF(LEFT(SUBSTITUTE(SUBSTITUTE(SUBSTITUTE(SUBSTITUTE(SUBSTITUTE(Клиенты_исходные!D365," ",""),"-",""),"+",""),"(",""),")",""))="8","7"&amp;MID(SUBSTITUTE(SUBSTITUTE(SUBSTITUTE(SUBSTITUTE(SUBSTITUTE(Клиенты_исходные!D365," ",""),"-",""),"+",""),"(",""),")",""),2,10),SUBSTITUTE(SUBSTITUTE(SUBSTITUTE(SUBSTITUTE(SUBSTITUTE(Клиенты_исходные!D365," ",""),"-",""),"+",""),"(",""),")","")),2,3)&amp;") "&amp;MID(IF(LEFT(SUBSTITUTE(SUBSTITUTE(SUBSTITUTE(SUBSTITUTE(SUBSTITUTE(Клиенты_исходные!D365," ",""),"-",""),"+",""),"(",""),")",""))="8","7"&amp;MID(SUBSTITUTE(SUBSTITUTE(SUBSTITUTE(SUBSTITUTE(SUBSTITUTE(Клиенты_исходные!D365," ",""),"-",""),"+",""),"(",""),")",""),2,10),SUBSTITUTE(SUBSTITUTE(SUBSTITUTE(SUBSTITUTE(SUBSTITUTE(Клиенты_исходные!D365," ",""),"-",""),"+",""),"(",""),")","")),5,3)&amp;"-"&amp;MID(IF(LEFT(SUBSTITUTE(SUBSTITUTE(SUBSTITUTE(SUBSTITUTE(SUBSTITUTE(Клиенты_исходные!D365," ",""),"-",""),"+",""),"(",""),")",""))="8","7"&amp;MID(SUBSTITUTE(SUBSTITUTE(SUBSTITUTE(SUBSTITUTE(SUBSTITUTE(Клиенты_исходные!D365," ",""),"-",""),"+",""),"(",""),")",""),2,10),SUBSTITUTE(SUBSTITUTE(SUBSTITUTE(SUBSTITUTE(SUBSTITUTE(Клиенты_исходные!D365," ",""),"-",""),"+",""),"(",""),")","")),8,2)&amp;"-"&amp;MID(IF(LEFT(SUBSTITUTE(SUBSTITUTE(SUBSTITUTE(SUBSTITUTE(SUBSTITUTE(Клиенты_исходные!D365," ",""),"-",""),"+",""),"(",""),")",""))="8","7"&amp;MID(SUBSTITUTE(SUBSTITUTE(SUBSTITUTE(SUBSTITUTE(SUBSTITUTE(Клиенты_исходные!D365," ",""),"-",""),"+",""),"(",""),")",""),2,10),SUBSTITUTE(SUBSTITUTE(SUBSTITUTE(SUBSTITUTE(SUBSTITUTE(Клиенты_исходные!D365," ",""),"-",""),"+",""),"(",""),")","")),10,2),IF(LEN(SUBSTITUTE(SUBSTITUTE(SUBSTITUTE(SUBSTITUTE(SUBSTITUTE(Клиенты_исходные!D365," ",""),"-",""),"+",""),"(",""),")",""))=10,"+7 ("&amp;MID(SUBSTITUTE(SUBSTITUTE(SUBSTITUTE(SUBSTITUTE(SUBSTITUTE(Клиенты_исходные!D365," ",""),"-",""),"+",""),"(",""),")",""),1,3)&amp;") "&amp;MID(SUBSTITUTE(SUBSTITUTE(SUBSTITUTE(SUBSTITUTE(SUBSTITUTE(Клиенты_исходные!D365," ",""),"-",""),"+",""),"(",""),")",""),4,3)&amp;"-"&amp;MID(SUBSTITUTE(SUBSTITUTE(SUBSTITUTE(SUBSTITUTE(SUBSTITUTE(Клиенты_исходные!D365," ",""),"-",""),"+",""),"(",""),")",""),6,2)&amp;"-"&amp;MID(SUBSTITUTE(SUBSTITUTE(SUBSTITUTE(SUBSTITUTE(SUBSTITUTE(Клиенты_исходные!D365," ",""),"-",""),"+",""),"(",""),")",""),8,2),Клиенты_исходные!D365)))</f>
        <v xml:space="preserve">+7 (903) 789-01-23</v>
      </c>
      <c r="E365" t="str">
        <f>IF(ISBLANK(Клиенты_исходные!E365),"",IF(ISNUMBER(FIND(".",MID(Клиенты_исходные!E365,FIND("@",Клиенты_исходные!E365)+1,255))),Клиенты_исходные!E365,IF(ISNUMBER(FIND("gmail",Клиенты_исходные!E365)),Клиенты_исходные!E365&amp;".com",Клиенты_исходные!E365&amp;".ru")))</f>
        <v>kiryanov@mail.ru</v>
      </c>
      <c r="F365" t="str">
        <f>IFERROR(VLOOKUP(Клиенты_исходные!F365,Справочники!$J$2:$K$50,2,FALSE),Клиенты_исходные!F365)</f>
        <v>Балашиха</v>
      </c>
      <c r="G365" s="8">
        <f>IFERROR(IF(ISNUMBER(FIND(".",Клиенты_исходные!G365)),DATE(RIGHT(Клиенты_исходные!G365,4),MID(Клиенты_исходные!G365,4,2),LEFT(Клиенты_исходные!G365,2)),DATE(LEFT(Клиенты_исходные!G365,4),MID(Клиенты_исходные!G365,6,2),RIGHT(Клиенты_исходные!G365,2))),Клиенты_исходные!G365)</f>
        <v>48245</v>
      </c>
      <c r="H365">
        <f t="shared" ca="1" si="64"/>
        <v>50</v>
      </c>
      <c r="I365" t="str">
        <f t="shared" si="65"/>
        <v>OK</v>
      </c>
      <c r="J365" t="str">
        <f t="shared" si="66"/>
        <v>OK</v>
      </c>
    </row>
    <row r="366">
      <c r="A366" t="str">
        <f>Клиенты_исходные!A366</f>
        <v>C0365</v>
      </c>
      <c r="B366" t="str">
        <f>PROPER(TRIM(Клиенты_исходные!B366))</f>
        <v xml:space="preserve">Басырова Ирина Сергеевна</v>
      </c>
      <c r="C366" s="8">
        <f>IFERROR(IF(ISNUMBER(FIND(".",Клиенты_исходные!C366)),DATE(RIGHT(Клиенты_исходные!C366,4),MID(Клиенты_исходные!C366,4,2),LEFT(Клиенты_исходные!C366,2)),DATE(LEFT(Клиенты_исходные!C366,4),MID(Клиенты_исходные!C366,6,2),RIGHT(Клиенты_исходные!C366,2))),Клиенты_исходные!C366)</f>
        <v>32805</v>
      </c>
      <c r="D366" t="str">
        <f>IF(ISBLANK(Клиенты_исходные!D366),"",IF(LEN(SUBSTITUTE(SUBSTITUTE(SUBSTITUTE(SUBSTITUTE(SUBSTITUTE(Клиенты_исходные!D366," ",""),"-",""),"+",""),"(",""),")",""))=11,"+7 ("&amp;MID(IF(LEFT(SUBSTITUTE(SUBSTITUTE(SUBSTITUTE(SUBSTITUTE(SUBSTITUTE(Клиенты_исходные!D366," ",""),"-",""),"+",""),"(",""),")",""))="8","7"&amp;MID(SUBSTITUTE(SUBSTITUTE(SUBSTITUTE(SUBSTITUTE(SUBSTITUTE(Клиенты_исходные!D366," ",""),"-",""),"+",""),"(",""),")",""),2,10),SUBSTITUTE(SUBSTITUTE(SUBSTITUTE(SUBSTITUTE(SUBSTITUTE(Клиенты_исходные!D366," ",""),"-",""),"+",""),"(",""),")","")),2,3)&amp;") "&amp;MID(IF(LEFT(SUBSTITUTE(SUBSTITUTE(SUBSTITUTE(SUBSTITUTE(SUBSTITUTE(Клиенты_исходные!D366," ",""),"-",""),"+",""),"(",""),")",""))="8","7"&amp;MID(SUBSTITUTE(SUBSTITUTE(SUBSTITUTE(SUBSTITUTE(SUBSTITUTE(Клиенты_исходные!D366," ",""),"-",""),"+",""),"(",""),")",""),2,10),SUBSTITUTE(SUBSTITUTE(SUBSTITUTE(SUBSTITUTE(SUBSTITUTE(Клиенты_исходные!D366," ",""),"-",""),"+",""),"(",""),")","")),5,3)&amp;"-"&amp;MID(IF(LEFT(SUBSTITUTE(SUBSTITUTE(SUBSTITUTE(SUBSTITUTE(SUBSTITUTE(Клиенты_исходные!D366," ",""),"-",""),"+",""),"(",""),")",""))="8","7"&amp;MID(SUBSTITUTE(SUBSTITUTE(SUBSTITUTE(SUBSTITUTE(SUBSTITUTE(Клиенты_исходные!D366," ",""),"-",""),"+",""),"(",""),")",""),2,10),SUBSTITUTE(SUBSTITUTE(SUBSTITUTE(SUBSTITUTE(SUBSTITUTE(Клиенты_исходные!D366," ",""),"-",""),"+",""),"(",""),")","")),8,2)&amp;"-"&amp;MID(IF(LEFT(SUBSTITUTE(SUBSTITUTE(SUBSTITUTE(SUBSTITUTE(SUBSTITUTE(Клиенты_исходные!D366," ",""),"-",""),"+",""),"(",""),")",""))="8","7"&amp;MID(SUBSTITUTE(SUBSTITUTE(SUBSTITUTE(SUBSTITUTE(SUBSTITUTE(Клиенты_исходные!D366," ",""),"-",""),"+",""),"(",""),")",""),2,10),SUBSTITUTE(SUBSTITUTE(SUBSTITUTE(SUBSTITUTE(SUBSTITUTE(Клиенты_исходные!D366," ",""),"-",""),"+",""),"(",""),")","")),10,2),IF(LEN(SUBSTITUTE(SUBSTITUTE(SUBSTITUTE(SUBSTITUTE(SUBSTITUTE(Клиенты_исходные!D366," ",""),"-",""),"+",""),"(",""),")",""))=10,"+7 ("&amp;MID(SUBSTITUTE(SUBSTITUTE(SUBSTITUTE(SUBSTITUTE(SUBSTITUTE(Клиенты_исходные!D366," ",""),"-",""),"+",""),"(",""),")",""),1,3)&amp;") "&amp;MID(SUBSTITUTE(SUBSTITUTE(SUBSTITUTE(SUBSTITUTE(SUBSTITUTE(Клиенты_исходные!D366," ",""),"-",""),"+",""),"(",""),")",""),4,3)&amp;"-"&amp;MID(SUBSTITUTE(SUBSTITUTE(SUBSTITUTE(SUBSTITUTE(SUBSTITUTE(Клиенты_исходные!D366," ",""),"-",""),"+",""),"(",""),")",""),6,2)&amp;"-"&amp;MID(SUBSTITUTE(SUBSTITUTE(SUBSTITUTE(SUBSTITUTE(SUBSTITUTE(Клиенты_исходные!D366," ",""),"-",""),"+",""),"(",""),")",""),8,2),Клиенты_исходные!D366)))</f>
        <v xml:space="preserve">+7 (903) 789-01-23</v>
      </c>
      <c r="E366" t="str">
        <f>IF(ISBLANK(Клиенты_исходные!E366),"",IF(ISNUMBER(FIND(".",MID(Клиенты_исходные!E366,FIND("@",Клиенты_исходные!E366)+1,255))),Клиенты_исходные!E366,IF(ISNUMBER(FIND("gmail",Клиенты_исходные!E366)),Клиенты_исходные!E366&amp;".com",Клиенты_исходные!E366&amp;".ru")))</f>
        <v>basyrova@yandex.ru</v>
      </c>
      <c r="F366" t="str">
        <f>IFERROR(VLOOKUP(Клиенты_исходные!F366,Справочники!$J$2:$K$50,2,FALSE),Клиенты_исходные!F366)</f>
        <v>Сургут</v>
      </c>
      <c r="G366" s="8">
        <f>IFERROR(IF(ISNUMBER(FIND(".",Клиенты_исходные!G366)),DATE(RIGHT(Клиенты_исходные!G366,4),MID(Клиенты_исходные!G366,4,2),LEFT(Клиенты_исходные!G366,2)),DATE(LEFT(Клиенты_исходные!G366,4),MID(Клиенты_исходные!G366,6,2),RIGHT(Клиенты_исходные!G366,2))),Клиенты_исходные!G366)</f>
        <v>48254</v>
      </c>
      <c r="H366">
        <f t="shared" ca="1" si="64"/>
        <v>36</v>
      </c>
      <c r="I366" t="str">
        <f t="shared" si="65"/>
        <v>OK</v>
      </c>
      <c r="J366" t="str">
        <f t="shared" si="66"/>
        <v>OK</v>
      </c>
    </row>
    <row r="367">
      <c r="A367" t="str">
        <f>Клиенты_исходные!A367</f>
        <v>C0366</v>
      </c>
      <c r="B367" t="str">
        <f>PROPER(TRIM(Клиенты_исходные!B367))</f>
        <v xml:space="preserve">Фокин Александр Николаевич</v>
      </c>
      <c r="C367" s="8">
        <f>IFERROR(IF(ISNUMBER(FIND(".",Клиенты_исходные!C367)),DATE(RIGHT(Клиенты_исходные!C367,4),MID(Клиенты_исходные!C367,4,2),LEFT(Клиенты_исходные!C367,2)),DATE(LEFT(Клиенты_исходные!C367,4),MID(Клиенты_исходные!C367,6,2),RIGHT(Клиенты_исходные!C367,2))),Клиенты_исходные!C367)</f>
        <v>29804</v>
      </c>
      <c r="D367" t="str">
        <f>IF(ISBLANK(Клиенты_исходные!D367),"",IF(LEN(SUBSTITUTE(SUBSTITUTE(SUBSTITUTE(SUBSTITUTE(SUBSTITUTE(Клиенты_исходные!D367," ",""),"-",""),"+",""),"(",""),")",""))=11,"+7 ("&amp;MID(IF(LEFT(SUBSTITUTE(SUBSTITUTE(SUBSTITUTE(SUBSTITUTE(SUBSTITUTE(Клиенты_исходные!D367," ",""),"-",""),"+",""),"(",""),")",""))="8","7"&amp;MID(SUBSTITUTE(SUBSTITUTE(SUBSTITUTE(SUBSTITUTE(SUBSTITUTE(Клиенты_исходные!D367," ",""),"-",""),"+",""),"(",""),")",""),2,10),SUBSTITUTE(SUBSTITUTE(SUBSTITUTE(SUBSTITUTE(SUBSTITUTE(Клиенты_исходные!D367," ",""),"-",""),"+",""),"(",""),")","")),2,3)&amp;") "&amp;MID(IF(LEFT(SUBSTITUTE(SUBSTITUTE(SUBSTITUTE(SUBSTITUTE(SUBSTITUTE(Клиенты_исходные!D367," ",""),"-",""),"+",""),"(",""),")",""))="8","7"&amp;MID(SUBSTITUTE(SUBSTITUTE(SUBSTITUTE(SUBSTITUTE(SUBSTITUTE(Клиенты_исходные!D367," ",""),"-",""),"+",""),"(",""),")",""),2,10),SUBSTITUTE(SUBSTITUTE(SUBSTITUTE(SUBSTITUTE(SUBSTITUTE(Клиенты_исходные!D367," ",""),"-",""),"+",""),"(",""),")","")),5,3)&amp;"-"&amp;MID(IF(LEFT(SUBSTITUTE(SUBSTITUTE(SUBSTITUTE(SUBSTITUTE(SUBSTITUTE(Клиенты_исходные!D367," ",""),"-",""),"+",""),"(",""),")",""))="8","7"&amp;MID(SUBSTITUTE(SUBSTITUTE(SUBSTITUTE(SUBSTITUTE(SUBSTITUTE(Клиенты_исходные!D367," ",""),"-",""),"+",""),"(",""),")",""),2,10),SUBSTITUTE(SUBSTITUTE(SUBSTITUTE(SUBSTITUTE(SUBSTITUTE(Клиенты_исходные!D367," ",""),"-",""),"+",""),"(",""),")","")),8,2)&amp;"-"&amp;MID(IF(LEFT(SUBSTITUTE(SUBSTITUTE(SUBSTITUTE(SUBSTITUTE(SUBSTITUTE(Клиенты_исходные!D367," ",""),"-",""),"+",""),"(",""),")",""))="8","7"&amp;MID(SUBSTITUTE(SUBSTITUTE(SUBSTITUTE(SUBSTITUTE(SUBSTITUTE(Клиенты_исходные!D367," ",""),"-",""),"+",""),"(",""),")",""),2,10),SUBSTITUTE(SUBSTITUTE(SUBSTITUTE(SUBSTITUTE(SUBSTITUTE(Клиенты_исходные!D367," ",""),"-",""),"+",""),"(",""),")","")),10,2),IF(LEN(SUBSTITUTE(SUBSTITUTE(SUBSTITUTE(SUBSTITUTE(SUBSTITUTE(Клиенты_исходные!D367," ",""),"-",""),"+",""),"(",""),")",""))=10,"+7 ("&amp;MID(SUBSTITUTE(SUBSTITUTE(SUBSTITUTE(SUBSTITUTE(SUBSTITUTE(Клиенты_исходные!D367," ",""),"-",""),"+",""),"(",""),")",""),1,3)&amp;") "&amp;MID(SUBSTITUTE(SUBSTITUTE(SUBSTITUTE(SUBSTITUTE(SUBSTITUTE(Клиенты_исходные!D367," ",""),"-",""),"+",""),"(",""),")",""),4,3)&amp;"-"&amp;MID(SUBSTITUTE(SUBSTITUTE(SUBSTITUTE(SUBSTITUTE(SUBSTITUTE(Клиенты_исходные!D367," ",""),"-",""),"+",""),"(",""),")",""),6,2)&amp;"-"&amp;MID(SUBSTITUTE(SUBSTITUTE(SUBSTITUTE(SUBSTITUTE(SUBSTITUTE(Клиенты_исходные!D367," ",""),"-",""),"+",""),"(",""),")",""),8,2),Клиенты_исходные!D367)))</f>
        <v xml:space="preserve">+7 (903) 890-12-34</v>
      </c>
      <c r="E367" t="str">
        <f>IF(ISBLANK(Клиенты_исходные!E367),"",IF(ISNUMBER(FIND(".",MID(Клиенты_исходные!E367,FIND("@",Клиенты_исходные!E367)+1,255))),Клиенты_исходные!E367,IF(ISNUMBER(FIND("gmail",Клиенты_исходные!E367)),Клиенты_исходные!E367&amp;".com",Клиенты_исходные!E367&amp;".ru")))</f>
        <v>fokin@gmail.com</v>
      </c>
      <c r="F367" t="str">
        <f>IFERROR(VLOOKUP(Клиенты_исходные!F367,Справочники!$J$2:$K$50,2,FALSE),Клиенты_исходные!F367)</f>
        <v>Армавир</v>
      </c>
      <c r="G367" s="8">
        <f>IFERROR(IF(ISNUMBER(FIND(".",Клиенты_исходные!G367)),DATE(RIGHT(Клиенты_исходные!G367,4),MID(Клиенты_исходные!G367,4,2),LEFT(Клиенты_исходные!G367,2)),DATE(LEFT(Клиенты_исходные!G367,4),MID(Клиенты_исходные!G367,6,2),RIGHT(Клиенты_исходные!G367,2))),Клиенты_исходные!G367)</f>
        <v>48254</v>
      </c>
      <c r="H367">
        <f t="shared" ca="1" si="64"/>
        <v>45</v>
      </c>
      <c r="I367" t="str">
        <f t="shared" si="65"/>
        <v>OK</v>
      </c>
      <c r="J367" t="str">
        <f t="shared" si="66"/>
        <v>OK</v>
      </c>
    </row>
    <row r="368">
      <c r="A368" t="str">
        <f>Клиенты_исходные!A368</f>
        <v>C0367</v>
      </c>
      <c r="B368" t="str">
        <f>PROPER(TRIM(Клиенты_исходные!B368))</f>
        <v xml:space="preserve">Рябинина Екатерина Алексеевна</v>
      </c>
      <c r="C368" s="8">
        <f>IFERROR(IF(ISNUMBER(FIND(".",Клиенты_исходные!C368)),DATE(RIGHT(Клиенты_исходные!C368,4),MID(Клиенты_исходные!C368,4,2),LEFT(Клиенты_исходные!C368,2)),DATE(LEFT(Клиенты_исходные!C368,4),MID(Клиенты_исходные!C368,6,2),RIGHT(Клиенты_исходные!C368,2))),Клиенты_исходные!C368)</f>
        <v>26651</v>
      </c>
      <c r="D368" t="str">
        <f>IF(ISBLANK(Клиенты_исходные!D368),"",IF(LEN(SUBSTITUTE(SUBSTITUTE(SUBSTITUTE(SUBSTITUTE(SUBSTITUTE(Клиенты_исходные!D368," ",""),"-",""),"+",""),"(",""),")",""))=11,"+7 ("&amp;MID(IF(LEFT(SUBSTITUTE(SUBSTITUTE(SUBSTITUTE(SUBSTITUTE(SUBSTITUTE(Клиенты_исходные!D368," ",""),"-",""),"+",""),"(",""),")",""))="8","7"&amp;MID(SUBSTITUTE(SUBSTITUTE(SUBSTITUTE(SUBSTITUTE(SUBSTITUTE(Клиенты_исходные!D368," ",""),"-",""),"+",""),"(",""),")",""),2,10),SUBSTITUTE(SUBSTITUTE(SUBSTITUTE(SUBSTITUTE(SUBSTITUTE(Клиенты_исходные!D368," ",""),"-",""),"+",""),"(",""),")","")),2,3)&amp;") "&amp;MID(IF(LEFT(SUBSTITUTE(SUBSTITUTE(SUBSTITUTE(SUBSTITUTE(SUBSTITUTE(Клиенты_исходные!D368," ",""),"-",""),"+",""),"(",""),")",""))="8","7"&amp;MID(SUBSTITUTE(SUBSTITUTE(SUBSTITUTE(SUBSTITUTE(SUBSTITUTE(Клиенты_исходные!D368," ",""),"-",""),"+",""),"(",""),")",""),2,10),SUBSTITUTE(SUBSTITUTE(SUBSTITUTE(SUBSTITUTE(SUBSTITUTE(Клиенты_исходные!D368," ",""),"-",""),"+",""),"(",""),")","")),5,3)&amp;"-"&amp;MID(IF(LEFT(SUBSTITUTE(SUBSTITUTE(SUBSTITUTE(SUBSTITUTE(SUBSTITUTE(Клиенты_исходные!D368," ",""),"-",""),"+",""),"(",""),")",""))="8","7"&amp;MID(SUBSTITUTE(SUBSTITUTE(SUBSTITUTE(SUBSTITUTE(SUBSTITUTE(Клиенты_исходные!D368," ",""),"-",""),"+",""),"(",""),")",""),2,10),SUBSTITUTE(SUBSTITUTE(SUBSTITUTE(SUBSTITUTE(SUBSTITUTE(Клиенты_исходные!D368," ",""),"-",""),"+",""),"(",""),")","")),8,2)&amp;"-"&amp;MID(IF(LEFT(SUBSTITUTE(SUBSTITUTE(SUBSTITUTE(SUBSTITUTE(SUBSTITUTE(Клиенты_исходные!D368," ",""),"-",""),"+",""),"(",""),")",""))="8","7"&amp;MID(SUBSTITUTE(SUBSTITUTE(SUBSTITUTE(SUBSTITUTE(SUBSTITUTE(Клиенты_исходные!D368," ",""),"-",""),"+",""),"(",""),")",""),2,10),SUBSTITUTE(SUBSTITUTE(SUBSTITUTE(SUBSTITUTE(SUBSTITUTE(Клиенты_исходные!D368," ",""),"-",""),"+",""),"(",""),")","")),10,2),IF(LEN(SUBSTITUTE(SUBSTITUTE(SUBSTITUTE(SUBSTITUTE(SUBSTITUTE(Клиенты_исходные!D368," ",""),"-",""),"+",""),"(",""),")",""))=10,"+7 ("&amp;MID(SUBSTITUTE(SUBSTITUTE(SUBSTITUTE(SUBSTITUTE(SUBSTITUTE(Клиенты_исходные!D368," ",""),"-",""),"+",""),"(",""),")",""),1,3)&amp;") "&amp;MID(SUBSTITUTE(SUBSTITUTE(SUBSTITUTE(SUBSTITUTE(SUBSTITUTE(Клиенты_исходные!D368," ",""),"-",""),"+",""),"(",""),")",""),4,3)&amp;"-"&amp;MID(SUBSTITUTE(SUBSTITUTE(SUBSTITUTE(SUBSTITUTE(SUBSTITUTE(Клиенты_исходные!D368," ",""),"-",""),"+",""),"(",""),")",""),6,2)&amp;"-"&amp;MID(SUBSTITUTE(SUBSTITUTE(SUBSTITUTE(SUBSTITUTE(SUBSTITUTE(Клиенты_исходные!D368," ",""),"-",""),"+",""),"(",""),")",""),8,2),Клиенты_исходные!D368)))</f>
        <v xml:space="preserve">+7 (903) 890-12-34</v>
      </c>
      <c r="E368" t="str">
        <f>IF(ISBLANK(Клиенты_исходные!E368),"",IF(ISNUMBER(FIND(".",MID(Клиенты_исходные!E368,FIND("@",Клиенты_исходные!E368)+1,255))),Клиенты_исходные!E368,IF(ISNUMBER(FIND("gmail",Клиенты_исходные!E368)),Клиенты_исходные!E368&amp;".com",Клиенты_исходные!E368&amp;".ru")))</f>
        <v>ryabinina@mail.ru</v>
      </c>
      <c r="F368" t="str">
        <f>IFERROR(VLOOKUP(Клиенты_исходные!F368,Справочники!$J$2:$K$50,2,FALSE),Клиенты_исходные!F368)</f>
        <v>Волжский</v>
      </c>
      <c r="G368" s="8">
        <f>IFERROR(IF(ISNUMBER(FIND(".",Клиенты_исходные!G368)),DATE(RIGHT(Клиенты_исходные!G368,4),MID(Клиенты_исходные!G368,4,2),LEFT(Клиенты_исходные!G368,2)),DATE(LEFT(Клиенты_исходные!G368,4),MID(Клиенты_исходные!G368,6,2),RIGHT(Клиенты_исходные!G368,2))),Клиенты_исходные!G368)</f>
        <v>48274</v>
      </c>
      <c r="H368">
        <f t="shared" ca="1" si="64"/>
        <v>53</v>
      </c>
      <c r="I368" t="str">
        <f t="shared" si="65"/>
        <v>OK</v>
      </c>
      <c r="J368" t="str">
        <f t="shared" si="66"/>
        <v>OK</v>
      </c>
    </row>
    <row r="369">
      <c r="A369" t="str">
        <f>Клиенты_исходные!A369</f>
        <v>C0368</v>
      </c>
      <c r="B369" t="str">
        <f>PROPER(TRIM(Клиенты_исходные!B369))</f>
        <v xml:space="preserve">Смолин Илья Викторович</v>
      </c>
      <c r="C369" s="8">
        <f>IFERROR(IF(ISNUMBER(FIND(".",Клиенты_исходные!C369)),DATE(RIGHT(Клиенты_исходные!C369,4),MID(Клиенты_исходные!C369,4,2),LEFT(Клиенты_исходные!C369,2)),DATE(LEFT(Клиенты_исходные!C369,4),MID(Клиенты_исходные!C369,6,2),RIGHT(Клиенты_исходные!C369,2))),Клиенты_исходные!C369)</f>
        <v>31207</v>
      </c>
      <c r="D369" t="str">
        <f>IF(ISBLANK(Клиенты_исходные!D369),"",IF(LEN(SUBSTITUTE(SUBSTITUTE(SUBSTITUTE(SUBSTITUTE(SUBSTITUTE(Клиенты_исходные!D369," ",""),"-",""),"+",""),"(",""),")",""))=11,"+7 ("&amp;MID(IF(LEFT(SUBSTITUTE(SUBSTITUTE(SUBSTITUTE(SUBSTITUTE(SUBSTITUTE(Клиенты_исходные!D369," ",""),"-",""),"+",""),"(",""),")",""))="8","7"&amp;MID(SUBSTITUTE(SUBSTITUTE(SUBSTITUTE(SUBSTITUTE(SUBSTITUTE(Клиенты_исходные!D369," ",""),"-",""),"+",""),"(",""),")",""),2,10),SUBSTITUTE(SUBSTITUTE(SUBSTITUTE(SUBSTITUTE(SUBSTITUTE(Клиенты_исходные!D369," ",""),"-",""),"+",""),"(",""),")","")),2,3)&amp;") "&amp;MID(IF(LEFT(SUBSTITUTE(SUBSTITUTE(SUBSTITUTE(SUBSTITUTE(SUBSTITUTE(Клиенты_исходные!D369," ",""),"-",""),"+",""),"(",""),")",""))="8","7"&amp;MID(SUBSTITUTE(SUBSTITUTE(SUBSTITUTE(SUBSTITUTE(SUBSTITUTE(Клиенты_исходные!D369," ",""),"-",""),"+",""),"(",""),")",""),2,10),SUBSTITUTE(SUBSTITUTE(SUBSTITUTE(SUBSTITUTE(SUBSTITUTE(Клиенты_исходные!D369," ",""),"-",""),"+",""),"(",""),")","")),5,3)&amp;"-"&amp;MID(IF(LEFT(SUBSTITUTE(SUBSTITUTE(SUBSTITUTE(SUBSTITUTE(SUBSTITUTE(Клиенты_исходные!D369," ",""),"-",""),"+",""),"(",""),")",""))="8","7"&amp;MID(SUBSTITUTE(SUBSTITUTE(SUBSTITUTE(SUBSTITUTE(SUBSTITUTE(Клиенты_исходные!D369," ",""),"-",""),"+",""),"(",""),")",""),2,10),SUBSTITUTE(SUBSTITUTE(SUBSTITUTE(SUBSTITUTE(SUBSTITUTE(Клиенты_исходные!D369," ",""),"-",""),"+",""),"(",""),")","")),8,2)&amp;"-"&amp;MID(IF(LEFT(SUBSTITUTE(SUBSTITUTE(SUBSTITUTE(SUBSTITUTE(SUBSTITUTE(Клиенты_исходные!D369," ",""),"-",""),"+",""),"(",""),")",""))="8","7"&amp;MID(SUBSTITUTE(SUBSTITUTE(SUBSTITUTE(SUBSTITUTE(SUBSTITUTE(Клиенты_исходные!D369," ",""),"-",""),"+",""),"(",""),")",""),2,10),SUBSTITUTE(SUBSTITUTE(SUBSTITUTE(SUBSTITUTE(SUBSTITUTE(Клиенты_исходные!D369," ",""),"-",""),"+",""),"(",""),")","")),10,2),IF(LEN(SUBSTITUTE(SUBSTITUTE(SUBSTITUTE(SUBSTITUTE(SUBSTITUTE(Клиенты_исходные!D369," ",""),"-",""),"+",""),"(",""),")",""))=10,"+7 ("&amp;MID(SUBSTITUTE(SUBSTITUTE(SUBSTITUTE(SUBSTITUTE(SUBSTITUTE(Клиенты_исходные!D369," ",""),"-",""),"+",""),"(",""),")",""),1,3)&amp;") "&amp;MID(SUBSTITUTE(SUBSTITUTE(SUBSTITUTE(SUBSTITUTE(SUBSTITUTE(Клиенты_исходные!D369," ",""),"-",""),"+",""),"(",""),")",""),4,3)&amp;"-"&amp;MID(SUBSTITUTE(SUBSTITUTE(SUBSTITUTE(SUBSTITUTE(SUBSTITUTE(Клиенты_исходные!D369," ",""),"-",""),"+",""),"(",""),")",""),6,2)&amp;"-"&amp;MID(SUBSTITUTE(SUBSTITUTE(SUBSTITUTE(SUBSTITUTE(SUBSTITUTE(Клиенты_исходные!D369," ",""),"-",""),"+",""),"(",""),")",""),8,2),Клиенты_исходные!D369)))</f>
        <v xml:space="preserve">+7 (903) 890-12-34</v>
      </c>
      <c r="E369" t="str">
        <f>IF(ISBLANK(Клиенты_исходные!E369),"",IF(ISNUMBER(FIND(".",MID(Клиенты_исходные!E369,FIND("@",Клиенты_исходные!E369)+1,255))),Клиенты_исходные!E369,IF(ISNUMBER(FIND("gmail",Клиенты_исходные!E369)),Клиенты_исходные!E369&amp;".com",Клиенты_исходные!E369&amp;".ru")))</f>
        <v>smolin@yandex.ru</v>
      </c>
      <c r="F369" t="str">
        <f>IFERROR(VLOOKUP(Клиенты_исходные!F369,Справочники!$J$2:$K$50,2,FALSE),Клиенты_исходные!F369)</f>
        <v>Шахты</v>
      </c>
      <c r="G369" s="8">
        <f>IFERROR(IF(ISNUMBER(FIND(".",Клиенты_исходные!G369)),DATE(RIGHT(Клиенты_исходные!G369,4),MID(Клиенты_исходные!G369,4,2),LEFT(Клиенты_исходные!G369,2)),DATE(LEFT(Клиенты_исходные!G369,4),MID(Клиенты_исходные!G369,6,2),RIGHT(Клиенты_исходные!G369,2))),Клиенты_исходные!G369)</f>
        <v>48288</v>
      </c>
      <c r="H369">
        <f t="shared" ca="1" si="64"/>
        <v>41</v>
      </c>
      <c r="I369" t="str">
        <f t="shared" si="65"/>
        <v>OK</v>
      </c>
      <c r="J369" t="str">
        <f t="shared" si="66"/>
        <v>OK</v>
      </c>
    </row>
    <row r="370">
      <c r="A370" t="str">
        <f>Клиенты_исходные!A370</f>
        <v>C0369</v>
      </c>
      <c r="B370" t="str">
        <f>PROPER(TRIM(Клиенты_исходные!B370))</f>
        <v xml:space="preserve">Труфанова Мария Сергеевна</v>
      </c>
      <c r="C370" s="8">
        <f>IFERROR(IF(ISNUMBER(FIND(".",Клиенты_исходные!C370)),DATE(RIGHT(Клиенты_исходные!C370,4),MID(Клиенты_исходные!C370,4,2),LEFT(Клиенты_исходные!C370,2)),DATE(LEFT(Клиенты_исходные!C370,4),MID(Клиенты_исходные!C370,6,2),RIGHT(Клиенты_исходные!C370,2))),Клиенты_исходные!C370)</f>
        <v>33260</v>
      </c>
      <c r="D370" t="str">
        <f>IF(ISBLANK(Клиенты_исходные!D370),"",IF(LEN(SUBSTITUTE(SUBSTITUTE(SUBSTITUTE(SUBSTITUTE(SUBSTITUTE(Клиенты_исходные!D370," ",""),"-",""),"+",""),"(",""),")",""))=11,"+7 ("&amp;MID(IF(LEFT(SUBSTITUTE(SUBSTITUTE(SUBSTITUTE(SUBSTITUTE(SUBSTITUTE(Клиенты_исходные!D370," ",""),"-",""),"+",""),"(",""),")",""))="8","7"&amp;MID(SUBSTITUTE(SUBSTITUTE(SUBSTITUTE(SUBSTITUTE(SUBSTITUTE(Клиенты_исходные!D370," ",""),"-",""),"+",""),"(",""),")",""),2,10),SUBSTITUTE(SUBSTITUTE(SUBSTITUTE(SUBSTITUTE(SUBSTITUTE(Клиенты_исходные!D370," ",""),"-",""),"+",""),"(",""),")","")),2,3)&amp;") "&amp;MID(IF(LEFT(SUBSTITUTE(SUBSTITUTE(SUBSTITUTE(SUBSTITUTE(SUBSTITUTE(Клиенты_исходные!D370," ",""),"-",""),"+",""),"(",""),")",""))="8","7"&amp;MID(SUBSTITUTE(SUBSTITUTE(SUBSTITUTE(SUBSTITUTE(SUBSTITUTE(Клиенты_исходные!D370," ",""),"-",""),"+",""),"(",""),")",""),2,10),SUBSTITUTE(SUBSTITUTE(SUBSTITUTE(SUBSTITUTE(SUBSTITUTE(Клиенты_исходные!D370," ",""),"-",""),"+",""),"(",""),")","")),5,3)&amp;"-"&amp;MID(IF(LEFT(SUBSTITUTE(SUBSTITUTE(SUBSTITUTE(SUBSTITUTE(SUBSTITUTE(Клиенты_исходные!D370," ",""),"-",""),"+",""),"(",""),")",""))="8","7"&amp;MID(SUBSTITUTE(SUBSTITUTE(SUBSTITUTE(SUBSTITUTE(SUBSTITUTE(Клиенты_исходные!D370," ",""),"-",""),"+",""),"(",""),")",""),2,10),SUBSTITUTE(SUBSTITUTE(SUBSTITUTE(SUBSTITUTE(SUBSTITUTE(Клиенты_исходные!D370," ",""),"-",""),"+",""),"(",""),")","")),8,2)&amp;"-"&amp;MID(IF(LEFT(SUBSTITUTE(SUBSTITUTE(SUBSTITUTE(SUBSTITUTE(SUBSTITUTE(Клиенты_исходные!D370," ",""),"-",""),"+",""),"(",""),")",""))="8","7"&amp;MID(SUBSTITUTE(SUBSTITUTE(SUBSTITUTE(SUBSTITUTE(SUBSTITUTE(Клиенты_исходные!D370," ",""),"-",""),"+",""),"(",""),")",""),2,10),SUBSTITUTE(SUBSTITUTE(SUBSTITUTE(SUBSTITUTE(SUBSTITUTE(Клиенты_исходные!D370," ",""),"-",""),"+",""),"(",""),")","")),10,2),IF(LEN(SUBSTITUTE(SUBSTITUTE(SUBSTITUTE(SUBSTITUTE(SUBSTITUTE(Клиенты_исходные!D370," ",""),"-",""),"+",""),"(",""),")",""))=10,"+7 ("&amp;MID(SUBSTITUTE(SUBSTITUTE(SUBSTITUTE(SUBSTITUTE(SUBSTITUTE(Клиенты_исходные!D370," ",""),"-",""),"+",""),"(",""),")",""),1,3)&amp;") "&amp;MID(SUBSTITUTE(SUBSTITUTE(SUBSTITUTE(SUBSTITUTE(SUBSTITUTE(Клиенты_исходные!D370," ",""),"-",""),"+",""),"(",""),")",""),4,3)&amp;"-"&amp;MID(SUBSTITUTE(SUBSTITUTE(SUBSTITUTE(SUBSTITUTE(SUBSTITUTE(Клиенты_исходные!D370," ",""),"-",""),"+",""),"(",""),")",""),6,2)&amp;"-"&amp;MID(SUBSTITUTE(SUBSTITUTE(SUBSTITUTE(SUBSTITUTE(SUBSTITUTE(Клиенты_исходные!D370," ",""),"-",""),"+",""),"(",""),")",""),8,2),Клиенты_исходные!D370)))</f>
        <v xml:space="preserve">+7 (903) 901-23-45</v>
      </c>
      <c r="E370" t="str">
        <f>IF(ISBLANK(Клиенты_исходные!E370),"",IF(ISNUMBER(FIND(".",MID(Клиенты_исходные!E370,FIND("@",Клиенты_исходные!E370)+1,255))),Клиенты_исходные!E370,IF(ISNUMBER(FIND("gmail",Клиенты_исходные!E370)),Клиенты_исходные!E370&amp;".com",Клиенты_исходные!E370&amp;".ru")))</f>
        <v>trufanova@gmail.com</v>
      </c>
      <c r="F370" t="str">
        <f>IFERROR(VLOOKUP(Клиенты_исходные!F370,Справочники!$J$2:$K$50,2,FALSE),Клиенты_исходные!F370)</f>
        <v>Златоуст</v>
      </c>
      <c r="G370" s="8">
        <f>IFERROR(IF(ISNUMBER(FIND(".",Клиенты_исходные!G370)),DATE(RIGHT(Клиенты_исходные!G370,4),MID(Клиенты_исходные!G370,4,2),LEFT(Клиенты_исходные!G370,2)),DATE(LEFT(Клиенты_исходные!G370,4),MID(Клиенты_исходные!G370,6,2),RIGHT(Клиенты_исходные!G370,2))),Клиенты_исходные!G370)</f>
        <v>48288</v>
      </c>
      <c r="H370">
        <f t="shared" ca="1" si="64"/>
        <v>35</v>
      </c>
      <c r="I370" t="str">
        <f t="shared" si="65"/>
        <v>OK</v>
      </c>
      <c r="J370" t="str">
        <f t="shared" si="66"/>
        <v>OK</v>
      </c>
    </row>
    <row r="371">
      <c r="A371" t="str">
        <f>Клиенты_исходные!A371</f>
        <v>C0370</v>
      </c>
      <c r="B371" t="str">
        <f>PROPER(TRIM(Клиенты_исходные!B371))</f>
        <v xml:space="preserve">Кулиш Андрей Олегович</v>
      </c>
      <c r="C371" s="8">
        <f>IFERROR(IF(ISNUMBER(FIND(".",Клиенты_исходные!C371)),DATE(RIGHT(Клиенты_исходные!C371,4),MID(Клиенты_исходные!C371,4,2),LEFT(Клиенты_исходные!C371,2)),DATE(LEFT(Клиенты_исходные!C371,4),MID(Клиенты_исходные!C371,6,2),RIGHT(Клиенты_исходные!C371,2))),Клиенты_исходные!C371)</f>
        <v>28382</v>
      </c>
      <c r="D371" t="str">
        <f>IF(ISBLANK(Клиенты_исходные!D371),"",IF(LEN(SUBSTITUTE(SUBSTITUTE(SUBSTITUTE(SUBSTITUTE(SUBSTITUTE(Клиенты_исходные!D371," ",""),"-",""),"+",""),"(",""),")",""))=11,"+7 ("&amp;MID(IF(LEFT(SUBSTITUTE(SUBSTITUTE(SUBSTITUTE(SUBSTITUTE(SUBSTITUTE(Клиенты_исходные!D371," ",""),"-",""),"+",""),"(",""),")",""))="8","7"&amp;MID(SUBSTITUTE(SUBSTITUTE(SUBSTITUTE(SUBSTITUTE(SUBSTITUTE(Клиенты_исходные!D371," ",""),"-",""),"+",""),"(",""),")",""),2,10),SUBSTITUTE(SUBSTITUTE(SUBSTITUTE(SUBSTITUTE(SUBSTITUTE(Клиенты_исходные!D371," ",""),"-",""),"+",""),"(",""),")","")),2,3)&amp;") "&amp;MID(IF(LEFT(SUBSTITUTE(SUBSTITUTE(SUBSTITUTE(SUBSTITUTE(SUBSTITUTE(Клиенты_исходные!D371," ",""),"-",""),"+",""),"(",""),")",""))="8","7"&amp;MID(SUBSTITUTE(SUBSTITUTE(SUBSTITUTE(SUBSTITUTE(SUBSTITUTE(Клиенты_исходные!D371," ",""),"-",""),"+",""),"(",""),")",""),2,10),SUBSTITUTE(SUBSTITUTE(SUBSTITUTE(SUBSTITUTE(SUBSTITUTE(Клиенты_исходные!D371," ",""),"-",""),"+",""),"(",""),")","")),5,3)&amp;"-"&amp;MID(IF(LEFT(SUBSTITUTE(SUBSTITUTE(SUBSTITUTE(SUBSTITUTE(SUBSTITUTE(Клиенты_исходные!D371," ",""),"-",""),"+",""),"(",""),")",""))="8","7"&amp;MID(SUBSTITUTE(SUBSTITUTE(SUBSTITUTE(SUBSTITUTE(SUBSTITUTE(Клиенты_исходные!D371," ",""),"-",""),"+",""),"(",""),")",""),2,10),SUBSTITUTE(SUBSTITUTE(SUBSTITUTE(SUBSTITUTE(SUBSTITUTE(Клиенты_исходные!D371," ",""),"-",""),"+",""),"(",""),")","")),8,2)&amp;"-"&amp;MID(IF(LEFT(SUBSTITUTE(SUBSTITUTE(SUBSTITUTE(SUBSTITUTE(SUBSTITUTE(Клиенты_исходные!D371," ",""),"-",""),"+",""),"(",""),")",""))="8","7"&amp;MID(SUBSTITUTE(SUBSTITUTE(SUBSTITUTE(SUBSTITUTE(SUBSTITUTE(Клиенты_исходные!D371," ",""),"-",""),"+",""),"(",""),")",""),2,10),SUBSTITUTE(SUBSTITUTE(SUBSTITUTE(SUBSTITUTE(SUBSTITUTE(Клиенты_исходные!D371," ",""),"-",""),"+",""),"(",""),")","")),10,2),IF(LEN(SUBSTITUTE(SUBSTITUTE(SUBSTITUTE(SUBSTITUTE(SUBSTITUTE(Клиенты_исходные!D371," ",""),"-",""),"+",""),"(",""),")",""))=10,"+7 ("&amp;MID(SUBSTITUTE(SUBSTITUTE(SUBSTITUTE(SUBSTITUTE(SUBSTITUTE(Клиенты_исходные!D371," ",""),"-",""),"+",""),"(",""),")",""),1,3)&amp;") "&amp;MID(SUBSTITUTE(SUBSTITUTE(SUBSTITUTE(SUBSTITUTE(SUBSTITUTE(Клиенты_исходные!D371," ",""),"-",""),"+",""),"(",""),")",""),4,3)&amp;"-"&amp;MID(SUBSTITUTE(SUBSTITUTE(SUBSTITUTE(SUBSTITUTE(SUBSTITUTE(Клиенты_исходные!D371," ",""),"-",""),"+",""),"(",""),")",""),6,2)&amp;"-"&amp;MID(SUBSTITUTE(SUBSTITUTE(SUBSTITUTE(SUBSTITUTE(SUBSTITUTE(Клиенты_исходные!D371," ",""),"-",""),"+",""),"(",""),")",""),8,2),Клиенты_исходные!D371)))</f>
        <v xml:space="preserve">+7 (903) 901-23-45</v>
      </c>
      <c r="E371" t="str">
        <f>IF(ISBLANK(Клиенты_исходные!E371),"",IF(ISNUMBER(FIND(".",MID(Клиенты_исходные!E371,FIND("@",Клиенты_исходные!E371)+1,255))),Клиенты_исходные!E371,IF(ISNUMBER(FIND("gmail",Клиенты_исходные!E371)),Клиенты_исходные!E371&amp;".com",Клиенты_исходные!E371&amp;".ru")))</f>
        <v>kulish@mail.ru</v>
      </c>
      <c r="F371" t="str">
        <f>IFERROR(VLOOKUP(Клиенты_исходные!F371,Справочники!$J$2:$K$50,2,FALSE),Клиенты_исходные!F371)</f>
        <v>Ангарск</v>
      </c>
      <c r="G371" s="8">
        <f>IFERROR(IF(ISNUMBER(FIND(".",Клиенты_исходные!G371)),DATE(RIGHT(Клиенты_исходные!G371,4),MID(Клиенты_исходные!G371,4,2),LEFT(Клиенты_исходные!G371,2)),DATE(LEFT(Клиенты_исходные!G371,4),MID(Клиенты_исходные!G371,6,2),RIGHT(Клиенты_исходные!G371,2))),Клиенты_исходные!G371)</f>
        <v>48305</v>
      </c>
      <c r="H371">
        <f t="shared" ca="1" si="64"/>
        <v>49</v>
      </c>
      <c r="I371" t="str">
        <f t="shared" si="65"/>
        <v>OK</v>
      </c>
      <c r="J371" t="str">
        <f t="shared" si="66"/>
        <v>OK</v>
      </c>
    </row>
    <row r="372">
      <c r="A372" t="str">
        <f>Клиенты_исходные!A372</f>
        <v>C0371</v>
      </c>
      <c r="B372" t="str">
        <f>PROPER(TRIM(Клиенты_исходные!B372))</f>
        <v xml:space="preserve">Евсеева Ольга Павловна</v>
      </c>
      <c r="C372" s="8">
        <f>IFERROR(IF(ISNUMBER(FIND(".",Клиенты_исходные!C372)),DATE(RIGHT(Клиенты_исходные!C372,4),MID(Клиенты_исходные!C372,4,2),LEFT(Клиенты_исходные!C372,2)),DATE(LEFT(Клиенты_исходные!C372,4),MID(Клиенты_исходные!C372,6,2),RIGHT(Клиенты_исходные!C372,2))),Клиенты_исходные!C372)</f>
        <v>32259</v>
      </c>
      <c r="D372" t="str">
        <f>IF(ISBLANK(Клиенты_исходные!D372),"",IF(LEN(SUBSTITUTE(SUBSTITUTE(SUBSTITUTE(SUBSTITUTE(SUBSTITUTE(Клиенты_исходные!D372," ",""),"-",""),"+",""),"(",""),")",""))=11,"+7 ("&amp;MID(IF(LEFT(SUBSTITUTE(SUBSTITUTE(SUBSTITUTE(SUBSTITUTE(SUBSTITUTE(Клиенты_исходные!D372," ",""),"-",""),"+",""),"(",""),")",""))="8","7"&amp;MID(SUBSTITUTE(SUBSTITUTE(SUBSTITUTE(SUBSTITUTE(SUBSTITUTE(Клиенты_исходные!D372," ",""),"-",""),"+",""),"(",""),")",""),2,10),SUBSTITUTE(SUBSTITUTE(SUBSTITUTE(SUBSTITUTE(SUBSTITUTE(Клиенты_исходные!D372," ",""),"-",""),"+",""),"(",""),")","")),2,3)&amp;") "&amp;MID(IF(LEFT(SUBSTITUTE(SUBSTITUTE(SUBSTITUTE(SUBSTITUTE(SUBSTITUTE(Клиенты_исходные!D372," ",""),"-",""),"+",""),"(",""),")",""))="8","7"&amp;MID(SUBSTITUTE(SUBSTITUTE(SUBSTITUTE(SUBSTITUTE(SUBSTITUTE(Клиенты_исходные!D372," ",""),"-",""),"+",""),"(",""),")",""),2,10),SUBSTITUTE(SUBSTITUTE(SUBSTITUTE(SUBSTITUTE(SUBSTITUTE(Клиенты_исходные!D372," ",""),"-",""),"+",""),"(",""),")","")),5,3)&amp;"-"&amp;MID(IF(LEFT(SUBSTITUTE(SUBSTITUTE(SUBSTITUTE(SUBSTITUTE(SUBSTITUTE(Клиенты_исходные!D372," ",""),"-",""),"+",""),"(",""),")",""))="8","7"&amp;MID(SUBSTITUTE(SUBSTITUTE(SUBSTITUTE(SUBSTITUTE(SUBSTITUTE(Клиенты_исходные!D372," ",""),"-",""),"+",""),"(",""),")",""),2,10),SUBSTITUTE(SUBSTITUTE(SUBSTITUTE(SUBSTITUTE(SUBSTITUTE(Клиенты_исходные!D372," ",""),"-",""),"+",""),"(",""),")","")),8,2)&amp;"-"&amp;MID(IF(LEFT(SUBSTITUTE(SUBSTITUTE(SUBSTITUTE(SUBSTITUTE(SUBSTITUTE(Клиенты_исходные!D372," ",""),"-",""),"+",""),"(",""),")",""))="8","7"&amp;MID(SUBSTITUTE(SUBSTITUTE(SUBSTITUTE(SUBSTITUTE(SUBSTITUTE(Клиенты_исходные!D372," ",""),"-",""),"+",""),"(",""),")",""),2,10),SUBSTITUTE(SUBSTITUTE(SUBSTITUTE(SUBSTITUTE(SUBSTITUTE(Клиенты_исходные!D372," ",""),"-",""),"+",""),"(",""),")","")),10,2),IF(LEN(SUBSTITUTE(SUBSTITUTE(SUBSTITUTE(SUBSTITUTE(SUBSTITUTE(Клиенты_исходные!D372," ",""),"-",""),"+",""),"(",""),")",""))=10,"+7 ("&amp;MID(SUBSTITUTE(SUBSTITUTE(SUBSTITUTE(SUBSTITUTE(SUBSTITUTE(Клиенты_исходные!D372," ",""),"-",""),"+",""),"(",""),")",""),1,3)&amp;") "&amp;MID(SUBSTITUTE(SUBSTITUTE(SUBSTITUTE(SUBSTITUTE(SUBSTITUTE(Клиенты_исходные!D372," ",""),"-",""),"+",""),"(",""),")",""),4,3)&amp;"-"&amp;MID(SUBSTITUTE(SUBSTITUTE(SUBSTITUTE(SUBSTITUTE(SUBSTITUTE(Клиенты_исходные!D372," ",""),"-",""),"+",""),"(",""),")",""),6,2)&amp;"-"&amp;MID(SUBSTITUTE(SUBSTITUTE(SUBSTITUTE(SUBSTITUTE(SUBSTITUTE(Клиенты_исходные!D372," ",""),"-",""),"+",""),"(",""),")",""),8,2),Клиенты_исходные!D372)))</f>
        <v xml:space="preserve">+7 (903) 901-23-45</v>
      </c>
      <c r="E372" t="str">
        <f>IF(ISBLANK(Клиенты_исходные!E372),"",IF(ISNUMBER(FIND(".",MID(Клиенты_исходные!E372,FIND("@",Клиенты_исходные!E372)+1,255))),Клиенты_исходные!E372,IF(ISNUMBER(FIND("gmail",Клиенты_исходные!E372)),Клиенты_исходные!E372&amp;".com",Клиенты_исходные!E372&amp;".ru")))</f>
        <v>evseeva@yandex.ru</v>
      </c>
      <c r="F372" t="str">
        <f>IFERROR(VLOOKUP(Клиенты_исходные!F372,Справочники!$J$2:$K$50,2,FALSE),Клиенты_исходные!F372)</f>
        <v>Озёрск</v>
      </c>
      <c r="G372" s="8">
        <f>IFERROR(IF(ISNUMBER(FIND(".",Клиенты_исходные!G372)),DATE(RIGHT(Клиенты_исходные!G372,4),MID(Клиенты_исходные!G372,4,2),LEFT(Клиенты_исходные!G372,2)),DATE(LEFT(Клиенты_исходные!G372,4),MID(Клиенты_исходные!G372,6,2),RIGHT(Клиенты_исходные!G372,2))),Клиенты_исходные!G372)</f>
        <v>48314</v>
      </c>
      <c r="H372">
        <f t="shared" ca="1" si="64"/>
        <v>38</v>
      </c>
      <c r="I372" t="str">
        <f t="shared" si="65"/>
        <v>OK</v>
      </c>
      <c r="J372" t="str">
        <f t="shared" si="66"/>
        <v>OK</v>
      </c>
    </row>
    <row r="373">
      <c r="A373" t="str">
        <f>Клиенты_исходные!A373</f>
        <v>C0372</v>
      </c>
      <c r="B373" t="str">
        <f>PROPER(TRIM(Клиенты_исходные!B373))</f>
        <v xml:space="preserve">Малков Денис Александрович</v>
      </c>
      <c r="C373" s="8">
        <f>IFERROR(IF(ISNUMBER(FIND(".",Клиенты_исходные!C373)),DATE(RIGHT(Клиенты_исходные!C373,4),MID(Клиенты_исходные!C373,4,2),LEFT(Клиенты_исходные!C373,2)),DATE(LEFT(Клиенты_исходные!C373,4),MID(Клиенты_исходные!C373,6,2),RIGHT(Клиенты_исходные!C373,2))),Клиенты_исходные!C373)</f>
        <v>29555</v>
      </c>
      <c r="D373" t="str">
        <f>IF(ISBLANK(Клиенты_исходные!D373),"",IF(LEN(SUBSTITUTE(SUBSTITUTE(SUBSTITUTE(SUBSTITUTE(SUBSTITUTE(Клиенты_исходные!D373," ",""),"-",""),"+",""),"(",""),")",""))=11,"+7 ("&amp;MID(IF(LEFT(SUBSTITUTE(SUBSTITUTE(SUBSTITUTE(SUBSTITUTE(SUBSTITUTE(Клиенты_исходные!D373," ",""),"-",""),"+",""),"(",""),")",""))="8","7"&amp;MID(SUBSTITUTE(SUBSTITUTE(SUBSTITUTE(SUBSTITUTE(SUBSTITUTE(Клиенты_исходные!D373," ",""),"-",""),"+",""),"(",""),")",""),2,10),SUBSTITUTE(SUBSTITUTE(SUBSTITUTE(SUBSTITUTE(SUBSTITUTE(Клиенты_исходные!D373," ",""),"-",""),"+",""),"(",""),")","")),2,3)&amp;") "&amp;MID(IF(LEFT(SUBSTITUTE(SUBSTITUTE(SUBSTITUTE(SUBSTITUTE(SUBSTITUTE(Клиенты_исходные!D373," ",""),"-",""),"+",""),"(",""),")",""))="8","7"&amp;MID(SUBSTITUTE(SUBSTITUTE(SUBSTITUTE(SUBSTITUTE(SUBSTITUTE(Клиенты_исходные!D373," ",""),"-",""),"+",""),"(",""),")",""),2,10),SUBSTITUTE(SUBSTITUTE(SUBSTITUTE(SUBSTITUTE(SUBSTITUTE(Клиенты_исходные!D373," ",""),"-",""),"+",""),"(",""),")","")),5,3)&amp;"-"&amp;MID(IF(LEFT(SUBSTITUTE(SUBSTITUTE(SUBSTITUTE(SUBSTITUTE(SUBSTITUTE(Клиенты_исходные!D373," ",""),"-",""),"+",""),"(",""),")",""))="8","7"&amp;MID(SUBSTITUTE(SUBSTITUTE(SUBSTITUTE(SUBSTITUTE(SUBSTITUTE(Клиенты_исходные!D373," ",""),"-",""),"+",""),"(",""),")",""),2,10),SUBSTITUTE(SUBSTITUTE(SUBSTITUTE(SUBSTITUTE(SUBSTITUTE(Клиенты_исходные!D373," ",""),"-",""),"+",""),"(",""),")","")),8,2)&amp;"-"&amp;MID(IF(LEFT(SUBSTITUTE(SUBSTITUTE(SUBSTITUTE(SUBSTITUTE(SUBSTITUTE(Клиенты_исходные!D373," ",""),"-",""),"+",""),"(",""),")",""))="8","7"&amp;MID(SUBSTITUTE(SUBSTITUTE(SUBSTITUTE(SUBSTITUTE(SUBSTITUTE(Клиенты_исходные!D373," ",""),"-",""),"+",""),"(",""),")",""),2,10),SUBSTITUTE(SUBSTITUTE(SUBSTITUTE(SUBSTITUTE(SUBSTITUTE(Клиенты_исходные!D373," ",""),"-",""),"+",""),"(",""),")","")),10,2),IF(LEN(SUBSTITUTE(SUBSTITUTE(SUBSTITUTE(SUBSTITUTE(SUBSTITUTE(Клиенты_исходные!D373," ",""),"-",""),"+",""),"(",""),")",""))=10,"+7 ("&amp;MID(SUBSTITUTE(SUBSTITUTE(SUBSTITUTE(SUBSTITUTE(SUBSTITUTE(Клиенты_исходные!D373," ",""),"-",""),"+",""),"(",""),")",""),1,3)&amp;") "&amp;MID(SUBSTITUTE(SUBSTITUTE(SUBSTITUTE(SUBSTITUTE(SUBSTITUTE(Клиенты_исходные!D373," ",""),"-",""),"+",""),"(",""),")",""),4,3)&amp;"-"&amp;MID(SUBSTITUTE(SUBSTITUTE(SUBSTITUTE(SUBSTITUTE(SUBSTITUTE(Клиенты_исходные!D373," ",""),"-",""),"+",""),"(",""),")",""),6,2)&amp;"-"&amp;MID(SUBSTITUTE(SUBSTITUTE(SUBSTITUTE(SUBSTITUTE(SUBSTITUTE(Клиенты_исходные!D373," ",""),"-",""),"+",""),"(",""),")",""),8,2),Клиенты_исходные!D373)))</f>
        <v xml:space="preserve">+7 (903) 012-34-56</v>
      </c>
      <c r="E373" t="str">
        <f>IF(ISBLANK(Клиенты_исходные!E373),"",IF(ISNUMBER(FIND(".",MID(Клиенты_исходные!E373,FIND("@",Клиенты_исходные!E373)+1,255))),Клиенты_исходные!E373,IF(ISNUMBER(FIND("gmail",Клиенты_исходные!E373)),Клиенты_исходные!E373&amp;".com",Клиенты_исходные!E373&amp;".ru")))</f>
        <v>malkov@gmail.com</v>
      </c>
      <c r="F373" t="str">
        <f>IFERROR(VLOOKUP(Клиенты_исходные!F373,Справочники!$J$2:$K$50,2,FALSE),Клиенты_исходные!F373)</f>
        <v>Орел</v>
      </c>
      <c r="G373" s="8">
        <f>IFERROR(IF(ISNUMBER(FIND(".",Клиенты_исходные!G373)),DATE(RIGHT(Клиенты_исходные!G373,4),MID(Клиенты_исходные!G373,4,2),LEFT(Клиенты_исходные!G373,2)),DATE(LEFT(Клиенты_исходные!G373,4),MID(Клиенты_исходные!G373,6,2),RIGHT(Клиенты_исходные!G373,2))),Клиенты_исходные!G373)</f>
        <v>48314</v>
      </c>
      <c r="H373">
        <f t="shared" ca="1" si="64"/>
        <v>45</v>
      </c>
      <c r="I373" t="str">
        <f t="shared" si="65"/>
        <v>OK</v>
      </c>
      <c r="J373" t="str">
        <f t="shared" si="66"/>
        <v>OK</v>
      </c>
    </row>
    <row r="374">
      <c r="A374" t="str">
        <f>Клиенты_исходные!A374</f>
        <v>C0373</v>
      </c>
      <c r="B374" t="str">
        <f>PROPER(TRIM(Клиенты_исходные!B374))</f>
        <v xml:space="preserve">Курепина Наталья Владимировна</v>
      </c>
      <c r="C374" s="8">
        <f>IFERROR(IF(ISNUMBER(FIND(".",Клиенты_исходные!C374)),DATE(RIGHT(Клиенты_исходные!C374,4),MID(Клиенты_исходные!C374,4,2),LEFT(Клиенты_исходные!C374,2)),DATE(LEFT(Клиенты_исходные!C374,4),MID(Клиенты_исходные!C374,6,2),RIGHT(Клиенты_исходные!C374,2))),Клиенты_исходные!C374)</f>
        <v>27221</v>
      </c>
      <c r="D374" t="str">
        <f>IF(ISBLANK(Клиенты_исходные!D374),"",IF(LEN(SUBSTITUTE(SUBSTITUTE(SUBSTITUTE(SUBSTITUTE(SUBSTITUTE(Клиенты_исходные!D374," ",""),"-",""),"+",""),"(",""),")",""))=11,"+7 ("&amp;MID(IF(LEFT(SUBSTITUTE(SUBSTITUTE(SUBSTITUTE(SUBSTITUTE(SUBSTITUTE(Клиенты_исходные!D374," ",""),"-",""),"+",""),"(",""),")",""))="8","7"&amp;MID(SUBSTITUTE(SUBSTITUTE(SUBSTITUTE(SUBSTITUTE(SUBSTITUTE(Клиенты_исходные!D374," ",""),"-",""),"+",""),"(",""),")",""),2,10),SUBSTITUTE(SUBSTITUTE(SUBSTITUTE(SUBSTITUTE(SUBSTITUTE(Клиенты_исходные!D374," ",""),"-",""),"+",""),"(",""),")","")),2,3)&amp;") "&amp;MID(IF(LEFT(SUBSTITUTE(SUBSTITUTE(SUBSTITUTE(SUBSTITUTE(SUBSTITUTE(Клиенты_исходные!D374," ",""),"-",""),"+",""),"(",""),")",""))="8","7"&amp;MID(SUBSTITUTE(SUBSTITUTE(SUBSTITUTE(SUBSTITUTE(SUBSTITUTE(Клиенты_исходные!D374," ",""),"-",""),"+",""),"(",""),")",""),2,10),SUBSTITUTE(SUBSTITUTE(SUBSTITUTE(SUBSTITUTE(SUBSTITUTE(Клиенты_исходные!D374," ",""),"-",""),"+",""),"(",""),")","")),5,3)&amp;"-"&amp;MID(IF(LEFT(SUBSTITUTE(SUBSTITUTE(SUBSTITUTE(SUBSTITUTE(SUBSTITUTE(Клиенты_исходные!D374," ",""),"-",""),"+",""),"(",""),")",""))="8","7"&amp;MID(SUBSTITUTE(SUBSTITUTE(SUBSTITUTE(SUBSTITUTE(SUBSTITUTE(Клиенты_исходные!D374," ",""),"-",""),"+",""),"(",""),")",""),2,10),SUBSTITUTE(SUBSTITUTE(SUBSTITUTE(SUBSTITUTE(SUBSTITUTE(Клиенты_исходные!D374," ",""),"-",""),"+",""),"(",""),")","")),8,2)&amp;"-"&amp;MID(IF(LEFT(SUBSTITUTE(SUBSTITUTE(SUBSTITUTE(SUBSTITUTE(SUBSTITUTE(Клиенты_исходные!D374," ",""),"-",""),"+",""),"(",""),")",""))="8","7"&amp;MID(SUBSTITUTE(SUBSTITUTE(SUBSTITUTE(SUBSTITUTE(SUBSTITUTE(Клиенты_исходные!D374," ",""),"-",""),"+",""),"(",""),")",""),2,10),SUBSTITUTE(SUBSTITUTE(SUBSTITUTE(SUBSTITUTE(SUBSTITUTE(Клиенты_исходные!D374," ",""),"-",""),"+",""),"(",""),")","")),10,2),IF(LEN(SUBSTITUTE(SUBSTITUTE(SUBSTITUTE(SUBSTITUTE(SUBSTITUTE(Клиенты_исходные!D374," ",""),"-",""),"+",""),"(",""),")",""))=10,"+7 ("&amp;MID(SUBSTITUTE(SUBSTITUTE(SUBSTITUTE(SUBSTITUTE(SUBSTITUTE(Клиенты_исходные!D374," ",""),"-",""),"+",""),"(",""),")",""),1,3)&amp;") "&amp;MID(SUBSTITUTE(SUBSTITUTE(SUBSTITUTE(SUBSTITUTE(SUBSTITUTE(Клиенты_исходные!D374," ",""),"-",""),"+",""),"(",""),")",""),4,3)&amp;"-"&amp;MID(SUBSTITUTE(SUBSTITUTE(SUBSTITUTE(SUBSTITUTE(SUBSTITUTE(Клиенты_исходные!D374," ",""),"-",""),"+",""),"(",""),")",""),6,2)&amp;"-"&amp;MID(SUBSTITUTE(SUBSTITUTE(SUBSTITUTE(SUBSTITUTE(SUBSTITUTE(Клиенты_исходные!D374," ",""),"-",""),"+",""),"(",""),")",""),8,2),Клиенты_исходные!D374)))</f>
        <v xml:space="preserve">+7 (903) 012-34-56</v>
      </c>
      <c r="E374" t="str">
        <f>IF(ISBLANK(Клиенты_исходные!E374),"",IF(ISNUMBER(FIND(".",MID(Клиенты_исходные!E374,FIND("@",Клиенты_исходные!E374)+1,255))),Клиенты_исходные!E374,IF(ISNUMBER(FIND("gmail",Клиенты_исходные!E374)),Клиенты_исходные!E374&amp;".com",Клиенты_исходные!E374&amp;".ru")))</f>
        <v>kurepina@mail.ru</v>
      </c>
      <c r="F374" t="str">
        <f>IFERROR(VLOOKUP(Клиенты_исходные!F374,Справочники!$J$2:$K$50,2,FALSE),Клиенты_исходные!F374)</f>
        <v>Якутск</v>
      </c>
      <c r="G374" s="8">
        <f>IFERROR(IF(ISNUMBER(FIND(".",Клиенты_исходные!G374)),DATE(RIGHT(Клиенты_исходные!G374,4),MID(Клиенты_исходные!G374,4,2),LEFT(Клиенты_исходные!G374,2)),DATE(LEFT(Клиенты_исходные!G374,4),MID(Клиенты_исходные!G374,6,2),RIGHT(Клиенты_исходные!G374,2))),Клиенты_исходные!G374)</f>
        <v>48335</v>
      </c>
      <c r="H374">
        <f t="shared" ca="1" si="64"/>
        <v>52</v>
      </c>
      <c r="I374" t="str">
        <f t="shared" si="65"/>
        <v>OK</v>
      </c>
      <c r="J374" t="str">
        <f t="shared" si="66"/>
        <v>OK</v>
      </c>
    </row>
    <row r="375">
      <c r="A375" t="str">
        <f>Клиенты_исходные!A375</f>
        <v>C0374</v>
      </c>
      <c r="B375" t="str">
        <f>PROPER(TRIM(Клиенты_исходные!B375))</f>
        <v xml:space="preserve">Меркушев Илья Юрьевич</v>
      </c>
      <c r="C375" s="8">
        <f>IFERROR(IF(ISNUMBER(FIND(".",Клиенты_исходные!C375)),DATE(RIGHT(Клиенты_исходные!C375,4),MID(Клиенты_исходные!C375,4,2),LEFT(Клиенты_исходные!C375,2)),DATE(LEFT(Клиенты_исходные!C375,4),MID(Клиенты_исходные!C375,6,2),RIGHT(Клиенты_исходные!C375,2))),Клиенты_исходные!C375)</f>
        <v>31476</v>
      </c>
      <c r="D375" t="str">
        <f>IF(ISBLANK(Клиенты_исходные!D375),"",IF(LEN(SUBSTITUTE(SUBSTITUTE(SUBSTITUTE(SUBSTITUTE(SUBSTITUTE(Клиенты_исходные!D375," ",""),"-",""),"+",""),"(",""),")",""))=11,"+7 ("&amp;MID(IF(LEFT(SUBSTITUTE(SUBSTITUTE(SUBSTITUTE(SUBSTITUTE(SUBSTITUTE(Клиенты_исходные!D375," ",""),"-",""),"+",""),"(",""),")",""))="8","7"&amp;MID(SUBSTITUTE(SUBSTITUTE(SUBSTITUTE(SUBSTITUTE(SUBSTITUTE(Клиенты_исходные!D375," ",""),"-",""),"+",""),"(",""),")",""),2,10),SUBSTITUTE(SUBSTITUTE(SUBSTITUTE(SUBSTITUTE(SUBSTITUTE(Клиенты_исходные!D375," ",""),"-",""),"+",""),"(",""),")","")),2,3)&amp;") "&amp;MID(IF(LEFT(SUBSTITUTE(SUBSTITUTE(SUBSTITUTE(SUBSTITUTE(SUBSTITUTE(Клиенты_исходные!D375," ",""),"-",""),"+",""),"(",""),")",""))="8","7"&amp;MID(SUBSTITUTE(SUBSTITUTE(SUBSTITUTE(SUBSTITUTE(SUBSTITUTE(Клиенты_исходные!D375," ",""),"-",""),"+",""),"(",""),")",""),2,10),SUBSTITUTE(SUBSTITUTE(SUBSTITUTE(SUBSTITUTE(SUBSTITUTE(Клиенты_исходные!D375," ",""),"-",""),"+",""),"(",""),")","")),5,3)&amp;"-"&amp;MID(IF(LEFT(SUBSTITUTE(SUBSTITUTE(SUBSTITUTE(SUBSTITUTE(SUBSTITUTE(Клиенты_исходные!D375," ",""),"-",""),"+",""),"(",""),")",""))="8","7"&amp;MID(SUBSTITUTE(SUBSTITUTE(SUBSTITUTE(SUBSTITUTE(SUBSTITUTE(Клиенты_исходные!D375," ",""),"-",""),"+",""),"(",""),")",""),2,10),SUBSTITUTE(SUBSTITUTE(SUBSTITUTE(SUBSTITUTE(SUBSTITUTE(Клиенты_исходные!D375," ",""),"-",""),"+",""),"(",""),")","")),8,2)&amp;"-"&amp;MID(IF(LEFT(SUBSTITUTE(SUBSTITUTE(SUBSTITUTE(SUBSTITUTE(SUBSTITUTE(Клиенты_исходные!D375," ",""),"-",""),"+",""),"(",""),")",""))="8","7"&amp;MID(SUBSTITUTE(SUBSTITUTE(SUBSTITUTE(SUBSTITUTE(SUBSTITUTE(Клиенты_исходные!D375," ",""),"-",""),"+",""),"(",""),")",""),2,10),SUBSTITUTE(SUBSTITUTE(SUBSTITUTE(SUBSTITUTE(SUBSTITUTE(Клиенты_исходные!D375," ",""),"-",""),"+",""),"(",""),")","")),10,2),IF(LEN(SUBSTITUTE(SUBSTITUTE(SUBSTITUTE(SUBSTITUTE(SUBSTITUTE(Клиенты_исходные!D375," ",""),"-",""),"+",""),"(",""),")",""))=10,"+7 ("&amp;MID(SUBSTITUTE(SUBSTITUTE(SUBSTITUTE(SUBSTITUTE(SUBSTITUTE(Клиенты_исходные!D375," ",""),"-",""),"+",""),"(",""),")",""),1,3)&amp;") "&amp;MID(SUBSTITUTE(SUBSTITUTE(SUBSTITUTE(SUBSTITUTE(SUBSTITUTE(Клиенты_исходные!D375," ",""),"-",""),"+",""),"(",""),")",""),4,3)&amp;"-"&amp;MID(SUBSTITUTE(SUBSTITUTE(SUBSTITUTE(SUBSTITUTE(SUBSTITUTE(Клиенты_исходные!D375," ",""),"-",""),"+",""),"(",""),")",""),6,2)&amp;"-"&amp;MID(SUBSTITUTE(SUBSTITUTE(SUBSTITUTE(SUBSTITUTE(SUBSTITUTE(Клиенты_исходные!D375," ",""),"-",""),"+",""),"(",""),")",""),8,2),Клиенты_исходные!D375)))</f>
        <v xml:space="preserve">+7 (903) 012-34-56</v>
      </c>
      <c r="E375" t="str">
        <f>IF(ISBLANK(Клиенты_исходные!E375),"",IF(ISNUMBER(FIND(".",MID(Клиенты_исходные!E375,FIND("@",Клиенты_исходные!E375)+1,255))),Клиенты_исходные!E375,IF(ISNUMBER(FIND("gmail",Клиенты_исходные!E375)),Клиенты_исходные!E375&amp;".com",Клиенты_исходные!E375&amp;".ru")))</f>
        <v>merkushev@yandex.ru</v>
      </c>
      <c r="F375" t="str">
        <f>IFERROR(VLOOKUP(Клиенты_исходные!F375,Справочники!$J$2:$K$50,2,FALSE),Клиенты_исходные!F375)</f>
        <v>Чебоксары</v>
      </c>
      <c r="G375" s="8">
        <f>IFERROR(IF(ISNUMBER(FIND(".",Клиенты_исходные!G375)),DATE(RIGHT(Клиенты_исходные!G375,4),MID(Клиенты_исходные!G375,4,2),LEFT(Клиенты_исходные!G375,2)),DATE(LEFT(Клиенты_исходные!G375,4),MID(Клиенты_исходные!G375,6,2),RIGHT(Клиенты_исходные!G375,2))),Клиенты_исходные!G375)</f>
        <v>48349</v>
      </c>
      <c r="H375">
        <f t="shared" ca="1" si="64"/>
        <v>40</v>
      </c>
      <c r="I375" t="str">
        <f t="shared" si="65"/>
        <v>OK</v>
      </c>
      <c r="J375" t="str">
        <f t="shared" si="66"/>
        <v>OK</v>
      </c>
    </row>
    <row r="376">
      <c r="A376" t="str">
        <f>Клиенты_исходные!A376</f>
        <v>C0375</v>
      </c>
      <c r="B376" t="str">
        <f>PROPER(TRIM(Клиенты_исходные!B376))</f>
        <v xml:space="preserve">Панкратова Елена Игоревна</v>
      </c>
      <c r="C376" s="8">
        <f>IFERROR(IF(ISNUMBER(FIND(".",Клиенты_исходные!C376)),DATE(RIGHT(Клиенты_исходные!C376,4),MID(Клиенты_исходные!C376,4,2),LEFT(Клиенты_исходные!C376,2)),DATE(LEFT(Клиенты_исходные!C376,4),MID(Клиенты_исходные!C376,6,2),RIGHT(Клиенты_исходные!C376,2))),Клиенты_исходные!C376)</f>
        <v>33839</v>
      </c>
      <c r="D376" t="str">
        <f>IF(ISBLANK(Клиенты_исходные!D376),"",IF(LEN(SUBSTITUTE(SUBSTITUTE(SUBSTITUTE(SUBSTITUTE(SUBSTITUTE(Клиенты_исходные!D376," ",""),"-",""),"+",""),"(",""),")",""))=11,"+7 ("&amp;MID(IF(LEFT(SUBSTITUTE(SUBSTITUTE(SUBSTITUTE(SUBSTITUTE(SUBSTITUTE(Клиенты_исходные!D376," ",""),"-",""),"+",""),"(",""),")",""))="8","7"&amp;MID(SUBSTITUTE(SUBSTITUTE(SUBSTITUTE(SUBSTITUTE(SUBSTITUTE(Клиенты_исходные!D376," ",""),"-",""),"+",""),"(",""),")",""),2,10),SUBSTITUTE(SUBSTITUTE(SUBSTITUTE(SUBSTITUTE(SUBSTITUTE(Клиенты_исходные!D376," ",""),"-",""),"+",""),"(",""),")","")),2,3)&amp;") "&amp;MID(IF(LEFT(SUBSTITUTE(SUBSTITUTE(SUBSTITUTE(SUBSTITUTE(SUBSTITUTE(Клиенты_исходные!D376," ",""),"-",""),"+",""),"(",""),")",""))="8","7"&amp;MID(SUBSTITUTE(SUBSTITUTE(SUBSTITUTE(SUBSTITUTE(SUBSTITUTE(Клиенты_исходные!D376," ",""),"-",""),"+",""),"(",""),")",""),2,10),SUBSTITUTE(SUBSTITUTE(SUBSTITUTE(SUBSTITUTE(SUBSTITUTE(Клиенты_исходные!D376," ",""),"-",""),"+",""),"(",""),")","")),5,3)&amp;"-"&amp;MID(IF(LEFT(SUBSTITUTE(SUBSTITUTE(SUBSTITUTE(SUBSTITUTE(SUBSTITUTE(Клиенты_исходные!D376," ",""),"-",""),"+",""),"(",""),")",""))="8","7"&amp;MID(SUBSTITUTE(SUBSTITUTE(SUBSTITUTE(SUBSTITUTE(SUBSTITUTE(Клиенты_исходные!D376," ",""),"-",""),"+",""),"(",""),")",""),2,10),SUBSTITUTE(SUBSTITUTE(SUBSTITUTE(SUBSTITUTE(SUBSTITUTE(Клиенты_исходные!D376," ",""),"-",""),"+",""),"(",""),")","")),8,2)&amp;"-"&amp;MID(IF(LEFT(SUBSTITUTE(SUBSTITUTE(SUBSTITUTE(SUBSTITUTE(SUBSTITUTE(Клиенты_исходные!D376," ",""),"-",""),"+",""),"(",""),")",""))="8","7"&amp;MID(SUBSTITUTE(SUBSTITUTE(SUBSTITUTE(SUBSTITUTE(SUBSTITUTE(Клиенты_исходные!D376," ",""),"-",""),"+",""),"(",""),")",""),2,10),SUBSTITUTE(SUBSTITUTE(SUBSTITUTE(SUBSTITUTE(SUBSTITUTE(Клиенты_исходные!D376," ",""),"-",""),"+",""),"(",""),")","")),10,2),IF(LEN(SUBSTITUTE(SUBSTITUTE(SUBSTITUTE(SUBSTITUTE(SUBSTITUTE(Клиенты_исходные!D376," ",""),"-",""),"+",""),"(",""),")",""))=10,"+7 ("&amp;MID(SUBSTITUTE(SUBSTITUTE(SUBSTITUTE(SUBSTITUTE(SUBSTITUTE(Клиенты_исходные!D376," ",""),"-",""),"+",""),"(",""),")",""),1,3)&amp;") "&amp;MID(SUBSTITUTE(SUBSTITUTE(SUBSTITUTE(SUBSTITUTE(SUBSTITUTE(Клиенты_исходные!D376," ",""),"-",""),"+",""),"(",""),")",""),4,3)&amp;"-"&amp;MID(SUBSTITUTE(SUBSTITUTE(SUBSTITUTE(SUBSTITUTE(SUBSTITUTE(Клиенты_исходные!D376," ",""),"-",""),"+",""),"(",""),")",""),6,2)&amp;"-"&amp;MID(SUBSTITUTE(SUBSTITUTE(SUBSTITUTE(SUBSTITUTE(SUBSTITUTE(Клиенты_исходные!D376," ",""),"-",""),"+",""),"(",""),")",""),8,2),Клиенты_исходные!D376)))</f>
        <v xml:space="preserve">+7 (903) 123-45-67</v>
      </c>
      <c r="E376" t="str">
        <f>IF(ISBLANK(Клиенты_исходные!E376),"",IF(ISNUMBER(FIND(".",MID(Клиенты_исходные!E376,FIND("@",Клиенты_исходные!E376)+1,255))),Клиенты_исходные!E376,IF(ISNUMBER(FIND("gmail",Клиенты_исходные!E376)),Клиенты_исходные!E376&amp;".com",Клиенты_исходные!E376&amp;".ru")))</f>
        <v>pankratova@gmail.com</v>
      </c>
      <c r="F376" t="str">
        <f>IFERROR(VLOOKUP(Клиенты_исходные!F376,Справочники!$J$2:$K$50,2,FALSE),Клиенты_исходные!F376)</f>
        <v>Мурманск</v>
      </c>
      <c r="G376" s="8">
        <f>IFERROR(IF(ISNUMBER(FIND(".",Клиенты_исходные!G376)),DATE(RIGHT(Клиенты_исходные!G376,4),MID(Клиенты_исходные!G376,4,2),LEFT(Клиенты_исходные!G376,2)),DATE(LEFT(Клиенты_исходные!G376,4),MID(Клиенты_исходные!G376,6,2),RIGHT(Клиенты_исходные!G376,2))),Клиенты_исходные!G376)</f>
        <v>48349</v>
      </c>
      <c r="H376">
        <f t="shared" ca="1" si="64"/>
        <v>34</v>
      </c>
      <c r="I376" t="str">
        <f t="shared" si="65"/>
        <v>OK</v>
      </c>
      <c r="J376" t="str">
        <f t="shared" si="66"/>
        <v>OK</v>
      </c>
    </row>
    <row r="377">
      <c r="A377" t="str">
        <f>Клиенты_исходные!A377</f>
        <v>C0376</v>
      </c>
      <c r="B377" t="str">
        <f>PROPER(TRIM(Клиенты_исходные!B377))</f>
        <v xml:space="preserve">Сазонов Олег Викторович</v>
      </c>
      <c r="C377" s="8">
        <f>IFERROR(IF(ISNUMBER(FIND(".",Клиенты_исходные!C377)),DATE(RIGHT(Клиенты_исходные!C377,4),MID(Клиенты_исходные!C377,4,2),LEFT(Клиенты_исходные!C377,2)),DATE(LEFT(Клиенты_исходные!C377,4),MID(Клиенты_исходные!C377,6,2),RIGHT(Клиенты_исходные!C377,2))),Клиенты_исходные!C377)</f>
        <v>27744</v>
      </c>
      <c r="D377" t="str">
        <f>IF(ISBLANK(Клиенты_исходные!D377),"",IF(LEN(SUBSTITUTE(SUBSTITUTE(SUBSTITUTE(SUBSTITUTE(SUBSTITUTE(Клиенты_исходные!D377," ",""),"-",""),"+",""),"(",""),")",""))=11,"+7 ("&amp;MID(IF(LEFT(SUBSTITUTE(SUBSTITUTE(SUBSTITUTE(SUBSTITUTE(SUBSTITUTE(Клиенты_исходные!D377," ",""),"-",""),"+",""),"(",""),")",""))="8","7"&amp;MID(SUBSTITUTE(SUBSTITUTE(SUBSTITUTE(SUBSTITUTE(SUBSTITUTE(Клиенты_исходные!D377," ",""),"-",""),"+",""),"(",""),")",""),2,10),SUBSTITUTE(SUBSTITUTE(SUBSTITUTE(SUBSTITUTE(SUBSTITUTE(Клиенты_исходные!D377," ",""),"-",""),"+",""),"(",""),")","")),2,3)&amp;") "&amp;MID(IF(LEFT(SUBSTITUTE(SUBSTITUTE(SUBSTITUTE(SUBSTITUTE(SUBSTITUTE(Клиенты_исходные!D377," ",""),"-",""),"+",""),"(",""),")",""))="8","7"&amp;MID(SUBSTITUTE(SUBSTITUTE(SUBSTITUTE(SUBSTITUTE(SUBSTITUTE(Клиенты_исходные!D377," ",""),"-",""),"+",""),"(",""),")",""),2,10),SUBSTITUTE(SUBSTITUTE(SUBSTITUTE(SUBSTITUTE(SUBSTITUTE(Клиенты_исходные!D377," ",""),"-",""),"+",""),"(",""),")","")),5,3)&amp;"-"&amp;MID(IF(LEFT(SUBSTITUTE(SUBSTITUTE(SUBSTITUTE(SUBSTITUTE(SUBSTITUTE(Клиенты_исходные!D377," ",""),"-",""),"+",""),"(",""),")",""))="8","7"&amp;MID(SUBSTITUTE(SUBSTITUTE(SUBSTITUTE(SUBSTITUTE(SUBSTITUTE(Клиенты_исходные!D377," ",""),"-",""),"+",""),"(",""),")",""),2,10),SUBSTITUTE(SUBSTITUTE(SUBSTITUTE(SUBSTITUTE(SUBSTITUTE(Клиенты_исходные!D377," ",""),"-",""),"+",""),"(",""),")","")),8,2)&amp;"-"&amp;MID(IF(LEFT(SUBSTITUTE(SUBSTITUTE(SUBSTITUTE(SUBSTITUTE(SUBSTITUTE(Клиенты_исходные!D377," ",""),"-",""),"+",""),"(",""),")",""))="8","7"&amp;MID(SUBSTITUTE(SUBSTITUTE(SUBSTITUTE(SUBSTITUTE(SUBSTITUTE(Клиенты_исходные!D377," ",""),"-",""),"+",""),"(",""),")",""),2,10),SUBSTITUTE(SUBSTITUTE(SUBSTITUTE(SUBSTITUTE(SUBSTITUTE(Клиенты_исходные!D377," ",""),"-",""),"+",""),"(",""),")","")),10,2),IF(LEN(SUBSTITUTE(SUBSTITUTE(SUBSTITUTE(SUBSTITUTE(SUBSTITUTE(Клиенты_исходные!D377," ",""),"-",""),"+",""),"(",""),")",""))=10,"+7 ("&amp;MID(SUBSTITUTE(SUBSTITUTE(SUBSTITUTE(SUBSTITUTE(SUBSTITUTE(Клиенты_исходные!D377," ",""),"-",""),"+",""),"(",""),")",""),1,3)&amp;") "&amp;MID(SUBSTITUTE(SUBSTITUTE(SUBSTITUTE(SUBSTITUTE(SUBSTITUTE(Клиенты_исходные!D377," ",""),"-",""),"+",""),"(",""),")",""),4,3)&amp;"-"&amp;MID(SUBSTITUTE(SUBSTITUTE(SUBSTITUTE(SUBSTITUTE(SUBSTITUTE(Клиенты_исходные!D377," ",""),"-",""),"+",""),"(",""),")",""),6,2)&amp;"-"&amp;MID(SUBSTITUTE(SUBSTITUTE(SUBSTITUTE(SUBSTITUTE(SUBSTITUTE(Клиенты_исходные!D377," ",""),"-",""),"+",""),"(",""),")",""),8,2),Клиенты_исходные!D377)))</f>
        <v xml:space="preserve">+7 (903) 123-45-67</v>
      </c>
      <c r="E377" t="str">
        <f>IF(ISBLANK(Клиенты_исходные!E377),"",IF(ISNUMBER(FIND(".",MID(Клиенты_исходные!E377,FIND("@",Клиенты_исходные!E377)+1,255))),Клиенты_исходные!E377,IF(ISNUMBER(FIND("gmail",Клиенты_исходные!E377)),Клиенты_исходные!E377&amp;".com",Клиенты_исходные!E377&amp;".ru")))</f>
        <v>sazonov@mail.ru</v>
      </c>
      <c r="F377" t="str">
        <f>IFERROR(VLOOKUP(Клиенты_исходные!F377,Справочники!$J$2:$K$50,2,FALSE),Клиенты_исходные!F377)</f>
        <v>Смоленск</v>
      </c>
      <c r="G377" s="8">
        <f>IFERROR(IF(ISNUMBER(FIND(".",Клиенты_исходные!G377)),DATE(RIGHT(Клиенты_исходные!G377,4),MID(Клиенты_исходные!G377,4,2),LEFT(Клиенты_исходные!G377,2)),DATE(LEFT(Клиенты_исходные!G377,4),MID(Клиенты_исходные!G377,6,2),RIGHT(Клиенты_исходные!G377,2))),Клиенты_исходные!G377)</f>
        <v>48366</v>
      </c>
      <c r="H377">
        <f t="shared" ca="1" si="64"/>
        <v>50</v>
      </c>
      <c r="I377" t="str">
        <f t="shared" si="65"/>
        <v>OK</v>
      </c>
      <c r="J377" t="str">
        <f t="shared" si="66"/>
        <v>OK</v>
      </c>
    </row>
    <row r="378">
      <c r="A378" t="str">
        <f>Клиенты_исходные!A378</f>
        <v>C0377</v>
      </c>
      <c r="B378" t="str">
        <f>PROPER(TRIM(Клиенты_исходные!B378))</f>
        <v xml:space="preserve">Князева Светлана Николаевна</v>
      </c>
      <c r="C378" s="8">
        <f>IFERROR(IF(ISNUMBER(FIND(".",Клиенты_исходные!C378)),DATE(RIGHT(Клиенты_исходные!C378,4),MID(Клиенты_исходные!C378,4,2),LEFT(Клиенты_исходные!C378,2)),DATE(LEFT(Клиенты_исходные!C378,4),MID(Клиенты_исходные!C378,6,2),RIGHT(Клиенты_исходные!C378,2))),Клиенты_исходные!C378)</f>
        <v>30616</v>
      </c>
      <c r="D378" t="str">
        <f>IF(ISBLANK(Клиенты_исходные!D378),"",IF(LEN(SUBSTITUTE(SUBSTITUTE(SUBSTITUTE(SUBSTITUTE(SUBSTITUTE(Клиенты_исходные!D378," ",""),"-",""),"+",""),"(",""),")",""))=11,"+7 ("&amp;MID(IF(LEFT(SUBSTITUTE(SUBSTITUTE(SUBSTITUTE(SUBSTITUTE(SUBSTITUTE(Клиенты_исходные!D378," ",""),"-",""),"+",""),"(",""),")",""))="8","7"&amp;MID(SUBSTITUTE(SUBSTITUTE(SUBSTITUTE(SUBSTITUTE(SUBSTITUTE(Клиенты_исходные!D378," ",""),"-",""),"+",""),"(",""),")",""),2,10),SUBSTITUTE(SUBSTITUTE(SUBSTITUTE(SUBSTITUTE(SUBSTITUTE(Клиенты_исходные!D378," ",""),"-",""),"+",""),"(",""),")","")),2,3)&amp;") "&amp;MID(IF(LEFT(SUBSTITUTE(SUBSTITUTE(SUBSTITUTE(SUBSTITUTE(SUBSTITUTE(Клиенты_исходные!D378," ",""),"-",""),"+",""),"(",""),")",""))="8","7"&amp;MID(SUBSTITUTE(SUBSTITUTE(SUBSTITUTE(SUBSTITUTE(SUBSTITUTE(Клиенты_исходные!D378," ",""),"-",""),"+",""),"(",""),")",""),2,10),SUBSTITUTE(SUBSTITUTE(SUBSTITUTE(SUBSTITUTE(SUBSTITUTE(Клиенты_исходные!D378," ",""),"-",""),"+",""),"(",""),")","")),5,3)&amp;"-"&amp;MID(IF(LEFT(SUBSTITUTE(SUBSTITUTE(SUBSTITUTE(SUBSTITUTE(SUBSTITUTE(Клиенты_исходные!D378," ",""),"-",""),"+",""),"(",""),")",""))="8","7"&amp;MID(SUBSTITUTE(SUBSTITUTE(SUBSTITUTE(SUBSTITUTE(SUBSTITUTE(Клиенты_исходные!D378," ",""),"-",""),"+",""),"(",""),")",""),2,10),SUBSTITUTE(SUBSTITUTE(SUBSTITUTE(SUBSTITUTE(SUBSTITUTE(Клиенты_исходные!D378," ",""),"-",""),"+",""),"(",""),")","")),8,2)&amp;"-"&amp;MID(IF(LEFT(SUBSTITUTE(SUBSTITUTE(SUBSTITUTE(SUBSTITUTE(SUBSTITUTE(Клиенты_исходные!D378," ",""),"-",""),"+",""),"(",""),")",""))="8","7"&amp;MID(SUBSTITUTE(SUBSTITUTE(SUBSTITUTE(SUBSTITUTE(SUBSTITUTE(Клиенты_исходные!D378," ",""),"-",""),"+",""),"(",""),")",""),2,10),SUBSTITUTE(SUBSTITUTE(SUBSTITUTE(SUBSTITUTE(SUBSTITUTE(Клиенты_исходные!D378," ",""),"-",""),"+",""),"(",""),")","")),10,2),IF(LEN(SUBSTITUTE(SUBSTITUTE(SUBSTITUTE(SUBSTITUTE(SUBSTITUTE(Клиенты_исходные!D378," ",""),"-",""),"+",""),"(",""),")",""))=10,"+7 ("&amp;MID(SUBSTITUTE(SUBSTITUTE(SUBSTITUTE(SUBSTITUTE(SUBSTITUTE(Клиенты_исходные!D378," ",""),"-",""),"+",""),"(",""),")",""),1,3)&amp;") "&amp;MID(SUBSTITUTE(SUBSTITUTE(SUBSTITUTE(SUBSTITUTE(SUBSTITUTE(Клиенты_исходные!D378," ",""),"-",""),"+",""),"(",""),")",""),4,3)&amp;"-"&amp;MID(SUBSTITUTE(SUBSTITUTE(SUBSTITUTE(SUBSTITUTE(SUBSTITUTE(Клиенты_исходные!D378," ",""),"-",""),"+",""),"(",""),")",""),6,2)&amp;"-"&amp;MID(SUBSTITUTE(SUBSTITUTE(SUBSTITUTE(SUBSTITUTE(SUBSTITUTE(Клиенты_исходные!D378," ",""),"-",""),"+",""),"(",""),")",""),8,2),Клиенты_исходные!D378)))</f>
        <v xml:space="preserve">+7 (903) 123-45-67</v>
      </c>
      <c r="E378" t="str">
        <f>IF(ISBLANK(Клиенты_исходные!E378),"",IF(ISNUMBER(FIND(".",MID(Клиенты_исходные!E378,FIND("@",Клиенты_исходные!E378)+1,255))),Клиенты_исходные!E378,IF(ISNUMBER(FIND("gmail",Клиенты_исходные!E378)),Клиенты_исходные!E378&amp;".com",Клиенты_исходные!E378&amp;".ru")))</f>
        <v>knyazeva@yandex.ru</v>
      </c>
      <c r="F378" t="str">
        <f>IFERROR(VLOOKUP(Клиенты_исходные!F378,Справочники!$J$2:$K$50,2,FALSE),Клиенты_исходные!F378)</f>
        <v>Тула</v>
      </c>
      <c r="G378" s="8">
        <f>IFERROR(IF(ISNUMBER(FIND(".",Клиенты_исходные!G378)),DATE(RIGHT(Клиенты_исходные!G378,4),MID(Клиенты_исходные!G378,4,2),LEFT(Клиенты_исходные!G378,2)),DATE(LEFT(Клиенты_исходные!G378,4),MID(Клиенты_исходные!G378,6,2),RIGHT(Клиенты_исходные!G378,2))),Клиенты_исходные!G378)</f>
        <v>48375</v>
      </c>
      <c r="H378">
        <f t="shared" ca="1" si="64"/>
        <v>42</v>
      </c>
      <c r="I378" t="str">
        <f t="shared" si="65"/>
        <v>OK</v>
      </c>
      <c r="J378" t="str">
        <f t="shared" si="66"/>
        <v>OK</v>
      </c>
    </row>
    <row r="379">
      <c r="A379" t="str">
        <f>Клиенты_исходные!A379</f>
        <v>C0378</v>
      </c>
      <c r="B379" t="str">
        <f>PROPER(TRIM(Клиенты_исходные!B379))</f>
        <v xml:space="preserve">Куприенко Денис Павлович</v>
      </c>
      <c r="C379" s="8">
        <f>IFERROR(IF(ISNUMBER(FIND(".",Клиенты_исходные!C379)),DATE(RIGHT(Клиенты_исходные!C379,4),MID(Клиенты_исходные!C379,4,2),LEFT(Клиенты_исходные!C379,2)),DATE(LEFT(Клиенты_исходные!C379,4),MID(Клиенты_исходные!C379,6,2),RIGHT(Клиенты_исходные!C379,2))),Клиенты_исходные!C379)</f>
        <v>33038</v>
      </c>
      <c r="D379" t="str">
        <f>IF(ISBLANK(Клиенты_исходные!D379),"",IF(LEN(SUBSTITUTE(SUBSTITUTE(SUBSTITUTE(SUBSTITUTE(SUBSTITUTE(Клиенты_исходные!D379," ",""),"-",""),"+",""),"(",""),")",""))=11,"+7 ("&amp;MID(IF(LEFT(SUBSTITUTE(SUBSTITUTE(SUBSTITUTE(SUBSTITUTE(SUBSTITUTE(Клиенты_исходные!D379," ",""),"-",""),"+",""),"(",""),")",""))="8","7"&amp;MID(SUBSTITUTE(SUBSTITUTE(SUBSTITUTE(SUBSTITUTE(SUBSTITUTE(Клиенты_исходные!D379," ",""),"-",""),"+",""),"(",""),")",""),2,10),SUBSTITUTE(SUBSTITUTE(SUBSTITUTE(SUBSTITUTE(SUBSTITUTE(Клиенты_исходные!D379," ",""),"-",""),"+",""),"(",""),")","")),2,3)&amp;") "&amp;MID(IF(LEFT(SUBSTITUTE(SUBSTITUTE(SUBSTITUTE(SUBSTITUTE(SUBSTITUTE(Клиенты_исходные!D379," ",""),"-",""),"+",""),"(",""),")",""))="8","7"&amp;MID(SUBSTITUTE(SUBSTITUTE(SUBSTITUTE(SUBSTITUTE(SUBSTITUTE(Клиенты_исходные!D379," ",""),"-",""),"+",""),"(",""),")",""),2,10),SUBSTITUTE(SUBSTITUTE(SUBSTITUTE(SUBSTITUTE(SUBSTITUTE(Клиенты_исходные!D379," ",""),"-",""),"+",""),"(",""),")","")),5,3)&amp;"-"&amp;MID(IF(LEFT(SUBSTITUTE(SUBSTITUTE(SUBSTITUTE(SUBSTITUTE(SUBSTITUTE(Клиенты_исходные!D379," ",""),"-",""),"+",""),"(",""),")",""))="8","7"&amp;MID(SUBSTITUTE(SUBSTITUTE(SUBSTITUTE(SUBSTITUTE(SUBSTITUTE(Клиенты_исходные!D379," ",""),"-",""),"+",""),"(",""),")",""),2,10),SUBSTITUTE(SUBSTITUTE(SUBSTITUTE(SUBSTITUTE(SUBSTITUTE(Клиенты_исходные!D379," ",""),"-",""),"+",""),"(",""),")","")),8,2)&amp;"-"&amp;MID(IF(LEFT(SUBSTITUTE(SUBSTITUTE(SUBSTITUTE(SUBSTITUTE(SUBSTITUTE(Клиенты_исходные!D379," ",""),"-",""),"+",""),"(",""),")",""))="8","7"&amp;MID(SUBSTITUTE(SUBSTITUTE(SUBSTITUTE(SUBSTITUTE(SUBSTITUTE(Клиенты_исходные!D379," ",""),"-",""),"+",""),"(",""),")",""),2,10),SUBSTITUTE(SUBSTITUTE(SUBSTITUTE(SUBSTITUTE(SUBSTITUTE(Клиенты_исходные!D379," ",""),"-",""),"+",""),"(",""),")","")),10,2),IF(LEN(SUBSTITUTE(SUBSTITUTE(SUBSTITUTE(SUBSTITUTE(SUBSTITUTE(Клиенты_исходные!D379," ",""),"-",""),"+",""),"(",""),")",""))=10,"+7 ("&amp;MID(SUBSTITUTE(SUBSTITUTE(SUBSTITUTE(SUBSTITUTE(SUBSTITUTE(Клиенты_исходные!D379," ",""),"-",""),"+",""),"(",""),")",""),1,3)&amp;") "&amp;MID(SUBSTITUTE(SUBSTITUTE(SUBSTITUTE(SUBSTITUTE(SUBSTITUTE(Клиенты_исходные!D379," ",""),"-",""),"+",""),"(",""),")",""),4,3)&amp;"-"&amp;MID(SUBSTITUTE(SUBSTITUTE(SUBSTITUTE(SUBSTITUTE(SUBSTITUTE(Клиенты_исходные!D379," ",""),"-",""),"+",""),"(",""),")",""),6,2)&amp;"-"&amp;MID(SUBSTITUTE(SUBSTITUTE(SUBSTITUTE(SUBSTITUTE(SUBSTITUTE(Клиенты_исходные!D379," ",""),"-",""),"+",""),"(",""),")",""),8,2),Клиенты_исходные!D379)))</f>
        <v xml:space="preserve">+7 (903) 234-56-78</v>
      </c>
      <c r="E379" t="str">
        <f>IF(ISBLANK(Клиенты_исходные!E379),"",IF(ISNUMBER(FIND(".",MID(Клиенты_исходные!E379,FIND("@",Клиенты_исходные!E379)+1,255))),Клиенты_исходные!E379,IF(ISNUMBER(FIND("gmail",Клиенты_исходные!E379)),Клиенты_исходные!E379&amp;".com",Клиенты_исходные!E379&amp;".ru")))</f>
        <v>kuprienko@gmail.com</v>
      </c>
      <c r="F379" t="str">
        <f>IFERROR(VLOOKUP(Клиенты_исходные!F379,Справочники!$J$2:$K$50,2,FALSE),Клиенты_исходные!F379)</f>
        <v>Калуга</v>
      </c>
      <c r="G379" s="8">
        <f>IFERROR(IF(ISNUMBER(FIND(".",Клиенты_исходные!G379)),DATE(RIGHT(Клиенты_исходные!G379,4),MID(Клиенты_исходные!G379,4,2),LEFT(Клиенты_исходные!G379,2)),DATE(LEFT(Клиенты_исходные!G379,4),MID(Клиенты_исходные!G379,6,2),RIGHT(Клиенты_исходные!G379,2))),Клиенты_исходные!G379)</f>
        <v>48375</v>
      </c>
      <c r="H379">
        <f t="shared" ca="1" si="64"/>
        <v>36</v>
      </c>
      <c r="I379" t="str">
        <f t="shared" si="65"/>
        <v>OK</v>
      </c>
      <c r="J379" t="str">
        <f t="shared" si="66"/>
        <v>OK</v>
      </c>
    </row>
    <row r="380">
      <c r="A380" t="str">
        <f>Клиенты_исходные!A380</f>
        <v>C0379</v>
      </c>
      <c r="B380" t="str">
        <f>PROPER(TRIM(Клиенты_исходные!B380))</f>
        <v xml:space="preserve">Марчук Ольга Алексеевна</v>
      </c>
      <c r="C380" s="8">
        <f>IFERROR(IF(ISNUMBER(FIND(".",Клиенты_исходные!C380)),DATE(RIGHT(Клиенты_исходные!C380,4),MID(Клиенты_исходные!C380,4,2),LEFT(Клиенты_исходные!C380,2)),DATE(LEFT(Клиенты_исходные!C380,4),MID(Клиенты_исходные!C380,6,2),RIGHT(Клиенты_исходные!C380,2))),Клиенты_исходные!C380)</f>
        <v>28540</v>
      </c>
      <c r="D380" t="str">
        <f>IF(ISBLANK(Клиенты_исходные!D380),"",IF(LEN(SUBSTITUTE(SUBSTITUTE(SUBSTITUTE(SUBSTITUTE(SUBSTITUTE(Клиенты_исходные!D380," ",""),"-",""),"+",""),"(",""),")",""))=11,"+7 ("&amp;MID(IF(LEFT(SUBSTITUTE(SUBSTITUTE(SUBSTITUTE(SUBSTITUTE(SUBSTITUTE(Клиенты_исходные!D380," ",""),"-",""),"+",""),"(",""),")",""))="8","7"&amp;MID(SUBSTITUTE(SUBSTITUTE(SUBSTITUTE(SUBSTITUTE(SUBSTITUTE(Клиенты_исходные!D380," ",""),"-",""),"+",""),"(",""),")",""),2,10),SUBSTITUTE(SUBSTITUTE(SUBSTITUTE(SUBSTITUTE(SUBSTITUTE(Клиенты_исходные!D380," ",""),"-",""),"+",""),"(",""),")","")),2,3)&amp;") "&amp;MID(IF(LEFT(SUBSTITUTE(SUBSTITUTE(SUBSTITUTE(SUBSTITUTE(SUBSTITUTE(Клиенты_исходные!D380," ",""),"-",""),"+",""),"(",""),")",""))="8","7"&amp;MID(SUBSTITUTE(SUBSTITUTE(SUBSTITUTE(SUBSTITUTE(SUBSTITUTE(Клиенты_исходные!D380," ",""),"-",""),"+",""),"(",""),")",""),2,10),SUBSTITUTE(SUBSTITUTE(SUBSTITUTE(SUBSTITUTE(SUBSTITUTE(Клиенты_исходные!D380," ",""),"-",""),"+",""),"(",""),")","")),5,3)&amp;"-"&amp;MID(IF(LEFT(SUBSTITUTE(SUBSTITUTE(SUBSTITUTE(SUBSTITUTE(SUBSTITUTE(Клиенты_исходные!D380," ",""),"-",""),"+",""),"(",""),")",""))="8","7"&amp;MID(SUBSTITUTE(SUBSTITUTE(SUBSTITUTE(SUBSTITUTE(SUBSTITUTE(Клиенты_исходные!D380," ",""),"-",""),"+",""),"(",""),")",""),2,10),SUBSTITUTE(SUBSTITUTE(SUBSTITUTE(SUBSTITUTE(SUBSTITUTE(Клиенты_исходные!D380," ",""),"-",""),"+",""),"(",""),")","")),8,2)&amp;"-"&amp;MID(IF(LEFT(SUBSTITUTE(SUBSTITUTE(SUBSTITUTE(SUBSTITUTE(SUBSTITUTE(Клиенты_исходные!D380," ",""),"-",""),"+",""),"(",""),")",""))="8","7"&amp;MID(SUBSTITUTE(SUBSTITUTE(SUBSTITUTE(SUBSTITUTE(SUBSTITUTE(Клиенты_исходные!D380," ",""),"-",""),"+",""),"(",""),")",""),2,10),SUBSTITUTE(SUBSTITUTE(SUBSTITUTE(SUBSTITUTE(SUBSTITUTE(Клиенты_исходные!D380," ",""),"-",""),"+",""),"(",""),")","")),10,2),IF(LEN(SUBSTITUTE(SUBSTITUTE(SUBSTITUTE(SUBSTITUTE(SUBSTITUTE(Клиенты_исходные!D380," ",""),"-",""),"+",""),"(",""),")",""))=10,"+7 ("&amp;MID(SUBSTITUTE(SUBSTITUTE(SUBSTITUTE(SUBSTITUTE(SUBSTITUTE(Клиенты_исходные!D380," ",""),"-",""),"+",""),"(",""),")",""),1,3)&amp;") "&amp;MID(SUBSTITUTE(SUBSTITUTE(SUBSTITUTE(SUBSTITUTE(SUBSTITUTE(Клиенты_исходные!D380," ",""),"-",""),"+",""),"(",""),")",""),4,3)&amp;"-"&amp;MID(SUBSTITUTE(SUBSTITUTE(SUBSTITUTE(SUBSTITUTE(SUBSTITUTE(Клиенты_исходные!D380," ",""),"-",""),"+",""),"(",""),")",""),6,2)&amp;"-"&amp;MID(SUBSTITUTE(SUBSTITUTE(SUBSTITUTE(SUBSTITUTE(SUBSTITUTE(Клиенты_исходные!D380," ",""),"-",""),"+",""),"(",""),")",""),8,2),Клиенты_исходные!D380)))</f>
        <v xml:space="preserve">+7 (903) 234-56-78</v>
      </c>
      <c r="E380" t="str">
        <f>IF(ISBLANK(Клиенты_исходные!E380),"",IF(ISNUMBER(FIND(".",MID(Клиенты_исходные!E380,FIND("@",Клиенты_исходные!E380)+1,255))),Клиенты_исходные!E380,IF(ISNUMBER(FIND("gmail",Клиенты_исходные!E380)),Клиенты_исходные!E380&amp;".com",Клиенты_исходные!E380&amp;".ru")))</f>
        <v>marchuk@mail.ru</v>
      </c>
      <c r="F380" t="str">
        <f>IFERROR(VLOOKUP(Клиенты_исходные!F380,Справочники!$J$2:$K$50,2,FALSE),Клиенты_исходные!F380)</f>
        <v>Владикавказ</v>
      </c>
      <c r="G380" s="8">
        <f>IFERROR(IF(ISNUMBER(FIND(".",Клиенты_исходные!G380)),DATE(RIGHT(Клиенты_исходные!G380,4),MID(Клиенты_исходные!G380,4,2),LEFT(Клиенты_исходные!G380,2)),DATE(LEFT(Клиенты_исходные!G380,4),MID(Клиенты_исходные!G380,6,2),RIGHT(Клиенты_исходные!G380,2))),Клиенты_исходные!G380)</f>
        <v>48396</v>
      </c>
      <c r="H380">
        <f t="shared" ca="1" si="64"/>
        <v>48</v>
      </c>
      <c r="I380" t="str">
        <f t="shared" si="65"/>
        <v>OK</v>
      </c>
      <c r="J380" t="str">
        <f t="shared" si="66"/>
        <v>OK</v>
      </c>
    </row>
    <row r="381">
      <c r="A381" t="str">
        <f>Клиенты_исходные!A381</f>
        <v>C0380</v>
      </c>
      <c r="B381" t="str">
        <f>PROPER(TRIM(Клиенты_исходные!B381))</f>
        <v xml:space="preserve">Золотов Александр Сергеевич</v>
      </c>
      <c r="C381" s="8">
        <f>IFERROR(IF(ISNUMBER(FIND(".",Клиенты_исходные!C381)),DATE(RIGHT(Клиенты_исходные!C381,4),MID(Клиенты_исходные!C381,4,2),LEFT(Клиенты_исходные!C381,2)),DATE(LEFT(Клиенты_исходные!C381,4),MID(Клиенты_исходные!C381,6,2),RIGHT(Клиенты_исходные!C381,2))),Клиенты_исходные!C381)</f>
        <v>31298</v>
      </c>
      <c r="D381" t="str">
        <f>IF(ISBLANK(Клиенты_исходные!D381),"",IF(LEN(SUBSTITUTE(SUBSTITUTE(SUBSTITUTE(SUBSTITUTE(SUBSTITUTE(Клиенты_исходные!D381," ",""),"-",""),"+",""),"(",""),")",""))=11,"+7 ("&amp;MID(IF(LEFT(SUBSTITUTE(SUBSTITUTE(SUBSTITUTE(SUBSTITUTE(SUBSTITUTE(Клиенты_исходные!D381," ",""),"-",""),"+",""),"(",""),")",""))="8","7"&amp;MID(SUBSTITUTE(SUBSTITUTE(SUBSTITUTE(SUBSTITUTE(SUBSTITUTE(Клиенты_исходные!D381," ",""),"-",""),"+",""),"(",""),")",""),2,10),SUBSTITUTE(SUBSTITUTE(SUBSTITUTE(SUBSTITUTE(SUBSTITUTE(Клиенты_исходные!D381," ",""),"-",""),"+",""),"(",""),")","")),2,3)&amp;") "&amp;MID(IF(LEFT(SUBSTITUTE(SUBSTITUTE(SUBSTITUTE(SUBSTITUTE(SUBSTITUTE(Клиенты_исходные!D381," ",""),"-",""),"+",""),"(",""),")",""))="8","7"&amp;MID(SUBSTITUTE(SUBSTITUTE(SUBSTITUTE(SUBSTITUTE(SUBSTITUTE(Клиенты_исходные!D381," ",""),"-",""),"+",""),"(",""),")",""),2,10),SUBSTITUTE(SUBSTITUTE(SUBSTITUTE(SUBSTITUTE(SUBSTITUTE(Клиенты_исходные!D381," ",""),"-",""),"+",""),"(",""),")","")),5,3)&amp;"-"&amp;MID(IF(LEFT(SUBSTITUTE(SUBSTITUTE(SUBSTITUTE(SUBSTITUTE(SUBSTITUTE(Клиенты_исходные!D381," ",""),"-",""),"+",""),"(",""),")",""))="8","7"&amp;MID(SUBSTITUTE(SUBSTITUTE(SUBSTITUTE(SUBSTITUTE(SUBSTITUTE(Клиенты_исходные!D381," ",""),"-",""),"+",""),"(",""),")",""),2,10),SUBSTITUTE(SUBSTITUTE(SUBSTITUTE(SUBSTITUTE(SUBSTITUTE(Клиенты_исходные!D381," ",""),"-",""),"+",""),"(",""),")","")),8,2)&amp;"-"&amp;MID(IF(LEFT(SUBSTITUTE(SUBSTITUTE(SUBSTITUTE(SUBSTITUTE(SUBSTITUTE(Клиенты_исходные!D381," ",""),"-",""),"+",""),"(",""),")",""))="8","7"&amp;MID(SUBSTITUTE(SUBSTITUTE(SUBSTITUTE(SUBSTITUTE(SUBSTITUTE(Клиенты_исходные!D381," ",""),"-",""),"+",""),"(",""),")",""),2,10),SUBSTITUTE(SUBSTITUTE(SUBSTITUTE(SUBSTITUTE(SUBSTITUTE(Клиенты_исходные!D381," ",""),"-",""),"+",""),"(",""),")","")),10,2),IF(LEN(SUBSTITUTE(SUBSTITUTE(SUBSTITUTE(SUBSTITUTE(SUBSTITUTE(Клиенты_исходные!D381," ",""),"-",""),"+",""),"(",""),")",""))=10,"+7 ("&amp;MID(SUBSTITUTE(SUBSTITUTE(SUBSTITUTE(SUBSTITUTE(SUBSTITUTE(Клиенты_исходные!D381," ",""),"-",""),"+",""),"(",""),")",""),1,3)&amp;") "&amp;MID(SUBSTITUTE(SUBSTITUTE(SUBSTITUTE(SUBSTITUTE(SUBSTITUTE(Клиенты_исходные!D381," ",""),"-",""),"+",""),"(",""),")",""),4,3)&amp;"-"&amp;MID(SUBSTITUTE(SUBSTITUTE(SUBSTITUTE(SUBSTITUTE(SUBSTITUTE(Клиенты_исходные!D381," ",""),"-",""),"+",""),"(",""),")",""),6,2)&amp;"-"&amp;MID(SUBSTITUTE(SUBSTITUTE(SUBSTITUTE(SUBSTITUTE(SUBSTITUTE(Клиенты_исходные!D381," ",""),"-",""),"+",""),"(",""),")",""),8,2),Клиенты_исходные!D381)))</f>
        <v xml:space="preserve">+7 (903) 234-56-78</v>
      </c>
      <c r="E381" t="str">
        <f>IF(ISBLANK(Клиенты_исходные!E381),"",IF(ISNUMBER(FIND(".",MID(Клиенты_исходные!E381,FIND("@",Клиенты_исходные!E381)+1,255))),Клиенты_исходные!E381,IF(ISNUMBER(FIND("gmail",Клиенты_исходные!E381)),Клиенты_исходные!E381&amp;".com",Клиенты_исходные!E381&amp;".ru")))</f>
        <v>zolotov@yandex.ru</v>
      </c>
      <c r="F381" t="str">
        <f>IFERROR(VLOOKUP(Клиенты_исходные!F381,Справочники!$J$2:$K$50,2,FALSE),Клиенты_исходные!F381)</f>
        <v>Смоленск</v>
      </c>
      <c r="G381" s="8">
        <f>IFERROR(IF(ISNUMBER(FIND(".",Клиенты_исходные!G381)),DATE(RIGHT(Клиенты_исходные!G381,4),MID(Клиенты_исходные!G381,4,2),LEFT(Клиенты_исходные!G381,2)),DATE(LEFT(Клиенты_исходные!G381,4),MID(Клиенты_исходные!G381,6,2),RIGHT(Клиенты_исходные!G381,2))),Клиенты_исходные!G381)</f>
        <v>48410</v>
      </c>
      <c r="H381">
        <f t="shared" ca="1" si="64"/>
        <v>41</v>
      </c>
      <c r="I381" t="str">
        <f t="shared" si="65"/>
        <v>OK</v>
      </c>
      <c r="J381" t="str">
        <f t="shared" si="66"/>
        <v>OK</v>
      </c>
    </row>
    <row r="382">
      <c r="A382" t="str">
        <f>Клиенты_исходные!A382</f>
        <v>C0381</v>
      </c>
      <c r="B382" t="str">
        <f>PROPER(TRIM(Клиенты_исходные!B382))</f>
        <v xml:space="preserve">Никифорова Мария Владимировна</v>
      </c>
      <c r="C382" s="8">
        <f>IFERROR(IF(ISNUMBER(FIND(".",Клиенты_исходные!C382)),DATE(RIGHT(Клиенты_исходные!C382,4),MID(Клиенты_исходные!C382,4,2),LEFT(Клиенты_исходные!C382,2)),DATE(LEFT(Клиенты_исходные!C382,4),MID(Клиенты_исходные!C382,6,2),RIGHT(Клиенты_исходные!C382,2))),Клиенты_исходные!C382)</f>
        <v>34659</v>
      </c>
      <c r="D382" t="str">
        <f>IF(ISBLANK(Клиенты_исходные!D382),"",IF(LEN(SUBSTITUTE(SUBSTITUTE(SUBSTITUTE(SUBSTITUTE(SUBSTITUTE(Клиенты_исходные!D382," ",""),"-",""),"+",""),"(",""),")",""))=11,"+7 ("&amp;MID(IF(LEFT(SUBSTITUTE(SUBSTITUTE(SUBSTITUTE(SUBSTITUTE(SUBSTITUTE(Клиенты_исходные!D382," ",""),"-",""),"+",""),"(",""),")",""))="8","7"&amp;MID(SUBSTITUTE(SUBSTITUTE(SUBSTITUTE(SUBSTITUTE(SUBSTITUTE(Клиенты_исходные!D382," ",""),"-",""),"+",""),"(",""),")",""),2,10),SUBSTITUTE(SUBSTITUTE(SUBSTITUTE(SUBSTITUTE(SUBSTITUTE(Клиенты_исходные!D382," ",""),"-",""),"+",""),"(",""),")","")),2,3)&amp;") "&amp;MID(IF(LEFT(SUBSTITUTE(SUBSTITUTE(SUBSTITUTE(SUBSTITUTE(SUBSTITUTE(Клиенты_исходные!D382," ",""),"-",""),"+",""),"(",""),")",""))="8","7"&amp;MID(SUBSTITUTE(SUBSTITUTE(SUBSTITUTE(SUBSTITUTE(SUBSTITUTE(Клиенты_исходные!D382," ",""),"-",""),"+",""),"(",""),")",""),2,10),SUBSTITUTE(SUBSTITUTE(SUBSTITUTE(SUBSTITUTE(SUBSTITUTE(Клиенты_исходные!D382," ",""),"-",""),"+",""),"(",""),")","")),5,3)&amp;"-"&amp;MID(IF(LEFT(SUBSTITUTE(SUBSTITUTE(SUBSTITUTE(SUBSTITUTE(SUBSTITUTE(Клиенты_исходные!D382," ",""),"-",""),"+",""),"(",""),")",""))="8","7"&amp;MID(SUBSTITUTE(SUBSTITUTE(SUBSTITUTE(SUBSTITUTE(SUBSTITUTE(Клиенты_исходные!D382," ",""),"-",""),"+",""),"(",""),")",""),2,10),SUBSTITUTE(SUBSTITUTE(SUBSTITUTE(SUBSTITUTE(SUBSTITUTE(Клиенты_исходные!D382," ",""),"-",""),"+",""),"(",""),")","")),8,2)&amp;"-"&amp;MID(IF(LEFT(SUBSTITUTE(SUBSTITUTE(SUBSTITUTE(SUBSTITUTE(SUBSTITUTE(Клиенты_исходные!D382," ",""),"-",""),"+",""),"(",""),")",""))="8","7"&amp;MID(SUBSTITUTE(SUBSTITUTE(SUBSTITUTE(SUBSTITUTE(SUBSTITUTE(Клиенты_исходные!D382," ",""),"-",""),"+",""),"(",""),")",""),2,10),SUBSTITUTE(SUBSTITUTE(SUBSTITUTE(SUBSTITUTE(SUBSTITUTE(Клиенты_исходные!D382," ",""),"-",""),"+",""),"(",""),")","")),10,2),IF(LEN(SUBSTITUTE(SUBSTITUTE(SUBSTITUTE(SUBSTITUTE(SUBSTITUTE(Клиенты_исходные!D382," ",""),"-",""),"+",""),"(",""),")",""))=10,"+7 ("&amp;MID(SUBSTITUTE(SUBSTITUTE(SUBSTITUTE(SUBSTITUTE(SUBSTITUTE(Клиенты_исходные!D382," ",""),"-",""),"+",""),"(",""),")",""),1,3)&amp;") "&amp;MID(SUBSTITUTE(SUBSTITUTE(SUBSTITUTE(SUBSTITUTE(SUBSTITUTE(Клиенты_исходные!D382," ",""),"-",""),"+",""),"(",""),")",""),4,3)&amp;"-"&amp;MID(SUBSTITUTE(SUBSTITUTE(SUBSTITUTE(SUBSTITUTE(SUBSTITUTE(Клиенты_исходные!D382," ",""),"-",""),"+",""),"(",""),")",""),6,2)&amp;"-"&amp;MID(SUBSTITUTE(SUBSTITUTE(SUBSTITUTE(SUBSTITUTE(SUBSTITUTE(Клиенты_исходные!D382," ",""),"-",""),"+",""),"(",""),")",""),8,2),Клиенты_исходные!D382)))</f>
        <v xml:space="preserve">+7 (903) 345-67-89</v>
      </c>
      <c r="E382" t="str">
        <f>IF(ISBLANK(Клиенты_исходные!E382),"",IF(ISNUMBER(FIND(".",MID(Клиенты_исходные!E382,FIND("@",Клиенты_исходные!E382)+1,255))),Клиенты_исходные!E382,IF(ISNUMBER(FIND("gmail",Клиенты_исходные!E382)),Клиенты_исходные!E382&amp;".com",Клиенты_исходные!E382&amp;".ru")))</f>
        <v>nikiforova@gmail.com</v>
      </c>
      <c r="F382" t="str">
        <f>IFERROR(VLOOKUP(Клиенты_исходные!F382,Справочники!$J$2:$K$50,2,FALSE),Клиенты_исходные!F382)</f>
        <v>Белгород</v>
      </c>
      <c r="G382" s="8">
        <f>IFERROR(IF(ISNUMBER(FIND(".",Клиенты_исходные!G382)),DATE(RIGHT(Клиенты_исходные!G382,4),MID(Клиенты_исходные!G382,4,2),LEFT(Клиенты_исходные!G382,2)),DATE(LEFT(Клиенты_исходные!G382,4),MID(Клиенты_исходные!G382,6,2),RIGHT(Клиенты_исходные!G382,2))),Клиенты_исходные!G382)</f>
        <v>48410</v>
      </c>
      <c r="H382">
        <f t="shared" ca="1" si="64"/>
        <v>31</v>
      </c>
      <c r="I382" t="str">
        <f t="shared" si="65"/>
        <v>OK</v>
      </c>
      <c r="J382" t="str">
        <f t="shared" si="66"/>
        <v>OK</v>
      </c>
    </row>
    <row r="383">
      <c r="A383" t="str">
        <f>Клиенты_исходные!A383</f>
        <v>C0382</v>
      </c>
      <c r="B383" t="str">
        <f>PROPER(TRIM(Клиенты_исходные!B383))</f>
        <v xml:space="preserve">Колосков Илья Алексеевич</v>
      </c>
      <c r="C383" s="8">
        <f>IFERROR(IF(ISNUMBER(FIND(".",Клиенты_исходные!C383)),DATE(RIGHT(Клиенты_исходные!C383,4),MID(Клиенты_исходные!C383,4,2),LEFT(Клиенты_исходные!C383,2)),DATE(LEFT(Клиенты_исходные!C383,4),MID(Клиенты_исходные!C383,6,2),RIGHT(Клиенты_исходные!C383,2))),Клиенты_исходные!C383)</f>
        <v>27853</v>
      </c>
      <c r="D383" t="str">
        <f>IF(ISBLANK(Клиенты_исходные!D383),"",IF(LEN(SUBSTITUTE(SUBSTITUTE(SUBSTITUTE(SUBSTITUTE(SUBSTITUTE(Клиенты_исходные!D383," ",""),"-",""),"+",""),"(",""),")",""))=11,"+7 ("&amp;MID(IF(LEFT(SUBSTITUTE(SUBSTITUTE(SUBSTITUTE(SUBSTITUTE(SUBSTITUTE(Клиенты_исходные!D383," ",""),"-",""),"+",""),"(",""),")",""))="8","7"&amp;MID(SUBSTITUTE(SUBSTITUTE(SUBSTITUTE(SUBSTITUTE(SUBSTITUTE(Клиенты_исходные!D383," ",""),"-",""),"+",""),"(",""),")",""),2,10),SUBSTITUTE(SUBSTITUTE(SUBSTITUTE(SUBSTITUTE(SUBSTITUTE(Клиенты_исходные!D383," ",""),"-",""),"+",""),"(",""),")","")),2,3)&amp;") "&amp;MID(IF(LEFT(SUBSTITUTE(SUBSTITUTE(SUBSTITUTE(SUBSTITUTE(SUBSTITUTE(Клиенты_исходные!D383," ",""),"-",""),"+",""),"(",""),")",""))="8","7"&amp;MID(SUBSTITUTE(SUBSTITUTE(SUBSTITUTE(SUBSTITUTE(SUBSTITUTE(Клиенты_исходные!D383," ",""),"-",""),"+",""),"(",""),")",""),2,10),SUBSTITUTE(SUBSTITUTE(SUBSTITUTE(SUBSTITUTE(SUBSTITUTE(Клиенты_исходные!D383," ",""),"-",""),"+",""),"(",""),")","")),5,3)&amp;"-"&amp;MID(IF(LEFT(SUBSTITUTE(SUBSTITUTE(SUBSTITUTE(SUBSTITUTE(SUBSTITUTE(Клиенты_исходные!D383," ",""),"-",""),"+",""),"(",""),")",""))="8","7"&amp;MID(SUBSTITUTE(SUBSTITUTE(SUBSTITUTE(SUBSTITUTE(SUBSTITUTE(Клиенты_исходные!D383," ",""),"-",""),"+",""),"(",""),")",""),2,10),SUBSTITUTE(SUBSTITUTE(SUBSTITUTE(SUBSTITUTE(SUBSTITUTE(Клиенты_исходные!D383," ",""),"-",""),"+",""),"(",""),")","")),8,2)&amp;"-"&amp;MID(IF(LEFT(SUBSTITUTE(SUBSTITUTE(SUBSTITUTE(SUBSTITUTE(SUBSTITUTE(Клиенты_исходные!D383," ",""),"-",""),"+",""),"(",""),")",""))="8","7"&amp;MID(SUBSTITUTE(SUBSTITUTE(SUBSTITUTE(SUBSTITUTE(SUBSTITUTE(Клиенты_исходные!D383," ",""),"-",""),"+",""),"(",""),")",""),2,10),SUBSTITUTE(SUBSTITUTE(SUBSTITUTE(SUBSTITUTE(SUBSTITUTE(Клиенты_исходные!D383," ",""),"-",""),"+",""),"(",""),")","")),10,2),IF(LEN(SUBSTITUTE(SUBSTITUTE(SUBSTITUTE(SUBSTITUTE(SUBSTITUTE(Клиенты_исходные!D383," ",""),"-",""),"+",""),"(",""),")",""))=10,"+7 ("&amp;MID(SUBSTITUTE(SUBSTITUTE(SUBSTITUTE(SUBSTITUTE(SUBSTITUTE(Клиенты_исходные!D383," ",""),"-",""),"+",""),"(",""),")",""),1,3)&amp;") "&amp;MID(SUBSTITUTE(SUBSTITUTE(SUBSTITUTE(SUBSTITUTE(SUBSTITUTE(Клиенты_исходные!D383," ",""),"-",""),"+",""),"(",""),")",""),4,3)&amp;"-"&amp;MID(SUBSTITUTE(SUBSTITUTE(SUBSTITUTE(SUBSTITUTE(SUBSTITUTE(Клиенты_исходные!D383," ",""),"-",""),"+",""),"(",""),")",""),6,2)&amp;"-"&amp;MID(SUBSTITUTE(SUBSTITUTE(SUBSTITUTE(SUBSTITUTE(SUBSTITUTE(Клиенты_исходные!D383," ",""),"-",""),"+",""),"(",""),")",""),8,2),Клиенты_исходные!D383)))</f>
        <v xml:space="preserve">+7 (903) 345-67-89</v>
      </c>
      <c r="E383" t="str">
        <f>IF(ISBLANK(Клиенты_исходные!E383),"",IF(ISNUMBER(FIND(".",MID(Клиенты_исходные!E383,FIND("@",Клиенты_исходные!E383)+1,255))),Клиенты_исходные!E383,IF(ISNUMBER(FIND("gmail",Клиенты_исходные!E383)),Клиенты_исходные!E383&amp;".com",Клиенты_исходные!E383&amp;".ru")))</f>
        <v>koloskov@mail.ru</v>
      </c>
      <c r="F383" t="str">
        <f>IFERROR(VLOOKUP(Клиенты_исходные!F383,Справочники!$J$2:$K$50,2,FALSE),Клиенты_исходные!F383)</f>
        <v>Мурманск</v>
      </c>
      <c r="G383" s="8">
        <f>IFERROR(IF(ISNUMBER(FIND(".",Клиенты_исходные!G383)),DATE(RIGHT(Клиенты_исходные!G383,4),MID(Клиенты_исходные!G383,4,2),LEFT(Клиенты_исходные!G383,2)),DATE(LEFT(Клиенты_исходные!G383,4),MID(Клиенты_исходные!G383,6,2),RIGHT(Клиенты_исходные!G383,2))),Клиенты_исходные!G383)</f>
        <v>48427</v>
      </c>
      <c r="H383">
        <f t="shared" ca="1" si="64"/>
        <v>50</v>
      </c>
      <c r="I383" t="str">
        <f t="shared" si="65"/>
        <v>OK</v>
      </c>
      <c r="J383" t="str">
        <f t="shared" si="66"/>
        <v>OK</v>
      </c>
    </row>
    <row r="384">
      <c r="A384" t="str">
        <f>Клиенты_исходные!A384</f>
        <v>C0383</v>
      </c>
      <c r="B384" t="str">
        <f>PROPER(TRIM(Клиенты_исходные!B384))</f>
        <v xml:space="preserve">Устинова Екатерина Олеговна</v>
      </c>
      <c r="C384" s="8">
        <f>IFERROR(IF(ISNUMBER(FIND(".",Клиенты_исходные!C384)),DATE(RIGHT(Клиенты_исходные!C384,4),MID(Клиенты_исходные!C384,4,2),LEFT(Клиенты_исходные!C384,2)),DATE(LEFT(Клиенты_исходные!C384,4),MID(Клиенты_исходные!C384,6,2),RIGHT(Клиенты_исходные!C384,2))),Клиенты_исходные!C384)</f>
        <v>30144</v>
      </c>
      <c r="D384" t="str">
        <f>IF(ISBLANK(Клиенты_исходные!D384),"",IF(LEN(SUBSTITUTE(SUBSTITUTE(SUBSTITUTE(SUBSTITUTE(SUBSTITUTE(Клиенты_исходные!D384," ",""),"-",""),"+",""),"(",""),")",""))=11,"+7 ("&amp;MID(IF(LEFT(SUBSTITUTE(SUBSTITUTE(SUBSTITUTE(SUBSTITUTE(SUBSTITUTE(Клиенты_исходные!D384," ",""),"-",""),"+",""),"(",""),")",""))="8","7"&amp;MID(SUBSTITUTE(SUBSTITUTE(SUBSTITUTE(SUBSTITUTE(SUBSTITUTE(Клиенты_исходные!D384," ",""),"-",""),"+",""),"(",""),")",""),2,10),SUBSTITUTE(SUBSTITUTE(SUBSTITUTE(SUBSTITUTE(SUBSTITUTE(Клиенты_исходные!D384," ",""),"-",""),"+",""),"(",""),")","")),2,3)&amp;") "&amp;MID(IF(LEFT(SUBSTITUTE(SUBSTITUTE(SUBSTITUTE(SUBSTITUTE(SUBSTITUTE(Клиенты_исходные!D384," ",""),"-",""),"+",""),"(",""),")",""))="8","7"&amp;MID(SUBSTITUTE(SUBSTITUTE(SUBSTITUTE(SUBSTITUTE(SUBSTITUTE(Клиенты_исходные!D384," ",""),"-",""),"+",""),"(",""),")",""),2,10),SUBSTITUTE(SUBSTITUTE(SUBSTITUTE(SUBSTITUTE(SUBSTITUTE(Клиенты_исходные!D384," ",""),"-",""),"+",""),"(",""),")","")),5,3)&amp;"-"&amp;MID(IF(LEFT(SUBSTITUTE(SUBSTITUTE(SUBSTITUTE(SUBSTITUTE(SUBSTITUTE(Клиенты_исходные!D384," ",""),"-",""),"+",""),"(",""),")",""))="8","7"&amp;MID(SUBSTITUTE(SUBSTITUTE(SUBSTITUTE(SUBSTITUTE(SUBSTITUTE(Клиенты_исходные!D384," ",""),"-",""),"+",""),"(",""),")",""),2,10),SUBSTITUTE(SUBSTITUTE(SUBSTITUTE(SUBSTITUTE(SUBSTITUTE(Клиенты_исходные!D384," ",""),"-",""),"+",""),"(",""),")","")),8,2)&amp;"-"&amp;MID(IF(LEFT(SUBSTITUTE(SUBSTITUTE(SUBSTITUTE(SUBSTITUTE(SUBSTITUTE(Клиенты_исходные!D384," ",""),"-",""),"+",""),"(",""),")",""))="8","7"&amp;MID(SUBSTITUTE(SUBSTITUTE(SUBSTITUTE(SUBSTITUTE(SUBSTITUTE(Клиенты_исходные!D384," ",""),"-",""),"+",""),"(",""),")",""),2,10),SUBSTITUTE(SUBSTITUTE(SUBSTITUTE(SUBSTITUTE(SUBSTITUTE(Клиенты_исходные!D384," ",""),"-",""),"+",""),"(",""),")","")),10,2),IF(LEN(SUBSTITUTE(SUBSTITUTE(SUBSTITUTE(SUBSTITUTE(SUBSTITUTE(Клиенты_исходные!D384," ",""),"-",""),"+",""),"(",""),")",""))=10,"+7 ("&amp;MID(SUBSTITUTE(SUBSTITUTE(SUBSTITUTE(SUBSTITUTE(SUBSTITUTE(Клиенты_исходные!D384," ",""),"-",""),"+",""),"(",""),")",""),1,3)&amp;") "&amp;MID(SUBSTITUTE(SUBSTITUTE(SUBSTITUTE(SUBSTITUTE(SUBSTITUTE(Клиенты_исходные!D384," ",""),"-",""),"+",""),"(",""),")",""),4,3)&amp;"-"&amp;MID(SUBSTITUTE(SUBSTITUTE(SUBSTITUTE(SUBSTITUTE(SUBSTITUTE(Клиенты_исходные!D384," ",""),"-",""),"+",""),"(",""),")",""),6,2)&amp;"-"&amp;MID(SUBSTITUTE(SUBSTITUTE(SUBSTITUTE(SUBSTITUTE(SUBSTITUTE(Клиенты_исходные!D384," ",""),"-",""),"+",""),"(",""),")",""),8,2),Клиенты_исходные!D384)))</f>
        <v xml:space="preserve">+7 (903) 345-67-89</v>
      </c>
      <c r="E384" t="str">
        <f>IF(ISBLANK(Клиенты_исходные!E384),"",IF(ISNUMBER(FIND(".",MID(Клиенты_исходные!E384,FIND("@",Клиенты_исходные!E384)+1,255))),Клиенты_исходные!E384,IF(ISNUMBER(FIND("gmail",Клиенты_исходные!E384)),Клиенты_исходные!E384&amp;".com",Клиенты_исходные!E384&amp;".ru")))</f>
        <v>ustinova@yandex.ru</v>
      </c>
      <c r="F384" t="str">
        <f>IFERROR(VLOOKUP(Клиенты_исходные!F384,Справочники!$J$2:$K$50,2,FALSE),Клиенты_исходные!F384)</f>
        <v>Ставрополь</v>
      </c>
      <c r="G384" s="8">
        <f>IFERROR(IF(ISNUMBER(FIND(".",Клиенты_исходные!G384)),DATE(RIGHT(Клиенты_исходные!G384,4),MID(Клиенты_исходные!G384,4,2),LEFT(Клиенты_исходные!G384,2)),DATE(LEFT(Клиенты_исходные!G384,4),MID(Клиенты_исходные!G384,6,2),RIGHT(Клиенты_исходные!G384,2))),Клиенты_исходные!G384)</f>
        <v>48436</v>
      </c>
      <c r="H384">
        <f t="shared" ca="1" si="64"/>
        <v>44</v>
      </c>
      <c r="I384" t="str">
        <f t="shared" si="65"/>
        <v>OK</v>
      </c>
      <c r="J384" t="str">
        <f t="shared" si="66"/>
        <v>OK</v>
      </c>
    </row>
    <row r="385">
      <c r="A385" t="str">
        <f>Клиенты_исходные!A385</f>
        <v>C0384</v>
      </c>
      <c r="B385" t="str">
        <f>PROPER(TRIM(Клиенты_исходные!B385))</f>
        <v xml:space="preserve">Сидорчук Андрей Павлович</v>
      </c>
      <c r="C385" s="8">
        <f>IFERROR(IF(ISNUMBER(FIND(".",Клиенты_исходные!C385)),DATE(RIGHT(Клиенты_исходные!C385,4),MID(Клиенты_исходные!C385,4,2),LEFT(Клиенты_исходные!C385,2)),DATE(LEFT(Клиенты_исходные!C385,4),MID(Клиенты_исходные!C385,6,2),RIGHT(Клиенты_исходные!C385,2))),Клиенты_исходные!C385)</f>
        <v>32508</v>
      </c>
      <c r="D385" t="str">
        <f>IF(ISBLANK(Клиенты_исходные!D385),"",IF(LEN(SUBSTITUTE(SUBSTITUTE(SUBSTITUTE(SUBSTITUTE(SUBSTITUTE(Клиенты_исходные!D385," ",""),"-",""),"+",""),"(",""),")",""))=11,"+7 ("&amp;MID(IF(LEFT(SUBSTITUTE(SUBSTITUTE(SUBSTITUTE(SUBSTITUTE(SUBSTITUTE(Клиенты_исходные!D385," ",""),"-",""),"+",""),"(",""),")",""))="8","7"&amp;MID(SUBSTITUTE(SUBSTITUTE(SUBSTITUTE(SUBSTITUTE(SUBSTITUTE(Клиенты_исходные!D385," ",""),"-",""),"+",""),"(",""),")",""),2,10),SUBSTITUTE(SUBSTITUTE(SUBSTITUTE(SUBSTITUTE(SUBSTITUTE(Клиенты_исходные!D385," ",""),"-",""),"+",""),"(",""),")","")),2,3)&amp;") "&amp;MID(IF(LEFT(SUBSTITUTE(SUBSTITUTE(SUBSTITUTE(SUBSTITUTE(SUBSTITUTE(Клиенты_исходные!D385," ",""),"-",""),"+",""),"(",""),")",""))="8","7"&amp;MID(SUBSTITUTE(SUBSTITUTE(SUBSTITUTE(SUBSTITUTE(SUBSTITUTE(Клиенты_исходные!D385," ",""),"-",""),"+",""),"(",""),")",""),2,10),SUBSTITUTE(SUBSTITUTE(SUBSTITUTE(SUBSTITUTE(SUBSTITUTE(Клиенты_исходные!D385," ",""),"-",""),"+",""),"(",""),")","")),5,3)&amp;"-"&amp;MID(IF(LEFT(SUBSTITUTE(SUBSTITUTE(SUBSTITUTE(SUBSTITUTE(SUBSTITUTE(Клиенты_исходные!D385," ",""),"-",""),"+",""),"(",""),")",""))="8","7"&amp;MID(SUBSTITUTE(SUBSTITUTE(SUBSTITUTE(SUBSTITUTE(SUBSTITUTE(Клиенты_исходные!D385," ",""),"-",""),"+",""),"(",""),")",""),2,10),SUBSTITUTE(SUBSTITUTE(SUBSTITUTE(SUBSTITUTE(SUBSTITUTE(Клиенты_исходные!D385," ",""),"-",""),"+",""),"(",""),")","")),8,2)&amp;"-"&amp;MID(IF(LEFT(SUBSTITUTE(SUBSTITUTE(SUBSTITUTE(SUBSTITUTE(SUBSTITUTE(Клиенты_исходные!D385," ",""),"-",""),"+",""),"(",""),")",""))="8","7"&amp;MID(SUBSTITUTE(SUBSTITUTE(SUBSTITUTE(SUBSTITUTE(SUBSTITUTE(Клиенты_исходные!D385," ",""),"-",""),"+",""),"(",""),")",""),2,10),SUBSTITUTE(SUBSTITUTE(SUBSTITUTE(SUBSTITUTE(SUBSTITUTE(Клиенты_исходные!D385," ",""),"-",""),"+",""),"(",""),")","")),10,2),IF(LEN(SUBSTITUTE(SUBSTITUTE(SUBSTITUTE(SUBSTITUTE(SUBSTITUTE(Клиенты_исходные!D385," ",""),"-",""),"+",""),"(",""),")",""))=10,"+7 ("&amp;MID(SUBSTITUTE(SUBSTITUTE(SUBSTITUTE(SUBSTITUTE(SUBSTITUTE(Клиенты_исходные!D385," ",""),"-",""),"+",""),"(",""),")",""),1,3)&amp;") "&amp;MID(SUBSTITUTE(SUBSTITUTE(SUBSTITUTE(SUBSTITUTE(SUBSTITUTE(Клиенты_исходные!D385," ",""),"-",""),"+",""),"(",""),")",""),4,3)&amp;"-"&amp;MID(SUBSTITUTE(SUBSTITUTE(SUBSTITUTE(SUBSTITUTE(SUBSTITUTE(Клиенты_исходные!D385," ",""),"-",""),"+",""),"(",""),")",""),6,2)&amp;"-"&amp;MID(SUBSTITUTE(SUBSTITUTE(SUBSTITUTE(SUBSTITUTE(SUBSTITUTE(Клиенты_исходные!D385," ",""),"-",""),"+",""),"(",""),")",""),8,2),Клиенты_исходные!D385)))</f>
        <v xml:space="preserve">+7 (903) 456-78-90</v>
      </c>
      <c r="E385" t="str">
        <f>IF(ISBLANK(Клиенты_исходные!E385),"",IF(ISNUMBER(FIND(".",MID(Клиенты_исходные!E385,FIND("@",Клиенты_исходные!E385)+1,255))),Клиенты_исходные!E385,IF(ISNUMBER(FIND("gmail",Клиенты_исходные!E385)),Клиенты_исходные!E385&amp;".com",Клиенты_исходные!E385&amp;".ru")))</f>
        <v>sidorchuk@gmail.com</v>
      </c>
      <c r="F385" t="str">
        <f>IFERROR(VLOOKUP(Клиенты_исходные!F385,Справочники!$J$2:$K$50,2,FALSE),Клиенты_исходные!F385)</f>
        <v>Севастополь</v>
      </c>
      <c r="G385" s="8">
        <f>IFERROR(IF(ISNUMBER(FIND(".",Клиенты_исходные!G385)),DATE(RIGHT(Клиенты_исходные!G385,4),MID(Клиенты_исходные!G385,4,2),LEFT(Клиенты_исходные!G385,2)),DATE(LEFT(Клиенты_исходные!G385,4),MID(Клиенты_исходные!G385,6,2),RIGHT(Клиенты_исходные!G385,2))),Клиенты_исходные!G385)</f>
        <v>48436</v>
      </c>
      <c r="H385">
        <f t="shared" ca="1" si="64"/>
        <v>37</v>
      </c>
      <c r="I385" t="str">
        <f t="shared" si="65"/>
        <v>OK</v>
      </c>
      <c r="J385" t="str">
        <f t="shared" si="66"/>
        <v>OK</v>
      </c>
    </row>
    <row r="386">
      <c r="A386" t="str">
        <f>Клиенты_исходные!A386</f>
        <v>C0385</v>
      </c>
      <c r="B386" t="str">
        <f>PROPER(TRIM(Клиенты_исходные!B386))</f>
        <v xml:space="preserve">Горчакова Ольга Сергеевна</v>
      </c>
      <c r="C386" s="8">
        <f>IFERROR(IF(ISNUMBER(FIND(".",Клиенты_исходные!C386)),DATE(RIGHT(Клиенты_исходные!C386,4),MID(Клиенты_исходные!C386,4,2),LEFT(Клиенты_исходные!C386,2)),DATE(LEFT(Клиенты_исходные!C386,4),MID(Клиенты_исходные!C386,6,2),RIGHT(Клиенты_исходные!C386,2))),Клиенты_исходные!C386)</f>
        <v>26801</v>
      </c>
      <c r="D386" t="str">
        <f>IF(ISBLANK(Клиенты_исходные!D386),"",IF(LEN(SUBSTITUTE(SUBSTITUTE(SUBSTITUTE(SUBSTITUTE(SUBSTITUTE(Клиенты_исходные!D386," ",""),"-",""),"+",""),"(",""),")",""))=11,"+7 ("&amp;MID(IF(LEFT(SUBSTITUTE(SUBSTITUTE(SUBSTITUTE(SUBSTITUTE(SUBSTITUTE(Клиенты_исходные!D386," ",""),"-",""),"+",""),"(",""),")",""))="8","7"&amp;MID(SUBSTITUTE(SUBSTITUTE(SUBSTITUTE(SUBSTITUTE(SUBSTITUTE(Клиенты_исходные!D386," ",""),"-",""),"+",""),"(",""),")",""),2,10),SUBSTITUTE(SUBSTITUTE(SUBSTITUTE(SUBSTITUTE(SUBSTITUTE(Клиенты_исходные!D386," ",""),"-",""),"+",""),"(",""),")","")),2,3)&amp;") "&amp;MID(IF(LEFT(SUBSTITUTE(SUBSTITUTE(SUBSTITUTE(SUBSTITUTE(SUBSTITUTE(Клиенты_исходные!D386," ",""),"-",""),"+",""),"(",""),")",""))="8","7"&amp;MID(SUBSTITUTE(SUBSTITUTE(SUBSTITUTE(SUBSTITUTE(SUBSTITUTE(Клиенты_исходные!D386," ",""),"-",""),"+",""),"(",""),")",""),2,10),SUBSTITUTE(SUBSTITUTE(SUBSTITUTE(SUBSTITUTE(SUBSTITUTE(Клиенты_исходные!D386," ",""),"-",""),"+",""),"(",""),")","")),5,3)&amp;"-"&amp;MID(IF(LEFT(SUBSTITUTE(SUBSTITUTE(SUBSTITUTE(SUBSTITUTE(SUBSTITUTE(Клиенты_исходные!D386," ",""),"-",""),"+",""),"(",""),")",""))="8","7"&amp;MID(SUBSTITUTE(SUBSTITUTE(SUBSTITUTE(SUBSTITUTE(SUBSTITUTE(Клиенты_исходные!D386," ",""),"-",""),"+",""),"(",""),")",""),2,10),SUBSTITUTE(SUBSTITUTE(SUBSTITUTE(SUBSTITUTE(SUBSTITUTE(Клиенты_исходные!D386," ",""),"-",""),"+",""),"(",""),")","")),8,2)&amp;"-"&amp;MID(IF(LEFT(SUBSTITUTE(SUBSTITUTE(SUBSTITUTE(SUBSTITUTE(SUBSTITUTE(Клиенты_исходные!D386," ",""),"-",""),"+",""),"(",""),")",""))="8","7"&amp;MID(SUBSTITUTE(SUBSTITUTE(SUBSTITUTE(SUBSTITUTE(SUBSTITUTE(Клиенты_исходные!D386," ",""),"-",""),"+",""),"(",""),")",""),2,10),SUBSTITUTE(SUBSTITUTE(SUBSTITUTE(SUBSTITUTE(SUBSTITUTE(Клиенты_исходные!D386," ",""),"-",""),"+",""),"(",""),")","")),10,2),IF(LEN(SUBSTITUTE(SUBSTITUTE(SUBSTITUTE(SUBSTITUTE(SUBSTITUTE(Клиенты_исходные!D386," ",""),"-",""),"+",""),"(",""),")",""))=10,"+7 ("&amp;MID(SUBSTITUTE(SUBSTITUTE(SUBSTITUTE(SUBSTITUTE(SUBSTITUTE(Клиенты_исходные!D386," ",""),"-",""),"+",""),"(",""),")",""),1,3)&amp;") "&amp;MID(SUBSTITUTE(SUBSTITUTE(SUBSTITUTE(SUBSTITUTE(SUBSTITUTE(Клиенты_исходные!D386," ",""),"-",""),"+",""),"(",""),")",""),4,3)&amp;"-"&amp;MID(SUBSTITUTE(SUBSTITUTE(SUBSTITUTE(SUBSTITUTE(SUBSTITUTE(Клиенты_исходные!D386," ",""),"-",""),"+",""),"(",""),")",""),6,2)&amp;"-"&amp;MID(SUBSTITUTE(SUBSTITUTE(SUBSTITUTE(SUBSTITUTE(SUBSTITUTE(Клиенты_исходные!D386," ",""),"-",""),"+",""),"(",""),")",""),8,2),Клиенты_исходные!D386)))</f>
        <v xml:space="preserve">+7 (903) 456-78-90</v>
      </c>
      <c r="E386" t="str">
        <f>IF(ISBLANK(Клиенты_исходные!E386),"",IF(ISNUMBER(FIND(".",MID(Клиенты_исходные!E386,FIND("@",Клиенты_исходные!E386)+1,255))),Клиенты_исходные!E386,IF(ISNUMBER(FIND("gmail",Клиенты_исходные!E386)),Клиенты_исходные!E386&amp;".com",Клиенты_исходные!E386&amp;".ru")))</f>
        <v>gorchakova@mail.ru</v>
      </c>
      <c r="F386" t="str">
        <f>IFERROR(VLOOKUP(Клиенты_исходные!F386,Справочники!$J$2:$K$50,2,FALSE),Клиенты_исходные!F386)</f>
        <v>Сочи</v>
      </c>
      <c r="G386" s="8">
        <f>IFERROR(IF(ISNUMBER(FIND(".",Клиенты_исходные!G386)),DATE(RIGHT(Клиенты_исходные!G386,4),MID(Клиенты_исходные!G386,4,2),LEFT(Клиенты_исходные!G386,2)),DATE(LEFT(Клиенты_исходные!G386,4),MID(Клиенты_исходные!G386,6,2),RIGHT(Клиенты_исходные!G386,2))),Клиенты_исходные!G386)</f>
        <v>48458</v>
      </c>
      <c r="H386">
        <f t="shared" ca="1" si="64"/>
        <v>53</v>
      </c>
      <c r="I386" t="str">
        <f t="shared" si="65"/>
        <v>OK</v>
      </c>
      <c r="J386" t="str">
        <f t="shared" si="66"/>
        <v>OK</v>
      </c>
    </row>
    <row r="387">
      <c r="A387" t="str">
        <f>Клиенты_исходные!A387</f>
        <v>C0386</v>
      </c>
      <c r="B387" t="str">
        <f>PROPER(TRIM(Клиенты_исходные!B387))</f>
        <v xml:space="preserve">Васюков Денис Викторович</v>
      </c>
      <c r="C387" s="8">
        <f>IFERROR(IF(ISNUMBER(FIND(".",Клиенты_исходные!C387)),DATE(RIGHT(Клиенты_исходные!C387,4),MID(Клиенты_исходные!C387,4,2),LEFT(Клиенты_исходные!C387,2)),DATE(LEFT(Клиенты_исходные!C387,4),MID(Клиенты_исходные!C387,6,2),RIGHT(Клиенты_исходные!C387,2))),Клиенты_исходные!C387)</f>
        <v>29156</v>
      </c>
      <c r="D387" t="str">
        <f>IF(ISBLANK(Клиенты_исходные!D387),"",IF(LEN(SUBSTITUTE(SUBSTITUTE(SUBSTITUTE(SUBSTITUTE(SUBSTITUTE(Клиенты_исходные!D387," ",""),"-",""),"+",""),"(",""),")",""))=11,"+7 ("&amp;MID(IF(LEFT(SUBSTITUTE(SUBSTITUTE(SUBSTITUTE(SUBSTITUTE(SUBSTITUTE(Клиенты_исходные!D387," ",""),"-",""),"+",""),"(",""),")",""))="8","7"&amp;MID(SUBSTITUTE(SUBSTITUTE(SUBSTITUTE(SUBSTITUTE(SUBSTITUTE(Клиенты_исходные!D387," ",""),"-",""),"+",""),"(",""),")",""),2,10),SUBSTITUTE(SUBSTITUTE(SUBSTITUTE(SUBSTITUTE(SUBSTITUTE(Клиенты_исходные!D387," ",""),"-",""),"+",""),"(",""),")","")),2,3)&amp;") "&amp;MID(IF(LEFT(SUBSTITUTE(SUBSTITUTE(SUBSTITUTE(SUBSTITUTE(SUBSTITUTE(Клиенты_исходные!D387," ",""),"-",""),"+",""),"(",""),")",""))="8","7"&amp;MID(SUBSTITUTE(SUBSTITUTE(SUBSTITUTE(SUBSTITUTE(SUBSTITUTE(Клиенты_исходные!D387," ",""),"-",""),"+",""),"(",""),")",""),2,10),SUBSTITUTE(SUBSTITUTE(SUBSTITUTE(SUBSTITUTE(SUBSTITUTE(Клиенты_исходные!D387," ",""),"-",""),"+",""),"(",""),")","")),5,3)&amp;"-"&amp;MID(IF(LEFT(SUBSTITUTE(SUBSTITUTE(SUBSTITUTE(SUBSTITUTE(SUBSTITUTE(Клиенты_исходные!D387," ",""),"-",""),"+",""),"(",""),")",""))="8","7"&amp;MID(SUBSTITUTE(SUBSTITUTE(SUBSTITUTE(SUBSTITUTE(SUBSTITUTE(Клиенты_исходные!D387," ",""),"-",""),"+",""),"(",""),")",""),2,10),SUBSTITUTE(SUBSTITUTE(SUBSTITUTE(SUBSTITUTE(SUBSTITUTE(Клиенты_исходные!D387," ",""),"-",""),"+",""),"(",""),")","")),8,2)&amp;"-"&amp;MID(IF(LEFT(SUBSTITUTE(SUBSTITUTE(SUBSTITUTE(SUBSTITUTE(SUBSTITUTE(Клиенты_исходные!D387," ",""),"-",""),"+",""),"(",""),")",""))="8","7"&amp;MID(SUBSTITUTE(SUBSTITUTE(SUBSTITUTE(SUBSTITUTE(SUBSTITUTE(Клиенты_исходные!D387," ",""),"-",""),"+",""),"(",""),")",""),2,10),SUBSTITUTE(SUBSTITUTE(SUBSTITUTE(SUBSTITUTE(SUBSTITUTE(Клиенты_исходные!D387," ",""),"-",""),"+",""),"(",""),")","")),10,2),IF(LEN(SUBSTITUTE(SUBSTITUTE(SUBSTITUTE(SUBSTITUTE(SUBSTITUTE(Клиенты_исходные!D387," ",""),"-",""),"+",""),"(",""),")",""))=10,"+7 ("&amp;MID(SUBSTITUTE(SUBSTITUTE(SUBSTITUTE(SUBSTITUTE(SUBSTITUTE(Клиенты_исходные!D387," ",""),"-",""),"+",""),"(",""),")",""),1,3)&amp;") "&amp;MID(SUBSTITUTE(SUBSTITUTE(SUBSTITUTE(SUBSTITUTE(SUBSTITUTE(Клиенты_исходные!D387," ",""),"-",""),"+",""),"(",""),")",""),4,3)&amp;"-"&amp;MID(SUBSTITUTE(SUBSTITUTE(SUBSTITUTE(SUBSTITUTE(SUBSTITUTE(Клиенты_исходные!D387," ",""),"-",""),"+",""),"(",""),")",""),6,2)&amp;"-"&amp;MID(SUBSTITUTE(SUBSTITUTE(SUBSTITUTE(SUBSTITUTE(SUBSTITUTE(Клиенты_исходные!D387," ",""),"-",""),"+",""),"(",""),")",""),8,2),Клиенты_исходные!D387)))</f>
        <v xml:space="preserve">+7 (903) 456-78-90</v>
      </c>
      <c r="E387" t="str">
        <f>IF(ISBLANK(Клиенты_исходные!E387),"",IF(ISNUMBER(FIND(".",MID(Клиенты_исходные!E387,FIND("@",Клиенты_исходные!E387)+1,255))),Клиенты_исходные!E387,IF(ISNUMBER(FIND("gmail",Клиенты_исходные!E387)),Клиенты_исходные!E387&amp;".com",Клиенты_исходные!E387&amp;".ru")))</f>
        <v>vasyukov@yandex.ru</v>
      </c>
      <c r="F387" t="str">
        <f>IFERROR(VLOOKUP(Клиенты_исходные!F387,Справочники!$J$2:$K$50,2,FALSE),Клиенты_исходные!F387)</f>
        <v>Симферополь</v>
      </c>
      <c r="G387" s="8">
        <f>IFERROR(IF(ISNUMBER(FIND(".",Клиенты_исходные!G387)),DATE(RIGHT(Клиенты_исходные!G387,4),MID(Клиенты_исходные!G387,4,2),LEFT(Клиенты_исходные!G387,2)),DATE(LEFT(Клиенты_исходные!G387,4),MID(Клиенты_исходные!G387,6,2),RIGHT(Клиенты_исходные!G387,2))),Клиенты_исходные!G387)</f>
        <v>48472</v>
      </c>
      <c r="H387">
        <f t="shared" ca="1" si="64"/>
        <v>46</v>
      </c>
      <c r="I387" t="str">
        <f t="shared" si="65"/>
        <v>OK</v>
      </c>
      <c r="J387" t="str">
        <f t="shared" si="66"/>
        <v>OK</v>
      </c>
    </row>
    <row r="388">
      <c r="A388" t="str">
        <f>Клиенты_исходные!A388</f>
        <v>C0387</v>
      </c>
      <c r="B388" t="str">
        <f>PROPER(TRIM(Клиенты_исходные!B388))</f>
        <v xml:space="preserve">Кузьминова Елена Игоревна</v>
      </c>
      <c r="C388" s="8">
        <f>IFERROR(IF(ISNUMBER(FIND(".",Клиенты_исходные!C388)),DATE(RIGHT(Клиенты_исходные!C388,4),MID(Клиенты_исходные!C388,4,2),LEFT(Клиенты_исходные!C388,2)),DATE(LEFT(Клиенты_исходные!C388,4),MID(Клиенты_исходные!C388,6,2),RIGHT(Клиенты_исходные!C388,2))),Клиенты_исходные!C388)</f>
        <v>31496</v>
      </c>
      <c r="D388" t="str">
        <f>IF(ISBLANK(Клиенты_исходные!D388),"",IF(LEN(SUBSTITUTE(SUBSTITUTE(SUBSTITUTE(SUBSTITUTE(SUBSTITUTE(Клиенты_исходные!D388," ",""),"-",""),"+",""),"(",""),")",""))=11,"+7 ("&amp;MID(IF(LEFT(SUBSTITUTE(SUBSTITUTE(SUBSTITUTE(SUBSTITUTE(SUBSTITUTE(Клиенты_исходные!D388," ",""),"-",""),"+",""),"(",""),")",""))="8","7"&amp;MID(SUBSTITUTE(SUBSTITUTE(SUBSTITUTE(SUBSTITUTE(SUBSTITUTE(Клиенты_исходные!D388," ",""),"-",""),"+",""),"(",""),")",""),2,10),SUBSTITUTE(SUBSTITUTE(SUBSTITUTE(SUBSTITUTE(SUBSTITUTE(Клиенты_исходные!D388," ",""),"-",""),"+",""),"(",""),")","")),2,3)&amp;") "&amp;MID(IF(LEFT(SUBSTITUTE(SUBSTITUTE(SUBSTITUTE(SUBSTITUTE(SUBSTITUTE(Клиенты_исходные!D388," ",""),"-",""),"+",""),"(",""),")",""))="8","7"&amp;MID(SUBSTITUTE(SUBSTITUTE(SUBSTITUTE(SUBSTITUTE(SUBSTITUTE(Клиенты_исходные!D388," ",""),"-",""),"+",""),"(",""),")",""),2,10),SUBSTITUTE(SUBSTITUTE(SUBSTITUTE(SUBSTITUTE(SUBSTITUTE(Клиенты_исходные!D388," ",""),"-",""),"+",""),"(",""),")","")),5,3)&amp;"-"&amp;MID(IF(LEFT(SUBSTITUTE(SUBSTITUTE(SUBSTITUTE(SUBSTITUTE(SUBSTITUTE(Клиенты_исходные!D388," ",""),"-",""),"+",""),"(",""),")",""))="8","7"&amp;MID(SUBSTITUTE(SUBSTITUTE(SUBSTITUTE(SUBSTITUTE(SUBSTITUTE(Клиенты_исходные!D388," ",""),"-",""),"+",""),"(",""),")",""),2,10),SUBSTITUTE(SUBSTITUTE(SUBSTITUTE(SUBSTITUTE(SUBSTITUTE(Клиенты_исходные!D388," ",""),"-",""),"+",""),"(",""),")","")),8,2)&amp;"-"&amp;MID(IF(LEFT(SUBSTITUTE(SUBSTITUTE(SUBSTITUTE(SUBSTITUTE(SUBSTITUTE(Клиенты_исходные!D388," ",""),"-",""),"+",""),"(",""),")",""))="8","7"&amp;MID(SUBSTITUTE(SUBSTITUTE(SUBSTITUTE(SUBSTITUTE(SUBSTITUTE(Клиенты_исходные!D388," ",""),"-",""),"+",""),"(",""),")",""),2,10),SUBSTITUTE(SUBSTITUTE(SUBSTITUTE(SUBSTITUTE(SUBSTITUTE(Клиенты_исходные!D388," ",""),"-",""),"+",""),"(",""),")","")),10,2),IF(LEN(SUBSTITUTE(SUBSTITUTE(SUBSTITUTE(SUBSTITUTE(SUBSTITUTE(Клиенты_исходные!D388," ",""),"-",""),"+",""),"(",""),")",""))=10,"+7 ("&amp;MID(SUBSTITUTE(SUBSTITUTE(SUBSTITUTE(SUBSTITUTE(SUBSTITUTE(Клиенты_исходные!D388," ",""),"-",""),"+",""),"(",""),")",""),1,3)&amp;") "&amp;MID(SUBSTITUTE(SUBSTITUTE(SUBSTITUTE(SUBSTITUTE(SUBSTITUTE(Клиенты_исходные!D388," ",""),"-",""),"+",""),"(",""),")",""),4,3)&amp;"-"&amp;MID(SUBSTITUTE(SUBSTITUTE(SUBSTITUTE(SUBSTITUTE(SUBSTITUTE(Клиенты_исходные!D388," ",""),"-",""),"+",""),"(",""),")",""),6,2)&amp;"-"&amp;MID(SUBSTITUTE(SUBSTITUTE(SUBSTITUTE(SUBSTITUTE(SUBSTITUTE(Клиенты_исходные!D388," ",""),"-",""),"+",""),"(",""),")",""),8,2),Клиенты_исходные!D388)))</f>
        <v xml:space="preserve">+7 (903) 567-89-01</v>
      </c>
      <c r="E388" t="str">
        <f>IF(ISBLANK(Клиенты_исходные!E388),"",IF(ISNUMBER(FIND(".",MID(Клиенты_исходные!E388,FIND("@",Клиенты_исходные!E388)+1,255))),Клиенты_исходные!E388,IF(ISNUMBER(FIND("gmail",Клиенты_исходные!E388)),Клиенты_исходные!E388&amp;".com",Клиенты_исходные!E388&amp;".ru")))</f>
        <v>kuzminova@gmail.com</v>
      </c>
      <c r="F388" t="str">
        <f>IFERROR(VLOOKUP(Клиенты_исходные!F388,Справочники!$J$2:$K$50,2,FALSE),Клиенты_исходные!F388)</f>
        <v>Брянск</v>
      </c>
      <c r="G388" s="8">
        <f>IFERROR(IF(ISNUMBER(FIND(".",Клиенты_исходные!G388)),DATE(RIGHT(Клиенты_исходные!G388,4),MID(Клиенты_исходные!G388,4,2),LEFT(Клиенты_исходные!G388,2)),DATE(LEFT(Клиенты_исходные!G388,4),MID(Клиенты_исходные!G388,6,2),RIGHT(Клиенты_исходные!G388,2))),Клиенты_исходные!G388)</f>
        <v>48472</v>
      </c>
      <c r="H388">
        <f t="shared" ca="1" si="64"/>
        <v>40</v>
      </c>
      <c r="I388" t="str">
        <f t="shared" si="65"/>
        <v>OK</v>
      </c>
      <c r="J388" t="str">
        <f t="shared" si="66"/>
        <v>OK</v>
      </c>
    </row>
    <row r="389">
      <c r="A389" t="str">
        <f>Клиенты_исходные!A389</f>
        <v>C0388</v>
      </c>
      <c r="B389" t="str">
        <f>PROPER(TRIM(Клиенты_исходные!B389))</f>
        <v xml:space="preserve">Стрелков Илья Александрович</v>
      </c>
      <c r="C389" s="8">
        <f>IFERROR(IF(ISNUMBER(FIND(".",Клиенты_исходные!C389)),DATE(RIGHT(Клиенты_исходные!C389,4),MID(Клиенты_исходные!C389,4,2),LEFT(Клиенты_исходные!C389,2)),DATE(LEFT(Клиенты_исходные!C389,4),MID(Клиенты_исходные!C389,6,2),RIGHT(Клиенты_исходные!C389,2))),Клиенты_исходные!C389)</f>
        <v>33464</v>
      </c>
      <c r="D389" t="str">
        <f>IF(ISBLANK(Клиенты_исходные!D389),"",IF(LEN(SUBSTITUTE(SUBSTITUTE(SUBSTITUTE(SUBSTITUTE(SUBSTITUTE(Клиенты_исходные!D389," ",""),"-",""),"+",""),"(",""),")",""))=11,"+7 ("&amp;MID(IF(LEFT(SUBSTITUTE(SUBSTITUTE(SUBSTITUTE(SUBSTITUTE(SUBSTITUTE(Клиенты_исходные!D389," ",""),"-",""),"+",""),"(",""),")",""))="8","7"&amp;MID(SUBSTITUTE(SUBSTITUTE(SUBSTITUTE(SUBSTITUTE(SUBSTITUTE(Клиенты_исходные!D389," ",""),"-",""),"+",""),"(",""),")",""),2,10),SUBSTITUTE(SUBSTITUTE(SUBSTITUTE(SUBSTITUTE(SUBSTITUTE(Клиенты_исходные!D389," ",""),"-",""),"+",""),"(",""),")","")),2,3)&amp;") "&amp;MID(IF(LEFT(SUBSTITUTE(SUBSTITUTE(SUBSTITUTE(SUBSTITUTE(SUBSTITUTE(Клиенты_исходные!D389," ",""),"-",""),"+",""),"(",""),")",""))="8","7"&amp;MID(SUBSTITUTE(SUBSTITUTE(SUBSTITUTE(SUBSTITUTE(SUBSTITUTE(Клиенты_исходные!D389," ",""),"-",""),"+",""),"(",""),")",""),2,10),SUBSTITUTE(SUBSTITUTE(SUBSTITUTE(SUBSTITUTE(SUBSTITUTE(Клиенты_исходные!D389," ",""),"-",""),"+",""),"(",""),")","")),5,3)&amp;"-"&amp;MID(IF(LEFT(SUBSTITUTE(SUBSTITUTE(SUBSTITUTE(SUBSTITUTE(SUBSTITUTE(Клиенты_исходные!D389," ",""),"-",""),"+",""),"(",""),")",""))="8","7"&amp;MID(SUBSTITUTE(SUBSTITUTE(SUBSTITUTE(SUBSTITUTE(SUBSTITUTE(Клиенты_исходные!D389," ",""),"-",""),"+",""),"(",""),")",""),2,10),SUBSTITUTE(SUBSTITUTE(SUBSTITUTE(SUBSTITUTE(SUBSTITUTE(Клиенты_исходные!D389," ",""),"-",""),"+",""),"(",""),")","")),8,2)&amp;"-"&amp;MID(IF(LEFT(SUBSTITUTE(SUBSTITUTE(SUBSTITUTE(SUBSTITUTE(SUBSTITUTE(Клиенты_исходные!D389," ",""),"-",""),"+",""),"(",""),")",""))="8","7"&amp;MID(SUBSTITUTE(SUBSTITUTE(SUBSTITUTE(SUBSTITUTE(SUBSTITUTE(Клиенты_исходные!D389," ",""),"-",""),"+",""),"(",""),")",""),2,10),SUBSTITUTE(SUBSTITUTE(SUBSTITUTE(SUBSTITUTE(SUBSTITUTE(Клиенты_исходные!D389," ",""),"-",""),"+",""),"(",""),")","")),10,2),IF(LEN(SUBSTITUTE(SUBSTITUTE(SUBSTITUTE(SUBSTITUTE(SUBSTITUTE(Клиенты_исходные!D389," ",""),"-",""),"+",""),"(",""),")",""))=10,"+7 ("&amp;MID(SUBSTITUTE(SUBSTITUTE(SUBSTITUTE(SUBSTITUTE(SUBSTITUTE(Клиенты_исходные!D389," ",""),"-",""),"+",""),"(",""),")",""),1,3)&amp;") "&amp;MID(SUBSTITUTE(SUBSTITUTE(SUBSTITUTE(SUBSTITUTE(SUBSTITUTE(Клиенты_исходные!D389," ",""),"-",""),"+",""),"(",""),")",""),4,3)&amp;"-"&amp;MID(SUBSTITUTE(SUBSTITUTE(SUBSTITUTE(SUBSTITUTE(SUBSTITUTE(Клиенты_исходные!D389," ",""),"-",""),"+",""),"(",""),")",""),6,2)&amp;"-"&amp;MID(SUBSTITUTE(SUBSTITUTE(SUBSTITUTE(SUBSTITUTE(SUBSTITUTE(Клиенты_исходные!D389," ",""),"-",""),"+",""),"(",""),")",""),8,2),Клиенты_исходные!D389)))</f>
        <v xml:space="preserve">+7 (903) 567-89-01</v>
      </c>
      <c r="E389" t="str">
        <f>IF(ISBLANK(Клиенты_исходные!E389),"",IF(ISNUMBER(FIND(".",MID(Клиенты_исходные!E389,FIND("@",Клиенты_исходные!E389)+1,255))),Клиенты_исходные!E389,IF(ISNUMBER(FIND("gmail",Клиенты_исходные!E389)),Клиенты_исходные!E389&amp;".com",Клиенты_исходные!E389&amp;".ru")))</f>
        <v>strelkov@mail.ru</v>
      </c>
      <c r="F389" t="str">
        <f>IFERROR(VLOOKUP(Клиенты_исходные!F389,Справочники!$J$2:$K$50,2,FALSE),Клиенты_исходные!F389)</f>
        <v>Абакан</v>
      </c>
      <c r="G389" s="8">
        <f>IFERROR(IF(ISNUMBER(FIND(".",Клиенты_исходные!G389)),DATE(RIGHT(Клиенты_исходные!G389,4),MID(Клиенты_исходные!G389,4,2),LEFT(Клиенты_исходные!G389,2)),DATE(LEFT(Клиенты_исходные!G389,4),MID(Клиенты_исходные!G389,6,2),RIGHT(Клиенты_исходные!G389,2))),Клиенты_исходные!G389)</f>
        <v>48488</v>
      </c>
      <c r="H389">
        <f t="shared" ca="1" si="64"/>
        <v>35</v>
      </c>
      <c r="I389" t="str">
        <f t="shared" si="65"/>
        <v>OK</v>
      </c>
      <c r="J389" t="str">
        <f t="shared" si="66"/>
        <v>OK</v>
      </c>
    </row>
    <row r="390">
      <c r="A390" t="str">
        <f>Клиенты_исходные!A390</f>
        <v>C0389</v>
      </c>
      <c r="B390" t="str">
        <f>PROPER(TRIM(Клиенты_исходные!B390))</f>
        <v xml:space="preserve">Волкова Оксана Владимировна</v>
      </c>
      <c r="C390" s="8">
        <f>IFERROR(IF(ISNUMBER(FIND(".",Клиенты_исходные!C390)),DATE(RIGHT(Клиенты_исходные!C390,4),MID(Клиенты_исходные!C390,4,2),LEFT(Клиенты_исходные!C390,2)),DATE(LEFT(Клиенты_исходные!C390,4),MID(Клиенты_исходные!C390,6,2),RIGHT(Клиенты_исходные!C390,2))),Клиенты_исходные!C390)</f>
        <v>28282</v>
      </c>
      <c r="D390" t="str">
        <f>IF(ISBLANK(Клиенты_исходные!D390),"",IF(LEN(SUBSTITUTE(SUBSTITUTE(SUBSTITUTE(SUBSTITUTE(SUBSTITUTE(Клиенты_исходные!D390," ",""),"-",""),"+",""),"(",""),")",""))=11,"+7 ("&amp;MID(IF(LEFT(SUBSTITUTE(SUBSTITUTE(SUBSTITUTE(SUBSTITUTE(SUBSTITUTE(Клиенты_исходные!D390," ",""),"-",""),"+",""),"(",""),")",""))="8","7"&amp;MID(SUBSTITUTE(SUBSTITUTE(SUBSTITUTE(SUBSTITUTE(SUBSTITUTE(Клиенты_исходные!D390," ",""),"-",""),"+",""),"(",""),")",""),2,10),SUBSTITUTE(SUBSTITUTE(SUBSTITUTE(SUBSTITUTE(SUBSTITUTE(Клиенты_исходные!D390," ",""),"-",""),"+",""),"(",""),")","")),2,3)&amp;") "&amp;MID(IF(LEFT(SUBSTITUTE(SUBSTITUTE(SUBSTITUTE(SUBSTITUTE(SUBSTITUTE(Клиенты_исходные!D390," ",""),"-",""),"+",""),"(",""),")",""))="8","7"&amp;MID(SUBSTITUTE(SUBSTITUTE(SUBSTITUTE(SUBSTITUTE(SUBSTITUTE(Клиенты_исходные!D390," ",""),"-",""),"+",""),"(",""),")",""),2,10),SUBSTITUTE(SUBSTITUTE(SUBSTITUTE(SUBSTITUTE(SUBSTITUTE(Клиенты_исходные!D390," ",""),"-",""),"+",""),"(",""),")","")),5,3)&amp;"-"&amp;MID(IF(LEFT(SUBSTITUTE(SUBSTITUTE(SUBSTITUTE(SUBSTITUTE(SUBSTITUTE(Клиенты_исходные!D390," ",""),"-",""),"+",""),"(",""),")",""))="8","7"&amp;MID(SUBSTITUTE(SUBSTITUTE(SUBSTITUTE(SUBSTITUTE(SUBSTITUTE(Клиенты_исходные!D390," ",""),"-",""),"+",""),"(",""),")",""),2,10),SUBSTITUTE(SUBSTITUTE(SUBSTITUTE(SUBSTITUTE(SUBSTITUTE(Клиенты_исходные!D390," ",""),"-",""),"+",""),"(",""),")","")),8,2)&amp;"-"&amp;MID(IF(LEFT(SUBSTITUTE(SUBSTITUTE(SUBSTITUTE(SUBSTITUTE(SUBSTITUTE(Клиенты_исходные!D390," ",""),"-",""),"+",""),"(",""),")",""))="8","7"&amp;MID(SUBSTITUTE(SUBSTITUTE(SUBSTITUTE(SUBSTITUTE(SUBSTITUTE(Клиенты_исходные!D390," ",""),"-",""),"+",""),"(",""),")",""),2,10),SUBSTITUTE(SUBSTITUTE(SUBSTITUTE(SUBSTITUTE(SUBSTITUTE(Клиенты_исходные!D390," ",""),"-",""),"+",""),"(",""),")","")),10,2),IF(LEN(SUBSTITUTE(SUBSTITUTE(SUBSTITUTE(SUBSTITUTE(SUBSTITUTE(Клиенты_исходные!D390," ",""),"-",""),"+",""),"(",""),")",""))=10,"+7 ("&amp;MID(SUBSTITUTE(SUBSTITUTE(SUBSTITUTE(SUBSTITUTE(SUBSTITUTE(Клиенты_исходные!D390," ",""),"-",""),"+",""),"(",""),")",""),1,3)&amp;") "&amp;MID(SUBSTITUTE(SUBSTITUTE(SUBSTITUTE(SUBSTITUTE(SUBSTITUTE(Клиенты_исходные!D390," ",""),"-",""),"+",""),"(",""),")",""),4,3)&amp;"-"&amp;MID(SUBSTITUTE(SUBSTITUTE(SUBSTITUTE(SUBSTITUTE(SUBSTITUTE(Клиенты_исходные!D390," ",""),"-",""),"+",""),"(",""),")",""),6,2)&amp;"-"&amp;MID(SUBSTITUTE(SUBSTITUTE(SUBSTITUTE(SUBSTITUTE(SUBSTITUTE(Клиенты_исходные!D390," ",""),"-",""),"+",""),"(",""),")",""),8,2),Клиенты_исходные!D390)))</f>
        <v xml:space="preserve">+7 (903) 567-89-01</v>
      </c>
      <c r="E390" t="str">
        <f>IF(ISBLANK(Клиенты_исходные!E390),"",IF(ISNUMBER(FIND(".",MID(Клиенты_исходные!E390,FIND("@",Клиенты_исходные!E390)+1,255))),Клиенты_исходные!E390,IF(ISNUMBER(FIND("gmail",Клиенты_исходные!E390)),Клиенты_исходные!E390&amp;".com",Клиенты_исходные!E390&amp;".ru")))</f>
        <v>volkova@yandex.ru</v>
      </c>
      <c r="F390" t="str">
        <f>IFERROR(VLOOKUP(Клиенты_исходные!F390,Справочники!$J$2:$K$50,2,FALSE),Клиенты_исходные!F390)</f>
        <v>Грозный</v>
      </c>
      <c r="G390" s="8">
        <f>IFERROR(IF(ISNUMBER(FIND(".",Клиенты_исходные!G390)),DATE(RIGHT(Клиенты_исходные!G390,4),MID(Клиенты_исходные!G390,4,2),LEFT(Клиенты_исходные!G390,2)),DATE(LEFT(Клиенты_исходные!G390,4),MID(Клиенты_исходные!G390,6,2),RIGHT(Клиенты_исходные!G390,2))),Клиенты_исходные!G390)</f>
        <v>48497</v>
      </c>
      <c r="H390">
        <f t="shared" ca="1" si="64"/>
        <v>49</v>
      </c>
      <c r="I390" t="str">
        <f t="shared" si="65"/>
        <v>OK</v>
      </c>
      <c r="J390" t="str">
        <f t="shared" si="66"/>
        <v>OK</v>
      </c>
    </row>
    <row r="391">
      <c r="A391" t="str">
        <f>Клиенты_исходные!A391</f>
        <v>C0390</v>
      </c>
      <c r="B391" t="str">
        <f>PROPER(TRIM(Клиенты_исходные!B391))</f>
        <v xml:space="preserve">Пронин Алексей Петрович</v>
      </c>
      <c r="C391" s="8">
        <f>IFERROR(IF(ISNUMBER(FIND(".",Клиенты_исходные!C391)),DATE(RIGHT(Клиенты_исходные!C391,4),MID(Клиенты_исходные!C391,4,2),LEFT(Клиенты_исходные!C391,2)),DATE(LEFT(Клиенты_исходные!C391,4),MID(Клиенты_исходные!C391,6,2),RIGHT(Клиенты_исходные!C391,2))),Клиенты_исходные!C391)</f>
        <v>31034</v>
      </c>
      <c r="D391" t="str">
        <f>IF(ISBLANK(Клиенты_исходные!D391),"",IF(LEN(SUBSTITUTE(SUBSTITUTE(SUBSTITUTE(SUBSTITUTE(SUBSTITUTE(Клиенты_исходные!D391," ",""),"-",""),"+",""),"(",""),")",""))=11,"+7 ("&amp;MID(IF(LEFT(SUBSTITUTE(SUBSTITUTE(SUBSTITUTE(SUBSTITUTE(SUBSTITUTE(Клиенты_исходные!D391," ",""),"-",""),"+",""),"(",""),")",""))="8","7"&amp;MID(SUBSTITUTE(SUBSTITUTE(SUBSTITUTE(SUBSTITUTE(SUBSTITUTE(Клиенты_исходные!D391," ",""),"-",""),"+",""),"(",""),")",""),2,10),SUBSTITUTE(SUBSTITUTE(SUBSTITUTE(SUBSTITUTE(SUBSTITUTE(Клиенты_исходные!D391," ",""),"-",""),"+",""),"(",""),")","")),2,3)&amp;") "&amp;MID(IF(LEFT(SUBSTITUTE(SUBSTITUTE(SUBSTITUTE(SUBSTITUTE(SUBSTITUTE(Клиенты_исходные!D391," ",""),"-",""),"+",""),"(",""),")",""))="8","7"&amp;MID(SUBSTITUTE(SUBSTITUTE(SUBSTITUTE(SUBSTITUTE(SUBSTITUTE(Клиенты_исходные!D391," ",""),"-",""),"+",""),"(",""),")",""),2,10),SUBSTITUTE(SUBSTITUTE(SUBSTITUTE(SUBSTITUTE(SUBSTITUTE(Клиенты_исходные!D391," ",""),"-",""),"+",""),"(",""),")","")),5,3)&amp;"-"&amp;MID(IF(LEFT(SUBSTITUTE(SUBSTITUTE(SUBSTITUTE(SUBSTITUTE(SUBSTITUTE(Клиенты_исходные!D391," ",""),"-",""),"+",""),"(",""),")",""))="8","7"&amp;MID(SUBSTITUTE(SUBSTITUTE(SUBSTITUTE(SUBSTITUTE(SUBSTITUTE(Клиенты_исходные!D391," ",""),"-",""),"+",""),"(",""),")",""),2,10),SUBSTITUTE(SUBSTITUTE(SUBSTITUTE(SUBSTITUTE(SUBSTITUTE(Клиенты_исходные!D391," ",""),"-",""),"+",""),"(",""),")","")),8,2)&amp;"-"&amp;MID(IF(LEFT(SUBSTITUTE(SUBSTITUTE(SUBSTITUTE(SUBSTITUTE(SUBSTITUTE(Клиенты_исходные!D391," ",""),"-",""),"+",""),"(",""),")",""))="8","7"&amp;MID(SUBSTITUTE(SUBSTITUTE(SUBSTITUTE(SUBSTITUTE(SUBSTITUTE(Клиенты_исходные!D391," ",""),"-",""),"+",""),"(",""),")",""),2,10),SUBSTITUTE(SUBSTITUTE(SUBSTITUTE(SUBSTITUTE(SUBSTITUTE(Клиенты_исходные!D391," ",""),"-",""),"+",""),"(",""),")","")),10,2),IF(LEN(SUBSTITUTE(SUBSTITUTE(SUBSTITUTE(SUBSTITUTE(SUBSTITUTE(Клиенты_исходные!D391," ",""),"-",""),"+",""),"(",""),")",""))=10,"+7 ("&amp;MID(SUBSTITUTE(SUBSTITUTE(SUBSTITUTE(SUBSTITUTE(SUBSTITUTE(Клиенты_исходные!D391," ",""),"-",""),"+",""),"(",""),")",""),1,3)&amp;") "&amp;MID(SUBSTITUTE(SUBSTITUTE(SUBSTITUTE(SUBSTITUTE(SUBSTITUTE(Клиенты_исходные!D391," ",""),"-",""),"+",""),"(",""),")",""),4,3)&amp;"-"&amp;MID(SUBSTITUTE(SUBSTITUTE(SUBSTITUTE(SUBSTITUTE(SUBSTITUTE(Клиенты_исходные!D391," ",""),"-",""),"+",""),"(",""),")",""),6,2)&amp;"-"&amp;MID(SUBSTITUTE(SUBSTITUTE(SUBSTITUTE(SUBSTITUTE(SUBSTITUTE(Клиенты_исходные!D391," ",""),"-",""),"+",""),"(",""),")",""),8,2),Клиенты_исходные!D391)))</f>
        <v xml:space="preserve">+7 (903) 678-90-12</v>
      </c>
      <c r="E391" t="str">
        <f>IF(ISBLANK(Клиенты_исходные!E391),"",IF(ISNUMBER(FIND(".",MID(Клиенты_исходные!E391,FIND("@",Клиенты_исходные!E391)+1,255))),Клиенты_исходные!E391,IF(ISNUMBER(FIND("gmail",Клиенты_исходные!E391)),Клиенты_исходные!E391&amp;".com",Клиенты_исходные!E391&amp;".ru")))</f>
        <v>pronin@gmail.com</v>
      </c>
      <c r="F391" t="str">
        <f>IFERROR(VLOOKUP(Клиенты_исходные!F391,Справочники!$J$2:$K$50,2,FALSE),Клиенты_исходные!F391)</f>
        <v>Бийск</v>
      </c>
      <c r="G391" s="8">
        <f>IFERROR(IF(ISNUMBER(FIND(".",Клиенты_исходные!G391)),DATE(RIGHT(Клиенты_исходные!G391,4),MID(Клиенты_исходные!G391,4,2),LEFT(Клиенты_исходные!G391,2)),DATE(LEFT(Клиенты_исходные!G391,4),MID(Клиенты_исходные!G391,6,2),RIGHT(Клиенты_исходные!G391,2))),Клиенты_исходные!G391)</f>
        <v>48497</v>
      </c>
      <c r="H391">
        <f t="shared" ca="1" si="64"/>
        <v>41</v>
      </c>
      <c r="I391" t="str">
        <f t="shared" si="65"/>
        <v>OK</v>
      </c>
      <c r="J391" t="str">
        <f t="shared" si="66"/>
        <v>OK</v>
      </c>
    </row>
    <row r="392">
      <c r="A392" t="str">
        <f>Клиенты_исходные!A392</f>
        <v>C0391</v>
      </c>
      <c r="B392" t="str">
        <f>PROPER(TRIM(Клиенты_исходные!B392))</f>
        <v xml:space="preserve">Иваницкая Мария Николаевна</v>
      </c>
      <c r="C392" s="8">
        <f>IFERROR(IF(ISNUMBER(FIND(".",Клиенты_исходные!C392)),DATE(RIGHT(Клиенты_исходные!C392,4),MID(Клиенты_исходные!C392,4,2),LEFT(Клиенты_исходные!C392,2)),DATE(LEFT(Клиенты_исходные!C392,4),MID(Клиенты_исходные!C392,6,2),RIGHT(Клиенты_исходные!C392,2))),Клиенты_исходные!C392)</f>
        <v>33869</v>
      </c>
      <c r="D392" t="str">
        <f>IF(ISBLANK(Клиенты_исходные!D392),"",IF(LEN(SUBSTITUTE(SUBSTITUTE(SUBSTITUTE(SUBSTITUTE(SUBSTITUTE(Клиенты_исходные!D392," ",""),"-",""),"+",""),"(",""),")",""))=11,"+7 ("&amp;MID(IF(LEFT(SUBSTITUTE(SUBSTITUTE(SUBSTITUTE(SUBSTITUTE(SUBSTITUTE(Клиенты_исходные!D392," ",""),"-",""),"+",""),"(",""),")",""))="8","7"&amp;MID(SUBSTITUTE(SUBSTITUTE(SUBSTITUTE(SUBSTITUTE(SUBSTITUTE(Клиенты_исходные!D392," ",""),"-",""),"+",""),"(",""),")",""),2,10),SUBSTITUTE(SUBSTITUTE(SUBSTITUTE(SUBSTITUTE(SUBSTITUTE(Клиенты_исходные!D392," ",""),"-",""),"+",""),"(",""),")","")),2,3)&amp;") "&amp;MID(IF(LEFT(SUBSTITUTE(SUBSTITUTE(SUBSTITUTE(SUBSTITUTE(SUBSTITUTE(Клиенты_исходные!D392," ",""),"-",""),"+",""),"(",""),")",""))="8","7"&amp;MID(SUBSTITUTE(SUBSTITUTE(SUBSTITUTE(SUBSTITUTE(SUBSTITUTE(Клиенты_исходные!D392," ",""),"-",""),"+",""),"(",""),")",""),2,10),SUBSTITUTE(SUBSTITUTE(SUBSTITUTE(SUBSTITUTE(SUBSTITUTE(Клиенты_исходные!D392," ",""),"-",""),"+",""),"(",""),")","")),5,3)&amp;"-"&amp;MID(IF(LEFT(SUBSTITUTE(SUBSTITUTE(SUBSTITUTE(SUBSTITUTE(SUBSTITUTE(Клиенты_исходные!D392," ",""),"-",""),"+",""),"(",""),")",""))="8","7"&amp;MID(SUBSTITUTE(SUBSTITUTE(SUBSTITUTE(SUBSTITUTE(SUBSTITUTE(Клиенты_исходные!D392," ",""),"-",""),"+",""),"(",""),")",""),2,10),SUBSTITUTE(SUBSTITUTE(SUBSTITUTE(SUBSTITUTE(SUBSTITUTE(Клиенты_исходные!D392," ",""),"-",""),"+",""),"(",""),")","")),8,2)&amp;"-"&amp;MID(IF(LEFT(SUBSTITUTE(SUBSTITUTE(SUBSTITUTE(SUBSTITUTE(SUBSTITUTE(Клиенты_исходные!D392," ",""),"-",""),"+",""),"(",""),")",""))="8","7"&amp;MID(SUBSTITUTE(SUBSTITUTE(SUBSTITUTE(SUBSTITUTE(SUBSTITUTE(Клиенты_исходные!D392," ",""),"-",""),"+",""),"(",""),")",""),2,10),SUBSTITUTE(SUBSTITUTE(SUBSTITUTE(SUBSTITUTE(SUBSTITUTE(Клиенты_исходные!D392," ",""),"-",""),"+",""),"(",""),")","")),10,2),IF(LEN(SUBSTITUTE(SUBSTITUTE(SUBSTITUTE(SUBSTITUTE(SUBSTITUTE(Клиенты_исходные!D392," ",""),"-",""),"+",""),"(",""),")",""))=10,"+7 ("&amp;MID(SUBSTITUTE(SUBSTITUTE(SUBSTITUTE(SUBSTITUTE(SUBSTITUTE(Клиенты_исходные!D392," ",""),"-",""),"+",""),"(",""),")",""),1,3)&amp;") "&amp;MID(SUBSTITUTE(SUBSTITUTE(SUBSTITUTE(SUBSTITUTE(SUBSTITUTE(Клиенты_исходные!D392," ",""),"-",""),"+",""),"(",""),")",""),4,3)&amp;"-"&amp;MID(SUBSTITUTE(SUBSTITUTE(SUBSTITUTE(SUBSTITUTE(SUBSTITUTE(Клиенты_исходные!D392," ",""),"-",""),"+",""),"(",""),")",""),6,2)&amp;"-"&amp;MID(SUBSTITUTE(SUBSTITUTE(SUBSTITUTE(SUBSTITUTE(SUBSTITUTE(Клиенты_исходные!D392," ",""),"-",""),"+",""),"(",""),")",""),8,2),Клиенты_исходные!D392)))</f>
        <v xml:space="preserve">+7 (903) 678-90-12</v>
      </c>
      <c r="E392" t="str">
        <f>IF(ISBLANK(Клиенты_исходные!E392),"",IF(ISNUMBER(FIND(".",MID(Клиенты_исходные!E392,FIND("@",Клиенты_исходные!E392)+1,255))),Клиенты_исходные!E392,IF(ISNUMBER(FIND("gmail",Клиенты_исходные!E392)),Клиенты_исходные!E392&amp;".com",Клиенты_исходные!E392&amp;".ru")))</f>
        <v>ivanitskaya@mail.ru</v>
      </c>
      <c r="F392" t="str">
        <f>IFERROR(VLOOKUP(Клиенты_исходные!F392,Справочники!$J$2:$K$50,2,FALSE),Клиенты_исходные!F392)</f>
        <v>Йошкар-Ола</v>
      </c>
      <c r="G392" s="8">
        <f>IFERROR(IF(ISNUMBER(FIND(".",Клиенты_исходные!G392)),DATE(RIGHT(Клиенты_исходные!G392,4),MID(Клиенты_исходные!G392,4,2),LEFT(Клиенты_исходные!G392,2)),DATE(LEFT(Клиенты_исходные!G392,4),MID(Клиенты_исходные!G392,6,2),RIGHT(Клиенты_исходные!G392,2))),Клиенты_исходные!G392)</f>
        <v>48519</v>
      </c>
      <c r="H392">
        <f t="shared" ca="1" si="64"/>
        <v>34</v>
      </c>
      <c r="I392" t="str">
        <f t="shared" si="65"/>
        <v>OK</v>
      </c>
      <c r="J392" t="str">
        <f t="shared" si="66"/>
        <v>OK</v>
      </c>
    </row>
    <row r="393">
      <c r="A393" t="str">
        <f>Клиенты_исходные!A393</f>
        <v>C0392</v>
      </c>
      <c r="B393" t="str">
        <f>PROPER(TRIM(Клиенты_исходные!B393))</f>
        <v xml:space="preserve">Серпиков Андрей Олегович</v>
      </c>
      <c r="C393" s="8">
        <f>IFERROR(IF(ISNUMBER(FIND(".",Клиенты_исходные!C393)),DATE(RIGHT(Клиенты_исходные!C393,4),MID(Клиенты_исходные!C393,4,2),LEFT(Клиенты_исходные!C393,2)),DATE(LEFT(Клиенты_исходные!C393,4),MID(Клиенты_исходные!C393,6,2),RIGHT(Клиенты_исходные!C393,2))),Клиенты_исходные!C393)</f>
        <v>27591</v>
      </c>
      <c r="D393" t="str">
        <f>IF(ISBLANK(Клиенты_исходные!D393),"",IF(LEN(SUBSTITUTE(SUBSTITUTE(SUBSTITUTE(SUBSTITUTE(SUBSTITUTE(Клиенты_исходные!D393," ",""),"-",""),"+",""),"(",""),")",""))=11,"+7 ("&amp;MID(IF(LEFT(SUBSTITUTE(SUBSTITUTE(SUBSTITUTE(SUBSTITUTE(SUBSTITUTE(Клиенты_исходные!D393," ",""),"-",""),"+",""),"(",""),")",""))="8","7"&amp;MID(SUBSTITUTE(SUBSTITUTE(SUBSTITUTE(SUBSTITUTE(SUBSTITUTE(Клиенты_исходные!D393," ",""),"-",""),"+",""),"(",""),")",""),2,10),SUBSTITUTE(SUBSTITUTE(SUBSTITUTE(SUBSTITUTE(SUBSTITUTE(Клиенты_исходные!D393," ",""),"-",""),"+",""),"(",""),")","")),2,3)&amp;") "&amp;MID(IF(LEFT(SUBSTITUTE(SUBSTITUTE(SUBSTITUTE(SUBSTITUTE(SUBSTITUTE(Клиенты_исходные!D393," ",""),"-",""),"+",""),"(",""),")",""))="8","7"&amp;MID(SUBSTITUTE(SUBSTITUTE(SUBSTITUTE(SUBSTITUTE(SUBSTITUTE(Клиенты_исходные!D393," ",""),"-",""),"+",""),"(",""),")",""),2,10),SUBSTITUTE(SUBSTITUTE(SUBSTITUTE(SUBSTITUTE(SUBSTITUTE(Клиенты_исходные!D393," ",""),"-",""),"+",""),"(",""),")","")),5,3)&amp;"-"&amp;MID(IF(LEFT(SUBSTITUTE(SUBSTITUTE(SUBSTITUTE(SUBSTITUTE(SUBSTITUTE(Клиенты_исходные!D393," ",""),"-",""),"+",""),"(",""),")",""))="8","7"&amp;MID(SUBSTITUTE(SUBSTITUTE(SUBSTITUTE(SUBSTITUTE(SUBSTITUTE(Клиенты_исходные!D393," ",""),"-",""),"+",""),"(",""),")",""),2,10),SUBSTITUTE(SUBSTITUTE(SUBSTITUTE(SUBSTITUTE(SUBSTITUTE(Клиенты_исходные!D393," ",""),"-",""),"+",""),"(",""),")","")),8,2)&amp;"-"&amp;MID(IF(LEFT(SUBSTITUTE(SUBSTITUTE(SUBSTITUTE(SUBSTITUTE(SUBSTITUTE(Клиенты_исходные!D393," ",""),"-",""),"+",""),"(",""),")",""))="8","7"&amp;MID(SUBSTITUTE(SUBSTITUTE(SUBSTITUTE(SUBSTITUTE(SUBSTITUTE(Клиенты_исходные!D393," ",""),"-",""),"+",""),"(",""),")",""),2,10),SUBSTITUTE(SUBSTITUTE(SUBSTITUTE(SUBSTITUTE(SUBSTITUTE(Клиенты_исходные!D393," ",""),"-",""),"+",""),"(",""),")","")),10,2),IF(LEN(SUBSTITUTE(SUBSTITUTE(SUBSTITUTE(SUBSTITUTE(SUBSTITUTE(Клиенты_исходные!D393," ",""),"-",""),"+",""),"(",""),")",""))=10,"+7 ("&amp;MID(SUBSTITUTE(SUBSTITUTE(SUBSTITUTE(SUBSTITUTE(SUBSTITUTE(Клиенты_исходные!D393," ",""),"-",""),"+",""),"(",""),")",""),1,3)&amp;") "&amp;MID(SUBSTITUTE(SUBSTITUTE(SUBSTITUTE(SUBSTITUTE(SUBSTITUTE(Клиенты_исходные!D393," ",""),"-",""),"+",""),"(",""),")",""),4,3)&amp;"-"&amp;MID(SUBSTITUTE(SUBSTITUTE(SUBSTITUTE(SUBSTITUTE(SUBSTITUTE(Клиенты_исходные!D393," ",""),"-",""),"+",""),"(",""),")",""),6,2)&amp;"-"&amp;MID(SUBSTITUTE(SUBSTITUTE(SUBSTITUTE(SUBSTITUTE(SUBSTITUTE(Клиенты_исходные!D393," ",""),"-",""),"+",""),"(",""),")",""),8,2),Клиенты_исходные!D393)))</f>
        <v xml:space="preserve">+7 (903) 678-90-12</v>
      </c>
      <c r="E393" t="str">
        <f>IF(ISBLANK(Клиенты_исходные!E393),"",IF(ISNUMBER(FIND(".",MID(Клиенты_исходные!E393,FIND("@",Клиенты_исходные!E393)+1,255))),Клиенты_исходные!E393,IF(ISNUMBER(FIND("gmail",Клиенты_исходные!E393)),Клиенты_исходные!E393&amp;".com",Клиенты_исходные!E393&amp;".ru")))</f>
        <v>serpikov@yandex.ru</v>
      </c>
      <c r="F393" t="str">
        <f>IFERROR(VLOOKUP(Клиенты_исходные!F393,Справочники!$J$2:$K$50,2,FALSE),Клиенты_исходные!F393)</f>
        <v>Курган</v>
      </c>
      <c r="G393" s="8">
        <f>IFERROR(IF(ISNUMBER(FIND(".",Клиенты_исходные!G393)),DATE(RIGHT(Клиенты_исходные!G393,4),MID(Клиенты_исходные!G393,4,2),LEFT(Клиенты_исходные!G393,2)),DATE(LEFT(Клиенты_исходные!G393,4),MID(Клиенты_исходные!G393,6,2),RIGHT(Клиенты_исходные!G393,2))),Клиенты_исходные!G393)</f>
        <v>48533</v>
      </c>
      <c r="H393">
        <f t="shared" ca="1" si="64"/>
        <v>51</v>
      </c>
      <c r="I393" t="str">
        <f t="shared" si="65"/>
        <v>OK</v>
      </c>
      <c r="J393" t="str">
        <f t="shared" si="66"/>
        <v>OK</v>
      </c>
    </row>
    <row r="394">
      <c r="A394" t="str">
        <f>Клиенты_исходные!A394</f>
        <v>C0393</v>
      </c>
      <c r="B394" t="str">
        <f>PROPER(TRIM(Клиенты_исходные!B394))</f>
        <v xml:space="preserve">Рыбакова Елена Сергеевна</v>
      </c>
      <c r="C394" s="8">
        <f>IFERROR(IF(ISNUMBER(FIND(".",Клиенты_исходные!C394)),DATE(RIGHT(Клиенты_исходные!C394,4),MID(Клиенты_исходные!C394,4,2),LEFT(Клиенты_исходные!C394,2)),DATE(LEFT(Клиенты_исходные!C394,4),MID(Клиенты_исходные!C394,6,2),RIGHT(Клиенты_исходные!C394,2))),Клиенты_исходные!C394)</f>
        <v>29534</v>
      </c>
      <c r="D394" t="str">
        <f>IF(ISBLANK(Клиенты_исходные!D394),"",IF(LEN(SUBSTITUTE(SUBSTITUTE(SUBSTITUTE(SUBSTITUTE(SUBSTITUTE(Клиенты_исходные!D394," ",""),"-",""),"+",""),"(",""),")",""))=11,"+7 ("&amp;MID(IF(LEFT(SUBSTITUTE(SUBSTITUTE(SUBSTITUTE(SUBSTITUTE(SUBSTITUTE(Клиенты_исходные!D394," ",""),"-",""),"+",""),"(",""),")",""))="8","7"&amp;MID(SUBSTITUTE(SUBSTITUTE(SUBSTITUTE(SUBSTITUTE(SUBSTITUTE(Клиенты_исходные!D394," ",""),"-",""),"+",""),"(",""),")",""),2,10),SUBSTITUTE(SUBSTITUTE(SUBSTITUTE(SUBSTITUTE(SUBSTITUTE(Клиенты_исходные!D394," ",""),"-",""),"+",""),"(",""),")","")),2,3)&amp;") "&amp;MID(IF(LEFT(SUBSTITUTE(SUBSTITUTE(SUBSTITUTE(SUBSTITUTE(SUBSTITUTE(Клиенты_исходные!D394," ",""),"-",""),"+",""),"(",""),")",""))="8","7"&amp;MID(SUBSTITUTE(SUBSTITUTE(SUBSTITUTE(SUBSTITUTE(SUBSTITUTE(Клиенты_исходные!D394," ",""),"-",""),"+",""),"(",""),")",""),2,10),SUBSTITUTE(SUBSTITUTE(SUBSTITUTE(SUBSTITUTE(SUBSTITUTE(Клиенты_исходные!D394," ",""),"-",""),"+",""),"(",""),")","")),5,3)&amp;"-"&amp;MID(IF(LEFT(SUBSTITUTE(SUBSTITUTE(SUBSTITUTE(SUBSTITUTE(SUBSTITUTE(Клиенты_исходные!D394," ",""),"-",""),"+",""),"(",""),")",""))="8","7"&amp;MID(SUBSTITUTE(SUBSTITUTE(SUBSTITUTE(SUBSTITUTE(SUBSTITUTE(Клиенты_исходные!D394," ",""),"-",""),"+",""),"(",""),")",""),2,10),SUBSTITUTE(SUBSTITUTE(SUBSTITUTE(SUBSTITUTE(SUBSTITUTE(Клиенты_исходные!D394," ",""),"-",""),"+",""),"(",""),")","")),8,2)&amp;"-"&amp;MID(IF(LEFT(SUBSTITUTE(SUBSTITUTE(SUBSTITUTE(SUBSTITUTE(SUBSTITUTE(Клиенты_исходные!D394," ",""),"-",""),"+",""),"(",""),")",""))="8","7"&amp;MID(SUBSTITUTE(SUBSTITUTE(SUBSTITUTE(SUBSTITUTE(SUBSTITUTE(Клиенты_исходные!D394," ",""),"-",""),"+",""),"(",""),")",""),2,10),SUBSTITUTE(SUBSTITUTE(SUBSTITUTE(SUBSTITUTE(SUBSTITUTE(Клиенты_исходные!D394," ",""),"-",""),"+",""),"(",""),")","")),10,2),IF(LEN(SUBSTITUTE(SUBSTITUTE(SUBSTITUTE(SUBSTITUTE(SUBSTITUTE(Клиенты_исходные!D394," ",""),"-",""),"+",""),"(",""),")",""))=10,"+7 ("&amp;MID(SUBSTITUTE(SUBSTITUTE(SUBSTITUTE(SUBSTITUTE(SUBSTITUTE(Клиенты_исходные!D394," ",""),"-",""),"+",""),"(",""),")",""),1,3)&amp;") "&amp;MID(SUBSTITUTE(SUBSTITUTE(SUBSTITUTE(SUBSTITUTE(SUBSTITUTE(Клиенты_исходные!D394," ",""),"-",""),"+",""),"(",""),")",""),4,3)&amp;"-"&amp;MID(SUBSTITUTE(SUBSTITUTE(SUBSTITUTE(SUBSTITUTE(SUBSTITUTE(Клиенты_исходные!D394," ",""),"-",""),"+",""),"(",""),")",""),6,2)&amp;"-"&amp;MID(SUBSTITUTE(SUBSTITUTE(SUBSTITUTE(SUBSTITUTE(SUBSTITUTE(Клиенты_исходные!D394," ",""),"-",""),"+",""),"(",""),")",""),8,2),Клиенты_исходные!D394)))</f>
        <v xml:space="preserve">+7 (903) 789-01-23</v>
      </c>
      <c r="E394" t="str">
        <f>IF(ISBLANK(Клиенты_исходные!E394),"",IF(ISNUMBER(FIND(".",MID(Клиенты_исходные!E394,FIND("@",Клиенты_исходные!E394)+1,255))),Клиенты_исходные!E394,IF(ISNUMBER(FIND("gmail",Клиенты_исходные!E394)),Клиенты_исходные!E394&amp;".com",Клиенты_исходные!E394&amp;".ru")))</f>
        <v>rybakova@gmail.com</v>
      </c>
      <c r="F394" t="str">
        <f>IFERROR(VLOOKUP(Клиенты_исходные!F394,Справочники!$J$2:$K$50,2,FALSE),Клиенты_исходные!F394)</f>
        <v>Архангельск</v>
      </c>
      <c r="G394" s="8">
        <f>IFERROR(IF(ISNUMBER(FIND(".",Клиенты_исходные!G394)),DATE(RIGHT(Клиенты_исходные!G394,4),MID(Клиенты_исходные!G394,4,2),LEFT(Клиенты_исходные!G394,2)),DATE(LEFT(Клиенты_исходные!G394,4),MID(Клиенты_исходные!G394,6,2),RIGHT(Клиенты_исходные!G394,2))),Клиенты_исходные!G394)</f>
        <v>48533</v>
      </c>
      <c r="H394">
        <f t="shared" ca="1" si="64"/>
        <v>45</v>
      </c>
      <c r="I394" t="str">
        <f t="shared" si="65"/>
        <v>OK</v>
      </c>
      <c r="J394" t="str">
        <f t="shared" si="66"/>
        <v>OK</v>
      </c>
    </row>
    <row r="395">
      <c r="A395" t="str">
        <f>Клиенты_исходные!A395</f>
        <v>C0394</v>
      </c>
      <c r="B395" t="str">
        <f>PROPER(TRIM(Клиенты_исходные!B395))</f>
        <v xml:space="preserve">Соломатин Денис Алексеевич</v>
      </c>
      <c r="C395" s="8">
        <f>IFERROR(IF(ISNUMBER(FIND(".",Клиенты_исходные!C395)),DATE(RIGHT(Клиенты_исходные!C395,4),MID(Клиенты_исходные!C395,4,2),LEFT(Клиенты_исходные!C395,2)),DATE(LEFT(Клиенты_исходные!C395,4),MID(Клиенты_исходные!C395,6,2),RIGHT(Клиенты_исходные!C395,2))),Клиенты_исходные!C395)</f>
        <v>31470</v>
      </c>
      <c r="D395" t="str">
        <f>IF(ISBLANK(Клиенты_исходные!D395),"",IF(LEN(SUBSTITUTE(SUBSTITUTE(SUBSTITUTE(SUBSTITUTE(SUBSTITUTE(Клиенты_исходные!D395," ",""),"-",""),"+",""),"(",""),")",""))=11,"+7 ("&amp;MID(IF(LEFT(SUBSTITUTE(SUBSTITUTE(SUBSTITUTE(SUBSTITUTE(SUBSTITUTE(Клиенты_исходные!D395," ",""),"-",""),"+",""),"(",""),")",""))="8","7"&amp;MID(SUBSTITUTE(SUBSTITUTE(SUBSTITUTE(SUBSTITUTE(SUBSTITUTE(Клиенты_исходные!D395," ",""),"-",""),"+",""),"(",""),")",""),2,10),SUBSTITUTE(SUBSTITUTE(SUBSTITUTE(SUBSTITUTE(SUBSTITUTE(Клиенты_исходные!D395," ",""),"-",""),"+",""),"(",""),")","")),2,3)&amp;") "&amp;MID(IF(LEFT(SUBSTITUTE(SUBSTITUTE(SUBSTITUTE(SUBSTITUTE(SUBSTITUTE(Клиенты_исходные!D395," ",""),"-",""),"+",""),"(",""),")",""))="8","7"&amp;MID(SUBSTITUTE(SUBSTITUTE(SUBSTITUTE(SUBSTITUTE(SUBSTITUTE(Клиенты_исходные!D395," ",""),"-",""),"+",""),"(",""),")",""),2,10),SUBSTITUTE(SUBSTITUTE(SUBSTITUTE(SUBSTITUTE(SUBSTITUTE(Клиенты_исходные!D395," ",""),"-",""),"+",""),"(",""),")","")),5,3)&amp;"-"&amp;MID(IF(LEFT(SUBSTITUTE(SUBSTITUTE(SUBSTITUTE(SUBSTITUTE(SUBSTITUTE(Клиенты_исходные!D395," ",""),"-",""),"+",""),"(",""),")",""))="8","7"&amp;MID(SUBSTITUTE(SUBSTITUTE(SUBSTITUTE(SUBSTITUTE(SUBSTITUTE(Клиенты_исходные!D395," ",""),"-",""),"+",""),"(",""),")",""),2,10),SUBSTITUTE(SUBSTITUTE(SUBSTITUTE(SUBSTITUTE(SUBSTITUTE(Клиенты_исходные!D395," ",""),"-",""),"+",""),"(",""),")","")),8,2)&amp;"-"&amp;MID(IF(LEFT(SUBSTITUTE(SUBSTITUTE(SUBSTITUTE(SUBSTITUTE(SUBSTITUTE(Клиенты_исходные!D395," ",""),"-",""),"+",""),"(",""),")",""))="8","7"&amp;MID(SUBSTITUTE(SUBSTITUTE(SUBSTITUTE(SUBSTITUTE(SUBSTITUTE(Клиенты_исходные!D395," ",""),"-",""),"+",""),"(",""),")",""),2,10),SUBSTITUTE(SUBSTITUTE(SUBSTITUTE(SUBSTITUTE(SUBSTITUTE(Клиенты_исходные!D395," ",""),"-",""),"+",""),"(",""),")","")),10,2),IF(LEN(SUBSTITUTE(SUBSTITUTE(SUBSTITUTE(SUBSTITUTE(SUBSTITUTE(Клиенты_исходные!D395," ",""),"-",""),"+",""),"(",""),")",""))=10,"+7 ("&amp;MID(SUBSTITUTE(SUBSTITUTE(SUBSTITUTE(SUBSTITUTE(SUBSTITUTE(Клиенты_исходные!D395," ",""),"-",""),"+",""),"(",""),")",""),1,3)&amp;") "&amp;MID(SUBSTITUTE(SUBSTITUTE(SUBSTITUTE(SUBSTITUTE(SUBSTITUTE(Клиенты_исходные!D395," ",""),"-",""),"+",""),"(",""),")",""),4,3)&amp;"-"&amp;MID(SUBSTITUTE(SUBSTITUTE(SUBSTITUTE(SUBSTITUTE(SUBSTITUTE(Клиенты_исходные!D395," ",""),"-",""),"+",""),"(",""),")",""),6,2)&amp;"-"&amp;MID(SUBSTITUTE(SUBSTITUTE(SUBSTITUTE(SUBSTITUTE(SUBSTITUTE(Клиенты_исходные!D395," ",""),"-",""),"+",""),"(",""),")",""),8,2),Клиенты_исходные!D395)))</f>
        <v xml:space="preserve">+7 (903) 789-01-23</v>
      </c>
      <c r="E395" t="str">
        <f>IF(ISBLANK(Клиенты_исходные!E395),"",IF(ISNUMBER(FIND(".",MID(Клиенты_исходные!E395,FIND("@",Клиенты_исходные!E395)+1,255))),Клиенты_исходные!E395,IF(ISNUMBER(FIND("gmail",Клиенты_исходные!E395)),Клиенты_исходные!E395&amp;".com",Клиенты_исходные!E395&amp;".ru")))</f>
        <v>solomatin@mail.ru</v>
      </c>
      <c r="F395" t="str">
        <f>IFERROR(VLOOKUP(Клиенты_исходные!F395,Справочники!$J$2:$K$50,2,FALSE),Клиенты_исходные!F395)</f>
        <v>Благовещенск</v>
      </c>
      <c r="G395" s="8">
        <f>IFERROR(IF(ISNUMBER(FIND(".",Клиенты_исходные!G395)),DATE(RIGHT(Клиенты_исходные!G395,4),MID(Клиенты_исходные!G395,4,2),LEFT(Клиенты_исходные!G395,2)),DATE(LEFT(Клиенты_исходные!G395,4),MID(Клиенты_исходные!G395,6,2),RIGHT(Клиенты_исходные!G395,2))),Клиенты_исходные!G395)</f>
        <v>48549</v>
      </c>
      <c r="H395">
        <f t="shared" ca="1" si="64"/>
        <v>40</v>
      </c>
      <c r="I395" t="str">
        <f t="shared" si="65"/>
        <v>OK</v>
      </c>
      <c r="J395" t="str">
        <f t="shared" si="66"/>
        <v>OK</v>
      </c>
    </row>
    <row r="396">
      <c r="A396" t="str">
        <f>Клиенты_исходные!A396</f>
        <v>C0395</v>
      </c>
      <c r="B396" t="str">
        <f>PROPER(TRIM(Клиенты_исходные!B396))</f>
        <v xml:space="preserve">Королева Ольга Игоревна</v>
      </c>
      <c r="C396" s="8">
        <f>IFERROR(IF(ISNUMBER(FIND(".",Клиенты_исходные!C396)),DATE(RIGHT(Клиенты_исходные!C396,4),MID(Клиенты_исходные!C396,4,2),LEFT(Клиенты_исходные!C396,2)),DATE(LEFT(Клиенты_исходные!C396,4),MID(Клиенты_исходные!C396,6,2),RIGHT(Клиенты_исходные!C396,2))),Клиенты_исходные!C396)</f>
        <v>33007</v>
      </c>
      <c r="D396" t="str">
        <f>IF(ISBLANK(Клиенты_исходные!D396),"",IF(LEN(SUBSTITUTE(SUBSTITUTE(SUBSTITUTE(SUBSTITUTE(SUBSTITUTE(Клиенты_исходные!D396," ",""),"-",""),"+",""),"(",""),")",""))=11,"+7 ("&amp;MID(IF(LEFT(SUBSTITUTE(SUBSTITUTE(SUBSTITUTE(SUBSTITUTE(SUBSTITUTE(Клиенты_исходные!D396," ",""),"-",""),"+",""),"(",""),")",""))="8","7"&amp;MID(SUBSTITUTE(SUBSTITUTE(SUBSTITUTE(SUBSTITUTE(SUBSTITUTE(Клиенты_исходные!D396," ",""),"-",""),"+",""),"(",""),")",""),2,10),SUBSTITUTE(SUBSTITUTE(SUBSTITUTE(SUBSTITUTE(SUBSTITUTE(Клиенты_исходные!D396," ",""),"-",""),"+",""),"(",""),")","")),2,3)&amp;") "&amp;MID(IF(LEFT(SUBSTITUTE(SUBSTITUTE(SUBSTITUTE(SUBSTITUTE(SUBSTITUTE(Клиенты_исходные!D396," ",""),"-",""),"+",""),"(",""),")",""))="8","7"&amp;MID(SUBSTITUTE(SUBSTITUTE(SUBSTITUTE(SUBSTITUTE(SUBSTITUTE(Клиенты_исходные!D396," ",""),"-",""),"+",""),"(",""),")",""),2,10),SUBSTITUTE(SUBSTITUTE(SUBSTITUTE(SUBSTITUTE(SUBSTITUTE(Клиенты_исходные!D396," ",""),"-",""),"+",""),"(",""),")","")),5,3)&amp;"-"&amp;MID(IF(LEFT(SUBSTITUTE(SUBSTITUTE(SUBSTITUTE(SUBSTITUTE(SUBSTITUTE(Клиенты_исходные!D396," ",""),"-",""),"+",""),"(",""),")",""))="8","7"&amp;MID(SUBSTITUTE(SUBSTITUTE(SUBSTITUTE(SUBSTITUTE(SUBSTITUTE(Клиенты_исходные!D396," ",""),"-",""),"+",""),"(",""),")",""),2,10),SUBSTITUTE(SUBSTITUTE(SUBSTITUTE(SUBSTITUTE(SUBSTITUTE(Клиенты_исходные!D396," ",""),"-",""),"+",""),"(",""),")","")),8,2)&amp;"-"&amp;MID(IF(LEFT(SUBSTITUTE(SUBSTITUTE(SUBSTITUTE(SUBSTITUTE(SUBSTITUTE(Клиенты_исходные!D396," ",""),"-",""),"+",""),"(",""),")",""))="8","7"&amp;MID(SUBSTITUTE(SUBSTITUTE(SUBSTITUTE(SUBSTITUTE(SUBSTITUTE(Клиенты_исходные!D396," ",""),"-",""),"+",""),"(",""),")",""),2,10),SUBSTITUTE(SUBSTITUTE(SUBSTITUTE(SUBSTITUTE(SUBSTITUTE(Клиенты_исходные!D396," ",""),"-",""),"+",""),"(",""),")","")),10,2),IF(LEN(SUBSTITUTE(SUBSTITUTE(SUBSTITUTE(SUBSTITUTE(SUBSTITUTE(Клиенты_исходные!D396," ",""),"-",""),"+",""),"(",""),")",""))=10,"+7 ("&amp;MID(SUBSTITUTE(SUBSTITUTE(SUBSTITUTE(SUBSTITUTE(SUBSTITUTE(Клиенты_исходные!D396," ",""),"-",""),"+",""),"(",""),")",""),1,3)&amp;") "&amp;MID(SUBSTITUTE(SUBSTITUTE(SUBSTITUTE(SUBSTITUTE(SUBSTITUTE(Клиенты_исходные!D396," ",""),"-",""),"+",""),"(",""),")",""),4,3)&amp;"-"&amp;MID(SUBSTITUTE(SUBSTITUTE(SUBSTITUTE(SUBSTITUTE(SUBSTITUTE(Клиенты_исходные!D396," ",""),"-",""),"+",""),"(",""),")",""),6,2)&amp;"-"&amp;MID(SUBSTITUTE(SUBSTITUTE(SUBSTITUTE(SUBSTITUTE(SUBSTITUTE(Клиенты_исходные!D396," ",""),"-",""),"+",""),"(",""),")",""),8,2),Клиенты_исходные!D396)))</f>
        <v xml:space="preserve">+7 (903) 789-01-23</v>
      </c>
      <c r="E396" t="str">
        <f>IF(ISBLANK(Клиенты_исходные!E396),"",IF(ISNUMBER(FIND(".",MID(Клиенты_исходные!E396,FIND("@",Клиенты_исходные!E396)+1,255))),Клиенты_исходные!E396,IF(ISNUMBER(FIND("gmail",Клиенты_исходные!E396)),Клиенты_исходные!E396&amp;".com",Клиенты_исходные!E396&amp;".ru")))</f>
        <v>koroleva@yandex.ru</v>
      </c>
      <c r="F396" t="str">
        <f>IFERROR(VLOOKUP(Клиенты_исходные!F396,Справочники!$J$2:$K$50,2,FALSE),Клиенты_исходные!F396)</f>
        <v>Майкоп</v>
      </c>
      <c r="G396" s="8">
        <f>IFERROR(IF(ISNUMBER(FIND(".",Клиенты_исходные!G396)),DATE(RIGHT(Клиенты_исходные!G396,4),MID(Клиенты_исходные!G396,4,2),LEFT(Клиенты_исходные!G396,2)),DATE(LEFT(Клиенты_исходные!G396,4),MID(Клиенты_исходные!G396,6,2),RIGHT(Клиенты_исходные!G396,2))),Клиенты_исходные!G396)</f>
        <v>48558</v>
      </c>
      <c r="H396">
        <f t="shared" ca="1" si="64"/>
        <v>36</v>
      </c>
      <c r="I396" t="str">
        <f t="shared" si="65"/>
        <v>OK</v>
      </c>
      <c r="J396" t="str">
        <f t="shared" si="66"/>
        <v>OK</v>
      </c>
    </row>
    <row r="397">
      <c r="A397" t="str">
        <f>Клиенты_исходные!A397</f>
        <v>C0396</v>
      </c>
      <c r="B397" t="str">
        <f>PROPER(TRIM(Клиенты_исходные!B397))</f>
        <v xml:space="preserve">Симонов Илья Владимирович</v>
      </c>
      <c r="C397" s="8">
        <f>IFERROR(IF(ISNUMBER(FIND(".",Клиенты_исходные!C397)),DATE(RIGHT(Клиенты_исходные!C397,4),MID(Клиенты_исходные!C397,4,2),LEFT(Клиенты_исходные!C397,2)),DATE(LEFT(Клиенты_исходные!C397,4),MID(Клиенты_исходные!C397,6,2),RIGHT(Клиенты_исходные!C397,2))),Клиенты_исходные!C397)</f>
        <v>26534</v>
      </c>
      <c r="D397" t="str">
        <f>IF(ISBLANK(Клиенты_исходные!D397),"",IF(LEN(SUBSTITUTE(SUBSTITUTE(SUBSTITUTE(SUBSTITUTE(SUBSTITUTE(Клиенты_исходные!D397," ",""),"-",""),"+",""),"(",""),")",""))=11,"+7 ("&amp;MID(IF(LEFT(SUBSTITUTE(SUBSTITUTE(SUBSTITUTE(SUBSTITUTE(SUBSTITUTE(Клиенты_исходные!D397," ",""),"-",""),"+",""),"(",""),")",""))="8","7"&amp;MID(SUBSTITUTE(SUBSTITUTE(SUBSTITUTE(SUBSTITUTE(SUBSTITUTE(Клиенты_исходные!D397," ",""),"-",""),"+",""),"(",""),")",""),2,10),SUBSTITUTE(SUBSTITUTE(SUBSTITUTE(SUBSTITUTE(SUBSTITUTE(Клиенты_исходные!D397," ",""),"-",""),"+",""),"(",""),")","")),2,3)&amp;") "&amp;MID(IF(LEFT(SUBSTITUTE(SUBSTITUTE(SUBSTITUTE(SUBSTITUTE(SUBSTITUTE(Клиенты_исходные!D397," ",""),"-",""),"+",""),"(",""),")",""))="8","7"&amp;MID(SUBSTITUTE(SUBSTITUTE(SUBSTITUTE(SUBSTITUTE(SUBSTITUTE(Клиенты_исходные!D397," ",""),"-",""),"+",""),"(",""),")",""),2,10),SUBSTITUTE(SUBSTITUTE(SUBSTITUTE(SUBSTITUTE(SUBSTITUTE(Клиенты_исходные!D397," ",""),"-",""),"+",""),"(",""),")","")),5,3)&amp;"-"&amp;MID(IF(LEFT(SUBSTITUTE(SUBSTITUTE(SUBSTITUTE(SUBSTITUTE(SUBSTITUTE(Клиенты_исходные!D397," ",""),"-",""),"+",""),"(",""),")",""))="8","7"&amp;MID(SUBSTITUTE(SUBSTITUTE(SUBSTITUTE(SUBSTITUTE(SUBSTITUTE(Клиенты_исходные!D397," ",""),"-",""),"+",""),"(",""),")",""),2,10),SUBSTITUTE(SUBSTITUTE(SUBSTITUTE(SUBSTITUTE(SUBSTITUTE(Клиенты_исходные!D397," ",""),"-",""),"+",""),"(",""),")","")),8,2)&amp;"-"&amp;MID(IF(LEFT(SUBSTITUTE(SUBSTITUTE(SUBSTITUTE(SUBSTITUTE(SUBSTITUTE(Клиенты_исходные!D397," ",""),"-",""),"+",""),"(",""),")",""))="8","7"&amp;MID(SUBSTITUTE(SUBSTITUTE(SUBSTITUTE(SUBSTITUTE(SUBSTITUTE(Клиенты_исходные!D397," ",""),"-",""),"+",""),"(",""),")",""),2,10),SUBSTITUTE(SUBSTITUTE(SUBSTITUTE(SUBSTITUTE(SUBSTITUTE(Клиенты_исходные!D397," ",""),"-",""),"+",""),"(",""),")","")),10,2),IF(LEN(SUBSTITUTE(SUBSTITUTE(SUBSTITUTE(SUBSTITUTE(SUBSTITUTE(Клиенты_исходные!D397," ",""),"-",""),"+",""),"(",""),")",""))=10,"+7 ("&amp;MID(SUBSTITUTE(SUBSTITUTE(SUBSTITUTE(SUBSTITUTE(SUBSTITUTE(Клиенты_исходные!D397," ",""),"-",""),"+",""),"(",""),")",""),1,3)&amp;") "&amp;MID(SUBSTITUTE(SUBSTITUTE(SUBSTITUTE(SUBSTITUTE(SUBSTITUTE(Клиенты_исходные!D397," ",""),"-",""),"+",""),"(",""),")",""),4,3)&amp;"-"&amp;MID(SUBSTITUTE(SUBSTITUTE(SUBSTITUTE(SUBSTITUTE(SUBSTITUTE(Клиенты_исходные!D397," ",""),"-",""),"+",""),"(",""),")",""),6,2)&amp;"-"&amp;MID(SUBSTITUTE(SUBSTITUTE(SUBSTITUTE(SUBSTITUTE(SUBSTITUTE(Клиенты_исходные!D397," ",""),"-",""),"+",""),"(",""),")",""),8,2),Клиенты_исходные!D397)))</f>
        <v xml:space="preserve">+7 (903) 890-12-34</v>
      </c>
      <c r="E397" t="str">
        <f>IF(ISBLANK(Клиенты_исходные!E397),"",IF(ISNUMBER(FIND(".",MID(Клиенты_исходные!E397,FIND("@",Клиенты_исходные!E397)+1,255))),Клиенты_исходные!E397,IF(ISNUMBER(FIND("gmail",Клиенты_исходные!E397)),Клиенты_исходные!E397&amp;".com",Клиенты_исходные!E397&amp;".ru")))</f>
        <v>simonov@gmail.com</v>
      </c>
      <c r="F397" t="str">
        <f>IFERROR(VLOOKUP(Клиенты_исходные!F397,Справочники!$J$2:$K$50,2,FALSE),Клиенты_исходные!F397)</f>
        <v>Уссурийск</v>
      </c>
      <c r="G397" s="8">
        <f>IFERROR(IF(ISNUMBER(FIND(".",Клиенты_исходные!G397)),DATE(RIGHT(Клиенты_исходные!G397,4),MID(Клиенты_исходные!G397,4,2),LEFT(Клиенты_исходные!G397,2)),DATE(LEFT(Клиенты_исходные!G397,4),MID(Клиенты_исходные!G397,6,2),RIGHT(Клиенты_исходные!G397,2))),Клиенты_исходные!G397)</f>
        <v>48558</v>
      </c>
      <c r="H397">
        <f t="shared" ca="1" si="64"/>
        <v>54</v>
      </c>
      <c r="I397" t="str">
        <f t="shared" si="65"/>
        <v>OK</v>
      </c>
      <c r="J397" t="str">
        <f t="shared" si="66"/>
        <v>OK</v>
      </c>
    </row>
    <row r="398">
      <c r="A398" t="str">
        <f>Клиенты_исходные!A398</f>
        <v>C0397</v>
      </c>
      <c r="B398" t="str">
        <f>PROPER(TRIM(Клиенты_исходные!B398))</f>
        <v xml:space="preserve">Гонтарь Татьяна Алексеевна</v>
      </c>
      <c r="C398" s="8">
        <f>IFERROR(IF(ISNUMBER(FIND(".",Клиенты_исходные!C398)),DATE(RIGHT(Клиенты_исходные!C398,4),MID(Клиенты_исходные!C398,4,2),LEFT(Клиенты_исходные!C398,2)),DATE(LEFT(Клиенты_исходные!C398,4),MID(Клиенты_исходные!C398,6,2),RIGHT(Клиенты_исходные!C398,2))),Клиенты_исходные!C398)</f>
        <v>31851</v>
      </c>
      <c r="D398" t="str">
        <f>IF(ISBLANK(Клиенты_исходные!D398),"",IF(LEN(SUBSTITUTE(SUBSTITUTE(SUBSTITUTE(SUBSTITUTE(SUBSTITUTE(Клиенты_исходные!D398," ",""),"-",""),"+",""),"(",""),")",""))=11,"+7 ("&amp;MID(IF(LEFT(SUBSTITUTE(SUBSTITUTE(SUBSTITUTE(SUBSTITUTE(SUBSTITUTE(Клиенты_исходные!D398," ",""),"-",""),"+",""),"(",""),")",""))="8","7"&amp;MID(SUBSTITUTE(SUBSTITUTE(SUBSTITUTE(SUBSTITUTE(SUBSTITUTE(Клиенты_исходные!D398," ",""),"-",""),"+",""),"(",""),")",""),2,10),SUBSTITUTE(SUBSTITUTE(SUBSTITUTE(SUBSTITUTE(SUBSTITUTE(Клиенты_исходные!D398," ",""),"-",""),"+",""),"(",""),")","")),2,3)&amp;") "&amp;MID(IF(LEFT(SUBSTITUTE(SUBSTITUTE(SUBSTITUTE(SUBSTITUTE(SUBSTITUTE(Клиенты_исходные!D398," ",""),"-",""),"+",""),"(",""),")",""))="8","7"&amp;MID(SUBSTITUTE(SUBSTITUTE(SUBSTITUTE(SUBSTITUTE(SUBSTITUTE(Клиенты_исходные!D398," ",""),"-",""),"+",""),"(",""),")",""),2,10),SUBSTITUTE(SUBSTITUTE(SUBSTITUTE(SUBSTITUTE(SUBSTITUTE(Клиенты_исходные!D398," ",""),"-",""),"+",""),"(",""),")","")),5,3)&amp;"-"&amp;MID(IF(LEFT(SUBSTITUTE(SUBSTITUTE(SUBSTITUTE(SUBSTITUTE(SUBSTITUTE(Клиенты_исходные!D398," ",""),"-",""),"+",""),"(",""),")",""))="8","7"&amp;MID(SUBSTITUTE(SUBSTITUTE(SUBSTITUTE(SUBSTITUTE(SUBSTITUTE(Клиенты_исходные!D398," ",""),"-",""),"+",""),"(",""),")",""),2,10),SUBSTITUTE(SUBSTITUTE(SUBSTITUTE(SUBSTITUTE(SUBSTITUTE(Клиенты_исходные!D398," ",""),"-",""),"+",""),"(",""),")","")),8,2)&amp;"-"&amp;MID(IF(LEFT(SUBSTITUTE(SUBSTITUTE(SUBSTITUTE(SUBSTITUTE(SUBSTITUTE(Клиенты_исходные!D398," ",""),"-",""),"+",""),"(",""),")",""))="8","7"&amp;MID(SUBSTITUTE(SUBSTITUTE(SUBSTITUTE(SUBSTITUTE(SUBSTITUTE(Клиенты_исходные!D398," ",""),"-",""),"+",""),"(",""),")",""),2,10),SUBSTITUTE(SUBSTITUTE(SUBSTITUTE(SUBSTITUTE(SUBSTITUTE(Клиенты_исходные!D398," ",""),"-",""),"+",""),"(",""),")","")),10,2),IF(LEN(SUBSTITUTE(SUBSTITUTE(SUBSTITUTE(SUBSTITUTE(SUBSTITUTE(Клиенты_исходные!D398," ",""),"-",""),"+",""),"(",""),")",""))=10,"+7 ("&amp;MID(SUBSTITUTE(SUBSTITUTE(SUBSTITUTE(SUBSTITUTE(SUBSTITUTE(Клиенты_исходные!D398," ",""),"-",""),"+",""),"(",""),")",""),1,3)&amp;") "&amp;MID(SUBSTITUTE(SUBSTITUTE(SUBSTITUTE(SUBSTITUTE(SUBSTITUTE(Клиенты_исходные!D398," ",""),"-",""),"+",""),"(",""),")",""),4,3)&amp;"-"&amp;MID(SUBSTITUTE(SUBSTITUTE(SUBSTITUTE(SUBSTITUTE(SUBSTITUTE(Клиенты_исходные!D398," ",""),"-",""),"+",""),"(",""),")",""),6,2)&amp;"-"&amp;MID(SUBSTITUTE(SUBSTITUTE(SUBSTITUTE(SUBSTITUTE(SUBSTITUTE(Клиенты_исходные!D398," ",""),"-",""),"+",""),"(",""),")",""),8,2),Клиенты_исходные!D398)))</f>
        <v xml:space="preserve">+7 (903) 890-12-34</v>
      </c>
      <c r="E398" t="str">
        <f>IF(ISBLANK(Клиенты_исходные!E398),"",IF(ISNUMBER(FIND(".",MID(Клиенты_исходные!E398,FIND("@",Клиенты_исходные!E398)+1,255))),Клиенты_исходные!E398,IF(ISNUMBER(FIND("gmail",Клиенты_исходные!E398)),Клиенты_исходные!E398&amp;".com",Клиенты_исходные!E398&amp;".ru")))</f>
        <v>gontar@mail.ru</v>
      </c>
      <c r="F398" t="str">
        <f>IFERROR(VLOOKUP(Клиенты_исходные!F398,Справочники!$J$2:$K$50,2,FALSE),Клиенты_исходные!F398)</f>
        <v>Миасс</v>
      </c>
      <c r="G398" s="8">
        <f>IFERROR(IF(ISNUMBER(FIND(".",Клиенты_исходные!G398)),DATE(RIGHT(Клиенты_исходные!G398,4),MID(Клиенты_исходные!G398,4,2),LEFT(Клиенты_исходные!G398,2)),DATE(LEFT(Клиенты_исходные!G398,4),MID(Клиенты_исходные!G398,6,2),RIGHT(Клиенты_исходные!G398,2))),Клиенты_исходные!G398)</f>
        <v>48580</v>
      </c>
      <c r="H398">
        <f t="shared" ca="1" si="64"/>
        <v>39</v>
      </c>
      <c r="I398" t="str">
        <f t="shared" si="65"/>
        <v>OK</v>
      </c>
      <c r="J398" t="str">
        <f t="shared" si="66"/>
        <v>OK</v>
      </c>
    </row>
    <row r="399">
      <c r="A399" t="str">
        <f>Клиенты_исходные!A399</f>
        <v>C0398</v>
      </c>
      <c r="B399" t="str">
        <f>PROPER(TRIM(Клиенты_исходные!B399))</f>
        <v xml:space="preserve">Ивановский Денис Павлович</v>
      </c>
      <c r="C399" s="8">
        <f>IFERROR(IF(ISNUMBER(FIND(".",Клиенты_исходные!C399)),DATE(RIGHT(Клиенты_исходные!C399,4),MID(Клиенты_исходные!C399,4,2),LEFT(Клиенты_исходные!C399,2)),DATE(LEFT(Клиенты_исходные!C399,4),MID(Клиенты_исходные!C399,6,2),RIGHT(Клиенты_исходные!C399,2))),Клиенты_исходные!C399)</f>
        <v>34306</v>
      </c>
      <c r="D399" t="str">
        <f>IF(ISBLANK(Клиенты_исходные!D399),"",IF(LEN(SUBSTITUTE(SUBSTITUTE(SUBSTITUTE(SUBSTITUTE(SUBSTITUTE(Клиенты_исходные!D399," ",""),"-",""),"+",""),"(",""),")",""))=11,"+7 ("&amp;MID(IF(LEFT(SUBSTITUTE(SUBSTITUTE(SUBSTITUTE(SUBSTITUTE(SUBSTITUTE(Клиенты_исходные!D399," ",""),"-",""),"+",""),"(",""),")",""))="8","7"&amp;MID(SUBSTITUTE(SUBSTITUTE(SUBSTITUTE(SUBSTITUTE(SUBSTITUTE(Клиенты_исходные!D399," ",""),"-",""),"+",""),"(",""),")",""),2,10),SUBSTITUTE(SUBSTITUTE(SUBSTITUTE(SUBSTITUTE(SUBSTITUTE(Клиенты_исходные!D399," ",""),"-",""),"+",""),"(",""),")","")),2,3)&amp;") "&amp;MID(IF(LEFT(SUBSTITUTE(SUBSTITUTE(SUBSTITUTE(SUBSTITUTE(SUBSTITUTE(Клиенты_исходные!D399," ",""),"-",""),"+",""),"(",""),")",""))="8","7"&amp;MID(SUBSTITUTE(SUBSTITUTE(SUBSTITUTE(SUBSTITUTE(SUBSTITUTE(Клиенты_исходные!D399," ",""),"-",""),"+",""),"(",""),")",""),2,10),SUBSTITUTE(SUBSTITUTE(SUBSTITUTE(SUBSTITUTE(SUBSTITUTE(Клиенты_исходные!D399," ",""),"-",""),"+",""),"(",""),")","")),5,3)&amp;"-"&amp;MID(IF(LEFT(SUBSTITUTE(SUBSTITUTE(SUBSTITUTE(SUBSTITUTE(SUBSTITUTE(Клиенты_исходные!D399," ",""),"-",""),"+",""),"(",""),")",""))="8","7"&amp;MID(SUBSTITUTE(SUBSTITUTE(SUBSTITUTE(SUBSTITUTE(SUBSTITUTE(Клиенты_исходные!D399," ",""),"-",""),"+",""),"(",""),")",""),2,10),SUBSTITUTE(SUBSTITUTE(SUBSTITUTE(SUBSTITUTE(SUBSTITUTE(Клиенты_исходные!D399," ",""),"-",""),"+",""),"(",""),")","")),8,2)&amp;"-"&amp;MID(IF(LEFT(SUBSTITUTE(SUBSTITUTE(SUBSTITUTE(SUBSTITUTE(SUBSTITUTE(Клиенты_исходные!D399," ",""),"-",""),"+",""),"(",""),")",""))="8","7"&amp;MID(SUBSTITUTE(SUBSTITUTE(SUBSTITUTE(SUBSTITUTE(SUBSTITUTE(Клиенты_исходные!D399," ",""),"-",""),"+",""),"(",""),")",""),2,10),SUBSTITUTE(SUBSTITUTE(SUBSTITUTE(SUBSTITUTE(SUBSTITUTE(Клиенты_исходные!D399," ",""),"-",""),"+",""),"(",""),")","")),10,2),IF(LEN(SUBSTITUTE(SUBSTITUTE(SUBSTITUTE(SUBSTITUTE(SUBSTITUTE(Клиенты_исходные!D399," ",""),"-",""),"+",""),"(",""),")",""))=10,"+7 ("&amp;MID(SUBSTITUTE(SUBSTITUTE(SUBSTITUTE(SUBSTITUTE(SUBSTITUTE(Клиенты_исходные!D399," ",""),"-",""),"+",""),"(",""),")",""),1,3)&amp;") "&amp;MID(SUBSTITUTE(SUBSTITUTE(SUBSTITUTE(SUBSTITUTE(SUBSTITUTE(Клиенты_исходные!D399," ",""),"-",""),"+",""),"(",""),")",""),4,3)&amp;"-"&amp;MID(SUBSTITUTE(SUBSTITUTE(SUBSTITUTE(SUBSTITUTE(SUBSTITUTE(Клиенты_исходные!D399," ",""),"-",""),"+",""),"(",""),")",""),6,2)&amp;"-"&amp;MID(SUBSTITUTE(SUBSTITUTE(SUBSTITUTE(SUBSTITUTE(SUBSTITUTE(Клиенты_исходные!D399," ",""),"-",""),"+",""),"(",""),")",""),8,2),Клиенты_исходные!D399)))</f>
        <v xml:space="preserve">+7 (903) 890-12-34</v>
      </c>
      <c r="E399" t="str">
        <f>IF(ISBLANK(Клиенты_исходные!E399),"",IF(ISNUMBER(FIND(".",MID(Клиенты_исходные!E399,FIND("@",Клиенты_исходные!E399)+1,255))),Клиенты_исходные!E399,IF(ISNUMBER(FIND("gmail",Клиенты_исходные!E399)),Клиенты_исходные!E399&amp;".com",Клиенты_исходные!E399&amp;".ru")))</f>
        <v>ivanovsky@yandex.ru</v>
      </c>
      <c r="F399" t="str">
        <f>IFERROR(VLOOKUP(Клиенты_исходные!F399,Справочники!$J$2:$K$50,2,FALSE),Клиенты_исходные!F399)</f>
        <v>Кызыл</v>
      </c>
      <c r="G399" s="8">
        <f>IFERROR(IF(ISNUMBER(FIND(".",Клиенты_исходные!G399)),DATE(RIGHT(Клиенты_исходные!G399,4),MID(Клиенты_исходные!G399,4,2),LEFT(Клиенты_исходные!G399,2)),DATE(LEFT(Клиенты_исходные!G399,4),MID(Клиенты_исходные!G399,6,2),RIGHT(Клиенты_исходные!G399,2))),Клиенты_исходные!G399)</f>
        <v>48594</v>
      </c>
      <c r="H399">
        <f t="shared" ca="1" si="64"/>
        <v>32</v>
      </c>
      <c r="I399" t="str">
        <f t="shared" si="65"/>
        <v>OK</v>
      </c>
      <c r="J399" t="str">
        <f t="shared" si="66"/>
        <v>OK</v>
      </c>
    </row>
    <row r="400">
      <c r="A400" t="str">
        <f>Клиенты_исходные!A400</f>
        <v>C0399</v>
      </c>
      <c r="B400" t="str">
        <f>PROPER(TRIM(Клиенты_исходные!B400))</f>
        <v xml:space="preserve">Савинкова Екатерина Сергеевна</v>
      </c>
      <c r="C400" s="8">
        <f>IFERROR(IF(ISNUMBER(FIND(".",Клиенты_исходные!C400)),DATE(RIGHT(Клиенты_исходные!C400,4),MID(Клиенты_исходные!C400,4,2),LEFT(Клиенты_исходные!C400,2)),DATE(LEFT(Клиенты_исходные!C400,4),MID(Клиенты_исходные!C400,6,2),RIGHT(Клиенты_исходные!C400,2))),Клиенты_исходные!C400)</f>
        <v>28789</v>
      </c>
      <c r="D400" t="str">
        <f>IF(ISBLANK(Клиенты_исходные!D400),"",IF(LEN(SUBSTITUTE(SUBSTITUTE(SUBSTITUTE(SUBSTITUTE(SUBSTITUTE(Клиенты_исходные!D400," ",""),"-",""),"+",""),"(",""),")",""))=11,"+7 ("&amp;MID(IF(LEFT(SUBSTITUTE(SUBSTITUTE(SUBSTITUTE(SUBSTITUTE(SUBSTITUTE(Клиенты_исходные!D400," ",""),"-",""),"+",""),"(",""),")",""))="8","7"&amp;MID(SUBSTITUTE(SUBSTITUTE(SUBSTITUTE(SUBSTITUTE(SUBSTITUTE(Клиенты_исходные!D400," ",""),"-",""),"+",""),"(",""),")",""),2,10),SUBSTITUTE(SUBSTITUTE(SUBSTITUTE(SUBSTITUTE(SUBSTITUTE(Клиенты_исходные!D400," ",""),"-",""),"+",""),"(",""),")","")),2,3)&amp;") "&amp;MID(IF(LEFT(SUBSTITUTE(SUBSTITUTE(SUBSTITUTE(SUBSTITUTE(SUBSTITUTE(Клиенты_исходные!D400," ",""),"-",""),"+",""),"(",""),")",""))="8","7"&amp;MID(SUBSTITUTE(SUBSTITUTE(SUBSTITUTE(SUBSTITUTE(SUBSTITUTE(Клиенты_исходные!D400," ",""),"-",""),"+",""),"(",""),")",""),2,10),SUBSTITUTE(SUBSTITUTE(SUBSTITUTE(SUBSTITUTE(SUBSTITUTE(Клиенты_исходные!D400," ",""),"-",""),"+",""),"(",""),")","")),5,3)&amp;"-"&amp;MID(IF(LEFT(SUBSTITUTE(SUBSTITUTE(SUBSTITUTE(SUBSTITUTE(SUBSTITUTE(Клиенты_исходные!D400," ",""),"-",""),"+",""),"(",""),")",""))="8","7"&amp;MID(SUBSTITUTE(SUBSTITUTE(SUBSTITUTE(SUBSTITUTE(SUBSTITUTE(Клиенты_исходные!D400," ",""),"-",""),"+",""),"(",""),")",""),2,10),SUBSTITUTE(SUBSTITUTE(SUBSTITUTE(SUBSTITUTE(SUBSTITUTE(Клиенты_исходные!D400," ",""),"-",""),"+",""),"(",""),")","")),8,2)&amp;"-"&amp;MID(IF(LEFT(SUBSTITUTE(SUBSTITUTE(SUBSTITUTE(SUBSTITUTE(SUBSTITUTE(Клиенты_исходные!D400," ",""),"-",""),"+",""),"(",""),")",""))="8","7"&amp;MID(SUBSTITUTE(SUBSTITUTE(SUBSTITUTE(SUBSTITUTE(SUBSTITUTE(Клиенты_исходные!D400," ",""),"-",""),"+",""),"(",""),")",""),2,10),SUBSTITUTE(SUBSTITUTE(SUBSTITUTE(SUBSTITUTE(SUBSTITUTE(Клиенты_исходные!D400," ",""),"-",""),"+",""),"(",""),")","")),10,2),IF(LEN(SUBSTITUTE(SUBSTITUTE(SUBSTITUTE(SUBSTITUTE(SUBSTITUTE(Клиенты_исходные!D400," ",""),"-",""),"+",""),"(",""),")",""))=10,"+7 ("&amp;MID(SUBSTITUTE(SUBSTITUTE(SUBSTITUTE(SUBSTITUTE(SUBSTITUTE(Клиенты_исходные!D400," ",""),"-",""),"+",""),"(",""),")",""),1,3)&amp;") "&amp;MID(SUBSTITUTE(SUBSTITUTE(SUBSTITUTE(SUBSTITUTE(SUBSTITUTE(Клиенты_исходные!D400," ",""),"-",""),"+",""),"(",""),")",""),4,3)&amp;"-"&amp;MID(SUBSTITUTE(SUBSTITUTE(SUBSTITUTE(SUBSTITUTE(SUBSTITUTE(Клиенты_исходные!D400," ",""),"-",""),"+",""),"(",""),")",""),6,2)&amp;"-"&amp;MID(SUBSTITUTE(SUBSTITUTE(SUBSTITUTE(SUBSTITUTE(SUBSTITUTE(Клиенты_исходные!D400," ",""),"-",""),"+",""),"(",""),")",""),8,2),Клиенты_исходные!D400)))</f>
        <v xml:space="preserve">+7 (903) 901-23-45</v>
      </c>
      <c r="E400" t="str">
        <f>IF(ISBLANK(Клиенты_исходные!E400),"",IF(ISNUMBER(FIND(".",MID(Клиенты_исходные!E400,FIND("@",Клиенты_исходные!E400)+1,255))),Клиенты_исходные!E400,IF(ISNUMBER(FIND("gmail",Клиенты_исходные!E400)),Клиенты_исходные!E400&amp;".com",Клиенты_исходные!E400&amp;".ru")))</f>
        <v>savinkova@gmail.com</v>
      </c>
      <c r="F400" t="str">
        <f>IFERROR(VLOOKUP(Клиенты_исходные!F400,Справочники!$J$2:$K$50,2,FALSE),Клиенты_исходные!F400)</f>
        <v>Калининград</v>
      </c>
      <c r="G400" s="8">
        <f>IFERROR(IF(ISNUMBER(FIND(".",Клиенты_исходные!G400)),DATE(RIGHT(Клиенты_исходные!G400,4),MID(Клиенты_исходные!G400,4,2),LEFT(Клиенты_исходные!G400,2)),DATE(LEFT(Клиенты_исходные!G400,4),MID(Клиенты_исходные!G400,6,2),RIGHT(Клиенты_исходные!G400,2))),Клиенты_исходные!G400)</f>
        <v>48594</v>
      </c>
      <c r="H400">
        <f t="shared" ca="1" si="64"/>
        <v>47</v>
      </c>
      <c r="I400" t="str">
        <f t="shared" si="65"/>
        <v>OK</v>
      </c>
      <c r="J400" t="str">
        <f t="shared" si="66"/>
        <v>OK</v>
      </c>
    </row>
    <row r="401">
      <c r="A401" t="str">
        <f>Клиенты_исходные!A401</f>
        <v>C0400</v>
      </c>
      <c r="B401" t="str">
        <f>PROPER(TRIM(Клиенты_исходные!B401))</f>
        <v xml:space="preserve">Бирюков Андрей Викторович</v>
      </c>
      <c r="C401" s="8">
        <f>IFERROR(IF(ISNUMBER(FIND(".",Клиенты_исходные!C401)),DATE(RIGHT(Клиенты_исходные!C401,4),MID(Клиенты_исходные!C401,4,2),LEFT(Клиенты_исходные!C401,2)),DATE(LEFT(Клиенты_исходные!C401,4),MID(Клиенты_исходные!C401,6,2),RIGHT(Клиенты_исходные!C401,2))),Клиенты_исходные!C401)</f>
        <v>30844</v>
      </c>
      <c r="D401" t="str">
        <f>IF(ISBLANK(Клиенты_исходные!D401),"",IF(LEN(SUBSTITUTE(SUBSTITUTE(SUBSTITUTE(SUBSTITUTE(SUBSTITUTE(Клиенты_исходные!D401," ",""),"-",""),"+",""),"(",""),")",""))=11,"+7 ("&amp;MID(IF(LEFT(SUBSTITUTE(SUBSTITUTE(SUBSTITUTE(SUBSTITUTE(SUBSTITUTE(Клиенты_исходные!D401," ",""),"-",""),"+",""),"(",""),")",""))="8","7"&amp;MID(SUBSTITUTE(SUBSTITUTE(SUBSTITUTE(SUBSTITUTE(SUBSTITUTE(Клиенты_исходные!D401," ",""),"-",""),"+",""),"(",""),")",""),2,10),SUBSTITUTE(SUBSTITUTE(SUBSTITUTE(SUBSTITUTE(SUBSTITUTE(Клиенты_исходные!D401," ",""),"-",""),"+",""),"(",""),")","")),2,3)&amp;") "&amp;MID(IF(LEFT(SUBSTITUTE(SUBSTITUTE(SUBSTITUTE(SUBSTITUTE(SUBSTITUTE(Клиенты_исходные!D401," ",""),"-",""),"+",""),"(",""),")",""))="8","7"&amp;MID(SUBSTITUTE(SUBSTITUTE(SUBSTITUTE(SUBSTITUTE(SUBSTITUTE(Клиенты_исходные!D401," ",""),"-",""),"+",""),"(",""),")",""),2,10),SUBSTITUTE(SUBSTITUTE(SUBSTITUTE(SUBSTITUTE(SUBSTITUTE(Клиенты_исходные!D401," ",""),"-",""),"+",""),"(",""),")","")),5,3)&amp;"-"&amp;MID(IF(LEFT(SUBSTITUTE(SUBSTITUTE(SUBSTITUTE(SUBSTITUTE(SUBSTITUTE(Клиенты_исходные!D401," ",""),"-",""),"+",""),"(",""),")",""))="8","7"&amp;MID(SUBSTITUTE(SUBSTITUTE(SUBSTITUTE(SUBSTITUTE(SUBSTITUTE(Клиенты_исходные!D401," ",""),"-",""),"+",""),"(",""),")",""),2,10),SUBSTITUTE(SUBSTITUTE(SUBSTITUTE(SUBSTITUTE(SUBSTITUTE(Клиенты_исходные!D401," ",""),"-",""),"+",""),"(",""),")","")),8,2)&amp;"-"&amp;MID(IF(LEFT(SUBSTITUTE(SUBSTITUTE(SUBSTITUTE(SUBSTITUTE(SUBSTITUTE(Клиенты_исходные!D401," ",""),"-",""),"+",""),"(",""),")",""))="8","7"&amp;MID(SUBSTITUTE(SUBSTITUTE(SUBSTITUTE(SUBSTITUTE(SUBSTITUTE(Клиенты_исходные!D401," ",""),"-",""),"+",""),"(",""),")",""),2,10),SUBSTITUTE(SUBSTITUTE(SUBSTITUTE(SUBSTITUTE(SUBSTITUTE(Клиенты_исходные!D401," ",""),"-",""),"+",""),"(",""),")","")),10,2),IF(LEN(SUBSTITUTE(SUBSTITUTE(SUBSTITUTE(SUBSTITUTE(SUBSTITUTE(Клиенты_исходные!D401," ",""),"-",""),"+",""),"(",""),")",""))=10,"+7 ("&amp;MID(SUBSTITUTE(SUBSTITUTE(SUBSTITUTE(SUBSTITUTE(SUBSTITUTE(Клиенты_исходные!D401," ",""),"-",""),"+",""),"(",""),")",""),1,3)&amp;") "&amp;MID(SUBSTITUTE(SUBSTITUTE(SUBSTITUTE(SUBSTITUTE(SUBSTITUTE(Клиенты_исходные!D401," ",""),"-",""),"+",""),"(",""),")",""),4,3)&amp;"-"&amp;MID(SUBSTITUTE(SUBSTITUTE(SUBSTITUTE(SUBSTITUTE(SUBSTITUTE(Клиенты_исходные!D401," ",""),"-",""),"+",""),"(",""),")",""),6,2)&amp;"-"&amp;MID(SUBSTITUTE(SUBSTITUTE(SUBSTITUTE(SUBSTITUTE(SUBSTITUTE(Клиенты_исходные!D401," ",""),"-",""),"+",""),"(",""),")",""),8,2),Клиенты_исходные!D401)))</f>
        <v xml:space="preserve">+7 (903) 901-23-45</v>
      </c>
      <c r="E401" t="str">
        <f>IF(ISBLANK(Клиенты_исходные!E401),"",IF(ISNUMBER(FIND(".",MID(Клиенты_исходные!E401,FIND("@",Клиенты_исходные!E401)+1,255))),Клиенты_исходные!E401,IF(ISNUMBER(FIND("gmail",Клиенты_исходные!E401)),Клиенты_исходные!E401&amp;".com",Клиенты_исходные!E401&amp;".ru")))</f>
        <v>biryukov@mail.ru</v>
      </c>
      <c r="F401" t="str">
        <f>IFERROR(VLOOKUP(Клиенты_исходные!F401,Справочники!$J$2:$K$50,2,FALSE),Клиенты_исходные!F401)</f>
        <v>Петрозаводск</v>
      </c>
      <c r="G401" s="8">
        <f>IFERROR(IF(ISNUMBER(FIND(".",Клиенты_исходные!G401)),DATE(RIGHT(Клиенты_исходные!G401,4),MID(Клиенты_исходные!G401,4,2),LEFT(Клиенты_исходные!G401,2)),DATE(LEFT(Клиенты_исходные!G401,4),MID(Клиенты_исходные!G401,6,2),RIGHT(Клиенты_исходные!G401,2))),Клиенты_исходные!G401)</f>
        <v>48611</v>
      </c>
      <c r="H401">
        <f t="shared" ca="1" si="64"/>
        <v>42</v>
      </c>
      <c r="I401" t="str">
        <f t="shared" si="65"/>
        <v>OK</v>
      </c>
      <c r="J401" t="str">
        <f t="shared" si="66"/>
        <v>OK</v>
      </c>
    </row>
    <row r="402">
      <c r="A402" t="str">
        <f>Клиенты_исходные!A402</f>
        <v>C0401</v>
      </c>
      <c r="B402" t="str">
        <f>PROPER(TRIM(Клиенты_исходные!B402))</f>
        <v xml:space="preserve">Шевель Ольга Павловна</v>
      </c>
      <c r="C402" s="8">
        <f>IFERROR(IF(ISNUMBER(FIND(".",Клиенты_исходные!C402)),DATE(RIGHT(Клиенты_исходные!C402,4),MID(Клиенты_исходные!C402,4,2),LEFT(Клиенты_исходные!C402,2)),DATE(LEFT(Клиенты_исходные!C402,4),MID(Клиенты_исходные!C402,6,2),RIGHT(Клиенты_исходные!C402,2))),Клиенты_исходные!C402)</f>
        <v>32708</v>
      </c>
      <c r="D402" t="str">
        <f>IF(ISBLANK(Клиенты_исходные!D402),"",IF(LEN(SUBSTITUTE(SUBSTITUTE(SUBSTITUTE(SUBSTITUTE(SUBSTITUTE(Клиенты_исходные!D402," ",""),"-",""),"+",""),"(",""),")",""))=11,"+7 ("&amp;MID(IF(LEFT(SUBSTITUTE(SUBSTITUTE(SUBSTITUTE(SUBSTITUTE(SUBSTITUTE(Клиенты_исходные!D402," ",""),"-",""),"+",""),"(",""),")",""))="8","7"&amp;MID(SUBSTITUTE(SUBSTITUTE(SUBSTITUTE(SUBSTITUTE(SUBSTITUTE(Клиенты_исходные!D402," ",""),"-",""),"+",""),"(",""),")",""),2,10),SUBSTITUTE(SUBSTITUTE(SUBSTITUTE(SUBSTITUTE(SUBSTITUTE(Клиенты_исходные!D402," ",""),"-",""),"+",""),"(",""),")","")),2,3)&amp;") "&amp;MID(IF(LEFT(SUBSTITUTE(SUBSTITUTE(SUBSTITUTE(SUBSTITUTE(SUBSTITUTE(Клиенты_исходные!D402," ",""),"-",""),"+",""),"(",""),")",""))="8","7"&amp;MID(SUBSTITUTE(SUBSTITUTE(SUBSTITUTE(SUBSTITUTE(SUBSTITUTE(Клиенты_исходные!D402," ",""),"-",""),"+",""),"(",""),")",""),2,10),SUBSTITUTE(SUBSTITUTE(SUBSTITUTE(SUBSTITUTE(SUBSTITUTE(Клиенты_исходные!D402," ",""),"-",""),"+",""),"(",""),")","")),5,3)&amp;"-"&amp;MID(IF(LEFT(SUBSTITUTE(SUBSTITUTE(SUBSTITUTE(SUBSTITUTE(SUBSTITUTE(Клиенты_исходные!D402," ",""),"-",""),"+",""),"(",""),")",""))="8","7"&amp;MID(SUBSTITUTE(SUBSTITUTE(SUBSTITUTE(SUBSTITUTE(SUBSTITUTE(Клиенты_исходные!D402," ",""),"-",""),"+",""),"(",""),")",""),2,10),SUBSTITUTE(SUBSTITUTE(SUBSTITUTE(SUBSTITUTE(SUBSTITUTE(Клиенты_исходные!D402," ",""),"-",""),"+",""),"(",""),")","")),8,2)&amp;"-"&amp;MID(IF(LEFT(SUBSTITUTE(SUBSTITUTE(SUBSTITUTE(SUBSTITUTE(SUBSTITUTE(Клиенты_исходные!D402," ",""),"-",""),"+",""),"(",""),")",""))="8","7"&amp;MID(SUBSTITUTE(SUBSTITUTE(SUBSTITUTE(SUBSTITUTE(SUBSTITUTE(Клиенты_исходные!D402," ",""),"-",""),"+",""),"(",""),")",""),2,10),SUBSTITUTE(SUBSTITUTE(SUBSTITUTE(SUBSTITUTE(SUBSTITUTE(Клиенты_исходные!D402," ",""),"-",""),"+",""),"(",""),")","")),10,2),IF(LEN(SUBSTITUTE(SUBSTITUTE(SUBSTITUTE(SUBSTITUTE(SUBSTITUTE(Клиенты_исходные!D402," ",""),"-",""),"+",""),"(",""),")",""))=10,"+7 ("&amp;MID(SUBSTITUTE(SUBSTITUTE(SUBSTITUTE(SUBSTITUTE(SUBSTITUTE(Клиенты_исходные!D402," ",""),"-",""),"+",""),"(",""),")",""),1,3)&amp;") "&amp;MID(SUBSTITUTE(SUBSTITUTE(SUBSTITUTE(SUBSTITUTE(SUBSTITUTE(Клиенты_исходные!D402," ",""),"-",""),"+",""),"(",""),")",""),4,3)&amp;"-"&amp;MID(SUBSTITUTE(SUBSTITUTE(SUBSTITUTE(SUBSTITUTE(SUBSTITUTE(Клиенты_исходные!D402," ",""),"-",""),"+",""),"(",""),")",""),6,2)&amp;"-"&amp;MID(SUBSTITUTE(SUBSTITUTE(SUBSTITUTE(SUBSTITUTE(SUBSTITUTE(Клиенты_исходные!D402," ",""),"-",""),"+",""),"(",""),")",""),8,2),Клиенты_исходные!D402)))</f>
        <v xml:space="preserve">+7 (903) 901-23-45</v>
      </c>
      <c r="E402" t="str">
        <f>IF(ISBLANK(Клиенты_исходные!E402),"",IF(ISNUMBER(FIND(".",MID(Клиенты_исходные!E402,FIND("@",Клиенты_исходные!E402)+1,255))),Клиенты_исходные!E402,IF(ISNUMBER(FIND("gmail",Клиенты_исходные!E402)),Клиенты_исходные!E402&amp;".com",Клиенты_исходные!E402&amp;".ru")))</f>
        <v>shevel@yandex.ru</v>
      </c>
      <c r="F402" t="str">
        <f>IFERROR(VLOOKUP(Клиенты_исходные!F402,Справочники!$J$2:$K$50,2,FALSE),Клиенты_исходные!F402)</f>
        <v>Рубцовск</v>
      </c>
      <c r="G402" s="8">
        <f>IFERROR(IF(ISNUMBER(FIND(".",Клиенты_исходные!G402)),DATE(RIGHT(Клиенты_исходные!G402,4),MID(Клиенты_исходные!G402,4,2),LEFT(Клиенты_исходные!G402,2)),DATE(LEFT(Клиенты_исходные!G402,4),MID(Клиенты_исходные!G402,6,2),RIGHT(Клиенты_исходные!G402,2))),Клиенты_исходные!G402)</f>
        <v>48620</v>
      </c>
      <c r="H402">
        <f t="shared" ca="1" si="64"/>
        <v>37</v>
      </c>
      <c r="I402" t="str">
        <f t="shared" si="65"/>
        <v>OK</v>
      </c>
      <c r="J402" t="str">
        <f t="shared" si="66"/>
        <v>OK</v>
      </c>
    </row>
    <row r="403">
      <c r="A403" t="str">
        <f>Клиенты_исходные!A403</f>
        <v>C0402</v>
      </c>
      <c r="B403" t="str">
        <f>PROPER(TRIM(Клиенты_исходные!B403))</f>
        <v xml:space="preserve">Коновалов Илья Олегович</v>
      </c>
      <c r="C403" s="8">
        <f>IFERROR(IF(ISNUMBER(FIND(".",Клиенты_исходные!C403)),DATE(RIGHT(Клиенты_исходные!C403,4),MID(Клиенты_исходные!C403,4,2),LEFT(Клиенты_исходные!C403,2)),DATE(LEFT(Клиенты_исходные!C403,4),MID(Клиенты_исходные!C403,6,2),RIGHT(Клиенты_исходные!C403,2))),Клиенты_исходные!C403)</f>
        <v>27518</v>
      </c>
      <c r="D403" t="str">
        <f>IF(ISBLANK(Клиенты_исходные!D403),"",IF(LEN(SUBSTITUTE(SUBSTITUTE(SUBSTITUTE(SUBSTITUTE(SUBSTITUTE(Клиенты_исходные!D403," ",""),"-",""),"+",""),"(",""),")",""))=11,"+7 ("&amp;MID(IF(LEFT(SUBSTITUTE(SUBSTITUTE(SUBSTITUTE(SUBSTITUTE(SUBSTITUTE(Клиенты_исходные!D403," ",""),"-",""),"+",""),"(",""),")",""))="8","7"&amp;MID(SUBSTITUTE(SUBSTITUTE(SUBSTITUTE(SUBSTITUTE(SUBSTITUTE(Клиенты_исходные!D403," ",""),"-",""),"+",""),"(",""),")",""),2,10),SUBSTITUTE(SUBSTITUTE(SUBSTITUTE(SUBSTITUTE(SUBSTITUTE(Клиенты_исходные!D403," ",""),"-",""),"+",""),"(",""),")","")),2,3)&amp;") "&amp;MID(IF(LEFT(SUBSTITUTE(SUBSTITUTE(SUBSTITUTE(SUBSTITUTE(SUBSTITUTE(Клиенты_исходные!D403," ",""),"-",""),"+",""),"(",""),")",""))="8","7"&amp;MID(SUBSTITUTE(SUBSTITUTE(SUBSTITUTE(SUBSTITUTE(SUBSTITUTE(Клиенты_исходные!D403," ",""),"-",""),"+",""),"(",""),")",""),2,10),SUBSTITUTE(SUBSTITUTE(SUBSTITUTE(SUBSTITUTE(SUBSTITUTE(Клиенты_исходные!D403," ",""),"-",""),"+",""),"(",""),")","")),5,3)&amp;"-"&amp;MID(IF(LEFT(SUBSTITUTE(SUBSTITUTE(SUBSTITUTE(SUBSTITUTE(SUBSTITUTE(Клиенты_исходные!D403," ",""),"-",""),"+",""),"(",""),")",""))="8","7"&amp;MID(SUBSTITUTE(SUBSTITUTE(SUBSTITUTE(SUBSTITUTE(SUBSTITUTE(Клиенты_исходные!D403," ",""),"-",""),"+",""),"(",""),")",""),2,10),SUBSTITUTE(SUBSTITUTE(SUBSTITUTE(SUBSTITUTE(SUBSTITUTE(Клиенты_исходные!D403," ",""),"-",""),"+",""),"(",""),")","")),8,2)&amp;"-"&amp;MID(IF(LEFT(SUBSTITUTE(SUBSTITUTE(SUBSTITUTE(SUBSTITUTE(SUBSTITUTE(Клиенты_исходные!D403," ",""),"-",""),"+",""),"(",""),")",""))="8","7"&amp;MID(SUBSTITUTE(SUBSTITUTE(SUBSTITUTE(SUBSTITUTE(SUBSTITUTE(Клиенты_исходные!D403," ",""),"-",""),"+",""),"(",""),")",""),2,10),SUBSTITUTE(SUBSTITUTE(SUBSTITUTE(SUBSTITUTE(SUBSTITUTE(Клиенты_исходные!D403," ",""),"-",""),"+",""),"(",""),")","")),10,2),IF(LEN(SUBSTITUTE(SUBSTITUTE(SUBSTITUTE(SUBSTITUTE(SUBSTITUTE(Клиенты_исходные!D403," ",""),"-",""),"+",""),"(",""),")",""))=10,"+7 ("&amp;MID(SUBSTITUTE(SUBSTITUTE(SUBSTITUTE(SUBSTITUTE(SUBSTITUTE(Клиенты_исходные!D403," ",""),"-",""),"+",""),"(",""),")",""),1,3)&amp;") "&amp;MID(SUBSTITUTE(SUBSTITUTE(SUBSTITUTE(SUBSTITUTE(SUBSTITUTE(Клиенты_исходные!D403," ",""),"-",""),"+",""),"(",""),")",""),4,3)&amp;"-"&amp;MID(SUBSTITUTE(SUBSTITUTE(SUBSTITUTE(SUBSTITUTE(SUBSTITUTE(Клиенты_исходные!D403," ",""),"-",""),"+",""),"(",""),")",""),6,2)&amp;"-"&amp;MID(SUBSTITUTE(SUBSTITUTE(SUBSTITUTE(SUBSTITUTE(SUBSTITUTE(Клиенты_исходные!D403," ",""),"-",""),"+",""),"(",""),")",""),8,2),Клиенты_исходные!D403)))</f>
        <v xml:space="preserve">+7 (903) 012-34-56</v>
      </c>
      <c r="E403" t="str">
        <f>IF(ISBLANK(Клиенты_исходные!E403),"",IF(ISNUMBER(FIND(".",MID(Клиенты_исходные!E403,FIND("@",Клиенты_исходные!E403)+1,255))),Клиенты_исходные!E403,IF(ISNUMBER(FIND("gmail",Клиенты_исходные!E403)),Клиенты_исходные!E403&amp;".com",Клиенты_исходные!E403&amp;".ru")))</f>
        <v>konovalov@gmail.com</v>
      </c>
      <c r="F403" t="str">
        <f>IFERROR(VLOOKUP(Клиенты_исходные!F403,Справочники!$J$2:$K$50,2,FALSE),Клиенты_исходные!F403)</f>
        <v>Элиста</v>
      </c>
      <c r="G403" s="8">
        <f>IFERROR(IF(ISNUMBER(FIND(".",Клиенты_исходные!G403)),DATE(RIGHT(Клиенты_исходные!G403,4),MID(Клиенты_исходные!G403,4,2),LEFT(Клиенты_исходные!G403,2)),DATE(LEFT(Клиенты_исходные!G403,4),MID(Клиенты_исходные!G403,6,2),RIGHT(Клиенты_исходные!G403,2))),Клиенты_исходные!G403)</f>
        <v>48620</v>
      </c>
      <c r="H403">
        <f t="shared" ca="1" si="64"/>
        <v>51</v>
      </c>
      <c r="I403" t="str">
        <f t="shared" si="65"/>
        <v>OK</v>
      </c>
      <c r="J403" t="str">
        <f t="shared" si="66"/>
        <v>OK</v>
      </c>
    </row>
    <row r="404">
      <c r="A404" t="str">
        <f>Клиенты_исходные!A404</f>
        <v>C0403</v>
      </c>
      <c r="B404" t="str">
        <f>PROPER(TRIM(Клиенты_исходные!B404))</f>
        <v xml:space="preserve">Щербаков Виталий Николаевич</v>
      </c>
      <c r="C404" s="8">
        <f>IFERROR(IF(ISNUMBER(FIND(".",Клиенты_исходные!C404)),DATE(RIGHT(Клиенты_исходные!C404,4),MID(Клиенты_исходные!C404,4,2),LEFT(Клиенты_исходные!C404,2)),DATE(LEFT(Клиенты_исходные!C404,4),MID(Клиенты_исходные!C404,6,2),RIGHT(Клиенты_исходные!C404,2))),Клиенты_исходные!C404)</f>
        <v>30313</v>
      </c>
      <c r="D404" t="str">
        <f>IF(ISBLANK(Клиенты_исходные!D404),"",IF(LEN(SUBSTITUTE(SUBSTITUTE(SUBSTITUTE(SUBSTITUTE(SUBSTITUTE(Клиенты_исходные!D404," ",""),"-",""),"+",""),"(",""),")",""))=11,"+7 ("&amp;MID(IF(LEFT(SUBSTITUTE(SUBSTITUTE(SUBSTITUTE(SUBSTITUTE(SUBSTITUTE(Клиенты_исходные!D404," ",""),"-",""),"+",""),"(",""),")",""))="8","7"&amp;MID(SUBSTITUTE(SUBSTITUTE(SUBSTITUTE(SUBSTITUTE(SUBSTITUTE(Клиенты_исходные!D404," ",""),"-",""),"+",""),"(",""),")",""),2,10),SUBSTITUTE(SUBSTITUTE(SUBSTITUTE(SUBSTITUTE(SUBSTITUTE(Клиенты_исходные!D404," ",""),"-",""),"+",""),"(",""),")","")),2,3)&amp;") "&amp;MID(IF(LEFT(SUBSTITUTE(SUBSTITUTE(SUBSTITUTE(SUBSTITUTE(SUBSTITUTE(Клиенты_исходные!D404," ",""),"-",""),"+",""),"(",""),")",""))="8","7"&amp;MID(SUBSTITUTE(SUBSTITUTE(SUBSTITUTE(SUBSTITUTE(SUBSTITUTE(Клиенты_исходные!D404," ",""),"-",""),"+",""),"(",""),")",""),2,10),SUBSTITUTE(SUBSTITUTE(SUBSTITUTE(SUBSTITUTE(SUBSTITUTE(Клиенты_исходные!D404," ",""),"-",""),"+",""),"(",""),")","")),5,3)&amp;"-"&amp;MID(IF(LEFT(SUBSTITUTE(SUBSTITUTE(SUBSTITUTE(SUBSTITUTE(SUBSTITUTE(Клиенты_исходные!D404," ",""),"-",""),"+",""),"(",""),")",""))="8","7"&amp;MID(SUBSTITUTE(SUBSTITUTE(SUBSTITUTE(SUBSTITUTE(SUBSTITUTE(Клиенты_исходные!D404," ",""),"-",""),"+",""),"(",""),")",""),2,10),SUBSTITUTE(SUBSTITUTE(SUBSTITUTE(SUBSTITUTE(SUBSTITUTE(Клиенты_исходные!D404," ",""),"-",""),"+",""),"(",""),")","")),8,2)&amp;"-"&amp;MID(IF(LEFT(SUBSTITUTE(SUBSTITUTE(SUBSTITUTE(SUBSTITUTE(SUBSTITUTE(Клиенты_исходные!D404," ",""),"-",""),"+",""),"(",""),")",""))="8","7"&amp;MID(SUBSTITUTE(SUBSTITUTE(SUBSTITUTE(SUBSTITUTE(SUBSTITUTE(Клиенты_исходные!D404," ",""),"-",""),"+",""),"(",""),")",""),2,10),SUBSTITUTE(SUBSTITUTE(SUBSTITUTE(SUBSTITUTE(SUBSTITUTE(Клиенты_исходные!D404," ",""),"-",""),"+",""),"(",""),")","")),10,2),IF(LEN(SUBSTITUTE(SUBSTITUTE(SUBSTITUTE(SUBSTITUTE(SUBSTITUTE(Клиенты_исходные!D404," ",""),"-",""),"+",""),"(",""),")",""))=10,"+7 ("&amp;MID(SUBSTITUTE(SUBSTITUTE(SUBSTITUTE(SUBSTITUTE(SUBSTITUTE(Клиенты_исходные!D404," ",""),"-",""),"+",""),"(",""),")",""),1,3)&amp;") "&amp;MID(SUBSTITUTE(SUBSTITUTE(SUBSTITUTE(SUBSTITUTE(SUBSTITUTE(Клиенты_исходные!D404," ",""),"-",""),"+",""),"(",""),")",""),4,3)&amp;"-"&amp;MID(SUBSTITUTE(SUBSTITUTE(SUBSTITUTE(SUBSTITUTE(SUBSTITUTE(Клиенты_исходные!D404," ",""),"-",""),"+",""),"(",""),")",""),6,2)&amp;"-"&amp;MID(SUBSTITUTE(SUBSTITUTE(SUBSTITUTE(SUBSTITUTE(SUBSTITUTE(Клиенты_исходные!D404," ",""),"-",""),"+",""),"(",""),")",""),8,2),Клиенты_исходные!D404)))</f>
        <v xml:space="preserve">+7 (903) 012-34-56</v>
      </c>
      <c r="E404" t="str">
        <f>IF(ISBLANK(Клиенты_исходные!E404),"",IF(ISNUMBER(FIND(".",MID(Клиенты_исходные!E404,FIND("@",Клиенты_исходные!E404)+1,255))),Клиенты_исходные!E404,IF(ISNUMBER(FIND("gmail",Клиенты_исходные!E404)),Клиенты_исходные!E404&amp;".com",Клиенты_исходные!E404&amp;".ru")))</f>
        <v>scherbakov@mail.ru</v>
      </c>
      <c r="F404" t="str">
        <f>IFERROR(VLOOKUP(Клиенты_исходные!F404,Справочники!$J$2:$K$50,2,FALSE),Клиенты_исходные!F404)</f>
        <v>Орск</v>
      </c>
      <c r="G404" s="8">
        <f>IFERROR(IF(ISNUMBER(FIND(".",Клиенты_исходные!G404)),DATE(RIGHT(Клиенты_исходные!G404,4),MID(Клиенты_исходные!G404,4,2),LEFT(Клиенты_исходные!G404,2)),DATE(LEFT(Клиенты_исходные!G404,4),MID(Клиенты_исходные!G404,6,2),RIGHT(Клиенты_исходные!G404,2))),Клиенты_исходные!G404)</f>
        <v>48639</v>
      </c>
      <c r="H404">
        <f t="shared" ca="1" si="64"/>
        <v>43</v>
      </c>
      <c r="I404" t="str">
        <f t="shared" si="65"/>
        <v>OK</v>
      </c>
      <c r="J404" t="str">
        <f t="shared" si="66"/>
        <v>OK</v>
      </c>
    </row>
    <row r="405">
      <c r="A405" t="str">
        <f>Клиенты_исходные!A405</f>
        <v>C0404</v>
      </c>
      <c r="B405" t="str">
        <f>PROPER(TRIM(Клиенты_исходные!B405))</f>
        <v xml:space="preserve">Макеева Анастасия Игоревна</v>
      </c>
      <c r="C405" s="8">
        <f>IFERROR(IF(ISNUMBER(FIND(".",Клиенты_исходные!C405)),DATE(RIGHT(Клиенты_исходные!C405,4),MID(Клиенты_исходные!C405,4,2),LEFT(Клиенты_исходные!C405,2)),DATE(LEFT(Клиенты_исходные!C405,4),MID(Клиенты_исходные!C405,6,2),RIGHT(Клиенты_исходные!C405,2))),Клиенты_исходные!C405)</f>
        <v>33498</v>
      </c>
      <c r="D405" t="str">
        <f>IF(ISBLANK(Клиенты_исходные!D405),"",IF(LEN(SUBSTITUTE(SUBSTITUTE(SUBSTITUTE(SUBSTITUTE(SUBSTITUTE(Клиенты_исходные!D405," ",""),"-",""),"+",""),"(",""),")",""))=11,"+7 ("&amp;MID(IF(LEFT(SUBSTITUTE(SUBSTITUTE(SUBSTITUTE(SUBSTITUTE(SUBSTITUTE(Клиенты_исходные!D405," ",""),"-",""),"+",""),"(",""),")",""))="8","7"&amp;MID(SUBSTITUTE(SUBSTITUTE(SUBSTITUTE(SUBSTITUTE(SUBSTITUTE(Клиенты_исходные!D405," ",""),"-",""),"+",""),"(",""),")",""),2,10),SUBSTITUTE(SUBSTITUTE(SUBSTITUTE(SUBSTITUTE(SUBSTITUTE(Клиенты_исходные!D405," ",""),"-",""),"+",""),"(",""),")","")),2,3)&amp;") "&amp;MID(IF(LEFT(SUBSTITUTE(SUBSTITUTE(SUBSTITUTE(SUBSTITUTE(SUBSTITUTE(Клиенты_исходные!D405," ",""),"-",""),"+",""),"(",""),")",""))="8","7"&amp;MID(SUBSTITUTE(SUBSTITUTE(SUBSTITUTE(SUBSTITUTE(SUBSTITUTE(Клиенты_исходные!D405," ",""),"-",""),"+",""),"(",""),")",""),2,10),SUBSTITUTE(SUBSTITUTE(SUBSTITUTE(SUBSTITUTE(SUBSTITUTE(Клиенты_исходные!D405," ",""),"-",""),"+",""),"(",""),")","")),5,3)&amp;"-"&amp;MID(IF(LEFT(SUBSTITUTE(SUBSTITUTE(SUBSTITUTE(SUBSTITUTE(SUBSTITUTE(Клиенты_исходные!D405," ",""),"-",""),"+",""),"(",""),")",""))="8","7"&amp;MID(SUBSTITUTE(SUBSTITUTE(SUBSTITUTE(SUBSTITUTE(SUBSTITUTE(Клиенты_исходные!D405," ",""),"-",""),"+",""),"(",""),")",""),2,10),SUBSTITUTE(SUBSTITUTE(SUBSTITUTE(SUBSTITUTE(SUBSTITUTE(Клиенты_исходные!D405," ",""),"-",""),"+",""),"(",""),")","")),8,2)&amp;"-"&amp;MID(IF(LEFT(SUBSTITUTE(SUBSTITUTE(SUBSTITUTE(SUBSTITUTE(SUBSTITUTE(Клиенты_исходные!D405," ",""),"-",""),"+",""),"(",""),")",""))="8","7"&amp;MID(SUBSTITUTE(SUBSTITUTE(SUBSTITUTE(SUBSTITUTE(SUBSTITUTE(Клиенты_исходные!D405," ",""),"-",""),"+",""),"(",""),")",""),2,10),SUBSTITUTE(SUBSTITUTE(SUBSTITUTE(SUBSTITUTE(SUBSTITUTE(Клиенты_исходные!D405," ",""),"-",""),"+",""),"(",""),")","")),10,2),IF(LEN(SUBSTITUTE(SUBSTITUTE(SUBSTITUTE(SUBSTITUTE(SUBSTITUTE(Клиенты_исходные!D405," ",""),"-",""),"+",""),"(",""),")",""))=10,"+7 ("&amp;MID(SUBSTITUTE(SUBSTITUTE(SUBSTITUTE(SUBSTITUTE(SUBSTITUTE(Клиенты_исходные!D405," ",""),"-",""),"+",""),"(",""),")",""),1,3)&amp;") "&amp;MID(SUBSTITUTE(SUBSTITUTE(SUBSTITUTE(SUBSTITUTE(SUBSTITUTE(Клиенты_исходные!D405," ",""),"-",""),"+",""),"(",""),")",""),4,3)&amp;"-"&amp;MID(SUBSTITUTE(SUBSTITUTE(SUBSTITUTE(SUBSTITUTE(SUBSTITUTE(Клиенты_исходные!D405," ",""),"-",""),"+",""),"(",""),")",""),6,2)&amp;"-"&amp;MID(SUBSTITUTE(SUBSTITUTE(SUBSTITUTE(SUBSTITUTE(SUBSTITUTE(Клиенты_исходные!D405," ",""),"-",""),"+",""),"(",""),")",""),8,2),Клиенты_исходные!D405)))</f>
        <v xml:space="preserve">+7 (903) 012-34-56</v>
      </c>
      <c r="E405" t="str">
        <f>IF(ISBLANK(Клиенты_исходные!E405),"",IF(ISNUMBER(FIND(".",MID(Клиенты_исходные!E405,FIND("@",Клиенты_исходные!E405)+1,255))),Клиенты_исходные!E405,IF(ISNUMBER(FIND("gmail",Клиенты_исходные!E405)),Клиенты_исходные!E405&amp;".com",Клиенты_исходные!E405&amp;".ru")))</f>
        <v>makeeva@yandex.ru</v>
      </c>
      <c r="F405" t="str">
        <f>IFERROR(VLOOKUP(Клиенты_исходные!F405,Справочники!$J$2:$K$50,2,FALSE),Клиенты_исходные!F405)</f>
        <v>Нижневартовск</v>
      </c>
      <c r="G405" s="8">
        <f>IFERROR(IF(ISNUMBER(FIND(".",Клиенты_исходные!G405)),DATE(RIGHT(Клиенты_исходные!G405,4),MID(Клиенты_исходные!G405,4,2),LEFT(Клиенты_исходные!G405,2)),DATE(LEFT(Клиенты_исходные!G405,4),MID(Клиенты_исходные!G405,6,2),RIGHT(Клиенты_исходные!G405,2))),Клиенты_исходные!G405)</f>
        <v>48653</v>
      </c>
      <c r="H405">
        <f t="shared" ca="1" si="64"/>
        <v>35</v>
      </c>
      <c r="I405" t="str">
        <f t="shared" si="65"/>
        <v>OK</v>
      </c>
      <c r="J405" t="str">
        <f t="shared" si="66"/>
        <v>OK</v>
      </c>
    </row>
    <row r="406">
      <c r="A406" t="str">
        <f>Клиенты_исходные!A406</f>
        <v>C0405</v>
      </c>
      <c r="B406" t="str">
        <f>PROPER(TRIM(Клиенты_исходные!B406))</f>
        <v xml:space="preserve">Дорофеев Денис Александрович</v>
      </c>
      <c r="C406" s="8">
        <f>IFERROR(IF(ISNUMBER(FIND(".",Клиенты_исходные!C406)),DATE(RIGHT(Клиенты_исходные!C406,4),MID(Клиенты_исходные!C406,4,2),LEFT(Клиенты_исходные!C406,2)),DATE(LEFT(Клиенты_исходные!C406,4),MID(Клиенты_исходные!C406,6,2),RIGHT(Клиенты_исходные!C406,2))),Клиенты_исходные!C406)</f>
        <v>28920</v>
      </c>
      <c r="D406" t="str">
        <f>IF(ISBLANK(Клиенты_исходные!D406),"",IF(LEN(SUBSTITUTE(SUBSTITUTE(SUBSTITUTE(SUBSTITUTE(SUBSTITUTE(Клиенты_исходные!D406," ",""),"-",""),"+",""),"(",""),")",""))=11,"+7 ("&amp;MID(IF(LEFT(SUBSTITUTE(SUBSTITUTE(SUBSTITUTE(SUBSTITUTE(SUBSTITUTE(Клиенты_исходные!D406," ",""),"-",""),"+",""),"(",""),")",""))="8","7"&amp;MID(SUBSTITUTE(SUBSTITUTE(SUBSTITUTE(SUBSTITUTE(SUBSTITUTE(Клиенты_исходные!D406," ",""),"-",""),"+",""),"(",""),")",""),2,10),SUBSTITUTE(SUBSTITUTE(SUBSTITUTE(SUBSTITUTE(SUBSTITUTE(Клиенты_исходные!D406," ",""),"-",""),"+",""),"(",""),")","")),2,3)&amp;") "&amp;MID(IF(LEFT(SUBSTITUTE(SUBSTITUTE(SUBSTITUTE(SUBSTITUTE(SUBSTITUTE(Клиенты_исходные!D406," ",""),"-",""),"+",""),"(",""),")",""))="8","7"&amp;MID(SUBSTITUTE(SUBSTITUTE(SUBSTITUTE(SUBSTITUTE(SUBSTITUTE(Клиенты_исходные!D406," ",""),"-",""),"+",""),"(",""),")",""),2,10),SUBSTITUTE(SUBSTITUTE(SUBSTITUTE(SUBSTITUTE(SUBSTITUTE(Клиенты_исходные!D406," ",""),"-",""),"+",""),"(",""),")","")),5,3)&amp;"-"&amp;MID(IF(LEFT(SUBSTITUTE(SUBSTITUTE(SUBSTITUTE(SUBSTITUTE(SUBSTITUTE(Клиенты_исходные!D406," ",""),"-",""),"+",""),"(",""),")",""))="8","7"&amp;MID(SUBSTITUTE(SUBSTITUTE(SUBSTITUTE(SUBSTITUTE(SUBSTITUTE(Клиенты_исходные!D406," ",""),"-",""),"+",""),"(",""),")",""),2,10),SUBSTITUTE(SUBSTITUTE(SUBSTITUTE(SUBSTITUTE(SUBSTITUTE(Клиенты_исходные!D406," ",""),"-",""),"+",""),"(",""),")","")),8,2)&amp;"-"&amp;MID(IF(LEFT(SUBSTITUTE(SUBSTITUTE(SUBSTITUTE(SUBSTITUTE(SUBSTITUTE(Клиенты_исходные!D406," ",""),"-",""),"+",""),"(",""),")",""))="8","7"&amp;MID(SUBSTITUTE(SUBSTITUTE(SUBSTITUTE(SUBSTITUTE(SUBSTITUTE(Клиенты_исходные!D406," ",""),"-",""),"+",""),"(",""),")",""),2,10),SUBSTITUTE(SUBSTITUTE(SUBSTITUTE(SUBSTITUTE(SUBSTITUTE(Клиенты_исходные!D406," ",""),"-",""),"+",""),"(",""),")","")),10,2),IF(LEN(SUBSTITUTE(SUBSTITUTE(SUBSTITUTE(SUBSTITUTE(SUBSTITUTE(Клиенты_исходные!D406," ",""),"-",""),"+",""),"(",""),")",""))=10,"+7 ("&amp;MID(SUBSTITUTE(SUBSTITUTE(SUBSTITUTE(SUBSTITUTE(SUBSTITUTE(Клиенты_исходные!D406," ",""),"-",""),"+",""),"(",""),")",""),1,3)&amp;") "&amp;MID(SUBSTITUTE(SUBSTITUTE(SUBSTITUTE(SUBSTITUTE(SUBSTITUTE(Клиенты_исходные!D406," ",""),"-",""),"+",""),"(",""),")",""),4,3)&amp;"-"&amp;MID(SUBSTITUTE(SUBSTITUTE(SUBSTITUTE(SUBSTITUTE(SUBSTITUTE(Клиенты_исходные!D406," ",""),"-",""),"+",""),"(",""),")",""),6,2)&amp;"-"&amp;MID(SUBSTITUTE(SUBSTITUTE(SUBSTITUTE(SUBSTITUTE(SUBSTITUTE(Клиенты_исходные!D406," ",""),"-",""),"+",""),"(",""),")",""),8,2),Клиенты_исходные!D406)))</f>
        <v xml:space="preserve">+7 (903) 123-45-67</v>
      </c>
      <c r="E406" t="str">
        <f>IF(ISBLANK(Клиенты_исходные!E406),"",IF(ISNUMBER(FIND(".",MID(Клиенты_исходные!E406,FIND("@",Клиенты_исходные!E406)+1,255))),Клиенты_исходные!E406,IF(ISNUMBER(FIND("gmail",Клиенты_исходные!E406)),Клиенты_исходные!E406&amp;".com",Клиенты_исходные!E406&amp;".ru")))</f>
        <v>dorofeev@gmail.com</v>
      </c>
      <c r="F406" t="str">
        <f>IFERROR(VLOOKUP(Клиенты_исходные!F406,Справочники!$J$2:$K$50,2,FALSE),Клиенты_исходные!F406)</f>
        <v>Новороссийск</v>
      </c>
      <c r="G406" s="8">
        <f>IFERROR(IF(ISNUMBER(FIND(".",Клиенты_исходные!G406)),DATE(RIGHT(Клиенты_исходные!G406,4),MID(Клиенты_исходные!G406,4,2),LEFT(Клиенты_исходные!G406,2)),DATE(LEFT(Клиенты_исходные!G406,4),MID(Клиенты_исходные!G406,6,2),RIGHT(Клиенты_исходные!G406,2))),Клиенты_исходные!G406)</f>
        <v>48653</v>
      </c>
      <c r="H406">
        <f t="shared" ca="1" si="64"/>
        <v>47</v>
      </c>
      <c r="I406" t="str">
        <f t="shared" si="65"/>
        <v>OK</v>
      </c>
      <c r="J406" t="str">
        <f t="shared" si="66"/>
        <v>OK</v>
      </c>
    </row>
    <row r="407">
      <c r="A407" t="str">
        <f>Клиенты_исходные!A407</f>
        <v>C0406</v>
      </c>
      <c r="B407" t="str">
        <f>PROPER(TRIM(Клиенты_исходные!B407))</f>
        <v xml:space="preserve">Слободчикова Елена Владимировна</v>
      </c>
      <c r="C407" s="8">
        <f>IFERROR(IF(ISNUMBER(FIND(".",Клиенты_исходные!C407)),DATE(RIGHT(Клиенты_исходные!C407,4),MID(Клиенты_исходные!C407,4,2),LEFT(Клиенты_исходные!C407,2)),DATE(LEFT(Клиенты_исходные!C407,4),MID(Клиенты_исходные!C407,6,2),RIGHT(Клиенты_исходные!C407,2))),Клиенты_исходные!C407)</f>
        <v>31740</v>
      </c>
      <c r="D407" t="str">
        <f>IF(ISBLANK(Клиенты_исходные!D407),"",IF(LEN(SUBSTITUTE(SUBSTITUTE(SUBSTITUTE(SUBSTITUTE(SUBSTITUTE(Клиенты_исходные!D407," ",""),"-",""),"+",""),"(",""),")",""))=11,"+7 ("&amp;MID(IF(LEFT(SUBSTITUTE(SUBSTITUTE(SUBSTITUTE(SUBSTITUTE(SUBSTITUTE(Клиенты_исходные!D407," ",""),"-",""),"+",""),"(",""),")",""))="8","7"&amp;MID(SUBSTITUTE(SUBSTITUTE(SUBSTITUTE(SUBSTITUTE(SUBSTITUTE(Клиенты_исходные!D407," ",""),"-",""),"+",""),"(",""),")",""),2,10),SUBSTITUTE(SUBSTITUTE(SUBSTITUTE(SUBSTITUTE(SUBSTITUTE(Клиенты_исходные!D407," ",""),"-",""),"+",""),"(",""),")","")),2,3)&amp;") "&amp;MID(IF(LEFT(SUBSTITUTE(SUBSTITUTE(SUBSTITUTE(SUBSTITUTE(SUBSTITUTE(Клиенты_исходные!D407," ",""),"-",""),"+",""),"(",""),")",""))="8","7"&amp;MID(SUBSTITUTE(SUBSTITUTE(SUBSTITUTE(SUBSTITUTE(SUBSTITUTE(Клиенты_исходные!D407," ",""),"-",""),"+",""),"(",""),")",""),2,10),SUBSTITUTE(SUBSTITUTE(SUBSTITUTE(SUBSTITUTE(SUBSTITUTE(Клиенты_исходные!D407," ",""),"-",""),"+",""),"(",""),")","")),5,3)&amp;"-"&amp;MID(IF(LEFT(SUBSTITUTE(SUBSTITUTE(SUBSTITUTE(SUBSTITUTE(SUBSTITUTE(Клиенты_исходные!D407," ",""),"-",""),"+",""),"(",""),")",""))="8","7"&amp;MID(SUBSTITUTE(SUBSTITUTE(SUBSTITUTE(SUBSTITUTE(SUBSTITUTE(Клиенты_исходные!D407," ",""),"-",""),"+",""),"(",""),")",""),2,10),SUBSTITUTE(SUBSTITUTE(SUBSTITUTE(SUBSTITUTE(SUBSTITUTE(Клиенты_исходные!D407," ",""),"-",""),"+",""),"(",""),")","")),8,2)&amp;"-"&amp;MID(IF(LEFT(SUBSTITUTE(SUBSTITUTE(SUBSTITUTE(SUBSTITUTE(SUBSTITUTE(Клиенты_исходные!D407," ",""),"-",""),"+",""),"(",""),")",""))="8","7"&amp;MID(SUBSTITUTE(SUBSTITUTE(SUBSTITUTE(SUBSTITUTE(SUBSTITUTE(Клиенты_исходные!D407," ",""),"-",""),"+",""),"(",""),")",""),2,10),SUBSTITUTE(SUBSTITUTE(SUBSTITUTE(SUBSTITUTE(SUBSTITUTE(Клиенты_исходные!D407," ",""),"-",""),"+",""),"(",""),")","")),10,2),IF(LEN(SUBSTITUTE(SUBSTITUTE(SUBSTITUTE(SUBSTITUTE(SUBSTITUTE(Клиенты_исходные!D407," ",""),"-",""),"+",""),"(",""),")",""))=10,"+7 ("&amp;MID(SUBSTITUTE(SUBSTITUTE(SUBSTITUTE(SUBSTITUTE(SUBSTITUTE(Клиенты_исходные!D407," ",""),"-",""),"+",""),"(",""),")",""),1,3)&amp;") "&amp;MID(SUBSTITUTE(SUBSTITUTE(SUBSTITUTE(SUBSTITUTE(SUBSTITUTE(Клиенты_исходные!D407," ",""),"-",""),"+",""),"(",""),")",""),4,3)&amp;"-"&amp;MID(SUBSTITUTE(SUBSTITUTE(SUBSTITUTE(SUBSTITUTE(SUBSTITUTE(Клиенты_исходные!D407," ",""),"-",""),"+",""),"(",""),")",""),6,2)&amp;"-"&amp;MID(SUBSTITUTE(SUBSTITUTE(SUBSTITUTE(SUBSTITUTE(SUBSTITUTE(Клиенты_исходные!D407," ",""),"-",""),"+",""),"(",""),")",""),8,2),Клиенты_исходные!D407)))</f>
        <v xml:space="preserve">+7 (903) 123-45-67</v>
      </c>
      <c r="E407" t="str">
        <f>IF(ISBLANK(Клиенты_исходные!E407),"",IF(ISNUMBER(FIND(".",MID(Клиенты_исходные!E407,FIND("@",Клиенты_исходные!E407)+1,255))),Клиенты_исходные!E407,IF(ISNUMBER(FIND("gmail",Клиенты_исходные!E407)),Клиенты_исходные!E407&amp;".com",Клиенты_исходные!E407&amp;".ru")))</f>
        <v>slobodchikova@mail.ru</v>
      </c>
      <c r="F407" t="str">
        <f>IFERROR(VLOOKUP(Клиенты_исходные!F407,Справочники!$J$2:$K$50,2,FALSE),Клиенты_исходные!F407)</f>
        <v>Химки</v>
      </c>
      <c r="G407" s="8">
        <f>IFERROR(IF(ISNUMBER(FIND(".",Клиенты_исходные!G407)),DATE(RIGHT(Клиенты_исходные!G407,4),MID(Клиенты_исходные!G407,4,2),LEFT(Клиенты_исходные!G407,2)),DATE(LEFT(Клиенты_исходные!G407,4),MID(Клиенты_исходные!G407,6,2),RIGHT(Клиенты_исходные!G407,2))),Клиенты_исходные!G407)</f>
        <v>48670</v>
      </c>
      <c r="H407">
        <f t="shared" ca="1" si="64"/>
        <v>39</v>
      </c>
      <c r="I407" t="str">
        <f t="shared" si="65"/>
        <v>OK</v>
      </c>
      <c r="J407" t="str">
        <f t="shared" si="66"/>
        <v>OK</v>
      </c>
    </row>
    <row r="408">
      <c r="A408" t="str">
        <f>Клиенты_исходные!A408</f>
        <v>C0407</v>
      </c>
      <c r="B408" t="str">
        <f>PROPER(TRIM(Клиенты_исходные!B408))</f>
        <v xml:space="preserve">Толкунов Олег Сергеевич</v>
      </c>
      <c r="C408" s="8">
        <f>IFERROR(IF(ISNUMBER(FIND(".",Клиенты_исходные!C408)),DATE(RIGHT(Клиенты_исходные!C408,4),MID(Клиенты_исходные!C408,4,2),LEFT(Клиенты_исходные!C408,2)),DATE(LEFT(Клиенты_исходные!C408,4),MID(Клиенты_исходные!C408,6,2),RIGHT(Клиенты_исходные!C408,2))),Клиенты_исходные!C408)</f>
        <v>26482</v>
      </c>
      <c r="D408" t="str">
        <f>IF(ISBLANK(Клиенты_исходные!D408),"",IF(LEN(SUBSTITUTE(SUBSTITUTE(SUBSTITUTE(SUBSTITUTE(SUBSTITUTE(Клиенты_исходные!D408," ",""),"-",""),"+",""),"(",""),")",""))=11,"+7 ("&amp;MID(IF(LEFT(SUBSTITUTE(SUBSTITUTE(SUBSTITUTE(SUBSTITUTE(SUBSTITUTE(Клиенты_исходные!D408," ",""),"-",""),"+",""),"(",""),")",""))="8","7"&amp;MID(SUBSTITUTE(SUBSTITUTE(SUBSTITUTE(SUBSTITUTE(SUBSTITUTE(Клиенты_исходные!D408," ",""),"-",""),"+",""),"(",""),")",""),2,10),SUBSTITUTE(SUBSTITUTE(SUBSTITUTE(SUBSTITUTE(SUBSTITUTE(Клиенты_исходные!D408," ",""),"-",""),"+",""),"(",""),")","")),2,3)&amp;") "&amp;MID(IF(LEFT(SUBSTITUTE(SUBSTITUTE(SUBSTITUTE(SUBSTITUTE(SUBSTITUTE(Клиенты_исходные!D408," ",""),"-",""),"+",""),"(",""),")",""))="8","7"&amp;MID(SUBSTITUTE(SUBSTITUTE(SUBSTITUTE(SUBSTITUTE(SUBSTITUTE(Клиенты_исходные!D408," ",""),"-",""),"+",""),"(",""),")",""),2,10),SUBSTITUTE(SUBSTITUTE(SUBSTITUTE(SUBSTITUTE(SUBSTITUTE(Клиенты_исходные!D408," ",""),"-",""),"+",""),"(",""),")","")),5,3)&amp;"-"&amp;MID(IF(LEFT(SUBSTITUTE(SUBSTITUTE(SUBSTITUTE(SUBSTITUTE(SUBSTITUTE(Клиенты_исходные!D408," ",""),"-",""),"+",""),"(",""),")",""))="8","7"&amp;MID(SUBSTITUTE(SUBSTITUTE(SUBSTITUTE(SUBSTITUTE(SUBSTITUTE(Клиенты_исходные!D408," ",""),"-",""),"+",""),"(",""),")",""),2,10),SUBSTITUTE(SUBSTITUTE(SUBSTITUTE(SUBSTITUTE(SUBSTITUTE(Клиенты_исходные!D408," ",""),"-",""),"+",""),"(",""),")","")),8,2)&amp;"-"&amp;MID(IF(LEFT(SUBSTITUTE(SUBSTITUTE(SUBSTITUTE(SUBSTITUTE(SUBSTITUTE(Клиенты_исходные!D408," ",""),"-",""),"+",""),"(",""),")",""))="8","7"&amp;MID(SUBSTITUTE(SUBSTITUTE(SUBSTITUTE(SUBSTITUTE(SUBSTITUTE(Клиенты_исходные!D408," ",""),"-",""),"+",""),"(",""),")",""),2,10),SUBSTITUTE(SUBSTITUTE(SUBSTITUTE(SUBSTITUTE(SUBSTITUTE(Клиенты_исходные!D408," ",""),"-",""),"+",""),"(",""),")","")),10,2),IF(LEN(SUBSTITUTE(SUBSTITUTE(SUBSTITUTE(SUBSTITUTE(SUBSTITUTE(Клиенты_исходные!D408," ",""),"-",""),"+",""),"(",""),")",""))=10,"+7 ("&amp;MID(SUBSTITUTE(SUBSTITUTE(SUBSTITUTE(SUBSTITUTE(SUBSTITUTE(Клиенты_исходные!D408," ",""),"-",""),"+",""),"(",""),")",""),1,3)&amp;") "&amp;MID(SUBSTITUTE(SUBSTITUTE(SUBSTITUTE(SUBSTITUTE(SUBSTITUTE(Клиенты_исходные!D408," ",""),"-",""),"+",""),"(",""),")",""),4,3)&amp;"-"&amp;MID(SUBSTITUTE(SUBSTITUTE(SUBSTITUTE(SUBSTITUTE(SUBSTITUTE(Клиенты_исходные!D408," ",""),"-",""),"+",""),"(",""),")",""),6,2)&amp;"-"&amp;MID(SUBSTITUTE(SUBSTITUTE(SUBSTITUTE(SUBSTITUTE(SUBSTITUTE(Клиенты_исходные!D408," ",""),"-",""),"+",""),"(",""),")",""),8,2),Клиенты_исходные!D408)))</f>
        <v xml:space="preserve">+7 (903) 123-45-67</v>
      </c>
      <c r="E408" t="str">
        <f>IF(ISBLANK(Клиенты_исходные!E408),"",IF(ISNUMBER(FIND(".",MID(Клиенты_исходные!E408,FIND("@",Клиенты_исходные!E408)+1,255))),Клиенты_исходные!E408,IF(ISNUMBER(FIND("gmail",Клиенты_исходные!E408)),Клиенты_исходные!E408&amp;".com",Клиенты_исходные!E408&amp;".ru")))</f>
        <v>tolkunov@yandex.ru</v>
      </c>
      <c r="F408" t="str">
        <f>IFERROR(VLOOKUP(Клиенты_исходные!F408,Справочники!$J$2:$K$50,2,FALSE),Клиенты_исходные!F408)</f>
        <v>Подольск</v>
      </c>
      <c r="G408" s="8">
        <f>IFERROR(IF(ISNUMBER(FIND(".",Клиенты_исходные!G408)),DATE(RIGHT(Клиенты_исходные!G408,4),MID(Клиенты_исходные!G408,4,2),LEFT(Клиенты_исходные!G408,2)),DATE(LEFT(Клиенты_исходные!G408,4),MID(Клиенты_исходные!G408,6,2),RIGHT(Клиенты_исходные!G408,2))),Клиенты_исходные!G408)</f>
        <v>48679</v>
      </c>
      <c r="H408">
        <f t="shared" ca="1" si="64"/>
        <v>54</v>
      </c>
      <c r="I408" t="str">
        <f t="shared" si="65"/>
        <v>OK</v>
      </c>
      <c r="J408" t="str">
        <f t="shared" si="66"/>
        <v>OK</v>
      </c>
    </row>
    <row r="409">
      <c r="A409" t="str">
        <f>Клиенты_исходные!A409</f>
        <v>C0408</v>
      </c>
      <c r="B409" t="str">
        <f>PROPER(TRIM(Клиенты_исходные!B409))</f>
        <v xml:space="preserve">Ушакова Ирина Павловна</v>
      </c>
      <c r="C409" s="8">
        <f>IFERROR(IF(ISNUMBER(FIND(".",Клиенты_исходные!C409)),DATE(RIGHT(Клиенты_исходные!C409,4),MID(Клиенты_исходные!C409,4,2),LEFT(Клиенты_исходные!C409,2)),DATE(LEFT(Клиенты_исходные!C409,4),MID(Клиенты_исходные!C409,6,2),RIGHT(Клиенты_исходные!C409,2))),Клиенты_исходные!C409)</f>
        <v>30697</v>
      </c>
      <c r="D409" t="str">
        <f>IF(ISBLANK(Клиенты_исходные!D409),"",IF(LEN(SUBSTITUTE(SUBSTITUTE(SUBSTITUTE(SUBSTITUTE(SUBSTITUTE(Клиенты_исходные!D409," ",""),"-",""),"+",""),"(",""),")",""))=11,"+7 ("&amp;MID(IF(LEFT(SUBSTITUTE(SUBSTITUTE(SUBSTITUTE(SUBSTITUTE(SUBSTITUTE(Клиенты_исходные!D409," ",""),"-",""),"+",""),"(",""),")",""))="8","7"&amp;MID(SUBSTITUTE(SUBSTITUTE(SUBSTITUTE(SUBSTITUTE(SUBSTITUTE(Клиенты_исходные!D409," ",""),"-",""),"+",""),"(",""),")",""),2,10),SUBSTITUTE(SUBSTITUTE(SUBSTITUTE(SUBSTITUTE(SUBSTITUTE(Клиенты_исходные!D409," ",""),"-",""),"+",""),"(",""),")","")),2,3)&amp;") "&amp;MID(IF(LEFT(SUBSTITUTE(SUBSTITUTE(SUBSTITUTE(SUBSTITUTE(SUBSTITUTE(Клиенты_исходные!D409," ",""),"-",""),"+",""),"(",""),")",""))="8","7"&amp;MID(SUBSTITUTE(SUBSTITUTE(SUBSTITUTE(SUBSTITUTE(SUBSTITUTE(Клиенты_исходные!D409," ",""),"-",""),"+",""),"(",""),")",""),2,10),SUBSTITUTE(SUBSTITUTE(SUBSTITUTE(SUBSTITUTE(SUBSTITUTE(Клиенты_исходные!D409," ",""),"-",""),"+",""),"(",""),")","")),5,3)&amp;"-"&amp;MID(IF(LEFT(SUBSTITUTE(SUBSTITUTE(SUBSTITUTE(SUBSTITUTE(SUBSTITUTE(Клиенты_исходные!D409," ",""),"-",""),"+",""),"(",""),")",""))="8","7"&amp;MID(SUBSTITUTE(SUBSTITUTE(SUBSTITUTE(SUBSTITUTE(SUBSTITUTE(Клиенты_исходные!D409," ",""),"-",""),"+",""),"(",""),")",""),2,10),SUBSTITUTE(SUBSTITUTE(SUBSTITUTE(SUBSTITUTE(SUBSTITUTE(Клиенты_исходные!D409," ",""),"-",""),"+",""),"(",""),")","")),8,2)&amp;"-"&amp;MID(IF(LEFT(SUBSTITUTE(SUBSTITUTE(SUBSTITUTE(SUBSTITUTE(SUBSTITUTE(Клиенты_исходные!D409," ",""),"-",""),"+",""),"(",""),")",""))="8","7"&amp;MID(SUBSTITUTE(SUBSTITUTE(SUBSTITUTE(SUBSTITUTE(SUBSTITUTE(Клиенты_исходные!D409," ",""),"-",""),"+",""),"(",""),")",""),2,10),SUBSTITUTE(SUBSTITUTE(SUBSTITUTE(SUBSTITUTE(SUBSTITUTE(Клиенты_исходные!D409," ",""),"-",""),"+",""),"(",""),")","")),10,2),IF(LEN(SUBSTITUTE(SUBSTITUTE(SUBSTITUTE(SUBSTITUTE(SUBSTITUTE(Клиенты_исходные!D409," ",""),"-",""),"+",""),"(",""),")",""))=10,"+7 ("&amp;MID(SUBSTITUTE(SUBSTITUTE(SUBSTITUTE(SUBSTITUTE(SUBSTITUTE(Клиенты_исходные!D409," ",""),"-",""),"+",""),"(",""),")",""),1,3)&amp;") "&amp;MID(SUBSTITUTE(SUBSTITUTE(SUBSTITUTE(SUBSTITUTE(SUBSTITUTE(Клиенты_исходные!D409," ",""),"-",""),"+",""),"(",""),")",""),4,3)&amp;"-"&amp;MID(SUBSTITUTE(SUBSTITUTE(SUBSTITUTE(SUBSTITUTE(SUBSTITUTE(Клиенты_исходные!D409," ",""),"-",""),"+",""),"(",""),")",""),6,2)&amp;"-"&amp;MID(SUBSTITUTE(SUBSTITUTE(SUBSTITUTE(SUBSTITUTE(SUBSTITUTE(Клиенты_исходные!D409," ",""),"-",""),"+",""),"(",""),")",""),8,2),Клиенты_исходные!D409)))</f>
        <v xml:space="preserve">+7 (903) 234-56-78</v>
      </c>
      <c r="E409" t="str">
        <f>IF(ISBLANK(Клиенты_исходные!E409),"",IF(ISNUMBER(FIND(".",MID(Клиенты_исходные!E409,FIND("@",Клиенты_исходные!E409)+1,255))),Клиенты_исходные!E409,IF(ISNUMBER(FIND("gmail",Клиенты_исходные!E409)),Клиенты_исходные!E409&amp;".com",Клиенты_исходные!E409&amp;".ru")))</f>
        <v>ushakova@gmail.com</v>
      </c>
      <c r="F409" t="str">
        <f>IFERROR(VLOOKUP(Клиенты_исходные!F409,Справочники!$J$2:$K$50,2,FALSE),Клиенты_исходные!F409)</f>
        <v>Балашиха</v>
      </c>
      <c r="G409" s="8">
        <f>IFERROR(IF(ISNUMBER(FIND(".",Клиенты_исходные!G409)),DATE(RIGHT(Клиенты_исходные!G409,4),MID(Клиенты_исходные!G409,4,2),LEFT(Клиенты_исходные!G409,2)),DATE(LEFT(Клиенты_исходные!G409,4),MID(Клиенты_исходные!G409,6,2),RIGHT(Клиенты_исходные!G409,2))),Клиенты_исходные!G409)</f>
        <v>48679</v>
      </c>
      <c r="H409">
        <f t="shared" ca="1" si="64"/>
        <v>42</v>
      </c>
      <c r="I409" t="str">
        <f t="shared" si="65"/>
        <v>OK</v>
      </c>
      <c r="J409" t="str">
        <f t="shared" si="66"/>
        <v>OK</v>
      </c>
    </row>
    <row r="410">
      <c r="A410" t="str">
        <f>Клиенты_исходные!A410</f>
        <v>C0409</v>
      </c>
      <c r="B410" t="str">
        <f>PROPER(TRIM(Клиенты_исходные!B410))</f>
        <v xml:space="preserve">Краюхин Андрей Викторович</v>
      </c>
      <c r="C410" s="8">
        <f>IFERROR(IF(ISNUMBER(FIND(".",Клиенты_исходные!C410)),DATE(RIGHT(Клиенты_исходные!C410,4),MID(Клиенты_исходные!C410,4,2),LEFT(Клиенты_исходные!C410,2)),DATE(LEFT(Клиенты_исходные!C410,4),MID(Клиенты_исходные!C410,6,2),RIGHT(Клиенты_исходные!C410,2))),Клиенты_исходные!C410)</f>
        <v>28347</v>
      </c>
      <c r="D410" t="str">
        <f>IF(ISBLANK(Клиенты_исходные!D410),"",IF(LEN(SUBSTITUTE(SUBSTITUTE(SUBSTITUTE(SUBSTITUTE(SUBSTITUTE(Клиенты_исходные!D410," ",""),"-",""),"+",""),"(",""),")",""))=11,"+7 ("&amp;MID(IF(LEFT(SUBSTITUTE(SUBSTITUTE(SUBSTITUTE(SUBSTITUTE(SUBSTITUTE(Клиенты_исходные!D410," ",""),"-",""),"+",""),"(",""),")",""))="8","7"&amp;MID(SUBSTITUTE(SUBSTITUTE(SUBSTITUTE(SUBSTITUTE(SUBSTITUTE(Клиенты_исходные!D410," ",""),"-",""),"+",""),"(",""),")",""),2,10),SUBSTITUTE(SUBSTITUTE(SUBSTITUTE(SUBSTITUTE(SUBSTITUTE(Клиенты_исходные!D410," ",""),"-",""),"+",""),"(",""),")","")),2,3)&amp;") "&amp;MID(IF(LEFT(SUBSTITUTE(SUBSTITUTE(SUBSTITUTE(SUBSTITUTE(SUBSTITUTE(Клиенты_исходные!D410," ",""),"-",""),"+",""),"(",""),")",""))="8","7"&amp;MID(SUBSTITUTE(SUBSTITUTE(SUBSTITUTE(SUBSTITUTE(SUBSTITUTE(Клиенты_исходные!D410," ",""),"-",""),"+",""),"(",""),")",""),2,10),SUBSTITUTE(SUBSTITUTE(SUBSTITUTE(SUBSTITUTE(SUBSTITUTE(Клиенты_исходные!D410," ",""),"-",""),"+",""),"(",""),")","")),5,3)&amp;"-"&amp;MID(IF(LEFT(SUBSTITUTE(SUBSTITUTE(SUBSTITUTE(SUBSTITUTE(SUBSTITUTE(Клиенты_исходные!D410," ",""),"-",""),"+",""),"(",""),")",""))="8","7"&amp;MID(SUBSTITUTE(SUBSTITUTE(SUBSTITUTE(SUBSTITUTE(SUBSTITUTE(Клиенты_исходные!D410," ",""),"-",""),"+",""),"(",""),")",""),2,10),SUBSTITUTE(SUBSTITUTE(SUBSTITUTE(SUBSTITUTE(SUBSTITUTE(Клиенты_исходные!D410," ",""),"-",""),"+",""),"(",""),")","")),8,2)&amp;"-"&amp;MID(IF(LEFT(SUBSTITUTE(SUBSTITUTE(SUBSTITUTE(SUBSTITUTE(SUBSTITUTE(Клиенты_исходные!D410," ",""),"-",""),"+",""),"(",""),")",""))="8","7"&amp;MID(SUBSTITUTE(SUBSTITUTE(SUBSTITUTE(SUBSTITUTE(SUBSTITUTE(Клиенты_исходные!D410," ",""),"-",""),"+",""),"(",""),")",""),2,10),SUBSTITUTE(SUBSTITUTE(SUBSTITUTE(SUBSTITUTE(SUBSTITUTE(Клиенты_исходные!D410," ",""),"-",""),"+",""),"(",""),")","")),10,2),IF(LEN(SUBSTITUTE(SUBSTITUTE(SUBSTITUTE(SUBSTITUTE(SUBSTITUTE(Клиенты_исходные!D410," ",""),"-",""),"+",""),"(",""),")",""))=10,"+7 ("&amp;MID(SUBSTITUTE(SUBSTITUTE(SUBSTITUTE(SUBSTITUTE(SUBSTITUTE(Клиенты_исходные!D410," ",""),"-",""),"+",""),"(",""),")",""),1,3)&amp;") "&amp;MID(SUBSTITUTE(SUBSTITUTE(SUBSTITUTE(SUBSTITUTE(SUBSTITUTE(Клиенты_исходные!D410," ",""),"-",""),"+",""),"(",""),")",""),4,3)&amp;"-"&amp;MID(SUBSTITUTE(SUBSTITUTE(SUBSTITUTE(SUBSTITUTE(SUBSTITUTE(Клиенты_исходные!D410," ",""),"-",""),"+",""),"(",""),")",""),6,2)&amp;"-"&amp;MID(SUBSTITUTE(SUBSTITUTE(SUBSTITUTE(SUBSTITUTE(SUBSTITUTE(Клиенты_исходные!D410," ",""),"-",""),"+",""),"(",""),")",""),8,2),Клиенты_исходные!D410)))</f>
        <v xml:space="preserve">+7 (903) 234-56-78</v>
      </c>
      <c r="E410" t="str">
        <f>IF(ISBLANK(Клиенты_исходные!E410),"",IF(ISNUMBER(FIND(".",MID(Клиенты_исходные!E410,FIND("@",Клиенты_исходные!E410)+1,255))),Клиенты_исходные!E410,IF(ISNUMBER(FIND("gmail",Клиенты_исходные!E410)),Клиенты_исходные!E410&amp;".com",Клиенты_исходные!E410&amp;".ru")))</f>
        <v>krayuhin@mail.ru</v>
      </c>
      <c r="F410" t="str">
        <f>IFERROR(VLOOKUP(Клиенты_исходные!F410,Справочники!$J$2:$K$50,2,FALSE),Клиенты_исходные!F410)</f>
        <v>Сургут</v>
      </c>
      <c r="G410" s="8">
        <f>IFERROR(IF(ISNUMBER(FIND(".",Клиенты_исходные!G410)),DATE(RIGHT(Клиенты_исходные!G410,4),MID(Клиенты_исходные!G410,4,2),LEFT(Клиенты_исходные!G410,2)),DATE(LEFT(Клиенты_исходные!G410,4),MID(Клиенты_исходные!G410,6,2),RIGHT(Клиенты_исходные!G410,2))),Клиенты_исходные!G410)</f>
        <v>48700</v>
      </c>
      <c r="H410">
        <f t="shared" ca="1" si="64"/>
        <v>49</v>
      </c>
      <c r="I410" t="str">
        <f t="shared" si="65"/>
        <v>OK</v>
      </c>
      <c r="J410" t="str">
        <f t="shared" si="66"/>
        <v>OK</v>
      </c>
    </row>
    <row r="411">
      <c r="A411" t="str">
        <f>Клиенты_исходные!A411</f>
        <v>C0410</v>
      </c>
      <c r="B411" t="str">
        <f>PROPER(TRIM(Клиенты_исходные!B411))</f>
        <v xml:space="preserve">Агафонова Мария Олеговна</v>
      </c>
      <c r="C411" s="8">
        <f>IFERROR(IF(ISNUMBER(FIND(".",Клиенты_исходные!C411)),DATE(RIGHT(Клиенты_исходные!C411,4),MID(Клиенты_исходные!C411,4,2),LEFT(Клиенты_исходные!C411,2)),DATE(LEFT(Клиенты_исходные!C411,4),MID(Клиенты_исходные!C411,6,2),RIGHT(Клиенты_исходные!C411,2))),Клиенты_исходные!C411)</f>
        <v>33236</v>
      </c>
      <c r="D411" t="str">
        <f>IF(ISBLANK(Клиенты_исходные!D411),"",IF(LEN(SUBSTITUTE(SUBSTITUTE(SUBSTITUTE(SUBSTITUTE(SUBSTITUTE(Клиенты_исходные!D411," ",""),"-",""),"+",""),"(",""),")",""))=11,"+7 ("&amp;MID(IF(LEFT(SUBSTITUTE(SUBSTITUTE(SUBSTITUTE(SUBSTITUTE(SUBSTITUTE(Клиенты_исходные!D411," ",""),"-",""),"+",""),"(",""),")",""))="8","7"&amp;MID(SUBSTITUTE(SUBSTITUTE(SUBSTITUTE(SUBSTITUTE(SUBSTITUTE(Клиенты_исходные!D411," ",""),"-",""),"+",""),"(",""),")",""),2,10),SUBSTITUTE(SUBSTITUTE(SUBSTITUTE(SUBSTITUTE(SUBSTITUTE(Клиенты_исходные!D411," ",""),"-",""),"+",""),"(",""),")","")),2,3)&amp;") "&amp;MID(IF(LEFT(SUBSTITUTE(SUBSTITUTE(SUBSTITUTE(SUBSTITUTE(SUBSTITUTE(Клиенты_исходные!D411," ",""),"-",""),"+",""),"(",""),")",""))="8","7"&amp;MID(SUBSTITUTE(SUBSTITUTE(SUBSTITUTE(SUBSTITUTE(SUBSTITUTE(Клиенты_исходные!D411," ",""),"-",""),"+",""),"(",""),")",""),2,10),SUBSTITUTE(SUBSTITUTE(SUBSTITUTE(SUBSTITUTE(SUBSTITUTE(Клиенты_исходные!D411," ",""),"-",""),"+",""),"(",""),")","")),5,3)&amp;"-"&amp;MID(IF(LEFT(SUBSTITUTE(SUBSTITUTE(SUBSTITUTE(SUBSTITUTE(SUBSTITUTE(Клиенты_исходные!D411," ",""),"-",""),"+",""),"(",""),")",""))="8","7"&amp;MID(SUBSTITUTE(SUBSTITUTE(SUBSTITUTE(SUBSTITUTE(SUBSTITUTE(Клиенты_исходные!D411," ",""),"-",""),"+",""),"(",""),")",""),2,10),SUBSTITUTE(SUBSTITUTE(SUBSTITUTE(SUBSTITUTE(SUBSTITUTE(Клиенты_исходные!D411," ",""),"-",""),"+",""),"(",""),")","")),8,2)&amp;"-"&amp;MID(IF(LEFT(SUBSTITUTE(SUBSTITUTE(SUBSTITUTE(SUBSTITUTE(SUBSTITUTE(Клиенты_исходные!D411," ",""),"-",""),"+",""),"(",""),")",""))="8","7"&amp;MID(SUBSTITUTE(SUBSTITUTE(SUBSTITUTE(SUBSTITUTE(SUBSTITUTE(Клиенты_исходные!D411," ",""),"-",""),"+",""),"(",""),")",""),2,10),SUBSTITUTE(SUBSTITUTE(SUBSTITUTE(SUBSTITUTE(SUBSTITUTE(Клиенты_исходные!D411," ",""),"-",""),"+",""),"(",""),")","")),10,2),IF(LEN(SUBSTITUTE(SUBSTITUTE(SUBSTITUTE(SUBSTITUTE(SUBSTITUTE(Клиенты_исходные!D411," ",""),"-",""),"+",""),"(",""),")",""))=10,"+7 ("&amp;MID(SUBSTITUTE(SUBSTITUTE(SUBSTITUTE(SUBSTITUTE(SUBSTITUTE(Клиенты_исходные!D411," ",""),"-",""),"+",""),"(",""),")",""),1,3)&amp;") "&amp;MID(SUBSTITUTE(SUBSTITUTE(SUBSTITUTE(SUBSTITUTE(SUBSTITUTE(Клиенты_исходные!D411," ",""),"-",""),"+",""),"(",""),")",""),4,3)&amp;"-"&amp;MID(SUBSTITUTE(SUBSTITUTE(SUBSTITUTE(SUBSTITUTE(SUBSTITUTE(Клиенты_исходные!D411," ",""),"-",""),"+",""),"(",""),")",""),6,2)&amp;"-"&amp;MID(SUBSTITUTE(SUBSTITUTE(SUBSTITUTE(SUBSTITUTE(SUBSTITUTE(Клиенты_исходные!D411," ",""),"-",""),"+",""),"(",""),")",""),8,2),Клиенты_исходные!D411)))</f>
        <v xml:space="preserve">+7 (903) 234-56-78</v>
      </c>
      <c r="E411" t="str">
        <f>IF(ISBLANK(Клиенты_исходные!E411),"",IF(ISNUMBER(FIND(".",MID(Клиенты_исходные!E411,FIND("@",Клиенты_исходные!E411)+1,255))),Клиенты_исходные!E411,IF(ISNUMBER(FIND("gmail",Клиенты_исходные!E411)),Клиенты_исходные!E411&amp;".com",Клиенты_исходные!E411&amp;".ru")))</f>
        <v>agafonova@yandex.ru</v>
      </c>
      <c r="F411" t="str">
        <f>IFERROR(VLOOKUP(Клиенты_исходные!F411,Справочники!$J$2:$K$50,2,FALSE),Клиенты_исходные!F411)</f>
        <v>Армавир</v>
      </c>
      <c r="G411" s="8">
        <f>IFERROR(IF(ISNUMBER(FIND(".",Клиенты_исходные!G411)),DATE(RIGHT(Клиенты_исходные!G411,4),MID(Клиенты_исходные!G411,4,2),LEFT(Клиенты_исходные!G411,2)),DATE(LEFT(Клиенты_исходные!G411,4),MID(Клиенты_исходные!G411,6,2),RIGHT(Клиенты_исходные!G411,2))),Клиенты_исходные!G411)</f>
        <v>48714</v>
      </c>
      <c r="H411">
        <f t="shared" ca="1" si="64"/>
        <v>35</v>
      </c>
      <c r="I411" t="str">
        <f t="shared" si="65"/>
        <v>OK</v>
      </c>
      <c r="J411" t="str">
        <f t="shared" si="66"/>
        <v>OK</v>
      </c>
    </row>
    <row r="412">
      <c r="A412" t="str">
        <f>Клиенты_исходные!A412</f>
        <v>C0411</v>
      </c>
      <c r="B412" t="str">
        <f>PROPER(TRIM(Клиенты_исходные!B412))</f>
        <v xml:space="preserve">Пронский Илья Николаевич</v>
      </c>
      <c r="C412" s="8">
        <f>IFERROR(IF(ISNUMBER(FIND(".",Клиенты_исходные!C412)),DATE(RIGHT(Клиенты_исходные!C412,4),MID(Клиенты_исходные!C412,4,2),LEFT(Клиенты_исходные!C412,2)),DATE(LEFT(Клиенты_исходные!C412,4),MID(Клиенты_исходные!C412,6,2),RIGHT(Клиенты_исходные!C412,2))),Клиенты_исходные!C412)</f>
        <v>31160</v>
      </c>
      <c r="D412" t="str">
        <f>IF(ISBLANK(Клиенты_исходные!D412),"",IF(LEN(SUBSTITUTE(SUBSTITUTE(SUBSTITUTE(SUBSTITUTE(SUBSTITUTE(Клиенты_исходные!D412," ",""),"-",""),"+",""),"(",""),")",""))=11,"+7 ("&amp;MID(IF(LEFT(SUBSTITUTE(SUBSTITUTE(SUBSTITUTE(SUBSTITUTE(SUBSTITUTE(Клиенты_исходные!D412," ",""),"-",""),"+",""),"(",""),")",""))="8","7"&amp;MID(SUBSTITUTE(SUBSTITUTE(SUBSTITUTE(SUBSTITUTE(SUBSTITUTE(Клиенты_исходные!D412," ",""),"-",""),"+",""),"(",""),")",""),2,10),SUBSTITUTE(SUBSTITUTE(SUBSTITUTE(SUBSTITUTE(SUBSTITUTE(Клиенты_исходные!D412," ",""),"-",""),"+",""),"(",""),")","")),2,3)&amp;") "&amp;MID(IF(LEFT(SUBSTITUTE(SUBSTITUTE(SUBSTITUTE(SUBSTITUTE(SUBSTITUTE(Клиенты_исходные!D412," ",""),"-",""),"+",""),"(",""),")",""))="8","7"&amp;MID(SUBSTITUTE(SUBSTITUTE(SUBSTITUTE(SUBSTITUTE(SUBSTITUTE(Клиенты_исходные!D412," ",""),"-",""),"+",""),"(",""),")",""),2,10),SUBSTITUTE(SUBSTITUTE(SUBSTITUTE(SUBSTITUTE(SUBSTITUTE(Клиенты_исходные!D412," ",""),"-",""),"+",""),"(",""),")","")),5,3)&amp;"-"&amp;MID(IF(LEFT(SUBSTITUTE(SUBSTITUTE(SUBSTITUTE(SUBSTITUTE(SUBSTITUTE(Клиенты_исходные!D412," ",""),"-",""),"+",""),"(",""),")",""))="8","7"&amp;MID(SUBSTITUTE(SUBSTITUTE(SUBSTITUTE(SUBSTITUTE(SUBSTITUTE(Клиенты_исходные!D412," ",""),"-",""),"+",""),"(",""),")",""),2,10),SUBSTITUTE(SUBSTITUTE(SUBSTITUTE(SUBSTITUTE(SUBSTITUTE(Клиенты_исходные!D412," ",""),"-",""),"+",""),"(",""),")","")),8,2)&amp;"-"&amp;MID(IF(LEFT(SUBSTITUTE(SUBSTITUTE(SUBSTITUTE(SUBSTITUTE(SUBSTITUTE(Клиенты_исходные!D412," ",""),"-",""),"+",""),"(",""),")",""))="8","7"&amp;MID(SUBSTITUTE(SUBSTITUTE(SUBSTITUTE(SUBSTITUTE(SUBSTITUTE(Клиенты_исходные!D412," ",""),"-",""),"+",""),"(",""),")",""),2,10),SUBSTITUTE(SUBSTITUTE(SUBSTITUTE(SUBSTITUTE(SUBSTITUTE(Клиенты_исходные!D412," ",""),"-",""),"+",""),"(",""),")","")),10,2),IF(LEN(SUBSTITUTE(SUBSTITUTE(SUBSTITUTE(SUBSTITUTE(SUBSTITUTE(Клиенты_исходные!D412," ",""),"-",""),"+",""),"(",""),")",""))=10,"+7 ("&amp;MID(SUBSTITUTE(SUBSTITUTE(SUBSTITUTE(SUBSTITUTE(SUBSTITUTE(Клиенты_исходные!D412," ",""),"-",""),"+",""),"(",""),")",""),1,3)&amp;") "&amp;MID(SUBSTITUTE(SUBSTITUTE(SUBSTITUTE(SUBSTITUTE(SUBSTITUTE(Клиенты_исходные!D412," ",""),"-",""),"+",""),"(",""),")",""),4,3)&amp;"-"&amp;MID(SUBSTITUTE(SUBSTITUTE(SUBSTITUTE(SUBSTITUTE(SUBSTITUTE(Клиенты_исходные!D412," ",""),"-",""),"+",""),"(",""),")",""),6,2)&amp;"-"&amp;MID(SUBSTITUTE(SUBSTITUTE(SUBSTITUTE(SUBSTITUTE(SUBSTITUTE(Клиенты_исходные!D412," ",""),"-",""),"+",""),"(",""),")",""),8,2),Клиенты_исходные!D412)))</f>
        <v xml:space="preserve">+7 (903) 345-67-89</v>
      </c>
      <c r="E412" t="str">
        <f>IF(ISBLANK(Клиенты_исходные!E412),"",IF(ISNUMBER(FIND(".",MID(Клиенты_исходные!E412,FIND("@",Клиенты_исходные!E412)+1,255))),Клиенты_исходные!E412,IF(ISNUMBER(FIND("gmail",Клиенты_исходные!E412)),Клиенты_исходные!E412&amp;".com",Клиенты_исходные!E412&amp;".ru")))</f>
        <v>pronsky@gmail.com</v>
      </c>
      <c r="F412" t="str">
        <f>IFERROR(VLOOKUP(Клиенты_исходные!F412,Справочники!$J$2:$K$50,2,FALSE),Клиенты_исходные!F412)</f>
        <v>Волжский</v>
      </c>
      <c r="G412" s="8">
        <f>IFERROR(IF(ISNUMBER(FIND(".",Клиенты_исходные!G412)),DATE(RIGHT(Клиенты_исходные!G412,4),MID(Клиенты_исходные!G412,4,2),LEFT(Клиенты_исходные!G412,2)),DATE(LEFT(Клиенты_исходные!G412,4),MID(Клиенты_исходные!G412,6,2),RIGHT(Клиенты_исходные!G412,2))),Клиенты_исходные!G412)</f>
        <v>48714</v>
      </c>
      <c r="H412">
        <f t="shared" ca="1" si="64"/>
        <v>41</v>
      </c>
      <c r="I412" t="str">
        <f t="shared" si="65"/>
        <v>OK</v>
      </c>
      <c r="J412" t="str">
        <f t="shared" si="66"/>
        <v>OK</v>
      </c>
    </row>
    <row r="413">
      <c r="A413" t="str">
        <f>Клиенты_исходные!A413</f>
        <v>C0412</v>
      </c>
      <c r="B413" t="str">
        <f>PROPER(TRIM(Клиенты_исходные!B413))</f>
        <v xml:space="preserve">Маркин Денис Сергеевич</v>
      </c>
      <c r="C413" s="8">
        <f>IFERROR(IF(ISNUMBER(FIND(".",Клиенты_исходные!C413)),DATE(RIGHT(Клиенты_исходные!C413,4),MID(Клиенты_исходные!C413,4,2),LEFT(Клиенты_исходные!C413,2)),DATE(LEFT(Клиенты_исходные!C413,4),MID(Клиенты_исходные!C413,6,2),RIGHT(Клиенты_исходные!C413,2))),Клиенты_исходные!C413)</f>
        <v>27277</v>
      </c>
      <c r="D413" t="str">
        <f>IF(ISBLANK(Клиенты_исходные!D413),"",IF(LEN(SUBSTITUTE(SUBSTITUTE(SUBSTITUTE(SUBSTITUTE(SUBSTITUTE(Клиенты_исходные!D413," ",""),"-",""),"+",""),"(",""),")",""))=11,"+7 ("&amp;MID(IF(LEFT(SUBSTITUTE(SUBSTITUTE(SUBSTITUTE(SUBSTITUTE(SUBSTITUTE(Клиенты_исходные!D413," ",""),"-",""),"+",""),"(",""),")",""))="8","7"&amp;MID(SUBSTITUTE(SUBSTITUTE(SUBSTITUTE(SUBSTITUTE(SUBSTITUTE(Клиенты_исходные!D413," ",""),"-",""),"+",""),"(",""),")",""),2,10),SUBSTITUTE(SUBSTITUTE(SUBSTITUTE(SUBSTITUTE(SUBSTITUTE(Клиенты_исходные!D413," ",""),"-",""),"+",""),"(",""),")","")),2,3)&amp;") "&amp;MID(IF(LEFT(SUBSTITUTE(SUBSTITUTE(SUBSTITUTE(SUBSTITUTE(SUBSTITUTE(Клиенты_исходные!D413," ",""),"-",""),"+",""),"(",""),")",""))="8","7"&amp;MID(SUBSTITUTE(SUBSTITUTE(SUBSTITUTE(SUBSTITUTE(SUBSTITUTE(Клиенты_исходные!D413," ",""),"-",""),"+",""),"(",""),")",""),2,10),SUBSTITUTE(SUBSTITUTE(SUBSTITUTE(SUBSTITUTE(SUBSTITUTE(Клиенты_исходные!D413," ",""),"-",""),"+",""),"(",""),")","")),5,3)&amp;"-"&amp;MID(IF(LEFT(SUBSTITUTE(SUBSTITUTE(SUBSTITUTE(SUBSTITUTE(SUBSTITUTE(Клиенты_исходные!D413," ",""),"-",""),"+",""),"(",""),")",""))="8","7"&amp;MID(SUBSTITUTE(SUBSTITUTE(SUBSTITUTE(SUBSTITUTE(SUBSTITUTE(Клиенты_исходные!D413," ",""),"-",""),"+",""),"(",""),")",""),2,10),SUBSTITUTE(SUBSTITUTE(SUBSTITUTE(SUBSTITUTE(SUBSTITUTE(Клиенты_исходные!D413," ",""),"-",""),"+",""),"(",""),")","")),8,2)&amp;"-"&amp;MID(IF(LEFT(SUBSTITUTE(SUBSTITUTE(SUBSTITUTE(SUBSTITUTE(SUBSTITUTE(Клиенты_исходные!D413," ",""),"-",""),"+",""),"(",""),")",""))="8","7"&amp;MID(SUBSTITUTE(SUBSTITUTE(SUBSTITUTE(SUBSTITUTE(SUBSTITUTE(Клиенты_исходные!D413," ",""),"-",""),"+",""),"(",""),")",""),2,10),SUBSTITUTE(SUBSTITUTE(SUBSTITUTE(SUBSTITUTE(SUBSTITUTE(Клиенты_исходные!D413," ",""),"-",""),"+",""),"(",""),")","")),10,2),IF(LEN(SUBSTITUTE(SUBSTITUTE(SUBSTITUTE(SUBSTITUTE(SUBSTITUTE(Клиенты_исходные!D413," ",""),"-",""),"+",""),"(",""),")",""))=10,"+7 ("&amp;MID(SUBSTITUTE(SUBSTITUTE(SUBSTITUTE(SUBSTITUTE(SUBSTITUTE(Клиенты_исходные!D413," ",""),"-",""),"+",""),"(",""),")",""),1,3)&amp;") "&amp;MID(SUBSTITUTE(SUBSTITUTE(SUBSTITUTE(SUBSTITUTE(SUBSTITUTE(Клиенты_исходные!D413," ",""),"-",""),"+",""),"(",""),")",""),4,3)&amp;"-"&amp;MID(SUBSTITUTE(SUBSTITUTE(SUBSTITUTE(SUBSTITUTE(SUBSTITUTE(Клиенты_исходные!D413," ",""),"-",""),"+",""),"(",""),")",""),6,2)&amp;"-"&amp;MID(SUBSTITUTE(SUBSTITUTE(SUBSTITUTE(SUBSTITUTE(SUBSTITUTE(Клиенты_исходные!D413," ",""),"-",""),"+",""),"(",""),")",""),8,2),Клиенты_исходные!D413)))</f>
        <v xml:space="preserve">+7 (903) 345-67-89</v>
      </c>
      <c r="E413" t="str">
        <f>IF(ISBLANK(Клиенты_исходные!E413),"",IF(ISNUMBER(FIND(".",MID(Клиенты_исходные!E413,FIND("@",Клиенты_исходные!E413)+1,255))),Клиенты_исходные!E413,IF(ISNUMBER(FIND("gmail",Клиенты_исходные!E413)),Клиенты_исходные!E413&amp;".com",Клиенты_исходные!E413&amp;".ru")))</f>
        <v>markin@mail.ru</v>
      </c>
      <c r="F413" t="str">
        <f>IFERROR(VLOOKUP(Клиенты_исходные!F413,Справочники!$J$2:$K$50,2,FALSE),Клиенты_исходные!F413)</f>
        <v>Шахты</v>
      </c>
      <c r="G413" s="8">
        <f>IFERROR(IF(ISNUMBER(FIND(".",Клиенты_исходные!G413)),DATE(RIGHT(Клиенты_исходные!G413,4),MID(Клиенты_исходные!G413,4,2),LEFT(Клиенты_исходные!G413,2)),DATE(LEFT(Клиенты_исходные!G413,4),MID(Клиенты_исходные!G413,6,2),RIGHT(Клиенты_исходные!G413,2))),Клиенты_исходные!G413)</f>
        <v>48731</v>
      </c>
      <c r="H413">
        <f t="shared" ca="1" si="64"/>
        <v>52</v>
      </c>
      <c r="I413" t="str">
        <f t="shared" si="65"/>
        <v>OK</v>
      </c>
      <c r="J413" t="str">
        <f t="shared" si="66"/>
        <v>OK</v>
      </c>
    </row>
    <row r="414">
      <c r="A414" t="str">
        <f>Клиенты_исходные!A414</f>
        <v>C0413</v>
      </c>
      <c r="B414" t="str">
        <f>PROPER(TRIM(Клиенты_исходные!B414))</f>
        <v xml:space="preserve">Булатова Ольга Владимировна</v>
      </c>
      <c r="C414" s="8">
        <f>IFERROR(IF(ISNUMBER(FIND(".",Клиенты_исходные!C414)),DATE(RIGHT(Клиенты_исходные!C414,4),MID(Клиенты_исходные!C414,4,2),LEFT(Клиенты_исходные!C414,2)),DATE(LEFT(Клиенты_исходные!C414,4),MID(Клиенты_исходные!C414,6,2),RIGHT(Клиенты_исходные!C414,2))),Клиенты_исходные!C414)</f>
        <v>29911</v>
      </c>
      <c r="D414" t="str">
        <f>IF(ISBLANK(Клиенты_исходные!D414),"",IF(LEN(SUBSTITUTE(SUBSTITUTE(SUBSTITUTE(SUBSTITUTE(SUBSTITUTE(Клиенты_исходные!D414," ",""),"-",""),"+",""),"(",""),")",""))=11,"+7 ("&amp;MID(IF(LEFT(SUBSTITUTE(SUBSTITUTE(SUBSTITUTE(SUBSTITUTE(SUBSTITUTE(Клиенты_исходные!D414," ",""),"-",""),"+",""),"(",""),")",""))="8","7"&amp;MID(SUBSTITUTE(SUBSTITUTE(SUBSTITUTE(SUBSTITUTE(SUBSTITUTE(Клиенты_исходные!D414," ",""),"-",""),"+",""),"(",""),")",""),2,10),SUBSTITUTE(SUBSTITUTE(SUBSTITUTE(SUBSTITUTE(SUBSTITUTE(Клиенты_исходные!D414," ",""),"-",""),"+",""),"(",""),")","")),2,3)&amp;") "&amp;MID(IF(LEFT(SUBSTITUTE(SUBSTITUTE(SUBSTITUTE(SUBSTITUTE(SUBSTITUTE(Клиенты_исходные!D414," ",""),"-",""),"+",""),"(",""),")",""))="8","7"&amp;MID(SUBSTITUTE(SUBSTITUTE(SUBSTITUTE(SUBSTITUTE(SUBSTITUTE(Клиенты_исходные!D414," ",""),"-",""),"+",""),"(",""),")",""),2,10),SUBSTITUTE(SUBSTITUTE(SUBSTITUTE(SUBSTITUTE(SUBSTITUTE(Клиенты_исходные!D414," ",""),"-",""),"+",""),"(",""),")","")),5,3)&amp;"-"&amp;MID(IF(LEFT(SUBSTITUTE(SUBSTITUTE(SUBSTITUTE(SUBSTITUTE(SUBSTITUTE(Клиенты_исходные!D414," ",""),"-",""),"+",""),"(",""),")",""))="8","7"&amp;MID(SUBSTITUTE(SUBSTITUTE(SUBSTITUTE(SUBSTITUTE(SUBSTITUTE(Клиенты_исходные!D414," ",""),"-",""),"+",""),"(",""),")",""),2,10),SUBSTITUTE(SUBSTITUTE(SUBSTITUTE(SUBSTITUTE(SUBSTITUTE(Клиенты_исходные!D414," ",""),"-",""),"+",""),"(",""),")","")),8,2)&amp;"-"&amp;MID(IF(LEFT(SUBSTITUTE(SUBSTITUTE(SUBSTITUTE(SUBSTITUTE(SUBSTITUTE(Клиенты_исходные!D414," ",""),"-",""),"+",""),"(",""),")",""))="8","7"&amp;MID(SUBSTITUTE(SUBSTITUTE(SUBSTITUTE(SUBSTITUTE(SUBSTITUTE(Клиенты_исходные!D414," ",""),"-",""),"+",""),"(",""),")",""),2,10),SUBSTITUTE(SUBSTITUTE(SUBSTITUTE(SUBSTITUTE(SUBSTITUTE(Клиенты_исходные!D414," ",""),"-",""),"+",""),"(",""),")","")),10,2),IF(LEN(SUBSTITUTE(SUBSTITUTE(SUBSTITUTE(SUBSTITUTE(SUBSTITUTE(Клиенты_исходные!D414," ",""),"-",""),"+",""),"(",""),")",""))=10,"+7 ("&amp;MID(SUBSTITUTE(SUBSTITUTE(SUBSTITUTE(SUBSTITUTE(SUBSTITUTE(Клиенты_исходные!D414," ",""),"-",""),"+",""),"(",""),")",""),1,3)&amp;") "&amp;MID(SUBSTITUTE(SUBSTITUTE(SUBSTITUTE(SUBSTITUTE(SUBSTITUTE(Клиенты_исходные!D414," ",""),"-",""),"+",""),"(",""),")",""),4,3)&amp;"-"&amp;MID(SUBSTITUTE(SUBSTITUTE(SUBSTITUTE(SUBSTITUTE(SUBSTITUTE(Клиенты_исходные!D414," ",""),"-",""),"+",""),"(",""),")",""),6,2)&amp;"-"&amp;MID(SUBSTITUTE(SUBSTITUTE(SUBSTITUTE(SUBSTITUTE(SUBSTITUTE(Клиенты_исходные!D414," ",""),"-",""),"+",""),"(",""),")",""),8,2),Клиенты_исходные!D414)))</f>
        <v xml:space="preserve">+7 (903) 345-67-89</v>
      </c>
      <c r="E414" t="str">
        <f>IF(ISBLANK(Клиенты_исходные!E414),"",IF(ISNUMBER(FIND(".",MID(Клиенты_исходные!E414,FIND("@",Клиенты_исходные!E414)+1,255))),Клиенты_исходные!E414,IF(ISNUMBER(FIND("gmail",Клиенты_исходные!E414)),Клиенты_исходные!E414&amp;".com",Клиенты_исходные!E414&amp;".ru")))</f>
        <v>bulatova@yandex.ru</v>
      </c>
      <c r="F414" t="str">
        <f>IFERROR(VLOOKUP(Клиенты_исходные!F414,Справочники!$J$2:$K$50,2,FALSE),Клиенты_исходные!F414)</f>
        <v>Златоуст</v>
      </c>
      <c r="G414" s="8">
        <f>IFERROR(IF(ISNUMBER(FIND(".",Клиенты_исходные!G414)),DATE(RIGHT(Клиенты_исходные!G414,4),MID(Клиенты_исходные!G414,4,2),LEFT(Клиенты_исходные!G414,2)),DATE(LEFT(Клиенты_исходные!G414,4),MID(Клиенты_исходные!G414,6,2),RIGHT(Клиенты_исходные!G414,2))),Клиенты_исходные!G414)</f>
        <v>48740</v>
      </c>
      <c r="H414">
        <f t="shared" ca="1" si="64"/>
        <v>44</v>
      </c>
      <c r="I414" t="str">
        <f t="shared" si="65"/>
        <v>OK</v>
      </c>
      <c r="J414" t="str">
        <f t="shared" si="66"/>
        <v>OK</v>
      </c>
    </row>
    <row r="415">
      <c r="A415" t="str">
        <f>Клиенты_исходные!A415</f>
        <v>C0414</v>
      </c>
      <c r="B415" t="str">
        <f>PROPER(TRIM(Клиенты_исходные!B415))</f>
        <v xml:space="preserve">Кузнецов Дмитрий Александрович</v>
      </c>
      <c r="C415" s="8">
        <f>IFERROR(IF(ISNUMBER(FIND(".",Клиенты_исходные!C415)),DATE(RIGHT(Клиенты_исходные!C415,4),MID(Клиенты_исходные!C415,4,2),LEFT(Клиенты_исходные!C415,2)),DATE(LEFT(Клиенты_исходные!C415,4),MID(Клиенты_исходные!C415,6,2),RIGHT(Клиенты_исходные!C415,2))),Клиенты_исходные!C415)</f>
        <v>32341</v>
      </c>
      <c r="D415" t="str">
        <f>IF(ISBLANK(Клиенты_исходные!D415),"",IF(LEN(SUBSTITUTE(SUBSTITUTE(SUBSTITUTE(SUBSTITUTE(SUBSTITUTE(Клиенты_исходные!D415," ",""),"-",""),"+",""),"(",""),")",""))=11,"+7 ("&amp;MID(IF(LEFT(SUBSTITUTE(SUBSTITUTE(SUBSTITUTE(SUBSTITUTE(SUBSTITUTE(Клиенты_исходные!D415," ",""),"-",""),"+",""),"(",""),")",""))="8","7"&amp;MID(SUBSTITUTE(SUBSTITUTE(SUBSTITUTE(SUBSTITUTE(SUBSTITUTE(Клиенты_исходные!D415," ",""),"-",""),"+",""),"(",""),")",""),2,10),SUBSTITUTE(SUBSTITUTE(SUBSTITUTE(SUBSTITUTE(SUBSTITUTE(Клиенты_исходные!D415," ",""),"-",""),"+",""),"(",""),")","")),2,3)&amp;") "&amp;MID(IF(LEFT(SUBSTITUTE(SUBSTITUTE(SUBSTITUTE(SUBSTITUTE(SUBSTITUTE(Клиенты_исходные!D415," ",""),"-",""),"+",""),"(",""),")",""))="8","7"&amp;MID(SUBSTITUTE(SUBSTITUTE(SUBSTITUTE(SUBSTITUTE(SUBSTITUTE(Клиенты_исходные!D415," ",""),"-",""),"+",""),"(",""),")",""),2,10),SUBSTITUTE(SUBSTITUTE(SUBSTITUTE(SUBSTITUTE(SUBSTITUTE(Клиенты_исходные!D415," ",""),"-",""),"+",""),"(",""),")","")),5,3)&amp;"-"&amp;MID(IF(LEFT(SUBSTITUTE(SUBSTITUTE(SUBSTITUTE(SUBSTITUTE(SUBSTITUTE(Клиенты_исходные!D415," ",""),"-",""),"+",""),"(",""),")",""))="8","7"&amp;MID(SUBSTITUTE(SUBSTITUTE(SUBSTITUTE(SUBSTITUTE(SUBSTITUTE(Клиенты_исходные!D415," ",""),"-",""),"+",""),"(",""),")",""),2,10),SUBSTITUTE(SUBSTITUTE(SUBSTITUTE(SUBSTITUTE(SUBSTITUTE(Клиенты_исходные!D415," ",""),"-",""),"+",""),"(",""),")","")),8,2)&amp;"-"&amp;MID(IF(LEFT(SUBSTITUTE(SUBSTITUTE(SUBSTITUTE(SUBSTITUTE(SUBSTITUTE(Клиенты_исходные!D415," ",""),"-",""),"+",""),"(",""),")",""))="8","7"&amp;MID(SUBSTITUTE(SUBSTITUTE(SUBSTITUTE(SUBSTITUTE(SUBSTITUTE(Клиенты_исходные!D415," ",""),"-",""),"+",""),"(",""),")",""),2,10),SUBSTITUTE(SUBSTITUTE(SUBSTITUTE(SUBSTITUTE(SUBSTITUTE(Клиенты_исходные!D415," ",""),"-",""),"+",""),"(",""),")","")),10,2),IF(LEN(SUBSTITUTE(SUBSTITUTE(SUBSTITUTE(SUBSTITUTE(SUBSTITUTE(Клиенты_исходные!D415," ",""),"-",""),"+",""),"(",""),")",""))=10,"+7 ("&amp;MID(SUBSTITUTE(SUBSTITUTE(SUBSTITUTE(SUBSTITUTE(SUBSTITUTE(Клиенты_исходные!D415," ",""),"-",""),"+",""),"(",""),")",""),1,3)&amp;") "&amp;MID(SUBSTITUTE(SUBSTITUTE(SUBSTITUTE(SUBSTITUTE(SUBSTITUTE(Клиенты_исходные!D415," ",""),"-",""),"+",""),"(",""),")",""),4,3)&amp;"-"&amp;MID(SUBSTITUTE(SUBSTITUTE(SUBSTITUTE(SUBSTITUTE(SUBSTITUTE(Клиенты_исходные!D415," ",""),"-",""),"+",""),"(",""),")",""),6,2)&amp;"-"&amp;MID(SUBSTITUTE(SUBSTITUTE(SUBSTITUTE(SUBSTITUTE(SUBSTITUTE(Клиенты_исходные!D415," ",""),"-",""),"+",""),"(",""),")",""),8,2),Клиенты_исходные!D415)))</f>
        <v xml:space="preserve">+7 (903) 456-78-90</v>
      </c>
      <c r="E415" t="str">
        <f>IF(ISBLANK(Клиенты_исходные!E415),"",IF(ISNUMBER(FIND(".",MID(Клиенты_исходные!E415,FIND("@",Клиенты_исходные!E415)+1,255))),Клиенты_исходные!E415,IF(ISNUMBER(FIND("gmail",Клиенты_исходные!E415)),Клиенты_исходные!E415&amp;".com",Клиенты_исходные!E415&amp;".ru")))</f>
        <v>kuznetsov@gmail.com</v>
      </c>
      <c r="F415" t="str">
        <f>IFERROR(VLOOKUP(Клиенты_исходные!F415,Справочники!$J$2:$K$50,2,FALSE),Клиенты_исходные!F415)</f>
        <v>Ангарск</v>
      </c>
      <c r="G415" s="8">
        <f>IFERROR(IF(ISNUMBER(FIND(".",Клиенты_исходные!G415)),DATE(RIGHT(Клиенты_исходные!G415,4),MID(Клиенты_исходные!G415,4,2),LEFT(Клиенты_исходные!G415,2)),DATE(LEFT(Клиенты_исходные!G415,4),MID(Клиенты_исходные!G415,6,2),RIGHT(Клиенты_исходные!G415,2))),Клиенты_исходные!G415)</f>
        <v>48740</v>
      </c>
      <c r="H415">
        <f t="shared" ca="1" si="64"/>
        <v>38</v>
      </c>
      <c r="I415" t="str">
        <f t="shared" si="65"/>
        <v>OK</v>
      </c>
      <c r="J415" t="str">
        <f t="shared" si="66"/>
        <v>OK</v>
      </c>
    </row>
    <row r="416">
      <c r="A416" t="str">
        <f>Клиенты_исходные!A416</f>
        <v>C0415</v>
      </c>
      <c r="B416" t="str">
        <f>PROPER(TRIM(Клиенты_исходные!B416))</f>
        <v xml:space="preserve">Сизова Елена Игоревна</v>
      </c>
      <c r="C416" s="8">
        <f>IFERROR(IF(ISNUMBER(FIND(".",Клиенты_исходные!C416)),DATE(RIGHT(Клиенты_исходные!C416,4),MID(Клиенты_исходные!C416,4,2),LEFT(Клиенты_исходные!C416,2)),DATE(LEFT(Клиенты_исходные!C416,4),MID(Клиенты_исходные!C416,6,2),RIGHT(Клиенты_исходные!C416,2))),Клиенты_исходные!C416)</f>
        <v>28063</v>
      </c>
      <c r="D416" t="str">
        <f>IF(ISBLANK(Клиенты_исходные!D416),"",IF(LEN(SUBSTITUTE(SUBSTITUTE(SUBSTITUTE(SUBSTITUTE(SUBSTITUTE(Клиенты_исходные!D416," ",""),"-",""),"+",""),"(",""),")",""))=11,"+7 ("&amp;MID(IF(LEFT(SUBSTITUTE(SUBSTITUTE(SUBSTITUTE(SUBSTITUTE(SUBSTITUTE(Клиенты_исходные!D416," ",""),"-",""),"+",""),"(",""),")",""))="8","7"&amp;MID(SUBSTITUTE(SUBSTITUTE(SUBSTITUTE(SUBSTITUTE(SUBSTITUTE(Клиенты_исходные!D416," ",""),"-",""),"+",""),"(",""),")",""),2,10),SUBSTITUTE(SUBSTITUTE(SUBSTITUTE(SUBSTITUTE(SUBSTITUTE(Клиенты_исходные!D416," ",""),"-",""),"+",""),"(",""),")","")),2,3)&amp;") "&amp;MID(IF(LEFT(SUBSTITUTE(SUBSTITUTE(SUBSTITUTE(SUBSTITUTE(SUBSTITUTE(Клиенты_исходные!D416," ",""),"-",""),"+",""),"(",""),")",""))="8","7"&amp;MID(SUBSTITUTE(SUBSTITUTE(SUBSTITUTE(SUBSTITUTE(SUBSTITUTE(Клиенты_исходные!D416," ",""),"-",""),"+",""),"(",""),")",""),2,10),SUBSTITUTE(SUBSTITUTE(SUBSTITUTE(SUBSTITUTE(SUBSTITUTE(Клиенты_исходные!D416," ",""),"-",""),"+",""),"(",""),")","")),5,3)&amp;"-"&amp;MID(IF(LEFT(SUBSTITUTE(SUBSTITUTE(SUBSTITUTE(SUBSTITUTE(SUBSTITUTE(Клиенты_исходные!D416," ",""),"-",""),"+",""),"(",""),")",""))="8","7"&amp;MID(SUBSTITUTE(SUBSTITUTE(SUBSTITUTE(SUBSTITUTE(SUBSTITUTE(Клиенты_исходные!D416," ",""),"-",""),"+",""),"(",""),")",""),2,10),SUBSTITUTE(SUBSTITUTE(SUBSTITUTE(SUBSTITUTE(SUBSTITUTE(Клиенты_исходные!D416," ",""),"-",""),"+",""),"(",""),")","")),8,2)&amp;"-"&amp;MID(IF(LEFT(SUBSTITUTE(SUBSTITUTE(SUBSTITUTE(SUBSTITUTE(SUBSTITUTE(Клиенты_исходные!D416," ",""),"-",""),"+",""),"(",""),")",""))="8","7"&amp;MID(SUBSTITUTE(SUBSTITUTE(SUBSTITUTE(SUBSTITUTE(SUBSTITUTE(Клиенты_исходные!D416," ",""),"-",""),"+",""),"(",""),")",""),2,10),SUBSTITUTE(SUBSTITUTE(SUBSTITUTE(SUBSTITUTE(SUBSTITUTE(Клиенты_исходные!D416," ",""),"-",""),"+",""),"(",""),")","")),10,2),IF(LEN(SUBSTITUTE(SUBSTITUTE(SUBSTITUTE(SUBSTITUTE(SUBSTITUTE(Клиенты_исходные!D416," ",""),"-",""),"+",""),"(",""),")",""))=10,"+7 ("&amp;MID(SUBSTITUTE(SUBSTITUTE(SUBSTITUTE(SUBSTITUTE(SUBSTITUTE(Клиенты_исходные!D416," ",""),"-",""),"+",""),"(",""),")",""),1,3)&amp;") "&amp;MID(SUBSTITUTE(SUBSTITUTE(SUBSTITUTE(SUBSTITUTE(SUBSTITUTE(Клиенты_исходные!D416," ",""),"-",""),"+",""),"(",""),")",""),4,3)&amp;"-"&amp;MID(SUBSTITUTE(SUBSTITUTE(SUBSTITUTE(SUBSTITUTE(SUBSTITUTE(Клиенты_исходные!D416," ",""),"-",""),"+",""),"(",""),")",""),6,2)&amp;"-"&amp;MID(SUBSTITUTE(SUBSTITUTE(SUBSTITUTE(SUBSTITUTE(SUBSTITUTE(Клиенты_исходные!D416," ",""),"-",""),"+",""),"(",""),")",""),8,2),Клиенты_исходные!D416)))</f>
        <v xml:space="preserve">+7 (903) 456-78-90</v>
      </c>
      <c r="E416" t="str">
        <f>IF(ISBLANK(Клиенты_исходные!E416),"",IF(ISNUMBER(FIND(".",MID(Клиенты_исходные!E416,FIND("@",Клиенты_исходные!E416)+1,255))),Клиенты_исходные!E416,IF(ISNUMBER(FIND("gmail",Клиенты_исходные!E416)),Клиенты_исходные!E416&amp;".com",Клиенты_исходные!E416&amp;".ru")))</f>
        <v>sizova@mail.ru</v>
      </c>
      <c r="F416" t="str">
        <f>IFERROR(VLOOKUP(Клиенты_исходные!F416,Справочники!$J$2:$K$50,2,FALSE),Клиенты_исходные!F416)</f>
        <v>Озёрск</v>
      </c>
      <c r="G416" s="8">
        <f>IFERROR(IF(ISNUMBER(FIND(".",Клиенты_исходные!G416)),DATE(RIGHT(Клиенты_исходные!G416,4),MID(Клиенты_исходные!G416,4,2),LEFT(Клиенты_исходные!G416,2)),DATE(LEFT(Клиенты_исходные!G416,4),MID(Клиенты_исходные!G416,6,2),RIGHT(Клиенты_исходные!G416,2))),Клиенты_исходные!G416)</f>
        <v>48761</v>
      </c>
      <c r="H416">
        <f t="shared" ca="1" si="64"/>
        <v>49</v>
      </c>
      <c r="I416" t="str">
        <f t="shared" si="65"/>
        <v>OK</v>
      </c>
      <c r="J416" t="str">
        <f t="shared" si="66"/>
        <v>OK</v>
      </c>
    </row>
    <row r="417">
      <c r="A417" t="str">
        <f>Клиенты_исходные!A417</f>
        <v>C0416</v>
      </c>
      <c r="B417" t="str">
        <f>PROPER(TRIM(Клиенты_исходные!B417))</f>
        <v xml:space="preserve">Карнаухов Андрей Павлович</v>
      </c>
      <c r="C417" s="8">
        <f>IFERROR(IF(ISNUMBER(FIND(".",Клиенты_исходные!C417)),DATE(RIGHT(Клиенты_исходные!C417,4),MID(Клиенты_исходные!C417,4,2),LEFT(Клиенты_исходные!C417,2)),DATE(LEFT(Клиенты_исходные!C417,4),MID(Клиенты_исходные!C417,6,2),RIGHT(Клиенты_исходные!C417,2))),Клиенты_исходные!C417)</f>
        <v>30359</v>
      </c>
      <c r="D417" t="str">
        <f>IF(ISBLANK(Клиенты_исходные!D417),"",IF(LEN(SUBSTITUTE(SUBSTITUTE(SUBSTITUTE(SUBSTITUTE(SUBSTITUTE(Клиенты_исходные!D417," ",""),"-",""),"+",""),"(",""),")",""))=11,"+7 ("&amp;MID(IF(LEFT(SUBSTITUTE(SUBSTITUTE(SUBSTITUTE(SUBSTITUTE(SUBSTITUTE(Клиенты_исходные!D417," ",""),"-",""),"+",""),"(",""),")",""))="8","7"&amp;MID(SUBSTITUTE(SUBSTITUTE(SUBSTITUTE(SUBSTITUTE(SUBSTITUTE(Клиенты_исходные!D417," ",""),"-",""),"+",""),"(",""),")",""),2,10),SUBSTITUTE(SUBSTITUTE(SUBSTITUTE(SUBSTITUTE(SUBSTITUTE(Клиенты_исходные!D417," ",""),"-",""),"+",""),"(",""),")","")),2,3)&amp;") "&amp;MID(IF(LEFT(SUBSTITUTE(SUBSTITUTE(SUBSTITUTE(SUBSTITUTE(SUBSTITUTE(Клиенты_исходные!D417," ",""),"-",""),"+",""),"(",""),")",""))="8","7"&amp;MID(SUBSTITUTE(SUBSTITUTE(SUBSTITUTE(SUBSTITUTE(SUBSTITUTE(Клиенты_исходные!D417," ",""),"-",""),"+",""),"(",""),")",""),2,10),SUBSTITUTE(SUBSTITUTE(SUBSTITUTE(SUBSTITUTE(SUBSTITUTE(Клиенты_исходные!D417," ",""),"-",""),"+",""),"(",""),")","")),5,3)&amp;"-"&amp;MID(IF(LEFT(SUBSTITUTE(SUBSTITUTE(SUBSTITUTE(SUBSTITUTE(SUBSTITUTE(Клиенты_исходные!D417," ",""),"-",""),"+",""),"(",""),")",""))="8","7"&amp;MID(SUBSTITUTE(SUBSTITUTE(SUBSTITUTE(SUBSTITUTE(SUBSTITUTE(Клиенты_исходные!D417," ",""),"-",""),"+",""),"(",""),")",""),2,10),SUBSTITUTE(SUBSTITUTE(SUBSTITUTE(SUBSTITUTE(SUBSTITUTE(Клиенты_исходные!D417," ",""),"-",""),"+",""),"(",""),")","")),8,2)&amp;"-"&amp;MID(IF(LEFT(SUBSTITUTE(SUBSTITUTE(SUBSTITUTE(SUBSTITUTE(SUBSTITUTE(Клиенты_исходные!D417," ",""),"-",""),"+",""),"(",""),")",""))="8","7"&amp;MID(SUBSTITUTE(SUBSTITUTE(SUBSTITUTE(SUBSTITUTE(SUBSTITUTE(Клиенты_исходные!D417," ",""),"-",""),"+",""),"(",""),")",""),2,10),SUBSTITUTE(SUBSTITUTE(SUBSTITUTE(SUBSTITUTE(SUBSTITUTE(Клиенты_исходные!D417," ",""),"-",""),"+",""),"(",""),")","")),10,2),IF(LEN(SUBSTITUTE(SUBSTITUTE(SUBSTITUTE(SUBSTITUTE(SUBSTITUTE(Клиенты_исходные!D417," ",""),"-",""),"+",""),"(",""),")",""))=10,"+7 ("&amp;MID(SUBSTITUTE(SUBSTITUTE(SUBSTITUTE(SUBSTITUTE(SUBSTITUTE(Клиенты_исходные!D417," ",""),"-",""),"+",""),"(",""),")",""),1,3)&amp;") "&amp;MID(SUBSTITUTE(SUBSTITUTE(SUBSTITUTE(SUBSTITUTE(SUBSTITUTE(Клиенты_исходные!D417," ",""),"-",""),"+",""),"(",""),")",""),4,3)&amp;"-"&amp;MID(SUBSTITUTE(SUBSTITUTE(SUBSTITUTE(SUBSTITUTE(SUBSTITUTE(Клиенты_исходные!D417," ",""),"-",""),"+",""),"(",""),")",""),6,2)&amp;"-"&amp;MID(SUBSTITUTE(SUBSTITUTE(SUBSTITUTE(SUBSTITUTE(SUBSTITUTE(Клиенты_исходные!D417," ",""),"-",""),"+",""),"(",""),")",""),8,2),Клиенты_исходные!D417)))</f>
        <v xml:space="preserve">+7 (903) 456-78-90</v>
      </c>
      <c r="E417" t="str">
        <f>IF(ISBLANK(Клиенты_исходные!E417),"",IF(ISNUMBER(FIND(".",MID(Клиенты_исходные!E417,FIND("@",Клиенты_исходные!E417)+1,255))),Клиенты_исходные!E417,IF(ISNUMBER(FIND("gmail",Клиенты_исходные!E417)),Клиенты_исходные!E417&amp;".com",Клиенты_исходные!E417&amp;".ru")))</f>
        <v>karnauhov@yandex.ru</v>
      </c>
      <c r="F417" t="str">
        <f>IFERROR(VLOOKUP(Клиенты_исходные!F417,Справочники!$J$2:$K$50,2,FALSE),Клиенты_исходные!F417)</f>
        <v>Орел</v>
      </c>
      <c r="G417" s="8">
        <f>IFERROR(IF(ISNUMBER(FIND(".",Клиенты_исходные!G417)),DATE(RIGHT(Клиенты_исходные!G417,4),MID(Клиенты_исходные!G417,4,2),LEFT(Клиенты_исходные!G417,2)),DATE(LEFT(Клиенты_исходные!G417,4),MID(Клиенты_исходные!G417,6,2),RIGHT(Клиенты_исходные!G417,2))),Клиенты_исходные!G417)</f>
        <v>48775</v>
      </c>
      <c r="H417">
        <f t="shared" ca="1" si="64"/>
        <v>43</v>
      </c>
      <c r="I417" t="str">
        <f t="shared" si="65"/>
        <v>OK</v>
      </c>
      <c r="J417" t="str">
        <f t="shared" si="66"/>
        <v>OK</v>
      </c>
    </row>
    <row r="418">
      <c r="A418" t="str">
        <f>Клиенты_исходные!A418</f>
        <v>C0417</v>
      </c>
      <c r="B418" t="str">
        <f>PROPER(TRIM(Клиенты_исходные!B418))</f>
        <v xml:space="preserve">Кашкарова Мария Сергеевна</v>
      </c>
      <c r="C418" s="8">
        <f>IFERROR(IF(ISNUMBER(FIND(".",Клиенты_исходные!C418)),DATE(RIGHT(Клиенты_исходные!C418,4),MID(Клиенты_исходные!C418,4,2),LEFT(Клиенты_исходные!C418,2)),DATE(LEFT(Клиенты_исходные!C418,4),MID(Клиенты_исходные!C418,6,2),RIGHT(Клиенты_исходные!C418,2))),Клиенты_исходные!C418)</f>
        <v>33763</v>
      </c>
      <c r="D418" t="str">
        <f>IF(ISBLANK(Клиенты_исходные!D418),"",IF(LEN(SUBSTITUTE(SUBSTITUTE(SUBSTITUTE(SUBSTITUTE(SUBSTITUTE(Клиенты_исходные!D418," ",""),"-",""),"+",""),"(",""),")",""))=11,"+7 ("&amp;MID(IF(LEFT(SUBSTITUTE(SUBSTITUTE(SUBSTITUTE(SUBSTITUTE(SUBSTITUTE(Клиенты_исходные!D418," ",""),"-",""),"+",""),"(",""),")",""))="8","7"&amp;MID(SUBSTITUTE(SUBSTITUTE(SUBSTITUTE(SUBSTITUTE(SUBSTITUTE(Клиенты_исходные!D418," ",""),"-",""),"+",""),"(",""),")",""),2,10),SUBSTITUTE(SUBSTITUTE(SUBSTITUTE(SUBSTITUTE(SUBSTITUTE(Клиенты_исходные!D418," ",""),"-",""),"+",""),"(",""),")","")),2,3)&amp;") "&amp;MID(IF(LEFT(SUBSTITUTE(SUBSTITUTE(SUBSTITUTE(SUBSTITUTE(SUBSTITUTE(Клиенты_исходные!D418," ",""),"-",""),"+",""),"(",""),")",""))="8","7"&amp;MID(SUBSTITUTE(SUBSTITUTE(SUBSTITUTE(SUBSTITUTE(SUBSTITUTE(Клиенты_исходные!D418," ",""),"-",""),"+",""),"(",""),")",""),2,10),SUBSTITUTE(SUBSTITUTE(SUBSTITUTE(SUBSTITUTE(SUBSTITUTE(Клиенты_исходные!D418," ",""),"-",""),"+",""),"(",""),")","")),5,3)&amp;"-"&amp;MID(IF(LEFT(SUBSTITUTE(SUBSTITUTE(SUBSTITUTE(SUBSTITUTE(SUBSTITUTE(Клиенты_исходные!D418," ",""),"-",""),"+",""),"(",""),")",""))="8","7"&amp;MID(SUBSTITUTE(SUBSTITUTE(SUBSTITUTE(SUBSTITUTE(SUBSTITUTE(Клиенты_исходные!D418," ",""),"-",""),"+",""),"(",""),")",""),2,10),SUBSTITUTE(SUBSTITUTE(SUBSTITUTE(SUBSTITUTE(SUBSTITUTE(Клиенты_исходные!D418," ",""),"-",""),"+",""),"(",""),")","")),8,2)&amp;"-"&amp;MID(IF(LEFT(SUBSTITUTE(SUBSTITUTE(SUBSTITUTE(SUBSTITUTE(SUBSTITUTE(Клиенты_исходные!D418," ",""),"-",""),"+",""),"(",""),")",""))="8","7"&amp;MID(SUBSTITUTE(SUBSTITUTE(SUBSTITUTE(SUBSTITUTE(SUBSTITUTE(Клиенты_исходные!D418," ",""),"-",""),"+",""),"(",""),")",""),2,10),SUBSTITUTE(SUBSTITUTE(SUBSTITUTE(SUBSTITUTE(SUBSTITUTE(Клиенты_исходные!D418," ",""),"-",""),"+",""),"(",""),")","")),10,2),IF(LEN(SUBSTITUTE(SUBSTITUTE(SUBSTITUTE(SUBSTITUTE(SUBSTITUTE(Клиенты_исходные!D418," ",""),"-",""),"+",""),"(",""),")",""))=10,"+7 ("&amp;MID(SUBSTITUTE(SUBSTITUTE(SUBSTITUTE(SUBSTITUTE(SUBSTITUTE(Клиенты_исходные!D418," ",""),"-",""),"+",""),"(",""),")",""),1,3)&amp;") "&amp;MID(SUBSTITUTE(SUBSTITUTE(SUBSTITUTE(SUBSTITUTE(SUBSTITUTE(Клиенты_исходные!D418," ",""),"-",""),"+",""),"(",""),")",""),4,3)&amp;"-"&amp;MID(SUBSTITUTE(SUBSTITUTE(SUBSTITUTE(SUBSTITUTE(SUBSTITUTE(Клиенты_исходные!D418," ",""),"-",""),"+",""),"(",""),")",""),6,2)&amp;"-"&amp;MID(SUBSTITUTE(SUBSTITUTE(SUBSTITUTE(SUBSTITUTE(SUBSTITUTE(Клиенты_исходные!D418," ",""),"-",""),"+",""),"(",""),")",""),8,2),Клиенты_исходные!D418)))</f>
        <v xml:space="preserve">+7 (903) 567-89-01</v>
      </c>
      <c r="E418" t="str">
        <f>IF(ISBLANK(Клиенты_исходные!E418),"",IF(ISNUMBER(FIND(".",MID(Клиенты_исходные!E418,FIND("@",Клиенты_исходные!E418)+1,255))),Клиенты_исходные!E418,IF(ISNUMBER(FIND("gmail",Клиенты_исходные!E418)),Клиенты_исходные!E418&amp;".com",Клиенты_исходные!E418&amp;".ru")))</f>
        <v>kashkarova@gmail.com</v>
      </c>
      <c r="F418" t="str">
        <f>IFERROR(VLOOKUP(Клиенты_исходные!F418,Справочники!$J$2:$K$50,2,FALSE),Клиенты_исходные!F418)</f>
        <v>Якутск</v>
      </c>
      <c r="G418" s="8">
        <f>IFERROR(IF(ISNUMBER(FIND(".",Клиенты_исходные!G418)),DATE(RIGHT(Клиенты_исходные!G418,4),MID(Клиенты_исходные!G418,4,2),LEFT(Клиенты_исходные!G418,2)),DATE(LEFT(Клиенты_исходные!G418,4),MID(Клиенты_исходные!G418,6,2),RIGHT(Клиенты_исходные!G418,2))),Клиенты_исходные!G418)</f>
        <v>48775</v>
      </c>
      <c r="H418">
        <f t="shared" ca="1" si="64"/>
        <v>34</v>
      </c>
      <c r="I418" t="str">
        <f t="shared" si="65"/>
        <v>OK</v>
      </c>
      <c r="J418" t="str">
        <f t="shared" si="66"/>
        <v>OK</v>
      </c>
    </row>
    <row r="419">
      <c r="A419" t="str">
        <f>Клиенты_исходные!A419</f>
        <v>C0418</v>
      </c>
      <c r="B419" t="str">
        <f>PROPER(TRIM(Клиенты_исходные!B419))</f>
        <v xml:space="preserve">Лопатин Илья Алексеевич</v>
      </c>
      <c r="C419" s="8">
        <f>IFERROR(IF(ISNUMBER(FIND(".",Клиенты_исходные!C419)),DATE(RIGHT(Клиенты_исходные!C419,4),MID(Клиенты_исходные!C419,4,2),LEFT(Клиенты_исходные!C419,2)),DATE(LEFT(Клиенты_исходные!C419,4),MID(Клиенты_исходные!C419,6,2),RIGHT(Клиенты_исходные!C419,2))),Клиенты_исходные!C419)</f>
        <v>28387</v>
      </c>
      <c r="D419" t="str">
        <f>IF(ISBLANK(Клиенты_исходные!D419),"",IF(LEN(SUBSTITUTE(SUBSTITUTE(SUBSTITUTE(SUBSTITUTE(SUBSTITUTE(Клиенты_исходные!D419," ",""),"-",""),"+",""),"(",""),")",""))=11,"+7 ("&amp;MID(IF(LEFT(SUBSTITUTE(SUBSTITUTE(SUBSTITUTE(SUBSTITUTE(SUBSTITUTE(Клиенты_исходные!D419," ",""),"-",""),"+",""),"(",""),")",""))="8","7"&amp;MID(SUBSTITUTE(SUBSTITUTE(SUBSTITUTE(SUBSTITUTE(SUBSTITUTE(Клиенты_исходные!D419," ",""),"-",""),"+",""),"(",""),")",""),2,10),SUBSTITUTE(SUBSTITUTE(SUBSTITUTE(SUBSTITUTE(SUBSTITUTE(Клиенты_исходные!D419," ",""),"-",""),"+",""),"(",""),")","")),2,3)&amp;") "&amp;MID(IF(LEFT(SUBSTITUTE(SUBSTITUTE(SUBSTITUTE(SUBSTITUTE(SUBSTITUTE(Клиенты_исходные!D419," ",""),"-",""),"+",""),"(",""),")",""))="8","7"&amp;MID(SUBSTITUTE(SUBSTITUTE(SUBSTITUTE(SUBSTITUTE(SUBSTITUTE(Клиенты_исходные!D419," ",""),"-",""),"+",""),"(",""),")",""),2,10),SUBSTITUTE(SUBSTITUTE(SUBSTITUTE(SUBSTITUTE(SUBSTITUTE(Клиенты_исходные!D419," ",""),"-",""),"+",""),"(",""),")","")),5,3)&amp;"-"&amp;MID(IF(LEFT(SUBSTITUTE(SUBSTITUTE(SUBSTITUTE(SUBSTITUTE(SUBSTITUTE(Клиенты_исходные!D419," ",""),"-",""),"+",""),"(",""),")",""))="8","7"&amp;MID(SUBSTITUTE(SUBSTITUTE(SUBSTITUTE(SUBSTITUTE(SUBSTITUTE(Клиенты_исходные!D419," ",""),"-",""),"+",""),"(",""),")",""),2,10),SUBSTITUTE(SUBSTITUTE(SUBSTITUTE(SUBSTITUTE(SUBSTITUTE(Клиенты_исходные!D419," ",""),"-",""),"+",""),"(",""),")","")),8,2)&amp;"-"&amp;MID(IF(LEFT(SUBSTITUTE(SUBSTITUTE(SUBSTITUTE(SUBSTITUTE(SUBSTITUTE(Клиенты_исходные!D419," ",""),"-",""),"+",""),"(",""),")",""))="8","7"&amp;MID(SUBSTITUTE(SUBSTITUTE(SUBSTITUTE(SUBSTITUTE(SUBSTITUTE(Клиенты_исходные!D419," ",""),"-",""),"+",""),"(",""),")",""),2,10),SUBSTITUTE(SUBSTITUTE(SUBSTITUTE(SUBSTITUTE(SUBSTITUTE(Клиенты_исходные!D419," ",""),"-",""),"+",""),"(",""),")","")),10,2),IF(LEN(SUBSTITUTE(SUBSTITUTE(SUBSTITUTE(SUBSTITUTE(SUBSTITUTE(Клиенты_исходные!D419," ",""),"-",""),"+",""),"(",""),")",""))=10,"+7 ("&amp;MID(SUBSTITUTE(SUBSTITUTE(SUBSTITUTE(SUBSTITUTE(SUBSTITUTE(Клиенты_исходные!D419," ",""),"-",""),"+",""),"(",""),")",""),1,3)&amp;") "&amp;MID(SUBSTITUTE(SUBSTITUTE(SUBSTITUTE(SUBSTITUTE(SUBSTITUTE(Клиенты_исходные!D419," ",""),"-",""),"+",""),"(",""),")",""),4,3)&amp;"-"&amp;MID(SUBSTITUTE(SUBSTITUTE(SUBSTITUTE(SUBSTITUTE(SUBSTITUTE(Клиенты_исходные!D419," ",""),"-",""),"+",""),"(",""),")",""),6,2)&amp;"-"&amp;MID(SUBSTITUTE(SUBSTITUTE(SUBSTITUTE(SUBSTITUTE(SUBSTITUTE(Клиенты_исходные!D419," ",""),"-",""),"+",""),"(",""),")",""),8,2),Клиенты_исходные!D419)))</f>
        <v xml:space="preserve">+7 (903) 567-89-01</v>
      </c>
      <c r="E419" t="str">
        <f>IF(ISBLANK(Клиенты_исходные!E419),"",IF(ISNUMBER(FIND(".",MID(Клиенты_исходные!E419,FIND("@",Клиенты_исходные!E419)+1,255))),Клиенты_исходные!E419,IF(ISNUMBER(FIND("gmail",Клиенты_исходные!E419)),Клиенты_исходные!E419&amp;".com",Клиенты_исходные!E419&amp;".ru")))</f>
        <v>lopatin@mail.ru</v>
      </c>
      <c r="F419" t="str">
        <f>IFERROR(VLOOKUP(Клиенты_исходные!F419,Справочники!$J$2:$K$50,2,FALSE),Клиенты_исходные!F419)</f>
        <v>Чебоксары</v>
      </c>
      <c r="G419" s="8">
        <f>IFERROR(IF(ISNUMBER(FIND(".",Клиенты_исходные!G419)),DATE(RIGHT(Клиенты_исходные!G419,4),MID(Клиенты_исходные!G419,4,2),LEFT(Клиенты_исходные!G419,2)),DATE(LEFT(Клиенты_исходные!G419,4),MID(Клиенты_исходные!G419,6,2),RIGHT(Клиенты_исходные!G419,2))),Клиенты_исходные!G419)</f>
        <v>48792</v>
      </c>
      <c r="H419">
        <f t="shared" ca="1" si="64"/>
        <v>49</v>
      </c>
      <c r="I419" t="str">
        <f t="shared" si="65"/>
        <v>OK</v>
      </c>
      <c r="J419" t="str">
        <f t="shared" si="66"/>
        <v>OK</v>
      </c>
    </row>
    <row r="420">
      <c r="A420" t="str">
        <f>Клиенты_исходные!A420</f>
        <v>C0419</v>
      </c>
      <c r="B420" t="str">
        <f>PROPER(TRIM(Клиенты_исходные!B420))</f>
        <v xml:space="preserve">Хромова Татьяна Викторовна</v>
      </c>
      <c r="C420" s="8">
        <f>IFERROR(IF(ISNUMBER(FIND(".",Клиенты_исходные!C420)),DATE(RIGHT(Клиенты_исходные!C420,4),MID(Клиенты_исходные!C420,4,2),LEFT(Клиенты_исходные!C420,2)),DATE(LEFT(Клиенты_исходные!C420,4),MID(Клиенты_исходные!C420,6,2),RIGHT(Клиенты_исходные!C420,2))),Клиенты_исходные!C420)</f>
        <v>30766</v>
      </c>
      <c r="D420" t="str">
        <f>IF(ISBLANK(Клиенты_исходные!D420),"",IF(LEN(SUBSTITUTE(SUBSTITUTE(SUBSTITUTE(SUBSTITUTE(SUBSTITUTE(Клиенты_исходные!D420," ",""),"-",""),"+",""),"(",""),")",""))=11,"+7 ("&amp;MID(IF(LEFT(SUBSTITUTE(SUBSTITUTE(SUBSTITUTE(SUBSTITUTE(SUBSTITUTE(Клиенты_исходные!D420," ",""),"-",""),"+",""),"(",""),")",""))="8","7"&amp;MID(SUBSTITUTE(SUBSTITUTE(SUBSTITUTE(SUBSTITUTE(SUBSTITUTE(Клиенты_исходные!D420," ",""),"-",""),"+",""),"(",""),")",""),2,10),SUBSTITUTE(SUBSTITUTE(SUBSTITUTE(SUBSTITUTE(SUBSTITUTE(Клиенты_исходные!D420," ",""),"-",""),"+",""),"(",""),")","")),2,3)&amp;") "&amp;MID(IF(LEFT(SUBSTITUTE(SUBSTITUTE(SUBSTITUTE(SUBSTITUTE(SUBSTITUTE(Клиенты_исходные!D420," ",""),"-",""),"+",""),"(",""),")",""))="8","7"&amp;MID(SUBSTITUTE(SUBSTITUTE(SUBSTITUTE(SUBSTITUTE(SUBSTITUTE(Клиенты_исходные!D420," ",""),"-",""),"+",""),"(",""),")",""),2,10),SUBSTITUTE(SUBSTITUTE(SUBSTITUTE(SUBSTITUTE(SUBSTITUTE(Клиенты_исходные!D420," ",""),"-",""),"+",""),"(",""),")","")),5,3)&amp;"-"&amp;MID(IF(LEFT(SUBSTITUTE(SUBSTITUTE(SUBSTITUTE(SUBSTITUTE(SUBSTITUTE(Клиенты_исходные!D420," ",""),"-",""),"+",""),"(",""),")",""))="8","7"&amp;MID(SUBSTITUTE(SUBSTITUTE(SUBSTITUTE(SUBSTITUTE(SUBSTITUTE(Клиенты_исходные!D420," ",""),"-",""),"+",""),"(",""),")",""),2,10),SUBSTITUTE(SUBSTITUTE(SUBSTITUTE(SUBSTITUTE(SUBSTITUTE(Клиенты_исходные!D420," ",""),"-",""),"+",""),"(",""),")","")),8,2)&amp;"-"&amp;MID(IF(LEFT(SUBSTITUTE(SUBSTITUTE(SUBSTITUTE(SUBSTITUTE(SUBSTITUTE(Клиенты_исходные!D420," ",""),"-",""),"+",""),"(",""),")",""))="8","7"&amp;MID(SUBSTITUTE(SUBSTITUTE(SUBSTITUTE(SUBSTITUTE(SUBSTITUTE(Клиенты_исходные!D420," ",""),"-",""),"+",""),"(",""),")",""),2,10),SUBSTITUTE(SUBSTITUTE(SUBSTITUTE(SUBSTITUTE(SUBSTITUTE(Клиенты_исходные!D420," ",""),"-",""),"+",""),"(",""),")","")),10,2),IF(LEN(SUBSTITUTE(SUBSTITUTE(SUBSTITUTE(SUBSTITUTE(SUBSTITUTE(Клиенты_исходные!D420," ",""),"-",""),"+",""),"(",""),")",""))=10,"+7 ("&amp;MID(SUBSTITUTE(SUBSTITUTE(SUBSTITUTE(SUBSTITUTE(SUBSTITUTE(Клиенты_исходные!D420," ",""),"-",""),"+",""),"(",""),")",""),1,3)&amp;") "&amp;MID(SUBSTITUTE(SUBSTITUTE(SUBSTITUTE(SUBSTITUTE(SUBSTITUTE(Клиенты_исходные!D420," ",""),"-",""),"+",""),"(",""),")",""),4,3)&amp;"-"&amp;MID(SUBSTITUTE(SUBSTITUTE(SUBSTITUTE(SUBSTITUTE(SUBSTITUTE(Клиенты_исходные!D420," ",""),"-",""),"+",""),"(",""),")",""),6,2)&amp;"-"&amp;MID(SUBSTITUTE(SUBSTITUTE(SUBSTITUTE(SUBSTITUTE(SUBSTITUTE(Клиенты_исходные!D420," ",""),"-",""),"+",""),"(",""),")",""),8,2),Клиенты_исходные!D420)))</f>
        <v xml:space="preserve">+7 (903) 567-89-01</v>
      </c>
      <c r="E420" t="str">
        <f>IF(ISBLANK(Клиенты_исходные!E420),"",IF(ISNUMBER(FIND(".",MID(Клиенты_исходные!E420,FIND("@",Клиенты_исходные!E420)+1,255))),Клиенты_исходные!E420,IF(ISNUMBER(FIND("gmail",Клиенты_исходные!E420)),Клиенты_исходные!E420&amp;".com",Клиенты_исходные!E420&amp;".ru")))</f>
        <v>hromova@yandex.ru</v>
      </c>
      <c r="F420" t="str">
        <f>IFERROR(VLOOKUP(Клиенты_исходные!F420,Справочники!$J$2:$K$50,2,FALSE),Клиенты_исходные!F420)</f>
        <v>Мурманск</v>
      </c>
      <c r="G420" s="8">
        <f>IFERROR(IF(ISNUMBER(FIND(".",Клиенты_исходные!G420)),DATE(RIGHT(Клиенты_исходные!G420,4),MID(Клиенты_исходные!G420,4,2),LEFT(Клиенты_исходные!G420,2)),DATE(LEFT(Клиенты_исходные!G420,4),MID(Клиенты_исходные!G420,6,2),RIGHT(Клиенты_исходные!G420,2))),Клиенты_исходные!G420)</f>
        <v>48801</v>
      </c>
      <c r="H420">
        <f t="shared" ref="H420:H483" ca="1" si="67">DATEDIF(C420,TODAY(),"Y")</f>
        <v>42</v>
      </c>
      <c r="I420" t="str">
        <f t="shared" ref="I420:I483" si="68">IF(OR(H420&lt;18,H420&gt;80),"Ошибка даты рождения","OK")</f>
        <v>OK</v>
      </c>
      <c r="J420" t="str">
        <f t="shared" ref="J420:J483" si="69">IF(AND(ISNUMBER(FIND("@",E420)),ISNUMBER(FIND(".",MID(E420,FIND("@",E420)+1,255)))),"OK","Ошибка Email")</f>
        <v>OK</v>
      </c>
    </row>
    <row r="421">
      <c r="A421" t="str">
        <f>Клиенты_исходные!A421</f>
        <v>C0420</v>
      </c>
      <c r="B421" t="str">
        <f>PROPER(TRIM(Клиенты_исходные!B421))</f>
        <v xml:space="preserve">Коптев Денис Олегович</v>
      </c>
      <c r="C421" s="8">
        <f>IFERROR(IF(ISNUMBER(FIND(".",Клиенты_исходные!C421)),DATE(RIGHT(Клиенты_исходные!C421,4),MID(Клиенты_исходные!C421,4,2),LEFT(Клиенты_исходные!C421,2)),DATE(LEFT(Клиенты_исходные!C421,4),MID(Клиенты_исходные!C421,6,2),RIGHT(Клиенты_исходные!C421,2))),Клиенты_исходные!C421)</f>
        <v>34316</v>
      </c>
      <c r="D421" t="str">
        <f>IF(ISBLANK(Клиенты_исходные!D421),"",IF(LEN(SUBSTITUTE(SUBSTITUTE(SUBSTITUTE(SUBSTITUTE(SUBSTITUTE(Клиенты_исходные!D421," ",""),"-",""),"+",""),"(",""),")",""))=11,"+7 ("&amp;MID(IF(LEFT(SUBSTITUTE(SUBSTITUTE(SUBSTITUTE(SUBSTITUTE(SUBSTITUTE(Клиенты_исходные!D421," ",""),"-",""),"+",""),"(",""),")",""))="8","7"&amp;MID(SUBSTITUTE(SUBSTITUTE(SUBSTITUTE(SUBSTITUTE(SUBSTITUTE(Клиенты_исходные!D421," ",""),"-",""),"+",""),"(",""),")",""),2,10),SUBSTITUTE(SUBSTITUTE(SUBSTITUTE(SUBSTITUTE(SUBSTITUTE(Клиенты_исходные!D421," ",""),"-",""),"+",""),"(",""),")","")),2,3)&amp;") "&amp;MID(IF(LEFT(SUBSTITUTE(SUBSTITUTE(SUBSTITUTE(SUBSTITUTE(SUBSTITUTE(Клиенты_исходные!D421," ",""),"-",""),"+",""),"(",""),")",""))="8","7"&amp;MID(SUBSTITUTE(SUBSTITUTE(SUBSTITUTE(SUBSTITUTE(SUBSTITUTE(Клиенты_исходные!D421," ",""),"-",""),"+",""),"(",""),")",""),2,10),SUBSTITUTE(SUBSTITUTE(SUBSTITUTE(SUBSTITUTE(SUBSTITUTE(Клиенты_исходные!D421," ",""),"-",""),"+",""),"(",""),")","")),5,3)&amp;"-"&amp;MID(IF(LEFT(SUBSTITUTE(SUBSTITUTE(SUBSTITUTE(SUBSTITUTE(SUBSTITUTE(Клиенты_исходные!D421," ",""),"-",""),"+",""),"(",""),")",""))="8","7"&amp;MID(SUBSTITUTE(SUBSTITUTE(SUBSTITUTE(SUBSTITUTE(SUBSTITUTE(Клиенты_исходные!D421," ",""),"-",""),"+",""),"(",""),")",""),2,10),SUBSTITUTE(SUBSTITUTE(SUBSTITUTE(SUBSTITUTE(SUBSTITUTE(Клиенты_исходные!D421," ",""),"-",""),"+",""),"(",""),")","")),8,2)&amp;"-"&amp;MID(IF(LEFT(SUBSTITUTE(SUBSTITUTE(SUBSTITUTE(SUBSTITUTE(SUBSTITUTE(Клиенты_исходные!D421," ",""),"-",""),"+",""),"(",""),")",""))="8","7"&amp;MID(SUBSTITUTE(SUBSTITUTE(SUBSTITUTE(SUBSTITUTE(SUBSTITUTE(Клиенты_исходные!D421," ",""),"-",""),"+",""),"(",""),")",""),2,10),SUBSTITUTE(SUBSTITUTE(SUBSTITUTE(SUBSTITUTE(SUBSTITUTE(Клиенты_исходные!D421," ",""),"-",""),"+",""),"(",""),")","")),10,2),IF(LEN(SUBSTITUTE(SUBSTITUTE(SUBSTITUTE(SUBSTITUTE(SUBSTITUTE(Клиенты_исходные!D421," ",""),"-",""),"+",""),"(",""),")",""))=10,"+7 ("&amp;MID(SUBSTITUTE(SUBSTITUTE(SUBSTITUTE(SUBSTITUTE(SUBSTITUTE(Клиенты_исходные!D421," ",""),"-",""),"+",""),"(",""),")",""),1,3)&amp;") "&amp;MID(SUBSTITUTE(SUBSTITUTE(SUBSTITUTE(SUBSTITUTE(SUBSTITUTE(Клиенты_исходные!D421," ",""),"-",""),"+",""),"(",""),")",""),4,3)&amp;"-"&amp;MID(SUBSTITUTE(SUBSTITUTE(SUBSTITUTE(SUBSTITUTE(SUBSTITUTE(Клиенты_исходные!D421," ",""),"-",""),"+",""),"(",""),")",""),6,2)&amp;"-"&amp;MID(SUBSTITUTE(SUBSTITUTE(SUBSTITUTE(SUBSTITUTE(SUBSTITUTE(Клиенты_исходные!D421," ",""),"-",""),"+",""),"(",""),")",""),8,2),Клиенты_исходные!D421)))</f>
        <v xml:space="preserve">+7 (903) 678-90-12</v>
      </c>
      <c r="E421" t="str">
        <f>IF(ISBLANK(Клиенты_исходные!E421),"",IF(ISNUMBER(FIND(".",MID(Клиенты_исходные!E421,FIND("@",Клиенты_исходные!E421)+1,255))),Клиенты_исходные!E421,IF(ISNUMBER(FIND("gmail",Клиенты_исходные!E421)),Клиенты_исходные!E421&amp;".com",Клиенты_исходные!E421&amp;".ru")))</f>
        <v>koptiev@gmail.com</v>
      </c>
      <c r="F421" t="str">
        <f>IFERROR(VLOOKUP(Клиенты_исходные!F421,Справочники!$J$2:$K$50,2,FALSE),Клиенты_исходные!F421)</f>
        <v>Смоленск</v>
      </c>
      <c r="G421" s="8">
        <f>IFERROR(IF(ISNUMBER(FIND(".",Клиенты_исходные!G421)),DATE(RIGHT(Клиенты_исходные!G421,4),MID(Клиенты_исходные!G421,4,2),LEFT(Клиенты_исходные!G421,2)),DATE(LEFT(Клиенты_исходные!G421,4),MID(Клиенты_исходные!G421,6,2),RIGHT(Клиенты_исходные!G421,2))),Клиенты_исходные!G421)</f>
        <v>48801</v>
      </c>
      <c r="H421">
        <f t="shared" ca="1" si="67"/>
        <v>32</v>
      </c>
      <c r="I421" t="str">
        <f t="shared" si="68"/>
        <v>OK</v>
      </c>
      <c r="J421" t="str">
        <f t="shared" si="69"/>
        <v>OK</v>
      </c>
    </row>
    <row r="422">
      <c r="A422" t="str">
        <f>Клиенты_исходные!A422</f>
        <v>C0421</v>
      </c>
      <c r="B422" t="str">
        <f>PROPER(TRIM(Клиенты_исходные!B422))</f>
        <v xml:space="preserve">Теплова Екатерина Сергеевна</v>
      </c>
      <c r="C422" s="8">
        <f>IFERROR(IF(ISNUMBER(FIND(".",Клиенты_исходные!C422)),DATE(RIGHT(Клиенты_исходные!C422,4),MID(Клиенты_исходные!C422,4,2),LEFT(Клиенты_исходные!C422,2)),DATE(LEFT(Клиенты_исходные!C422,4),MID(Клиенты_исходные!C422,6,2),RIGHT(Клиенты_исходные!C422,2))),Клиенты_исходные!C422)</f>
        <v>25781</v>
      </c>
      <c r="D422" t="str">
        <f>IF(ISBLANK(Клиенты_исходные!D422),"",IF(LEN(SUBSTITUTE(SUBSTITUTE(SUBSTITUTE(SUBSTITUTE(SUBSTITUTE(Клиенты_исходные!D422," ",""),"-",""),"+",""),"(",""),")",""))=11,"+7 ("&amp;MID(IF(LEFT(SUBSTITUTE(SUBSTITUTE(SUBSTITUTE(SUBSTITUTE(SUBSTITUTE(Клиенты_исходные!D422," ",""),"-",""),"+",""),"(",""),")",""))="8","7"&amp;MID(SUBSTITUTE(SUBSTITUTE(SUBSTITUTE(SUBSTITUTE(SUBSTITUTE(Клиенты_исходные!D422," ",""),"-",""),"+",""),"(",""),")",""),2,10),SUBSTITUTE(SUBSTITUTE(SUBSTITUTE(SUBSTITUTE(SUBSTITUTE(Клиенты_исходные!D422," ",""),"-",""),"+",""),"(",""),")","")),2,3)&amp;") "&amp;MID(IF(LEFT(SUBSTITUTE(SUBSTITUTE(SUBSTITUTE(SUBSTITUTE(SUBSTITUTE(Клиенты_исходные!D422," ",""),"-",""),"+",""),"(",""),")",""))="8","7"&amp;MID(SUBSTITUTE(SUBSTITUTE(SUBSTITUTE(SUBSTITUTE(SUBSTITUTE(Клиенты_исходные!D422," ",""),"-",""),"+",""),"(",""),")",""),2,10),SUBSTITUTE(SUBSTITUTE(SUBSTITUTE(SUBSTITUTE(SUBSTITUTE(Клиенты_исходные!D422," ",""),"-",""),"+",""),"(",""),")","")),5,3)&amp;"-"&amp;MID(IF(LEFT(SUBSTITUTE(SUBSTITUTE(SUBSTITUTE(SUBSTITUTE(SUBSTITUTE(Клиенты_исходные!D422," ",""),"-",""),"+",""),"(",""),")",""))="8","7"&amp;MID(SUBSTITUTE(SUBSTITUTE(SUBSTITUTE(SUBSTITUTE(SUBSTITUTE(Клиенты_исходные!D422," ",""),"-",""),"+",""),"(",""),")",""),2,10),SUBSTITUTE(SUBSTITUTE(SUBSTITUTE(SUBSTITUTE(SUBSTITUTE(Клиенты_исходные!D422," ",""),"-",""),"+",""),"(",""),")","")),8,2)&amp;"-"&amp;MID(IF(LEFT(SUBSTITUTE(SUBSTITUTE(SUBSTITUTE(SUBSTITUTE(SUBSTITUTE(Клиенты_исходные!D422," ",""),"-",""),"+",""),"(",""),")",""))="8","7"&amp;MID(SUBSTITUTE(SUBSTITUTE(SUBSTITUTE(SUBSTITUTE(SUBSTITUTE(Клиенты_исходные!D422," ",""),"-",""),"+",""),"(",""),")",""),2,10),SUBSTITUTE(SUBSTITUTE(SUBSTITUTE(SUBSTITUTE(SUBSTITUTE(Клиенты_исходные!D422," ",""),"-",""),"+",""),"(",""),")","")),10,2),IF(LEN(SUBSTITUTE(SUBSTITUTE(SUBSTITUTE(SUBSTITUTE(SUBSTITUTE(Клиенты_исходные!D422," ",""),"-",""),"+",""),"(",""),")",""))=10,"+7 ("&amp;MID(SUBSTITUTE(SUBSTITUTE(SUBSTITUTE(SUBSTITUTE(SUBSTITUTE(Клиенты_исходные!D422," ",""),"-",""),"+",""),"(",""),")",""),1,3)&amp;") "&amp;MID(SUBSTITUTE(SUBSTITUTE(SUBSTITUTE(SUBSTITUTE(SUBSTITUTE(Клиенты_исходные!D422," ",""),"-",""),"+",""),"(",""),")",""),4,3)&amp;"-"&amp;MID(SUBSTITUTE(SUBSTITUTE(SUBSTITUTE(SUBSTITUTE(SUBSTITUTE(Клиенты_исходные!D422," ",""),"-",""),"+",""),"(",""),")",""),6,2)&amp;"-"&amp;MID(SUBSTITUTE(SUBSTITUTE(SUBSTITUTE(SUBSTITUTE(SUBSTITUTE(Клиенты_исходные!D422," ",""),"-",""),"+",""),"(",""),")",""),8,2),Клиенты_исходные!D422)))</f>
        <v xml:space="preserve">+7 (903) 678-90-12</v>
      </c>
      <c r="E422" t="str">
        <f>IF(ISBLANK(Клиенты_исходные!E422),"",IF(ISNUMBER(FIND(".",MID(Клиенты_исходные!E422,FIND("@",Клиенты_исходные!E422)+1,255))),Клиенты_исходные!E422,IF(ISNUMBER(FIND("gmail",Клиенты_исходные!E422)),Клиенты_исходные!E422&amp;".com",Клиенты_исходные!E422&amp;".ru")))</f>
        <v>teplova@mail.ru</v>
      </c>
      <c r="F422" t="str">
        <f>IFERROR(VLOOKUP(Клиенты_исходные!F422,Справочники!$J$2:$K$50,2,FALSE),Клиенты_исходные!F422)</f>
        <v>Тула</v>
      </c>
      <c r="G422" s="8">
        <f>IFERROR(IF(ISNUMBER(FIND(".",Клиенты_исходные!G422)),DATE(RIGHT(Клиенты_исходные!G422,4),MID(Клиенты_исходные!G422,4,2),LEFT(Клиенты_исходные!G422,2)),DATE(LEFT(Клиенты_исходные!G422,4),MID(Клиенты_исходные!G422,6,2),RIGHT(Клиенты_исходные!G422,2))),Клиенты_исходные!G422)</f>
        <v>48823</v>
      </c>
      <c r="H422">
        <f t="shared" ca="1" si="67"/>
        <v>56</v>
      </c>
      <c r="I422" t="str">
        <f t="shared" si="68"/>
        <v>OK</v>
      </c>
      <c r="J422" t="str">
        <f t="shared" si="69"/>
        <v>OK</v>
      </c>
    </row>
    <row r="423">
      <c r="A423" t="str">
        <f>Клиенты_исходные!A423</f>
        <v>C0422</v>
      </c>
      <c r="B423" t="str">
        <f>PROPER(TRIM(Клиенты_исходные!B423))</f>
        <v xml:space="preserve">Гриднева Ольга Павловна</v>
      </c>
      <c r="C423" s="8">
        <f>IFERROR(IF(ISNUMBER(FIND(".",Клиенты_исходные!C423)),DATE(RIGHT(Клиенты_исходные!C423,4),MID(Клиенты_исходные!C423,4,2),LEFT(Клиенты_исходные!C423,2)),DATE(LEFT(Клиенты_исходные!C423,4),MID(Клиенты_исходные!C423,6,2),RIGHT(Клиенты_исходные!C423,2))),Клиенты_исходные!C423)</f>
        <v>31518</v>
      </c>
      <c r="D423" t="str">
        <f>IF(ISBLANK(Клиенты_исходные!D423),"",IF(LEN(SUBSTITUTE(SUBSTITUTE(SUBSTITUTE(SUBSTITUTE(SUBSTITUTE(Клиенты_исходные!D423," ",""),"-",""),"+",""),"(",""),")",""))=11,"+7 ("&amp;MID(IF(LEFT(SUBSTITUTE(SUBSTITUTE(SUBSTITUTE(SUBSTITUTE(SUBSTITUTE(Клиенты_исходные!D423," ",""),"-",""),"+",""),"(",""),")",""))="8","7"&amp;MID(SUBSTITUTE(SUBSTITUTE(SUBSTITUTE(SUBSTITUTE(SUBSTITUTE(Клиенты_исходные!D423," ",""),"-",""),"+",""),"(",""),")",""),2,10),SUBSTITUTE(SUBSTITUTE(SUBSTITUTE(SUBSTITUTE(SUBSTITUTE(Клиенты_исходные!D423," ",""),"-",""),"+",""),"(",""),")","")),2,3)&amp;") "&amp;MID(IF(LEFT(SUBSTITUTE(SUBSTITUTE(SUBSTITUTE(SUBSTITUTE(SUBSTITUTE(Клиенты_исходные!D423," ",""),"-",""),"+",""),"(",""),")",""))="8","7"&amp;MID(SUBSTITUTE(SUBSTITUTE(SUBSTITUTE(SUBSTITUTE(SUBSTITUTE(Клиенты_исходные!D423," ",""),"-",""),"+",""),"(",""),")",""),2,10),SUBSTITUTE(SUBSTITUTE(SUBSTITUTE(SUBSTITUTE(SUBSTITUTE(Клиенты_исходные!D423," ",""),"-",""),"+",""),"(",""),")","")),5,3)&amp;"-"&amp;MID(IF(LEFT(SUBSTITUTE(SUBSTITUTE(SUBSTITUTE(SUBSTITUTE(SUBSTITUTE(Клиенты_исходные!D423," ",""),"-",""),"+",""),"(",""),")",""))="8","7"&amp;MID(SUBSTITUTE(SUBSTITUTE(SUBSTITUTE(SUBSTITUTE(SUBSTITUTE(Клиенты_исходные!D423," ",""),"-",""),"+",""),"(",""),")",""),2,10),SUBSTITUTE(SUBSTITUTE(SUBSTITUTE(SUBSTITUTE(SUBSTITUTE(Клиенты_исходные!D423," ",""),"-",""),"+",""),"(",""),")","")),8,2)&amp;"-"&amp;MID(IF(LEFT(SUBSTITUTE(SUBSTITUTE(SUBSTITUTE(SUBSTITUTE(SUBSTITUTE(Клиенты_исходные!D423," ",""),"-",""),"+",""),"(",""),")",""))="8","7"&amp;MID(SUBSTITUTE(SUBSTITUTE(SUBSTITUTE(SUBSTITUTE(SUBSTITUTE(Клиенты_исходные!D423," ",""),"-",""),"+",""),"(",""),")",""),2,10),SUBSTITUTE(SUBSTITUTE(SUBSTITUTE(SUBSTITUTE(SUBSTITUTE(Клиенты_исходные!D423," ",""),"-",""),"+",""),"(",""),")","")),10,2),IF(LEN(SUBSTITUTE(SUBSTITUTE(SUBSTITUTE(SUBSTITUTE(SUBSTITUTE(Клиенты_исходные!D423," ",""),"-",""),"+",""),"(",""),")",""))=10,"+7 ("&amp;MID(SUBSTITUTE(SUBSTITUTE(SUBSTITUTE(SUBSTITUTE(SUBSTITUTE(Клиенты_исходные!D423," ",""),"-",""),"+",""),"(",""),")",""),1,3)&amp;") "&amp;MID(SUBSTITUTE(SUBSTITUTE(SUBSTITUTE(SUBSTITUTE(SUBSTITUTE(Клиенты_исходные!D423," ",""),"-",""),"+",""),"(",""),")",""),4,3)&amp;"-"&amp;MID(SUBSTITUTE(SUBSTITUTE(SUBSTITUTE(SUBSTITUTE(SUBSTITUTE(Клиенты_исходные!D423," ",""),"-",""),"+",""),"(",""),")",""),6,2)&amp;"-"&amp;MID(SUBSTITUTE(SUBSTITUTE(SUBSTITUTE(SUBSTITUTE(SUBSTITUTE(Клиенты_исходные!D423," ",""),"-",""),"+",""),"(",""),")",""),8,2),Клиенты_исходные!D423)))</f>
        <v xml:space="preserve">+7 (903) 678-90-12</v>
      </c>
      <c r="E423" t="str">
        <f>IF(ISBLANK(Клиенты_исходные!E423),"",IF(ISNUMBER(FIND(".",MID(Клиенты_исходные!E423,FIND("@",Клиенты_исходные!E423)+1,255))),Клиенты_исходные!E423,IF(ISNUMBER(FIND("gmail",Клиенты_исходные!E423)),Клиенты_исходные!E423&amp;".com",Клиенты_исходные!E423&amp;".ru")))</f>
        <v>gridneva@yandex.ru</v>
      </c>
      <c r="F423" t="str">
        <f>IFERROR(VLOOKUP(Клиенты_исходные!F423,Справочники!$J$2:$K$50,2,FALSE),Клиенты_исходные!F423)</f>
        <v>Калуга</v>
      </c>
      <c r="G423" s="8">
        <f>IFERROR(IF(ISNUMBER(FIND(".",Клиенты_исходные!G423)),DATE(RIGHT(Клиенты_исходные!G423,4),MID(Клиенты_исходные!G423,4,2),LEFT(Клиенты_исходные!G423,2)),DATE(LEFT(Клиенты_исходные!G423,4),MID(Клиенты_исходные!G423,6,2),RIGHT(Клиенты_исходные!G423,2))),Клиенты_исходные!G423)</f>
        <v>48837</v>
      </c>
      <c r="H423">
        <f t="shared" ca="1" si="67"/>
        <v>40</v>
      </c>
      <c r="I423" t="str">
        <f t="shared" si="68"/>
        <v>OK</v>
      </c>
      <c r="J423" t="str">
        <f t="shared" si="69"/>
        <v>OK</v>
      </c>
    </row>
    <row r="424">
      <c r="A424" t="str">
        <f>Клиенты_исходные!A424</f>
        <v>C0423</v>
      </c>
      <c r="B424" t="str">
        <f>PROPER(TRIM(Клиенты_исходные!B424))</f>
        <v xml:space="preserve">Мордасов Андрей Владимирович</v>
      </c>
      <c r="C424" s="8">
        <f>IFERROR(IF(ISNUMBER(FIND(".",Клиенты_исходные!C424)),DATE(RIGHT(Клиенты_исходные!C424,4),MID(Клиенты_исходные!C424,4,2),LEFT(Клиенты_исходные!C424,2)),DATE(LEFT(Клиенты_исходные!C424,4),MID(Клиенты_исходные!C424,6,2),RIGHT(Клиенты_исходные!C424,2))),Клиенты_исходные!C424)</f>
        <v>29947</v>
      </c>
      <c r="D424" t="str">
        <f>IF(ISBLANK(Клиенты_исходные!D424),"",IF(LEN(SUBSTITUTE(SUBSTITUTE(SUBSTITUTE(SUBSTITUTE(SUBSTITUTE(Клиенты_исходные!D424," ",""),"-",""),"+",""),"(",""),")",""))=11,"+7 ("&amp;MID(IF(LEFT(SUBSTITUTE(SUBSTITUTE(SUBSTITUTE(SUBSTITUTE(SUBSTITUTE(Клиенты_исходные!D424," ",""),"-",""),"+",""),"(",""),")",""))="8","7"&amp;MID(SUBSTITUTE(SUBSTITUTE(SUBSTITUTE(SUBSTITUTE(SUBSTITUTE(Клиенты_исходные!D424," ",""),"-",""),"+",""),"(",""),")",""),2,10),SUBSTITUTE(SUBSTITUTE(SUBSTITUTE(SUBSTITUTE(SUBSTITUTE(Клиенты_исходные!D424," ",""),"-",""),"+",""),"(",""),")","")),2,3)&amp;") "&amp;MID(IF(LEFT(SUBSTITUTE(SUBSTITUTE(SUBSTITUTE(SUBSTITUTE(SUBSTITUTE(Клиенты_исходные!D424," ",""),"-",""),"+",""),"(",""),")",""))="8","7"&amp;MID(SUBSTITUTE(SUBSTITUTE(SUBSTITUTE(SUBSTITUTE(SUBSTITUTE(Клиенты_исходные!D424," ",""),"-",""),"+",""),"(",""),")",""),2,10),SUBSTITUTE(SUBSTITUTE(SUBSTITUTE(SUBSTITUTE(SUBSTITUTE(Клиенты_исходные!D424," ",""),"-",""),"+",""),"(",""),")","")),5,3)&amp;"-"&amp;MID(IF(LEFT(SUBSTITUTE(SUBSTITUTE(SUBSTITUTE(SUBSTITUTE(SUBSTITUTE(Клиенты_исходные!D424," ",""),"-",""),"+",""),"(",""),")",""))="8","7"&amp;MID(SUBSTITUTE(SUBSTITUTE(SUBSTITUTE(SUBSTITUTE(SUBSTITUTE(Клиенты_исходные!D424," ",""),"-",""),"+",""),"(",""),")",""),2,10),SUBSTITUTE(SUBSTITUTE(SUBSTITUTE(SUBSTITUTE(SUBSTITUTE(Клиенты_исходные!D424," ",""),"-",""),"+",""),"(",""),")","")),8,2)&amp;"-"&amp;MID(IF(LEFT(SUBSTITUTE(SUBSTITUTE(SUBSTITUTE(SUBSTITUTE(SUBSTITUTE(Клиенты_исходные!D424," ",""),"-",""),"+",""),"(",""),")",""))="8","7"&amp;MID(SUBSTITUTE(SUBSTITUTE(SUBSTITUTE(SUBSTITUTE(SUBSTITUTE(Клиенты_исходные!D424," ",""),"-",""),"+",""),"(",""),")",""),2,10),SUBSTITUTE(SUBSTITUTE(SUBSTITUTE(SUBSTITUTE(SUBSTITUTE(Клиенты_исходные!D424," ",""),"-",""),"+",""),"(",""),")","")),10,2),IF(LEN(SUBSTITUTE(SUBSTITUTE(SUBSTITUTE(SUBSTITUTE(SUBSTITUTE(Клиенты_исходные!D424," ",""),"-",""),"+",""),"(",""),")",""))=10,"+7 ("&amp;MID(SUBSTITUTE(SUBSTITUTE(SUBSTITUTE(SUBSTITUTE(SUBSTITUTE(Клиенты_исходные!D424," ",""),"-",""),"+",""),"(",""),")",""),1,3)&amp;") "&amp;MID(SUBSTITUTE(SUBSTITUTE(SUBSTITUTE(SUBSTITUTE(SUBSTITUTE(Клиенты_исходные!D424," ",""),"-",""),"+",""),"(",""),")",""),4,3)&amp;"-"&amp;MID(SUBSTITUTE(SUBSTITUTE(SUBSTITUTE(SUBSTITUTE(SUBSTITUTE(Клиенты_исходные!D424," ",""),"-",""),"+",""),"(",""),")",""),6,2)&amp;"-"&amp;MID(SUBSTITUTE(SUBSTITUTE(SUBSTITUTE(SUBSTITUTE(SUBSTITUTE(Клиенты_исходные!D424," ",""),"-",""),"+",""),"(",""),")",""),8,2),Клиенты_исходные!D424)))</f>
        <v xml:space="preserve">+7 (903) 789-01-23</v>
      </c>
      <c r="E424" t="str">
        <f>IF(ISBLANK(Клиенты_исходные!E424),"",IF(ISNUMBER(FIND(".",MID(Клиенты_исходные!E424,FIND("@",Клиенты_исходные!E424)+1,255))),Клиенты_исходные!E424,IF(ISNUMBER(FIND("gmail",Клиенты_исходные!E424)),Клиенты_исходные!E424&amp;".com",Клиенты_исходные!E424&amp;".ru")))</f>
        <v>mordasov@gmail.com</v>
      </c>
      <c r="F424" t="str">
        <f>IFERROR(VLOOKUP(Клиенты_исходные!F424,Справочники!$J$2:$K$50,2,FALSE),Клиенты_исходные!F424)</f>
        <v>Владикавказ</v>
      </c>
      <c r="G424" s="8">
        <f>IFERROR(IF(ISNUMBER(FIND(".",Клиенты_исходные!G424)),DATE(RIGHT(Клиенты_исходные!G424,4),MID(Клиенты_исходные!G424,4,2),LEFT(Клиенты_исходные!G424,2)),DATE(LEFT(Клиенты_исходные!G424,4),MID(Клиенты_исходные!G424,6,2),RIGHT(Клиенты_исходные!G424,2))),Клиенты_исходные!G424)</f>
        <v>48837</v>
      </c>
      <c r="H424">
        <f t="shared" ca="1" si="67"/>
        <v>44</v>
      </c>
      <c r="I424" t="str">
        <f t="shared" si="68"/>
        <v>OK</v>
      </c>
      <c r="J424" t="str">
        <f t="shared" si="69"/>
        <v>OK</v>
      </c>
    </row>
    <row r="425">
      <c r="A425" t="str">
        <f>Клиенты_исходные!A425</f>
        <v>C0424</v>
      </c>
      <c r="B425" t="str">
        <f>PROPER(TRIM(Клиенты_исходные!B425))</f>
        <v xml:space="preserve">Пашкова Ирина Сергеевна</v>
      </c>
      <c r="C425" s="8">
        <f>IFERROR(IF(ISNUMBER(FIND(".",Клиенты_исходные!C425)),DATE(RIGHT(Клиенты_исходные!C425,4),MID(Клиенты_исходные!C425,4,2),LEFT(Клиенты_исходные!C425,2)),DATE(LEFT(Клиенты_исходные!C425,4),MID(Клиенты_исходные!C425,6,2),RIGHT(Клиенты_исходные!C425,2))),Клиенты_исходные!C425)</f>
        <v>27677</v>
      </c>
      <c r="D425" t="str">
        <f>IF(ISBLANK(Клиенты_исходные!D425),"",IF(LEN(SUBSTITUTE(SUBSTITUTE(SUBSTITUTE(SUBSTITUTE(SUBSTITUTE(Клиенты_исходные!D425," ",""),"-",""),"+",""),"(",""),")",""))=11,"+7 ("&amp;MID(IF(LEFT(SUBSTITUTE(SUBSTITUTE(SUBSTITUTE(SUBSTITUTE(SUBSTITUTE(Клиенты_исходные!D425," ",""),"-",""),"+",""),"(",""),")",""))="8","7"&amp;MID(SUBSTITUTE(SUBSTITUTE(SUBSTITUTE(SUBSTITUTE(SUBSTITUTE(Клиенты_исходные!D425," ",""),"-",""),"+",""),"(",""),")",""),2,10),SUBSTITUTE(SUBSTITUTE(SUBSTITUTE(SUBSTITUTE(SUBSTITUTE(Клиенты_исходные!D425," ",""),"-",""),"+",""),"(",""),")","")),2,3)&amp;") "&amp;MID(IF(LEFT(SUBSTITUTE(SUBSTITUTE(SUBSTITUTE(SUBSTITUTE(SUBSTITUTE(Клиенты_исходные!D425," ",""),"-",""),"+",""),"(",""),")",""))="8","7"&amp;MID(SUBSTITUTE(SUBSTITUTE(SUBSTITUTE(SUBSTITUTE(SUBSTITUTE(Клиенты_исходные!D425," ",""),"-",""),"+",""),"(",""),")",""),2,10),SUBSTITUTE(SUBSTITUTE(SUBSTITUTE(SUBSTITUTE(SUBSTITUTE(Клиенты_исходные!D425," ",""),"-",""),"+",""),"(",""),")","")),5,3)&amp;"-"&amp;MID(IF(LEFT(SUBSTITUTE(SUBSTITUTE(SUBSTITUTE(SUBSTITUTE(SUBSTITUTE(Клиенты_исходные!D425," ",""),"-",""),"+",""),"(",""),")",""))="8","7"&amp;MID(SUBSTITUTE(SUBSTITUTE(SUBSTITUTE(SUBSTITUTE(SUBSTITUTE(Клиенты_исходные!D425," ",""),"-",""),"+",""),"(",""),")",""),2,10),SUBSTITUTE(SUBSTITUTE(SUBSTITUTE(SUBSTITUTE(SUBSTITUTE(Клиенты_исходные!D425," ",""),"-",""),"+",""),"(",""),")","")),8,2)&amp;"-"&amp;MID(IF(LEFT(SUBSTITUTE(SUBSTITUTE(SUBSTITUTE(SUBSTITUTE(SUBSTITUTE(Клиенты_исходные!D425," ",""),"-",""),"+",""),"(",""),")",""))="8","7"&amp;MID(SUBSTITUTE(SUBSTITUTE(SUBSTITUTE(SUBSTITUTE(SUBSTITUTE(Клиенты_исходные!D425," ",""),"-",""),"+",""),"(",""),")",""),2,10),SUBSTITUTE(SUBSTITUTE(SUBSTITUTE(SUBSTITUTE(SUBSTITUTE(Клиенты_исходные!D425," ",""),"-",""),"+",""),"(",""),")","")),10,2),IF(LEN(SUBSTITUTE(SUBSTITUTE(SUBSTITUTE(SUBSTITUTE(SUBSTITUTE(Клиенты_исходные!D425," ",""),"-",""),"+",""),"(",""),")",""))=10,"+7 ("&amp;MID(SUBSTITUTE(SUBSTITUTE(SUBSTITUTE(SUBSTITUTE(SUBSTITUTE(Клиенты_исходные!D425," ",""),"-",""),"+",""),"(",""),")",""),1,3)&amp;") "&amp;MID(SUBSTITUTE(SUBSTITUTE(SUBSTITUTE(SUBSTITUTE(SUBSTITUTE(Клиенты_исходные!D425," ",""),"-",""),"+",""),"(",""),")",""),4,3)&amp;"-"&amp;MID(SUBSTITUTE(SUBSTITUTE(SUBSTITUTE(SUBSTITUTE(SUBSTITUTE(Клиенты_исходные!D425," ",""),"-",""),"+",""),"(",""),")",""),6,2)&amp;"-"&amp;MID(SUBSTITUTE(SUBSTITUTE(SUBSTITUTE(SUBSTITUTE(SUBSTITUTE(Клиенты_исходные!D425," ",""),"-",""),"+",""),"(",""),")",""),8,2),Клиенты_исходные!D425)))</f>
        <v xml:space="preserve">+7 (903) 789-01-23</v>
      </c>
      <c r="E425" t="str">
        <f>IF(ISBLANK(Клиенты_исходные!E425),"",IF(ISNUMBER(FIND(".",MID(Клиенты_исходные!E425,FIND("@",Клиенты_исходные!E425)+1,255))),Клиенты_исходные!E425,IF(ISNUMBER(FIND("gmail",Клиенты_исходные!E425)),Клиенты_исходные!E425&amp;".com",Клиенты_исходные!E425&amp;".ru")))</f>
        <v>pashkova@mail.ru</v>
      </c>
      <c r="F425" t="str">
        <f>IFERROR(VLOOKUP(Клиенты_исходные!F425,Справочники!$J$2:$K$50,2,FALSE),Клиенты_исходные!F425)</f>
        <v>Смоленск</v>
      </c>
      <c r="G425" s="8">
        <f>IFERROR(IF(ISNUMBER(FIND(".",Клиенты_исходные!G425)),DATE(RIGHT(Клиенты_исходные!G425,4),MID(Клиенты_исходные!G425,4,2),LEFT(Клиенты_исходные!G425,2)),DATE(LEFT(Клиенты_исходные!G425,4),MID(Клиенты_исходные!G425,6,2),RIGHT(Клиенты_исходные!G425,2))),Клиенты_исходные!G425)</f>
        <v>48853</v>
      </c>
      <c r="H425">
        <f t="shared" ca="1" si="67"/>
        <v>50</v>
      </c>
      <c r="I425" t="str">
        <f t="shared" si="68"/>
        <v>OK</v>
      </c>
      <c r="J425" t="str">
        <f t="shared" si="69"/>
        <v>OK</v>
      </c>
    </row>
    <row r="426">
      <c r="A426" t="str">
        <f>Клиенты_исходные!A426</f>
        <v>C0425</v>
      </c>
      <c r="B426" t="str">
        <f>PROPER(TRIM(Клиенты_исходные!B426))</f>
        <v xml:space="preserve">Скрипкин Илья Олегович</v>
      </c>
      <c r="C426" s="8">
        <f>IFERROR(IF(ISNUMBER(FIND(".",Клиенты_исходные!C426)),DATE(RIGHT(Клиенты_исходные!C426,4),MID(Клиенты_исходные!C426,4,2),LEFT(Клиенты_исходные!C426,2)),DATE(LEFT(Клиенты_исходные!C426,4),MID(Клиенты_исходные!C426,6,2),RIGHT(Клиенты_исходные!C426,2))),Клиенты_исходные!C426)</f>
        <v>32266</v>
      </c>
      <c r="D426" t="str">
        <f>IF(ISBLANK(Клиенты_исходные!D426),"",IF(LEN(SUBSTITUTE(SUBSTITUTE(SUBSTITUTE(SUBSTITUTE(SUBSTITUTE(Клиенты_исходные!D426," ",""),"-",""),"+",""),"(",""),")",""))=11,"+7 ("&amp;MID(IF(LEFT(SUBSTITUTE(SUBSTITUTE(SUBSTITUTE(SUBSTITUTE(SUBSTITUTE(Клиенты_исходные!D426," ",""),"-",""),"+",""),"(",""),")",""))="8","7"&amp;MID(SUBSTITUTE(SUBSTITUTE(SUBSTITUTE(SUBSTITUTE(SUBSTITUTE(Клиенты_исходные!D426," ",""),"-",""),"+",""),"(",""),")",""),2,10),SUBSTITUTE(SUBSTITUTE(SUBSTITUTE(SUBSTITUTE(SUBSTITUTE(Клиенты_исходные!D426," ",""),"-",""),"+",""),"(",""),")","")),2,3)&amp;") "&amp;MID(IF(LEFT(SUBSTITUTE(SUBSTITUTE(SUBSTITUTE(SUBSTITUTE(SUBSTITUTE(Клиенты_исходные!D426," ",""),"-",""),"+",""),"(",""),")",""))="8","7"&amp;MID(SUBSTITUTE(SUBSTITUTE(SUBSTITUTE(SUBSTITUTE(SUBSTITUTE(Клиенты_исходные!D426," ",""),"-",""),"+",""),"(",""),")",""),2,10),SUBSTITUTE(SUBSTITUTE(SUBSTITUTE(SUBSTITUTE(SUBSTITUTE(Клиенты_исходные!D426," ",""),"-",""),"+",""),"(",""),")","")),5,3)&amp;"-"&amp;MID(IF(LEFT(SUBSTITUTE(SUBSTITUTE(SUBSTITUTE(SUBSTITUTE(SUBSTITUTE(Клиенты_исходные!D426," ",""),"-",""),"+",""),"(",""),")",""))="8","7"&amp;MID(SUBSTITUTE(SUBSTITUTE(SUBSTITUTE(SUBSTITUTE(SUBSTITUTE(Клиенты_исходные!D426," ",""),"-",""),"+",""),"(",""),")",""),2,10),SUBSTITUTE(SUBSTITUTE(SUBSTITUTE(SUBSTITUTE(SUBSTITUTE(Клиенты_исходные!D426," ",""),"-",""),"+",""),"(",""),")","")),8,2)&amp;"-"&amp;MID(IF(LEFT(SUBSTITUTE(SUBSTITUTE(SUBSTITUTE(SUBSTITUTE(SUBSTITUTE(Клиенты_исходные!D426," ",""),"-",""),"+",""),"(",""),")",""))="8","7"&amp;MID(SUBSTITUTE(SUBSTITUTE(SUBSTITUTE(SUBSTITUTE(SUBSTITUTE(Клиенты_исходные!D426," ",""),"-",""),"+",""),"(",""),")",""),2,10),SUBSTITUTE(SUBSTITUTE(SUBSTITUTE(SUBSTITUTE(SUBSTITUTE(Клиенты_исходные!D426," ",""),"-",""),"+",""),"(",""),")","")),10,2),IF(LEN(SUBSTITUTE(SUBSTITUTE(SUBSTITUTE(SUBSTITUTE(SUBSTITUTE(Клиенты_исходные!D426," ",""),"-",""),"+",""),"(",""),")",""))=10,"+7 ("&amp;MID(SUBSTITUTE(SUBSTITUTE(SUBSTITUTE(SUBSTITUTE(SUBSTITUTE(Клиенты_исходные!D426," ",""),"-",""),"+",""),"(",""),")",""),1,3)&amp;") "&amp;MID(SUBSTITUTE(SUBSTITUTE(SUBSTITUTE(SUBSTITUTE(SUBSTITUTE(Клиенты_исходные!D426," ",""),"-",""),"+",""),"(",""),")",""),4,3)&amp;"-"&amp;MID(SUBSTITUTE(SUBSTITUTE(SUBSTITUTE(SUBSTITUTE(SUBSTITUTE(Клиенты_исходные!D426," ",""),"-",""),"+",""),"(",""),")",""),6,2)&amp;"-"&amp;MID(SUBSTITUTE(SUBSTITUTE(SUBSTITUTE(SUBSTITUTE(SUBSTITUTE(Клиенты_исходные!D426," ",""),"-",""),"+",""),"(",""),")",""),8,2),Клиенты_исходные!D426)))</f>
        <v xml:space="preserve">+7 (903) 789-01-23</v>
      </c>
      <c r="E426" t="str">
        <f>IF(ISBLANK(Клиенты_исходные!E426),"",IF(ISNUMBER(FIND(".",MID(Клиенты_исходные!E426,FIND("@",Клиенты_исходные!E426)+1,255))),Клиенты_исходные!E426,IF(ISNUMBER(FIND("gmail",Клиенты_исходные!E426)),Клиенты_исходные!E426&amp;".com",Клиенты_исходные!E426&amp;".ru")))</f>
        <v>skripkin@yandex.ru</v>
      </c>
      <c r="F426" t="str">
        <f>IFERROR(VLOOKUP(Клиенты_исходные!F426,Справочники!$J$2:$K$50,2,FALSE),Клиенты_исходные!F426)</f>
        <v>Белгород</v>
      </c>
      <c r="G426" s="8">
        <f>IFERROR(IF(ISNUMBER(FIND(".",Клиенты_исходные!G426)),DATE(RIGHT(Клиенты_исходные!G426,4),MID(Клиенты_исходные!G426,4,2),LEFT(Клиенты_исходные!G426,2)),DATE(LEFT(Клиенты_исходные!G426,4),MID(Клиенты_исходные!G426,6,2),RIGHT(Клиенты_исходные!G426,2))),Клиенты_исходные!G426)</f>
        <v>48862</v>
      </c>
      <c r="H426">
        <f t="shared" ca="1" si="67"/>
        <v>38</v>
      </c>
      <c r="I426" t="str">
        <f t="shared" si="68"/>
        <v>OK</v>
      </c>
      <c r="J426" t="str">
        <f t="shared" si="69"/>
        <v>OK</v>
      </c>
    </row>
    <row r="427">
      <c r="A427" t="str">
        <f>Клиенты_исходные!A427</f>
        <v>C0426</v>
      </c>
      <c r="B427" t="str">
        <f>PROPER(TRIM(Клиенты_исходные!B427))</f>
        <v xml:space="preserve">Кузовкина Мария Алексеевна</v>
      </c>
      <c r="C427" s="8">
        <f>IFERROR(IF(ISNUMBER(FIND(".",Клиенты_исходные!C427)),DATE(RIGHT(Клиенты_исходные!C427,4),MID(Клиенты_исходные!C427,4,2),LEFT(Клиенты_исходные!C427,2)),DATE(LEFT(Клиенты_исходные!C427,4),MID(Клиенты_исходные!C427,6,2),RIGHT(Клиенты_исходные!C427,2))),Клиенты_исходные!C427)</f>
        <v>34599</v>
      </c>
      <c r="D427" t="str">
        <f>IF(ISBLANK(Клиенты_исходные!D427),"",IF(LEN(SUBSTITUTE(SUBSTITUTE(SUBSTITUTE(SUBSTITUTE(SUBSTITUTE(Клиенты_исходные!D427," ",""),"-",""),"+",""),"(",""),")",""))=11,"+7 ("&amp;MID(IF(LEFT(SUBSTITUTE(SUBSTITUTE(SUBSTITUTE(SUBSTITUTE(SUBSTITUTE(Клиенты_исходные!D427," ",""),"-",""),"+",""),"(",""),")",""))="8","7"&amp;MID(SUBSTITUTE(SUBSTITUTE(SUBSTITUTE(SUBSTITUTE(SUBSTITUTE(Клиенты_исходные!D427," ",""),"-",""),"+",""),"(",""),")",""),2,10),SUBSTITUTE(SUBSTITUTE(SUBSTITUTE(SUBSTITUTE(SUBSTITUTE(Клиенты_исходные!D427," ",""),"-",""),"+",""),"(",""),")","")),2,3)&amp;") "&amp;MID(IF(LEFT(SUBSTITUTE(SUBSTITUTE(SUBSTITUTE(SUBSTITUTE(SUBSTITUTE(Клиенты_исходные!D427," ",""),"-",""),"+",""),"(",""),")",""))="8","7"&amp;MID(SUBSTITUTE(SUBSTITUTE(SUBSTITUTE(SUBSTITUTE(SUBSTITUTE(Клиенты_исходные!D427," ",""),"-",""),"+",""),"(",""),")",""),2,10),SUBSTITUTE(SUBSTITUTE(SUBSTITUTE(SUBSTITUTE(SUBSTITUTE(Клиенты_исходные!D427," ",""),"-",""),"+",""),"(",""),")","")),5,3)&amp;"-"&amp;MID(IF(LEFT(SUBSTITUTE(SUBSTITUTE(SUBSTITUTE(SUBSTITUTE(SUBSTITUTE(Клиенты_исходные!D427," ",""),"-",""),"+",""),"(",""),")",""))="8","7"&amp;MID(SUBSTITUTE(SUBSTITUTE(SUBSTITUTE(SUBSTITUTE(SUBSTITUTE(Клиенты_исходные!D427," ",""),"-",""),"+",""),"(",""),")",""),2,10),SUBSTITUTE(SUBSTITUTE(SUBSTITUTE(SUBSTITUTE(SUBSTITUTE(Клиенты_исходные!D427," ",""),"-",""),"+",""),"(",""),")","")),8,2)&amp;"-"&amp;MID(IF(LEFT(SUBSTITUTE(SUBSTITUTE(SUBSTITUTE(SUBSTITUTE(SUBSTITUTE(Клиенты_исходные!D427," ",""),"-",""),"+",""),"(",""),")",""))="8","7"&amp;MID(SUBSTITUTE(SUBSTITUTE(SUBSTITUTE(SUBSTITUTE(SUBSTITUTE(Клиенты_исходные!D427," ",""),"-",""),"+",""),"(",""),")",""),2,10),SUBSTITUTE(SUBSTITUTE(SUBSTITUTE(SUBSTITUTE(SUBSTITUTE(Клиенты_исходные!D427," ",""),"-",""),"+",""),"(",""),")","")),10,2),IF(LEN(SUBSTITUTE(SUBSTITUTE(SUBSTITUTE(SUBSTITUTE(SUBSTITUTE(Клиенты_исходные!D427," ",""),"-",""),"+",""),"(",""),")",""))=10,"+7 ("&amp;MID(SUBSTITUTE(SUBSTITUTE(SUBSTITUTE(SUBSTITUTE(SUBSTITUTE(Клиенты_исходные!D427," ",""),"-",""),"+",""),"(",""),")",""),1,3)&amp;") "&amp;MID(SUBSTITUTE(SUBSTITUTE(SUBSTITUTE(SUBSTITUTE(SUBSTITUTE(Клиенты_исходные!D427," ",""),"-",""),"+",""),"(",""),")",""),4,3)&amp;"-"&amp;MID(SUBSTITUTE(SUBSTITUTE(SUBSTITUTE(SUBSTITUTE(SUBSTITUTE(Клиенты_исходные!D427," ",""),"-",""),"+",""),"(",""),")",""),6,2)&amp;"-"&amp;MID(SUBSTITUTE(SUBSTITUTE(SUBSTITUTE(SUBSTITUTE(SUBSTITUTE(Клиенты_исходные!D427," ",""),"-",""),"+",""),"(",""),")",""),8,2),Клиенты_исходные!D427)))</f>
        <v xml:space="preserve">+7 (903) 890-12-34</v>
      </c>
      <c r="E427" t="str">
        <f>IF(ISBLANK(Клиенты_исходные!E427),"",IF(ISNUMBER(FIND(".",MID(Клиенты_исходные!E427,FIND("@",Клиенты_исходные!E427)+1,255))),Клиенты_исходные!E427,IF(ISNUMBER(FIND("gmail",Клиенты_исходные!E427)),Клиенты_исходные!E427&amp;".com",Клиенты_исходные!E427&amp;".ru")))</f>
        <v>kuzovkina@gmail.com</v>
      </c>
      <c r="F427" t="str">
        <f>IFERROR(VLOOKUP(Клиенты_исходные!F427,Справочники!$J$2:$K$50,2,FALSE),Клиенты_исходные!F427)</f>
        <v>Мурманск</v>
      </c>
      <c r="G427" s="8">
        <f>IFERROR(IF(ISNUMBER(FIND(".",Клиенты_исходные!G427)),DATE(RIGHT(Клиенты_исходные!G427,4),MID(Клиенты_исходные!G427,4,2),LEFT(Клиенты_исходные!G427,2)),DATE(LEFT(Клиенты_исходные!G427,4),MID(Клиенты_исходные!G427,6,2),RIGHT(Клиенты_исходные!G427,2))),Клиенты_исходные!G427)</f>
        <v>48862</v>
      </c>
      <c r="H427">
        <f t="shared" ca="1" si="67"/>
        <v>32</v>
      </c>
      <c r="I427" t="str">
        <f t="shared" si="68"/>
        <v>OK</v>
      </c>
      <c r="J427" t="str">
        <f t="shared" si="69"/>
        <v>OK</v>
      </c>
    </row>
    <row r="428">
      <c r="A428" t="str">
        <f>Клиенты_исходные!A428</f>
        <v>C0427</v>
      </c>
      <c r="B428" t="str">
        <f>PROPER(TRIM(Клиенты_исходные!B428))</f>
        <v xml:space="preserve">Хабаров Денис Николаевич</v>
      </c>
      <c r="C428" s="8">
        <f>IFERROR(IF(ISNUMBER(FIND(".",Клиенты_исходные!C428)),DATE(RIGHT(Клиенты_исходные!C428,4),MID(Клиенты_исходные!C428,4,2),LEFT(Клиенты_исходные!C428,2)),DATE(LEFT(Клиенты_исходные!C428,4),MID(Клиенты_исходные!C428,6,2),RIGHT(Клиенты_исходные!C428,2))),Клиенты_исходные!C428)</f>
        <v>27804</v>
      </c>
      <c r="D428" t="str">
        <f>IF(ISBLANK(Клиенты_исходные!D428),"",IF(LEN(SUBSTITUTE(SUBSTITUTE(SUBSTITUTE(SUBSTITUTE(SUBSTITUTE(Клиенты_исходные!D428," ",""),"-",""),"+",""),"(",""),")",""))=11,"+7 ("&amp;MID(IF(LEFT(SUBSTITUTE(SUBSTITUTE(SUBSTITUTE(SUBSTITUTE(SUBSTITUTE(Клиенты_исходные!D428," ",""),"-",""),"+",""),"(",""),")",""))="8","7"&amp;MID(SUBSTITUTE(SUBSTITUTE(SUBSTITUTE(SUBSTITUTE(SUBSTITUTE(Клиенты_исходные!D428," ",""),"-",""),"+",""),"(",""),")",""),2,10),SUBSTITUTE(SUBSTITUTE(SUBSTITUTE(SUBSTITUTE(SUBSTITUTE(Клиенты_исходные!D428," ",""),"-",""),"+",""),"(",""),")","")),2,3)&amp;") "&amp;MID(IF(LEFT(SUBSTITUTE(SUBSTITUTE(SUBSTITUTE(SUBSTITUTE(SUBSTITUTE(Клиенты_исходные!D428," ",""),"-",""),"+",""),"(",""),")",""))="8","7"&amp;MID(SUBSTITUTE(SUBSTITUTE(SUBSTITUTE(SUBSTITUTE(SUBSTITUTE(Клиенты_исходные!D428," ",""),"-",""),"+",""),"(",""),")",""),2,10),SUBSTITUTE(SUBSTITUTE(SUBSTITUTE(SUBSTITUTE(SUBSTITUTE(Клиенты_исходные!D428," ",""),"-",""),"+",""),"(",""),")","")),5,3)&amp;"-"&amp;MID(IF(LEFT(SUBSTITUTE(SUBSTITUTE(SUBSTITUTE(SUBSTITUTE(SUBSTITUTE(Клиенты_исходные!D428," ",""),"-",""),"+",""),"(",""),")",""))="8","7"&amp;MID(SUBSTITUTE(SUBSTITUTE(SUBSTITUTE(SUBSTITUTE(SUBSTITUTE(Клиенты_исходные!D428," ",""),"-",""),"+",""),"(",""),")",""),2,10),SUBSTITUTE(SUBSTITUTE(SUBSTITUTE(SUBSTITUTE(SUBSTITUTE(Клиенты_исходные!D428," ",""),"-",""),"+",""),"(",""),")","")),8,2)&amp;"-"&amp;MID(IF(LEFT(SUBSTITUTE(SUBSTITUTE(SUBSTITUTE(SUBSTITUTE(SUBSTITUTE(Клиенты_исходные!D428," ",""),"-",""),"+",""),"(",""),")",""))="8","7"&amp;MID(SUBSTITUTE(SUBSTITUTE(SUBSTITUTE(SUBSTITUTE(SUBSTITUTE(Клиенты_исходные!D428," ",""),"-",""),"+",""),"(",""),")",""),2,10),SUBSTITUTE(SUBSTITUTE(SUBSTITUTE(SUBSTITUTE(SUBSTITUTE(Клиенты_исходные!D428," ",""),"-",""),"+",""),"(",""),")","")),10,2),IF(LEN(SUBSTITUTE(SUBSTITUTE(SUBSTITUTE(SUBSTITUTE(SUBSTITUTE(Клиенты_исходные!D428," ",""),"-",""),"+",""),"(",""),")",""))=10,"+7 ("&amp;MID(SUBSTITUTE(SUBSTITUTE(SUBSTITUTE(SUBSTITUTE(SUBSTITUTE(Клиенты_исходные!D428," ",""),"-",""),"+",""),"(",""),")",""),1,3)&amp;") "&amp;MID(SUBSTITUTE(SUBSTITUTE(SUBSTITUTE(SUBSTITUTE(SUBSTITUTE(Клиенты_исходные!D428," ",""),"-",""),"+",""),"(",""),")",""),4,3)&amp;"-"&amp;MID(SUBSTITUTE(SUBSTITUTE(SUBSTITUTE(SUBSTITUTE(SUBSTITUTE(Клиенты_исходные!D428," ",""),"-",""),"+",""),"(",""),")",""),6,2)&amp;"-"&amp;MID(SUBSTITUTE(SUBSTITUTE(SUBSTITUTE(SUBSTITUTE(SUBSTITUTE(Клиенты_исходные!D428," ",""),"-",""),"+",""),"(",""),")",""),8,2),Клиенты_исходные!D428)))</f>
        <v xml:space="preserve">+7 (903) 890-12-34</v>
      </c>
      <c r="E428" t="str">
        <f>IF(ISBLANK(Клиенты_исходные!E428),"",IF(ISNUMBER(FIND(".",MID(Клиенты_исходные!E428,FIND("@",Клиенты_исходные!E428)+1,255))),Клиенты_исходные!E428,IF(ISNUMBER(FIND("gmail",Клиенты_исходные!E428)),Клиенты_исходные!E428&amp;".com",Клиенты_исходные!E428&amp;".ru")))</f>
        <v>habarov@mail.ru</v>
      </c>
      <c r="F428" t="str">
        <f>IFERROR(VLOOKUP(Клиенты_исходные!F428,Справочники!$J$2:$K$50,2,FALSE),Клиенты_исходные!F428)</f>
        <v>Ставрополь</v>
      </c>
      <c r="G428" s="8">
        <f>IFERROR(IF(ISNUMBER(FIND(".",Клиенты_исходные!G428)),DATE(RIGHT(Клиенты_исходные!G428,4),MID(Клиенты_исходные!G428,4,2),LEFT(Клиенты_исходные!G428,2)),DATE(LEFT(Клиенты_исходные!G428,4),MID(Клиенты_исходные!G428,6,2),RIGHT(Клиенты_исходные!G428,2))),Клиенты_исходные!G428)</f>
        <v>48884</v>
      </c>
      <c r="H428">
        <f t="shared" ca="1" si="67"/>
        <v>50</v>
      </c>
      <c r="I428" t="str">
        <f t="shared" si="68"/>
        <v>OK</v>
      </c>
      <c r="J428" t="str">
        <f t="shared" si="69"/>
        <v>OK</v>
      </c>
    </row>
    <row r="429">
      <c r="A429" t="str">
        <f>Клиенты_исходные!A429</f>
        <v>C0428</v>
      </c>
      <c r="B429" t="str">
        <f>PROPER(TRIM(Клиенты_исходные!B429))</f>
        <v xml:space="preserve">Фирсова Екатерина Викторовна</v>
      </c>
      <c r="C429" s="8">
        <f>IFERROR(IF(ISNUMBER(FIND(".",Клиенты_исходные!C429)),DATE(RIGHT(Клиенты_исходные!C429,4),MID(Клиенты_исходные!C429,4,2),LEFT(Клиенты_исходные!C429,2)),DATE(LEFT(Клиенты_исходные!C429,4),MID(Клиенты_исходные!C429,6,2),RIGHT(Клиенты_исходные!C429,2))),Клиенты_исходные!C429)</f>
        <v>30274</v>
      </c>
      <c r="D429" t="str">
        <f>IF(ISBLANK(Клиенты_исходные!D429),"",IF(LEN(SUBSTITUTE(SUBSTITUTE(SUBSTITUTE(SUBSTITUTE(SUBSTITUTE(Клиенты_исходные!D429," ",""),"-",""),"+",""),"(",""),")",""))=11,"+7 ("&amp;MID(IF(LEFT(SUBSTITUTE(SUBSTITUTE(SUBSTITUTE(SUBSTITUTE(SUBSTITUTE(Клиенты_исходные!D429," ",""),"-",""),"+",""),"(",""),")",""))="8","7"&amp;MID(SUBSTITUTE(SUBSTITUTE(SUBSTITUTE(SUBSTITUTE(SUBSTITUTE(Клиенты_исходные!D429," ",""),"-",""),"+",""),"(",""),")",""),2,10),SUBSTITUTE(SUBSTITUTE(SUBSTITUTE(SUBSTITUTE(SUBSTITUTE(Клиенты_исходные!D429," ",""),"-",""),"+",""),"(",""),")","")),2,3)&amp;") "&amp;MID(IF(LEFT(SUBSTITUTE(SUBSTITUTE(SUBSTITUTE(SUBSTITUTE(SUBSTITUTE(Клиенты_исходные!D429," ",""),"-",""),"+",""),"(",""),")",""))="8","7"&amp;MID(SUBSTITUTE(SUBSTITUTE(SUBSTITUTE(SUBSTITUTE(SUBSTITUTE(Клиенты_исходные!D429," ",""),"-",""),"+",""),"(",""),")",""),2,10),SUBSTITUTE(SUBSTITUTE(SUBSTITUTE(SUBSTITUTE(SUBSTITUTE(Клиенты_исходные!D429," ",""),"-",""),"+",""),"(",""),")","")),5,3)&amp;"-"&amp;MID(IF(LEFT(SUBSTITUTE(SUBSTITUTE(SUBSTITUTE(SUBSTITUTE(SUBSTITUTE(Клиенты_исходные!D429," ",""),"-",""),"+",""),"(",""),")",""))="8","7"&amp;MID(SUBSTITUTE(SUBSTITUTE(SUBSTITUTE(SUBSTITUTE(SUBSTITUTE(Клиенты_исходные!D429," ",""),"-",""),"+",""),"(",""),")",""),2,10),SUBSTITUTE(SUBSTITUTE(SUBSTITUTE(SUBSTITUTE(SUBSTITUTE(Клиенты_исходные!D429," ",""),"-",""),"+",""),"(",""),")","")),8,2)&amp;"-"&amp;MID(IF(LEFT(SUBSTITUTE(SUBSTITUTE(SUBSTITUTE(SUBSTITUTE(SUBSTITUTE(Клиенты_исходные!D429," ",""),"-",""),"+",""),"(",""),")",""))="8","7"&amp;MID(SUBSTITUTE(SUBSTITUTE(SUBSTITUTE(SUBSTITUTE(SUBSTITUTE(Клиенты_исходные!D429," ",""),"-",""),"+",""),"(",""),")",""),2,10),SUBSTITUTE(SUBSTITUTE(SUBSTITUTE(SUBSTITUTE(SUBSTITUTE(Клиенты_исходные!D429," ",""),"-",""),"+",""),"(",""),")","")),10,2),IF(LEN(SUBSTITUTE(SUBSTITUTE(SUBSTITUTE(SUBSTITUTE(SUBSTITUTE(Клиенты_исходные!D429," ",""),"-",""),"+",""),"(",""),")",""))=10,"+7 ("&amp;MID(SUBSTITUTE(SUBSTITUTE(SUBSTITUTE(SUBSTITUTE(SUBSTITUTE(Клиенты_исходные!D429," ",""),"-",""),"+",""),"(",""),")",""),1,3)&amp;") "&amp;MID(SUBSTITUTE(SUBSTITUTE(SUBSTITUTE(SUBSTITUTE(SUBSTITUTE(Клиенты_исходные!D429," ",""),"-",""),"+",""),"(",""),")",""),4,3)&amp;"-"&amp;MID(SUBSTITUTE(SUBSTITUTE(SUBSTITUTE(SUBSTITUTE(SUBSTITUTE(Клиенты_исходные!D429," ",""),"-",""),"+",""),"(",""),")",""),6,2)&amp;"-"&amp;MID(SUBSTITUTE(SUBSTITUTE(SUBSTITUTE(SUBSTITUTE(SUBSTITUTE(Клиенты_исходные!D429," ",""),"-",""),"+",""),"(",""),")",""),8,2),Клиенты_исходные!D429)))</f>
        <v xml:space="preserve">+7 (903) 890-12-34</v>
      </c>
      <c r="E429" t="str">
        <f>IF(ISBLANK(Клиенты_исходные!E429),"",IF(ISNUMBER(FIND(".",MID(Клиенты_исходные!E429,FIND("@",Клиенты_исходные!E429)+1,255))),Клиенты_исходные!E429,IF(ISNUMBER(FIND("gmail",Клиенты_исходные!E429)),Клиенты_исходные!E429&amp;".com",Клиенты_исходные!E429&amp;".ru")))</f>
        <v>firsova@yandex.ru</v>
      </c>
      <c r="F429" t="str">
        <f>IFERROR(VLOOKUP(Клиенты_исходные!F429,Справочники!$J$2:$K$50,2,FALSE),Клиенты_исходные!F429)</f>
        <v>Севастополь</v>
      </c>
      <c r="G429" s="8">
        <f>IFERROR(IF(ISNUMBER(FIND(".",Клиенты_исходные!G429)),DATE(RIGHT(Клиенты_исходные!G429,4),MID(Клиенты_исходные!G429,4,2),LEFT(Клиенты_исходные!G429,2)),DATE(LEFT(Клиенты_исходные!G429,4),MID(Клиенты_исходные!G429,6,2),RIGHT(Клиенты_исходные!G429,2))),Клиенты_исходные!G429)</f>
        <v>48898</v>
      </c>
      <c r="H429">
        <f t="shared" ca="1" si="67"/>
        <v>43</v>
      </c>
      <c r="I429" t="str">
        <f t="shared" si="68"/>
        <v>OK</v>
      </c>
      <c r="J429" t="str">
        <f t="shared" si="69"/>
        <v>OK</v>
      </c>
    </row>
    <row r="430">
      <c r="A430" t="str">
        <f>Клиенты_исходные!A430</f>
        <v>C0429</v>
      </c>
      <c r="B430" t="str">
        <f>PROPER(TRIM(Клиенты_исходные!B430))</f>
        <v xml:space="preserve">Саблин Андрей Павлович</v>
      </c>
      <c r="C430" s="8">
        <f>IFERROR(IF(ISNUMBER(FIND(".",Клиенты_исходные!C430)),DATE(RIGHT(Клиенты_исходные!C430,4),MID(Клиенты_исходные!C430,4,2),LEFT(Клиенты_исходные!C430,2)),DATE(LEFT(Клиенты_исходные!C430,4),MID(Клиенты_исходные!C430,6,2),RIGHT(Клиенты_исходные!C430,2))),Клиенты_исходные!C430)</f>
        <v>33032</v>
      </c>
      <c r="D430" t="str">
        <f>IF(ISBLANK(Клиенты_исходные!D430),"",IF(LEN(SUBSTITUTE(SUBSTITUTE(SUBSTITUTE(SUBSTITUTE(SUBSTITUTE(Клиенты_исходные!D430," ",""),"-",""),"+",""),"(",""),")",""))=11,"+7 ("&amp;MID(IF(LEFT(SUBSTITUTE(SUBSTITUTE(SUBSTITUTE(SUBSTITUTE(SUBSTITUTE(Клиенты_исходные!D430," ",""),"-",""),"+",""),"(",""),")",""))="8","7"&amp;MID(SUBSTITUTE(SUBSTITUTE(SUBSTITUTE(SUBSTITUTE(SUBSTITUTE(Клиенты_исходные!D430," ",""),"-",""),"+",""),"(",""),")",""),2,10),SUBSTITUTE(SUBSTITUTE(SUBSTITUTE(SUBSTITUTE(SUBSTITUTE(Клиенты_исходные!D430," ",""),"-",""),"+",""),"(",""),")","")),2,3)&amp;") "&amp;MID(IF(LEFT(SUBSTITUTE(SUBSTITUTE(SUBSTITUTE(SUBSTITUTE(SUBSTITUTE(Клиенты_исходные!D430," ",""),"-",""),"+",""),"(",""),")",""))="8","7"&amp;MID(SUBSTITUTE(SUBSTITUTE(SUBSTITUTE(SUBSTITUTE(SUBSTITUTE(Клиенты_исходные!D430," ",""),"-",""),"+",""),"(",""),")",""),2,10),SUBSTITUTE(SUBSTITUTE(SUBSTITUTE(SUBSTITUTE(SUBSTITUTE(Клиенты_исходные!D430," ",""),"-",""),"+",""),"(",""),")","")),5,3)&amp;"-"&amp;MID(IF(LEFT(SUBSTITUTE(SUBSTITUTE(SUBSTITUTE(SUBSTITUTE(SUBSTITUTE(Клиенты_исходные!D430," ",""),"-",""),"+",""),"(",""),")",""))="8","7"&amp;MID(SUBSTITUTE(SUBSTITUTE(SUBSTITUTE(SUBSTITUTE(SUBSTITUTE(Клиенты_исходные!D430," ",""),"-",""),"+",""),"(",""),")",""),2,10),SUBSTITUTE(SUBSTITUTE(SUBSTITUTE(SUBSTITUTE(SUBSTITUTE(Клиенты_исходные!D430," ",""),"-",""),"+",""),"(",""),")","")),8,2)&amp;"-"&amp;MID(IF(LEFT(SUBSTITUTE(SUBSTITUTE(SUBSTITUTE(SUBSTITUTE(SUBSTITUTE(Клиенты_исходные!D430," ",""),"-",""),"+",""),"(",""),")",""))="8","7"&amp;MID(SUBSTITUTE(SUBSTITUTE(SUBSTITUTE(SUBSTITUTE(SUBSTITUTE(Клиенты_исходные!D430," ",""),"-",""),"+",""),"(",""),")",""),2,10),SUBSTITUTE(SUBSTITUTE(SUBSTITUTE(SUBSTITUTE(SUBSTITUTE(Клиенты_исходные!D430," ",""),"-",""),"+",""),"(",""),")","")),10,2),IF(LEN(SUBSTITUTE(SUBSTITUTE(SUBSTITUTE(SUBSTITUTE(SUBSTITUTE(Клиенты_исходные!D430," ",""),"-",""),"+",""),"(",""),")",""))=10,"+7 ("&amp;MID(SUBSTITUTE(SUBSTITUTE(SUBSTITUTE(SUBSTITUTE(SUBSTITUTE(Клиенты_исходные!D430," ",""),"-",""),"+",""),"(",""),")",""),1,3)&amp;") "&amp;MID(SUBSTITUTE(SUBSTITUTE(SUBSTITUTE(SUBSTITUTE(SUBSTITUTE(Клиенты_исходные!D430," ",""),"-",""),"+",""),"(",""),")",""),4,3)&amp;"-"&amp;MID(SUBSTITUTE(SUBSTITUTE(SUBSTITUTE(SUBSTITUTE(SUBSTITUTE(Клиенты_исходные!D430," ",""),"-",""),"+",""),"(",""),")",""),6,2)&amp;"-"&amp;MID(SUBSTITUTE(SUBSTITUTE(SUBSTITUTE(SUBSTITUTE(SUBSTITUTE(Клиенты_исходные!D430," ",""),"-",""),"+",""),"(",""),")",""),8,2),Клиенты_исходные!D430)))</f>
        <v xml:space="preserve">+7 (903) 901-23-45</v>
      </c>
      <c r="E430" t="str">
        <f>IF(ISBLANK(Клиенты_исходные!E430),"",IF(ISNUMBER(FIND(".",MID(Клиенты_исходные!E430,FIND("@",Клиенты_исходные!E430)+1,255))),Клиенты_исходные!E430,IF(ISNUMBER(FIND("gmail",Клиенты_исходные!E430)),Клиенты_исходные!E430&amp;".com",Клиенты_исходные!E430&amp;".ru")))</f>
        <v>sablin@gmail.com</v>
      </c>
      <c r="F430" t="str">
        <f>IFERROR(VLOOKUP(Клиенты_исходные!F430,Справочники!$J$2:$K$50,2,FALSE),Клиенты_исходные!F430)</f>
        <v>Сочи</v>
      </c>
      <c r="G430" s="8">
        <f>IFERROR(IF(ISNUMBER(FIND(".",Клиенты_исходные!G430)),DATE(RIGHT(Клиенты_исходные!G430,4),MID(Клиенты_исходные!G430,4,2),LEFT(Клиенты_исходные!G430,2)),DATE(LEFT(Клиенты_исходные!G430,4),MID(Клиенты_исходные!G430,6,2),RIGHT(Клиенты_исходные!G430,2))),Клиенты_исходные!G430)</f>
        <v>48898</v>
      </c>
      <c r="H430">
        <f t="shared" ca="1" si="67"/>
        <v>36</v>
      </c>
      <c r="I430" t="str">
        <f t="shared" si="68"/>
        <v>OK</v>
      </c>
      <c r="J430" t="str">
        <f t="shared" si="69"/>
        <v>OK</v>
      </c>
    </row>
    <row r="431">
      <c r="A431" t="str">
        <f>Клиенты_исходные!A431</f>
        <v>C0430</v>
      </c>
      <c r="B431" t="str">
        <f>PROPER(TRIM(Клиенты_исходные!B431))</f>
        <v xml:space="preserve">Сиднева Ольга Сергеевна</v>
      </c>
      <c r="C431" s="8">
        <f>IFERROR(IF(ISNUMBER(FIND(".",Клиенты_исходные!C431)),DATE(RIGHT(Клиенты_исходные!C431,4),MID(Клиенты_исходные!C431,4,2),LEFT(Клиенты_исходные!C431,2)),DATE(LEFT(Клиенты_исходные!C431,4),MID(Клиенты_исходные!C431,6,2),RIGHT(Клиенты_исходные!C431,2))),Клиенты_исходные!C431)</f>
        <v>28580</v>
      </c>
      <c r="D431" t="str">
        <f>IF(ISBLANK(Клиенты_исходные!D431),"",IF(LEN(SUBSTITUTE(SUBSTITUTE(SUBSTITUTE(SUBSTITUTE(SUBSTITUTE(Клиенты_исходные!D431," ",""),"-",""),"+",""),"(",""),")",""))=11,"+7 ("&amp;MID(IF(LEFT(SUBSTITUTE(SUBSTITUTE(SUBSTITUTE(SUBSTITUTE(SUBSTITUTE(Клиенты_исходные!D431," ",""),"-",""),"+",""),"(",""),")",""))="8","7"&amp;MID(SUBSTITUTE(SUBSTITUTE(SUBSTITUTE(SUBSTITUTE(SUBSTITUTE(Клиенты_исходные!D431," ",""),"-",""),"+",""),"(",""),")",""),2,10),SUBSTITUTE(SUBSTITUTE(SUBSTITUTE(SUBSTITUTE(SUBSTITUTE(Клиенты_исходные!D431," ",""),"-",""),"+",""),"(",""),")","")),2,3)&amp;") "&amp;MID(IF(LEFT(SUBSTITUTE(SUBSTITUTE(SUBSTITUTE(SUBSTITUTE(SUBSTITUTE(Клиенты_исходные!D431," ",""),"-",""),"+",""),"(",""),")",""))="8","7"&amp;MID(SUBSTITUTE(SUBSTITUTE(SUBSTITUTE(SUBSTITUTE(SUBSTITUTE(Клиенты_исходные!D431," ",""),"-",""),"+",""),"(",""),")",""),2,10),SUBSTITUTE(SUBSTITUTE(SUBSTITUTE(SUBSTITUTE(SUBSTITUTE(Клиенты_исходные!D431," ",""),"-",""),"+",""),"(",""),")","")),5,3)&amp;"-"&amp;MID(IF(LEFT(SUBSTITUTE(SUBSTITUTE(SUBSTITUTE(SUBSTITUTE(SUBSTITUTE(Клиенты_исходные!D431," ",""),"-",""),"+",""),"(",""),")",""))="8","7"&amp;MID(SUBSTITUTE(SUBSTITUTE(SUBSTITUTE(SUBSTITUTE(SUBSTITUTE(Клиенты_исходные!D431," ",""),"-",""),"+",""),"(",""),")",""),2,10),SUBSTITUTE(SUBSTITUTE(SUBSTITUTE(SUBSTITUTE(SUBSTITUTE(Клиенты_исходные!D431," ",""),"-",""),"+",""),"(",""),")","")),8,2)&amp;"-"&amp;MID(IF(LEFT(SUBSTITUTE(SUBSTITUTE(SUBSTITUTE(SUBSTITUTE(SUBSTITUTE(Клиенты_исходные!D431," ",""),"-",""),"+",""),"(",""),")",""))="8","7"&amp;MID(SUBSTITUTE(SUBSTITUTE(SUBSTITUTE(SUBSTITUTE(SUBSTITUTE(Клиенты_исходные!D431," ",""),"-",""),"+",""),"(",""),")",""),2,10),SUBSTITUTE(SUBSTITUTE(SUBSTITUTE(SUBSTITUTE(SUBSTITUTE(Клиенты_исходные!D431," ",""),"-",""),"+",""),"(",""),")","")),10,2),IF(LEN(SUBSTITUTE(SUBSTITUTE(SUBSTITUTE(SUBSTITUTE(SUBSTITUTE(Клиенты_исходные!D431," ",""),"-",""),"+",""),"(",""),")",""))=10,"+7 ("&amp;MID(SUBSTITUTE(SUBSTITUTE(SUBSTITUTE(SUBSTITUTE(SUBSTITUTE(Клиенты_исходные!D431," ",""),"-",""),"+",""),"(",""),")",""),1,3)&amp;") "&amp;MID(SUBSTITUTE(SUBSTITUTE(SUBSTITUTE(SUBSTITUTE(SUBSTITUTE(Клиенты_исходные!D431," ",""),"-",""),"+",""),"(",""),")",""),4,3)&amp;"-"&amp;MID(SUBSTITUTE(SUBSTITUTE(SUBSTITUTE(SUBSTITUTE(SUBSTITUTE(Клиенты_исходные!D431," ",""),"-",""),"+",""),"(",""),")",""),6,2)&amp;"-"&amp;MID(SUBSTITUTE(SUBSTITUTE(SUBSTITUTE(SUBSTITUTE(SUBSTITUTE(Клиенты_исходные!D431," ",""),"-",""),"+",""),"(",""),")",""),8,2),Клиенты_исходные!D431)))</f>
        <v xml:space="preserve">+7 (903) 901-23-45</v>
      </c>
      <c r="E431" t="str">
        <f>IF(ISBLANK(Клиенты_исходные!E431),"",IF(ISNUMBER(FIND(".",MID(Клиенты_исходные!E431,FIND("@",Клиенты_исходные!E431)+1,255))),Клиенты_исходные!E431,IF(ISNUMBER(FIND("gmail",Клиенты_исходные!E431)),Клиенты_исходные!E431&amp;".com",Клиенты_исходные!E431&amp;".ru")))</f>
        <v>sidneva@mail.ru</v>
      </c>
      <c r="F431" t="str">
        <f>IFERROR(VLOOKUP(Клиенты_исходные!F431,Справочники!$J$2:$K$50,2,FALSE),Клиенты_исходные!F431)</f>
        <v>Симферополь</v>
      </c>
      <c r="G431" s="8">
        <f>IFERROR(IF(ISNUMBER(FIND(".",Клиенты_исходные!G431)),DATE(RIGHT(Клиенты_исходные!G431,4),MID(Клиенты_исходные!G431,4,2),LEFT(Клиенты_исходные!G431,2)),DATE(LEFT(Клиенты_исходные!G431,4),MID(Клиенты_исходные!G431,6,2),RIGHT(Клиенты_исходные!G431,2))),Клиенты_исходные!G431)</f>
        <v>48914</v>
      </c>
      <c r="H431">
        <f t="shared" ca="1" si="67"/>
        <v>48</v>
      </c>
      <c r="I431" t="str">
        <f t="shared" si="68"/>
        <v>OK</v>
      </c>
      <c r="J431" t="str">
        <f t="shared" si="69"/>
        <v>OK</v>
      </c>
    </row>
    <row r="432">
      <c r="A432" t="str">
        <f>Клиенты_исходные!A432</f>
        <v>C0431</v>
      </c>
      <c r="B432" t="str">
        <f>PROPER(TRIM(Клиенты_исходные!B432))</f>
        <v xml:space="preserve">Кочергин Илья Александрович</v>
      </c>
      <c r="C432" s="8">
        <f>IFERROR(IF(ISNUMBER(FIND(".",Клиенты_исходные!C432)),DATE(RIGHT(Клиенты_исходные!C432,4),MID(Клиенты_исходные!C432,4,2),LEFT(Клиенты_исходные!C432,2)),DATE(LEFT(Клиенты_исходные!C432,4),MID(Клиенты_исходные!C432,6,2),RIGHT(Клиенты_исходные!C432,2))),Клиенты_исходные!C432)</f>
        <v>31398</v>
      </c>
      <c r="D432" t="str">
        <f>IF(ISBLANK(Клиенты_исходные!D432),"",IF(LEN(SUBSTITUTE(SUBSTITUTE(SUBSTITUTE(SUBSTITUTE(SUBSTITUTE(Клиенты_исходные!D432," ",""),"-",""),"+",""),"(",""),")",""))=11,"+7 ("&amp;MID(IF(LEFT(SUBSTITUTE(SUBSTITUTE(SUBSTITUTE(SUBSTITUTE(SUBSTITUTE(Клиенты_исходные!D432," ",""),"-",""),"+",""),"(",""),")",""))="8","7"&amp;MID(SUBSTITUTE(SUBSTITUTE(SUBSTITUTE(SUBSTITUTE(SUBSTITUTE(Клиенты_исходные!D432," ",""),"-",""),"+",""),"(",""),")",""),2,10),SUBSTITUTE(SUBSTITUTE(SUBSTITUTE(SUBSTITUTE(SUBSTITUTE(Клиенты_исходные!D432," ",""),"-",""),"+",""),"(",""),")","")),2,3)&amp;") "&amp;MID(IF(LEFT(SUBSTITUTE(SUBSTITUTE(SUBSTITUTE(SUBSTITUTE(SUBSTITUTE(Клиенты_исходные!D432," ",""),"-",""),"+",""),"(",""),")",""))="8","7"&amp;MID(SUBSTITUTE(SUBSTITUTE(SUBSTITUTE(SUBSTITUTE(SUBSTITUTE(Клиенты_исходные!D432," ",""),"-",""),"+",""),"(",""),")",""),2,10),SUBSTITUTE(SUBSTITUTE(SUBSTITUTE(SUBSTITUTE(SUBSTITUTE(Клиенты_исходные!D432," ",""),"-",""),"+",""),"(",""),")","")),5,3)&amp;"-"&amp;MID(IF(LEFT(SUBSTITUTE(SUBSTITUTE(SUBSTITUTE(SUBSTITUTE(SUBSTITUTE(Клиенты_исходные!D432," ",""),"-",""),"+",""),"(",""),")",""))="8","7"&amp;MID(SUBSTITUTE(SUBSTITUTE(SUBSTITUTE(SUBSTITUTE(SUBSTITUTE(Клиенты_исходные!D432," ",""),"-",""),"+",""),"(",""),")",""),2,10),SUBSTITUTE(SUBSTITUTE(SUBSTITUTE(SUBSTITUTE(SUBSTITUTE(Клиенты_исходные!D432," ",""),"-",""),"+",""),"(",""),")","")),8,2)&amp;"-"&amp;MID(IF(LEFT(SUBSTITUTE(SUBSTITUTE(SUBSTITUTE(SUBSTITUTE(SUBSTITUTE(Клиенты_исходные!D432," ",""),"-",""),"+",""),"(",""),")",""))="8","7"&amp;MID(SUBSTITUTE(SUBSTITUTE(SUBSTITUTE(SUBSTITUTE(SUBSTITUTE(Клиенты_исходные!D432," ",""),"-",""),"+",""),"(",""),")",""),2,10),SUBSTITUTE(SUBSTITUTE(SUBSTITUTE(SUBSTITUTE(SUBSTITUTE(Клиенты_исходные!D432," ",""),"-",""),"+",""),"(",""),")","")),10,2),IF(LEN(SUBSTITUTE(SUBSTITUTE(SUBSTITUTE(SUBSTITUTE(SUBSTITUTE(Клиенты_исходные!D432," ",""),"-",""),"+",""),"(",""),")",""))=10,"+7 ("&amp;MID(SUBSTITUTE(SUBSTITUTE(SUBSTITUTE(SUBSTITUTE(SUBSTITUTE(Клиенты_исходные!D432," ",""),"-",""),"+",""),"(",""),")",""),1,3)&amp;") "&amp;MID(SUBSTITUTE(SUBSTITUTE(SUBSTITUTE(SUBSTITUTE(SUBSTITUTE(Клиенты_исходные!D432," ",""),"-",""),"+",""),"(",""),")",""),4,3)&amp;"-"&amp;MID(SUBSTITUTE(SUBSTITUTE(SUBSTITUTE(SUBSTITUTE(SUBSTITUTE(Клиенты_исходные!D432," ",""),"-",""),"+",""),"(",""),")",""),6,2)&amp;"-"&amp;MID(SUBSTITUTE(SUBSTITUTE(SUBSTITUTE(SUBSTITUTE(SUBSTITUTE(Клиенты_исходные!D432," ",""),"-",""),"+",""),"(",""),")",""),8,2),Клиенты_исходные!D432)))</f>
        <v xml:space="preserve">+7 (903) 901-23-45</v>
      </c>
      <c r="E432" t="str">
        <f>IF(ISBLANK(Клиенты_исходные!E432),"",IF(ISNUMBER(FIND(".",MID(Клиенты_исходные!E432,FIND("@",Клиенты_исходные!E432)+1,255))),Клиенты_исходные!E432,IF(ISNUMBER(FIND("gmail",Клиенты_исходные!E432)),Клиенты_исходные!E432&amp;".com",Клиенты_исходные!E432&amp;".ru")))</f>
        <v>kochergin@yandex.ru</v>
      </c>
      <c r="F432" t="str">
        <f>IFERROR(VLOOKUP(Клиенты_исходные!F432,Справочники!$J$2:$K$50,2,FALSE),Клиенты_исходные!F432)</f>
        <v>Брянск</v>
      </c>
      <c r="G432" s="8">
        <f>IFERROR(IF(ISNUMBER(FIND(".",Клиенты_исходные!G432)),DATE(RIGHT(Клиенты_исходные!G432,4),MID(Клиенты_исходные!G432,4,2),LEFT(Клиенты_исходные!G432,2)),DATE(LEFT(Клиенты_исходные!G432,4),MID(Клиенты_исходные!G432,6,2),RIGHT(Клиенты_исходные!G432,2))),Клиенты_исходные!G432)</f>
        <v>48923</v>
      </c>
      <c r="H432">
        <f t="shared" ca="1" si="67"/>
        <v>40</v>
      </c>
      <c r="I432" t="str">
        <f t="shared" si="68"/>
        <v>OK</v>
      </c>
      <c r="J432" t="str">
        <f t="shared" si="69"/>
        <v>OK</v>
      </c>
    </row>
    <row r="433">
      <c r="A433" t="str">
        <f>Клиенты_исходные!A433</f>
        <v>C0432</v>
      </c>
      <c r="B433" t="str">
        <f>PROPER(TRIM(Клиенты_исходные!B433))</f>
        <v xml:space="preserve">Забелина Мария Владимировна</v>
      </c>
      <c r="C433" s="8">
        <f>IFERROR(IF(ISNUMBER(FIND(".",Клиенты_исходные!C433)),DATE(RIGHT(Клиенты_исходные!C433,4),MID(Клиенты_исходные!C433,4,2),LEFT(Клиенты_исходные!C433,2)),DATE(LEFT(Клиенты_исходные!C433,4),MID(Клиенты_исходные!C433,6,2),RIGHT(Клиенты_исходные!C433,2))),Клиенты_исходные!C433)</f>
        <v>26506</v>
      </c>
      <c r="D433" t="str">
        <f>IF(ISBLANK(Клиенты_исходные!D433),"",IF(LEN(SUBSTITUTE(SUBSTITUTE(SUBSTITUTE(SUBSTITUTE(SUBSTITUTE(Клиенты_исходные!D433," ",""),"-",""),"+",""),"(",""),")",""))=11,"+7 ("&amp;MID(IF(LEFT(SUBSTITUTE(SUBSTITUTE(SUBSTITUTE(SUBSTITUTE(SUBSTITUTE(Клиенты_исходные!D433," ",""),"-",""),"+",""),"(",""),")",""))="8","7"&amp;MID(SUBSTITUTE(SUBSTITUTE(SUBSTITUTE(SUBSTITUTE(SUBSTITUTE(Клиенты_исходные!D433," ",""),"-",""),"+",""),"(",""),")",""),2,10),SUBSTITUTE(SUBSTITUTE(SUBSTITUTE(SUBSTITUTE(SUBSTITUTE(Клиенты_исходные!D433," ",""),"-",""),"+",""),"(",""),")","")),2,3)&amp;") "&amp;MID(IF(LEFT(SUBSTITUTE(SUBSTITUTE(SUBSTITUTE(SUBSTITUTE(SUBSTITUTE(Клиенты_исходные!D433," ",""),"-",""),"+",""),"(",""),")",""))="8","7"&amp;MID(SUBSTITUTE(SUBSTITUTE(SUBSTITUTE(SUBSTITUTE(SUBSTITUTE(Клиенты_исходные!D433," ",""),"-",""),"+",""),"(",""),")",""),2,10),SUBSTITUTE(SUBSTITUTE(SUBSTITUTE(SUBSTITUTE(SUBSTITUTE(Клиенты_исходные!D433," ",""),"-",""),"+",""),"(",""),")","")),5,3)&amp;"-"&amp;MID(IF(LEFT(SUBSTITUTE(SUBSTITUTE(SUBSTITUTE(SUBSTITUTE(SUBSTITUTE(Клиенты_исходные!D433," ",""),"-",""),"+",""),"(",""),")",""))="8","7"&amp;MID(SUBSTITUTE(SUBSTITUTE(SUBSTITUTE(SUBSTITUTE(SUBSTITUTE(Клиенты_исходные!D433," ",""),"-",""),"+",""),"(",""),")",""),2,10),SUBSTITUTE(SUBSTITUTE(SUBSTITUTE(SUBSTITUTE(SUBSTITUTE(Клиенты_исходные!D433," ",""),"-",""),"+",""),"(",""),")","")),8,2)&amp;"-"&amp;MID(IF(LEFT(SUBSTITUTE(SUBSTITUTE(SUBSTITUTE(SUBSTITUTE(SUBSTITUTE(Клиенты_исходные!D433," ",""),"-",""),"+",""),"(",""),")",""))="8","7"&amp;MID(SUBSTITUTE(SUBSTITUTE(SUBSTITUTE(SUBSTITUTE(SUBSTITUTE(Клиенты_исходные!D433," ",""),"-",""),"+",""),"(",""),")",""),2,10),SUBSTITUTE(SUBSTITUTE(SUBSTITUTE(SUBSTITUTE(SUBSTITUTE(Клиенты_исходные!D433," ",""),"-",""),"+",""),"(",""),")","")),10,2),IF(LEN(SUBSTITUTE(SUBSTITUTE(SUBSTITUTE(SUBSTITUTE(SUBSTITUTE(Клиенты_исходные!D433," ",""),"-",""),"+",""),"(",""),")",""))=10,"+7 ("&amp;MID(SUBSTITUTE(SUBSTITUTE(SUBSTITUTE(SUBSTITUTE(SUBSTITUTE(Клиенты_исходные!D433," ",""),"-",""),"+",""),"(",""),")",""),1,3)&amp;") "&amp;MID(SUBSTITUTE(SUBSTITUTE(SUBSTITUTE(SUBSTITUTE(SUBSTITUTE(Клиенты_исходные!D433," ",""),"-",""),"+",""),"(",""),")",""),4,3)&amp;"-"&amp;MID(SUBSTITUTE(SUBSTITUTE(SUBSTITUTE(SUBSTITUTE(SUBSTITUTE(Клиенты_исходные!D433," ",""),"-",""),"+",""),"(",""),")",""),6,2)&amp;"-"&amp;MID(SUBSTITUTE(SUBSTITUTE(SUBSTITUTE(SUBSTITUTE(SUBSTITUTE(Клиенты_исходные!D433," ",""),"-",""),"+",""),"(",""),")",""),8,2),Клиенты_исходные!D433)))</f>
        <v xml:space="preserve">+7 (903) 012-34-56</v>
      </c>
      <c r="E433" t="str">
        <f>IF(ISBLANK(Клиенты_исходные!E433),"",IF(ISNUMBER(FIND(".",MID(Клиенты_исходные!E433,FIND("@",Клиенты_исходные!E433)+1,255))),Клиенты_исходные!E433,IF(ISNUMBER(FIND("gmail",Клиенты_исходные!E433)),Клиенты_исходные!E433&amp;".com",Клиенты_исходные!E433&amp;".ru")))</f>
        <v>zabelina@gmail.com</v>
      </c>
      <c r="F433" t="str">
        <f>IFERROR(VLOOKUP(Клиенты_исходные!F433,Справочники!$J$2:$K$50,2,FALSE),Клиенты_исходные!F433)</f>
        <v>Абакан</v>
      </c>
      <c r="G433" s="8">
        <f>IFERROR(IF(ISNUMBER(FIND(".",Клиенты_исходные!G433)),DATE(RIGHT(Клиенты_исходные!G433,4),MID(Клиенты_исходные!G433,4,2),LEFT(Клиенты_исходные!G433,2)),DATE(LEFT(Клиенты_исходные!G433,4),MID(Клиенты_исходные!G433,6,2),RIGHT(Клиенты_исходные!G433,2))),Клиенты_исходные!G433)</f>
        <v>48923</v>
      </c>
      <c r="H433">
        <f t="shared" ca="1" si="67"/>
        <v>54</v>
      </c>
      <c r="I433" t="str">
        <f t="shared" si="68"/>
        <v>OK</v>
      </c>
      <c r="J433" t="str">
        <f t="shared" si="69"/>
        <v>OK</v>
      </c>
    </row>
    <row r="434">
      <c r="A434" t="str">
        <f>Клиенты_исходные!A434</f>
        <v>C0433</v>
      </c>
      <c r="B434" t="str">
        <f>PROPER(TRIM(Клиенты_исходные!B434))</f>
        <v xml:space="preserve">Шипилов Денис Олегович</v>
      </c>
      <c r="C434" s="8">
        <f>IFERROR(IF(ISNUMBER(FIND(".",Клиенты_исходные!C434)),DATE(RIGHT(Клиенты_исходные!C434,4),MID(Клиенты_исходные!C434,4,2),LEFT(Клиенты_исходные!C434,2)),DATE(LEFT(Клиенты_исходные!C434,4),MID(Клиенты_исходные!C434,6,2),RIGHT(Клиенты_исходные!C434,2))),Клиенты_исходные!C434)</f>
        <v>32390</v>
      </c>
      <c r="D434" t="str">
        <f>IF(ISBLANK(Клиенты_исходные!D434),"",IF(LEN(SUBSTITUTE(SUBSTITUTE(SUBSTITUTE(SUBSTITUTE(SUBSTITUTE(Клиенты_исходные!D434," ",""),"-",""),"+",""),"(",""),")",""))=11,"+7 ("&amp;MID(IF(LEFT(SUBSTITUTE(SUBSTITUTE(SUBSTITUTE(SUBSTITUTE(SUBSTITUTE(Клиенты_исходные!D434," ",""),"-",""),"+",""),"(",""),")",""))="8","7"&amp;MID(SUBSTITUTE(SUBSTITUTE(SUBSTITUTE(SUBSTITUTE(SUBSTITUTE(Клиенты_исходные!D434," ",""),"-",""),"+",""),"(",""),")",""),2,10),SUBSTITUTE(SUBSTITUTE(SUBSTITUTE(SUBSTITUTE(SUBSTITUTE(Клиенты_исходные!D434," ",""),"-",""),"+",""),"(",""),")","")),2,3)&amp;") "&amp;MID(IF(LEFT(SUBSTITUTE(SUBSTITUTE(SUBSTITUTE(SUBSTITUTE(SUBSTITUTE(Клиенты_исходные!D434," ",""),"-",""),"+",""),"(",""),")",""))="8","7"&amp;MID(SUBSTITUTE(SUBSTITUTE(SUBSTITUTE(SUBSTITUTE(SUBSTITUTE(Клиенты_исходные!D434," ",""),"-",""),"+",""),"(",""),")",""),2,10),SUBSTITUTE(SUBSTITUTE(SUBSTITUTE(SUBSTITUTE(SUBSTITUTE(Клиенты_исходные!D434," ",""),"-",""),"+",""),"(",""),")","")),5,3)&amp;"-"&amp;MID(IF(LEFT(SUBSTITUTE(SUBSTITUTE(SUBSTITUTE(SUBSTITUTE(SUBSTITUTE(Клиенты_исходные!D434," ",""),"-",""),"+",""),"(",""),")",""))="8","7"&amp;MID(SUBSTITUTE(SUBSTITUTE(SUBSTITUTE(SUBSTITUTE(SUBSTITUTE(Клиенты_исходные!D434," ",""),"-",""),"+",""),"(",""),")",""),2,10),SUBSTITUTE(SUBSTITUTE(SUBSTITUTE(SUBSTITUTE(SUBSTITUTE(Клиенты_исходные!D434," ",""),"-",""),"+",""),"(",""),")","")),8,2)&amp;"-"&amp;MID(IF(LEFT(SUBSTITUTE(SUBSTITUTE(SUBSTITUTE(SUBSTITUTE(SUBSTITUTE(Клиенты_исходные!D434," ",""),"-",""),"+",""),"(",""),")",""))="8","7"&amp;MID(SUBSTITUTE(SUBSTITUTE(SUBSTITUTE(SUBSTITUTE(SUBSTITUTE(Клиенты_исходные!D434," ",""),"-",""),"+",""),"(",""),")",""),2,10),SUBSTITUTE(SUBSTITUTE(SUBSTITUTE(SUBSTITUTE(SUBSTITUTE(Клиенты_исходные!D434," ",""),"-",""),"+",""),"(",""),")","")),10,2),IF(LEN(SUBSTITUTE(SUBSTITUTE(SUBSTITUTE(SUBSTITUTE(SUBSTITUTE(Клиенты_исходные!D434," ",""),"-",""),"+",""),"(",""),")",""))=10,"+7 ("&amp;MID(SUBSTITUTE(SUBSTITUTE(SUBSTITUTE(SUBSTITUTE(SUBSTITUTE(Клиенты_исходные!D434," ",""),"-",""),"+",""),"(",""),")",""),1,3)&amp;") "&amp;MID(SUBSTITUTE(SUBSTITUTE(SUBSTITUTE(SUBSTITUTE(SUBSTITUTE(Клиенты_исходные!D434," ",""),"-",""),"+",""),"(",""),")",""),4,3)&amp;"-"&amp;MID(SUBSTITUTE(SUBSTITUTE(SUBSTITUTE(SUBSTITUTE(SUBSTITUTE(Клиенты_исходные!D434," ",""),"-",""),"+",""),"(",""),")",""),6,2)&amp;"-"&amp;MID(SUBSTITUTE(SUBSTITUTE(SUBSTITUTE(SUBSTITUTE(SUBSTITUTE(Клиенты_исходные!D434," ",""),"-",""),"+",""),"(",""),")",""),8,2),Клиенты_исходные!D434)))</f>
        <v xml:space="preserve">+7 (903) 012-34-56</v>
      </c>
      <c r="E434" t="str">
        <f>IF(ISBLANK(Клиенты_исходные!E434),"",IF(ISNUMBER(FIND(".",MID(Клиенты_исходные!E434,FIND("@",Клиенты_исходные!E434)+1,255))),Клиенты_исходные!E434,IF(ISNUMBER(FIND("gmail",Клиенты_исходные!E434)),Клиенты_исходные!E434&amp;".com",Клиенты_исходные!E434&amp;".ru")))</f>
        <v>shipilov@mail.ru</v>
      </c>
      <c r="F434" t="str">
        <f>IFERROR(VLOOKUP(Клиенты_исходные!F434,Справочники!$J$2:$K$50,2,FALSE),Клиенты_исходные!F434)</f>
        <v>Грозный</v>
      </c>
      <c r="G434" s="8">
        <f>IFERROR(IF(ISNUMBER(FIND(".",Клиенты_исходные!G434)),DATE(RIGHT(Клиенты_исходные!G434,4),MID(Клиенты_исходные!G434,4,2),LEFT(Клиенты_исходные!G434,2)),DATE(LEFT(Клиенты_исходные!G434,4),MID(Клиенты_исходные!G434,6,2),RIGHT(Клиенты_исходные!G434,2))),Клиенты_исходные!G434)</f>
        <v>48945</v>
      </c>
      <c r="H434">
        <f t="shared" ca="1" si="67"/>
        <v>38</v>
      </c>
      <c r="I434" t="str">
        <f t="shared" si="68"/>
        <v>OK</v>
      </c>
      <c r="J434" t="str">
        <f t="shared" si="69"/>
        <v>OK</v>
      </c>
    </row>
    <row r="435">
      <c r="A435" t="str">
        <f>Клиенты_исходные!A435</f>
        <v>C0434</v>
      </c>
      <c r="B435" t="str">
        <f>PROPER(TRIM(Клиенты_исходные!B435))</f>
        <v xml:space="preserve">Кононова Елена Алексеевна</v>
      </c>
      <c r="C435" s="8">
        <f>IFERROR(IF(ISNUMBER(FIND(".",Клиенты_исходные!C435)),DATE(RIGHT(Клиенты_исходные!C435,4),MID(Клиенты_исходные!C435,4,2),LEFT(Клиенты_исходные!C435,2)),DATE(LEFT(Клиенты_исходные!C435,4),MID(Клиенты_исходные!C435,6,2),RIGHT(Клиенты_исходные!C435,2))),Клиенты_исходные!C435)</f>
        <v>33591</v>
      </c>
      <c r="D435" t="str">
        <f>IF(ISBLANK(Клиенты_исходные!D435),"",IF(LEN(SUBSTITUTE(SUBSTITUTE(SUBSTITUTE(SUBSTITUTE(SUBSTITUTE(Клиенты_исходные!D435," ",""),"-",""),"+",""),"(",""),")",""))=11,"+7 ("&amp;MID(IF(LEFT(SUBSTITUTE(SUBSTITUTE(SUBSTITUTE(SUBSTITUTE(SUBSTITUTE(Клиенты_исходные!D435," ",""),"-",""),"+",""),"(",""),")",""))="8","7"&amp;MID(SUBSTITUTE(SUBSTITUTE(SUBSTITUTE(SUBSTITUTE(SUBSTITUTE(Клиенты_исходные!D435," ",""),"-",""),"+",""),"(",""),")",""),2,10),SUBSTITUTE(SUBSTITUTE(SUBSTITUTE(SUBSTITUTE(SUBSTITUTE(Клиенты_исходные!D435," ",""),"-",""),"+",""),"(",""),")","")),2,3)&amp;") "&amp;MID(IF(LEFT(SUBSTITUTE(SUBSTITUTE(SUBSTITUTE(SUBSTITUTE(SUBSTITUTE(Клиенты_исходные!D435," ",""),"-",""),"+",""),"(",""),")",""))="8","7"&amp;MID(SUBSTITUTE(SUBSTITUTE(SUBSTITUTE(SUBSTITUTE(SUBSTITUTE(Клиенты_исходные!D435," ",""),"-",""),"+",""),"(",""),")",""),2,10),SUBSTITUTE(SUBSTITUTE(SUBSTITUTE(SUBSTITUTE(SUBSTITUTE(Клиенты_исходные!D435," ",""),"-",""),"+",""),"(",""),")","")),5,3)&amp;"-"&amp;MID(IF(LEFT(SUBSTITUTE(SUBSTITUTE(SUBSTITUTE(SUBSTITUTE(SUBSTITUTE(Клиенты_исходные!D435," ",""),"-",""),"+",""),"(",""),")",""))="8","7"&amp;MID(SUBSTITUTE(SUBSTITUTE(SUBSTITUTE(SUBSTITUTE(SUBSTITUTE(Клиенты_исходные!D435," ",""),"-",""),"+",""),"(",""),")",""),2,10),SUBSTITUTE(SUBSTITUTE(SUBSTITUTE(SUBSTITUTE(SUBSTITUTE(Клиенты_исходные!D435," ",""),"-",""),"+",""),"(",""),")","")),8,2)&amp;"-"&amp;MID(IF(LEFT(SUBSTITUTE(SUBSTITUTE(SUBSTITUTE(SUBSTITUTE(SUBSTITUTE(Клиенты_исходные!D435," ",""),"-",""),"+",""),"(",""),")",""))="8","7"&amp;MID(SUBSTITUTE(SUBSTITUTE(SUBSTITUTE(SUBSTITUTE(SUBSTITUTE(Клиенты_исходные!D435," ",""),"-",""),"+",""),"(",""),")",""),2,10),SUBSTITUTE(SUBSTITUTE(SUBSTITUTE(SUBSTITUTE(SUBSTITUTE(Клиенты_исходные!D435," ",""),"-",""),"+",""),"(",""),")","")),10,2),IF(LEN(SUBSTITUTE(SUBSTITUTE(SUBSTITUTE(SUBSTITUTE(SUBSTITUTE(Клиенты_исходные!D435," ",""),"-",""),"+",""),"(",""),")",""))=10,"+7 ("&amp;MID(SUBSTITUTE(SUBSTITUTE(SUBSTITUTE(SUBSTITUTE(SUBSTITUTE(Клиенты_исходные!D435," ",""),"-",""),"+",""),"(",""),")",""),1,3)&amp;") "&amp;MID(SUBSTITUTE(SUBSTITUTE(SUBSTITUTE(SUBSTITUTE(SUBSTITUTE(Клиенты_исходные!D435," ",""),"-",""),"+",""),"(",""),")",""),4,3)&amp;"-"&amp;MID(SUBSTITUTE(SUBSTITUTE(SUBSTITUTE(SUBSTITUTE(SUBSTITUTE(Клиенты_исходные!D435," ",""),"-",""),"+",""),"(",""),")",""),6,2)&amp;"-"&amp;MID(SUBSTITUTE(SUBSTITUTE(SUBSTITUTE(SUBSTITUTE(SUBSTITUTE(Клиенты_исходные!D435," ",""),"-",""),"+",""),"(",""),")",""),8,2),Клиенты_исходные!D435)))</f>
        <v xml:space="preserve">+7 (903) 012-34-56</v>
      </c>
      <c r="E435" t="str">
        <f>IF(ISBLANK(Клиенты_исходные!E435),"",IF(ISNUMBER(FIND(".",MID(Клиенты_исходные!E435,FIND("@",Клиенты_исходные!E435)+1,255))),Клиенты_исходные!E435,IF(ISNUMBER(FIND("gmail",Клиенты_исходные!E435)),Клиенты_исходные!E435&amp;".com",Клиенты_исходные!E435&amp;".ru")))</f>
        <v>kononova@yandex.ru</v>
      </c>
      <c r="F435" t="str">
        <f>IFERROR(VLOOKUP(Клиенты_исходные!F435,Справочники!$J$2:$K$50,2,FALSE),Клиенты_исходные!F435)</f>
        <v>Бийск</v>
      </c>
      <c r="G435" s="8">
        <f>IFERROR(IF(ISNUMBER(FIND(".",Клиенты_исходные!G435)),DATE(RIGHT(Клиенты_исходные!G435,4),MID(Клиенты_исходные!G435,4,2),LEFT(Клиенты_исходные!G435,2)),DATE(LEFT(Клиенты_исходные!G435,4),MID(Клиенты_исходные!G435,6,2),RIGHT(Клиенты_исходные!G435,2))),Клиенты_исходные!G435)</f>
        <v>48959</v>
      </c>
      <c r="H435">
        <f t="shared" ca="1" si="67"/>
        <v>34</v>
      </c>
      <c r="I435" t="str">
        <f t="shared" si="68"/>
        <v>OK</v>
      </c>
      <c r="J435" t="str">
        <f t="shared" si="69"/>
        <v>OK</v>
      </c>
    </row>
    <row r="436">
      <c r="A436" t="str">
        <f>Клиенты_исходные!A436</f>
        <v>C0435</v>
      </c>
      <c r="B436" t="str">
        <f>PROPER(TRIM(Клиенты_исходные!B436))</f>
        <v xml:space="preserve">Лебедева Ольга Павловна</v>
      </c>
      <c r="C436" s="8">
        <f>IFERROR(IF(ISNUMBER(FIND(".",Клиенты_исходные!C436)),DATE(RIGHT(Клиенты_исходные!C436,4),MID(Клиенты_исходные!C436,4,2),LEFT(Клиенты_исходные!C436,2)),DATE(LEFT(Клиенты_исходные!C436,4),MID(Клиенты_исходные!C436,6,2),RIGHT(Клиенты_исходные!C436,2))),Клиенты_исходные!C436)</f>
        <v>27537</v>
      </c>
      <c r="D436" t="str">
        <f>IF(ISBLANK(Клиенты_исходные!D436),"",IF(LEN(SUBSTITUTE(SUBSTITUTE(SUBSTITUTE(SUBSTITUTE(SUBSTITUTE(Клиенты_исходные!D436," ",""),"-",""),"+",""),"(",""),")",""))=11,"+7 ("&amp;MID(IF(LEFT(SUBSTITUTE(SUBSTITUTE(SUBSTITUTE(SUBSTITUTE(SUBSTITUTE(Клиенты_исходные!D436," ",""),"-",""),"+",""),"(",""),")",""))="8","7"&amp;MID(SUBSTITUTE(SUBSTITUTE(SUBSTITUTE(SUBSTITUTE(SUBSTITUTE(Клиенты_исходные!D436," ",""),"-",""),"+",""),"(",""),")",""),2,10),SUBSTITUTE(SUBSTITUTE(SUBSTITUTE(SUBSTITUTE(SUBSTITUTE(Клиенты_исходные!D436," ",""),"-",""),"+",""),"(",""),")","")),2,3)&amp;") "&amp;MID(IF(LEFT(SUBSTITUTE(SUBSTITUTE(SUBSTITUTE(SUBSTITUTE(SUBSTITUTE(Клиенты_исходные!D436," ",""),"-",""),"+",""),"(",""),")",""))="8","7"&amp;MID(SUBSTITUTE(SUBSTITUTE(SUBSTITUTE(SUBSTITUTE(SUBSTITUTE(Клиенты_исходные!D436," ",""),"-",""),"+",""),"(",""),")",""),2,10),SUBSTITUTE(SUBSTITUTE(SUBSTITUTE(SUBSTITUTE(SUBSTITUTE(Клиенты_исходные!D436," ",""),"-",""),"+",""),"(",""),")","")),5,3)&amp;"-"&amp;MID(IF(LEFT(SUBSTITUTE(SUBSTITUTE(SUBSTITUTE(SUBSTITUTE(SUBSTITUTE(Клиенты_исходные!D436," ",""),"-",""),"+",""),"(",""),")",""))="8","7"&amp;MID(SUBSTITUTE(SUBSTITUTE(SUBSTITUTE(SUBSTITUTE(SUBSTITUTE(Клиенты_исходные!D436," ",""),"-",""),"+",""),"(",""),")",""),2,10),SUBSTITUTE(SUBSTITUTE(SUBSTITUTE(SUBSTITUTE(SUBSTITUTE(Клиенты_исходные!D436," ",""),"-",""),"+",""),"(",""),")","")),8,2)&amp;"-"&amp;MID(IF(LEFT(SUBSTITUTE(SUBSTITUTE(SUBSTITUTE(SUBSTITUTE(SUBSTITUTE(Клиенты_исходные!D436," ",""),"-",""),"+",""),"(",""),")",""))="8","7"&amp;MID(SUBSTITUTE(SUBSTITUTE(SUBSTITUTE(SUBSTITUTE(SUBSTITUTE(Клиенты_исходные!D436," ",""),"-",""),"+",""),"(",""),")",""),2,10),SUBSTITUTE(SUBSTITUTE(SUBSTITUTE(SUBSTITUTE(SUBSTITUTE(Клиенты_исходные!D436," ",""),"-",""),"+",""),"(",""),")","")),10,2),IF(LEN(SUBSTITUTE(SUBSTITUTE(SUBSTITUTE(SUBSTITUTE(SUBSTITUTE(Клиенты_исходные!D436," ",""),"-",""),"+",""),"(",""),")",""))=10,"+7 ("&amp;MID(SUBSTITUTE(SUBSTITUTE(SUBSTITUTE(SUBSTITUTE(SUBSTITUTE(Клиенты_исходные!D436," ",""),"-",""),"+",""),"(",""),")",""),1,3)&amp;") "&amp;MID(SUBSTITUTE(SUBSTITUTE(SUBSTITUTE(SUBSTITUTE(SUBSTITUTE(Клиенты_исходные!D436," ",""),"-",""),"+",""),"(",""),")",""),4,3)&amp;"-"&amp;MID(SUBSTITUTE(SUBSTITUTE(SUBSTITUTE(SUBSTITUTE(SUBSTITUTE(Клиенты_исходные!D436," ",""),"-",""),"+",""),"(",""),")",""),6,2)&amp;"-"&amp;MID(SUBSTITUTE(SUBSTITUTE(SUBSTITUTE(SUBSTITUTE(SUBSTITUTE(Клиенты_исходные!D436," ",""),"-",""),"+",""),"(",""),")",""),8,2),Клиенты_исходные!D436)))</f>
        <v xml:space="preserve">+7 (903) 123-45-67</v>
      </c>
      <c r="E436" t="str">
        <f>IF(ISBLANK(Клиенты_исходные!E436),"",IF(ISNUMBER(FIND(".",MID(Клиенты_исходные!E436,FIND("@",Клиенты_исходные!E436)+1,255))),Клиенты_исходные!E436,IF(ISNUMBER(FIND("gmail",Клиенты_исходные!E436)),Клиенты_исходные!E436&amp;".com",Клиенты_исходные!E436&amp;".ru")))</f>
        <v>lebedevа@gmail.com</v>
      </c>
      <c r="F436" t="str">
        <f>IFERROR(VLOOKUP(Клиенты_исходные!F436,Справочники!$J$2:$K$50,2,FALSE),Клиенты_исходные!F436)</f>
        <v>Йошкар-Ола</v>
      </c>
      <c r="G436" s="8">
        <f>IFERROR(IF(ISNUMBER(FIND(".",Клиенты_исходные!G436)),DATE(RIGHT(Клиенты_исходные!G436,4),MID(Клиенты_исходные!G436,4,2),LEFT(Клиенты_исходные!G436,2)),DATE(LEFT(Клиенты_исходные!G436,4),MID(Клиенты_исходные!G436,6,2),RIGHT(Клиенты_исходные!G436,2))),Клиенты_исходные!G436)</f>
        <v>48959</v>
      </c>
      <c r="H436">
        <f t="shared" ca="1" si="67"/>
        <v>51</v>
      </c>
      <c r="I436" t="str">
        <f t="shared" si="68"/>
        <v>OK</v>
      </c>
      <c r="J436" t="str">
        <f t="shared" si="69"/>
        <v>OK</v>
      </c>
    </row>
    <row r="437">
      <c r="A437" t="str">
        <f>Клиенты_исходные!A437</f>
        <v>C0436</v>
      </c>
      <c r="B437" t="str">
        <f>PROPER(TRIM(Клиенты_исходные!B437))</f>
        <v xml:space="preserve">Мартынов Илья Викторович</v>
      </c>
      <c r="C437" s="8">
        <f>IFERROR(IF(ISNUMBER(FIND(".",Клиенты_исходные!C437)),DATE(RIGHT(Клиенты_исходные!C437,4),MID(Клиенты_исходные!C437,4,2),LEFT(Клиенты_исходные!C437,2)),DATE(LEFT(Клиенты_исходные!C437,4),MID(Клиенты_исходные!C437,6,2),RIGHT(Клиенты_исходные!C437,2))),Клиенты_исходные!C437)</f>
        <v>30599</v>
      </c>
      <c r="D437" t="str">
        <f>IF(ISBLANK(Клиенты_исходные!D437),"",IF(LEN(SUBSTITUTE(SUBSTITUTE(SUBSTITUTE(SUBSTITUTE(SUBSTITUTE(Клиенты_исходные!D437," ",""),"-",""),"+",""),"(",""),")",""))=11,"+7 ("&amp;MID(IF(LEFT(SUBSTITUTE(SUBSTITUTE(SUBSTITUTE(SUBSTITUTE(SUBSTITUTE(Клиенты_исходные!D437," ",""),"-",""),"+",""),"(",""),")",""))="8","7"&amp;MID(SUBSTITUTE(SUBSTITUTE(SUBSTITUTE(SUBSTITUTE(SUBSTITUTE(Клиенты_исходные!D437," ",""),"-",""),"+",""),"(",""),")",""),2,10),SUBSTITUTE(SUBSTITUTE(SUBSTITUTE(SUBSTITUTE(SUBSTITUTE(Клиенты_исходные!D437," ",""),"-",""),"+",""),"(",""),")","")),2,3)&amp;") "&amp;MID(IF(LEFT(SUBSTITUTE(SUBSTITUTE(SUBSTITUTE(SUBSTITUTE(SUBSTITUTE(Клиенты_исходные!D437," ",""),"-",""),"+",""),"(",""),")",""))="8","7"&amp;MID(SUBSTITUTE(SUBSTITUTE(SUBSTITUTE(SUBSTITUTE(SUBSTITUTE(Клиенты_исходные!D437," ",""),"-",""),"+",""),"(",""),")",""),2,10),SUBSTITUTE(SUBSTITUTE(SUBSTITUTE(SUBSTITUTE(SUBSTITUTE(Клиенты_исходные!D437," ",""),"-",""),"+",""),"(",""),")","")),5,3)&amp;"-"&amp;MID(IF(LEFT(SUBSTITUTE(SUBSTITUTE(SUBSTITUTE(SUBSTITUTE(SUBSTITUTE(Клиенты_исходные!D437," ",""),"-",""),"+",""),"(",""),")",""))="8","7"&amp;MID(SUBSTITUTE(SUBSTITUTE(SUBSTITUTE(SUBSTITUTE(SUBSTITUTE(Клиенты_исходные!D437," ",""),"-",""),"+",""),"(",""),")",""),2,10),SUBSTITUTE(SUBSTITUTE(SUBSTITUTE(SUBSTITUTE(SUBSTITUTE(Клиенты_исходные!D437," ",""),"-",""),"+",""),"(",""),")","")),8,2)&amp;"-"&amp;MID(IF(LEFT(SUBSTITUTE(SUBSTITUTE(SUBSTITUTE(SUBSTITUTE(SUBSTITUTE(Клиенты_исходные!D437," ",""),"-",""),"+",""),"(",""),")",""))="8","7"&amp;MID(SUBSTITUTE(SUBSTITUTE(SUBSTITUTE(SUBSTITUTE(SUBSTITUTE(Клиенты_исходные!D437," ",""),"-",""),"+",""),"(",""),")",""),2,10),SUBSTITUTE(SUBSTITUTE(SUBSTITUTE(SUBSTITUTE(SUBSTITUTE(Клиенты_исходные!D437," ",""),"-",""),"+",""),"(",""),")","")),10,2),IF(LEN(SUBSTITUTE(SUBSTITUTE(SUBSTITUTE(SUBSTITUTE(SUBSTITUTE(Клиенты_исходные!D437," ",""),"-",""),"+",""),"(",""),")",""))=10,"+7 ("&amp;MID(SUBSTITUTE(SUBSTITUTE(SUBSTITUTE(SUBSTITUTE(SUBSTITUTE(Клиенты_исходные!D437," ",""),"-",""),"+",""),"(",""),")",""),1,3)&amp;") "&amp;MID(SUBSTITUTE(SUBSTITUTE(SUBSTITUTE(SUBSTITUTE(SUBSTITUTE(Клиенты_исходные!D437," ",""),"-",""),"+",""),"(",""),")",""),4,3)&amp;"-"&amp;MID(SUBSTITUTE(SUBSTITUTE(SUBSTITUTE(SUBSTITUTE(SUBSTITUTE(Клиенты_исходные!D437," ",""),"-",""),"+",""),"(",""),")",""),6,2)&amp;"-"&amp;MID(SUBSTITUTE(SUBSTITUTE(SUBSTITUTE(SUBSTITUTE(SUBSTITUTE(Клиенты_исходные!D437," ",""),"-",""),"+",""),"(",""),")",""),8,2),Клиенты_исходные!D437)))</f>
        <v xml:space="preserve">+7 (903) 123-45-67</v>
      </c>
      <c r="E437" t="str">
        <f>IF(ISBLANK(Клиенты_исходные!E437),"",IF(ISNUMBER(FIND(".",MID(Клиенты_исходные!E437,FIND("@",Клиенты_исходные!E437)+1,255))),Клиенты_исходные!E437,IF(ISNUMBER(FIND("gmail",Клиенты_исходные!E437)),Клиенты_исходные!E437&amp;".com",Клиенты_исходные!E437&amp;".ru")))</f>
        <v>martynov@mail.ru</v>
      </c>
      <c r="F437" t="str">
        <f>IFERROR(VLOOKUP(Клиенты_исходные!F437,Справочники!$J$2:$K$50,2,FALSE),Клиенты_исходные!F437)</f>
        <v>Курган</v>
      </c>
      <c r="G437" s="8">
        <f>IFERROR(IF(ISNUMBER(FIND(".",Клиенты_исходные!G437)),DATE(RIGHT(Клиенты_исходные!G437,4),MID(Клиенты_исходные!G437,4,2),LEFT(Клиенты_исходные!G437,2)),DATE(LEFT(Клиенты_исходные!G437,4),MID(Клиенты_исходные!G437,6,2),RIGHT(Клиенты_исходные!G437,2))),Клиенты_исходные!G437)</f>
        <v>48976</v>
      </c>
      <c r="H437">
        <f t="shared" ca="1" si="67"/>
        <v>42</v>
      </c>
      <c r="I437" t="str">
        <f t="shared" si="68"/>
        <v>OK</v>
      </c>
      <c r="J437" t="str">
        <f t="shared" si="69"/>
        <v>OK</v>
      </c>
    </row>
    <row r="438">
      <c r="A438" t="str">
        <f>Клиенты_исходные!A438</f>
        <v>C0437</v>
      </c>
      <c r="B438" t="str">
        <f>PROPER(TRIM(Клиенты_исходные!B438))</f>
        <v xml:space="preserve">Бражникова Екатерина Сергеевна</v>
      </c>
      <c r="C438" s="8">
        <f>IFERROR(IF(ISNUMBER(FIND(".",Клиенты_исходные!C438)),DATE(RIGHT(Клиенты_исходные!C438,4),MID(Клиенты_исходные!C438,4,2),LEFT(Клиенты_исходные!C438,2)),DATE(LEFT(Клиенты_исходные!C438,4),MID(Клиенты_исходные!C438,6,2),RIGHT(Клиенты_исходные!C438,2))),Клиенты_исходные!C438)</f>
        <v>31626</v>
      </c>
      <c r="D438" t="str">
        <f>IF(ISBLANK(Клиенты_исходные!D438),"",IF(LEN(SUBSTITUTE(SUBSTITUTE(SUBSTITUTE(SUBSTITUTE(SUBSTITUTE(Клиенты_исходные!D438," ",""),"-",""),"+",""),"(",""),")",""))=11,"+7 ("&amp;MID(IF(LEFT(SUBSTITUTE(SUBSTITUTE(SUBSTITUTE(SUBSTITUTE(SUBSTITUTE(Клиенты_исходные!D438," ",""),"-",""),"+",""),"(",""),")",""))="8","7"&amp;MID(SUBSTITUTE(SUBSTITUTE(SUBSTITUTE(SUBSTITUTE(SUBSTITUTE(Клиенты_исходные!D438," ",""),"-",""),"+",""),"(",""),")",""),2,10),SUBSTITUTE(SUBSTITUTE(SUBSTITUTE(SUBSTITUTE(SUBSTITUTE(Клиенты_исходные!D438," ",""),"-",""),"+",""),"(",""),")","")),2,3)&amp;") "&amp;MID(IF(LEFT(SUBSTITUTE(SUBSTITUTE(SUBSTITUTE(SUBSTITUTE(SUBSTITUTE(Клиенты_исходные!D438," ",""),"-",""),"+",""),"(",""),")",""))="8","7"&amp;MID(SUBSTITUTE(SUBSTITUTE(SUBSTITUTE(SUBSTITUTE(SUBSTITUTE(Клиенты_исходные!D438," ",""),"-",""),"+",""),"(",""),")",""),2,10),SUBSTITUTE(SUBSTITUTE(SUBSTITUTE(SUBSTITUTE(SUBSTITUTE(Клиенты_исходные!D438," ",""),"-",""),"+",""),"(",""),")","")),5,3)&amp;"-"&amp;MID(IF(LEFT(SUBSTITUTE(SUBSTITUTE(SUBSTITUTE(SUBSTITUTE(SUBSTITUTE(Клиенты_исходные!D438," ",""),"-",""),"+",""),"(",""),")",""))="8","7"&amp;MID(SUBSTITUTE(SUBSTITUTE(SUBSTITUTE(SUBSTITUTE(SUBSTITUTE(Клиенты_исходные!D438," ",""),"-",""),"+",""),"(",""),")",""),2,10),SUBSTITUTE(SUBSTITUTE(SUBSTITUTE(SUBSTITUTE(SUBSTITUTE(Клиенты_исходные!D438," ",""),"-",""),"+",""),"(",""),")","")),8,2)&amp;"-"&amp;MID(IF(LEFT(SUBSTITUTE(SUBSTITUTE(SUBSTITUTE(SUBSTITUTE(SUBSTITUTE(Клиенты_исходные!D438," ",""),"-",""),"+",""),"(",""),")",""))="8","7"&amp;MID(SUBSTITUTE(SUBSTITUTE(SUBSTITUTE(SUBSTITUTE(SUBSTITUTE(Клиенты_исходные!D438," ",""),"-",""),"+",""),"(",""),")",""),2,10),SUBSTITUTE(SUBSTITUTE(SUBSTITUTE(SUBSTITUTE(SUBSTITUTE(Клиенты_исходные!D438," ",""),"-",""),"+",""),"(",""),")","")),10,2),IF(LEN(SUBSTITUTE(SUBSTITUTE(SUBSTITUTE(SUBSTITUTE(SUBSTITUTE(Клиенты_исходные!D438," ",""),"-",""),"+",""),"(",""),")",""))=10,"+7 ("&amp;MID(SUBSTITUTE(SUBSTITUTE(SUBSTITUTE(SUBSTITUTE(SUBSTITUTE(Клиенты_исходные!D438," ",""),"-",""),"+",""),"(",""),")",""),1,3)&amp;") "&amp;MID(SUBSTITUTE(SUBSTITUTE(SUBSTITUTE(SUBSTITUTE(SUBSTITUTE(Клиенты_исходные!D438," ",""),"-",""),"+",""),"(",""),")",""),4,3)&amp;"-"&amp;MID(SUBSTITUTE(SUBSTITUTE(SUBSTITUTE(SUBSTITUTE(SUBSTITUTE(Клиенты_исходные!D438," ",""),"-",""),"+",""),"(",""),")",""),6,2)&amp;"-"&amp;MID(SUBSTITUTE(SUBSTITUTE(SUBSTITUTE(SUBSTITUTE(SUBSTITUTE(Клиенты_исходные!D438," ",""),"-",""),"+",""),"(",""),")",""),8,2),Клиенты_исходные!D438)))</f>
        <v xml:space="preserve">+7 (903) 123-45-67</v>
      </c>
      <c r="E438" t="str">
        <f>IF(ISBLANK(Клиенты_исходные!E438),"",IF(ISNUMBER(FIND(".",MID(Клиенты_исходные!E438,FIND("@",Клиенты_исходные!E438)+1,255))),Клиенты_исходные!E438,IF(ISNUMBER(FIND("gmail",Клиенты_исходные!E438)),Клиенты_исходные!E438&amp;".com",Клиенты_исходные!E438&amp;".ru")))</f>
        <v>brazhnikova@yandex.ru</v>
      </c>
      <c r="F438" t="str">
        <f>IFERROR(VLOOKUP(Клиенты_исходные!F438,Справочники!$J$2:$K$50,2,FALSE),Клиенты_исходные!F438)</f>
        <v>Архангельск</v>
      </c>
      <c r="G438" s="8">
        <f>IFERROR(IF(ISNUMBER(FIND(".",Клиенты_исходные!G438)),DATE(RIGHT(Клиенты_исходные!G438,4),MID(Клиенты_исходные!G438,4,2),LEFT(Клиенты_исходные!G438,2)),DATE(LEFT(Клиенты_исходные!G438,4),MID(Клиенты_исходные!G438,6,2),RIGHT(Клиенты_исходные!G438,2))),Клиенты_исходные!G438)</f>
        <v>48985</v>
      </c>
      <c r="H438">
        <f t="shared" ca="1" si="67"/>
        <v>40</v>
      </c>
      <c r="I438" t="str">
        <f t="shared" si="68"/>
        <v>OK</v>
      </c>
      <c r="J438" t="str">
        <f t="shared" si="69"/>
        <v>OK</v>
      </c>
    </row>
    <row r="439">
      <c r="A439" t="str">
        <f>Клиенты_исходные!A439</f>
        <v>C0438</v>
      </c>
      <c r="B439" t="str">
        <f>PROPER(TRIM(Клиенты_исходные!B439))</f>
        <v xml:space="preserve">Сухоруков Андрей Олегович</v>
      </c>
      <c r="C439" s="8">
        <f>IFERROR(IF(ISNUMBER(FIND(".",Клиенты_исходные!C439)),DATE(RIGHT(Клиенты_исходные!C439,4),MID(Клиенты_исходные!C439,4,2),LEFT(Клиенты_исходные!C439,2)),DATE(LEFT(Клиенты_исходные!C439,4),MID(Клиенты_исходные!C439,6,2),RIGHT(Клиенты_исходные!C439,2))),Клиенты_исходные!C439)</f>
        <v>29173</v>
      </c>
      <c r="D439" t="str">
        <f>IF(ISBLANK(Клиенты_исходные!D439),"",IF(LEN(SUBSTITUTE(SUBSTITUTE(SUBSTITUTE(SUBSTITUTE(SUBSTITUTE(Клиенты_исходные!D439," ",""),"-",""),"+",""),"(",""),")",""))=11,"+7 ("&amp;MID(IF(LEFT(SUBSTITUTE(SUBSTITUTE(SUBSTITUTE(SUBSTITUTE(SUBSTITUTE(Клиенты_исходные!D439," ",""),"-",""),"+",""),"(",""),")",""))="8","7"&amp;MID(SUBSTITUTE(SUBSTITUTE(SUBSTITUTE(SUBSTITUTE(SUBSTITUTE(Клиенты_исходные!D439," ",""),"-",""),"+",""),"(",""),")",""),2,10),SUBSTITUTE(SUBSTITUTE(SUBSTITUTE(SUBSTITUTE(SUBSTITUTE(Клиенты_исходные!D439," ",""),"-",""),"+",""),"(",""),")","")),2,3)&amp;") "&amp;MID(IF(LEFT(SUBSTITUTE(SUBSTITUTE(SUBSTITUTE(SUBSTITUTE(SUBSTITUTE(Клиенты_исходные!D439," ",""),"-",""),"+",""),"(",""),")",""))="8","7"&amp;MID(SUBSTITUTE(SUBSTITUTE(SUBSTITUTE(SUBSTITUTE(SUBSTITUTE(Клиенты_исходные!D439," ",""),"-",""),"+",""),"(",""),")",""),2,10),SUBSTITUTE(SUBSTITUTE(SUBSTITUTE(SUBSTITUTE(SUBSTITUTE(Клиенты_исходные!D439," ",""),"-",""),"+",""),"(",""),")","")),5,3)&amp;"-"&amp;MID(IF(LEFT(SUBSTITUTE(SUBSTITUTE(SUBSTITUTE(SUBSTITUTE(SUBSTITUTE(Клиенты_исходные!D439," ",""),"-",""),"+",""),"(",""),")",""))="8","7"&amp;MID(SUBSTITUTE(SUBSTITUTE(SUBSTITUTE(SUBSTITUTE(SUBSTITUTE(Клиенты_исходные!D439," ",""),"-",""),"+",""),"(",""),")",""),2,10),SUBSTITUTE(SUBSTITUTE(SUBSTITUTE(SUBSTITUTE(SUBSTITUTE(Клиенты_исходные!D439," ",""),"-",""),"+",""),"(",""),")","")),8,2)&amp;"-"&amp;MID(IF(LEFT(SUBSTITUTE(SUBSTITUTE(SUBSTITUTE(SUBSTITUTE(SUBSTITUTE(Клиенты_исходные!D439," ",""),"-",""),"+",""),"(",""),")",""))="8","7"&amp;MID(SUBSTITUTE(SUBSTITUTE(SUBSTITUTE(SUBSTITUTE(SUBSTITUTE(Клиенты_исходные!D439," ",""),"-",""),"+",""),"(",""),")",""),2,10),SUBSTITUTE(SUBSTITUTE(SUBSTITUTE(SUBSTITUTE(SUBSTITUTE(Клиенты_исходные!D439," ",""),"-",""),"+",""),"(",""),")","")),10,2),IF(LEN(SUBSTITUTE(SUBSTITUTE(SUBSTITUTE(SUBSTITUTE(SUBSTITUTE(Клиенты_исходные!D439," ",""),"-",""),"+",""),"(",""),")",""))=10,"+7 ("&amp;MID(SUBSTITUTE(SUBSTITUTE(SUBSTITUTE(SUBSTITUTE(SUBSTITUTE(Клиенты_исходные!D439," ",""),"-",""),"+",""),"(",""),")",""),1,3)&amp;") "&amp;MID(SUBSTITUTE(SUBSTITUTE(SUBSTITUTE(SUBSTITUTE(SUBSTITUTE(Клиенты_исходные!D439," ",""),"-",""),"+",""),"(",""),")",""),4,3)&amp;"-"&amp;MID(SUBSTITUTE(SUBSTITUTE(SUBSTITUTE(SUBSTITUTE(SUBSTITUTE(Клиенты_исходные!D439," ",""),"-",""),"+",""),"(",""),")",""),6,2)&amp;"-"&amp;MID(SUBSTITUTE(SUBSTITUTE(SUBSTITUTE(SUBSTITUTE(SUBSTITUTE(Клиенты_исходные!D439," ",""),"-",""),"+",""),"(",""),")",""),8,2),Клиенты_исходные!D439)))</f>
        <v xml:space="preserve">+7 (903) 234-56-78</v>
      </c>
      <c r="E439" t="str">
        <f>IF(ISBLANK(Клиенты_исходные!E439),"",IF(ISNUMBER(FIND(".",MID(Клиенты_исходные!E439,FIND("@",Клиенты_исходные!E439)+1,255))),Клиенты_исходные!E439,IF(ISNUMBER(FIND("gmail",Клиенты_исходные!E439)),Клиенты_исходные!E439&amp;".com",Клиенты_исходные!E439&amp;".ru")))</f>
        <v>suhorukov@gmail.com</v>
      </c>
      <c r="F439" t="str">
        <f>IFERROR(VLOOKUP(Клиенты_исходные!F439,Справочники!$J$2:$K$50,2,FALSE),Клиенты_исходные!F439)</f>
        <v>Благовещенск</v>
      </c>
      <c r="G439" s="8">
        <f>IFERROR(IF(ISNUMBER(FIND(".",Клиенты_исходные!G439)),DATE(RIGHT(Клиенты_исходные!G439,4),MID(Клиенты_исходные!G439,4,2),LEFT(Клиенты_исходные!G439,2)),DATE(LEFT(Клиенты_исходные!G439,4),MID(Клиенты_исходные!G439,6,2),RIGHT(Клиенты_исходные!G439,2))),Клиенты_исходные!G439)</f>
        <v>48985</v>
      </c>
      <c r="H439">
        <f t="shared" ca="1" si="67"/>
        <v>46</v>
      </c>
      <c r="I439" t="str">
        <f t="shared" si="68"/>
        <v>OK</v>
      </c>
      <c r="J439" t="str">
        <f t="shared" si="69"/>
        <v>OK</v>
      </c>
    </row>
    <row r="440">
      <c r="A440" t="str">
        <f>Клиенты_исходные!A440</f>
        <v>C0439</v>
      </c>
      <c r="B440" t="str">
        <f>PROPER(TRIM(Клиенты_исходные!B440))</f>
        <v xml:space="preserve">Гапонова Мария Игоревна</v>
      </c>
      <c r="C440" s="8">
        <f>IFERROR(IF(ISNUMBER(FIND(".",Клиенты_исходные!C440)),DATE(RIGHT(Клиенты_исходные!C440,4),MID(Клиенты_исходные!C440,4,2),LEFT(Клиенты_исходные!C440,2)),DATE(LEFT(Клиенты_исходные!C440,4),MID(Клиенты_исходные!C440,6,2),RIGHT(Клиенты_исходные!C440,2))),Клиенты_исходные!C440)</f>
        <v>33630</v>
      </c>
      <c r="D440" t="str">
        <f>IF(ISBLANK(Клиенты_исходные!D440),"",IF(LEN(SUBSTITUTE(SUBSTITUTE(SUBSTITUTE(SUBSTITUTE(SUBSTITUTE(Клиенты_исходные!D440," ",""),"-",""),"+",""),"(",""),")",""))=11,"+7 ("&amp;MID(IF(LEFT(SUBSTITUTE(SUBSTITUTE(SUBSTITUTE(SUBSTITUTE(SUBSTITUTE(Клиенты_исходные!D440," ",""),"-",""),"+",""),"(",""),")",""))="8","7"&amp;MID(SUBSTITUTE(SUBSTITUTE(SUBSTITUTE(SUBSTITUTE(SUBSTITUTE(Клиенты_исходные!D440," ",""),"-",""),"+",""),"(",""),")",""),2,10),SUBSTITUTE(SUBSTITUTE(SUBSTITUTE(SUBSTITUTE(SUBSTITUTE(Клиенты_исходные!D440," ",""),"-",""),"+",""),"(",""),")","")),2,3)&amp;") "&amp;MID(IF(LEFT(SUBSTITUTE(SUBSTITUTE(SUBSTITUTE(SUBSTITUTE(SUBSTITUTE(Клиенты_исходные!D440," ",""),"-",""),"+",""),"(",""),")",""))="8","7"&amp;MID(SUBSTITUTE(SUBSTITUTE(SUBSTITUTE(SUBSTITUTE(SUBSTITUTE(Клиенты_исходные!D440," ",""),"-",""),"+",""),"(",""),")",""),2,10),SUBSTITUTE(SUBSTITUTE(SUBSTITUTE(SUBSTITUTE(SUBSTITUTE(Клиенты_исходные!D440," ",""),"-",""),"+",""),"(",""),")","")),5,3)&amp;"-"&amp;MID(IF(LEFT(SUBSTITUTE(SUBSTITUTE(SUBSTITUTE(SUBSTITUTE(SUBSTITUTE(Клиенты_исходные!D440," ",""),"-",""),"+",""),"(",""),")",""))="8","7"&amp;MID(SUBSTITUTE(SUBSTITUTE(SUBSTITUTE(SUBSTITUTE(SUBSTITUTE(Клиенты_исходные!D440," ",""),"-",""),"+",""),"(",""),")",""),2,10),SUBSTITUTE(SUBSTITUTE(SUBSTITUTE(SUBSTITUTE(SUBSTITUTE(Клиенты_исходные!D440," ",""),"-",""),"+",""),"(",""),")","")),8,2)&amp;"-"&amp;MID(IF(LEFT(SUBSTITUTE(SUBSTITUTE(SUBSTITUTE(SUBSTITUTE(SUBSTITUTE(Клиенты_исходные!D440," ",""),"-",""),"+",""),"(",""),")",""))="8","7"&amp;MID(SUBSTITUTE(SUBSTITUTE(SUBSTITUTE(SUBSTITUTE(SUBSTITUTE(Клиенты_исходные!D440," ",""),"-",""),"+",""),"(",""),")",""),2,10),SUBSTITUTE(SUBSTITUTE(SUBSTITUTE(SUBSTITUTE(SUBSTITUTE(Клиенты_исходные!D440," ",""),"-",""),"+",""),"(",""),")","")),10,2),IF(LEN(SUBSTITUTE(SUBSTITUTE(SUBSTITUTE(SUBSTITUTE(SUBSTITUTE(Клиенты_исходные!D440," ",""),"-",""),"+",""),"(",""),")",""))=10,"+7 ("&amp;MID(SUBSTITUTE(SUBSTITUTE(SUBSTITUTE(SUBSTITUTE(SUBSTITUTE(Клиенты_исходные!D440," ",""),"-",""),"+",""),"(",""),")",""),1,3)&amp;") "&amp;MID(SUBSTITUTE(SUBSTITUTE(SUBSTITUTE(SUBSTITUTE(SUBSTITUTE(Клиенты_исходные!D440," ",""),"-",""),"+",""),"(",""),")",""),4,3)&amp;"-"&amp;MID(SUBSTITUTE(SUBSTITUTE(SUBSTITUTE(SUBSTITUTE(SUBSTITUTE(Клиенты_исходные!D440," ",""),"-",""),"+",""),"(",""),")",""),6,2)&amp;"-"&amp;MID(SUBSTITUTE(SUBSTITUTE(SUBSTITUTE(SUBSTITUTE(SUBSTITUTE(Клиенты_исходные!D440," ",""),"-",""),"+",""),"(",""),")",""),8,2),Клиенты_исходные!D440)))</f>
        <v xml:space="preserve">+7 (903) 234-56-78</v>
      </c>
      <c r="E440" t="str">
        <f>IF(ISBLANK(Клиенты_исходные!E440),"",IF(ISNUMBER(FIND(".",MID(Клиенты_исходные!E440,FIND("@",Клиенты_исходные!E440)+1,255))),Клиенты_исходные!E440,IF(ISNUMBER(FIND("gmail",Клиенты_исходные!E440)),Клиенты_исходные!E440&amp;".com",Клиенты_исходные!E440&amp;".ru")))</f>
        <v>gaponova@mail.ru</v>
      </c>
      <c r="F440" t="str">
        <f>IFERROR(VLOOKUP(Клиенты_исходные!F440,Справочники!$J$2:$K$50,2,FALSE),Клиенты_исходные!F440)</f>
        <v>Майкоп</v>
      </c>
      <c r="G440" s="8">
        <f>IFERROR(IF(ISNUMBER(FIND(".",Клиенты_исходные!G440)),DATE(RIGHT(Клиенты_исходные!G440,4),MID(Клиенты_исходные!G440,4,2),LEFT(Клиенты_исходные!G440,2)),DATE(LEFT(Клиенты_исходные!G440,4),MID(Клиенты_исходные!G440,6,2),RIGHT(Клиенты_исходные!G440,2))),Клиенты_исходные!G440)</f>
        <v>49004</v>
      </c>
      <c r="H440">
        <f t="shared" ca="1" si="67"/>
        <v>34</v>
      </c>
      <c r="I440" t="str">
        <f t="shared" si="68"/>
        <v>OK</v>
      </c>
      <c r="J440" t="str">
        <f t="shared" si="69"/>
        <v>OK</v>
      </c>
    </row>
    <row r="441">
      <c r="A441" t="str">
        <f>Клиенты_исходные!A441</f>
        <v>C0440</v>
      </c>
      <c r="B441" t="str">
        <f>PROPER(TRIM(Клиенты_исходные!B441))</f>
        <v xml:space="preserve">Жигалов Денис Павлович</v>
      </c>
      <c r="C441" s="8">
        <f>IFERROR(IF(ISNUMBER(FIND(".",Клиенты_исходные!C441)),DATE(RIGHT(Клиенты_исходные!C441,4),MID(Клиенты_исходные!C441,4,2),LEFT(Клиенты_исходные!C441,2)),DATE(LEFT(Клиенты_исходные!C441,4),MID(Клиенты_исходные!C441,6,2),RIGHT(Клиенты_исходные!C441,2))),Клиенты_исходные!C441)</f>
        <v>29752</v>
      </c>
      <c r="D441" t="str">
        <f>IF(ISBLANK(Клиенты_исходные!D441),"",IF(LEN(SUBSTITUTE(SUBSTITUTE(SUBSTITUTE(SUBSTITUTE(SUBSTITUTE(Клиенты_исходные!D441," ",""),"-",""),"+",""),"(",""),")",""))=11,"+7 ("&amp;MID(IF(LEFT(SUBSTITUTE(SUBSTITUTE(SUBSTITUTE(SUBSTITUTE(SUBSTITUTE(Клиенты_исходные!D441," ",""),"-",""),"+",""),"(",""),")",""))="8","7"&amp;MID(SUBSTITUTE(SUBSTITUTE(SUBSTITUTE(SUBSTITUTE(SUBSTITUTE(Клиенты_исходные!D441," ",""),"-",""),"+",""),"(",""),")",""),2,10),SUBSTITUTE(SUBSTITUTE(SUBSTITUTE(SUBSTITUTE(SUBSTITUTE(Клиенты_исходные!D441," ",""),"-",""),"+",""),"(",""),")","")),2,3)&amp;") "&amp;MID(IF(LEFT(SUBSTITUTE(SUBSTITUTE(SUBSTITUTE(SUBSTITUTE(SUBSTITUTE(Клиенты_исходные!D441," ",""),"-",""),"+",""),"(",""),")",""))="8","7"&amp;MID(SUBSTITUTE(SUBSTITUTE(SUBSTITUTE(SUBSTITUTE(SUBSTITUTE(Клиенты_исходные!D441," ",""),"-",""),"+",""),"(",""),")",""),2,10),SUBSTITUTE(SUBSTITUTE(SUBSTITUTE(SUBSTITUTE(SUBSTITUTE(Клиенты_исходные!D441," ",""),"-",""),"+",""),"(",""),")","")),5,3)&amp;"-"&amp;MID(IF(LEFT(SUBSTITUTE(SUBSTITUTE(SUBSTITUTE(SUBSTITUTE(SUBSTITUTE(Клиенты_исходные!D441," ",""),"-",""),"+",""),"(",""),")",""))="8","7"&amp;MID(SUBSTITUTE(SUBSTITUTE(SUBSTITUTE(SUBSTITUTE(SUBSTITUTE(Клиенты_исходные!D441," ",""),"-",""),"+",""),"(",""),")",""),2,10),SUBSTITUTE(SUBSTITUTE(SUBSTITUTE(SUBSTITUTE(SUBSTITUTE(Клиенты_исходные!D441," ",""),"-",""),"+",""),"(",""),")","")),8,2)&amp;"-"&amp;MID(IF(LEFT(SUBSTITUTE(SUBSTITUTE(SUBSTITUTE(SUBSTITUTE(SUBSTITUTE(Клиенты_исходные!D441," ",""),"-",""),"+",""),"(",""),")",""))="8","7"&amp;MID(SUBSTITUTE(SUBSTITUTE(SUBSTITUTE(SUBSTITUTE(SUBSTITUTE(Клиенты_исходные!D441," ",""),"-",""),"+",""),"(",""),")",""),2,10),SUBSTITUTE(SUBSTITUTE(SUBSTITUTE(SUBSTITUTE(SUBSTITUTE(Клиенты_исходные!D441," ",""),"-",""),"+",""),"(",""),")","")),10,2),IF(LEN(SUBSTITUTE(SUBSTITUTE(SUBSTITUTE(SUBSTITUTE(SUBSTITUTE(Клиенты_исходные!D441," ",""),"-",""),"+",""),"(",""),")",""))=10,"+7 ("&amp;MID(SUBSTITUTE(SUBSTITUTE(SUBSTITUTE(SUBSTITUTE(SUBSTITUTE(Клиенты_исходные!D441," ",""),"-",""),"+",""),"(",""),")",""),1,3)&amp;") "&amp;MID(SUBSTITUTE(SUBSTITUTE(SUBSTITUTE(SUBSTITUTE(SUBSTITUTE(Клиенты_исходные!D441," ",""),"-",""),"+",""),"(",""),")",""),4,3)&amp;"-"&amp;MID(SUBSTITUTE(SUBSTITUTE(SUBSTITUTE(SUBSTITUTE(SUBSTITUTE(Клиенты_исходные!D441," ",""),"-",""),"+",""),"(",""),")",""),6,2)&amp;"-"&amp;MID(SUBSTITUTE(SUBSTITUTE(SUBSTITUTE(SUBSTITUTE(SUBSTITUTE(Клиенты_исходные!D441," ",""),"-",""),"+",""),"(",""),")",""),8,2),Клиенты_исходные!D441)))</f>
        <v xml:space="preserve">+7 (903) 234-56-78</v>
      </c>
      <c r="E441" t="str">
        <f>IF(ISBLANK(Клиенты_исходные!E441),"",IF(ISNUMBER(FIND(".",MID(Клиенты_исходные!E441,FIND("@",Клиенты_исходные!E441)+1,255))),Клиенты_исходные!E441,IF(ISNUMBER(FIND("gmail",Клиенты_исходные!E441)),Клиенты_исходные!E441&amp;".com",Клиенты_исходные!E441&amp;".ru")))</f>
        <v>zhigalov@yandex.ru</v>
      </c>
      <c r="F441" t="str">
        <f>IFERROR(VLOOKUP(Клиенты_исходные!F441,Справочники!$J$2:$K$50,2,FALSE),Клиенты_исходные!F441)</f>
        <v>Уссурийск</v>
      </c>
      <c r="G441" s="8">
        <f>IFERROR(IF(ISNUMBER(FIND(".",Клиенты_исходные!G441)),DATE(RIGHT(Клиенты_исходные!G441,4),MID(Клиенты_исходные!G441,4,2),LEFT(Клиенты_исходные!G441,2)),DATE(LEFT(Клиенты_исходные!G441,4),MID(Клиенты_исходные!G441,6,2),RIGHT(Клиенты_исходные!G441,2))),Клиенты_исходные!G441)</f>
        <v>49018</v>
      </c>
      <c r="H441">
        <f t="shared" ca="1" si="67"/>
        <v>45</v>
      </c>
      <c r="I441" t="str">
        <f t="shared" si="68"/>
        <v>OK</v>
      </c>
      <c r="J441" t="str">
        <f t="shared" si="69"/>
        <v>OK</v>
      </c>
    </row>
    <row r="442">
      <c r="A442" t="str">
        <f>Клиенты_исходные!A442</f>
        <v>C0441</v>
      </c>
      <c r="B442" t="str">
        <f>PROPER(TRIM(Клиенты_исходные!B442))</f>
        <v xml:space="preserve">Курочкин Илья Александрович</v>
      </c>
      <c r="C442" s="8">
        <f>IFERROR(IF(ISNUMBER(FIND(".",Клиенты_исходные!C442)),DATE(RIGHT(Клиенты_исходные!C442,4),MID(Клиенты_исходные!C442,4,2),LEFT(Клиенты_исходные!C442,2)),DATE(LEFT(Клиенты_исходные!C442,4),MID(Клиенты_исходные!C442,6,2),RIGHT(Клиенты_исходные!C442,2))),Клиенты_исходные!C442)</f>
        <v>27281</v>
      </c>
      <c r="D442" t="str">
        <f>IF(ISBLANK(Клиенты_исходные!D442),"",IF(LEN(SUBSTITUTE(SUBSTITUTE(SUBSTITUTE(SUBSTITUTE(SUBSTITUTE(Клиенты_исходные!D442," ",""),"-",""),"+",""),"(",""),")",""))=11,"+7 ("&amp;MID(IF(LEFT(SUBSTITUTE(SUBSTITUTE(SUBSTITUTE(SUBSTITUTE(SUBSTITUTE(Клиенты_исходные!D442," ",""),"-",""),"+",""),"(",""),")",""))="8","7"&amp;MID(SUBSTITUTE(SUBSTITUTE(SUBSTITUTE(SUBSTITUTE(SUBSTITUTE(Клиенты_исходные!D442," ",""),"-",""),"+",""),"(",""),")",""),2,10),SUBSTITUTE(SUBSTITUTE(SUBSTITUTE(SUBSTITUTE(SUBSTITUTE(Клиенты_исходные!D442," ",""),"-",""),"+",""),"(",""),")","")),2,3)&amp;") "&amp;MID(IF(LEFT(SUBSTITUTE(SUBSTITUTE(SUBSTITUTE(SUBSTITUTE(SUBSTITUTE(Клиенты_исходные!D442," ",""),"-",""),"+",""),"(",""),")",""))="8","7"&amp;MID(SUBSTITUTE(SUBSTITUTE(SUBSTITUTE(SUBSTITUTE(SUBSTITUTE(Клиенты_исходные!D442," ",""),"-",""),"+",""),"(",""),")",""),2,10),SUBSTITUTE(SUBSTITUTE(SUBSTITUTE(SUBSTITUTE(SUBSTITUTE(Клиенты_исходные!D442," ",""),"-",""),"+",""),"(",""),")","")),5,3)&amp;"-"&amp;MID(IF(LEFT(SUBSTITUTE(SUBSTITUTE(SUBSTITUTE(SUBSTITUTE(SUBSTITUTE(Клиенты_исходные!D442," ",""),"-",""),"+",""),"(",""),")",""))="8","7"&amp;MID(SUBSTITUTE(SUBSTITUTE(SUBSTITUTE(SUBSTITUTE(SUBSTITUTE(Клиенты_исходные!D442," ",""),"-",""),"+",""),"(",""),")",""),2,10),SUBSTITUTE(SUBSTITUTE(SUBSTITUTE(SUBSTITUTE(SUBSTITUTE(Клиенты_исходные!D442," ",""),"-",""),"+",""),"(",""),")","")),8,2)&amp;"-"&amp;MID(IF(LEFT(SUBSTITUTE(SUBSTITUTE(SUBSTITUTE(SUBSTITUTE(SUBSTITUTE(Клиенты_исходные!D442," ",""),"-",""),"+",""),"(",""),")",""))="8","7"&amp;MID(SUBSTITUTE(SUBSTITUTE(SUBSTITUTE(SUBSTITUTE(SUBSTITUTE(Клиенты_исходные!D442," ",""),"-",""),"+",""),"(",""),")",""),2,10),SUBSTITUTE(SUBSTITUTE(SUBSTITUTE(SUBSTITUTE(SUBSTITUTE(Клиенты_исходные!D442," ",""),"-",""),"+",""),"(",""),")","")),10,2),IF(LEN(SUBSTITUTE(SUBSTITUTE(SUBSTITUTE(SUBSTITUTE(SUBSTITUTE(Клиенты_исходные!D442," ",""),"-",""),"+",""),"(",""),")",""))=10,"+7 ("&amp;MID(SUBSTITUTE(SUBSTITUTE(SUBSTITUTE(SUBSTITUTE(SUBSTITUTE(Клиенты_исходные!D442," ",""),"-",""),"+",""),"(",""),")",""),1,3)&amp;") "&amp;MID(SUBSTITUTE(SUBSTITUTE(SUBSTITUTE(SUBSTITUTE(SUBSTITUTE(Клиенты_исходные!D442," ",""),"-",""),"+",""),"(",""),")",""),4,3)&amp;"-"&amp;MID(SUBSTITUTE(SUBSTITUTE(SUBSTITUTE(SUBSTITUTE(SUBSTITUTE(Клиенты_исходные!D442," ",""),"-",""),"+",""),"(",""),")",""),6,2)&amp;"-"&amp;MID(SUBSTITUTE(SUBSTITUTE(SUBSTITUTE(SUBSTITUTE(SUBSTITUTE(Клиенты_исходные!D442," ",""),"-",""),"+",""),"(",""),")",""),8,2),Клиенты_исходные!D442)))</f>
        <v xml:space="preserve">+7 (903) 345-67-89</v>
      </c>
      <c r="E442" t="str">
        <f>IF(ISBLANK(Клиенты_исходные!E442),"",IF(ISNUMBER(FIND(".",MID(Клиенты_исходные!E442,FIND("@",Клиенты_исходные!E442)+1,255))),Клиенты_исходные!E442,IF(ISNUMBER(FIND("gmail",Клиенты_исходные!E442)),Клиенты_исходные!E442&amp;".com",Клиенты_исходные!E442&amp;".ru")))</f>
        <v>kurochkin@gmail.com</v>
      </c>
      <c r="F442" t="str">
        <f>IFERROR(VLOOKUP(Клиенты_исходные!F442,Справочники!$J$2:$K$50,2,FALSE),Клиенты_исходные!F442)</f>
        <v>Миасс</v>
      </c>
      <c r="G442" s="8">
        <f>IFERROR(IF(ISNUMBER(FIND(".",Клиенты_исходные!G442)),DATE(RIGHT(Клиенты_исходные!G442,4),MID(Клиенты_исходные!G442,4,2),LEFT(Клиенты_исходные!G442,2)),DATE(LEFT(Клиенты_исходные!G442,4),MID(Клиенты_исходные!G442,6,2),RIGHT(Клиенты_исходные!G442,2))),Клиенты_исходные!G442)</f>
        <v>49018</v>
      </c>
      <c r="H442">
        <f t="shared" ca="1" si="67"/>
        <v>52</v>
      </c>
      <c r="I442" t="str">
        <f t="shared" si="68"/>
        <v>OK</v>
      </c>
      <c r="J442" t="str">
        <f t="shared" si="69"/>
        <v>OK</v>
      </c>
    </row>
    <row r="443">
      <c r="A443" t="str">
        <f>Клиенты_исходные!A443</f>
        <v>C0442</v>
      </c>
      <c r="B443" t="str">
        <f>PROPER(TRIM(Клиенты_исходные!B443))</f>
        <v xml:space="preserve">Панина Ольга Владимировна</v>
      </c>
      <c r="C443" s="8">
        <f>IFERROR(IF(ISNUMBER(FIND(".",Клиенты_исходные!C443)),DATE(RIGHT(Клиенты_исходные!C443,4),MID(Клиенты_исходные!C443,4,2),LEFT(Клиенты_исходные!C443,2)),DATE(LEFT(Клиенты_исходные!C443,4),MID(Клиенты_исходные!C443,6,2),RIGHT(Клиенты_исходные!C443,2))),Клиенты_исходные!C443)</f>
        <v>31895</v>
      </c>
      <c r="D443" t="str">
        <f>IF(ISBLANK(Клиенты_исходные!D443),"",IF(LEN(SUBSTITUTE(SUBSTITUTE(SUBSTITUTE(SUBSTITUTE(SUBSTITUTE(Клиенты_исходные!D443," ",""),"-",""),"+",""),"(",""),")",""))=11,"+7 ("&amp;MID(IF(LEFT(SUBSTITUTE(SUBSTITUTE(SUBSTITUTE(SUBSTITUTE(SUBSTITUTE(Клиенты_исходные!D443," ",""),"-",""),"+",""),"(",""),")",""))="8","7"&amp;MID(SUBSTITUTE(SUBSTITUTE(SUBSTITUTE(SUBSTITUTE(SUBSTITUTE(Клиенты_исходные!D443," ",""),"-",""),"+",""),"(",""),")",""),2,10),SUBSTITUTE(SUBSTITUTE(SUBSTITUTE(SUBSTITUTE(SUBSTITUTE(Клиенты_исходные!D443," ",""),"-",""),"+",""),"(",""),")","")),2,3)&amp;") "&amp;MID(IF(LEFT(SUBSTITUTE(SUBSTITUTE(SUBSTITUTE(SUBSTITUTE(SUBSTITUTE(Клиенты_исходные!D443," ",""),"-",""),"+",""),"(",""),")",""))="8","7"&amp;MID(SUBSTITUTE(SUBSTITUTE(SUBSTITUTE(SUBSTITUTE(SUBSTITUTE(Клиенты_исходные!D443," ",""),"-",""),"+",""),"(",""),")",""),2,10),SUBSTITUTE(SUBSTITUTE(SUBSTITUTE(SUBSTITUTE(SUBSTITUTE(Клиенты_исходные!D443," ",""),"-",""),"+",""),"(",""),")","")),5,3)&amp;"-"&amp;MID(IF(LEFT(SUBSTITUTE(SUBSTITUTE(SUBSTITUTE(SUBSTITUTE(SUBSTITUTE(Клиенты_исходные!D443," ",""),"-",""),"+",""),"(",""),")",""))="8","7"&amp;MID(SUBSTITUTE(SUBSTITUTE(SUBSTITUTE(SUBSTITUTE(SUBSTITUTE(Клиенты_исходные!D443," ",""),"-",""),"+",""),"(",""),")",""),2,10),SUBSTITUTE(SUBSTITUTE(SUBSTITUTE(SUBSTITUTE(SUBSTITUTE(Клиенты_исходные!D443," ",""),"-",""),"+",""),"(",""),")","")),8,2)&amp;"-"&amp;MID(IF(LEFT(SUBSTITUTE(SUBSTITUTE(SUBSTITUTE(SUBSTITUTE(SUBSTITUTE(Клиенты_исходные!D443," ",""),"-",""),"+",""),"(",""),")",""))="8","7"&amp;MID(SUBSTITUTE(SUBSTITUTE(SUBSTITUTE(SUBSTITUTE(SUBSTITUTE(Клиенты_исходные!D443," ",""),"-",""),"+",""),"(",""),")",""),2,10),SUBSTITUTE(SUBSTITUTE(SUBSTITUTE(SUBSTITUTE(SUBSTITUTE(Клиенты_исходные!D443," ",""),"-",""),"+",""),"(",""),")","")),10,2),IF(LEN(SUBSTITUTE(SUBSTITUTE(SUBSTITUTE(SUBSTITUTE(SUBSTITUTE(Клиенты_исходные!D443," ",""),"-",""),"+",""),"(",""),")",""))=10,"+7 ("&amp;MID(SUBSTITUTE(SUBSTITUTE(SUBSTITUTE(SUBSTITUTE(SUBSTITUTE(Клиенты_исходные!D443," ",""),"-",""),"+",""),"(",""),")",""),1,3)&amp;") "&amp;MID(SUBSTITUTE(SUBSTITUTE(SUBSTITUTE(SUBSTITUTE(SUBSTITUTE(Клиенты_исходные!D443," ",""),"-",""),"+",""),"(",""),")",""),4,3)&amp;"-"&amp;MID(SUBSTITUTE(SUBSTITUTE(SUBSTITUTE(SUBSTITUTE(SUBSTITUTE(Клиенты_исходные!D443," ",""),"-",""),"+",""),"(",""),")",""),6,2)&amp;"-"&amp;MID(SUBSTITUTE(SUBSTITUTE(SUBSTITUTE(SUBSTITUTE(SUBSTITUTE(Клиенты_исходные!D443," ",""),"-",""),"+",""),"(",""),")",""),8,2),Клиенты_исходные!D443)))</f>
        <v xml:space="preserve">+7 (903) 345-67-89</v>
      </c>
      <c r="E443" t="str">
        <f>IF(ISBLANK(Клиенты_исходные!E443),"",IF(ISNUMBER(FIND(".",MID(Клиенты_исходные!E443,FIND("@",Клиенты_исходные!E443)+1,255))),Клиенты_исходные!E443,IF(ISNUMBER(FIND("gmail",Клиенты_исходные!E443)),Клиенты_исходные!E443&amp;".com",Клиенты_исходные!E443&amp;".ru")))</f>
        <v>panina@mail.ru</v>
      </c>
      <c r="F443" t="str">
        <f>IFERROR(VLOOKUP(Клиенты_исходные!F443,Справочники!$J$2:$K$50,2,FALSE),Клиенты_исходные!F443)</f>
        <v>Кызыл</v>
      </c>
      <c r="G443" s="8">
        <f>IFERROR(IF(ISNUMBER(FIND(".",Клиенты_исходные!G443)),DATE(RIGHT(Клиенты_исходные!G443,4),MID(Клиенты_исходные!G443,4,2),LEFT(Клиенты_исходные!G443,2)),DATE(LEFT(Клиенты_исходные!G443,4),MID(Клиенты_исходные!G443,6,2),RIGHT(Клиенты_исходные!G443,2))),Клиенты_исходные!G443)</f>
        <v>49035</v>
      </c>
      <c r="H443">
        <f t="shared" ca="1" si="67"/>
        <v>39</v>
      </c>
      <c r="I443" t="str">
        <f t="shared" si="68"/>
        <v>OK</v>
      </c>
      <c r="J443" t="str">
        <f t="shared" si="69"/>
        <v>OK</v>
      </c>
    </row>
    <row r="444">
      <c r="A444" t="str">
        <f>Клиенты_исходные!A444</f>
        <v>C0443</v>
      </c>
      <c r="B444" t="str">
        <f>PROPER(TRIM(Клиенты_исходные!B444))</f>
        <v xml:space="preserve">Махалов Андрей Сергеевич</v>
      </c>
      <c r="C444" s="8">
        <f>IFERROR(IF(ISNUMBER(FIND(".",Клиенты_исходные!C444)),DATE(RIGHT(Клиенты_исходные!C444,4),MID(Клиенты_исходные!C444,4,2),LEFT(Клиенты_исходные!C444,2)),DATE(LEFT(Клиенты_исходные!C444,4),MID(Клиенты_исходные!C444,6,2),RIGHT(Клиенты_исходные!C444,2))),Клиенты_исходные!C444)</f>
        <v>34315</v>
      </c>
      <c r="D444" t="str">
        <f>IF(ISBLANK(Клиенты_исходные!D444),"",IF(LEN(SUBSTITUTE(SUBSTITUTE(SUBSTITUTE(SUBSTITUTE(SUBSTITUTE(Клиенты_исходные!D444," ",""),"-",""),"+",""),"(",""),")",""))=11,"+7 ("&amp;MID(IF(LEFT(SUBSTITUTE(SUBSTITUTE(SUBSTITUTE(SUBSTITUTE(SUBSTITUTE(Клиенты_исходные!D444," ",""),"-",""),"+",""),"(",""),")",""))="8","7"&amp;MID(SUBSTITUTE(SUBSTITUTE(SUBSTITUTE(SUBSTITUTE(SUBSTITUTE(Клиенты_исходные!D444," ",""),"-",""),"+",""),"(",""),")",""),2,10),SUBSTITUTE(SUBSTITUTE(SUBSTITUTE(SUBSTITUTE(SUBSTITUTE(Клиенты_исходные!D444," ",""),"-",""),"+",""),"(",""),")","")),2,3)&amp;") "&amp;MID(IF(LEFT(SUBSTITUTE(SUBSTITUTE(SUBSTITUTE(SUBSTITUTE(SUBSTITUTE(Клиенты_исходные!D444," ",""),"-",""),"+",""),"(",""),")",""))="8","7"&amp;MID(SUBSTITUTE(SUBSTITUTE(SUBSTITUTE(SUBSTITUTE(SUBSTITUTE(Клиенты_исходные!D444," ",""),"-",""),"+",""),"(",""),")",""),2,10),SUBSTITUTE(SUBSTITUTE(SUBSTITUTE(SUBSTITUTE(SUBSTITUTE(Клиенты_исходные!D444," ",""),"-",""),"+",""),"(",""),")","")),5,3)&amp;"-"&amp;MID(IF(LEFT(SUBSTITUTE(SUBSTITUTE(SUBSTITUTE(SUBSTITUTE(SUBSTITUTE(Клиенты_исходные!D444," ",""),"-",""),"+",""),"(",""),")",""))="8","7"&amp;MID(SUBSTITUTE(SUBSTITUTE(SUBSTITUTE(SUBSTITUTE(SUBSTITUTE(Клиенты_исходные!D444," ",""),"-",""),"+",""),"(",""),")",""),2,10),SUBSTITUTE(SUBSTITUTE(SUBSTITUTE(SUBSTITUTE(SUBSTITUTE(Клиенты_исходные!D444," ",""),"-",""),"+",""),"(",""),")","")),8,2)&amp;"-"&amp;MID(IF(LEFT(SUBSTITUTE(SUBSTITUTE(SUBSTITUTE(SUBSTITUTE(SUBSTITUTE(Клиенты_исходные!D444," ",""),"-",""),"+",""),"(",""),")",""))="8","7"&amp;MID(SUBSTITUTE(SUBSTITUTE(SUBSTITUTE(SUBSTITUTE(SUBSTITUTE(Клиенты_исходные!D444," ",""),"-",""),"+",""),"(",""),")",""),2,10),SUBSTITUTE(SUBSTITUTE(SUBSTITUTE(SUBSTITUTE(SUBSTITUTE(Клиенты_исходные!D444," ",""),"-",""),"+",""),"(",""),")","")),10,2),IF(LEN(SUBSTITUTE(SUBSTITUTE(SUBSTITUTE(SUBSTITUTE(SUBSTITUTE(Клиенты_исходные!D444," ",""),"-",""),"+",""),"(",""),")",""))=10,"+7 ("&amp;MID(SUBSTITUTE(SUBSTITUTE(SUBSTITUTE(SUBSTITUTE(SUBSTITUTE(Клиенты_исходные!D444," ",""),"-",""),"+",""),"(",""),")",""),1,3)&amp;") "&amp;MID(SUBSTITUTE(SUBSTITUTE(SUBSTITUTE(SUBSTITUTE(SUBSTITUTE(Клиенты_исходные!D444," ",""),"-",""),"+",""),"(",""),")",""),4,3)&amp;"-"&amp;MID(SUBSTITUTE(SUBSTITUTE(SUBSTITUTE(SUBSTITUTE(SUBSTITUTE(Клиенты_исходные!D444," ",""),"-",""),"+",""),"(",""),")",""),6,2)&amp;"-"&amp;MID(SUBSTITUTE(SUBSTITUTE(SUBSTITUTE(SUBSTITUTE(SUBSTITUTE(Клиенты_исходные!D444," ",""),"-",""),"+",""),"(",""),")",""),8,2),Клиенты_исходные!D444)))</f>
        <v xml:space="preserve">+7 (903) 345-67-89</v>
      </c>
      <c r="E444" t="str">
        <f>IF(ISBLANK(Клиенты_исходные!E444),"",IF(ISNUMBER(FIND(".",MID(Клиенты_исходные!E444,FIND("@",Клиенты_исходные!E444)+1,255))),Клиенты_исходные!E444,IF(ISNUMBER(FIND("gmail",Клиенты_исходные!E444)),Клиенты_исходные!E444&amp;".com",Клиенты_исходные!E444&amp;".ru")))</f>
        <v>mahalov@yandex.ru</v>
      </c>
      <c r="F444" t="str">
        <f>IFERROR(VLOOKUP(Клиенты_исходные!F444,Справочники!$J$2:$K$50,2,FALSE),Клиенты_исходные!F444)</f>
        <v>Калининград</v>
      </c>
      <c r="G444" s="8">
        <f>IFERROR(IF(ISNUMBER(FIND(".",Клиенты_исходные!G444)),DATE(RIGHT(Клиенты_исходные!G444,4),MID(Клиенты_исходные!G444,4,2),LEFT(Клиенты_исходные!G444,2)),DATE(LEFT(Клиенты_исходные!G444,4),MID(Клиенты_исходные!G444,6,2),RIGHT(Клиенты_исходные!G444,2))),Клиенты_исходные!G444)</f>
        <v>49044</v>
      </c>
      <c r="H444">
        <f t="shared" ca="1" si="67"/>
        <v>32</v>
      </c>
      <c r="I444" t="str">
        <f t="shared" si="68"/>
        <v>OK</v>
      </c>
      <c r="J444" t="str">
        <f t="shared" si="69"/>
        <v>OK</v>
      </c>
    </row>
    <row r="445">
      <c r="A445" t="str">
        <f>Клиенты_исходные!A445</f>
        <v>C0444</v>
      </c>
      <c r="B445" t="str">
        <f>PROPER(TRIM(Клиенты_исходные!B445))</f>
        <v xml:space="preserve">Федорова Екатерина Петровна</v>
      </c>
      <c r="C445" s="8">
        <f>IFERROR(IF(ISNUMBER(FIND(".",Клиенты_исходные!C445)),DATE(RIGHT(Клиенты_исходные!C445,4),MID(Клиенты_исходные!C445,4,2),LEFT(Клиенты_исходные!C445,2)),DATE(LEFT(Клиенты_исходные!C445,4),MID(Клиенты_исходные!C445,6,2),RIGHT(Клиенты_исходные!C445,2))),Клиенты_исходные!C445)</f>
        <v>27826</v>
      </c>
      <c r="D445" t="str">
        <f>IF(ISBLANK(Клиенты_исходные!D445),"",IF(LEN(SUBSTITUTE(SUBSTITUTE(SUBSTITUTE(SUBSTITUTE(SUBSTITUTE(Клиенты_исходные!D445," ",""),"-",""),"+",""),"(",""),")",""))=11,"+7 ("&amp;MID(IF(LEFT(SUBSTITUTE(SUBSTITUTE(SUBSTITUTE(SUBSTITUTE(SUBSTITUTE(Клиенты_исходные!D445," ",""),"-",""),"+",""),"(",""),")",""))="8","7"&amp;MID(SUBSTITUTE(SUBSTITUTE(SUBSTITUTE(SUBSTITUTE(SUBSTITUTE(Клиенты_исходные!D445," ",""),"-",""),"+",""),"(",""),")",""),2,10),SUBSTITUTE(SUBSTITUTE(SUBSTITUTE(SUBSTITUTE(SUBSTITUTE(Клиенты_исходные!D445," ",""),"-",""),"+",""),"(",""),")","")),2,3)&amp;") "&amp;MID(IF(LEFT(SUBSTITUTE(SUBSTITUTE(SUBSTITUTE(SUBSTITUTE(SUBSTITUTE(Клиенты_исходные!D445," ",""),"-",""),"+",""),"(",""),")",""))="8","7"&amp;MID(SUBSTITUTE(SUBSTITUTE(SUBSTITUTE(SUBSTITUTE(SUBSTITUTE(Клиенты_исходные!D445," ",""),"-",""),"+",""),"(",""),")",""),2,10),SUBSTITUTE(SUBSTITUTE(SUBSTITUTE(SUBSTITUTE(SUBSTITUTE(Клиенты_исходные!D445," ",""),"-",""),"+",""),"(",""),")","")),5,3)&amp;"-"&amp;MID(IF(LEFT(SUBSTITUTE(SUBSTITUTE(SUBSTITUTE(SUBSTITUTE(SUBSTITUTE(Клиенты_исходные!D445," ",""),"-",""),"+",""),"(",""),")",""))="8","7"&amp;MID(SUBSTITUTE(SUBSTITUTE(SUBSTITUTE(SUBSTITUTE(SUBSTITUTE(Клиенты_исходные!D445," ",""),"-",""),"+",""),"(",""),")",""),2,10),SUBSTITUTE(SUBSTITUTE(SUBSTITUTE(SUBSTITUTE(SUBSTITUTE(Клиенты_исходные!D445," ",""),"-",""),"+",""),"(",""),")","")),8,2)&amp;"-"&amp;MID(IF(LEFT(SUBSTITUTE(SUBSTITUTE(SUBSTITUTE(SUBSTITUTE(SUBSTITUTE(Клиенты_исходные!D445," ",""),"-",""),"+",""),"(",""),")",""))="8","7"&amp;MID(SUBSTITUTE(SUBSTITUTE(SUBSTITUTE(SUBSTITUTE(SUBSTITUTE(Клиенты_исходные!D445," ",""),"-",""),"+",""),"(",""),")",""),2,10),SUBSTITUTE(SUBSTITUTE(SUBSTITUTE(SUBSTITUTE(SUBSTITUTE(Клиенты_исходные!D445," ",""),"-",""),"+",""),"(",""),")","")),10,2),IF(LEN(SUBSTITUTE(SUBSTITUTE(SUBSTITUTE(SUBSTITUTE(SUBSTITUTE(Клиенты_исходные!D445," ",""),"-",""),"+",""),"(",""),")",""))=10,"+7 ("&amp;MID(SUBSTITUTE(SUBSTITUTE(SUBSTITUTE(SUBSTITUTE(SUBSTITUTE(Клиенты_исходные!D445," ",""),"-",""),"+",""),"(",""),")",""),1,3)&amp;") "&amp;MID(SUBSTITUTE(SUBSTITUTE(SUBSTITUTE(SUBSTITUTE(SUBSTITUTE(Клиенты_исходные!D445," ",""),"-",""),"+",""),"(",""),")",""),4,3)&amp;"-"&amp;MID(SUBSTITUTE(SUBSTITUTE(SUBSTITUTE(SUBSTITUTE(SUBSTITUTE(Клиенты_исходные!D445," ",""),"-",""),"+",""),"(",""),")",""),6,2)&amp;"-"&amp;MID(SUBSTITUTE(SUBSTITUTE(SUBSTITUTE(SUBSTITUTE(SUBSTITUTE(Клиенты_исходные!D445," ",""),"-",""),"+",""),"(",""),")",""),8,2),Клиенты_исходные!D445)))</f>
        <v xml:space="preserve">+7 (903) 456-78-90</v>
      </c>
      <c r="E445" t="str">
        <f>IF(ISBLANK(Клиенты_исходные!E445),"",IF(ISNUMBER(FIND(".",MID(Клиенты_исходные!E445,FIND("@",Клиенты_исходные!E445)+1,255))),Клиенты_исходные!E445,IF(ISNUMBER(FIND("gmail",Клиенты_исходные!E445)),Клиенты_исходные!E445&amp;".com",Клиенты_исходные!E445&amp;".ru")))</f>
        <v>fedorova@gmail.com</v>
      </c>
      <c r="F445" t="str">
        <f>IFERROR(VLOOKUP(Клиенты_исходные!F445,Справочники!$J$2:$K$50,2,FALSE),Клиенты_исходные!F445)</f>
        <v>Петрозаводск</v>
      </c>
      <c r="G445" s="8">
        <f>IFERROR(IF(ISNUMBER(FIND(".",Клиенты_исходные!G445)),DATE(RIGHT(Клиенты_исходные!G445,4),MID(Клиенты_исходные!G445,4,2),LEFT(Клиенты_исходные!G445,2)),DATE(LEFT(Клиенты_исходные!G445,4),MID(Клиенты_исходные!G445,6,2),RIGHT(Клиенты_исходные!G445,2))),Клиенты_исходные!G445)</f>
        <v>49044</v>
      </c>
      <c r="H445">
        <f t="shared" ca="1" si="67"/>
        <v>50</v>
      </c>
      <c r="I445" t="str">
        <f t="shared" si="68"/>
        <v>OK</v>
      </c>
      <c r="J445" t="str">
        <f t="shared" si="69"/>
        <v>OK</v>
      </c>
    </row>
    <row r="446">
      <c r="A446" t="str">
        <f>Клиенты_исходные!A446</f>
        <v>C0445</v>
      </c>
      <c r="B446" t="str">
        <f>PROPER(TRIM(Клиенты_исходные!B446))</f>
        <v xml:space="preserve">Зарубин Илья Викторович</v>
      </c>
      <c r="C446" s="8">
        <f>IFERROR(IF(ISNUMBER(FIND(".",Клиенты_исходные!C446)),DATE(RIGHT(Клиенты_исходные!C446,4),MID(Клиенты_исходные!C446,4,2),LEFT(Клиенты_исходные!C446,2)),DATE(LEFT(Клиенты_исходные!C446,4),MID(Клиенты_исходные!C446,6,2),RIGHT(Клиенты_исходные!C446,2))),Клиенты_исходные!C446)</f>
        <v>32345</v>
      </c>
      <c r="D446" t="str">
        <f>IF(ISBLANK(Клиенты_исходные!D446),"",IF(LEN(SUBSTITUTE(SUBSTITUTE(SUBSTITUTE(SUBSTITUTE(SUBSTITUTE(Клиенты_исходные!D446," ",""),"-",""),"+",""),"(",""),")",""))=11,"+7 ("&amp;MID(IF(LEFT(SUBSTITUTE(SUBSTITUTE(SUBSTITUTE(SUBSTITUTE(SUBSTITUTE(Клиенты_исходные!D446," ",""),"-",""),"+",""),"(",""),")",""))="8","7"&amp;MID(SUBSTITUTE(SUBSTITUTE(SUBSTITUTE(SUBSTITUTE(SUBSTITUTE(Клиенты_исходные!D446," ",""),"-",""),"+",""),"(",""),")",""),2,10),SUBSTITUTE(SUBSTITUTE(SUBSTITUTE(SUBSTITUTE(SUBSTITUTE(Клиенты_исходные!D446," ",""),"-",""),"+",""),"(",""),")","")),2,3)&amp;") "&amp;MID(IF(LEFT(SUBSTITUTE(SUBSTITUTE(SUBSTITUTE(SUBSTITUTE(SUBSTITUTE(Клиенты_исходные!D446," ",""),"-",""),"+",""),"(",""),")",""))="8","7"&amp;MID(SUBSTITUTE(SUBSTITUTE(SUBSTITUTE(SUBSTITUTE(SUBSTITUTE(Клиенты_исходные!D446," ",""),"-",""),"+",""),"(",""),")",""),2,10),SUBSTITUTE(SUBSTITUTE(SUBSTITUTE(SUBSTITUTE(SUBSTITUTE(Клиенты_исходные!D446," ",""),"-",""),"+",""),"(",""),")","")),5,3)&amp;"-"&amp;MID(IF(LEFT(SUBSTITUTE(SUBSTITUTE(SUBSTITUTE(SUBSTITUTE(SUBSTITUTE(Клиенты_исходные!D446," ",""),"-",""),"+",""),"(",""),")",""))="8","7"&amp;MID(SUBSTITUTE(SUBSTITUTE(SUBSTITUTE(SUBSTITUTE(SUBSTITUTE(Клиенты_исходные!D446," ",""),"-",""),"+",""),"(",""),")",""),2,10),SUBSTITUTE(SUBSTITUTE(SUBSTITUTE(SUBSTITUTE(SUBSTITUTE(Клиенты_исходные!D446," ",""),"-",""),"+",""),"(",""),")","")),8,2)&amp;"-"&amp;MID(IF(LEFT(SUBSTITUTE(SUBSTITUTE(SUBSTITUTE(SUBSTITUTE(SUBSTITUTE(Клиенты_исходные!D446," ",""),"-",""),"+",""),"(",""),")",""))="8","7"&amp;MID(SUBSTITUTE(SUBSTITUTE(SUBSTITUTE(SUBSTITUTE(SUBSTITUTE(Клиенты_исходные!D446," ",""),"-",""),"+",""),"(",""),")",""),2,10),SUBSTITUTE(SUBSTITUTE(SUBSTITUTE(SUBSTITUTE(SUBSTITUTE(Клиенты_исходные!D446," ",""),"-",""),"+",""),"(",""),")","")),10,2),IF(LEN(SUBSTITUTE(SUBSTITUTE(SUBSTITUTE(SUBSTITUTE(SUBSTITUTE(Клиенты_исходные!D446," ",""),"-",""),"+",""),"(",""),")",""))=10,"+7 ("&amp;MID(SUBSTITUTE(SUBSTITUTE(SUBSTITUTE(SUBSTITUTE(SUBSTITUTE(Клиенты_исходные!D446," ",""),"-",""),"+",""),"(",""),")",""),1,3)&amp;") "&amp;MID(SUBSTITUTE(SUBSTITUTE(SUBSTITUTE(SUBSTITUTE(SUBSTITUTE(Клиенты_исходные!D446," ",""),"-",""),"+",""),"(",""),")",""),4,3)&amp;"-"&amp;MID(SUBSTITUTE(SUBSTITUTE(SUBSTITUTE(SUBSTITUTE(SUBSTITUTE(Клиенты_исходные!D446," ",""),"-",""),"+",""),"(",""),")",""),6,2)&amp;"-"&amp;MID(SUBSTITUTE(SUBSTITUTE(SUBSTITUTE(SUBSTITUTE(SUBSTITUTE(Клиенты_исходные!D446," ",""),"-",""),"+",""),"(",""),")",""),8,2),Клиенты_исходные!D446)))</f>
        <v xml:space="preserve">+7 (903) 456-78-90</v>
      </c>
      <c r="E446" t="str">
        <f>IF(ISBLANK(Клиенты_исходные!E446),"",IF(ISNUMBER(FIND(".",MID(Клиенты_исходные!E446,FIND("@",Клиенты_исходные!E446)+1,255))),Клиенты_исходные!E446,IF(ISNUMBER(FIND("gmail",Клиенты_исходные!E446)),Клиенты_исходные!E446&amp;".com",Клиенты_исходные!E446&amp;".ru")))</f>
        <v>zarubin@mail.ru</v>
      </c>
      <c r="F446" t="str">
        <f>IFERROR(VLOOKUP(Клиенты_исходные!F446,Справочники!$J$2:$K$50,2,FALSE),Клиенты_исходные!F446)</f>
        <v>Рубцовск</v>
      </c>
      <c r="G446" s="8">
        <f>IFERROR(IF(ISNUMBER(FIND(".",Клиенты_исходные!G446)),DATE(RIGHT(Клиенты_исходные!G446,4),MID(Клиенты_исходные!G446,4,2),LEFT(Клиенты_исходные!G446,2)),DATE(LEFT(Клиенты_исходные!G446,4),MID(Клиенты_исходные!G446,6,2),RIGHT(Клиенты_исходные!G446,2))),Клиенты_исходные!G446)</f>
        <v>49065</v>
      </c>
      <c r="H446">
        <f t="shared" ca="1" si="67"/>
        <v>38</v>
      </c>
      <c r="I446" t="str">
        <f t="shared" si="68"/>
        <v>OK</v>
      </c>
      <c r="J446" t="str">
        <f t="shared" si="69"/>
        <v>OK</v>
      </c>
    </row>
    <row r="447">
      <c r="A447" t="str">
        <f>Клиенты_исходные!A447</f>
        <v>C0446</v>
      </c>
      <c r="B447" t="str">
        <f>PROPER(TRIM(Клиенты_исходные!B447))</f>
        <v xml:space="preserve">Калинина Мария Сергеевна</v>
      </c>
      <c r="C447" s="8">
        <f>IFERROR(IF(ISNUMBER(FIND(".",Клиенты_исходные!C447)),DATE(RIGHT(Клиенты_исходные!C447,4),MID(Клиенты_исходные!C447,4,2),LEFT(Клиенты_исходные!C447,2)),DATE(LEFT(Клиенты_исходные!C447,4),MID(Клиенты_исходные!C447,6,2),RIGHT(Клиенты_исходные!C447,2))),Клиенты_исходные!C447)</f>
        <v>29510</v>
      </c>
      <c r="D447" t="str">
        <f>IF(ISBLANK(Клиенты_исходные!D447),"",IF(LEN(SUBSTITUTE(SUBSTITUTE(SUBSTITUTE(SUBSTITUTE(SUBSTITUTE(Клиенты_исходные!D447," ",""),"-",""),"+",""),"(",""),")",""))=11,"+7 ("&amp;MID(IF(LEFT(SUBSTITUTE(SUBSTITUTE(SUBSTITUTE(SUBSTITUTE(SUBSTITUTE(Клиенты_исходные!D447," ",""),"-",""),"+",""),"(",""),")",""))="8","7"&amp;MID(SUBSTITUTE(SUBSTITUTE(SUBSTITUTE(SUBSTITUTE(SUBSTITUTE(Клиенты_исходные!D447," ",""),"-",""),"+",""),"(",""),")",""),2,10),SUBSTITUTE(SUBSTITUTE(SUBSTITUTE(SUBSTITUTE(SUBSTITUTE(Клиенты_исходные!D447," ",""),"-",""),"+",""),"(",""),")","")),2,3)&amp;") "&amp;MID(IF(LEFT(SUBSTITUTE(SUBSTITUTE(SUBSTITUTE(SUBSTITUTE(SUBSTITUTE(Клиенты_исходные!D447," ",""),"-",""),"+",""),"(",""),")",""))="8","7"&amp;MID(SUBSTITUTE(SUBSTITUTE(SUBSTITUTE(SUBSTITUTE(SUBSTITUTE(Клиенты_исходные!D447," ",""),"-",""),"+",""),"(",""),")",""),2,10),SUBSTITUTE(SUBSTITUTE(SUBSTITUTE(SUBSTITUTE(SUBSTITUTE(Клиенты_исходные!D447," ",""),"-",""),"+",""),"(",""),")","")),5,3)&amp;"-"&amp;MID(IF(LEFT(SUBSTITUTE(SUBSTITUTE(SUBSTITUTE(SUBSTITUTE(SUBSTITUTE(Клиенты_исходные!D447," ",""),"-",""),"+",""),"(",""),")",""))="8","7"&amp;MID(SUBSTITUTE(SUBSTITUTE(SUBSTITUTE(SUBSTITUTE(SUBSTITUTE(Клиенты_исходные!D447," ",""),"-",""),"+",""),"(",""),")",""),2,10),SUBSTITUTE(SUBSTITUTE(SUBSTITUTE(SUBSTITUTE(SUBSTITUTE(Клиенты_исходные!D447," ",""),"-",""),"+",""),"(",""),")","")),8,2)&amp;"-"&amp;MID(IF(LEFT(SUBSTITUTE(SUBSTITUTE(SUBSTITUTE(SUBSTITUTE(SUBSTITUTE(Клиенты_исходные!D447," ",""),"-",""),"+",""),"(",""),")",""))="8","7"&amp;MID(SUBSTITUTE(SUBSTITUTE(SUBSTITUTE(SUBSTITUTE(SUBSTITUTE(Клиенты_исходные!D447," ",""),"-",""),"+",""),"(",""),")",""),2,10),SUBSTITUTE(SUBSTITUTE(SUBSTITUTE(SUBSTITUTE(SUBSTITUTE(Клиенты_исходные!D447," ",""),"-",""),"+",""),"(",""),")","")),10,2),IF(LEN(SUBSTITUTE(SUBSTITUTE(SUBSTITUTE(SUBSTITUTE(SUBSTITUTE(Клиенты_исходные!D447," ",""),"-",""),"+",""),"(",""),")",""))=10,"+7 ("&amp;MID(SUBSTITUTE(SUBSTITUTE(SUBSTITUTE(SUBSTITUTE(SUBSTITUTE(Клиенты_исходные!D447," ",""),"-",""),"+",""),"(",""),")",""),1,3)&amp;") "&amp;MID(SUBSTITUTE(SUBSTITUTE(SUBSTITUTE(SUBSTITUTE(SUBSTITUTE(Клиенты_исходные!D447," ",""),"-",""),"+",""),"(",""),")",""),4,3)&amp;"-"&amp;MID(SUBSTITUTE(SUBSTITUTE(SUBSTITUTE(SUBSTITUTE(SUBSTITUTE(Клиенты_исходные!D447," ",""),"-",""),"+",""),"(",""),")",""),6,2)&amp;"-"&amp;MID(SUBSTITUTE(SUBSTITUTE(SUBSTITUTE(SUBSTITUTE(SUBSTITUTE(Клиенты_исходные!D447," ",""),"-",""),"+",""),"(",""),")",""),8,2),Клиенты_исходные!D447)))</f>
        <v xml:space="preserve">+7 (903) 456-78-90</v>
      </c>
      <c r="E447" t="str">
        <f>IF(ISBLANK(Клиенты_исходные!E447),"",IF(ISNUMBER(FIND(".",MID(Клиенты_исходные!E447,FIND("@",Клиенты_исходные!E447)+1,255))),Клиенты_исходные!E447,IF(ISNUMBER(FIND("gmail",Клиенты_исходные!E447)),Клиенты_исходные!E447&amp;".com",Клиенты_исходные!E447&amp;".ru")))</f>
        <v>kalinina@yandex.ru</v>
      </c>
      <c r="F447" t="str">
        <f>IFERROR(VLOOKUP(Клиенты_исходные!F447,Справочники!$J$2:$K$50,2,FALSE),Клиенты_исходные!F447)</f>
        <v>Элиста</v>
      </c>
      <c r="G447" s="8">
        <f>IFERROR(IF(ISNUMBER(FIND(".",Клиенты_исходные!G447)),DATE(RIGHT(Клиенты_исходные!G447,4),MID(Клиенты_исходные!G447,4,2),LEFT(Клиенты_исходные!G447,2)),DATE(LEFT(Клиенты_исходные!G447,4),MID(Клиенты_исходные!G447,6,2),RIGHT(Клиенты_исходные!G447,2))),Клиенты_исходные!G447)</f>
        <v>49079</v>
      </c>
      <c r="H447">
        <f t="shared" ca="1" si="67"/>
        <v>45</v>
      </c>
      <c r="I447" t="str">
        <f t="shared" si="68"/>
        <v>OK</v>
      </c>
      <c r="J447" t="str">
        <f t="shared" si="69"/>
        <v>OK</v>
      </c>
    </row>
    <row r="448">
      <c r="A448" t="str">
        <f>Клиенты_исходные!A448</f>
        <v>C0447</v>
      </c>
      <c r="B448" t="str">
        <f>PROPER(TRIM(Клиенты_исходные!B448))</f>
        <v xml:space="preserve">Свиридов Денис Олегович</v>
      </c>
      <c r="C448" s="8">
        <f>IFERROR(IF(ISNUMBER(FIND(".",Клиенты_исходные!C448)),DATE(RIGHT(Клиенты_исходные!C448,4),MID(Клиенты_исходные!C448,4,2),LEFT(Клиенты_исходные!C448,2)),DATE(LEFT(Клиенты_исходные!C448,4),MID(Клиенты_исходные!C448,6,2),RIGHT(Клиенты_исходные!C448,2))),Клиенты_исходные!C448)</f>
        <v>26789</v>
      </c>
      <c r="D448" t="str">
        <f>IF(ISBLANK(Клиенты_исходные!D448),"",IF(LEN(SUBSTITUTE(SUBSTITUTE(SUBSTITUTE(SUBSTITUTE(SUBSTITUTE(Клиенты_исходные!D448," ",""),"-",""),"+",""),"(",""),")",""))=11,"+7 ("&amp;MID(IF(LEFT(SUBSTITUTE(SUBSTITUTE(SUBSTITUTE(SUBSTITUTE(SUBSTITUTE(Клиенты_исходные!D448," ",""),"-",""),"+",""),"(",""),")",""))="8","7"&amp;MID(SUBSTITUTE(SUBSTITUTE(SUBSTITUTE(SUBSTITUTE(SUBSTITUTE(Клиенты_исходные!D448," ",""),"-",""),"+",""),"(",""),")",""),2,10),SUBSTITUTE(SUBSTITUTE(SUBSTITUTE(SUBSTITUTE(SUBSTITUTE(Клиенты_исходные!D448," ",""),"-",""),"+",""),"(",""),")","")),2,3)&amp;") "&amp;MID(IF(LEFT(SUBSTITUTE(SUBSTITUTE(SUBSTITUTE(SUBSTITUTE(SUBSTITUTE(Клиенты_исходные!D448," ",""),"-",""),"+",""),"(",""),")",""))="8","7"&amp;MID(SUBSTITUTE(SUBSTITUTE(SUBSTITUTE(SUBSTITUTE(SUBSTITUTE(Клиенты_исходные!D448," ",""),"-",""),"+",""),"(",""),")",""),2,10),SUBSTITUTE(SUBSTITUTE(SUBSTITUTE(SUBSTITUTE(SUBSTITUTE(Клиенты_исходные!D448," ",""),"-",""),"+",""),"(",""),")","")),5,3)&amp;"-"&amp;MID(IF(LEFT(SUBSTITUTE(SUBSTITUTE(SUBSTITUTE(SUBSTITUTE(SUBSTITUTE(Клиенты_исходные!D448," ",""),"-",""),"+",""),"(",""),")",""))="8","7"&amp;MID(SUBSTITUTE(SUBSTITUTE(SUBSTITUTE(SUBSTITUTE(SUBSTITUTE(Клиенты_исходные!D448," ",""),"-",""),"+",""),"(",""),")",""),2,10),SUBSTITUTE(SUBSTITUTE(SUBSTITUTE(SUBSTITUTE(SUBSTITUTE(Клиенты_исходные!D448," ",""),"-",""),"+",""),"(",""),")","")),8,2)&amp;"-"&amp;MID(IF(LEFT(SUBSTITUTE(SUBSTITUTE(SUBSTITUTE(SUBSTITUTE(SUBSTITUTE(Клиенты_исходные!D448," ",""),"-",""),"+",""),"(",""),")",""))="8","7"&amp;MID(SUBSTITUTE(SUBSTITUTE(SUBSTITUTE(SUBSTITUTE(SUBSTITUTE(Клиенты_исходные!D448," ",""),"-",""),"+",""),"(",""),")",""),2,10),SUBSTITUTE(SUBSTITUTE(SUBSTITUTE(SUBSTITUTE(SUBSTITUTE(Клиенты_исходные!D448," ",""),"-",""),"+",""),"(",""),")","")),10,2),IF(LEN(SUBSTITUTE(SUBSTITUTE(SUBSTITUTE(SUBSTITUTE(SUBSTITUTE(Клиенты_исходные!D448," ",""),"-",""),"+",""),"(",""),")",""))=10,"+7 ("&amp;MID(SUBSTITUTE(SUBSTITUTE(SUBSTITUTE(SUBSTITUTE(SUBSTITUTE(Клиенты_исходные!D448," ",""),"-",""),"+",""),"(",""),")",""),1,3)&amp;") "&amp;MID(SUBSTITUTE(SUBSTITUTE(SUBSTITUTE(SUBSTITUTE(SUBSTITUTE(Клиенты_исходные!D448," ",""),"-",""),"+",""),"(",""),")",""),4,3)&amp;"-"&amp;MID(SUBSTITUTE(SUBSTITUTE(SUBSTITUTE(SUBSTITUTE(SUBSTITUTE(Клиенты_исходные!D448," ",""),"-",""),"+",""),"(",""),")",""),6,2)&amp;"-"&amp;MID(SUBSTITUTE(SUBSTITUTE(SUBSTITUTE(SUBSTITUTE(SUBSTITUTE(Клиенты_исходные!D448," ",""),"-",""),"+",""),"(",""),")",""),8,2),Клиенты_исходные!D448)))</f>
        <v xml:space="preserve">+7 (903) 567-89-01</v>
      </c>
      <c r="E448" t="str">
        <f>IF(ISBLANK(Клиенты_исходные!E448),"",IF(ISNUMBER(FIND(".",MID(Клиенты_исходные!E448,FIND("@",Клиенты_исходные!E448)+1,255))),Клиенты_исходные!E448,IF(ISNUMBER(FIND("gmail",Клиенты_исходные!E448)),Клиенты_исходные!E448&amp;".com",Клиенты_исходные!E448&amp;".ru")))</f>
        <v>sviridov@gmail.com</v>
      </c>
      <c r="F448" t="str">
        <f>IFERROR(VLOOKUP(Клиенты_исходные!F448,Справочники!$J$2:$K$50,2,FALSE),Клиенты_исходные!F448)</f>
        <v>Орск</v>
      </c>
      <c r="G448" s="8">
        <f>IFERROR(IF(ISNUMBER(FIND(".",Клиенты_исходные!G448)),DATE(RIGHT(Клиенты_исходные!G448,4),MID(Клиенты_исходные!G448,4,2),LEFT(Клиенты_исходные!G448,2)),DATE(LEFT(Клиенты_исходные!G448,4),MID(Клиенты_исходные!G448,6,2),RIGHT(Клиенты_исходные!G448,2))),Клиенты_исходные!G448)</f>
        <v>49079</v>
      </c>
      <c r="H448">
        <f t="shared" ca="1" si="67"/>
        <v>53</v>
      </c>
      <c r="I448" t="str">
        <f t="shared" si="68"/>
        <v>OK</v>
      </c>
      <c r="J448" t="str">
        <f t="shared" si="69"/>
        <v>OK</v>
      </c>
    </row>
    <row r="449">
      <c r="A449" t="str">
        <f>Клиенты_исходные!A449</f>
        <v>C0448</v>
      </c>
      <c r="B449" t="str">
        <f>PROPER(TRIM(Клиенты_исходные!B449))</f>
        <v xml:space="preserve">Игнатьев Андрей Павлович</v>
      </c>
      <c r="C449" s="8">
        <f>IFERROR(IF(ISNUMBER(FIND(".",Клиенты_исходные!C449)),DATE(RIGHT(Клиенты_исходные!C449,4),MID(Клиенты_исходные!C449,4,2),LEFT(Клиенты_исходные!C449,2)),DATE(LEFT(Клиенты_исходные!C449,4),MID(Клиенты_исходные!C449,6,2),RIGHT(Клиенты_исходные!C449,2))),Клиенты_исходные!C449)</f>
        <v>30922</v>
      </c>
      <c r="D449" t="str">
        <f>IF(ISBLANK(Клиенты_исходные!D449),"",IF(LEN(SUBSTITUTE(SUBSTITUTE(SUBSTITUTE(SUBSTITUTE(SUBSTITUTE(Клиенты_исходные!D449," ",""),"-",""),"+",""),"(",""),")",""))=11,"+7 ("&amp;MID(IF(LEFT(SUBSTITUTE(SUBSTITUTE(SUBSTITUTE(SUBSTITUTE(SUBSTITUTE(Клиенты_исходные!D449," ",""),"-",""),"+",""),"(",""),")",""))="8","7"&amp;MID(SUBSTITUTE(SUBSTITUTE(SUBSTITUTE(SUBSTITUTE(SUBSTITUTE(Клиенты_исходные!D449," ",""),"-",""),"+",""),"(",""),")",""),2,10),SUBSTITUTE(SUBSTITUTE(SUBSTITUTE(SUBSTITUTE(SUBSTITUTE(Клиенты_исходные!D449," ",""),"-",""),"+",""),"(",""),")","")),2,3)&amp;") "&amp;MID(IF(LEFT(SUBSTITUTE(SUBSTITUTE(SUBSTITUTE(SUBSTITUTE(SUBSTITUTE(Клиенты_исходные!D449," ",""),"-",""),"+",""),"(",""),")",""))="8","7"&amp;MID(SUBSTITUTE(SUBSTITUTE(SUBSTITUTE(SUBSTITUTE(SUBSTITUTE(Клиенты_исходные!D449," ",""),"-",""),"+",""),"(",""),")",""),2,10),SUBSTITUTE(SUBSTITUTE(SUBSTITUTE(SUBSTITUTE(SUBSTITUTE(Клиенты_исходные!D449," ",""),"-",""),"+",""),"(",""),")","")),5,3)&amp;"-"&amp;MID(IF(LEFT(SUBSTITUTE(SUBSTITUTE(SUBSTITUTE(SUBSTITUTE(SUBSTITUTE(Клиенты_исходные!D449," ",""),"-",""),"+",""),"(",""),")",""))="8","7"&amp;MID(SUBSTITUTE(SUBSTITUTE(SUBSTITUTE(SUBSTITUTE(SUBSTITUTE(Клиенты_исходные!D449," ",""),"-",""),"+",""),"(",""),")",""),2,10),SUBSTITUTE(SUBSTITUTE(SUBSTITUTE(SUBSTITUTE(SUBSTITUTE(Клиенты_исходные!D449," ",""),"-",""),"+",""),"(",""),")","")),8,2)&amp;"-"&amp;MID(IF(LEFT(SUBSTITUTE(SUBSTITUTE(SUBSTITUTE(SUBSTITUTE(SUBSTITUTE(Клиенты_исходные!D449," ",""),"-",""),"+",""),"(",""),")",""))="8","7"&amp;MID(SUBSTITUTE(SUBSTITUTE(SUBSTITUTE(SUBSTITUTE(SUBSTITUTE(Клиенты_исходные!D449," ",""),"-",""),"+",""),"(",""),")",""),2,10),SUBSTITUTE(SUBSTITUTE(SUBSTITUTE(SUBSTITUTE(SUBSTITUTE(Клиенты_исходные!D449," ",""),"-",""),"+",""),"(",""),")","")),10,2),IF(LEN(SUBSTITUTE(SUBSTITUTE(SUBSTITUTE(SUBSTITUTE(SUBSTITUTE(Клиенты_исходные!D449," ",""),"-",""),"+",""),"(",""),")",""))=10,"+7 ("&amp;MID(SUBSTITUTE(SUBSTITUTE(SUBSTITUTE(SUBSTITUTE(SUBSTITUTE(Клиенты_исходные!D449," ",""),"-",""),"+",""),"(",""),")",""),1,3)&amp;") "&amp;MID(SUBSTITUTE(SUBSTITUTE(SUBSTITUTE(SUBSTITUTE(SUBSTITUTE(Клиенты_исходные!D449," ",""),"-",""),"+",""),"(",""),")",""),4,3)&amp;"-"&amp;MID(SUBSTITUTE(SUBSTITUTE(SUBSTITUTE(SUBSTITUTE(SUBSTITUTE(Клиенты_исходные!D449," ",""),"-",""),"+",""),"(",""),")",""),6,2)&amp;"-"&amp;MID(SUBSTITUTE(SUBSTITUTE(SUBSTITUTE(SUBSTITUTE(SUBSTITUTE(Клиенты_исходные!D449," ",""),"-",""),"+",""),"(",""),")",""),8,2),Клиенты_исходные!D449)))</f>
        <v xml:space="preserve">+7 (903) 567-89-01</v>
      </c>
      <c r="E449" t="str">
        <f>IF(ISBLANK(Клиенты_исходные!E449),"",IF(ISNUMBER(FIND(".",MID(Клиенты_исходные!E449,FIND("@",Клиенты_исходные!E449)+1,255))),Клиенты_исходные!E449,IF(ISNUMBER(FIND("gmail",Клиенты_исходные!E449)),Клиенты_исходные!E449&amp;".com",Клиенты_исходные!E449&amp;".ru")))</f>
        <v>ignatiev@mail.ru</v>
      </c>
      <c r="F449" t="str">
        <f>IFERROR(VLOOKUP(Клиенты_исходные!F449,Справочники!$J$2:$K$50,2,FALSE),Клиенты_исходные!F449)</f>
        <v>Нижневартовск</v>
      </c>
      <c r="G449" s="8">
        <f>IFERROR(IF(ISNUMBER(FIND(".",Клиенты_исходные!G449)),DATE(RIGHT(Клиенты_исходные!G449,4),MID(Клиенты_исходные!G449,4,2),LEFT(Клиенты_исходные!G449,2)),DATE(LEFT(Клиенты_исходные!G449,4),MID(Клиенты_исходные!G449,6,2),RIGHT(Клиенты_исходные!G449,2))),Клиенты_исходные!G449)</f>
        <v>49096</v>
      </c>
      <c r="H449">
        <f t="shared" ca="1" si="67"/>
        <v>42</v>
      </c>
      <c r="I449" t="str">
        <f t="shared" si="68"/>
        <v>OK</v>
      </c>
      <c r="J449" t="str">
        <f t="shared" si="69"/>
        <v>OK</v>
      </c>
    </row>
    <row r="450">
      <c r="A450" t="str">
        <f>Клиенты_исходные!A450</f>
        <v>C0449</v>
      </c>
      <c r="B450" t="str">
        <f>PROPER(TRIM(Клиенты_исходные!B450))</f>
        <v xml:space="preserve">Шаталова Ольга Владимировна</v>
      </c>
      <c r="C450" s="8">
        <f>IFERROR(IF(ISNUMBER(FIND(".",Клиенты_исходные!C450)),DATE(RIGHT(Клиенты_исходные!C450,4),MID(Клиенты_исходные!C450,4,2),LEFT(Клиенты_исходные!C450,2)),DATE(LEFT(Клиенты_исходные!C450,4),MID(Клиенты_исходные!C450,6,2),RIGHT(Клиенты_исходные!C450,2))),Клиенты_исходные!C450)</f>
        <v>33250</v>
      </c>
      <c r="D450" t="str">
        <f>IF(ISBLANK(Клиенты_исходные!D450),"",IF(LEN(SUBSTITUTE(SUBSTITUTE(SUBSTITUTE(SUBSTITUTE(SUBSTITUTE(Клиенты_исходные!D450," ",""),"-",""),"+",""),"(",""),")",""))=11,"+7 ("&amp;MID(IF(LEFT(SUBSTITUTE(SUBSTITUTE(SUBSTITUTE(SUBSTITUTE(SUBSTITUTE(Клиенты_исходные!D450," ",""),"-",""),"+",""),"(",""),")",""))="8","7"&amp;MID(SUBSTITUTE(SUBSTITUTE(SUBSTITUTE(SUBSTITUTE(SUBSTITUTE(Клиенты_исходные!D450," ",""),"-",""),"+",""),"(",""),")",""),2,10),SUBSTITUTE(SUBSTITUTE(SUBSTITUTE(SUBSTITUTE(SUBSTITUTE(Клиенты_исходные!D450," ",""),"-",""),"+",""),"(",""),")","")),2,3)&amp;") "&amp;MID(IF(LEFT(SUBSTITUTE(SUBSTITUTE(SUBSTITUTE(SUBSTITUTE(SUBSTITUTE(Клиенты_исходные!D450," ",""),"-",""),"+",""),"(",""),")",""))="8","7"&amp;MID(SUBSTITUTE(SUBSTITUTE(SUBSTITUTE(SUBSTITUTE(SUBSTITUTE(Клиенты_исходные!D450," ",""),"-",""),"+",""),"(",""),")",""),2,10),SUBSTITUTE(SUBSTITUTE(SUBSTITUTE(SUBSTITUTE(SUBSTITUTE(Клиенты_исходные!D450," ",""),"-",""),"+",""),"(",""),")","")),5,3)&amp;"-"&amp;MID(IF(LEFT(SUBSTITUTE(SUBSTITUTE(SUBSTITUTE(SUBSTITUTE(SUBSTITUTE(Клиенты_исходные!D450," ",""),"-",""),"+",""),"(",""),")",""))="8","7"&amp;MID(SUBSTITUTE(SUBSTITUTE(SUBSTITUTE(SUBSTITUTE(SUBSTITUTE(Клиенты_исходные!D450," ",""),"-",""),"+",""),"(",""),")",""),2,10),SUBSTITUTE(SUBSTITUTE(SUBSTITUTE(SUBSTITUTE(SUBSTITUTE(Клиенты_исходные!D450," ",""),"-",""),"+",""),"(",""),")","")),8,2)&amp;"-"&amp;MID(IF(LEFT(SUBSTITUTE(SUBSTITUTE(SUBSTITUTE(SUBSTITUTE(SUBSTITUTE(Клиенты_исходные!D450," ",""),"-",""),"+",""),"(",""),")",""))="8","7"&amp;MID(SUBSTITUTE(SUBSTITUTE(SUBSTITUTE(SUBSTITUTE(SUBSTITUTE(Клиенты_исходные!D450," ",""),"-",""),"+",""),"(",""),")",""),2,10),SUBSTITUTE(SUBSTITUTE(SUBSTITUTE(SUBSTITUTE(SUBSTITUTE(Клиенты_исходные!D450," ",""),"-",""),"+",""),"(",""),")","")),10,2),IF(LEN(SUBSTITUTE(SUBSTITUTE(SUBSTITUTE(SUBSTITUTE(SUBSTITUTE(Клиенты_исходные!D450," ",""),"-",""),"+",""),"(",""),")",""))=10,"+7 ("&amp;MID(SUBSTITUTE(SUBSTITUTE(SUBSTITUTE(SUBSTITUTE(SUBSTITUTE(Клиенты_исходные!D450," ",""),"-",""),"+",""),"(",""),")",""),1,3)&amp;") "&amp;MID(SUBSTITUTE(SUBSTITUTE(SUBSTITUTE(SUBSTITUTE(SUBSTITUTE(Клиенты_исходные!D450," ",""),"-",""),"+",""),"(",""),")",""),4,3)&amp;"-"&amp;MID(SUBSTITUTE(SUBSTITUTE(SUBSTITUTE(SUBSTITUTE(SUBSTITUTE(Клиенты_исходные!D450," ",""),"-",""),"+",""),"(",""),")",""),6,2)&amp;"-"&amp;MID(SUBSTITUTE(SUBSTITUTE(SUBSTITUTE(SUBSTITUTE(SUBSTITUTE(Клиенты_исходные!D450," ",""),"-",""),"+",""),"(",""),")",""),8,2),Клиенты_исходные!D450)))</f>
        <v xml:space="preserve">+7 (903) 567-89-01</v>
      </c>
      <c r="E450" t="str">
        <f>IF(ISBLANK(Клиенты_исходные!E450),"",IF(ISNUMBER(FIND(".",MID(Клиенты_исходные!E450,FIND("@",Клиенты_исходные!E450)+1,255))),Клиенты_исходные!E450,IF(ISNUMBER(FIND("gmail",Клиенты_исходные!E450)),Клиенты_исходные!E450&amp;".com",Клиенты_исходные!E450&amp;".ru")))</f>
        <v>shatalova@yandex.ru</v>
      </c>
      <c r="F450" t="str">
        <f>IFERROR(VLOOKUP(Клиенты_исходные!F450,Справочники!$J$2:$K$50,2,FALSE),Клиенты_исходные!F450)</f>
        <v>Новороссийск</v>
      </c>
      <c r="G450" s="8">
        <f>IFERROR(IF(ISNUMBER(FIND(".",Клиенты_исходные!G450)),DATE(RIGHT(Клиенты_исходные!G450,4),MID(Клиенты_исходные!G450,4,2),LEFT(Клиенты_исходные!G450,2)),DATE(LEFT(Клиенты_исходные!G450,4),MID(Клиенты_исходные!G450,6,2),RIGHT(Клиенты_исходные!G450,2))),Клиенты_исходные!G450)</f>
        <v>49105</v>
      </c>
      <c r="H450">
        <f t="shared" ca="1" si="67"/>
        <v>35</v>
      </c>
      <c r="I450" t="str">
        <f t="shared" si="68"/>
        <v>OK</v>
      </c>
      <c r="J450" t="str">
        <f t="shared" si="69"/>
        <v>OK</v>
      </c>
    </row>
    <row r="451">
      <c r="A451" t="str">
        <f>Клиенты_исходные!A451</f>
        <v>C0450</v>
      </c>
      <c r="B451" t="str">
        <f>PROPER(TRIM(Клиенты_исходные!B451))</f>
        <v xml:space="preserve">Шумаков Илья Алексеевич</v>
      </c>
      <c r="C451" s="8">
        <f>IFERROR(IF(ISNUMBER(FIND(".",Клиенты_исходные!C451)),DATE(RIGHT(Клиенты_исходные!C451,4),MID(Клиенты_исходные!C451,4,2),LEFT(Клиенты_исходные!C451,2)),DATE(LEFT(Клиенты_исходные!C451,4),MID(Клиенты_исходные!C451,6,2),RIGHT(Клиенты_исходные!C451,2))),Клиенты_исходные!C451)</f>
        <v>28694</v>
      </c>
      <c r="D451" t="str">
        <f>IF(ISBLANK(Клиенты_исходные!D451),"",IF(LEN(SUBSTITUTE(SUBSTITUTE(SUBSTITUTE(SUBSTITUTE(SUBSTITUTE(Клиенты_исходные!D451," ",""),"-",""),"+",""),"(",""),")",""))=11,"+7 ("&amp;MID(IF(LEFT(SUBSTITUTE(SUBSTITUTE(SUBSTITUTE(SUBSTITUTE(SUBSTITUTE(Клиенты_исходные!D451," ",""),"-",""),"+",""),"(",""),")",""))="8","7"&amp;MID(SUBSTITUTE(SUBSTITUTE(SUBSTITUTE(SUBSTITUTE(SUBSTITUTE(Клиенты_исходные!D451," ",""),"-",""),"+",""),"(",""),")",""),2,10),SUBSTITUTE(SUBSTITUTE(SUBSTITUTE(SUBSTITUTE(SUBSTITUTE(Клиенты_исходные!D451," ",""),"-",""),"+",""),"(",""),")","")),2,3)&amp;") "&amp;MID(IF(LEFT(SUBSTITUTE(SUBSTITUTE(SUBSTITUTE(SUBSTITUTE(SUBSTITUTE(Клиенты_исходные!D451," ",""),"-",""),"+",""),"(",""),")",""))="8","7"&amp;MID(SUBSTITUTE(SUBSTITUTE(SUBSTITUTE(SUBSTITUTE(SUBSTITUTE(Клиенты_исходные!D451," ",""),"-",""),"+",""),"(",""),")",""),2,10),SUBSTITUTE(SUBSTITUTE(SUBSTITUTE(SUBSTITUTE(SUBSTITUTE(Клиенты_исходные!D451," ",""),"-",""),"+",""),"(",""),")","")),5,3)&amp;"-"&amp;MID(IF(LEFT(SUBSTITUTE(SUBSTITUTE(SUBSTITUTE(SUBSTITUTE(SUBSTITUTE(Клиенты_исходные!D451," ",""),"-",""),"+",""),"(",""),")",""))="8","7"&amp;MID(SUBSTITUTE(SUBSTITUTE(SUBSTITUTE(SUBSTITUTE(SUBSTITUTE(Клиенты_исходные!D451," ",""),"-",""),"+",""),"(",""),")",""),2,10),SUBSTITUTE(SUBSTITUTE(SUBSTITUTE(SUBSTITUTE(SUBSTITUTE(Клиенты_исходные!D451," ",""),"-",""),"+",""),"(",""),")","")),8,2)&amp;"-"&amp;MID(IF(LEFT(SUBSTITUTE(SUBSTITUTE(SUBSTITUTE(SUBSTITUTE(SUBSTITUTE(Клиенты_исходные!D451," ",""),"-",""),"+",""),"(",""),")",""))="8","7"&amp;MID(SUBSTITUTE(SUBSTITUTE(SUBSTITUTE(SUBSTITUTE(SUBSTITUTE(Клиенты_исходные!D451," ",""),"-",""),"+",""),"(",""),")",""),2,10),SUBSTITUTE(SUBSTITUTE(SUBSTITUTE(SUBSTITUTE(SUBSTITUTE(Клиенты_исходные!D451," ",""),"-",""),"+",""),"(",""),")","")),10,2),IF(LEN(SUBSTITUTE(SUBSTITUTE(SUBSTITUTE(SUBSTITUTE(SUBSTITUTE(Клиенты_исходные!D451," ",""),"-",""),"+",""),"(",""),")",""))=10,"+7 ("&amp;MID(SUBSTITUTE(SUBSTITUTE(SUBSTITUTE(SUBSTITUTE(SUBSTITUTE(Клиенты_исходные!D451," ",""),"-",""),"+",""),"(",""),")",""),1,3)&amp;") "&amp;MID(SUBSTITUTE(SUBSTITUTE(SUBSTITUTE(SUBSTITUTE(SUBSTITUTE(Клиенты_исходные!D451," ",""),"-",""),"+",""),"(",""),")",""),4,3)&amp;"-"&amp;MID(SUBSTITUTE(SUBSTITUTE(SUBSTITUTE(SUBSTITUTE(SUBSTITUTE(Клиенты_исходные!D451," ",""),"-",""),"+",""),"(",""),")",""),6,2)&amp;"-"&amp;MID(SUBSTITUTE(SUBSTITUTE(SUBSTITUTE(SUBSTITUTE(SUBSTITUTE(Клиенты_исходные!D451," ",""),"-",""),"+",""),"(",""),")",""),8,2),Клиенты_исходные!D451)))</f>
        <v xml:space="preserve">+7 (903) 678-90-12</v>
      </c>
      <c r="E451" t="str">
        <f>IF(ISBLANK(Клиенты_исходные!E451),"",IF(ISNUMBER(FIND(".",MID(Клиенты_исходные!E451,FIND("@",Клиенты_исходные!E451)+1,255))),Клиенты_исходные!E451,IF(ISNUMBER(FIND("gmail",Клиенты_исходные!E451)),Клиенты_исходные!E451&amp;".com",Клиенты_исходные!E451&amp;".ru")))</f>
        <v>shumakov@gmail.com</v>
      </c>
      <c r="F451" t="str">
        <f>IFERROR(VLOOKUP(Клиенты_исходные!F451,Справочники!$J$2:$K$50,2,FALSE),Клиенты_исходные!F451)</f>
        <v>Химки</v>
      </c>
      <c r="G451" s="8">
        <f>IFERROR(IF(ISNUMBER(FIND(".",Клиенты_исходные!G451)),DATE(RIGHT(Клиенты_исходные!G451,4),MID(Клиенты_исходные!G451,4,2),LEFT(Клиенты_исходные!G451,2)),DATE(LEFT(Клиенты_исходные!G451,4),MID(Клиенты_исходные!G451,6,2),RIGHT(Клиенты_исходные!G451,2))),Клиенты_исходные!G451)</f>
        <v>49105</v>
      </c>
      <c r="H451">
        <f t="shared" ca="1" si="67"/>
        <v>48</v>
      </c>
      <c r="I451" t="str">
        <f t="shared" si="68"/>
        <v>OK</v>
      </c>
      <c r="J451" t="str">
        <f t="shared" si="69"/>
        <v>OK</v>
      </c>
    </row>
    <row r="452">
      <c r="A452" t="str">
        <f>Клиенты_исходные!A452</f>
        <v>C0451</v>
      </c>
      <c r="B452" t="str">
        <f>PROPER(TRIM(Клиенты_исходные!B452))</f>
        <v xml:space="preserve">Дробышева Екатерина Сергеевна</v>
      </c>
      <c r="C452" s="8">
        <f>IFERROR(IF(ISNUMBER(FIND(".",Клиенты_исходные!C452)),DATE(RIGHT(Клиенты_исходные!C452,4),MID(Клиенты_исходные!C452,4,2),LEFT(Клиенты_исходные!C452,2)),DATE(LEFT(Клиенты_исходные!C452,4),MID(Клиенты_исходные!C452,6,2),RIGHT(Клиенты_исходные!C452,2))),Клиенты_исходные!C452)</f>
        <v>31761</v>
      </c>
      <c r="D452" t="str">
        <f>IF(ISBLANK(Клиенты_исходные!D452),"",IF(LEN(SUBSTITUTE(SUBSTITUTE(SUBSTITUTE(SUBSTITUTE(SUBSTITUTE(Клиенты_исходные!D452," ",""),"-",""),"+",""),"(",""),")",""))=11,"+7 ("&amp;MID(IF(LEFT(SUBSTITUTE(SUBSTITUTE(SUBSTITUTE(SUBSTITUTE(SUBSTITUTE(Клиенты_исходные!D452," ",""),"-",""),"+",""),"(",""),")",""))="8","7"&amp;MID(SUBSTITUTE(SUBSTITUTE(SUBSTITUTE(SUBSTITUTE(SUBSTITUTE(Клиенты_исходные!D452," ",""),"-",""),"+",""),"(",""),")",""),2,10),SUBSTITUTE(SUBSTITUTE(SUBSTITUTE(SUBSTITUTE(SUBSTITUTE(Клиенты_исходные!D452," ",""),"-",""),"+",""),"(",""),")","")),2,3)&amp;") "&amp;MID(IF(LEFT(SUBSTITUTE(SUBSTITUTE(SUBSTITUTE(SUBSTITUTE(SUBSTITUTE(Клиенты_исходные!D452," ",""),"-",""),"+",""),"(",""),")",""))="8","7"&amp;MID(SUBSTITUTE(SUBSTITUTE(SUBSTITUTE(SUBSTITUTE(SUBSTITUTE(Клиенты_исходные!D452," ",""),"-",""),"+",""),"(",""),")",""),2,10),SUBSTITUTE(SUBSTITUTE(SUBSTITUTE(SUBSTITUTE(SUBSTITUTE(Клиенты_исходные!D452," ",""),"-",""),"+",""),"(",""),")","")),5,3)&amp;"-"&amp;MID(IF(LEFT(SUBSTITUTE(SUBSTITUTE(SUBSTITUTE(SUBSTITUTE(SUBSTITUTE(Клиенты_исходные!D452," ",""),"-",""),"+",""),"(",""),")",""))="8","7"&amp;MID(SUBSTITUTE(SUBSTITUTE(SUBSTITUTE(SUBSTITUTE(SUBSTITUTE(Клиенты_исходные!D452," ",""),"-",""),"+",""),"(",""),")",""),2,10),SUBSTITUTE(SUBSTITUTE(SUBSTITUTE(SUBSTITUTE(SUBSTITUTE(Клиенты_исходные!D452," ",""),"-",""),"+",""),"(",""),")","")),8,2)&amp;"-"&amp;MID(IF(LEFT(SUBSTITUTE(SUBSTITUTE(SUBSTITUTE(SUBSTITUTE(SUBSTITUTE(Клиенты_исходные!D452," ",""),"-",""),"+",""),"(",""),")",""))="8","7"&amp;MID(SUBSTITUTE(SUBSTITUTE(SUBSTITUTE(SUBSTITUTE(SUBSTITUTE(Клиенты_исходные!D452," ",""),"-",""),"+",""),"(",""),")",""),2,10),SUBSTITUTE(SUBSTITUTE(SUBSTITUTE(SUBSTITUTE(SUBSTITUTE(Клиенты_исходные!D452," ",""),"-",""),"+",""),"(",""),")","")),10,2),IF(LEN(SUBSTITUTE(SUBSTITUTE(SUBSTITUTE(SUBSTITUTE(SUBSTITUTE(Клиенты_исходные!D452," ",""),"-",""),"+",""),"(",""),")",""))=10,"+7 ("&amp;MID(SUBSTITUTE(SUBSTITUTE(SUBSTITUTE(SUBSTITUTE(SUBSTITUTE(Клиенты_исходные!D452," ",""),"-",""),"+",""),"(",""),")",""),1,3)&amp;") "&amp;MID(SUBSTITUTE(SUBSTITUTE(SUBSTITUTE(SUBSTITUTE(SUBSTITUTE(Клиенты_исходные!D452," ",""),"-",""),"+",""),"(",""),")",""),4,3)&amp;"-"&amp;MID(SUBSTITUTE(SUBSTITUTE(SUBSTITUTE(SUBSTITUTE(SUBSTITUTE(Клиенты_исходные!D452," ",""),"-",""),"+",""),"(",""),")",""),6,2)&amp;"-"&amp;MID(SUBSTITUTE(SUBSTITUTE(SUBSTITUTE(SUBSTITUTE(SUBSTITUTE(Клиенты_исходные!D452," ",""),"-",""),"+",""),"(",""),")",""),8,2),Клиенты_исходные!D452)))</f>
        <v xml:space="preserve">+7 (903) 678-90-12</v>
      </c>
      <c r="E452" t="str">
        <f>IF(ISBLANK(Клиенты_исходные!E452),"",IF(ISNUMBER(FIND(".",MID(Клиенты_исходные!E452,FIND("@",Клиенты_исходные!E452)+1,255))),Клиенты_исходные!E452,IF(ISNUMBER(FIND("gmail",Клиенты_исходные!E452)),Клиенты_исходные!E452&amp;".com",Клиенты_исходные!E452&amp;".ru")))</f>
        <v>drobysheva@mail.ru</v>
      </c>
      <c r="F452" t="str">
        <f>IFERROR(VLOOKUP(Клиенты_исходные!F452,Справочники!$J$2:$K$50,2,FALSE),Клиенты_исходные!F452)</f>
        <v>Подольск</v>
      </c>
      <c r="G452" s="8">
        <f>IFERROR(IF(ISNUMBER(FIND(".",Клиенты_исходные!G452)),DATE(RIGHT(Клиенты_исходные!G452,4),MID(Клиенты_исходные!G452,4,2),LEFT(Клиенты_исходные!G452,2)),DATE(LEFT(Клиенты_исходные!G452,4),MID(Клиенты_исходные!G452,6,2),RIGHT(Клиенты_исходные!G452,2))),Клиенты_исходные!G452)</f>
        <v>49126</v>
      </c>
      <c r="H452">
        <f t="shared" ca="1" si="67"/>
        <v>39</v>
      </c>
      <c r="I452" t="str">
        <f t="shared" si="68"/>
        <v>OK</v>
      </c>
      <c r="J452" t="str">
        <f t="shared" si="69"/>
        <v>OK</v>
      </c>
    </row>
    <row r="453">
      <c r="A453" t="str">
        <f>Клиенты_исходные!A453</f>
        <v>C0452</v>
      </c>
      <c r="B453" t="str">
        <f>PROPER(TRIM(Клиенты_исходные!B453))</f>
        <v xml:space="preserve">Петрухин Денис Викторович</v>
      </c>
      <c r="C453" s="8">
        <f>IFERROR(IF(ISNUMBER(FIND(".",Клиенты_исходные!C453)),DATE(RIGHT(Клиенты_исходные!C453,4),MID(Клиенты_исходные!C453,4,2),LEFT(Клиенты_исходные!C453,2)),DATE(LEFT(Клиенты_исходные!C453,4),MID(Клиенты_исходные!C453,6,2),RIGHT(Клиенты_исходные!C453,2))),Клиенты_исходные!C453)</f>
        <v>33703</v>
      </c>
      <c r="D453" t="str">
        <f>IF(ISBLANK(Клиенты_исходные!D453),"",IF(LEN(SUBSTITUTE(SUBSTITUTE(SUBSTITUTE(SUBSTITUTE(SUBSTITUTE(Клиенты_исходные!D453," ",""),"-",""),"+",""),"(",""),")",""))=11,"+7 ("&amp;MID(IF(LEFT(SUBSTITUTE(SUBSTITUTE(SUBSTITUTE(SUBSTITUTE(SUBSTITUTE(Клиенты_исходные!D453," ",""),"-",""),"+",""),"(",""),")",""))="8","7"&amp;MID(SUBSTITUTE(SUBSTITUTE(SUBSTITUTE(SUBSTITUTE(SUBSTITUTE(Клиенты_исходные!D453," ",""),"-",""),"+",""),"(",""),")",""),2,10),SUBSTITUTE(SUBSTITUTE(SUBSTITUTE(SUBSTITUTE(SUBSTITUTE(Клиенты_исходные!D453," ",""),"-",""),"+",""),"(",""),")","")),2,3)&amp;") "&amp;MID(IF(LEFT(SUBSTITUTE(SUBSTITUTE(SUBSTITUTE(SUBSTITUTE(SUBSTITUTE(Клиенты_исходные!D453," ",""),"-",""),"+",""),"(",""),")",""))="8","7"&amp;MID(SUBSTITUTE(SUBSTITUTE(SUBSTITUTE(SUBSTITUTE(SUBSTITUTE(Клиенты_исходные!D453," ",""),"-",""),"+",""),"(",""),")",""),2,10),SUBSTITUTE(SUBSTITUTE(SUBSTITUTE(SUBSTITUTE(SUBSTITUTE(Клиенты_исходные!D453," ",""),"-",""),"+",""),"(",""),")","")),5,3)&amp;"-"&amp;MID(IF(LEFT(SUBSTITUTE(SUBSTITUTE(SUBSTITUTE(SUBSTITUTE(SUBSTITUTE(Клиенты_исходные!D453," ",""),"-",""),"+",""),"(",""),")",""))="8","7"&amp;MID(SUBSTITUTE(SUBSTITUTE(SUBSTITUTE(SUBSTITUTE(SUBSTITUTE(Клиенты_исходные!D453," ",""),"-",""),"+",""),"(",""),")",""),2,10),SUBSTITUTE(SUBSTITUTE(SUBSTITUTE(SUBSTITUTE(SUBSTITUTE(Клиенты_исходные!D453," ",""),"-",""),"+",""),"(",""),")","")),8,2)&amp;"-"&amp;MID(IF(LEFT(SUBSTITUTE(SUBSTITUTE(SUBSTITUTE(SUBSTITUTE(SUBSTITUTE(Клиенты_исходные!D453," ",""),"-",""),"+",""),"(",""),")",""))="8","7"&amp;MID(SUBSTITUTE(SUBSTITUTE(SUBSTITUTE(SUBSTITUTE(SUBSTITUTE(Клиенты_исходные!D453," ",""),"-",""),"+",""),"(",""),")",""),2,10),SUBSTITUTE(SUBSTITUTE(SUBSTITUTE(SUBSTITUTE(SUBSTITUTE(Клиенты_исходные!D453," ",""),"-",""),"+",""),"(",""),")","")),10,2),IF(LEN(SUBSTITUTE(SUBSTITUTE(SUBSTITUTE(SUBSTITUTE(SUBSTITUTE(Клиенты_исходные!D453," ",""),"-",""),"+",""),"(",""),")",""))=10,"+7 ("&amp;MID(SUBSTITUTE(SUBSTITUTE(SUBSTITUTE(SUBSTITUTE(SUBSTITUTE(Клиенты_исходные!D453," ",""),"-",""),"+",""),"(",""),")",""),1,3)&amp;") "&amp;MID(SUBSTITUTE(SUBSTITUTE(SUBSTITUTE(SUBSTITUTE(SUBSTITUTE(Клиенты_исходные!D453," ",""),"-",""),"+",""),"(",""),")",""),4,3)&amp;"-"&amp;MID(SUBSTITUTE(SUBSTITUTE(SUBSTITUTE(SUBSTITUTE(SUBSTITUTE(Клиенты_исходные!D453," ",""),"-",""),"+",""),"(",""),")",""),6,2)&amp;"-"&amp;MID(SUBSTITUTE(SUBSTITUTE(SUBSTITUTE(SUBSTITUTE(SUBSTITUTE(Клиенты_исходные!D453," ",""),"-",""),"+",""),"(",""),")",""),8,2),Клиенты_исходные!D453)))</f>
        <v xml:space="preserve">+7 (903) 678-90-12</v>
      </c>
      <c r="E453" t="str">
        <f>IF(ISBLANK(Клиенты_исходные!E453),"",IF(ISNUMBER(FIND(".",MID(Клиенты_исходные!E453,FIND("@",Клиенты_исходные!E453)+1,255))),Клиенты_исходные!E453,IF(ISNUMBER(FIND("gmail",Клиенты_исходные!E453)),Клиенты_исходные!E453&amp;".com",Клиенты_исходные!E453&amp;".ru")))</f>
        <v>petruhin@yandex.ru</v>
      </c>
      <c r="F453" t="str">
        <f>IFERROR(VLOOKUP(Клиенты_исходные!F453,Справочники!$J$2:$K$50,2,FALSE),Клиенты_исходные!F453)</f>
        <v>Балашиха</v>
      </c>
      <c r="G453" s="8">
        <f>IFERROR(IF(ISNUMBER(FIND(".",Клиенты_исходные!G453)),DATE(RIGHT(Клиенты_исходные!G453,4),MID(Клиенты_исходные!G453,4,2),LEFT(Клиенты_исходные!G453,2)),DATE(LEFT(Клиенты_исходные!G453,4),MID(Клиенты_исходные!G453,6,2),RIGHT(Клиенты_исходные!G453,2))),Клиенты_исходные!G453)</f>
        <v>49140</v>
      </c>
      <c r="H453">
        <f t="shared" ca="1" si="67"/>
        <v>34</v>
      </c>
      <c r="I453" t="str">
        <f t="shared" si="68"/>
        <v>OK</v>
      </c>
      <c r="J453" t="str">
        <f t="shared" si="69"/>
        <v>OK</v>
      </c>
    </row>
    <row r="454">
      <c r="A454" t="str">
        <f>Клиенты_исходные!A454</f>
        <v>C0453</v>
      </c>
      <c r="B454" t="str">
        <f>PROPER(TRIM(Клиенты_исходные!B454))</f>
        <v xml:space="preserve">Буторина Мария Олеговна</v>
      </c>
      <c r="C454" s="8">
        <f>IFERROR(IF(ISNUMBER(FIND(".",Клиенты_исходные!C454)),DATE(RIGHT(Клиенты_исходные!C454,4),MID(Клиенты_исходные!C454,4,2),LEFT(Клиенты_исходные!C454,2)),DATE(LEFT(Клиенты_исходные!C454,4),MID(Клиенты_исходные!C454,6,2),RIGHT(Клиенты_исходные!C454,2))),Клиенты_исходные!C454)</f>
        <v>29160</v>
      </c>
      <c r="D454" t="str">
        <f>IF(ISBLANK(Клиенты_исходные!D454),"",IF(LEN(SUBSTITUTE(SUBSTITUTE(SUBSTITUTE(SUBSTITUTE(SUBSTITUTE(Клиенты_исходные!D454," ",""),"-",""),"+",""),"(",""),")",""))=11,"+7 ("&amp;MID(IF(LEFT(SUBSTITUTE(SUBSTITUTE(SUBSTITUTE(SUBSTITUTE(SUBSTITUTE(Клиенты_исходные!D454," ",""),"-",""),"+",""),"(",""),")",""))="8","7"&amp;MID(SUBSTITUTE(SUBSTITUTE(SUBSTITUTE(SUBSTITUTE(SUBSTITUTE(Клиенты_исходные!D454," ",""),"-",""),"+",""),"(",""),")",""),2,10),SUBSTITUTE(SUBSTITUTE(SUBSTITUTE(SUBSTITUTE(SUBSTITUTE(Клиенты_исходные!D454," ",""),"-",""),"+",""),"(",""),")","")),2,3)&amp;") "&amp;MID(IF(LEFT(SUBSTITUTE(SUBSTITUTE(SUBSTITUTE(SUBSTITUTE(SUBSTITUTE(Клиенты_исходные!D454," ",""),"-",""),"+",""),"(",""),")",""))="8","7"&amp;MID(SUBSTITUTE(SUBSTITUTE(SUBSTITUTE(SUBSTITUTE(SUBSTITUTE(Клиенты_исходные!D454," ",""),"-",""),"+",""),"(",""),")",""),2,10),SUBSTITUTE(SUBSTITUTE(SUBSTITUTE(SUBSTITUTE(SUBSTITUTE(Клиенты_исходные!D454," ",""),"-",""),"+",""),"(",""),")","")),5,3)&amp;"-"&amp;MID(IF(LEFT(SUBSTITUTE(SUBSTITUTE(SUBSTITUTE(SUBSTITUTE(SUBSTITUTE(Клиенты_исходные!D454," ",""),"-",""),"+",""),"(",""),")",""))="8","7"&amp;MID(SUBSTITUTE(SUBSTITUTE(SUBSTITUTE(SUBSTITUTE(SUBSTITUTE(Клиенты_исходные!D454," ",""),"-",""),"+",""),"(",""),")",""),2,10),SUBSTITUTE(SUBSTITUTE(SUBSTITUTE(SUBSTITUTE(SUBSTITUTE(Клиенты_исходные!D454," ",""),"-",""),"+",""),"(",""),")","")),8,2)&amp;"-"&amp;MID(IF(LEFT(SUBSTITUTE(SUBSTITUTE(SUBSTITUTE(SUBSTITUTE(SUBSTITUTE(Клиенты_исходные!D454," ",""),"-",""),"+",""),"(",""),")",""))="8","7"&amp;MID(SUBSTITUTE(SUBSTITUTE(SUBSTITUTE(SUBSTITUTE(SUBSTITUTE(Клиенты_исходные!D454," ",""),"-",""),"+",""),"(",""),")",""),2,10),SUBSTITUTE(SUBSTITUTE(SUBSTITUTE(SUBSTITUTE(SUBSTITUTE(Клиенты_исходные!D454," ",""),"-",""),"+",""),"(",""),")","")),10,2),IF(LEN(SUBSTITUTE(SUBSTITUTE(SUBSTITUTE(SUBSTITUTE(SUBSTITUTE(Клиенты_исходные!D454," ",""),"-",""),"+",""),"(",""),")",""))=10,"+7 ("&amp;MID(SUBSTITUTE(SUBSTITUTE(SUBSTITUTE(SUBSTITUTE(SUBSTITUTE(Клиенты_исходные!D454," ",""),"-",""),"+",""),"(",""),")",""),1,3)&amp;") "&amp;MID(SUBSTITUTE(SUBSTITUTE(SUBSTITUTE(SUBSTITUTE(SUBSTITUTE(Клиенты_исходные!D454," ",""),"-",""),"+",""),"(",""),")",""),4,3)&amp;"-"&amp;MID(SUBSTITUTE(SUBSTITUTE(SUBSTITUTE(SUBSTITUTE(SUBSTITUTE(Клиенты_исходные!D454," ",""),"-",""),"+",""),"(",""),")",""),6,2)&amp;"-"&amp;MID(SUBSTITUTE(SUBSTITUTE(SUBSTITUTE(SUBSTITUTE(SUBSTITUTE(Клиенты_исходные!D454," ",""),"-",""),"+",""),"(",""),")",""),8,2),Клиенты_исходные!D454)))</f>
        <v xml:space="preserve">+7 (903) 789-01-23</v>
      </c>
      <c r="E454" t="str">
        <f>IF(ISBLANK(Клиенты_исходные!E454),"",IF(ISNUMBER(FIND(".",MID(Клиенты_исходные!E454,FIND("@",Клиенты_исходные!E454)+1,255))),Клиенты_исходные!E454,IF(ISNUMBER(FIND("gmail",Клиенты_исходные!E454)),Клиенты_исходные!E454&amp;".com",Клиенты_исходные!E454&amp;".ru")))</f>
        <v>butorina@gmail.com</v>
      </c>
      <c r="F454" t="str">
        <f>IFERROR(VLOOKUP(Клиенты_исходные!F454,Справочники!$J$2:$K$50,2,FALSE),Клиенты_исходные!F454)</f>
        <v>Сургут</v>
      </c>
      <c r="G454" s="8">
        <f>IFERROR(IF(ISNUMBER(FIND(".",Клиенты_исходные!G454)),DATE(RIGHT(Клиенты_исходные!G454,4),MID(Клиенты_исходные!G454,4,2),LEFT(Клиенты_исходные!G454,2)),DATE(LEFT(Клиенты_исходные!G454,4),MID(Клиенты_исходные!G454,6,2),RIGHT(Клиенты_исходные!G454,2))),Клиенты_исходные!G454)</f>
        <v>49140</v>
      </c>
      <c r="H454">
        <f t="shared" ca="1" si="67"/>
        <v>46</v>
      </c>
      <c r="I454" t="str">
        <f t="shared" si="68"/>
        <v>OK</v>
      </c>
      <c r="J454" t="str">
        <f t="shared" si="69"/>
        <v>OK</v>
      </c>
    </row>
    <row r="455">
      <c r="A455" t="str">
        <f>Клиенты_исходные!A455</f>
        <v>C0454</v>
      </c>
      <c r="B455" t="str">
        <f>PROPER(TRIM(Клиенты_исходные!B455))</f>
        <v xml:space="preserve">Кисель Андрей Александрович</v>
      </c>
      <c r="C455" s="8">
        <f>IFERROR(IF(ISNUMBER(FIND(".",Клиенты_исходные!C455)),DATE(RIGHT(Клиенты_исходные!C455,4),MID(Клиенты_исходные!C455,4,2),LEFT(Клиенты_исходные!C455,2)),DATE(LEFT(Клиенты_исходные!C455,4),MID(Клиенты_исходные!C455,6,2),RIGHT(Клиенты_исходные!C455,2))),Клиенты_исходные!C455)</f>
        <v>30578</v>
      </c>
      <c r="D455" t="str">
        <f>IF(ISBLANK(Клиенты_исходные!D455),"",IF(LEN(SUBSTITUTE(SUBSTITUTE(SUBSTITUTE(SUBSTITUTE(SUBSTITUTE(Клиенты_исходные!D455," ",""),"-",""),"+",""),"(",""),")",""))=11,"+7 ("&amp;MID(IF(LEFT(SUBSTITUTE(SUBSTITUTE(SUBSTITUTE(SUBSTITUTE(SUBSTITUTE(Клиенты_исходные!D455," ",""),"-",""),"+",""),"(",""),")",""))="8","7"&amp;MID(SUBSTITUTE(SUBSTITUTE(SUBSTITUTE(SUBSTITUTE(SUBSTITUTE(Клиенты_исходные!D455," ",""),"-",""),"+",""),"(",""),")",""),2,10),SUBSTITUTE(SUBSTITUTE(SUBSTITUTE(SUBSTITUTE(SUBSTITUTE(Клиенты_исходные!D455," ",""),"-",""),"+",""),"(",""),")","")),2,3)&amp;") "&amp;MID(IF(LEFT(SUBSTITUTE(SUBSTITUTE(SUBSTITUTE(SUBSTITUTE(SUBSTITUTE(Клиенты_исходные!D455," ",""),"-",""),"+",""),"(",""),")",""))="8","7"&amp;MID(SUBSTITUTE(SUBSTITUTE(SUBSTITUTE(SUBSTITUTE(SUBSTITUTE(Клиенты_исходные!D455," ",""),"-",""),"+",""),"(",""),")",""),2,10),SUBSTITUTE(SUBSTITUTE(SUBSTITUTE(SUBSTITUTE(SUBSTITUTE(Клиенты_исходные!D455," ",""),"-",""),"+",""),"(",""),")","")),5,3)&amp;"-"&amp;MID(IF(LEFT(SUBSTITUTE(SUBSTITUTE(SUBSTITUTE(SUBSTITUTE(SUBSTITUTE(Клиенты_исходные!D455," ",""),"-",""),"+",""),"(",""),")",""))="8","7"&amp;MID(SUBSTITUTE(SUBSTITUTE(SUBSTITUTE(SUBSTITUTE(SUBSTITUTE(Клиенты_исходные!D455," ",""),"-",""),"+",""),"(",""),")",""),2,10),SUBSTITUTE(SUBSTITUTE(SUBSTITUTE(SUBSTITUTE(SUBSTITUTE(Клиенты_исходные!D455," ",""),"-",""),"+",""),"(",""),")","")),8,2)&amp;"-"&amp;MID(IF(LEFT(SUBSTITUTE(SUBSTITUTE(SUBSTITUTE(SUBSTITUTE(SUBSTITUTE(Клиенты_исходные!D455," ",""),"-",""),"+",""),"(",""),")",""))="8","7"&amp;MID(SUBSTITUTE(SUBSTITUTE(SUBSTITUTE(SUBSTITUTE(SUBSTITUTE(Клиенты_исходные!D455," ",""),"-",""),"+",""),"(",""),")",""),2,10),SUBSTITUTE(SUBSTITUTE(SUBSTITUTE(SUBSTITUTE(SUBSTITUTE(Клиенты_исходные!D455," ",""),"-",""),"+",""),"(",""),")","")),10,2),IF(LEN(SUBSTITUTE(SUBSTITUTE(SUBSTITUTE(SUBSTITUTE(SUBSTITUTE(Клиенты_исходные!D455," ",""),"-",""),"+",""),"(",""),")",""))=10,"+7 ("&amp;MID(SUBSTITUTE(SUBSTITUTE(SUBSTITUTE(SUBSTITUTE(SUBSTITUTE(Клиенты_исходные!D455," ",""),"-",""),"+",""),"(",""),")",""),1,3)&amp;") "&amp;MID(SUBSTITUTE(SUBSTITUTE(SUBSTITUTE(SUBSTITUTE(SUBSTITUTE(Клиенты_исходные!D455," ",""),"-",""),"+",""),"(",""),")",""),4,3)&amp;"-"&amp;MID(SUBSTITUTE(SUBSTITUTE(SUBSTITUTE(SUBSTITUTE(SUBSTITUTE(Клиенты_исходные!D455," ",""),"-",""),"+",""),"(",""),")",""),6,2)&amp;"-"&amp;MID(SUBSTITUTE(SUBSTITUTE(SUBSTITUTE(SUBSTITUTE(SUBSTITUTE(Клиенты_исходные!D455," ",""),"-",""),"+",""),"(",""),")",""),8,2),Клиенты_исходные!D455)))</f>
        <v xml:space="preserve">+7 (903) 789-01-23</v>
      </c>
      <c r="E455" t="str">
        <f>IF(ISBLANK(Клиенты_исходные!E455),"",IF(ISNUMBER(FIND(".",MID(Клиенты_исходные!E455,FIND("@",Клиенты_исходные!E455)+1,255))),Клиенты_исходные!E455,IF(ISNUMBER(FIND("gmail",Клиенты_исходные!E455)),Клиенты_исходные!E455&amp;".com",Клиенты_исходные!E455&amp;".ru")))</f>
        <v>kisel@mail.ru</v>
      </c>
      <c r="F455" t="str">
        <f>IFERROR(VLOOKUP(Клиенты_исходные!F455,Справочники!$J$2:$K$50,2,FALSE),Клиенты_исходные!F455)</f>
        <v>Армавир</v>
      </c>
      <c r="G455" s="8">
        <f>IFERROR(IF(ISNUMBER(FIND(".",Клиенты_исходные!G455)),DATE(RIGHT(Клиенты_исходные!G455,4),MID(Клиенты_исходные!G455,4,2),LEFT(Клиенты_исходные!G455,2)),DATE(LEFT(Клиенты_исходные!G455,4),MID(Клиенты_исходные!G455,6,2),RIGHT(Клиенты_исходные!G455,2))),Клиенты_исходные!G455)</f>
        <v>49157</v>
      </c>
      <c r="H455">
        <f t="shared" ca="1" si="67"/>
        <v>43</v>
      </c>
      <c r="I455" t="str">
        <f t="shared" si="68"/>
        <v>OK</v>
      </c>
      <c r="J455" t="str">
        <f t="shared" si="69"/>
        <v>OK</v>
      </c>
    </row>
    <row r="456">
      <c r="A456" t="str">
        <f>Клиенты_исходные!A456</f>
        <v>C0455</v>
      </c>
      <c r="B456" t="str">
        <f>PROPER(TRIM(Клиенты_исходные!B456))</f>
        <v xml:space="preserve">Юсупова Ольга Павловна</v>
      </c>
      <c r="C456" s="8">
        <f>IFERROR(IF(ISNUMBER(FIND(".",Клиенты_исходные!C456)),DATE(RIGHT(Клиенты_исходные!C456,4),MID(Клиенты_исходные!C456,4,2),LEFT(Клиенты_исходные!C456,2)),DATE(LEFT(Клиенты_исходные!C456,4),MID(Клиенты_исходные!C456,6,2),RIGHT(Клиенты_исходные!C456,2))),Клиенты_исходные!C456)</f>
        <v>31924</v>
      </c>
      <c r="D456" t="str">
        <f>IF(ISBLANK(Клиенты_исходные!D456),"",IF(LEN(SUBSTITUTE(SUBSTITUTE(SUBSTITUTE(SUBSTITUTE(SUBSTITUTE(Клиенты_исходные!D456," ",""),"-",""),"+",""),"(",""),")",""))=11,"+7 ("&amp;MID(IF(LEFT(SUBSTITUTE(SUBSTITUTE(SUBSTITUTE(SUBSTITUTE(SUBSTITUTE(Клиенты_исходные!D456," ",""),"-",""),"+",""),"(",""),")",""))="8","7"&amp;MID(SUBSTITUTE(SUBSTITUTE(SUBSTITUTE(SUBSTITUTE(SUBSTITUTE(Клиенты_исходные!D456," ",""),"-",""),"+",""),"(",""),")",""),2,10),SUBSTITUTE(SUBSTITUTE(SUBSTITUTE(SUBSTITUTE(SUBSTITUTE(Клиенты_исходные!D456," ",""),"-",""),"+",""),"(",""),")","")),2,3)&amp;") "&amp;MID(IF(LEFT(SUBSTITUTE(SUBSTITUTE(SUBSTITUTE(SUBSTITUTE(SUBSTITUTE(Клиенты_исходные!D456," ",""),"-",""),"+",""),"(",""),")",""))="8","7"&amp;MID(SUBSTITUTE(SUBSTITUTE(SUBSTITUTE(SUBSTITUTE(SUBSTITUTE(Клиенты_исходные!D456," ",""),"-",""),"+",""),"(",""),")",""),2,10),SUBSTITUTE(SUBSTITUTE(SUBSTITUTE(SUBSTITUTE(SUBSTITUTE(Клиенты_исходные!D456," ",""),"-",""),"+",""),"(",""),")","")),5,3)&amp;"-"&amp;MID(IF(LEFT(SUBSTITUTE(SUBSTITUTE(SUBSTITUTE(SUBSTITUTE(SUBSTITUTE(Клиенты_исходные!D456," ",""),"-",""),"+",""),"(",""),")",""))="8","7"&amp;MID(SUBSTITUTE(SUBSTITUTE(SUBSTITUTE(SUBSTITUTE(SUBSTITUTE(Клиенты_исходные!D456," ",""),"-",""),"+",""),"(",""),")",""),2,10),SUBSTITUTE(SUBSTITUTE(SUBSTITUTE(SUBSTITUTE(SUBSTITUTE(Клиенты_исходные!D456," ",""),"-",""),"+",""),"(",""),")","")),8,2)&amp;"-"&amp;MID(IF(LEFT(SUBSTITUTE(SUBSTITUTE(SUBSTITUTE(SUBSTITUTE(SUBSTITUTE(Клиенты_исходные!D456," ",""),"-",""),"+",""),"(",""),")",""))="8","7"&amp;MID(SUBSTITUTE(SUBSTITUTE(SUBSTITUTE(SUBSTITUTE(SUBSTITUTE(Клиенты_исходные!D456," ",""),"-",""),"+",""),"(",""),")",""),2,10),SUBSTITUTE(SUBSTITUTE(SUBSTITUTE(SUBSTITUTE(SUBSTITUTE(Клиенты_исходные!D456," ",""),"-",""),"+",""),"(",""),")","")),10,2),IF(LEN(SUBSTITUTE(SUBSTITUTE(SUBSTITUTE(SUBSTITUTE(SUBSTITUTE(Клиенты_исходные!D456," ",""),"-",""),"+",""),"(",""),")",""))=10,"+7 ("&amp;MID(SUBSTITUTE(SUBSTITUTE(SUBSTITUTE(SUBSTITUTE(SUBSTITUTE(Клиенты_исходные!D456," ",""),"-",""),"+",""),"(",""),")",""),1,3)&amp;") "&amp;MID(SUBSTITUTE(SUBSTITUTE(SUBSTITUTE(SUBSTITUTE(SUBSTITUTE(Клиенты_исходные!D456," ",""),"-",""),"+",""),"(",""),")",""),4,3)&amp;"-"&amp;MID(SUBSTITUTE(SUBSTITUTE(SUBSTITUTE(SUBSTITUTE(SUBSTITUTE(Клиенты_исходные!D456," ",""),"-",""),"+",""),"(",""),")",""),6,2)&amp;"-"&amp;MID(SUBSTITUTE(SUBSTITUTE(SUBSTITUTE(SUBSTITUTE(SUBSTITUTE(Клиенты_исходные!D456," ",""),"-",""),"+",""),"(",""),")",""),8,2),Клиенты_исходные!D456)))</f>
        <v xml:space="preserve">+7 (903) 789-01-23</v>
      </c>
      <c r="E456" t="str">
        <f>IF(ISBLANK(Клиенты_исходные!E456),"",IF(ISNUMBER(FIND(".",MID(Клиенты_исходные!E456,FIND("@",Клиенты_исходные!E456)+1,255))),Клиенты_исходные!E456,IF(ISNUMBER(FIND("gmail",Клиенты_исходные!E456)),Клиенты_исходные!E456&amp;".com",Клиенты_исходные!E456&amp;".ru")))</f>
        <v>yusupova@yandex.ru</v>
      </c>
      <c r="F456" t="str">
        <f>IFERROR(VLOOKUP(Клиенты_исходные!F456,Справочники!$J$2:$K$50,2,FALSE),Клиенты_исходные!F456)</f>
        <v>Волжский</v>
      </c>
      <c r="G456" s="8">
        <f>IFERROR(IF(ISNUMBER(FIND(".",Клиенты_исходные!G456)),DATE(RIGHT(Клиенты_исходные!G456,4),MID(Клиенты_исходные!G456,4,2),LEFT(Клиенты_исходные!G456,2)),DATE(LEFT(Клиенты_исходные!G456,4),MID(Клиенты_исходные!G456,6,2),RIGHT(Клиенты_исходные!G456,2))),Клиенты_исходные!G456)</f>
        <v>49166</v>
      </c>
      <c r="H456">
        <f t="shared" ca="1" si="67"/>
        <v>39</v>
      </c>
      <c r="I456" t="str">
        <f t="shared" si="68"/>
        <v>OK</v>
      </c>
      <c r="J456" t="str">
        <f t="shared" si="69"/>
        <v>OK</v>
      </c>
    </row>
    <row r="457">
      <c r="A457" t="str">
        <f>Клиенты_исходные!A457</f>
        <v>C0456</v>
      </c>
      <c r="B457" t="str">
        <f>PROPER(TRIM(Клиенты_исходные!B457))</f>
        <v xml:space="preserve">Рудаков Илья Игоревич</v>
      </c>
      <c r="C457" s="8">
        <f>IFERROR(IF(ISNUMBER(FIND(".",Клиенты_исходные!C457)),DATE(RIGHT(Клиенты_исходные!C457,4),MID(Клиенты_исходные!C457,4,2),LEFT(Клиенты_исходные!C457,2)),DATE(LEFT(Клиенты_исходные!C457,4),MID(Клиенты_исходные!C457,6,2),RIGHT(Клиенты_исходные!C457,2))),Клиенты_исходные!C457)</f>
        <v>27441</v>
      </c>
      <c r="D457" t="str">
        <f>IF(ISBLANK(Клиенты_исходные!D457),"",IF(LEN(SUBSTITUTE(SUBSTITUTE(SUBSTITUTE(SUBSTITUTE(SUBSTITUTE(Клиенты_исходные!D457," ",""),"-",""),"+",""),"(",""),")",""))=11,"+7 ("&amp;MID(IF(LEFT(SUBSTITUTE(SUBSTITUTE(SUBSTITUTE(SUBSTITUTE(SUBSTITUTE(Клиенты_исходные!D457," ",""),"-",""),"+",""),"(",""),")",""))="8","7"&amp;MID(SUBSTITUTE(SUBSTITUTE(SUBSTITUTE(SUBSTITUTE(SUBSTITUTE(Клиенты_исходные!D457," ",""),"-",""),"+",""),"(",""),")",""),2,10),SUBSTITUTE(SUBSTITUTE(SUBSTITUTE(SUBSTITUTE(SUBSTITUTE(Клиенты_исходные!D457," ",""),"-",""),"+",""),"(",""),")","")),2,3)&amp;") "&amp;MID(IF(LEFT(SUBSTITUTE(SUBSTITUTE(SUBSTITUTE(SUBSTITUTE(SUBSTITUTE(Клиенты_исходные!D457," ",""),"-",""),"+",""),"(",""),")",""))="8","7"&amp;MID(SUBSTITUTE(SUBSTITUTE(SUBSTITUTE(SUBSTITUTE(SUBSTITUTE(Клиенты_исходные!D457," ",""),"-",""),"+",""),"(",""),")",""),2,10),SUBSTITUTE(SUBSTITUTE(SUBSTITUTE(SUBSTITUTE(SUBSTITUTE(Клиенты_исходные!D457," ",""),"-",""),"+",""),"(",""),")","")),5,3)&amp;"-"&amp;MID(IF(LEFT(SUBSTITUTE(SUBSTITUTE(SUBSTITUTE(SUBSTITUTE(SUBSTITUTE(Клиенты_исходные!D457," ",""),"-",""),"+",""),"(",""),")",""))="8","7"&amp;MID(SUBSTITUTE(SUBSTITUTE(SUBSTITUTE(SUBSTITUTE(SUBSTITUTE(Клиенты_исходные!D457," ",""),"-",""),"+",""),"(",""),")",""),2,10),SUBSTITUTE(SUBSTITUTE(SUBSTITUTE(SUBSTITUTE(SUBSTITUTE(Клиенты_исходные!D457," ",""),"-",""),"+",""),"(",""),")","")),8,2)&amp;"-"&amp;MID(IF(LEFT(SUBSTITUTE(SUBSTITUTE(SUBSTITUTE(SUBSTITUTE(SUBSTITUTE(Клиенты_исходные!D457," ",""),"-",""),"+",""),"(",""),")",""))="8","7"&amp;MID(SUBSTITUTE(SUBSTITUTE(SUBSTITUTE(SUBSTITUTE(SUBSTITUTE(Клиенты_исходные!D457," ",""),"-",""),"+",""),"(",""),")",""),2,10),SUBSTITUTE(SUBSTITUTE(SUBSTITUTE(SUBSTITUTE(SUBSTITUTE(Клиенты_исходные!D457," ",""),"-",""),"+",""),"(",""),")","")),10,2),IF(LEN(SUBSTITUTE(SUBSTITUTE(SUBSTITUTE(SUBSTITUTE(SUBSTITUTE(Клиенты_исходные!D457," ",""),"-",""),"+",""),"(",""),")",""))=10,"+7 ("&amp;MID(SUBSTITUTE(SUBSTITUTE(SUBSTITUTE(SUBSTITUTE(SUBSTITUTE(Клиенты_исходные!D457," ",""),"-",""),"+",""),"(",""),")",""),1,3)&amp;") "&amp;MID(SUBSTITUTE(SUBSTITUTE(SUBSTITUTE(SUBSTITUTE(SUBSTITUTE(Клиенты_исходные!D457," ",""),"-",""),"+",""),"(",""),")",""),4,3)&amp;"-"&amp;MID(SUBSTITUTE(SUBSTITUTE(SUBSTITUTE(SUBSTITUTE(SUBSTITUTE(Клиенты_исходные!D457," ",""),"-",""),"+",""),"(",""),")",""),6,2)&amp;"-"&amp;MID(SUBSTITUTE(SUBSTITUTE(SUBSTITUTE(SUBSTITUTE(SUBSTITUTE(Клиенты_исходные!D457," ",""),"-",""),"+",""),"(",""),")",""),8,2),Клиенты_исходные!D457)))</f>
        <v xml:space="preserve">+7 (903) 890-12-34</v>
      </c>
      <c r="E457" t="str">
        <f>IF(ISBLANK(Клиенты_исходные!E457),"",IF(ISNUMBER(FIND(".",MID(Клиенты_исходные!E457,FIND("@",Клиенты_исходные!E457)+1,255))),Клиенты_исходные!E457,IF(ISNUMBER(FIND("gmail",Клиенты_исходные!E457)),Клиенты_исходные!E457&amp;".com",Клиенты_исходные!E457&amp;".ru")))</f>
        <v>rudakov@gmail.com</v>
      </c>
      <c r="F457" t="str">
        <f>IFERROR(VLOOKUP(Клиенты_исходные!F457,Справочники!$J$2:$K$50,2,FALSE),Клиенты_исходные!F457)</f>
        <v>Шахты</v>
      </c>
      <c r="G457" s="8">
        <f>IFERROR(IF(ISNUMBER(FIND(".",Клиенты_исходные!G457)),DATE(RIGHT(Клиенты_исходные!G457,4),MID(Клиенты_исходные!G457,4,2),LEFT(Клиенты_исходные!G457,2)),DATE(LEFT(Клиенты_исходные!G457,4),MID(Клиенты_исходные!G457,6,2),RIGHT(Клиенты_исходные!G457,2))),Клиенты_исходные!G457)</f>
        <v>49166</v>
      </c>
      <c r="H457">
        <f t="shared" ca="1" si="67"/>
        <v>51</v>
      </c>
      <c r="I457" t="str">
        <f t="shared" si="68"/>
        <v>OK</v>
      </c>
      <c r="J457" t="str">
        <f t="shared" si="69"/>
        <v>OK</v>
      </c>
    </row>
    <row r="458">
      <c r="A458" t="str">
        <f>Клиенты_исходные!A458</f>
        <v>C0457</v>
      </c>
      <c r="B458" t="str">
        <f>PROPER(TRIM(Клиенты_исходные!B458))</f>
        <v xml:space="preserve">Мосина Елена Владимировна</v>
      </c>
      <c r="C458" s="8">
        <f>IFERROR(IF(ISNUMBER(FIND(".",Клиенты_исходные!C458)),DATE(RIGHT(Клиенты_исходные!C458,4),MID(Клиенты_исходные!C458,4,2),LEFT(Клиенты_исходные!C458,2)),DATE(LEFT(Клиенты_исходные!C458,4),MID(Клиенты_исходные!C458,6,2),RIGHT(Клиенты_исходные!C458,2))),Клиенты_исходные!C458)</f>
        <v>29439</v>
      </c>
      <c r="D458" t="str">
        <f>IF(ISBLANK(Клиенты_исходные!D458),"",IF(LEN(SUBSTITUTE(SUBSTITUTE(SUBSTITUTE(SUBSTITUTE(SUBSTITUTE(Клиенты_исходные!D458," ",""),"-",""),"+",""),"(",""),")",""))=11,"+7 ("&amp;MID(IF(LEFT(SUBSTITUTE(SUBSTITUTE(SUBSTITUTE(SUBSTITUTE(SUBSTITUTE(Клиенты_исходные!D458," ",""),"-",""),"+",""),"(",""),")",""))="8","7"&amp;MID(SUBSTITUTE(SUBSTITUTE(SUBSTITUTE(SUBSTITUTE(SUBSTITUTE(Клиенты_исходные!D458," ",""),"-",""),"+",""),"(",""),")",""),2,10),SUBSTITUTE(SUBSTITUTE(SUBSTITUTE(SUBSTITUTE(SUBSTITUTE(Клиенты_исходные!D458," ",""),"-",""),"+",""),"(",""),")","")),2,3)&amp;") "&amp;MID(IF(LEFT(SUBSTITUTE(SUBSTITUTE(SUBSTITUTE(SUBSTITUTE(SUBSTITUTE(Клиенты_исходные!D458," ",""),"-",""),"+",""),"(",""),")",""))="8","7"&amp;MID(SUBSTITUTE(SUBSTITUTE(SUBSTITUTE(SUBSTITUTE(SUBSTITUTE(Клиенты_исходные!D458," ",""),"-",""),"+",""),"(",""),")",""),2,10),SUBSTITUTE(SUBSTITUTE(SUBSTITUTE(SUBSTITUTE(SUBSTITUTE(Клиенты_исходные!D458," ",""),"-",""),"+",""),"(",""),")","")),5,3)&amp;"-"&amp;MID(IF(LEFT(SUBSTITUTE(SUBSTITUTE(SUBSTITUTE(SUBSTITUTE(SUBSTITUTE(Клиенты_исходные!D458," ",""),"-",""),"+",""),"(",""),")",""))="8","7"&amp;MID(SUBSTITUTE(SUBSTITUTE(SUBSTITUTE(SUBSTITUTE(SUBSTITUTE(Клиенты_исходные!D458," ",""),"-",""),"+",""),"(",""),")",""),2,10),SUBSTITUTE(SUBSTITUTE(SUBSTITUTE(SUBSTITUTE(SUBSTITUTE(Клиенты_исходные!D458," ",""),"-",""),"+",""),"(",""),")","")),8,2)&amp;"-"&amp;MID(IF(LEFT(SUBSTITUTE(SUBSTITUTE(SUBSTITUTE(SUBSTITUTE(SUBSTITUTE(Клиенты_исходные!D458," ",""),"-",""),"+",""),"(",""),")",""))="8","7"&amp;MID(SUBSTITUTE(SUBSTITUTE(SUBSTITUTE(SUBSTITUTE(SUBSTITUTE(Клиенты_исходные!D458," ",""),"-",""),"+",""),"(",""),")",""),2,10),SUBSTITUTE(SUBSTITUTE(SUBSTITUTE(SUBSTITUTE(SUBSTITUTE(Клиенты_исходные!D458," ",""),"-",""),"+",""),"(",""),")","")),10,2),IF(LEN(SUBSTITUTE(SUBSTITUTE(SUBSTITUTE(SUBSTITUTE(SUBSTITUTE(Клиенты_исходные!D458," ",""),"-",""),"+",""),"(",""),")",""))=10,"+7 ("&amp;MID(SUBSTITUTE(SUBSTITUTE(SUBSTITUTE(SUBSTITUTE(SUBSTITUTE(Клиенты_исходные!D458," ",""),"-",""),"+",""),"(",""),")",""),1,3)&amp;") "&amp;MID(SUBSTITUTE(SUBSTITUTE(SUBSTITUTE(SUBSTITUTE(SUBSTITUTE(Клиенты_исходные!D458," ",""),"-",""),"+",""),"(",""),")",""),4,3)&amp;"-"&amp;MID(SUBSTITUTE(SUBSTITUTE(SUBSTITUTE(SUBSTITUTE(SUBSTITUTE(Клиенты_исходные!D458," ",""),"-",""),"+",""),"(",""),")",""),6,2)&amp;"-"&amp;MID(SUBSTITUTE(SUBSTITUTE(SUBSTITUTE(SUBSTITUTE(SUBSTITUTE(Клиенты_исходные!D458," ",""),"-",""),"+",""),"(",""),")",""),8,2),Клиенты_исходные!D458)))</f>
        <v xml:space="preserve">+7 (903) 890-12-34</v>
      </c>
      <c r="E458" t="str">
        <f>IF(ISBLANK(Клиенты_исходные!E458),"",IF(ISNUMBER(FIND(".",MID(Клиенты_исходные!E458,FIND("@",Клиенты_исходные!E458)+1,255))),Клиенты_исходные!E458,IF(ISNUMBER(FIND("gmail",Клиенты_исходные!E458)),Клиенты_исходные!E458&amp;".com",Клиенты_исходные!E458&amp;".ru")))</f>
        <v>mosina@mail.ru</v>
      </c>
      <c r="F458" t="str">
        <f>IFERROR(VLOOKUP(Клиенты_исходные!F458,Справочники!$J$2:$K$50,2,FALSE),Клиенты_исходные!F458)</f>
        <v>Златоуст</v>
      </c>
      <c r="G458" s="8">
        <f>IFERROR(IF(ISNUMBER(FIND(".",Клиенты_исходные!G458)),DATE(RIGHT(Клиенты_исходные!G458,4),MID(Клиенты_исходные!G458,4,2),LEFT(Клиенты_исходные!G458,2)),DATE(LEFT(Клиенты_исходные!G458,4),MID(Клиенты_исходные!G458,6,2),RIGHT(Клиенты_исходные!G458,2))),Клиенты_исходные!G458)</f>
        <v>49188</v>
      </c>
      <c r="H458">
        <f t="shared" ca="1" si="67"/>
        <v>46</v>
      </c>
      <c r="I458" t="str">
        <f t="shared" si="68"/>
        <v>OK</v>
      </c>
      <c r="J458" t="str">
        <f t="shared" si="69"/>
        <v>OK</v>
      </c>
    </row>
    <row r="459">
      <c r="A459" t="str">
        <f>Клиенты_исходные!A459</f>
        <v>C0458</v>
      </c>
      <c r="B459" t="str">
        <f>PROPER(TRIM(Клиенты_исходные!B459))</f>
        <v xml:space="preserve">Титов Андрей Сергеевич</v>
      </c>
      <c r="C459" s="8">
        <f>IFERROR(IF(ISNUMBER(FIND(".",Клиенты_исходные!C459)),DATE(RIGHT(Клиенты_исходные!C459,4),MID(Клиенты_исходные!C459,4,2),LEFT(Клиенты_исходные!C459,2)),DATE(LEFT(Клиенты_исходные!C459,4),MID(Клиенты_исходные!C459,6,2),RIGHT(Клиенты_исходные!C459,2))),Клиенты_исходные!C459)</f>
        <v>33171</v>
      </c>
      <c r="D459" t="str">
        <f>IF(ISBLANK(Клиенты_исходные!D459),"",IF(LEN(SUBSTITUTE(SUBSTITUTE(SUBSTITUTE(SUBSTITUTE(SUBSTITUTE(Клиенты_исходные!D459," ",""),"-",""),"+",""),"(",""),")",""))=11,"+7 ("&amp;MID(IF(LEFT(SUBSTITUTE(SUBSTITUTE(SUBSTITUTE(SUBSTITUTE(SUBSTITUTE(Клиенты_исходные!D459," ",""),"-",""),"+",""),"(",""),")",""))="8","7"&amp;MID(SUBSTITUTE(SUBSTITUTE(SUBSTITUTE(SUBSTITUTE(SUBSTITUTE(Клиенты_исходные!D459," ",""),"-",""),"+",""),"(",""),")",""),2,10),SUBSTITUTE(SUBSTITUTE(SUBSTITUTE(SUBSTITUTE(SUBSTITUTE(Клиенты_исходные!D459," ",""),"-",""),"+",""),"(",""),")","")),2,3)&amp;") "&amp;MID(IF(LEFT(SUBSTITUTE(SUBSTITUTE(SUBSTITUTE(SUBSTITUTE(SUBSTITUTE(Клиенты_исходные!D459," ",""),"-",""),"+",""),"(",""),")",""))="8","7"&amp;MID(SUBSTITUTE(SUBSTITUTE(SUBSTITUTE(SUBSTITUTE(SUBSTITUTE(Клиенты_исходные!D459," ",""),"-",""),"+",""),"(",""),")",""),2,10),SUBSTITUTE(SUBSTITUTE(SUBSTITUTE(SUBSTITUTE(SUBSTITUTE(Клиенты_исходные!D459," ",""),"-",""),"+",""),"(",""),")","")),5,3)&amp;"-"&amp;MID(IF(LEFT(SUBSTITUTE(SUBSTITUTE(SUBSTITUTE(SUBSTITUTE(SUBSTITUTE(Клиенты_исходные!D459," ",""),"-",""),"+",""),"(",""),")",""))="8","7"&amp;MID(SUBSTITUTE(SUBSTITUTE(SUBSTITUTE(SUBSTITUTE(SUBSTITUTE(Клиенты_исходные!D459," ",""),"-",""),"+",""),"(",""),")",""),2,10),SUBSTITUTE(SUBSTITUTE(SUBSTITUTE(SUBSTITUTE(SUBSTITUTE(Клиенты_исходные!D459," ",""),"-",""),"+",""),"(",""),")","")),8,2)&amp;"-"&amp;MID(IF(LEFT(SUBSTITUTE(SUBSTITUTE(SUBSTITUTE(SUBSTITUTE(SUBSTITUTE(Клиенты_исходные!D459," ",""),"-",""),"+",""),"(",""),")",""))="8","7"&amp;MID(SUBSTITUTE(SUBSTITUTE(SUBSTITUTE(SUBSTITUTE(SUBSTITUTE(Клиенты_исходные!D459," ",""),"-",""),"+",""),"(",""),")",""),2,10),SUBSTITUTE(SUBSTITUTE(SUBSTITUTE(SUBSTITUTE(SUBSTITUTE(Клиенты_исходные!D459," ",""),"-",""),"+",""),"(",""),")","")),10,2),IF(LEN(SUBSTITUTE(SUBSTITUTE(SUBSTITUTE(SUBSTITUTE(SUBSTITUTE(Клиенты_исходные!D459," ",""),"-",""),"+",""),"(",""),")",""))=10,"+7 ("&amp;MID(SUBSTITUTE(SUBSTITUTE(SUBSTITUTE(SUBSTITUTE(SUBSTITUTE(Клиенты_исходные!D459," ",""),"-",""),"+",""),"(",""),")",""),1,3)&amp;") "&amp;MID(SUBSTITUTE(SUBSTITUTE(SUBSTITUTE(SUBSTITUTE(SUBSTITUTE(Клиенты_исходные!D459," ",""),"-",""),"+",""),"(",""),")",""),4,3)&amp;"-"&amp;MID(SUBSTITUTE(SUBSTITUTE(SUBSTITUTE(SUBSTITUTE(SUBSTITUTE(Клиенты_исходные!D459," ",""),"-",""),"+",""),"(",""),")",""),6,2)&amp;"-"&amp;MID(SUBSTITUTE(SUBSTITUTE(SUBSTITUTE(SUBSTITUTE(SUBSTITUTE(Клиенты_исходные!D459," ",""),"-",""),"+",""),"(",""),")",""),8,2),Клиенты_исходные!D459)))</f>
        <v xml:space="preserve">+7 (903) 890-12-34</v>
      </c>
      <c r="E459" t="str">
        <f>IF(ISBLANK(Клиенты_исходные!E459),"",IF(ISNUMBER(FIND(".",MID(Клиенты_исходные!E459,FIND("@",Клиенты_исходные!E459)+1,255))),Клиенты_исходные!E459,IF(ISNUMBER(FIND("gmail",Клиенты_исходные!E459)),Клиенты_исходные!E459&amp;".com",Клиенты_исходные!E459&amp;".ru")))</f>
        <v>titov@yandex.ru</v>
      </c>
      <c r="F459" t="str">
        <f>IFERROR(VLOOKUP(Клиенты_исходные!F459,Справочники!$J$2:$K$50,2,FALSE),Клиенты_исходные!F459)</f>
        <v>Ангарск</v>
      </c>
      <c r="G459" s="8">
        <f>IFERROR(IF(ISNUMBER(FIND(".",Клиенты_исходные!G459)),DATE(RIGHT(Клиенты_исходные!G459,4),MID(Клиенты_исходные!G459,4,2),LEFT(Клиенты_исходные!G459,2)),DATE(LEFT(Клиенты_исходные!G459,4),MID(Клиенты_исходные!G459,6,2),RIGHT(Клиенты_исходные!G459,2))),Клиенты_исходные!G459)</f>
        <v>49202</v>
      </c>
      <c r="H459">
        <f t="shared" ca="1" si="67"/>
        <v>35</v>
      </c>
      <c r="I459" t="str">
        <f t="shared" si="68"/>
        <v>OK</v>
      </c>
      <c r="J459" t="str">
        <f t="shared" si="69"/>
        <v>OK</v>
      </c>
    </row>
    <row r="460">
      <c r="A460" t="str">
        <f>Клиенты_исходные!A460</f>
        <v>C0459</v>
      </c>
      <c r="B460" t="str">
        <f>PROPER(TRIM(Клиенты_исходные!B460))</f>
        <v xml:space="preserve">Вершинина Мария Николаевна</v>
      </c>
      <c r="C460" s="8">
        <f>IFERROR(IF(ISNUMBER(FIND(".",Клиенты_исходные!C460)),DATE(RIGHT(Клиенты_исходные!C460,4),MID(Клиенты_исходные!C460,4,2),LEFT(Клиенты_исходные!C460,2)),DATE(LEFT(Клиенты_исходные!C460,4),MID(Клиенты_исходные!C460,6,2),RIGHT(Клиенты_исходные!C460,2))),Клиенты_исходные!C460)</f>
        <v>31241</v>
      </c>
      <c r="D460" t="str">
        <f>IF(ISBLANK(Клиенты_исходные!D460),"",IF(LEN(SUBSTITUTE(SUBSTITUTE(SUBSTITUTE(SUBSTITUTE(SUBSTITUTE(Клиенты_исходные!D460," ",""),"-",""),"+",""),"(",""),")",""))=11,"+7 ("&amp;MID(IF(LEFT(SUBSTITUTE(SUBSTITUTE(SUBSTITUTE(SUBSTITUTE(SUBSTITUTE(Клиенты_исходные!D460," ",""),"-",""),"+",""),"(",""),")",""))="8","7"&amp;MID(SUBSTITUTE(SUBSTITUTE(SUBSTITUTE(SUBSTITUTE(SUBSTITUTE(Клиенты_исходные!D460," ",""),"-",""),"+",""),"(",""),")",""),2,10),SUBSTITUTE(SUBSTITUTE(SUBSTITUTE(SUBSTITUTE(SUBSTITUTE(Клиенты_исходные!D460," ",""),"-",""),"+",""),"(",""),")","")),2,3)&amp;") "&amp;MID(IF(LEFT(SUBSTITUTE(SUBSTITUTE(SUBSTITUTE(SUBSTITUTE(SUBSTITUTE(Клиенты_исходные!D460," ",""),"-",""),"+",""),"(",""),")",""))="8","7"&amp;MID(SUBSTITUTE(SUBSTITUTE(SUBSTITUTE(SUBSTITUTE(SUBSTITUTE(Клиенты_исходные!D460," ",""),"-",""),"+",""),"(",""),")",""),2,10),SUBSTITUTE(SUBSTITUTE(SUBSTITUTE(SUBSTITUTE(SUBSTITUTE(Клиенты_исходные!D460," ",""),"-",""),"+",""),"(",""),")","")),5,3)&amp;"-"&amp;MID(IF(LEFT(SUBSTITUTE(SUBSTITUTE(SUBSTITUTE(SUBSTITUTE(SUBSTITUTE(Клиенты_исходные!D460," ",""),"-",""),"+",""),"(",""),")",""))="8","7"&amp;MID(SUBSTITUTE(SUBSTITUTE(SUBSTITUTE(SUBSTITUTE(SUBSTITUTE(Клиенты_исходные!D460," ",""),"-",""),"+",""),"(",""),")",""),2,10),SUBSTITUTE(SUBSTITUTE(SUBSTITUTE(SUBSTITUTE(SUBSTITUTE(Клиенты_исходные!D460," ",""),"-",""),"+",""),"(",""),")","")),8,2)&amp;"-"&amp;MID(IF(LEFT(SUBSTITUTE(SUBSTITUTE(SUBSTITUTE(SUBSTITUTE(SUBSTITUTE(Клиенты_исходные!D460," ",""),"-",""),"+",""),"(",""),")",""))="8","7"&amp;MID(SUBSTITUTE(SUBSTITUTE(SUBSTITUTE(SUBSTITUTE(SUBSTITUTE(Клиенты_исходные!D460," ",""),"-",""),"+",""),"(",""),")",""),2,10),SUBSTITUTE(SUBSTITUTE(SUBSTITUTE(SUBSTITUTE(SUBSTITUTE(Клиенты_исходные!D460," ",""),"-",""),"+",""),"(",""),")","")),10,2),IF(LEN(SUBSTITUTE(SUBSTITUTE(SUBSTITUTE(SUBSTITUTE(SUBSTITUTE(Клиенты_исходные!D460," ",""),"-",""),"+",""),"(",""),")",""))=10,"+7 ("&amp;MID(SUBSTITUTE(SUBSTITUTE(SUBSTITUTE(SUBSTITUTE(SUBSTITUTE(Клиенты_исходные!D460," ",""),"-",""),"+",""),"(",""),")",""),1,3)&amp;") "&amp;MID(SUBSTITUTE(SUBSTITUTE(SUBSTITUTE(SUBSTITUTE(SUBSTITUTE(Клиенты_исходные!D460," ",""),"-",""),"+",""),"(",""),")",""),4,3)&amp;"-"&amp;MID(SUBSTITUTE(SUBSTITUTE(SUBSTITUTE(SUBSTITUTE(SUBSTITUTE(Клиенты_исходные!D460," ",""),"-",""),"+",""),"(",""),")",""),6,2)&amp;"-"&amp;MID(SUBSTITUTE(SUBSTITUTE(SUBSTITUTE(SUBSTITUTE(SUBSTITUTE(Клиенты_исходные!D460," ",""),"-",""),"+",""),"(",""),")",""),8,2),Клиенты_исходные!D460)))</f>
        <v xml:space="preserve">+7 (903) 901-23-45</v>
      </c>
      <c r="E460" t="str">
        <f>IF(ISBLANK(Клиенты_исходные!E460),"",IF(ISNUMBER(FIND(".",MID(Клиенты_исходные!E460,FIND("@",Клиенты_исходные!E460)+1,255))),Клиенты_исходные!E460,IF(ISNUMBER(FIND("gmail",Клиенты_исходные!E460)),Клиенты_исходные!E460&amp;".com",Клиенты_исходные!E460&amp;".ru")))</f>
        <v>vershinina@gmail.com</v>
      </c>
      <c r="F460" t="str">
        <f>IFERROR(VLOOKUP(Клиенты_исходные!F460,Справочники!$J$2:$K$50,2,FALSE),Клиенты_исходные!F460)</f>
        <v>Озёрск</v>
      </c>
      <c r="G460" s="8">
        <f>IFERROR(IF(ISNUMBER(FIND(".",Клиенты_исходные!G460)),DATE(RIGHT(Клиенты_исходные!G460,4),MID(Клиенты_исходные!G460,4,2),LEFT(Клиенты_исходные!G460,2)),DATE(LEFT(Клиенты_исходные!G460,4),MID(Клиенты_исходные!G460,6,2),RIGHT(Клиенты_исходные!G460,2))),Клиенты_исходные!G460)</f>
        <v>49202</v>
      </c>
      <c r="H460">
        <f t="shared" ca="1" si="67"/>
        <v>41</v>
      </c>
      <c r="I460" t="str">
        <f t="shared" si="68"/>
        <v>OK</v>
      </c>
      <c r="J460" t="str">
        <f t="shared" si="69"/>
        <v>OK</v>
      </c>
    </row>
    <row r="461">
      <c r="A461" t="str">
        <f>Клиенты_исходные!A461</f>
        <v>C0460</v>
      </c>
      <c r="B461" t="str">
        <f>PROPER(TRIM(Клиенты_исходные!B461))</f>
        <v xml:space="preserve">Ануфриев Илья Олегович</v>
      </c>
      <c r="C461" s="8">
        <f>IFERROR(IF(ISNUMBER(FIND(".",Клиенты_исходные!C461)),DATE(RIGHT(Клиенты_исходные!C461,4),MID(Клиенты_исходные!C461,4,2),LEFT(Клиенты_исходные!C461,2)),DATE(LEFT(Клиенты_исходные!C461,4),MID(Клиенты_исходные!C461,6,2),RIGHT(Клиенты_исходные!C461,2))),Клиенты_исходные!C461)</f>
        <v>27031</v>
      </c>
      <c r="D461" t="str">
        <f>IF(ISBLANK(Клиенты_исходные!D461),"",IF(LEN(SUBSTITUTE(SUBSTITUTE(SUBSTITUTE(SUBSTITUTE(SUBSTITUTE(Клиенты_исходные!D461," ",""),"-",""),"+",""),"(",""),")",""))=11,"+7 ("&amp;MID(IF(LEFT(SUBSTITUTE(SUBSTITUTE(SUBSTITUTE(SUBSTITUTE(SUBSTITUTE(Клиенты_исходные!D461," ",""),"-",""),"+",""),"(",""),")",""))="8","7"&amp;MID(SUBSTITUTE(SUBSTITUTE(SUBSTITUTE(SUBSTITUTE(SUBSTITUTE(Клиенты_исходные!D461," ",""),"-",""),"+",""),"(",""),")",""),2,10),SUBSTITUTE(SUBSTITUTE(SUBSTITUTE(SUBSTITUTE(SUBSTITUTE(Клиенты_исходные!D461," ",""),"-",""),"+",""),"(",""),")","")),2,3)&amp;") "&amp;MID(IF(LEFT(SUBSTITUTE(SUBSTITUTE(SUBSTITUTE(SUBSTITUTE(SUBSTITUTE(Клиенты_исходные!D461," ",""),"-",""),"+",""),"(",""),")",""))="8","7"&amp;MID(SUBSTITUTE(SUBSTITUTE(SUBSTITUTE(SUBSTITUTE(SUBSTITUTE(Клиенты_исходные!D461," ",""),"-",""),"+",""),"(",""),")",""),2,10),SUBSTITUTE(SUBSTITUTE(SUBSTITUTE(SUBSTITUTE(SUBSTITUTE(Клиенты_исходные!D461," ",""),"-",""),"+",""),"(",""),")","")),5,3)&amp;"-"&amp;MID(IF(LEFT(SUBSTITUTE(SUBSTITUTE(SUBSTITUTE(SUBSTITUTE(SUBSTITUTE(Клиенты_исходные!D461," ",""),"-",""),"+",""),"(",""),")",""))="8","7"&amp;MID(SUBSTITUTE(SUBSTITUTE(SUBSTITUTE(SUBSTITUTE(SUBSTITUTE(Клиенты_исходные!D461," ",""),"-",""),"+",""),"(",""),")",""),2,10),SUBSTITUTE(SUBSTITUTE(SUBSTITUTE(SUBSTITUTE(SUBSTITUTE(Клиенты_исходные!D461," ",""),"-",""),"+",""),"(",""),")","")),8,2)&amp;"-"&amp;MID(IF(LEFT(SUBSTITUTE(SUBSTITUTE(SUBSTITUTE(SUBSTITUTE(SUBSTITUTE(Клиенты_исходные!D461," ",""),"-",""),"+",""),"(",""),")",""))="8","7"&amp;MID(SUBSTITUTE(SUBSTITUTE(SUBSTITUTE(SUBSTITUTE(SUBSTITUTE(Клиенты_исходные!D461," ",""),"-",""),"+",""),"(",""),")",""),2,10),SUBSTITUTE(SUBSTITUTE(SUBSTITUTE(SUBSTITUTE(SUBSTITUTE(Клиенты_исходные!D461," ",""),"-",""),"+",""),"(",""),")","")),10,2),IF(LEN(SUBSTITUTE(SUBSTITUTE(SUBSTITUTE(SUBSTITUTE(SUBSTITUTE(Клиенты_исходные!D461," ",""),"-",""),"+",""),"(",""),")",""))=10,"+7 ("&amp;MID(SUBSTITUTE(SUBSTITUTE(SUBSTITUTE(SUBSTITUTE(SUBSTITUTE(Клиенты_исходные!D461," ",""),"-",""),"+",""),"(",""),")",""),1,3)&amp;") "&amp;MID(SUBSTITUTE(SUBSTITUTE(SUBSTITUTE(SUBSTITUTE(SUBSTITUTE(Клиенты_исходные!D461," ",""),"-",""),"+",""),"(",""),")",""),4,3)&amp;"-"&amp;MID(SUBSTITUTE(SUBSTITUTE(SUBSTITUTE(SUBSTITUTE(SUBSTITUTE(Клиенты_исходные!D461," ",""),"-",""),"+",""),"(",""),")",""),6,2)&amp;"-"&amp;MID(SUBSTITUTE(SUBSTITUTE(SUBSTITUTE(SUBSTITUTE(SUBSTITUTE(Клиенты_исходные!D461," ",""),"-",""),"+",""),"(",""),")",""),8,2),Клиенты_исходные!D461)))</f>
        <v xml:space="preserve">+7 (903) 901-23-45</v>
      </c>
      <c r="E461" t="str">
        <f>IF(ISBLANK(Клиенты_исходные!E461),"",IF(ISNUMBER(FIND(".",MID(Клиенты_исходные!E461,FIND("@",Клиенты_исходные!E461)+1,255))),Клиенты_исходные!E461,IF(ISNUMBER(FIND("gmail",Клиенты_исходные!E461)),Клиенты_исходные!E461&amp;".com",Клиенты_исходные!E461&amp;".ru")))</f>
        <v>anufriev@mail.ru</v>
      </c>
      <c r="F461" t="str">
        <f>IFERROR(VLOOKUP(Клиенты_исходные!F461,Справочники!$J$2:$K$50,2,FALSE),Клиенты_исходные!F461)</f>
        <v>Орел</v>
      </c>
      <c r="G461" s="8">
        <f>IFERROR(IF(ISNUMBER(FIND(".",Клиенты_исходные!G461)),DATE(RIGHT(Клиенты_исходные!G461,4),MID(Клиенты_исходные!G461,4,2),LEFT(Клиенты_исходные!G461,2)),DATE(LEFT(Клиенты_исходные!G461,4),MID(Клиенты_исходные!G461,6,2),RIGHT(Клиенты_исходные!G461,2))),Клиенты_исходные!G461)</f>
        <v>49218</v>
      </c>
      <c r="H461">
        <f t="shared" ca="1" si="67"/>
        <v>52</v>
      </c>
      <c r="I461" t="str">
        <f t="shared" si="68"/>
        <v>OK</v>
      </c>
      <c r="J461" t="str">
        <f t="shared" si="69"/>
        <v>OK</v>
      </c>
    </row>
    <row r="462">
      <c r="A462" t="str">
        <f>Клиенты_исходные!A462</f>
        <v>C0461</v>
      </c>
      <c r="B462" t="str">
        <f>PROPER(TRIM(Клиенты_исходные!B462))</f>
        <v xml:space="preserve">Черникова Ольга Александровна</v>
      </c>
      <c r="C462" s="8">
        <f>IFERROR(IF(ISNUMBER(FIND(".",Клиенты_исходные!C462)),DATE(RIGHT(Клиенты_исходные!C462,4),MID(Клиенты_исходные!C462,4,2),LEFT(Клиенты_исходные!C462,2)),DATE(LEFT(Клиенты_исходные!C462,4),MID(Клиенты_исходные!C462,6,2),RIGHT(Клиенты_исходные!C462,2))),Клиенты_исходные!C462)</f>
        <v>29911</v>
      </c>
      <c r="D462" t="str">
        <f>IF(ISBLANK(Клиенты_исходные!D462),"",IF(LEN(SUBSTITUTE(SUBSTITUTE(SUBSTITUTE(SUBSTITUTE(SUBSTITUTE(Клиенты_исходные!D462," ",""),"-",""),"+",""),"(",""),")",""))=11,"+7 ("&amp;MID(IF(LEFT(SUBSTITUTE(SUBSTITUTE(SUBSTITUTE(SUBSTITUTE(SUBSTITUTE(Клиенты_исходные!D462," ",""),"-",""),"+",""),"(",""),")",""))="8","7"&amp;MID(SUBSTITUTE(SUBSTITUTE(SUBSTITUTE(SUBSTITUTE(SUBSTITUTE(Клиенты_исходные!D462," ",""),"-",""),"+",""),"(",""),")",""),2,10),SUBSTITUTE(SUBSTITUTE(SUBSTITUTE(SUBSTITUTE(SUBSTITUTE(Клиенты_исходные!D462," ",""),"-",""),"+",""),"(",""),")","")),2,3)&amp;") "&amp;MID(IF(LEFT(SUBSTITUTE(SUBSTITUTE(SUBSTITUTE(SUBSTITUTE(SUBSTITUTE(Клиенты_исходные!D462," ",""),"-",""),"+",""),"(",""),")",""))="8","7"&amp;MID(SUBSTITUTE(SUBSTITUTE(SUBSTITUTE(SUBSTITUTE(SUBSTITUTE(Клиенты_исходные!D462," ",""),"-",""),"+",""),"(",""),")",""),2,10),SUBSTITUTE(SUBSTITUTE(SUBSTITUTE(SUBSTITUTE(SUBSTITUTE(Клиенты_исходные!D462," ",""),"-",""),"+",""),"(",""),")","")),5,3)&amp;"-"&amp;MID(IF(LEFT(SUBSTITUTE(SUBSTITUTE(SUBSTITUTE(SUBSTITUTE(SUBSTITUTE(Клиенты_исходные!D462," ",""),"-",""),"+",""),"(",""),")",""))="8","7"&amp;MID(SUBSTITUTE(SUBSTITUTE(SUBSTITUTE(SUBSTITUTE(SUBSTITUTE(Клиенты_исходные!D462," ",""),"-",""),"+",""),"(",""),")",""),2,10),SUBSTITUTE(SUBSTITUTE(SUBSTITUTE(SUBSTITUTE(SUBSTITUTE(Клиенты_исходные!D462," ",""),"-",""),"+",""),"(",""),")","")),8,2)&amp;"-"&amp;MID(IF(LEFT(SUBSTITUTE(SUBSTITUTE(SUBSTITUTE(SUBSTITUTE(SUBSTITUTE(Клиенты_исходные!D462," ",""),"-",""),"+",""),"(",""),")",""))="8","7"&amp;MID(SUBSTITUTE(SUBSTITUTE(SUBSTITUTE(SUBSTITUTE(SUBSTITUTE(Клиенты_исходные!D462," ",""),"-",""),"+",""),"(",""),")",""),2,10),SUBSTITUTE(SUBSTITUTE(SUBSTITUTE(SUBSTITUTE(SUBSTITUTE(Клиенты_исходные!D462," ",""),"-",""),"+",""),"(",""),")","")),10,2),IF(LEN(SUBSTITUTE(SUBSTITUTE(SUBSTITUTE(SUBSTITUTE(SUBSTITUTE(Клиенты_исходные!D462," ",""),"-",""),"+",""),"(",""),")",""))=10,"+7 ("&amp;MID(SUBSTITUTE(SUBSTITUTE(SUBSTITUTE(SUBSTITUTE(SUBSTITUTE(Клиенты_исходные!D462," ",""),"-",""),"+",""),"(",""),")",""),1,3)&amp;") "&amp;MID(SUBSTITUTE(SUBSTITUTE(SUBSTITUTE(SUBSTITUTE(SUBSTITUTE(Клиенты_исходные!D462," ",""),"-",""),"+",""),"(",""),")",""),4,3)&amp;"-"&amp;MID(SUBSTITUTE(SUBSTITUTE(SUBSTITUTE(SUBSTITUTE(SUBSTITUTE(Клиенты_исходные!D462," ",""),"-",""),"+",""),"(",""),")",""),6,2)&amp;"-"&amp;MID(SUBSTITUTE(SUBSTITUTE(SUBSTITUTE(SUBSTITUTE(SUBSTITUTE(Клиенты_исходные!D462," ",""),"-",""),"+",""),"(",""),")",""),8,2),Клиенты_исходные!D462)))</f>
        <v xml:space="preserve">+7 (903) 901-23-45</v>
      </c>
      <c r="E462" t="str">
        <f>IF(ISBLANK(Клиенты_исходные!E462),"",IF(ISNUMBER(FIND(".",MID(Клиенты_исходные!E462,FIND("@",Клиенты_исходные!E462)+1,255))),Клиенты_исходные!E462,IF(ISNUMBER(FIND("gmail",Клиенты_исходные!E462)),Клиенты_исходные!E462&amp;".com",Клиенты_исходные!E462&amp;".ru")))</f>
        <v>chernikova@yandex.ru</v>
      </c>
      <c r="F462" t="str">
        <f>IFERROR(VLOOKUP(Клиенты_исходные!F462,Справочники!$J$2:$K$50,2,FALSE),Клиенты_исходные!F462)</f>
        <v>Якутск</v>
      </c>
      <c r="G462" s="8">
        <f>IFERROR(IF(ISNUMBER(FIND(".",Клиенты_исходные!G462)),DATE(RIGHT(Клиенты_исходные!G462,4),MID(Клиенты_исходные!G462,4,2),LEFT(Клиенты_исходные!G462,2)),DATE(LEFT(Клиенты_исходные!G462,4),MID(Клиенты_исходные!G462,6,2),RIGHT(Клиенты_исходные!G462,2))),Клиенты_исходные!G462)</f>
        <v>49227</v>
      </c>
      <c r="H462">
        <f t="shared" ca="1" si="67"/>
        <v>44</v>
      </c>
      <c r="I462" t="str">
        <f t="shared" si="68"/>
        <v>OK</v>
      </c>
      <c r="J462" t="str">
        <f t="shared" si="69"/>
        <v>OK</v>
      </c>
    </row>
    <row r="463">
      <c r="A463" t="str">
        <f>Клиенты_исходные!A463</f>
        <v>C0462</v>
      </c>
      <c r="B463" t="str">
        <f>PROPER(TRIM(Клиенты_исходные!B463))</f>
        <v xml:space="preserve">Дударев Денис Павлович</v>
      </c>
      <c r="C463" s="8">
        <f>IFERROR(IF(ISNUMBER(FIND(".",Клиенты_исходные!C463)),DATE(RIGHT(Клиенты_исходные!C463,4),MID(Клиенты_исходные!C463,4,2),LEFT(Клиенты_исходные!C463,2)),DATE(LEFT(Клиенты_исходные!C463,4),MID(Клиенты_исходные!C463,6,2),RIGHT(Клиенты_исходные!C463,2))),Клиенты_исходные!C463)</f>
        <v>32400</v>
      </c>
      <c r="D463" t="str">
        <f>IF(ISBLANK(Клиенты_исходные!D463),"",IF(LEN(SUBSTITUTE(SUBSTITUTE(SUBSTITUTE(SUBSTITUTE(SUBSTITUTE(Клиенты_исходные!D463," ",""),"-",""),"+",""),"(",""),")",""))=11,"+7 ("&amp;MID(IF(LEFT(SUBSTITUTE(SUBSTITUTE(SUBSTITUTE(SUBSTITUTE(SUBSTITUTE(Клиенты_исходные!D463," ",""),"-",""),"+",""),"(",""),")",""))="8","7"&amp;MID(SUBSTITUTE(SUBSTITUTE(SUBSTITUTE(SUBSTITUTE(SUBSTITUTE(Клиенты_исходные!D463," ",""),"-",""),"+",""),"(",""),")",""),2,10),SUBSTITUTE(SUBSTITUTE(SUBSTITUTE(SUBSTITUTE(SUBSTITUTE(Клиенты_исходные!D463," ",""),"-",""),"+",""),"(",""),")","")),2,3)&amp;") "&amp;MID(IF(LEFT(SUBSTITUTE(SUBSTITUTE(SUBSTITUTE(SUBSTITUTE(SUBSTITUTE(Клиенты_исходные!D463," ",""),"-",""),"+",""),"(",""),")",""))="8","7"&amp;MID(SUBSTITUTE(SUBSTITUTE(SUBSTITUTE(SUBSTITUTE(SUBSTITUTE(Клиенты_исходные!D463," ",""),"-",""),"+",""),"(",""),")",""),2,10),SUBSTITUTE(SUBSTITUTE(SUBSTITUTE(SUBSTITUTE(SUBSTITUTE(Клиенты_исходные!D463," ",""),"-",""),"+",""),"(",""),")","")),5,3)&amp;"-"&amp;MID(IF(LEFT(SUBSTITUTE(SUBSTITUTE(SUBSTITUTE(SUBSTITUTE(SUBSTITUTE(Клиенты_исходные!D463," ",""),"-",""),"+",""),"(",""),")",""))="8","7"&amp;MID(SUBSTITUTE(SUBSTITUTE(SUBSTITUTE(SUBSTITUTE(SUBSTITUTE(Клиенты_исходные!D463," ",""),"-",""),"+",""),"(",""),")",""),2,10),SUBSTITUTE(SUBSTITUTE(SUBSTITUTE(SUBSTITUTE(SUBSTITUTE(Клиенты_исходные!D463," ",""),"-",""),"+",""),"(",""),")","")),8,2)&amp;"-"&amp;MID(IF(LEFT(SUBSTITUTE(SUBSTITUTE(SUBSTITUTE(SUBSTITUTE(SUBSTITUTE(Клиенты_исходные!D463," ",""),"-",""),"+",""),"(",""),")",""))="8","7"&amp;MID(SUBSTITUTE(SUBSTITUTE(SUBSTITUTE(SUBSTITUTE(SUBSTITUTE(Клиенты_исходные!D463," ",""),"-",""),"+",""),"(",""),")",""),2,10),SUBSTITUTE(SUBSTITUTE(SUBSTITUTE(SUBSTITUTE(SUBSTITUTE(Клиенты_исходные!D463," ",""),"-",""),"+",""),"(",""),")","")),10,2),IF(LEN(SUBSTITUTE(SUBSTITUTE(SUBSTITUTE(SUBSTITUTE(SUBSTITUTE(Клиенты_исходные!D463," ",""),"-",""),"+",""),"(",""),")",""))=10,"+7 ("&amp;MID(SUBSTITUTE(SUBSTITUTE(SUBSTITUTE(SUBSTITUTE(SUBSTITUTE(Клиенты_исходные!D463," ",""),"-",""),"+",""),"(",""),")",""),1,3)&amp;") "&amp;MID(SUBSTITUTE(SUBSTITUTE(SUBSTITUTE(SUBSTITUTE(SUBSTITUTE(Клиенты_исходные!D463," ",""),"-",""),"+",""),"(",""),")",""),4,3)&amp;"-"&amp;MID(SUBSTITUTE(SUBSTITUTE(SUBSTITUTE(SUBSTITUTE(SUBSTITUTE(Клиенты_исходные!D463," ",""),"-",""),"+",""),"(",""),")",""),6,2)&amp;"-"&amp;MID(SUBSTITUTE(SUBSTITUTE(SUBSTITUTE(SUBSTITUTE(SUBSTITUTE(Клиенты_исходные!D463," ",""),"-",""),"+",""),"(",""),")",""),8,2),Клиенты_исходные!D463)))</f>
        <v xml:space="preserve">+7 (903) 012-34-56</v>
      </c>
      <c r="E463" t="str">
        <f>IF(ISBLANK(Клиенты_исходные!E463),"",IF(ISNUMBER(FIND(".",MID(Клиенты_исходные!E463,FIND("@",Клиенты_исходные!E463)+1,255))),Клиенты_исходные!E463,IF(ISNUMBER(FIND("gmail",Клиенты_исходные!E463)),Клиенты_исходные!E463&amp;".com",Клиенты_исходные!E463&amp;".ru")))</f>
        <v>dudarev@gmail.com</v>
      </c>
      <c r="F463" t="str">
        <f>IFERROR(VLOOKUP(Клиенты_исходные!F463,Справочники!$J$2:$K$50,2,FALSE),Клиенты_исходные!F463)</f>
        <v>Чебоксары</v>
      </c>
      <c r="G463" s="8">
        <f>IFERROR(IF(ISNUMBER(FIND(".",Клиенты_исходные!G463)),DATE(RIGHT(Клиенты_исходные!G463,4),MID(Клиенты_исходные!G463,4,2),LEFT(Клиенты_исходные!G463,2)),DATE(LEFT(Клиенты_исходные!G463,4),MID(Клиенты_исходные!G463,6,2),RIGHT(Клиенты_исходные!G463,2))),Клиенты_исходные!G463)</f>
        <v>49227</v>
      </c>
      <c r="H463">
        <f t="shared" ca="1" si="67"/>
        <v>38</v>
      </c>
      <c r="I463" t="str">
        <f t="shared" si="68"/>
        <v>OK</v>
      </c>
      <c r="J463" t="str">
        <f t="shared" si="69"/>
        <v>OK</v>
      </c>
    </row>
    <row r="464">
      <c r="A464" t="str">
        <f>Клиенты_исходные!A464</f>
        <v>C0463</v>
      </c>
      <c r="B464" t="str">
        <f>PROPER(TRIM(Клиенты_исходные!B464))</f>
        <v xml:space="preserve">Лаптева Екатерина Игоревна</v>
      </c>
      <c r="C464" s="8">
        <f>IFERROR(IF(ISNUMBER(FIND(".",Клиенты_исходные!C464)),DATE(RIGHT(Клиенты_исходные!C464,4),MID(Клиенты_исходные!C464,4,2),LEFT(Клиенты_исходные!C464,2)),DATE(LEFT(Клиенты_исходные!C464,4),MID(Клиенты_исходные!C464,6,2),RIGHT(Клиенты_исходные!C464,2))),Клиенты_исходные!C464)</f>
        <v>27929</v>
      </c>
      <c r="D464" t="str">
        <f>IF(ISBLANK(Клиенты_исходные!D464),"",IF(LEN(SUBSTITUTE(SUBSTITUTE(SUBSTITUTE(SUBSTITUTE(SUBSTITUTE(Клиенты_исходные!D464," ",""),"-",""),"+",""),"(",""),")",""))=11,"+7 ("&amp;MID(IF(LEFT(SUBSTITUTE(SUBSTITUTE(SUBSTITUTE(SUBSTITUTE(SUBSTITUTE(Клиенты_исходные!D464," ",""),"-",""),"+",""),"(",""),")",""))="8","7"&amp;MID(SUBSTITUTE(SUBSTITUTE(SUBSTITUTE(SUBSTITUTE(SUBSTITUTE(Клиенты_исходные!D464," ",""),"-",""),"+",""),"(",""),")",""),2,10),SUBSTITUTE(SUBSTITUTE(SUBSTITUTE(SUBSTITUTE(SUBSTITUTE(Клиенты_исходные!D464," ",""),"-",""),"+",""),"(",""),")","")),2,3)&amp;") "&amp;MID(IF(LEFT(SUBSTITUTE(SUBSTITUTE(SUBSTITUTE(SUBSTITUTE(SUBSTITUTE(Клиенты_исходные!D464," ",""),"-",""),"+",""),"(",""),")",""))="8","7"&amp;MID(SUBSTITUTE(SUBSTITUTE(SUBSTITUTE(SUBSTITUTE(SUBSTITUTE(Клиенты_исходные!D464," ",""),"-",""),"+",""),"(",""),")",""),2,10),SUBSTITUTE(SUBSTITUTE(SUBSTITUTE(SUBSTITUTE(SUBSTITUTE(Клиенты_исходные!D464," ",""),"-",""),"+",""),"(",""),")","")),5,3)&amp;"-"&amp;MID(IF(LEFT(SUBSTITUTE(SUBSTITUTE(SUBSTITUTE(SUBSTITUTE(SUBSTITUTE(Клиенты_исходные!D464," ",""),"-",""),"+",""),"(",""),")",""))="8","7"&amp;MID(SUBSTITUTE(SUBSTITUTE(SUBSTITUTE(SUBSTITUTE(SUBSTITUTE(Клиенты_исходные!D464," ",""),"-",""),"+",""),"(",""),")",""),2,10),SUBSTITUTE(SUBSTITUTE(SUBSTITUTE(SUBSTITUTE(SUBSTITUTE(Клиенты_исходные!D464," ",""),"-",""),"+",""),"(",""),")","")),8,2)&amp;"-"&amp;MID(IF(LEFT(SUBSTITUTE(SUBSTITUTE(SUBSTITUTE(SUBSTITUTE(SUBSTITUTE(Клиенты_исходные!D464," ",""),"-",""),"+",""),"(",""),")",""))="8","7"&amp;MID(SUBSTITUTE(SUBSTITUTE(SUBSTITUTE(SUBSTITUTE(SUBSTITUTE(Клиенты_исходные!D464," ",""),"-",""),"+",""),"(",""),")",""),2,10),SUBSTITUTE(SUBSTITUTE(SUBSTITUTE(SUBSTITUTE(SUBSTITUTE(Клиенты_исходные!D464," ",""),"-",""),"+",""),"(",""),")","")),10,2),IF(LEN(SUBSTITUTE(SUBSTITUTE(SUBSTITUTE(SUBSTITUTE(SUBSTITUTE(Клиенты_исходные!D464," ",""),"-",""),"+",""),"(",""),")",""))=10,"+7 ("&amp;MID(SUBSTITUTE(SUBSTITUTE(SUBSTITUTE(SUBSTITUTE(SUBSTITUTE(Клиенты_исходные!D464," ",""),"-",""),"+",""),"(",""),")",""),1,3)&amp;") "&amp;MID(SUBSTITUTE(SUBSTITUTE(SUBSTITUTE(SUBSTITUTE(SUBSTITUTE(Клиенты_исходные!D464," ",""),"-",""),"+",""),"(",""),")",""),4,3)&amp;"-"&amp;MID(SUBSTITUTE(SUBSTITUTE(SUBSTITUTE(SUBSTITUTE(SUBSTITUTE(Клиенты_исходные!D464," ",""),"-",""),"+",""),"(",""),")",""),6,2)&amp;"-"&amp;MID(SUBSTITUTE(SUBSTITUTE(SUBSTITUTE(SUBSTITUTE(SUBSTITUTE(Клиенты_исходные!D464," ",""),"-",""),"+",""),"(",""),")",""),8,2),Клиенты_исходные!D464)))</f>
        <v xml:space="preserve">+7 (903) 012-34-56</v>
      </c>
      <c r="E464" t="str">
        <f>IF(ISBLANK(Клиенты_исходные!E464),"",IF(ISNUMBER(FIND(".",MID(Клиенты_исходные!E464,FIND("@",Клиенты_исходные!E464)+1,255))),Клиенты_исходные!E464,IF(ISNUMBER(FIND("gmail",Клиенты_исходные!E464)),Клиенты_исходные!E464&amp;".com",Клиенты_исходные!E464&amp;".ru")))</f>
        <v>lapteva@mail.ru</v>
      </c>
      <c r="F464" t="str">
        <f>IFERROR(VLOOKUP(Клиенты_исходные!F464,Справочники!$J$2:$K$50,2,FALSE),Клиенты_исходные!F464)</f>
        <v>Мурманск</v>
      </c>
      <c r="G464" s="8">
        <f>IFERROR(IF(ISNUMBER(FIND(".",Клиенты_исходные!G464)),DATE(RIGHT(Клиенты_исходные!G464,4),MID(Клиенты_исходные!G464,4,2),LEFT(Клиенты_исходные!G464,2)),DATE(LEFT(Клиенты_исходные!G464,4),MID(Клиенты_исходные!G464,6,2),RIGHT(Клиенты_исходные!G464,2))),Клиенты_исходные!G464)</f>
        <v>49249</v>
      </c>
      <c r="H464">
        <f t="shared" ca="1" si="67"/>
        <v>50</v>
      </c>
      <c r="I464" t="str">
        <f t="shared" si="68"/>
        <v>OK</v>
      </c>
      <c r="J464" t="str">
        <f t="shared" si="69"/>
        <v>OK</v>
      </c>
    </row>
    <row r="465">
      <c r="A465" t="str">
        <f>Клиенты_исходные!A465</f>
        <v>C0464</v>
      </c>
      <c r="B465" t="str">
        <f>PROPER(TRIM(Клиенты_исходные!B465))</f>
        <v xml:space="preserve">Печников Андрей Викторович</v>
      </c>
      <c r="C465" s="8">
        <f>IFERROR(IF(ISNUMBER(FIND(".",Клиенты_исходные!C465)),DATE(RIGHT(Клиенты_исходные!C465,4),MID(Клиенты_исходные!C465,4,2),LEFT(Клиенты_исходные!C465,2)),DATE(LEFT(Клиенты_исходные!C465,4),MID(Клиенты_исходные!C465,6,2),RIGHT(Клиенты_исходные!C465,2))),Клиенты_исходные!C465)</f>
        <v>30655</v>
      </c>
      <c r="D465" t="str">
        <f>IF(ISBLANK(Клиенты_исходные!D465),"",IF(LEN(SUBSTITUTE(SUBSTITUTE(SUBSTITUTE(SUBSTITUTE(SUBSTITUTE(Клиенты_исходные!D465," ",""),"-",""),"+",""),"(",""),")",""))=11,"+7 ("&amp;MID(IF(LEFT(SUBSTITUTE(SUBSTITUTE(SUBSTITUTE(SUBSTITUTE(SUBSTITUTE(Клиенты_исходные!D465," ",""),"-",""),"+",""),"(",""),")",""))="8","7"&amp;MID(SUBSTITUTE(SUBSTITUTE(SUBSTITUTE(SUBSTITUTE(SUBSTITUTE(Клиенты_исходные!D465," ",""),"-",""),"+",""),"(",""),")",""),2,10),SUBSTITUTE(SUBSTITUTE(SUBSTITUTE(SUBSTITUTE(SUBSTITUTE(Клиенты_исходные!D465," ",""),"-",""),"+",""),"(",""),")","")),2,3)&amp;") "&amp;MID(IF(LEFT(SUBSTITUTE(SUBSTITUTE(SUBSTITUTE(SUBSTITUTE(SUBSTITUTE(Клиенты_исходные!D465," ",""),"-",""),"+",""),"(",""),")",""))="8","7"&amp;MID(SUBSTITUTE(SUBSTITUTE(SUBSTITUTE(SUBSTITUTE(SUBSTITUTE(Клиенты_исходные!D465," ",""),"-",""),"+",""),"(",""),")",""),2,10),SUBSTITUTE(SUBSTITUTE(SUBSTITUTE(SUBSTITUTE(SUBSTITUTE(Клиенты_исходные!D465," ",""),"-",""),"+",""),"(",""),")","")),5,3)&amp;"-"&amp;MID(IF(LEFT(SUBSTITUTE(SUBSTITUTE(SUBSTITUTE(SUBSTITUTE(SUBSTITUTE(Клиенты_исходные!D465," ",""),"-",""),"+",""),"(",""),")",""))="8","7"&amp;MID(SUBSTITUTE(SUBSTITUTE(SUBSTITUTE(SUBSTITUTE(SUBSTITUTE(Клиенты_исходные!D465," ",""),"-",""),"+",""),"(",""),")",""),2,10),SUBSTITUTE(SUBSTITUTE(SUBSTITUTE(SUBSTITUTE(SUBSTITUTE(Клиенты_исходные!D465," ",""),"-",""),"+",""),"(",""),")","")),8,2)&amp;"-"&amp;MID(IF(LEFT(SUBSTITUTE(SUBSTITUTE(SUBSTITUTE(SUBSTITUTE(SUBSTITUTE(Клиенты_исходные!D465," ",""),"-",""),"+",""),"(",""),")",""))="8","7"&amp;MID(SUBSTITUTE(SUBSTITUTE(SUBSTITUTE(SUBSTITUTE(SUBSTITUTE(Клиенты_исходные!D465," ",""),"-",""),"+",""),"(",""),")",""),2,10),SUBSTITUTE(SUBSTITUTE(SUBSTITUTE(SUBSTITUTE(SUBSTITUTE(Клиенты_исходные!D465," ",""),"-",""),"+",""),"(",""),")","")),10,2),IF(LEN(SUBSTITUTE(SUBSTITUTE(SUBSTITUTE(SUBSTITUTE(SUBSTITUTE(Клиенты_исходные!D465," ",""),"-",""),"+",""),"(",""),")",""))=10,"+7 ("&amp;MID(SUBSTITUTE(SUBSTITUTE(SUBSTITUTE(SUBSTITUTE(SUBSTITUTE(Клиенты_исходные!D465," ",""),"-",""),"+",""),"(",""),")",""),1,3)&amp;") "&amp;MID(SUBSTITUTE(SUBSTITUTE(SUBSTITUTE(SUBSTITUTE(SUBSTITUTE(Клиенты_исходные!D465," ",""),"-",""),"+",""),"(",""),")",""),4,3)&amp;"-"&amp;MID(SUBSTITUTE(SUBSTITUTE(SUBSTITUTE(SUBSTITUTE(SUBSTITUTE(Клиенты_исходные!D465," ",""),"-",""),"+",""),"(",""),")",""),6,2)&amp;"-"&amp;MID(SUBSTITUTE(SUBSTITUTE(SUBSTITUTE(SUBSTITUTE(SUBSTITUTE(Клиенты_исходные!D465," ",""),"-",""),"+",""),"(",""),")",""),8,2),Клиенты_исходные!D465)))</f>
        <v xml:space="preserve">+7 (903) 012-34-56</v>
      </c>
      <c r="E465" t="str">
        <f>IF(ISBLANK(Клиенты_исходные!E465),"",IF(ISNUMBER(FIND(".",MID(Клиенты_исходные!E465,FIND("@",Клиенты_исходные!E465)+1,255))),Клиенты_исходные!E465,IF(ISNUMBER(FIND("gmail",Клиенты_исходные!E465)),Клиенты_исходные!E465&amp;".com",Клиенты_исходные!E465&amp;".ru")))</f>
        <v>pechnikov@yandex.ru</v>
      </c>
      <c r="F465" t="str">
        <f>IFERROR(VLOOKUP(Клиенты_исходные!F465,Справочники!$J$2:$K$50,2,FALSE),Клиенты_исходные!F465)</f>
        <v>Смоленск</v>
      </c>
      <c r="G465" s="8">
        <f>IFERROR(IF(ISNUMBER(FIND(".",Клиенты_исходные!G465)),DATE(RIGHT(Клиенты_исходные!G465,4),MID(Клиенты_исходные!G465,4,2),LEFT(Клиенты_исходные!G465,2)),DATE(LEFT(Клиенты_исходные!G465,4),MID(Клиенты_исходные!G465,6,2),RIGHT(Клиенты_исходные!G465,2))),Клиенты_исходные!G465)</f>
        <v>49263</v>
      </c>
      <c r="H465">
        <f t="shared" ca="1" si="67"/>
        <v>42</v>
      </c>
      <c r="I465" t="str">
        <f t="shared" si="68"/>
        <v>OK</v>
      </c>
      <c r="J465" t="str">
        <f t="shared" si="69"/>
        <v>OK</v>
      </c>
    </row>
    <row r="466">
      <c r="A466" t="str">
        <f>Клиенты_исходные!A466</f>
        <v>C0465</v>
      </c>
      <c r="B466" t="str">
        <f>PROPER(TRIM(Клиенты_исходные!B466))</f>
        <v xml:space="preserve">Бобылева Мария Сергеевна</v>
      </c>
      <c r="C466" s="8">
        <f>IFERROR(IF(ISNUMBER(FIND(".",Клиенты_исходные!C466)),DATE(RIGHT(Клиенты_исходные!C466,4),MID(Клиенты_исходные!C466,4,2),LEFT(Клиенты_исходные!C466,2)),DATE(LEFT(Клиенты_исходные!C466,4),MID(Клиенты_исходные!C466,6,2),RIGHT(Клиенты_исходные!C466,2))),Клиенты_исходные!C466)</f>
        <v>33323</v>
      </c>
      <c r="D466" t="str">
        <f>IF(ISBLANK(Клиенты_исходные!D466),"",IF(LEN(SUBSTITUTE(SUBSTITUTE(SUBSTITUTE(SUBSTITUTE(SUBSTITUTE(Клиенты_исходные!D466," ",""),"-",""),"+",""),"(",""),")",""))=11,"+7 ("&amp;MID(IF(LEFT(SUBSTITUTE(SUBSTITUTE(SUBSTITUTE(SUBSTITUTE(SUBSTITUTE(Клиенты_исходные!D466," ",""),"-",""),"+",""),"(",""),")",""))="8","7"&amp;MID(SUBSTITUTE(SUBSTITUTE(SUBSTITUTE(SUBSTITUTE(SUBSTITUTE(Клиенты_исходные!D466," ",""),"-",""),"+",""),"(",""),")",""),2,10),SUBSTITUTE(SUBSTITUTE(SUBSTITUTE(SUBSTITUTE(SUBSTITUTE(Клиенты_исходные!D466," ",""),"-",""),"+",""),"(",""),")","")),2,3)&amp;") "&amp;MID(IF(LEFT(SUBSTITUTE(SUBSTITUTE(SUBSTITUTE(SUBSTITUTE(SUBSTITUTE(Клиенты_исходные!D466," ",""),"-",""),"+",""),"(",""),")",""))="8","7"&amp;MID(SUBSTITUTE(SUBSTITUTE(SUBSTITUTE(SUBSTITUTE(SUBSTITUTE(Клиенты_исходные!D466," ",""),"-",""),"+",""),"(",""),")",""),2,10),SUBSTITUTE(SUBSTITUTE(SUBSTITUTE(SUBSTITUTE(SUBSTITUTE(Клиенты_исходные!D466," ",""),"-",""),"+",""),"(",""),")","")),5,3)&amp;"-"&amp;MID(IF(LEFT(SUBSTITUTE(SUBSTITUTE(SUBSTITUTE(SUBSTITUTE(SUBSTITUTE(Клиенты_исходные!D466," ",""),"-",""),"+",""),"(",""),")",""))="8","7"&amp;MID(SUBSTITUTE(SUBSTITUTE(SUBSTITUTE(SUBSTITUTE(SUBSTITUTE(Клиенты_исходные!D466," ",""),"-",""),"+",""),"(",""),")",""),2,10),SUBSTITUTE(SUBSTITUTE(SUBSTITUTE(SUBSTITUTE(SUBSTITUTE(Клиенты_исходные!D466," ",""),"-",""),"+",""),"(",""),")","")),8,2)&amp;"-"&amp;MID(IF(LEFT(SUBSTITUTE(SUBSTITUTE(SUBSTITUTE(SUBSTITUTE(SUBSTITUTE(Клиенты_исходные!D466," ",""),"-",""),"+",""),"(",""),")",""))="8","7"&amp;MID(SUBSTITUTE(SUBSTITUTE(SUBSTITUTE(SUBSTITUTE(SUBSTITUTE(Клиенты_исходные!D466," ",""),"-",""),"+",""),"(",""),")",""),2,10),SUBSTITUTE(SUBSTITUTE(SUBSTITUTE(SUBSTITUTE(SUBSTITUTE(Клиенты_исходные!D466," ",""),"-",""),"+",""),"(",""),")","")),10,2),IF(LEN(SUBSTITUTE(SUBSTITUTE(SUBSTITUTE(SUBSTITUTE(SUBSTITUTE(Клиенты_исходные!D466," ",""),"-",""),"+",""),"(",""),")",""))=10,"+7 ("&amp;MID(SUBSTITUTE(SUBSTITUTE(SUBSTITUTE(SUBSTITUTE(SUBSTITUTE(Клиенты_исходные!D466," ",""),"-",""),"+",""),"(",""),")",""),1,3)&amp;") "&amp;MID(SUBSTITUTE(SUBSTITUTE(SUBSTITUTE(SUBSTITUTE(SUBSTITUTE(Клиенты_исходные!D466," ",""),"-",""),"+",""),"(",""),")",""),4,3)&amp;"-"&amp;MID(SUBSTITUTE(SUBSTITUTE(SUBSTITUTE(SUBSTITUTE(SUBSTITUTE(Клиенты_исходные!D466," ",""),"-",""),"+",""),"(",""),")",""),6,2)&amp;"-"&amp;MID(SUBSTITUTE(SUBSTITUTE(SUBSTITUTE(SUBSTITUTE(SUBSTITUTE(Клиенты_исходные!D466," ",""),"-",""),"+",""),"(",""),")",""),8,2),Клиенты_исходные!D466)))</f>
        <v xml:space="preserve">+7 (903) 123-45-67</v>
      </c>
      <c r="E466" t="str">
        <f>IF(ISBLANK(Клиенты_исходные!E466),"",IF(ISNUMBER(FIND(".",MID(Клиенты_исходные!E466,FIND("@",Клиенты_исходные!E466)+1,255))),Клиенты_исходные!E466,IF(ISNUMBER(FIND("gmail",Клиенты_исходные!E466)),Клиенты_исходные!E466&amp;".com",Клиенты_исходные!E466&amp;".ru")))</f>
        <v>bobyleva@gmail.com</v>
      </c>
      <c r="F466" t="str">
        <f>IFERROR(VLOOKUP(Клиенты_исходные!F466,Справочники!$J$2:$K$50,2,FALSE),Клиенты_исходные!F466)</f>
        <v>Тула</v>
      </c>
      <c r="G466" s="8">
        <f>IFERROR(IF(ISNUMBER(FIND(".",Клиенты_исходные!G466)),DATE(RIGHT(Клиенты_исходные!G466,4),MID(Клиенты_исходные!G466,4,2),LEFT(Клиенты_исходные!G466,2)),DATE(LEFT(Клиенты_исходные!G466,4),MID(Клиенты_исходные!G466,6,2),RIGHT(Клиенты_исходные!G466,2))),Клиенты_исходные!G466)</f>
        <v>49263</v>
      </c>
      <c r="H466">
        <f t="shared" ca="1" si="67"/>
        <v>35</v>
      </c>
      <c r="I466" t="str">
        <f t="shared" si="68"/>
        <v>OK</v>
      </c>
      <c r="J466" t="str">
        <f t="shared" si="69"/>
        <v>OK</v>
      </c>
    </row>
    <row r="467">
      <c r="A467" t="str">
        <f>Клиенты_исходные!A467</f>
        <v>C0466</v>
      </c>
      <c r="B467" t="str">
        <f>PROPER(TRIM(Клиенты_исходные!B467))</f>
        <v xml:space="preserve">Гордеев Денис Олегович</v>
      </c>
      <c r="C467" s="8">
        <f>IFERROR(IF(ISNUMBER(FIND(".",Клиенты_исходные!C467)),DATE(RIGHT(Клиенты_исходные!C467,4),MID(Клиенты_исходные!C467,4,2),LEFT(Клиенты_исходные!C467,2)),DATE(LEFT(Клиенты_исходные!C467,4),MID(Клиенты_исходные!C467,6,2),RIGHT(Клиенты_исходные!C467,2))),Клиенты_исходные!C467)</f>
        <v>26581</v>
      </c>
      <c r="D467" t="str">
        <f>IF(ISBLANK(Клиенты_исходные!D467),"",IF(LEN(SUBSTITUTE(SUBSTITUTE(SUBSTITUTE(SUBSTITUTE(SUBSTITUTE(Клиенты_исходные!D467," ",""),"-",""),"+",""),"(",""),")",""))=11,"+7 ("&amp;MID(IF(LEFT(SUBSTITUTE(SUBSTITUTE(SUBSTITUTE(SUBSTITUTE(SUBSTITUTE(Клиенты_исходные!D467," ",""),"-",""),"+",""),"(",""),")",""))="8","7"&amp;MID(SUBSTITUTE(SUBSTITUTE(SUBSTITUTE(SUBSTITUTE(SUBSTITUTE(Клиенты_исходные!D467," ",""),"-",""),"+",""),"(",""),")",""),2,10),SUBSTITUTE(SUBSTITUTE(SUBSTITUTE(SUBSTITUTE(SUBSTITUTE(Клиенты_исходные!D467," ",""),"-",""),"+",""),"(",""),")","")),2,3)&amp;") "&amp;MID(IF(LEFT(SUBSTITUTE(SUBSTITUTE(SUBSTITUTE(SUBSTITUTE(SUBSTITUTE(Клиенты_исходные!D467," ",""),"-",""),"+",""),"(",""),")",""))="8","7"&amp;MID(SUBSTITUTE(SUBSTITUTE(SUBSTITUTE(SUBSTITUTE(SUBSTITUTE(Клиенты_исходные!D467," ",""),"-",""),"+",""),"(",""),")",""),2,10),SUBSTITUTE(SUBSTITUTE(SUBSTITUTE(SUBSTITUTE(SUBSTITUTE(Клиенты_исходные!D467," ",""),"-",""),"+",""),"(",""),")","")),5,3)&amp;"-"&amp;MID(IF(LEFT(SUBSTITUTE(SUBSTITUTE(SUBSTITUTE(SUBSTITUTE(SUBSTITUTE(Клиенты_исходные!D467," ",""),"-",""),"+",""),"(",""),")",""))="8","7"&amp;MID(SUBSTITUTE(SUBSTITUTE(SUBSTITUTE(SUBSTITUTE(SUBSTITUTE(Клиенты_исходные!D467," ",""),"-",""),"+",""),"(",""),")",""),2,10),SUBSTITUTE(SUBSTITUTE(SUBSTITUTE(SUBSTITUTE(SUBSTITUTE(Клиенты_исходные!D467," ",""),"-",""),"+",""),"(",""),")","")),8,2)&amp;"-"&amp;MID(IF(LEFT(SUBSTITUTE(SUBSTITUTE(SUBSTITUTE(SUBSTITUTE(SUBSTITUTE(Клиенты_исходные!D467," ",""),"-",""),"+",""),"(",""),")",""))="8","7"&amp;MID(SUBSTITUTE(SUBSTITUTE(SUBSTITUTE(SUBSTITUTE(SUBSTITUTE(Клиенты_исходные!D467," ",""),"-",""),"+",""),"(",""),")",""),2,10),SUBSTITUTE(SUBSTITUTE(SUBSTITUTE(SUBSTITUTE(SUBSTITUTE(Клиенты_исходные!D467," ",""),"-",""),"+",""),"(",""),")","")),10,2),IF(LEN(SUBSTITUTE(SUBSTITUTE(SUBSTITUTE(SUBSTITUTE(SUBSTITUTE(Клиенты_исходные!D467," ",""),"-",""),"+",""),"(",""),")",""))=10,"+7 ("&amp;MID(SUBSTITUTE(SUBSTITUTE(SUBSTITUTE(SUBSTITUTE(SUBSTITUTE(Клиенты_исходные!D467," ",""),"-",""),"+",""),"(",""),")",""),1,3)&amp;") "&amp;MID(SUBSTITUTE(SUBSTITUTE(SUBSTITUTE(SUBSTITUTE(SUBSTITUTE(Клиенты_исходные!D467," ",""),"-",""),"+",""),"(",""),")",""),4,3)&amp;"-"&amp;MID(SUBSTITUTE(SUBSTITUTE(SUBSTITUTE(SUBSTITUTE(SUBSTITUTE(Клиенты_исходные!D467," ",""),"-",""),"+",""),"(",""),")",""),6,2)&amp;"-"&amp;MID(SUBSTITUTE(SUBSTITUTE(SUBSTITUTE(SUBSTITUTE(SUBSTITUTE(Клиенты_исходные!D467," ",""),"-",""),"+",""),"(",""),")",""),8,2),Клиенты_исходные!D467)))</f>
        <v xml:space="preserve">+7 (903) 123-45-67</v>
      </c>
      <c r="E467" t="str">
        <f>IF(ISBLANK(Клиенты_исходные!E467),"",IF(ISNUMBER(FIND(".",MID(Клиенты_исходные!E467,FIND("@",Клиенты_исходные!E467)+1,255))),Клиенты_исходные!E467,IF(ISNUMBER(FIND("gmail",Клиенты_исходные!E467)),Клиенты_исходные!E467&amp;".com",Клиенты_исходные!E467&amp;".ru")))</f>
        <v>gordeev@mail.ru</v>
      </c>
      <c r="F467" t="str">
        <f>IFERROR(VLOOKUP(Клиенты_исходные!F467,Справочники!$J$2:$K$50,2,FALSE),Клиенты_исходные!F467)</f>
        <v>Калуга</v>
      </c>
      <c r="G467" s="8">
        <f>IFERROR(IF(ISNUMBER(FIND(".",Клиенты_исходные!G467)),DATE(RIGHT(Клиенты_исходные!G467,4),MID(Клиенты_исходные!G467,4,2),LEFT(Клиенты_исходные!G467,2)),DATE(LEFT(Клиенты_исходные!G467,4),MID(Клиенты_исходные!G467,6,2),RIGHT(Клиенты_исходные!G467,2))),Клиенты_исходные!G467)</f>
        <v>49279</v>
      </c>
      <c r="H467">
        <f t="shared" ca="1" si="67"/>
        <v>53</v>
      </c>
      <c r="I467" t="str">
        <f t="shared" si="68"/>
        <v>OK</v>
      </c>
      <c r="J467" t="str">
        <f t="shared" si="69"/>
        <v>OK</v>
      </c>
    </row>
    <row r="468">
      <c r="A468" t="str">
        <f>Клиенты_исходные!A468</f>
        <v>C0467</v>
      </c>
      <c r="B468" t="str">
        <f>PROPER(TRIM(Клиенты_исходные!B468))</f>
        <v xml:space="preserve">Слепцова Ольга Владимировна</v>
      </c>
      <c r="C468" s="8">
        <f>IFERROR(IF(ISNUMBER(FIND(".",Клиенты_исходные!C468)),DATE(RIGHT(Клиенты_исходные!C468,4),MID(Клиенты_исходные!C468,4,2),LEFT(Клиенты_исходные!C468,2)),DATE(LEFT(Клиенты_исходные!C468,4),MID(Клиенты_исходные!C468,6,2),RIGHT(Клиенты_исходные!C468,2))),Клиенты_исходные!C468)</f>
        <v>31646</v>
      </c>
      <c r="D468" t="str">
        <f>IF(ISBLANK(Клиенты_исходные!D468),"",IF(LEN(SUBSTITUTE(SUBSTITUTE(SUBSTITUTE(SUBSTITUTE(SUBSTITUTE(Клиенты_исходные!D468," ",""),"-",""),"+",""),"(",""),")",""))=11,"+7 ("&amp;MID(IF(LEFT(SUBSTITUTE(SUBSTITUTE(SUBSTITUTE(SUBSTITUTE(SUBSTITUTE(Клиенты_исходные!D468," ",""),"-",""),"+",""),"(",""),")",""))="8","7"&amp;MID(SUBSTITUTE(SUBSTITUTE(SUBSTITUTE(SUBSTITUTE(SUBSTITUTE(Клиенты_исходные!D468," ",""),"-",""),"+",""),"(",""),")",""),2,10),SUBSTITUTE(SUBSTITUTE(SUBSTITUTE(SUBSTITUTE(SUBSTITUTE(Клиенты_исходные!D468," ",""),"-",""),"+",""),"(",""),")","")),2,3)&amp;") "&amp;MID(IF(LEFT(SUBSTITUTE(SUBSTITUTE(SUBSTITUTE(SUBSTITUTE(SUBSTITUTE(Клиенты_исходные!D468," ",""),"-",""),"+",""),"(",""),")",""))="8","7"&amp;MID(SUBSTITUTE(SUBSTITUTE(SUBSTITUTE(SUBSTITUTE(SUBSTITUTE(Клиенты_исходные!D468," ",""),"-",""),"+",""),"(",""),")",""),2,10),SUBSTITUTE(SUBSTITUTE(SUBSTITUTE(SUBSTITUTE(SUBSTITUTE(Клиенты_исходные!D468," ",""),"-",""),"+",""),"(",""),")","")),5,3)&amp;"-"&amp;MID(IF(LEFT(SUBSTITUTE(SUBSTITUTE(SUBSTITUTE(SUBSTITUTE(SUBSTITUTE(Клиенты_исходные!D468," ",""),"-",""),"+",""),"(",""),")",""))="8","7"&amp;MID(SUBSTITUTE(SUBSTITUTE(SUBSTITUTE(SUBSTITUTE(SUBSTITUTE(Клиенты_исходные!D468," ",""),"-",""),"+",""),"(",""),")",""),2,10),SUBSTITUTE(SUBSTITUTE(SUBSTITUTE(SUBSTITUTE(SUBSTITUTE(Клиенты_исходные!D468," ",""),"-",""),"+",""),"(",""),")","")),8,2)&amp;"-"&amp;MID(IF(LEFT(SUBSTITUTE(SUBSTITUTE(SUBSTITUTE(SUBSTITUTE(SUBSTITUTE(Клиенты_исходные!D468," ",""),"-",""),"+",""),"(",""),")",""))="8","7"&amp;MID(SUBSTITUTE(SUBSTITUTE(SUBSTITUTE(SUBSTITUTE(SUBSTITUTE(Клиенты_исходные!D468," ",""),"-",""),"+",""),"(",""),")",""),2,10),SUBSTITUTE(SUBSTITUTE(SUBSTITUTE(SUBSTITUTE(SUBSTITUTE(Клиенты_исходные!D468," ",""),"-",""),"+",""),"(",""),")","")),10,2),IF(LEN(SUBSTITUTE(SUBSTITUTE(SUBSTITUTE(SUBSTITUTE(SUBSTITUTE(Клиенты_исходные!D468," ",""),"-",""),"+",""),"(",""),")",""))=10,"+7 ("&amp;MID(SUBSTITUTE(SUBSTITUTE(SUBSTITUTE(SUBSTITUTE(SUBSTITUTE(Клиенты_исходные!D468," ",""),"-",""),"+",""),"(",""),")",""),1,3)&amp;") "&amp;MID(SUBSTITUTE(SUBSTITUTE(SUBSTITUTE(SUBSTITUTE(SUBSTITUTE(Клиенты_исходные!D468," ",""),"-",""),"+",""),"(",""),")",""),4,3)&amp;"-"&amp;MID(SUBSTITUTE(SUBSTITUTE(SUBSTITUTE(SUBSTITUTE(SUBSTITUTE(Клиенты_исходные!D468," ",""),"-",""),"+",""),"(",""),")",""),6,2)&amp;"-"&amp;MID(SUBSTITUTE(SUBSTITUTE(SUBSTITUTE(SUBSTITUTE(SUBSTITUTE(Клиенты_исходные!D468," ",""),"-",""),"+",""),"(",""),")",""),8,2),Клиенты_исходные!D468)))</f>
        <v xml:space="preserve">+7 (903) 123-45-67</v>
      </c>
      <c r="E468" t="str">
        <f>IF(ISBLANK(Клиенты_исходные!E468),"",IF(ISNUMBER(FIND(".",MID(Клиенты_исходные!E468,FIND("@",Клиенты_исходные!E468)+1,255))),Клиенты_исходные!E468,IF(ISNUMBER(FIND("gmail",Клиенты_исходные!E468)),Клиенты_исходные!E468&amp;".com",Клиенты_исходные!E468&amp;".ru")))</f>
        <v>sleptsova@yandex.ru</v>
      </c>
      <c r="F468" t="str">
        <f>IFERROR(VLOOKUP(Клиенты_исходные!F468,Справочники!$J$2:$K$50,2,FALSE),Клиенты_исходные!F468)</f>
        <v>Владикавказ</v>
      </c>
      <c r="G468" s="8">
        <f>IFERROR(IF(ISNUMBER(FIND(".",Клиенты_исходные!G468)),DATE(RIGHT(Клиенты_исходные!G468,4),MID(Клиенты_исходные!G468,4,2),LEFT(Клиенты_исходные!G468,2)),DATE(LEFT(Клиенты_исходные!G468,4),MID(Клиенты_исходные!G468,6,2),RIGHT(Клиенты_исходные!G468,2))),Клиенты_исходные!G468)</f>
        <v>49288</v>
      </c>
      <c r="H468">
        <f t="shared" ca="1" si="67"/>
        <v>40</v>
      </c>
      <c r="I468" t="str">
        <f t="shared" si="68"/>
        <v>OK</v>
      </c>
      <c r="J468" t="str">
        <f t="shared" si="69"/>
        <v>OK</v>
      </c>
    </row>
    <row r="469">
      <c r="A469" t="str">
        <f>Клиенты_исходные!A469</f>
        <v>C0468</v>
      </c>
      <c r="B469" t="str">
        <f>PROPER(TRIM(Клиенты_исходные!B469))</f>
        <v xml:space="preserve">Пономарев Илья Александрович</v>
      </c>
      <c r="C469" s="8">
        <f>IFERROR(IF(ISNUMBER(FIND(".",Клиенты_исходные!C469)),DATE(RIGHT(Клиенты_исходные!C469,4),MID(Клиенты_исходные!C469,4,2),LEFT(Клиенты_исходные!C469,2)),DATE(LEFT(Клиенты_исходные!C469,4),MID(Клиенты_исходные!C469,6,2),RIGHT(Клиенты_исходные!C469,2))),Клиенты_исходные!C469)</f>
        <v>33621</v>
      </c>
      <c r="D469" t="str">
        <f>IF(ISBLANK(Клиенты_исходные!D469),"",IF(LEN(SUBSTITUTE(SUBSTITUTE(SUBSTITUTE(SUBSTITUTE(SUBSTITUTE(Клиенты_исходные!D469," ",""),"-",""),"+",""),"(",""),")",""))=11,"+7 ("&amp;MID(IF(LEFT(SUBSTITUTE(SUBSTITUTE(SUBSTITUTE(SUBSTITUTE(SUBSTITUTE(Клиенты_исходные!D469," ",""),"-",""),"+",""),"(",""),")",""))="8","7"&amp;MID(SUBSTITUTE(SUBSTITUTE(SUBSTITUTE(SUBSTITUTE(SUBSTITUTE(Клиенты_исходные!D469," ",""),"-",""),"+",""),"(",""),")",""),2,10),SUBSTITUTE(SUBSTITUTE(SUBSTITUTE(SUBSTITUTE(SUBSTITUTE(Клиенты_исходные!D469," ",""),"-",""),"+",""),"(",""),")","")),2,3)&amp;") "&amp;MID(IF(LEFT(SUBSTITUTE(SUBSTITUTE(SUBSTITUTE(SUBSTITUTE(SUBSTITUTE(Клиенты_исходные!D469," ",""),"-",""),"+",""),"(",""),")",""))="8","7"&amp;MID(SUBSTITUTE(SUBSTITUTE(SUBSTITUTE(SUBSTITUTE(SUBSTITUTE(Клиенты_исходные!D469," ",""),"-",""),"+",""),"(",""),")",""),2,10),SUBSTITUTE(SUBSTITUTE(SUBSTITUTE(SUBSTITUTE(SUBSTITUTE(Клиенты_исходные!D469," ",""),"-",""),"+",""),"(",""),")","")),5,3)&amp;"-"&amp;MID(IF(LEFT(SUBSTITUTE(SUBSTITUTE(SUBSTITUTE(SUBSTITUTE(SUBSTITUTE(Клиенты_исходные!D469," ",""),"-",""),"+",""),"(",""),")",""))="8","7"&amp;MID(SUBSTITUTE(SUBSTITUTE(SUBSTITUTE(SUBSTITUTE(SUBSTITUTE(Клиенты_исходные!D469," ",""),"-",""),"+",""),"(",""),")",""),2,10),SUBSTITUTE(SUBSTITUTE(SUBSTITUTE(SUBSTITUTE(SUBSTITUTE(Клиенты_исходные!D469," ",""),"-",""),"+",""),"(",""),")","")),8,2)&amp;"-"&amp;MID(IF(LEFT(SUBSTITUTE(SUBSTITUTE(SUBSTITUTE(SUBSTITUTE(SUBSTITUTE(Клиенты_исходные!D469," ",""),"-",""),"+",""),"(",""),")",""))="8","7"&amp;MID(SUBSTITUTE(SUBSTITUTE(SUBSTITUTE(SUBSTITUTE(SUBSTITUTE(Клиенты_исходные!D469," ",""),"-",""),"+",""),"(",""),")",""),2,10),SUBSTITUTE(SUBSTITUTE(SUBSTITUTE(SUBSTITUTE(SUBSTITUTE(Клиенты_исходные!D469," ",""),"-",""),"+",""),"(",""),")","")),10,2),IF(LEN(SUBSTITUTE(SUBSTITUTE(SUBSTITUTE(SUBSTITUTE(SUBSTITUTE(Клиенты_исходные!D469," ",""),"-",""),"+",""),"(",""),")",""))=10,"+7 ("&amp;MID(SUBSTITUTE(SUBSTITUTE(SUBSTITUTE(SUBSTITUTE(SUBSTITUTE(Клиенты_исходные!D469," ",""),"-",""),"+",""),"(",""),")",""),1,3)&amp;") "&amp;MID(SUBSTITUTE(SUBSTITUTE(SUBSTITUTE(SUBSTITUTE(SUBSTITUTE(Клиенты_исходные!D469," ",""),"-",""),"+",""),"(",""),")",""),4,3)&amp;"-"&amp;MID(SUBSTITUTE(SUBSTITUTE(SUBSTITUTE(SUBSTITUTE(SUBSTITUTE(Клиенты_исходные!D469," ",""),"-",""),"+",""),"(",""),")",""),6,2)&amp;"-"&amp;MID(SUBSTITUTE(SUBSTITUTE(SUBSTITUTE(SUBSTITUTE(SUBSTITUTE(Клиенты_исходные!D469," ",""),"-",""),"+",""),"(",""),")",""),8,2),Клиенты_исходные!D469)))</f>
        <v xml:space="preserve">+7 (903) 234-56-78</v>
      </c>
      <c r="E469" t="str">
        <f>IF(ISBLANK(Клиенты_исходные!E469),"",IF(ISNUMBER(FIND(".",MID(Клиенты_исходные!E469,FIND("@",Клиенты_исходные!E469)+1,255))),Клиенты_исходные!E469,IF(ISNUMBER(FIND("gmail",Клиенты_исходные!E469)),Клиенты_исходные!E469&amp;".com",Клиенты_исходные!E469&amp;".ru")))</f>
        <v>ponomarev@gmail.com</v>
      </c>
      <c r="F469" t="str">
        <f>IFERROR(VLOOKUP(Клиенты_исходные!F469,Справочники!$J$2:$K$50,2,FALSE),Клиенты_исходные!F469)</f>
        <v>Смоленск</v>
      </c>
      <c r="G469" s="8">
        <f>IFERROR(IF(ISNUMBER(FIND(".",Клиенты_исходные!G469)),DATE(RIGHT(Клиенты_исходные!G469,4),MID(Клиенты_исходные!G469,4,2),LEFT(Клиенты_исходные!G469,2)),DATE(LEFT(Клиенты_исходные!G469,4),MID(Клиенты_исходные!G469,6,2),RIGHT(Клиенты_исходные!G469,2))),Клиенты_исходные!G469)</f>
        <v>49288</v>
      </c>
      <c r="H469">
        <f t="shared" ca="1" si="67"/>
        <v>34</v>
      </c>
      <c r="I469" t="str">
        <f t="shared" si="68"/>
        <v>OK</v>
      </c>
      <c r="J469" t="str">
        <f t="shared" si="69"/>
        <v>OK</v>
      </c>
    </row>
    <row r="470">
      <c r="A470" t="str">
        <f>Клиенты_исходные!A470</f>
        <v>C0469</v>
      </c>
      <c r="B470" t="str">
        <f>PROPER(TRIM(Клиенты_исходные!B470))</f>
        <v xml:space="preserve">Овчаренко Елена Сергеевна</v>
      </c>
      <c r="C470" s="8">
        <f>IFERROR(IF(ISNUMBER(FIND(".",Клиенты_исходные!C470)),DATE(RIGHT(Клиенты_исходные!C470,4),MID(Клиенты_исходные!C470,4,2),LEFT(Клиенты_исходные!C470,2)),DATE(LEFT(Клиенты_исходные!C470,4),MID(Клиенты_исходные!C470,6,2),RIGHT(Клиенты_исходные!C470,2))),Клиенты_исходные!C470)</f>
        <v>29409</v>
      </c>
      <c r="D470" t="str">
        <f>IF(ISBLANK(Клиенты_исходные!D470),"",IF(LEN(SUBSTITUTE(SUBSTITUTE(SUBSTITUTE(SUBSTITUTE(SUBSTITUTE(Клиенты_исходные!D470," ",""),"-",""),"+",""),"(",""),")",""))=11,"+7 ("&amp;MID(IF(LEFT(SUBSTITUTE(SUBSTITUTE(SUBSTITUTE(SUBSTITUTE(SUBSTITUTE(Клиенты_исходные!D470," ",""),"-",""),"+",""),"(",""),")",""))="8","7"&amp;MID(SUBSTITUTE(SUBSTITUTE(SUBSTITUTE(SUBSTITUTE(SUBSTITUTE(Клиенты_исходные!D470," ",""),"-",""),"+",""),"(",""),")",""),2,10),SUBSTITUTE(SUBSTITUTE(SUBSTITUTE(SUBSTITUTE(SUBSTITUTE(Клиенты_исходные!D470," ",""),"-",""),"+",""),"(",""),")","")),2,3)&amp;") "&amp;MID(IF(LEFT(SUBSTITUTE(SUBSTITUTE(SUBSTITUTE(SUBSTITUTE(SUBSTITUTE(Клиенты_исходные!D470," ",""),"-",""),"+",""),"(",""),")",""))="8","7"&amp;MID(SUBSTITUTE(SUBSTITUTE(SUBSTITUTE(SUBSTITUTE(SUBSTITUTE(Клиенты_исходные!D470," ",""),"-",""),"+",""),"(",""),")",""),2,10),SUBSTITUTE(SUBSTITUTE(SUBSTITUTE(SUBSTITUTE(SUBSTITUTE(Клиенты_исходные!D470," ",""),"-",""),"+",""),"(",""),")","")),5,3)&amp;"-"&amp;MID(IF(LEFT(SUBSTITUTE(SUBSTITUTE(SUBSTITUTE(SUBSTITUTE(SUBSTITUTE(Клиенты_исходные!D470," ",""),"-",""),"+",""),"(",""),")",""))="8","7"&amp;MID(SUBSTITUTE(SUBSTITUTE(SUBSTITUTE(SUBSTITUTE(SUBSTITUTE(Клиенты_исходные!D470," ",""),"-",""),"+",""),"(",""),")",""),2,10),SUBSTITUTE(SUBSTITUTE(SUBSTITUTE(SUBSTITUTE(SUBSTITUTE(Клиенты_исходные!D470," ",""),"-",""),"+",""),"(",""),")","")),8,2)&amp;"-"&amp;MID(IF(LEFT(SUBSTITUTE(SUBSTITUTE(SUBSTITUTE(SUBSTITUTE(SUBSTITUTE(Клиенты_исходные!D470," ",""),"-",""),"+",""),"(",""),")",""))="8","7"&amp;MID(SUBSTITUTE(SUBSTITUTE(SUBSTITUTE(SUBSTITUTE(SUBSTITUTE(Клиенты_исходные!D470," ",""),"-",""),"+",""),"(",""),")",""),2,10),SUBSTITUTE(SUBSTITUTE(SUBSTITUTE(SUBSTITUTE(SUBSTITUTE(Клиенты_исходные!D470," ",""),"-",""),"+",""),"(",""),")","")),10,2),IF(LEN(SUBSTITUTE(SUBSTITUTE(SUBSTITUTE(SUBSTITUTE(SUBSTITUTE(Клиенты_исходные!D470," ",""),"-",""),"+",""),"(",""),")",""))=10,"+7 ("&amp;MID(SUBSTITUTE(SUBSTITUTE(SUBSTITUTE(SUBSTITUTE(SUBSTITUTE(Клиенты_исходные!D470," ",""),"-",""),"+",""),"(",""),")",""),1,3)&amp;") "&amp;MID(SUBSTITUTE(SUBSTITUTE(SUBSTITUTE(SUBSTITUTE(SUBSTITUTE(Клиенты_исходные!D470," ",""),"-",""),"+",""),"(",""),")",""),4,3)&amp;"-"&amp;MID(SUBSTITUTE(SUBSTITUTE(SUBSTITUTE(SUBSTITUTE(SUBSTITUTE(Клиенты_исходные!D470," ",""),"-",""),"+",""),"(",""),")",""),6,2)&amp;"-"&amp;MID(SUBSTITUTE(SUBSTITUTE(SUBSTITUTE(SUBSTITUTE(SUBSTITUTE(Клиенты_исходные!D470," ",""),"-",""),"+",""),"(",""),")",""),8,2),Клиенты_исходные!D470)))</f>
        <v xml:space="preserve">+7 (903) 234-56-78</v>
      </c>
      <c r="E470" t="str">
        <f>IF(ISBLANK(Клиенты_исходные!E470),"",IF(ISNUMBER(FIND(".",MID(Клиенты_исходные!E470,FIND("@",Клиенты_исходные!E470)+1,255))),Клиенты_исходные!E470,IF(ISNUMBER(FIND("gmail",Клиенты_исходные!E470)),Клиенты_исходные!E470&amp;".com",Клиенты_исходные!E470&amp;".ru")))</f>
        <v>ovcharenko@mail.ru</v>
      </c>
      <c r="F470" t="str">
        <f>IFERROR(VLOOKUP(Клиенты_исходные!F470,Справочники!$J$2:$K$50,2,FALSE),Клиенты_исходные!F470)</f>
        <v>Белгород</v>
      </c>
      <c r="G470" s="8">
        <f>IFERROR(IF(ISNUMBER(FIND(".",Клиенты_исходные!G470)),DATE(RIGHT(Клиенты_исходные!G470,4),MID(Клиенты_исходные!G470,4,2),LEFT(Клиенты_исходные!G470,2)),DATE(LEFT(Клиенты_исходные!G470,4),MID(Клиенты_исходные!G470,6,2),RIGHT(Клиенты_исходные!G470,2))),Клиенты_исходные!G470)</f>
        <v>49310</v>
      </c>
      <c r="H470">
        <f t="shared" ca="1" si="67"/>
        <v>46</v>
      </c>
      <c r="I470" t="str">
        <f t="shared" si="68"/>
        <v>OK</v>
      </c>
      <c r="J470" t="str">
        <f t="shared" si="69"/>
        <v>OK</v>
      </c>
    </row>
    <row r="471">
      <c r="A471" t="str">
        <f>Клиенты_исходные!A471</f>
        <v>C0470</v>
      </c>
      <c r="B471" t="str">
        <f>PROPER(TRIM(Клиенты_исходные!B471))</f>
        <v xml:space="preserve">Клименков Андрей Павлович</v>
      </c>
      <c r="C471" s="8">
        <f>IFERROR(IF(ISNUMBER(FIND(".",Клиенты_исходные!C471)),DATE(RIGHT(Клиенты_исходные!C471,4),MID(Клиенты_исходные!C471,4,2),LEFT(Клиенты_исходные!C471,2)),DATE(LEFT(Клиенты_исходные!C471,4),MID(Клиенты_исходные!C471,6,2),RIGHT(Клиенты_исходные!C471,2))),Клиенты_исходные!C471)</f>
        <v>31354</v>
      </c>
      <c r="D471" t="str">
        <f>IF(ISBLANK(Клиенты_исходные!D471),"",IF(LEN(SUBSTITUTE(SUBSTITUTE(SUBSTITUTE(SUBSTITUTE(SUBSTITUTE(Клиенты_исходные!D471," ",""),"-",""),"+",""),"(",""),")",""))=11,"+7 ("&amp;MID(IF(LEFT(SUBSTITUTE(SUBSTITUTE(SUBSTITUTE(SUBSTITUTE(SUBSTITUTE(Клиенты_исходные!D471," ",""),"-",""),"+",""),"(",""),")",""))="8","7"&amp;MID(SUBSTITUTE(SUBSTITUTE(SUBSTITUTE(SUBSTITUTE(SUBSTITUTE(Клиенты_исходные!D471," ",""),"-",""),"+",""),"(",""),")",""),2,10),SUBSTITUTE(SUBSTITUTE(SUBSTITUTE(SUBSTITUTE(SUBSTITUTE(Клиенты_исходные!D471," ",""),"-",""),"+",""),"(",""),")","")),2,3)&amp;") "&amp;MID(IF(LEFT(SUBSTITUTE(SUBSTITUTE(SUBSTITUTE(SUBSTITUTE(SUBSTITUTE(Клиенты_исходные!D471," ",""),"-",""),"+",""),"(",""),")",""))="8","7"&amp;MID(SUBSTITUTE(SUBSTITUTE(SUBSTITUTE(SUBSTITUTE(SUBSTITUTE(Клиенты_исходные!D471," ",""),"-",""),"+",""),"(",""),")",""),2,10),SUBSTITUTE(SUBSTITUTE(SUBSTITUTE(SUBSTITUTE(SUBSTITUTE(Клиенты_исходные!D471," ",""),"-",""),"+",""),"(",""),")","")),5,3)&amp;"-"&amp;MID(IF(LEFT(SUBSTITUTE(SUBSTITUTE(SUBSTITUTE(SUBSTITUTE(SUBSTITUTE(Клиенты_исходные!D471," ",""),"-",""),"+",""),"(",""),")",""))="8","7"&amp;MID(SUBSTITUTE(SUBSTITUTE(SUBSTITUTE(SUBSTITUTE(SUBSTITUTE(Клиенты_исходные!D471," ",""),"-",""),"+",""),"(",""),")",""),2,10),SUBSTITUTE(SUBSTITUTE(SUBSTITUTE(SUBSTITUTE(SUBSTITUTE(Клиенты_исходные!D471," ",""),"-",""),"+",""),"(",""),")","")),8,2)&amp;"-"&amp;MID(IF(LEFT(SUBSTITUTE(SUBSTITUTE(SUBSTITUTE(SUBSTITUTE(SUBSTITUTE(Клиенты_исходные!D471," ",""),"-",""),"+",""),"(",""),")",""))="8","7"&amp;MID(SUBSTITUTE(SUBSTITUTE(SUBSTITUTE(SUBSTITUTE(SUBSTITUTE(Клиенты_исходные!D471," ",""),"-",""),"+",""),"(",""),")",""),2,10),SUBSTITUTE(SUBSTITUTE(SUBSTITUTE(SUBSTITUTE(SUBSTITUTE(Клиенты_исходные!D471," ",""),"-",""),"+",""),"(",""),")","")),10,2),IF(LEN(SUBSTITUTE(SUBSTITUTE(SUBSTITUTE(SUBSTITUTE(SUBSTITUTE(Клиенты_исходные!D471," ",""),"-",""),"+",""),"(",""),")",""))=10,"+7 ("&amp;MID(SUBSTITUTE(SUBSTITUTE(SUBSTITUTE(SUBSTITUTE(SUBSTITUTE(Клиенты_исходные!D471," ",""),"-",""),"+",""),"(",""),")",""),1,3)&amp;") "&amp;MID(SUBSTITUTE(SUBSTITUTE(SUBSTITUTE(SUBSTITUTE(SUBSTITUTE(Клиенты_исходные!D471," ",""),"-",""),"+",""),"(",""),")",""),4,3)&amp;"-"&amp;MID(SUBSTITUTE(SUBSTITUTE(SUBSTITUTE(SUBSTITUTE(SUBSTITUTE(Клиенты_исходные!D471," ",""),"-",""),"+",""),"(",""),")",""),6,2)&amp;"-"&amp;MID(SUBSTITUTE(SUBSTITUTE(SUBSTITUTE(SUBSTITUTE(SUBSTITUTE(Клиенты_исходные!D471," ",""),"-",""),"+",""),"(",""),")",""),8,2),Клиенты_исходные!D471)))</f>
        <v xml:space="preserve">+7 (903) 234-56-78</v>
      </c>
      <c r="E471" t="str">
        <f>IF(ISBLANK(Клиенты_исходные!E471),"",IF(ISNUMBER(FIND(".",MID(Клиенты_исходные!E471,FIND("@",Клиенты_исходные!E471)+1,255))),Клиенты_исходные!E471,IF(ISNUMBER(FIND("gmail",Клиенты_исходные!E471)),Клиенты_исходные!E471&amp;".com",Клиенты_исходные!E471&amp;".ru")))</f>
        <v>klimenkov@yandex.ru</v>
      </c>
      <c r="F471" t="str">
        <f>IFERROR(VLOOKUP(Клиенты_исходные!F471,Справочники!$J$2:$K$50,2,FALSE),Клиенты_исходные!F471)</f>
        <v>Мурманск</v>
      </c>
      <c r="G471" s="8">
        <f>IFERROR(IF(ISNUMBER(FIND(".",Клиенты_исходные!G471)),DATE(RIGHT(Клиенты_исходные!G471,4),MID(Клиенты_исходные!G471,4,2),LEFT(Клиенты_исходные!G471,2)),DATE(LEFT(Клиенты_исходные!G471,4),MID(Клиенты_исходные!G471,6,2),RIGHT(Клиенты_исходные!G471,2))),Клиенты_исходные!G471)</f>
        <v>49324</v>
      </c>
      <c r="H471">
        <f t="shared" ca="1" si="67"/>
        <v>40</v>
      </c>
      <c r="I471" t="str">
        <f t="shared" si="68"/>
        <v>OK</v>
      </c>
      <c r="J471" t="str">
        <f t="shared" si="69"/>
        <v>OK</v>
      </c>
    </row>
    <row r="472">
      <c r="A472" t="str">
        <f>Клиенты_исходные!A472</f>
        <v>C0471</v>
      </c>
      <c r="B472" t="str">
        <f>PROPER(TRIM(Клиенты_исходные!B472))</f>
        <v xml:space="preserve">Гурьева Мария Викторовна</v>
      </c>
      <c r="C472" s="8">
        <f>IFERROR(IF(ISNUMBER(FIND(".",Клиенты_исходные!C472)),DATE(RIGHT(Клиенты_исходные!C472,4),MID(Клиенты_исходные!C472,4,2),LEFT(Клиенты_исходные!C472,2)),DATE(LEFT(Клиенты_исходные!C472,4),MID(Клиенты_исходные!C472,6,2),RIGHT(Клиенты_исходные!C472,2))),Клиенты_исходные!C472)</f>
        <v>28905</v>
      </c>
      <c r="D472" t="str">
        <f>IF(ISBLANK(Клиенты_исходные!D472),"",IF(LEN(SUBSTITUTE(SUBSTITUTE(SUBSTITUTE(SUBSTITUTE(SUBSTITUTE(Клиенты_исходные!D472," ",""),"-",""),"+",""),"(",""),")",""))=11,"+7 ("&amp;MID(IF(LEFT(SUBSTITUTE(SUBSTITUTE(SUBSTITUTE(SUBSTITUTE(SUBSTITUTE(Клиенты_исходные!D472," ",""),"-",""),"+",""),"(",""),")",""))="8","7"&amp;MID(SUBSTITUTE(SUBSTITUTE(SUBSTITUTE(SUBSTITUTE(SUBSTITUTE(Клиенты_исходные!D472," ",""),"-",""),"+",""),"(",""),")",""),2,10),SUBSTITUTE(SUBSTITUTE(SUBSTITUTE(SUBSTITUTE(SUBSTITUTE(Клиенты_исходные!D472," ",""),"-",""),"+",""),"(",""),")","")),2,3)&amp;") "&amp;MID(IF(LEFT(SUBSTITUTE(SUBSTITUTE(SUBSTITUTE(SUBSTITUTE(SUBSTITUTE(Клиенты_исходные!D472," ",""),"-",""),"+",""),"(",""),")",""))="8","7"&amp;MID(SUBSTITUTE(SUBSTITUTE(SUBSTITUTE(SUBSTITUTE(SUBSTITUTE(Клиенты_исходные!D472," ",""),"-",""),"+",""),"(",""),")",""),2,10),SUBSTITUTE(SUBSTITUTE(SUBSTITUTE(SUBSTITUTE(SUBSTITUTE(Клиенты_исходные!D472," ",""),"-",""),"+",""),"(",""),")","")),5,3)&amp;"-"&amp;MID(IF(LEFT(SUBSTITUTE(SUBSTITUTE(SUBSTITUTE(SUBSTITUTE(SUBSTITUTE(Клиенты_исходные!D472," ",""),"-",""),"+",""),"(",""),")",""))="8","7"&amp;MID(SUBSTITUTE(SUBSTITUTE(SUBSTITUTE(SUBSTITUTE(SUBSTITUTE(Клиенты_исходные!D472," ",""),"-",""),"+",""),"(",""),")",""),2,10),SUBSTITUTE(SUBSTITUTE(SUBSTITUTE(SUBSTITUTE(SUBSTITUTE(Клиенты_исходные!D472," ",""),"-",""),"+",""),"(",""),")","")),8,2)&amp;"-"&amp;MID(IF(LEFT(SUBSTITUTE(SUBSTITUTE(SUBSTITUTE(SUBSTITUTE(SUBSTITUTE(Клиенты_исходные!D472," ",""),"-",""),"+",""),"(",""),")",""))="8","7"&amp;MID(SUBSTITUTE(SUBSTITUTE(SUBSTITUTE(SUBSTITUTE(SUBSTITUTE(Клиенты_исходные!D472," ",""),"-",""),"+",""),"(",""),")",""),2,10),SUBSTITUTE(SUBSTITUTE(SUBSTITUTE(SUBSTITUTE(SUBSTITUTE(Клиенты_исходные!D472," ",""),"-",""),"+",""),"(",""),")","")),10,2),IF(LEN(SUBSTITUTE(SUBSTITUTE(SUBSTITUTE(SUBSTITUTE(SUBSTITUTE(Клиенты_исходные!D472," ",""),"-",""),"+",""),"(",""),")",""))=10,"+7 ("&amp;MID(SUBSTITUTE(SUBSTITUTE(SUBSTITUTE(SUBSTITUTE(SUBSTITUTE(Клиенты_исходные!D472," ",""),"-",""),"+",""),"(",""),")",""),1,3)&amp;") "&amp;MID(SUBSTITUTE(SUBSTITUTE(SUBSTITUTE(SUBSTITUTE(SUBSTITUTE(Клиенты_исходные!D472," ",""),"-",""),"+",""),"(",""),")",""),4,3)&amp;"-"&amp;MID(SUBSTITUTE(SUBSTITUTE(SUBSTITUTE(SUBSTITUTE(SUBSTITUTE(Клиенты_исходные!D472," ",""),"-",""),"+",""),"(",""),")",""),6,2)&amp;"-"&amp;MID(SUBSTITUTE(SUBSTITUTE(SUBSTITUTE(SUBSTITUTE(SUBSTITUTE(Клиенты_исходные!D472," ",""),"-",""),"+",""),"(",""),")",""),8,2),Клиенты_исходные!D472)))</f>
        <v xml:space="preserve">+7 (903) 345-67-89</v>
      </c>
      <c r="E472" t="str">
        <f>IF(ISBLANK(Клиенты_исходные!E472),"",IF(ISNUMBER(FIND(".",MID(Клиенты_исходные!E472,FIND("@",Клиенты_исходные!E472)+1,255))),Клиенты_исходные!E472,IF(ISNUMBER(FIND("gmail",Клиенты_исходные!E472)),Клиенты_исходные!E472&amp;".com",Клиенты_исходные!E472&amp;".ru")))</f>
        <v>gurieva@gmail.com</v>
      </c>
      <c r="F472" t="str">
        <f>IFERROR(VLOOKUP(Клиенты_исходные!F472,Справочники!$J$2:$K$50,2,FALSE),Клиенты_исходные!F472)</f>
        <v>Ставрополь</v>
      </c>
      <c r="G472" s="8">
        <f>IFERROR(IF(ISNUMBER(FIND(".",Клиенты_исходные!G472)),DATE(RIGHT(Клиенты_исходные!G472,4),MID(Клиенты_исходные!G472,4,2),LEFT(Клиенты_исходные!G472,2)),DATE(LEFT(Клиенты_исходные!G472,4),MID(Клиенты_исходные!G472,6,2),RIGHT(Клиенты_исходные!G472,2))),Клиенты_исходные!G472)</f>
        <v>49324</v>
      </c>
      <c r="H472">
        <f t="shared" ca="1" si="67"/>
        <v>47</v>
      </c>
      <c r="I472" t="str">
        <f t="shared" si="68"/>
        <v>OK</v>
      </c>
      <c r="J472" t="str">
        <f t="shared" si="69"/>
        <v>OK</v>
      </c>
    </row>
    <row r="473">
      <c r="A473" t="str">
        <f>Клиенты_исходные!A473</f>
        <v>C0472</v>
      </c>
      <c r="B473" t="str">
        <f>PROPER(TRIM(Клиенты_исходные!B473))</f>
        <v xml:space="preserve">Селезнев Денис Алексеевич</v>
      </c>
      <c r="C473" s="8">
        <f>IFERROR(IF(ISNUMBER(FIND(".",Клиенты_исходные!C473)),DATE(RIGHT(Клиенты_исходные!C473,4),MID(Клиенты_исходные!C473,4,2),LEFT(Клиенты_исходные!C473,2)),DATE(LEFT(Клиенты_исходные!C473,4),MID(Клиенты_исходные!C473,6,2),RIGHT(Клиенты_исходные!C473,2))),Клиенты_исходные!C473)</f>
        <v>30421</v>
      </c>
      <c r="D473" t="str">
        <f>IF(ISBLANK(Клиенты_исходные!D473),"",IF(LEN(SUBSTITUTE(SUBSTITUTE(SUBSTITUTE(SUBSTITUTE(SUBSTITUTE(Клиенты_исходные!D473," ",""),"-",""),"+",""),"(",""),")",""))=11,"+7 ("&amp;MID(IF(LEFT(SUBSTITUTE(SUBSTITUTE(SUBSTITUTE(SUBSTITUTE(SUBSTITUTE(Клиенты_исходные!D473," ",""),"-",""),"+",""),"(",""),")",""))="8","7"&amp;MID(SUBSTITUTE(SUBSTITUTE(SUBSTITUTE(SUBSTITUTE(SUBSTITUTE(Клиенты_исходные!D473," ",""),"-",""),"+",""),"(",""),")",""),2,10),SUBSTITUTE(SUBSTITUTE(SUBSTITUTE(SUBSTITUTE(SUBSTITUTE(Клиенты_исходные!D473," ",""),"-",""),"+",""),"(",""),")","")),2,3)&amp;") "&amp;MID(IF(LEFT(SUBSTITUTE(SUBSTITUTE(SUBSTITUTE(SUBSTITUTE(SUBSTITUTE(Клиенты_исходные!D473," ",""),"-",""),"+",""),"(",""),")",""))="8","7"&amp;MID(SUBSTITUTE(SUBSTITUTE(SUBSTITUTE(SUBSTITUTE(SUBSTITUTE(Клиенты_исходные!D473," ",""),"-",""),"+",""),"(",""),")",""),2,10),SUBSTITUTE(SUBSTITUTE(SUBSTITUTE(SUBSTITUTE(SUBSTITUTE(Клиенты_исходные!D473," ",""),"-",""),"+",""),"(",""),")","")),5,3)&amp;"-"&amp;MID(IF(LEFT(SUBSTITUTE(SUBSTITUTE(SUBSTITUTE(SUBSTITUTE(SUBSTITUTE(Клиенты_исходные!D473," ",""),"-",""),"+",""),"(",""),")",""))="8","7"&amp;MID(SUBSTITUTE(SUBSTITUTE(SUBSTITUTE(SUBSTITUTE(SUBSTITUTE(Клиенты_исходные!D473," ",""),"-",""),"+",""),"(",""),")",""),2,10),SUBSTITUTE(SUBSTITUTE(SUBSTITUTE(SUBSTITUTE(SUBSTITUTE(Клиенты_исходные!D473," ",""),"-",""),"+",""),"(",""),")","")),8,2)&amp;"-"&amp;MID(IF(LEFT(SUBSTITUTE(SUBSTITUTE(SUBSTITUTE(SUBSTITUTE(SUBSTITUTE(Клиенты_исходные!D473," ",""),"-",""),"+",""),"(",""),")",""))="8","7"&amp;MID(SUBSTITUTE(SUBSTITUTE(SUBSTITUTE(SUBSTITUTE(SUBSTITUTE(Клиенты_исходные!D473," ",""),"-",""),"+",""),"(",""),")",""),2,10),SUBSTITUTE(SUBSTITUTE(SUBSTITUTE(SUBSTITUTE(SUBSTITUTE(Клиенты_исходные!D473," ",""),"-",""),"+",""),"(",""),")","")),10,2),IF(LEN(SUBSTITUTE(SUBSTITUTE(SUBSTITUTE(SUBSTITUTE(SUBSTITUTE(Клиенты_исходные!D473," ",""),"-",""),"+",""),"(",""),")",""))=10,"+7 ("&amp;MID(SUBSTITUTE(SUBSTITUTE(SUBSTITUTE(SUBSTITUTE(SUBSTITUTE(Клиенты_исходные!D473," ",""),"-",""),"+",""),"(",""),")",""),1,3)&amp;") "&amp;MID(SUBSTITUTE(SUBSTITUTE(SUBSTITUTE(SUBSTITUTE(SUBSTITUTE(Клиенты_исходные!D473," ",""),"-",""),"+",""),"(",""),")",""),4,3)&amp;"-"&amp;MID(SUBSTITUTE(SUBSTITUTE(SUBSTITUTE(SUBSTITUTE(SUBSTITUTE(Клиенты_исходные!D473," ",""),"-",""),"+",""),"(",""),")",""),6,2)&amp;"-"&amp;MID(SUBSTITUTE(SUBSTITUTE(SUBSTITUTE(SUBSTITUTE(SUBSTITUTE(Клиенты_исходные!D473," ",""),"-",""),"+",""),"(",""),")",""),8,2),Клиенты_исходные!D473)))</f>
        <v xml:space="preserve">+7 (903) 345-67-89</v>
      </c>
      <c r="E473" t="str">
        <f>IF(ISBLANK(Клиенты_исходные!E473),"",IF(ISNUMBER(FIND(".",MID(Клиенты_исходные!E473,FIND("@",Клиенты_исходные!E473)+1,255))),Клиенты_исходные!E473,IF(ISNUMBER(FIND("gmail",Клиенты_исходные!E473)),Клиенты_исходные!E473&amp;".com",Клиенты_исходные!E473&amp;".ru")))</f>
        <v>seleznev@mail.ru</v>
      </c>
      <c r="F473" t="str">
        <f>IFERROR(VLOOKUP(Клиенты_исходные!F473,Справочники!$J$2:$K$50,2,FALSE),Клиенты_исходные!F473)</f>
        <v>Севастополь</v>
      </c>
      <c r="G473" s="8">
        <f>IFERROR(IF(ISNUMBER(FIND(".",Клиенты_исходные!G473)),DATE(RIGHT(Клиенты_исходные!G473,4),MID(Клиенты_исходные!G473,4,2),LEFT(Клиенты_исходные!G473,2)),DATE(LEFT(Клиенты_исходные!G473,4),MID(Клиенты_исходные!G473,6,2),RIGHT(Клиенты_исходные!G473,2))),Клиенты_исходные!G473)</f>
        <v>49341</v>
      </c>
      <c r="H473">
        <f t="shared" ca="1" si="67"/>
        <v>43</v>
      </c>
      <c r="I473" t="str">
        <f t="shared" si="68"/>
        <v>OK</v>
      </c>
      <c r="J473" t="str">
        <f t="shared" si="69"/>
        <v>OK</v>
      </c>
    </row>
    <row r="474">
      <c r="A474" t="str">
        <f>Клиенты_исходные!A474</f>
        <v>C0473</v>
      </c>
      <c r="B474" t="str">
        <f>PROPER(TRIM(Клиенты_исходные!B474))</f>
        <v xml:space="preserve">Стрельцова Ольга Николаевна</v>
      </c>
      <c r="C474" s="8">
        <f>IFERROR(IF(ISNUMBER(FIND(".",Клиенты_исходные!C474)),DATE(RIGHT(Клиенты_исходные!C474,4),MID(Клиенты_исходные!C474,4,2),LEFT(Клиенты_исходные!C474,2)),DATE(LEFT(Клиенты_исходные!C474,4),MID(Клиенты_исходные!C474,6,2),RIGHT(Клиенты_исходные!C474,2))),Клиенты_исходные!C474)</f>
        <v>32048</v>
      </c>
      <c r="D474" t="str">
        <f>IF(ISBLANK(Клиенты_исходные!D474),"",IF(LEN(SUBSTITUTE(SUBSTITUTE(SUBSTITUTE(SUBSTITUTE(SUBSTITUTE(Клиенты_исходные!D474," ",""),"-",""),"+",""),"(",""),")",""))=11,"+7 ("&amp;MID(IF(LEFT(SUBSTITUTE(SUBSTITUTE(SUBSTITUTE(SUBSTITUTE(SUBSTITUTE(Клиенты_исходные!D474," ",""),"-",""),"+",""),"(",""),")",""))="8","7"&amp;MID(SUBSTITUTE(SUBSTITUTE(SUBSTITUTE(SUBSTITUTE(SUBSTITUTE(Клиенты_исходные!D474," ",""),"-",""),"+",""),"(",""),")",""),2,10),SUBSTITUTE(SUBSTITUTE(SUBSTITUTE(SUBSTITUTE(SUBSTITUTE(Клиенты_исходные!D474," ",""),"-",""),"+",""),"(",""),")","")),2,3)&amp;") "&amp;MID(IF(LEFT(SUBSTITUTE(SUBSTITUTE(SUBSTITUTE(SUBSTITUTE(SUBSTITUTE(Клиенты_исходные!D474," ",""),"-",""),"+",""),"(",""),")",""))="8","7"&amp;MID(SUBSTITUTE(SUBSTITUTE(SUBSTITUTE(SUBSTITUTE(SUBSTITUTE(Клиенты_исходные!D474," ",""),"-",""),"+",""),"(",""),")",""),2,10),SUBSTITUTE(SUBSTITUTE(SUBSTITUTE(SUBSTITUTE(SUBSTITUTE(Клиенты_исходные!D474," ",""),"-",""),"+",""),"(",""),")","")),5,3)&amp;"-"&amp;MID(IF(LEFT(SUBSTITUTE(SUBSTITUTE(SUBSTITUTE(SUBSTITUTE(SUBSTITUTE(Клиенты_исходные!D474," ",""),"-",""),"+",""),"(",""),")",""))="8","7"&amp;MID(SUBSTITUTE(SUBSTITUTE(SUBSTITUTE(SUBSTITUTE(SUBSTITUTE(Клиенты_исходные!D474," ",""),"-",""),"+",""),"(",""),")",""),2,10),SUBSTITUTE(SUBSTITUTE(SUBSTITUTE(SUBSTITUTE(SUBSTITUTE(Клиенты_исходные!D474," ",""),"-",""),"+",""),"(",""),")","")),8,2)&amp;"-"&amp;MID(IF(LEFT(SUBSTITUTE(SUBSTITUTE(SUBSTITUTE(SUBSTITUTE(SUBSTITUTE(Клиенты_исходные!D474," ",""),"-",""),"+",""),"(",""),")",""))="8","7"&amp;MID(SUBSTITUTE(SUBSTITUTE(SUBSTITUTE(SUBSTITUTE(SUBSTITUTE(Клиенты_исходные!D474," ",""),"-",""),"+",""),"(",""),")",""),2,10),SUBSTITUTE(SUBSTITUTE(SUBSTITUTE(SUBSTITUTE(SUBSTITUTE(Клиенты_исходные!D474," ",""),"-",""),"+",""),"(",""),")","")),10,2),IF(LEN(SUBSTITUTE(SUBSTITUTE(SUBSTITUTE(SUBSTITUTE(SUBSTITUTE(Клиенты_исходные!D474," ",""),"-",""),"+",""),"(",""),")",""))=10,"+7 ("&amp;MID(SUBSTITUTE(SUBSTITUTE(SUBSTITUTE(SUBSTITUTE(SUBSTITUTE(Клиенты_исходные!D474," ",""),"-",""),"+",""),"(",""),")",""),1,3)&amp;") "&amp;MID(SUBSTITUTE(SUBSTITUTE(SUBSTITUTE(SUBSTITUTE(SUBSTITUTE(Клиенты_исходные!D474," ",""),"-",""),"+",""),"(",""),")",""),4,3)&amp;"-"&amp;MID(SUBSTITUTE(SUBSTITUTE(SUBSTITUTE(SUBSTITUTE(SUBSTITUTE(Клиенты_исходные!D474," ",""),"-",""),"+",""),"(",""),")",""),6,2)&amp;"-"&amp;MID(SUBSTITUTE(SUBSTITUTE(SUBSTITUTE(SUBSTITUTE(SUBSTITUTE(Клиенты_исходные!D474," ",""),"-",""),"+",""),"(",""),")",""),8,2),Клиенты_исходные!D474)))</f>
        <v xml:space="preserve">+7 (903) 345-67-89</v>
      </c>
      <c r="E474" t="str">
        <f>IF(ISBLANK(Клиенты_исходные!E474),"",IF(ISNUMBER(FIND(".",MID(Клиенты_исходные!E474,FIND("@",Клиенты_исходные!E474)+1,255))),Клиенты_исходные!E474,IF(ISNUMBER(FIND("gmail",Клиенты_исходные!E474)),Клиенты_исходные!E474&amp;".com",Клиенты_исходные!E474&amp;".ru")))</f>
        <v>streltsova@yandex.ru</v>
      </c>
      <c r="F474" t="str">
        <f>IFERROR(VLOOKUP(Клиенты_исходные!F474,Справочники!$J$2:$K$50,2,FALSE),Клиенты_исходные!F474)</f>
        <v>Сочи</v>
      </c>
      <c r="G474" s="8">
        <f>IFERROR(IF(ISNUMBER(FIND(".",Клиенты_исходные!G474)),DATE(RIGHT(Клиенты_исходные!G474,4),MID(Клиенты_исходные!G474,4,2),LEFT(Клиенты_исходные!G474,2)),DATE(LEFT(Клиенты_исходные!G474,4),MID(Клиенты_исходные!G474,6,2),RIGHT(Клиенты_исходные!G474,2))),Клиенты_исходные!G474)</f>
        <v>49350</v>
      </c>
      <c r="H474">
        <f t="shared" ca="1" si="67"/>
        <v>39</v>
      </c>
      <c r="I474" t="str">
        <f t="shared" si="68"/>
        <v>OK</v>
      </c>
      <c r="J474" t="str">
        <f t="shared" si="69"/>
        <v>OK</v>
      </c>
    </row>
    <row r="475">
      <c r="A475" t="str">
        <f>Клиенты_исходные!A475</f>
        <v>C0474</v>
      </c>
      <c r="B475" t="str">
        <f>PROPER(TRIM(Клиенты_исходные!B475))</f>
        <v xml:space="preserve">Бондаренко Илья Игоревич</v>
      </c>
      <c r="C475" s="8">
        <f>IFERROR(IF(ISNUMBER(FIND(".",Клиенты_исходные!C475)),DATE(RIGHT(Клиенты_исходные!C475,4),MID(Клиенты_исходные!C475,4,2),LEFT(Клиенты_исходные!C475,2)),DATE(LEFT(Клиенты_исходные!C475,4),MID(Клиенты_исходные!C475,6,2),RIGHT(Клиенты_исходные!C475,2))),Клиенты_исходные!C475)</f>
        <v>26278</v>
      </c>
      <c r="D475" t="str">
        <f>IF(ISBLANK(Клиенты_исходные!D475),"",IF(LEN(SUBSTITUTE(SUBSTITUTE(SUBSTITUTE(SUBSTITUTE(SUBSTITUTE(Клиенты_исходные!D475," ",""),"-",""),"+",""),"(",""),")",""))=11,"+7 ("&amp;MID(IF(LEFT(SUBSTITUTE(SUBSTITUTE(SUBSTITUTE(SUBSTITUTE(SUBSTITUTE(Клиенты_исходные!D475," ",""),"-",""),"+",""),"(",""),")",""))="8","7"&amp;MID(SUBSTITUTE(SUBSTITUTE(SUBSTITUTE(SUBSTITUTE(SUBSTITUTE(Клиенты_исходные!D475," ",""),"-",""),"+",""),"(",""),")",""),2,10),SUBSTITUTE(SUBSTITUTE(SUBSTITUTE(SUBSTITUTE(SUBSTITUTE(Клиенты_исходные!D475," ",""),"-",""),"+",""),"(",""),")","")),2,3)&amp;") "&amp;MID(IF(LEFT(SUBSTITUTE(SUBSTITUTE(SUBSTITUTE(SUBSTITUTE(SUBSTITUTE(Клиенты_исходные!D475," ",""),"-",""),"+",""),"(",""),")",""))="8","7"&amp;MID(SUBSTITUTE(SUBSTITUTE(SUBSTITUTE(SUBSTITUTE(SUBSTITUTE(Клиенты_исходные!D475," ",""),"-",""),"+",""),"(",""),")",""),2,10),SUBSTITUTE(SUBSTITUTE(SUBSTITUTE(SUBSTITUTE(SUBSTITUTE(Клиенты_исходные!D475," ",""),"-",""),"+",""),"(",""),")","")),5,3)&amp;"-"&amp;MID(IF(LEFT(SUBSTITUTE(SUBSTITUTE(SUBSTITUTE(SUBSTITUTE(SUBSTITUTE(Клиенты_исходные!D475," ",""),"-",""),"+",""),"(",""),")",""))="8","7"&amp;MID(SUBSTITUTE(SUBSTITUTE(SUBSTITUTE(SUBSTITUTE(SUBSTITUTE(Клиенты_исходные!D475," ",""),"-",""),"+",""),"(",""),")",""),2,10),SUBSTITUTE(SUBSTITUTE(SUBSTITUTE(SUBSTITUTE(SUBSTITUTE(Клиенты_исходные!D475," ",""),"-",""),"+",""),"(",""),")","")),8,2)&amp;"-"&amp;MID(IF(LEFT(SUBSTITUTE(SUBSTITUTE(SUBSTITUTE(SUBSTITUTE(SUBSTITUTE(Клиенты_исходные!D475," ",""),"-",""),"+",""),"(",""),")",""))="8","7"&amp;MID(SUBSTITUTE(SUBSTITUTE(SUBSTITUTE(SUBSTITUTE(SUBSTITUTE(Клиенты_исходные!D475," ",""),"-",""),"+",""),"(",""),")",""),2,10),SUBSTITUTE(SUBSTITUTE(SUBSTITUTE(SUBSTITUTE(SUBSTITUTE(Клиенты_исходные!D475," ",""),"-",""),"+",""),"(",""),")","")),10,2),IF(LEN(SUBSTITUTE(SUBSTITUTE(SUBSTITUTE(SUBSTITUTE(SUBSTITUTE(Клиенты_исходные!D475," ",""),"-",""),"+",""),"(",""),")",""))=10,"+7 ("&amp;MID(SUBSTITUTE(SUBSTITUTE(SUBSTITUTE(SUBSTITUTE(SUBSTITUTE(Клиенты_исходные!D475," ",""),"-",""),"+",""),"(",""),")",""),1,3)&amp;") "&amp;MID(SUBSTITUTE(SUBSTITUTE(SUBSTITUTE(SUBSTITUTE(SUBSTITUTE(Клиенты_исходные!D475," ",""),"-",""),"+",""),"(",""),")",""),4,3)&amp;"-"&amp;MID(SUBSTITUTE(SUBSTITUTE(SUBSTITUTE(SUBSTITUTE(SUBSTITUTE(Клиенты_исходные!D475," ",""),"-",""),"+",""),"(",""),")",""),6,2)&amp;"-"&amp;MID(SUBSTITUTE(SUBSTITUTE(SUBSTITUTE(SUBSTITUTE(SUBSTITUTE(Клиенты_исходные!D475," ",""),"-",""),"+",""),"(",""),")",""),8,2),Клиенты_исходные!D475)))</f>
        <v xml:space="preserve">+7 (903) 456-78-90</v>
      </c>
      <c r="E475" t="str">
        <f>IF(ISBLANK(Клиенты_исходные!E475),"",IF(ISNUMBER(FIND(".",MID(Клиенты_исходные!E475,FIND("@",Клиенты_исходные!E475)+1,255))),Клиенты_исходные!E475,IF(ISNUMBER(FIND("gmail",Клиенты_исходные!E475)),Клиенты_исходные!E475&amp;".com",Клиенты_исходные!E475&amp;".ru")))</f>
        <v>bondarenko@gmail.com</v>
      </c>
      <c r="F475" t="str">
        <f>IFERROR(VLOOKUP(Клиенты_исходные!F475,Справочники!$J$2:$K$50,2,FALSE),Клиенты_исходные!F475)</f>
        <v>Симферополь</v>
      </c>
      <c r="G475" s="8">
        <f>IFERROR(IF(ISNUMBER(FIND(".",Клиенты_исходные!G475)),DATE(RIGHT(Клиенты_исходные!G475,4),MID(Клиенты_исходные!G475,4,2),LEFT(Клиенты_исходные!G475,2)),DATE(LEFT(Клиенты_исходные!G475,4),MID(Клиенты_исходные!G475,6,2),RIGHT(Клиенты_исходные!G475,2))),Клиенты_исходные!G475)</f>
        <v>49350</v>
      </c>
      <c r="H475">
        <f t="shared" ca="1" si="67"/>
        <v>54</v>
      </c>
      <c r="I475" t="str">
        <f t="shared" si="68"/>
        <v>OK</v>
      </c>
      <c r="J475" t="str">
        <f t="shared" si="69"/>
        <v>OK</v>
      </c>
    </row>
    <row r="476">
      <c r="A476" t="str">
        <f>Клиенты_исходные!A476</f>
        <v>C0475</v>
      </c>
      <c r="B476" t="str">
        <f>PROPER(TRIM(Клиенты_исходные!B476))</f>
        <v xml:space="preserve">Белоусова Екатерина Сергеевна</v>
      </c>
      <c r="C476" s="8">
        <f>IFERROR(IF(ISNUMBER(FIND(".",Клиенты_исходные!C476)),DATE(RIGHT(Клиенты_исходные!C476,4),MID(Клиенты_исходные!C476,4,2),LEFT(Клиенты_исходные!C476,2)),DATE(LEFT(Клиенты_исходные!C476,4),MID(Клиенты_исходные!C476,6,2),RIGHT(Клиенты_исходные!C476,2))),Клиенты_исходные!C476)</f>
        <v>34174</v>
      </c>
      <c r="D476" t="str">
        <f>IF(ISBLANK(Клиенты_исходные!D476),"",IF(LEN(SUBSTITUTE(SUBSTITUTE(SUBSTITUTE(SUBSTITUTE(SUBSTITUTE(Клиенты_исходные!D476," ",""),"-",""),"+",""),"(",""),")",""))=11,"+7 ("&amp;MID(IF(LEFT(SUBSTITUTE(SUBSTITUTE(SUBSTITUTE(SUBSTITUTE(SUBSTITUTE(Клиенты_исходные!D476," ",""),"-",""),"+",""),"(",""),")",""))="8","7"&amp;MID(SUBSTITUTE(SUBSTITUTE(SUBSTITUTE(SUBSTITUTE(SUBSTITUTE(Клиенты_исходные!D476," ",""),"-",""),"+",""),"(",""),")",""),2,10),SUBSTITUTE(SUBSTITUTE(SUBSTITUTE(SUBSTITUTE(SUBSTITUTE(Клиенты_исходные!D476," ",""),"-",""),"+",""),"(",""),")","")),2,3)&amp;") "&amp;MID(IF(LEFT(SUBSTITUTE(SUBSTITUTE(SUBSTITUTE(SUBSTITUTE(SUBSTITUTE(Клиенты_исходные!D476," ",""),"-",""),"+",""),"(",""),")",""))="8","7"&amp;MID(SUBSTITUTE(SUBSTITUTE(SUBSTITUTE(SUBSTITUTE(SUBSTITUTE(Клиенты_исходные!D476," ",""),"-",""),"+",""),"(",""),")",""),2,10),SUBSTITUTE(SUBSTITUTE(SUBSTITUTE(SUBSTITUTE(SUBSTITUTE(Клиенты_исходные!D476," ",""),"-",""),"+",""),"(",""),")","")),5,3)&amp;"-"&amp;MID(IF(LEFT(SUBSTITUTE(SUBSTITUTE(SUBSTITUTE(SUBSTITUTE(SUBSTITUTE(Клиенты_исходные!D476," ",""),"-",""),"+",""),"(",""),")",""))="8","7"&amp;MID(SUBSTITUTE(SUBSTITUTE(SUBSTITUTE(SUBSTITUTE(SUBSTITUTE(Клиенты_исходные!D476," ",""),"-",""),"+",""),"(",""),")",""),2,10),SUBSTITUTE(SUBSTITUTE(SUBSTITUTE(SUBSTITUTE(SUBSTITUTE(Клиенты_исходные!D476," ",""),"-",""),"+",""),"(",""),")","")),8,2)&amp;"-"&amp;MID(IF(LEFT(SUBSTITUTE(SUBSTITUTE(SUBSTITUTE(SUBSTITUTE(SUBSTITUTE(Клиенты_исходные!D476," ",""),"-",""),"+",""),"(",""),")",""))="8","7"&amp;MID(SUBSTITUTE(SUBSTITUTE(SUBSTITUTE(SUBSTITUTE(SUBSTITUTE(Клиенты_исходные!D476," ",""),"-",""),"+",""),"(",""),")",""),2,10),SUBSTITUTE(SUBSTITUTE(SUBSTITUTE(SUBSTITUTE(SUBSTITUTE(Клиенты_исходные!D476," ",""),"-",""),"+",""),"(",""),")","")),10,2),IF(LEN(SUBSTITUTE(SUBSTITUTE(SUBSTITUTE(SUBSTITUTE(SUBSTITUTE(Клиенты_исходные!D476," ",""),"-",""),"+",""),"(",""),")",""))=10,"+7 ("&amp;MID(SUBSTITUTE(SUBSTITUTE(SUBSTITUTE(SUBSTITUTE(SUBSTITUTE(Клиенты_исходные!D476," ",""),"-",""),"+",""),"(",""),")",""),1,3)&amp;") "&amp;MID(SUBSTITUTE(SUBSTITUTE(SUBSTITUTE(SUBSTITUTE(SUBSTITUTE(Клиенты_исходные!D476," ",""),"-",""),"+",""),"(",""),")",""),4,3)&amp;"-"&amp;MID(SUBSTITUTE(SUBSTITUTE(SUBSTITUTE(SUBSTITUTE(SUBSTITUTE(Клиенты_исходные!D476," ",""),"-",""),"+",""),"(",""),")",""),6,2)&amp;"-"&amp;MID(SUBSTITUTE(SUBSTITUTE(SUBSTITUTE(SUBSTITUTE(SUBSTITUTE(Клиенты_исходные!D476," ",""),"-",""),"+",""),"(",""),")",""),8,2),Клиенты_исходные!D476)))</f>
        <v xml:space="preserve">+7 (903) 456-78-90</v>
      </c>
      <c r="E476" t="str">
        <f>IF(ISBLANK(Клиенты_исходные!E476),"",IF(ISNUMBER(FIND(".",MID(Клиенты_исходные!E476,FIND("@",Клиенты_исходные!E476)+1,255))),Клиенты_исходные!E476,IF(ISNUMBER(FIND("gmail",Клиенты_исходные!E476)),Клиенты_исходные!E476&amp;".com",Клиенты_исходные!E476&amp;".ru")))</f>
        <v>belousova@mail.ru</v>
      </c>
      <c r="F476" t="str">
        <f>IFERROR(VLOOKUP(Клиенты_исходные!F476,Справочники!$J$2:$K$50,2,FALSE),Клиенты_исходные!F476)</f>
        <v>Брянск</v>
      </c>
      <c r="G476" s="8">
        <f>IFERROR(IF(ISNUMBER(FIND(".",Клиенты_исходные!G476)),DATE(RIGHT(Клиенты_исходные!G476,4),MID(Клиенты_исходные!G476,4,2),LEFT(Клиенты_исходные!G476,2)),DATE(LEFT(Клиенты_исходные!G476,4),MID(Клиенты_исходные!G476,6,2),RIGHT(Клиенты_исходные!G476,2))),Клиенты_исходные!G476)</f>
        <v>49369</v>
      </c>
      <c r="H476">
        <f t="shared" ca="1" si="67"/>
        <v>33</v>
      </c>
      <c r="I476" t="str">
        <f t="shared" si="68"/>
        <v>OK</v>
      </c>
      <c r="J476" t="str">
        <f t="shared" si="69"/>
        <v>OK</v>
      </c>
    </row>
    <row r="477">
      <c r="A477" t="str">
        <f>Клиенты_исходные!A477</f>
        <v>C0476</v>
      </c>
      <c r="B477" t="str">
        <f>PROPER(TRIM(Клиенты_исходные!B477))</f>
        <v xml:space="preserve">Бурмистров Андрей Олегович</v>
      </c>
      <c r="C477" s="8">
        <f>IFERROR(IF(ISNUMBER(FIND(".",Клиенты_исходные!C477)),DATE(RIGHT(Клиенты_исходные!C477,4),MID(Клиенты_исходные!C477,4,2),LEFT(Клиенты_исходные!C477,2)),DATE(LEFT(Клиенты_исходные!C477,4),MID(Клиенты_исходные!C477,6,2),RIGHT(Клиенты_исходные!C477,2))),Клиенты_исходные!C477)</f>
        <v>30240</v>
      </c>
      <c r="D477" t="str">
        <f>IF(ISBLANK(Клиенты_исходные!D477),"",IF(LEN(SUBSTITUTE(SUBSTITUTE(SUBSTITUTE(SUBSTITUTE(SUBSTITUTE(Клиенты_исходные!D477," ",""),"-",""),"+",""),"(",""),")",""))=11,"+7 ("&amp;MID(IF(LEFT(SUBSTITUTE(SUBSTITUTE(SUBSTITUTE(SUBSTITUTE(SUBSTITUTE(Клиенты_исходные!D477," ",""),"-",""),"+",""),"(",""),")",""))="8","7"&amp;MID(SUBSTITUTE(SUBSTITUTE(SUBSTITUTE(SUBSTITUTE(SUBSTITUTE(Клиенты_исходные!D477," ",""),"-",""),"+",""),"(",""),")",""),2,10),SUBSTITUTE(SUBSTITUTE(SUBSTITUTE(SUBSTITUTE(SUBSTITUTE(Клиенты_исходные!D477," ",""),"-",""),"+",""),"(",""),")","")),2,3)&amp;") "&amp;MID(IF(LEFT(SUBSTITUTE(SUBSTITUTE(SUBSTITUTE(SUBSTITUTE(SUBSTITUTE(Клиенты_исходные!D477," ",""),"-",""),"+",""),"(",""),")",""))="8","7"&amp;MID(SUBSTITUTE(SUBSTITUTE(SUBSTITUTE(SUBSTITUTE(SUBSTITUTE(Клиенты_исходные!D477," ",""),"-",""),"+",""),"(",""),")",""),2,10),SUBSTITUTE(SUBSTITUTE(SUBSTITUTE(SUBSTITUTE(SUBSTITUTE(Клиенты_исходные!D477," ",""),"-",""),"+",""),"(",""),")","")),5,3)&amp;"-"&amp;MID(IF(LEFT(SUBSTITUTE(SUBSTITUTE(SUBSTITUTE(SUBSTITUTE(SUBSTITUTE(Клиенты_исходные!D477," ",""),"-",""),"+",""),"(",""),")",""))="8","7"&amp;MID(SUBSTITUTE(SUBSTITUTE(SUBSTITUTE(SUBSTITUTE(SUBSTITUTE(Клиенты_исходные!D477," ",""),"-",""),"+",""),"(",""),")",""),2,10),SUBSTITUTE(SUBSTITUTE(SUBSTITUTE(SUBSTITUTE(SUBSTITUTE(Клиенты_исходные!D477," ",""),"-",""),"+",""),"(",""),")","")),8,2)&amp;"-"&amp;MID(IF(LEFT(SUBSTITUTE(SUBSTITUTE(SUBSTITUTE(SUBSTITUTE(SUBSTITUTE(Клиенты_исходные!D477," ",""),"-",""),"+",""),"(",""),")",""))="8","7"&amp;MID(SUBSTITUTE(SUBSTITUTE(SUBSTITUTE(SUBSTITUTE(SUBSTITUTE(Клиенты_исходные!D477," ",""),"-",""),"+",""),"(",""),")",""),2,10),SUBSTITUTE(SUBSTITUTE(SUBSTITUTE(SUBSTITUTE(SUBSTITUTE(Клиенты_исходные!D477," ",""),"-",""),"+",""),"(",""),")","")),10,2),IF(LEN(SUBSTITUTE(SUBSTITUTE(SUBSTITUTE(SUBSTITUTE(SUBSTITUTE(Клиенты_исходные!D477," ",""),"-",""),"+",""),"(",""),")",""))=10,"+7 ("&amp;MID(SUBSTITUTE(SUBSTITUTE(SUBSTITUTE(SUBSTITUTE(SUBSTITUTE(Клиенты_исходные!D477," ",""),"-",""),"+",""),"(",""),")",""),1,3)&amp;") "&amp;MID(SUBSTITUTE(SUBSTITUTE(SUBSTITUTE(SUBSTITUTE(SUBSTITUTE(Клиенты_исходные!D477," ",""),"-",""),"+",""),"(",""),")",""),4,3)&amp;"-"&amp;MID(SUBSTITUTE(SUBSTITUTE(SUBSTITUTE(SUBSTITUTE(SUBSTITUTE(Клиенты_исходные!D477," ",""),"-",""),"+",""),"(",""),")",""),6,2)&amp;"-"&amp;MID(SUBSTITUTE(SUBSTITUTE(SUBSTITUTE(SUBSTITUTE(SUBSTITUTE(Клиенты_исходные!D477," ",""),"-",""),"+",""),"(",""),")",""),8,2),Клиенты_исходные!D477)))</f>
        <v xml:space="preserve">+7 (903) 456-78-90</v>
      </c>
      <c r="E477" t="str">
        <f>IF(ISBLANK(Клиенты_исходные!E477),"",IF(ISNUMBER(FIND(".",MID(Клиенты_исходные!E477,FIND("@",Клиенты_исходные!E477)+1,255))),Клиенты_исходные!E477,IF(ISNUMBER(FIND("gmail",Клиенты_исходные!E477)),Клиенты_исходные!E477&amp;".com",Клиенты_исходные!E477&amp;".ru")))</f>
        <v>burmistrov@yandex.ru</v>
      </c>
      <c r="F477" t="str">
        <f>IFERROR(VLOOKUP(Клиенты_исходные!F477,Справочники!$J$2:$K$50,2,FALSE),Клиенты_исходные!F477)</f>
        <v>Абакан</v>
      </c>
      <c r="G477" s="8">
        <f>IFERROR(IF(ISNUMBER(FIND(".",Клиенты_исходные!G477)),DATE(RIGHT(Клиенты_исходные!G477,4),MID(Клиенты_исходные!G477,4,2),LEFT(Клиенты_исходные!G477,2)),DATE(LEFT(Клиенты_исходные!G477,4),MID(Клиенты_исходные!G477,6,2),RIGHT(Клиенты_исходные!G477,2))),Клиенты_исходные!G477)</f>
        <v>49383</v>
      </c>
      <c r="H477">
        <f t="shared" ca="1" si="67"/>
        <v>43</v>
      </c>
      <c r="I477" t="str">
        <f t="shared" si="68"/>
        <v>OK</v>
      </c>
      <c r="J477" t="str">
        <f t="shared" si="69"/>
        <v>OK</v>
      </c>
    </row>
    <row r="478">
      <c r="A478" t="str">
        <f>Клиенты_исходные!A478</f>
        <v>C0477</v>
      </c>
      <c r="B478" t="str">
        <f>PROPER(TRIM(Клиенты_исходные!B478))</f>
        <v xml:space="preserve">Муратова Мария Павловна</v>
      </c>
      <c r="C478" s="8">
        <f>IFERROR(IF(ISNUMBER(FIND(".",Клиенты_исходные!C478)),DATE(RIGHT(Клиенты_исходные!C478,4),MID(Клиенты_исходные!C478,4,2),LEFT(Клиенты_исходные!C478,2)),DATE(LEFT(Клиенты_исходные!C478,4),MID(Клиенты_исходные!C478,6,2),RIGHT(Клиенты_исходные!C478,2))),Клиенты_исходные!C478)</f>
        <v>28189</v>
      </c>
      <c r="D478" t="str">
        <f>IF(ISBLANK(Клиенты_исходные!D478),"",IF(LEN(SUBSTITUTE(SUBSTITUTE(SUBSTITUTE(SUBSTITUTE(SUBSTITUTE(Клиенты_исходные!D478," ",""),"-",""),"+",""),"(",""),")",""))=11,"+7 ("&amp;MID(IF(LEFT(SUBSTITUTE(SUBSTITUTE(SUBSTITUTE(SUBSTITUTE(SUBSTITUTE(Клиенты_исходные!D478," ",""),"-",""),"+",""),"(",""),")",""))="8","7"&amp;MID(SUBSTITUTE(SUBSTITUTE(SUBSTITUTE(SUBSTITUTE(SUBSTITUTE(Клиенты_исходные!D478," ",""),"-",""),"+",""),"(",""),")",""),2,10),SUBSTITUTE(SUBSTITUTE(SUBSTITUTE(SUBSTITUTE(SUBSTITUTE(Клиенты_исходные!D478," ",""),"-",""),"+",""),"(",""),")","")),2,3)&amp;") "&amp;MID(IF(LEFT(SUBSTITUTE(SUBSTITUTE(SUBSTITUTE(SUBSTITUTE(SUBSTITUTE(Клиенты_исходные!D478," ",""),"-",""),"+",""),"(",""),")",""))="8","7"&amp;MID(SUBSTITUTE(SUBSTITUTE(SUBSTITUTE(SUBSTITUTE(SUBSTITUTE(Клиенты_исходные!D478," ",""),"-",""),"+",""),"(",""),")",""),2,10),SUBSTITUTE(SUBSTITUTE(SUBSTITUTE(SUBSTITUTE(SUBSTITUTE(Клиенты_исходные!D478," ",""),"-",""),"+",""),"(",""),")","")),5,3)&amp;"-"&amp;MID(IF(LEFT(SUBSTITUTE(SUBSTITUTE(SUBSTITUTE(SUBSTITUTE(SUBSTITUTE(Клиенты_исходные!D478," ",""),"-",""),"+",""),"(",""),")",""))="8","7"&amp;MID(SUBSTITUTE(SUBSTITUTE(SUBSTITUTE(SUBSTITUTE(SUBSTITUTE(Клиенты_исходные!D478," ",""),"-",""),"+",""),"(",""),")",""),2,10),SUBSTITUTE(SUBSTITUTE(SUBSTITUTE(SUBSTITUTE(SUBSTITUTE(Клиенты_исходные!D478," ",""),"-",""),"+",""),"(",""),")","")),8,2)&amp;"-"&amp;MID(IF(LEFT(SUBSTITUTE(SUBSTITUTE(SUBSTITUTE(SUBSTITUTE(SUBSTITUTE(Клиенты_исходные!D478," ",""),"-",""),"+",""),"(",""),")",""))="8","7"&amp;MID(SUBSTITUTE(SUBSTITUTE(SUBSTITUTE(SUBSTITUTE(SUBSTITUTE(Клиенты_исходные!D478," ",""),"-",""),"+",""),"(",""),")",""),2,10),SUBSTITUTE(SUBSTITUTE(SUBSTITUTE(SUBSTITUTE(SUBSTITUTE(Клиенты_исходные!D478," ",""),"-",""),"+",""),"(",""),")","")),10,2),IF(LEN(SUBSTITUTE(SUBSTITUTE(SUBSTITUTE(SUBSTITUTE(SUBSTITUTE(Клиенты_исходные!D478," ",""),"-",""),"+",""),"(",""),")",""))=10,"+7 ("&amp;MID(SUBSTITUTE(SUBSTITUTE(SUBSTITUTE(SUBSTITUTE(SUBSTITUTE(Клиенты_исходные!D478," ",""),"-",""),"+",""),"(",""),")",""),1,3)&amp;") "&amp;MID(SUBSTITUTE(SUBSTITUTE(SUBSTITUTE(SUBSTITUTE(SUBSTITUTE(Клиенты_исходные!D478," ",""),"-",""),"+",""),"(",""),")",""),4,3)&amp;"-"&amp;MID(SUBSTITUTE(SUBSTITUTE(SUBSTITUTE(SUBSTITUTE(SUBSTITUTE(Клиенты_исходные!D478," ",""),"-",""),"+",""),"(",""),")",""),6,2)&amp;"-"&amp;MID(SUBSTITUTE(SUBSTITUTE(SUBSTITUTE(SUBSTITUTE(SUBSTITUTE(Клиенты_исходные!D478," ",""),"-",""),"+",""),"(",""),")",""),8,2),Клиенты_исходные!D478)))</f>
        <v xml:space="preserve">+7 (903) 567-89-01</v>
      </c>
      <c r="E478" t="str">
        <f>IF(ISBLANK(Клиенты_исходные!E478),"",IF(ISNUMBER(FIND(".",MID(Клиенты_исходные!E478,FIND("@",Клиенты_исходные!E478)+1,255))),Клиенты_исходные!E478,IF(ISNUMBER(FIND("gmail",Клиенты_исходные!E478)),Клиенты_исходные!E478&amp;".com",Клиенты_исходные!E478&amp;".ru")))</f>
        <v>muratova@gmail.com</v>
      </c>
      <c r="F478" t="str">
        <f>IFERROR(VLOOKUP(Клиенты_исходные!F478,Справочники!$J$2:$K$50,2,FALSE),Клиенты_исходные!F478)</f>
        <v>Грозный</v>
      </c>
      <c r="G478" s="8">
        <f>IFERROR(IF(ISNUMBER(FIND(".",Клиенты_исходные!G478)),DATE(RIGHT(Клиенты_исходные!G478,4),MID(Клиенты_исходные!G478,4,2),LEFT(Клиенты_исходные!G478,2)),DATE(LEFT(Клиенты_исходные!G478,4),MID(Клиенты_исходные!G478,6,2),RIGHT(Клиенты_исходные!G478,2))),Клиенты_исходные!G478)</f>
        <v>49383</v>
      </c>
      <c r="H478">
        <f t="shared" ca="1" si="67"/>
        <v>49</v>
      </c>
      <c r="I478" t="str">
        <f t="shared" si="68"/>
        <v>OK</v>
      </c>
      <c r="J478" t="str">
        <f t="shared" si="69"/>
        <v>OK</v>
      </c>
    </row>
    <row r="479">
      <c r="A479" t="str">
        <f>Клиенты_исходные!A479</f>
        <v>C0478</v>
      </c>
      <c r="B479" t="str">
        <f>PROPER(TRIM(Клиенты_исходные!B479))</f>
        <v xml:space="preserve">Лазаренко Денис Викторович</v>
      </c>
      <c r="C479" s="8">
        <f>IFERROR(IF(ISNUMBER(FIND(".",Клиенты_исходные!C479)),DATE(RIGHT(Клиенты_исходные!C479,4),MID(Клиенты_исходные!C479,4,2),LEFT(Клиенты_исходные!C479,2)),DATE(LEFT(Клиенты_исходные!C479,4),MID(Клиенты_исходные!C479,6,2),RIGHT(Клиенты_исходные!C479,2))),Клиенты_исходные!C479)</f>
        <v>32503</v>
      </c>
      <c r="D479" t="str">
        <f>IF(ISBLANK(Клиенты_исходные!D479),"",IF(LEN(SUBSTITUTE(SUBSTITUTE(SUBSTITUTE(SUBSTITUTE(SUBSTITUTE(Клиенты_исходные!D479," ",""),"-",""),"+",""),"(",""),")",""))=11,"+7 ("&amp;MID(IF(LEFT(SUBSTITUTE(SUBSTITUTE(SUBSTITUTE(SUBSTITUTE(SUBSTITUTE(Клиенты_исходные!D479," ",""),"-",""),"+",""),"(",""),")",""))="8","7"&amp;MID(SUBSTITUTE(SUBSTITUTE(SUBSTITUTE(SUBSTITUTE(SUBSTITUTE(Клиенты_исходные!D479," ",""),"-",""),"+",""),"(",""),")",""),2,10),SUBSTITUTE(SUBSTITUTE(SUBSTITUTE(SUBSTITUTE(SUBSTITUTE(Клиенты_исходные!D479," ",""),"-",""),"+",""),"(",""),")","")),2,3)&amp;") "&amp;MID(IF(LEFT(SUBSTITUTE(SUBSTITUTE(SUBSTITUTE(SUBSTITUTE(SUBSTITUTE(Клиенты_исходные!D479," ",""),"-",""),"+",""),"(",""),")",""))="8","7"&amp;MID(SUBSTITUTE(SUBSTITUTE(SUBSTITUTE(SUBSTITUTE(SUBSTITUTE(Клиенты_исходные!D479," ",""),"-",""),"+",""),"(",""),")",""),2,10),SUBSTITUTE(SUBSTITUTE(SUBSTITUTE(SUBSTITUTE(SUBSTITUTE(Клиенты_исходные!D479," ",""),"-",""),"+",""),"(",""),")","")),5,3)&amp;"-"&amp;MID(IF(LEFT(SUBSTITUTE(SUBSTITUTE(SUBSTITUTE(SUBSTITUTE(SUBSTITUTE(Клиенты_исходные!D479," ",""),"-",""),"+",""),"(",""),")",""))="8","7"&amp;MID(SUBSTITUTE(SUBSTITUTE(SUBSTITUTE(SUBSTITUTE(SUBSTITUTE(Клиенты_исходные!D479," ",""),"-",""),"+",""),"(",""),")",""),2,10),SUBSTITUTE(SUBSTITUTE(SUBSTITUTE(SUBSTITUTE(SUBSTITUTE(Клиенты_исходные!D479," ",""),"-",""),"+",""),"(",""),")","")),8,2)&amp;"-"&amp;MID(IF(LEFT(SUBSTITUTE(SUBSTITUTE(SUBSTITUTE(SUBSTITUTE(SUBSTITUTE(Клиенты_исходные!D479," ",""),"-",""),"+",""),"(",""),")",""))="8","7"&amp;MID(SUBSTITUTE(SUBSTITUTE(SUBSTITUTE(SUBSTITUTE(SUBSTITUTE(Клиенты_исходные!D479," ",""),"-",""),"+",""),"(",""),")",""),2,10),SUBSTITUTE(SUBSTITUTE(SUBSTITUTE(SUBSTITUTE(SUBSTITUTE(Клиенты_исходные!D479," ",""),"-",""),"+",""),"(",""),")","")),10,2),IF(LEN(SUBSTITUTE(SUBSTITUTE(SUBSTITUTE(SUBSTITUTE(SUBSTITUTE(Клиенты_исходные!D479," ",""),"-",""),"+",""),"(",""),")",""))=10,"+7 ("&amp;MID(SUBSTITUTE(SUBSTITUTE(SUBSTITUTE(SUBSTITUTE(SUBSTITUTE(Клиенты_исходные!D479," ",""),"-",""),"+",""),"(",""),")",""),1,3)&amp;") "&amp;MID(SUBSTITUTE(SUBSTITUTE(SUBSTITUTE(SUBSTITUTE(SUBSTITUTE(Клиенты_исходные!D479," ",""),"-",""),"+",""),"(",""),")",""),4,3)&amp;"-"&amp;MID(SUBSTITUTE(SUBSTITUTE(SUBSTITUTE(SUBSTITUTE(SUBSTITUTE(Клиенты_исходные!D479," ",""),"-",""),"+",""),"(",""),")",""),6,2)&amp;"-"&amp;MID(SUBSTITUTE(SUBSTITUTE(SUBSTITUTE(SUBSTITUTE(SUBSTITUTE(Клиенты_исходные!D479," ",""),"-",""),"+",""),"(",""),")",""),8,2),Клиенты_исходные!D479)))</f>
        <v xml:space="preserve">+7 (903) 567-89-01</v>
      </c>
      <c r="E479" t="str">
        <f>IF(ISBLANK(Клиенты_исходные!E479),"",IF(ISNUMBER(FIND(".",MID(Клиенты_исходные!E479,FIND("@",Клиенты_исходные!E479)+1,255))),Клиенты_исходные!E479,IF(ISNUMBER(FIND("gmail",Клиенты_исходные!E479)),Клиенты_исходные!E479&amp;".com",Клиенты_исходные!E479&amp;".ru")))</f>
        <v>lazarenko@mail.ru</v>
      </c>
      <c r="F479" t="str">
        <f>IFERROR(VLOOKUP(Клиенты_исходные!F479,Справочники!$J$2:$K$50,2,FALSE),Клиенты_исходные!F479)</f>
        <v>Бийск</v>
      </c>
      <c r="G479" s="8">
        <f>IFERROR(IF(ISNUMBER(FIND(".",Клиенты_исходные!G479)),DATE(RIGHT(Клиенты_исходные!G479,4),MID(Клиенты_исходные!G479,4,2),LEFT(Клиенты_исходные!G479,2)),DATE(LEFT(Клиенты_исходные!G479,4),MID(Клиенты_исходные!G479,6,2),RIGHT(Клиенты_исходные!G479,2))),Клиенты_исходные!G479)</f>
        <v>49400</v>
      </c>
      <c r="H479">
        <f t="shared" ca="1" si="67"/>
        <v>37</v>
      </c>
      <c r="I479" t="str">
        <f t="shared" si="68"/>
        <v>OK</v>
      </c>
      <c r="J479" t="str">
        <f t="shared" si="69"/>
        <v>OK</v>
      </c>
    </row>
    <row r="480">
      <c r="A480" t="str">
        <f>Клиенты_исходные!A480</f>
        <v>C0479</v>
      </c>
      <c r="B480" t="str">
        <f>PROPER(TRIM(Клиенты_исходные!B480))</f>
        <v xml:space="preserve">Самарская Ольга Владимировна</v>
      </c>
      <c r="C480" s="8">
        <f>IFERROR(IF(ISNUMBER(FIND(".",Клиенты_исходные!C480)),DATE(RIGHT(Клиенты_исходные!C480,4),MID(Клиенты_исходные!C480,4,2),LEFT(Клиенты_исходные!C480,2)),DATE(LEFT(Клиенты_исходные!C480,4),MID(Клиенты_исходные!C480,6,2),RIGHT(Клиенты_исходные!C480,2))),Клиенты_исходные!C480)</f>
        <v>27163</v>
      </c>
      <c r="D480" t="str">
        <f>IF(ISBLANK(Клиенты_исходные!D480),"",IF(LEN(SUBSTITUTE(SUBSTITUTE(SUBSTITUTE(SUBSTITUTE(SUBSTITUTE(Клиенты_исходные!D480," ",""),"-",""),"+",""),"(",""),")",""))=11,"+7 ("&amp;MID(IF(LEFT(SUBSTITUTE(SUBSTITUTE(SUBSTITUTE(SUBSTITUTE(SUBSTITUTE(Клиенты_исходные!D480," ",""),"-",""),"+",""),"(",""),")",""))="8","7"&amp;MID(SUBSTITUTE(SUBSTITUTE(SUBSTITUTE(SUBSTITUTE(SUBSTITUTE(Клиенты_исходные!D480," ",""),"-",""),"+",""),"(",""),")",""),2,10),SUBSTITUTE(SUBSTITUTE(SUBSTITUTE(SUBSTITUTE(SUBSTITUTE(Клиенты_исходные!D480," ",""),"-",""),"+",""),"(",""),")","")),2,3)&amp;") "&amp;MID(IF(LEFT(SUBSTITUTE(SUBSTITUTE(SUBSTITUTE(SUBSTITUTE(SUBSTITUTE(Клиенты_исходные!D480," ",""),"-",""),"+",""),"(",""),")",""))="8","7"&amp;MID(SUBSTITUTE(SUBSTITUTE(SUBSTITUTE(SUBSTITUTE(SUBSTITUTE(Клиенты_исходные!D480," ",""),"-",""),"+",""),"(",""),")",""),2,10),SUBSTITUTE(SUBSTITUTE(SUBSTITUTE(SUBSTITUTE(SUBSTITUTE(Клиенты_исходные!D480," ",""),"-",""),"+",""),"(",""),")","")),5,3)&amp;"-"&amp;MID(IF(LEFT(SUBSTITUTE(SUBSTITUTE(SUBSTITUTE(SUBSTITUTE(SUBSTITUTE(Клиенты_исходные!D480," ",""),"-",""),"+",""),"(",""),")",""))="8","7"&amp;MID(SUBSTITUTE(SUBSTITUTE(SUBSTITUTE(SUBSTITUTE(SUBSTITUTE(Клиенты_исходные!D480," ",""),"-",""),"+",""),"(",""),")",""),2,10),SUBSTITUTE(SUBSTITUTE(SUBSTITUTE(SUBSTITUTE(SUBSTITUTE(Клиенты_исходные!D480," ",""),"-",""),"+",""),"(",""),")","")),8,2)&amp;"-"&amp;MID(IF(LEFT(SUBSTITUTE(SUBSTITUTE(SUBSTITUTE(SUBSTITUTE(SUBSTITUTE(Клиенты_исходные!D480," ",""),"-",""),"+",""),"(",""),")",""))="8","7"&amp;MID(SUBSTITUTE(SUBSTITUTE(SUBSTITUTE(SUBSTITUTE(SUBSTITUTE(Клиенты_исходные!D480," ",""),"-",""),"+",""),"(",""),")",""),2,10),SUBSTITUTE(SUBSTITUTE(SUBSTITUTE(SUBSTITUTE(SUBSTITUTE(Клиенты_исходные!D480," ",""),"-",""),"+",""),"(",""),")","")),10,2),IF(LEN(SUBSTITUTE(SUBSTITUTE(SUBSTITUTE(SUBSTITUTE(SUBSTITUTE(Клиенты_исходные!D480," ",""),"-",""),"+",""),"(",""),")",""))=10,"+7 ("&amp;MID(SUBSTITUTE(SUBSTITUTE(SUBSTITUTE(SUBSTITUTE(SUBSTITUTE(Клиенты_исходные!D480," ",""),"-",""),"+",""),"(",""),")",""),1,3)&amp;") "&amp;MID(SUBSTITUTE(SUBSTITUTE(SUBSTITUTE(SUBSTITUTE(SUBSTITUTE(Клиенты_исходные!D480," ",""),"-",""),"+",""),"(",""),")",""),4,3)&amp;"-"&amp;MID(SUBSTITUTE(SUBSTITUTE(SUBSTITUTE(SUBSTITUTE(SUBSTITUTE(Клиенты_исходные!D480," ",""),"-",""),"+",""),"(",""),")",""),6,2)&amp;"-"&amp;MID(SUBSTITUTE(SUBSTITUTE(SUBSTITUTE(SUBSTITUTE(SUBSTITUTE(Клиенты_исходные!D480," ",""),"-",""),"+",""),"(",""),")",""),8,2),Клиенты_исходные!D480)))</f>
        <v xml:space="preserve">+7 (903) 567-89-01</v>
      </c>
      <c r="E480" t="str">
        <f>IF(ISBLANK(Клиенты_исходные!E480),"",IF(ISNUMBER(FIND(".",MID(Клиенты_исходные!E480,FIND("@",Клиенты_исходные!E480)+1,255))),Клиенты_исходные!E480,IF(ISNUMBER(FIND("gmail",Клиенты_исходные!E480)),Клиенты_исходные!E480&amp;".com",Клиенты_исходные!E480&amp;".ru")))</f>
        <v>samarskaya@yandex.ru</v>
      </c>
      <c r="F480" t="str">
        <f>IFERROR(VLOOKUP(Клиенты_исходные!F480,Справочники!$J$2:$K$50,2,FALSE),Клиенты_исходные!F480)</f>
        <v>Йошкар-Ола</v>
      </c>
      <c r="G480" s="8">
        <f>IFERROR(IF(ISNUMBER(FIND(".",Клиенты_исходные!G480)),DATE(RIGHT(Клиенты_исходные!G480,4),MID(Клиенты_исходные!G480,4,2),LEFT(Клиенты_исходные!G480,2)),DATE(LEFT(Клиенты_исходные!G480,4),MID(Клиенты_исходные!G480,6,2),RIGHT(Клиенты_исходные!G480,2))),Клиенты_исходные!G480)</f>
        <v>49409</v>
      </c>
      <c r="H480">
        <f t="shared" ca="1" si="67"/>
        <v>52</v>
      </c>
      <c r="I480" t="str">
        <f t="shared" si="68"/>
        <v>OK</v>
      </c>
      <c r="J480" t="str">
        <f t="shared" si="69"/>
        <v>OK</v>
      </c>
    </row>
    <row r="481">
      <c r="A481" t="str">
        <f>Клиенты_исходные!A481</f>
        <v>C0480</v>
      </c>
      <c r="B481" t="str">
        <f>PROPER(TRIM(Клиенты_исходные!B481))</f>
        <v xml:space="preserve">Никонов Илья Александрович</v>
      </c>
      <c r="C481" s="8">
        <f>IFERROR(IF(ISNUMBER(FIND(".",Клиенты_исходные!C481)),DATE(RIGHT(Клиенты_исходные!C481,4),MID(Клиенты_исходные!C481,4,2),LEFT(Клиенты_исходные!C481,2)),DATE(LEFT(Клиенты_исходные!C481,4),MID(Клиенты_исходные!C481,6,2),RIGHT(Клиенты_исходные!C481,2))),Клиенты_исходные!C481)</f>
        <v>29441</v>
      </c>
      <c r="D481" t="str">
        <f>IF(ISBLANK(Клиенты_исходные!D481),"",IF(LEN(SUBSTITUTE(SUBSTITUTE(SUBSTITUTE(SUBSTITUTE(SUBSTITUTE(Клиенты_исходные!D481," ",""),"-",""),"+",""),"(",""),")",""))=11,"+7 ("&amp;MID(IF(LEFT(SUBSTITUTE(SUBSTITUTE(SUBSTITUTE(SUBSTITUTE(SUBSTITUTE(Клиенты_исходные!D481," ",""),"-",""),"+",""),"(",""),")",""))="8","7"&amp;MID(SUBSTITUTE(SUBSTITUTE(SUBSTITUTE(SUBSTITUTE(SUBSTITUTE(Клиенты_исходные!D481," ",""),"-",""),"+",""),"(",""),")",""),2,10),SUBSTITUTE(SUBSTITUTE(SUBSTITUTE(SUBSTITUTE(SUBSTITUTE(Клиенты_исходные!D481," ",""),"-",""),"+",""),"(",""),")","")),2,3)&amp;") "&amp;MID(IF(LEFT(SUBSTITUTE(SUBSTITUTE(SUBSTITUTE(SUBSTITUTE(SUBSTITUTE(Клиенты_исходные!D481," ",""),"-",""),"+",""),"(",""),")",""))="8","7"&amp;MID(SUBSTITUTE(SUBSTITUTE(SUBSTITUTE(SUBSTITUTE(SUBSTITUTE(Клиенты_исходные!D481," ",""),"-",""),"+",""),"(",""),")",""),2,10),SUBSTITUTE(SUBSTITUTE(SUBSTITUTE(SUBSTITUTE(SUBSTITUTE(Клиенты_исходные!D481," ",""),"-",""),"+",""),"(",""),")","")),5,3)&amp;"-"&amp;MID(IF(LEFT(SUBSTITUTE(SUBSTITUTE(SUBSTITUTE(SUBSTITUTE(SUBSTITUTE(Клиенты_исходные!D481," ",""),"-",""),"+",""),"(",""),")",""))="8","7"&amp;MID(SUBSTITUTE(SUBSTITUTE(SUBSTITUTE(SUBSTITUTE(SUBSTITUTE(Клиенты_исходные!D481," ",""),"-",""),"+",""),"(",""),")",""),2,10),SUBSTITUTE(SUBSTITUTE(SUBSTITUTE(SUBSTITUTE(SUBSTITUTE(Клиенты_исходные!D481," ",""),"-",""),"+",""),"(",""),")","")),8,2)&amp;"-"&amp;MID(IF(LEFT(SUBSTITUTE(SUBSTITUTE(SUBSTITUTE(SUBSTITUTE(SUBSTITUTE(Клиенты_исходные!D481," ",""),"-",""),"+",""),"(",""),")",""))="8","7"&amp;MID(SUBSTITUTE(SUBSTITUTE(SUBSTITUTE(SUBSTITUTE(SUBSTITUTE(Клиенты_исходные!D481," ",""),"-",""),"+",""),"(",""),")",""),2,10),SUBSTITUTE(SUBSTITUTE(SUBSTITUTE(SUBSTITUTE(SUBSTITUTE(Клиенты_исходные!D481," ",""),"-",""),"+",""),"(",""),")","")),10,2),IF(LEN(SUBSTITUTE(SUBSTITUTE(SUBSTITUTE(SUBSTITUTE(SUBSTITUTE(Клиенты_исходные!D481," ",""),"-",""),"+",""),"(",""),")",""))=10,"+7 ("&amp;MID(SUBSTITUTE(SUBSTITUTE(SUBSTITUTE(SUBSTITUTE(SUBSTITUTE(Клиенты_исходные!D481," ",""),"-",""),"+",""),"(",""),")",""),1,3)&amp;") "&amp;MID(SUBSTITUTE(SUBSTITUTE(SUBSTITUTE(SUBSTITUTE(SUBSTITUTE(Клиенты_исходные!D481," ",""),"-",""),"+",""),"(",""),")",""),4,3)&amp;"-"&amp;MID(SUBSTITUTE(SUBSTITUTE(SUBSTITUTE(SUBSTITUTE(SUBSTITUTE(Клиенты_исходные!D481," ",""),"-",""),"+",""),"(",""),")",""),6,2)&amp;"-"&amp;MID(SUBSTITUTE(SUBSTITUTE(SUBSTITUTE(SUBSTITUTE(SUBSTITUTE(Клиенты_исходные!D481," ",""),"-",""),"+",""),"(",""),")",""),8,2),Клиенты_исходные!D481)))</f>
        <v xml:space="preserve">+7 (903) 678-90-12</v>
      </c>
      <c r="E481" t="str">
        <f>IF(ISBLANK(Клиенты_исходные!E481),"",IF(ISNUMBER(FIND(".",MID(Клиенты_исходные!E481,FIND("@",Клиенты_исходные!E481)+1,255))),Клиенты_исходные!E481,IF(ISNUMBER(FIND("gmail",Клиенты_исходные!E481)),Клиенты_исходные!E481&amp;".com",Клиенты_исходные!E481&amp;".ru")))</f>
        <v>nikonov@gmail.com</v>
      </c>
      <c r="F481" t="str">
        <f>IFERROR(VLOOKUP(Клиенты_исходные!F481,Справочники!$J$2:$K$50,2,FALSE),Клиенты_исходные!F481)</f>
        <v>Курган</v>
      </c>
      <c r="G481" s="8">
        <f>IFERROR(IF(ISNUMBER(FIND(".",Клиенты_исходные!G481)),DATE(RIGHT(Клиенты_исходные!G481,4),MID(Клиенты_исходные!G481,4,2),LEFT(Клиенты_исходные!G481,2)),DATE(LEFT(Клиенты_исходные!G481,4),MID(Клиенты_исходные!G481,6,2),RIGHT(Клиенты_исходные!G481,2))),Клиенты_исходные!G481)</f>
        <v>49409</v>
      </c>
      <c r="H481">
        <f t="shared" ca="1" si="67"/>
        <v>46</v>
      </c>
      <c r="I481" t="str">
        <f t="shared" si="68"/>
        <v>OK</v>
      </c>
      <c r="J481" t="str">
        <f t="shared" si="69"/>
        <v>OK</v>
      </c>
    </row>
    <row r="482">
      <c r="A482" t="str">
        <f>Клиенты_исходные!A482</f>
        <v>C0481</v>
      </c>
      <c r="B482" t="str">
        <f>PROPER(TRIM(Клиенты_исходные!B482))</f>
        <v xml:space="preserve">Ермоленко Екатерина Сергеевна</v>
      </c>
      <c r="C482" s="8">
        <f>IFERROR(IF(ISNUMBER(FIND(".",Клиенты_исходные!C482)),DATE(RIGHT(Клиенты_исходные!C482,4),MID(Клиенты_исходные!C482,4,2),LEFT(Клиенты_исходные!C482,2)),DATE(LEFT(Клиенты_исходные!C482,4),MID(Клиенты_исходные!C482,6,2),RIGHT(Клиенты_исходные!C482,2))),Клиенты_исходные!C482)</f>
        <v>30946</v>
      </c>
      <c r="D482" t="str">
        <f>IF(ISBLANK(Клиенты_исходные!D482),"",IF(LEN(SUBSTITUTE(SUBSTITUTE(SUBSTITUTE(SUBSTITUTE(SUBSTITUTE(Клиенты_исходные!D482," ",""),"-",""),"+",""),"(",""),")",""))=11,"+7 ("&amp;MID(IF(LEFT(SUBSTITUTE(SUBSTITUTE(SUBSTITUTE(SUBSTITUTE(SUBSTITUTE(Клиенты_исходные!D482," ",""),"-",""),"+",""),"(",""),")",""))="8","7"&amp;MID(SUBSTITUTE(SUBSTITUTE(SUBSTITUTE(SUBSTITUTE(SUBSTITUTE(Клиенты_исходные!D482," ",""),"-",""),"+",""),"(",""),")",""),2,10),SUBSTITUTE(SUBSTITUTE(SUBSTITUTE(SUBSTITUTE(SUBSTITUTE(Клиенты_исходные!D482," ",""),"-",""),"+",""),"(",""),")","")),2,3)&amp;") "&amp;MID(IF(LEFT(SUBSTITUTE(SUBSTITUTE(SUBSTITUTE(SUBSTITUTE(SUBSTITUTE(Клиенты_исходные!D482," ",""),"-",""),"+",""),"(",""),")",""))="8","7"&amp;MID(SUBSTITUTE(SUBSTITUTE(SUBSTITUTE(SUBSTITUTE(SUBSTITUTE(Клиенты_исходные!D482," ",""),"-",""),"+",""),"(",""),")",""),2,10),SUBSTITUTE(SUBSTITUTE(SUBSTITUTE(SUBSTITUTE(SUBSTITUTE(Клиенты_исходные!D482," ",""),"-",""),"+",""),"(",""),")","")),5,3)&amp;"-"&amp;MID(IF(LEFT(SUBSTITUTE(SUBSTITUTE(SUBSTITUTE(SUBSTITUTE(SUBSTITUTE(Клиенты_исходные!D482," ",""),"-",""),"+",""),"(",""),")",""))="8","7"&amp;MID(SUBSTITUTE(SUBSTITUTE(SUBSTITUTE(SUBSTITUTE(SUBSTITUTE(Клиенты_исходные!D482," ",""),"-",""),"+",""),"(",""),")",""),2,10),SUBSTITUTE(SUBSTITUTE(SUBSTITUTE(SUBSTITUTE(SUBSTITUTE(Клиенты_исходные!D482," ",""),"-",""),"+",""),"(",""),")","")),8,2)&amp;"-"&amp;MID(IF(LEFT(SUBSTITUTE(SUBSTITUTE(SUBSTITUTE(SUBSTITUTE(SUBSTITUTE(Клиенты_исходные!D482," ",""),"-",""),"+",""),"(",""),")",""))="8","7"&amp;MID(SUBSTITUTE(SUBSTITUTE(SUBSTITUTE(SUBSTITUTE(SUBSTITUTE(Клиенты_исходные!D482," ",""),"-",""),"+",""),"(",""),")",""),2,10),SUBSTITUTE(SUBSTITUTE(SUBSTITUTE(SUBSTITUTE(SUBSTITUTE(Клиенты_исходные!D482," ",""),"-",""),"+",""),"(",""),")","")),10,2),IF(LEN(SUBSTITUTE(SUBSTITUTE(SUBSTITUTE(SUBSTITUTE(SUBSTITUTE(Клиенты_исходные!D482," ",""),"-",""),"+",""),"(",""),")",""))=10,"+7 ("&amp;MID(SUBSTITUTE(SUBSTITUTE(SUBSTITUTE(SUBSTITUTE(SUBSTITUTE(Клиенты_исходные!D482," ",""),"-",""),"+",""),"(",""),")",""),1,3)&amp;") "&amp;MID(SUBSTITUTE(SUBSTITUTE(SUBSTITUTE(SUBSTITUTE(SUBSTITUTE(Клиенты_исходные!D482," ",""),"-",""),"+",""),"(",""),")",""),4,3)&amp;"-"&amp;MID(SUBSTITUTE(SUBSTITUTE(SUBSTITUTE(SUBSTITUTE(SUBSTITUTE(Клиенты_исходные!D482," ",""),"-",""),"+",""),"(",""),")",""),6,2)&amp;"-"&amp;MID(SUBSTITUTE(SUBSTITUTE(SUBSTITUTE(SUBSTITUTE(SUBSTITUTE(Клиенты_исходные!D482," ",""),"-",""),"+",""),"(",""),")",""),8,2),Клиенты_исходные!D482)))</f>
        <v xml:space="preserve">+7 (903) 678-90-12</v>
      </c>
      <c r="E482" t="str">
        <f>IF(ISBLANK(Клиенты_исходные!E482),"",IF(ISNUMBER(FIND(".",MID(Клиенты_исходные!E482,FIND("@",Клиенты_исходные!E482)+1,255))),Клиенты_исходные!E482,IF(ISNUMBER(FIND("gmail",Клиенты_исходные!E482)),Клиенты_исходные!E482&amp;".com",Клиенты_исходные!E482&amp;".ru")))</f>
        <v>ermolenko@mail.ru</v>
      </c>
      <c r="F482" t="str">
        <f>IFERROR(VLOOKUP(Клиенты_исходные!F482,Справочники!$J$2:$K$50,2,FALSE),Клиенты_исходные!F482)</f>
        <v>Архангельск</v>
      </c>
      <c r="G482" s="8">
        <f>IFERROR(IF(ISNUMBER(FIND(".",Клиенты_исходные!G482)),DATE(RIGHT(Клиенты_исходные!G482,4),MID(Клиенты_исходные!G482,4,2),LEFT(Клиенты_исходные!G482,2)),DATE(LEFT(Клиенты_исходные!G482,4),MID(Клиенты_исходные!G482,6,2),RIGHT(Клиенты_исходные!G482,2))),Клиенты_исходные!G482)</f>
        <v>49430</v>
      </c>
      <c r="H482">
        <f t="shared" ca="1" si="67"/>
        <v>42</v>
      </c>
      <c r="I482" t="str">
        <f t="shared" si="68"/>
        <v>OK</v>
      </c>
      <c r="J482" t="str">
        <f t="shared" si="69"/>
        <v>OK</v>
      </c>
    </row>
    <row r="483">
      <c r="A483" t="str">
        <f>Клиенты_исходные!A483</f>
        <v>C0482</v>
      </c>
      <c r="B483" t="str">
        <f>PROPER(TRIM(Клиенты_исходные!B483))</f>
        <v xml:space="preserve">Пахомов Андрей Павлович</v>
      </c>
      <c r="C483" s="8">
        <f>IFERROR(IF(ISNUMBER(FIND(".",Клиенты_исходные!C483)),DATE(RIGHT(Клиенты_исходные!C483,4),MID(Клиенты_исходные!C483,4,2),LEFT(Клиенты_исходные!C483,2)),DATE(LEFT(Клиенты_исходные!C483,4),MID(Клиенты_исходные!C483,6,2),RIGHT(Клиенты_исходные!C483,2))),Клиенты_исходные!C483)</f>
        <v>33251</v>
      </c>
      <c r="D483" t="str">
        <f>IF(ISBLANK(Клиенты_исходные!D483),"",IF(LEN(SUBSTITUTE(SUBSTITUTE(SUBSTITUTE(SUBSTITUTE(SUBSTITUTE(Клиенты_исходные!D483," ",""),"-",""),"+",""),"(",""),")",""))=11,"+7 ("&amp;MID(IF(LEFT(SUBSTITUTE(SUBSTITUTE(SUBSTITUTE(SUBSTITUTE(SUBSTITUTE(Клиенты_исходные!D483," ",""),"-",""),"+",""),"(",""),")",""))="8","7"&amp;MID(SUBSTITUTE(SUBSTITUTE(SUBSTITUTE(SUBSTITUTE(SUBSTITUTE(Клиенты_исходные!D483," ",""),"-",""),"+",""),"(",""),")",""),2,10),SUBSTITUTE(SUBSTITUTE(SUBSTITUTE(SUBSTITUTE(SUBSTITUTE(Клиенты_исходные!D483," ",""),"-",""),"+",""),"(",""),")","")),2,3)&amp;") "&amp;MID(IF(LEFT(SUBSTITUTE(SUBSTITUTE(SUBSTITUTE(SUBSTITUTE(SUBSTITUTE(Клиенты_исходные!D483," ",""),"-",""),"+",""),"(",""),")",""))="8","7"&amp;MID(SUBSTITUTE(SUBSTITUTE(SUBSTITUTE(SUBSTITUTE(SUBSTITUTE(Клиенты_исходные!D483," ",""),"-",""),"+",""),"(",""),")",""),2,10),SUBSTITUTE(SUBSTITUTE(SUBSTITUTE(SUBSTITUTE(SUBSTITUTE(Клиенты_исходные!D483," ",""),"-",""),"+",""),"(",""),")","")),5,3)&amp;"-"&amp;MID(IF(LEFT(SUBSTITUTE(SUBSTITUTE(SUBSTITUTE(SUBSTITUTE(SUBSTITUTE(Клиенты_исходные!D483," ",""),"-",""),"+",""),"(",""),")",""))="8","7"&amp;MID(SUBSTITUTE(SUBSTITUTE(SUBSTITUTE(SUBSTITUTE(SUBSTITUTE(Клиенты_исходные!D483," ",""),"-",""),"+",""),"(",""),")",""),2,10),SUBSTITUTE(SUBSTITUTE(SUBSTITUTE(SUBSTITUTE(SUBSTITUTE(Клиенты_исходные!D483," ",""),"-",""),"+",""),"(",""),")","")),8,2)&amp;"-"&amp;MID(IF(LEFT(SUBSTITUTE(SUBSTITUTE(SUBSTITUTE(SUBSTITUTE(SUBSTITUTE(Клиенты_исходные!D483," ",""),"-",""),"+",""),"(",""),")",""))="8","7"&amp;MID(SUBSTITUTE(SUBSTITUTE(SUBSTITUTE(SUBSTITUTE(SUBSTITUTE(Клиенты_исходные!D483," ",""),"-",""),"+",""),"(",""),")",""),2,10),SUBSTITUTE(SUBSTITUTE(SUBSTITUTE(SUBSTITUTE(SUBSTITUTE(Клиенты_исходные!D483," ",""),"-",""),"+",""),"(",""),")","")),10,2),IF(LEN(SUBSTITUTE(SUBSTITUTE(SUBSTITUTE(SUBSTITUTE(SUBSTITUTE(Клиенты_исходные!D483," ",""),"-",""),"+",""),"(",""),")",""))=10,"+7 ("&amp;MID(SUBSTITUTE(SUBSTITUTE(SUBSTITUTE(SUBSTITUTE(SUBSTITUTE(Клиенты_исходные!D483," ",""),"-",""),"+",""),"(",""),")",""),1,3)&amp;") "&amp;MID(SUBSTITUTE(SUBSTITUTE(SUBSTITUTE(SUBSTITUTE(SUBSTITUTE(Клиенты_исходные!D483," ",""),"-",""),"+",""),"(",""),")",""),4,3)&amp;"-"&amp;MID(SUBSTITUTE(SUBSTITUTE(SUBSTITUTE(SUBSTITUTE(SUBSTITUTE(Клиенты_исходные!D483," ",""),"-",""),"+",""),"(",""),")",""),6,2)&amp;"-"&amp;MID(SUBSTITUTE(SUBSTITUTE(SUBSTITUTE(SUBSTITUTE(SUBSTITUTE(Клиенты_исходные!D483," ",""),"-",""),"+",""),"(",""),")",""),8,2),Клиенты_исходные!D483)))</f>
        <v xml:space="preserve">+7 (903) 678-90-12</v>
      </c>
      <c r="E483" t="str">
        <f>IF(ISBLANK(Клиенты_исходные!E483),"",IF(ISNUMBER(FIND(".",MID(Клиенты_исходные!E483,FIND("@",Клиенты_исходные!E483)+1,255))),Клиенты_исходные!E483,IF(ISNUMBER(FIND("gmail",Клиенты_исходные!E483)),Клиенты_исходные!E483&amp;".com",Клиенты_исходные!E483&amp;".ru")))</f>
        <v>pahomov@yandex.ru</v>
      </c>
      <c r="F483" t="str">
        <f>IFERROR(VLOOKUP(Клиенты_исходные!F483,Справочники!$J$2:$K$50,2,FALSE),Клиенты_исходные!F483)</f>
        <v>Благовещенск</v>
      </c>
      <c r="G483" s="8">
        <f>IFERROR(IF(ISNUMBER(FIND(".",Клиенты_исходные!G483)),DATE(RIGHT(Клиенты_исходные!G483,4),MID(Клиенты_исходные!G483,4,2),LEFT(Клиенты_исходные!G483,2)),DATE(LEFT(Клиенты_исходные!G483,4),MID(Клиенты_исходные!G483,6,2),RIGHT(Клиенты_исходные!G483,2))),Клиенты_исходные!G483)</f>
        <v>49444</v>
      </c>
      <c r="H483">
        <f t="shared" ca="1" si="67"/>
        <v>35</v>
      </c>
      <c r="I483" t="str">
        <f t="shared" si="68"/>
        <v>OK</v>
      </c>
      <c r="J483" t="str">
        <f t="shared" si="69"/>
        <v>OK</v>
      </c>
    </row>
    <row r="484">
      <c r="A484" t="str">
        <f>Клиенты_исходные!A484</f>
        <v>C0483</v>
      </c>
      <c r="B484" t="str">
        <f>PROPER(TRIM(Клиенты_исходные!B484))</f>
        <v xml:space="preserve">Рыжова Мария Олеговна</v>
      </c>
      <c r="C484" s="8">
        <f>IFERROR(IF(ISNUMBER(FIND(".",Клиенты_исходные!C484)),DATE(RIGHT(Клиенты_исходные!C484,4),MID(Клиенты_исходные!C484,4,2),LEFT(Клиенты_исходные!C484,2)),DATE(LEFT(Клиенты_исходные!C484,4),MID(Клиенты_исходные!C484,6,2),RIGHT(Клиенты_исходные!C484,2))),Клиенты_исходные!C484)</f>
        <v>27915</v>
      </c>
      <c r="D484" t="str">
        <f>IF(ISBLANK(Клиенты_исходные!D484),"",IF(LEN(SUBSTITUTE(SUBSTITUTE(SUBSTITUTE(SUBSTITUTE(SUBSTITUTE(Клиенты_исходные!D484," ",""),"-",""),"+",""),"(",""),")",""))=11,"+7 ("&amp;MID(IF(LEFT(SUBSTITUTE(SUBSTITUTE(SUBSTITUTE(SUBSTITUTE(SUBSTITUTE(Клиенты_исходные!D484," ",""),"-",""),"+",""),"(",""),")",""))="8","7"&amp;MID(SUBSTITUTE(SUBSTITUTE(SUBSTITUTE(SUBSTITUTE(SUBSTITUTE(Клиенты_исходные!D484," ",""),"-",""),"+",""),"(",""),")",""),2,10),SUBSTITUTE(SUBSTITUTE(SUBSTITUTE(SUBSTITUTE(SUBSTITUTE(Клиенты_исходные!D484," ",""),"-",""),"+",""),"(",""),")","")),2,3)&amp;") "&amp;MID(IF(LEFT(SUBSTITUTE(SUBSTITUTE(SUBSTITUTE(SUBSTITUTE(SUBSTITUTE(Клиенты_исходные!D484," ",""),"-",""),"+",""),"(",""),")",""))="8","7"&amp;MID(SUBSTITUTE(SUBSTITUTE(SUBSTITUTE(SUBSTITUTE(SUBSTITUTE(Клиенты_исходные!D484," ",""),"-",""),"+",""),"(",""),")",""),2,10),SUBSTITUTE(SUBSTITUTE(SUBSTITUTE(SUBSTITUTE(SUBSTITUTE(Клиенты_исходные!D484," ",""),"-",""),"+",""),"(",""),")","")),5,3)&amp;"-"&amp;MID(IF(LEFT(SUBSTITUTE(SUBSTITUTE(SUBSTITUTE(SUBSTITUTE(SUBSTITUTE(Клиенты_исходные!D484," ",""),"-",""),"+",""),"(",""),")",""))="8","7"&amp;MID(SUBSTITUTE(SUBSTITUTE(SUBSTITUTE(SUBSTITUTE(SUBSTITUTE(Клиенты_исходные!D484," ",""),"-",""),"+",""),"(",""),")",""),2,10),SUBSTITUTE(SUBSTITUTE(SUBSTITUTE(SUBSTITUTE(SUBSTITUTE(Клиенты_исходные!D484," ",""),"-",""),"+",""),"(",""),")","")),8,2)&amp;"-"&amp;MID(IF(LEFT(SUBSTITUTE(SUBSTITUTE(SUBSTITUTE(SUBSTITUTE(SUBSTITUTE(Клиенты_исходные!D484," ",""),"-",""),"+",""),"(",""),")",""))="8","7"&amp;MID(SUBSTITUTE(SUBSTITUTE(SUBSTITUTE(SUBSTITUTE(SUBSTITUTE(Клиенты_исходные!D484," ",""),"-",""),"+",""),"(",""),")",""),2,10),SUBSTITUTE(SUBSTITUTE(SUBSTITUTE(SUBSTITUTE(SUBSTITUTE(Клиенты_исходные!D484," ",""),"-",""),"+",""),"(",""),")","")),10,2),IF(LEN(SUBSTITUTE(SUBSTITUTE(SUBSTITUTE(SUBSTITUTE(SUBSTITUTE(Клиенты_исходные!D484," ",""),"-",""),"+",""),"(",""),")",""))=10,"+7 ("&amp;MID(SUBSTITUTE(SUBSTITUTE(SUBSTITUTE(SUBSTITUTE(SUBSTITUTE(Клиенты_исходные!D484," ",""),"-",""),"+",""),"(",""),")",""),1,3)&amp;") "&amp;MID(SUBSTITUTE(SUBSTITUTE(SUBSTITUTE(SUBSTITUTE(SUBSTITUTE(Клиенты_исходные!D484," ",""),"-",""),"+",""),"(",""),")",""),4,3)&amp;"-"&amp;MID(SUBSTITUTE(SUBSTITUTE(SUBSTITUTE(SUBSTITUTE(SUBSTITUTE(Клиенты_исходные!D484," ",""),"-",""),"+",""),"(",""),")",""),6,2)&amp;"-"&amp;MID(SUBSTITUTE(SUBSTITUTE(SUBSTITUTE(SUBSTITUTE(SUBSTITUTE(Клиенты_исходные!D484," ",""),"-",""),"+",""),"(",""),")",""),8,2),Клиенты_исходные!D484)))</f>
        <v xml:space="preserve">+7 (903) 789-01-23</v>
      </c>
      <c r="E484" t="str">
        <f>IF(ISBLANK(Клиенты_исходные!E484),"",IF(ISNUMBER(FIND(".",MID(Клиенты_исходные!E484,FIND("@",Клиенты_исходные!E484)+1,255))),Клиенты_исходные!E484,IF(ISNUMBER(FIND("gmail",Клиенты_исходные!E484)),Клиенты_исходные!E484&amp;".com",Клиенты_исходные!E484&amp;".ru")))</f>
        <v>ryzhova@gmail.com</v>
      </c>
      <c r="F484" t="str">
        <f>IFERROR(VLOOKUP(Клиенты_исходные!F484,Справочники!$J$2:$K$50,2,FALSE),Клиенты_исходные!F484)</f>
        <v>Майкоп</v>
      </c>
      <c r="G484" s="8">
        <f>IFERROR(IF(ISNUMBER(FIND(".",Клиенты_исходные!G484)),DATE(RIGHT(Клиенты_исходные!G484,4),MID(Клиенты_исходные!G484,4,2),LEFT(Клиенты_исходные!G484,2)),DATE(LEFT(Клиенты_исходные!G484,4),MID(Клиенты_исходные!G484,6,2),RIGHT(Клиенты_исходные!G484,2))),Клиенты_исходные!G484)</f>
        <v>49444</v>
      </c>
      <c r="H484">
        <f t="shared" ref="H484:H547" ca="1" si="70">DATEDIF(C484,TODAY(),"Y")</f>
        <v>50</v>
      </c>
      <c r="I484" t="str">
        <f t="shared" ref="I484:I547" si="71">IF(OR(H484&lt;18,H484&gt;80),"Ошибка даты рождения","OK")</f>
        <v>OK</v>
      </c>
      <c r="J484" t="str">
        <f t="shared" ref="J484:J547" si="72">IF(AND(ISNUMBER(FIND("@",E484)),ISNUMBER(FIND(".",MID(E484,FIND("@",E484)+1,255)))),"OK","Ошибка Email")</f>
        <v>OK</v>
      </c>
    </row>
    <row r="485">
      <c r="A485" t="str">
        <f>Клиенты_исходные!A485</f>
        <v>C0484</v>
      </c>
      <c r="B485" t="str">
        <f>PROPER(TRIM(Клиенты_исходные!B485))</f>
        <v xml:space="preserve">Ситников Денис Игоревич</v>
      </c>
      <c r="C485" s="8">
        <f>IFERROR(IF(ISNUMBER(FIND(".",Клиенты_исходные!C485)),DATE(RIGHT(Клиенты_исходные!C485,4),MID(Клиенты_исходные!C485,4,2),LEFT(Клиенты_исходные!C485,2)),DATE(LEFT(Клиенты_исходные!C485,4),MID(Клиенты_исходные!C485,6,2),RIGHT(Клиенты_исходные!C485,2))),Клиенты_исходные!C485)</f>
        <v>30647</v>
      </c>
      <c r="D485" t="str">
        <f>IF(ISBLANK(Клиенты_исходные!D485),"",IF(LEN(SUBSTITUTE(SUBSTITUTE(SUBSTITUTE(SUBSTITUTE(SUBSTITUTE(Клиенты_исходные!D485," ",""),"-",""),"+",""),"(",""),")",""))=11,"+7 ("&amp;MID(IF(LEFT(SUBSTITUTE(SUBSTITUTE(SUBSTITUTE(SUBSTITUTE(SUBSTITUTE(Клиенты_исходные!D485," ",""),"-",""),"+",""),"(",""),")",""))="8","7"&amp;MID(SUBSTITUTE(SUBSTITUTE(SUBSTITUTE(SUBSTITUTE(SUBSTITUTE(Клиенты_исходные!D485," ",""),"-",""),"+",""),"(",""),")",""),2,10),SUBSTITUTE(SUBSTITUTE(SUBSTITUTE(SUBSTITUTE(SUBSTITUTE(Клиенты_исходные!D485," ",""),"-",""),"+",""),"(",""),")","")),2,3)&amp;") "&amp;MID(IF(LEFT(SUBSTITUTE(SUBSTITUTE(SUBSTITUTE(SUBSTITUTE(SUBSTITUTE(Клиенты_исходные!D485," ",""),"-",""),"+",""),"(",""),")",""))="8","7"&amp;MID(SUBSTITUTE(SUBSTITUTE(SUBSTITUTE(SUBSTITUTE(SUBSTITUTE(Клиенты_исходные!D485," ",""),"-",""),"+",""),"(",""),")",""),2,10),SUBSTITUTE(SUBSTITUTE(SUBSTITUTE(SUBSTITUTE(SUBSTITUTE(Клиенты_исходные!D485," ",""),"-",""),"+",""),"(",""),")","")),5,3)&amp;"-"&amp;MID(IF(LEFT(SUBSTITUTE(SUBSTITUTE(SUBSTITUTE(SUBSTITUTE(SUBSTITUTE(Клиенты_исходные!D485," ",""),"-",""),"+",""),"(",""),")",""))="8","7"&amp;MID(SUBSTITUTE(SUBSTITUTE(SUBSTITUTE(SUBSTITUTE(SUBSTITUTE(Клиенты_исходные!D485," ",""),"-",""),"+",""),"(",""),")",""),2,10),SUBSTITUTE(SUBSTITUTE(SUBSTITUTE(SUBSTITUTE(SUBSTITUTE(Клиенты_исходные!D485," ",""),"-",""),"+",""),"(",""),")","")),8,2)&amp;"-"&amp;MID(IF(LEFT(SUBSTITUTE(SUBSTITUTE(SUBSTITUTE(SUBSTITUTE(SUBSTITUTE(Клиенты_исходные!D485," ",""),"-",""),"+",""),"(",""),")",""))="8","7"&amp;MID(SUBSTITUTE(SUBSTITUTE(SUBSTITUTE(SUBSTITUTE(SUBSTITUTE(Клиенты_исходные!D485," ",""),"-",""),"+",""),"(",""),")",""),2,10),SUBSTITUTE(SUBSTITUTE(SUBSTITUTE(SUBSTITUTE(SUBSTITUTE(Клиенты_исходные!D485," ",""),"-",""),"+",""),"(",""),")","")),10,2),IF(LEN(SUBSTITUTE(SUBSTITUTE(SUBSTITUTE(SUBSTITUTE(SUBSTITUTE(Клиенты_исходные!D485," ",""),"-",""),"+",""),"(",""),")",""))=10,"+7 ("&amp;MID(SUBSTITUTE(SUBSTITUTE(SUBSTITUTE(SUBSTITUTE(SUBSTITUTE(Клиенты_исходные!D485," ",""),"-",""),"+",""),"(",""),")",""),1,3)&amp;") "&amp;MID(SUBSTITUTE(SUBSTITUTE(SUBSTITUTE(SUBSTITUTE(SUBSTITUTE(Клиенты_исходные!D485," ",""),"-",""),"+",""),"(",""),")",""),4,3)&amp;"-"&amp;MID(SUBSTITUTE(SUBSTITUTE(SUBSTITUTE(SUBSTITUTE(SUBSTITUTE(Клиенты_исходные!D485," ",""),"-",""),"+",""),"(",""),")",""),6,2)&amp;"-"&amp;MID(SUBSTITUTE(SUBSTITUTE(SUBSTITUTE(SUBSTITUTE(SUBSTITUTE(Клиенты_исходные!D485," ",""),"-",""),"+",""),"(",""),")",""),8,2),Клиенты_исходные!D485)))</f>
        <v xml:space="preserve">+7 (903) 789-01-23</v>
      </c>
      <c r="E485" t="str">
        <f>IF(ISBLANK(Клиенты_исходные!E485),"",IF(ISNUMBER(FIND(".",MID(Клиенты_исходные!E485,FIND("@",Клиенты_исходные!E485)+1,255))),Клиенты_исходные!E485,IF(ISNUMBER(FIND("gmail",Клиенты_исходные!E485)),Клиенты_исходные!E485&amp;".com",Клиенты_исходные!E485&amp;".ru")))</f>
        <v>sitnikov@mail.ru</v>
      </c>
      <c r="F485" t="str">
        <f>IFERROR(VLOOKUP(Клиенты_исходные!F485,Справочники!$J$2:$K$50,2,FALSE),Клиенты_исходные!F485)</f>
        <v>Уссурийск</v>
      </c>
      <c r="G485" s="8">
        <f>IFERROR(IF(ISNUMBER(FIND(".",Клиенты_исходные!G485)),DATE(RIGHT(Клиенты_исходные!G485,4),MID(Клиенты_исходные!G485,4,2),LEFT(Клиенты_исходные!G485,2)),DATE(LEFT(Клиенты_исходные!G485,4),MID(Клиенты_исходные!G485,6,2),RIGHT(Клиенты_исходные!G485,2))),Клиенты_исходные!G485)</f>
        <v>49461</v>
      </c>
      <c r="H485">
        <f t="shared" ca="1" si="70"/>
        <v>42</v>
      </c>
      <c r="I485" t="str">
        <f t="shared" si="71"/>
        <v>OK</v>
      </c>
      <c r="J485" t="str">
        <f t="shared" si="72"/>
        <v>OK</v>
      </c>
    </row>
    <row r="486">
      <c r="A486" t="str">
        <f>Клиенты_исходные!A486</f>
        <v>C0485</v>
      </c>
      <c r="B486" t="str">
        <f>PROPER(TRIM(Клиенты_исходные!B486))</f>
        <v xml:space="preserve">Калмыкова Ольга Павловна</v>
      </c>
      <c r="C486" s="8">
        <f>IFERROR(IF(ISNUMBER(FIND(".",Клиенты_исходные!C486)),DATE(RIGHT(Клиенты_исходные!C486,4),MID(Клиенты_исходные!C486,4,2),LEFT(Клиенты_исходные!C486,2)),DATE(LEFT(Клиенты_исходные!C486,4),MID(Клиенты_исходные!C486,6,2),RIGHT(Клиенты_исходные!C486,2))),Клиенты_исходные!C486)</f>
        <v>32245</v>
      </c>
      <c r="D486" t="str">
        <f>IF(ISBLANK(Клиенты_исходные!D486),"",IF(LEN(SUBSTITUTE(SUBSTITUTE(SUBSTITUTE(SUBSTITUTE(SUBSTITUTE(Клиенты_исходные!D486," ",""),"-",""),"+",""),"(",""),")",""))=11,"+7 ("&amp;MID(IF(LEFT(SUBSTITUTE(SUBSTITUTE(SUBSTITUTE(SUBSTITUTE(SUBSTITUTE(Клиенты_исходные!D486," ",""),"-",""),"+",""),"(",""),")",""))="8","7"&amp;MID(SUBSTITUTE(SUBSTITUTE(SUBSTITUTE(SUBSTITUTE(SUBSTITUTE(Клиенты_исходные!D486," ",""),"-",""),"+",""),"(",""),")",""),2,10),SUBSTITUTE(SUBSTITUTE(SUBSTITUTE(SUBSTITUTE(SUBSTITUTE(Клиенты_исходные!D486," ",""),"-",""),"+",""),"(",""),")","")),2,3)&amp;") "&amp;MID(IF(LEFT(SUBSTITUTE(SUBSTITUTE(SUBSTITUTE(SUBSTITUTE(SUBSTITUTE(Клиенты_исходные!D486," ",""),"-",""),"+",""),"(",""),")",""))="8","7"&amp;MID(SUBSTITUTE(SUBSTITUTE(SUBSTITUTE(SUBSTITUTE(SUBSTITUTE(Клиенты_исходные!D486," ",""),"-",""),"+",""),"(",""),")",""),2,10),SUBSTITUTE(SUBSTITUTE(SUBSTITUTE(SUBSTITUTE(SUBSTITUTE(Клиенты_исходные!D486," ",""),"-",""),"+",""),"(",""),")","")),5,3)&amp;"-"&amp;MID(IF(LEFT(SUBSTITUTE(SUBSTITUTE(SUBSTITUTE(SUBSTITUTE(SUBSTITUTE(Клиенты_исходные!D486," ",""),"-",""),"+",""),"(",""),")",""))="8","7"&amp;MID(SUBSTITUTE(SUBSTITUTE(SUBSTITUTE(SUBSTITUTE(SUBSTITUTE(Клиенты_исходные!D486," ",""),"-",""),"+",""),"(",""),")",""),2,10),SUBSTITUTE(SUBSTITUTE(SUBSTITUTE(SUBSTITUTE(SUBSTITUTE(Клиенты_исходные!D486," ",""),"-",""),"+",""),"(",""),")","")),8,2)&amp;"-"&amp;MID(IF(LEFT(SUBSTITUTE(SUBSTITUTE(SUBSTITUTE(SUBSTITUTE(SUBSTITUTE(Клиенты_исходные!D486," ",""),"-",""),"+",""),"(",""),")",""))="8","7"&amp;MID(SUBSTITUTE(SUBSTITUTE(SUBSTITUTE(SUBSTITUTE(SUBSTITUTE(Клиенты_исходные!D486," ",""),"-",""),"+",""),"(",""),")",""),2,10),SUBSTITUTE(SUBSTITUTE(SUBSTITUTE(SUBSTITUTE(SUBSTITUTE(Клиенты_исходные!D486," ",""),"-",""),"+",""),"(",""),")","")),10,2),IF(LEN(SUBSTITUTE(SUBSTITUTE(SUBSTITUTE(SUBSTITUTE(SUBSTITUTE(Клиенты_исходные!D486," ",""),"-",""),"+",""),"(",""),")",""))=10,"+7 ("&amp;MID(SUBSTITUTE(SUBSTITUTE(SUBSTITUTE(SUBSTITUTE(SUBSTITUTE(Клиенты_исходные!D486," ",""),"-",""),"+",""),"(",""),")",""),1,3)&amp;") "&amp;MID(SUBSTITUTE(SUBSTITUTE(SUBSTITUTE(SUBSTITUTE(SUBSTITUTE(Клиенты_исходные!D486," ",""),"-",""),"+",""),"(",""),")",""),4,3)&amp;"-"&amp;MID(SUBSTITUTE(SUBSTITUTE(SUBSTITUTE(SUBSTITUTE(SUBSTITUTE(Клиенты_исходные!D486," ",""),"-",""),"+",""),"(",""),")",""),6,2)&amp;"-"&amp;MID(SUBSTITUTE(SUBSTITUTE(SUBSTITUTE(SUBSTITUTE(SUBSTITUTE(Клиенты_исходные!D486," ",""),"-",""),"+",""),"(",""),")",""),8,2),Клиенты_исходные!D486)))</f>
        <v xml:space="preserve">+7 (903) 789-01-23</v>
      </c>
      <c r="E486" t="str">
        <f>IF(ISBLANK(Клиенты_исходные!E486),"",IF(ISNUMBER(FIND(".",MID(Клиенты_исходные!E486,FIND("@",Клиенты_исходные!E486)+1,255))),Клиенты_исходные!E486,IF(ISNUMBER(FIND("gmail",Клиенты_исходные!E486)),Клиенты_исходные!E486&amp;".com",Клиенты_исходные!E486&amp;".ru")))</f>
        <v>kalmykova@yandex.ru</v>
      </c>
      <c r="F486" t="str">
        <f>IFERROR(VLOOKUP(Клиенты_исходные!F486,Справочники!$J$2:$K$50,2,FALSE),Клиенты_исходные!F486)</f>
        <v>Миасс</v>
      </c>
      <c r="G486" s="8">
        <f>IFERROR(IF(ISNUMBER(FIND(".",Клиенты_исходные!G486)),DATE(RIGHT(Клиенты_исходные!G486,4),MID(Клиенты_исходные!G486,4,2),LEFT(Клиенты_исходные!G486,2)),DATE(LEFT(Клиенты_исходные!G486,4),MID(Клиенты_исходные!G486,6,2),RIGHT(Клиенты_исходные!G486,2))),Клиенты_исходные!G486)</f>
        <v>49470</v>
      </c>
      <c r="H486">
        <f t="shared" ca="1" si="70"/>
        <v>38</v>
      </c>
      <c r="I486" t="str">
        <f t="shared" si="71"/>
        <v>OK</v>
      </c>
      <c r="J486" t="str">
        <f t="shared" si="72"/>
        <v>OK</v>
      </c>
    </row>
    <row r="487">
      <c r="A487" t="str">
        <f>Клиенты_исходные!A487</f>
        <v>C0486</v>
      </c>
      <c r="B487" t="str">
        <f>PROPER(TRIM(Клиенты_исходные!B487))</f>
        <v xml:space="preserve">Зуев Илья Викторович</v>
      </c>
      <c r="C487" s="8">
        <f>IFERROR(IF(ISNUMBER(FIND(".",Клиенты_исходные!C487)),DATE(RIGHT(Клиенты_исходные!C487,4),MID(Клиенты_исходные!C487,4,2),LEFT(Клиенты_исходные!C487,2)),DATE(LEFT(Клиенты_исходные!C487,4),MID(Клиенты_исходные!C487,6,2),RIGHT(Клиенты_исходные!C487,2))),Клиенты_исходные!C487)</f>
        <v>26481</v>
      </c>
      <c r="D487" t="str">
        <f>IF(ISBLANK(Клиенты_исходные!D487),"",IF(LEN(SUBSTITUTE(SUBSTITUTE(SUBSTITUTE(SUBSTITUTE(SUBSTITUTE(Клиенты_исходные!D487," ",""),"-",""),"+",""),"(",""),")",""))=11,"+7 ("&amp;MID(IF(LEFT(SUBSTITUTE(SUBSTITUTE(SUBSTITUTE(SUBSTITUTE(SUBSTITUTE(Клиенты_исходные!D487," ",""),"-",""),"+",""),"(",""),")",""))="8","7"&amp;MID(SUBSTITUTE(SUBSTITUTE(SUBSTITUTE(SUBSTITUTE(SUBSTITUTE(Клиенты_исходные!D487," ",""),"-",""),"+",""),"(",""),")",""),2,10),SUBSTITUTE(SUBSTITUTE(SUBSTITUTE(SUBSTITUTE(SUBSTITUTE(Клиенты_исходные!D487," ",""),"-",""),"+",""),"(",""),")","")),2,3)&amp;") "&amp;MID(IF(LEFT(SUBSTITUTE(SUBSTITUTE(SUBSTITUTE(SUBSTITUTE(SUBSTITUTE(Клиенты_исходные!D487," ",""),"-",""),"+",""),"(",""),")",""))="8","7"&amp;MID(SUBSTITUTE(SUBSTITUTE(SUBSTITUTE(SUBSTITUTE(SUBSTITUTE(Клиенты_исходные!D487," ",""),"-",""),"+",""),"(",""),")",""),2,10),SUBSTITUTE(SUBSTITUTE(SUBSTITUTE(SUBSTITUTE(SUBSTITUTE(Клиенты_исходные!D487," ",""),"-",""),"+",""),"(",""),")","")),5,3)&amp;"-"&amp;MID(IF(LEFT(SUBSTITUTE(SUBSTITUTE(SUBSTITUTE(SUBSTITUTE(SUBSTITUTE(Клиенты_исходные!D487," ",""),"-",""),"+",""),"(",""),")",""))="8","7"&amp;MID(SUBSTITUTE(SUBSTITUTE(SUBSTITUTE(SUBSTITUTE(SUBSTITUTE(Клиенты_исходные!D487," ",""),"-",""),"+",""),"(",""),")",""),2,10),SUBSTITUTE(SUBSTITUTE(SUBSTITUTE(SUBSTITUTE(SUBSTITUTE(Клиенты_исходные!D487," ",""),"-",""),"+",""),"(",""),")","")),8,2)&amp;"-"&amp;MID(IF(LEFT(SUBSTITUTE(SUBSTITUTE(SUBSTITUTE(SUBSTITUTE(SUBSTITUTE(Клиенты_исходные!D487," ",""),"-",""),"+",""),"(",""),")",""))="8","7"&amp;MID(SUBSTITUTE(SUBSTITUTE(SUBSTITUTE(SUBSTITUTE(SUBSTITUTE(Клиенты_исходные!D487," ",""),"-",""),"+",""),"(",""),")",""),2,10),SUBSTITUTE(SUBSTITUTE(SUBSTITUTE(SUBSTITUTE(SUBSTITUTE(Клиенты_исходные!D487," ",""),"-",""),"+",""),"(",""),")","")),10,2),IF(LEN(SUBSTITUTE(SUBSTITUTE(SUBSTITUTE(SUBSTITUTE(SUBSTITUTE(Клиенты_исходные!D487," ",""),"-",""),"+",""),"(",""),")",""))=10,"+7 ("&amp;MID(SUBSTITUTE(SUBSTITUTE(SUBSTITUTE(SUBSTITUTE(SUBSTITUTE(Клиенты_исходные!D487," ",""),"-",""),"+",""),"(",""),")",""),1,3)&amp;") "&amp;MID(SUBSTITUTE(SUBSTITUTE(SUBSTITUTE(SUBSTITUTE(SUBSTITUTE(Клиенты_исходные!D487," ",""),"-",""),"+",""),"(",""),")",""),4,3)&amp;"-"&amp;MID(SUBSTITUTE(SUBSTITUTE(SUBSTITUTE(SUBSTITUTE(SUBSTITUTE(Клиенты_исходные!D487," ",""),"-",""),"+",""),"(",""),")",""),6,2)&amp;"-"&amp;MID(SUBSTITUTE(SUBSTITUTE(SUBSTITUTE(SUBSTITUTE(SUBSTITUTE(Клиенты_исходные!D487," ",""),"-",""),"+",""),"(",""),")",""),8,2),Клиенты_исходные!D487)))</f>
        <v xml:space="preserve">+7 (903) 890-12-34</v>
      </c>
      <c r="E487" t="str">
        <f>IF(ISBLANK(Клиенты_исходные!E487),"",IF(ISNUMBER(FIND(".",MID(Клиенты_исходные!E487,FIND("@",Клиенты_исходные!E487)+1,255))),Клиенты_исходные!E487,IF(ISNUMBER(FIND("gmail",Клиенты_исходные!E487)),Клиенты_исходные!E487&amp;".com",Клиенты_исходные!E487&amp;".ru")))</f>
        <v>zuev@gmail.com</v>
      </c>
      <c r="F487" t="str">
        <f>IFERROR(VLOOKUP(Клиенты_исходные!F487,Справочники!$J$2:$K$50,2,FALSE),Клиенты_исходные!F487)</f>
        <v>Кызыл</v>
      </c>
      <c r="G487" s="8">
        <f>IFERROR(IF(ISNUMBER(FIND(".",Клиенты_исходные!G487)),DATE(RIGHT(Клиенты_исходные!G487,4),MID(Клиенты_исходные!G487,4,2),LEFT(Клиенты_исходные!G487,2)),DATE(LEFT(Клиенты_исходные!G487,4),MID(Клиенты_исходные!G487,6,2),RIGHT(Клиенты_исходные!G487,2))),Клиенты_исходные!G487)</f>
        <v>49470</v>
      </c>
      <c r="H487">
        <f t="shared" ca="1" si="70"/>
        <v>54</v>
      </c>
      <c r="I487" t="str">
        <f t="shared" si="71"/>
        <v>OK</v>
      </c>
      <c r="J487" t="str">
        <f t="shared" si="72"/>
        <v>OK</v>
      </c>
    </row>
    <row r="488">
      <c r="A488" t="str">
        <f>Клиенты_исходные!A488</f>
        <v>C0487</v>
      </c>
      <c r="B488" t="str">
        <f>PROPER(TRIM(Клиенты_исходные!B488))</f>
        <v xml:space="preserve">Прокопьева Елена Сергеевна</v>
      </c>
      <c r="C488" s="8">
        <f>IFERROR(IF(ISNUMBER(FIND(".",Клиенты_исходные!C488)),DATE(RIGHT(Клиенты_исходные!C488,4),MID(Клиенты_исходные!C488,4,2),LEFT(Клиенты_исходные!C488,2)),DATE(LEFT(Клиенты_исходные!C488,4),MID(Клиенты_исходные!C488,6,2),RIGHT(Клиенты_исходные!C488,2))),Клиенты_исходные!C488)</f>
        <v>28781</v>
      </c>
      <c r="D488" t="str">
        <f>IF(ISBLANK(Клиенты_исходные!D488),"",IF(LEN(SUBSTITUTE(SUBSTITUTE(SUBSTITUTE(SUBSTITUTE(SUBSTITUTE(Клиенты_исходные!D488," ",""),"-",""),"+",""),"(",""),")",""))=11,"+7 ("&amp;MID(IF(LEFT(SUBSTITUTE(SUBSTITUTE(SUBSTITUTE(SUBSTITUTE(SUBSTITUTE(Клиенты_исходные!D488," ",""),"-",""),"+",""),"(",""),")",""))="8","7"&amp;MID(SUBSTITUTE(SUBSTITUTE(SUBSTITUTE(SUBSTITUTE(SUBSTITUTE(Клиенты_исходные!D488," ",""),"-",""),"+",""),"(",""),")",""),2,10),SUBSTITUTE(SUBSTITUTE(SUBSTITUTE(SUBSTITUTE(SUBSTITUTE(Клиенты_исходные!D488," ",""),"-",""),"+",""),"(",""),")","")),2,3)&amp;") "&amp;MID(IF(LEFT(SUBSTITUTE(SUBSTITUTE(SUBSTITUTE(SUBSTITUTE(SUBSTITUTE(Клиенты_исходные!D488," ",""),"-",""),"+",""),"(",""),")",""))="8","7"&amp;MID(SUBSTITUTE(SUBSTITUTE(SUBSTITUTE(SUBSTITUTE(SUBSTITUTE(Клиенты_исходные!D488," ",""),"-",""),"+",""),"(",""),")",""),2,10),SUBSTITUTE(SUBSTITUTE(SUBSTITUTE(SUBSTITUTE(SUBSTITUTE(Клиенты_исходные!D488," ",""),"-",""),"+",""),"(",""),")","")),5,3)&amp;"-"&amp;MID(IF(LEFT(SUBSTITUTE(SUBSTITUTE(SUBSTITUTE(SUBSTITUTE(SUBSTITUTE(Клиенты_исходные!D488," ",""),"-",""),"+",""),"(",""),")",""))="8","7"&amp;MID(SUBSTITUTE(SUBSTITUTE(SUBSTITUTE(SUBSTITUTE(SUBSTITUTE(Клиенты_исходные!D488," ",""),"-",""),"+",""),"(",""),")",""),2,10),SUBSTITUTE(SUBSTITUTE(SUBSTITUTE(SUBSTITUTE(SUBSTITUTE(Клиенты_исходные!D488," ",""),"-",""),"+",""),"(",""),")","")),8,2)&amp;"-"&amp;MID(IF(LEFT(SUBSTITUTE(SUBSTITUTE(SUBSTITUTE(SUBSTITUTE(SUBSTITUTE(Клиенты_исходные!D488," ",""),"-",""),"+",""),"(",""),")",""))="8","7"&amp;MID(SUBSTITUTE(SUBSTITUTE(SUBSTITUTE(SUBSTITUTE(SUBSTITUTE(Клиенты_исходные!D488," ",""),"-",""),"+",""),"(",""),")",""),2,10),SUBSTITUTE(SUBSTITUTE(SUBSTITUTE(SUBSTITUTE(SUBSTITUTE(Клиенты_исходные!D488," ",""),"-",""),"+",""),"(",""),")","")),10,2),IF(LEN(SUBSTITUTE(SUBSTITUTE(SUBSTITUTE(SUBSTITUTE(SUBSTITUTE(Клиенты_исходные!D488," ",""),"-",""),"+",""),"(",""),")",""))=10,"+7 ("&amp;MID(SUBSTITUTE(SUBSTITUTE(SUBSTITUTE(SUBSTITUTE(SUBSTITUTE(Клиенты_исходные!D488," ",""),"-",""),"+",""),"(",""),")",""),1,3)&amp;") "&amp;MID(SUBSTITUTE(SUBSTITUTE(SUBSTITUTE(SUBSTITUTE(SUBSTITUTE(Клиенты_исходные!D488," ",""),"-",""),"+",""),"(",""),")",""),4,3)&amp;"-"&amp;MID(SUBSTITUTE(SUBSTITUTE(SUBSTITUTE(SUBSTITUTE(SUBSTITUTE(Клиенты_исходные!D488," ",""),"-",""),"+",""),"(",""),")",""),6,2)&amp;"-"&amp;MID(SUBSTITUTE(SUBSTITUTE(SUBSTITUTE(SUBSTITUTE(SUBSTITUTE(Клиенты_исходные!D488," ",""),"-",""),"+",""),"(",""),")",""),8,2),Клиенты_исходные!D488)))</f>
        <v xml:space="preserve">+7 (903) 890-12-34</v>
      </c>
      <c r="E488" t="str">
        <f>IF(ISBLANK(Клиенты_исходные!E488),"",IF(ISNUMBER(FIND(".",MID(Клиенты_исходные!E488,FIND("@",Клиенты_исходные!E488)+1,255))),Клиенты_исходные!E488,IF(ISNUMBER(FIND("gmail",Клиенты_исходные!E488)),Клиенты_исходные!E488&amp;".com",Клиенты_исходные!E488&amp;".ru")))</f>
        <v>prokopyeva@mail.ru</v>
      </c>
      <c r="F488" t="str">
        <f>IFERROR(VLOOKUP(Клиенты_исходные!F488,Справочники!$J$2:$K$50,2,FALSE),Клиенты_исходные!F488)</f>
        <v>Калининград</v>
      </c>
      <c r="G488" s="8">
        <f>IFERROR(IF(ISNUMBER(FIND(".",Клиенты_исходные!G488)),DATE(RIGHT(Клиенты_исходные!G488,4),MID(Клиенты_исходные!G488,4,2),LEFT(Клиенты_исходные!G488,2)),DATE(LEFT(Клиенты_исходные!G488,4),MID(Клиенты_исходные!G488,6,2),RIGHT(Клиенты_исходные!G488,2))),Клиенты_исходные!G488)</f>
        <v>49491</v>
      </c>
      <c r="H488">
        <f t="shared" ca="1" si="70"/>
        <v>47</v>
      </c>
      <c r="I488" t="str">
        <f t="shared" si="71"/>
        <v>OK</v>
      </c>
      <c r="J488" t="str">
        <f t="shared" si="72"/>
        <v>OK</v>
      </c>
    </row>
    <row r="489">
      <c r="A489" t="str">
        <f>Клиенты_исходные!A489</f>
        <v>C0488</v>
      </c>
      <c r="B489" t="str">
        <f>PROPER(TRIM(Клиенты_исходные!B489))</f>
        <v xml:space="preserve">Сухарев Андрей Олегович</v>
      </c>
      <c r="C489" s="8">
        <f>IFERROR(IF(ISNUMBER(FIND(".",Клиенты_исходные!C489)),DATE(RIGHT(Клиенты_исходные!C489,4),MID(Клиенты_исходные!C489,4,2),LEFT(Клиенты_исходные!C489,2)),DATE(LEFT(Клиенты_исходные!C489,4),MID(Клиенты_исходные!C489,6,2),RIGHT(Клиенты_исходные!C489,2))),Клиенты_исходные!C489)</f>
        <v>31094</v>
      </c>
      <c r="D489" t="str">
        <f>IF(ISBLANK(Клиенты_исходные!D489),"",IF(LEN(SUBSTITUTE(SUBSTITUTE(SUBSTITUTE(SUBSTITUTE(SUBSTITUTE(Клиенты_исходные!D489," ",""),"-",""),"+",""),"(",""),")",""))=11,"+7 ("&amp;MID(IF(LEFT(SUBSTITUTE(SUBSTITUTE(SUBSTITUTE(SUBSTITUTE(SUBSTITUTE(Клиенты_исходные!D489," ",""),"-",""),"+",""),"(",""),")",""))="8","7"&amp;MID(SUBSTITUTE(SUBSTITUTE(SUBSTITUTE(SUBSTITUTE(SUBSTITUTE(Клиенты_исходные!D489," ",""),"-",""),"+",""),"(",""),")",""),2,10),SUBSTITUTE(SUBSTITUTE(SUBSTITUTE(SUBSTITUTE(SUBSTITUTE(Клиенты_исходные!D489," ",""),"-",""),"+",""),"(",""),")","")),2,3)&amp;") "&amp;MID(IF(LEFT(SUBSTITUTE(SUBSTITUTE(SUBSTITUTE(SUBSTITUTE(SUBSTITUTE(Клиенты_исходные!D489," ",""),"-",""),"+",""),"(",""),")",""))="8","7"&amp;MID(SUBSTITUTE(SUBSTITUTE(SUBSTITUTE(SUBSTITUTE(SUBSTITUTE(Клиенты_исходные!D489," ",""),"-",""),"+",""),"(",""),")",""),2,10),SUBSTITUTE(SUBSTITUTE(SUBSTITUTE(SUBSTITUTE(SUBSTITUTE(Клиенты_исходные!D489," ",""),"-",""),"+",""),"(",""),")","")),5,3)&amp;"-"&amp;MID(IF(LEFT(SUBSTITUTE(SUBSTITUTE(SUBSTITUTE(SUBSTITUTE(SUBSTITUTE(Клиенты_исходные!D489," ",""),"-",""),"+",""),"(",""),")",""))="8","7"&amp;MID(SUBSTITUTE(SUBSTITUTE(SUBSTITUTE(SUBSTITUTE(SUBSTITUTE(Клиенты_исходные!D489," ",""),"-",""),"+",""),"(",""),")",""),2,10),SUBSTITUTE(SUBSTITUTE(SUBSTITUTE(SUBSTITUTE(SUBSTITUTE(Клиенты_исходные!D489," ",""),"-",""),"+",""),"(",""),")","")),8,2)&amp;"-"&amp;MID(IF(LEFT(SUBSTITUTE(SUBSTITUTE(SUBSTITUTE(SUBSTITUTE(SUBSTITUTE(Клиенты_исходные!D489," ",""),"-",""),"+",""),"(",""),")",""))="8","7"&amp;MID(SUBSTITUTE(SUBSTITUTE(SUBSTITUTE(SUBSTITUTE(SUBSTITUTE(Клиенты_исходные!D489," ",""),"-",""),"+",""),"(",""),")",""),2,10),SUBSTITUTE(SUBSTITUTE(SUBSTITUTE(SUBSTITUTE(SUBSTITUTE(Клиенты_исходные!D489," ",""),"-",""),"+",""),"(",""),")","")),10,2),IF(LEN(SUBSTITUTE(SUBSTITUTE(SUBSTITUTE(SUBSTITUTE(SUBSTITUTE(Клиенты_исходные!D489," ",""),"-",""),"+",""),"(",""),")",""))=10,"+7 ("&amp;MID(SUBSTITUTE(SUBSTITUTE(SUBSTITUTE(SUBSTITUTE(SUBSTITUTE(Клиенты_исходные!D489," ",""),"-",""),"+",""),"(",""),")",""),1,3)&amp;") "&amp;MID(SUBSTITUTE(SUBSTITUTE(SUBSTITUTE(SUBSTITUTE(SUBSTITUTE(Клиенты_исходные!D489," ",""),"-",""),"+",""),"(",""),")",""),4,3)&amp;"-"&amp;MID(SUBSTITUTE(SUBSTITUTE(SUBSTITUTE(SUBSTITUTE(SUBSTITUTE(Клиенты_исходные!D489," ",""),"-",""),"+",""),"(",""),")",""),6,2)&amp;"-"&amp;MID(SUBSTITUTE(SUBSTITUTE(SUBSTITUTE(SUBSTITUTE(SUBSTITUTE(Клиенты_исходные!D489," ",""),"-",""),"+",""),"(",""),")",""),8,2),Клиенты_исходные!D489)))</f>
        <v xml:space="preserve">+7 (903) 890-12-34</v>
      </c>
      <c r="E489" t="str">
        <f>IF(ISBLANK(Клиенты_исходные!E489),"",IF(ISNUMBER(FIND(".",MID(Клиенты_исходные!E489,FIND("@",Клиенты_исходные!E489)+1,255))),Клиенты_исходные!E489,IF(ISNUMBER(FIND("gmail",Клиенты_исходные!E489)),Клиенты_исходные!E489&amp;".com",Клиенты_исходные!E489&amp;".ru")))</f>
        <v>suharev@yandex.ru</v>
      </c>
      <c r="F489" t="str">
        <f>IFERROR(VLOOKUP(Клиенты_исходные!F489,Справочники!$J$2:$K$50,2,FALSE),Клиенты_исходные!F489)</f>
        <v>Петрозаводск</v>
      </c>
      <c r="G489" s="8">
        <f>IFERROR(IF(ISNUMBER(FIND(".",Клиенты_исходные!G489)),DATE(RIGHT(Клиенты_исходные!G489,4),MID(Клиенты_исходные!G489,4,2),LEFT(Клиенты_исходные!G489,2)),DATE(LEFT(Клиенты_исходные!G489,4),MID(Клиенты_исходные!G489,6,2),RIGHT(Клиенты_исходные!G489,2))),Клиенты_исходные!G489)</f>
        <v>49505</v>
      </c>
      <c r="H489">
        <f t="shared" ca="1" si="70"/>
        <v>41</v>
      </c>
      <c r="I489" t="str">
        <f t="shared" si="71"/>
        <v>OK</v>
      </c>
      <c r="J489" t="str">
        <f t="shared" si="72"/>
        <v>OK</v>
      </c>
    </row>
    <row r="490">
      <c r="A490" t="str">
        <f>Клиенты_исходные!A490</f>
        <v>C0489</v>
      </c>
      <c r="B490" t="str">
        <f>PROPER(TRIM(Клиенты_исходные!B490))</f>
        <v xml:space="preserve">Меньшова Мария Владимировна</v>
      </c>
      <c r="C490" s="8">
        <f>IFERROR(IF(ISNUMBER(FIND(".",Клиенты_исходные!C490)),DATE(RIGHT(Клиенты_исходные!C490,4),MID(Клиенты_исходные!C490,4,2),LEFT(Клиенты_исходные!C490,2)),DATE(LEFT(Клиенты_исходные!C490,4),MID(Клиенты_исходные!C490,6,2),RIGHT(Клиенты_исходные!C490,2))),Клиенты_исходные!C490)</f>
        <v>33845</v>
      </c>
      <c r="D490" t="str">
        <f>IF(ISBLANK(Клиенты_исходные!D490),"",IF(LEN(SUBSTITUTE(SUBSTITUTE(SUBSTITUTE(SUBSTITUTE(SUBSTITUTE(Клиенты_исходные!D490," ",""),"-",""),"+",""),"(",""),")",""))=11,"+7 ("&amp;MID(IF(LEFT(SUBSTITUTE(SUBSTITUTE(SUBSTITUTE(SUBSTITUTE(SUBSTITUTE(Клиенты_исходные!D490," ",""),"-",""),"+",""),"(",""),")",""))="8","7"&amp;MID(SUBSTITUTE(SUBSTITUTE(SUBSTITUTE(SUBSTITUTE(SUBSTITUTE(Клиенты_исходные!D490," ",""),"-",""),"+",""),"(",""),")",""),2,10),SUBSTITUTE(SUBSTITUTE(SUBSTITUTE(SUBSTITUTE(SUBSTITUTE(Клиенты_исходные!D490," ",""),"-",""),"+",""),"(",""),")","")),2,3)&amp;") "&amp;MID(IF(LEFT(SUBSTITUTE(SUBSTITUTE(SUBSTITUTE(SUBSTITUTE(SUBSTITUTE(Клиенты_исходные!D490," ",""),"-",""),"+",""),"(",""),")",""))="8","7"&amp;MID(SUBSTITUTE(SUBSTITUTE(SUBSTITUTE(SUBSTITUTE(SUBSTITUTE(Клиенты_исходные!D490," ",""),"-",""),"+",""),"(",""),")",""),2,10),SUBSTITUTE(SUBSTITUTE(SUBSTITUTE(SUBSTITUTE(SUBSTITUTE(Клиенты_исходные!D490," ",""),"-",""),"+",""),"(",""),")","")),5,3)&amp;"-"&amp;MID(IF(LEFT(SUBSTITUTE(SUBSTITUTE(SUBSTITUTE(SUBSTITUTE(SUBSTITUTE(Клиенты_исходные!D490," ",""),"-",""),"+",""),"(",""),")",""))="8","7"&amp;MID(SUBSTITUTE(SUBSTITUTE(SUBSTITUTE(SUBSTITUTE(SUBSTITUTE(Клиенты_исходные!D490," ",""),"-",""),"+",""),"(",""),")",""),2,10),SUBSTITUTE(SUBSTITUTE(SUBSTITUTE(SUBSTITUTE(SUBSTITUTE(Клиенты_исходные!D490," ",""),"-",""),"+",""),"(",""),")","")),8,2)&amp;"-"&amp;MID(IF(LEFT(SUBSTITUTE(SUBSTITUTE(SUBSTITUTE(SUBSTITUTE(SUBSTITUTE(Клиенты_исходные!D490," ",""),"-",""),"+",""),"(",""),")",""))="8","7"&amp;MID(SUBSTITUTE(SUBSTITUTE(SUBSTITUTE(SUBSTITUTE(SUBSTITUTE(Клиенты_исходные!D490," ",""),"-",""),"+",""),"(",""),")",""),2,10),SUBSTITUTE(SUBSTITUTE(SUBSTITUTE(SUBSTITUTE(SUBSTITUTE(Клиенты_исходные!D490," ",""),"-",""),"+",""),"(",""),")","")),10,2),IF(LEN(SUBSTITUTE(SUBSTITUTE(SUBSTITUTE(SUBSTITUTE(SUBSTITUTE(Клиенты_исходные!D490," ",""),"-",""),"+",""),"(",""),")",""))=10,"+7 ("&amp;MID(SUBSTITUTE(SUBSTITUTE(SUBSTITUTE(SUBSTITUTE(SUBSTITUTE(Клиенты_исходные!D490," ",""),"-",""),"+",""),"(",""),")",""),1,3)&amp;") "&amp;MID(SUBSTITUTE(SUBSTITUTE(SUBSTITUTE(SUBSTITUTE(SUBSTITUTE(Клиенты_исходные!D490," ",""),"-",""),"+",""),"(",""),")",""),4,3)&amp;"-"&amp;MID(SUBSTITUTE(SUBSTITUTE(SUBSTITUTE(SUBSTITUTE(SUBSTITUTE(Клиенты_исходные!D490," ",""),"-",""),"+",""),"(",""),")",""),6,2)&amp;"-"&amp;MID(SUBSTITUTE(SUBSTITUTE(SUBSTITUTE(SUBSTITUTE(SUBSTITUTE(Клиенты_исходные!D490," ",""),"-",""),"+",""),"(",""),")",""),8,2),Клиенты_исходные!D490)))</f>
        <v xml:space="preserve">+7 (903) 901-23-45</v>
      </c>
      <c r="E490" t="str">
        <f>IF(ISBLANK(Клиенты_исходные!E490),"",IF(ISNUMBER(FIND(".",MID(Клиенты_исходные!E490,FIND("@",Клиенты_исходные!E490)+1,255))),Клиенты_исходные!E490,IF(ISNUMBER(FIND("gmail",Клиенты_исходные!E490)),Клиенты_исходные!E490&amp;".com",Клиенты_исходные!E490&amp;".ru")))</f>
        <v>menshova@gmail.com</v>
      </c>
      <c r="F490" t="str">
        <f>IFERROR(VLOOKUP(Клиенты_исходные!F490,Справочники!$J$2:$K$50,2,FALSE),Клиенты_исходные!F490)</f>
        <v>Рубцовск</v>
      </c>
      <c r="G490" s="8">
        <f>IFERROR(IF(ISNUMBER(FIND(".",Клиенты_исходные!G490)),DATE(RIGHT(Клиенты_исходные!G490,4),MID(Клиенты_исходные!G490,4,2),LEFT(Клиенты_исходные!G490,2)),DATE(LEFT(Клиенты_исходные!G490,4),MID(Клиенты_исходные!G490,6,2),RIGHT(Клиенты_исходные!G490,2))),Клиенты_исходные!G490)</f>
        <v>49505</v>
      </c>
      <c r="H490">
        <f t="shared" ca="1" si="70"/>
        <v>34</v>
      </c>
      <c r="I490" t="str">
        <f t="shared" si="71"/>
        <v>OK</v>
      </c>
      <c r="J490" t="str">
        <f t="shared" si="72"/>
        <v>OK</v>
      </c>
    </row>
    <row r="491">
      <c r="A491" t="str">
        <f>Клиенты_исходные!A491</f>
        <v>C0490</v>
      </c>
      <c r="B491" t="str">
        <f>PROPER(TRIM(Клиенты_исходные!B491))</f>
        <v xml:space="preserve">Пискунов Денис Сергеевич</v>
      </c>
      <c r="C491" s="8">
        <f>IFERROR(IF(ISNUMBER(FIND(".",Клиенты_исходные!C491)),DATE(RIGHT(Клиенты_исходные!C491,4),MID(Клиенты_исходные!C491,4,2),LEFT(Клиенты_исходные!C491,2)),DATE(LEFT(Клиенты_исходные!C491,4),MID(Клиенты_исходные!C491,6,2),RIGHT(Клиенты_исходные!C491,2))),Клиенты_исходные!C491)</f>
        <v>28481</v>
      </c>
      <c r="D491" t="str">
        <f>IF(ISBLANK(Клиенты_исходные!D491),"",IF(LEN(SUBSTITUTE(SUBSTITUTE(SUBSTITUTE(SUBSTITUTE(SUBSTITUTE(Клиенты_исходные!D491," ",""),"-",""),"+",""),"(",""),")",""))=11,"+7 ("&amp;MID(IF(LEFT(SUBSTITUTE(SUBSTITUTE(SUBSTITUTE(SUBSTITUTE(SUBSTITUTE(Клиенты_исходные!D491," ",""),"-",""),"+",""),"(",""),")",""))="8","7"&amp;MID(SUBSTITUTE(SUBSTITUTE(SUBSTITUTE(SUBSTITUTE(SUBSTITUTE(Клиенты_исходные!D491," ",""),"-",""),"+",""),"(",""),")",""),2,10),SUBSTITUTE(SUBSTITUTE(SUBSTITUTE(SUBSTITUTE(SUBSTITUTE(Клиенты_исходные!D491," ",""),"-",""),"+",""),"(",""),")","")),2,3)&amp;") "&amp;MID(IF(LEFT(SUBSTITUTE(SUBSTITUTE(SUBSTITUTE(SUBSTITUTE(SUBSTITUTE(Клиенты_исходные!D491," ",""),"-",""),"+",""),"(",""),")",""))="8","7"&amp;MID(SUBSTITUTE(SUBSTITUTE(SUBSTITUTE(SUBSTITUTE(SUBSTITUTE(Клиенты_исходные!D491," ",""),"-",""),"+",""),"(",""),")",""),2,10),SUBSTITUTE(SUBSTITUTE(SUBSTITUTE(SUBSTITUTE(SUBSTITUTE(Клиенты_исходные!D491," ",""),"-",""),"+",""),"(",""),")","")),5,3)&amp;"-"&amp;MID(IF(LEFT(SUBSTITUTE(SUBSTITUTE(SUBSTITUTE(SUBSTITUTE(SUBSTITUTE(Клиенты_исходные!D491," ",""),"-",""),"+",""),"(",""),")",""))="8","7"&amp;MID(SUBSTITUTE(SUBSTITUTE(SUBSTITUTE(SUBSTITUTE(SUBSTITUTE(Клиенты_исходные!D491," ",""),"-",""),"+",""),"(",""),")",""),2,10),SUBSTITUTE(SUBSTITUTE(SUBSTITUTE(SUBSTITUTE(SUBSTITUTE(Клиенты_исходные!D491," ",""),"-",""),"+",""),"(",""),")","")),8,2)&amp;"-"&amp;MID(IF(LEFT(SUBSTITUTE(SUBSTITUTE(SUBSTITUTE(SUBSTITUTE(SUBSTITUTE(Клиенты_исходные!D491," ",""),"-",""),"+",""),"(",""),")",""))="8","7"&amp;MID(SUBSTITUTE(SUBSTITUTE(SUBSTITUTE(SUBSTITUTE(SUBSTITUTE(Клиенты_исходные!D491," ",""),"-",""),"+",""),"(",""),")",""),2,10),SUBSTITUTE(SUBSTITUTE(SUBSTITUTE(SUBSTITUTE(SUBSTITUTE(Клиенты_исходные!D491," ",""),"-",""),"+",""),"(",""),")","")),10,2),IF(LEN(SUBSTITUTE(SUBSTITUTE(SUBSTITUTE(SUBSTITUTE(SUBSTITUTE(Клиенты_исходные!D491," ",""),"-",""),"+",""),"(",""),")",""))=10,"+7 ("&amp;MID(SUBSTITUTE(SUBSTITUTE(SUBSTITUTE(SUBSTITUTE(SUBSTITUTE(Клиенты_исходные!D491," ",""),"-",""),"+",""),"(",""),")",""),1,3)&amp;") "&amp;MID(SUBSTITUTE(SUBSTITUTE(SUBSTITUTE(SUBSTITUTE(SUBSTITUTE(Клиенты_исходные!D491," ",""),"-",""),"+",""),"(",""),")",""),4,3)&amp;"-"&amp;MID(SUBSTITUTE(SUBSTITUTE(SUBSTITUTE(SUBSTITUTE(SUBSTITUTE(Клиенты_исходные!D491," ",""),"-",""),"+",""),"(",""),")",""),6,2)&amp;"-"&amp;MID(SUBSTITUTE(SUBSTITUTE(SUBSTITUTE(SUBSTITUTE(SUBSTITUTE(Клиенты_исходные!D491," ",""),"-",""),"+",""),"(",""),")",""),8,2),Клиенты_исходные!D491)))</f>
        <v xml:space="preserve">+7 (903) 901-23-45</v>
      </c>
      <c r="E491" t="str">
        <f>IF(ISBLANK(Клиенты_исходные!E491),"",IF(ISNUMBER(FIND(".",MID(Клиенты_исходные!E491,FIND("@",Клиенты_исходные!E491)+1,255))),Клиенты_исходные!E491,IF(ISNUMBER(FIND("gmail",Клиенты_исходные!E491)),Клиенты_исходные!E491&amp;".com",Клиенты_исходные!E491&amp;".ru")))</f>
        <v>piskunov@mail.ru</v>
      </c>
      <c r="F491" t="str">
        <f>IFERROR(VLOOKUP(Клиенты_исходные!F491,Справочники!$J$2:$K$50,2,FALSE),Клиенты_исходные!F491)</f>
        <v>Элиста</v>
      </c>
      <c r="G491" s="8">
        <f>IFERROR(IF(ISNUMBER(FIND(".",Клиенты_исходные!G491)),DATE(RIGHT(Клиенты_исходные!G491,4),MID(Клиенты_исходные!G491,4,2),LEFT(Клиенты_исходные!G491,2)),DATE(LEFT(Клиенты_исходные!G491,4),MID(Клиенты_исходные!G491,6,2),RIGHT(Клиенты_исходные!G491,2))),Клиенты_исходные!G491)</f>
        <v>49522</v>
      </c>
      <c r="H491">
        <f t="shared" ca="1" si="70"/>
        <v>48</v>
      </c>
      <c r="I491" t="str">
        <f t="shared" si="71"/>
        <v>OK</v>
      </c>
      <c r="J491" t="str">
        <f t="shared" si="72"/>
        <v>OK</v>
      </c>
    </row>
    <row r="492">
      <c r="A492" t="str">
        <f>Клиенты_исходные!A492</f>
        <v>C0491</v>
      </c>
      <c r="B492" t="str">
        <f>PROPER(TRIM(Клиенты_исходные!B492))</f>
        <v xml:space="preserve">Соболева Ольга Алексеевна</v>
      </c>
      <c r="C492" s="8">
        <f>IFERROR(IF(ISNUMBER(FIND(".",Клиенты_исходные!C492)),DATE(RIGHT(Клиенты_исходные!C492,4),MID(Клиенты_исходные!C492,4,2),LEFT(Клиенты_исходные!C492,2)),DATE(LEFT(Клиенты_исходные!C492,4),MID(Клиенты_исходные!C492,6,2),RIGHT(Клиенты_исходные!C492,2))),Клиенты_исходные!C492)</f>
        <v>29350</v>
      </c>
      <c r="D492" t="str">
        <f>IF(ISBLANK(Клиенты_исходные!D492),"",IF(LEN(SUBSTITUTE(SUBSTITUTE(SUBSTITUTE(SUBSTITUTE(SUBSTITUTE(Клиенты_исходные!D492," ",""),"-",""),"+",""),"(",""),")",""))=11,"+7 ("&amp;MID(IF(LEFT(SUBSTITUTE(SUBSTITUTE(SUBSTITUTE(SUBSTITUTE(SUBSTITUTE(Клиенты_исходные!D492," ",""),"-",""),"+",""),"(",""),")",""))="8","7"&amp;MID(SUBSTITUTE(SUBSTITUTE(SUBSTITUTE(SUBSTITUTE(SUBSTITUTE(Клиенты_исходные!D492," ",""),"-",""),"+",""),"(",""),")",""),2,10),SUBSTITUTE(SUBSTITUTE(SUBSTITUTE(SUBSTITUTE(SUBSTITUTE(Клиенты_исходные!D492," ",""),"-",""),"+",""),"(",""),")","")),2,3)&amp;") "&amp;MID(IF(LEFT(SUBSTITUTE(SUBSTITUTE(SUBSTITUTE(SUBSTITUTE(SUBSTITUTE(Клиенты_исходные!D492," ",""),"-",""),"+",""),"(",""),")",""))="8","7"&amp;MID(SUBSTITUTE(SUBSTITUTE(SUBSTITUTE(SUBSTITUTE(SUBSTITUTE(Клиенты_исходные!D492," ",""),"-",""),"+",""),"(",""),")",""),2,10),SUBSTITUTE(SUBSTITUTE(SUBSTITUTE(SUBSTITUTE(SUBSTITUTE(Клиенты_исходные!D492," ",""),"-",""),"+",""),"(",""),")","")),5,3)&amp;"-"&amp;MID(IF(LEFT(SUBSTITUTE(SUBSTITUTE(SUBSTITUTE(SUBSTITUTE(SUBSTITUTE(Клиенты_исходные!D492," ",""),"-",""),"+",""),"(",""),")",""))="8","7"&amp;MID(SUBSTITUTE(SUBSTITUTE(SUBSTITUTE(SUBSTITUTE(SUBSTITUTE(Клиенты_исходные!D492," ",""),"-",""),"+",""),"(",""),")",""),2,10),SUBSTITUTE(SUBSTITUTE(SUBSTITUTE(SUBSTITUTE(SUBSTITUTE(Клиенты_исходные!D492," ",""),"-",""),"+",""),"(",""),")","")),8,2)&amp;"-"&amp;MID(IF(LEFT(SUBSTITUTE(SUBSTITUTE(SUBSTITUTE(SUBSTITUTE(SUBSTITUTE(Клиенты_исходные!D492," ",""),"-",""),"+",""),"(",""),")",""))="8","7"&amp;MID(SUBSTITUTE(SUBSTITUTE(SUBSTITUTE(SUBSTITUTE(SUBSTITUTE(Клиенты_исходные!D492," ",""),"-",""),"+",""),"(",""),")",""),2,10),SUBSTITUTE(SUBSTITUTE(SUBSTITUTE(SUBSTITUTE(SUBSTITUTE(Клиенты_исходные!D492," ",""),"-",""),"+",""),"(",""),")","")),10,2),IF(LEN(SUBSTITUTE(SUBSTITUTE(SUBSTITUTE(SUBSTITUTE(SUBSTITUTE(Клиенты_исходные!D492," ",""),"-",""),"+",""),"(",""),")",""))=10,"+7 ("&amp;MID(SUBSTITUTE(SUBSTITUTE(SUBSTITUTE(SUBSTITUTE(SUBSTITUTE(Клиенты_исходные!D492," ",""),"-",""),"+",""),"(",""),")",""),1,3)&amp;") "&amp;MID(SUBSTITUTE(SUBSTITUTE(SUBSTITUTE(SUBSTITUTE(SUBSTITUTE(Клиенты_исходные!D492," ",""),"-",""),"+",""),"(",""),")",""),4,3)&amp;"-"&amp;MID(SUBSTITUTE(SUBSTITUTE(SUBSTITUTE(SUBSTITUTE(SUBSTITUTE(Клиенты_исходные!D492," ",""),"-",""),"+",""),"(",""),")",""),6,2)&amp;"-"&amp;MID(SUBSTITUTE(SUBSTITUTE(SUBSTITUTE(SUBSTITUTE(SUBSTITUTE(Клиенты_исходные!D492," ",""),"-",""),"+",""),"(",""),")",""),8,2),Клиенты_исходные!D492)))</f>
        <v xml:space="preserve">+7 (903) 901-23-45</v>
      </c>
      <c r="E492" t="str">
        <f>IF(ISBLANK(Клиенты_исходные!E492),"",IF(ISNUMBER(FIND(".",MID(Клиенты_исходные!E492,FIND("@",Клиенты_исходные!E492)+1,255))),Клиенты_исходные!E492,IF(ISNUMBER(FIND("gmail",Клиенты_исходные!E492)),Клиенты_исходные!E492&amp;".com",Клиенты_исходные!E492&amp;".ru")))</f>
        <v>soboleva@yandex.ru</v>
      </c>
      <c r="F492" t="str">
        <f>IFERROR(VLOOKUP(Клиенты_исходные!F492,Справочники!$J$2:$K$50,2,FALSE),Клиенты_исходные!F492)</f>
        <v>Орск</v>
      </c>
      <c r="G492" s="8">
        <f>IFERROR(IF(ISNUMBER(FIND(".",Клиенты_исходные!G492)),DATE(RIGHT(Клиенты_исходные!G492,4),MID(Клиенты_исходные!G492,4,2),LEFT(Клиенты_исходные!G492,2)),DATE(LEFT(Клиенты_исходные!G492,4),MID(Клиенты_исходные!G492,6,2),RIGHT(Клиенты_исходные!G492,2))),Клиенты_исходные!G492)</f>
        <v>49531</v>
      </c>
      <c r="H492">
        <f t="shared" ca="1" si="70"/>
        <v>46</v>
      </c>
      <c r="I492" t="str">
        <f t="shared" si="71"/>
        <v>OK</v>
      </c>
      <c r="J492" t="str">
        <f t="shared" si="72"/>
        <v>OK</v>
      </c>
    </row>
    <row r="493">
      <c r="A493" t="str">
        <f>Клиенты_исходные!A493</f>
        <v>C0492</v>
      </c>
      <c r="B493" t="str">
        <f>PROPER(TRIM(Клиенты_исходные!B493))</f>
        <v xml:space="preserve">Черкесов Илья Николаевич</v>
      </c>
      <c r="C493" s="8">
        <f>IFERROR(IF(ISNUMBER(FIND(".",Клиенты_исходные!C493)),DATE(RIGHT(Клиенты_исходные!C493,4),MID(Клиенты_исходные!C493,4,2),LEFT(Клиенты_исходные!C493,2)),DATE(LEFT(Клиенты_исходные!C493,4),MID(Клиенты_исходные!C493,6,2),RIGHT(Клиенты_исходные!C493,2))),Клиенты_исходные!C493)</f>
        <v>31231</v>
      </c>
      <c r="D493" t="str">
        <f>IF(ISBLANK(Клиенты_исходные!D493),"",IF(LEN(SUBSTITUTE(SUBSTITUTE(SUBSTITUTE(SUBSTITUTE(SUBSTITUTE(Клиенты_исходные!D493," ",""),"-",""),"+",""),"(",""),")",""))=11,"+7 ("&amp;MID(IF(LEFT(SUBSTITUTE(SUBSTITUTE(SUBSTITUTE(SUBSTITUTE(SUBSTITUTE(Клиенты_исходные!D493," ",""),"-",""),"+",""),"(",""),")",""))="8","7"&amp;MID(SUBSTITUTE(SUBSTITUTE(SUBSTITUTE(SUBSTITUTE(SUBSTITUTE(Клиенты_исходные!D493," ",""),"-",""),"+",""),"(",""),")",""),2,10),SUBSTITUTE(SUBSTITUTE(SUBSTITUTE(SUBSTITUTE(SUBSTITUTE(Клиенты_исходные!D493," ",""),"-",""),"+",""),"(",""),")","")),2,3)&amp;") "&amp;MID(IF(LEFT(SUBSTITUTE(SUBSTITUTE(SUBSTITUTE(SUBSTITUTE(SUBSTITUTE(Клиенты_исходные!D493," ",""),"-",""),"+",""),"(",""),")",""))="8","7"&amp;MID(SUBSTITUTE(SUBSTITUTE(SUBSTITUTE(SUBSTITUTE(SUBSTITUTE(Клиенты_исходные!D493," ",""),"-",""),"+",""),"(",""),")",""),2,10),SUBSTITUTE(SUBSTITUTE(SUBSTITUTE(SUBSTITUTE(SUBSTITUTE(Клиенты_исходные!D493," ",""),"-",""),"+",""),"(",""),")","")),5,3)&amp;"-"&amp;MID(IF(LEFT(SUBSTITUTE(SUBSTITUTE(SUBSTITUTE(SUBSTITUTE(SUBSTITUTE(Клиенты_исходные!D493," ",""),"-",""),"+",""),"(",""),")",""))="8","7"&amp;MID(SUBSTITUTE(SUBSTITUTE(SUBSTITUTE(SUBSTITUTE(SUBSTITUTE(Клиенты_исходные!D493," ",""),"-",""),"+",""),"(",""),")",""),2,10),SUBSTITUTE(SUBSTITUTE(SUBSTITUTE(SUBSTITUTE(SUBSTITUTE(Клиенты_исходные!D493," ",""),"-",""),"+",""),"(",""),")","")),8,2)&amp;"-"&amp;MID(IF(LEFT(SUBSTITUTE(SUBSTITUTE(SUBSTITUTE(SUBSTITUTE(SUBSTITUTE(Клиенты_исходные!D493," ",""),"-",""),"+",""),"(",""),")",""))="8","7"&amp;MID(SUBSTITUTE(SUBSTITUTE(SUBSTITUTE(SUBSTITUTE(SUBSTITUTE(Клиенты_исходные!D493," ",""),"-",""),"+",""),"(",""),")",""),2,10),SUBSTITUTE(SUBSTITUTE(SUBSTITUTE(SUBSTITUTE(SUBSTITUTE(Клиенты_исходные!D493," ",""),"-",""),"+",""),"(",""),")","")),10,2),IF(LEN(SUBSTITUTE(SUBSTITUTE(SUBSTITUTE(SUBSTITUTE(SUBSTITUTE(Клиенты_исходные!D493," ",""),"-",""),"+",""),"(",""),")",""))=10,"+7 ("&amp;MID(SUBSTITUTE(SUBSTITUTE(SUBSTITUTE(SUBSTITUTE(SUBSTITUTE(Клиенты_исходные!D493," ",""),"-",""),"+",""),"(",""),")",""),1,3)&amp;") "&amp;MID(SUBSTITUTE(SUBSTITUTE(SUBSTITUTE(SUBSTITUTE(SUBSTITUTE(Клиенты_исходные!D493," ",""),"-",""),"+",""),"(",""),")",""),4,3)&amp;"-"&amp;MID(SUBSTITUTE(SUBSTITUTE(SUBSTITUTE(SUBSTITUTE(SUBSTITUTE(Клиенты_исходные!D493," ",""),"-",""),"+",""),"(",""),")",""),6,2)&amp;"-"&amp;MID(SUBSTITUTE(SUBSTITUTE(SUBSTITUTE(SUBSTITUTE(SUBSTITUTE(Клиенты_исходные!D493," ",""),"-",""),"+",""),"(",""),")",""),8,2),Клиенты_исходные!D493)))</f>
        <v xml:space="preserve">+7 (903) 012-34-56</v>
      </c>
      <c r="E493" t="str">
        <f>IF(ISBLANK(Клиенты_исходные!E493),"",IF(ISNUMBER(FIND(".",MID(Клиенты_исходные!E493,FIND("@",Клиенты_исходные!E493)+1,255))),Клиенты_исходные!E493,IF(ISNUMBER(FIND("gmail",Клиенты_исходные!E493)),Клиенты_исходные!E493&amp;".com",Клиенты_исходные!E493&amp;".ru")))</f>
        <v>cherkesov@gmail.com</v>
      </c>
      <c r="F493" t="str">
        <f>IFERROR(VLOOKUP(Клиенты_исходные!F493,Справочники!$J$2:$K$50,2,FALSE),Клиенты_исходные!F493)</f>
        <v>Нижневартовск</v>
      </c>
      <c r="G493" s="8">
        <f>IFERROR(IF(ISNUMBER(FIND(".",Клиенты_исходные!G493)),DATE(RIGHT(Клиенты_исходные!G493,4),MID(Клиенты_исходные!G493,4,2),LEFT(Клиенты_исходные!G493,2)),DATE(LEFT(Клиенты_исходные!G493,4),MID(Клиенты_исходные!G493,6,2),RIGHT(Клиенты_исходные!G493,2))),Клиенты_исходные!G493)</f>
        <v>49531</v>
      </c>
      <c r="H493">
        <f t="shared" ca="1" si="70"/>
        <v>41</v>
      </c>
      <c r="I493" t="str">
        <f t="shared" si="71"/>
        <v>OK</v>
      </c>
      <c r="J493" t="str">
        <f t="shared" si="72"/>
        <v>OK</v>
      </c>
    </row>
    <row r="494">
      <c r="A494" t="str">
        <f>Клиенты_исходные!A494</f>
        <v>C0493</v>
      </c>
      <c r="B494" t="str">
        <f>PROPER(TRIM(Клиенты_исходные!B494))</f>
        <v xml:space="preserve">Ракитина Екатерина Павловна</v>
      </c>
      <c r="C494" s="8">
        <f>IFERROR(IF(ISNUMBER(FIND(".",Клиенты_исходные!C494)),DATE(RIGHT(Клиенты_исходные!C494,4),MID(Клиенты_исходные!C494,4,2),LEFT(Клиенты_исходные!C494,2)),DATE(LEFT(Клиенты_исходные!C494,4),MID(Клиенты_исходные!C494,6,2),RIGHT(Клиенты_исходные!C494,2))),Клиенты_исходные!C494)</f>
        <v>32890</v>
      </c>
      <c r="D494" t="str">
        <f>IF(ISBLANK(Клиенты_исходные!D494),"",IF(LEN(SUBSTITUTE(SUBSTITUTE(SUBSTITUTE(SUBSTITUTE(SUBSTITUTE(Клиенты_исходные!D494," ",""),"-",""),"+",""),"(",""),")",""))=11,"+7 ("&amp;MID(IF(LEFT(SUBSTITUTE(SUBSTITUTE(SUBSTITUTE(SUBSTITUTE(SUBSTITUTE(Клиенты_исходные!D494," ",""),"-",""),"+",""),"(",""),")",""))="8","7"&amp;MID(SUBSTITUTE(SUBSTITUTE(SUBSTITUTE(SUBSTITUTE(SUBSTITUTE(Клиенты_исходные!D494," ",""),"-",""),"+",""),"(",""),")",""),2,10),SUBSTITUTE(SUBSTITUTE(SUBSTITUTE(SUBSTITUTE(SUBSTITUTE(Клиенты_исходные!D494," ",""),"-",""),"+",""),"(",""),")","")),2,3)&amp;") "&amp;MID(IF(LEFT(SUBSTITUTE(SUBSTITUTE(SUBSTITUTE(SUBSTITUTE(SUBSTITUTE(Клиенты_исходные!D494," ",""),"-",""),"+",""),"(",""),")",""))="8","7"&amp;MID(SUBSTITUTE(SUBSTITUTE(SUBSTITUTE(SUBSTITUTE(SUBSTITUTE(Клиенты_исходные!D494," ",""),"-",""),"+",""),"(",""),")",""),2,10),SUBSTITUTE(SUBSTITUTE(SUBSTITUTE(SUBSTITUTE(SUBSTITUTE(Клиенты_исходные!D494," ",""),"-",""),"+",""),"(",""),")","")),5,3)&amp;"-"&amp;MID(IF(LEFT(SUBSTITUTE(SUBSTITUTE(SUBSTITUTE(SUBSTITUTE(SUBSTITUTE(Клиенты_исходные!D494," ",""),"-",""),"+",""),"(",""),")",""))="8","7"&amp;MID(SUBSTITUTE(SUBSTITUTE(SUBSTITUTE(SUBSTITUTE(SUBSTITUTE(Клиенты_исходные!D494," ",""),"-",""),"+",""),"(",""),")",""),2,10),SUBSTITUTE(SUBSTITUTE(SUBSTITUTE(SUBSTITUTE(SUBSTITUTE(Клиенты_исходные!D494," ",""),"-",""),"+",""),"(",""),")","")),8,2)&amp;"-"&amp;MID(IF(LEFT(SUBSTITUTE(SUBSTITUTE(SUBSTITUTE(SUBSTITUTE(SUBSTITUTE(Клиенты_исходные!D494," ",""),"-",""),"+",""),"(",""),")",""))="8","7"&amp;MID(SUBSTITUTE(SUBSTITUTE(SUBSTITUTE(SUBSTITUTE(SUBSTITUTE(Клиенты_исходные!D494," ",""),"-",""),"+",""),"(",""),")",""),2,10),SUBSTITUTE(SUBSTITUTE(SUBSTITUTE(SUBSTITUTE(SUBSTITUTE(Клиенты_исходные!D494," ",""),"-",""),"+",""),"(",""),")","")),10,2),IF(LEN(SUBSTITUTE(SUBSTITUTE(SUBSTITUTE(SUBSTITUTE(SUBSTITUTE(Клиенты_исходные!D494," ",""),"-",""),"+",""),"(",""),")",""))=10,"+7 ("&amp;MID(SUBSTITUTE(SUBSTITUTE(SUBSTITUTE(SUBSTITUTE(SUBSTITUTE(Клиенты_исходные!D494," ",""),"-",""),"+",""),"(",""),")",""),1,3)&amp;") "&amp;MID(SUBSTITUTE(SUBSTITUTE(SUBSTITUTE(SUBSTITUTE(SUBSTITUTE(Клиенты_исходные!D494," ",""),"-",""),"+",""),"(",""),")",""),4,3)&amp;"-"&amp;MID(SUBSTITUTE(SUBSTITUTE(SUBSTITUTE(SUBSTITUTE(SUBSTITUTE(Клиенты_исходные!D494," ",""),"-",""),"+",""),"(",""),")",""),6,2)&amp;"-"&amp;MID(SUBSTITUTE(SUBSTITUTE(SUBSTITUTE(SUBSTITUTE(SUBSTITUTE(Клиенты_исходные!D494," ",""),"-",""),"+",""),"(",""),")",""),8,2),Клиенты_исходные!D494)))</f>
        <v xml:space="preserve">+7 (903) 012-34-56</v>
      </c>
      <c r="E494" t="str">
        <f>IF(ISBLANK(Клиенты_исходные!E494),"",IF(ISNUMBER(FIND(".",MID(Клиенты_исходные!E494,FIND("@",Клиенты_исходные!E494)+1,255))),Клиенты_исходные!E494,IF(ISNUMBER(FIND("gmail",Клиенты_исходные!E494)),Клиенты_исходные!E494&amp;".com",Клиенты_исходные!E494&amp;".ru")))</f>
        <v>rakitina@mail.ru</v>
      </c>
      <c r="F494" t="str">
        <f>IFERROR(VLOOKUP(Клиенты_исходные!F494,Справочники!$J$2:$K$50,2,FALSE),Клиенты_исходные!F494)</f>
        <v>Новороссийск</v>
      </c>
      <c r="G494" s="8">
        <f>IFERROR(IF(ISNUMBER(FIND(".",Клиенты_исходные!G494)),DATE(RIGHT(Клиенты_исходные!G494,4),MID(Клиенты_исходные!G494,4,2),LEFT(Клиенты_исходные!G494,2)),DATE(LEFT(Клиенты_исходные!G494,4),MID(Клиенты_исходные!G494,6,2),RIGHT(Клиенты_исходные!G494,2))),Клиенты_исходные!G494)</f>
        <v>49553</v>
      </c>
      <c r="H494">
        <f t="shared" ca="1" si="70"/>
        <v>36</v>
      </c>
      <c r="I494" t="str">
        <f t="shared" si="71"/>
        <v>OK</v>
      </c>
      <c r="J494" t="str">
        <f t="shared" si="72"/>
        <v>OK</v>
      </c>
    </row>
    <row r="495">
      <c r="A495" t="str">
        <f>Клиенты_исходные!A495</f>
        <v>C0494</v>
      </c>
      <c r="B495" t="str">
        <f>PROPER(TRIM(Клиенты_исходные!B495))</f>
        <v xml:space="preserve">Логунов Андрей Сергеевич</v>
      </c>
      <c r="C495" s="8">
        <f>IFERROR(IF(ISNUMBER(FIND(".",Клиенты_исходные!C495)),DATE(RIGHT(Клиенты_исходные!C495,4),MID(Клиенты_исходные!C495,4,2),LEFT(Клиенты_исходные!C495,2)),DATE(LEFT(Клиенты_исходные!C495,4),MID(Клиенты_исходные!C495,6,2),RIGHT(Клиенты_исходные!C495,2))),Клиенты_исходные!C495)</f>
        <v>30617</v>
      </c>
      <c r="D495" t="str">
        <f>IF(ISBLANK(Клиенты_исходные!D495),"",IF(LEN(SUBSTITUTE(SUBSTITUTE(SUBSTITUTE(SUBSTITUTE(SUBSTITUTE(Клиенты_исходные!D495," ",""),"-",""),"+",""),"(",""),")",""))=11,"+7 ("&amp;MID(IF(LEFT(SUBSTITUTE(SUBSTITUTE(SUBSTITUTE(SUBSTITUTE(SUBSTITUTE(Клиенты_исходные!D495," ",""),"-",""),"+",""),"(",""),")",""))="8","7"&amp;MID(SUBSTITUTE(SUBSTITUTE(SUBSTITUTE(SUBSTITUTE(SUBSTITUTE(Клиенты_исходные!D495," ",""),"-",""),"+",""),"(",""),")",""),2,10),SUBSTITUTE(SUBSTITUTE(SUBSTITUTE(SUBSTITUTE(SUBSTITUTE(Клиенты_исходные!D495," ",""),"-",""),"+",""),"(",""),")","")),2,3)&amp;") "&amp;MID(IF(LEFT(SUBSTITUTE(SUBSTITUTE(SUBSTITUTE(SUBSTITUTE(SUBSTITUTE(Клиенты_исходные!D495," ",""),"-",""),"+",""),"(",""),")",""))="8","7"&amp;MID(SUBSTITUTE(SUBSTITUTE(SUBSTITUTE(SUBSTITUTE(SUBSTITUTE(Клиенты_исходные!D495," ",""),"-",""),"+",""),"(",""),")",""),2,10),SUBSTITUTE(SUBSTITUTE(SUBSTITUTE(SUBSTITUTE(SUBSTITUTE(Клиенты_исходные!D495," ",""),"-",""),"+",""),"(",""),")","")),5,3)&amp;"-"&amp;MID(IF(LEFT(SUBSTITUTE(SUBSTITUTE(SUBSTITUTE(SUBSTITUTE(SUBSTITUTE(Клиенты_исходные!D495," ",""),"-",""),"+",""),"(",""),")",""))="8","7"&amp;MID(SUBSTITUTE(SUBSTITUTE(SUBSTITUTE(SUBSTITUTE(SUBSTITUTE(Клиенты_исходные!D495," ",""),"-",""),"+",""),"(",""),")",""),2,10),SUBSTITUTE(SUBSTITUTE(SUBSTITUTE(SUBSTITUTE(SUBSTITUTE(Клиенты_исходные!D495," ",""),"-",""),"+",""),"(",""),")","")),8,2)&amp;"-"&amp;MID(IF(LEFT(SUBSTITUTE(SUBSTITUTE(SUBSTITUTE(SUBSTITUTE(SUBSTITUTE(Клиенты_исходные!D495," ",""),"-",""),"+",""),"(",""),")",""))="8","7"&amp;MID(SUBSTITUTE(SUBSTITUTE(SUBSTITUTE(SUBSTITUTE(SUBSTITUTE(Клиенты_исходные!D495," ",""),"-",""),"+",""),"(",""),")",""),2,10),SUBSTITUTE(SUBSTITUTE(SUBSTITUTE(SUBSTITUTE(SUBSTITUTE(Клиенты_исходные!D495," ",""),"-",""),"+",""),"(",""),")","")),10,2),IF(LEN(SUBSTITUTE(SUBSTITUTE(SUBSTITUTE(SUBSTITUTE(SUBSTITUTE(Клиенты_исходные!D495," ",""),"-",""),"+",""),"(",""),")",""))=10,"+7 ("&amp;MID(SUBSTITUTE(SUBSTITUTE(SUBSTITUTE(SUBSTITUTE(SUBSTITUTE(Клиенты_исходные!D495," ",""),"-",""),"+",""),"(",""),")",""),1,3)&amp;") "&amp;MID(SUBSTITUTE(SUBSTITUTE(SUBSTITUTE(SUBSTITUTE(SUBSTITUTE(Клиенты_исходные!D495," ",""),"-",""),"+",""),"(",""),")",""),4,3)&amp;"-"&amp;MID(SUBSTITUTE(SUBSTITUTE(SUBSTITUTE(SUBSTITUTE(SUBSTITUTE(Клиенты_исходные!D495," ",""),"-",""),"+",""),"(",""),")",""),6,2)&amp;"-"&amp;MID(SUBSTITUTE(SUBSTITUTE(SUBSTITUTE(SUBSTITUTE(SUBSTITUTE(Клиенты_исходные!D495," ",""),"-",""),"+",""),"(",""),")",""),8,2),Клиенты_исходные!D495)))</f>
        <v xml:space="preserve">+7 (903) 012-34-56</v>
      </c>
      <c r="E495" t="str">
        <f>IF(ISBLANK(Клиенты_исходные!E495),"",IF(ISNUMBER(FIND(".",MID(Клиенты_исходные!E495,FIND("@",Клиенты_исходные!E495)+1,255))),Клиенты_исходные!E495,IF(ISNUMBER(FIND("gmail",Клиенты_исходные!E495)),Клиенты_исходные!E495&amp;".com",Клиенты_исходные!E495&amp;".ru")))</f>
        <v>logunov@yandex.ru</v>
      </c>
      <c r="F495" t="str">
        <f>IFERROR(VLOOKUP(Клиенты_исходные!F495,Справочники!$J$2:$K$50,2,FALSE),Клиенты_исходные!F495)</f>
        <v>Химки</v>
      </c>
      <c r="G495" s="8">
        <f>IFERROR(IF(ISNUMBER(FIND(".",Клиенты_исходные!G495)),DATE(RIGHT(Клиенты_исходные!G495,4),MID(Клиенты_исходные!G495,4,2),LEFT(Клиенты_исходные!G495,2)),DATE(LEFT(Клиенты_исходные!G495,4),MID(Клиенты_исходные!G495,6,2),RIGHT(Клиенты_исходные!G495,2))),Клиенты_исходные!G495)</f>
        <v>49567</v>
      </c>
      <c r="H495">
        <f t="shared" ca="1" si="70"/>
        <v>42</v>
      </c>
      <c r="I495" t="str">
        <f t="shared" si="71"/>
        <v>OK</v>
      </c>
      <c r="J495" t="str">
        <f t="shared" si="72"/>
        <v>OK</v>
      </c>
    </row>
    <row r="496">
      <c r="A496" t="str">
        <f>Клиенты_исходные!A496</f>
        <v>C0495</v>
      </c>
      <c r="B496" t="str">
        <f>PROPER(TRIM(Клиенты_исходные!B496))</f>
        <v xml:space="preserve">Боровкова Мария Олеговна</v>
      </c>
      <c r="C496" s="8">
        <f>IFERROR(IF(ISNUMBER(FIND(".",Клиенты_исходные!C496)),DATE(RIGHT(Клиенты_исходные!C496,4),MID(Клиенты_исходные!C496,4,2),LEFT(Клиенты_исходные!C496,2)),DATE(LEFT(Клиенты_исходные!C496,4),MID(Клиенты_исходные!C496,6,2),RIGHT(Клиенты_исходные!C496,2))),Клиенты_исходные!C496)</f>
        <v>27875</v>
      </c>
      <c r="D496" t="str">
        <f>IF(ISBLANK(Клиенты_исходные!D496),"",IF(LEN(SUBSTITUTE(SUBSTITUTE(SUBSTITUTE(SUBSTITUTE(SUBSTITUTE(Клиенты_исходные!D496," ",""),"-",""),"+",""),"(",""),")",""))=11,"+7 ("&amp;MID(IF(LEFT(SUBSTITUTE(SUBSTITUTE(SUBSTITUTE(SUBSTITUTE(SUBSTITUTE(Клиенты_исходные!D496," ",""),"-",""),"+",""),"(",""),")",""))="8","7"&amp;MID(SUBSTITUTE(SUBSTITUTE(SUBSTITUTE(SUBSTITUTE(SUBSTITUTE(Клиенты_исходные!D496," ",""),"-",""),"+",""),"(",""),")",""),2,10),SUBSTITUTE(SUBSTITUTE(SUBSTITUTE(SUBSTITUTE(SUBSTITUTE(Клиенты_исходные!D496," ",""),"-",""),"+",""),"(",""),")","")),2,3)&amp;") "&amp;MID(IF(LEFT(SUBSTITUTE(SUBSTITUTE(SUBSTITUTE(SUBSTITUTE(SUBSTITUTE(Клиенты_исходные!D496," ",""),"-",""),"+",""),"(",""),")",""))="8","7"&amp;MID(SUBSTITUTE(SUBSTITUTE(SUBSTITUTE(SUBSTITUTE(SUBSTITUTE(Клиенты_исходные!D496," ",""),"-",""),"+",""),"(",""),")",""),2,10),SUBSTITUTE(SUBSTITUTE(SUBSTITUTE(SUBSTITUTE(SUBSTITUTE(Клиенты_исходные!D496," ",""),"-",""),"+",""),"(",""),")","")),5,3)&amp;"-"&amp;MID(IF(LEFT(SUBSTITUTE(SUBSTITUTE(SUBSTITUTE(SUBSTITUTE(SUBSTITUTE(Клиенты_исходные!D496," ",""),"-",""),"+",""),"(",""),")",""))="8","7"&amp;MID(SUBSTITUTE(SUBSTITUTE(SUBSTITUTE(SUBSTITUTE(SUBSTITUTE(Клиенты_исходные!D496," ",""),"-",""),"+",""),"(",""),")",""),2,10),SUBSTITUTE(SUBSTITUTE(SUBSTITUTE(SUBSTITUTE(SUBSTITUTE(Клиенты_исходные!D496," ",""),"-",""),"+",""),"(",""),")","")),8,2)&amp;"-"&amp;MID(IF(LEFT(SUBSTITUTE(SUBSTITUTE(SUBSTITUTE(SUBSTITUTE(SUBSTITUTE(Клиенты_исходные!D496," ",""),"-",""),"+",""),"(",""),")",""))="8","7"&amp;MID(SUBSTITUTE(SUBSTITUTE(SUBSTITUTE(SUBSTITUTE(SUBSTITUTE(Клиенты_исходные!D496," ",""),"-",""),"+",""),"(",""),")",""),2,10),SUBSTITUTE(SUBSTITUTE(SUBSTITUTE(SUBSTITUTE(SUBSTITUTE(Клиенты_исходные!D496," ",""),"-",""),"+",""),"(",""),")","")),10,2),IF(LEN(SUBSTITUTE(SUBSTITUTE(SUBSTITUTE(SUBSTITUTE(SUBSTITUTE(Клиенты_исходные!D496," ",""),"-",""),"+",""),"(",""),")",""))=10,"+7 ("&amp;MID(SUBSTITUTE(SUBSTITUTE(SUBSTITUTE(SUBSTITUTE(SUBSTITUTE(Клиенты_исходные!D496," ",""),"-",""),"+",""),"(",""),")",""),1,3)&amp;") "&amp;MID(SUBSTITUTE(SUBSTITUTE(SUBSTITUTE(SUBSTITUTE(SUBSTITUTE(Клиенты_исходные!D496," ",""),"-",""),"+",""),"(",""),")",""),4,3)&amp;"-"&amp;MID(SUBSTITUTE(SUBSTITUTE(SUBSTITUTE(SUBSTITUTE(SUBSTITUTE(Клиенты_исходные!D496," ",""),"-",""),"+",""),"(",""),")",""),6,2)&amp;"-"&amp;MID(SUBSTITUTE(SUBSTITUTE(SUBSTITUTE(SUBSTITUTE(SUBSTITUTE(Клиенты_исходные!D496," ",""),"-",""),"+",""),"(",""),")",""),8,2),Клиенты_исходные!D496)))</f>
        <v xml:space="preserve">+7 (903) 123-45-67</v>
      </c>
      <c r="E496" t="str">
        <f>IF(ISBLANK(Клиенты_исходные!E496),"",IF(ISNUMBER(FIND(".",MID(Клиенты_исходные!E496,FIND("@",Клиенты_исходные!E496)+1,255))),Клиенты_исходные!E496,IF(ISNUMBER(FIND("gmail",Клиенты_исходные!E496)),Клиенты_исходные!E496&amp;".com",Клиенты_исходные!E496&amp;".ru")))</f>
        <v>borovkova@gmail.com</v>
      </c>
      <c r="F496" t="str">
        <f>IFERROR(VLOOKUP(Клиенты_исходные!F496,Справочники!$J$2:$K$50,2,FALSE),Клиенты_исходные!F496)</f>
        <v>Подольск</v>
      </c>
      <c r="G496" s="8">
        <f>IFERROR(IF(ISNUMBER(FIND(".",Клиенты_исходные!G496)),DATE(RIGHT(Клиенты_исходные!G496,4),MID(Клиенты_исходные!G496,4,2),LEFT(Клиенты_исходные!G496,2)),DATE(LEFT(Клиенты_исходные!G496,4),MID(Клиенты_исходные!G496,6,2),RIGHT(Клиенты_исходные!G496,2))),Клиенты_исходные!G496)</f>
        <v>49567</v>
      </c>
      <c r="H496">
        <f t="shared" ca="1" si="70"/>
        <v>50</v>
      </c>
      <c r="I496" t="str">
        <f t="shared" si="71"/>
        <v>OK</v>
      </c>
      <c r="J496" t="str">
        <f t="shared" si="72"/>
        <v>OK</v>
      </c>
    </row>
    <row r="497">
      <c r="A497" t="str">
        <f>Клиенты_исходные!A497</f>
        <v>C0496</v>
      </c>
      <c r="B497" t="str">
        <f>PROPER(TRIM(Клиенты_исходные!B497))</f>
        <v xml:space="preserve">Терехов Денис Викторович</v>
      </c>
      <c r="C497" s="8">
        <f>IFERROR(IF(ISNUMBER(FIND(".",Клиенты_исходные!C497)),DATE(RIGHT(Клиенты_исходные!C497,4),MID(Клиенты_исходные!C497,4,2),LEFT(Клиенты_исходные!C497,2)),DATE(LEFT(Клиенты_исходные!C497,4),MID(Клиенты_исходные!C497,6,2),RIGHT(Клиенты_исходные!C497,2))),Клиенты_исходные!C497)</f>
        <v>29926</v>
      </c>
      <c r="D497" t="str">
        <f>IF(ISBLANK(Клиенты_исходные!D497),"",IF(LEN(SUBSTITUTE(SUBSTITUTE(SUBSTITUTE(SUBSTITUTE(SUBSTITUTE(Клиенты_исходные!D497," ",""),"-",""),"+",""),"(",""),")",""))=11,"+7 ("&amp;MID(IF(LEFT(SUBSTITUTE(SUBSTITUTE(SUBSTITUTE(SUBSTITUTE(SUBSTITUTE(Клиенты_исходные!D497," ",""),"-",""),"+",""),"(",""),")",""))="8","7"&amp;MID(SUBSTITUTE(SUBSTITUTE(SUBSTITUTE(SUBSTITUTE(SUBSTITUTE(Клиенты_исходные!D497," ",""),"-",""),"+",""),"(",""),")",""),2,10),SUBSTITUTE(SUBSTITUTE(SUBSTITUTE(SUBSTITUTE(SUBSTITUTE(Клиенты_исходные!D497," ",""),"-",""),"+",""),"(",""),")","")),2,3)&amp;") "&amp;MID(IF(LEFT(SUBSTITUTE(SUBSTITUTE(SUBSTITUTE(SUBSTITUTE(SUBSTITUTE(Клиенты_исходные!D497," ",""),"-",""),"+",""),"(",""),")",""))="8","7"&amp;MID(SUBSTITUTE(SUBSTITUTE(SUBSTITUTE(SUBSTITUTE(SUBSTITUTE(Клиенты_исходные!D497," ",""),"-",""),"+",""),"(",""),")",""),2,10),SUBSTITUTE(SUBSTITUTE(SUBSTITUTE(SUBSTITUTE(SUBSTITUTE(Клиенты_исходные!D497," ",""),"-",""),"+",""),"(",""),")","")),5,3)&amp;"-"&amp;MID(IF(LEFT(SUBSTITUTE(SUBSTITUTE(SUBSTITUTE(SUBSTITUTE(SUBSTITUTE(Клиенты_исходные!D497," ",""),"-",""),"+",""),"(",""),")",""))="8","7"&amp;MID(SUBSTITUTE(SUBSTITUTE(SUBSTITUTE(SUBSTITUTE(SUBSTITUTE(Клиенты_исходные!D497," ",""),"-",""),"+",""),"(",""),")",""),2,10),SUBSTITUTE(SUBSTITUTE(SUBSTITUTE(SUBSTITUTE(SUBSTITUTE(Клиенты_исходные!D497," ",""),"-",""),"+",""),"(",""),")","")),8,2)&amp;"-"&amp;MID(IF(LEFT(SUBSTITUTE(SUBSTITUTE(SUBSTITUTE(SUBSTITUTE(SUBSTITUTE(Клиенты_исходные!D497," ",""),"-",""),"+",""),"(",""),")",""))="8","7"&amp;MID(SUBSTITUTE(SUBSTITUTE(SUBSTITUTE(SUBSTITUTE(SUBSTITUTE(Клиенты_исходные!D497," ",""),"-",""),"+",""),"(",""),")",""),2,10),SUBSTITUTE(SUBSTITUTE(SUBSTITUTE(SUBSTITUTE(SUBSTITUTE(Клиенты_исходные!D497," ",""),"-",""),"+",""),"(",""),")","")),10,2),IF(LEN(SUBSTITUTE(SUBSTITUTE(SUBSTITUTE(SUBSTITUTE(SUBSTITUTE(Клиенты_исходные!D497," ",""),"-",""),"+",""),"(",""),")",""))=10,"+7 ("&amp;MID(SUBSTITUTE(SUBSTITUTE(SUBSTITUTE(SUBSTITUTE(SUBSTITUTE(Клиенты_исходные!D497," ",""),"-",""),"+",""),"(",""),")",""),1,3)&amp;") "&amp;MID(SUBSTITUTE(SUBSTITUTE(SUBSTITUTE(SUBSTITUTE(SUBSTITUTE(Клиенты_исходные!D497," ",""),"-",""),"+",""),"(",""),")",""),4,3)&amp;"-"&amp;MID(SUBSTITUTE(SUBSTITUTE(SUBSTITUTE(SUBSTITUTE(SUBSTITUTE(Клиенты_исходные!D497," ",""),"-",""),"+",""),"(",""),")",""),6,2)&amp;"-"&amp;MID(SUBSTITUTE(SUBSTITUTE(SUBSTITUTE(SUBSTITUTE(SUBSTITUTE(Клиенты_исходные!D497," ",""),"-",""),"+",""),"(",""),")",""),8,2),Клиенты_исходные!D497)))</f>
        <v xml:space="preserve">+7 (903) 123-45-67</v>
      </c>
      <c r="E497" t="str">
        <f>IF(ISBLANK(Клиенты_исходные!E497),"",IF(ISNUMBER(FIND(".",MID(Клиенты_исходные!E497,FIND("@",Клиенты_исходные!E497)+1,255))),Клиенты_исходные!E497,IF(ISNUMBER(FIND("gmail",Клиенты_исходные!E497)),Клиенты_исходные!E497&amp;".com",Клиенты_исходные!E497&amp;".ru")))</f>
        <v>terehov@mail.ru</v>
      </c>
      <c r="F497" t="str">
        <f>IFERROR(VLOOKUP(Клиенты_исходные!F497,Справочники!$J$2:$K$50,2,FALSE),Клиенты_исходные!F497)</f>
        <v>Балашиха</v>
      </c>
      <c r="G497" s="8">
        <f>IFERROR(IF(ISNUMBER(FIND(".",Клиенты_исходные!G497)),DATE(RIGHT(Клиенты_исходные!G497,4),MID(Клиенты_исходные!G497,4,2),LEFT(Клиенты_исходные!G497,2)),DATE(LEFT(Клиенты_исходные!G497,4),MID(Клиенты_исходные!G497,6,2),RIGHT(Клиенты_исходные!G497,2))),Клиенты_исходные!G497)</f>
        <v>49583</v>
      </c>
      <c r="H497">
        <f t="shared" ca="1" si="70"/>
        <v>44</v>
      </c>
      <c r="I497" t="str">
        <f t="shared" si="71"/>
        <v>OK</v>
      </c>
      <c r="J497" t="str">
        <f t="shared" si="72"/>
        <v>OK</v>
      </c>
    </row>
    <row r="498">
      <c r="A498" t="str">
        <f>Клиенты_исходные!A498</f>
        <v>C0497</v>
      </c>
      <c r="B498" t="str">
        <f>PROPER(TRIM(Клиенты_исходные!B498))</f>
        <v xml:space="preserve">Курагина Ольга Сергеевна</v>
      </c>
      <c r="C498" s="8">
        <f>IFERROR(IF(ISNUMBER(FIND(".",Клиенты_исходные!C498)),DATE(RIGHT(Клиенты_исходные!C498,4),MID(Клиенты_исходные!C498,4,2),LEFT(Клиенты_исходные!C498,2)),DATE(LEFT(Клиенты_исходные!C498,4),MID(Клиенты_исходные!C498,6,2),RIGHT(Клиенты_исходные!C498,2))),Клиенты_исходные!C498)</f>
        <v>31582</v>
      </c>
      <c r="D498" t="str">
        <f>IF(ISBLANK(Клиенты_исходные!D498),"",IF(LEN(SUBSTITUTE(SUBSTITUTE(SUBSTITUTE(SUBSTITUTE(SUBSTITUTE(Клиенты_исходные!D498," ",""),"-",""),"+",""),"(",""),")",""))=11,"+7 ("&amp;MID(IF(LEFT(SUBSTITUTE(SUBSTITUTE(SUBSTITUTE(SUBSTITUTE(SUBSTITUTE(Клиенты_исходные!D498," ",""),"-",""),"+",""),"(",""),")",""))="8","7"&amp;MID(SUBSTITUTE(SUBSTITUTE(SUBSTITUTE(SUBSTITUTE(SUBSTITUTE(Клиенты_исходные!D498," ",""),"-",""),"+",""),"(",""),")",""),2,10),SUBSTITUTE(SUBSTITUTE(SUBSTITUTE(SUBSTITUTE(SUBSTITUTE(Клиенты_исходные!D498," ",""),"-",""),"+",""),"(",""),")","")),2,3)&amp;") "&amp;MID(IF(LEFT(SUBSTITUTE(SUBSTITUTE(SUBSTITUTE(SUBSTITUTE(SUBSTITUTE(Клиенты_исходные!D498," ",""),"-",""),"+",""),"(",""),")",""))="8","7"&amp;MID(SUBSTITUTE(SUBSTITUTE(SUBSTITUTE(SUBSTITUTE(SUBSTITUTE(Клиенты_исходные!D498," ",""),"-",""),"+",""),"(",""),")",""),2,10),SUBSTITUTE(SUBSTITUTE(SUBSTITUTE(SUBSTITUTE(SUBSTITUTE(Клиенты_исходные!D498," ",""),"-",""),"+",""),"(",""),")","")),5,3)&amp;"-"&amp;MID(IF(LEFT(SUBSTITUTE(SUBSTITUTE(SUBSTITUTE(SUBSTITUTE(SUBSTITUTE(Клиенты_исходные!D498," ",""),"-",""),"+",""),"(",""),")",""))="8","7"&amp;MID(SUBSTITUTE(SUBSTITUTE(SUBSTITUTE(SUBSTITUTE(SUBSTITUTE(Клиенты_исходные!D498," ",""),"-",""),"+",""),"(",""),")",""),2,10),SUBSTITUTE(SUBSTITUTE(SUBSTITUTE(SUBSTITUTE(SUBSTITUTE(Клиенты_исходные!D498," ",""),"-",""),"+",""),"(",""),")","")),8,2)&amp;"-"&amp;MID(IF(LEFT(SUBSTITUTE(SUBSTITUTE(SUBSTITUTE(SUBSTITUTE(SUBSTITUTE(Клиенты_исходные!D498," ",""),"-",""),"+",""),"(",""),")",""))="8","7"&amp;MID(SUBSTITUTE(SUBSTITUTE(SUBSTITUTE(SUBSTITUTE(SUBSTITUTE(Клиенты_исходные!D498," ",""),"-",""),"+",""),"(",""),")",""),2,10),SUBSTITUTE(SUBSTITUTE(SUBSTITUTE(SUBSTITUTE(SUBSTITUTE(Клиенты_исходные!D498," ",""),"-",""),"+",""),"(",""),")","")),10,2),IF(LEN(SUBSTITUTE(SUBSTITUTE(SUBSTITUTE(SUBSTITUTE(SUBSTITUTE(Клиенты_исходные!D498," ",""),"-",""),"+",""),"(",""),")",""))=10,"+7 ("&amp;MID(SUBSTITUTE(SUBSTITUTE(SUBSTITUTE(SUBSTITUTE(SUBSTITUTE(Клиенты_исходные!D498," ",""),"-",""),"+",""),"(",""),")",""),1,3)&amp;") "&amp;MID(SUBSTITUTE(SUBSTITUTE(SUBSTITUTE(SUBSTITUTE(SUBSTITUTE(Клиенты_исходные!D498," ",""),"-",""),"+",""),"(",""),")",""),4,3)&amp;"-"&amp;MID(SUBSTITUTE(SUBSTITUTE(SUBSTITUTE(SUBSTITUTE(SUBSTITUTE(Клиенты_исходные!D498," ",""),"-",""),"+",""),"(",""),")",""),6,2)&amp;"-"&amp;MID(SUBSTITUTE(SUBSTITUTE(SUBSTITUTE(SUBSTITUTE(SUBSTITUTE(Клиенты_исходные!D498," ",""),"-",""),"+",""),"(",""),")",""),8,2),Клиенты_исходные!D498)))</f>
        <v xml:space="preserve">+7 (903) 123-45-67</v>
      </c>
      <c r="E498" t="str">
        <f>IF(ISBLANK(Клиенты_исходные!E498),"",IF(ISNUMBER(FIND(".",MID(Клиенты_исходные!E498,FIND("@",Клиенты_исходные!E498)+1,255))),Клиенты_исходные!E498,IF(ISNUMBER(FIND("gmail",Клиенты_исходные!E498)),Клиенты_исходные!E498&amp;".com",Клиенты_исходные!E498&amp;".ru")))</f>
        <v>kuragina@yandex.ru</v>
      </c>
      <c r="F498" t="str">
        <f>IFERROR(VLOOKUP(Клиенты_исходные!F498,Справочники!$J$2:$K$50,2,FALSE),Клиенты_исходные!F498)</f>
        <v>Сургут</v>
      </c>
      <c r="G498" s="8">
        <f>IFERROR(IF(ISNUMBER(FIND(".",Клиенты_исходные!G498)),DATE(RIGHT(Клиенты_исходные!G498,4),MID(Клиенты_исходные!G498,4,2),LEFT(Клиенты_исходные!G498,2)),DATE(LEFT(Клиенты_исходные!G498,4),MID(Клиенты_исходные!G498,6,2),RIGHT(Клиенты_исходные!G498,2))),Клиенты_исходные!G498)</f>
        <v>49592</v>
      </c>
      <c r="H498">
        <f t="shared" ca="1" si="70"/>
        <v>40</v>
      </c>
      <c r="I498" t="str">
        <f t="shared" si="71"/>
        <v>OK</v>
      </c>
      <c r="J498" t="str">
        <f t="shared" si="72"/>
        <v>OK</v>
      </c>
    </row>
    <row r="499">
      <c r="A499" t="str">
        <f>Клиенты_исходные!A499</f>
        <v>C0498</v>
      </c>
      <c r="B499" t="str">
        <f>PROPER(TRIM(Клиенты_исходные!B499))</f>
        <v xml:space="preserve">Горохов Илья Олегович</v>
      </c>
      <c r="C499" s="8">
        <f>IFERROR(IF(ISNUMBER(FIND(".",Клиенты_исходные!C499)),DATE(RIGHT(Клиенты_исходные!C499,4),MID(Клиенты_исходные!C499,4,2),LEFT(Клиенты_исходные!C499,2)),DATE(LEFT(Клиенты_исходные!C499,4),MID(Клиенты_исходные!C499,6,2),RIGHT(Клиенты_исходные!C499,2))),Клиенты_исходные!C499)</f>
        <v>28563</v>
      </c>
      <c r="D499" t="str">
        <f>IF(ISBLANK(Клиенты_исходные!D499),"",IF(LEN(SUBSTITUTE(SUBSTITUTE(SUBSTITUTE(SUBSTITUTE(SUBSTITUTE(Клиенты_исходные!D499," ",""),"-",""),"+",""),"(",""),")",""))=11,"+7 ("&amp;MID(IF(LEFT(SUBSTITUTE(SUBSTITUTE(SUBSTITUTE(SUBSTITUTE(SUBSTITUTE(Клиенты_исходные!D499," ",""),"-",""),"+",""),"(",""),")",""))="8","7"&amp;MID(SUBSTITUTE(SUBSTITUTE(SUBSTITUTE(SUBSTITUTE(SUBSTITUTE(Клиенты_исходные!D499," ",""),"-",""),"+",""),"(",""),")",""),2,10),SUBSTITUTE(SUBSTITUTE(SUBSTITUTE(SUBSTITUTE(SUBSTITUTE(Клиенты_исходные!D499," ",""),"-",""),"+",""),"(",""),")","")),2,3)&amp;") "&amp;MID(IF(LEFT(SUBSTITUTE(SUBSTITUTE(SUBSTITUTE(SUBSTITUTE(SUBSTITUTE(Клиенты_исходные!D499," ",""),"-",""),"+",""),"(",""),")",""))="8","7"&amp;MID(SUBSTITUTE(SUBSTITUTE(SUBSTITUTE(SUBSTITUTE(SUBSTITUTE(Клиенты_исходные!D499," ",""),"-",""),"+",""),"(",""),")",""),2,10),SUBSTITUTE(SUBSTITUTE(SUBSTITUTE(SUBSTITUTE(SUBSTITUTE(Клиенты_исходные!D499," ",""),"-",""),"+",""),"(",""),")","")),5,3)&amp;"-"&amp;MID(IF(LEFT(SUBSTITUTE(SUBSTITUTE(SUBSTITUTE(SUBSTITUTE(SUBSTITUTE(Клиенты_исходные!D499," ",""),"-",""),"+",""),"(",""),")",""))="8","7"&amp;MID(SUBSTITUTE(SUBSTITUTE(SUBSTITUTE(SUBSTITUTE(SUBSTITUTE(Клиенты_исходные!D499," ",""),"-",""),"+",""),"(",""),")",""),2,10),SUBSTITUTE(SUBSTITUTE(SUBSTITUTE(SUBSTITUTE(SUBSTITUTE(Клиенты_исходные!D499," ",""),"-",""),"+",""),"(",""),")","")),8,2)&amp;"-"&amp;MID(IF(LEFT(SUBSTITUTE(SUBSTITUTE(SUBSTITUTE(SUBSTITUTE(SUBSTITUTE(Клиенты_исходные!D499," ",""),"-",""),"+",""),"(",""),")",""))="8","7"&amp;MID(SUBSTITUTE(SUBSTITUTE(SUBSTITUTE(SUBSTITUTE(SUBSTITUTE(Клиенты_исходные!D499," ",""),"-",""),"+",""),"(",""),")",""),2,10),SUBSTITUTE(SUBSTITUTE(SUBSTITUTE(SUBSTITUTE(SUBSTITUTE(Клиенты_исходные!D499," ",""),"-",""),"+",""),"(",""),")","")),10,2),IF(LEN(SUBSTITUTE(SUBSTITUTE(SUBSTITUTE(SUBSTITUTE(SUBSTITUTE(Клиенты_исходные!D499," ",""),"-",""),"+",""),"(",""),")",""))=10,"+7 ("&amp;MID(SUBSTITUTE(SUBSTITUTE(SUBSTITUTE(SUBSTITUTE(SUBSTITUTE(Клиенты_исходные!D499," ",""),"-",""),"+",""),"(",""),")",""),1,3)&amp;") "&amp;MID(SUBSTITUTE(SUBSTITUTE(SUBSTITUTE(SUBSTITUTE(SUBSTITUTE(Клиенты_исходные!D499," ",""),"-",""),"+",""),"(",""),")",""),4,3)&amp;"-"&amp;MID(SUBSTITUTE(SUBSTITUTE(SUBSTITUTE(SUBSTITUTE(SUBSTITUTE(Клиенты_исходные!D499," ",""),"-",""),"+",""),"(",""),")",""),6,2)&amp;"-"&amp;MID(SUBSTITUTE(SUBSTITUTE(SUBSTITUTE(SUBSTITUTE(SUBSTITUTE(Клиенты_исходные!D499," ",""),"-",""),"+",""),"(",""),")",""),8,2),Клиенты_исходные!D499)))</f>
        <v xml:space="preserve">+7 (903) 234-56-78</v>
      </c>
      <c r="E499" t="str">
        <f>IF(ISBLANK(Клиенты_исходные!E499),"",IF(ISNUMBER(FIND(".",MID(Клиенты_исходные!E499,FIND("@",Клиенты_исходные!E499)+1,255))),Клиенты_исходные!E499,IF(ISNUMBER(FIND("gmail",Клиенты_исходные!E499)),Клиенты_исходные!E499&amp;".com",Клиенты_исходные!E499&amp;".ru")))</f>
        <v>gorohov@gmail.com</v>
      </c>
      <c r="F499" t="str">
        <f>IFERROR(VLOOKUP(Клиенты_исходные!F499,Справочники!$J$2:$K$50,2,FALSE),Клиенты_исходные!F499)</f>
        <v>Армавир</v>
      </c>
      <c r="G499" s="8">
        <f>IFERROR(IF(ISNUMBER(FIND(".",Клиенты_исходные!G499)),DATE(RIGHT(Клиенты_исходные!G499,4),MID(Клиенты_исходные!G499,4,2),LEFT(Клиенты_исходные!G499,2)),DATE(LEFT(Клиенты_исходные!G499,4),MID(Клиенты_исходные!G499,6,2),RIGHT(Клиенты_исходные!G499,2))),Клиенты_исходные!G499)</f>
        <v>49592</v>
      </c>
      <c r="H499">
        <f t="shared" ca="1" si="70"/>
        <v>48</v>
      </c>
      <c r="I499" t="str">
        <f t="shared" si="71"/>
        <v>OK</v>
      </c>
      <c r="J499" t="str">
        <f t="shared" si="72"/>
        <v>OK</v>
      </c>
    </row>
    <row r="500">
      <c r="A500" t="str">
        <f>Клиенты_исходные!A500</f>
        <v>C0499</v>
      </c>
      <c r="B500" t="str">
        <f>PROPER(TRIM(Клиенты_исходные!B500))</f>
        <v xml:space="preserve">Маликова Екатерина Владимировна</v>
      </c>
      <c r="C500" s="8">
        <f>IFERROR(IF(ISNUMBER(FIND(".",Клиенты_исходные!C500)),DATE(RIGHT(Клиенты_исходные!C500,4),MID(Клиенты_исходные!C500,4,2),LEFT(Клиенты_исходные!C500,2)),DATE(LEFT(Клиенты_исходные!C500,4),MID(Клиенты_исходные!C500,6,2),RIGHT(Клиенты_исходные!C500,2))),Клиенты_исходные!C500)</f>
        <v>33849</v>
      </c>
      <c r="D500" t="str">
        <f>IF(ISBLANK(Клиенты_исходные!D500),"",IF(LEN(SUBSTITUTE(SUBSTITUTE(SUBSTITUTE(SUBSTITUTE(SUBSTITUTE(Клиенты_исходные!D500," ",""),"-",""),"+",""),"(",""),")",""))=11,"+7 ("&amp;MID(IF(LEFT(SUBSTITUTE(SUBSTITUTE(SUBSTITUTE(SUBSTITUTE(SUBSTITUTE(Клиенты_исходные!D500," ",""),"-",""),"+",""),"(",""),")",""))="8","7"&amp;MID(SUBSTITUTE(SUBSTITUTE(SUBSTITUTE(SUBSTITUTE(SUBSTITUTE(Клиенты_исходные!D500," ",""),"-",""),"+",""),"(",""),")",""),2,10),SUBSTITUTE(SUBSTITUTE(SUBSTITUTE(SUBSTITUTE(SUBSTITUTE(Клиенты_исходные!D500," ",""),"-",""),"+",""),"(",""),")","")),2,3)&amp;") "&amp;MID(IF(LEFT(SUBSTITUTE(SUBSTITUTE(SUBSTITUTE(SUBSTITUTE(SUBSTITUTE(Клиенты_исходные!D500," ",""),"-",""),"+",""),"(",""),")",""))="8","7"&amp;MID(SUBSTITUTE(SUBSTITUTE(SUBSTITUTE(SUBSTITUTE(SUBSTITUTE(Клиенты_исходные!D500," ",""),"-",""),"+",""),"(",""),")",""),2,10),SUBSTITUTE(SUBSTITUTE(SUBSTITUTE(SUBSTITUTE(SUBSTITUTE(Клиенты_исходные!D500," ",""),"-",""),"+",""),"(",""),")","")),5,3)&amp;"-"&amp;MID(IF(LEFT(SUBSTITUTE(SUBSTITUTE(SUBSTITUTE(SUBSTITUTE(SUBSTITUTE(Клиенты_исходные!D500," ",""),"-",""),"+",""),"(",""),")",""))="8","7"&amp;MID(SUBSTITUTE(SUBSTITUTE(SUBSTITUTE(SUBSTITUTE(SUBSTITUTE(Клиенты_исходные!D500," ",""),"-",""),"+",""),"(",""),")",""),2,10),SUBSTITUTE(SUBSTITUTE(SUBSTITUTE(SUBSTITUTE(SUBSTITUTE(Клиенты_исходные!D500," ",""),"-",""),"+",""),"(",""),")","")),8,2)&amp;"-"&amp;MID(IF(LEFT(SUBSTITUTE(SUBSTITUTE(SUBSTITUTE(SUBSTITUTE(SUBSTITUTE(Клиенты_исходные!D500," ",""),"-",""),"+",""),"(",""),")",""))="8","7"&amp;MID(SUBSTITUTE(SUBSTITUTE(SUBSTITUTE(SUBSTITUTE(SUBSTITUTE(Клиенты_исходные!D500," ",""),"-",""),"+",""),"(",""),")",""),2,10),SUBSTITUTE(SUBSTITUTE(SUBSTITUTE(SUBSTITUTE(SUBSTITUTE(Клиенты_исходные!D500," ",""),"-",""),"+",""),"(",""),")","")),10,2),IF(LEN(SUBSTITUTE(SUBSTITUTE(SUBSTITUTE(SUBSTITUTE(SUBSTITUTE(Клиенты_исходные!D500," ",""),"-",""),"+",""),"(",""),")",""))=10,"+7 ("&amp;MID(SUBSTITUTE(SUBSTITUTE(SUBSTITUTE(SUBSTITUTE(SUBSTITUTE(Клиенты_исходные!D500," ",""),"-",""),"+",""),"(",""),")",""),1,3)&amp;") "&amp;MID(SUBSTITUTE(SUBSTITUTE(SUBSTITUTE(SUBSTITUTE(SUBSTITUTE(Клиенты_исходные!D500," ",""),"-",""),"+",""),"(",""),")",""),4,3)&amp;"-"&amp;MID(SUBSTITUTE(SUBSTITUTE(SUBSTITUTE(SUBSTITUTE(SUBSTITUTE(Клиенты_исходные!D500," ",""),"-",""),"+",""),"(",""),")",""),6,2)&amp;"-"&amp;MID(SUBSTITUTE(SUBSTITUTE(SUBSTITUTE(SUBSTITUTE(SUBSTITUTE(Клиенты_исходные!D500," ",""),"-",""),"+",""),"(",""),")",""),8,2),Клиенты_исходные!D500)))</f>
        <v xml:space="preserve">+7 (903) 234-56-78</v>
      </c>
      <c r="E500" t="str">
        <f>IF(ISBLANK(Клиенты_исходные!E500),"",IF(ISNUMBER(FIND(".",MID(Клиенты_исходные!E500,FIND("@",Клиенты_исходные!E500)+1,255))),Клиенты_исходные!E500,IF(ISNUMBER(FIND("gmail",Клиенты_исходные!E500)),Клиенты_исходные!E500&amp;".com",Клиенты_исходные!E500&amp;".ru")))</f>
        <v>malikova@mail.ru</v>
      </c>
      <c r="F500" t="str">
        <f>IFERROR(VLOOKUP(Клиенты_исходные!F500,Справочники!$J$2:$K$50,2,FALSE),Клиенты_исходные!F500)</f>
        <v>Волжский</v>
      </c>
      <c r="G500" s="8">
        <f>IFERROR(IF(ISNUMBER(FIND(".",Клиенты_исходные!G500)),DATE(RIGHT(Клиенты_исходные!G500,4),MID(Клиенты_исходные!G500,4,2),LEFT(Клиенты_исходные!G500,2)),DATE(LEFT(Клиенты_исходные!G500,4),MID(Клиенты_исходные!G500,6,2),RIGHT(Клиенты_исходные!G500,2))),Клиенты_исходные!G500)</f>
        <v>49614</v>
      </c>
      <c r="H500">
        <f t="shared" ca="1" si="70"/>
        <v>34</v>
      </c>
      <c r="I500" t="str">
        <f t="shared" si="71"/>
        <v>OK</v>
      </c>
      <c r="J500" t="str">
        <f t="shared" si="72"/>
        <v>OK</v>
      </c>
    </row>
    <row r="501">
      <c r="A501" t="str">
        <f>Клиенты_исходные!A501</f>
        <v>C0500</v>
      </c>
      <c r="B501" t="str">
        <f>PROPER(TRIM(Клиенты_исходные!B501))</f>
        <v xml:space="preserve">Санников Андрей Павлович</v>
      </c>
      <c r="C501" s="8">
        <f>IFERROR(IF(ISNUMBER(FIND(".",Клиенты_исходные!C501)),DATE(RIGHT(Клиенты_исходные!C501,4),MID(Клиенты_исходные!C501,4,2),LEFT(Клиенты_исходные!C501,2)),DATE(LEFT(Клиенты_исходные!C501,4),MID(Клиенты_исходные!C501,6,2),RIGHT(Клиенты_исходные!C501,2))),Клиенты_исходные!C501)</f>
        <v>31040</v>
      </c>
      <c r="D501" t="str">
        <f>IF(ISBLANK(Клиенты_исходные!D501),"",IF(LEN(SUBSTITUTE(SUBSTITUTE(SUBSTITUTE(SUBSTITUTE(SUBSTITUTE(Клиенты_исходные!D501," ",""),"-",""),"+",""),"(",""),")",""))=11,"+7 ("&amp;MID(IF(LEFT(SUBSTITUTE(SUBSTITUTE(SUBSTITUTE(SUBSTITUTE(SUBSTITUTE(Клиенты_исходные!D501," ",""),"-",""),"+",""),"(",""),")",""))="8","7"&amp;MID(SUBSTITUTE(SUBSTITUTE(SUBSTITUTE(SUBSTITUTE(SUBSTITUTE(Клиенты_исходные!D501," ",""),"-",""),"+",""),"(",""),")",""),2,10),SUBSTITUTE(SUBSTITUTE(SUBSTITUTE(SUBSTITUTE(SUBSTITUTE(Клиенты_исходные!D501," ",""),"-",""),"+",""),"(",""),")","")),2,3)&amp;") "&amp;MID(IF(LEFT(SUBSTITUTE(SUBSTITUTE(SUBSTITUTE(SUBSTITUTE(SUBSTITUTE(Клиенты_исходные!D501," ",""),"-",""),"+",""),"(",""),")",""))="8","7"&amp;MID(SUBSTITUTE(SUBSTITUTE(SUBSTITUTE(SUBSTITUTE(SUBSTITUTE(Клиенты_исходные!D501," ",""),"-",""),"+",""),"(",""),")",""),2,10),SUBSTITUTE(SUBSTITUTE(SUBSTITUTE(SUBSTITUTE(SUBSTITUTE(Клиенты_исходные!D501," ",""),"-",""),"+",""),"(",""),")","")),5,3)&amp;"-"&amp;MID(IF(LEFT(SUBSTITUTE(SUBSTITUTE(SUBSTITUTE(SUBSTITUTE(SUBSTITUTE(Клиенты_исходные!D501," ",""),"-",""),"+",""),"(",""),")",""))="8","7"&amp;MID(SUBSTITUTE(SUBSTITUTE(SUBSTITUTE(SUBSTITUTE(SUBSTITUTE(Клиенты_исходные!D501," ",""),"-",""),"+",""),"(",""),")",""),2,10),SUBSTITUTE(SUBSTITUTE(SUBSTITUTE(SUBSTITUTE(SUBSTITUTE(Клиенты_исходные!D501," ",""),"-",""),"+",""),"(",""),")","")),8,2)&amp;"-"&amp;MID(IF(LEFT(SUBSTITUTE(SUBSTITUTE(SUBSTITUTE(SUBSTITUTE(SUBSTITUTE(Клиенты_исходные!D501," ",""),"-",""),"+",""),"(",""),")",""))="8","7"&amp;MID(SUBSTITUTE(SUBSTITUTE(SUBSTITUTE(SUBSTITUTE(SUBSTITUTE(Клиенты_исходные!D501," ",""),"-",""),"+",""),"(",""),")",""),2,10),SUBSTITUTE(SUBSTITUTE(SUBSTITUTE(SUBSTITUTE(SUBSTITUTE(Клиенты_исходные!D501," ",""),"-",""),"+",""),"(",""),")","")),10,2),IF(LEN(SUBSTITUTE(SUBSTITUTE(SUBSTITUTE(SUBSTITUTE(SUBSTITUTE(Клиенты_исходные!D501," ",""),"-",""),"+",""),"(",""),")",""))=10,"+7 ("&amp;MID(SUBSTITUTE(SUBSTITUTE(SUBSTITUTE(SUBSTITUTE(SUBSTITUTE(Клиенты_исходные!D501," ",""),"-",""),"+",""),"(",""),")",""),1,3)&amp;") "&amp;MID(SUBSTITUTE(SUBSTITUTE(SUBSTITUTE(SUBSTITUTE(SUBSTITUTE(Клиенты_исходные!D501," ",""),"-",""),"+",""),"(",""),")",""),4,3)&amp;"-"&amp;MID(SUBSTITUTE(SUBSTITUTE(SUBSTITUTE(SUBSTITUTE(SUBSTITUTE(Клиенты_исходные!D501," ",""),"-",""),"+",""),"(",""),")",""),6,2)&amp;"-"&amp;MID(SUBSTITUTE(SUBSTITUTE(SUBSTITUTE(SUBSTITUTE(SUBSTITUTE(Клиенты_исходные!D501," ",""),"-",""),"+",""),"(",""),")",""),8,2),Клиенты_исходные!D501)))</f>
        <v xml:space="preserve">+7 (903) 234-56-78</v>
      </c>
      <c r="E501" t="str">
        <f>IF(ISBLANK(Клиенты_исходные!E501),"",IF(ISNUMBER(FIND(".",MID(Клиенты_исходные!E501,FIND("@",Клиенты_исходные!E501)+1,255))),Клиенты_исходные!E501,IF(ISNUMBER(FIND("gmail",Клиенты_исходные!E501)),Клиенты_исходные!E501&amp;".com",Клиенты_исходные!E501&amp;".ru")))</f>
        <v>sannikov@yandex.ru</v>
      </c>
      <c r="F501" t="str">
        <f>IFERROR(VLOOKUP(Клиенты_исходные!F501,Справочники!$J$2:$K$50,2,FALSE),Клиенты_исходные!F501)</f>
        <v>Шахты</v>
      </c>
      <c r="G501" s="8">
        <f>IFERROR(IF(ISNUMBER(FIND(".",Клиенты_исходные!G501)),DATE(RIGHT(Клиенты_исходные!G501,4),MID(Клиенты_исходные!G501,4,2),LEFT(Клиенты_исходные!G501,2)),DATE(LEFT(Клиенты_исходные!G501,4),MID(Клиенты_исходные!G501,6,2),RIGHT(Клиенты_исходные!G501,2))),Клиенты_исходные!G501)</f>
        <v>49628</v>
      </c>
      <c r="H501">
        <f t="shared" ca="1" si="70"/>
        <v>41</v>
      </c>
      <c r="I501" t="str">
        <f t="shared" si="71"/>
        <v>OK</v>
      </c>
      <c r="J501" t="str">
        <f t="shared" si="72"/>
        <v>OK</v>
      </c>
    </row>
    <row r="502">
      <c r="A502" t="str">
        <f>Клиенты_исходные!A502</f>
        <v>C0501</v>
      </c>
      <c r="B502" t="str">
        <f>PROPER(TRIM(Клиенты_исходные!B502))</f>
        <v xml:space="preserve">Крутова Мария Сергеевна</v>
      </c>
      <c r="C502" s="8">
        <f>IFERROR(IF(ISNUMBER(FIND(".",Клиенты_исходные!C502)),DATE(RIGHT(Клиенты_исходные!C502,4),MID(Клиенты_исходные!C502,4,2),LEFT(Клиенты_исходные!C502,2)),DATE(LEFT(Клиенты_исходные!C502,4),MID(Клиенты_исходные!C502,6,2),RIGHT(Клиенты_исходные!C502,2))),Клиенты_исходные!C502)</f>
        <v>27586</v>
      </c>
      <c r="D502" t="str">
        <f>IF(ISBLANK(Клиенты_исходные!D502),"",IF(LEN(SUBSTITUTE(SUBSTITUTE(SUBSTITUTE(SUBSTITUTE(SUBSTITUTE(Клиенты_исходные!D502," ",""),"-",""),"+",""),"(",""),")",""))=11,"+7 ("&amp;MID(IF(LEFT(SUBSTITUTE(SUBSTITUTE(SUBSTITUTE(SUBSTITUTE(SUBSTITUTE(Клиенты_исходные!D502," ",""),"-",""),"+",""),"(",""),")",""))="8","7"&amp;MID(SUBSTITUTE(SUBSTITUTE(SUBSTITUTE(SUBSTITUTE(SUBSTITUTE(Клиенты_исходные!D502," ",""),"-",""),"+",""),"(",""),")",""),2,10),SUBSTITUTE(SUBSTITUTE(SUBSTITUTE(SUBSTITUTE(SUBSTITUTE(Клиенты_исходные!D502," ",""),"-",""),"+",""),"(",""),")","")),2,3)&amp;") "&amp;MID(IF(LEFT(SUBSTITUTE(SUBSTITUTE(SUBSTITUTE(SUBSTITUTE(SUBSTITUTE(Клиенты_исходные!D502," ",""),"-",""),"+",""),"(",""),")",""))="8","7"&amp;MID(SUBSTITUTE(SUBSTITUTE(SUBSTITUTE(SUBSTITUTE(SUBSTITUTE(Клиенты_исходные!D502," ",""),"-",""),"+",""),"(",""),")",""),2,10),SUBSTITUTE(SUBSTITUTE(SUBSTITUTE(SUBSTITUTE(SUBSTITUTE(Клиенты_исходные!D502," ",""),"-",""),"+",""),"(",""),")","")),5,3)&amp;"-"&amp;MID(IF(LEFT(SUBSTITUTE(SUBSTITUTE(SUBSTITUTE(SUBSTITUTE(SUBSTITUTE(Клиенты_исходные!D502," ",""),"-",""),"+",""),"(",""),")",""))="8","7"&amp;MID(SUBSTITUTE(SUBSTITUTE(SUBSTITUTE(SUBSTITUTE(SUBSTITUTE(Клиенты_исходные!D502," ",""),"-",""),"+",""),"(",""),")",""),2,10),SUBSTITUTE(SUBSTITUTE(SUBSTITUTE(SUBSTITUTE(SUBSTITUTE(Клиенты_исходные!D502," ",""),"-",""),"+",""),"(",""),")","")),8,2)&amp;"-"&amp;MID(IF(LEFT(SUBSTITUTE(SUBSTITUTE(SUBSTITUTE(SUBSTITUTE(SUBSTITUTE(Клиенты_исходные!D502," ",""),"-",""),"+",""),"(",""),")",""))="8","7"&amp;MID(SUBSTITUTE(SUBSTITUTE(SUBSTITUTE(SUBSTITUTE(SUBSTITUTE(Клиенты_исходные!D502," ",""),"-",""),"+",""),"(",""),")",""),2,10),SUBSTITUTE(SUBSTITUTE(SUBSTITUTE(SUBSTITUTE(SUBSTITUTE(Клиенты_исходные!D502," ",""),"-",""),"+",""),"(",""),")","")),10,2),IF(LEN(SUBSTITUTE(SUBSTITUTE(SUBSTITUTE(SUBSTITUTE(SUBSTITUTE(Клиенты_исходные!D502," ",""),"-",""),"+",""),"(",""),")",""))=10,"+7 ("&amp;MID(SUBSTITUTE(SUBSTITUTE(SUBSTITUTE(SUBSTITUTE(SUBSTITUTE(Клиенты_исходные!D502," ",""),"-",""),"+",""),"(",""),")",""),1,3)&amp;") "&amp;MID(SUBSTITUTE(SUBSTITUTE(SUBSTITUTE(SUBSTITUTE(SUBSTITUTE(Клиенты_исходные!D502," ",""),"-",""),"+",""),"(",""),")",""),4,3)&amp;"-"&amp;MID(SUBSTITUTE(SUBSTITUTE(SUBSTITUTE(SUBSTITUTE(SUBSTITUTE(Клиенты_исходные!D502," ",""),"-",""),"+",""),"(",""),")",""),6,2)&amp;"-"&amp;MID(SUBSTITUTE(SUBSTITUTE(SUBSTITUTE(SUBSTITUTE(SUBSTITUTE(Клиенты_исходные!D502," ",""),"-",""),"+",""),"(",""),")",""),8,2),Клиенты_исходные!D502)))</f>
        <v xml:space="preserve">+7 (903) 345-67-89</v>
      </c>
      <c r="E502" t="str">
        <f>IF(ISBLANK(Клиенты_исходные!E502),"",IF(ISNUMBER(FIND(".",MID(Клиенты_исходные!E502,FIND("@",Клиенты_исходные!E502)+1,255))),Клиенты_исходные!E502,IF(ISNUMBER(FIND("gmail",Клиенты_исходные!E502)),Клиенты_исходные!E502&amp;".com",Клиенты_исходные!E502&amp;".ru")))</f>
        <v>krutova@gmail.com</v>
      </c>
      <c r="F502" t="str">
        <f>IFERROR(VLOOKUP(Клиенты_исходные!F502,Справочники!$J$2:$K$50,2,FALSE),Клиенты_исходные!F502)</f>
        <v>Златоуст</v>
      </c>
      <c r="G502" s="8">
        <f>IFERROR(IF(ISNUMBER(FIND(".",Клиенты_исходные!G502)),DATE(RIGHT(Клиенты_исходные!G502,4),MID(Клиенты_исходные!G502,4,2),LEFT(Клиенты_исходные!G502,2)),DATE(LEFT(Клиенты_исходные!G502,4),MID(Клиенты_исходные!G502,6,2),RIGHT(Клиенты_исходные!G502,2))),Клиенты_исходные!G502)</f>
        <v>49628</v>
      </c>
      <c r="H502">
        <f t="shared" ca="1" si="70"/>
        <v>51</v>
      </c>
      <c r="I502" t="str">
        <f t="shared" si="71"/>
        <v>OK</v>
      </c>
      <c r="J502" t="str">
        <f t="shared" si="72"/>
        <v>OK</v>
      </c>
    </row>
    <row r="503">
      <c r="A503" t="str">
        <f>Клиенты_исходные!A503</f>
        <v>C0502</v>
      </c>
      <c r="B503" t="str">
        <f>PROPER(TRIM(Клиенты_исходные!B503))</f>
        <v xml:space="preserve">Фадеев Денис Алексеевич</v>
      </c>
      <c r="C503" s="8">
        <f>IFERROR(IF(ISNUMBER(FIND(".",Клиенты_исходные!C503)),DATE(RIGHT(Клиенты_исходные!C503,4),MID(Клиенты_исходные!C503,4,2),LEFT(Клиенты_исходные!C503,2)),DATE(LEFT(Клиенты_исходные!C503,4),MID(Клиенты_исходные!C503,6,2),RIGHT(Клиенты_исходные!C503,2))),Клиенты_исходные!C503)</f>
        <v>30617</v>
      </c>
      <c r="D503" t="str">
        <f>IF(ISBLANK(Клиенты_исходные!D503),"",IF(LEN(SUBSTITUTE(SUBSTITUTE(SUBSTITUTE(SUBSTITUTE(SUBSTITUTE(Клиенты_исходные!D503," ",""),"-",""),"+",""),"(",""),")",""))=11,"+7 ("&amp;MID(IF(LEFT(SUBSTITUTE(SUBSTITUTE(SUBSTITUTE(SUBSTITUTE(SUBSTITUTE(Клиенты_исходные!D503," ",""),"-",""),"+",""),"(",""),")",""))="8","7"&amp;MID(SUBSTITUTE(SUBSTITUTE(SUBSTITUTE(SUBSTITUTE(SUBSTITUTE(Клиенты_исходные!D503," ",""),"-",""),"+",""),"(",""),")",""),2,10),SUBSTITUTE(SUBSTITUTE(SUBSTITUTE(SUBSTITUTE(SUBSTITUTE(Клиенты_исходные!D503," ",""),"-",""),"+",""),"(",""),")","")),2,3)&amp;") "&amp;MID(IF(LEFT(SUBSTITUTE(SUBSTITUTE(SUBSTITUTE(SUBSTITUTE(SUBSTITUTE(Клиенты_исходные!D503," ",""),"-",""),"+",""),"(",""),")",""))="8","7"&amp;MID(SUBSTITUTE(SUBSTITUTE(SUBSTITUTE(SUBSTITUTE(SUBSTITUTE(Клиенты_исходные!D503," ",""),"-",""),"+",""),"(",""),")",""),2,10),SUBSTITUTE(SUBSTITUTE(SUBSTITUTE(SUBSTITUTE(SUBSTITUTE(Клиенты_исходные!D503," ",""),"-",""),"+",""),"(",""),")","")),5,3)&amp;"-"&amp;MID(IF(LEFT(SUBSTITUTE(SUBSTITUTE(SUBSTITUTE(SUBSTITUTE(SUBSTITUTE(Клиенты_исходные!D503," ",""),"-",""),"+",""),"(",""),")",""))="8","7"&amp;MID(SUBSTITUTE(SUBSTITUTE(SUBSTITUTE(SUBSTITUTE(SUBSTITUTE(Клиенты_исходные!D503," ",""),"-",""),"+",""),"(",""),")",""),2,10),SUBSTITUTE(SUBSTITUTE(SUBSTITUTE(SUBSTITUTE(SUBSTITUTE(Клиенты_исходные!D503," ",""),"-",""),"+",""),"(",""),")","")),8,2)&amp;"-"&amp;MID(IF(LEFT(SUBSTITUTE(SUBSTITUTE(SUBSTITUTE(SUBSTITUTE(SUBSTITUTE(Клиенты_исходные!D503," ",""),"-",""),"+",""),"(",""),")",""))="8","7"&amp;MID(SUBSTITUTE(SUBSTITUTE(SUBSTITUTE(SUBSTITUTE(SUBSTITUTE(Клиенты_исходные!D503," ",""),"-",""),"+",""),"(",""),")",""),2,10),SUBSTITUTE(SUBSTITUTE(SUBSTITUTE(SUBSTITUTE(SUBSTITUTE(Клиенты_исходные!D503," ",""),"-",""),"+",""),"(",""),")","")),10,2),IF(LEN(SUBSTITUTE(SUBSTITUTE(SUBSTITUTE(SUBSTITUTE(SUBSTITUTE(Клиенты_исходные!D503," ",""),"-",""),"+",""),"(",""),")",""))=10,"+7 ("&amp;MID(SUBSTITUTE(SUBSTITUTE(SUBSTITUTE(SUBSTITUTE(SUBSTITUTE(Клиенты_исходные!D503," ",""),"-",""),"+",""),"(",""),")",""),1,3)&amp;") "&amp;MID(SUBSTITUTE(SUBSTITUTE(SUBSTITUTE(SUBSTITUTE(SUBSTITUTE(Клиенты_исходные!D503," ",""),"-",""),"+",""),"(",""),")",""),4,3)&amp;"-"&amp;MID(SUBSTITUTE(SUBSTITUTE(SUBSTITUTE(SUBSTITUTE(SUBSTITUTE(Клиенты_исходные!D503," ",""),"-",""),"+",""),"(",""),")",""),6,2)&amp;"-"&amp;MID(SUBSTITUTE(SUBSTITUTE(SUBSTITUTE(SUBSTITUTE(SUBSTITUTE(Клиенты_исходные!D503," ",""),"-",""),"+",""),"(",""),")",""),8,2),Клиенты_исходные!D503)))</f>
        <v xml:space="preserve">+7 (903) 345-67-89</v>
      </c>
      <c r="E503" t="str">
        <f>IF(ISBLANK(Клиенты_исходные!E503),"",IF(ISNUMBER(FIND(".",MID(Клиенты_исходные!E503,FIND("@",Клиенты_исходные!E503)+1,255))),Клиенты_исходные!E503,IF(ISNUMBER(FIND("gmail",Клиенты_исходные!E503)),Клиенты_исходные!E503&amp;".com",Клиенты_исходные!E503&amp;".ru")))</f>
        <v>fadeev@mail.ru</v>
      </c>
      <c r="F503" t="str">
        <f>IFERROR(VLOOKUP(Клиенты_исходные!F503,Справочники!$J$2:$K$50,2,FALSE),Клиенты_исходные!F503)</f>
        <v>Ангарск</v>
      </c>
      <c r="G503" s="8">
        <f>IFERROR(IF(ISNUMBER(FIND(".",Клиенты_исходные!G503)),DATE(RIGHT(Клиенты_исходные!G503,4),MID(Клиенты_исходные!G503,4,2),LEFT(Клиенты_исходные!G503,2)),DATE(LEFT(Клиенты_исходные!G503,4),MID(Клиенты_исходные!G503,6,2),RIGHT(Клиенты_исходные!G503,2))),Клиенты_исходные!G503)</f>
        <v>49644</v>
      </c>
      <c r="H503">
        <f t="shared" ca="1" si="70"/>
        <v>42</v>
      </c>
      <c r="I503" t="str">
        <f t="shared" si="71"/>
        <v>OK</v>
      </c>
      <c r="J503" t="str">
        <f t="shared" si="72"/>
        <v>OK</v>
      </c>
    </row>
    <row r="504">
      <c r="A504" t="str">
        <f>Клиенты_исходные!A504</f>
        <v>C0503</v>
      </c>
      <c r="B504" t="str">
        <f>PROPER(TRIM(Клиенты_исходные!B504))</f>
        <v xml:space="preserve">Русанова Ольга Павловна</v>
      </c>
      <c r="C504" s="8">
        <f>IFERROR(IF(ISNUMBER(FIND(".",Клиенты_исходные!C504)),DATE(RIGHT(Клиенты_исходные!C504,4),MID(Клиенты_исходные!C504,4,2),LEFT(Клиенты_исходные!C504,2)),DATE(LEFT(Клиенты_исходные!C504,4),MID(Клиенты_исходные!C504,6,2),RIGHT(Клиенты_исходные!C504,2))),Клиенты_исходные!C504)</f>
        <v>31933</v>
      </c>
      <c r="D504" t="str">
        <f>IF(ISBLANK(Клиенты_исходные!D504),"",IF(LEN(SUBSTITUTE(SUBSTITUTE(SUBSTITUTE(SUBSTITUTE(SUBSTITUTE(Клиенты_исходные!D504," ",""),"-",""),"+",""),"(",""),")",""))=11,"+7 ("&amp;MID(IF(LEFT(SUBSTITUTE(SUBSTITUTE(SUBSTITUTE(SUBSTITUTE(SUBSTITUTE(Клиенты_исходные!D504," ",""),"-",""),"+",""),"(",""),")",""))="8","7"&amp;MID(SUBSTITUTE(SUBSTITUTE(SUBSTITUTE(SUBSTITUTE(SUBSTITUTE(Клиенты_исходные!D504," ",""),"-",""),"+",""),"(",""),")",""),2,10),SUBSTITUTE(SUBSTITUTE(SUBSTITUTE(SUBSTITUTE(SUBSTITUTE(Клиенты_исходные!D504," ",""),"-",""),"+",""),"(",""),")","")),2,3)&amp;") "&amp;MID(IF(LEFT(SUBSTITUTE(SUBSTITUTE(SUBSTITUTE(SUBSTITUTE(SUBSTITUTE(Клиенты_исходные!D504," ",""),"-",""),"+",""),"(",""),")",""))="8","7"&amp;MID(SUBSTITUTE(SUBSTITUTE(SUBSTITUTE(SUBSTITUTE(SUBSTITUTE(Клиенты_исходные!D504," ",""),"-",""),"+",""),"(",""),")",""),2,10),SUBSTITUTE(SUBSTITUTE(SUBSTITUTE(SUBSTITUTE(SUBSTITUTE(Клиенты_исходные!D504," ",""),"-",""),"+",""),"(",""),")","")),5,3)&amp;"-"&amp;MID(IF(LEFT(SUBSTITUTE(SUBSTITUTE(SUBSTITUTE(SUBSTITUTE(SUBSTITUTE(Клиенты_исходные!D504," ",""),"-",""),"+",""),"(",""),")",""))="8","7"&amp;MID(SUBSTITUTE(SUBSTITUTE(SUBSTITUTE(SUBSTITUTE(SUBSTITUTE(Клиенты_исходные!D504," ",""),"-",""),"+",""),"(",""),")",""),2,10),SUBSTITUTE(SUBSTITUTE(SUBSTITUTE(SUBSTITUTE(SUBSTITUTE(Клиенты_исходные!D504," ",""),"-",""),"+",""),"(",""),")","")),8,2)&amp;"-"&amp;MID(IF(LEFT(SUBSTITUTE(SUBSTITUTE(SUBSTITUTE(SUBSTITUTE(SUBSTITUTE(Клиенты_исходные!D504," ",""),"-",""),"+",""),"(",""),")",""))="8","7"&amp;MID(SUBSTITUTE(SUBSTITUTE(SUBSTITUTE(SUBSTITUTE(SUBSTITUTE(Клиенты_исходные!D504," ",""),"-",""),"+",""),"(",""),")",""),2,10),SUBSTITUTE(SUBSTITUTE(SUBSTITUTE(SUBSTITUTE(SUBSTITUTE(Клиенты_исходные!D504," ",""),"-",""),"+",""),"(",""),")","")),10,2),IF(LEN(SUBSTITUTE(SUBSTITUTE(SUBSTITUTE(SUBSTITUTE(SUBSTITUTE(Клиенты_исходные!D504," ",""),"-",""),"+",""),"(",""),")",""))=10,"+7 ("&amp;MID(SUBSTITUTE(SUBSTITUTE(SUBSTITUTE(SUBSTITUTE(SUBSTITUTE(Клиенты_исходные!D504," ",""),"-",""),"+",""),"(",""),")",""),1,3)&amp;") "&amp;MID(SUBSTITUTE(SUBSTITUTE(SUBSTITUTE(SUBSTITUTE(SUBSTITUTE(Клиенты_исходные!D504," ",""),"-",""),"+",""),"(",""),")",""),4,3)&amp;"-"&amp;MID(SUBSTITUTE(SUBSTITUTE(SUBSTITUTE(SUBSTITUTE(SUBSTITUTE(Клиенты_исходные!D504," ",""),"-",""),"+",""),"(",""),")",""),6,2)&amp;"-"&amp;MID(SUBSTITUTE(SUBSTITUTE(SUBSTITUTE(SUBSTITUTE(SUBSTITUTE(Клиенты_исходные!D504," ",""),"-",""),"+",""),"(",""),")",""),8,2),Клиенты_исходные!D504)))</f>
        <v xml:space="preserve">+7 (903) 345-67-89</v>
      </c>
      <c r="E504" t="str">
        <f>IF(ISBLANK(Клиенты_исходные!E504),"",IF(ISNUMBER(FIND(".",MID(Клиенты_исходные!E504,FIND("@",Клиенты_исходные!E504)+1,255))),Клиенты_исходные!E504,IF(ISNUMBER(FIND("gmail",Клиенты_исходные!E504)),Клиенты_исходные!E504&amp;".com",Клиенты_исходные!E504&amp;".ru")))</f>
        <v>rusanova@yandex.ru</v>
      </c>
      <c r="F504" t="str">
        <f>IFERROR(VLOOKUP(Клиенты_исходные!F504,Справочники!$J$2:$K$50,2,FALSE),Клиенты_исходные!F504)</f>
        <v>Озёрск</v>
      </c>
      <c r="G504" s="8">
        <f>IFERROR(IF(ISNUMBER(FIND(".",Клиенты_исходные!G504)),DATE(RIGHT(Клиенты_исходные!G504,4),MID(Клиенты_исходные!G504,4,2),LEFT(Клиенты_исходные!G504,2)),DATE(LEFT(Клиенты_исходные!G504,4),MID(Клиенты_исходные!G504,6,2),RIGHT(Клиенты_исходные!G504,2))),Клиенты_исходные!G504)</f>
        <v>49653</v>
      </c>
      <c r="H504">
        <f t="shared" ca="1" si="70"/>
        <v>39</v>
      </c>
      <c r="I504" t="str">
        <f t="shared" si="71"/>
        <v>OK</v>
      </c>
      <c r="J504" t="str">
        <f t="shared" si="72"/>
        <v>OK</v>
      </c>
    </row>
    <row r="505">
      <c r="A505" t="str">
        <f>Клиенты_исходные!A505</f>
        <v>C0504</v>
      </c>
      <c r="B505" t="str">
        <f>PROPER(TRIM(Клиенты_исходные!B505))</f>
        <v xml:space="preserve">Букаев Илья Викторович</v>
      </c>
      <c r="C505" s="8">
        <f>IFERROR(IF(ISNUMBER(FIND(".",Клиенты_исходные!C505)),DATE(RIGHT(Клиенты_исходные!C505,4),MID(Клиенты_исходные!C505,4,2),LEFT(Клиенты_исходные!C505,2)),DATE(LEFT(Клиенты_исходные!C505,4),MID(Клиенты_исходные!C505,6,2),RIGHT(Клиенты_исходные!C505,2))),Клиенты_исходные!C505)</f>
        <v>25921</v>
      </c>
      <c r="D505" t="str">
        <f>IF(ISBLANK(Клиенты_исходные!D505),"",IF(LEN(SUBSTITUTE(SUBSTITUTE(SUBSTITUTE(SUBSTITUTE(SUBSTITUTE(Клиенты_исходные!D505," ",""),"-",""),"+",""),"(",""),")",""))=11,"+7 ("&amp;MID(IF(LEFT(SUBSTITUTE(SUBSTITUTE(SUBSTITUTE(SUBSTITUTE(SUBSTITUTE(Клиенты_исходные!D505," ",""),"-",""),"+",""),"(",""),")",""))="8","7"&amp;MID(SUBSTITUTE(SUBSTITUTE(SUBSTITUTE(SUBSTITUTE(SUBSTITUTE(Клиенты_исходные!D505," ",""),"-",""),"+",""),"(",""),")",""),2,10),SUBSTITUTE(SUBSTITUTE(SUBSTITUTE(SUBSTITUTE(SUBSTITUTE(Клиенты_исходные!D505," ",""),"-",""),"+",""),"(",""),")","")),2,3)&amp;") "&amp;MID(IF(LEFT(SUBSTITUTE(SUBSTITUTE(SUBSTITUTE(SUBSTITUTE(SUBSTITUTE(Клиенты_исходные!D505," ",""),"-",""),"+",""),"(",""),")",""))="8","7"&amp;MID(SUBSTITUTE(SUBSTITUTE(SUBSTITUTE(SUBSTITUTE(SUBSTITUTE(Клиенты_исходные!D505," ",""),"-",""),"+",""),"(",""),")",""),2,10),SUBSTITUTE(SUBSTITUTE(SUBSTITUTE(SUBSTITUTE(SUBSTITUTE(Клиенты_исходные!D505," ",""),"-",""),"+",""),"(",""),")","")),5,3)&amp;"-"&amp;MID(IF(LEFT(SUBSTITUTE(SUBSTITUTE(SUBSTITUTE(SUBSTITUTE(SUBSTITUTE(Клиенты_исходные!D505," ",""),"-",""),"+",""),"(",""),")",""))="8","7"&amp;MID(SUBSTITUTE(SUBSTITUTE(SUBSTITUTE(SUBSTITUTE(SUBSTITUTE(Клиенты_исходные!D505," ",""),"-",""),"+",""),"(",""),")",""),2,10),SUBSTITUTE(SUBSTITUTE(SUBSTITUTE(SUBSTITUTE(SUBSTITUTE(Клиенты_исходные!D505," ",""),"-",""),"+",""),"(",""),")","")),8,2)&amp;"-"&amp;MID(IF(LEFT(SUBSTITUTE(SUBSTITUTE(SUBSTITUTE(SUBSTITUTE(SUBSTITUTE(Клиенты_исходные!D505," ",""),"-",""),"+",""),"(",""),")",""))="8","7"&amp;MID(SUBSTITUTE(SUBSTITUTE(SUBSTITUTE(SUBSTITUTE(SUBSTITUTE(Клиенты_исходные!D505," ",""),"-",""),"+",""),"(",""),")",""),2,10),SUBSTITUTE(SUBSTITUTE(SUBSTITUTE(SUBSTITUTE(SUBSTITUTE(Клиенты_исходные!D505," ",""),"-",""),"+",""),"(",""),")","")),10,2),IF(LEN(SUBSTITUTE(SUBSTITUTE(SUBSTITUTE(SUBSTITUTE(SUBSTITUTE(Клиенты_исходные!D505," ",""),"-",""),"+",""),"(",""),")",""))=10,"+7 ("&amp;MID(SUBSTITUTE(SUBSTITUTE(SUBSTITUTE(SUBSTITUTE(SUBSTITUTE(Клиенты_исходные!D505," ",""),"-",""),"+",""),"(",""),")",""),1,3)&amp;") "&amp;MID(SUBSTITUTE(SUBSTITUTE(SUBSTITUTE(SUBSTITUTE(SUBSTITUTE(Клиенты_исходные!D505," ",""),"-",""),"+",""),"(",""),")",""),4,3)&amp;"-"&amp;MID(SUBSTITUTE(SUBSTITUTE(SUBSTITUTE(SUBSTITUTE(SUBSTITUTE(Клиенты_исходные!D505," ",""),"-",""),"+",""),"(",""),")",""),6,2)&amp;"-"&amp;MID(SUBSTITUTE(SUBSTITUTE(SUBSTITUTE(SUBSTITUTE(SUBSTITUTE(Клиенты_исходные!D505," ",""),"-",""),"+",""),"(",""),")",""),8,2),Клиенты_исходные!D505)))</f>
        <v xml:space="preserve">+7 (903) 456-78-90</v>
      </c>
      <c r="E505" t="str">
        <f>IF(ISBLANK(Клиенты_исходные!E505),"",IF(ISNUMBER(FIND(".",MID(Клиенты_исходные!E505,FIND("@",Клиенты_исходные!E505)+1,255))),Клиенты_исходные!E505,IF(ISNUMBER(FIND("gmail",Клиенты_исходные!E505)),Клиенты_исходные!E505&amp;".com",Клиенты_исходные!E505&amp;".ru")))</f>
        <v>bukaev@gmail.com</v>
      </c>
      <c r="F505" t="str">
        <f>IFERROR(VLOOKUP(Клиенты_исходные!F505,Справочники!$J$2:$K$50,2,FALSE),Клиенты_исходные!F505)</f>
        <v>Орел</v>
      </c>
      <c r="G505" s="8">
        <f>IFERROR(IF(ISNUMBER(FIND(".",Клиенты_исходные!G505)),DATE(RIGHT(Клиенты_исходные!G505,4),MID(Клиенты_исходные!G505,4,2),LEFT(Клиенты_исходные!G505,2)),DATE(LEFT(Клиенты_исходные!G505,4),MID(Клиенты_исходные!G505,6,2),RIGHT(Клиенты_исходные!G505,2))),Клиенты_исходные!G505)</f>
        <v>49653</v>
      </c>
      <c r="H505">
        <f t="shared" ca="1" si="70"/>
        <v>55</v>
      </c>
      <c r="I505" t="str">
        <f t="shared" si="71"/>
        <v>OK</v>
      </c>
      <c r="J505" t="str">
        <f t="shared" si="72"/>
        <v>OK</v>
      </c>
    </row>
    <row r="506">
      <c r="A506" t="str">
        <f>Клиенты_исходные!A506</f>
        <v>C0505</v>
      </c>
      <c r="B506" t="str">
        <f>PROPER(TRIM(Клиенты_исходные!B506))</f>
        <v xml:space="preserve">Мухина Екатерина Игоревна</v>
      </c>
      <c r="C506" s="8">
        <f>IFERROR(IF(ISNUMBER(FIND(".",Клиенты_исходные!C506)),DATE(RIGHT(Клиенты_исходные!C506,4),MID(Клиенты_исходные!C506,4,2),LEFT(Клиенты_исходные!C506,2)),DATE(LEFT(Клиенты_исходные!C506,4),MID(Клиенты_исходные!C506,6,2),RIGHT(Клиенты_исходные!C506,2))),Клиенты_исходные!C506)</f>
        <v>31298</v>
      </c>
      <c r="D506" t="str">
        <f>IF(ISBLANK(Клиенты_исходные!D506),"",IF(LEN(SUBSTITUTE(SUBSTITUTE(SUBSTITUTE(SUBSTITUTE(SUBSTITUTE(Клиенты_исходные!D506," ",""),"-",""),"+",""),"(",""),")",""))=11,"+7 ("&amp;MID(IF(LEFT(SUBSTITUTE(SUBSTITUTE(SUBSTITUTE(SUBSTITUTE(SUBSTITUTE(Клиенты_исходные!D506," ",""),"-",""),"+",""),"(",""),")",""))="8","7"&amp;MID(SUBSTITUTE(SUBSTITUTE(SUBSTITUTE(SUBSTITUTE(SUBSTITUTE(Клиенты_исходные!D506," ",""),"-",""),"+",""),"(",""),")",""),2,10),SUBSTITUTE(SUBSTITUTE(SUBSTITUTE(SUBSTITUTE(SUBSTITUTE(Клиенты_исходные!D506," ",""),"-",""),"+",""),"(",""),")","")),2,3)&amp;") "&amp;MID(IF(LEFT(SUBSTITUTE(SUBSTITUTE(SUBSTITUTE(SUBSTITUTE(SUBSTITUTE(Клиенты_исходные!D506," ",""),"-",""),"+",""),"(",""),")",""))="8","7"&amp;MID(SUBSTITUTE(SUBSTITUTE(SUBSTITUTE(SUBSTITUTE(SUBSTITUTE(Клиенты_исходные!D506," ",""),"-",""),"+",""),"(",""),")",""),2,10),SUBSTITUTE(SUBSTITUTE(SUBSTITUTE(SUBSTITUTE(SUBSTITUTE(Клиенты_исходные!D506," ",""),"-",""),"+",""),"(",""),")","")),5,3)&amp;"-"&amp;MID(IF(LEFT(SUBSTITUTE(SUBSTITUTE(SUBSTITUTE(SUBSTITUTE(SUBSTITUTE(Клиенты_исходные!D506," ",""),"-",""),"+",""),"(",""),")",""))="8","7"&amp;MID(SUBSTITUTE(SUBSTITUTE(SUBSTITUTE(SUBSTITUTE(SUBSTITUTE(Клиенты_исходные!D506," ",""),"-",""),"+",""),"(",""),")",""),2,10),SUBSTITUTE(SUBSTITUTE(SUBSTITUTE(SUBSTITUTE(SUBSTITUTE(Клиенты_исходные!D506," ",""),"-",""),"+",""),"(",""),")","")),8,2)&amp;"-"&amp;MID(IF(LEFT(SUBSTITUTE(SUBSTITUTE(SUBSTITUTE(SUBSTITUTE(SUBSTITUTE(Клиенты_исходные!D506," ",""),"-",""),"+",""),"(",""),")",""))="8","7"&amp;MID(SUBSTITUTE(SUBSTITUTE(SUBSTITUTE(SUBSTITUTE(SUBSTITUTE(Клиенты_исходные!D506," ",""),"-",""),"+",""),"(",""),")",""),2,10),SUBSTITUTE(SUBSTITUTE(SUBSTITUTE(SUBSTITUTE(SUBSTITUTE(Клиенты_исходные!D506," ",""),"-",""),"+",""),"(",""),")","")),10,2),IF(LEN(SUBSTITUTE(SUBSTITUTE(SUBSTITUTE(SUBSTITUTE(SUBSTITUTE(Клиенты_исходные!D506," ",""),"-",""),"+",""),"(",""),")",""))=10,"+7 ("&amp;MID(SUBSTITUTE(SUBSTITUTE(SUBSTITUTE(SUBSTITUTE(SUBSTITUTE(Клиенты_исходные!D506," ",""),"-",""),"+",""),"(",""),")",""),1,3)&amp;") "&amp;MID(SUBSTITUTE(SUBSTITUTE(SUBSTITUTE(SUBSTITUTE(SUBSTITUTE(Клиенты_исходные!D506," ",""),"-",""),"+",""),"(",""),")",""),4,3)&amp;"-"&amp;MID(SUBSTITUTE(SUBSTITUTE(SUBSTITUTE(SUBSTITUTE(SUBSTITUTE(Клиенты_исходные!D506," ",""),"-",""),"+",""),"(",""),")",""),6,2)&amp;"-"&amp;MID(SUBSTITUTE(SUBSTITUTE(SUBSTITUTE(SUBSTITUTE(SUBSTITUTE(Клиенты_исходные!D506," ",""),"-",""),"+",""),"(",""),")",""),8,2),Клиенты_исходные!D506)))</f>
        <v xml:space="preserve">+7 (903) 456-78-90</v>
      </c>
      <c r="E506" t="str">
        <f>IF(ISBLANK(Клиенты_исходные!E506),"",IF(ISNUMBER(FIND(".",MID(Клиенты_исходные!E506,FIND("@",Клиенты_исходные!E506)+1,255))),Клиенты_исходные!E506,IF(ISNUMBER(FIND("gmail",Клиенты_исходные!E506)),Клиенты_исходные!E506&amp;".com",Клиенты_исходные!E506&amp;".ru")))</f>
        <v>muhina@mail.ru</v>
      </c>
      <c r="F506" t="str">
        <f>IFERROR(VLOOKUP(Клиенты_исходные!F506,Справочники!$J$2:$K$50,2,FALSE),Клиенты_исходные!F506)</f>
        <v>Якутск</v>
      </c>
      <c r="G506" s="8">
        <f>IFERROR(IF(ISNUMBER(FIND(".",Клиенты_исходные!G506)),DATE(RIGHT(Клиенты_исходные!G506,4),MID(Клиенты_исходные!G506,4,2),LEFT(Клиенты_исходные!G506,2)),DATE(LEFT(Клиенты_исходные!G506,4),MID(Клиенты_исходные!G506,6,2),RIGHT(Клиенты_исходные!G506,2))),Клиенты_исходные!G506)</f>
        <v>49675</v>
      </c>
      <c r="H506">
        <f t="shared" ca="1" si="70"/>
        <v>41</v>
      </c>
      <c r="I506" t="str">
        <f t="shared" si="71"/>
        <v>OK</v>
      </c>
      <c r="J506" t="str">
        <f t="shared" si="72"/>
        <v>OK</v>
      </c>
    </row>
    <row r="507">
      <c r="A507" t="str">
        <f>Клиенты_исходные!A507</f>
        <v>C0506</v>
      </c>
      <c r="B507" t="str">
        <f>PROPER(TRIM(Клиенты_исходные!B507))</f>
        <v xml:space="preserve">Зиновьев Андрей Олегович</v>
      </c>
      <c r="C507" s="8">
        <f>IFERROR(IF(ISNUMBER(FIND(".",Клиенты_исходные!C507)),DATE(RIGHT(Клиенты_исходные!C507,4),MID(Клиенты_исходные!C507,4,2),LEFT(Клиенты_исходные!C507,2)),DATE(LEFT(Клиенты_исходные!C507,4),MID(Клиенты_исходные!C507,6,2),RIGHT(Клиенты_исходные!C507,2))),Клиенты_исходные!C507)</f>
        <v>33350</v>
      </c>
      <c r="D507" t="str">
        <f>IF(ISBLANK(Клиенты_исходные!D507),"",IF(LEN(SUBSTITUTE(SUBSTITUTE(SUBSTITUTE(SUBSTITUTE(SUBSTITUTE(Клиенты_исходные!D507," ",""),"-",""),"+",""),"(",""),")",""))=11,"+7 ("&amp;MID(IF(LEFT(SUBSTITUTE(SUBSTITUTE(SUBSTITUTE(SUBSTITUTE(SUBSTITUTE(Клиенты_исходные!D507," ",""),"-",""),"+",""),"(",""),")",""))="8","7"&amp;MID(SUBSTITUTE(SUBSTITUTE(SUBSTITUTE(SUBSTITUTE(SUBSTITUTE(Клиенты_исходные!D507," ",""),"-",""),"+",""),"(",""),")",""),2,10),SUBSTITUTE(SUBSTITUTE(SUBSTITUTE(SUBSTITUTE(SUBSTITUTE(Клиенты_исходные!D507," ",""),"-",""),"+",""),"(",""),")","")),2,3)&amp;") "&amp;MID(IF(LEFT(SUBSTITUTE(SUBSTITUTE(SUBSTITUTE(SUBSTITUTE(SUBSTITUTE(Клиенты_исходные!D507," ",""),"-",""),"+",""),"(",""),")",""))="8","7"&amp;MID(SUBSTITUTE(SUBSTITUTE(SUBSTITUTE(SUBSTITUTE(SUBSTITUTE(Клиенты_исходные!D507," ",""),"-",""),"+",""),"(",""),")",""),2,10),SUBSTITUTE(SUBSTITUTE(SUBSTITUTE(SUBSTITUTE(SUBSTITUTE(Клиенты_исходные!D507," ",""),"-",""),"+",""),"(",""),")","")),5,3)&amp;"-"&amp;MID(IF(LEFT(SUBSTITUTE(SUBSTITUTE(SUBSTITUTE(SUBSTITUTE(SUBSTITUTE(Клиенты_исходные!D507," ",""),"-",""),"+",""),"(",""),")",""))="8","7"&amp;MID(SUBSTITUTE(SUBSTITUTE(SUBSTITUTE(SUBSTITUTE(SUBSTITUTE(Клиенты_исходные!D507," ",""),"-",""),"+",""),"(",""),")",""),2,10),SUBSTITUTE(SUBSTITUTE(SUBSTITUTE(SUBSTITUTE(SUBSTITUTE(Клиенты_исходные!D507," ",""),"-",""),"+",""),"(",""),")","")),8,2)&amp;"-"&amp;MID(IF(LEFT(SUBSTITUTE(SUBSTITUTE(SUBSTITUTE(SUBSTITUTE(SUBSTITUTE(Клиенты_исходные!D507," ",""),"-",""),"+",""),"(",""),")",""))="8","7"&amp;MID(SUBSTITUTE(SUBSTITUTE(SUBSTITUTE(SUBSTITUTE(SUBSTITUTE(Клиенты_исходные!D507," ",""),"-",""),"+",""),"(",""),")",""),2,10),SUBSTITUTE(SUBSTITUTE(SUBSTITUTE(SUBSTITUTE(SUBSTITUTE(Клиенты_исходные!D507," ",""),"-",""),"+",""),"(",""),")","")),10,2),IF(LEN(SUBSTITUTE(SUBSTITUTE(SUBSTITUTE(SUBSTITUTE(SUBSTITUTE(Клиенты_исходные!D507," ",""),"-",""),"+",""),"(",""),")",""))=10,"+7 ("&amp;MID(SUBSTITUTE(SUBSTITUTE(SUBSTITUTE(SUBSTITUTE(SUBSTITUTE(Клиенты_исходные!D507," ",""),"-",""),"+",""),"(",""),")",""),1,3)&amp;") "&amp;MID(SUBSTITUTE(SUBSTITUTE(SUBSTITUTE(SUBSTITUTE(SUBSTITUTE(Клиенты_исходные!D507," ",""),"-",""),"+",""),"(",""),")",""),4,3)&amp;"-"&amp;MID(SUBSTITUTE(SUBSTITUTE(SUBSTITUTE(SUBSTITUTE(SUBSTITUTE(Клиенты_исходные!D507," ",""),"-",""),"+",""),"(",""),")",""),6,2)&amp;"-"&amp;MID(SUBSTITUTE(SUBSTITUTE(SUBSTITUTE(SUBSTITUTE(SUBSTITUTE(Клиенты_исходные!D507," ",""),"-",""),"+",""),"(",""),")",""),8,2),Клиенты_исходные!D507)))</f>
        <v xml:space="preserve">+7 (903) 456-78-90</v>
      </c>
      <c r="E507" t="str">
        <f>IF(ISBLANK(Клиенты_исходные!E507),"",IF(ISNUMBER(FIND(".",MID(Клиенты_исходные!E507,FIND("@",Клиенты_исходные!E507)+1,255))),Клиенты_исходные!E507,IF(ISNUMBER(FIND("gmail",Клиенты_исходные!E507)),Клиенты_исходные!E507&amp;".com",Клиенты_исходные!E507&amp;".ru")))</f>
        <v>zinoviev@yandex.ru</v>
      </c>
      <c r="F507" t="str">
        <f>IFERROR(VLOOKUP(Клиенты_исходные!F507,Справочники!$J$2:$K$50,2,FALSE),Клиенты_исходные!F507)</f>
        <v>Чебоксары</v>
      </c>
      <c r="G507" s="8">
        <f>IFERROR(IF(ISNUMBER(FIND(".",Клиенты_исходные!G507)),DATE(RIGHT(Клиенты_исходные!G507,4),MID(Клиенты_исходные!G507,4,2),LEFT(Клиенты_исходные!G507,2)),DATE(LEFT(Клиенты_исходные!G507,4),MID(Клиенты_исходные!G507,6,2),RIGHT(Клиенты_исходные!G507,2))),Клиенты_исходные!G507)</f>
        <v>49689</v>
      </c>
      <c r="H507">
        <f t="shared" ca="1" si="70"/>
        <v>35</v>
      </c>
      <c r="I507" t="str">
        <f t="shared" si="71"/>
        <v>OK</v>
      </c>
      <c r="J507" t="str">
        <f t="shared" si="72"/>
        <v>OK</v>
      </c>
    </row>
    <row r="508">
      <c r="A508" t="str">
        <f>Клиенты_исходные!A508</f>
        <v>C0507</v>
      </c>
      <c r="B508" t="str">
        <f>PROPER(TRIM(Клиенты_исходные!B508))</f>
        <v xml:space="preserve">Рябова Мария Сергеевна</v>
      </c>
      <c r="C508" s="8">
        <f>IFERROR(IF(ISNUMBER(FIND(".",Клиенты_исходные!C508)),DATE(RIGHT(Клиенты_исходные!C508,4),MID(Клиенты_исходные!C508,4,2),LEFT(Клиенты_исходные!C508,2)),DATE(LEFT(Клиенты_исходные!C508,4),MID(Клиенты_исходные!C508,6,2),RIGHT(Клиенты_исходные!C508,2))),Клиенты_исходные!C508)</f>
        <v>28505</v>
      </c>
      <c r="D508" t="str">
        <f>IF(ISBLANK(Клиенты_исходные!D508),"",IF(LEN(SUBSTITUTE(SUBSTITUTE(SUBSTITUTE(SUBSTITUTE(SUBSTITUTE(Клиенты_исходные!D508," ",""),"-",""),"+",""),"(",""),")",""))=11,"+7 ("&amp;MID(IF(LEFT(SUBSTITUTE(SUBSTITUTE(SUBSTITUTE(SUBSTITUTE(SUBSTITUTE(Клиенты_исходные!D508," ",""),"-",""),"+",""),"(",""),")",""))="8","7"&amp;MID(SUBSTITUTE(SUBSTITUTE(SUBSTITUTE(SUBSTITUTE(SUBSTITUTE(Клиенты_исходные!D508," ",""),"-",""),"+",""),"(",""),")",""),2,10),SUBSTITUTE(SUBSTITUTE(SUBSTITUTE(SUBSTITUTE(SUBSTITUTE(Клиенты_исходные!D508," ",""),"-",""),"+",""),"(",""),")","")),2,3)&amp;") "&amp;MID(IF(LEFT(SUBSTITUTE(SUBSTITUTE(SUBSTITUTE(SUBSTITUTE(SUBSTITUTE(Клиенты_исходные!D508," ",""),"-",""),"+",""),"(",""),")",""))="8","7"&amp;MID(SUBSTITUTE(SUBSTITUTE(SUBSTITUTE(SUBSTITUTE(SUBSTITUTE(Клиенты_исходные!D508," ",""),"-",""),"+",""),"(",""),")",""),2,10),SUBSTITUTE(SUBSTITUTE(SUBSTITUTE(SUBSTITUTE(SUBSTITUTE(Клиенты_исходные!D508," ",""),"-",""),"+",""),"(",""),")","")),5,3)&amp;"-"&amp;MID(IF(LEFT(SUBSTITUTE(SUBSTITUTE(SUBSTITUTE(SUBSTITUTE(SUBSTITUTE(Клиенты_исходные!D508," ",""),"-",""),"+",""),"(",""),")",""))="8","7"&amp;MID(SUBSTITUTE(SUBSTITUTE(SUBSTITUTE(SUBSTITUTE(SUBSTITUTE(Клиенты_исходные!D508," ",""),"-",""),"+",""),"(",""),")",""),2,10),SUBSTITUTE(SUBSTITUTE(SUBSTITUTE(SUBSTITUTE(SUBSTITUTE(Клиенты_исходные!D508," ",""),"-",""),"+",""),"(",""),")","")),8,2)&amp;"-"&amp;MID(IF(LEFT(SUBSTITUTE(SUBSTITUTE(SUBSTITUTE(SUBSTITUTE(SUBSTITUTE(Клиенты_исходные!D508," ",""),"-",""),"+",""),"(",""),")",""))="8","7"&amp;MID(SUBSTITUTE(SUBSTITUTE(SUBSTITUTE(SUBSTITUTE(SUBSTITUTE(Клиенты_исходные!D508," ",""),"-",""),"+",""),"(",""),")",""),2,10),SUBSTITUTE(SUBSTITUTE(SUBSTITUTE(SUBSTITUTE(SUBSTITUTE(Клиенты_исходные!D508," ",""),"-",""),"+",""),"(",""),")","")),10,2),IF(LEN(SUBSTITUTE(SUBSTITUTE(SUBSTITUTE(SUBSTITUTE(SUBSTITUTE(Клиенты_исходные!D508," ",""),"-",""),"+",""),"(",""),")",""))=10,"+7 ("&amp;MID(SUBSTITUTE(SUBSTITUTE(SUBSTITUTE(SUBSTITUTE(SUBSTITUTE(Клиенты_исходные!D508," ",""),"-",""),"+",""),"(",""),")",""),1,3)&amp;") "&amp;MID(SUBSTITUTE(SUBSTITUTE(SUBSTITUTE(SUBSTITUTE(SUBSTITUTE(Клиенты_исходные!D508," ",""),"-",""),"+",""),"(",""),")",""),4,3)&amp;"-"&amp;MID(SUBSTITUTE(SUBSTITUTE(SUBSTITUTE(SUBSTITUTE(SUBSTITUTE(Клиенты_исходные!D508," ",""),"-",""),"+",""),"(",""),")",""),6,2)&amp;"-"&amp;MID(SUBSTITUTE(SUBSTITUTE(SUBSTITUTE(SUBSTITUTE(SUBSTITUTE(Клиенты_исходные!D508," ",""),"-",""),"+",""),"(",""),")",""),8,2),Клиенты_исходные!D508)))</f>
        <v xml:space="preserve">+7 (903) 567-89-01</v>
      </c>
      <c r="E508" t="str">
        <f>IF(ISBLANK(Клиенты_исходные!E508),"",IF(ISNUMBER(FIND(".",MID(Клиенты_исходные!E508,FIND("@",Клиенты_исходные!E508)+1,255))),Клиенты_исходные!E508,IF(ISNUMBER(FIND("gmail",Клиенты_исходные!E508)),Клиенты_исходные!E508&amp;".com",Клиенты_исходные!E508&amp;".ru")))</f>
        <v>ryabova@gmail.com</v>
      </c>
      <c r="F508" t="str">
        <f>IFERROR(VLOOKUP(Клиенты_исходные!F508,Справочники!$J$2:$K$50,2,FALSE),Клиенты_исходные!F508)</f>
        <v>Мурманск</v>
      </c>
      <c r="G508" s="8">
        <f>IFERROR(IF(ISNUMBER(FIND(".",Клиенты_исходные!G508)),DATE(RIGHT(Клиенты_исходные!G508,4),MID(Клиенты_исходные!G508,4,2),LEFT(Клиенты_исходные!G508,2)),DATE(LEFT(Клиенты_исходные!G508,4),MID(Клиенты_исходные!G508,6,2),RIGHT(Клиенты_исходные!G508,2))),Клиенты_исходные!G508)</f>
        <v>49689</v>
      </c>
      <c r="H508">
        <f t="shared" ca="1" si="70"/>
        <v>48</v>
      </c>
      <c r="I508" t="str">
        <f t="shared" si="71"/>
        <v>OK</v>
      </c>
      <c r="J508" t="str">
        <f t="shared" si="72"/>
        <v>OK</v>
      </c>
    </row>
    <row r="509">
      <c r="A509" t="str">
        <f>Клиенты_исходные!A509</f>
        <v>C0508</v>
      </c>
      <c r="B509" t="str">
        <f>PROPER(TRIM(Клиенты_исходные!B509))</f>
        <v xml:space="preserve">Солнцев Денис Павлович</v>
      </c>
      <c r="C509" s="8">
        <f>IFERROR(IF(ISNUMBER(FIND(".",Клиенты_исходные!C509)),DATE(RIGHT(Клиенты_исходные!C509,4),MID(Клиенты_исходные!C509,4,2),LEFT(Клиенты_исходные!C509,2)),DATE(LEFT(Клиенты_исходные!C509,4),MID(Клиенты_исходные!C509,6,2),RIGHT(Клиенты_исходные!C509,2))),Клиенты_исходные!C509)</f>
        <v>30180</v>
      </c>
      <c r="D509" t="str">
        <f>IF(ISBLANK(Клиенты_исходные!D509),"",IF(LEN(SUBSTITUTE(SUBSTITUTE(SUBSTITUTE(SUBSTITUTE(SUBSTITUTE(Клиенты_исходные!D509," ",""),"-",""),"+",""),"(",""),")",""))=11,"+7 ("&amp;MID(IF(LEFT(SUBSTITUTE(SUBSTITUTE(SUBSTITUTE(SUBSTITUTE(SUBSTITUTE(Клиенты_исходные!D509," ",""),"-",""),"+",""),"(",""),")",""))="8","7"&amp;MID(SUBSTITUTE(SUBSTITUTE(SUBSTITUTE(SUBSTITUTE(SUBSTITUTE(Клиенты_исходные!D509," ",""),"-",""),"+",""),"(",""),")",""),2,10),SUBSTITUTE(SUBSTITUTE(SUBSTITUTE(SUBSTITUTE(SUBSTITUTE(Клиенты_исходные!D509," ",""),"-",""),"+",""),"(",""),")","")),2,3)&amp;") "&amp;MID(IF(LEFT(SUBSTITUTE(SUBSTITUTE(SUBSTITUTE(SUBSTITUTE(SUBSTITUTE(Клиенты_исходные!D509," ",""),"-",""),"+",""),"(",""),")",""))="8","7"&amp;MID(SUBSTITUTE(SUBSTITUTE(SUBSTITUTE(SUBSTITUTE(SUBSTITUTE(Клиенты_исходные!D509," ",""),"-",""),"+",""),"(",""),")",""),2,10),SUBSTITUTE(SUBSTITUTE(SUBSTITUTE(SUBSTITUTE(SUBSTITUTE(Клиенты_исходные!D509," ",""),"-",""),"+",""),"(",""),")","")),5,3)&amp;"-"&amp;MID(IF(LEFT(SUBSTITUTE(SUBSTITUTE(SUBSTITUTE(SUBSTITUTE(SUBSTITUTE(Клиенты_исходные!D509," ",""),"-",""),"+",""),"(",""),")",""))="8","7"&amp;MID(SUBSTITUTE(SUBSTITUTE(SUBSTITUTE(SUBSTITUTE(SUBSTITUTE(Клиенты_исходные!D509," ",""),"-",""),"+",""),"(",""),")",""),2,10),SUBSTITUTE(SUBSTITUTE(SUBSTITUTE(SUBSTITUTE(SUBSTITUTE(Клиенты_исходные!D509," ",""),"-",""),"+",""),"(",""),")","")),8,2)&amp;"-"&amp;MID(IF(LEFT(SUBSTITUTE(SUBSTITUTE(SUBSTITUTE(SUBSTITUTE(SUBSTITUTE(Клиенты_исходные!D509," ",""),"-",""),"+",""),"(",""),")",""))="8","7"&amp;MID(SUBSTITUTE(SUBSTITUTE(SUBSTITUTE(SUBSTITUTE(SUBSTITUTE(Клиенты_исходные!D509," ",""),"-",""),"+",""),"(",""),")",""),2,10),SUBSTITUTE(SUBSTITUTE(SUBSTITUTE(SUBSTITUTE(SUBSTITUTE(Клиенты_исходные!D509," ",""),"-",""),"+",""),"(",""),")","")),10,2),IF(LEN(SUBSTITUTE(SUBSTITUTE(SUBSTITUTE(SUBSTITUTE(SUBSTITUTE(Клиенты_исходные!D509," ",""),"-",""),"+",""),"(",""),")",""))=10,"+7 ("&amp;MID(SUBSTITUTE(SUBSTITUTE(SUBSTITUTE(SUBSTITUTE(SUBSTITUTE(Клиенты_исходные!D509," ",""),"-",""),"+",""),"(",""),")",""),1,3)&amp;") "&amp;MID(SUBSTITUTE(SUBSTITUTE(SUBSTITUTE(SUBSTITUTE(SUBSTITUTE(Клиенты_исходные!D509," ",""),"-",""),"+",""),"(",""),")",""),4,3)&amp;"-"&amp;MID(SUBSTITUTE(SUBSTITUTE(SUBSTITUTE(SUBSTITUTE(SUBSTITUTE(Клиенты_исходные!D509," ",""),"-",""),"+",""),"(",""),")",""),6,2)&amp;"-"&amp;MID(SUBSTITUTE(SUBSTITUTE(SUBSTITUTE(SUBSTITUTE(SUBSTITUTE(Клиенты_исходные!D509," ",""),"-",""),"+",""),"(",""),")",""),8,2),Клиенты_исходные!D509)))</f>
        <v xml:space="preserve">+7 (903) 567-89-01</v>
      </c>
      <c r="E509" t="str">
        <f>IF(ISBLANK(Клиенты_исходные!E509),"",IF(ISNUMBER(FIND(".",MID(Клиенты_исходные!E509,FIND("@",Клиенты_исходные!E509)+1,255))),Клиенты_исходные!E509,IF(ISNUMBER(FIND("gmail",Клиенты_исходные!E509)),Клиенты_исходные!E509&amp;".com",Клиенты_исходные!E509&amp;".ru")))</f>
        <v>solntsev@mail.ru</v>
      </c>
      <c r="F509" t="str">
        <f>IFERROR(VLOOKUP(Клиенты_исходные!F509,Справочники!$J$2:$K$50,2,FALSE),Клиенты_исходные!F509)</f>
        <v>Смоленск</v>
      </c>
      <c r="G509" s="8">
        <f>IFERROR(IF(ISNUMBER(FIND(".",Клиенты_исходные!G509)),DATE(RIGHT(Клиенты_исходные!G509,4),MID(Клиенты_исходные!G509,4,2),LEFT(Клиенты_исходные!G509,2)),DATE(LEFT(Клиенты_исходные!G509,4),MID(Клиенты_исходные!G509,6,2),RIGHT(Клиенты_исходные!G509,2))),Клиенты_исходные!G509)</f>
        <v>49706</v>
      </c>
      <c r="H509">
        <f t="shared" ca="1" si="70"/>
        <v>44</v>
      </c>
      <c r="I509" t="str">
        <f t="shared" si="71"/>
        <v>OK</v>
      </c>
      <c r="J509" t="str">
        <f t="shared" si="72"/>
        <v>OK</v>
      </c>
    </row>
    <row r="510">
      <c r="A510" t="str">
        <f>Клиенты_исходные!A510</f>
        <v>C0509</v>
      </c>
      <c r="B510" t="str">
        <f>PROPER(TRIM(Клиенты_исходные!B510))</f>
        <v xml:space="preserve">Ткачева Ольга Владимировна</v>
      </c>
      <c r="C510" s="8">
        <f>IFERROR(IF(ISNUMBER(FIND(".",Клиенты_исходные!C510)),DATE(RIGHT(Клиенты_исходные!C510,4),MID(Клиенты_исходные!C510,4,2),LEFT(Клиенты_исходные!C510,2)),DATE(LEFT(Клиенты_исходные!C510,4),MID(Клиенты_исходные!C510,6,2),RIGHT(Клиенты_исходные!C510,2))),Клиенты_исходные!C510)</f>
        <v>31746</v>
      </c>
      <c r="D510" t="str">
        <f>IF(ISBLANK(Клиенты_исходные!D510),"",IF(LEN(SUBSTITUTE(SUBSTITUTE(SUBSTITUTE(SUBSTITUTE(SUBSTITUTE(Клиенты_исходные!D510," ",""),"-",""),"+",""),"(",""),")",""))=11,"+7 ("&amp;MID(IF(LEFT(SUBSTITUTE(SUBSTITUTE(SUBSTITUTE(SUBSTITUTE(SUBSTITUTE(Клиенты_исходные!D510," ",""),"-",""),"+",""),"(",""),")",""))="8","7"&amp;MID(SUBSTITUTE(SUBSTITUTE(SUBSTITUTE(SUBSTITUTE(SUBSTITUTE(Клиенты_исходные!D510," ",""),"-",""),"+",""),"(",""),")",""),2,10),SUBSTITUTE(SUBSTITUTE(SUBSTITUTE(SUBSTITUTE(SUBSTITUTE(Клиенты_исходные!D510," ",""),"-",""),"+",""),"(",""),")","")),2,3)&amp;") "&amp;MID(IF(LEFT(SUBSTITUTE(SUBSTITUTE(SUBSTITUTE(SUBSTITUTE(SUBSTITUTE(Клиенты_исходные!D510," ",""),"-",""),"+",""),"(",""),")",""))="8","7"&amp;MID(SUBSTITUTE(SUBSTITUTE(SUBSTITUTE(SUBSTITUTE(SUBSTITUTE(Клиенты_исходные!D510," ",""),"-",""),"+",""),"(",""),")",""),2,10),SUBSTITUTE(SUBSTITUTE(SUBSTITUTE(SUBSTITUTE(SUBSTITUTE(Клиенты_исходные!D510," ",""),"-",""),"+",""),"(",""),")","")),5,3)&amp;"-"&amp;MID(IF(LEFT(SUBSTITUTE(SUBSTITUTE(SUBSTITUTE(SUBSTITUTE(SUBSTITUTE(Клиенты_исходные!D510," ",""),"-",""),"+",""),"(",""),")",""))="8","7"&amp;MID(SUBSTITUTE(SUBSTITUTE(SUBSTITUTE(SUBSTITUTE(SUBSTITUTE(Клиенты_исходные!D510," ",""),"-",""),"+",""),"(",""),")",""),2,10),SUBSTITUTE(SUBSTITUTE(SUBSTITUTE(SUBSTITUTE(SUBSTITUTE(Клиенты_исходные!D510," ",""),"-",""),"+",""),"(",""),")","")),8,2)&amp;"-"&amp;MID(IF(LEFT(SUBSTITUTE(SUBSTITUTE(SUBSTITUTE(SUBSTITUTE(SUBSTITUTE(Клиенты_исходные!D510," ",""),"-",""),"+",""),"(",""),")",""))="8","7"&amp;MID(SUBSTITUTE(SUBSTITUTE(SUBSTITUTE(SUBSTITUTE(SUBSTITUTE(Клиенты_исходные!D510," ",""),"-",""),"+",""),"(",""),")",""),2,10),SUBSTITUTE(SUBSTITUTE(SUBSTITUTE(SUBSTITUTE(SUBSTITUTE(Клиенты_исходные!D510," ",""),"-",""),"+",""),"(",""),")","")),10,2),IF(LEN(SUBSTITUTE(SUBSTITUTE(SUBSTITUTE(SUBSTITUTE(SUBSTITUTE(Клиенты_исходные!D510," ",""),"-",""),"+",""),"(",""),")",""))=10,"+7 ("&amp;MID(SUBSTITUTE(SUBSTITUTE(SUBSTITUTE(SUBSTITUTE(SUBSTITUTE(Клиенты_исходные!D510," ",""),"-",""),"+",""),"(",""),")",""),1,3)&amp;") "&amp;MID(SUBSTITUTE(SUBSTITUTE(SUBSTITUTE(SUBSTITUTE(SUBSTITUTE(Клиенты_исходные!D510," ",""),"-",""),"+",""),"(",""),")",""),4,3)&amp;"-"&amp;MID(SUBSTITUTE(SUBSTITUTE(SUBSTITUTE(SUBSTITUTE(SUBSTITUTE(Клиенты_исходные!D510," ",""),"-",""),"+",""),"(",""),")",""),6,2)&amp;"-"&amp;MID(SUBSTITUTE(SUBSTITUTE(SUBSTITUTE(SUBSTITUTE(SUBSTITUTE(Клиенты_исходные!D510," ",""),"-",""),"+",""),"(",""),")",""),8,2),Клиенты_исходные!D510)))</f>
        <v xml:space="preserve">+7 (903) 567-89-01</v>
      </c>
      <c r="E510" t="str">
        <f>IF(ISBLANK(Клиенты_исходные!E510),"",IF(ISNUMBER(FIND(".",MID(Клиенты_исходные!E510,FIND("@",Клиенты_исходные!E510)+1,255))),Клиенты_исходные!E510,IF(ISNUMBER(FIND("gmail",Клиенты_исходные!E510)),Клиенты_исходные!E510&amp;".com",Клиенты_исходные!E510&amp;".ru")))</f>
        <v>tkacheva@yandex.ru</v>
      </c>
      <c r="F510" t="str">
        <f>IFERROR(VLOOKUP(Клиенты_исходные!F510,Справочники!$J$2:$K$50,2,FALSE),Клиенты_исходные!F510)</f>
        <v>Тула</v>
      </c>
      <c r="G510" s="8">
        <f>IFERROR(IF(ISNUMBER(FIND(".",Клиенты_исходные!G510)),DATE(RIGHT(Клиенты_исходные!G510,4),MID(Клиенты_исходные!G510,4,2),LEFT(Клиенты_исходные!G510,2)),DATE(LEFT(Клиенты_исходные!G510,4),MID(Клиенты_исходные!G510,6,2),RIGHT(Клиенты_исходные!G510,2))),Клиенты_исходные!G510)</f>
        <v>49715</v>
      </c>
      <c r="H510">
        <f t="shared" ca="1" si="70"/>
        <v>39</v>
      </c>
      <c r="I510" t="str">
        <f t="shared" si="71"/>
        <v>OK</v>
      </c>
      <c r="J510" t="str">
        <f t="shared" si="72"/>
        <v>OK</v>
      </c>
    </row>
    <row r="511">
      <c r="A511" t="str">
        <f>Клиенты_исходные!A511</f>
        <v>C0510</v>
      </c>
      <c r="B511" t="str">
        <f>PROPER(TRIM(Клиенты_исходные!B511))</f>
        <v xml:space="preserve">Цветков Илья Александрович</v>
      </c>
      <c r="C511" s="8">
        <f>IFERROR(IF(ISNUMBER(FIND(".",Клиенты_исходные!C511)),DATE(RIGHT(Клиенты_исходные!C511,4),MID(Клиенты_исходные!C511,4,2),LEFT(Клиенты_исходные!C511,2)),DATE(LEFT(Клиенты_исходные!C511,4),MID(Клиенты_исходные!C511,6,2),RIGHT(Клиенты_исходные!C511,2))),Клиенты_исходные!C511)</f>
        <v>27193</v>
      </c>
      <c r="D511" t="str">
        <f>IF(ISBLANK(Клиенты_исходные!D511),"",IF(LEN(SUBSTITUTE(SUBSTITUTE(SUBSTITUTE(SUBSTITUTE(SUBSTITUTE(Клиенты_исходные!D511," ",""),"-",""),"+",""),"(",""),")",""))=11,"+7 ("&amp;MID(IF(LEFT(SUBSTITUTE(SUBSTITUTE(SUBSTITUTE(SUBSTITUTE(SUBSTITUTE(Клиенты_исходные!D511," ",""),"-",""),"+",""),"(",""),")",""))="8","7"&amp;MID(SUBSTITUTE(SUBSTITUTE(SUBSTITUTE(SUBSTITUTE(SUBSTITUTE(Клиенты_исходные!D511," ",""),"-",""),"+",""),"(",""),")",""),2,10),SUBSTITUTE(SUBSTITUTE(SUBSTITUTE(SUBSTITUTE(SUBSTITUTE(Клиенты_исходные!D511," ",""),"-",""),"+",""),"(",""),")","")),2,3)&amp;") "&amp;MID(IF(LEFT(SUBSTITUTE(SUBSTITUTE(SUBSTITUTE(SUBSTITUTE(SUBSTITUTE(Клиенты_исходные!D511," ",""),"-",""),"+",""),"(",""),")",""))="8","7"&amp;MID(SUBSTITUTE(SUBSTITUTE(SUBSTITUTE(SUBSTITUTE(SUBSTITUTE(Клиенты_исходные!D511," ",""),"-",""),"+",""),"(",""),")",""),2,10),SUBSTITUTE(SUBSTITUTE(SUBSTITUTE(SUBSTITUTE(SUBSTITUTE(Клиенты_исходные!D511," ",""),"-",""),"+",""),"(",""),")","")),5,3)&amp;"-"&amp;MID(IF(LEFT(SUBSTITUTE(SUBSTITUTE(SUBSTITUTE(SUBSTITUTE(SUBSTITUTE(Клиенты_исходные!D511," ",""),"-",""),"+",""),"(",""),")",""))="8","7"&amp;MID(SUBSTITUTE(SUBSTITUTE(SUBSTITUTE(SUBSTITUTE(SUBSTITUTE(Клиенты_исходные!D511," ",""),"-",""),"+",""),"(",""),")",""),2,10),SUBSTITUTE(SUBSTITUTE(SUBSTITUTE(SUBSTITUTE(SUBSTITUTE(Клиенты_исходные!D511," ",""),"-",""),"+",""),"(",""),")","")),8,2)&amp;"-"&amp;MID(IF(LEFT(SUBSTITUTE(SUBSTITUTE(SUBSTITUTE(SUBSTITUTE(SUBSTITUTE(Клиенты_исходные!D511," ",""),"-",""),"+",""),"(",""),")",""))="8","7"&amp;MID(SUBSTITUTE(SUBSTITUTE(SUBSTITUTE(SUBSTITUTE(SUBSTITUTE(Клиенты_исходные!D511," ",""),"-",""),"+",""),"(",""),")",""),2,10),SUBSTITUTE(SUBSTITUTE(SUBSTITUTE(SUBSTITUTE(SUBSTITUTE(Клиенты_исходные!D511," ",""),"-",""),"+",""),"(",""),")","")),10,2),IF(LEN(SUBSTITUTE(SUBSTITUTE(SUBSTITUTE(SUBSTITUTE(SUBSTITUTE(Клиенты_исходные!D511," ",""),"-",""),"+",""),"(",""),")",""))=10,"+7 ("&amp;MID(SUBSTITUTE(SUBSTITUTE(SUBSTITUTE(SUBSTITUTE(SUBSTITUTE(Клиенты_исходные!D511," ",""),"-",""),"+",""),"(",""),")",""),1,3)&amp;") "&amp;MID(SUBSTITUTE(SUBSTITUTE(SUBSTITUTE(SUBSTITUTE(SUBSTITUTE(Клиенты_исходные!D511," ",""),"-",""),"+",""),"(",""),")",""),4,3)&amp;"-"&amp;MID(SUBSTITUTE(SUBSTITUTE(SUBSTITUTE(SUBSTITUTE(SUBSTITUTE(Клиенты_исходные!D511," ",""),"-",""),"+",""),"(",""),")",""),6,2)&amp;"-"&amp;MID(SUBSTITUTE(SUBSTITUTE(SUBSTITUTE(SUBSTITUTE(SUBSTITUTE(Клиенты_исходные!D511," ",""),"-",""),"+",""),"(",""),")",""),8,2),Клиенты_исходные!D511)))</f>
        <v xml:space="preserve">+7 (903) 678-90-12</v>
      </c>
      <c r="E511" t="str">
        <f>IF(ISBLANK(Клиенты_исходные!E511),"",IF(ISNUMBER(FIND(".",MID(Клиенты_исходные!E511,FIND("@",Клиенты_исходные!E511)+1,255))),Клиенты_исходные!E511,IF(ISNUMBER(FIND("gmail",Клиенты_исходные!E511)),Клиенты_исходные!E511&amp;".com",Клиенты_исходные!E511&amp;".ru")))</f>
        <v>tsvetkov@gmail.com</v>
      </c>
      <c r="F511" t="str">
        <f>IFERROR(VLOOKUP(Клиенты_исходные!F511,Справочники!$J$2:$K$50,2,FALSE),Клиенты_исходные!F511)</f>
        <v>Калуга</v>
      </c>
      <c r="G511" s="8">
        <f>IFERROR(IF(ISNUMBER(FIND(".",Клиенты_исходные!G511)),DATE(RIGHT(Клиенты_исходные!G511,4),MID(Клиенты_исходные!G511,4,2),LEFT(Клиенты_исходные!G511,2)),DATE(LEFT(Клиенты_исходные!G511,4),MID(Клиенты_исходные!G511,6,2),RIGHT(Клиенты_исходные!G511,2))),Клиенты_исходные!G511)</f>
        <v>49715</v>
      </c>
      <c r="H511">
        <f t="shared" ca="1" si="70"/>
        <v>52</v>
      </c>
      <c r="I511" t="str">
        <f t="shared" si="71"/>
        <v>OK</v>
      </c>
      <c r="J511" t="str">
        <f t="shared" si="72"/>
        <v>OK</v>
      </c>
    </row>
    <row r="512">
      <c r="A512" t="str">
        <f>Клиенты_исходные!A512</f>
        <v>C0511</v>
      </c>
      <c r="B512" t="str">
        <f>PROPER(TRIM(Клиенты_исходные!B512))</f>
        <v xml:space="preserve">Балашова Елена Сергеевна</v>
      </c>
      <c r="C512" s="8">
        <f>IFERROR(IF(ISNUMBER(FIND(".",Клиенты_исходные!C512)),DATE(RIGHT(Клиенты_исходные!C512,4),MID(Клиенты_исходные!C512,4,2),LEFT(Клиенты_исходные!C512,2)),DATE(LEFT(Клиенты_исходные!C512,4),MID(Клиенты_исходные!C512,6,2),RIGHT(Клиенты_исходные!C512,2))),Клиенты_исходные!C512)</f>
        <v>30378</v>
      </c>
      <c r="D512" t="str">
        <f>IF(ISBLANK(Клиенты_исходные!D512),"",IF(LEN(SUBSTITUTE(SUBSTITUTE(SUBSTITUTE(SUBSTITUTE(SUBSTITUTE(Клиенты_исходные!D512," ",""),"-",""),"+",""),"(",""),")",""))=11,"+7 ("&amp;MID(IF(LEFT(SUBSTITUTE(SUBSTITUTE(SUBSTITUTE(SUBSTITUTE(SUBSTITUTE(Клиенты_исходные!D512," ",""),"-",""),"+",""),"(",""),")",""))="8","7"&amp;MID(SUBSTITUTE(SUBSTITUTE(SUBSTITUTE(SUBSTITUTE(SUBSTITUTE(Клиенты_исходные!D512," ",""),"-",""),"+",""),"(",""),")",""),2,10),SUBSTITUTE(SUBSTITUTE(SUBSTITUTE(SUBSTITUTE(SUBSTITUTE(Клиенты_исходные!D512," ",""),"-",""),"+",""),"(",""),")","")),2,3)&amp;") "&amp;MID(IF(LEFT(SUBSTITUTE(SUBSTITUTE(SUBSTITUTE(SUBSTITUTE(SUBSTITUTE(Клиенты_исходные!D512," ",""),"-",""),"+",""),"(",""),")",""))="8","7"&amp;MID(SUBSTITUTE(SUBSTITUTE(SUBSTITUTE(SUBSTITUTE(SUBSTITUTE(Клиенты_исходные!D512," ",""),"-",""),"+",""),"(",""),")",""),2,10),SUBSTITUTE(SUBSTITUTE(SUBSTITUTE(SUBSTITUTE(SUBSTITUTE(Клиенты_исходные!D512," ",""),"-",""),"+",""),"(",""),")","")),5,3)&amp;"-"&amp;MID(IF(LEFT(SUBSTITUTE(SUBSTITUTE(SUBSTITUTE(SUBSTITUTE(SUBSTITUTE(Клиенты_исходные!D512," ",""),"-",""),"+",""),"(",""),")",""))="8","7"&amp;MID(SUBSTITUTE(SUBSTITUTE(SUBSTITUTE(SUBSTITUTE(SUBSTITUTE(Клиенты_исходные!D512," ",""),"-",""),"+",""),"(",""),")",""),2,10),SUBSTITUTE(SUBSTITUTE(SUBSTITUTE(SUBSTITUTE(SUBSTITUTE(Клиенты_исходные!D512," ",""),"-",""),"+",""),"(",""),")","")),8,2)&amp;"-"&amp;MID(IF(LEFT(SUBSTITUTE(SUBSTITUTE(SUBSTITUTE(SUBSTITUTE(SUBSTITUTE(Клиенты_исходные!D512," ",""),"-",""),"+",""),"(",""),")",""))="8","7"&amp;MID(SUBSTITUTE(SUBSTITUTE(SUBSTITUTE(SUBSTITUTE(SUBSTITUTE(Клиенты_исходные!D512," ",""),"-",""),"+",""),"(",""),")",""),2,10),SUBSTITUTE(SUBSTITUTE(SUBSTITUTE(SUBSTITUTE(SUBSTITUTE(Клиенты_исходные!D512," ",""),"-",""),"+",""),"(",""),")","")),10,2),IF(LEN(SUBSTITUTE(SUBSTITUTE(SUBSTITUTE(SUBSTITUTE(SUBSTITUTE(Клиенты_исходные!D512," ",""),"-",""),"+",""),"(",""),")",""))=10,"+7 ("&amp;MID(SUBSTITUTE(SUBSTITUTE(SUBSTITUTE(SUBSTITUTE(SUBSTITUTE(Клиенты_исходные!D512," ",""),"-",""),"+",""),"(",""),")",""),1,3)&amp;") "&amp;MID(SUBSTITUTE(SUBSTITUTE(SUBSTITUTE(SUBSTITUTE(SUBSTITUTE(Клиенты_исходные!D512," ",""),"-",""),"+",""),"(",""),")",""),4,3)&amp;"-"&amp;MID(SUBSTITUTE(SUBSTITUTE(SUBSTITUTE(SUBSTITUTE(SUBSTITUTE(Клиенты_исходные!D512," ",""),"-",""),"+",""),"(",""),")",""),6,2)&amp;"-"&amp;MID(SUBSTITUTE(SUBSTITUTE(SUBSTITUTE(SUBSTITUTE(SUBSTITUTE(Клиенты_исходные!D512," ",""),"-",""),"+",""),"(",""),")",""),8,2),Клиенты_исходные!D512)))</f>
        <v xml:space="preserve">+7 (903) 678-90-12</v>
      </c>
      <c r="E512" t="str">
        <f>IF(ISBLANK(Клиенты_исходные!E512),"",IF(ISNUMBER(FIND(".",MID(Клиенты_исходные!E512,FIND("@",Клиенты_исходные!E512)+1,255))),Клиенты_исходные!E512,IF(ISNUMBER(FIND("gmail",Клиенты_исходные!E512)),Клиенты_исходные!E512&amp;".com",Клиенты_исходные!E512&amp;".ru")))</f>
        <v>balashova@mail.ru</v>
      </c>
      <c r="F512" t="str">
        <f>IFERROR(VLOOKUP(Клиенты_исходные!F512,Справочники!$J$2:$K$50,2,FALSE),Клиенты_исходные!F512)</f>
        <v>Владикавказ</v>
      </c>
      <c r="G512" s="8">
        <f>IFERROR(IF(ISNUMBER(FIND(".",Клиенты_исходные!G512)),DATE(RIGHT(Клиенты_исходные!G512,4),MID(Клиенты_исходные!G512,4,2),LEFT(Клиенты_исходные!G512,2)),DATE(LEFT(Клиенты_исходные!G512,4),MID(Клиенты_исходные!G512,6,2),RIGHT(Клиенты_исходные!G512,2))),Клиенты_исходные!G512)</f>
        <v>49735</v>
      </c>
      <c r="H512">
        <f t="shared" ca="1" si="70"/>
        <v>43</v>
      </c>
      <c r="I512" t="str">
        <f t="shared" si="71"/>
        <v>OK</v>
      </c>
      <c r="J512" t="str">
        <f t="shared" si="72"/>
        <v>OK</v>
      </c>
    </row>
    <row r="513">
      <c r="A513" t="str">
        <f>Клиенты_исходные!A513</f>
        <v>C0512</v>
      </c>
      <c r="B513" t="str">
        <f>PROPER(TRIM(Клиенты_исходные!B513))</f>
        <v xml:space="preserve">Осипов Андрей Викторович</v>
      </c>
      <c r="C513" s="8">
        <f>IFERROR(IF(ISNUMBER(FIND(".",Клиенты_исходные!C513)),DATE(RIGHT(Клиенты_исходные!C513,4),MID(Клиенты_исходные!C513,4,2),LEFT(Клиенты_исходные!C513,2)),DATE(LEFT(Клиенты_исходные!C513,4),MID(Клиенты_исходные!C513,6,2),RIGHT(Клиенты_исходные!C513,2))),Клиенты_исходные!C513)</f>
        <v>33902</v>
      </c>
      <c r="D513" t="str">
        <f>IF(ISBLANK(Клиенты_исходные!D513),"",IF(LEN(SUBSTITUTE(SUBSTITUTE(SUBSTITUTE(SUBSTITUTE(SUBSTITUTE(Клиенты_исходные!D513," ",""),"-",""),"+",""),"(",""),")",""))=11,"+7 ("&amp;MID(IF(LEFT(SUBSTITUTE(SUBSTITUTE(SUBSTITUTE(SUBSTITUTE(SUBSTITUTE(Клиенты_исходные!D513," ",""),"-",""),"+",""),"(",""),")",""))="8","7"&amp;MID(SUBSTITUTE(SUBSTITUTE(SUBSTITUTE(SUBSTITUTE(SUBSTITUTE(Клиенты_исходные!D513," ",""),"-",""),"+",""),"(",""),")",""),2,10),SUBSTITUTE(SUBSTITUTE(SUBSTITUTE(SUBSTITUTE(SUBSTITUTE(Клиенты_исходные!D513," ",""),"-",""),"+",""),"(",""),")","")),2,3)&amp;") "&amp;MID(IF(LEFT(SUBSTITUTE(SUBSTITUTE(SUBSTITUTE(SUBSTITUTE(SUBSTITUTE(Клиенты_исходные!D513," ",""),"-",""),"+",""),"(",""),")",""))="8","7"&amp;MID(SUBSTITUTE(SUBSTITUTE(SUBSTITUTE(SUBSTITUTE(SUBSTITUTE(Клиенты_исходные!D513," ",""),"-",""),"+",""),"(",""),")",""),2,10),SUBSTITUTE(SUBSTITUTE(SUBSTITUTE(SUBSTITUTE(SUBSTITUTE(Клиенты_исходные!D513," ",""),"-",""),"+",""),"(",""),")","")),5,3)&amp;"-"&amp;MID(IF(LEFT(SUBSTITUTE(SUBSTITUTE(SUBSTITUTE(SUBSTITUTE(SUBSTITUTE(Клиенты_исходные!D513," ",""),"-",""),"+",""),"(",""),")",""))="8","7"&amp;MID(SUBSTITUTE(SUBSTITUTE(SUBSTITUTE(SUBSTITUTE(SUBSTITUTE(Клиенты_исходные!D513," ",""),"-",""),"+",""),"(",""),")",""),2,10),SUBSTITUTE(SUBSTITUTE(SUBSTITUTE(SUBSTITUTE(SUBSTITUTE(Клиенты_исходные!D513," ",""),"-",""),"+",""),"(",""),")","")),8,2)&amp;"-"&amp;MID(IF(LEFT(SUBSTITUTE(SUBSTITUTE(SUBSTITUTE(SUBSTITUTE(SUBSTITUTE(Клиенты_исходные!D513," ",""),"-",""),"+",""),"(",""),")",""))="8","7"&amp;MID(SUBSTITUTE(SUBSTITUTE(SUBSTITUTE(SUBSTITUTE(SUBSTITUTE(Клиенты_исходные!D513," ",""),"-",""),"+",""),"(",""),")",""),2,10),SUBSTITUTE(SUBSTITUTE(SUBSTITUTE(SUBSTITUTE(SUBSTITUTE(Клиенты_исходные!D513," ",""),"-",""),"+",""),"(",""),")","")),10,2),IF(LEN(SUBSTITUTE(SUBSTITUTE(SUBSTITUTE(SUBSTITUTE(SUBSTITUTE(Клиенты_исходные!D513," ",""),"-",""),"+",""),"(",""),")",""))=10,"+7 ("&amp;MID(SUBSTITUTE(SUBSTITUTE(SUBSTITUTE(SUBSTITUTE(SUBSTITUTE(Клиенты_исходные!D513," ",""),"-",""),"+",""),"(",""),")",""),1,3)&amp;") "&amp;MID(SUBSTITUTE(SUBSTITUTE(SUBSTITUTE(SUBSTITUTE(SUBSTITUTE(Клиенты_исходные!D513," ",""),"-",""),"+",""),"(",""),")",""),4,3)&amp;"-"&amp;MID(SUBSTITUTE(SUBSTITUTE(SUBSTITUTE(SUBSTITUTE(SUBSTITUTE(Клиенты_исходные!D513," ",""),"-",""),"+",""),"(",""),")",""),6,2)&amp;"-"&amp;MID(SUBSTITUTE(SUBSTITUTE(SUBSTITUTE(SUBSTITUTE(SUBSTITUTE(Клиенты_исходные!D513," ",""),"-",""),"+",""),"(",""),")",""),8,2),Клиенты_исходные!D513)))</f>
        <v xml:space="preserve">+7 (903) 678-90-12</v>
      </c>
      <c r="E513" t="str">
        <f>IF(ISBLANK(Клиенты_исходные!E513),"",IF(ISNUMBER(FIND(".",MID(Клиенты_исходные!E513,FIND("@",Клиенты_исходные!E513)+1,255))),Клиенты_исходные!E513,IF(ISNUMBER(FIND("gmail",Клиенты_исходные!E513)),Клиенты_исходные!E513&amp;".com",Клиенты_исходные!E513&amp;".ru")))</f>
        <v>osipov@yandex.ru</v>
      </c>
      <c r="F513" t="str">
        <f>IFERROR(VLOOKUP(Клиенты_исходные!F513,Справочники!$J$2:$K$50,2,FALSE),Клиенты_исходные!F513)</f>
        <v>Смоленск</v>
      </c>
      <c r="G513" s="8">
        <f>IFERROR(IF(ISNUMBER(FIND(".",Клиенты_исходные!G513)),DATE(RIGHT(Клиенты_исходные!G513,4),MID(Клиенты_исходные!G513,4,2),LEFT(Клиенты_исходные!G513,2)),DATE(LEFT(Клиенты_исходные!G513,4),MID(Клиенты_исходные!G513,6,2),RIGHT(Клиенты_исходные!G513,2))),Клиенты_исходные!G513)</f>
        <v>49749</v>
      </c>
      <c r="H513">
        <f t="shared" ca="1" si="70"/>
        <v>33</v>
      </c>
      <c r="I513" t="str">
        <f t="shared" si="71"/>
        <v>OK</v>
      </c>
      <c r="J513" t="str">
        <f t="shared" si="72"/>
        <v>OK</v>
      </c>
    </row>
    <row r="514">
      <c r="A514" t="str">
        <f>Клиенты_исходные!A514</f>
        <v>C0513</v>
      </c>
      <c r="B514" t="str">
        <f>PROPER(TRIM(Клиенты_исходные!B514))</f>
        <v xml:space="preserve">Краснова Мария Павловна</v>
      </c>
      <c r="C514" s="8">
        <f>IFERROR(IF(ISNUMBER(FIND(".",Клиенты_исходные!C514)),DATE(RIGHT(Клиенты_исходные!C514,4),MID(Клиенты_исходные!C514,4,2),LEFT(Клиенты_исходные!C514,2)),DATE(LEFT(Клиенты_исходные!C514,4),MID(Клиенты_исходные!C514,6,2),RIGHT(Клиенты_исходные!C514,2))),Клиенты_исходные!C514)</f>
        <v>27955</v>
      </c>
      <c r="D514" t="str">
        <f>IF(ISBLANK(Клиенты_исходные!D514),"",IF(LEN(SUBSTITUTE(SUBSTITUTE(SUBSTITUTE(SUBSTITUTE(SUBSTITUTE(Клиенты_исходные!D514," ",""),"-",""),"+",""),"(",""),")",""))=11,"+7 ("&amp;MID(IF(LEFT(SUBSTITUTE(SUBSTITUTE(SUBSTITUTE(SUBSTITUTE(SUBSTITUTE(Клиенты_исходные!D514," ",""),"-",""),"+",""),"(",""),")",""))="8","7"&amp;MID(SUBSTITUTE(SUBSTITUTE(SUBSTITUTE(SUBSTITUTE(SUBSTITUTE(Клиенты_исходные!D514," ",""),"-",""),"+",""),"(",""),")",""),2,10),SUBSTITUTE(SUBSTITUTE(SUBSTITUTE(SUBSTITUTE(SUBSTITUTE(Клиенты_исходные!D514," ",""),"-",""),"+",""),"(",""),")","")),2,3)&amp;") "&amp;MID(IF(LEFT(SUBSTITUTE(SUBSTITUTE(SUBSTITUTE(SUBSTITUTE(SUBSTITUTE(Клиенты_исходные!D514," ",""),"-",""),"+",""),"(",""),")",""))="8","7"&amp;MID(SUBSTITUTE(SUBSTITUTE(SUBSTITUTE(SUBSTITUTE(SUBSTITUTE(Клиенты_исходные!D514," ",""),"-",""),"+",""),"(",""),")",""),2,10),SUBSTITUTE(SUBSTITUTE(SUBSTITUTE(SUBSTITUTE(SUBSTITUTE(Клиенты_исходные!D514," ",""),"-",""),"+",""),"(",""),")","")),5,3)&amp;"-"&amp;MID(IF(LEFT(SUBSTITUTE(SUBSTITUTE(SUBSTITUTE(SUBSTITUTE(SUBSTITUTE(Клиенты_исходные!D514," ",""),"-",""),"+",""),"(",""),")",""))="8","7"&amp;MID(SUBSTITUTE(SUBSTITUTE(SUBSTITUTE(SUBSTITUTE(SUBSTITUTE(Клиенты_исходные!D514," ",""),"-",""),"+",""),"(",""),")",""),2,10),SUBSTITUTE(SUBSTITUTE(SUBSTITUTE(SUBSTITUTE(SUBSTITUTE(Клиенты_исходные!D514," ",""),"-",""),"+",""),"(",""),")","")),8,2)&amp;"-"&amp;MID(IF(LEFT(SUBSTITUTE(SUBSTITUTE(SUBSTITUTE(SUBSTITUTE(SUBSTITUTE(Клиенты_исходные!D514," ",""),"-",""),"+",""),"(",""),")",""))="8","7"&amp;MID(SUBSTITUTE(SUBSTITUTE(SUBSTITUTE(SUBSTITUTE(SUBSTITUTE(Клиенты_исходные!D514," ",""),"-",""),"+",""),"(",""),")",""),2,10),SUBSTITUTE(SUBSTITUTE(SUBSTITUTE(SUBSTITUTE(SUBSTITUTE(Клиенты_исходные!D514," ",""),"-",""),"+",""),"(",""),")","")),10,2),IF(LEN(SUBSTITUTE(SUBSTITUTE(SUBSTITUTE(SUBSTITUTE(SUBSTITUTE(Клиенты_исходные!D514," ",""),"-",""),"+",""),"(",""),")",""))=10,"+7 ("&amp;MID(SUBSTITUTE(SUBSTITUTE(SUBSTITUTE(SUBSTITUTE(SUBSTITUTE(Клиенты_исходные!D514," ",""),"-",""),"+",""),"(",""),")",""),1,3)&amp;") "&amp;MID(SUBSTITUTE(SUBSTITUTE(SUBSTITUTE(SUBSTITUTE(SUBSTITUTE(Клиенты_исходные!D514," ",""),"-",""),"+",""),"(",""),")",""),4,3)&amp;"-"&amp;MID(SUBSTITUTE(SUBSTITUTE(SUBSTITUTE(SUBSTITUTE(SUBSTITUTE(Клиенты_исходные!D514," ",""),"-",""),"+",""),"(",""),")",""),6,2)&amp;"-"&amp;MID(SUBSTITUTE(SUBSTITUTE(SUBSTITUTE(SUBSTITUTE(SUBSTITUTE(Клиенты_исходные!D514," ",""),"-",""),"+",""),"(",""),")",""),8,2),Клиенты_исходные!D514)))</f>
        <v xml:space="preserve">+7 (903) 789-01-23</v>
      </c>
      <c r="E514" t="str">
        <f>IF(ISBLANK(Клиенты_исходные!E514),"",IF(ISNUMBER(FIND(".",MID(Клиенты_исходные!E514,FIND("@",Клиенты_исходные!E514)+1,255))),Клиенты_исходные!E514,IF(ISNUMBER(FIND("gmail",Клиенты_исходные!E514)),Клиенты_исходные!E514&amp;".com",Клиенты_исходные!E514&amp;".ru")))</f>
        <v>krasnova@gmail.com</v>
      </c>
      <c r="F514" t="str">
        <f>IFERROR(VLOOKUP(Клиенты_исходные!F514,Справочники!$J$2:$K$50,2,FALSE),Клиенты_исходные!F514)</f>
        <v>Белгород</v>
      </c>
      <c r="G514" s="8">
        <f>IFERROR(IF(ISNUMBER(FIND(".",Клиенты_исходные!G514)),DATE(RIGHT(Клиенты_исходные!G514,4),MID(Клиенты_исходные!G514,4,2),LEFT(Клиенты_исходные!G514,2)),DATE(LEFT(Клиенты_исходные!G514,4),MID(Клиенты_исходные!G514,6,2),RIGHT(Клиенты_исходные!G514,2))),Клиенты_исходные!G514)</f>
        <v>49749</v>
      </c>
      <c r="H514">
        <f t="shared" ca="1" si="70"/>
        <v>50</v>
      </c>
      <c r="I514" t="str">
        <f t="shared" si="71"/>
        <v>OK</v>
      </c>
      <c r="J514" t="str">
        <f t="shared" si="72"/>
        <v>OK</v>
      </c>
    </row>
    <row r="515">
      <c r="A515" t="str">
        <f>Клиенты_исходные!A515</f>
        <v>C0514</v>
      </c>
      <c r="B515" t="str">
        <f>PROPER(TRIM(Клиенты_исходные!B515))</f>
        <v xml:space="preserve">Мальков Денис Олегович</v>
      </c>
      <c r="C515" s="8">
        <f>IFERROR(IF(ISNUMBER(FIND(".",Клиенты_исходные!C515)),DATE(RIGHT(Клиенты_исходные!C515,4),MID(Клиенты_исходные!C515,4,2),LEFT(Клиенты_исходные!C515,2)),DATE(LEFT(Клиенты_исходные!C515,4),MID(Клиенты_исходные!C515,6,2),RIGHT(Клиенты_исходные!C515,2))),Клиенты_исходные!C515)</f>
        <v>29929</v>
      </c>
      <c r="D515" t="str">
        <f>IF(ISBLANK(Клиенты_исходные!D515),"",IF(LEN(SUBSTITUTE(SUBSTITUTE(SUBSTITUTE(SUBSTITUTE(SUBSTITUTE(Клиенты_исходные!D515," ",""),"-",""),"+",""),"(",""),")",""))=11,"+7 ("&amp;MID(IF(LEFT(SUBSTITUTE(SUBSTITUTE(SUBSTITUTE(SUBSTITUTE(SUBSTITUTE(Клиенты_исходные!D515," ",""),"-",""),"+",""),"(",""),")",""))="8","7"&amp;MID(SUBSTITUTE(SUBSTITUTE(SUBSTITUTE(SUBSTITUTE(SUBSTITUTE(Клиенты_исходные!D515," ",""),"-",""),"+",""),"(",""),")",""),2,10),SUBSTITUTE(SUBSTITUTE(SUBSTITUTE(SUBSTITUTE(SUBSTITUTE(Клиенты_исходные!D515," ",""),"-",""),"+",""),"(",""),")","")),2,3)&amp;") "&amp;MID(IF(LEFT(SUBSTITUTE(SUBSTITUTE(SUBSTITUTE(SUBSTITUTE(SUBSTITUTE(Клиенты_исходные!D515," ",""),"-",""),"+",""),"(",""),")",""))="8","7"&amp;MID(SUBSTITUTE(SUBSTITUTE(SUBSTITUTE(SUBSTITUTE(SUBSTITUTE(Клиенты_исходные!D515," ",""),"-",""),"+",""),"(",""),")",""),2,10),SUBSTITUTE(SUBSTITUTE(SUBSTITUTE(SUBSTITUTE(SUBSTITUTE(Клиенты_исходные!D515," ",""),"-",""),"+",""),"(",""),")","")),5,3)&amp;"-"&amp;MID(IF(LEFT(SUBSTITUTE(SUBSTITUTE(SUBSTITUTE(SUBSTITUTE(SUBSTITUTE(Клиенты_исходные!D515," ",""),"-",""),"+",""),"(",""),")",""))="8","7"&amp;MID(SUBSTITUTE(SUBSTITUTE(SUBSTITUTE(SUBSTITUTE(SUBSTITUTE(Клиенты_исходные!D515," ",""),"-",""),"+",""),"(",""),")",""),2,10),SUBSTITUTE(SUBSTITUTE(SUBSTITUTE(SUBSTITUTE(SUBSTITUTE(Клиенты_исходные!D515," ",""),"-",""),"+",""),"(",""),")","")),8,2)&amp;"-"&amp;MID(IF(LEFT(SUBSTITUTE(SUBSTITUTE(SUBSTITUTE(SUBSTITUTE(SUBSTITUTE(Клиенты_исходные!D515," ",""),"-",""),"+",""),"(",""),")",""))="8","7"&amp;MID(SUBSTITUTE(SUBSTITUTE(SUBSTITUTE(SUBSTITUTE(SUBSTITUTE(Клиенты_исходные!D515," ",""),"-",""),"+",""),"(",""),")",""),2,10),SUBSTITUTE(SUBSTITUTE(SUBSTITUTE(SUBSTITUTE(SUBSTITUTE(Клиенты_исходные!D515," ",""),"-",""),"+",""),"(",""),")","")),10,2),IF(LEN(SUBSTITUTE(SUBSTITUTE(SUBSTITUTE(SUBSTITUTE(SUBSTITUTE(Клиенты_исходные!D515," ",""),"-",""),"+",""),"(",""),")",""))=10,"+7 ("&amp;MID(SUBSTITUTE(SUBSTITUTE(SUBSTITUTE(SUBSTITUTE(SUBSTITUTE(Клиенты_исходные!D515," ",""),"-",""),"+",""),"(",""),")",""),1,3)&amp;") "&amp;MID(SUBSTITUTE(SUBSTITUTE(SUBSTITUTE(SUBSTITUTE(SUBSTITUTE(Клиенты_исходные!D515," ",""),"-",""),"+",""),"(",""),")",""),4,3)&amp;"-"&amp;MID(SUBSTITUTE(SUBSTITUTE(SUBSTITUTE(SUBSTITUTE(SUBSTITUTE(Клиенты_исходные!D515," ",""),"-",""),"+",""),"(",""),")",""),6,2)&amp;"-"&amp;MID(SUBSTITUTE(SUBSTITUTE(SUBSTITUTE(SUBSTITUTE(SUBSTITUTE(Клиенты_исходные!D515," ",""),"-",""),"+",""),"(",""),")",""),8,2),Клиенты_исходные!D515)))</f>
        <v xml:space="preserve">+7 (903) 789-01-23</v>
      </c>
      <c r="E515" t="str">
        <f>IF(ISBLANK(Клиенты_исходные!E515),"",IF(ISNUMBER(FIND(".",MID(Клиенты_исходные!E515,FIND("@",Клиенты_исходные!E515)+1,255))),Клиенты_исходные!E515,IF(ISNUMBER(FIND("gmail",Клиенты_исходные!E515)),Клиенты_исходные!E515&amp;".com",Клиенты_исходные!E515&amp;".ru")))</f>
        <v>malkov@mail.ru</v>
      </c>
      <c r="F515" t="str">
        <f>IFERROR(VLOOKUP(Клиенты_исходные!F515,Справочники!$J$2:$K$50,2,FALSE),Клиенты_исходные!F515)</f>
        <v>Мурманск</v>
      </c>
      <c r="G515" s="8">
        <f>IFERROR(IF(ISNUMBER(FIND(".",Клиенты_исходные!G515)),DATE(RIGHT(Клиенты_исходные!G515,4),MID(Клиенты_исходные!G515,4,2),LEFT(Клиенты_исходные!G515,2)),DATE(LEFT(Клиенты_исходные!G515,4),MID(Клиенты_исходные!G515,6,2),RIGHT(Клиенты_исходные!G515,2))),Клиенты_исходные!G515)</f>
        <v>49766</v>
      </c>
      <c r="H515">
        <f t="shared" ca="1" si="70"/>
        <v>44</v>
      </c>
      <c r="I515" t="str">
        <f t="shared" si="71"/>
        <v>OK</v>
      </c>
      <c r="J515" t="str">
        <f t="shared" si="72"/>
        <v>OK</v>
      </c>
    </row>
    <row r="516">
      <c r="A516" t="str">
        <f>Клиенты_исходные!A516</f>
        <v>C0515</v>
      </c>
      <c r="B516" t="str">
        <f>PROPER(TRIM(Клиенты_исходные!B516))</f>
        <v xml:space="preserve">Дьячкова Ольга Сергеевна</v>
      </c>
      <c r="C516" s="8">
        <f>IFERROR(IF(ISNUMBER(FIND(".",Клиенты_исходные!C516)),DATE(RIGHT(Клиенты_исходные!C516,4),MID(Клиенты_исходные!C516,4,2),LEFT(Клиенты_исходные!C516,2)),DATE(LEFT(Клиенты_исходные!C516,4),MID(Клиенты_исходные!C516,6,2),RIGHT(Клиенты_исходные!C516,2))),Клиенты_исходные!C516)</f>
        <v>32359</v>
      </c>
      <c r="D516" t="str">
        <f>IF(ISBLANK(Клиенты_исходные!D516),"",IF(LEN(SUBSTITUTE(SUBSTITUTE(SUBSTITUTE(SUBSTITUTE(SUBSTITUTE(Клиенты_исходные!D516," ",""),"-",""),"+",""),"(",""),")",""))=11,"+7 ("&amp;MID(IF(LEFT(SUBSTITUTE(SUBSTITUTE(SUBSTITUTE(SUBSTITUTE(SUBSTITUTE(Клиенты_исходные!D516," ",""),"-",""),"+",""),"(",""),")",""))="8","7"&amp;MID(SUBSTITUTE(SUBSTITUTE(SUBSTITUTE(SUBSTITUTE(SUBSTITUTE(Клиенты_исходные!D516," ",""),"-",""),"+",""),"(",""),")",""),2,10),SUBSTITUTE(SUBSTITUTE(SUBSTITUTE(SUBSTITUTE(SUBSTITUTE(Клиенты_исходные!D516," ",""),"-",""),"+",""),"(",""),")","")),2,3)&amp;") "&amp;MID(IF(LEFT(SUBSTITUTE(SUBSTITUTE(SUBSTITUTE(SUBSTITUTE(SUBSTITUTE(Клиенты_исходные!D516," ",""),"-",""),"+",""),"(",""),")",""))="8","7"&amp;MID(SUBSTITUTE(SUBSTITUTE(SUBSTITUTE(SUBSTITUTE(SUBSTITUTE(Клиенты_исходные!D516," ",""),"-",""),"+",""),"(",""),")",""),2,10),SUBSTITUTE(SUBSTITUTE(SUBSTITUTE(SUBSTITUTE(SUBSTITUTE(Клиенты_исходные!D516," ",""),"-",""),"+",""),"(",""),")","")),5,3)&amp;"-"&amp;MID(IF(LEFT(SUBSTITUTE(SUBSTITUTE(SUBSTITUTE(SUBSTITUTE(SUBSTITUTE(Клиенты_исходные!D516," ",""),"-",""),"+",""),"(",""),")",""))="8","7"&amp;MID(SUBSTITUTE(SUBSTITUTE(SUBSTITUTE(SUBSTITUTE(SUBSTITUTE(Клиенты_исходные!D516," ",""),"-",""),"+",""),"(",""),")",""),2,10),SUBSTITUTE(SUBSTITUTE(SUBSTITUTE(SUBSTITUTE(SUBSTITUTE(Клиенты_исходные!D516," ",""),"-",""),"+",""),"(",""),")","")),8,2)&amp;"-"&amp;MID(IF(LEFT(SUBSTITUTE(SUBSTITUTE(SUBSTITUTE(SUBSTITUTE(SUBSTITUTE(Клиенты_исходные!D516," ",""),"-",""),"+",""),"(",""),")",""))="8","7"&amp;MID(SUBSTITUTE(SUBSTITUTE(SUBSTITUTE(SUBSTITUTE(SUBSTITUTE(Клиенты_исходные!D516," ",""),"-",""),"+",""),"(",""),")",""),2,10),SUBSTITUTE(SUBSTITUTE(SUBSTITUTE(SUBSTITUTE(SUBSTITUTE(Клиенты_исходные!D516," ",""),"-",""),"+",""),"(",""),")","")),10,2),IF(LEN(SUBSTITUTE(SUBSTITUTE(SUBSTITUTE(SUBSTITUTE(SUBSTITUTE(Клиенты_исходные!D516," ",""),"-",""),"+",""),"(",""),")",""))=10,"+7 ("&amp;MID(SUBSTITUTE(SUBSTITUTE(SUBSTITUTE(SUBSTITUTE(SUBSTITUTE(Клиенты_исходные!D516," ",""),"-",""),"+",""),"(",""),")",""),1,3)&amp;") "&amp;MID(SUBSTITUTE(SUBSTITUTE(SUBSTITUTE(SUBSTITUTE(SUBSTITUTE(Клиенты_исходные!D516," ",""),"-",""),"+",""),"(",""),")",""),4,3)&amp;"-"&amp;MID(SUBSTITUTE(SUBSTITUTE(SUBSTITUTE(SUBSTITUTE(SUBSTITUTE(Клиенты_исходные!D516," ",""),"-",""),"+",""),"(",""),")",""),6,2)&amp;"-"&amp;MID(SUBSTITUTE(SUBSTITUTE(SUBSTITUTE(SUBSTITUTE(SUBSTITUTE(Клиенты_исходные!D516," ",""),"-",""),"+",""),"(",""),")",""),8,2),Клиенты_исходные!D516)))</f>
        <v xml:space="preserve">+7 (903) 789-01-23</v>
      </c>
      <c r="E516" t="str">
        <f>IF(ISBLANK(Клиенты_исходные!E516),"",IF(ISNUMBER(FIND(".",MID(Клиенты_исходные!E516,FIND("@",Клиенты_исходные!E516)+1,255))),Клиенты_исходные!E516,IF(ISNUMBER(FIND("gmail",Клиенты_исходные!E516)),Клиенты_исходные!E516&amp;".com",Клиенты_исходные!E516&amp;".ru")))</f>
        <v>dyachkova@yandex.ru</v>
      </c>
      <c r="F516" t="str">
        <f>IFERROR(VLOOKUP(Клиенты_исходные!F516,Справочники!$J$2:$K$50,2,FALSE),Клиенты_исходные!F516)</f>
        <v>Ставрополь</v>
      </c>
      <c r="G516" s="8">
        <f>IFERROR(IF(ISNUMBER(FIND(".",Клиенты_исходные!G516)),DATE(RIGHT(Клиенты_исходные!G516,4),MID(Клиенты_исходные!G516,4,2),LEFT(Клиенты_исходные!G516,2)),DATE(LEFT(Клиенты_исходные!G516,4),MID(Клиенты_исходные!G516,6,2),RIGHT(Клиенты_исходные!G516,2))),Клиенты_исходные!G516)</f>
        <v>49775</v>
      </c>
      <c r="H516">
        <f t="shared" ca="1" si="70"/>
        <v>38</v>
      </c>
      <c r="I516" t="str">
        <f t="shared" si="71"/>
        <v>OK</v>
      </c>
      <c r="J516" t="str">
        <f t="shared" si="72"/>
        <v>OK</v>
      </c>
    </row>
    <row r="517">
      <c r="A517" t="str">
        <f>Клиенты_исходные!A517</f>
        <v>C0516</v>
      </c>
      <c r="B517" t="str">
        <f>PROPER(TRIM(Клиенты_исходные!B517))</f>
        <v xml:space="preserve">Кулешов Илья Игоревич</v>
      </c>
      <c r="C517" s="8">
        <f>IFERROR(IF(ISNUMBER(FIND(".",Клиенты_исходные!C517)),DATE(RIGHT(Клиенты_исходные!C517,4),MID(Клиенты_исходные!C517,4,2),LEFT(Клиенты_исходные!C517,2)),DATE(LEFT(Клиенты_исходные!C517,4),MID(Клиенты_исходные!C517,6,2),RIGHT(Клиенты_исходные!C517,2))),Клиенты_исходные!C517)</f>
        <v>26435</v>
      </c>
      <c r="D517" t="str">
        <f>IF(ISBLANK(Клиенты_исходные!D517),"",IF(LEN(SUBSTITUTE(SUBSTITUTE(SUBSTITUTE(SUBSTITUTE(SUBSTITUTE(Клиенты_исходные!D517," ",""),"-",""),"+",""),"(",""),")",""))=11,"+7 ("&amp;MID(IF(LEFT(SUBSTITUTE(SUBSTITUTE(SUBSTITUTE(SUBSTITUTE(SUBSTITUTE(Клиенты_исходные!D517," ",""),"-",""),"+",""),"(",""),")",""))="8","7"&amp;MID(SUBSTITUTE(SUBSTITUTE(SUBSTITUTE(SUBSTITUTE(SUBSTITUTE(Клиенты_исходные!D517," ",""),"-",""),"+",""),"(",""),")",""),2,10),SUBSTITUTE(SUBSTITUTE(SUBSTITUTE(SUBSTITUTE(SUBSTITUTE(Клиенты_исходные!D517," ",""),"-",""),"+",""),"(",""),")","")),2,3)&amp;") "&amp;MID(IF(LEFT(SUBSTITUTE(SUBSTITUTE(SUBSTITUTE(SUBSTITUTE(SUBSTITUTE(Клиенты_исходные!D517," ",""),"-",""),"+",""),"(",""),")",""))="8","7"&amp;MID(SUBSTITUTE(SUBSTITUTE(SUBSTITUTE(SUBSTITUTE(SUBSTITUTE(Клиенты_исходные!D517," ",""),"-",""),"+",""),"(",""),")",""),2,10),SUBSTITUTE(SUBSTITUTE(SUBSTITUTE(SUBSTITUTE(SUBSTITUTE(Клиенты_исходные!D517," ",""),"-",""),"+",""),"(",""),")","")),5,3)&amp;"-"&amp;MID(IF(LEFT(SUBSTITUTE(SUBSTITUTE(SUBSTITUTE(SUBSTITUTE(SUBSTITUTE(Клиенты_исходные!D517," ",""),"-",""),"+",""),"(",""),")",""))="8","7"&amp;MID(SUBSTITUTE(SUBSTITUTE(SUBSTITUTE(SUBSTITUTE(SUBSTITUTE(Клиенты_исходные!D517," ",""),"-",""),"+",""),"(",""),")",""),2,10),SUBSTITUTE(SUBSTITUTE(SUBSTITUTE(SUBSTITUTE(SUBSTITUTE(Клиенты_исходные!D517," ",""),"-",""),"+",""),"(",""),")","")),8,2)&amp;"-"&amp;MID(IF(LEFT(SUBSTITUTE(SUBSTITUTE(SUBSTITUTE(SUBSTITUTE(SUBSTITUTE(Клиенты_исходные!D517," ",""),"-",""),"+",""),"(",""),")",""))="8","7"&amp;MID(SUBSTITUTE(SUBSTITUTE(SUBSTITUTE(SUBSTITUTE(SUBSTITUTE(Клиенты_исходные!D517," ",""),"-",""),"+",""),"(",""),")",""),2,10),SUBSTITUTE(SUBSTITUTE(SUBSTITUTE(SUBSTITUTE(SUBSTITUTE(Клиенты_исходные!D517," ",""),"-",""),"+",""),"(",""),")","")),10,2),IF(LEN(SUBSTITUTE(SUBSTITUTE(SUBSTITUTE(SUBSTITUTE(SUBSTITUTE(Клиенты_исходные!D517," ",""),"-",""),"+",""),"(",""),")",""))=10,"+7 ("&amp;MID(SUBSTITUTE(SUBSTITUTE(SUBSTITUTE(SUBSTITUTE(SUBSTITUTE(Клиенты_исходные!D517," ",""),"-",""),"+",""),"(",""),")",""),1,3)&amp;") "&amp;MID(SUBSTITUTE(SUBSTITUTE(SUBSTITUTE(SUBSTITUTE(SUBSTITUTE(Клиенты_исходные!D517," ",""),"-",""),"+",""),"(",""),")",""),4,3)&amp;"-"&amp;MID(SUBSTITUTE(SUBSTITUTE(SUBSTITUTE(SUBSTITUTE(SUBSTITUTE(Клиенты_исходные!D517," ",""),"-",""),"+",""),"(",""),")",""),6,2)&amp;"-"&amp;MID(SUBSTITUTE(SUBSTITUTE(SUBSTITUTE(SUBSTITUTE(SUBSTITUTE(Клиенты_исходные!D517," ",""),"-",""),"+",""),"(",""),")",""),8,2),Клиенты_исходные!D517)))</f>
        <v xml:space="preserve">+7 (903) 890-12-34</v>
      </c>
      <c r="E517" t="str">
        <f>IF(ISBLANK(Клиенты_исходные!E517),"",IF(ISNUMBER(FIND(".",MID(Клиенты_исходные!E517,FIND("@",Клиенты_исходные!E517)+1,255))),Клиенты_исходные!E517,IF(ISNUMBER(FIND("gmail",Клиенты_исходные!E517)),Клиенты_исходные!E517&amp;".com",Клиенты_исходные!E517&amp;".ru")))</f>
        <v>kuleshov@gmail.com</v>
      </c>
      <c r="F517" t="str">
        <f>IFERROR(VLOOKUP(Клиенты_исходные!F517,Справочники!$J$2:$K$50,2,FALSE),Клиенты_исходные!F517)</f>
        <v>Севастополь</v>
      </c>
      <c r="G517" s="8">
        <f>IFERROR(IF(ISNUMBER(FIND(".",Клиенты_исходные!G517)),DATE(RIGHT(Клиенты_исходные!G517,4),MID(Клиенты_исходные!G517,4,2),LEFT(Клиенты_исходные!G517,2)),DATE(LEFT(Клиенты_исходные!G517,4),MID(Клиенты_исходные!G517,6,2),RIGHT(Клиенты_исходные!G517,2))),Клиенты_исходные!G517)</f>
        <v>49775</v>
      </c>
      <c r="H517">
        <f t="shared" ca="1" si="70"/>
        <v>54</v>
      </c>
      <c r="I517" t="str">
        <f t="shared" si="71"/>
        <v>OK</v>
      </c>
      <c r="J517" t="str">
        <f t="shared" si="72"/>
        <v>OK</v>
      </c>
    </row>
    <row r="518">
      <c r="A518" t="str">
        <f>Клиенты_исходные!A518</f>
        <v>C0517</v>
      </c>
      <c r="B518" t="str">
        <f>PROPER(TRIM(Клиенты_исходные!B518))</f>
        <v xml:space="preserve">Панкратова Екатерина Владимировна</v>
      </c>
      <c r="C518" s="8">
        <f>IFERROR(IF(ISNUMBER(FIND(".",Клиенты_исходные!C518)),DATE(RIGHT(Клиенты_исходные!C518,4),MID(Клиенты_исходные!C518,4,2),LEFT(Клиенты_исходные!C518,2)),DATE(LEFT(Клиенты_исходные!C518,4),MID(Клиенты_исходные!C518,6,2),RIGHT(Клиенты_исходные!C518,2))),Клиенты_исходные!C518)</f>
        <v>31317</v>
      </c>
      <c r="D518" t="str">
        <f>IF(ISBLANK(Клиенты_исходные!D518),"",IF(LEN(SUBSTITUTE(SUBSTITUTE(SUBSTITUTE(SUBSTITUTE(SUBSTITUTE(Клиенты_исходные!D518," ",""),"-",""),"+",""),"(",""),")",""))=11,"+7 ("&amp;MID(IF(LEFT(SUBSTITUTE(SUBSTITUTE(SUBSTITUTE(SUBSTITUTE(SUBSTITUTE(Клиенты_исходные!D518," ",""),"-",""),"+",""),"(",""),")",""))="8","7"&amp;MID(SUBSTITUTE(SUBSTITUTE(SUBSTITUTE(SUBSTITUTE(SUBSTITUTE(Клиенты_исходные!D518," ",""),"-",""),"+",""),"(",""),")",""),2,10),SUBSTITUTE(SUBSTITUTE(SUBSTITUTE(SUBSTITUTE(SUBSTITUTE(Клиенты_исходные!D518," ",""),"-",""),"+",""),"(",""),")","")),2,3)&amp;") "&amp;MID(IF(LEFT(SUBSTITUTE(SUBSTITUTE(SUBSTITUTE(SUBSTITUTE(SUBSTITUTE(Клиенты_исходные!D518," ",""),"-",""),"+",""),"(",""),")",""))="8","7"&amp;MID(SUBSTITUTE(SUBSTITUTE(SUBSTITUTE(SUBSTITUTE(SUBSTITUTE(Клиенты_исходные!D518," ",""),"-",""),"+",""),"(",""),")",""),2,10),SUBSTITUTE(SUBSTITUTE(SUBSTITUTE(SUBSTITUTE(SUBSTITUTE(Клиенты_исходные!D518," ",""),"-",""),"+",""),"(",""),")","")),5,3)&amp;"-"&amp;MID(IF(LEFT(SUBSTITUTE(SUBSTITUTE(SUBSTITUTE(SUBSTITUTE(SUBSTITUTE(Клиенты_исходные!D518," ",""),"-",""),"+",""),"(",""),")",""))="8","7"&amp;MID(SUBSTITUTE(SUBSTITUTE(SUBSTITUTE(SUBSTITUTE(SUBSTITUTE(Клиенты_исходные!D518," ",""),"-",""),"+",""),"(",""),")",""),2,10),SUBSTITUTE(SUBSTITUTE(SUBSTITUTE(SUBSTITUTE(SUBSTITUTE(Клиенты_исходные!D518," ",""),"-",""),"+",""),"(",""),")","")),8,2)&amp;"-"&amp;MID(IF(LEFT(SUBSTITUTE(SUBSTITUTE(SUBSTITUTE(SUBSTITUTE(SUBSTITUTE(Клиенты_исходные!D518," ",""),"-",""),"+",""),"(",""),")",""))="8","7"&amp;MID(SUBSTITUTE(SUBSTITUTE(SUBSTITUTE(SUBSTITUTE(SUBSTITUTE(Клиенты_исходные!D518," ",""),"-",""),"+",""),"(",""),")",""),2,10),SUBSTITUTE(SUBSTITUTE(SUBSTITUTE(SUBSTITUTE(SUBSTITUTE(Клиенты_исходные!D518," ",""),"-",""),"+",""),"(",""),")","")),10,2),IF(LEN(SUBSTITUTE(SUBSTITUTE(SUBSTITUTE(SUBSTITUTE(SUBSTITUTE(Клиенты_исходные!D518," ",""),"-",""),"+",""),"(",""),")",""))=10,"+7 ("&amp;MID(SUBSTITUTE(SUBSTITUTE(SUBSTITUTE(SUBSTITUTE(SUBSTITUTE(Клиенты_исходные!D518," ",""),"-",""),"+",""),"(",""),")",""),1,3)&amp;") "&amp;MID(SUBSTITUTE(SUBSTITUTE(SUBSTITUTE(SUBSTITUTE(SUBSTITUTE(Клиенты_исходные!D518," ",""),"-",""),"+",""),"(",""),")",""),4,3)&amp;"-"&amp;MID(SUBSTITUTE(SUBSTITUTE(SUBSTITUTE(SUBSTITUTE(SUBSTITUTE(Клиенты_исходные!D518," ",""),"-",""),"+",""),"(",""),")",""),6,2)&amp;"-"&amp;MID(SUBSTITUTE(SUBSTITUTE(SUBSTITUTE(SUBSTITUTE(SUBSTITUTE(Клиенты_исходные!D518," ",""),"-",""),"+",""),"(",""),")",""),8,2),Клиенты_исходные!D518)))</f>
        <v xml:space="preserve">+7 (903) 890-12-34</v>
      </c>
      <c r="E518" t="str">
        <f>IF(ISBLANK(Клиенты_исходные!E518),"",IF(ISNUMBER(FIND(".",MID(Клиенты_исходные!E518,FIND("@",Клиенты_исходные!E518)+1,255))),Клиенты_исходные!E518,IF(ISNUMBER(FIND("gmail",Клиенты_исходные!E518)),Клиенты_исходные!E518&amp;".com",Клиенты_исходные!E518&amp;".ru")))</f>
        <v>pankratova@mail.ru</v>
      </c>
      <c r="F518" t="str">
        <f>IFERROR(VLOOKUP(Клиенты_исходные!F518,Справочники!$J$2:$K$50,2,FALSE),Клиенты_исходные!F518)</f>
        <v>Сочи</v>
      </c>
      <c r="G518" s="8">
        <f>IFERROR(IF(ISNUMBER(FIND(".",Клиенты_исходные!G518)),DATE(RIGHT(Клиенты_исходные!G518,4),MID(Клиенты_исходные!G518,4,2),LEFT(Клиенты_исходные!G518,2)),DATE(LEFT(Клиенты_исходные!G518,4),MID(Клиенты_исходные!G518,6,2),RIGHT(Клиенты_исходные!G518,2))),Клиенты_исходные!G518)</f>
        <v>49796</v>
      </c>
      <c r="H518">
        <f t="shared" ca="1" si="70"/>
        <v>41</v>
      </c>
      <c r="I518" t="str">
        <f t="shared" si="71"/>
        <v>OK</v>
      </c>
      <c r="J518" t="str">
        <f t="shared" si="72"/>
        <v>OK</v>
      </c>
    </row>
    <row r="519">
      <c r="A519" t="str">
        <f>Клиенты_исходные!A519</f>
        <v>C0518</v>
      </c>
      <c r="B519" t="str">
        <f>PROPER(TRIM(Клиенты_исходные!B519))</f>
        <v xml:space="preserve">Доронин Андрей Павлович</v>
      </c>
      <c r="C519" s="8">
        <f>IFERROR(IF(ISNUMBER(FIND(".",Клиенты_исходные!C519)),DATE(RIGHT(Клиенты_исходные!C519,4),MID(Клиенты_исходные!C519,4,2),LEFT(Клиенты_исходные!C519,2)),DATE(LEFT(Клиенты_исходные!C519,4),MID(Клиенты_исходные!C519,6,2),RIGHT(Клиенты_исходные!C519,2))),Клиенты_исходные!C519)</f>
        <v>32925</v>
      </c>
      <c r="D519" t="str">
        <f>IF(ISBLANK(Клиенты_исходные!D519),"",IF(LEN(SUBSTITUTE(SUBSTITUTE(SUBSTITUTE(SUBSTITUTE(SUBSTITUTE(Клиенты_исходные!D519," ",""),"-",""),"+",""),"(",""),")",""))=11,"+7 ("&amp;MID(IF(LEFT(SUBSTITUTE(SUBSTITUTE(SUBSTITUTE(SUBSTITUTE(SUBSTITUTE(Клиенты_исходные!D519," ",""),"-",""),"+",""),"(",""),")",""))="8","7"&amp;MID(SUBSTITUTE(SUBSTITUTE(SUBSTITUTE(SUBSTITUTE(SUBSTITUTE(Клиенты_исходные!D519," ",""),"-",""),"+",""),"(",""),")",""),2,10),SUBSTITUTE(SUBSTITUTE(SUBSTITUTE(SUBSTITUTE(SUBSTITUTE(Клиенты_исходные!D519," ",""),"-",""),"+",""),"(",""),")","")),2,3)&amp;") "&amp;MID(IF(LEFT(SUBSTITUTE(SUBSTITUTE(SUBSTITUTE(SUBSTITUTE(SUBSTITUTE(Клиенты_исходные!D519," ",""),"-",""),"+",""),"(",""),")",""))="8","7"&amp;MID(SUBSTITUTE(SUBSTITUTE(SUBSTITUTE(SUBSTITUTE(SUBSTITUTE(Клиенты_исходные!D519," ",""),"-",""),"+",""),"(",""),")",""),2,10),SUBSTITUTE(SUBSTITUTE(SUBSTITUTE(SUBSTITUTE(SUBSTITUTE(Клиенты_исходные!D519," ",""),"-",""),"+",""),"(",""),")","")),5,3)&amp;"-"&amp;MID(IF(LEFT(SUBSTITUTE(SUBSTITUTE(SUBSTITUTE(SUBSTITUTE(SUBSTITUTE(Клиенты_исходные!D519," ",""),"-",""),"+",""),"(",""),")",""))="8","7"&amp;MID(SUBSTITUTE(SUBSTITUTE(SUBSTITUTE(SUBSTITUTE(SUBSTITUTE(Клиенты_исходные!D519," ",""),"-",""),"+",""),"(",""),")",""),2,10),SUBSTITUTE(SUBSTITUTE(SUBSTITUTE(SUBSTITUTE(SUBSTITUTE(Клиенты_исходные!D519," ",""),"-",""),"+",""),"(",""),")","")),8,2)&amp;"-"&amp;MID(IF(LEFT(SUBSTITUTE(SUBSTITUTE(SUBSTITUTE(SUBSTITUTE(SUBSTITUTE(Клиенты_исходные!D519," ",""),"-",""),"+",""),"(",""),")",""))="8","7"&amp;MID(SUBSTITUTE(SUBSTITUTE(SUBSTITUTE(SUBSTITUTE(SUBSTITUTE(Клиенты_исходные!D519," ",""),"-",""),"+",""),"(",""),")",""),2,10),SUBSTITUTE(SUBSTITUTE(SUBSTITUTE(SUBSTITUTE(SUBSTITUTE(Клиенты_исходные!D519," ",""),"-",""),"+",""),"(",""),")","")),10,2),IF(LEN(SUBSTITUTE(SUBSTITUTE(SUBSTITUTE(SUBSTITUTE(SUBSTITUTE(Клиенты_исходные!D519," ",""),"-",""),"+",""),"(",""),")",""))=10,"+7 ("&amp;MID(SUBSTITUTE(SUBSTITUTE(SUBSTITUTE(SUBSTITUTE(SUBSTITUTE(Клиенты_исходные!D519," ",""),"-",""),"+",""),"(",""),")",""),1,3)&amp;") "&amp;MID(SUBSTITUTE(SUBSTITUTE(SUBSTITUTE(SUBSTITUTE(SUBSTITUTE(Клиенты_исходные!D519," ",""),"-",""),"+",""),"(",""),")",""),4,3)&amp;"-"&amp;MID(SUBSTITUTE(SUBSTITUTE(SUBSTITUTE(SUBSTITUTE(SUBSTITUTE(Клиенты_исходные!D519," ",""),"-",""),"+",""),"(",""),")",""),6,2)&amp;"-"&amp;MID(SUBSTITUTE(SUBSTITUTE(SUBSTITUTE(SUBSTITUTE(SUBSTITUTE(Клиенты_исходные!D519," ",""),"-",""),"+",""),"(",""),")",""),8,2),Клиенты_исходные!D519)))</f>
        <v xml:space="preserve">+7 (903) 890-12-34</v>
      </c>
      <c r="E519" t="str">
        <f>IF(ISBLANK(Клиенты_исходные!E519),"",IF(ISNUMBER(FIND(".",MID(Клиенты_исходные!E519,FIND("@",Клиенты_исходные!E519)+1,255))),Клиенты_исходные!E519,IF(ISNUMBER(FIND("gmail",Клиенты_исходные!E519)),Клиенты_исходные!E519&amp;".com",Клиенты_исходные!E519&amp;".ru")))</f>
        <v>doronin@yandex.ru</v>
      </c>
      <c r="F519" t="str">
        <f>IFERROR(VLOOKUP(Клиенты_исходные!F519,Справочники!$J$2:$K$50,2,FALSE),Клиенты_исходные!F519)</f>
        <v>Симферополь</v>
      </c>
      <c r="G519" s="8">
        <f>IFERROR(IF(ISNUMBER(FIND(".",Клиенты_исходные!G519)),DATE(RIGHT(Клиенты_исходные!G519,4),MID(Клиенты_исходные!G519,4,2),LEFT(Клиенты_исходные!G519,2)),DATE(LEFT(Клиенты_исходные!G519,4),MID(Клиенты_исходные!G519,6,2),RIGHT(Клиенты_исходные!G519,2))),Клиенты_исходные!G519)</f>
        <v>49810</v>
      </c>
      <c r="H519">
        <f t="shared" ca="1" si="70"/>
        <v>36</v>
      </c>
      <c r="I519" t="str">
        <f t="shared" si="71"/>
        <v>OK</v>
      </c>
      <c r="J519" t="str">
        <f t="shared" si="72"/>
        <v>OK</v>
      </c>
    </row>
    <row r="520">
      <c r="A520" t="str">
        <f>Клиенты_исходные!A520</f>
        <v>C0519</v>
      </c>
      <c r="B520" t="str">
        <f>PROPER(TRIM(Клиенты_исходные!B520))</f>
        <v xml:space="preserve">Щукина Мария Олеговна</v>
      </c>
      <c r="C520" s="8">
        <f>IFERROR(IF(ISNUMBER(FIND(".",Клиенты_исходные!C520)),DATE(RIGHT(Клиенты_исходные!C520,4),MID(Клиенты_исходные!C520,4,2),LEFT(Клиенты_исходные!C520,2)),DATE(LEFT(Клиенты_исходные!C520,4),MID(Клиенты_исходные!C520,6,2),RIGHT(Клиенты_исходные!C520,2))),Клиенты_исходные!C520)</f>
        <v>29171</v>
      </c>
      <c r="D520" t="str">
        <f>IF(ISBLANK(Клиенты_исходные!D520),"",IF(LEN(SUBSTITUTE(SUBSTITUTE(SUBSTITUTE(SUBSTITUTE(SUBSTITUTE(Клиенты_исходные!D520," ",""),"-",""),"+",""),"(",""),")",""))=11,"+7 ("&amp;MID(IF(LEFT(SUBSTITUTE(SUBSTITUTE(SUBSTITUTE(SUBSTITUTE(SUBSTITUTE(Клиенты_исходные!D520," ",""),"-",""),"+",""),"(",""),")",""))="8","7"&amp;MID(SUBSTITUTE(SUBSTITUTE(SUBSTITUTE(SUBSTITUTE(SUBSTITUTE(Клиенты_исходные!D520," ",""),"-",""),"+",""),"(",""),")",""),2,10),SUBSTITUTE(SUBSTITUTE(SUBSTITUTE(SUBSTITUTE(SUBSTITUTE(Клиенты_исходные!D520," ",""),"-",""),"+",""),"(",""),")","")),2,3)&amp;") "&amp;MID(IF(LEFT(SUBSTITUTE(SUBSTITUTE(SUBSTITUTE(SUBSTITUTE(SUBSTITUTE(Клиенты_исходные!D520," ",""),"-",""),"+",""),"(",""),")",""))="8","7"&amp;MID(SUBSTITUTE(SUBSTITUTE(SUBSTITUTE(SUBSTITUTE(SUBSTITUTE(Клиенты_исходные!D520," ",""),"-",""),"+",""),"(",""),")",""),2,10),SUBSTITUTE(SUBSTITUTE(SUBSTITUTE(SUBSTITUTE(SUBSTITUTE(Клиенты_исходные!D520," ",""),"-",""),"+",""),"(",""),")","")),5,3)&amp;"-"&amp;MID(IF(LEFT(SUBSTITUTE(SUBSTITUTE(SUBSTITUTE(SUBSTITUTE(SUBSTITUTE(Клиенты_исходные!D520," ",""),"-",""),"+",""),"(",""),")",""))="8","7"&amp;MID(SUBSTITUTE(SUBSTITUTE(SUBSTITUTE(SUBSTITUTE(SUBSTITUTE(Клиенты_исходные!D520," ",""),"-",""),"+",""),"(",""),")",""),2,10),SUBSTITUTE(SUBSTITUTE(SUBSTITUTE(SUBSTITUTE(SUBSTITUTE(Клиенты_исходные!D520," ",""),"-",""),"+",""),"(",""),")","")),8,2)&amp;"-"&amp;MID(IF(LEFT(SUBSTITUTE(SUBSTITUTE(SUBSTITUTE(SUBSTITUTE(SUBSTITUTE(Клиенты_исходные!D520," ",""),"-",""),"+",""),"(",""),")",""))="8","7"&amp;MID(SUBSTITUTE(SUBSTITUTE(SUBSTITUTE(SUBSTITUTE(SUBSTITUTE(Клиенты_исходные!D520," ",""),"-",""),"+",""),"(",""),")",""),2,10),SUBSTITUTE(SUBSTITUTE(SUBSTITUTE(SUBSTITUTE(SUBSTITUTE(Клиенты_исходные!D520," ",""),"-",""),"+",""),"(",""),")","")),10,2),IF(LEN(SUBSTITUTE(SUBSTITUTE(SUBSTITUTE(SUBSTITUTE(SUBSTITUTE(Клиенты_исходные!D520," ",""),"-",""),"+",""),"(",""),")",""))=10,"+7 ("&amp;MID(SUBSTITUTE(SUBSTITUTE(SUBSTITUTE(SUBSTITUTE(SUBSTITUTE(Клиенты_исходные!D520," ",""),"-",""),"+",""),"(",""),")",""),1,3)&amp;") "&amp;MID(SUBSTITUTE(SUBSTITUTE(SUBSTITUTE(SUBSTITUTE(SUBSTITUTE(Клиенты_исходные!D520," ",""),"-",""),"+",""),"(",""),")",""),4,3)&amp;"-"&amp;MID(SUBSTITUTE(SUBSTITUTE(SUBSTITUTE(SUBSTITUTE(SUBSTITUTE(Клиенты_исходные!D520," ",""),"-",""),"+",""),"(",""),")",""),6,2)&amp;"-"&amp;MID(SUBSTITUTE(SUBSTITUTE(SUBSTITUTE(SUBSTITUTE(SUBSTITUTE(Клиенты_исходные!D520," ",""),"-",""),"+",""),"(",""),")",""),8,2),Клиенты_исходные!D520)))</f>
        <v xml:space="preserve">+7 (903) 901-23-45</v>
      </c>
      <c r="E520" t="str">
        <f>IF(ISBLANK(Клиенты_исходные!E520),"",IF(ISNUMBER(FIND(".",MID(Клиенты_исходные!E520,FIND("@",Клиенты_исходные!E520)+1,255))),Клиенты_исходные!E520,IF(ISNUMBER(FIND("gmail",Клиенты_исходные!E520)),Клиенты_исходные!E520&amp;".com",Клиенты_исходные!E520&amp;".ru")))</f>
        <v>schukina@gmail.com</v>
      </c>
      <c r="F520" t="str">
        <f>IFERROR(VLOOKUP(Клиенты_исходные!F520,Справочники!$J$2:$K$50,2,FALSE),Клиенты_исходные!F520)</f>
        <v>Брянск</v>
      </c>
      <c r="G520" s="8">
        <f>IFERROR(IF(ISNUMBER(FIND(".",Клиенты_исходные!G520)),DATE(RIGHT(Клиенты_исходные!G520,4),MID(Клиенты_исходные!G520,4,2),LEFT(Клиенты_исходные!G520,2)),DATE(LEFT(Клиенты_исходные!G520,4),MID(Клиенты_исходные!G520,6,2),RIGHT(Клиенты_исходные!G520,2))),Клиенты_исходные!G520)</f>
        <v>49810</v>
      </c>
      <c r="H520">
        <f t="shared" ca="1" si="70"/>
        <v>46</v>
      </c>
      <c r="I520" t="str">
        <f t="shared" si="71"/>
        <v>OK</v>
      </c>
      <c r="J520" t="str">
        <f t="shared" si="72"/>
        <v>OK</v>
      </c>
    </row>
    <row r="521">
      <c r="A521" t="str">
        <f>Клиенты_исходные!A521</f>
        <v>C0520</v>
      </c>
      <c r="B521" t="str">
        <f>PROPER(TRIM(Клиенты_исходные!B521))</f>
        <v xml:space="preserve">Князев Денис Сергеевич</v>
      </c>
      <c r="C521" s="8">
        <f>IFERROR(IF(ISNUMBER(FIND(".",Клиенты_исходные!C521)),DATE(RIGHT(Клиенты_исходные!C521,4),MID(Клиенты_исходные!C521,4,2),LEFT(Клиенты_исходные!C521,2)),DATE(LEFT(Клиенты_исходные!C521,4),MID(Клиенты_исходные!C521,6,2),RIGHT(Клиенты_исходные!C521,2))),Клиенты_исходные!C521)</f>
        <v>30839</v>
      </c>
      <c r="D521" t="str">
        <f>IF(ISBLANK(Клиенты_исходные!D521),"",IF(LEN(SUBSTITUTE(SUBSTITUTE(SUBSTITUTE(SUBSTITUTE(SUBSTITUTE(Клиенты_исходные!D521," ",""),"-",""),"+",""),"(",""),")",""))=11,"+7 ("&amp;MID(IF(LEFT(SUBSTITUTE(SUBSTITUTE(SUBSTITUTE(SUBSTITUTE(SUBSTITUTE(Клиенты_исходные!D521," ",""),"-",""),"+",""),"(",""),")",""))="8","7"&amp;MID(SUBSTITUTE(SUBSTITUTE(SUBSTITUTE(SUBSTITUTE(SUBSTITUTE(Клиенты_исходные!D521," ",""),"-",""),"+",""),"(",""),")",""),2,10),SUBSTITUTE(SUBSTITUTE(SUBSTITUTE(SUBSTITUTE(SUBSTITUTE(Клиенты_исходные!D521," ",""),"-",""),"+",""),"(",""),")","")),2,3)&amp;") "&amp;MID(IF(LEFT(SUBSTITUTE(SUBSTITUTE(SUBSTITUTE(SUBSTITUTE(SUBSTITUTE(Клиенты_исходные!D521," ",""),"-",""),"+",""),"(",""),")",""))="8","7"&amp;MID(SUBSTITUTE(SUBSTITUTE(SUBSTITUTE(SUBSTITUTE(SUBSTITUTE(Клиенты_исходные!D521," ",""),"-",""),"+",""),"(",""),")",""),2,10),SUBSTITUTE(SUBSTITUTE(SUBSTITUTE(SUBSTITUTE(SUBSTITUTE(Клиенты_исходные!D521," ",""),"-",""),"+",""),"(",""),")","")),5,3)&amp;"-"&amp;MID(IF(LEFT(SUBSTITUTE(SUBSTITUTE(SUBSTITUTE(SUBSTITUTE(SUBSTITUTE(Клиенты_исходные!D521," ",""),"-",""),"+",""),"(",""),")",""))="8","7"&amp;MID(SUBSTITUTE(SUBSTITUTE(SUBSTITUTE(SUBSTITUTE(SUBSTITUTE(Клиенты_исходные!D521," ",""),"-",""),"+",""),"(",""),")",""),2,10),SUBSTITUTE(SUBSTITUTE(SUBSTITUTE(SUBSTITUTE(SUBSTITUTE(Клиенты_исходные!D521," ",""),"-",""),"+",""),"(",""),")","")),8,2)&amp;"-"&amp;MID(IF(LEFT(SUBSTITUTE(SUBSTITUTE(SUBSTITUTE(SUBSTITUTE(SUBSTITUTE(Клиенты_исходные!D521," ",""),"-",""),"+",""),"(",""),")",""))="8","7"&amp;MID(SUBSTITUTE(SUBSTITUTE(SUBSTITUTE(SUBSTITUTE(SUBSTITUTE(Клиенты_исходные!D521," ",""),"-",""),"+",""),"(",""),")",""),2,10),SUBSTITUTE(SUBSTITUTE(SUBSTITUTE(SUBSTITUTE(SUBSTITUTE(Клиенты_исходные!D521," ",""),"-",""),"+",""),"(",""),")","")),10,2),IF(LEN(SUBSTITUTE(SUBSTITUTE(SUBSTITUTE(SUBSTITUTE(SUBSTITUTE(Клиенты_исходные!D521," ",""),"-",""),"+",""),"(",""),")",""))=10,"+7 ("&amp;MID(SUBSTITUTE(SUBSTITUTE(SUBSTITUTE(SUBSTITUTE(SUBSTITUTE(Клиенты_исходные!D521," ",""),"-",""),"+",""),"(",""),")",""),1,3)&amp;") "&amp;MID(SUBSTITUTE(SUBSTITUTE(SUBSTITUTE(SUBSTITUTE(SUBSTITUTE(Клиенты_исходные!D521," ",""),"-",""),"+",""),"(",""),")",""),4,3)&amp;"-"&amp;MID(SUBSTITUTE(SUBSTITUTE(SUBSTITUTE(SUBSTITUTE(SUBSTITUTE(Клиенты_исходные!D521," ",""),"-",""),"+",""),"(",""),")",""),6,2)&amp;"-"&amp;MID(SUBSTITUTE(SUBSTITUTE(SUBSTITUTE(SUBSTITUTE(SUBSTITUTE(Клиенты_исходные!D521," ",""),"-",""),"+",""),"(",""),")",""),8,2),Клиенты_исходные!D521)))</f>
        <v xml:space="preserve">+7 (903) 901-23-45</v>
      </c>
      <c r="E521" t="str">
        <f>IF(ISBLANK(Клиенты_исходные!E521),"",IF(ISNUMBER(FIND(".",MID(Клиенты_исходные!E521,FIND("@",Клиенты_исходные!E521)+1,255))),Клиенты_исходные!E521,IF(ISNUMBER(FIND("gmail",Клиенты_исходные!E521)),Клиенты_исходные!E521&amp;".com",Клиенты_исходные!E521&amp;".ru")))</f>
        <v>knyazev@mail.ru</v>
      </c>
      <c r="F521" t="str">
        <f>IFERROR(VLOOKUP(Клиенты_исходные!F521,Справочники!$J$2:$K$50,2,FALSE),Клиенты_исходные!F521)</f>
        <v>Абакан</v>
      </c>
      <c r="G521" s="8">
        <f>IFERROR(IF(ISNUMBER(FIND(".",Клиенты_исходные!G521)),DATE(RIGHT(Клиенты_исходные!G521,4),MID(Клиенты_исходные!G521,4,2),LEFT(Клиенты_исходные!G521,2)),DATE(LEFT(Клиенты_исходные!G521,4),MID(Клиенты_исходные!G521,6,2),RIGHT(Клиенты_исходные!G521,2))),Клиенты_исходные!G521)</f>
        <v>49827</v>
      </c>
      <c r="H521">
        <f t="shared" ca="1" si="70"/>
        <v>42</v>
      </c>
      <c r="I521" t="str">
        <f t="shared" si="71"/>
        <v>OK</v>
      </c>
      <c r="J521" t="str">
        <f t="shared" si="72"/>
        <v>OK</v>
      </c>
    </row>
    <row r="522">
      <c r="A522" t="str">
        <f>Клиенты_исходные!A522</f>
        <v>C0521</v>
      </c>
      <c r="B522" t="str">
        <f>PROPER(TRIM(Клиенты_исходные!B522))</f>
        <v xml:space="preserve">Зинченко Ольга Павловна</v>
      </c>
      <c r="C522" s="8">
        <f>IFERROR(IF(ISNUMBER(FIND(".",Клиенты_исходные!C522)),DATE(RIGHT(Клиенты_исходные!C522,4),MID(Клиенты_исходные!C522,4,2),LEFT(Клиенты_исходные!C522,2)),DATE(LEFT(Клиенты_исходные!C522,4),MID(Клиенты_исходные!C522,6,2),RIGHT(Клиенты_исходные!C522,2))),Клиенты_исходные!C522)</f>
        <v>33530</v>
      </c>
      <c r="D522" t="str">
        <f>IF(ISBLANK(Клиенты_исходные!D522),"",IF(LEN(SUBSTITUTE(SUBSTITUTE(SUBSTITUTE(SUBSTITUTE(SUBSTITUTE(Клиенты_исходные!D522," ",""),"-",""),"+",""),"(",""),")",""))=11,"+7 ("&amp;MID(IF(LEFT(SUBSTITUTE(SUBSTITUTE(SUBSTITUTE(SUBSTITUTE(SUBSTITUTE(Клиенты_исходные!D522," ",""),"-",""),"+",""),"(",""),")",""))="8","7"&amp;MID(SUBSTITUTE(SUBSTITUTE(SUBSTITUTE(SUBSTITUTE(SUBSTITUTE(Клиенты_исходные!D522," ",""),"-",""),"+",""),"(",""),")",""),2,10),SUBSTITUTE(SUBSTITUTE(SUBSTITUTE(SUBSTITUTE(SUBSTITUTE(Клиенты_исходные!D522," ",""),"-",""),"+",""),"(",""),")","")),2,3)&amp;") "&amp;MID(IF(LEFT(SUBSTITUTE(SUBSTITUTE(SUBSTITUTE(SUBSTITUTE(SUBSTITUTE(Клиенты_исходные!D522," ",""),"-",""),"+",""),"(",""),")",""))="8","7"&amp;MID(SUBSTITUTE(SUBSTITUTE(SUBSTITUTE(SUBSTITUTE(SUBSTITUTE(Клиенты_исходные!D522," ",""),"-",""),"+",""),"(",""),")",""),2,10),SUBSTITUTE(SUBSTITUTE(SUBSTITUTE(SUBSTITUTE(SUBSTITUTE(Клиенты_исходные!D522," ",""),"-",""),"+",""),"(",""),")","")),5,3)&amp;"-"&amp;MID(IF(LEFT(SUBSTITUTE(SUBSTITUTE(SUBSTITUTE(SUBSTITUTE(SUBSTITUTE(Клиенты_исходные!D522," ",""),"-",""),"+",""),"(",""),")",""))="8","7"&amp;MID(SUBSTITUTE(SUBSTITUTE(SUBSTITUTE(SUBSTITUTE(SUBSTITUTE(Клиенты_исходные!D522," ",""),"-",""),"+",""),"(",""),")",""),2,10),SUBSTITUTE(SUBSTITUTE(SUBSTITUTE(SUBSTITUTE(SUBSTITUTE(Клиенты_исходные!D522," ",""),"-",""),"+",""),"(",""),")","")),8,2)&amp;"-"&amp;MID(IF(LEFT(SUBSTITUTE(SUBSTITUTE(SUBSTITUTE(SUBSTITUTE(SUBSTITUTE(Клиенты_исходные!D522," ",""),"-",""),"+",""),"(",""),")",""))="8","7"&amp;MID(SUBSTITUTE(SUBSTITUTE(SUBSTITUTE(SUBSTITUTE(SUBSTITUTE(Клиенты_исходные!D522," ",""),"-",""),"+",""),"(",""),")",""),2,10),SUBSTITUTE(SUBSTITUTE(SUBSTITUTE(SUBSTITUTE(SUBSTITUTE(Клиенты_исходные!D522," ",""),"-",""),"+",""),"(",""),")","")),10,2),IF(LEN(SUBSTITUTE(SUBSTITUTE(SUBSTITUTE(SUBSTITUTE(SUBSTITUTE(Клиенты_исходные!D522," ",""),"-",""),"+",""),"(",""),")",""))=10,"+7 ("&amp;MID(SUBSTITUTE(SUBSTITUTE(SUBSTITUTE(SUBSTITUTE(SUBSTITUTE(Клиенты_исходные!D522," ",""),"-",""),"+",""),"(",""),")",""),1,3)&amp;") "&amp;MID(SUBSTITUTE(SUBSTITUTE(SUBSTITUTE(SUBSTITUTE(SUBSTITUTE(Клиенты_исходные!D522," ",""),"-",""),"+",""),"(",""),")",""),4,3)&amp;"-"&amp;MID(SUBSTITUTE(SUBSTITUTE(SUBSTITUTE(SUBSTITUTE(SUBSTITUTE(Клиенты_исходные!D522," ",""),"-",""),"+",""),"(",""),")",""),6,2)&amp;"-"&amp;MID(SUBSTITUTE(SUBSTITUTE(SUBSTITUTE(SUBSTITUTE(SUBSTITUTE(Клиенты_исходные!D522," ",""),"-",""),"+",""),"(",""),")",""),8,2),Клиенты_исходные!D522)))</f>
        <v xml:space="preserve">+7 (903) 901-23-45</v>
      </c>
      <c r="E522" t="str">
        <f>IF(ISBLANK(Клиенты_исходные!E522),"",IF(ISNUMBER(FIND(".",MID(Клиенты_исходные!E522,FIND("@",Клиенты_исходные!E522)+1,255))),Клиенты_исходные!E522,IF(ISNUMBER(FIND("gmail",Клиенты_исходные!E522)),Клиенты_исходные!E522&amp;".com",Клиенты_исходные!E522&amp;".ru")))</f>
        <v>zinchenko@yandex.ru</v>
      </c>
      <c r="F522" t="str">
        <f>IFERROR(VLOOKUP(Клиенты_исходные!F522,Справочники!$J$2:$K$50,2,FALSE),Клиенты_исходные!F522)</f>
        <v>Грозный</v>
      </c>
      <c r="G522" s="8">
        <f>IFERROR(IF(ISNUMBER(FIND(".",Клиенты_исходные!G522)),DATE(RIGHT(Клиенты_исходные!G522,4),MID(Клиенты_исходные!G522,4,2),LEFT(Клиенты_исходные!G522,2)),DATE(LEFT(Клиенты_исходные!G522,4),MID(Клиенты_исходные!G522,6,2),RIGHT(Клиенты_исходные!G522,2))),Клиенты_исходные!G522)</f>
        <v>49836</v>
      </c>
      <c r="H522">
        <f t="shared" ca="1" si="70"/>
        <v>34</v>
      </c>
      <c r="I522" t="str">
        <f t="shared" si="71"/>
        <v>OK</v>
      </c>
      <c r="J522" t="str">
        <f t="shared" si="72"/>
        <v>OK</v>
      </c>
    </row>
    <row r="523">
      <c r="A523" t="str">
        <f>Клиенты_исходные!A523</f>
        <v>C0522</v>
      </c>
      <c r="B523" t="str">
        <f>PROPER(TRIM(Клиенты_исходные!B523))</f>
        <v xml:space="preserve">Столяров Илья Викторович</v>
      </c>
      <c r="C523" s="8">
        <f>IFERROR(IF(ISNUMBER(FIND(".",Клиенты_исходные!C523)),DATE(RIGHT(Клиенты_исходные!C523,4),MID(Клиенты_исходные!C523,4,2),LEFT(Клиенты_исходные!C523,2)),DATE(LEFT(Клиенты_исходные!C523,4),MID(Клиенты_исходные!C523,6,2),RIGHT(Клиенты_исходные!C523,2))),Клиенты_исходные!C523)</f>
        <v>26755</v>
      </c>
      <c r="D523" t="str">
        <f>IF(ISBLANK(Клиенты_исходные!D523),"",IF(LEN(SUBSTITUTE(SUBSTITUTE(SUBSTITUTE(SUBSTITUTE(SUBSTITUTE(Клиенты_исходные!D523," ",""),"-",""),"+",""),"(",""),")",""))=11,"+7 ("&amp;MID(IF(LEFT(SUBSTITUTE(SUBSTITUTE(SUBSTITUTE(SUBSTITUTE(SUBSTITUTE(Клиенты_исходные!D523," ",""),"-",""),"+",""),"(",""),")",""))="8","7"&amp;MID(SUBSTITUTE(SUBSTITUTE(SUBSTITUTE(SUBSTITUTE(SUBSTITUTE(Клиенты_исходные!D523," ",""),"-",""),"+",""),"(",""),")",""),2,10),SUBSTITUTE(SUBSTITUTE(SUBSTITUTE(SUBSTITUTE(SUBSTITUTE(Клиенты_исходные!D523," ",""),"-",""),"+",""),"(",""),")","")),2,3)&amp;") "&amp;MID(IF(LEFT(SUBSTITUTE(SUBSTITUTE(SUBSTITUTE(SUBSTITUTE(SUBSTITUTE(Клиенты_исходные!D523," ",""),"-",""),"+",""),"(",""),")",""))="8","7"&amp;MID(SUBSTITUTE(SUBSTITUTE(SUBSTITUTE(SUBSTITUTE(SUBSTITUTE(Клиенты_исходные!D523," ",""),"-",""),"+",""),"(",""),")",""),2,10),SUBSTITUTE(SUBSTITUTE(SUBSTITUTE(SUBSTITUTE(SUBSTITUTE(Клиенты_исходные!D523," ",""),"-",""),"+",""),"(",""),")","")),5,3)&amp;"-"&amp;MID(IF(LEFT(SUBSTITUTE(SUBSTITUTE(SUBSTITUTE(SUBSTITUTE(SUBSTITUTE(Клиенты_исходные!D523," ",""),"-",""),"+",""),"(",""),")",""))="8","7"&amp;MID(SUBSTITUTE(SUBSTITUTE(SUBSTITUTE(SUBSTITUTE(SUBSTITUTE(Клиенты_исходные!D523," ",""),"-",""),"+",""),"(",""),")",""),2,10),SUBSTITUTE(SUBSTITUTE(SUBSTITUTE(SUBSTITUTE(SUBSTITUTE(Клиенты_исходные!D523," ",""),"-",""),"+",""),"(",""),")","")),8,2)&amp;"-"&amp;MID(IF(LEFT(SUBSTITUTE(SUBSTITUTE(SUBSTITUTE(SUBSTITUTE(SUBSTITUTE(Клиенты_исходные!D523," ",""),"-",""),"+",""),"(",""),")",""))="8","7"&amp;MID(SUBSTITUTE(SUBSTITUTE(SUBSTITUTE(SUBSTITUTE(SUBSTITUTE(Клиенты_исходные!D523," ",""),"-",""),"+",""),"(",""),")",""),2,10),SUBSTITUTE(SUBSTITUTE(SUBSTITUTE(SUBSTITUTE(SUBSTITUTE(Клиенты_исходные!D523," ",""),"-",""),"+",""),"(",""),")","")),10,2),IF(LEN(SUBSTITUTE(SUBSTITUTE(SUBSTITUTE(SUBSTITUTE(SUBSTITUTE(Клиенты_исходные!D523," ",""),"-",""),"+",""),"(",""),")",""))=10,"+7 ("&amp;MID(SUBSTITUTE(SUBSTITUTE(SUBSTITUTE(SUBSTITUTE(SUBSTITUTE(Клиенты_исходные!D523," ",""),"-",""),"+",""),"(",""),")",""),1,3)&amp;") "&amp;MID(SUBSTITUTE(SUBSTITUTE(SUBSTITUTE(SUBSTITUTE(SUBSTITUTE(Клиенты_исходные!D523," ",""),"-",""),"+",""),"(",""),")",""),4,3)&amp;"-"&amp;MID(SUBSTITUTE(SUBSTITUTE(SUBSTITUTE(SUBSTITUTE(SUBSTITUTE(Клиенты_исходные!D523," ",""),"-",""),"+",""),"(",""),")",""),6,2)&amp;"-"&amp;MID(SUBSTITUTE(SUBSTITUTE(SUBSTITUTE(SUBSTITUTE(SUBSTITUTE(Клиенты_исходные!D523," ",""),"-",""),"+",""),"(",""),")",""),8,2),Клиенты_исходные!D523)))</f>
        <v xml:space="preserve">+7 (903) 012-34-56</v>
      </c>
      <c r="E523" t="str">
        <f>IF(ISBLANK(Клиенты_исходные!E523),"",IF(ISNUMBER(FIND(".",MID(Клиенты_исходные!E523,FIND("@",Клиенты_исходные!E523)+1,255))),Клиенты_исходные!E523,IF(ISNUMBER(FIND("gmail",Клиенты_исходные!E523)),Клиенты_исходные!E523&amp;".com",Клиенты_исходные!E523&amp;".ru")))</f>
        <v>stolyarov@gmail.com</v>
      </c>
      <c r="F523" t="str">
        <f>IFERROR(VLOOKUP(Клиенты_исходные!F523,Справочники!$J$2:$K$50,2,FALSE),Клиенты_исходные!F523)</f>
        <v>Бийск</v>
      </c>
      <c r="G523" s="8">
        <f>IFERROR(IF(ISNUMBER(FIND(".",Клиенты_исходные!G523)),DATE(RIGHT(Клиенты_исходные!G523,4),MID(Клиенты_исходные!G523,4,2),LEFT(Клиенты_исходные!G523,2)),DATE(LEFT(Клиенты_исходные!G523,4),MID(Клиенты_исходные!G523,6,2),RIGHT(Клиенты_исходные!G523,2))),Клиенты_исходные!G523)</f>
        <v>49836</v>
      </c>
      <c r="H523">
        <f t="shared" ca="1" si="70"/>
        <v>53</v>
      </c>
      <c r="I523" t="str">
        <f t="shared" si="71"/>
        <v>OK</v>
      </c>
      <c r="J523" t="str">
        <f t="shared" si="72"/>
        <v>OK</v>
      </c>
    </row>
    <row r="524">
      <c r="A524" t="str">
        <f>Клиенты_исходные!A524</f>
        <v>C0523</v>
      </c>
      <c r="B524" t="str">
        <f>PROPER(TRIM(Клиенты_исходные!B524))</f>
        <v xml:space="preserve">Галкина Екатерина Сергеевна</v>
      </c>
      <c r="C524" s="8">
        <f>IFERROR(IF(ISNUMBER(FIND(".",Клиенты_исходные!C524)),DATE(RIGHT(Клиенты_исходные!C524,4),MID(Клиенты_исходные!C524,4,2),LEFT(Клиенты_исходные!C524,2)),DATE(LEFT(Клиенты_исходные!C524,4),MID(Клиенты_исходные!C524,6,2),RIGHT(Клиенты_исходные!C524,2))),Клиенты_исходные!C524)</f>
        <v>31607</v>
      </c>
      <c r="D524" t="str">
        <f>IF(ISBLANK(Клиенты_исходные!D524),"",IF(LEN(SUBSTITUTE(SUBSTITUTE(SUBSTITUTE(SUBSTITUTE(SUBSTITUTE(Клиенты_исходные!D524," ",""),"-",""),"+",""),"(",""),")",""))=11,"+7 ("&amp;MID(IF(LEFT(SUBSTITUTE(SUBSTITUTE(SUBSTITUTE(SUBSTITUTE(SUBSTITUTE(Клиенты_исходные!D524," ",""),"-",""),"+",""),"(",""),")",""))="8","7"&amp;MID(SUBSTITUTE(SUBSTITUTE(SUBSTITUTE(SUBSTITUTE(SUBSTITUTE(Клиенты_исходные!D524," ",""),"-",""),"+",""),"(",""),")",""),2,10),SUBSTITUTE(SUBSTITUTE(SUBSTITUTE(SUBSTITUTE(SUBSTITUTE(Клиенты_исходные!D524," ",""),"-",""),"+",""),"(",""),")","")),2,3)&amp;") "&amp;MID(IF(LEFT(SUBSTITUTE(SUBSTITUTE(SUBSTITUTE(SUBSTITUTE(SUBSTITUTE(Клиенты_исходные!D524," ",""),"-",""),"+",""),"(",""),")",""))="8","7"&amp;MID(SUBSTITUTE(SUBSTITUTE(SUBSTITUTE(SUBSTITUTE(SUBSTITUTE(Клиенты_исходные!D524," ",""),"-",""),"+",""),"(",""),")",""),2,10),SUBSTITUTE(SUBSTITUTE(SUBSTITUTE(SUBSTITUTE(SUBSTITUTE(Клиенты_исходные!D524," ",""),"-",""),"+",""),"(",""),")","")),5,3)&amp;"-"&amp;MID(IF(LEFT(SUBSTITUTE(SUBSTITUTE(SUBSTITUTE(SUBSTITUTE(SUBSTITUTE(Клиенты_исходные!D524," ",""),"-",""),"+",""),"(",""),")",""))="8","7"&amp;MID(SUBSTITUTE(SUBSTITUTE(SUBSTITUTE(SUBSTITUTE(SUBSTITUTE(Клиенты_исходные!D524," ",""),"-",""),"+",""),"(",""),")",""),2,10),SUBSTITUTE(SUBSTITUTE(SUBSTITUTE(SUBSTITUTE(SUBSTITUTE(Клиенты_исходные!D524," ",""),"-",""),"+",""),"(",""),")","")),8,2)&amp;"-"&amp;MID(IF(LEFT(SUBSTITUTE(SUBSTITUTE(SUBSTITUTE(SUBSTITUTE(SUBSTITUTE(Клиенты_исходные!D524," ",""),"-",""),"+",""),"(",""),")",""))="8","7"&amp;MID(SUBSTITUTE(SUBSTITUTE(SUBSTITUTE(SUBSTITUTE(SUBSTITUTE(Клиенты_исходные!D524," ",""),"-",""),"+",""),"(",""),")",""),2,10),SUBSTITUTE(SUBSTITUTE(SUBSTITUTE(SUBSTITUTE(SUBSTITUTE(Клиенты_исходные!D524," ",""),"-",""),"+",""),"(",""),")","")),10,2),IF(LEN(SUBSTITUTE(SUBSTITUTE(SUBSTITUTE(SUBSTITUTE(SUBSTITUTE(Клиенты_исходные!D524," ",""),"-",""),"+",""),"(",""),")",""))=10,"+7 ("&amp;MID(SUBSTITUTE(SUBSTITUTE(SUBSTITUTE(SUBSTITUTE(SUBSTITUTE(Клиенты_исходные!D524," ",""),"-",""),"+",""),"(",""),")",""),1,3)&amp;") "&amp;MID(SUBSTITUTE(SUBSTITUTE(SUBSTITUTE(SUBSTITUTE(SUBSTITUTE(Клиенты_исходные!D524," ",""),"-",""),"+",""),"(",""),")",""),4,3)&amp;"-"&amp;MID(SUBSTITUTE(SUBSTITUTE(SUBSTITUTE(SUBSTITUTE(SUBSTITUTE(Клиенты_исходные!D524," ",""),"-",""),"+",""),"(",""),")",""),6,2)&amp;"-"&amp;MID(SUBSTITUTE(SUBSTITUTE(SUBSTITUTE(SUBSTITUTE(SUBSTITUTE(Клиенты_исходные!D524," ",""),"-",""),"+",""),"(",""),")",""),8,2),Клиенты_исходные!D524)))</f>
        <v xml:space="preserve">+7 (903) 012-34-56</v>
      </c>
      <c r="E524" t="str">
        <f>IF(ISBLANK(Клиенты_исходные!E524),"",IF(ISNUMBER(FIND(".",MID(Клиенты_исходные!E524,FIND("@",Клиенты_исходные!E524)+1,255))),Клиенты_исходные!E524,IF(ISNUMBER(FIND("gmail",Клиенты_исходные!E524)),Клиенты_исходные!E524&amp;".com",Клиенты_исходные!E524&amp;".ru")))</f>
        <v>galkina@mail.ru</v>
      </c>
      <c r="F524" t="str">
        <f>IFERROR(VLOOKUP(Клиенты_исходные!F524,Справочники!$J$2:$K$50,2,FALSE),Клиенты_исходные!F524)</f>
        <v>Йошкар-Ола</v>
      </c>
      <c r="G524" s="8">
        <f>IFERROR(IF(ISNUMBER(FIND(".",Клиенты_исходные!G524)),DATE(RIGHT(Клиенты_исходные!G524,4),MID(Клиенты_исходные!G524,4,2),LEFT(Клиенты_исходные!G524,2)),DATE(LEFT(Клиенты_исходные!G524,4),MID(Клиенты_исходные!G524,6,2),RIGHT(Клиенты_исходные!G524,2))),Клиенты_исходные!G524)</f>
        <v>49857</v>
      </c>
      <c r="H524">
        <f t="shared" ca="1" si="70"/>
        <v>40</v>
      </c>
      <c r="I524" t="str">
        <f t="shared" si="71"/>
        <v>OK</v>
      </c>
      <c r="J524" t="str">
        <f t="shared" si="72"/>
        <v>OK</v>
      </c>
    </row>
    <row r="525">
      <c r="A525" t="str">
        <f>Клиенты_исходные!A525</f>
        <v>C0524</v>
      </c>
      <c r="B525" t="str">
        <f>PROPER(TRIM(Клиенты_исходные!B525))</f>
        <v xml:space="preserve">Коробов Андрей Олегович</v>
      </c>
      <c r="C525" s="8">
        <f>IFERROR(IF(ISNUMBER(FIND(".",Клиенты_исходные!C525)),DATE(RIGHT(Клиенты_исходные!C525,4),MID(Клиенты_исходные!C525,4,2),LEFT(Клиенты_исходные!C525,2)),DATE(LEFT(Клиенты_исходные!C525,4),MID(Клиенты_исходные!C525,6,2),RIGHT(Клиенты_исходные!C525,2))),Клиенты_исходные!C525)</f>
        <v>30307</v>
      </c>
      <c r="D525" t="str">
        <f>IF(ISBLANK(Клиенты_исходные!D525),"",IF(LEN(SUBSTITUTE(SUBSTITUTE(SUBSTITUTE(SUBSTITUTE(SUBSTITUTE(Клиенты_исходные!D525," ",""),"-",""),"+",""),"(",""),")",""))=11,"+7 ("&amp;MID(IF(LEFT(SUBSTITUTE(SUBSTITUTE(SUBSTITUTE(SUBSTITUTE(SUBSTITUTE(Клиенты_исходные!D525," ",""),"-",""),"+",""),"(",""),")",""))="8","7"&amp;MID(SUBSTITUTE(SUBSTITUTE(SUBSTITUTE(SUBSTITUTE(SUBSTITUTE(Клиенты_исходные!D525," ",""),"-",""),"+",""),"(",""),")",""),2,10),SUBSTITUTE(SUBSTITUTE(SUBSTITUTE(SUBSTITUTE(SUBSTITUTE(Клиенты_исходные!D525," ",""),"-",""),"+",""),"(",""),")","")),2,3)&amp;") "&amp;MID(IF(LEFT(SUBSTITUTE(SUBSTITUTE(SUBSTITUTE(SUBSTITUTE(SUBSTITUTE(Клиенты_исходные!D525," ",""),"-",""),"+",""),"(",""),")",""))="8","7"&amp;MID(SUBSTITUTE(SUBSTITUTE(SUBSTITUTE(SUBSTITUTE(SUBSTITUTE(Клиенты_исходные!D525," ",""),"-",""),"+",""),"(",""),")",""),2,10),SUBSTITUTE(SUBSTITUTE(SUBSTITUTE(SUBSTITUTE(SUBSTITUTE(Клиенты_исходные!D525," ",""),"-",""),"+",""),"(",""),")","")),5,3)&amp;"-"&amp;MID(IF(LEFT(SUBSTITUTE(SUBSTITUTE(SUBSTITUTE(SUBSTITUTE(SUBSTITUTE(Клиенты_исходные!D525," ",""),"-",""),"+",""),"(",""),")",""))="8","7"&amp;MID(SUBSTITUTE(SUBSTITUTE(SUBSTITUTE(SUBSTITUTE(SUBSTITUTE(Клиенты_исходные!D525," ",""),"-",""),"+",""),"(",""),")",""),2,10),SUBSTITUTE(SUBSTITUTE(SUBSTITUTE(SUBSTITUTE(SUBSTITUTE(Клиенты_исходные!D525," ",""),"-",""),"+",""),"(",""),")","")),8,2)&amp;"-"&amp;MID(IF(LEFT(SUBSTITUTE(SUBSTITUTE(SUBSTITUTE(SUBSTITUTE(SUBSTITUTE(Клиенты_исходные!D525," ",""),"-",""),"+",""),"(",""),")",""))="8","7"&amp;MID(SUBSTITUTE(SUBSTITUTE(SUBSTITUTE(SUBSTITUTE(SUBSTITUTE(Клиенты_исходные!D525," ",""),"-",""),"+",""),"(",""),")",""),2,10),SUBSTITUTE(SUBSTITUTE(SUBSTITUTE(SUBSTITUTE(SUBSTITUTE(Клиенты_исходные!D525," ",""),"-",""),"+",""),"(",""),")","")),10,2),IF(LEN(SUBSTITUTE(SUBSTITUTE(SUBSTITUTE(SUBSTITUTE(SUBSTITUTE(Клиенты_исходные!D525," ",""),"-",""),"+",""),"(",""),")",""))=10,"+7 ("&amp;MID(SUBSTITUTE(SUBSTITUTE(SUBSTITUTE(SUBSTITUTE(SUBSTITUTE(Клиенты_исходные!D525," ",""),"-",""),"+",""),"(",""),")",""),1,3)&amp;") "&amp;MID(SUBSTITUTE(SUBSTITUTE(SUBSTITUTE(SUBSTITUTE(SUBSTITUTE(Клиенты_исходные!D525," ",""),"-",""),"+",""),"(",""),")",""),4,3)&amp;"-"&amp;MID(SUBSTITUTE(SUBSTITUTE(SUBSTITUTE(SUBSTITUTE(SUBSTITUTE(Клиенты_исходные!D525," ",""),"-",""),"+",""),"(",""),")",""),6,2)&amp;"-"&amp;MID(SUBSTITUTE(SUBSTITUTE(SUBSTITUTE(SUBSTITUTE(SUBSTITUTE(Клиенты_исходные!D525," ",""),"-",""),"+",""),"(",""),")",""),8,2),Клиенты_исходные!D525)))</f>
        <v xml:space="preserve">+7 (903) 012-34-56</v>
      </c>
      <c r="E525" t="str">
        <f>IF(ISBLANK(Клиенты_исходные!E525),"",IF(ISNUMBER(FIND(".",MID(Клиенты_исходные!E525,FIND("@",Клиенты_исходные!E525)+1,255))),Клиенты_исходные!E525,IF(ISNUMBER(FIND("gmail",Клиенты_исходные!E525)),Клиенты_исходные!E525&amp;".com",Клиенты_исходные!E525&amp;".ru")))</f>
        <v>korobov@yandex.ru</v>
      </c>
      <c r="F525" t="str">
        <f>IFERROR(VLOOKUP(Клиенты_исходные!F525,Справочники!$J$2:$K$50,2,FALSE),Клиенты_исходные!F525)</f>
        <v>Курган</v>
      </c>
      <c r="G525" s="8">
        <f>IFERROR(IF(ISNUMBER(FIND(".",Клиенты_исходные!G525)),DATE(RIGHT(Клиенты_исходные!G525,4),MID(Клиенты_исходные!G525,4,2),LEFT(Клиенты_исходные!G525,2)),DATE(LEFT(Клиенты_исходные!G525,4),MID(Клиенты_исходные!G525,6,2),RIGHT(Клиенты_исходные!G525,2))),Клиенты_исходные!G525)</f>
        <v>49871</v>
      </c>
      <c r="H525">
        <f t="shared" ca="1" si="70"/>
        <v>43</v>
      </c>
      <c r="I525" t="str">
        <f t="shared" si="71"/>
        <v>OK</v>
      </c>
      <c r="J525" t="str">
        <f t="shared" si="72"/>
        <v>OK</v>
      </c>
    </row>
    <row r="526">
      <c r="A526" t="str">
        <f>Клиенты_исходные!A526</f>
        <v>C0525</v>
      </c>
      <c r="B526" t="str">
        <f>PROPER(TRIM(Клиенты_исходные!B526))</f>
        <v xml:space="preserve">Шапкина Мария Владимировна</v>
      </c>
      <c r="C526" s="8">
        <f>IFERROR(IF(ISNUMBER(FIND(".",Клиенты_исходные!C526)),DATE(RIGHT(Клиенты_исходные!C526,4),MID(Клиенты_исходные!C526,4,2),LEFT(Клиенты_исходные!C526,2)),DATE(LEFT(Клиенты_исходные!C526,4),MID(Клиенты_исходные!C526,6,2),RIGHT(Клиенты_исходные!C526,2))),Клиенты_исходные!C526)</f>
        <v>28386</v>
      </c>
      <c r="D526" t="str">
        <f>IF(ISBLANK(Клиенты_исходные!D526),"",IF(LEN(SUBSTITUTE(SUBSTITUTE(SUBSTITUTE(SUBSTITUTE(SUBSTITUTE(Клиенты_исходные!D526," ",""),"-",""),"+",""),"(",""),")",""))=11,"+7 ("&amp;MID(IF(LEFT(SUBSTITUTE(SUBSTITUTE(SUBSTITUTE(SUBSTITUTE(SUBSTITUTE(Клиенты_исходные!D526," ",""),"-",""),"+",""),"(",""),")",""))="8","7"&amp;MID(SUBSTITUTE(SUBSTITUTE(SUBSTITUTE(SUBSTITUTE(SUBSTITUTE(Клиенты_исходные!D526," ",""),"-",""),"+",""),"(",""),")",""),2,10),SUBSTITUTE(SUBSTITUTE(SUBSTITUTE(SUBSTITUTE(SUBSTITUTE(Клиенты_исходные!D526," ",""),"-",""),"+",""),"(",""),")","")),2,3)&amp;") "&amp;MID(IF(LEFT(SUBSTITUTE(SUBSTITUTE(SUBSTITUTE(SUBSTITUTE(SUBSTITUTE(Клиенты_исходные!D526," ",""),"-",""),"+",""),"(",""),")",""))="8","7"&amp;MID(SUBSTITUTE(SUBSTITUTE(SUBSTITUTE(SUBSTITUTE(SUBSTITUTE(Клиенты_исходные!D526," ",""),"-",""),"+",""),"(",""),")",""),2,10),SUBSTITUTE(SUBSTITUTE(SUBSTITUTE(SUBSTITUTE(SUBSTITUTE(Клиенты_исходные!D526," ",""),"-",""),"+",""),"(",""),")","")),5,3)&amp;"-"&amp;MID(IF(LEFT(SUBSTITUTE(SUBSTITUTE(SUBSTITUTE(SUBSTITUTE(SUBSTITUTE(Клиенты_исходные!D526," ",""),"-",""),"+",""),"(",""),")",""))="8","7"&amp;MID(SUBSTITUTE(SUBSTITUTE(SUBSTITUTE(SUBSTITUTE(SUBSTITUTE(Клиенты_исходные!D526," ",""),"-",""),"+",""),"(",""),")",""),2,10),SUBSTITUTE(SUBSTITUTE(SUBSTITUTE(SUBSTITUTE(SUBSTITUTE(Клиенты_исходные!D526," ",""),"-",""),"+",""),"(",""),")","")),8,2)&amp;"-"&amp;MID(IF(LEFT(SUBSTITUTE(SUBSTITUTE(SUBSTITUTE(SUBSTITUTE(SUBSTITUTE(Клиенты_исходные!D526," ",""),"-",""),"+",""),"(",""),")",""))="8","7"&amp;MID(SUBSTITUTE(SUBSTITUTE(SUBSTITUTE(SUBSTITUTE(SUBSTITUTE(Клиенты_исходные!D526," ",""),"-",""),"+",""),"(",""),")",""),2,10),SUBSTITUTE(SUBSTITUTE(SUBSTITUTE(SUBSTITUTE(SUBSTITUTE(Клиенты_исходные!D526," ",""),"-",""),"+",""),"(",""),")","")),10,2),IF(LEN(SUBSTITUTE(SUBSTITUTE(SUBSTITUTE(SUBSTITUTE(SUBSTITUTE(Клиенты_исходные!D526," ",""),"-",""),"+",""),"(",""),")",""))=10,"+7 ("&amp;MID(SUBSTITUTE(SUBSTITUTE(SUBSTITUTE(SUBSTITUTE(SUBSTITUTE(Клиенты_исходные!D526," ",""),"-",""),"+",""),"(",""),")",""),1,3)&amp;") "&amp;MID(SUBSTITUTE(SUBSTITUTE(SUBSTITUTE(SUBSTITUTE(SUBSTITUTE(Клиенты_исходные!D526," ",""),"-",""),"+",""),"(",""),")",""),4,3)&amp;"-"&amp;MID(SUBSTITUTE(SUBSTITUTE(SUBSTITUTE(SUBSTITUTE(SUBSTITUTE(Клиенты_исходные!D526," ",""),"-",""),"+",""),"(",""),")",""),6,2)&amp;"-"&amp;MID(SUBSTITUTE(SUBSTITUTE(SUBSTITUTE(SUBSTITUTE(SUBSTITUTE(Клиенты_исходные!D526," ",""),"-",""),"+",""),"(",""),")",""),8,2),Клиенты_исходные!D526)))</f>
        <v xml:space="preserve">+7 (903) 123-45-67</v>
      </c>
      <c r="E526" t="str">
        <f>IF(ISBLANK(Клиенты_исходные!E526),"",IF(ISNUMBER(FIND(".",MID(Клиенты_исходные!E526,FIND("@",Клиенты_исходные!E526)+1,255))),Клиенты_исходные!E526,IF(ISNUMBER(FIND("gmail",Клиенты_исходные!E526)),Клиенты_исходные!E526&amp;".com",Клиенты_исходные!E526&amp;".ru")))</f>
        <v>shapkina@gmail.com</v>
      </c>
      <c r="F526" t="str">
        <f>IFERROR(VLOOKUP(Клиенты_исходные!F526,Справочники!$J$2:$K$50,2,FALSE),Клиенты_исходные!F526)</f>
        <v>Архангельск</v>
      </c>
      <c r="G526" s="8">
        <f>IFERROR(IF(ISNUMBER(FIND(".",Клиенты_исходные!G526)),DATE(RIGHT(Клиенты_исходные!G526,4),MID(Клиенты_исходные!G526,4,2),LEFT(Клиенты_исходные!G526,2)),DATE(LEFT(Клиенты_исходные!G526,4),MID(Клиенты_исходные!G526,6,2),RIGHT(Клиенты_исходные!G526,2))),Клиенты_исходные!G526)</f>
        <v>49871</v>
      </c>
      <c r="H526">
        <f t="shared" ca="1" si="70"/>
        <v>49</v>
      </c>
      <c r="I526" t="str">
        <f t="shared" si="71"/>
        <v>OK</v>
      </c>
      <c r="J526" t="str">
        <f t="shared" si="72"/>
        <v>OK</v>
      </c>
    </row>
    <row r="527">
      <c r="A527" t="str">
        <f>Клиенты_исходные!A527</f>
        <v>C0526</v>
      </c>
      <c r="B527" t="str">
        <f>PROPER(TRIM(Клиенты_исходные!B527))</f>
        <v xml:space="preserve">Винокуров Денис Алексеевич</v>
      </c>
      <c r="C527" s="8">
        <f>IFERROR(IF(ISNUMBER(FIND(".",Клиенты_исходные!C527)),DATE(RIGHT(Клиенты_исходные!C527,4),MID(Клиенты_исходные!C527,4,2),LEFT(Клиенты_исходные!C527,2)),DATE(LEFT(Клиенты_исходные!C527,4),MID(Клиенты_исходные!C527,6,2),RIGHT(Клиенты_исходные!C527,2))),Клиенты_исходные!C527)</f>
        <v>34119</v>
      </c>
      <c r="D527" t="str">
        <f>IF(ISBLANK(Клиенты_исходные!D527),"",IF(LEN(SUBSTITUTE(SUBSTITUTE(SUBSTITUTE(SUBSTITUTE(SUBSTITUTE(Клиенты_исходные!D527," ",""),"-",""),"+",""),"(",""),")",""))=11,"+7 ("&amp;MID(IF(LEFT(SUBSTITUTE(SUBSTITUTE(SUBSTITUTE(SUBSTITUTE(SUBSTITUTE(Клиенты_исходные!D527," ",""),"-",""),"+",""),"(",""),")",""))="8","7"&amp;MID(SUBSTITUTE(SUBSTITUTE(SUBSTITUTE(SUBSTITUTE(SUBSTITUTE(Клиенты_исходные!D527," ",""),"-",""),"+",""),"(",""),")",""),2,10),SUBSTITUTE(SUBSTITUTE(SUBSTITUTE(SUBSTITUTE(SUBSTITUTE(Клиенты_исходные!D527," ",""),"-",""),"+",""),"(",""),")","")),2,3)&amp;") "&amp;MID(IF(LEFT(SUBSTITUTE(SUBSTITUTE(SUBSTITUTE(SUBSTITUTE(SUBSTITUTE(Клиенты_исходные!D527," ",""),"-",""),"+",""),"(",""),")",""))="8","7"&amp;MID(SUBSTITUTE(SUBSTITUTE(SUBSTITUTE(SUBSTITUTE(SUBSTITUTE(Клиенты_исходные!D527," ",""),"-",""),"+",""),"(",""),")",""),2,10),SUBSTITUTE(SUBSTITUTE(SUBSTITUTE(SUBSTITUTE(SUBSTITUTE(Клиенты_исходные!D527," ",""),"-",""),"+",""),"(",""),")","")),5,3)&amp;"-"&amp;MID(IF(LEFT(SUBSTITUTE(SUBSTITUTE(SUBSTITUTE(SUBSTITUTE(SUBSTITUTE(Клиенты_исходные!D527," ",""),"-",""),"+",""),"(",""),")",""))="8","7"&amp;MID(SUBSTITUTE(SUBSTITUTE(SUBSTITUTE(SUBSTITUTE(SUBSTITUTE(Клиенты_исходные!D527," ",""),"-",""),"+",""),"(",""),")",""),2,10),SUBSTITUTE(SUBSTITUTE(SUBSTITUTE(SUBSTITUTE(SUBSTITUTE(Клиенты_исходные!D527," ",""),"-",""),"+",""),"(",""),")","")),8,2)&amp;"-"&amp;MID(IF(LEFT(SUBSTITUTE(SUBSTITUTE(SUBSTITUTE(SUBSTITUTE(SUBSTITUTE(Клиенты_исходные!D527," ",""),"-",""),"+",""),"(",""),")",""))="8","7"&amp;MID(SUBSTITUTE(SUBSTITUTE(SUBSTITUTE(SUBSTITUTE(SUBSTITUTE(Клиенты_исходные!D527," ",""),"-",""),"+",""),"(",""),")",""),2,10),SUBSTITUTE(SUBSTITUTE(SUBSTITUTE(SUBSTITUTE(SUBSTITUTE(Клиенты_исходные!D527," ",""),"-",""),"+",""),"(",""),")","")),10,2),IF(LEN(SUBSTITUTE(SUBSTITUTE(SUBSTITUTE(SUBSTITUTE(SUBSTITUTE(Клиенты_исходные!D527," ",""),"-",""),"+",""),"(",""),")",""))=10,"+7 ("&amp;MID(SUBSTITUTE(SUBSTITUTE(SUBSTITUTE(SUBSTITUTE(SUBSTITUTE(Клиенты_исходные!D527," ",""),"-",""),"+",""),"(",""),")",""),1,3)&amp;") "&amp;MID(SUBSTITUTE(SUBSTITUTE(SUBSTITUTE(SUBSTITUTE(SUBSTITUTE(Клиенты_исходные!D527," ",""),"-",""),"+",""),"(",""),")",""),4,3)&amp;"-"&amp;MID(SUBSTITUTE(SUBSTITUTE(SUBSTITUTE(SUBSTITUTE(SUBSTITUTE(Клиенты_исходные!D527," ",""),"-",""),"+",""),"(",""),")",""),6,2)&amp;"-"&amp;MID(SUBSTITUTE(SUBSTITUTE(SUBSTITUTE(SUBSTITUTE(SUBSTITUTE(Клиенты_исходные!D527," ",""),"-",""),"+",""),"(",""),")",""),8,2),Клиенты_исходные!D527)))</f>
        <v xml:space="preserve">+7 (903) 123-45-67</v>
      </c>
      <c r="E527" t="str">
        <f>IF(ISBLANK(Клиенты_исходные!E527),"",IF(ISNUMBER(FIND(".",MID(Клиенты_исходные!E527,FIND("@",Клиенты_исходные!E527)+1,255))),Клиенты_исходные!E527,IF(ISNUMBER(FIND("gmail",Клиенты_исходные!E527)),Клиенты_исходные!E527&amp;".com",Клиенты_исходные!E527&amp;".ru")))</f>
        <v>vinokurov@mail.ru</v>
      </c>
      <c r="F527" t="str">
        <f>IFERROR(VLOOKUP(Клиенты_исходные!F527,Справочники!$J$2:$K$50,2,FALSE),Клиенты_исходные!F527)</f>
        <v>Благовещенск</v>
      </c>
      <c r="G527" s="8">
        <f>IFERROR(IF(ISNUMBER(FIND(".",Клиенты_исходные!G527)),DATE(RIGHT(Клиенты_исходные!G527,4),MID(Клиенты_исходные!G527,4,2),LEFT(Клиенты_исходные!G527,2)),DATE(LEFT(Клиенты_исходные!G527,4),MID(Клиенты_исходные!G527,6,2),RIGHT(Клиенты_исходные!G527,2))),Клиенты_исходные!G527)</f>
        <v>49888</v>
      </c>
      <c r="H527">
        <f t="shared" ca="1" si="70"/>
        <v>33</v>
      </c>
      <c r="I527" t="str">
        <f t="shared" si="71"/>
        <v>OK</v>
      </c>
      <c r="J527" t="str">
        <f t="shared" si="72"/>
        <v>OK</v>
      </c>
    </row>
    <row r="528">
      <c r="A528" t="str">
        <f>Клиенты_исходные!A528</f>
        <v>C0527</v>
      </c>
      <c r="B528" t="str">
        <f>PROPER(TRIM(Клиенты_исходные!B528))</f>
        <v xml:space="preserve">Трифонова Ольга Павловна</v>
      </c>
      <c r="C528" s="8">
        <f>IFERROR(IF(ISNUMBER(FIND(".",Клиенты_исходные!C528)),DATE(RIGHT(Клиенты_исходные!C528,4),MID(Клиенты_исходные!C528,4,2),LEFT(Клиенты_исходные!C528,2)),DATE(LEFT(Клиенты_исходные!C528,4),MID(Клиенты_исходные!C528,6,2),RIGHT(Клиенты_исходные!C528,2))),Клиенты_исходные!C528)</f>
        <v>29548</v>
      </c>
      <c r="D528" t="str">
        <f>IF(ISBLANK(Клиенты_исходные!D528),"",IF(LEN(SUBSTITUTE(SUBSTITUTE(SUBSTITUTE(SUBSTITUTE(SUBSTITUTE(Клиенты_исходные!D528," ",""),"-",""),"+",""),"(",""),")",""))=11,"+7 ("&amp;MID(IF(LEFT(SUBSTITUTE(SUBSTITUTE(SUBSTITUTE(SUBSTITUTE(SUBSTITUTE(Клиенты_исходные!D528," ",""),"-",""),"+",""),"(",""),")",""))="8","7"&amp;MID(SUBSTITUTE(SUBSTITUTE(SUBSTITUTE(SUBSTITUTE(SUBSTITUTE(Клиенты_исходные!D528," ",""),"-",""),"+",""),"(",""),")",""),2,10),SUBSTITUTE(SUBSTITUTE(SUBSTITUTE(SUBSTITUTE(SUBSTITUTE(Клиенты_исходные!D528," ",""),"-",""),"+",""),"(",""),")","")),2,3)&amp;") "&amp;MID(IF(LEFT(SUBSTITUTE(SUBSTITUTE(SUBSTITUTE(SUBSTITUTE(SUBSTITUTE(Клиенты_исходные!D528," ",""),"-",""),"+",""),"(",""),")",""))="8","7"&amp;MID(SUBSTITUTE(SUBSTITUTE(SUBSTITUTE(SUBSTITUTE(SUBSTITUTE(Клиенты_исходные!D528," ",""),"-",""),"+",""),"(",""),")",""),2,10),SUBSTITUTE(SUBSTITUTE(SUBSTITUTE(SUBSTITUTE(SUBSTITUTE(Клиенты_исходные!D528," ",""),"-",""),"+",""),"(",""),")","")),5,3)&amp;"-"&amp;MID(IF(LEFT(SUBSTITUTE(SUBSTITUTE(SUBSTITUTE(SUBSTITUTE(SUBSTITUTE(Клиенты_исходные!D528," ",""),"-",""),"+",""),"(",""),")",""))="8","7"&amp;MID(SUBSTITUTE(SUBSTITUTE(SUBSTITUTE(SUBSTITUTE(SUBSTITUTE(Клиенты_исходные!D528," ",""),"-",""),"+",""),"(",""),")",""),2,10),SUBSTITUTE(SUBSTITUTE(SUBSTITUTE(SUBSTITUTE(SUBSTITUTE(Клиенты_исходные!D528," ",""),"-",""),"+",""),"(",""),")","")),8,2)&amp;"-"&amp;MID(IF(LEFT(SUBSTITUTE(SUBSTITUTE(SUBSTITUTE(SUBSTITUTE(SUBSTITUTE(Клиенты_исходные!D528," ",""),"-",""),"+",""),"(",""),")",""))="8","7"&amp;MID(SUBSTITUTE(SUBSTITUTE(SUBSTITUTE(SUBSTITUTE(SUBSTITUTE(Клиенты_исходные!D528," ",""),"-",""),"+",""),"(",""),")",""),2,10),SUBSTITUTE(SUBSTITUTE(SUBSTITUTE(SUBSTITUTE(SUBSTITUTE(Клиенты_исходные!D528," ",""),"-",""),"+",""),"(",""),")","")),10,2),IF(LEN(SUBSTITUTE(SUBSTITUTE(SUBSTITUTE(SUBSTITUTE(SUBSTITUTE(Клиенты_исходные!D528," ",""),"-",""),"+",""),"(",""),")",""))=10,"+7 ("&amp;MID(SUBSTITUTE(SUBSTITUTE(SUBSTITUTE(SUBSTITUTE(SUBSTITUTE(Клиенты_исходные!D528," ",""),"-",""),"+",""),"(",""),")",""),1,3)&amp;") "&amp;MID(SUBSTITUTE(SUBSTITUTE(SUBSTITUTE(SUBSTITUTE(SUBSTITUTE(Клиенты_исходные!D528," ",""),"-",""),"+",""),"(",""),")",""),4,3)&amp;"-"&amp;MID(SUBSTITUTE(SUBSTITUTE(SUBSTITUTE(SUBSTITUTE(SUBSTITUTE(Клиенты_исходные!D528," ",""),"-",""),"+",""),"(",""),")",""),6,2)&amp;"-"&amp;MID(SUBSTITUTE(SUBSTITUTE(SUBSTITUTE(SUBSTITUTE(SUBSTITUTE(Клиенты_исходные!D528," ",""),"-",""),"+",""),"(",""),")",""),8,2),Клиенты_исходные!D528)))</f>
        <v xml:space="preserve">+7 (903) 123-45-67</v>
      </c>
      <c r="E528" t="str">
        <f>IF(ISBLANK(Клиенты_исходные!E528),"",IF(ISNUMBER(FIND(".",MID(Клиенты_исходные!E528,FIND("@",Клиенты_исходные!E528)+1,255))),Клиенты_исходные!E528,IF(ISNUMBER(FIND("gmail",Клиенты_исходные!E528)),Клиенты_исходные!E528&amp;".com",Клиенты_исходные!E528&amp;".ru")))</f>
        <v>trifonova@yandex.ru</v>
      </c>
      <c r="F528" t="str">
        <f>IFERROR(VLOOKUP(Клиенты_исходные!F528,Справочники!$J$2:$K$50,2,FALSE),Клиенты_исходные!F528)</f>
        <v>Майкоп</v>
      </c>
      <c r="G528" s="8">
        <f>IFERROR(IF(ISNUMBER(FIND(".",Клиенты_исходные!G528)),DATE(RIGHT(Клиенты_исходные!G528,4),MID(Клиенты_исходные!G528,4,2),LEFT(Клиенты_исходные!G528,2)),DATE(LEFT(Клиенты_исходные!G528,4),MID(Клиенты_исходные!G528,6,2),RIGHT(Клиенты_исходные!G528,2))),Клиенты_исходные!G528)</f>
        <v>49897</v>
      </c>
      <c r="H528">
        <f t="shared" ca="1" si="70"/>
        <v>45</v>
      </c>
      <c r="I528" t="str">
        <f t="shared" si="71"/>
        <v>OK</v>
      </c>
      <c r="J528" t="str">
        <f t="shared" si="72"/>
        <v>OK</v>
      </c>
    </row>
    <row r="529">
      <c r="A529" t="str">
        <f>Клиенты_исходные!A529</f>
        <v>C0528</v>
      </c>
      <c r="B529" t="str">
        <f>PROPER(TRIM(Клиенты_исходные!B529))</f>
        <v xml:space="preserve">Червяков Илья Александрович</v>
      </c>
      <c r="C529" s="8">
        <f>IFERROR(IF(ISNUMBER(FIND(".",Клиенты_исходные!C529)),DATE(RIGHT(Клиенты_исходные!C529,4),MID(Клиенты_исходные!C529,4,2),LEFT(Клиенты_исходные!C529,2)),DATE(LEFT(Клиенты_исходные!C529,4),MID(Клиенты_исходные!C529,6,2),RIGHT(Клиенты_исходные!C529,2))),Клиенты_исходные!C529)</f>
        <v>31266</v>
      </c>
      <c r="D529" t="str">
        <f>IF(ISBLANK(Клиенты_исходные!D529),"",IF(LEN(SUBSTITUTE(SUBSTITUTE(SUBSTITUTE(SUBSTITUTE(SUBSTITUTE(Клиенты_исходные!D529," ",""),"-",""),"+",""),"(",""),")",""))=11,"+7 ("&amp;MID(IF(LEFT(SUBSTITUTE(SUBSTITUTE(SUBSTITUTE(SUBSTITUTE(SUBSTITUTE(Клиенты_исходные!D529," ",""),"-",""),"+",""),"(",""),")",""))="8","7"&amp;MID(SUBSTITUTE(SUBSTITUTE(SUBSTITUTE(SUBSTITUTE(SUBSTITUTE(Клиенты_исходные!D529," ",""),"-",""),"+",""),"(",""),")",""),2,10),SUBSTITUTE(SUBSTITUTE(SUBSTITUTE(SUBSTITUTE(SUBSTITUTE(Клиенты_исходные!D529," ",""),"-",""),"+",""),"(",""),")","")),2,3)&amp;") "&amp;MID(IF(LEFT(SUBSTITUTE(SUBSTITUTE(SUBSTITUTE(SUBSTITUTE(SUBSTITUTE(Клиенты_исходные!D529," ",""),"-",""),"+",""),"(",""),")",""))="8","7"&amp;MID(SUBSTITUTE(SUBSTITUTE(SUBSTITUTE(SUBSTITUTE(SUBSTITUTE(Клиенты_исходные!D529," ",""),"-",""),"+",""),"(",""),")",""),2,10),SUBSTITUTE(SUBSTITUTE(SUBSTITUTE(SUBSTITUTE(SUBSTITUTE(Клиенты_исходные!D529," ",""),"-",""),"+",""),"(",""),")","")),5,3)&amp;"-"&amp;MID(IF(LEFT(SUBSTITUTE(SUBSTITUTE(SUBSTITUTE(SUBSTITUTE(SUBSTITUTE(Клиенты_исходные!D529," ",""),"-",""),"+",""),"(",""),")",""))="8","7"&amp;MID(SUBSTITUTE(SUBSTITUTE(SUBSTITUTE(SUBSTITUTE(SUBSTITUTE(Клиенты_исходные!D529," ",""),"-",""),"+",""),"(",""),")",""),2,10),SUBSTITUTE(SUBSTITUTE(SUBSTITUTE(SUBSTITUTE(SUBSTITUTE(Клиенты_исходные!D529," ",""),"-",""),"+",""),"(",""),")","")),8,2)&amp;"-"&amp;MID(IF(LEFT(SUBSTITUTE(SUBSTITUTE(SUBSTITUTE(SUBSTITUTE(SUBSTITUTE(Клиенты_исходные!D529," ",""),"-",""),"+",""),"(",""),")",""))="8","7"&amp;MID(SUBSTITUTE(SUBSTITUTE(SUBSTITUTE(SUBSTITUTE(SUBSTITUTE(Клиенты_исходные!D529," ",""),"-",""),"+",""),"(",""),")",""),2,10),SUBSTITUTE(SUBSTITUTE(SUBSTITUTE(SUBSTITUTE(SUBSTITUTE(Клиенты_исходные!D529," ",""),"-",""),"+",""),"(",""),")","")),10,2),IF(LEN(SUBSTITUTE(SUBSTITUTE(SUBSTITUTE(SUBSTITUTE(SUBSTITUTE(Клиенты_исходные!D529," ",""),"-",""),"+",""),"(",""),")",""))=10,"+7 ("&amp;MID(SUBSTITUTE(SUBSTITUTE(SUBSTITUTE(SUBSTITUTE(SUBSTITUTE(Клиенты_исходные!D529," ",""),"-",""),"+",""),"(",""),")",""),1,3)&amp;") "&amp;MID(SUBSTITUTE(SUBSTITUTE(SUBSTITUTE(SUBSTITUTE(SUBSTITUTE(Клиенты_исходные!D529," ",""),"-",""),"+",""),"(",""),")",""),4,3)&amp;"-"&amp;MID(SUBSTITUTE(SUBSTITUTE(SUBSTITUTE(SUBSTITUTE(SUBSTITUTE(Клиенты_исходные!D529," ",""),"-",""),"+",""),"(",""),")",""),6,2)&amp;"-"&amp;MID(SUBSTITUTE(SUBSTITUTE(SUBSTITUTE(SUBSTITUTE(SUBSTITUTE(Клиенты_исходные!D529," ",""),"-",""),"+",""),"(",""),")",""),8,2),Клиенты_исходные!D529)))</f>
        <v xml:space="preserve">+7 (903) 234-56-78</v>
      </c>
      <c r="E529" t="str">
        <f>IF(ISBLANK(Клиенты_исходные!E529),"",IF(ISNUMBER(FIND(".",MID(Клиенты_исходные!E529,FIND("@",Клиенты_исходные!E529)+1,255))),Клиенты_исходные!E529,IF(ISNUMBER(FIND("gmail",Клиенты_исходные!E529)),Клиенты_исходные!E529&amp;".com",Клиенты_исходные!E529&amp;".ru")))</f>
        <v>chervyakov@gmail.com</v>
      </c>
      <c r="F529" t="str">
        <f>IFERROR(VLOOKUP(Клиенты_исходные!F529,Справочники!$J$2:$K$50,2,FALSE),Клиенты_исходные!F529)</f>
        <v>Уссурийск</v>
      </c>
      <c r="G529" s="8">
        <f>IFERROR(IF(ISNUMBER(FIND(".",Клиенты_исходные!G529)),DATE(RIGHT(Клиенты_исходные!G529,4),MID(Клиенты_исходные!G529,4,2),LEFT(Клиенты_исходные!G529,2)),DATE(LEFT(Клиенты_исходные!G529,4),MID(Клиенты_исходные!G529,6,2),RIGHT(Клиенты_исходные!G529,2))),Клиенты_исходные!G529)</f>
        <v>49897</v>
      </c>
      <c r="H529">
        <f t="shared" ca="1" si="70"/>
        <v>41</v>
      </c>
      <c r="I529" t="str">
        <f t="shared" si="71"/>
        <v>OK</v>
      </c>
      <c r="J529" t="str">
        <f t="shared" si="72"/>
        <v>OK</v>
      </c>
    </row>
    <row r="530">
      <c r="A530" t="str">
        <f>Клиенты_исходные!A530</f>
        <v>C0529</v>
      </c>
      <c r="B530" t="str">
        <f>PROPER(TRIM(Клиенты_исходные!B530))</f>
        <v xml:space="preserve">Потапова Екатерина Сергеевна</v>
      </c>
      <c r="C530" s="8">
        <f>IFERROR(IF(ISNUMBER(FIND(".",Клиенты_исходные!C530)),DATE(RIGHT(Клиенты_исходные!C530,4),MID(Клиенты_исходные!C530,4,2),LEFT(Клиенты_исходные!C530,2)),DATE(LEFT(Клиенты_исходные!C530,4),MID(Клиенты_исходные!C530,6,2),RIGHT(Клиенты_исходные!C530,2))),Клиенты_исходные!C530)</f>
        <v>28600</v>
      </c>
      <c r="D530" t="str">
        <f>IF(ISBLANK(Клиенты_исходные!D530),"",IF(LEN(SUBSTITUTE(SUBSTITUTE(SUBSTITUTE(SUBSTITUTE(SUBSTITUTE(Клиенты_исходные!D530," ",""),"-",""),"+",""),"(",""),")",""))=11,"+7 ("&amp;MID(IF(LEFT(SUBSTITUTE(SUBSTITUTE(SUBSTITUTE(SUBSTITUTE(SUBSTITUTE(Клиенты_исходные!D530," ",""),"-",""),"+",""),"(",""),")",""))="8","7"&amp;MID(SUBSTITUTE(SUBSTITUTE(SUBSTITUTE(SUBSTITUTE(SUBSTITUTE(Клиенты_исходные!D530," ",""),"-",""),"+",""),"(",""),")",""),2,10),SUBSTITUTE(SUBSTITUTE(SUBSTITUTE(SUBSTITUTE(SUBSTITUTE(Клиенты_исходные!D530," ",""),"-",""),"+",""),"(",""),")","")),2,3)&amp;") "&amp;MID(IF(LEFT(SUBSTITUTE(SUBSTITUTE(SUBSTITUTE(SUBSTITUTE(SUBSTITUTE(Клиенты_исходные!D530," ",""),"-",""),"+",""),"(",""),")",""))="8","7"&amp;MID(SUBSTITUTE(SUBSTITUTE(SUBSTITUTE(SUBSTITUTE(SUBSTITUTE(Клиенты_исходные!D530," ",""),"-",""),"+",""),"(",""),")",""),2,10),SUBSTITUTE(SUBSTITUTE(SUBSTITUTE(SUBSTITUTE(SUBSTITUTE(Клиенты_исходные!D530," ",""),"-",""),"+",""),"(",""),")","")),5,3)&amp;"-"&amp;MID(IF(LEFT(SUBSTITUTE(SUBSTITUTE(SUBSTITUTE(SUBSTITUTE(SUBSTITUTE(Клиенты_исходные!D530," ",""),"-",""),"+",""),"(",""),")",""))="8","7"&amp;MID(SUBSTITUTE(SUBSTITUTE(SUBSTITUTE(SUBSTITUTE(SUBSTITUTE(Клиенты_исходные!D530," ",""),"-",""),"+",""),"(",""),")",""),2,10),SUBSTITUTE(SUBSTITUTE(SUBSTITUTE(SUBSTITUTE(SUBSTITUTE(Клиенты_исходные!D530," ",""),"-",""),"+",""),"(",""),")","")),8,2)&amp;"-"&amp;MID(IF(LEFT(SUBSTITUTE(SUBSTITUTE(SUBSTITUTE(SUBSTITUTE(SUBSTITUTE(Клиенты_исходные!D530," ",""),"-",""),"+",""),"(",""),")",""))="8","7"&amp;MID(SUBSTITUTE(SUBSTITUTE(SUBSTITUTE(SUBSTITUTE(SUBSTITUTE(Клиенты_исходные!D530," ",""),"-",""),"+",""),"(",""),")",""),2,10),SUBSTITUTE(SUBSTITUTE(SUBSTITUTE(SUBSTITUTE(SUBSTITUTE(Клиенты_исходные!D530," ",""),"-",""),"+",""),"(",""),")","")),10,2),IF(LEN(SUBSTITUTE(SUBSTITUTE(SUBSTITUTE(SUBSTITUTE(SUBSTITUTE(Клиенты_исходные!D530," ",""),"-",""),"+",""),"(",""),")",""))=10,"+7 ("&amp;MID(SUBSTITUTE(SUBSTITUTE(SUBSTITUTE(SUBSTITUTE(SUBSTITUTE(Клиенты_исходные!D530," ",""),"-",""),"+",""),"(",""),")",""),1,3)&amp;") "&amp;MID(SUBSTITUTE(SUBSTITUTE(SUBSTITUTE(SUBSTITUTE(SUBSTITUTE(Клиенты_исходные!D530," ",""),"-",""),"+",""),"(",""),")",""),4,3)&amp;"-"&amp;MID(SUBSTITUTE(SUBSTITUTE(SUBSTITUTE(SUBSTITUTE(SUBSTITUTE(Клиенты_исходные!D530," ",""),"-",""),"+",""),"(",""),")",""),6,2)&amp;"-"&amp;MID(SUBSTITUTE(SUBSTITUTE(SUBSTITUTE(SUBSTITUTE(SUBSTITUTE(Клиенты_исходные!D530," ",""),"-",""),"+",""),"(",""),")",""),8,2),Клиенты_исходные!D530)))</f>
        <v xml:space="preserve">+7 (903) 234-56-78</v>
      </c>
      <c r="E530" t="str">
        <f>IF(ISBLANK(Клиенты_исходные!E530),"",IF(ISNUMBER(FIND(".",MID(Клиенты_исходные!E530,FIND("@",Клиенты_исходные!E530)+1,255))),Клиенты_исходные!E530,IF(ISNUMBER(FIND("gmail",Клиенты_исходные!E530)),Клиенты_исходные!E530&amp;".com",Клиенты_исходные!E530&amp;".ru")))</f>
        <v>potapova@mail.ru</v>
      </c>
      <c r="F530" t="str">
        <f>IFERROR(VLOOKUP(Клиенты_исходные!F530,Справочники!$J$2:$K$50,2,FALSE),Клиенты_исходные!F530)</f>
        <v>Миасс</v>
      </c>
      <c r="G530" s="8">
        <f>IFERROR(IF(ISNUMBER(FIND(".",Клиенты_исходные!G530)),DATE(RIGHT(Клиенты_исходные!G530,4),MID(Клиенты_исходные!G530,4,2),LEFT(Клиенты_исходные!G530,2)),DATE(LEFT(Клиенты_исходные!G530,4),MID(Клиенты_исходные!G530,6,2),RIGHT(Клиенты_исходные!G530,2))),Клиенты_исходные!G530)</f>
        <v>49919</v>
      </c>
      <c r="H530">
        <f t="shared" ca="1" si="70"/>
        <v>48</v>
      </c>
      <c r="I530" t="str">
        <f t="shared" si="71"/>
        <v>OK</v>
      </c>
      <c r="J530" t="str">
        <f t="shared" si="72"/>
        <v>OK</v>
      </c>
    </row>
    <row r="531">
      <c r="A531" t="str">
        <f>Клиенты_исходные!A531</f>
        <v>C0530</v>
      </c>
      <c r="B531" t="str">
        <f>PROPER(TRIM(Клиенты_исходные!B531))</f>
        <v xml:space="preserve">Рогов Андрей Викторович</v>
      </c>
      <c r="C531" s="8">
        <f>IFERROR(IF(ISNUMBER(FIND(".",Клиенты_исходные!C531)),DATE(RIGHT(Клиенты_исходные!C531,4),MID(Клиенты_исходные!C531,4,2),LEFT(Клиенты_исходные!C531,2)),DATE(LEFT(Клиенты_исходные!C531,4),MID(Клиенты_исходные!C531,6,2),RIGHT(Клиенты_исходные!C531,2))),Клиенты_исходные!C531)</f>
        <v>31031</v>
      </c>
      <c r="D531" t="str">
        <f>IF(ISBLANK(Клиенты_исходные!D531),"",IF(LEN(SUBSTITUTE(SUBSTITUTE(SUBSTITUTE(SUBSTITUTE(SUBSTITUTE(Клиенты_исходные!D531," ",""),"-",""),"+",""),"(",""),")",""))=11,"+7 ("&amp;MID(IF(LEFT(SUBSTITUTE(SUBSTITUTE(SUBSTITUTE(SUBSTITUTE(SUBSTITUTE(Клиенты_исходные!D531," ",""),"-",""),"+",""),"(",""),")",""))="8","7"&amp;MID(SUBSTITUTE(SUBSTITUTE(SUBSTITUTE(SUBSTITUTE(SUBSTITUTE(Клиенты_исходные!D531," ",""),"-",""),"+",""),"(",""),")",""),2,10),SUBSTITUTE(SUBSTITUTE(SUBSTITUTE(SUBSTITUTE(SUBSTITUTE(Клиенты_исходные!D531," ",""),"-",""),"+",""),"(",""),")","")),2,3)&amp;") "&amp;MID(IF(LEFT(SUBSTITUTE(SUBSTITUTE(SUBSTITUTE(SUBSTITUTE(SUBSTITUTE(Клиенты_исходные!D531," ",""),"-",""),"+",""),"(",""),")",""))="8","7"&amp;MID(SUBSTITUTE(SUBSTITUTE(SUBSTITUTE(SUBSTITUTE(SUBSTITUTE(Клиенты_исходные!D531," ",""),"-",""),"+",""),"(",""),")",""),2,10),SUBSTITUTE(SUBSTITUTE(SUBSTITUTE(SUBSTITUTE(SUBSTITUTE(Клиенты_исходные!D531," ",""),"-",""),"+",""),"(",""),")","")),5,3)&amp;"-"&amp;MID(IF(LEFT(SUBSTITUTE(SUBSTITUTE(SUBSTITUTE(SUBSTITUTE(SUBSTITUTE(Клиенты_исходные!D531," ",""),"-",""),"+",""),"(",""),")",""))="8","7"&amp;MID(SUBSTITUTE(SUBSTITUTE(SUBSTITUTE(SUBSTITUTE(SUBSTITUTE(Клиенты_исходные!D531," ",""),"-",""),"+",""),"(",""),")",""),2,10),SUBSTITUTE(SUBSTITUTE(SUBSTITUTE(SUBSTITUTE(SUBSTITUTE(Клиенты_исходные!D531," ",""),"-",""),"+",""),"(",""),")","")),8,2)&amp;"-"&amp;MID(IF(LEFT(SUBSTITUTE(SUBSTITUTE(SUBSTITUTE(SUBSTITUTE(SUBSTITUTE(Клиенты_исходные!D531," ",""),"-",""),"+",""),"(",""),")",""))="8","7"&amp;MID(SUBSTITUTE(SUBSTITUTE(SUBSTITUTE(SUBSTITUTE(SUBSTITUTE(Клиенты_исходные!D531," ",""),"-",""),"+",""),"(",""),")",""),2,10),SUBSTITUTE(SUBSTITUTE(SUBSTITUTE(SUBSTITUTE(SUBSTITUTE(Клиенты_исходные!D531," ",""),"-",""),"+",""),"(",""),")","")),10,2),IF(LEN(SUBSTITUTE(SUBSTITUTE(SUBSTITUTE(SUBSTITUTE(SUBSTITUTE(Клиенты_исходные!D531," ",""),"-",""),"+",""),"(",""),")",""))=10,"+7 ("&amp;MID(SUBSTITUTE(SUBSTITUTE(SUBSTITUTE(SUBSTITUTE(SUBSTITUTE(Клиенты_исходные!D531," ",""),"-",""),"+",""),"(",""),")",""),1,3)&amp;") "&amp;MID(SUBSTITUTE(SUBSTITUTE(SUBSTITUTE(SUBSTITUTE(SUBSTITUTE(Клиенты_исходные!D531," ",""),"-",""),"+",""),"(",""),")",""),4,3)&amp;"-"&amp;MID(SUBSTITUTE(SUBSTITUTE(SUBSTITUTE(SUBSTITUTE(SUBSTITUTE(Клиенты_исходные!D531," ",""),"-",""),"+",""),"(",""),")",""),6,2)&amp;"-"&amp;MID(SUBSTITUTE(SUBSTITUTE(SUBSTITUTE(SUBSTITUTE(SUBSTITUTE(Клиенты_исходные!D531," ",""),"-",""),"+",""),"(",""),")",""),8,2),Клиенты_исходные!D531)))</f>
        <v xml:space="preserve">+7 (903) 234-56-78</v>
      </c>
      <c r="E531" t="str">
        <f>IF(ISBLANK(Клиенты_исходные!E531),"",IF(ISNUMBER(FIND(".",MID(Клиенты_исходные!E531,FIND("@",Клиенты_исходные!E531)+1,255))),Клиенты_исходные!E531,IF(ISNUMBER(FIND("gmail",Клиенты_исходные!E531)),Клиенты_исходные!E531&amp;".com",Клиенты_исходные!E531&amp;".ru")))</f>
        <v>rogov@yandex.ru</v>
      </c>
      <c r="F531" t="str">
        <f>IFERROR(VLOOKUP(Клиенты_исходные!F531,Справочники!$J$2:$K$50,2,FALSE),Клиенты_исходные!F531)</f>
        <v>Кызыл</v>
      </c>
      <c r="G531" s="8">
        <f>IFERROR(IF(ISNUMBER(FIND(".",Клиенты_исходные!G531)),DATE(RIGHT(Клиенты_исходные!G531,4),MID(Клиенты_исходные!G531,4,2),LEFT(Клиенты_исходные!G531,2)),DATE(LEFT(Клиенты_исходные!G531,4),MID(Клиенты_исходные!G531,6,2),RIGHT(Клиенты_исходные!G531,2))),Клиенты_исходные!G531)</f>
        <v>49933</v>
      </c>
      <c r="H531">
        <f t="shared" ca="1" si="70"/>
        <v>41</v>
      </c>
      <c r="I531" t="str">
        <f t="shared" si="71"/>
        <v>OK</v>
      </c>
      <c r="J531" t="str">
        <f t="shared" si="72"/>
        <v>OK</v>
      </c>
    </row>
    <row r="532">
      <c r="A532" t="str">
        <f>Клиенты_исходные!A532</f>
        <v>C0531</v>
      </c>
      <c r="B532" t="str">
        <f>PROPER(TRIM(Клиенты_исходные!B532))</f>
        <v xml:space="preserve">Беспалова Мария Олеговна</v>
      </c>
      <c r="C532" s="8">
        <f>IFERROR(IF(ISNUMBER(FIND(".",Клиенты_исходные!C532)),DATE(RIGHT(Клиенты_исходные!C532,4),MID(Клиенты_исходные!C532,4,2),LEFT(Клиенты_исходные!C532,2)),DATE(LEFT(Клиенты_исходные!C532,4),MID(Клиенты_исходные!C532,6,2),RIGHT(Клиенты_исходные!C532,2))),Клиенты_исходные!C532)</f>
        <v>32762</v>
      </c>
      <c r="D532" t="str">
        <f>IF(ISBLANK(Клиенты_исходные!D532),"",IF(LEN(SUBSTITUTE(SUBSTITUTE(SUBSTITUTE(SUBSTITUTE(SUBSTITUTE(Клиенты_исходные!D532," ",""),"-",""),"+",""),"(",""),")",""))=11,"+7 ("&amp;MID(IF(LEFT(SUBSTITUTE(SUBSTITUTE(SUBSTITUTE(SUBSTITUTE(SUBSTITUTE(Клиенты_исходные!D532," ",""),"-",""),"+",""),"(",""),")",""))="8","7"&amp;MID(SUBSTITUTE(SUBSTITUTE(SUBSTITUTE(SUBSTITUTE(SUBSTITUTE(Клиенты_исходные!D532," ",""),"-",""),"+",""),"(",""),")",""),2,10),SUBSTITUTE(SUBSTITUTE(SUBSTITUTE(SUBSTITUTE(SUBSTITUTE(Клиенты_исходные!D532," ",""),"-",""),"+",""),"(",""),")","")),2,3)&amp;") "&amp;MID(IF(LEFT(SUBSTITUTE(SUBSTITUTE(SUBSTITUTE(SUBSTITUTE(SUBSTITUTE(Клиенты_исходные!D532," ",""),"-",""),"+",""),"(",""),")",""))="8","7"&amp;MID(SUBSTITUTE(SUBSTITUTE(SUBSTITUTE(SUBSTITUTE(SUBSTITUTE(Клиенты_исходные!D532," ",""),"-",""),"+",""),"(",""),")",""),2,10),SUBSTITUTE(SUBSTITUTE(SUBSTITUTE(SUBSTITUTE(SUBSTITUTE(Клиенты_исходные!D532," ",""),"-",""),"+",""),"(",""),")","")),5,3)&amp;"-"&amp;MID(IF(LEFT(SUBSTITUTE(SUBSTITUTE(SUBSTITUTE(SUBSTITUTE(SUBSTITUTE(Клиенты_исходные!D532," ",""),"-",""),"+",""),"(",""),")",""))="8","7"&amp;MID(SUBSTITUTE(SUBSTITUTE(SUBSTITUTE(SUBSTITUTE(SUBSTITUTE(Клиенты_исходные!D532," ",""),"-",""),"+",""),"(",""),")",""),2,10),SUBSTITUTE(SUBSTITUTE(SUBSTITUTE(SUBSTITUTE(SUBSTITUTE(Клиенты_исходные!D532," ",""),"-",""),"+",""),"(",""),")","")),8,2)&amp;"-"&amp;MID(IF(LEFT(SUBSTITUTE(SUBSTITUTE(SUBSTITUTE(SUBSTITUTE(SUBSTITUTE(Клиенты_исходные!D532," ",""),"-",""),"+",""),"(",""),")",""))="8","7"&amp;MID(SUBSTITUTE(SUBSTITUTE(SUBSTITUTE(SUBSTITUTE(SUBSTITUTE(Клиенты_исходные!D532," ",""),"-",""),"+",""),"(",""),")",""),2,10),SUBSTITUTE(SUBSTITUTE(SUBSTITUTE(SUBSTITUTE(SUBSTITUTE(Клиенты_исходные!D532," ",""),"-",""),"+",""),"(",""),")","")),10,2),IF(LEN(SUBSTITUTE(SUBSTITUTE(SUBSTITUTE(SUBSTITUTE(SUBSTITUTE(Клиенты_исходные!D532," ",""),"-",""),"+",""),"(",""),")",""))=10,"+7 ("&amp;MID(SUBSTITUTE(SUBSTITUTE(SUBSTITUTE(SUBSTITUTE(SUBSTITUTE(Клиенты_исходные!D532," ",""),"-",""),"+",""),"(",""),")",""),1,3)&amp;") "&amp;MID(SUBSTITUTE(SUBSTITUTE(SUBSTITUTE(SUBSTITUTE(SUBSTITUTE(Клиенты_исходные!D532," ",""),"-",""),"+",""),"(",""),")",""),4,3)&amp;"-"&amp;MID(SUBSTITUTE(SUBSTITUTE(SUBSTITUTE(SUBSTITUTE(SUBSTITUTE(Клиенты_исходные!D532," ",""),"-",""),"+",""),"(",""),")",""),6,2)&amp;"-"&amp;MID(SUBSTITUTE(SUBSTITUTE(SUBSTITUTE(SUBSTITUTE(SUBSTITUTE(Клиенты_исходные!D532," ",""),"-",""),"+",""),"(",""),")",""),8,2),Клиенты_исходные!D532)))</f>
        <v xml:space="preserve">+7 (903) 345-67-89</v>
      </c>
      <c r="E532" t="str">
        <f>IF(ISBLANK(Клиенты_исходные!E532),"",IF(ISNUMBER(FIND(".",MID(Клиенты_исходные!E532,FIND("@",Клиенты_исходные!E532)+1,255))),Клиенты_исходные!E532,IF(ISNUMBER(FIND("gmail",Клиенты_исходные!E532)),Клиенты_исходные!E532&amp;".com",Клиенты_исходные!E532&amp;".ru")))</f>
        <v>bespalova@gmail.com</v>
      </c>
      <c r="F532" t="str">
        <f>IFERROR(VLOOKUP(Клиенты_исходные!F532,Справочники!$J$2:$K$50,2,FALSE),Клиенты_исходные!F532)</f>
        <v>Калининград</v>
      </c>
      <c r="G532" s="8">
        <f>IFERROR(IF(ISNUMBER(FIND(".",Клиенты_исходные!G532)),DATE(RIGHT(Клиенты_исходные!G532,4),MID(Клиенты_исходные!G532,4,2),LEFT(Клиенты_исходные!G532,2)),DATE(LEFT(Клиенты_исходные!G532,4),MID(Клиенты_исходные!G532,6,2),RIGHT(Клиенты_исходные!G532,2))),Клиенты_исходные!G532)</f>
        <v>49933</v>
      </c>
      <c r="H532">
        <f t="shared" ca="1" si="70"/>
        <v>37</v>
      </c>
      <c r="I532" t="str">
        <f t="shared" si="71"/>
        <v>OK</v>
      </c>
      <c r="J532" t="str">
        <f t="shared" si="72"/>
        <v>OK</v>
      </c>
    </row>
    <row r="533">
      <c r="A533" t="str">
        <f>Клиенты_исходные!A533</f>
        <v>C0532</v>
      </c>
      <c r="B533" t="str">
        <f>PROPER(TRIM(Клиенты_исходные!B533))</f>
        <v xml:space="preserve">Окунев Денис Павлович</v>
      </c>
      <c r="C533" s="8">
        <f>IFERROR(IF(ISNUMBER(FIND(".",Клиенты_исходные!C533)),DATE(RIGHT(Клиенты_исходные!C533,4),MID(Клиенты_исходные!C533,4,2),LEFT(Клиенты_исходные!C533,2)),DATE(LEFT(Клиенты_исходные!C533,4),MID(Клиенты_исходные!C533,6,2),RIGHT(Клиенты_исходные!C533,2))),Клиенты_исходные!C533)</f>
        <v>27428</v>
      </c>
      <c r="D533" t="str">
        <f>IF(ISBLANK(Клиенты_исходные!D533),"",IF(LEN(SUBSTITUTE(SUBSTITUTE(SUBSTITUTE(SUBSTITUTE(SUBSTITUTE(Клиенты_исходные!D533," ",""),"-",""),"+",""),"(",""),")",""))=11,"+7 ("&amp;MID(IF(LEFT(SUBSTITUTE(SUBSTITUTE(SUBSTITUTE(SUBSTITUTE(SUBSTITUTE(Клиенты_исходные!D533," ",""),"-",""),"+",""),"(",""),")",""))="8","7"&amp;MID(SUBSTITUTE(SUBSTITUTE(SUBSTITUTE(SUBSTITUTE(SUBSTITUTE(Клиенты_исходные!D533," ",""),"-",""),"+",""),"(",""),")",""),2,10),SUBSTITUTE(SUBSTITUTE(SUBSTITUTE(SUBSTITUTE(SUBSTITUTE(Клиенты_исходные!D533," ",""),"-",""),"+",""),"(",""),")","")),2,3)&amp;") "&amp;MID(IF(LEFT(SUBSTITUTE(SUBSTITUTE(SUBSTITUTE(SUBSTITUTE(SUBSTITUTE(Клиенты_исходные!D533," ",""),"-",""),"+",""),"(",""),")",""))="8","7"&amp;MID(SUBSTITUTE(SUBSTITUTE(SUBSTITUTE(SUBSTITUTE(SUBSTITUTE(Клиенты_исходные!D533," ",""),"-",""),"+",""),"(",""),")",""),2,10),SUBSTITUTE(SUBSTITUTE(SUBSTITUTE(SUBSTITUTE(SUBSTITUTE(Клиенты_исходные!D533," ",""),"-",""),"+",""),"(",""),")","")),5,3)&amp;"-"&amp;MID(IF(LEFT(SUBSTITUTE(SUBSTITUTE(SUBSTITUTE(SUBSTITUTE(SUBSTITUTE(Клиенты_исходные!D533," ",""),"-",""),"+",""),"(",""),")",""))="8","7"&amp;MID(SUBSTITUTE(SUBSTITUTE(SUBSTITUTE(SUBSTITUTE(SUBSTITUTE(Клиенты_исходные!D533," ",""),"-",""),"+",""),"(",""),")",""),2,10),SUBSTITUTE(SUBSTITUTE(SUBSTITUTE(SUBSTITUTE(SUBSTITUTE(Клиенты_исходные!D533," ",""),"-",""),"+",""),"(",""),")","")),8,2)&amp;"-"&amp;MID(IF(LEFT(SUBSTITUTE(SUBSTITUTE(SUBSTITUTE(SUBSTITUTE(SUBSTITUTE(Клиенты_исходные!D533," ",""),"-",""),"+",""),"(",""),")",""))="8","7"&amp;MID(SUBSTITUTE(SUBSTITUTE(SUBSTITUTE(SUBSTITUTE(SUBSTITUTE(Клиенты_исходные!D533," ",""),"-",""),"+",""),"(",""),")",""),2,10),SUBSTITUTE(SUBSTITUTE(SUBSTITUTE(SUBSTITUTE(SUBSTITUTE(Клиенты_исходные!D533," ",""),"-",""),"+",""),"(",""),")","")),10,2),IF(LEN(SUBSTITUTE(SUBSTITUTE(SUBSTITUTE(SUBSTITUTE(SUBSTITUTE(Клиенты_исходные!D533," ",""),"-",""),"+",""),"(",""),")",""))=10,"+7 ("&amp;MID(SUBSTITUTE(SUBSTITUTE(SUBSTITUTE(SUBSTITUTE(SUBSTITUTE(Клиенты_исходные!D533," ",""),"-",""),"+",""),"(",""),")",""),1,3)&amp;") "&amp;MID(SUBSTITUTE(SUBSTITUTE(SUBSTITUTE(SUBSTITUTE(SUBSTITUTE(Клиенты_исходные!D533," ",""),"-",""),"+",""),"(",""),")",""),4,3)&amp;"-"&amp;MID(SUBSTITUTE(SUBSTITUTE(SUBSTITUTE(SUBSTITUTE(SUBSTITUTE(Клиенты_исходные!D533," ",""),"-",""),"+",""),"(",""),")",""),6,2)&amp;"-"&amp;MID(SUBSTITUTE(SUBSTITUTE(SUBSTITUTE(SUBSTITUTE(SUBSTITUTE(Клиенты_исходные!D533," ",""),"-",""),"+",""),"(",""),")",""),8,2),Клиенты_исходные!D533)))</f>
        <v xml:space="preserve">+7 (903) 345-67-89</v>
      </c>
      <c r="E533" t="str">
        <f>IF(ISBLANK(Клиенты_исходные!E533),"",IF(ISNUMBER(FIND(".",MID(Клиенты_исходные!E533,FIND("@",Клиенты_исходные!E533)+1,255))),Клиенты_исходные!E533,IF(ISNUMBER(FIND("gmail",Клиенты_исходные!E533)),Клиенты_исходные!E533&amp;".com",Клиенты_исходные!E533&amp;".ru")))</f>
        <v>okunev@mail.ru</v>
      </c>
      <c r="F533" t="str">
        <f>IFERROR(VLOOKUP(Клиенты_исходные!F533,Справочники!$J$2:$K$50,2,FALSE),Клиенты_исходные!F533)</f>
        <v>Петрозаводск</v>
      </c>
      <c r="G533" s="8">
        <f>IFERROR(IF(ISNUMBER(FIND(".",Клиенты_исходные!G533)),DATE(RIGHT(Клиенты_исходные!G533,4),MID(Клиенты_исходные!G533,4,2),LEFT(Клиенты_исходные!G533,2)),DATE(LEFT(Клиенты_исходные!G533,4),MID(Клиенты_исходные!G533,6,2),RIGHT(Клиенты_исходные!G533,2))),Клиенты_исходные!G533)</f>
        <v>49949</v>
      </c>
      <c r="H533">
        <f t="shared" ca="1" si="70"/>
        <v>51</v>
      </c>
      <c r="I533" t="str">
        <f t="shared" si="71"/>
        <v>OK</v>
      </c>
      <c r="J533" t="str">
        <f t="shared" si="72"/>
        <v>OK</v>
      </c>
    </row>
    <row r="534">
      <c r="A534" t="str">
        <f>Клиенты_исходные!A534</f>
        <v>C0533</v>
      </c>
      <c r="B534" t="str">
        <f>PROPER(TRIM(Клиенты_исходные!B534))</f>
        <v xml:space="preserve">Панова Ольга Владимировна</v>
      </c>
      <c r="C534" s="8">
        <f>IFERROR(IF(ISNUMBER(FIND(".",Клиенты_исходные!C534)),DATE(RIGHT(Клиенты_исходные!C534,4),MID(Клиенты_исходные!C534,4,2),LEFT(Клиенты_исходные!C534,2)),DATE(LEFT(Клиенты_исходные!C534,4),MID(Клиенты_исходные!C534,6,2),RIGHT(Клиенты_исходные!C534,2))),Клиенты_исходные!C534)</f>
        <v>30615</v>
      </c>
      <c r="D534" t="str">
        <f>IF(ISBLANK(Клиенты_исходные!D534),"",IF(LEN(SUBSTITUTE(SUBSTITUTE(SUBSTITUTE(SUBSTITUTE(SUBSTITUTE(Клиенты_исходные!D534," ",""),"-",""),"+",""),"(",""),")",""))=11,"+7 ("&amp;MID(IF(LEFT(SUBSTITUTE(SUBSTITUTE(SUBSTITUTE(SUBSTITUTE(SUBSTITUTE(Клиенты_исходные!D534," ",""),"-",""),"+",""),"(",""),")",""))="8","7"&amp;MID(SUBSTITUTE(SUBSTITUTE(SUBSTITUTE(SUBSTITUTE(SUBSTITUTE(Клиенты_исходные!D534," ",""),"-",""),"+",""),"(",""),")",""),2,10),SUBSTITUTE(SUBSTITUTE(SUBSTITUTE(SUBSTITUTE(SUBSTITUTE(Клиенты_исходные!D534," ",""),"-",""),"+",""),"(",""),")","")),2,3)&amp;") "&amp;MID(IF(LEFT(SUBSTITUTE(SUBSTITUTE(SUBSTITUTE(SUBSTITUTE(SUBSTITUTE(Клиенты_исходные!D534," ",""),"-",""),"+",""),"(",""),")",""))="8","7"&amp;MID(SUBSTITUTE(SUBSTITUTE(SUBSTITUTE(SUBSTITUTE(SUBSTITUTE(Клиенты_исходные!D534," ",""),"-",""),"+",""),"(",""),")",""),2,10),SUBSTITUTE(SUBSTITUTE(SUBSTITUTE(SUBSTITUTE(SUBSTITUTE(Клиенты_исходные!D534," ",""),"-",""),"+",""),"(",""),")","")),5,3)&amp;"-"&amp;MID(IF(LEFT(SUBSTITUTE(SUBSTITUTE(SUBSTITUTE(SUBSTITUTE(SUBSTITUTE(Клиенты_исходные!D534," ",""),"-",""),"+",""),"(",""),")",""))="8","7"&amp;MID(SUBSTITUTE(SUBSTITUTE(SUBSTITUTE(SUBSTITUTE(SUBSTITUTE(Клиенты_исходные!D534," ",""),"-",""),"+",""),"(",""),")",""),2,10),SUBSTITUTE(SUBSTITUTE(SUBSTITUTE(SUBSTITUTE(SUBSTITUTE(Клиенты_исходные!D534," ",""),"-",""),"+",""),"(",""),")","")),8,2)&amp;"-"&amp;MID(IF(LEFT(SUBSTITUTE(SUBSTITUTE(SUBSTITUTE(SUBSTITUTE(SUBSTITUTE(Клиенты_исходные!D534," ",""),"-",""),"+",""),"(",""),")",""))="8","7"&amp;MID(SUBSTITUTE(SUBSTITUTE(SUBSTITUTE(SUBSTITUTE(SUBSTITUTE(Клиенты_исходные!D534," ",""),"-",""),"+",""),"(",""),")",""),2,10),SUBSTITUTE(SUBSTITUTE(SUBSTITUTE(SUBSTITUTE(SUBSTITUTE(Клиенты_исходные!D534," ",""),"-",""),"+",""),"(",""),")","")),10,2),IF(LEN(SUBSTITUTE(SUBSTITUTE(SUBSTITUTE(SUBSTITUTE(SUBSTITUTE(Клиенты_исходные!D534," ",""),"-",""),"+",""),"(",""),")",""))=10,"+7 ("&amp;MID(SUBSTITUTE(SUBSTITUTE(SUBSTITUTE(SUBSTITUTE(SUBSTITUTE(Клиенты_исходные!D534," ",""),"-",""),"+",""),"(",""),")",""),1,3)&amp;") "&amp;MID(SUBSTITUTE(SUBSTITUTE(SUBSTITUTE(SUBSTITUTE(SUBSTITUTE(Клиенты_исходные!D534," ",""),"-",""),"+",""),"(",""),")",""),4,3)&amp;"-"&amp;MID(SUBSTITUTE(SUBSTITUTE(SUBSTITUTE(SUBSTITUTE(SUBSTITUTE(Клиенты_исходные!D534," ",""),"-",""),"+",""),"(",""),")",""),6,2)&amp;"-"&amp;MID(SUBSTITUTE(SUBSTITUTE(SUBSTITUTE(SUBSTITUTE(SUBSTITUTE(Клиенты_исходные!D534," ",""),"-",""),"+",""),"(",""),")",""),8,2),Клиенты_исходные!D534)))</f>
        <v xml:space="preserve">+7 (903) 345-67-89</v>
      </c>
      <c r="E534" t="str">
        <f>IF(ISBLANK(Клиенты_исходные!E534),"",IF(ISNUMBER(FIND(".",MID(Клиенты_исходные!E534,FIND("@",Клиенты_исходные!E534)+1,255))),Клиенты_исходные!E534,IF(ISNUMBER(FIND("gmail",Клиенты_исходные!E534)),Клиенты_исходные!E534&amp;".com",Клиенты_исходные!E534&amp;".ru")))</f>
        <v>panova@yandex.ru</v>
      </c>
      <c r="F534" t="str">
        <f>IFERROR(VLOOKUP(Клиенты_исходные!F534,Справочники!$J$2:$K$50,2,FALSE),Клиенты_исходные!F534)</f>
        <v>Рубцовск</v>
      </c>
      <c r="G534" s="8">
        <f>IFERROR(IF(ISNUMBER(FIND(".",Клиенты_исходные!G534)),DATE(RIGHT(Клиенты_исходные!G534,4),MID(Клиенты_исходные!G534,4,2),LEFT(Клиенты_исходные!G534,2)),DATE(LEFT(Клиенты_исходные!G534,4),MID(Клиенты_исходные!G534,6,2),RIGHT(Клиенты_исходные!G534,2))),Клиенты_исходные!G534)</f>
        <v>49958</v>
      </c>
      <c r="H534">
        <f t="shared" ca="1" si="70"/>
        <v>42</v>
      </c>
      <c r="I534" t="str">
        <f t="shared" si="71"/>
        <v>OK</v>
      </c>
      <c r="J534" t="str">
        <f t="shared" si="72"/>
        <v>OK</v>
      </c>
    </row>
    <row r="535">
      <c r="A535" t="str">
        <f>Клиенты_исходные!A535</f>
        <v>C0534</v>
      </c>
      <c r="B535" t="str">
        <f>PROPER(TRIM(Клиенты_исходные!B535))</f>
        <v xml:space="preserve">Житков Илья Сергеевич</v>
      </c>
      <c r="C535" s="8">
        <f>IFERROR(IF(ISNUMBER(FIND(".",Клиенты_исходные!C535)),DATE(RIGHT(Клиенты_исходные!C535,4),MID(Клиенты_исходные!C535,4,2),LEFT(Клиенты_исходные!C535,2)),DATE(LEFT(Клиенты_исходные!C535,4),MID(Клиенты_исходные!C535,6,2),RIGHT(Клиенты_исходные!C535,2))),Клиенты_исходные!C535)</f>
        <v>33406</v>
      </c>
      <c r="D535" t="str">
        <f>IF(ISBLANK(Клиенты_исходные!D535),"",IF(LEN(SUBSTITUTE(SUBSTITUTE(SUBSTITUTE(SUBSTITUTE(SUBSTITUTE(Клиенты_исходные!D535," ",""),"-",""),"+",""),"(",""),")",""))=11,"+7 ("&amp;MID(IF(LEFT(SUBSTITUTE(SUBSTITUTE(SUBSTITUTE(SUBSTITUTE(SUBSTITUTE(Клиенты_исходные!D535," ",""),"-",""),"+",""),"(",""),")",""))="8","7"&amp;MID(SUBSTITUTE(SUBSTITUTE(SUBSTITUTE(SUBSTITUTE(SUBSTITUTE(Клиенты_исходные!D535," ",""),"-",""),"+",""),"(",""),")",""),2,10),SUBSTITUTE(SUBSTITUTE(SUBSTITUTE(SUBSTITUTE(SUBSTITUTE(Клиенты_исходные!D535," ",""),"-",""),"+",""),"(",""),")","")),2,3)&amp;") "&amp;MID(IF(LEFT(SUBSTITUTE(SUBSTITUTE(SUBSTITUTE(SUBSTITUTE(SUBSTITUTE(Клиенты_исходные!D535," ",""),"-",""),"+",""),"(",""),")",""))="8","7"&amp;MID(SUBSTITUTE(SUBSTITUTE(SUBSTITUTE(SUBSTITUTE(SUBSTITUTE(Клиенты_исходные!D535," ",""),"-",""),"+",""),"(",""),")",""),2,10),SUBSTITUTE(SUBSTITUTE(SUBSTITUTE(SUBSTITUTE(SUBSTITUTE(Клиенты_исходные!D535," ",""),"-",""),"+",""),"(",""),")","")),5,3)&amp;"-"&amp;MID(IF(LEFT(SUBSTITUTE(SUBSTITUTE(SUBSTITUTE(SUBSTITUTE(SUBSTITUTE(Клиенты_исходные!D535," ",""),"-",""),"+",""),"(",""),")",""))="8","7"&amp;MID(SUBSTITUTE(SUBSTITUTE(SUBSTITUTE(SUBSTITUTE(SUBSTITUTE(Клиенты_исходные!D535," ",""),"-",""),"+",""),"(",""),")",""),2,10),SUBSTITUTE(SUBSTITUTE(SUBSTITUTE(SUBSTITUTE(SUBSTITUTE(Клиенты_исходные!D535," ",""),"-",""),"+",""),"(",""),")","")),8,2)&amp;"-"&amp;MID(IF(LEFT(SUBSTITUTE(SUBSTITUTE(SUBSTITUTE(SUBSTITUTE(SUBSTITUTE(Клиенты_исходные!D535," ",""),"-",""),"+",""),"(",""),")",""))="8","7"&amp;MID(SUBSTITUTE(SUBSTITUTE(SUBSTITUTE(SUBSTITUTE(SUBSTITUTE(Клиенты_исходные!D535," ",""),"-",""),"+",""),"(",""),")",""),2,10),SUBSTITUTE(SUBSTITUTE(SUBSTITUTE(SUBSTITUTE(SUBSTITUTE(Клиенты_исходные!D535," ",""),"-",""),"+",""),"(",""),")","")),10,2),IF(LEN(SUBSTITUTE(SUBSTITUTE(SUBSTITUTE(SUBSTITUTE(SUBSTITUTE(Клиенты_исходные!D535," ",""),"-",""),"+",""),"(",""),")",""))=10,"+7 ("&amp;MID(SUBSTITUTE(SUBSTITUTE(SUBSTITUTE(SUBSTITUTE(SUBSTITUTE(Клиенты_исходные!D535," ",""),"-",""),"+",""),"(",""),")",""),1,3)&amp;") "&amp;MID(SUBSTITUTE(SUBSTITUTE(SUBSTITUTE(SUBSTITUTE(SUBSTITUTE(Клиенты_исходные!D535," ",""),"-",""),"+",""),"(",""),")",""),4,3)&amp;"-"&amp;MID(SUBSTITUTE(SUBSTITUTE(SUBSTITUTE(SUBSTITUTE(SUBSTITUTE(Клиенты_исходные!D535," ",""),"-",""),"+",""),"(",""),")",""),6,2)&amp;"-"&amp;MID(SUBSTITUTE(SUBSTITUTE(SUBSTITUTE(SUBSTITUTE(SUBSTITUTE(Клиенты_исходные!D535," ",""),"-",""),"+",""),"(",""),")",""),8,2),Клиенты_исходные!D535)))</f>
        <v xml:space="preserve">+7 (903) 456-78-90</v>
      </c>
      <c r="E535" t="str">
        <f>IF(ISBLANK(Клиенты_исходные!E535),"",IF(ISNUMBER(FIND(".",MID(Клиенты_исходные!E535,FIND("@",Клиенты_исходные!E535)+1,255))),Клиенты_исходные!E535,IF(ISNUMBER(FIND("gmail",Клиенты_исходные!E535)),Клиенты_исходные!E535&amp;".com",Клиенты_исходные!E535&amp;".ru")))</f>
        <v>zhitkov@gmail.com</v>
      </c>
      <c r="F535" t="str">
        <f>IFERROR(VLOOKUP(Клиенты_исходные!F535,Справочники!$J$2:$K$50,2,FALSE),Клиенты_исходные!F535)</f>
        <v>Элиста</v>
      </c>
      <c r="G535" s="8">
        <f>IFERROR(IF(ISNUMBER(FIND(".",Клиенты_исходные!G535)),DATE(RIGHT(Клиенты_исходные!G535,4),MID(Клиенты_исходные!G535,4,2),LEFT(Клиенты_исходные!G535,2)),DATE(LEFT(Клиенты_исходные!G535,4),MID(Клиенты_исходные!G535,6,2),RIGHT(Клиенты_исходные!G535,2))),Клиенты_исходные!G535)</f>
        <v>49958</v>
      </c>
      <c r="H535">
        <f t="shared" ca="1" si="70"/>
        <v>35</v>
      </c>
      <c r="I535" t="str">
        <f t="shared" si="71"/>
        <v>OK</v>
      </c>
      <c r="J535" t="str">
        <f t="shared" si="72"/>
        <v>OK</v>
      </c>
    </row>
    <row r="536">
      <c r="A536" t="str">
        <f>Клиенты_исходные!A536</f>
        <v>C0535</v>
      </c>
      <c r="B536" t="str">
        <f>PROPER(TRIM(Клиенты_исходные!B536))</f>
        <v xml:space="preserve">Кузьмичева Екатерина Алексеевна</v>
      </c>
      <c r="C536" s="8">
        <f>IFERROR(IF(ISNUMBER(FIND(".",Клиенты_исходные!C536)),DATE(RIGHT(Клиенты_исходные!C536,4),MID(Клиенты_исходные!C536,4,2),LEFT(Клиенты_исходные!C536,2)),DATE(LEFT(Клиенты_исходные!C536,4),MID(Клиенты_исходные!C536,6,2),RIGHT(Клиенты_исходные!C536,2))),Клиенты_исходные!C536)</f>
        <v>28922</v>
      </c>
      <c r="D536" t="str">
        <f>IF(ISBLANK(Клиенты_исходные!D536),"",IF(LEN(SUBSTITUTE(SUBSTITUTE(SUBSTITUTE(SUBSTITUTE(SUBSTITUTE(Клиенты_исходные!D536," ",""),"-",""),"+",""),"(",""),")",""))=11,"+7 ("&amp;MID(IF(LEFT(SUBSTITUTE(SUBSTITUTE(SUBSTITUTE(SUBSTITUTE(SUBSTITUTE(Клиенты_исходные!D536," ",""),"-",""),"+",""),"(",""),")",""))="8","7"&amp;MID(SUBSTITUTE(SUBSTITUTE(SUBSTITUTE(SUBSTITUTE(SUBSTITUTE(Клиенты_исходные!D536," ",""),"-",""),"+",""),"(",""),")",""),2,10),SUBSTITUTE(SUBSTITUTE(SUBSTITUTE(SUBSTITUTE(SUBSTITUTE(Клиенты_исходные!D536," ",""),"-",""),"+",""),"(",""),")","")),2,3)&amp;") "&amp;MID(IF(LEFT(SUBSTITUTE(SUBSTITUTE(SUBSTITUTE(SUBSTITUTE(SUBSTITUTE(Клиенты_исходные!D536," ",""),"-",""),"+",""),"(",""),")",""))="8","7"&amp;MID(SUBSTITUTE(SUBSTITUTE(SUBSTITUTE(SUBSTITUTE(SUBSTITUTE(Клиенты_исходные!D536," ",""),"-",""),"+",""),"(",""),")",""),2,10),SUBSTITUTE(SUBSTITUTE(SUBSTITUTE(SUBSTITUTE(SUBSTITUTE(Клиенты_исходные!D536," ",""),"-",""),"+",""),"(",""),")","")),5,3)&amp;"-"&amp;MID(IF(LEFT(SUBSTITUTE(SUBSTITUTE(SUBSTITUTE(SUBSTITUTE(SUBSTITUTE(Клиенты_исходные!D536," ",""),"-",""),"+",""),"(",""),")",""))="8","7"&amp;MID(SUBSTITUTE(SUBSTITUTE(SUBSTITUTE(SUBSTITUTE(SUBSTITUTE(Клиенты_исходные!D536," ",""),"-",""),"+",""),"(",""),")",""),2,10),SUBSTITUTE(SUBSTITUTE(SUBSTITUTE(SUBSTITUTE(SUBSTITUTE(Клиенты_исходные!D536," ",""),"-",""),"+",""),"(",""),")","")),8,2)&amp;"-"&amp;MID(IF(LEFT(SUBSTITUTE(SUBSTITUTE(SUBSTITUTE(SUBSTITUTE(SUBSTITUTE(Клиенты_исходные!D536," ",""),"-",""),"+",""),"(",""),")",""))="8","7"&amp;MID(SUBSTITUTE(SUBSTITUTE(SUBSTITUTE(SUBSTITUTE(SUBSTITUTE(Клиенты_исходные!D536," ",""),"-",""),"+",""),"(",""),")",""),2,10),SUBSTITUTE(SUBSTITUTE(SUBSTITUTE(SUBSTITUTE(SUBSTITUTE(Клиенты_исходные!D536," ",""),"-",""),"+",""),"(",""),")","")),10,2),IF(LEN(SUBSTITUTE(SUBSTITUTE(SUBSTITUTE(SUBSTITUTE(SUBSTITUTE(Клиенты_исходные!D536," ",""),"-",""),"+",""),"(",""),")",""))=10,"+7 ("&amp;MID(SUBSTITUTE(SUBSTITUTE(SUBSTITUTE(SUBSTITUTE(SUBSTITUTE(Клиенты_исходные!D536," ",""),"-",""),"+",""),"(",""),")",""),1,3)&amp;") "&amp;MID(SUBSTITUTE(SUBSTITUTE(SUBSTITUTE(SUBSTITUTE(SUBSTITUTE(Клиенты_исходные!D536," ",""),"-",""),"+",""),"(",""),")",""),4,3)&amp;"-"&amp;MID(SUBSTITUTE(SUBSTITUTE(SUBSTITUTE(SUBSTITUTE(SUBSTITUTE(Клиенты_исходные!D536," ",""),"-",""),"+",""),"(",""),")",""),6,2)&amp;"-"&amp;MID(SUBSTITUTE(SUBSTITUTE(SUBSTITUTE(SUBSTITUTE(SUBSTITUTE(Клиенты_исходные!D536," ",""),"-",""),"+",""),"(",""),")",""),8,2),Клиенты_исходные!D536)))</f>
        <v xml:space="preserve">+7 (903) 456-78-90</v>
      </c>
      <c r="E536" t="str">
        <f>IF(ISBLANK(Клиенты_исходные!E536),"",IF(ISNUMBER(FIND(".",MID(Клиенты_исходные!E536,FIND("@",Клиенты_исходные!E536)+1,255))),Клиенты_исходные!E536,IF(ISNUMBER(FIND("gmail",Клиенты_исходные!E536)),Клиенты_исходные!E536&amp;".com",Клиенты_исходные!E536&amp;".ru")))</f>
        <v>kuzmicheva@mail.ru</v>
      </c>
      <c r="F536" t="str">
        <f>IFERROR(VLOOKUP(Клиенты_исходные!F536,Справочники!$J$2:$K$50,2,FALSE),Клиенты_исходные!F536)</f>
        <v>Орск</v>
      </c>
      <c r="G536" s="8">
        <f>IFERROR(IF(ISNUMBER(FIND(".",Клиенты_исходные!G536)),DATE(RIGHT(Клиенты_исходные!G536,4),MID(Клиенты_исходные!G536,4,2),LEFT(Клиенты_исходные!G536,2)),DATE(LEFT(Клиенты_исходные!G536,4),MID(Клиенты_исходные!G536,6,2),RIGHT(Клиенты_исходные!G536,2))),Клиенты_исходные!G536)</f>
        <v>49980</v>
      </c>
      <c r="H536">
        <f t="shared" ca="1" si="70"/>
        <v>47</v>
      </c>
      <c r="I536" t="str">
        <f t="shared" si="71"/>
        <v>OK</v>
      </c>
      <c r="J536" t="str">
        <f t="shared" si="72"/>
        <v>OK</v>
      </c>
    </row>
    <row r="537">
      <c r="A537" t="str">
        <f>Клиенты_исходные!A537</f>
        <v>C0536</v>
      </c>
      <c r="B537" t="str">
        <f>PROPER(TRIM(Клиенты_исходные!B537))</f>
        <v xml:space="preserve">Филимонов Андрей Олегович</v>
      </c>
      <c r="C537" s="8">
        <f>IFERROR(IF(ISNUMBER(FIND(".",Клиенты_исходные!C537)),DATE(RIGHT(Клиенты_исходные!C537,4),MID(Клиенты_исходные!C537,4,2),LEFT(Клиенты_исходные!C537,2)),DATE(LEFT(Клиенты_исходные!C537,4),MID(Клиенты_исходные!C537,6,2),RIGHT(Клиенты_исходные!C537,2))),Клиенты_исходные!C537)</f>
        <v>31649</v>
      </c>
      <c r="D537" t="str">
        <f>IF(ISBLANK(Клиенты_исходные!D537),"",IF(LEN(SUBSTITUTE(SUBSTITUTE(SUBSTITUTE(SUBSTITUTE(SUBSTITUTE(Клиенты_исходные!D537," ",""),"-",""),"+",""),"(",""),")",""))=11,"+7 ("&amp;MID(IF(LEFT(SUBSTITUTE(SUBSTITUTE(SUBSTITUTE(SUBSTITUTE(SUBSTITUTE(Клиенты_исходные!D537," ",""),"-",""),"+",""),"(",""),")",""))="8","7"&amp;MID(SUBSTITUTE(SUBSTITUTE(SUBSTITUTE(SUBSTITUTE(SUBSTITUTE(Клиенты_исходные!D537," ",""),"-",""),"+",""),"(",""),")",""),2,10),SUBSTITUTE(SUBSTITUTE(SUBSTITUTE(SUBSTITUTE(SUBSTITUTE(Клиенты_исходные!D537," ",""),"-",""),"+",""),"(",""),")","")),2,3)&amp;") "&amp;MID(IF(LEFT(SUBSTITUTE(SUBSTITUTE(SUBSTITUTE(SUBSTITUTE(SUBSTITUTE(Клиенты_исходные!D537," ",""),"-",""),"+",""),"(",""),")",""))="8","7"&amp;MID(SUBSTITUTE(SUBSTITUTE(SUBSTITUTE(SUBSTITUTE(SUBSTITUTE(Клиенты_исходные!D537," ",""),"-",""),"+",""),"(",""),")",""),2,10),SUBSTITUTE(SUBSTITUTE(SUBSTITUTE(SUBSTITUTE(SUBSTITUTE(Клиенты_исходные!D537," ",""),"-",""),"+",""),"(",""),")","")),5,3)&amp;"-"&amp;MID(IF(LEFT(SUBSTITUTE(SUBSTITUTE(SUBSTITUTE(SUBSTITUTE(SUBSTITUTE(Клиенты_исходные!D537," ",""),"-",""),"+",""),"(",""),")",""))="8","7"&amp;MID(SUBSTITUTE(SUBSTITUTE(SUBSTITUTE(SUBSTITUTE(SUBSTITUTE(Клиенты_исходные!D537," ",""),"-",""),"+",""),"(",""),")",""),2,10),SUBSTITUTE(SUBSTITUTE(SUBSTITUTE(SUBSTITUTE(SUBSTITUTE(Клиенты_исходные!D537," ",""),"-",""),"+",""),"(",""),")","")),8,2)&amp;"-"&amp;MID(IF(LEFT(SUBSTITUTE(SUBSTITUTE(SUBSTITUTE(SUBSTITUTE(SUBSTITUTE(Клиенты_исходные!D537," ",""),"-",""),"+",""),"(",""),")",""))="8","7"&amp;MID(SUBSTITUTE(SUBSTITUTE(SUBSTITUTE(SUBSTITUTE(SUBSTITUTE(Клиенты_исходные!D537," ",""),"-",""),"+",""),"(",""),")",""),2,10),SUBSTITUTE(SUBSTITUTE(SUBSTITUTE(SUBSTITUTE(SUBSTITUTE(Клиенты_исходные!D537," ",""),"-",""),"+",""),"(",""),")","")),10,2),IF(LEN(SUBSTITUTE(SUBSTITUTE(SUBSTITUTE(SUBSTITUTE(SUBSTITUTE(Клиенты_исходные!D537," ",""),"-",""),"+",""),"(",""),")",""))=10,"+7 ("&amp;MID(SUBSTITUTE(SUBSTITUTE(SUBSTITUTE(SUBSTITUTE(SUBSTITUTE(Клиенты_исходные!D537," ",""),"-",""),"+",""),"(",""),")",""),1,3)&amp;") "&amp;MID(SUBSTITUTE(SUBSTITUTE(SUBSTITUTE(SUBSTITUTE(SUBSTITUTE(Клиенты_исходные!D537," ",""),"-",""),"+",""),"(",""),")",""),4,3)&amp;"-"&amp;MID(SUBSTITUTE(SUBSTITUTE(SUBSTITUTE(SUBSTITUTE(SUBSTITUTE(Клиенты_исходные!D537," ",""),"-",""),"+",""),"(",""),")",""),6,2)&amp;"-"&amp;MID(SUBSTITUTE(SUBSTITUTE(SUBSTITUTE(SUBSTITUTE(SUBSTITUTE(Клиенты_исходные!D537," ",""),"-",""),"+",""),"(",""),")",""),8,2),Клиенты_исходные!D537)))</f>
        <v xml:space="preserve">+7 (903) 456-78-90</v>
      </c>
      <c r="E537" t="str">
        <f>IF(ISBLANK(Клиенты_исходные!E537),"",IF(ISNUMBER(FIND(".",MID(Клиенты_исходные!E537,FIND("@",Клиенты_исходные!E537)+1,255))),Клиенты_исходные!E537,IF(ISNUMBER(FIND("gmail",Клиенты_исходные!E537)),Клиенты_исходные!E537&amp;".com",Клиенты_исходные!E537&amp;".ru")))</f>
        <v>filimonov@yandex.ru</v>
      </c>
      <c r="F537" t="str">
        <f>IFERROR(VLOOKUP(Клиенты_исходные!F537,Справочники!$J$2:$K$50,2,FALSE),Клиенты_исходные!F537)</f>
        <v>Нижневартовск</v>
      </c>
      <c r="G537" s="8">
        <f>IFERROR(IF(ISNUMBER(FIND(".",Клиенты_исходные!G537)),DATE(RIGHT(Клиенты_исходные!G537,4),MID(Клиенты_исходные!G537,4,2),LEFT(Клиенты_исходные!G537,2)),DATE(LEFT(Клиенты_исходные!G537,4),MID(Клиенты_исходные!G537,6,2),RIGHT(Клиенты_исходные!G537,2))),Клиенты_исходные!G537)</f>
        <v>49994</v>
      </c>
      <c r="H537">
        <f t="shared" ca="1" si="70"/>
        <v>40</v>
      </c>
      <c r="I537" t="str">
        <f t="shared" si="71"/>
        <v>OK</v>
      </c>
      <c r="J537" t="str">
        <f t="shared" si="72"/>
        <v>OK</v>
      </c>
    </row>
    <row r="538">
      <c r="A538" t="str">
        <f>Клиенты_исходные!A538</f>
        <v>C0537</v>
      </c>
      <c r="B538" t="str">
        <f>PROPER(TRIM(Клиенты_исходные!B538))</f>
        <v xml:space="preserve">Шестакова Мария Павловна</v>
      </c>
      <c r="C538" s="8">
        <f>IFERROR(IF(ISNUMBER(FIND(".",Клиенты_исходные!C538)),DATE(RIGHT(Клиенты_исходные!C538,4),MID(Клиенты_исходные!C538,4,2),LEFT(Клиенты_исходные!C538,2)),DATE(LEFT(Клиенты_исходные!C538,4),MID(Клиенты_исходные!C538,6,2),RIGHT(Клиенты_исходные!C538,2))),Клиенты_исходные!C538)</f>
        <v>26286</v>
      </c>
      <c r="D538" t="str">
        <f>IF(ISBLANK(Клиенты_исходные!D538),"",IF(LEN(SUBSTITUTE(SUBSTITUTE(SUBSTITUTE(SUBSTITUTE(SUBSTITUTE(Клиенты_исходные!D538," ",""),"-",""),"+",""),"(",""),")",""))=11,"+7 ("&amp;MID(IF(LEFT(SUBSTITUTE(SUBSTITUTE(SUBSTITUTE(SUBSTITUTE(SUBSTITUTE(Клиенты_исходные!D538," ",""),"-",""),"+",""),"(",""),")",""))="8","7"&amp;MID(SUBSTITUTE(SUBSTITUTE(SUBSTITUTE(SUBSTITUTE(SUBSTITUTE(Клиенты_исходные!D538," ",""),"-",""),"+",""),"(",""),")",""),2,10),SUBSTITUTE(SUBSTITUTE(SUBSTITUTE(SUBSTITUTE(SUBSTITUTE(Клиенты_исходные!D538," ",""),"-",""),"+",""),"(",""),")","")),2,3)&amp;") "&amp;MID(IF(LEFT(SUBSTITUTE(SUBSTITUTE(SUBSTITUTE(SUBSTITUTE(SUBSTITUTE(Клиенты_исходные!D538," ",""),"-",""),"+",""),"(",""),")",""))="8","7"&amp;MID(SUBSTITUTE(SUBSTITUTE(SUBSTITUTE(SUBSTITUTE(SUBSTITUTE(Клиенты_исходные!D538," ",""),"-",""),"+",""),"(",""),")",""),2,10),SUBSTITUTE(SUBSTITUTE(SUBSTITUTE(SUBSTITUTE(SUBSTITUTE(Клиенты_исходные!D538," ",""),"-",""),"+",""),"(",""),")","")),5,3)&amp;"-"&amp;MID(IF(LEFT(SUBSTITUTE(SUBSTITUTE(SUBSTITUTE(SUBSTITUTE(SUBSTITUTE(Клиенты_исходные!D538," ",""),"-",""),"+",""),"(",""),")",""))="8","7"&amp;MID(SUBSTITUTE(SUBSTITUTE(SUBSTITUTE(SUBSTITUTE(SUBSTITUTE(Клиенты_исходные!D538," ",""),"-",""),"+",""),"(",""),")",""),2,10),SUBSTITUTE(SUBSTITUTE(SUBSTITUTE(SUBSTITUTE(SUBSTITUTE(Клиенты_исходные!D538," ",""),"-",""),"+",""),"(",""),")","")),8,2)&amp;"-"&amp;MID(IF(LEFT(SUBSTITUTE(SUBSTITUTE(SUBSTITUTE(SUBSTITUTE(SUBSTITUTE(Клиенты_исходные!D538," ",""),"-",""),"+",""),"(",""),")",""))="8","7"&amp;MID(SUBSTITUTE(SUBSTITUTE(SUBSTITUTE(SUBSTITUTE(SUBSTITUTE(Клиенты_исходные!D538," ",""),"-",""),"+",""),"(",""),")",""),2,10),SUBSTITUTE(SUBSTITUTE(SUBSTITUTE(SUBSTITUTE(SUBSTITUTE(Клиенты_исходные!D538," ",""),"-",""),"+",""),"(",""),")","")),10,2),IF(LEN(SUBSTITUTE(SUBSTITUTE(SUBSTITUTE(SUBSTITUTE(SUBSTITUTE(Клиенты_исходные!D538," ",""),"-",""),"+",""),"(",""),")",""))=10,"+7 ("&amp;MID(SUBSTITUTE(SUBSTITUTE(SUBSTITUTE(SUBSTITUTE(SUBSTITUTE(Клиенты_исходные!D538," ",""),"-",""),"+",""),"(",""),")",""),1,3)&amp;") "&amp;MID(SUBSTITUTE(SUBSTITUTE(SUBSTITUTE(SUBSTITUTE(SUBSTITUTE(Клиенты_исходные!D538," ",""),"-",""),"+",""),"(",""),")",""),4,3)&amp;"-"&amp;MID(SUBSTITUTE(SUBSTITUTE(SUBSTITUTE(SUBSTITUTE(SUBSTITUTE(Клиенты_исходные!D538," ",""),"-",""),"+",""),"(",""),")",""),6,2)&amp;"-"&amp;MID(SUBSTITUTE(SUBSTITUTE(SUBSTITUTE(SUBSTITUTE(SUBSTITUTE(Клиенты_исходные!D538," ",""),"-",""),"+",""),"(",""),")",""),8,2),Клиенты_исходные!D538)))</f>
        <v xml:space="preserve">+7 (903) 567-89-01</v>
      </c>
      <c r="E538" t="str">
        <f>IF(ISBLANK(Клиенты_исходные!E538),"",IF(ISNUMBER(FIND(".",MID(Клиенты_исходные!E538,FIND("@",Клиенты_исходные!E538)+1,255))),Клиенты_исходные!E538,IF(ISNUMBER(FIND("gmail",Клиенты_исходные!E538)),Клиенты_исходные!E538&amp;".com",Клиенты_исходные!E538&amp;".ru")))</f>
        <v>shestakova@gmail.com</v>
      </c>
      <c r="F538" t="str">
        <f>IFERROR(VLOOKUP(Клиенты_исходные!F538,Справочники!$J$2:$K$50,2,FALSE),Клиенты_исходные!F538)</f>
        <v>Новороссийск</v>
      </c>
      <c r="G538" s="8">
        <f>IFERROR(IF(ISNUMBER(FIND(".",Клиенты_исходные!G538)),DATE(RIGHT(Клиенты_исходные!G538,4),MID(Клиенты_исходные!G538,4,2),LEFT(Клиенты_исходные!G538,2)),DATE(LEFT(Клиенты_исходные!G538,4),MID(Клиенты_исходные!G538,6,2),RIGHT(Клиенты_исходные!G538,2))),Клиенты_исходные!G538)</f>
        <v>49994</v>
      </c>
      <c r="H538">
        <f t="shared" ca="1" si="70"/>
        <v>54</v>
      </c>
      <c r="I538" t="str">
        <f t="shared" si="71"/>
        <v>OK</v>
      </c>
      <c r="J538" t="str">
        <f t="shared" si="72"/>
        <v>OK</v>
      </c>
    </row>
    <row r="539">
      <c r="A539" t="str">
        <f>Клиенты_исходные!A539</f>
        <v>C0538</v>
      </c>
      <c r="B539" t="str">
        <f>PROPER(TRIM(Клиенты_исходные!B539))</f>
        <v xml:space="preserve">Барышников Денис Викторович</v>
      </c>
      <c r="C539" s="8">
        <f>IFERROR(IF(ISNUMBER(FIND(".",Клиенты_исходные!C539)),DATE(RIGHT(Клиенты_исходные!C539,4),MID(Клиенты_исходные!C539,4,2),LEFT(Клиенты_исходные!C539,2)),DATE(LEFT(Клиенты_исходные!C539,4),MID(Клиенты_исходные!C539,6,2),RIGHT(Клиенты_исходные!C539,2))),Клиенты_исходные!C539)</f>
        <v>30083</v>
      </c>
      <c r="D539" t="str">
        <f>IF(ISBLANK(Клиенты_исходные!D539),"",IF(LEN(SUBSTITUTE(SUBSTITUTE(SUBSTITUTE(SUBSTITUTE(SUBSTITUTE(Клиенты_исходные!D539," ",""),"-",""),"+",""),"(",""),")",""))=11,"+7 ("&amp;MID(IF(LEFT(SUBSTITUTE(SUBSTITUTE(SUBSTITUTE(SUBSTITUTE(SUBSTITUTE(Клиенты_исходные!D539," ",""),"-",""),"+",""),"(",""),")",""))="8","7"&amp;MID(SUBSTITUTE(SUBSTITUTE(SUBSTITUTE(SUBSTITUTE(SUBSTITUTE(Клиенты_исходные!D539," ",""),"-",""),"+",""),"(",""),")",""),2,10),SUBSTITUTE(SUBSTITUTE(SUBSTITUTE(SUBSTITUTE(SUBSTITUTE(Клиенты_исходные!D539," ",""),"-",""),"+",""),"(",""),")","")),2,3)&amp;") "&amp;MID(IF(LEFT(SUBSTITUTE(SUBSTITUTE(SUBSTITUTE(SUBSTITUTE(SUBSTITUTE(Клиенты_исходные!D539," ",""),"-",""),"+",""),"(",""),")",""))="8","7"&amp;MID(SUBSTITUTE(SUBSTITUTE(SUBSTITUTE(SUBSTITUTE(SUBSTITUTE(Клиенты_исходные!D539," ",""),"-",""),"+",""),"(",""),")",""),2,10),SUBSTITUTE(SUBSTITUTE(SUBSTITUTE(SUBSTITUTE(SUBSTITUTE(Клиенты_исходные!D539," ",""),"-",""),"+",""),"(",""),")","")),5,3)&amp;"-"&amp;MID(IF(LEFT(SUBSTITUTE(SUBSTITUTE(SUBSTITUTE(SUBSTITUTE(SUBSTITUTE(Клиенты_исходные!D539," ",""),"-",""),"+",""),"(",""),")",""))="8","7"&amp;MID(SUBSTITUTE(SUBSTITUTE(SUBSTITUTE(SUBSTITUTE(SUBSTITUTE(Клиенты_исходные!D539," ",""),"-",""),"+",""),"(",""),")",""),2,10),SUBSTITUTE(SUBSTITUTE(SUBSTITUTE(SUBSTITUTE(SUBSTITUTE(Клиенты_исходные!D539," ",""),"-",""),"+",""),"(",""),")","")),8,2)&amp;"-"&amp;MID(IF(LEFT(SUBSTITUTE(SUBSTITUTE(SUBSTITUTE(SUBSTITUTE(SUBSTITUTE(Клиенты_исходные!D539," ",""),"-",""),"+",""),"(",""),")",""))="8","7"&amp;MID(SUBSTITUTE(SUBSTITUTE(SUBSTITUTE(SUBSTITUTE(SUBSTITUTE(Клиенты_исходные!D539," ",""),"-",""),"+",""),"(",""),")",""),2,10),SUBSTITUTE(SUBSTITUTE(SUBSTITUTE(SUBSTITUTE(SUBSTITUTE(Клиенты_исходные!D539," ",""),"-",""),"+",""),"(",""),")","")),10,2),IF(LEN(SUBSTITUTE(SUBSTITUTE(SUBSTITUTE(SUBSTITUTE(SUBSTITUTE(Клиенты_исходные!D539," ",""),"-",""),"+",""),"(",""),")",""))=10,"+7 ("&amp;MID(SUBSTITUTE(SUBSTITUTE(SUBSTITUTE(SUBSTITUTE(SUBSTITUTE(Клиенты_исходные!D539," ",""),"-",""),"+",""),"(",""),")",""),1,3)&amp;") "&amp;MID(SUBSTITUTE(SUBSTITUTE(SUBSTITUTE(SUBSTITUTE(SUBSTITUTE(Клиенты_исходные!D539," ",""),"-",""),"+",""),"(",""),")",""),4,3)&amp;"-"&amp;MID(SUBSTITUTE(SUBSTITUTE(SUBSTITUTE(SUBSTITUTE(SUBSTITUTE(Клиенты_исходные!D539," ",""),"-",""),"+",""),"(",""),")",""),6,2)&amp;"-"&amp;MID(SUBSTITUTE(SUBSTITUTE(SUBSTITUTE(SUBSTITUTE(SUBSTITUTE(Клиенты_исходные!D539," ",""),"-",""),"+",""),"(",""),")",""),8,2),Клиенты_исходные!D539)))</f>
        <v xml:space="preserve">+7 (903) 567-89-01</v>
      </c>
      <c r="E539" t="str">
        <f>IF(ISBLANK(Клиенты_исходные!E539),"",IF(ISNUMBER(FIND(".",MID(Клиенты_исходные!E539,FIND("@",Клиенты_исходные!E539)+1,255))),Клиенты_исходные!E539,IF(ISNUMBER(FIND("gmail",Клиенты_исходные!E539)),Клиенты_исходные!E539&amp;".com",Клиенты_исходные!E539&amp;".ru")))</f>
        <v>baryshnikov@mail.ru</v>
      </c>
      <c r="F539" t="str">
        <f>IFERROR(VLOOKUP(Клиенты_исходные!F539,Справочники!$J$2:$K$50,2,FALSE),Клиенты_исходные!F539)</f>
        <v>Химки</v>
      </c>
      <c r="G539" s="8">
        <f>IFERROR(IF(ISNUMBER(FIND(".",Клиенты_исходные!G539)),DATE(RIGHT(Клиенты_исходные!G539,4),MID(Клиенты_исходные!G539,4,2),LEFT(Клиенты_исходные!G539,2)),DATE(LEFT(Клиенты_исходные!G539,4),MID(Клиенты_исходные!G539,6,2),RIGHT(Клиенты_исходные!G539,2))),Клиенты_исходные!G539)</f>
        <v>50010</v>
      </c>
      <c r="H539">
        <f t="shared" ca="1" si="70"/>
        <v>44</v>
      </c>
      <c r="I539" t="str">
        <f t="shared" si="71"/>
        <v>OK</v>
      </c>
      <c r="J539" t="str">
        <f t="shared" si="72"/>
        <v>OK</v>
      </c>
    </row>
    <row r="540">
      <c r="A540" t="str">
        <f>Клиенты_исходные!A540</f>
        <v>C0539</v>
      </c>
      <c r="B540" t="str">
        <f>PROPER(TRIM(Клиенты_исходные!B540))</f>
        <v xml:space="preserve">Лапшина Ольга Сергеевна</v>
      </c>
      <c r="C540" s="8">
        <f>IFERROR(IF(ISNUMBER(FIND(".",Клиенты_исходные!C540)),DATE(RIGHT(Клиенты_исходные!C540,4),MID(Клиенты_исходные!C540,4,2),LEFT(Клиенты_исходные!C540,2)),DATE(LEFT(Клиенты_исходные!C540,4),MID(Клиенты_исходные!C540,6,2),RIGHT(Клиенты_исходные!C540,2))),Клиенты_исходные!C540)</f>
        <v>32352</v>
      </c>
      <c r="D540" t="str">
        <f>IF(ISBLANK(Клиенты_исходные!D540),"",IF(LEN(SUBSTITUTE(SUBSTITUTE(SUBSTITUTE(SUBSTITUTE(SUBSTITUTE(Клиенты_исходные!D540," ",""),"-",""),"+",""),"(",""),")",""))=11,"+7 ("&amp;MID(IF(LEFT(SUBSTITUTE(SUBSTITUTE(SUBSTITUTE(SUBSTITUTE(SUBSTITUTE(Клиенты_исходные!D540," ",""),"-",""),"+",""),"(",""),")",""))="8","7"&amp;MID(SUBSTITUTE(SUBSTITUTE(SUBSTITUTE(SUBSTITUTE(SUBSTITUTE(Клиенты_исходные!D540," ",""),"-",""),"+",""),"(",""),")",""),2,10),SUBSTITUTE(SUBSTITUTE(SUBSTITUTE(SUBSTITUTE(SUBSTITUTE(Клиенты_исходные!D540," ",""),"-",""),"+",""),"(",""),")","")),2,3)&amp;") "&amp;MID(IF(LEFT(SUBSTITUTE(SUBSTITUTE(SUBSTITUTE(SUBSTITUTE(SUBSTITUTE(Клиенты_исходные!D540," ",""),"-",""),"+",""),"(",""),")",""))="8","7"&amp;MID(SUBSTITUTE(SUBSTITUTE(SUBSTITUTE(SUBSTITUTE(SUBSTITUTE(Клиенты_исходные!D540," ",""),"-",""),"+",""),"(",""),")",""),2,10),SUBSTITUTE(SUBSTITUTE(SUBSTITUTE(SUBSTITUTE(SUBSTITUTE(Клиенты_исходные!D540," ",""),"-",""),"+",""),"(",""),")","")),5,3)&amp;"-"&amp;MID(IF(LEFT(SUBSTITUTE(SUBSTITUTE(SUBSTITUTE(SUBSTITUTE(SUBSTITUTE(Клиенты_исходные!D540," ",""),"-",""),"+",""),"(",""),")",""))="8","7"&amp;MID(SUBSTITUTE(SUBSTITUTE(SUBSTITUTE(SUBSTITUTE(SUBSTITUTE(Клиенты_исходные!D540," ",""),"-",""),"+",""),"(",""),")",""),2,10),SUBSTITUTE(SUBSTITUTE(SUBSTITUTE(SUBSTITUTE(SUBSTITUTE(Клиенты_исходные!D540," ",""),"-",""),"+",""),"(",""),")","")),8,2)&amp;"-"&amp;MID(IF(LEFT(SUBSTITUTE(SUBSTITUTE(SUBSTITUTE(SUBSTITUTE(SUBSTITUTE(Клиенты_исходные!D540," ",""),"-",""),"+",""),"(",""),")",""))="8","7"&amp;MID(SUBSTITUTE(SUBSTITUTE(SUBSTITUTE(SUBSTITUTE(SUBSTITUTE(Клиенты_исходные!D540," ",""),"-",""),"+",""),"(",""),")",""),2,10),SUBSTITUTE(SUBSTITUTE(SUBSTITUTE(SUBSTITUTE(SUBSTITUTE(Клиенты_исходные!D540," ",""),"-",""),"+",""),"(",""),")","")),10,2),IF(LEN(SUBSTITUTE(SUBSTITUTE(SUBSTITUTE(SUBSTITUTE(SUBSTITUTE(Клиенты_исходные!D540," ",""),"-",""),"+",""),"(",""),")",""))=10,"+7 ("&amp;MID(SUBSTITUTE(SUBSTITUTE(SUBSTITUTE(SUBSTITUTE(SUBSTITUTE(Клиенты_исходные!D540," ",""),"-",""),"+",""),"(",""),")",""),1,3)&amp;") "&amp;MID(SUBSTITUTE(SUBSTITUTE(SUBSTITUTE(SUBSTITUTE(SUBSTITUTE(Клиенты_исходные!D540," ",""),"-",""),"+",""),"(",""),")",""),4,3)&amp;"-"&amp;MID(SUBSTITUTE(SUBSTITUTE(SUBSTITUTE(SUBSTITUTE(SUBSTITUTE(Клиенты_исходные!D540," ",""),"-",""),"+",""),"(",""),")",""),6,2)&amp;"-"&amp;MID(SUBSTITUTE(SUBSTITUTE(SUBSTITUTE(SUBSTITUTE(SUBSTITUTE(Клиенты_исходные!D540," ",""),"-",""),"+",""),"(",""),")",""),8,2),Клиенты_исходные!D540)))</f>
        <v xml:space="preserve">+7 (903) 567-89-01</v>
      </c>
      <c r="E540" t="str">
        <f>IF(ISBLANK(Клиенты_исходные!E540),"",IF(ISNUMBER(FIND(".",MID(Клиенты_исходные!E540,FIND("@",Клиенты_исходные!E540)+1,255))),Клиенты_исходные!E540,IF(ISNUMBER(FIND("gmail",Клиенты_исходные!E540)),Клиенты_исходные!E540&amp;".com",Клиенты_исходные!E540&amp;".ru")))</f>
        <v>lapshina@yandex.ru</v>
      </c>
      <c r="F540" t="str">
        <f>IFERROR(VLOOKUP(Клиенты_исходные!F540,Справочники!$J$2:$K$50,2,FALSE),Клиенты_исходные!F540)</f>
        <v>Подольск</v>
      </c>
      <c r="G540" s="8">
        <f>IFERROR(IF(ISNUMBER(FIND(".",Клиенты_исходные!G540)),DATE(RIGHT(Клиенты_исходные!G540,4),MID(Клиенты_исходные!G540,4,2),LEFT(Клиенты_исходные!G540,2)),DATE(LEFT(Клиенты_исходные!G540,4),MID(Клиенты_исходные!G540,6,2),RIGHT(Клиенты_исходные!G540,2))),Клиенты_исходные!G540)</f>
        <v>50019</v>
      </c>
      <c r="H540">
        <f t="shared" ca="1" si="70"/>
        <v>38</v>
      </c>
      <c r="I540" t="str">
        <f t="shared" si="71"/>
        <v>OK</v>
      </c>
      <c r="J540" t="str">
        <f t="shared" si="72"/>
        <v>OK</v>
      </c>
    </row>
    <row r="541">
      <c r="A541" t="str">
        <f>Клиенты_исходные!A541</f>
        <v>C0540</v>
      </c>
      <c r="B541" t="str">
        <f>PROPER(TRIM(Клиенты_исходные!B541))</f>
        <v xml:space="preserve">Сергеев Илья Николаевич</v>
      </c>
      <c r="C541" s="8">
        <f>IFERROR(IF(ISNUMBER(FIND(".",Клиенты_исходные!C541)),DATE(RIGHT(Клиенты_исходные!C541,4),MID(Клиенты_исходные!C541,4,2),LEFT(Клиенты_исходные!C541,2)),DATE(LEFT(Клиенты_исходные!C541,4),MID(Клиенты_исходные!C541,6,2),RIGHT(Клиенты_исходные!C541,2))),Клиенты_исходные!C541)</f>
        <v>28037</v>
      </c>
      <c r="D541" t="str">
        <f>IF(ISBLANK(Клиенты_исходные!D541),"",IF(LEN(SUBSTITUTE(SUBSTITUTE(SUBSTITUTE(SUBSTITUTE(SUBSTITUTE(Клиенты_исходные!D541," ",""),"-",""),"+",""),"(",""),")",""))=11,"+7 ("&amp;MID(IF(LEFT(SUBSTITUTE(SUBSTITUTE(SUBSTITUTE(SUBSTITUTE(SUBSTITUTE(Клиенты_исходные!D541," ",""),"-",""),"+",""),"(",""),")",""))="8","7"&amp;MID(SUBSTITUTE(SUBSTITUTE(SUBSTITUTE(SUBSTITUTE(SUBSTITUTE(Клиенты_исходные!D541," ",""),"-",""),"+",""),"(",""),")",""),2,10),SUBSTITUTE(SUBSTITUTE(SUBSTITUTE(SUBSTITUTE(SUBSTITUTE(Клиенты_исходные!D541," ",""),"-",""),"+",""),"(",""),")","")),2,3)&amp;") "&amp;MID(IF(LEFT(SUBSTITUTE(SUBSTITUTE(SUBSTITUTE(SUBSTITUTE(SUBSTITUTE(Клиенты_исходные!D541," ",""),"-",""),"+",""),"(",""),")",""))="8","7"&amp;MID(SUBSTITUTE(SUBSTITUTE(SUBSTITUTE(SUBSTITUTE(SUBSTITUTE(Клиенты_исходные!D541," ",""),"-",""),"+",""),"(",""),")",""),2,10),SUBSTITUTE(SUBSTITUTE(SUBSTITUTE(SUBSTITUTE(SUBSTITUTE(Клиенты_исходные!D541," ",""),"-",""),"+",""),"(",""),")","")),5,3)&amp;"-"&amp;MID(IF(LEFT(SUBSTITUTE(SUBSTITUTE(SUBSTITUTE(SUBSTITUTE(SUBSTITUTE(Клиенты_исходные!D541," ",""),"-",""),"+",""),"(",""),")",""))="8","7"&amp;MID(SUBSTITUTE(SUBSTITUTE(SUBSTITUTE(SUBSTITUTE(SUBSTITUTE(Клиенты_исходные!D541," ",""),"-",""),"+",""),"(",""),")",""),2,10),SUBSTITUTE(SUBSTITUTE(SUBSTITUTE(SUBSTITUTE(SUBSTITUTE(Клиенты_исходные!D541," ",""),"-",""),"+",""),"(",""),")","")),8,2)&amp;"-"&amp;MID(IF(LEFT(SUBSTITUTE(SUBSTITUTE(SUBSTITUTE(SUBSTITUTE(SUBSTITUTE(Клиенты_исходные!D541," ",""),"-",""),"+",""),"(",""),")",""))="8","7"&amp;MID(SUBSTITUTE(SUBSTITUTE(SUBSTITUTE(SUBSTITUTE(SUBSTITUTE(Клиенты_исходные!D541," ",""),"-",""),"+",""),"(",""),")",""),2,10),SUBSTITUTE(SUBSTITUTE(SUBSTITUTE(SUBSTITUTE(SUBSTITUTE(Клиенты_исходные!D541," ",""),"-",""),"+",""),"(",""),")","")),10,2),IF(LEN(SUBSTITUTE(SUBSTITUTE(SUBSTITUTE(SUBSTITUTE(SUBSTITUTE(Клиенты_исходные!D541," ",""),"-",""),"+",""),"(",""),")",""))=10,"+7 ("&amp;MID(SUBSTITUTE(SUBSTITUTE(SUBSTITUTE(SUBSTITUTE(SUBSTITUTE(Клиенты_исходные!D541," ",""),"-",""),"+",""),"(",""),")",""),1,3)&amp;") "&amp;MID(SUBSTITUTE(SUBSTITUTE(SUBSTITUTE(SUBSTITUTE(SUBSTITUTE(Клиенты_исходные!D541," ",""),"-",""),"+",""),"(",""),")",""),4,3)&amp;"-"&amp;MID(SUBSTITUTE(SUBSTITUTE(SUBSTITUTE(SUBSTITUTE(SUBSTITUTE(Клиенты_исходные!D541," ",""),"-",""),"+",""),"(",""),")",""),6,2)&amp;"-"&amp;MID(SUBSTITUTE(SUBSTITUTE(SUBSTITUTE(SUBSTITUTE(SUBSTITUTE(Клиенты_исходные!D541," ",""),"-",""),"+",""),"(",""),")",""),8,2),Клиенты_исходные!D541)))</f>
        <v xml:space="preserve">+7 (903) 678-90-12</v>
      </c>
      <c r="E541" t="str">
        <f>IF(ISBLANK(Клиенты_исходные!E541),"",IF(ISNUMBER(FIND(".",MID(Клиенты_исходные!E541,FIND("@",Клиенты_исходные!E541)+1,255))),Клиенты_исходные!E541,IF(ISNUMBER(FIND("gmail",Клиенты_исходные!E541)),Клиенты_исходные!E541&amp;".com",Клиенты_исходные!E541&amp;".ru")))</f>
        <v>sergeev@gmail.com</v>
      </c>
      <c r="F541" t="str">
        <f>IFERROR(VLOOKUP(Клиенты_исходные!F541,Справочники!$J$2:$K$50,2,FALSE),Клиенты_исходные!F541)</f>
        <v>Балашиха</v>
      </c>
      <c r="G541" s="8">
        <f>IFERROR(IF(ISNUMBER(FIND(".",Клиенты_исходные!G541)),DATE(RIGHT(Клиенты_исходные!G541,4),MID(Клиенты_исходные!G541,4,2),LEFT(Клиенты_исходные!G541,2)),DATE(LEFT(Клиенты_исходные!G541,4),MID(Клиенты_исходные!G541,6,2),RIGHT(Клиенты_исходные!G541,2))),Клиенты_исходные!G541)</f>
        <v>50019</v>
      </c>
      <c r="H541">
        <f t="shared" ca="1" si="70"/>
        <v>49</v>
      </c>
      <c r="I541" t="str">
        <f t="shared" si="71"/>
        <v>OK</v>
      </c>
      <c r="J541" t="str">
        <f t="shared" si="72"/>
        <v>OK</v>
      </c>
    </row>
    <row r="542">
      <c r="A542" t="str">
        <f>Клиенты_исходные!A542</f>
        <v>C0541</v>
      </c>
      <c r="B542" t="str">
        <f>PROPER(TRIM(Клиенты_исходные!B542))</f>
        <v xml:space="preserve">Аникина Екатерина Владимировна</v>
      </c>
      <c r="C542" s="8">
        <f>IFERROR(IF(ISNUMBER(FIND(".",Клиенты_исходные!C542)),DATE(RIGHT(Клиенты_исходные!C542,4),MID(Клиенты_исходные!C542,4,2),LEFT(Клиенты_исходные!C542,2)),DATE(LEFT(Клиенты_исходные!C542,4),MID(Клиенты_исходные!C542,6,2),RIGHT(Клиенты_исходные!C542,2))),Клиенты_исходные!C542)</f>
        <v>30704</v>
      </c>
      <c r="D542" t="str">
        <f>IF(ISBLANK(Клиенты_исходные!D542),"",IF(LEN(SUBSTITUTE(SUBSTITUTE(SUBSTITUTE(SUBSTITUTE(SUBSTITUTE(Клиенты_исходные!D542," ",""),"-",""),"+",""),"(",""),")",""))=11,"+7 ("&amp;MID(IF(LEFT(SUBSTITUTE(SUBSTITUTE(SUBSTITUTE(SUBSTITUTE(SUBSTITUTE(Клиенты_исходные!D542," ",""),"-",""),"+",""),"(",""),")",""))="8","7"&amp;MID(SUBSTITUTE(SUBSTITUTE(SUBSTITUTE(SUBSTITUTE(SUBSTITUTE(Клиенты_исходные!D542," ",""),"-",""),"+",""),"(",""),")",""),2,10),SUBSTITUTE(SUBSTITUTE(SUBSTITUTE(SUBSTITUTE(SUBSTITUTE(Клиенты_исходные!D542," ",""),"-",""),"+",""),"(",""),")","")),2,3)&amp;") "&amp;MID(IF(LEFT(SUBSTITUTE(SUBSTITUTE(SUBSTITUTE(SUBSTITUTE(SUBSTITUTE(Клиенты_исходные!D542," ",""),"-",""),"+",""),"(",""),")",""))="8","7"&amp;MID(SUBSTITUTE(SUBSTITUTE(SUBSTITUTE(SUBSTITUTE(SUBSTITUTE(Клиенты_исходные!D542," ",""),"-",""),"+",""),"(",""),")",""),2,10),SUBSTITUTE(SUBSTITUTE(SUBSTITUTE(SUBSTITUTE(SUBSTITUTE(Клиенты_исходные!D542," ",""),"-",""),"+",""),"(",""),")","")),5,3)&amp;"-"&amp;MID(IF(LEFT(SUBSTITUTE(SUBSTITUTE(SUBSTITUTE(SUBSTITUTE(SUBSTITUTE(Клиенты_исходные!D542," ",""),"-",""),"+",""),"(",""),")",""))="8","7"&amp;MID(SUBSTITUTE(SUBSTITUTE(SUBSTITUTE(SUBSTITUTE(SUBSTITUTE(Клиенты_исходные!D542," ",""),"-",""),"+",""),"(",""),")",""),2,10),SUBSTITUTE(SUBSTITUTE(SUBSTITUTE(SUBSTITUTE(SUBSTITUTE(Клиенты_исходные!D542," ",""),"-",""),"+",""),"(",""),")","")),8,2)&amp;"-"&amp;MID(IF(LEFT(SUBSTITUTE(SUBSTITUTE(SUBSTITUTE(SUBSTITUTE(SUBSTITUTE(Клиенты_исходные!D542," ",""),"-",""),"+",""),"(",""),")",""))="8","7"&amp;MID(SUBSTITUTE(SUBSTITUTE(SUBSTITUTE(SUBSTITUTE(SUBSTITUTE(Клиенты_исходные!D542," ",""),"-",""),"+",""),"(",""),")",""),2,10),SUBSTITUTE(SUBSTITUTE(SUBSTITUTE(SUBSTITUTE(SUBSTITUTE(Клиенты_исходные!D542," ",""),"-",""),"+",""),"(",""),")","")),10,2),IF(LEN(SUBSTITUTE(SUBSTITUTE(SUBSTITUTE(SUBSTITUTE(SUBSTITUTE(Клиенты_исходные!D542," ",""),"-",""),"+",""),"(",""),")",""))=10,"+7 ("&amp;MID(SUBSTITUTE(SUBSTITUTE(SUBSTITUTE(SUBSTITUTE(SUBSTITUTE(Клиенты_исходные!D542," ",""),"-",""),"+",""),"(",""),")",""),1,3)&amp;") "&amp;MID(SUBSTITUTE(SUBSTITUTE(SUBSTITUTE(SUBSTITUTE(SUBSTITUTE(Клиенты_исходные!D542," ",""),"-",""),"+",""),"(",""),")",""),4,3)&amp;"-"&amp;MID(SUBSTITUTE(SUBSTITUTE(SUBSTITUTE(SUBSTITUTE(SUBSTITUTE(Клиенты_исходные!D542," ",""),"-",""),"+",""),"(",""),")",""),6,2)&amp;"-"&amp;MID(SUBSTITUTE(SUBSTITUTE(SUBSTITUTE(SUBSTITUTE(SUBSTITUTE(Клиенты_исходные!D542," ",""),"-",""),"+",""),"(",""),")",""),8,2),Клиенты_исходные!D542)))</f>
        <v xml:space="preserve">+7 (903) 678-90-12</v>
      </c>
      <c r="E542" t="str">
        <f>IF(ISBLANK(Клиенты_исходные!E542),"",IF(ISNUMBER(FIND(".",MID(Клиенты_исходные!E542,FIND("@",Клиенты_исходные!E542)+1,255))),Клиенты_исходные!E542,IF(ISNUMBER(FIND("gmail",Клиенты_исходные!E542)),Клиенты_исходные!E542&amp;".com",Клиенты_исходные!E542&amp;".ru")))</f>
        <v>anikina@mail.ru</v>
      </c>
      <c r="F542" t="str">
        <f>IFERROR(VLOOKUP(Клиенты_исходные!F542,Справочники!$J$2:$K$50,2,FALSE),Клиенты_исходные!F542)</f>
        <v>Сургут</v>
      </c>
      <c r="G542" s="8">
        <f>IFERROR(IF(ISNUMBER(FIND(".",Клиенты_исходные!G542)),DATE(RIGHT(Клиенты_исходные!G542,4),MID(Клиенты_исходные!G542,4,2),LEFT(Клиенты_исходные!G542,2)),DATE(LEFT(Клиенты_исходные!G542,4),MID(Клиенты_исходные!G542,6,2),RIGHT(Клиенты_исходные!G542,2))),Клиенты_исходные!G542)</f>
        <v>50041</v>
      </c>
      <c r="H542">
        <f t="shared" ca="1" si="70"/>
        <v>42</v>
      </c>
      <c r="I542" t="str">
        <f t="shared" si="71"/>
        <v>OK</v>
      </c>
      <c r="J542" t="str">
        <f t="shared" si="72"/>
        <v>OK</v>
      </c>
    </row>
    <row r="543">
      <c r="A543" t="str">
        <f>Клиенты_исходные!A543</f>
        <v>C0542</v>
      </c>
      <c r="B543" t="str">
        <f>PROPER(TRIM(Клиенты_исходные!B543))</f>
        <v xml:space="preserve">Гуляев Андрей Олегович</v>
      </c>
      <c r="C543" s="8">
        <f>IFERROR(IF(ISNUMBER(FIND(".",Клиенты_исходные!C543)),DATE(RIGHT(Клиенты_исходные!C543,4),MID(Клиенты_исходные!C543,4,2),LEFT(Клиенты_исходные!C543,2)),DATE(LEFT(Клиенты_исходные!C543,4),MID(Клиенты_исходные!C543,6,2),RIGHT(Клиенты_исходные!C543,2))),Клиенты_исходные!C543)</f>
        <v>33039</v>
      </c>
      <c r="D543" t="str">
        <f>IF(ISBLANK(Клиенты_исходные!D543),"",IF(LEN(SUBSTITUTE(SUBSTITUTE(SUBSTITUTE(SUBSTITUTE(SUBSTITUTE(Клиенты_исходные!D543," ",""),"-",""),"+",""),"(",""),")",""))=11,"+7 ("&amp;MID(IF(LEFT(SUBSTITUTE(SUBSTITUTE(SUBSTITUTE(SUBSTITUTE(SUBSTITUTE(Клиенты_исходные!D543," ",""),"-",""),"+",""),"(",""),")",""))="8","7"&amp;MID(SUBSTITUTE(SUBSTITUTE(SUBSTITUTE(SUBSTITUTE(SUBSTITUTE(Клиенты_исходные!D543," ",""),"-",""),"+",""),"(",""),")",""),2,10),SUBSTITUTE(SUBSTITUTE(SUBSTITUTE(SUBSTITUTE(SUBSTITUTE(Клиенты_исходные!D543," ",""),"-",""),"+",""),"(",""),")","")),2,3)&amp;") "&amp;MID(IF(LEFT(SUBSTITUTE(SUBSTITUTE(SUBSTITUTE(SUBSTITUTE(SUBSTITUTE(Клиенты_исходные!D543," ",""),"-",""),"+",""),"(",""),")",""))="8","7"&amp;MID(SUBSTITUTE(SUBSTITUTE(SUBSTITUTE(SUBSTITUTE(SUBSTITUTE(Клиенты_исходные!D543," ",""),"-",""),"+",""),"(",""),")",""),2,10),SUBSTITUTE(SUBSTITUTE(SUBSTITUTE(SUBSTITUTE(SUBSTITUTE(Клиенты_исходные!D543," ",""),"-",""),"+",""),"(",""),")","")),5,3)&amp;"-"&amp;MID(IF(LEFT(SUBSTITUTE(SUBSTITUTE(SUBSTITUTE(SUBSTITUTE(SUBSTITUTE(Клиенты_исходные!D543," ",""),"-",""),"+",""),"(",""),")",""))="8","7"&amp;MID(SUBSTITUTE(SUBSTITUTE(SUBSTITUTE(SUBSTITUTE(SUBSTITUTE(Клиенты_исходные!D543," ",""),"-",""),"+",""),"(",""),")",""),2,10),SUBSTITUTE(SUBSTITUTE(SUBSTITUTE(SUBSTITUTE(SUBSTITUTE(Клиенты_исходные!D543," ",""),"-",""),"+",""),"(",""),")","")),8,2)&amp;"-"&amp;MID(IF(LEFT(SUBSTITUTE(SUBSTITUTE(SUBSTITUTE(SUBSTITUTE(SUBSTITUTE(Клиенты_исходные!D543," ",""),"-",""),"+",""),"(",""),")",""))="8","7"&amp;MID(SUBSTITUTE(SUBSTITUTE(SUBSTITUTE(SUBSTITUTE(SUBSTITUTE(Клиенты_исходные!D543," ",""),"-",""),"+",""),"(",""),")",""),2,10),SUBSTITUTE(SUBSTITUTE(SUBSTITUTE(SUBSTITUTE(SUBSTITUTE(Клиенты_исходные!D543," ",""),"-",""),"+",""),"(",""),")","")),10,2),IF(LEN(SUBSTITUTE(SUBSTITUTE(SUBSTITUTE(SUBSTITUTE(SUBSTITUTE(Клиенты_исходные!D543," ",""),"-",""),"+",""),"(",""),")",""))=10,"+7 ("&amp;MID(SUBSTITUTE(SUBSTITUTE(SUBSTITUTE(SUBSTITUTE(SUBSTITUTE(Клиенты_исходные!D543," ",""),"-",""),"+",""),"(",""),")",""),1,3)&amp;") "&amp;MID(SUBSTITUTE(SUBSTITUTE(SUBSTITUTE(SUBSTITUTE(SUBSTITUTE(Клиенты_исходные!D543," ",""),"-",""),"+",""),"(",""),")",""),4,3)&amp;"-"&amp;MID(SUBSTITUTE(SUBSTITUTE(SUBSTITUTE(SUBSTITUTE(SUBSTITUTE(Клиенты_исходные!D543," ",""),"-",""),"+",""),"(",""),")",""),6,2)&amp;"-"&amp;MID(SUBSTITUTE(SUBSTITUTE(SUBSTITUTE(SUBSTITUTE(SUBSTITUTE(Клиенты_исходные!D543," ",""),"-",""),"+",""),"(",""),")",""),8,2),Клиенты_исходные!D543)))</f>
        <v xml:space="preserve">+7 (903) 678-90-12</v>
      </c>
      <c r="E543" t="str">
        <f>IF(ISBLANK(Клиенты_исходные!E543),"",IF(ISNUMBER(FIND(".",MID(Клиенты_исходные!E543,FIND("@",Клиенты_исходные!E543)+1,255))),Клиенты_исходные!E543,IF(ISNUMBER(FIND("gmail",Клиенты_исходные!E543)),Клиенты_исходные!E543&amp;".com",Клиенты_исходные!E543&amp;".ru")))</f>
        <v>gulyaev@yandex.ru</v>
      </c>
      <c r="F543" t="str">
        <f>IFERROR(VLOOKUP(Клиенты_исходные!F543,Справочники!$J$2:$K$50,2,FALSE),Клиенты_исходные!F543)</f>
        <v>Армавир</v>
      </c>
      <c r="G543" s="8">
        <f>IFERROR(IF(ISNUMBER(FIND(".",Клиенты_исходные!G543)),DATE(RIGHT(Клиенты_исходные!G543,4),MID(Клиенты_исходные!G543,4,2),LEFT(Клиенты_исходные!G543,2)),DATE(LEFT(Клиенты_исходные!G543,4),MID(Клиенты_исходные!G543,6,2),RIGHT(Клиенты_исходные!G543,2))),Клиенты_исходные!G543)</f>
        <v>50055</v>
      </c>
      <c r="H543">
        <f t="shared" ca="1" si="70"/>
        <v>36</v>
      </c>
      <c r="I543" t="str">
        <f t="shared" si="71"/>
        <v>OK</v>
      </c>
      <c r="J543" t="str">
        <f t="shared" si="72"/>
        <v>OK</v>
      </c>
    </row>
    <row r="544">
      <c r="A544" t="str">
        <f>Клиенты_исходные!A544</f>
        <v>C0543</v>
      </c>
      <c r="B544" t="str">
        <f>PROPER(TRIM(Клиенты_исходные!B544))</f>
        <v xml:space="preserve">Малышева Мария Сергеевна</v>
      </c>
      <c r="C544" s="8">
        <f>IFERROR(IF(ISNUMBER(FIND(".",Клиенты_исходные!C544)),DATE(RIGHT(Клиенты_исходные!C544,4),MID(Клиенты_исходные!C544,4,2),LEFT(Клиенты_исходные!C544,2)),DATE(LEFT(Клиенты_исходные!C544,4),MID(Клиенты_исходные!C544,6,2),RIGHT(Клиенты_исходные!C544,2))),Клиенты_исходные!C544)</f>
        <v>28438</v>
      </c>
      <c r="D544" t="str">
        <f>IF(ISBLANK(Клиенты_исходные!D544),"",IF(LEN(SUBSTITUTE(SUBSTITUTE(SUBSTITUTE(SUBSTITUTE(SUBSTITUTE(Клиенты_исходные!D544," ",""),"-",""),"+",""),"(",""),")",""))=11,"+7 ("&amp;MID(IF(LEFT(SUBSTITUTE(SUBSTITUTE(SUBSTITUTE(SUBSTITUTE(SUBSTITUTE(Клиенты_исходные!D544," ",""),"-",""),"+",""),"(",""),")",""))="8","7"&amp;MID(SUBSTITUTE(SUBSTITUTE(SUBSTITUTE(SUBSTITUTE(SUBSTITUTE(Клиенты_исходные!D544," ",""),"-",""),"+",""),"(",""),")",""),2,10),SUBSTITUTE(SUBSTITUTE(SUBSTITUTE(SUBSTITUTE(SUBSTITUTE(Клиенты_исходные!D544," ",""),"-",""),"+",""),"(",""),")","")),2,3)&amp;") "&amp;MID(IF(LEFT(SUBSTITUTE(SUBSTITUTE(SUBSTITUTE(SUBSTITUTE(SUBSTITUTE(Клиенты_исходные!D544," ",""),"-",""),"+",""),"(",""),")",""))="8","7"&amp;MID(SUBSTITUTE(SUBSTITUTE(SUBSTITUTE(SUBSTITUTE(SUBSTITUTE(Клиенты_исходные!D544," ",""),"-",""),"+",""),"(",""),")",""),2,10),SUBSTITUTE(SUBSTITUTE(SUBSTITUTE(SUBSTITUTE(SUBSTITUTE(Клиенты_исходные!D544," ",""),"-",""),"+",""),"(",""),")","")),5,3)&amp;"-"&amp;MID(IF(LEFT(SUBSTITUTE(SUBSTITUTE(SUBSTITUTE(SUBSTITUTE(SUBSTITUTE(Клиенты_исходные!D544," ",""),"-",""),"+",""),"(",""),")",""))="8","7"&amp;MID(SUBSTITUTE(SUBSTITUTE(SUBSTITUTE(SUBSTITUTE(SUBSTITUTE(Клиенты_исходные!D544," ",""),"-",""),"+",""),"(",""),")",""),2,10),SUBSTITUTE(SUBSTITUTE(SUBSTITUTE(SUBSTITUTE(SUBSTITUTE(Клиенты_исходные!D544," ",""),"-",""),"+",""),"(",""),")","")),8,2)&amp;"-"&amp;MID(IF(LEFT(SUBSTITUTE(SUBSTITUTE(SUBSTITUTE(SUBSTITUTE(SUBSTITUTE(Клиенты_исходные!D544," ",""),"-",""),"+",""),"(",""),")",""))="8","7"&amp;MID(SUBSTITUTE(SUBSTITUTE(SUBSTITUTE(SUBSTITUTE(SUBSTITUTE(Клиенты_исходные!D544," ",""),"-",""),"+",""),"(",""),")",""),2,10),SUBSTITUTE(SUBSTITUTE(SUBSTITUTE(SUBSTITUTE(SUBSTITUTE(Клиенты_исходные!D544," ",""),"-",""),"+",""),"(",""),")","")),10,2),IF(LEN(SUBSTITUTE(SUBSTITUTE(SUBSTITUTE(SUBSTITUTE(SUBSTITUTE(Клиенты_исходные!D544," ",""),"-",""),"+",""),"(",""),")",""))=10,"+7 ("&amp;MID(SUBSTITUTE(SUBSTITUTE(SUBSTITUTE(SUBSTITUTE(SUBSTITUTE(Клиенты_исходные!D544," ",""),"-",""),"+",""),"(",""),")",""),1,3)&amp;") "&amp;MID(SUBSTITUTE(SUBSTITUTE(SUBSTITUTE(SUBSTITUTE(SUBSTITUTE(Клиенты_исходные!D544," ",""),"-",""),"+",""),"(",""),")",""),4,3)&amp;"-"&amp;MID(SUBSTITUTE(SUBSTITUTE(SUBSTITUTE(SUBSTITUTE(SUBSTITUTE(Клиенты_исходные!D544," ",""),"-",""),"+",""),"(",""),")",""),6,2)&amp;"-"&amp;MID(SUBSTITUTE(SUBSTITUTE(SUBSTITUTE(SUBSTITUTE(SUBSTITUTE(Клиенты_исходные!D544," ",""),"-",""),"+",""),"(",""),")",""),8,2),Клиенты_исходные!D544)))</f>
        <v xml:space="preserve">+7 (903) 789-01-23</v>
      </c>
      <c r="E544" t="str">
        <f>IF(ISBLANK(Клиенты_исходные!E544),"",IF(ISNUMBER(FIND(".",MID(Клиенты_исходные!E544,FIND("@",Клиенты_исходные!E544)+1,255))),Клиенты_исходные!E544,IF(ISNUMBER(FIND("gmail",Клиенты_исходные!E544)),Клиенты_исходные!E544&amp;".com",Клиенты_исходные!E544&amp;".ru")))</f>
        <v>malysheva@gmail.com</v>
      </c>
      <c r="F544" t="str">
        <f>IFERROR(VLOOKUP(Клиенты_исходные!F544,Справочники!$J$2:$K$50,2,FALSE),Клиенты_исходные!F544)</f>
        <v>Волжский</v>
      </c>
      <c r="G544" s="8">
        <f>IFERROR(IF(ISNUMBER(FIND(".",Клиенты_исходные!G544)),DATE(RIGHT(Клиенты_исходные!G544,4),MID(Клиенты_исходные!G544,4,2),LEFT(Клиенты_исходные!G544,2)),DATE(LEFT(Клиенты_исходные!G544,4),MID(Клиенты_исходные!G544,6,2),RIGHT(Клиенты_исходные!G544,2))),Клиенты_исходные!G544)</f>
        <v>50055</v>
      </c>
      <c r="H544">
        <f t="shared" ca="1" si="70"/>
        <v>48</v>
      </c>
      <c r="I544" t="str">
        <f t="shared" si="71"/>
        <v>OK</v>
      </c>
      <c r="J544" t="str">
        <f t="shared" si="72"/>
        <v>OK</v>
      </c>
    </row>
    <row r="545">
      <c r="A545" t="str">
        <f>Клиенты_исходные!A545</f>
        <v>C0544</v>
      </c>
      <c r="B545" t="str">
        <f>PROPER(TRIM(Клиенты_исходные!B545))</f>
        <v xml:space="preserve">Снегирев Денис Павлович</v>
      </c>
      <c r="C545" s="8">
        <f>IFERROR(IF(ISNUMBER(FIND(".",Клиенты_исходные!C545)),DATE(RIGHT(Клиенты_исходные!C545,4),MID(Клиенты_исходные!C545,4,2),LEFT(Клиенты_исходные!C545,2)),DATE(LEFT(Клиенты_исходные!C545,4),MID(Клиенты_исходные!C545,6,2),RIGHT(Клиенты_исходные!C545,2))),Клиенты_исходные!C545)</f>
        <v>31139</v>
      </c>
      <c r="D545" t="str">
        <f>IF(ISBLANK(Клиенты_исходные!D545),"",IF(LEN(SUBSTITUTE(SUBSTITUTE(SUBSTITUTE(SUBSTITUTE(SUBSTITUTE(Клиенты_исходные!D545," ",""),"-",""),"+",""),"(",""),")",""))=11,"+7 ("&amp;MID(IF(LEFT(SUBSTITUTE(SUBSTITUTE(SUBSTITUTE(SUBSTITUTE(SUBSTITUTE(Клиенты_исходные!D545," ",""),"-",""),"+",""),"(",""),")",""))="8","7"&amp;MID(SUBSTITUTE(SUBSTITUTE(SUBSTITUTE(SUBSTITUTE(SUBSTITUTE(Клиенты_исходные!D545," ",""),"-",""),"+",""),"(",""),")",""),2,10),SUBSTITUTE(SUBSTITUTE(SUBSTITUTE(SUBSTITUTE(SUBSTITUTE(Клиенты_исходные!D545," ",""),"-",""),"+",""),"(",""),")","")),2,3)&amp;") "&amp;MID(IF(LEFT(SUBSTITUTE(SUBSTITUTE(SUBSTITUTE(SUBSTITUTE(SUBSTITUTE(Клиенты_исходные!D545," ",""),"-",""),"+",""),"(",""),")",""))="8","7"&amp;MID(SUBSTITUTE(SUBSTITUTE(SUBSTITUTE(SUBSTITUTE(SUBSTITUTE(Клиенты_исходные!D545," ",""),"-",""),"+",""),"(",""),")",""),2,10),SUBSTITUTE(SUBSTITUTE(SUBSTITUTE(SUBSTITUTE(SUBSTITUTE(Клиенты_исходные!D545," ",""),"-",""),"+",""),"(",""),")","")),5,3)&amp;"-"&amp;MID(IF(LEFT(SUBSTITUTE(SUBSTITUTE(SUBSTITUTE(SUBSTITUTE(SUBSTITUTE(Клиенты_исходные!D545," ",""),"-",""),"+",""),"(",""),")",""))="8","7"&amp;MID(SUBSTITUTE(SUBSTITUTE(SUBSTITUTE(SUBSTITUTE(SUBSTITUTE(Клиенты_исходные!D545," ",""),"-",""),"+",""),"(",""),")",""),2,10),SUBSTITUTE(SUBSTITUTE(SUBSTITUTE(SUBSTITUTE(SUBSTITUTE(Клиенты_исходные!D545," ",""),"-",""),"+",""),"(",""),")","")),8,2)&amp;"-"&amp;MID(IF(LEFT(SUBSTITUTE(SUBSTITUTE(SUBSTITUTE(SUBSTITUTE(SUBSTITUTE(Клиенты_исходные!D545," ",""),"-",""),"+",""),"(",""),")",""))="8","7"&amp;MID(SUBSTITUTE(SUBSTITUTE(SUBSTITUTE(SUBSTITUTE(SUBSTITUTE(Клиенты_исходные!D545," ",""),"-",""),"+",""),"(",""),")",""),2,10),SUBSTITUTE(SUBSTITUTE(SUBSTITUTE(SUBSTITUTE(SUBSTITUTE(Клиенты_исходные!D545," ",""),"-",""),"+",""),"(",""),")","")),10,2),IF(LEN(SUBSTITUTE(SUBSTITUTE(SUBSTITUTE(SUBSTITUTE(SUBSTITUTE(Клиенты_исходные!D545," ",""),"-",""),"+",""),"(",""),")",""))=10,"+7 ("&amp;MID(SUBSTITUTE(SUBSTITUTE(SUBSTITUTE(SUBSTITUTE(SUBSTITUTE(Клиенты_исходные!D545," ",""),"-",""),"+",""),"(",""),")",""),1,3)&amp;") "&amp;MID(SUBSTITUTE(SUBSTITUTE(SUBSTITUTE(SUBSTITUTE(SUBSTITUTE(Клиенты_исходные!D545," ",""),"-",""),"+",""),"(",""),")",""),4,3)&amp;"-"&amp;MID(SUBSTITUTE(SUBSTITUTE(SUBSTITUTE(SUBSTITUTE(SUBSTITUTE(Клиенты_исходные!D545," ",""),"-",""),"+",""),"(",""),")",""),6,2)&amp;"-"&amp;MID(SUBSTITUTE(SUBSTITUTE(SUBSTITUTE(SUBSTITUTE(SUBSTITUTE(Клиенты_исходные!D545," ",""),"-",""),"+",""),"(",""),")",""),8,2),Клиенты_исходные!D545)))</f>
        <v xml:space="preserve">+7 (903) 789-01-23</v>
      </c>
      <c r="E545" t="str">
        <f>IF(ISBLANK(Клиенты_исходные!E545),"",IF(ISNUMBER(FIND(".",MID(Клиенты_исходные!E545,FIND("@",Клиенты_исходные!E545)+1,255))),Клиенты_исходные!E545,IF(ISNUMBER(FIND("gmail",Клиенты_исходные!E545)),Клиенты_исходные!E545&amp;".com",Клиенты_исходные!E545&amp;".ru")))</f>
        <v>snegirev@mail.ru</v>
      </c>
      <c r="F545" t="str">
        <f>IFERROR(VLOOKUP(Клиенты_исходные!F545,Справочники!$J$2:$K$50,2,FALSE),Клиенты_исходные!F545)</f>
        <v>Шахты</v>
      </c>
      <c r="G545" s="8">
        <f>IFERROR(IF(ISNUMBER(FIND(".",Клиенты_исходные!G545)),DATE(RIGHT(Клиенты_исходные!G545,4),MID(Клиенты_исходные!G545,4,2),LEFT(Клиенты_исходные!G545,2)),DATE(LEFT(Клиенты_исходные!G545,4),MID(Клиенты_исходные!G545,6,2),RIGHT(Клиенты_исходные!G545,2))),Клиенты_исходные!G545)</f>
        <v>50072</v>
      </c>
      <c r="H545">
        <f t="shared" ca="1" si="70"/>
        <v>41</v>
      </c>
      <c r="I545" t="str">
        <f t="shared" si="71"/>
        <v>OK</v>
      </c>
      <c r="J545" t="str">
        <f t="shared" si="72"/>
        <v>OK</v>
      </c>
    </row>
    <row r="546">
      <c r="A546" t="str">
        <f>Клиенты_исходные!A546</f>
        <v>C0545</v>
      </c>
      <c r="B546" t="str">
        <f>PROPER(TRIM(Клиенты_исходные!B546))</f>
        <v xml:space="preserve">Блохина Ольга Игоревна</v>
      </c>
      <c r="C546" s="8">
        <f>IFERROR(IF(ISNUMBER(FIND(".",Клиенты_исходные!C546)),DATE(RIGHT(Клиенты_исходные!C546,4),MID(Клиенты_исходные!C546,4,2),LEFT(Клиенты_исходные!C546,2)),DATE(LEFT(Клиенты_исходные!C546,4),MID(Клиенты_исходные!C546,6,2),RIGHT(Клиенты_исходные!C546,2))),Клиенты_исходные!C546)</f>
        <v>33865</v>
      </c>
      <c r="D546" t="str">
        <f>IF(ISBLANK(Клиенты_исходные!D546),"",IF(LEN(SUBSTITUTE(SUBSTITUTE(SUBSTITUTE(SUBSTITUTE(SUBSTITUTE(Клиенты_исходные!D546," ",""),"-",""),"+",""),"(",""),")",""))=11,"+7 ("&amp;MID(IF(LEFT(SUBSTITUTE(SUBSTITUTE(SUBSTITUTE(SUBSTITUTE(SUBSTITUTE(Клиенты_исходные!D546," ",""),"-",""),"+",""),"(",""),")",""))="8","7"&amp;MID(SUBSTITUTE(SUBSTITUTE(SUBSTITUTE(SUBSTITUTE(SUBSTITUTE(Клиенты_исходные!D546," ",""),"-",""),"+",""),"(",""),")",""),2,10),SUBSTITUTE(SUBSTITUTE(SUBSTITUTE(SUBSTITUTE(SUBSTITUTE(Клиенты_исходные!D546," ",""),"-",""),"+",""),"(",""),")","")),2,3)&amp;") "&amp;MID(IF(LEFT(SUBSTITUTE(SUBSTITUTE(SUBSTITUTE(SUBSTITUTE(SUBSTITUTE(Клиенты_исходные!D546," ",""),"-",""),"+",""),"(",""),")",""))="8","7"&amp;MID(SUBSTITUTE(SUBSTITUTE(SUBSTITUTE(SUBSTITUTE(SUBSTITUTE(Клиенты_исходные!D546," ",""),"-",""),"+",""),"(",""),")",""),2,10),SUBSTITUTE(SUBSTITUTE(SUBSTITUTE(SUBSTITUTE(SUBSTITUTE(Клиенты_исходные!D546," ",""),"-",""),"+",""),"(",""),")","")),5,3)&amp;"-"&amp;MID(IF(LEFT(SUBSTITUTE(SUBSTITUTE(SUBSTITUTE(SUBSTITUTE(SUBSTITUTE(Клиенты_исходные!D546," ",""),"-",""),"+",""),"(",""),")",""))="8","7"&amp;MID(SUBSTITUTE(SUBSTITUTE(SUBSTITUTE(SUBSTITUTE(SUBSTITUTE(Клиенты_исходные!D546," ",""),"-",""),"+",""),"(",""),")",""),2,10),SUBSTITUTE(SUBSTITUTE(SUBSTITUTE(SUBSTITUTE(SUBSTITUTE(Клиенты_исходные!D546," ",""),"-",""),"+",""),"(",""),")","")),8,2)&amp;"-"&amp;MID(IF(LEFT(SUBSTITUTE(SUBSTITUTE(SUBSTITUTE(SUBSTITUTE(SUBSTITUTE(Клиенты_исходные!D546," ",""),"-",""),"+",""),"(",""),")",""))="8","7"&amp;MID(SUBSTITUTE(SUBSTITUTE(SUBSTITUTE(SUBSTITUTE(SUBSTITUTE(Клиенты_исходные!D546," ",""),"-",""),"+",""),"(",""),")",""),2,10),SUBSTITUTE(SUBSTITUTE(SUBSTITUTE(SUBSTITUTE(SUBSTITUTE(Клиенты_исходные!D546," ",""),"-",""),"+",""),"(",""),")","")),10,2),IF(LEN(SUBSTITUTE(SUBSTITUTE(SUBSTITUTE(SUBSTITUTE(SUBSTITUTE(Клиенты_исходные!D546," ",""),"-",""),"+",""),"(",""),")",""))=10,"+7 ("&amp;MID(SUBSTITUTE(SUBSTITUTE(SUBSTITUTE(SUBSTITUTE(SUBSTITUTE(Клиенты_исходные!D546," ",""),"-",""),"+",""),"(",""),")",""),1,3)&amp;") "&amp;MID(SUBSTITUTE(SUBSTITUTE(SUBSTITUTE(SUBSTITUTE(SUBSTITUTE(Клиенты_исходные!D546," ",""),"-",""),"+",""),"(",""),")",""),4,3)&amp;"-"&amp;MID(SUBSTITUTE(SUBSTITUTE(SUBSTITUTE(SUBSTITUTE(SUBSTITUTE(Клиенты_исходные!D546," ",""),"-",""),"+",""),"(",""),")",""),6,2)&amp;"-"&amp;MID(SUBSTITUTE(SUBSTITUTE(SUBSTITUTE(SUBSTITUTE(SUBSTITUTE(Клиенты_исходные!D546," ",""),"-",""),"+",""),"(",""),")",""),8,2),Клиенты_исходные!D546)))</f>
        <v xml:space="preserve">+7 (903) 789-01-23</v>
      </c>
      <c r="E546" t="str">
        <f>IF(ISBLANK(Клиенты_исходные!E546),"",IF(ISNUMBER(FIND(".",MID(Клиенты_исходные!E546,FIND("@",Клиенты_исходные!E546)+1,255))),Клиенты_исходные!E546,IF(ISNUMBER(FIND("gmail",Клиенты_исходные!E546)),Клиенты_исходные!E546&amp;".com",Клиенты_исходные!E546&amp;".ru")))</f>
        <v>blohina@yandex.ru</v>
      </c>
      <c r="F546" t="str">
        <f>IFERROR(VLOOKUP(Клиенты_исходные!F546,Справочники!$J$2:$K$50,2,FALSE),Клиенты_исходные!F546)</f>
        <v>Златоуст</v>
      </c>
      <c r="G546" s="8">
        <f>IFERROR(IF(ISNUMBER(FIND(".",Клиенты_исходные!G546)),DATE(RIGHT(Клиенты_исходные!G546,4),MID(Клиенты_исходные!G546,4,2),LEFT(Клиенты_исходные!G546,2)),DATE(LEFT(Клиенты_исходные!G546,4),MID(Клиенты_исходные!G546,6,2),RIGHT(Клиенты_исходные!G546,2))),Клиенты_исходные!G546)</f>
        <v>50081</v>
      </c>
      <c r="H546">
        <f t="shared" ca="1" si="70"/>
        <v>34</v>
      </c>
      <c r="I546" t="str">
        <f t="shared" si="71"/>
        <v>OK</v>
      </c>
      <c r="J546" t="str">
        <f t="shared" si="72"/>
        <v>OK</v>
      </c>
    </row>
    <row r="547">
      <c r="A547" t="str">
        <f>Клиенты_исходные!A547</f>
        <v>C0546</v>
      </c>
      <c r="B547" t="str">
        <f>PROPER(TRIM(Клиенты_исходные!B547))</f>
        <v xml:space="preserve">Таранов Илья Александрович</v>
      </c>
      <c r="C547" s="8">
        <f>IFERROR(IF(ISNUMBER(FIND(".",Клиенты_исходные!C547)),DATE(RIGHT(Клиенты_исходные!C547,4),MID(Клиенты_исходные!C547,4,2),LEFT(Клиенты_исходные!C547,2)),DATE(LEFT(Клиенты_исходные!C547,4),MID(Клиенты_исходные!C547,6,2),RIGHT(Клиенты_исходные!C547,2))),Клиенты_исходные!C547)</f>
        <v>27020</v>
      </c>
      <c r="D547" t="str">
        <f>IF(ISBLANK(Клиенты_исходные!D547),"",IF(LEN(SUBSTITUTE(SUBSTITUTE(SUBSTITUTE(SUBSTITUTE(SUBSTITUTE(Клиенты_исходные!D547," ",""),"-",""),"+",""),"(",""),")",""))=11,"+7 ("&amp;MID(IF(LEFT(SUBSTITUTE(SUBSTITUTE(SUBSTITUTE(SUBSTITUTE(SUBSTITUTE(Клиенты_исходные!D547," ",""),"-",""),"+",""),"(",""),")",""))="8","7"&amp;MID(SUBSTITUTE(SUBSTITUTE(SUBSTITUTE(SUBSTITUTE(SUBSTITUTE(Клиенты_исходные!D547," ",""),"-",""),"+",""),"(",""),")",""),2,10),SUBSTITUTE(SUBSTITUTE(SUBSTITUTE(SUBSTITUTE(SUBSTITUTE(Клиенты_исходные!D547," ",""),"-",""),"+",""),"(",""),")","")),2,3)&amp;") "&amp;MID(IF(LEFT(SUBSTITUTE(SUBSTITUTE(SUBSTITUTE(SUBSTITUTE(SUBSTITUTE(Клиенты_исходные!D547," ",""),"-",""),"+",""),"(",""),")",""))="8","7"&amp;MID(SUBSTITUTE(SUBSTITUTE(SUBSTITUTE(SUBSTITUTE(SUBSTITUTE(Клиенты_исходные!D547," ",""),"-",""),"+",""),"(",""),")",""),2,10),SUBSTITUTE(SUBSTITUTE(SUBSTITUTE(SUBSTITUTE(SUBSTITUTE(Клиенты_исходные!D547," ",""),"-",""),"+",""),"(",""),")","")),5,3)&amp;"-"&amp;MID(IF(LEFT(SUBSTITUTE(SUBSTITUTE(SUBSTITUTE(SUBSTITUTE(SUBSTITUTE(Клиенты_исходные!D547," ",""),"-",""),"+",""),"(",""),")",""))="8","7"&amp;MID(SUBSTITUTE(SUBSTITUTE(SUBSTITUTE(SUBSTITUTE(SUBSTITUTE(Клиенты_исходные!D547," ",""),"-",""),"+",""),"(",""),")",""),2,10),SUBSTITUTE(SUBSTITUTE(SUBSTITUTE(SUBSTITUTE(SUBSTITUTE(Клиенты_исходные!D547," ",""),"-",""),"+",""),"(",""),")","")),8,2)&amp;"-"&amp;MID(IF(LEFT(SUBSTITUTE(SUBSTITUTE(SUBSTITUTE(SUBSTITUTE(SUBSTITUTE(Клиенты_исходные!D547," ",""),"-",""),"+",""),"(",""),")",""))="8","7"&amp;MID(SUBSTITUTE(SUBSTITUTE(SUBSTITUTE(SUBSTITUTE(SUBSTITUTE(Клиенты_исходные!D547," ",""),"-",""),"+",""),"(",""),")",""),2,10),SUBSTITUTE(SUBSTITUTE(SUBSTITUTE(SUBSTITUTE(SUBSTITUTE(Клиенты_исходные!D547," ",""),"-",""),"+",""),"(",""),")","")),10,2),IF(LEN(SUBSTITUTE(SUBSTITUTE(SUBSTITUTE(SUBSTITUTE(SUBSTITUTE(Клиенты_исходные!D547," ",""),"-",""),"+",""),"(",""),")",""))=10,"+7 ("&amp;MID(SUBSTITUTE(SUBSTITUTE(SUBSTITUTE(SUBSTITUTE(SUBSTITUTE(Клиенты_исходные!D547," ",""),"-",""),"+",""),"(",""),")",""),1,3)&amp;") "&amp;MID(SUBSTITUTE(SUBSTITUTE(SUBSTITUTE(SUBSTITUTE(SUBSTITUTE(Клиенты_исходные!D547," ",""),"-",""),"+",""),"(",""),")",""),4,3)&amp;"-"&amp;MID(SUBSTITUTE(SUBSTITUTE(SUBSTITUTE(SUBSTITUTE(SUBSTITUTE(Клиенты_исходные!D547," ",""),"-",""),"+",""),"(",""),")",""),6,2)&amp;"-"&amp;MID(SUBSTITUTE(SUBSTITUTE(SUBSTITUTE(SUBSTITUTE(SUBSTITUTE(Клиенты_исходные!D547," ",""),"-",""),"+",""),"(",""),")",""),8,2),Клиенты_исходные!D547)))</f>
        <v xml:space="preserve">+7 (903) 890-12-34</v>
      </c>
      <c r="E547" t="str">
        <f>IF(ISBLANK(Клиенты_исходные!E547),"",IF(ISNUMBER(FIND(".",MID(Клиенты_исходные!E547,FIND("@",Клиенты_исходные!E547)+1,255))),Клиенты_исходные!E547,IF(ISNUMBER(FIND("gmail",Клиенты_исходные!E547)),Клиенты_исходные!E547&amp;".com",Клиенты_исходные!E547&amp;".ru")))</f>
        <v>taranov@gmail.com</v>
      </c>
      <c r="F547" t="str">
        <f>IFERROR(VLOOKUP(Клиенты_исходные!F547,Справочники!$J$2:$K$50,2,FALSE),Клиенты_исходные!F547)</f>
        <v>Ангарск</v>
      </c>
      <c r="G547" s="8">
        <f>IFERROR(IF(ISNUMBER(FIND(".",Клиенты_исходные!G547)),DATE(RIGHT(Клиенты_исходные!G547,4),MID(Клиенты_исходные!G547,4,2),LEFT(Клиенты_исходные!G547,2)),DATE(LEFT(Клиенты_исходные!G547,4),MID(Клиенты_исходные!G547,6,2),RIGHT(Клиенты_исходные!G547,2))),Клиенты_исходные!G547)</f>
        <v>50081</v>
      </c>
      <c r="H547">
        <f t="shared" ca="1" si="70"/>
        <v>52</v>
      </c>
      <c r="I547" t="str">
        <f t="shared" si="71"/>
        <v>OK</v>
      </c>
      <c r="J547" t="str">
        <f t="shared" si="72"/>
        <v>OK</v>
      </c>
    </row>
    <row r="548">
      <c r="A548" t="str">
        <f>Клиенты_исходные!A548</f>
        <v>C0547</v>
      </c>
      <c r="B548" t="str">
        <f>PROPER(TRIM(Клиенты_исходные!B548))</f>
        <v xml:space="preserve">Бобылева Екатерина Сергеевна</v>
      </c>
      <c r="C548" s="8">
        <f>IFERROR(IF(ISNUMBER(FIND(".",Клиенты_исходные!C548)),DATE(RIGHT(Клиенты_исходные!C548,4),MID(Клиенты_исходные!C548,4,2),LEFT(Клиенты_исходные!C548,2)),DATE(LEFT(Клиенты_исходные!C548,4),MID(Клиенты_исходные!C548,6,2),RIGHT(Клиенты_исходные!C548,2))),Клиенты_исходные!C548)</f>
        <v>29409</v>
      </c>
      <c r="D548" t="str">
        <f>IF(ISBLANK(Клиенты_исходные!D548),"",IF(LEN(SUBSTITUTE(SUBSTITUTE(SUBSTITUTE(SUBSTITUTE(SUBSTITUTE(Клиенты_исходные!D548," ",""),"-",""),"+",""),"(",""),")",""))=11,"+7 ("&amp;MID(IF(LEFT(SUBSTITUTE(SUBSTITUTE(SUBSTITUTE(SUBSTITUTE(SUBSTITUTE(Клиенты_исходные!D548," ",""),"-",""),"+",""),"(",""),")",""))="8","7"&amp;MID(SUBSTITUTE(SUBSTITUTE(SUBSTITUTE(SUBSTITUTE(SUBSTITUTE(Клиенты_исходные!D548," ",""),"-",""),"+",""),"(",""),")",""),2,10),SUBSTITUTE(SUBSTITUTE(SUBSTITUTE(SUBSTITUTE(SUBSTITUTE(Клиенты_исходные!D548," ",""),"-",""),"+",""),"(",""),")","")),2,3)&amp;") "&amp;MID(IF(LEFT(SUBSTITUTE(SUBSTITUTE(SUBSTITUTE(SUBSTITUTE(SUBSTITUTE(Клиенты_исходные!D548," ",""),"-",""),"+",""),"(",""),")",""))="8","7"&amp;MID(SUBSTITUTE(SUBSTITUTE(SUBSTITUTE(SUBSTITUTE(SUBSTITUTE(Клиенты_исходные!D548," ",""),"-",""),"+",""),"(",""),")",""),2,10),SUBSTITUTE(SUBSTITUTE(SUBSTITUTE(SUBSTITUTE(SUBSTITUTE(Клиенты_исходные!D548," ",""),"-",""),"+",""),"(",""),")","")),5,3)&amp;"-"&amp;MID(IF(LEFT(SUBSTITUTE(SUBSTITUTE(SUBSTITUTE(SUBSTITUTE(SUBSTITUTE(Клиенты_исходные!D548," ",""),"-",""),"+",""),"(",""),")",""))="8","7"&amp;MID(SUBSTITUTE(SUBSTITUTE(SUBSTITUTE(SUBSTITUTE(SUBSTITUTE(Клиенты_исходные!D548," ",""),"-",""),"+",""),"(",""),")",""),2,10),SUBSTITUTE(SUBSTITUTE(SUBSTITUTE(SUBSTITUTE(SUBSTITUTE(Клиенты_исходные!D548," ",""),"-",""),"+",""),"(",""),")","")),8,2)&amp;"-"&amp;MID(IF(LEFT(SUBSTITUTE(SUBSTITUTE(SUBSTITUTE(SUBSTITUTE(SUBSTITUTE(Клиенты_исходные!D548," ",""),"-",""),"+",""),"(",""),")",""))="8","7"&amp;MID(SUBSTITUTE(SUBSTITUTE(SUBSTITUTE(SUBSTITUTE(SUBSTITUTE(Клиенты_исходные!D548," ",""),"-",""),"+",""),"(",""),")",""),2,10),SUBSTITUTE(SUBSTITUTE(SUBSTITUTE(SUBSTITUTE(SUBSTITUTE(Клиенты_исходные!D548," ",""),"-",""),"+",""),"(",""),")","")),10,2),IF(LEN(SUBSTITUTE(SUBSTITUTE(SUBSTITUTE(SUBSTITUTE(SUBSTITUTE(Клиенты_исходные!D548," ",""),"-",""),"+",""),"(",""),")",""))=10,"+7 ("&amp;MID(SUBSTITUTE(SUBSTITUTE(SUBSTITUTE(SUBSTITUTE(SUBSTITUTE(Клиенты_исходные!D548," ",""),"-",""),"+",""),"(",""),")",""),1,3)&amp;") "&amp;MID(SUBSTITUTE(SUBSTITUTE(SUBSTITUTE(SUBSTITUTE(SUBSTITUTE(Клиенты_исходные!D548," ",""),"-",""),"+",""),"(",""),")",""),4,3)&amp;"-"&amp;MID(SUBSTITUTE(SUBSTITUTE(SUBSTITUTE(SUBSTITUTE(SUBSTITUTE(Клиенты_исходные!D548," ",""),"-",""),"+",""),"(",""),")",""),6,2)&amp;"-"&amp;MID(SUBSTITUTE(SUBSTITUTE(SUBSTITUTE(SUBSTITUTE(SUBSTITUTE(Клиенты_исходные!D548," ",""),"-",""),"+",""),"(",""),")",""),8,2),Клиенты_исходные!D548)))</f>
        <v xml:space="preserve">+7 (903) 890-12-34</v>
      </c>
      <c r="E548" t="str">
        <f>IF(ISBLANK(Клиенты_исходные!E548),"",IF(ISNUMBER(FIND(".",MID(Клиенты_исходные!E548,FIND("@",Клиенты_исходные!E548)+1,255))),Клиенты_исходные!E548,IF(ISNUMBER(FIND("gmail",Клиенты_исходные!E548)),Клиенты_исходные!E548&amp;".com",Клиенты_исходные!E548&amp;".ru")))</f>
        <v>bobyleva@mail.ru</v>
      </c>
      <c r="F548" t="str">
        <f>IFERROR(VLOOKUP(Клиенты_исходные!F548,Справочники!$J$2:$K$50,2,FALSE),Клиенты_исходные!F548)</f>
        <v>Озёрск</v>
      </c>
      <c r="G548" s="8">
        <f>IFERROR(IF(ISNUMBER(FIND(".",Клиенты_исходные!G548)),DATE(RIGHT(Клиенты_исходные!G548,4),MID(Клиенты_исходные!G548,4,2),LEFT(Клиенты_исходные!G548,2)),DATE(LEFT(Клиенты_исходные!G548,4),MID(Клиенты_исходные!G548,6,2),RIGHT(Клиенты_исходные!G548,2))),Клиенты_исходные!G548)</f>
        <v>50100</v>
      </c>
      <c r="H548">
        <f t="shared" ref="H548:H611" ca="1" si="73">DATEDIF(C548,TODAY(),"Y")</f>
        <v>46</v>
      </c>
      <c r="I548" t="str">
        <f t="shared" ref="I548:I611" si="74">IF(OR(H548&lt;18,H548&gt;80),"Ошибка даты рождения","OK")</f>
        <v>OK</v>
      </c>
      <c r="J548" t="str">
        <f t="shared" ref="J548:J611" si="75">IF(AND(ISNUMBER(FIND("@",E548)),ISNUMBER(FIND(".",MID(E548,FIND("@",E548)+1,255)))),"OK","Ошибка Email")</f>
        <v>OK</v>
      </c>
    </row>
    <row r="549">
      <c r="A549" t="str">
        <f>Клиенты_исходные!A549</f>
        <v>C0548</v>
      </c>
      <c r="B549" t="str">
        <f>PROPER(TRIM(Клиенты_исходные!B549))</f>
        <v xml:space="preserve">Мочалов Андрей Павлович</v>
      </c>
      <c r="C549" s="8">
        <f>IFERROR(IF(ISNUMBER(FIND(".",Клиенты_исходные!C549)),DATE(RIGHT(Клиенты_исходные!C549,4),MID(Клиенты_исходные!C549,4,2),LEFT(Клиенты_исходные!C549,2)),DATE(LEFT(Клиенты_исходные!C549,4),MID(Клиенты_исходные!C549,6,2),RIGHT(Клиенты_исходные!C549,2))),Клиенты_исходные!C549)</f>
        <v>32290</v>
      </c>
      <c r="D549" t="str">
        <f>IF(ISBLANK(Клиенты_исходные!D549),"",IF(LEN(SUBSTITUTE(SUBSTITUTE(SUBSTITUTE(SUBSTITUTE(SUBSTITUTE(Клиенты_исходные!D549," ",""),"-",""),"+",""),"(",""),")",""))=11,"+7 ("&amp;MID(IF(LEFT(SUBSTITUTE(SUBSTITUTE(SUBSTITUTE(SUBSTITUTE(SUBSTITUTE(Клиенты_исходные!D549," ",""),"-",""),"+",""),"(",""),")",""))="8","7"&amp;MID(SUBSTITUTE(SUBSTITUTE(SUBSTITUTE(SUBSTITUTE(SUBSTITUTE(Клиенты_исходные!D549," ",""),"-",""),"+",""),"(",""),")",""),2,10),SUBSTITUTE(SUBSTITUTE(SUBSTITUTE(SUBSTITUTE(SUBSTITUTE(Клиенты_исходные!D549," ",""),"-",""),"+",""),"(",""),")","")),2,3)&amp;") "&amp;MID(IF(LEFT(SUBSTITUTE(SUBSTITUTE(SUBSTITUTE(SUBSTITUTE(SUBSTITUTE(Клиенты_исходные!D549," ",""),"-",""),"+",""),"(",""),")",""))="8","7"&amp;MID(SUBSTITUTE(SUBSTITUTE(SUBSTITUTE(SUBSTITUTE(SUBSTITUTE(Клиенты_исходные!D549," ",""),"-",""),"+",""),"(",""),")",""),2,10),SUBSTITUTE(SUBSTITUTE(SUBSTITUTE(SUBSTITUTE(SUBSTITUTE(Клиенты_исходные!D549," ",""),"-",""),"+",""),"(",""),")","")),5,3)&amp;"-"&amp;MID(IF(LEFT(SUBSTITUTE(SUBSTITUTE(SUBSTITUTE(SUBSTITUTE(SUBSTITUTE(Клиенты_исходные!D549," ",""),"-",""),"+",""),"(",""),")",""))="8","7"&amp;MID(SUBSTITUTE(SUBSTITUTE(SUBSTITUTE(SUBSTITUTE(SUBSTITUTE(Клиенты_исходные!D549," ",""),"-",""),"+",""),"(",""),")",""),2,10),SUBSTITUTE(SUBSTITUTE(SUBSTITUTE(SUBSTITUTE(SUBSTITUTE(Клиенты_исходные!D549," ",""),"-",""),"+",""),"(",""),")","")),8,2)&amp;"-"&amp;MID(IF(LEFT(SUBSTITUTE(SUBSTITUTE(SUBSTITUTE(SUBSTITUTE(SUBSTITUTE(Клиенты_исходные!D549," ",""),"-",""),"+",""),"(",""),")",""))="8","7"&amp;MID(SUBSTITUTE(SUBSTITUTE(SUBSTITUTE(SUBSTITUTE(SUBSTITUTE(Клиенты_исходные!D549," ",""),"-",""),"+",""),"(",""),")",""),2,10),SUBSTITUTE(SUBSTITUTE(SUBSTITUTE(SUBSTITUTE(SUBSTITUTE(Клиенты_исходные!D549," ",""),"-",""),"+",""),"(",""),")","")),10,2),IF(LEN(SUBSTITUTE(SUBSTITUTE(SUBSTITUTE(SUBSTITUTE(SUBSTITUTE(Клиенты_исходные!D549," ",""),"-",""),"+",""),"(",""),")",""))=10,"+7 ("&amp;MID(SUBSTITUTE(SUBSTITUTE(SUBSTITUTE(SUBSTITUTE(SUBSTITUTE(Клиенты_исходные!D549," ",""),"-",""),"+",""),"(",""),")",""),1,3)&amp;") "&amp;MID(SUBSTITUTE(SUBSTITUTE(SUBSTITUTE(SUBSTITUTE(SUBSTITUTE(Клиенты_исходные!D549," ",""),"-",""),"+",""),"(",""),")",""),4,3)&amp;"-"&amp;MID(SUBSTITUTE(SUBSTITUTE(SUBSTITUTE(SUBSTITUTE(SUBSTITUTE(Клиенты_исходные!D549," ",""),"-",""),"+",""),"(",""),")",""),6,2)&amp;"-"&amp;MID(SUBSTITUTE(SUBSTITUTE(SUBSTITUTE(SUBSTITUTE(SUBSTITUTE(Клиенты_исходные!D549," ",""),"-",""),"+",""),"(",""),")",""),8,2),Клиенты_исходные!D549)))</f>
        <v xml:space="preserve">+7 (903) 890-12-34</v>
      </c>
      <c r="E549" t="str">
        <f>IF(ISBLANK(Клиенты_исходные!E549),"",IF(ISNUMBER(FIND(".",MID(Клиенты_исходные!E549,FIND("@",Клиенты_исходные!E549)+1,255))),Клиенты_исходные!E549,IF(ISNUMBER(FIND("gmail",Клиенты_исходные!E549)),Клиенты_исходные!E549&amp;".com",Клиенты_исходные!E549&amp;".ru")))</f>
        <v>mochalov@yandex.ru</v>
      </c>
      <c r="F549" t="str">
        <f>IFERROR(VLOOKUP(Клиенты_исходные!F549,Справочники!$J$2:$K$50,2,FALSE),Клиенты_исходные!F549)</f>
        <v>Орел</v>
      </c>
      <c r="G549" s="8">
        <f>IFERROR(IF(ISNUMBER(FIND(".",Клиенты_исходные!G549)),DATE(RIGHT(Клиенты_исходные!G549,4),MID(Клиенты_исходные!G549,4,2),LEFT(Клиенты_исходные!G549,2)),DATE(LEFT(Клиенты_исходные!G549,4),MID(Клиенты_исходные!G549,6,2),RIGHT(Клиенты_исходные!G549,2))),Клиенты_исходные!G549)</f>
        <v>50114</v>
      </c>
      <c r="H549">
        <f t="shared" ca="1" si="73"/>
        <v>38</v>
      </c>
      <c r="I549" t="str">
        <f t="shared" si="74"/>
        <v>OK</v>
      </c>
      <c r="J549" t="str">
        <f t="shared" si="75"/>
        <v>OK</v>
      </c>
    </row>
    <row r="550">
      <c r="A550" t="str">
        <f>Клиенты_исходные!A550</f>
        <v>C0549</v>
      </c>
      <c r="B550" t="str">
        <f>PROPER(TRIM(Клиенты_исходные!B550))</f>
        <v xml:space="preserve">Курина Мария Владимировна</v>
      </c>
      <c r="C550" s="8">
        <f>IFERROR(IF(ISNUMBER(FIND(".",Клиенты_исходные!C550)),DATE(RIGHT(Клиенты_исходные!C550,4),MID(Клиенты_исходные!C550,4,2),LEFT(Клиенты_исходные!C550,2)),DATE(LEFT(Клиенты_исходные!C550,4),MID(Клиенты_исходные!C550,6,2),RIGHT(Клиенты_исходные!C550,2))),Клиенты_исходные!C550)</f>
        <v>27315</v>
      </c>
      <c r="D550" t="str">
        <f>IF(ISBLANK(Клиенты_исходные!D550),"",IF(LEN(SUBSTITUTE(SUBSTITUTE(SUBSTITUTE(SUBSTITUTE(SUBSTITUTE(Клиенты_исходные!D550," ",""),"-",""),"+",""),"(",""),")",""))=11,"+7 ("&amp;MID(IF(LEFT(SUBSTITUTE(SUBSTITUTE(SUBSTITUTE(SUBSTITUTE(SUBSTITUTE(Клиенты_исходные!D550," ",""),"-",""),"+",""),"(",""),")",""))="8","7"&amp;MID(SUBSTITUTE(SUBSTITUTE(SUBSTITUTE(SUBSTITUTE(SUBSTITUTE(Клиенты_исходные!D550," ",""),"-",""),"+",""),"(",""),")",""),2,10),SUBSTITUTE(SUBSTITUTE(SUBSTITUTE(SUBSTITUTE(SUBSTITUTE(Клиенты_исходные!D550," ",""),"-",""),"+",""),"(",""),")","")),2,3)&amp;") "&amp;MID(IF(LEFT(SUBSTITUTE(SUBSTITUTE(SUBSTITUTE(SUBSTITUTE(SUBSTITUTE(Клиенты_исходные!D550," ",""),"-",""),"+",""),"(",""),")",""))="8","7"&amp;MID(SUBSTITUTE(SUBSTITUTE(SUBSTITUTE(SUBSTITUTE(SUBSTITUTE(Клиенты_исходные!D550," ",""),"-",""),"+",""),"(",""),")",""),2,10),SUBSTITUTE(SUBSTITUTE(SUBSTITUTE(SUBSTITUTE(SUBSTITUTE(Клиенты_исходные!D550," ",""),"-",""),"+",""),"(",""),")","")),5,3)&amp;"-"&amp;MID(IF(LEFT(SUBSTITUTE(SUBSTITUTE(SUBSTITUTE(SUBSTITUTE(SUBSTITUTE(Клиенты_исходные!D550," ",""),"-",""),"+",""),"(",""),")",""))="8","7"&amp;MID(SUBSTITUTE(SUBSTITUTE(SUBSTITUTE(SUBSTITUTE(SUBSTITUTE(Клиенты_исходные!D550," ",""),"-",""),"+",""),"(",""),")",""),2,10),SUBSTITUTE(SUBSTITUTE(SUBSTITUTE(SUBSTITUTE(SUBSTITUTE(Клиенты_исходные!D550," ",""),"-",""),"+",""),"(",""),")","")),8,2)&amp;"-"&amp;MID(IF(LEFT(SUBSTITUTE(SUBSTITUTE(SUBSTITUTE(SUBSTITUTE(SUBSTITUTE(Клиенты_исходные!D550," ",""),"-",""),"+",""),"(",""),")",""))="8","7"&amp;MID(SUBSTITUTE(SUBSTITUTE(SUBSTITUTE(SUBSTITUTE(SUBSTITUTE(Клиенты_исходные!D550," ",""),"-",""),"+",""),"(",""),")",""),2,10),SUBSTITUTE(SUBSTITUTE(SUBSTITUTE(SUBSTITUTE(SUBSTITUTE(Клиенты_исходные!D550," ",""),"-",""),"+",""),"(",""),")","")),10,2),IF(LEN(SUBSTITUTE(SUBSTITUTE(SUBSTITUTE(SUBSTITUTE(SUBSTITUTE(Клиенты_исходные!D550," ",""),"-",""),"+",""),"(",""),")",""))=10,"+7 ("&amp;MID(SUBSTITUTE(SUBSTITUTE(SUBSTITUTE(SUBSTITUTE(SUBSTITUTE(Клиенты_исходные!D550," ",""),"-",""),"+",""),"(",""),")",""),1,3)&amp;") "&amp;MID(SUBSTITUTE(SUBSTITUTE(SUBSTITUTE(SUBSTITUTE(SUBSTITUTE(Клиенты_исходные!D550," ",""),"-",""),"+",""),"(",""),")",""),4,3)&amp;"-"&amp;MID(SUBSTITUTE(SUBSTITUTE(SUBSTITUTE(SUBSTITUTE(SUBSTITUTE(Клиенты_исходные!D550," ",""),"-",""),"+",""),"(",""),")",""),6,2)&amp;"-"&amp;MID(SUBSTITUTE(SUBSTITUTE(SUBSTITUTE(SUBSTITUTE(SUBSTITUTE(Клиенты_исходные!D550," ",""),"-",""),"+",""),"(",""),")",""),8,2),Клиенты_исходные!D550)))</f>
        <v xml:space="preserve">+7 (903) 901-23-45</v>
      </c>
      <c r="E550" t="str">
        <f>IF(ISBLANK(Клиенты_исходные!E550),"",IF(ISNUMBER(FIND(".",MID(Клиенты_исходные!E550,FIND("@",Клиенты_исходные!E550)+1,255))),Клиенты_исходные!E550,IF(ISNUMBER(FIND("gmail",Клиенты_исходные!E550)),Клиенты_исходные!E550&amp;".com",Клиенты_исходные!E550&amp;".ru")))</f>
        <v>kurina@gmail.com</v>
      </c>
      <c r="F550" t="str">
        <f>IFERROR(VLOOKUP(Клиенты_исходные!F550,Справочники!$J$2:$K$50,2,FALSE),Клиенты_исходные!F550)</f>
        <v>Магнитогорск</v>
      </c>
      <c r="G550" s="8">
        <f>IFERROR(IF(ISNUMBER(FIND(".",Клиенты_исходные!G550)),DATE(RIGHT(Клиенты_исходные!G550,4),MID(Клиенты_исходные!G550,4,2),LEFT(Клиенты_исходные!G550,2)),DATE(LEFT(Клиенты_исходные!G550,4),MID(Клиенты_исходные!G550,6,2),RIGHT(Клиенты_исходные!G550,2))),Клиенты_исходные!G550)</f>
        <v>50114</v>
      </c>
      <c r="H550">
        <f t="shared" ca="1" si="73"/>
        <v>51</v>
      </c>
      <c r="I550" t="str">
        <f t="shared" si="74"/>
        <v>OK</v>
      </c>
      <c r="J550" t="str">
        <f t="shared" si="75"/>
        <v>OK</v>
      </c>
    </row>
    <row r="551">
      <c r="A551" t="str">
        <f>Клиенты_исходные!A551</f>
        <v>C0550</v>
      </c>
      <c r="B551" t="str">
        <f>PROPER(TRIM(Клиенты_исходные!B551))</f>
        <v xml:space="preserve">Клементьев Денис Олегович</v>
      </c>
      <c r="C551" s="8">
        <f>IFERROR(IF(ISNUMBER(FIND(".",Клиенты_исходные!C551)),DATE(RIGHT(Клиенты_исходные!C551,4),MID(Клиенты_исходные!C551,4,2),LEFT(Клиенты_исходные!C551,2)),DATE(LEFT(Клиенты_исходные!C551,4),MID(Клиенты_исходные!C551,6,2),RIGHT(Клиенты_исходные!C551,2))),Клиенты_исходные!C551)</f>
        <v>30371</v>
      </c>
      <c r="D551" t="str">
        <f>IF(ISBLANK(Клиенты_исходные!D551),"",IF(LEN(SUBSTITUTE(SUBSTITUTE(SUBSTITUTE(SUBSTITUTE(SUBSTITUTE(Клиенты_исходные!D551," ",""),"-",""),"+",""),"(",""),")",""))=11,"+7 ("&amp;MID(IF(LEFT(SUBSTITUTE(SUBSTITUTE(SUBSTITUTE(SUBSTITUTE(SUBSTITUTE(Клиенты_исходные!D551," ",""),"-",""),"+",""),"(",""),")",""))="8","7"&amp;MID(SUBSTITUTE(SUBSTITUTE(SUBSTITUTE(SUBSTITUTE(SUBSTITUTE(Клиенты_исходные!D551," ",""),"-",""),"+",""),"(",""),")",""),2,10),SUBSTITUTE(SUBSTITUTE(SUBSTITUTE(SUBSTITUTE(SUBSTITUTE(Клиенты_исходные!D551," ",""),"-",""),"+",""),"(",""),")","")),2,3)&amp;") "&amp;MID(IF(LEFT(SUBSTITUTE(SUBSTITUTE(SUBSTITUTE(SUBSTITUTE(SUBSTITUTE(Клиенты_исходные!D551," ",""),"-",""),"+",""),"(",""),")",""))="8","7"&amp;MID(SUBSTITUTE(SUBSTITUTE(SUBSTITUTE(SUBSTITUTE(SUBSTITUTE(Клиенты_исходные!D551," ",""),"-",""),"+",""),"(",""),")",""),2,10),SUBSTITUTE(SUBSTITUTE(SUBSTITUTE(SUBSTITUTE(SUBSTITUTE(Клиенты_исходные!D551," ",""),"-",""),"+",""),"(",""),")","")),5,3)&amp;"-"&amp;MID(IF(LEFT(SUBSTITUTE(SUBSTITUTE(SUBSTITUTE(SUBSTITUTE(SUBSTITUTE(Клиенты_исходные!D551," ",""),"-",""),"+",""),"(",""),")",""))="8","7"&amp;MID(SUBSTITUTE(SUBSTITUTE(SUBSTITUTE(SUBSTITUTE(SUBSTITUTE(Клиенты_исходные!D551," ",""),"-",""),"+",""),"(",""),")",""),2,10),SUBSTITUTE(SUBSTITUTE(SUBSTITUTE(SUBSTITUTE(SUBSTITUTE(Клиенты_исходные!D551," ",""),"-",""),"+",""),"(",""),")","")),8,2)&amp;"-"&amp;MID(IF(LEFT(SUBSTITUTE(SUBSTITUTE(SUBSTITUTE(SUBSTITUTE(SUBSTITUTE(Клиенты_исходные!D551," ",""),"-",""),"+",""),"(",""),")",""))="8","7"&amp;MID(SUBSTITUTE(SUBSTITUTE(SUBSTITUTE(SUBSTITUTE(SUBSTITUTE(Клиенты_исходные!D551," ",""),"-",""),"+",""),"(",""),")",""),2,10),SUBSTITUTE(SUBSTITUTE(SUBSTITUTE(SUBSTITUTE(SUBSTITUTE(Клиенты_исходные!D551," ",""),"-",""),"+",""),"(",""),")","")),10,2),IF(LEN(SUBSTITUTE(SUBSTITUTE(SUBSTITUTE(SUBSTITUTE(SUBSTITUTE(Клиенты_исходные!D551," ",""),"-",""),"+",""),"(",""),")",""))=10,"+7 ("&amp;MID(SUBSTITUTE(SUBSTITUTE(SUBSTITUTE(SUBSTITUTE(SUBSTITUTE(Клиенты_исходные!D551," ",""),"-",""),"+",""),"(",""),")",""),1,3)&amp;") "&amp;MID(SUBSTITUTE(SUBSTITUTE(SUBSTITUTE(SUBSTITUTE(SUBSTITUTE(Клиенты_исходные!D551," ",""),"-",""),"+",""),"(",""),")",""),4,3)&amp;"-"&amp;MID(SUBSTITUTE(SUBSTITUTE(SUBSTITUTE(SUBSTITUTE(SUBSTITUTE(Клиенты_исходные!D551," ",""),"-",""),"+",""),"(",""),")",""),6,2)&amp;"-"&amp;MID(SUBSTITUTE(SUBSTITUTE(SUBSTITUTE(SUBSTITUTE(SUBSTITUTE(Клиенты_исходные!D551," ",""),"-",""),"+",""),"(",""),")",""),8,2),Клиенты_исходные!D551)))</f>
        <v xml:space="preserve">+7 (903) 901-23-45</v>
      </c>
      <c r="E551" t="str">
        <f>IF(ISBLANK(Клиенты_исходные!E551),"",IF(ISNUMBER(FIND(".",MID(Клиенты_исходные!E551,FIND("@",Клиенты_исходные!E551)+1,255))),Клиенты_исходные!E551,IF(ISNUMBER(FIND("gmail",Клиенты_исходные!E551)),Клиенты_исходные!E551&amp;".com",Клиенты_исходные!E551&amp;".ru")))</f>
        <v>klementev@mail.ru</v>
      </c>
      <c r="F551" t="str">
        <f>IFERROR(VLOOKUP(Клиенты_исходные!F551,Справочники!$J$2:$K$50,2,FALSE),Клиенты_исходные!F551)</f>
        <v>Якутск</v>
      </c>
      <c r="G551" s="8">
        <f>IFERROR(IF(ISNUMBER(FIND(".",Клиенты_исходные!G551)),DATE(RIGHT(Клиенты_исходные!G551,4),MID(Клиенты_исходные!G551,4,2),LEFT(Клиенты_исходные!G551,2)),DATE(LEFT(Клиенты_исходные!G551,4),MID(Клиенты_исходные!G551,6,2),RIGHT(Клиенты_исходные!G551,2))),Клиенты_исходные!G551)</f>
        <v>50131</v>
      </c>
      <c r="H551">
        <f t="shared" ca="1" si="73"/>
        <v>43</v>
      </c>
      <c r="I551" t="str">
        <f t="shared" si="74"/>
        <v>OK</v>
      </c>
      <c r="J551" t="str">
        <f t="shared" si="75"/>
        <v>OK</v>
      </c>
    </row>
    <row r="552">
      <c r="A552" t="str">
        <f>Клиенты_исходные!A552</f>
        <v>C0551</v>
      </c>
      <c r="B552" t="str">
        <f>PROPER(TRIM(Клиенты_исходные!B552))</f>
        <v xml:space="preserve">Носова Ольга Павловна</v>
      </c>
      <c r="C552" s="8">
        <f>IFERROR(IF(ISNUMBER(FIND(".",Клиенты_исходные!C552)),DATE(RIGHT(Клиенты_исходные!C552,4),MID(Клиенты_исходные!C552,4,2),LEFT(Клиенты_исходные!C552,2)),DATE(LEFT(Клиенты_исходные!C552,4),MID(Клиенты_исходные!C552,6,2),RIGHT(Клиенты_исходные!C552,2))),Клиенты_исходные!C552)</f>
        <v>32757</v>
      </c>
      <c r="D552" t="str">
        <f>IF(ISBLANK(Клиенты_исходные!D552),"",IF(LEN(SUBSTITUTE(SUBSTITUTE(SUBSTITUTE(SUBSTITUTE(SUBSTITUTE(Клиенты_исходные!D552," ",""),"-",""),"+",""),"(",""),")",""))=11,"+7 ("&amp;MID(IF(LEFT(SUBSTITUTE(SUBSTITUTE(SUBSTITUTE(SUBSTITUTE(SUBSTITUTE(Клиенты_исходные!D552," ",""),"-",""),"+",""),"(",""),")",""))="8","7"&amp;MID(SUBSTITUTE(SUBSTITUTE(SUBSTITUTE(SUBSTITUTE(SUBSTITUTE(Клиенты_исходные!D552," ",""),"-",""),"+",""),"(",""),")",""),2,10),SUBSTITUTE(SUBSTITUTE(SUBSTITUTE(SUBSTITUTE(SUBSTITUTE(Клиенты_исходные!D552," ",""),"-",""),"+",""),"(",""),")","")),2,3)&amp;") "&amp;MID(IF(LEFT(SUBSTITUTE(SUBSTITUTE(SUBSTITUTE(SUBSTITUTE(SUBSTITUTE(Клиенты_исходные!D552," ",""),"-",""),"+",""),"(",""),")",""))="8","7"&amp;MID(SUBSTITUTE(SUBSTITUTE(SUBSTITUTE(SUBSTITUTE(SUBSTITUTE(Клиенты_исходные!D552," ",""),"-",""),"+",""),"(",""),")",""),2,10),SUBSTITUTE(SUBSTITUTE(SUBSTITUTE(SUBSTITUTE(SUBSTITUTE(Клиенты_исходные!D552," ",""),"-",""),"+",""),"(",""),")","")),5,3)&amp;"-"&amp;MID(IF(LEFT(SUBSTITUTE(SUBSTITUTE(SUBSTITUTE(SUBSTITUTE(SUBSTITUTE(Клиенты_исходные!D552," ",""),"-",""),"+",""),"(",""),")",""))="8","7"&amp;MID(SUBSTITUTE(SUBSTITUTE(SUBSTITUTE(SUBSTITUTE(SUBSTITUTE(Клиенты_исходные!D552," ",""),"-",""),"+",""),"(",""),")",""),2,10),SUBSTITUTE(SUBSTITUTE(SUBSTITUTE(SUBSTITUTE(SUBSTITUTE(Клиенты_исходные!D552," ",""),"-",""),"+",""),"(",""),")","")),8,2)&amp;"-"&amp;MID(IF(LEFT(SUBSTITUTE(SUBSTITUTE(SUBSTITUTE(SUBSTITUTE(SUBSTITUTE(Клиенты_исходные!D552," ",""),"-",""),"+",""),"(",""),")",""))="8","7"&amp;MID(SUBSTITUTE(SUBSTITUTE(SUBSTITUTE(SUBSTITUTE(SUBSTITUTE(Клиенты_исходные!D552," ",""),"-",""),"+",""),"(",""),")",""),2,10),SUBSTITUTE(SUBSTITUTE(SUBSTITUTE(SUBSTITUTE(SUBSTITUTE(Клиенты_исходные!D552," ",""),"-",""),"+",""),"(",""),")","")),10,2),IF(LEN(SUBSTITUTE(SUBSTITUTE(SUBSTITUTE(SUBSTITUTE(SUBSTITUTE(Клиенты_исходные!D552," ",""),"-",""),"+",""),"(",""),")",""))=10,"+7 ("&amp;MID(SUBSTITUTE(SUBSTITUTE(SUBSTITUTE(SUBSTITUTE(SUBSTITUTE(Клиенты_исходные!D552," ",""),"-",""),"+",""),"(",""),")",""),1,3)&amp;") "&amp;MID(SUBSTITUTE(SUBSTITUTE(SUBSTITUTE(SUBSTITUTE(SUBSTITUTE(Клиенты_исходные!D552," ",""),"-",""),"+",""),"(",""),")",""),4,3)&amp;"-"&amp;MID(SUBSTITUTE(SUBSTITUTE(SUBSTITUTE(SUBSTITUTE(SUBSTITUTE(Клиенты_исходные!D552," ",""),"-",""),"+",""),"(",""),")",""),6,2)&amp;"-"&amp;MID(SUBSTITUTE(SUBSTITUTE(SUBSTITUTE(SUBSTITUTE(SUBSTITUTE(Клиенты_исходные!D552," ",""),"-",""),"+",""),"(",""),")",""),8,2),Клиенты_исходные!D552)))</f>
        <v xml:space="preserve">+7 (903) 901-23-45</v>
      </c>
      <c r="E552" t="str">
        <f>IF(ISBLANK(Клиенты_исходные!E552),"",IF(ISNUMBER(FIND(".",MID(Клиенты_исходные!E552,FIND("@",Клиенты_исходные!E552)+1,255))),Клиенты_исходные!E552,IF(ISNUMBER(FIND("gmail",Клиенты_исходные!E552)),Клиенты_исходные!E552&amp;".com",Клиенты_исходные!E552&amp;".ru")))</f>
        <v>nosova@yandex.ru</v>
      </c>
      <c r="F552" t="str">
        <f>IFERROR(VLOOKUP(Клиенты_исходные!F552,Справочники!$J$2:$K$50,2,FALSE),Клиенты_исходные!F552)</f>
        <v>Чебоксары</v>
      </c>
      <c r="G552" s="8">
        <f>IFERROR(IF(ISNUMBER(FIND(".",Клиенты_исходные!G552)),DATE(RIGHT(Клиенты_исходные!G552,4),MID(Клиенты_исходные!G552,4,2),LEFT(Клиенты_исходные!G552,2)),DATE(LEFT(Клиенты_исходные!G552,4),MID(Клиенты_исходные!G552,6,2),RIGHT(Клиенты_исходные!G552,2))),Клиенты_исходные!G552)</f>
        <v>50140</v>
      </c>
      <c r="H552">
        <f t="shared" ca="1" si="73"/>
        <v>37</v>
      </c>
      <c r="I552" t="str">
        <f t="shared" si="74"/>
        <v>OK</v>
      </c>
      <c r="J552" t="str">
        <f t="shared" si="75"/>
        <v>OK</v>
      </c>
    </row>
    <row r="553">
      <c r="A553" t="str">
        <f>Клиенты_исходные!A553</f>
        <v>C0552</v>
      </c>
      <c r="B553" t="str">
        <f>PROPER(TRIM(Клиенты_исходные!B553))</f>
        <v xml:space="preserve">Ромашин Илья Викторович</v>
      </c>
      <c r="C553" s="8">
        <f>IFERROR(IF(ISNUMBER(FIND(".",Клиенты_исходные!C553)),DATE(RIGHT(Клиенты_исходные!C553,4),MID(Клиенты_исходные!C553,4,2),LEFT(Клиенты_исходные!C553,2)),DATE(LEFT(Клиенты_исходные!C553,4),MID(Клиенты_исходные!C553,6,2),RIGHT(Клиенты_исходные!C553,2))),Клиенты_исходные!C553)</f>
        <v>28083</v>
      </c>
      <c r="D553" t="str">
        <f>IF(ISBLANK(Клиенты_исходные!D553),"",IF(LEN(SUBSTITUTE(SUBSTITUTE(SUBSTITUTE(SUBSTITUTE(SUBSTITUTE(Клиенты_исходные!D553," ",""),"-",""),"+",""),"(",""),")",""))=11,"+7 ("&amp;MID(IF(LEFT(SUBSTITUTE(SUBSTITUTE(SUBSTITUTE(SUBSTITUTE(SUBSTITUTE(Клиенты_исходные!D553," ",""),"-",""),"+",""),"(",""),")",""))="8","7"&amp;MID(SUBSTITUTE(SUBSTITUTE(SUBSTITUTE(SUBSTITUTE(SUBSTITUTE(Клиенты_исходные!D553," ",""),"-",""),"+",""),"(",""),")",""),2,10),SUBSTITUTE(SUBSTITUTE(SUBSTITUTE(SUBSTITUTE(SUBSTITUTE(Клиенты_исходные!D553," ",""),"-",""),"+",""),"(",""),")","")),2,3)&amp;") "&amp;MID(IF(LEFT(SUBSTITUTE(SUBSTITUTE(SUBSTITUTE(SUBSTITUTE(SUBSTITUTE(Клиенты_исходные!D553," ",""),"-",""),"+",""),"(",""),")",""))="8","7"&amp;MID(SUBSTITUTE(SUBSTITUTE(SUBSTITUTE(SUBSTITUTE(SUBSTITUTE(Клиенты_исходные!D553," ",""),"-",""),"+",""),"(",""),")",""),2,10),SUBSTITUTE(SUBSTITUTE(SUBSTITUTE(SUBSTITUTE(SUBSTITUTE(Клиенты_исходные!D553," ",""),"-",""),"+",""),"(",""),")","")),5,3)&amp;"-"&amp;MID(IF(LEFT(SUBSTITUTE(SUBSTITUTE(SUBSTITUTE(SUBSTITUTE(SUBSTITUTE(Клиенты_исходные!D553," ",""),"-",""),"+",""),"(",""),")",""))="8","7"&amp;MID(SUBSTITUTE(SUBSTITUTE(SUBSTITUTE(SUBSTITUTE(SUBSTITUTE(Клиенты_исходные!D553," ",""),"-",""),"+",""),"(",""),")",""),2,10),SUBSTITUTE(SUBSTITUTE(SUBSTITUTE(SUBSTITUTE(SUBSTITUTE(Клиенты_исходные!D553," ",""),"-",""),"+",""),"(",""),")","")),8,2)&amp;"-"&amp;MID(IF(LEFT(SUBSTITUTE(SUBSTITUTE(SUBSTITUTE(SUBSTITUTE(SUBSTITUTE(Клиенты_исходные!D553," ",""),"-",""),"+",""),"(",""),")",""))="8","7"&amp;MID(SUBSTITUTE(SUBSTITUTE(SUBSTITUTE(SUBSTITUTE(SUBSTITUTE(Клиенты_исходные!D553," ",""),"-",""),"+",""),"(",""),")",""),2,10),SUBSTITUTE(SUBSTITUTE(SUBSTITUTE(SUBSTITUTE(SUBSTITUTE(Клиенты_исходные!D553," ",""),"-",""),"+",""),"(",""),")","")),10,2),IF(LEN(SUBSTITUTE(SUBSTITUTE(SUBSTITUTE(SUBSTITUTE(SUBSTITUTE(Клиенты_исходные!D553," ",""),"-",""),"+",""),"(",""),")",""))=10,"+7 ("&amp;MID(SUBSTITUTE(SUBSTITUTE(SUBSTITUTE(SUBSTITUTE(SUBSTITUTE(Клиенты_исходные!D553," ",""),"-",""),"+",""),"(",""),")",""),1,3)&amp;") "&amp;MID(SUBSTITUTE(SUBSTITUTE(SUBSTITUTE(SUBSTITUTE(SUBSTITUTE(Клиенты_исходные!D553," ",""),"-",""),"+",""),"(",""),")",""),4,3)&amp;"-"&amp;MID(SUBSTITUTE(SUBSTITUTE(SUBSTITUTE(SUBSTITUTE(SUBSTITUTE(Клиенты_исходные!D553," ",""),"-",""),"+",""),"(",""),")",""),6,2)&amp;"-"&amp;MID(SUBSTITUTE(SUBSTITUTE(SUBSTITUTE(SUBSTITUTE(SUBSTITUTE(Клиенты_исходные!D553," ",""),"-",""),"+",""),"(",""),")",""),8,2),Клиенты_исходные!D553)))</f>
        <v xml:space="preserve">+7 (903) 012-34-56</v>
      </c>
      <c r="E553" t="str">
        <f>IF(ISBLANK(Клиенты_исходные!E553),"",IF(ISNUMBER(FIND(".",MID(Клиенты_исходные!E553,FIND("@",Клиенты_исходные!E553)+1,255))),Клиенты_исходные!E553,IF(ISNUMBER(FIND("gmail",Клиенты_исходные!E553)),Клиенты_исходные!E553&amp;".com",Клиенты_исходные!E553&amp;".ru")))</f>
        <v>romashin@gmail.com</v>
      </c>
      <c r="F553" t="str">
        <f>IFERROR(VLOOKUP(Клиенты_исходные!F553,Справочники!$J$2:$K$50,2,FALSE),Клиенты_исходные!F553)</f>
        <v>Мурманск</v>
      </c>
      <c r="G553" s="8">
        <f>IFERROR(IF(ISNUMBER(FIND(".",Клиенты_исходные!G553)),DATE(RIGHT(Клиенты_исходные!G553,4),MID(Клиенты_исходные!G553,4,2),LEFT(Клиенты_исходные!G553,2)),DATE(LEFT(Клиенты_исходные!G553,4),MID(Клиенты_исходные!G553,6,2),RIGHT(Клиенты_исходные!G553,2))),Клиенты_исходные!G553)</f>
        <v>50140</v>
      </c>
      <c r="H553">
        <f t="shared" ca="1" si="73"/>
        <v>49</v>
      </c>
      <c r="I553" t="str">
        <f t="shared" si="74"/>
        <v>OK</v>
      </c>
      <c r="J553" t="str">
        <f t="shared" si="75"/>
        <v>OK</v>
      </c>
    </row>
    <row r="554">
      <c r="A554" t="str">
        <f>Клиенты_исходные!A554</f>
        <v>C0553</v>
      </c>
      <c r="B554" t="str">
        <f>PROPER(TRIM(Клиенты_исходные!B554))</f>
        <v xml:space="preserve">Авдеева Екатерина Сергеевна</v>
      </c>
      <c r="C554" s="8">
        <f>IFERROR(IF(ISNUMBER(FIND(".",Клиенты_исходные!C554)),DATE(RIGHT(Клиенты_исходные!C554,4),MID(Клиенты_исходные!C554,4,2),LEFT(Клиенты_исходные!C554,2)),DATE(LEFT(Клиенты_исходные!C554,4),MID(Клиенты_исходные!C554,6,2),RIGHT(Клиенты_исходные!C554,2))),Клиенты_исходные!C554)</f>
        <v>29688</v>
      </c>
      <c r="D554" t="str">
        <f>IF(ISBLANK(Клиенты_исходные!D554),"",IF(LEN(SUBSTITUTE(SUBSTITUTE(SUBSTITUTE(SUBSTITUTE(SUBSTITUTE(Клиенты_исходные!D554," ",""),"-",""),"+",""),"(",""),")",""))=11,"+7 ("&amp;MID(IF(LEFT(SUBSTITUTE(SUBSTITUTE(SUBSTITUTE(SUBSTITUTE(SUBSTITUTE(Клиенты_исходные!D554," ",""),"-",""),"+",""),"(",""),")",""))="8","7"&amp;MID(SUBSTITUTE(SUBSTITUTE(SUBSTITUTE(SUBSTITUTE(SUBSTITUTE(Клиенты_исходные!D554," ",""),"-",""),"+",""),"(",""),")",""),2,10),SUBSTITUTE(SUBSTITUTE(SUBSTITUTE(SUBSTITUTE(SUBSTITUTE(Клиенты_исходные!D554," ",""),"-",""),"+",""),"(",""),")","")),2,3)&amp;") "&amp;MID(IF(LEFT(SUBSTITUTE(SUBSTITUTE(SUBSTITUTE(SUBSTITUTE(SUBSTITUTE(Клиенты_исходные!D554," ",""),"-",""),"+",""),"(",""),")",""))="8","7"&amp;MID(SUBSTITUTE(SUBSTITUTE(SUBSTITUTE(SUBSTITUTE(SUBSTITUTE(Клиенты_исходные!D554," ",""),"-",""),"+",""),"(",""),")",""),2,10),SUBSTITUTE(SUBSTITUTE(SUBSTITUTE(SUBSTITUTE(SUBSTITUTE(Клиенты_исходные!D554," ",""),"-",""),"+",""),"(",""),")","")),5,3)&amp;"-"&amp;MID(IF(LEFT(SUBSTITUTE(SUBSTITUTE(SUBSTITUTE(SUBSTITUTE(SUBSTITUTE(Клиенты_исходные!D554," ",""),"-",""),"+",""),"(",""),")",""))="8","7"&amp;MID(SUBSTITUTE(SUBSTITUTE(SUBSTITUTE(SUBSTITUTE(SUBSTITUTE(Клиенты_исходные!D554," ",""),"-",""),"+",""),"(",""),")",""),2,10),SUBSTITUTE(SUBSTITUTE(SUBSTITUTE(SUBSTITUTE(SUBSTITUTE(Клиенты_исходные!D554," ",""),"-",""),"+",""),"(",""),")","")),8,2)&amp;"-"&amp;MID(IF(LEFT(SUBSTITUTE(SUBSTITUTE(SUBSTITUTE(SUBSTITUTE(SUBSTITUTE(Клиенты_исходные!D554," ",""),"-",""),"+",""),"(",""),")",""))="8","7"&amp;MID(SUBSTITUTE(SUBSTITUTE(SUBSTITUTE(SUBSTITUTE(SUBSTITUTE(Клиенты_исходные!D554," ",""),"-",""),"+",""),"(",""),")",""),2,10),SUBSTITUTE(SUBSTITUTE(SUBSTITUTE(SUBSTITUTE(SUBSTITUTE(Клиенты_исходные!D554," ",""),"-",""),"+",""),"(",""),")","")),10,2),IF(LEN(SUBSTITUTE(SUBSTITUTE(SUBSTITUTE(SUBSTITUTE(SUBSTITUTE(Клиенты_исходные!D554," ",""),"-",""),"+",""),"(",""),")",""))=10,"+7 ("&amp;MID(SUBSTITUTE(SUBSTITUTE(SUBSTITUTE(SUBSTITUTE(SUBSTITUTE(Клиенты_исходные!D554," ",""),"-",""),"+",""),"(",""),")",""),1,3)&amp;") "&amp;MID(SUBSTITUTE(SUBSTITUTE(SUBSTITUTE(SUBSTITUTE(SUBSTITUTE(Клиенты_исходные!D554," ",""),"-",""),"+",""),"(",""),")",""),4,3)&amp;"-"&amp;MID(SUBSTITUTE(SUBSTITUTE(SUBSTITUTE(SUBSTITUTE(SUBSTITUTE(Клиенты_исходные!D554," ",""),"-",""),"+",""),"(",""),")",""),6,2)&amp;"-"&amp;MID(SUBSTITUTE(SUBSTITUTE(SUBSTITUTE(SUBSTITUTE(SUBSTITUTE(Клиенты_исходные!D554," ",""),"-",""),"+",""),"(",""),")",""),8,2),Клиенты_исходные!D554)))</f>
        <v xml:space="preserve">+7 (903) 012-34-56</v>
      </c>
      <c r="E554" t="str">
        <f>IF(ISBLANK(Клиенты_исходные!E554),"",IF(ISNUMBER(FIND(".",MID(Клиенты_исходные!E554,FIND("@",Клиенты_исходные!E554)+1,255))),Клиенты_исходные!E554,IF(ISNUMBER(FIND("gmail",Клиенты_исходные!E554)),Клиенты_исходные!E554&amp;".com",Клиенты_исходные!E554&amp;".ru")))</f>
        <v>avdeeva@mail.ru</v>
      </c>
      <c r="F554" t="str">
        <f>IFERROR(VLOOKUP(Клиенты_исходные!F554,Справочники!$J$2:$K$50,2,FALSE),Клиенты_исходные!F554)</f>
        <v>Смоленск</v>
      </c>
      <c r="G554" s="8">
        <f>IFERROR(IF(ISNUMBER(FIND(".",Клиенты_исходные!G554)),DATE(RIGHT(Клиенты_исходные!G554,4),MID(Клиенты_исходные!G554,4,2),LEFT(Клиенты_исходные!G554,2)),DATE(LEFT(Клиенты_исходные!G554,4),MID(Клиенты_исходные!G554,6,2),RIGHT(Клиенты_исходные!G554,2))),Клиенты_исходные!G554)</f>
        <v>50161</v>
      </c>
      <c r="H554">
        <f t="shared" ca="1" si="73"/>
        <v>45</v>
      </c>
      <c r="I554" t="str">
        <f t="shared" si="74"/>
        <v>OK</v>
      </c>
      <c r="J554" t="str">
        <f t="shared" si="75"/>
        <v>OK</v>
      </c>
    </row>
    <row r="555">
      <c r="A555" t="str">
        <f>Клиенты_исходные!A555</f>
        <v>C0554</v>
      </c>
      <c r="B555" t="str">
        <f>PROPER(TRIM(Клиенты_исходные!B555))</f>
        <v xml:space="preserve">Ларин Андрей Олегович</v>
      </c>
      <c r="C555" s="8">
        <f>IFERROR(IF(ISNUMBER(FIND(".",Клиенты_исходные!C555)),DATE(RIGHT(Клиенты_исходные!C555,4),MID(Клиенты_исходные!C555,4,2),LEFT(Клиенты_исходные!C555,2)),DATE(LEFT(Клиенты_исходные!C555,4),MID(Клиенты_исходные!C555,6,2),RIGHT(Клиенты_исходные!C555,2))),Клиенты_исходные!C555)</f>
        <v>33082</v>
      </c>
      <c r="D555" t="str">
        <f>IF(ISBLANK(Клиенты_исходные!D555),"",IF(LEN(SUBSTITUTE(SUBSTITUTE(SUBSTITUTE(SUBSTITUTE(SUBSTITUTE(Клиенты_исходные!D555," ",""),"-",""),"+",""),"(",""),")",""))=11,"+7 ("&amp;MID(IF(LEFT(SUBSTITUTE(SUBSTITUTE(SUBSTITUTE(SUBSTITUTE(SUBSTITUTE(Клиенты_исходные!D555," ",""),"-",""),"+",""),"(",""),")",""))="8","7"&amp;MID(SUBSTITUTE(SUBSTITUTE(SUBSTITUTE(SUBSTITUTE(SUBSTITUTE(Клиенты_исходные!D555," ",""),"-",""),"+",""),"(",""),")",""),2,10),SUBSTITUTE(SUBSTITUTE(SUBSTITUTE(SUBSTITUTE(SUBSTITUTE(Клиенты_исходные!D555," ",""),"-",""),"+",""),"(",""),")","")),2,3)&amp;") "&amp;MID(IF(LEFT(SUBSTITUTE(SUBSTITUTE(SUBSTITUTE(SUBSTITUTE(SUBSTITUTE(Клиенты_исходные!D555," ",""),"-",""),"+",""),"(",""),")",""))="8","7"&amp;MID(SUBSTITUTE(SUBSTITUTE(SUBSTITUTE(SUBSTITUTE(SUBSTITUTE(Клиенты_исходные!D555," ",""),"-",""),"+",""),"(",""),")",""),2,10),SUBSTITUTE(SUBSTITUTE(SUBSTITUTE(SUBSTITUTE(SUBSTITUTE(Клиенты_исходные!D555," ",""),"-",""),"+",""),"(",""),")","")),5,3)&amp;"-"&amp;MID(IF(LEFT(SUBSTITUTE(SUBSTITUTE(SUBSTITUTE(SUBSTITUTE(SUBSTITUTE(Клиенты_исходные!D555," ",""),"-",""),"+",""),"(",""),")",""))="8","7"&amp;MID(SUBSTITUTE(SUBSTITUTE(SUBSTITUTE(SUBSTITUTE(SUBSTITUTE(Клиенты_исходные!D555," ",""),"-",""),"+",""),"(",""),")",""),2,10),SUBSTITUTE(SUBSTITUTE(SUBSTITUTE(SUBSTITUTE(SUBSTITUTE(Клиенты_исходные!D555," ",""),"-",""),"+",""),"(",""),")","")),8,2)&amp;"-"&amp;MID(IF(LEFT(SUBSTITUTE(SUBSTITUTE(SUBSTITUTE(SUBSTITUTE(SUBSTITUTE(Клиенты_исходные!D555," ",""),"-",""),"+",""),"(",""),")",""))="8","7"&amp;MID(SUBSTITUTE(SUBSTITUTE(SUBSTITUTE(SUBSTITUTE(SUBSTITUTE(Клиенты_исходные!D555," ",""),"-",""),"+",""),"(",""),")",""),2,10),SUBSTITUTE(SUBSTITUTE(SUBSTITUTE(SUBSTITUTE(SUBSTITUTE(Клиенты_исходные!D555," ",""),"-",""),"+",""),"(",""),")","")),10,2),IF(LEN(SUBSTITUTE(SUBSTITUTE(SUBSTITUTE(SUBSTITUTE(SUBSTITUTE(Клиенты_исходные!D555," ",""),"-",""),"+",""),"(",""),")",""))=10,"+7 ("&amp;MID(SUBSTITUTE(SUBSTITUTE(SUBSTITUTE(SUBSTITUTE(SUBSTITUTE(Клиенты_исходные!D555," ",""),"-",""),"+",""),"(",""),")",""),1,3)&amp;") "&amp;MID(SUBSTITUTE(SUBSTITUTE(SUBSTITUTE(SUBSTITUTE(SUBSTITUTE(Клиенты_исходные!D555," ",""),"-",""),"+",""),"(",""),")",""),4,3)&amp;"-"&amp;MID(SUBSTITUTE(SUBSTITUTE(SUBSTITUTE(SUBSTITUTE(SUBSTITUTE(Клиенты_исходные!D555," ",""),"-",""),"+",""),"(",""),")",""),6,2)&amp;"-"&amp;MID(SUBSTITUTE(SUBSTITUTE(SUBSTITUTE(SUBSTITUTE(SUBSTITUTE(Клиенты_исходные!D555," ",""),"-",""),"+",""),"(",""),")",""),8,2),Клиенты_исходные!D555)))</f>
        <v xml:space="preserve">+7 (903) 012-34-56</v>
      </c>
      <c r="E555" t="str">
        <f>IF(ISBLANK(Клиенты_исходные!E555),"",IF(ISNUMBER(FIND(".",MID(Клиенты_исходные!E555,FIND("@",Клиенты_исходные!E555)+1,255))),Клиенты_исходные!E555,IF(ISNUMBER(FIND("gmail",Клиенты_исходные!E555)),Клиенты_исходные!E555&amp;".com",Клиенты_исходные!E555&amp;".ru")))</f>
        <v>larin@yandex.ru</v>
      </c>
      <c r="F555" t="str">
        <f>IFERROR(VLOOKUP(Клиенты_исходные!F555,Справочники!$J$2:$K$50,2,FALSE),Клиенты_исходные!F555)</f>
        <v>Тула</v>
      </c>
      <c r="G555" s="8">
        <f>IFERROR(IF(ISNUMBER(FIND(".",Клиенты_исходные!G555)),DATE(RIGHT(Клиенты_исходные!G555,4),MID(Клиенты_исходные!G555,4,2),LEFT(Клиенты_исходные!G555,2)),DATE(LEFT(Клиенты_исходные!G555,4),MID(Клиенты_исходные!G555,6,2),RIGHT(Клиенты_исходные!G555,2))),Клиенты_исходные!G555)</f>
        <v>50175</v>
      </c>
      <c r="H555">
        <f t="shared" ca="1" si="73"/>
        <v>36</v>
      </c>
      <c r="I555" t="str">
        <f t="shared" si="74"/>
        <v>OK</v>
      </c>
      <c r="J555" t="str">
        <f t="shared" si="75"/>
        <v>OK</v>
      </c>
    </row>
    <row r="556">
      <c r="A556" t="str">
        <f>Клиенты_исходные!A556</f>
        <v>C0555</v>
      </c>
      <c r="B556" t="str">
        <f>PROPER(TRIM(Клиенты_исходные!B556))</f>
        <v xml:space="preserve">Журавлева Мария Павловна</v>
      </c>
      <c r="C556" s="8">
        <f>IFERROR(IF(ISNUMBER(FIND(".",Клиенты_исходные!C556)),DATE(RIGHT(Клиенты_исходные!C556,4),MID(Клиенты_исходные!C556,4,2),LEFT(Клиенты_исходные!C556,2)),DATE(LEFT(Клиенты_исходные!C556,4),MID(Клиенты_исходные!C556,6,2),RIGHT(Клиенты_исходные!C556,2))),Клиенты_исходные!C556)</f>
        <v>28840</v>
      </c>
      <c r="D556" t="str">
        <f>IF(ISBLANK(Клиенты_исходные!D556),"",IF(LEN(SUBSTITUTE(SUBSTITUTE(SUBSTITUTE(SUBSTITUTE(SUBSTITUTE(Клиенты_исходные!D556," ",""),"-",""),"+",""),"(",""),")",""))=11,"+7 ("&amp;MID(IF(LEFT(SUBSTITUTE(SUBSTITUTE(SUBSTITUTE(SUBSTITUTE(SUBSTITUTE(Клиенты_исходные!D556," ",""),"-",""),"+",""),"(",""),")",""))="8","7"&amp;MID(SUBSTITUTE(SUBSTITUTE(SUBSTITUTE(SUBSTITUTE(SUBSTITUTE(Клиенты_исходные!D556," ",""),"-",""),"+",""),"(",""),")",""),2,10),SUBSTITUTE(SUBSTITUTE(SUBSTITUTE(SUBSTITUTE(SUBSTITUTE(Клиенты_исходные!D556," ",""),"-",""),"+",""),"(",""),")","")),2,3)&amp;") "&amp;MID(IF(LEFT(SUBSTITUTE(SUBSTITUTE(SUBSTITUTE(SUBSTITUTE(SUBSTITUTE(Клиенты_исходные!D556," ",""),"-",""),"+",""),"(",""),")",""))="8","7"&amp;MID(SUBSTITUTE(SUBSTITUTE(SUBSTITUTE(SUBSTITUTE(SUBSTITUTE(Клиенты_исходные!D556," ",""),"-",""),"+",""),"(",""),")",""),2,10),SUBSTITUTE(SUBSTITUTE(SUBSTITUTE(SUBSTITUTE(SUBSTITUTE(Клиенты_исходные!D556," ",""),"-",""),"+",""),"(",""),")","")),5,3)&amp;"-"&amp;MID(IF(LEFT(SUBSTITUTE(SUBSTITUTE(SUBSTITUTE(SUBSTITUTE(SUBSTITUTE(Клиенты_исходные!D556," ",""),"-",""),"+",""),"(",""),")",""))="8","7"&amp;MID(SUBSTITUTE(SUBSTITUTE(SUBSTITUTE(SUBSTITUTE(SUBSTITUTE(Клиенты_исходные!D556," ",""),"-",""),"+",""),"(",""),")",""),2,10),SUBSTITUTE(SUBSTITUTE(SUBSTITUTE(SUBSTITUTE(SUBSTITUTE(Клиенты_исходные!D556," ",""),"-",""),"+",""),"(",""),")","")),8,2)&amp;"-"&amp;MID(IF(LEFT(SUBSTITUTE(SUBSTITUTE(SUBSTITUTE(SUBSTITUTE(SUBSTITUTE(Клиенты_исходные!D556," ",""),"-",""),"+",""),"(",""),")",""))="8","7"&amp;MID(SUBSTITUTE(SUBSTITUTE(SUBSTITUTE(SUBSTITUTE(SUBSTITUTE(Клиенты_исходные!D556," ",""),"-",""),"+",""),"(",""),")",""),2,10),SUBSTITUTE(SUBSTITUTE(SUBSTITUTE(SUBSTITUTE(SUBSTITUTE(Клиенты_исходные!D556," ",""),"-",""),"+",""),"(",""),")","")),10,2),IF(LEN(SUBSTITUTE(SUBSTITUTE(SUBSTITUTE(SUBSTITUTE(SUBSTITUTE(Клиенты_исходные!D556," ",""),"-",""),"+",""),"(",""),")",""))=10,"+7 ("&amp;MID(SUBSTITUTE(SUBSTITUTE(SUBSTITUTE(SUBSTITUTE(SUBSTITUTE(Клиенты_исходные!D556," ",""),"-",""),"+",""),"(",""),")",""),1,3)&amp;") "&amp;MID(SUBSTITUTE(SUBSTITUTE(SUBSTITUTE(SUBSTITUTE(SUBSTITUTE(Клиенты_исходные!D556," ",""),"-",""),"+",""),"(",""),")",""),4,3)&amp;"-"&amp;MID(SUBSTITUTE(SUBSTITUTE(SUBSTITUTE(SUBSTITUTE(SUBSTITUTE(Клиенты_исходные!D556," ",""),"-",""),"+",""),"(",""),")",""),6,2)&amp;"-"&amp;MID(SUBSTITUTE(SUBSTITUTE(SUBSTITUTE(SUBSTITUTE(SUBSTITUTE(Клиенты_исходные!D556," ",""),"-",""),"+",""),"(",""),")",""),8,2),Клиенты_исходные!D556)))</f>
        <v xml:space="preserve">+7 (903) 123-45-67</v>
      </c>
      <c r="E556" t="str">
        <f>IF(ISBLANK(Клиенты_исходные!E556),"",IF(ISNUMBER(FIND(".",MID(Клиенты_исходные!E556,FIND("@",Клиенты_исходные!E556)+1,255))),Клиенты_исходные!E556,IF(ISNUMBER(FIND("gmail",Клиенты_исходные!E556)),Клиенты_исходные!E556&amp;".com",Клиенты_исходные!E556&amp;".ru")))</f>
        <v>zhuravleva@gmail.com</v>
      </c>
      <c r="F556" t="str">
        <f>IFERROR(VLOOKUP(Клиенты_исходные!F556,Справочники!$J$2:$K$50,2,FALSE),Клиенты_исходные!F556)</f>
        <v>Калуга</v>
      </c>
      <c r="G556" s="8">
        <f>IFERROR(IF(ISNUMBER(FIND(".",Клиенты_исходные!G556)),DATE(RIGHT(Клиенты_исходные!G556,4),MID(Клиенты_исходные!G556,4,2),LEFT(Клиенты_исходные!G556,2)),DATE(LEFT(Клиенты_исходные!G556,4),MID(Клиенты_исходные!G556,6,2),RIGHT(Клиенты_исходные!G556,2))),Клиенты_исходные!G556)</f>
        <v>50175</v>
      </c>
      <c r="H556">
        <f t="shared" ca="1" si="73"/>
        <v>47</v>
      </c>
      <c r="I556" t="str">
        <f t="shared" si="74"/>
        <v>OK</v>
      </c>
      <c r="J556" t="str">
        <f t="shared" si="75"/>
        <v>OK</v>
      </c>
    </row>
    <row r="557">
      <c r="A557" t="str">
        <f>Клиенты_исходные!A557</f>
        <v>C0556</v>
      </c>
      <c r="B557" t="str">
        <f>PROPER(TRIM(Клиенты_исходные!B557))</f>
        <v xml:space="preserve">Волков Денис Александрович</v>
      </c>
      <c r="C557" s="8">
        <f>IFERROR(IF(ISNUMBER(FIND(".",Клиенты_исходные!C557)),DATE(RIGHT(Клиенты_исходные!C557,4),MID(Клиенты_исходные!C557,4,2),LEFT(Клиенты_исходные!C557,2)),DATE(LEFT(Клиенты_исходные!C557,4),MID(Клиенты_исходные!C557,6,2),RIGHT(Клиенты_исходные!C557,2))),Клиенты_исходные!C557)</f>
        <v>31115</v>
      </c>
      <c r="D557" t="str">
        <f>IF(ISBLANK(Клиенты_исходные!D557),"",IF(LEN(SUBSTITUTE(SUBSTITUTE(SUBSTITUTE(SUBSTITUTE(SUBSTITUTE(Клиенты_исходные!D557," ",""),"-",""),"+",""),"(",""),")",""))=11,"+7 ("&amp;MID(IF(LEFT(SUBSTITUTE(SUBSTITUTE(SUBSTITUTE(SUBSTITUTE(SUBSTITUTE(Клиенты_исходные!D557," ",""),"-",""),"+",""),"(",""),")",""))="8","7"&amp;MID(SUBSTITUTE(SUBSTITUTE(SUBSTITUTE(SUBSTITUTE(SUBSTITUTE(Клиенты_исходные!D557," ",""),"-",""),"+",""),"(",""),")",""),2,10),SUBSTITUTE(SUBSTITUTE(SUBSTITUTE(SUBSTITUTE(SUBSTITUTE(Клиенты_исходные!D557," ",""),"-",""),"+",""),"(",""),")","")),2,3)&amp;") "&amp;MID(IF(LEFT(SUBSTITUTE(SUBSTITUTE(SUBSTITUTE(SUBSTITUTE(SUBSTITUTE(Клиенты_исходные!D557," ",""),"-",""),"+",""),"(",""),")",""))="8","7"&amp;MID(SUBSTITUTE(SUBSTITUTE(SUBSTITUTE(SUBSTITUTE(SUBSTITUTE(Клиенты_исходные!D557," ",""),"-",""),"+",""),"(",""),")",""),2,10),SUBSTITUTE(SUBSTITUTE(SUBSTITUTE(SUBSTITUTE(SUBSTITUTE(Клиенты_исходные!D557," ",""),"-",""),"+",""),"(",""),")","")),5,3)&amp;"-"&amp;MID(IF(LEFT(SUBSTITUTE(SUBSTITUTE(SUBSTITUTE(SUBSTITUTE(SUBSTITUTE(Клиенты_исходные!D557," ",""),"-",""),"+",""),"(",""),")",""))="8","7"&amp;MID(SUBSTITUTE(SUBSTITUTE(SUBSTITUTE(SUBSTITUTE(SUBSTITUTE(Клиенты_исходные!D557," ",""),"-",""),"+",""),"(",""),")",""),2,10),SUBSTITUTE(SUBSTITUTE(SUBSTITUTE(SUBSTITUTE(SUBSTITUTE(Клиенты_исходные!D557," ",""),"-",""),"+",""),"(",""),")","")),8,2)&amp;"-"&amp;MID(IF(LEFT(SUBSTITUTE(SUBSTITUTE(SUBSTITUTE(SUBSTITUTE(SUBSTITUTE(Клиенты_исходные!D557," ",""),"-",""),"+",""),"(",""),")",""))="8","7"&amp;MID(SUBSTITUTE(SUBSTITUTE(SUBSTITUTE(SUBSTITUTE(SUBSTITUTE(Клиенты_исходные!D557," ",""),"-",""),"+",""),"(",""),")",""),2,10),SUBSTITUTE(SUBSTITUTE(SUBSTITUTE(SUBSTITUTE(SUBSTITUTE(Клиенты_исходные!D557," ",""),"-",""),"+",""),"(",""),")","")),10,2),IF(LEN(SUBSTITUTE(SUBSTITUTE(SUBSTITUTE(SUBSTITUTE(SUBSTITUTE(Клиенты_исходные!D557," ",""),"-",""),"+",""),"(",""),")",""))=10,"+7 ("&amp;MID(SUBSTITUTE(SUBSTITUTE(SUBSTITUTE(SUBSTITUTE(SUBSTITUTE(Клиенты_исходные!D557," ",""),"-",""),"+",""),"(",""),")",""),1,3)&amp;") "&amp;MID(SUBSTITUTE(SUBSTITUTE(SUBSTITUTE(SUBSTITUTE(SUBSTITUTE(Клиенты_исходные!D557," ",""),"-",""),"+",""),"(",""),")",""),4,3)&amp;"-"&amp;MID(SUBSTITUTE(SUBSTITUTE(SUBSTITUTE(SUBSTITUTE(SUBSTITUTE(Клиенты_исходные!D557," ",""),"-",""),"+",""),"(",""),")",""),6,2)&amp;"-"&amp;MID(SUBSTITUTE(SUBSTITUTE(SUBSTITUTE(SUBSTITUTE(SUBSTITUTE(Клиенты_исходные!D557," ",""),"-",""),"+",""),"(",""),")",""),8,2),Клиенты_исходные!D557)))</f>
        <v xml:space="preserve">+7 (903) 123-45-67</v>
      </c>
      <c r="E557" t="str">
        <f>IF(ISBLANK(Клиенты_исходные!E557),"",IF(ISNUMBER(FIND(".",MID(Клиенты_исходные!E557,FIND("@",Клиенты_исходные!E557)+1,255))),Клиенты_исходные!E557,IF(ISNUMBER(FIND("gmail",Клиенты_исходные!E557)),Клиенты_исходные!E557&amp;".com",Клиенты_исходные!E557&amp;".ru")))</f>
        <v>volkov@mail.ru</v>
      </c>
      <c r="F557" t="str">
        <f>IFERROR(VLOOKUP(Клиенты_исходные!F557,Справочники!$J$2:$K$50,2,FALSE),Клиенты_исходные!F557)</f>
        <v>Владикавказ</v>
      </c>
      <c r="G557" s="8">
        <f>IFERROR(IF(ISNUMBER(FIND(".",Клиенты_исходные!G557)),DATE(RIGHT(Клиенты_исходные!G557,4),MID(Клиенты_исходные!G557,4,2),LEFT(Клиенты_исходные!G557,2)),DATE(LEFT(Клиенты_исходные!G557,4),MID(Клиенты_исходные!G557,6,2),RIGHT(Клиенты_исходные!G557,2))),Клиенты_исходные!G557)</f>
        <v>50192</v>
      </c>
      <c r="H557">
        <f t="shared" ca="1" si="73"/>
        <v>41</v>
      </c>
      <c r="I557" t="str">
        <f t="shared" si="74"/>
        <v>OK</v>
      </c>
      <c r="J557" t="str">
        <f t="shared" si="75"/>
        <v>OK</v>
      </c>
    </row>
    <row r="558">
      <c r="A558" t="str">
        <f>Клиенты_исходные!A558</f>
        <v>C0557</v>
      </c>
      <c r="B558" t="str">
        <f>PROPER(TRIM(Клиенты_исходные!B558))</f>
        <v xml:space="preserve">Плотникова Ольга Владимировна</v>
      </c>
      <c r="C558" s="8">
        <f>IFERROR(IF(ISNUMBER(FIND(".",Клиенты_исходные!C558)),DATE(RIGHT(Клиенты_исходные!C558,4),MID(Клиенты_исходные!C558,4,2),LEFT(Клиенты_исходные!C558,2)),DATE(LEFT(Клиенты_исходные!C558,4),MID(Клиенты_исходные!C558,6,2),RIGHT(Клиенты_исходные!C558,2))),Клиенты_исходные!C558)</f>
        <v>34145</v>
      </c>
      <c r="D558" t="str">
        <f>IF(ISBLANK(Клиенты_исходные!D558),"",IF(LEN(SUBSTITUTE(SUBSTITUTE(SUBSTITUTE(SUBSTITUTE(SUBSTITUTE(Клиенты_исходные!D558," ",""),"-",""),"+",""),"(",""),")",""))=11,"+7 ("&amp;MID(IF(LEFT(SUBSTITUTE(SUBSTITUTE(SUBSTITUTE(SUBSTITUTE(SUBSTITUTE(Клиенты_исходные!D558," ",""),"-",""),"+",""),"(",""),")",""))="8","7"&amp;MID(SUBSTITUTE(SUBSTITUTE(SUBSTITUTE(SUBSTITUTE(SUBSTITUTE(Клиенты_исходные!D558," ",""),"-",""),"+",""),"(",""),")",""),2,10),SUBSTITUTE(SUBSTITUTE(SUBSTITUTE(SUBSTITUTE(SUBSTITUTE(Клиенты_исходные!D558," ",""),"-",""),"+",""),"(",""),")","")),2,3)&amp;") "&amp;MID(IF(LEFT(SUBSTITUTE(SUBSTITUTE(SUBSTITUTE(SUBSTITUTE(SUBSTITUTE(Клиенты_исходные!D558," ",""),"-",""),"+",""),"(",""),")",""))="8","7"&amp;MID(SUBSTITUTE(SUBSTITUTE(SUBSTITUTE(SUBSTITUTE(SUBSTITUTE(Клиенты_исходные!D558," ",""),"-",""),"+",""),"(",""),")",""),2,10),SUBSTITUTE(SUBSTITUTE(SUBSTITUTE(SUBSTITUTE(SUBSTITUTE(Клиенты_исходные!D558," ",""),"-",""),"+",""),"(",""),")","")),5,3)&amp;"-"&amp;MID(IF(LEFT(SUBSTITUTE(SUBSTITUTE(SUBSTITUTE(SUBSTITUTE(SUBSTITUTE(Клиенты_исходные!D558," ",""),"-",""),"+",""),"(",""),")",""))="8","7"&amp;MID(SUBSTITUTE(SUBSTITUTE(SUBSTITUTE(SUBSTITUTE(SUBSTITUTE(Клиенты_исходные!D558," ",""),"-",""),"+",""),"(",""),")",""),2,10),SUBSTITUTE(SUBSTITUTE(SUBSTITUTE(SUBSTITUTE(SUBSTITUTE(Клиенты_исходные!D558," ",""),"-",""),"+",""),"(",""),")","")),8,2)&amp;"-"&amp;MID(IF(LEFT(SUBSTITUTE(SUBSTITUTE(SUBSTITUTE(SUBSTITUTE(SUBSTITUTE(Клиенты_исходные!D558," ",""),"-",""),"+",""),"(",""),")",""))="8","7"&amp;MID(SUBSTITUTE(SUBSTITUTE(SUBSTITUTE(SUBSTITUTE(SUBSTITUTE(Клиенты_исходные!D558," ",""),"-",""),"+",""),"(",""),")",""),2,10),SUBSTITUTE(SUBSTITUTE(SUBSTITUTE(SUBSTITUTE(SUBSTITUTE(Клиенты_исходные!D558," ",""),"-",""),"+",""),"(",""),")","")),10,2),IF(LEN(SUBSTITUTE(SUBSTITUTE(SUBSTITUTE(SUBSTITUTE(SUBSTITUTE(Клиенты_исходные!D558," ",""),"-",""),"+",""),"(",""),")",""))=10,"+7 ("&amp;MID(SUBSTITUTE(SUBSTITUTE(SUBSTITUTE(SUBSTITUTE(SUBSTITUTE(Клиенты_исходные!D558," ",""),"-",""),"+",""),"(",""),")",""),1,3)&amp;") "&amp;MID(SUBSTITUTE(SUBSTITUTE(SUBSTITUTE(SUBSTITUTE(SUBSTITUTE(Клиенты_исходные!D558," ",""),"-",""),"+",""),"(",""),")",""),4,3)&amp;"-"&amp;MID(SUBSTITUTE(SUBSTITUTE(SUBSTITUTE(SUBSTITUTE(SUBSTITUTE(Клиенты_исходные!D558," ",""),"-",""),"+",""),"(",""),")",""),6,2)&amp;"-"&amp;MID(SUBSTITUTE(SUBSTITUTE(SUBSTITUTE(SUBSTITUTE(SUBSTITUTE(Клиенты_исходные!D558," ",""),"-",""),"+",""),"(",""),")",""),8,2),Клиенты_исходные!D558)))</f>
        <v xml:space="preserve">+7 (903) 123-45-67</v>
      </c>
      <c r="E558" t="str">
        <f>IF(ISBLANK(Клиенты_исходные!E558),"",IF(ISNUMBER(FIND(".",MID(Клиенты_исходные!E558,FIND("@",Клиенты_исходные!E558)+1,255))),Клиенты_исходные!E558,IF(ISNUMBER(FIND("gmail",Клиенты_исходные!E558)),Клиенты_исходные!E558&amp;".com",Клиенты_исходные!E558&amp;".ru")))</f>
        <v>plotnikova@yandex.ru</v>
      </c>
      <c r="F558" t="str">
        <f>IFERROR(VLOOKUP(Клиенты_исходные!F558,Справочники!$J$2:$K$50,2,FALSE),Клиенты_исходные!F558)</f>
        <v>Смоленск</v>
      </c>
      <c r="G558" s="8">
        <f>IFERROR(IF(ISNUMBER(FIND(".",Клиенты_исходные!G558)),DATE(RIGHT(Клиенты_исходные!G558,4),MID(Клиенты_исходные!G558,4,2),LEFT(Клиенты_исходные!G558,2)),DATE(LEFT(Клиенты_исходные!G558,4),MID(Клиенты_исходные!G558,6,2),RIGHT(Клиенты_исходные!G558,2))),Клиенты_исходные!G558)</f>
        <v>50201</v>
      </c>
      <c r="H558">
        <f t="shared" ca="1" si="73"/>
        <v>33</v>
      </c>
      <c r="I558" t="str">
        <f t="shared" si="74"/>
        <v>OK</v>
      </c>
      <c r="J558" t="str">
        <f t="shared" si="75"/>
        <v>OK</v>
      </c>
    </row>
    <row r="559">
      <c r="A559" t="str">
        <f>Клиенты_исходные!A559</f>
        <v>C0558</v>
      </c>
      <c r="B559" t="str">
        <f>PROPER(TRIM(Клиенты_исходные!B559))</f>
        <v xml:space="preserve">Кораблёв Илья Павлович</v>
      </c>
      <c r="C559" s="8">
        <f>IFERROR(IF(ISNUMBER(FIND(".",Клиенты_исходные!C559)),DATE(RIGHT(Клиенты_исходные!C559,4),MID(Клиенты_исходные!C559,4,2),LEFT(Клиенты_исходные!C559,2)),DATE(LEFT(Клиенты_исходные!C559,4),MID(Клиенты_исходные!C559,6,2),RIGHT(Клиенты_исходные!C559,2))),Клиенты_исходные!C559)</f>
        <v>26573</v>
      </c>
      <c r="D559" t="str">
        <f>IF(ISBLANK(Клиенты_исходные!D559),"",IF(LEN(SUBSTITUTE(SUBSTITUTE(SUBSTITUTE(SUBSTITUTE(SUBSTITUTE(Клиенты_исходные!D559," ",""),"-",""),"+",""),"(",""),")",""))=11,"+7 ("&amp;MID(IF(LEFT(SUBSTITUTE(SUBSTITUTE(SUBSTITUTE(SUBSTITUTE(SUBSTITUTE(Клиенты_исходные!D559," ",""),"-",""),"+",""),"(",""),")",""))="8","7"&amp;MID(SUBSTITUTE(SUBSTITUTE(SUBSTITUTE(SUBSTITUTE(SUBSTITUTE(Клиенты_исходные!D559," ",""),"-",""),"+",""),"(",""),")",""),2,10),SUBSTITUTE(SUBSTITUTE(SUBSTITUTE(SUBSTITUTE(SUBSTITUTE(Клиенты_исходные!D559," ",""),"-",""),"+",""),"(",""),")","")),2,3)&amp;") "&amp;MID(IF(LEFT(SUBSTITUTE(SUBSTITUTE(SUBSTITUTE(SUBSTITUTE(SUBSTITUTE(Клиенты_исходные!D559," ",""),"-",""),"+",""),"(",""),")",""))="8","7"&amp;MID(SUBSTITUTE(SUBSTITUTE(SUBSTITUTE(SUBSTITUTE(SUBSTITUTE(Клиенты_исходные!D559," ",""),"-",""),"+",""),"(",""),")",""),2,10),SUBSTITUTE(SUBSTITUTE(SUBSTITUTE(SUBSTITUTE(SUBSTITUTE(Клиенты_исходные!D559," ",""),"-",""),"+",""),"(",""),")","")),5,3)&amp;"-"&amp;MID(IF(LEFT(SUBSTITUTE(SUBSTITUTE(SUBSTITUTE(SUBSTITUTE(SUBSTITUTE(Клиенты_исходные!D559," ",""),"-",""),"+",""),"(",""),")",""))="8","7"&amp;MID(SUBSTITUTE(SUBSTITUTE(SUBSTITUTE(SUBSTITUTE(SUBSTITUTE(Клиенты_исходные!D559," ",""),"-",""),"+",""),"(",""),")",""),2,10),SUBSTITUTE(SUBSTITUTE(SUBSTITUTE(SUBSTITUTE(SUBSTITUTE(Клиенты_исходные!D559," ",""),"-",""),"+",""),"(",""),")","")),8,2)&amp;"-"&amp;MID(IF(LEFT(SUBSTITUTE(SUBSTITUTE(SUBSTITUTE(SUBSTITUTE(SUBSTITUTE(Клиенты_исходные!D559," ",""),"-",""),"+",""),"(",""),")",""))="8","7"&amp;MID(SUBSTITUTE(SUBSTITUTE(SUBSTITUTE(SUBSTITUTE(SUBSTITUTE(Клиенты_исходные!D559," ",""),"-",""),"+",""),"(",""),")",""),2,10),SUBSTITUTE(SUBSTITUTE(SUBSTITUTE(SUBSTITUTE(SUBSTITUTE(Клиенты_исходные!D559," ",""),"-",""),"+",""),"(",""),")","")),10,2),IF(LEN(SUBSTITUTE(SUBSTITUTE(SUBSTITUTE(SUBSTITUTE(SUBSTITUTE(Клиенты_исходные!D559," ",""),"-",""),"+",""),"(",""),")",""))=10,"+7 ("&amp;MID(SUBSTITUTE(SUBSTITUTE(SUBSTITUTE(SUBSTITUTE(SUBSTITUTE(Клиенты_исходные!D559," ",""),"-",""),"+",""),"(",""),")",""),1,3)&amp;") "&amp;MID(SUBSTITUTE(SUBSTITUTE(SUBSTITUTE(SUBSTITUTE(SUBSTITUTE(Клиенты_исходные!D559," ",""),"-",""),"+",""),"(",""),")",""),4,3)&amp;"-"&amp;MID(SUBSTITUTE(SUBSTITUTE(SUBSTITUTE(SUBSTITUTE(SUBSTITUTE(Клиенты_исходные!D559," ",""),"-",""),"+",""),"(",""),")",""),6,2)&amp;"-"&amp;MID(SUBSTITUTE(SUBSTITUTE(SUBSTITUTE(SUBSTITUTE(SUBSTITUTE(Клиенты_исходные!D559," ",""),"-",""),"+",""),"(",""),")",""),8,2),Клиенты_исходные!D559)))</f>
        <v xml:space="preserve">+7 (903) 234-56-78</v>
      </c>
      <c r="E559" t="str">
        <f>IF(ISBLANK(Клиенты_исходные!E559),"",IF(ISNUMBER(FIND(".",MID(Клиенты_исходные!E559,FIND("@",Клиенты_исходные!E559)+1,255))),Клиенты_исходные!E559,IF(ISNUMBER(FIND("gmail",Клиенты_исходные!E559)),Клиенты_исходные!E559&amp;".com",Клиенты_исходные!E559&amp;".ru")))</f>
        <v>korablyov@gmail.com</v>
      </c>
      <c r="F559" t="str">
        <f>IFERROR(VLOOKUP(Клиенты_исходные!F559,Справочники!$J$2:$K$50,2,FALSE),Клиенты_исходные!F559)</f>
        <v>Белгород</v>
      </c>
      <c r="G559" s="8">
        <f>IFERROR(IF(ISNUMBER(FIND(".",Клиенты_исходные!G559)),DATE(RIGHT(Клиенты_исходные!G559,4),MID(Клиенты_исходные!G559,4,2),LEFT(Клиенты_исходные!G559,2)),DATE(LEFT(Клиенты_исходные!G559,4),MID(Клиенты_исходные!G559,6,2),RIGHT(Клиенты_исходные!G559,2))),Клиенты_исходные!G559)</f>
        <v>50201</v>
      </c>
      <c r="H559">
        <f t="shared" ca="1" si="73"/>
        <v>54</v>
      </c>
      <c r="I559" t="str">
        <f t="shared" si="74"/>
        <v>OK</v>
      </c>
      <c r="J559" t="str">
        <f t="shared" si="75"/>
        <v>OK</v>
      </c>
    </row>
    <row r="560">
      <c r="A560" t="str">
        <f>Клиенты_исходные!A560</f>
        <v>C0559</v>
      </c>
      <c r="B560" t="str">
        <f>PROPER(TRIM(Клиенты_исходные!B560))</f>
        <v xml:space="preserve">Голубкова Екатерина Сергеевна</v>
      </c>
      <c r="C560" s="8">
        <f>IFERROR(IF(ISNUMBER(FIND(".",Клиенты_исходные!C560)),DATE(RIGHT(Клиенты_исходные!C560,4),MID(Клиенты_исходные!C560,4,2),LEFT(Клиенты_исходные!C560,2)),DATE(LEFT(Клиенты_исходные!C560,4),MID(Клиенты_исходные!C560,6,2),RIGHT(Клиенты_исходные!C560,2))),Клиенты_исходные!C560)</f>
        <v>31638</v>
      </c>
      <c r="D560" t="str">
        <f>IF(ISBLANK(Клиенты_исходные!D560),"",IF(LEN(SUBSTITUTE(SUBSTITUTE(SUBSTITUTE(SUBSTITUTE(SUBSTITUTE(Клиенты_исходные!D560," ",""),"-",""),"+",""),"(",""),")",""))=11,"+7 ("&amp;MID(IF(LEFT(SUBSTITUTE(SUBSTITUTE(SUBSTITUTE(SUBSTITUTE(SUBSTITUTE(Клиенты_исходные!D560," ",""),"-",""),"+",""),"(",""),")",""))="8","7"&amp;MID(SUBSTITUTE(SUBSTITUTE(SUBSTITUTE(SUBSTITUTE(SUBSTITUTE(Клиенты_исходные!D560," ",""),"-",""),"+",""),"(",""),")",""),2,10),SUBSTITUTE(SUBSTITUTE(SUBSTITUTE(SUBSTITUTE(SUBSTITUTE(Клиенты_исходные!D560," ",""),"-",""),"+",""),"(",""),")","")),2,3)&amp;") "&amp;MID(IF(LEFT(SUBSTITUTE(SUBSTITUTE(SUBSTITUTE(SUBSTITUTE(SUBSTITUTE(Клиенты_исходные!D560," ",""),"-",""),"+",""),"(",""),")",""))="8","7"&amp;MID(SUBSTITUTE(SUBSTITUTE(SUBSTITUTE(SUBSTITUTE(SUBSTITUTE(Клиенты_исходные!D560," ",""),"-",""),"+",""),"(",""),")",""),2,10),SUBSTITUTE(SUBSTITUTE(SUBSTITUTE(SUBSTITUTE(SUBSTITUTE(Клиенты_исходные!D560," ",""),"-",""),"+",""),"(",""),")","")),5,3)&amp;"-"&amp;MID(IF(LEFT(SUBSTITUTE(SUBSTITUTE(SUBSTITUTE(SUBSTITUTE(SUBSTITUTE(Клиенты_исходные!D560," ",""),"-",""),"+",""),"(",""),")",""))="8","7"&amp;MID(SUBSTITUTE(SUBSTITUTE(SUBSTITUTE(SUBSTITUTE(SUBSTITUTE(Клиенты_исходные!D560," ",""),"-",""),"+",""),"(",""),")",""),2,10),SUBSTITUTE(SUBSTITUTE(SUBSTITUTE(SUBSTITUTE(SUBSTITUTE(Клиенты_исходные!D560," ",""),"-",""),"+",""),"(",""),")","")),8,2)&amp;"-"&amp;MID(IF(LEFT(SUBSTITUTE(SUBSTITUTE(SUBSTITUTE(SUBSTITUTE(SUBSTITUTE(Клиенты_исходные!D560," ",""),"-",""),"+",""),"(",""),")",""))="8","7"&amp;MID(SUBSTITUTE(SUBSTITUTE(SUBSTITUTE(SUBSTITUTE(SUBSTITUTE(Клиенты_исходные!D560," ",""),"-",""),"+",""),"(",""),")",""),2,10),SUBSTITUTE(SUBSTITUTE(SUBSTITUTE(SUBSTITUTE(SUBSTITUTE(Клиенты_исходные!D560," ",""),"-",""),"+",""),"(",""),")","")),10,2),IF(LEN(SUBSTITUTE(SUBSTITUTE(SUBSTITUTE(SUBSTITUTE(SUBSTITUTE(Клиенты_исходные!D560," ",""),"-",""),"+",""),"(",""),")",""))=10,"+7 ("&amp;MID(SUBSTITUTE(SUBSTITUTE(SUBSTITUTE(SUBSTITUTE(SUBSTITUTE(Клиенты_исходные!D560," ",""),"-",""),"+",""),"(",""),")",""),1,3)&amp;") "&amp;MID(SUBSTITUTE(SUBSTITUTE(SUBSTITUTE(SUBSTITUTE(SUBSTITUTE(Клиенты_исходные!D560," ",""),"-",""),"+",""),"(",""),")",""),4,3)&amp;"-"&amp;MID(SUBSTITUTE(SUBSTITUTE(SUBSTITUTE(SUBSTITUTE(SUBSTITUTE(Клиенты_исходные!D560," ",""),"-",""),"+",""),"(",""),")",""),6,2)&amp;"-"&amp;MID(SUBSTITUTE(SUBSTITUTE(SUBSTITUTE(SUBSTITUTE(SUBSTITUTE(Клиенты_исходные!D560," ",""),"-",""),"+",""),"(",""),")",""),8,2),Клиенты_исходные!D560)))</f>
        <v xml:space="preserve">+7 (903) 234-56-78</v>
      </c>
      <c r="E560" t="str">
        <f>IF(ISBLANK(Клиенты_исходные!E560),"",IF(ISNUMBER(FIND(".",MID(Клиенты_исходные!E560,FIND("@",Клиенты_исходные!E560)+1,255))),Клиенты_исходные!E560,IF(ISNUMBER(FIND("gmail",Клиенты_исходные!E560)),Клиенты_исходные!E560&amp;".com",Клиенты_исходные!E560&amp;".ru")))</f>
        <v>golubkova@mail.ru</v>
      </c>
      <c r="F560" t="str">
        <f>IFERROR(VLOOKUP(Клиенты_исходные!F560,Справочники!$J$2:$K$50,2,FALSE),Клиенты_исходные!F560)</f>
        <v>Мурманск</v>
      </c>
      <c r="G560" s="8">
        <f>IFERROR(IF(ISNUMBER(FIND(".",Клиенты_исходные!G560)),DATE(RIGHT(Клиенты_исходные!G560,4),MID(Клиенты_исходные!G560,4,2),LEFT(Клиенты_исходные!G560,2)),DATE(LEFT(Клиенты_исходные!G560,4),MID(Клиенты_исходные!G560,6,2),RIGHT(Клиенты_исходные!G560,2))),Клиенты_исходные!G560)</f>
        <v>50222</v>
      </c>
      <c r="H560">
        <f t="shared" ca="1" si="73"/>
        <v>40</v>
      </c>
      <c r="I560" t="str">
        <f t="shared" si="74"/>
        <v>OK</v>
      </c>
      <c r="J560" t="str">
        <f t="shared" si="75"/>
        <v>OK</v>
      </c>
    </row>
    <row r="561">
      <c r="A561" t="str">
        <f>Клиенты_исходные!A561</f>
        <v>C0560</v>
      </c>
      <c r="B561" t="str">
        <f>PROPER(TRIM(Клиенты_исходные!B561))</f>
        <v xml:space="preserve">Уваров Андрей Викторович</v>
      </c>
      <c r="C561" s="8">
        <f>IFERROR(IF(ISNUMBER(FIND(".",Клиенты_исходные!C561)),DATE(RIGHT(Клиенты_исходные!C561,4),MID(Клиенты_исходные!C561,4,2),LEFT(Клиенты_исходные!C561,2)),DATE(LEFT(Клиенты_исходные!C561,4),MID(Клиенты_исходные!C561,6,2),RIGHT(Клиенты_исходные!C561,2))),Клиенты_исходные!C561)</f>
        <v>29912</v>
      </c>
      <c r="D561" t="str">
        <f>IF(ISBLANK(Клиенты_исходные!D561),"",IF(LEN(SUBSTITUTE(SUBSTITUTE(SUBSTITUTE(SUBSTITUTE(SUBSTITUTE(Клиенты_исходные!D561," ",""),"-",""),"+",""),"(",""),")",""))=11,"+7 ("&amp;MID(IF(LEFT(SUBSTITUTE(SUBSTITUTE(SUBSTITUTE(SUBSTITUTE(SUBSTITUTE(Клиенты_исходные!D561," ",""),"-",""),"+",""),"(",""),")",""))="8","7"&amp;MID(SUBSTITUTE(SUBSTITUTE(SUBSTITUTE(SUBSTITUTE(SUBSTITUTE(Клиенты_исходные!D561," ",""),"-",""),"+",""),"(",""),")",""),2,10),SUBSTITUTE(SUBSTITUTE(SUBSTITUTE(SUBSTITUTE(SUBSTITUTE(Клиенты_исходные!D561," ",""),"-",""),"+",""),"(",""),")","")),2,3)&amp;") "&amp;MID(IF(LEFT(SUBSTITUTE(SUBSTITUTE(SUBSTITUTE(SUBSTITUTE(SUBSTITUTE(Клиенты_исходные!D561," ",""),"-",""),"+",""),"(",""),")",""))="8","7"&amp;MID(SUBSTITUTE(SUBSTITUTE(SUBSTITUTE(SUBSTITUTE(SUBSTITUTE(Клиенты_исходные!D561," ",""),"-",""),"+",""),"(",""),")",""),2,10),SUBSTITUTE(SUBSTITUTE(SUBSTITUTE(SUBSTITUTE(SUBSTITUTE(Клиенты_исходные!D561," ",""),"-",""),"+",""),"(",""),")","")),5,3)&amp;"-"&amp;MID(IF(LEFT(SUBSTITUTE(SUBSTITUTE(SUBSTITUTE(SUBSTITUTE(SUBSTITUTE(Клиенты_исходные!D561," ",""),"-",""),"+",""),"(",""),")",""))="8","7"&amp;MID(SUBSTITUTE(SUBSTITUTE(SUBSTITUTE(SUBSTITUTE(SUBSTITUTE(Клиенты_исходные!D561," ",""),"-",""),"+",""),"(",""),")",""),2,10),SUBSTITUTE(SUBSTITUTE(SUBSTITUTE(SUBSTITUTE(SUBSTITUTE(Клиенты_исходные!D561," ",""),"-",""),"+",""),"(",""),")","")),8,2)&amp;"-"&amp;MID(IF(LEFT(SUBSTITUTE(SUBSTITUTE(SUBSTITUTE(SUBSTITUTE(SUBSTITUTE(Клиенты_исходные!D561," ",""),"-",""),"+",""),"(",""),")",""))="8","7"&amp;MID(SUBSTITUTE(SUBSTITUTE(SUBSTITUTE(SUBSTITUTE(SUBSTITUTE(Клиенты_исходные!D561," ",""),"-",""),"+",""),"(",""),")",""),2,10),SUBSTITUTE(SUBSTITUTE(SUBSTITUTE(SUBSTITUTE(SUBSTITUTE(Клиенты_исходные!D561," ",""),"-",""),"+",""),"(",""),")","")),10,2),IF(LEN(SUBSTITUTE(SUBSTITUTE(SUBSTITUTE(SUBSTITUTE(SUBSTITUTE(Клиенты_исходные!D561," ",""),"-",""),"+",""),"(",""),")",""))=10,"+7 ("&amp;MID(SUBSTITUTE(SUBSTITUTE(SUBSTITUTE(SUBSTITUTE(SUBSTITUTE(Клиенты_исходные!D561," ",""),"-",""),"+",""),"(",""),")",""),1,3)&amp;") "&amp;MID(SUBSTITUTE(SUBSTITUTE(SUBSTITUTE(SUBSTITUTE(SUBSTITUTE(Клиенты_исходные!D561," ",""),"-",""),"+",""),"(",""),")",""),4,3)&amp;"-"&amp;MID(SUBSTITUTE(SUBSTITUTE(SUBSTITUTE(SUBSTITUTE(SUBSTITUTE(Клиенты_исходные!D561," ",""),"-",""),"+",""),"(",""),")",""),6,2)&amp;"-"&amp;MID(SUBSTITUTE(SUBSTITUTE(SUBSTITUTE(SUBSTITUTE(SUBSTITUTE(Клиенты_исходные!D561," ",""),"-",""),"+",""),"(",""),")",""),8,2),Клиенты_исходные!D561)))</f>
        <v xml:space="preserve">+7 (903) 234-56-78</v>
      </c>
      <c r="E561" t="str">
        <f>IF(ISBLANK(Клиенты_исходные!E561),"",IF(ISNUMBER(FIND(".",MID(Клиенты_исходные!E561,FIND("@",Клиенты_исходные!E561)+1,255))),Клиенты_исходные!E561,IF(ISNUMBER(FIND("gmail",Клиенты_исходные!E561)),Клиенты_исходные!E561&amp;".com",Клиенты_исходные!E561&amp;".ru")))</f>
        <v>uvarov@yandex.ru</v>
      </c>
      <c r="F561" t="str">
        <f>IFERROR(VLOOKUP(Клиенты_исходные!F561,Справочники!$J$2:$K$50,2,FALSE),Клиенты_исходные!F561)</f>
        <v>Ставрополь</v>
      </c>
      <c r="G561" s="8">
        <f>IFERROR(IF(ISNUMBER(FIND(".",Клиенты_исходные!G561)),DATE(RIGHT(Клиенты_исходные!G561,4),MID(Клиенты_исходные!G561,4,2),LEFT(Клиенты_исходные!G561,2)),DATE(LEFT(Клиенты_исходные!G561,4),MID(Клиенты_исходные!G561,6,2),RIGHT(Клиенты_исходные!G561,2))),Клиенты_исходные!G561)</f>
        <v>50236</v>
      </c>
      <c r="H561">
        <f t="shared" ca="1" si="73"/>
        <v>44</v>
      </c>
      <c r="I561" t="str">
        <f t="shared" si="74"/>
        <v>OK</v>
      </c>
      <c r="J561" t="str">
        <f t="shared" si="75"/>
        <v>OK</v>
      </c>
    </row>
    <row r="562">
      <c r="A562" t="str">
        <f>Клиенты_исходные!A562</f>
        <v>C0561</v>
      </c>
      <c r="B562" t="str">
        <f>PROPER(TRIM(Клиенты_исходные!B562))</f>
        <v xml:space="preserve">Чуприна Мария Олеговна</v>
      </c>
      <c r="C562" s="8">
        <f>IFERROR(IF(ISNUMBER(FIND(".",Клиенты_исходные!C562)),DATE(RIGHT(Клиенты_исходные!C562,4),MID(Клиенты_исходные!C562,4,2),LEFT(Клиенты_исходные!C562,2)),DATE(LEFT(Клиенты_исходные!C562,4),MID(Клиенты_исходные!C562,6,2),RIGHT(Клиенты_исходные!C562,2))),Клиенты_исходные!C562)</f>
        <v>27290</v>
      </c>
      <c r="D562" t="str">
        <f>IF(ISBLANK(Клиенты_исходные!D562),"",IF(LEN(SUBSTITUTE(SUBSTITUTE(SUBSTITUTE(SUBSTITUTE(SUBSTITUTE(Клиенты_исходные!D562," ",""),"-",""),"+",""),"(",""),")",""))=11,"+7 ("&amp;MID(IF(LEFT(SUBSTITUTE(SUBSTITUTE(SUBSTITUTE(SUBSTITUTE(SUBSTITUTE(Клиенты_исходные!D562," ",""),"-",""),"+",""),"(",""),")",""))="8","7"&amp;MID(SUBSTITUTE(SUBSTITUTE(SUBSTITUTE(SUBSTITUTE(SUBSTITUTE(Клиенты_исходные!D562," ",""),"-",""),"+",""),"(",""),")",""),2,10),SUBSTITUTE(SUBSTITUTE(SUBSTITUTE(SUBSTITUTE(SUBSTITUTE(Клиенты_исходные!D562," ",""),"-",""),"+",""),"(",""),")","")),2,3)&amp;") "&amp;MID(IF(LEFT(SUBSTITUTE(SUBSTITUTE(SUBSTITUTE(SUBSTITUTE(SUBSTITUTE(Клиенты_исходные!D562," ",""),"-",""),"+",""),"(",""),")",""))="8","7"&amp;MID(SUBSTITUTE(SUBSTITUTE(SUBSTITUTE(SUBSTITUTE(SUBSTITUTE(Клиенты_исходные!D562," ",""),"-",""),"+",""),"(",""),")",""),2,10),SUBSTITUTE(SUBSTITUTE(SUBSTITUTE(SUBSTITUTE(SUBSTITUTE(Клиенты_исходные!D562," ",""),"-",""),"+",""),"(",""),")","")),5,3)&amp;"-"&amp;MID(IF(LEFT(SUBSTITUTE(SUBSTITUTE(SUBSTITUTE(SUBSTITUTE(SUBSTITUTE(Клиенты_исходные!D562," ",""),"-",""),"+",""),"(",""),")",""))="8","7"&amp;MID(SUBSTITUTE(SUBSTITUTE(SUBSTITUTE(SUBSTITUTE(SUBSTITUTE(Клиенты_исходные!D562," ",""),"-",""),"+",""),"(",""),")",""),2,10),SUBSTITUTE(SUBSTITUTE(SUBSTITUTE(SUBSTITUTE(SUBSTITUTE(Клиенты_исходные!D562," ",""),"-",""),"+",""),"(",""),")","")),8,2)&amp;"-"&amp;MID(IF(LEFT(SUBSTITUTE(SUBSTITUTE(SUBSTITUTE(SUBSTITUTE(SUBSTITUTE(Клиенты_исходные!D562," ",""),"-",""),"+",""),"(",""),")",""))="8","7"&amp;MID(SUBSTITUTE(SUBSTITUTE(SUBSTITUTE(SUBSTITUTE(SUBSTITUTE(Клиенты_исходные!D562," ",""),"-",""),"+",""),"(",""),")",""),2,10),SUBSTITUTE(SUBSTITUTE(SUBSTITUTE(SUBSTITUTE(SUBSTITUTE(Клиенты_исходные!D562," ",""),"-",""),"+",""),"(",""),")","")),10,2),IF(LEN(SUBSTITUTE(SUBSTITUTE(SUBSTITUTE(SUBSTITUTE(SUBSTITUTE(Клиенты_исходные!D562," ",""),"-",""),"+",""),"(",""),")",""))=10,"+7 ("&amp;MID(SUBSTITUTE(SUBSTITUTE(SUBSTITUTE(SUBSTITUTE(SUBSTITUTE(Клиенты_исходные!D562," ",""),"-",""),"+",""),"(",""),")",""),1,3)&amp;") "&amp;MID(SUBSTITUTE(SUBSTITUTE(SUBSTITUTE(SUBSTITUTE(SUBSTITUTE(Клиенты_исходные!D562," ",""),"-",""),"+",""),"(",""),")",""),4,3)&amp;"-"&amp;MID(SUBSTITUTE(SUBSTITUTE(SUBSTITUTE(SUBSTITUTE(SUBSTITUTE(Клиенты_исходные!D562," ",""),"-",""),"+",""),"(",""),")",""),6,2)&amp;"-"&amp;MID(SUBSTITUTE(SUBSTITUTE(SUBSTITUTE(SUBSTITUTE(SUBSTITUTE(Клиенты_исходные!D562," ",""),"-",""),"+",""),"(",""),")",""),8,2),Клиенты_исходные!D562)))</f>
        <v xml:space="preserve">+7 (903) 345-67-89</v>
      </c>
      <c r="E562" t="str">
        <f>IF(ISBLANK(Клиенты_исходные!E562),"",IF(ISNUMBER(FIND(".",MID(Клиенты_исходные!E562,FIND("@",Клиенты_исходные!E562)+1,255))),Клиенты_исходные!E562,IF(ISNUMBER(FIND("gmail",Клиенты_исходные!E562)),Клиенты_исходные!E562&amp;".com",Клиенты_исходные!E562&amp;".ru")))</f>
        <v>chupra@gmail.com</v>
      </c>
      <c r="F562" t="str">
        <f>IFERROR(VLOOKUP(Клиенты_исходные!F562,Справочники!$J$2:$K$50,2,FALSE),Клиенты_исходные!F562)</f>
        <v>Севастополь</v>
      </c>
      <c r="G562" s="8">
        <f>IFERROR(IF(ISNUMBER(FIND(".",Клиенты_исходные!G562)),DATE(RIGHT(Клиенты_исходные!G562,4),MID(Клиенты_исходные!G562,4,2),LEFT(Клиенты_исходные!G562,2)),DATE(LEFT(Клиенты_исходные!G562,4),MID(Клиенты_исходные!G562,6,2),RIGHT(Клиенты_исходные!G562,2))),Клиенты_исходные!G562)</f>
        <v>50236</v>
      </c>
      <c r="H562">
        <f t="shared" ca="1" si="73"/>
        <v>52</v>
      </c>
      <c r="I562" t="str">
        <f t="shared" si="74"/>
        <v>OK</v>
      </c>
      <c r="J562" t="str">
        <f t="shared" si="75"/>
        <v>OK</v>
      </c>
    </row>
    <row r="563">
      <c r="A563" t="str">
        <f>Клиенты_исходные!A563</f>
        <v>C0562</v>
      </c>
      <c r="B563" t="str">
        <f>PROPER(TRIM(Клиенты_исходные!B563))</f>
        <v xml:space="preserve">Ступин Денис Павлович</v>
      </c>
      <c r="C563" s="8">
        <f>IFERROR(IF(ISNUMBER(FIND(".",Клиенты_исходные!C563)),DATE(RIGHT(Клиенты_исходные!C563,4),MID(Клиенты_исходные!C563,4,2),LEFT(Клиенты_исходные!C563,2)),DATE(LEFT(Клиенты_исходные!C563,4),MID(Клиенты_исходные!C563,6,2),RIGHT(Клиенты_исходные!C563,2))),Клиенты_исходные!C563)</f>
        <v>32270</v>
      </c>
      <c r="D563" t="str">
        <f>IF(ISBLANK(Клиенты_исходные!D563),"",IF(LEN(SUBSTITUTE(SUBSTITUTE(SUBSTITUTE(SUBSTITUTE(SUBSTITUTE(Клиенты_исходные!D563," ",""),"-",""),"+",""),"(",""),")",""))=11,"+7 ("&amp;MID(IF(LEFT(SUBSTITUTE(SUBSTITUTE(SUBSTITUTE(SUBSTITUTE(SUBSTITUTE(Клиенты_исходные!D563," ",""),"-",""),"+",""),"(",""),")",""))="8","7"&amp;MID(SUBSTITUTE(SUBSTITUTE(SUBSTITUTE(SUBSTITUTE(SUBSTITUTE(Клиенты_исходные!D563," ",""),"-",""),"+",""),"(",""),")",""),2,10),SUBSTITUTE(SUBSTITUTE(SUBSTITUTE(SUBSTITUTE(SUBSTITUTE(Клиенты_исходные!D563," ",""),"-",""),"+",""),"(",""),")","")),2,3)&amp;") "&amp;MID(IF(LEFT(SUBSTITUTE(SUBSTITUTE(SUBSTITUTE(SUBSTITUTE(SUBSTITUTE(Клиенты_исходные!D563," ",""),"-",""),"+",""),"(",""),")",""))="8","7"&amp;MID(SUBSTITUTE(SUBSTITUTE(SUBSTITUTE(SUBSTITUTE(SUBSTITUTE(Клиенты_исходные!D563," ",""),"-",""),"+",""),"(",""),")",""),2,10),SUBSTITUTE(SUBSTITUTE(SUBSTITUTE(SUBSTITUTE(SUBSTITUTE(Клиенты_исходные!D563," ",""),"-",""),"+",""),"(",""),")","")),5,3)&amp;"-"&amp;MID(IF(LEFT(SUBSTITUTE(SUBSTITUTE(SUBSTITUTE(SUBSTITUTE(SUBSTITUTE(Клиенты_исходные!D563," ",""),"-",""),"+",""),"(",""),")",""))="8","7"&amp;MID(SUBSTITUTE(SUBSTITUTE(SUBSTITUTE(SUBSTITUTE(SUBSTITUTE(Клиенты_исходные!D563," ",""),"-",""),"+",""),"(",""),")",""),2,10),SUBSTITUTE(SUBSTITUTE(SUBSTITUTE(SUBSTITUTE(SUBSTITUTE(Клиенты_исходные!D563," ",""),"-",""),"+",""),"(",""),")","")),8,2)&amp;"-"&amp;MID(IF(LEFT(SUBSTITUTE(SUBSTITUTE(SUBSTITUTE(SUBSTITUTE(SUBSTITUTE(Клиенты_исходные!D563," ",""),"-",""),"+",""),"(",""),")",""))="8","7"&amp;MID(SUBSTITUTE(SUBSTITUTE(SUBSTITUTE(SUBSTITUTE(SUBSTITUTE(Клиенты_исходные!D563," ",""),"-",""),"+",""),"(",""),")",""),2,10),SUBSTITUTE(SUBSTITUTE(SUBSTITUTE(SUBSTITUTE(SUBSTITUTE(Клиенты_исходные!D563," ",""),"-",""),"+",""),"(",""),")","")),10,2),IF(LEN(SUBSTITUTE(SUBSTITUTE(SUBSTITUTE(SUBSTITUTE(SUBSTITUTE(Клиенты_исходные!D563," ",""),"-",""),"+",""),"(",""),")",""))=10,"+7 ("&amp;MID(SUBSTITUTE(SUBSTITUTE(SUBSTITUTE(SUBSTITUTE(SUBSTITUTE(Клиенты_исходные!D563," ",""),"-",""),"+",""),"(",""),")",""),1,3)&amp;") "&amp;MID(SUBSTITUTE(SUBSTITUTE(SUBSTITUTE(SUBSTITUTE(SUBSTITUTE(Клиенты_исходные!D563," ",""),"-",""),"+",""),"(",""),")",""),4,3)&amp;"-"&amp;MID(SUBSTITUTE(SUBSTITUTE(SUBSTITUTE(SUBSTITUTE(SUBSTITUTE(Клиенты_исходные!D563," ",""),"-",""),"+",""),"(",""),")",""),6,2)&amp;"-"&amp;MID(SUBSTITUTE(SUBSTITUTE(SUBSTITUTE(SUBSTITUTE(SUBSTITUTE(Клиенты_исходные!D563," ",""),"-",""),"+",""),"(",""),")",""),8,2),Клиенты_исходные!D563)))</f>
        <v xml:space="preserve">+7 (903) 345-67-89</v>
      </c>
      <c r="E563" t="str">
        <f>IF(ISBLANK(Клиенты_исходные!E563),"",IF(ISNUMBER(FIND(".",MID(Клиенты_исходные!E563,FIND("@",Клиенты_исходные!E563)+1,255))),Клиенты_исходные!E563,IF(ISNUMBER(FIND("gmail",Клиенты_исходные!E563)),Клиенты_исходные!E563&amp;".com",Клиенты_исходные!E563&amp;".ru")))</f>
        <v>stupin@mail.ru</v>
      </c>
      <c r="F563" t="str">
        <f>IFERROR(VLOOKUP(Клиенты_исходные!F563,Справочники!$J$2:$K$50,2,FALSE),Клиенты_исходные!F563)</f>
        <v>Сочи</v>
      </c>
      <c r="G563" s="8">
        <f>IFERROR(IF(ISNUMBER(FIND(".",Клиенты_исходные!G563)),DATE(RIGHT(Клиенты_исходные!G563,4),MID(Клиенты_исходные!G563,4,2),LEFT(Клиенты_исходные!G563,2)),DATE(LEFT(Клиенты_исходные!G563,4),MID(Клиенты_исходные!G563,6,2),RIGHT(Клиенты_исходные!G563,2))),Клиенты_исходные!G563)</f>
        <v>50253</v>
      </c>
      <c r="H563">
        <f t="shared" ca="1" si="73"/>
        <v>38</v>
      </c>
      <c r="I563" t="str">
        <f t="shared" si="74"/>
        <v>OK</v>
      </c>
      <c r="J563" t="str">
        <f t="shared" si="75"/>
        <v>OK</v>
      </c>
    </row>
    <row r="564">
      <c r="A564" t="str">
        <f>Клиенты_исходные!A564</f>
        <v>C0563</v>
      </c>
      <c r="B564" t="str">
        <f>PROPER(TRIM(Клиенты_исходные!B564))</f>
        <v xml:space="preserve">Тимошина Ольга Сергеевна</v>
      </c>
      <c r="C564" s="8">
        <f>IFERROR(IF(ISNUMBER(FIND(".",Клиенты_исходные!C564)),DATE(RIGHT(Клиенты_исходные!C564,4),MID(Клиенты_исходные!C564,4,2),LEFT(Клиенты_исходные!C564,2)),DATE(LEFT(Клиенты_исходные!C564,4),MID(Клиенты_исходные!C564,6,2),RIGHT(Клиенты_исходные!C564,2))),Клиенты_исходные!C564)</f>
        <v>33595</v>
      </c>
      <c r="D564" t="str">
        <f>IF(ISBLANK(Клиенты_исходные!D564),"",IF(LEN(SUBSTITUTE(SUBSTITUTE(SUBSTITUTE(SUBSTITUTE(SUBSTITUTE(Клиенты_исходные!D564," ",""),"-",""),"+",""),"(",""),")",""))=11,"+7 ("&amp;MID(IF(LEFT(SUBSTITUTE(SUBSTITUTE(SUBSTITUTE(SUBSTITUTE(SUBSTITUTE(Клиенты_исходные!D564," ",""),"-",""),"+",""),"(",""),")",""))="8","7"&amp;MID(SUBSTITUTE(SUBSTITUTE(SUBSTITUTE(SUBSTITUTE(SUBSTITUTE(Клиенты_исходные!D564," ",""),"-",""),"+",""),"(",""),")",""),2,10),SUBSTITUTE(SUBSTITUTE(SUBSTITUTE(SUBSTITUTE(SUBSTITUTE(Клиенты_исходные!D564," ",""),"-",""),"+",""),"(",""),")","")),2,3)&amp;") "&amp;MID(IF(LEFT(SUBSTITUTE(SUBSTITUTE(SUBSTITUTE(SUBSTITUTE(SUBSTITUTE(Клиенты_исходные!D564," ",""),"-",""),"+",""),"(",""),")",""))="8","7"&amp;MID(SUBSTITUTE(SUBSTITUTE(SUBSTITUTE(SUBSTITUTE(SUBSTITUTE(Клиенты_исходные!D564," ",""),"-",""),"+",""),"(",""),")",""),2,10),SUBSTITUTE(SUBSTITUTE(SUBSTITUTE(SUBSTITUTE(SUBSTITUTE(Клиенты_исходные!D564," ",""),"-",""),"+",""),"(",""),")","")),5,3)&amp;"-"&amp;MID(IF(LEFT(SUBSTITUTE(SUBSTITUTE(SUBSTITUTE(SUBSTITUTE(SUBSTITUTE(Клиенты_исходные!D564," ",""),"-",""),"+",""),"(",""),")",""))="8","7"&amp;MID(SUBSTITUTE(SUBSTITUTE(SUBSTITUTE(SUBSTITUTE(SUBSTITUTE(Клиенты_исходные!D564," ",""),"-",""),"+",""),"(",""),")",""),2,10),SUBSTITUTE(SUBSTITUTE(SUBSTITUTE(SUBSTITUTE(SUBSTITUTE(Клиенты_исходные!D564," ",""),"-",""),"+",""),"(",""),")","")),8,2)&amp;"-"&amp;MID(IF(LEFT(SUBSTITUTE(SUBSTITUTE(SUBSTITUTE(SUBSTITUTE(SUBSTITUTE(Клиенты_исходные!D564," ",""),"-",""),"+",""),"(",""),")",""))="8","7"&amp;MID(SUBSTITUTE(SUBSTITUTE(SUBSTITUTE(SUBSTITUTE(SUBSTITUTE(Клиенты_исходные!D564," ",""),"-",""),"+",""),"(",""),")",""),2,10),SUBSTITUTE(SUBSTITUTE(SUBSTITUTE(SUBSTITUTE(SUBSTITUTE(Клиенты_исходные!D564," ",""),"-",""),"+",""),"(",""),")","")),10,2),IF(LEN(SUBSTITUTE(SUBSTITUTE(SUBSTITUTE(SUBSTITUTE(SUBSTITUTE(Клиенты_исходные!D564," ",""),"-",""),"+",""),"(",""),")",""))=10,"+7 ("&amp;MID(SUBSTITUTE(SUBSTITUTE(SUBSTITUTE(SUBSTITUTE(SUBSTITUTE(Клиенты_исходные!D564," ",""),"-",""),"+",""),"(",""),")",""),1,3)&amp;") "&amp;MID(SUBSTITUTE(SUBSTITUTE(SUBSTITUTE(SUBSTITUTE(SUBSTITUTE(Клиенты_исходные!D564," ",""),"-",""),"+",""),"(",""),")",""),4,3)&amp;"-"&amp;MID(SUBSTITUTE(SUBSTITUTE(SUBSTITUTE(SUBSTITUTE(SUBSTITUTE(Клиенты_исходные!D564," ",""),"-",""),"+",""),"(",""),")",""),6,2)&amp;"-"&amp;MID(SUBSTITUTE(SUBSTITUTE(SUBSTITUTE(SUBSTITUTE(SUBSTITUTE(Клиенты_исходные!D564," ",""),"-",""),"+",""),"(",""),")",""),8,2),Клиенты_исходные!D564)))</f>
        <v xml:space="preserve">+7 (903) 345-67-89</v>
      </c>
      <c r="E564" t="str">
        <f>IF(ISBLANK(Клиенты_исходные!E564),"",IF(ISNUMBER(FIND(".",MID(Клиенты_исходные!E564,FIND("@",Клиенты_исходные!E564)+1,255))),Клиенты_исходные!E564,IF(ISNUMBER(FIND("gmail",Клиенты_исходные!E564)),Клиенты_исходные!E564&amp;".com",Клиенты_исходные!E564&amp;".ru")))</f>
        <v>timoshina@yandex.ru</v>
      </c>
      <c r="F564" t="str">
        <f>IFERROR(VLOOKUP(Клиенты_исходные!F564,Справочники!$J$2:$K$50,2,FALSE),Клиенты_исходные!F564)</f>
        <v>Симферополь</v>
      </c>
      <c r="G564" s="8">
        <f>IFERROR(IF(ISNUMBER(FIND(".",Клиенты_исходные!G564)),DATE(RIGHT(Клиенты_исходные!G564,4),MID(Клиенты_исходные!G564,4,2),LEFT(Клиенты_исходные!G564,2)),DATE(LEFT(Клиенты_исходные!G564,4),MID(Клиенты_исходные!G564,6,2),RIGHT(Клиенты_исходные!G564,2))),Клиенты_исходные!G564)</f>
        <v>50262</v>
      </c>
      <c r="H564">
        <f t="shared" ca="1" si="73"/>
        <v>34</v>
      </c>
      <c r="I564" t="str">
        <f t="shared" si="74"/>
        <v>OK</v>
      </c>
      <c r="J564" t="str">
        <f t="shared" si="75"/>
        <v>OK</v>
      </c>
    </row>
    <row r="565">
      <c r="A565" t="str">
        <f>Клиенты_исходные!A565</f>
        <v>C0564</v>
      </c>
      <c r="B565" t="str">
        <f>PROPER(TRIM(Клиенты_исходные!B565))</f>
        <v xml:space="preserve">Кулаков Илья Алексеевич</v>
      </c>
      <c r="C565" s="8">
        <f>IFERROR(IF(ISNUMBER(FIND(".",Клиенты_исходные!C565)),DATE(RIGHT(Клиенты_исходные!C565,4),MID(Клиенты_исходные!C565,4,2),LEFT(Клиенты_исходные!C565,2)),DATE(LEFT(Клиенты_исходные!C565,4),MID(Клиенты_исходные!C565,6,2),RIGHT(Клиенты_исходные!C565,2))),Клиенты_исходные!C565)</f>
        <v>28194</v>
      </c>
      <c r="D565" t="str">
        <f>IF(ISBLANK(Клиенты_исходные!D565),"",IF(LEN(SUBSTITUTE(SUBSTITUTE(SUBSTITUTE(SUBSTITUTE(SUBSTITUTE(Клиенты_исходные!D565," ",""),"-",""),"+",""),"(",""),")",""))=11,"+7 ("&amp;MID(IF(LEFT(SUBSTITUTE(SUBSTITUTE(SUBSTITUTE(SUBSTITUTE(SUBSTITUTE(Клиенты_исходные!D565," ",""),"-",""),"+",""),"(",""),")",""))="8","7"&amp;MID(SUBSTITUTE(SUBSTITUTE(SUBSTITUTE(SUBSTITUTE(SUBSTITUTE(Клиенты_исходные!D565," ",""),"-",""),"+",""),"(",""),")",""),2,10),SUBSTITUTE(SUBSTITUTE(SUBSTITUTE(SUBSTITUTE(SUBSTITUTE(Клиенты_исходные!D565," ",""),"-",""),"+",""),"(",""),")","")),2,3)&amp;") "&amp;MID(IF(LEFT(SUBSTITUTE(SUBSTITUTE(SUBSTITUTE(SUBSTITUTE(SUBSTITUTE(Клиенты_исходные!D565," ",""),"-",""),"+",""),"(",""),")",""))="8","7"&amp;MID(SUBSTITUTE(SUBSTITUTE(SUBSTITUTE(SUBSTITUTE(SUBSTITUTE(Клиенты_исходные!D565," ",""),"-",""),"+",""),"(",""),")",""),2,10),SUBSTITUTE(SUBSTITUTE(SUBSTITUTE(SUBSTITUTE(SUBSTITUTE(Клиенты_исходные!D565," ",""),"-",""),"+",""),"(",""),")","")),5,3)&amp;"-"&amp;MID(IF(LEFT(SUBSTITUTE(SUBSTITUTE(SUBSTITUTE(SUBSTITUTE(SUBSTITUTE(Клиенты_исходные!D565," ",""),"-",""),"+",""),"(",""),")",""))="8","7"&amp;MID(SUBSTITUTE(SUBSTITUTE(SUBSTITUTE(SUBSTITUTE(SUBSTITUTE(Клиенты_исходные!D565," ",""),"-",""),"+",""),"(",""),")",""),2,10),SUBSTITUTE(SUBSTITUTE(SUBSTITUTE(SUBSTITUTE(SUBSTITUTE(Клиенты_исходные!D565," ",""),"-",""),"+",""),"(",""),")","")),8,2)&amp;"-"&amp;MID(IF(LEFT(SUBSTITUTE(SUBSTITUTE(SUBSTITUTE(SUBSTITUTE(SUBSTITUTE(Клиенты_исходные!D565," ",""),"-",""),"+",""),"(",""),")",""))="8","7"&amp;MID(SUBSTITUTE(SUBSTITUTE(SUBSTITUTE(SUBSTITUTE(SUBSTITUTE(Клиенты_исходные!D565," ",""),"-",""),"+",""),"(",""),")",""),2,10),SUBSTITUTE(SUBSTITUTE(SUBSTITUTE(SUBSTITUTE(SUBSTITUTE(Клиенты_исходные!D565," ",""),"-",""),"+",""),"(",""),")","")),10,2),IF(LEN(SUBSTITUTE(SUBSTITUTE(SUBSTITUTE(SUBSTITUTE(SUBSTITUTE(Клиенты_исходные!D565," ",""),"-",""),"+",""),"(",""),")",""))=10,"+7 ("&amp;MID(SUBSTITUTE(SUBSTITUTE(SUBSTITUTE(SUBSTITUTE(SUBSTITUTE(Клиенты_исходные!D565," ",""),"-",""),"+",""),"(",""),")",""),1,3)&amp;") "&amp;MID(SUBSTITUTE(SUBSTITUTE(SUBSTITUTE(SUBSTITUTE(SUBSTITUTE(Клиенты_исходные!D565," ",""),"-",""),"+",""),"(",""),")",""),4,3)&amp;"-"&amp;MID(SUBSTITUTE(SUBSTITUTE(SUBSTITUTE(SUBSTITUTE(SUBSTITUTE(Клиенты_исходные!D565," ",""),"-",""),"+",""),"(",""),")",""),6,2)&amp;"-"&amp;MID(SUBSTITUTE(SUBSTITUTE(SUBSTITUTE(SUBSTITUTE(SUBSTITUTE(Клиенты_исходные!D565," ",""),"-",""),"+",""),"(",""),")",""),8,2),Клиенты_исходные!D565)))</f>
        <v xml:space="preserve">+7 (903) 456-78-90</v>
      </c>
      <c r="E565" t="str">
        <f>IF(ISBLANK(Клиенты_исходные!E565),"",IF(ISNUMBER(FIND(".",MID(Клиенты_исходные!E565,FIND("@",Клиенты_исходные!E565)+1,255))),Клиенты_исходные!E565,IF(ISNUMBER(FIND("gmail",Клиенты_исходные!E565)),Клиенты_исходные!E565&amp;".com",Клиенты_исходные!E565&amp;".ru")))</f>
        <v>kulakov@gmail.com</v>
      </c>
      <c r="F565" t="str">
        <f>IFERROR(VLOOKUP(Клиенты_исходные!F565,Справочники!$J$2:$K$50,2,FALSE),Клиенты_исходные!F565)</f>
        <v>Брянск</v>
      </c>
      <c r="G565" s="8">
        <f>IFERROR(IF(ISNUMBER(FIND(".",Клиенты_исходные!G565)),DATE(RIGHT(Клиенты_исходные!G565,4),MID(Клиенты_исходные!G565,4,2),LEFT(Клиенты_исходные!G565,2)),DATE(LEFT(Клиенты_исходные!G565,4),MID(Клиенты_исходные!G565,6,2),RIGHT(Клиенты_исходные!G565,2))),Клиенты_исходные!G565)</f>
        <v>50262</v>
      </c>
      <c r="H565">
        <f t="shared" ca="1" si="73"/>
        <v>49</v>
      </c>
      <c r="I565" t="str">
        <f t="shared" si="74"/>
        <v>OK</v>
      </c>
      <c r="J565" t="str">
        <f t="shared" si="75"/>
        <v>OK</v>
      </c>
    </row>
    <row r="566">
      <c r="A566" t="str">
        <f>Клиенты_исходные!A566</f>
        <v>C0565</v>
      </c>
      <c r="B566" t="str">
        <f>PROPER(TRIM(Клиенты_исходные!B566))</f>
        <v xml:space="preserve">Казарина Екатерина Владимировна</v>
      </c>
      <c r="C566" s="8">
        <f>IFERROR(IF(ISNUMBER(FIND(".",Клиенты_исходные!C566)),DATE(RIGHT(Клиенты_исходные!C566,4),MID(Клиенты_исходные!C566,4,2),LEFT(Клиенты_исходные!C566,2)),DATE(LEFT(Клиенты_исходные!C566,4),MID(Клиенты_исходные!C566,6,2),RIGHT(Клиенты_исходные!C566,2))),Клиенты_исходные!C566)</f>
        <v>30503</v>
      </c>
      <c r="D566" t="str">
        <f>IF(ISBLANK(Клиенты_исходные!D566),"",IF(LEN(SUBSTITUTE(SUBSTITUTE(SUBSTITUTE(SUBSTITUTE(SUBSTITUTE(Клиенты_исходные!D566," ",""),"-",""),"+",""),"(",""),")",""))=11,"+7 ("&amp;MID(IF(LEFT(SUBSTITUTE(SUBSTITUTE(SUBSTITUTE(SUBSTITUTE(SUBSTITUTE(Клиенты_исходные!D566," ",""),"-",""),"+",""),"(",""),")",""))="8","7"&amp;MID(SUBSTITUTE(SUBSTITUTE(SUBSTITUTE(SUBSTITUTE(SUBSTITUTE(Клиенты_исходные!D566," ",""),"-",""),"+",""),"(",""),")",""),2,10),SUBSTITUTE(SUBSTITUTE(SUBSTITUTE(SUBSTITUTE(SUBSTITUTE(Клиенты_исходные!D566," ",""),"-",""),"+",""),"(",""),")","")),2,3)&amp;") "&amp;MID(IF(LEFT(SUBSTITUTE(SUBSTITUTE(SUBSTITUTE(SUBSTITUTE(SUBSTITUTE(Клиенты_исходные!D566," ",""),"-",""),"+",""),"(",""),")",""))="8","7"&amp;MID(SUBSTITUTE(SUBSTITUTE(SUBSTITUTE(SUBSTITUTE(SUBSTITUTE(Клиенты_исходные!D566," ",""),"-",""),"+",""),"(",""),")",""),2,10),SUBSTITUTE(SUBSTITUTE(SUBSTITUTE(SUBSTITUTE(SUBSTITUTE(Клиенты_исходные!D566," ",""),"-",""),"+",""),"(",""),")","")),5,3)&amp;"-"&amp;MID(IF(LEFT(SUBSTITUTE(SUBSTITUTE(SUBSTITUTE(SUBSTITUTE(SUBSTITUTE(Клиенты_исходные!D566," ",""),"-",""),"+",""),"(",""),")",""))="8","7"&amp;MID(SUBSTITUTE(SUBSTITUTE(SUBSTITUTE(SUBSTITUTE(SUBSTITUTE(Клиенты_исходные!D566," ",""),"-",""),"+",""),"(",""),")",""),2,10),SUBSTITUTE(SUBSTITUTE(SUBSTITUTE(SUBSTITUTE(SUBSTITUTE(Клиенты_исходные!D566," ",""),"-",""),"+",""),"(",""),")","")),8,2)&amp;"-"&amp;MID(IF(LEFT(SUBSTITUTE(SUBSTITUTE(SUBSTITUTE(SUBSTITUTE(SUBSTITUTE(Клиенты_исходные!D566," ",""),"-",""),"+",""),"(",""),")",""))="8","7"&amp;MID(SUBSTITUTE(SUBSTITUTE(SUBSTITUTE(SUBSTITUTE(SUBSTITUTE(Клиенты_исходные!D566," ",""),"-",""),"+",""),"(",""),")",""),2,10),SUBSTITUTE(SUBSTITUTE(SUBSTITUTE(SUBSTITUTE(SUBSTITUTE(Клиенты_исходные!D566," ",""),"-",""),"+",""),"(",""),")","")),10,2),IF(LEN(SUBSTITUTE(SUBSTITUTE(SUBSTITUTE(SUBSTITUTE(SUBSTITUTE(Клиенты_исходные!D566," ",""),"-",""),"+",""),"(",""),")",""))=10,"+7 ("&amp;MID(SUBSTITUTE(SUBSTITUTE(SUBSTITUTE(SUBSTITUTE(SUBSTITUTE(Клиенты_исходные!D566," ",""),"-",""),"+",""),"(",""),")",""),1,3)&amp;") "&amp;MID(SUBSTITUTE(SUBSTITUTE(SUBSTITUTE(SUBSTITUTE(SUBSTITUTE(Клиенты_исходные!D566," ",""),"-",""),"+",""),"(",""),")",""),4,3)&amp;"-"&amp;MID(SUBSTITUTE(SUBSTITUTE(SUBSTITUTE(SUBSTITUTE(SUBSTITUTE(Клиенты_исходные!D566," ",""),"-",""),"+",""),"(",""),")",""),6,2)&amp;"-"&amp;MID(SUBSTITUTE(SUBSTITUTE(SUBSTITUTE(SUBSTITUTE(SUBSTITUTE(Клиенты_исходные!D566," ",""),"-",""),"+",""),"(",""),")",""),8,2),Клиенты_исходные!D566)))</f>
        <v xml:space="preserve">+7 (903) 456-78-90</v>
      </c>
      <c r="E566" t="str">
        <f>IF(ISBLANK(Клиенты_исходные!E566),"",IF(ISNUMBER(FIND(".",MID(Клиенты_исходные!E566,FIND("@",Клиенты_исходные!E566)+1,255))),Клиенты_исходные!E566,IF(ISNUMBER(FIND("gmail",Клиенты_исходные!E566)),Клиенты_исходные!E566&amp;".com",Клиенты_исходные!E566&amp;".ru")))</f>
        <v>kazarina@mail.ru</v>
      </c>
      <c r="F566" t="str">
        <f>IFERROR(VLOOKUP(Клиенты_исходные!F566,Справочники!$J$2:$K$50,2,FALSE),Клиенты_исходные!F566)</f>
        <v>Абакан</v>
      </c>
      <c r="G566" s="8">
        <f>IFERROR(IF(ISNUMBER(FIND(".",Клиенты_исходные!G566)),DATE(RIGHT(Клиенты_исходные!G566,4),MID(Клиенты_исходные!G566,4,2),LEFT(Клиенты_исходные!G566,2)),DATE(LEFT(Клиенты_исходные!G566,4),MID(Клиенты_исходные!G566,6,2),RIGHT(Клиенты_исходные!G566,2))),Клиенты_исходные!G566)</f>
        <v>50284</v>
      </c>
      <c r="H566">
        <f t="shared" ca="1" si="73"/>
        <v>43</v>
      </c>
      <c r="I566" t="str">
        <f t="shared" si="74"/>
        <v>OK</v>
      </c>
      <c r="J566" t="str">
        <f t="shared" si="75"/>
        <v>OK</v>
      </c>
    </row>
    <row r="567">
      <c r="A567" t="str">
        <f>Клиенты_исходные!A567</f>
        <v>C0566</v>
      </c>
      <c r="B567" t="str">
        <f>PROPER(TRIM(Клиенты_исходные!B567))</f>
        <v xml:space="preserve">Осинцев Андрей Олегович</v>
      </c>
      <c r="C567" s="8">
        <f>IFERROR(IF(ISNUMBER(FIND(".",Клиенты_исходные!C567)),DATE(RIGHT(Клиенты_исходные!C567,4),MID(Клиенты_исходные!C567,4,2),LEFT(Клиенты_исходные!C567,2)),DATE(LEFT(Клиенты_исходные!C567,4),MID(Клиенты_исходные!C567,6,2),RIGHT(Клиенты_исходные!C567,2))),Клиенты_исходные!C567)</f>
        <v>32990</v>
      </c>
      <c r="D567" t="str">
        <f>IF(ISBLANK(Клиенты_исходные!D567),"",IF(LEN(SUBSTITUTE(SUBSTITUTE(SUBSTITUTE(SUBSTITUTE(SUBSTITUTE(Клиенты_исходные!D567," ",""),"-",""),"+",""),"(",""),")",""))=11,"+7 ("&amp;MID(IF(LEFT(SUBSTITUTE(SUBSTITUTE(SUBSTITUTE(SUBSTITUTE(SUBSTITUTE(Клиенты_исходные!D567," ",""),"-",""),"+",""),"(",""),")",""))="8","7"&amp;MID(SUBSTITUTE(SUBSTITUTE(SUBSTITUTE(SUBSTITUTE(SUBSTITUTE(Клиенты_исходные!D567," ",""),"-",""),"+",""),"(",""),")",""),2,10),SUBSTITUTE(SUBSTITUTE(SUBSTITUTE(SUBSTITUTE(SUBSTITUTE(Клиенты_исходные!D567," ",""),"-",""),"+",""),"(",""),")","")),2,3)&amp;") "&amp;MID(IF(LEFT(SUBSTITUTE(SUBSTITUTE(SUBSTITUTE(SUBSTITUTE(SUBSTITUTE(Клиенты_исходные!D567," ",""),"-",""),"+",""),"(",""),")",""))="8","7"&amp;MID(SUBSTITUTE(SUBSTITUTE(SUBSTITUTE(SUBSTITUTE(SUBSTITUTE(Клиенты_исходные!D567," ",""),"-",""),"+",""),"(",""),")",""),2,10),SUBSTITUTE(SUBSTITUTE(SUBSTITUTE(SUBSTITUTE(SUBSTITUTE(Клиенты_исходные!D567," ",""),"-",""),"+",""),"(",""),")","")),5,3)&amp;"-"&amp;MID(IF(LEFT(SUBSTITUTE(SUBSTITUTE(SUBSTITUTE(SUBSTITUTE(SUBSTITUTE(Клиенты_исходные!D567," ",""),"-",""),"+",""),"(",""),")",""))="8","7"&amp;MID(SUBSTITUTE(SUBSTITUTE(SUBSTITUTE(SUBSTITUTE(SUBSTITUTE(Клиенты_исходные!D567," ",""),"-",""),"+",""),"(",""),")",""),2,10),SUBSTITUTE(SUBSTITUTE(SUBSTITUTE(SUBSTITUTE(SUBSTITUTE(Клиенты_исходные!D567," ",""),"-",""),"+",""),"(",""),")","")),8,2)&amp;"-"&amp;MID(IF(LEFT(SUBSTITUTE(SUBSTITUTE(SUBSTITUTE(SUBSTITUTE(SUBSTITUTE(Клиенты_исходные!D567," ",""),"-",""),"+",""),"(",""),")",""))="8","7"&amp;MID(SUBSTITUTE(SUBSTITUTE(SUBSTITUTE(SUBSTITUTE(SUBSTITUTE(Клиенты_исходные!D567," ",""),"-",""),"+",""),"(",""),")",""),2,10),SUBSTITUTE(SUBSTITUTE(SUBSTITUTE(SUBSTITUTE(SUBSTITUTE(Клиенты_исходные!D567," ",""),"-",""),"+",""),"(",""),")","")),10,2),IF(LEN(SUBSTITUTE(SUBSTITUTE(SUBSTITUTE(SUBSTITUTE(SUBSTITUTE(Клиенты_исходные!D567," ",""),"-",""),"+",""),"(",""),")",""))=10,"+7 ("&amp;MID(SUBSTITUTE(SUBSTITUTE(SUBSTITUTE(SUBSTITUTE(SUBSTITUTE(Клиенты_исходные!D567," ",""),"-",""),"+",""),"(",""),")",""),1,3)&amp;") "&amp;MID(SUBSTITUTE(SUBSTITUTE(SUBSTITUTE(SUBSTITUTE(SUBSTITUTE(Клиенты_исходные!D567," ",""),"-",""),"+",""),"(",""),")",""),4,3)&amp;"-"&amp;MID(SUBSTITUTE(SUBSTITUTE(SUBSTITUTE(SUBSTITUTE(SUBSTITUTE(Клиенты_исходные!D567," ",""),"-",""),"+",""),"(",""),")",""),6,2)&amp;"-"&amp;MID(SUBSTITUTE(SUBSTITUTE(SUBSTITUTE(SUBSTITUTE(SUBSTITUTE(Клиенты_исходные!D567," ",""),"-",""),"+",""),"(",""),")",""),8,2),Клиенты_исходные!D567)))</f>
        <v xml:space="preserve">+7 (903) 456-78-90</v>
      </c>
      <c r="E567" t="str">
        <f>IF(ISBLANK(Клиенты_исходные!E567),"",IF(ISNUMBER(FIND(".",MID(Клиенты_исходные!E567,FIND("@",Клиенты_исходные!E567)+1,255))),Клиенты_исходные!E567,IF(ISNUMBER(FIND("gmail",Клиенты_исходные!E567)),Клиенты_исходные!E567&amp;".com",Клиенты_исходные!E567&amp;".ru")))</f>
        <v>osintsev@yandex.ru</v>
      </c>
      <c r="F567" t="str">
        <f>IFERROR(VLOOKUP(Клиенты_исходные!F567,Справочники!$J$2:$K$50,2,FALSE),Клиенты_исходные!F567)</f>
        <v>Грозный</v>
      </c>
      <c r="G567" s="8">
        <f>IFERROR(IF(ISNUMBER(FIND(".",Клиенты_исходные!G567)),DATE(RIGHT(Клиенты_исходные!G567,4),MID(Клиенты_исходные!G567,4,2),LEFT(Клиенты_исходные!G567,2)),DATE(LEFT(Клиенты_исходные!G567,4),MID(Клиенты_исходные!G567,6,2),RIGHT(Клиенты_исходные!G567,2))),Клиенты_исходные!G567)</f>
        <v>50298</v>
      </c>
      <c r="H567">
        <f t="shared" ca="1" si="73"/>
        <v>36</v>
      </c>
      <c r="I567" t="str">
        <f t="shared" si="74"/>
        <v>OK</v>
      </c>
      <c r="J567" t="str">
        <f t="shared" si="75"/>
        <v>OK</v>
      </c>
    </row>
    <row r="568">
      <c r="A568" t="str">
        <f>Клиенты_исходные!A568</f>
        <v>C0567</v>
      </c>
      <c r="B568" t="str">
        <f>PROPER(TRIM(Клиенты_исходные!B568))</f>
        <v xml:space="preserve">Седакова Мария Павловна</v>
      </c>
      <c r="C568" s="8">
        <f>IFERROR(IF(ISNUMBER(FIND(".",Клиенты_исходные!C568)),DATE(RIGHT(Клиенты_исходные!C568,4),MID(Клиенты_исходные!C568,4,2),LEFT(Клиенты_исходные!C568,2)),DATE(LEFT(Клиенты_исходные!C568,4),MID(Клиенты_исходные!C568,6,2),RIGHT(Клиенты_исходные!C568,2))),Клиенты_исходные!C568)</f>
        <v>27717</v>
      </c>
      <c r="D568" t="str">
        <f>IF(ISBLANK(Клиенты_исходные!D568),"",IF(LEN(SUBSTITUTE(SUBSTITUTE(SUBSTITUTE(SUBSTITUTE(SUBSTITUTE(Клиенты_исходные!D568," ",""),"-",""),"+",""),"(",""),")",""))=11,"+7 ("&amp;MID(IF(LEFT(SUBSTITUTE(SUBSTITUTE(SUBSTITUTE(SUBSTITUTE(SUBSTITUTE(Клиенты_исходные!D568," ",""),"-",""),"+",""),"(",""),")",""))="8","7"&amp;MID(SUBSTITUTE(SUBSTITUTE(SUBSTITUTE(SUBSTITUTE(SUBSTITUTE(Клиенты_исходные!D568," ",""),"-",""),"+",""),"(",""),")",""),2,10),SUBSTITUTE(SUBSTITUTE(SUBSTITUTE(SUBSTITUTE(SUBSTITUTE(Клиенты_исходные!D568," ",""),"-",""),"+",""),"(",""),")","")),2,3)&amp;") "&amp;MID(IF(LEFT(SUBSTITUTE(SUBSTITUTE(SUBSTITUTE(SUBSTITUTE(SUBSTITUTE(Клиенты_исходные!D568," ",""),"-",""),"+",""),"(",""),")",""))="8","7"&amp;MID(SUBSTITUTE(SUBSTITUTE(SUBSTITUTE(SUBSTITUTE(SUBSTITUTE(Клиенты_исходные!D568," ",""),"-",""),"+",""),"(",""),")",""),2,10),SUBSTITUTE(SUBSTITUTE(SUBSTITUTE(SUBSTITUTE(SUBSTITUTE(Клиенты_исходные!D568," ",""),"-",""),"+",""),"(",""),")","")),5,3)&amp;"-"&amp;MID(IF(LEFT(SUBSTITUTE(SUBSTITUTE(SUBSTITUTE(SUBSTITUTE(SUBSTITUTE(Клиенты_исходные!D568," ",""),"-",""),"+",""),"(",""),")",""))="8","7"&amp;MID(SUBSTITUTE(SUBSTITUTE(SUBSTITUTE(SUBSTITUTE(SUBSTITUTE(Клиенты_исходные!D568," ",""),"-",""),"+",""),"(",""),")",""),2,10),SUBSTITUTE(SUBSTITUTE(SUBSTITUTE(SUBSTITUTE(SUBSTITUTE(Клиенты_исходные!D568," ",""),"-",""),"+",""),"(",""),")","")),8,2)&amp;"-"&amp;MID(IF(LEFT(SUBSTITUTE(SUBSTITUTE(SUBSTITUTE(SUBSTITUTE(SUBSTITUTE(Клиенты_исходные!D568," ",""),"-",""),"+",""),"(",""),")",""))="8","7"&amp;MID(SUBSTITUTE(SUBSTITUTE(SUBSTITUTE(SUBSTITUTE(SUBSTITUTE(Клиенты_исходные!D568," ",""),"-",""),"+",""),"(",""),")",""),2,10),SUBSTITUTE(SUBSTITUTE(SUBSTITUTE(SUBSTITUTE(SUBSTITUTE(Клиенты_исходные!D568," ",""),"-",""),"+",""),"(",""),")","")),10,2),IF(LEN(SUBSTITUTE(SUBSTITUTE(SUBSTITUTE(SUBSTITUTE(SUBSTITUTE(Клиенты_исходные!D568," ",""),"-",""),"+",""),"(",""),")",""))=10,"+7 ("&amp;MID(SUBSTITUTE(SUBSTITUTE(SUBSTITUTE(SUBSTITUTE(SUBSTITUTE(Клиенты_исходные!D568," ",""),"-",""),"+",""),"(",""),")",""),1,3)&amp;") "&amp;MID(SUBSTITUTE(SUBSTITUTE(SUBSTITUTE(SUBSTITUTE(SUBSTITUTE(Клиенты_исходные!D568," ",""),"-",""),"+",""),"(",""),")",""),4,3)&amp;"-"&amp;MID(SUBSTITUTE(SUBSTITUTE(SUBSTITUTE(SUBSTITUTE(SUBSTITUTE(Клиенты_исходные!D568," ",""),"-",""),"+",""),"(",""),")",""),6,2)&amp;"-"&amp;MID(SUBSTITUTE(SUBSTITUTE(SUBSTITUTE(SUBSTITUTE(SUBSTITUTE(Клиенты_исходные!D568," ",""),"-",""),"+",""),"(",""),")",""),8,2),Клиенты_исходные!D568)))</f>
        <v xml:space="preserve">+7 (903) 567-89-01</v>
      </c>
      <c r="E568" t="str">
        <f>IF(ISBLANK(Клиенты_исходные!E568),"",IF(ISNUMBER(FIND(".",MID(Клиенты_исходные!E568,FIND("@",Клиенты_исходные!E568)+1,255))),Клиенты_исходные!E568,IF(ISNUMBER(FIND("gmail",Клиенты_исходные!E568)),Клиенты_исходные!E568&amp;".com",Клиенты_исходные!E568&amp;".ru")))</f>
        <v>sedakova@gmail.com</v>
      </c>
      <c r="F568" t="str">
        <f>IFERROR(VLOOKUP(Клиенты_исходные!F568,Справочники!$J$2:$K$50,2,FALSE),Клиенты_исходные!F568)</f>
        <v>Бийск</v>
      </c>
      <c r="G568" s="8">
        <f>IFERROR(IF(ISNUMBER(FIND(".",Клиенты_исходные!G568)),DATE(RIGHT(Клиенты_исходные!G568,4),MID(Клиенты_исходные!G568,4,2),LEFT(Клиенты_исходные!G568,2)),DATE(LEFT(Клиенты_исходные!G568,4),MID(Клиенты_исходные!G568,6,2),RIGHT(Клиенты_исходные!G568,2))),Клиенты_исходные!G568)</f>
        <v>50298</v>
      </c>
      <c r="H568">
        <f t="shared" ca="1" si="73"/>
        <v>50</v>
      </c>
      <c r="I568" t="str">
        <f t="shared" si="74"/>
        <v>OK</v>
      </c>
      <c r="J568" t="str">
        <f t="shared" si="75"/>
        <v>OK</v>
      </c>
    </row>
    <row r="569">
      <c r="A569" t="str">
        <f>Клиенты_исходные!A569</f>
        <v>C0568</v>
      </c>
      <c r="B569" t="str">
        <f>PROPER(TRIM(Клиенты_исходные!B569))</f>
        <v xml:space="preserve">Кузьмин Денис Викторович</v>
      </c>
      <c r="C569" s="8">
        <f>IFERROR(IF(ISNUMBER(FIND(".",Клиенты_исходные!C569)),DATE(RIGHT(Клиенты_исходные!C569,4),MID(Клиенты_исходные!C569,4,2),LEFT(Клиенты_исходные!C569,2)),DATE(LEFT(Клиенты_исходные!C569,4),MID(Клиенты_исходные!C569,6,2),RIGHT(Клиенты_исходные!C569,2))),Клиенты_исходные!C569)</f>
        <v>30945</v>
      </c>
      <c r="D569" t="str">
        <f>IF(ISBLANK(Клиенты_исходные!D569),"",IF(LEN(SUBSTITUTE(SUBSTITUTE(SUBSTITUTE(SUBSTITUTE(SUBSTITUTE(Клиенты_исходные!D569," ",""),"-",""),"+",""),"(",""),")",""))=11,"+7 ("&amp;MID(IF(LEFT(SUBSTITUTE(SUBSTITUTE(SUBSTITUTE(SUBSTITUTE(SUBSTITUTE(Клиенты_исходные!D569," ",""),"-",""),"+",""),"(",""),")",""))="8","7"&amp;MID(SUBSTITUTE(SUBSTITUTE(SUBSTITUTE(SUBSTITUTE(SUBSTITUTE(Клиенты_исходные!D569," ",""),"-",""),"+",""),"(",""),")",""),2,10),SUBSTITUTE(SUBSTITUTE(SUBSTITUTE(SUBSTITUTE(SUBSTITUTE(Клиенты_исходные!D569," ",""),"-",""),"+",""),"(",""),")","")),2,3)&amp;") "&amp;MID(IF(LEFT(SUBSTITUTE(SUBSTITUTE(SUBSTITUTE(SUBSTITUTE(SUBSTITUTE(Клиенты_исходные!D569," ",""),"-",""),"+",""),"(",""),")",""))="8","7"&amp;MID(SUBSTITUTE(SUBSTITUTE(SUBSTITUTE(SUBSTITUTE(SUBSTITUTE(Клиенты_исходные!D569," ",""),"-",""),"+",""),"(",""),")",""),2,10),SUBSTITUTE(SUBSTITUTE(SUBSTITUTE(SUBSTITUTE(SUBSTITUTE(Клиенты_исходные!D569," ",""),"-",""),"+",""),"(",""),")","")),5,3)&amp;"-"&amp;MID(IF(LEFT(SUBSTITUTE(SUBSTITUTE(SUBSTITUTE(SUBSTITUTE(SUBSTITUTE(Клиенты_исходные!D569," ",""),"-",""),"+",""),"(",""),")",""))="8","7"&amp;MID(SUBSTITUTE(SUBSTITUTE(SUBSTITUTE(SUBSTITUTE(SUBSTITUTE(Клиенты_исходные!D569," ",""),"-",""),"+",""),"(",""),")",""),2,10),SUBSTITUTE(SUBSTITUTE(SUBSTITUTE(SUBSTITUTE(SUBSTITUTE(Клиенты_исходные!D569," ",""),"-",""),"+",""),"(",""),")","")),8,2)&amp;"-"&amp;MID(IF(LEFT(SUBSTITUTE(SUBSTITUTE(SUBSTITUTE(SUBSTITUTE(SUBSTITUTE(Клиенты_исходные!D569," ",""),"-",""),"+",""),"(",""),")",""))="8","7"&amp;MID(SUBSTITUTE(SUBSTITUTE(SUBSTITUTE(SUBSTITUTE(SUBSTITUTE(Клиенты_исходные!D569," ",""),"-",""),"+",""),"(",""),")",""),2,10),SUBSTITUTE(SUBSTITUTE(SUBSTITUTE(SUBSTITUTE(SUBSTITUTE(Клиенты_исходные!D569," ",""),"-",""),"+",""),"(",""),")","")),10,2),IF(LEN(SUBSTITUTE(SUBSTITUTE(SUBSTITUTE(SUBSTITUTE(SUBSTITUTE(Клиенты_исходные!D569," ",""),"-",""),"+",""),"(",""),")",""))=10,"+7 ("&amp;MID(SUBSTITUTE(SUBSTITUTE(SUBSTITUTE(SUBSTITUTE(SUBSTITUTE(Клиенты_исходные!D569," ",""),"-",""),"+",""),"(",""),")",""),1,3)&amp;") "&amp;MID(SUBSTITUTE(SUBSTITUTE(SUBSTITUTE(SUBSTITUTE(SUBSTITUTE(Клиенты_исходные!D569," ",""),"-",""),"+",""),"(",""),")",""),4,3)&amp;"-"&amp;MID(SUBSTITUTE(SUBSTITUTE(SUBSTITUTE(SUBSTITUTE(SUBSTITUTE(Клиенты_исходные!D569," ",""),"-",""),"+",""),"(",""),")",""),6,2)&amp;"-"&amp;MID(SUBSTITUTE(SUBSTITUTE(SUBSTITUTE(SUBSTITUTE(SUBSTITUTE(Клиенты_исходные!D569," ",""),"-",""),"+",""),"(",""),")",""),8,2),Клиенты_исходные!D569)))</f>
        <v xml:space="preserve">+7 (903) 567-89-01</v>
      </c>
      <c r="E569" t="str">
        <f>IF(ISBLANK(Клиенты_исходные!E569),"",IF(ISNUMBER(FIND(".",MID(Клиенты_исходные!E569,FIND("@",Клиенты_исходные!E569)+1,255))),Клиенты_исходные!E569,IF(ISNUMBER(FIND("gmail",Клиенты_исходные!E569)),Клиенты_исходные!E569&amp;".com",Клиенты_исходные!E569&amp;".ru")))</f>
        <v>kuzmin@mail.ru</v>
      </c>
      <c r="F569" t="str">
        <f>IFERROR(VLOOKUP(Клиенты_исходные!F569,Справочники!$J$2:$K$50,2,FALSE),Клиенты_исходные!F569)</f>
        <v>Йошкар-Ола</v>
      </c>
      <c r="G569" s="8">
        <f>IFERROR(IF(ISNUMBER(FIND(".",Клиенты_исходные!G569)),DATE(RIGHT(Клиенты_исходные!G569,4),MID(Клиенты_исходные!G569,4,2),LEFT(Клиенты_исходные!G569,2)),DATE(LEFT(Клиенты_исходные!G569,4),MID(Клиенты_исходные!G569,6,2),RIGHT(Клиенты_исходные!G569,2))),Клиенты_исходные!G569)</f>
        <v>50314</v>
      </c>
      <c r="H569">
        <f t="shared" ca="1" si="73"/>
        <v>42</v>
      </c>
      <c r="I569" t="str">
        <f t="shared" si="74"/>
        <v>OK</v>
      </c>
      <c r="J569" t="str">
        <f t="shared" si="75"/>
        <v>OK</v>
      </c>
    </row>
    <row r="570">
      <c r="A570" t="str">
        <f>Клиенты_исходные!A570</f>
        <v>C0569</v>
      </c>
      <c r="B570" t="str">
        <f>PROPER(TRIM(Клиенты_исходные!B570))</f>
        <v xml:space="preserve">Кравцова Ольга Игоревна</v>
      </c>
      <c r="C570" s="8">
        <f>IFERROR(IF(ISNUMBER(FIND(".",Клиенты_исходные!C570)),DATE(RIGHT(Клиенты_исходные!C570,4),MID(Клиенты_исходные!C570,4,2),LEFT(Клиенты_исходные!C570,2)),DATE(LEFT(Клиенты_исходные!C570,4),MID(Клиенты_исходные!C570,6,2),RIGHT(Клиенты_исходные!C570,2))),Клиенты_исходные!C570)</f>
        <v>31929</v>
      </c>
      <c r="D570" t="str">
        <f>IF(ISBLANK(Клиенты_исходные!D570),"",IF(LEN(SUBSTITUTE(SUBSTITUTE(SUBSTITUTE(SUBSTITUTE(SUBSTITUTE(Клиенты_исходные!D570," ",""),"-",""),"+",""),"(",""),")",""))=11,"+7 ("&amp;MID(IF(LEFT(SUBSTITUTE(SUBSTITUTE(SUBSTITUTE(SUBSTITUTE(SUBSTITUTE(Клиенты_исходные!D570," ",""),"-",""),"+",""),"(",""),")",""))="8","7"&amp;MID(SUBSTITUTE(SUBSTITUTE(SUBSTITUTE(SUBSTITUTE(SUBSTITUTE(Клиенты_исходные!D570," ",""),"-",""),"+",""),"(",""),")",""),2,10),SUBSTITUTE(SUBSTITUTE(SUBSTITUTE(SUBSTITUTE(SUBSTITUTE(Клиенты_исходные!D570," ",""),"-",""),"+",""),"(",""),")","")),2,3)&amp;") "&amp;MID(IF(LEFT(SUBSTITUTE(SUBSTITUTE(SUBSTITUTE(SUBSTITUTE(SUBSTITUTE(Клиенты_исходные!D570," ",""),"-",""),"+",""),"(",""),")",""))="8","7"&amp;MID(SUBSTITUTE(SUBSTITUTE(SUBSTITUTE(SUBSTITUTE(SUBSTITUTE(Клиенты_исходные!D570," ",""),"-",""),"+",""),"(",""),")",""),2,10),SUBSTITUTE(SUBSTITUTE(SUBSTITUTE(SUBSTITUTE(SUBSTITUTE(Клиенты_исходные!D570," ",""),"-",""),"+",""),"(",""),")","")),5,3)&amp;"-"&amp;MID(IF(LEFT(SUBSTITUTE(SUBSTITUTE(SUBSTITUTE(SUBSTITUTE(SUBSTITUTE(Клиенты_исходные!D570," ",""),"-",""),"+",""),"(",""),")",""))="8","7"&amp;MID(SUBSTITUTE(SUBSTITUTE(SUBSTITUTE(SUBSTITUTE(SUBSTITUTE(Клиенты_исходные!D570," ",""),"-",""),"+",""),"(",""),")",""),2,10),SUBSTITUTE(SUBSTITUTE(SUBSTITUTE(SUBSTITUTE(SUBSTITUTE(Клиенты_исходные!D570," ",""),"-",""),"+",""),"(",""),")","")),8,2)&amp;"-"&amp;MID(IF(LEFT(SUBSTITUTE(SUBSTITUTE(SUBSTITUTE(SUBSTITUTE(SUBSTITUTE(Клиенты_исходные!D570," ",""),"-",""),"+",""),"(",""),")",""))="8","7"&amp;MID(SUBSTITUTE(SUBSTITUTE(SUBSTITUTE(SUBSTITUTE(SUBSTITUTE(Клиенты_исходные!D570," ",""),"-",""),"+",""),"(",""),")",""),2,10),SUBSTITUTE(SUBSTITUTE(SUBSTITUTE(SUBSTITUTE(SUBSTITUTE(Клиенты_исходные!D570," ",""),"-",""),"+",""),"(",""),")","")),10,2),IF(LEN(SUBSTITUTE(SUBSTITUTE(SUBSTITUTE(SUBSTITUTE(SUBSTITUTE(Клиенты_исходные!D570," ",""),"-",""),"+",""),"(",""),")",""))=10,"+7 ("&amp;MID(SUBSTITUTE(SUBSTITUTE(SUBSTITUTE(SUBSTITUTE(SUBSTITUTE(Клиенты_исходные!D570," ",""),"-",""),"+",""),"(",""),")",""),1,3)&amp;") "&amp;MID(SUBSTITUTE(SUBSTITUTE(SUBSTITUTE(SUBSTITUTE(SUBSTITUTE(Клиенты_исходные!D570," ",""),"-",""),"+",""),"(",""),")",""),4,3)&amp;"-"&amp;MID(SUBSTITUTE(SUBSTITUTE(SUBSTITUTE(SUBSTITUTE(SUBSTITUTE(Клиенты_исходные!D570," ",""),"-",""),"+",""),"(",""),")",""),6,2)&amp;"-"&amp;MID(SUBSTITUTE(SUBSTITUTE(SUBSTITUTE(SUBSTITUTE(SUBSTITUTE(Клиенты_исходные!D570," ",""),"-",""),"+",""),"(",""),")",""),8,2),Клиенты_исходные!D570)))</f>
        <v xml:space="preserve">+7 (903) 567-89-01</v>
      </c>
      <c r="E570" t="str">
        <f>IF(ISBLANK(Клиенты_исходные!E570),"",IF(ISNUMBER(FIND(".",MID(Клиенты_исходные!E570,FIND("@",Клиенты_исходные!E570)+1,255))),Клиенты_исходные!E570,IF(ISNUMBER(FIND("gmail",Клиенты_исходные!E570)),Клиенты_исходные!E570&amp;".com",Клиенты_исходные!E570&amp;".ru")))</f>
        <v>kravtsova@yandex.ru</v>
      </c>
      <c r="F570" t="str">
        <f>IFERROR(VLOOKUP(Клиенты_исходные!F570,Справочники!$J$2:$K$50,2,FALSE),Клиенты_исходные!F570)</f>
        <v>Курган</v>
      </c>
      <c r="G570" s="8">
        <f>IFERROR(IF(ISNUMBER(FIND(".",Клиенты_исходные!G570)),DATE(RIGHT(Клиенты_исходные!G570,4),MID(Клиенты_исходные!G570,4,2),LEFT(Клиенты_исходные!G570,2)),DATE(LEFT(Клиенты_исходные!G570,4),MID(Клиенты_исходные!G570,6,2),RIGHT(Клиенты_исходные!G570,2))),Клиенты_исходные!G570)</f>
        <v>50323</v>
      </c>
      <c r="H570">
        <f t="shared" ca="1" si="73"/>
        <v>39</v>
      </c>
      <c r="I570" t="str">
        <f t="shared" si="74"/>
        <v>OK</v>
      </c>
      <c r="J570" t="str">
        <f t="shared" si="75"/>
        <v>OK</v>
      </c>
    </row>
    <row r="571">
      <c r="A571" t="str">
        <f>Клиенты_исходные!A571</f>
        <v>C0570</v>
      </c>
      <c r="B571" t="str">
        <f>PROPER(TRIM(Клиенты_исходные!B571))</f>
        <v xml:space="preserve">Быстров Илья Александрович</v>
      </c>
      <c r="C571" s="8">
        <f>IFERROR(IF(ISNUMBER(FIND(".",Клиенты_исходные!C571)),DATE(RIGHT(Клиенты_исходные!C571,4),MID(Клиенты_исходные!C571,4,2),LEFT(Клиенты_исходные!C571,2)),DATE(LEFT(Клиенты_исходные!C571,4),MID(Клиенты_исходные!C571,6,2),RIGHT(Клиенты_исходные!C571,2))),Клиенты_исходные!C571)</f>
        <v>28869</v>
      </c>
      <c r="D571" t="str">
        <f>IF(ISBLANK(Клиенты_исходные!D571),"",IF(LEN(SUBSTITUTE(SUBSTITUTE(SUBSTITUTE(SUBSTITUTE(SUBSTITUTE(Клиенты_исходные!D571," ",""),"-",""),"+",""),"(",""),")",""))=11,"+7 ("&amp;MID(IF(LEFT(SUBSTITUTE(SUBSTITUTE(SUBSTITUTE(SUBSTITUTE(SUBSTITUTE(Клиенты_исходные!D571," ",""),"-",""),"+",""),"(",""),")",""))="8","7"&amp;MID(SUBSTITUTE(SUBSTITUTE(SUBSTITUTE(SUBSTITUTE(SUBSTITUTE(Клиенты_исходные!D571," ",""),"-",""),"+",""),"(",""),")",""),2,10),SUBSTITUTE(SUBSTITUTE(SUBSTITUTE(SUBSTITUTE(SUBSTITUTE(Клиенты_исходные!D571," ",""),"-",""),"+",""),"(",""),")","")),2,3)&amp;") "&amp;MID(IF(LEFT(SUBSTITUTE(SUBSTITUTE(SUBSTITUTE(SUBSTITUTE(SUBSTITUTE(Клиенты_исходные!D571," ",""),"-",""),"+",""),"(",""),")",""))="8","7"&amp;MID(SUBSTITUTE(SUBSTITUTE(SUBSTITUTE(SUBSTITUTE(SUBSTITUTE(Клиенты_исходные!D571," ",""),"-",""),"+",""),"(",""),")",""),2,10),SUBSTITUTE(SUBSTITUTE(SUBSTITUTE(SUBSTITUTE(SUBSTITUTE(Клиенты_исходные!D571," ",""),"-",""),"+",""),"(",""),")","")),5,3)&amp;"-"&amp;MID(IF(LEFT(SUBSTITUTE(SUBSTITUTE(SUBSTITUTE(SUBSTITUTE(SUBSTITUTE(Клиенты_исходные!D571," ",""),"-",""),"+",""),"(",""),")",""))="8","7"&amp;MID(SUBSTITUTE(SUBSTITUTE(SUBSTITUTE(SUBSTITUTE(SUBSTITUTE(Клиенты_исходные!D571," ",""),"-",""),"+",""),"(",""),")",""),2,10),SUBSTITUTE(SUBSTITUTE(SUBSTITUTE(SUBSTITUTE(SUBSTITUTE(Клиенты_исходные!D571," ",""),"-",""),"+",""),"(",""),")","")),8,2)&amp;"-"&amp;MID(IF(LEFT(SUBSTITUTE(SUBSTITUTE(SUBSTITUTE(SUBSTITUTE(SUBSTITUTE(Клиенты_исходные!D571," ",""),"-",""),"+",""),"(",""),")",""))="8","7"&amp;MID(SUBSTITUTE(SUBSTITUTE(SUBSTITUTE(SUBSTITUTE(SUBSTITUTE(Клиенты_исходные!D571," ",""),"-",""),"+",""),"(",""),")",""),2,10),SUBSTITUTE(SUBSTITUTE(SUBSTITUTE(SUBSTITUTE(SUBSTITUTE(Клиенты_исходные!D571," ",""),"-",""),"+",""),"(",""),")","")),10,2),IF(LEN(SUBSTITUTE(SUBSTITUTE(SUBSTITUTE(SUBSTITUTE(SUBSTITUTE(Клиенты_исходные!D571," ",""),"-",""),"+",""),"(",""),")",""))=10,"+7 ("&amp;MID(SUBSTITUTE(SUBSTITUTE(SUBSTITUTE(SUBSTITUTE(SUBSTITUTE(Клиенты_исходные!D571," ",""),"-",""),"+",""),"(",""),")",""),1,3)&amp;") "&amp;MID(SUBSTITUTE(SUBSTITUTE(SUBSTITUTE(SUBSTITUTE(SUBSTITUTE(Клиенты_исходные!D571," ",""),"-",""),"+",""),"(",""),")",""),4,3)&amp;"-"&amp;MID(SUBSTITUTE(SUBSTITUTE(SUBSTITUTE(SUBSTITUTE(SUBSTITUTE(Клиенты_исходные!D571," ",""),"-",""),"+",""),"(",""),")",""),6,2)&amp;"-"&amp;MID(SUBSTITUTE(SUBSTITUTE(SUBSTITUTE(SUBSTITUTE(SUBSTITUTE(Клиенты_исходные!D571," ",""),"-",""),"+",""),"(",""),")",""),8,2),Клиенты_исходные!D571)))</f>
        <v xml:space="preserve">+7 (903) 678-90-12</v>
      </c>
      <c r="E571" t="str">
        <f>IF(ISBLANK(Клиенты_исходные!E571),"",IF(ISNUMBER(FIND(".",MID(Клиенты_исходные!E571,FIND("@",Клиенты_исходные!E571)+1,255))),Клиенты_исходные!E571,IF(ISNUMBER(FIND("gmail",Клиенты_исходные!E571)),Клиенты_исходные!E571&amp;".com",Клиенты_исходные!E571&amp;".ru")))</f>
        <v>bystrov@gmail.com</v>
      </c>
      <c r="F571" t="str">
        <f>IFERROR(VLOOKUP(Клиенты_исходные!F571,Справочники!$J$2:$K$50,2,FALSE),Клиенты_исходные!F571)</f>
        <v>Архангельск</v>
      </c>
      <c r="G571" s="8">
        <f>IFERROR(IF(ISNUMBER(FIND(".",Клиенты_исходные!G571)),DATE(RIGHT(Клиенты_исходные!G571,4),MID(Клиенты_исходные!G571,4,2),LEFT(Клиенты_исходные!G571,2)),DATE(LEFT(Клиенты_исходные!G571,4),MID(Клиенты_исходные!G571,6,2),RIGHT(Клиенты_исходные!G571,2))),Клиенты_исходные!G571)</f>
        <v>50323</v>
      </c>
      <c r="H571">
        <f t="shared" ca="1" si="73"/>
        <v>47</v>
      </c>
      <c r="I571" t="str">
        <f t="shared" si="74"/>
        <v>OK</v>
      </c>
      <c r="J571" t="str">
        <f t="shared" si="75"/>
        <v>OK</v>
      </c>
    </row>
    <row r="572">
      <c r="A572" t="str">
        <f>Клиенты_исходные!A572</f>
        <v>C0571</v>
      </c>
      <c r="B572" t="str">
        <f>PROPER(TRIM(Клиенты_исходные!B572))</f>
        <v xml:space="preserve">Сафонова Екатерина Сергеевна</v>
      </c>
      <c r="C572" s="8">
        <f>IFERROR(IF(ISNUMBER(FIND(".",Клиенты_исходные!C572)),DATE(RIGHT(Клиенты_исходные!C572,4),MID(Клиенты_исходные!C572,4,2),LEFT(Клиенты_исходные!C572,2)),DATE(LEFT(Клиенты_исходные!C572,4),MID(Клиенты_исходные!C572,6,2),RIGHT(Клиенты_исходные!C572,2))),Клиенты_исходные!C572)</f>
        <v>33839</v>
      </c>
      <c r="D572" t="str">
        <f>IF(ISBLANK(Клиенты_исходные!D572),"",IF(LEN(SUBSTITUTE(SUBSTITUTE(SUBSTITUTE(SUBSTITUTE(SUBSTITUTE(Клиенты_исходные!D572," ",""),"-",""),"+",""),"(",""),")",""))=11,"+7 ("&amp;MID(IF(LEFT(SUBSTITUTE(SUBSTITUTE(SUBSTITUTE(SUBSTITUTE(SUBSTITUTE(Клиенты_исходные!D572," ",""),"-",""),"+",""),"(",""),")",""))="8","7"&amp;MID(SUBSTITUTE(SUBSTITUTE(SUBSTITUTE(SUBSTITUTE(SUBSTITUTE(Клиенты_исходные!D572," ",""),"-",""),"+",""),"(",""),")",""),2,10),SUBSTITUTE(SUBSTITUTE(SUBSTITUTE(SUBSTITUTE(SUBSTITUTE(Клиенты_исходные!D572," ",""),"-",""),"+",""),"(",""),")","")),2,3)&amp;") "&amp;MID(IF(LEFT(SUBSTITUTE(SUBSTITUTE(SUBSTITUTE(SUBSTITUTE(SUBSTITUTE(Клиенты_исходные!D572," ",""),"-",""),"+",""),"(",""),")",""))="8","7"&amp;MID(SUBSTITUTE(SUBSTITUTE(SUBSTITUTE(SUBSTITUTE(SUBSTITUTE(Клиенты_исходные!D572," ",""),"-",""),"+",""),"(",""),")",""),2,10),SUBSTITUTE(SUBSTITUTE(SUBSTITUTE(SUBSTITUTE(SUBSTITUTE(Клиенты_исходные!D572," ",""),"-",""),"+",""),"(",""),")","")),5,3)&amp;"-"&amp;MID(IF(LEFT(SUBSTITUTE(SUBSTITUTE(SUBSTITUTE(SUBSTITUTE(SUBSTITUTE(Клиенты_исходные!D572," ",""),"-",""),"+",""),"(",""),")",""))="8","7"&amp;MID(SUBSTITUTE(SUBSTITUTE(SUBSTITUTE(SUBSTITUTE(SUBSTITUTE(Клиенты_исходные!D572," ",""),"-",""),"+",""),"(",""),")",""),2,10),SUBSTITUTE(SUBSTITUTE(SUBSTITUTE(SUBSTITUTE(SUBSTITUTE(Клиенты_исходные!D572," ",""),"-",""),"+",""),"(",""),")","")),8,2)&amp;"-"&amp;MID(IF(LEFT(SUBSTITUTE(SUBSTITUTE(SUBSTITUTE(SUBSTITUTE(SUBSTITUTE(Клиенты_исходные!D572," ",""),"-",""),"+",""),"(",""),")",""))="8","7"&amp;MID(SUBSTITUTE(SUBSTITUTE(SUBSTITUTE(SUBSTITUTE(SUBSTITUTE(Клиенты_исходные!D572," ",""),"-",""),"+",""),"(",""),")",""),2,10),SUBSTITUTE(SUBSTITUTE(SUBSTITUTE(SUBSTITUTE(SUBSTITUTE(Клиенты_исходные!D572," ",""),"-",""),"+",""),"(",""),")","")),10,2),IF(LEN(SUBSTITUTE(SUBSTITUTE(SUBSTITUTE(SUBSTITUTE(SUBSTITUTE(Клиенты_исходные!D572," ",""),"-",""),"+",""),"(",""),")",""))=10,"+7 ("&amp;MID(SUBSTITUTE(SUBSTITUTE(SUBSTITUTE(SUBSTITUTE(SUBSTITUTE(Клиенты_исходные!D572," ",""),"-",""),"+",""),"(",""),")",""),1,3)&amp;") "&amp;MID(SUBSTITUTE(SUBSTITUTE(SUBSTITUTE(SUBSTITUTE(SUBSTITUTE(Клиенты_исходные!D572," ",""),"-",""),"+",""),"(",""),")",""),4,3)&amp;"-"&amp;MID(SUBSTITUTE(SUBSTITUTE(SUBSTITUTE(SUBSTITUTE(SUBSTITUTE(Клиенты_исходные!D572," ",""),"-",""),"+",""),"(",""),")",""),6,2)&amp;"-"&amp;MID(SUBSTITUTE(SUBSTITUTE(SUBSTITUTE(SUBSTITUTE(SUBSTITUTE(Клиенты_исходные!D572," ",""),"-",""),"+",""),"(",""),")",""),8,2),Клиенты_исходные!D572)))</f>
        <v xml:space="preserve">+7 (903) 678-90-12</v>
      </c>
      <c r="E572" t="str">
        <f>IF(ISBLANK(Клиенты_исходные!E572),"",IF(ISNUMBER(FIND(".",MID(Клиенты_исходные!E572,FIND("@",Клиенты_исходные!E572)+1,255))),Клиенты_исходные!E572,IF(ISNUMBER(FIND("gmail",Клиенты_исходные!E572)),Клиенты_исходные!E572&amp;".com",Клиенты_исходные!E572&amp;".ru")))</f>
        <v>safonova@mail.ru</v>
      </c>
      <c r="F572" t="str">
        <f>IFERROR(VLOOKUP(Клиенты_исходные!F572,Справочники!$J$2:$K$50,2,FALSE),Клиенты_исходные!F572)</f>
        <v>Благовещенск</v>
      </c>
      <c r="G572" s="8">
        <f>IFERROR(IF(ISNUMBER(FIND(".",Клиенты_исходные!G572)),DATE(RIGHT(Клиенты_исходные!G572,4),MID(Клиенты_исходные!G572,4,2),LEFT(Клиенты_исходные!G572,2)),DATE(LEFT(Клиенты_исходные!G572,4),MID(Клиенты_исходные!G572,6,2),RIGHT(Клиенты_исходные!G572,2))),Клиенты_исходные!G572)</f>
        <v>50345</v>
      </c>
      <c r="H572">
        <f t="shared" ca="1" si="73"/>
        <v>34</v>
      </c>
      <c r="I572" t="str">
        <f t="shared" si="74"/>
        <v>OK</v>
      </c>
      <c r="J572" t="str">
        <f t="shared" si="75"/>
        <v>OK</v>
      </c>
    </row>
    <row r="573">
      <c r="A573" t="str">
        <f>Клиенты_исходные!A573</f>
        <v>C0572</v>
      </c>
      <c r="B573" t="str">
        <f>PROPER(TRIM(Клиенты_исходные!B573))</f>
        <v xml:space="preserve">Рыбин Андрей Олегович</v>
      </c>
      <c r="C573" s="8">
        <f>IFERROR(IF(ISNUMBER(FIND(".",Клиенты_исходные!C573)),DATE(RIGHT(Клиенты_исходные!C573,4),MID(Клиенты_исходные!C573,4,2),LEFT(Клиенты_исходные!C573,2)),DATE(LEFT(Клиенты_исходные!C573,4),MID(Клиенты_исходные!C573,6,2),RIGHT(Клиенты_исходные!C573,2))),Клиенты_исходные!C573)</f>
        <v>26222</v>
      </c>
      <c r="D573" t="str">
        <f>IF(ISBLANK(Клиенты_исходные!D573),"",IF(LEN(SUBSTITUTE(SUBSTITUTE(SUBSTITUTE(SUBSTITUTE(SUBSTITUTE(Клиенты_исходные!D573," ",""),"-",""),"+",""),"(",""),")",""))=11,"+7 ("&amp;MID(IF(LEFT(SUBSTITUTE(SUBSTITUTE(SUBSTITUTE(SUBSTITUTE(SUBSTITUTE(Клиенты_исходные!D573," ",""),"-",""),"+",""),"(",""),")",""))="8","7"&amp;MID(SUBSTITUTE(SUBSTITUTE(SUBSTITUTE(SUBSTITUTE(SUBSTITUTE(Клиенты_исходные!D573," ",""),"-",""),"+",""),"(",""),")",""),2,10),SUBSTITUTE(SUBSTITUTE(SUBSTITUTE(SUBSTITUTE(SUBSTITUTE(Клиенты_исходные!D573," ",""),"-",""),"+",""),"(",""),")","")),2,3)&amp;") "&amp;MID(IF(LEFT(SUBSTITUTE(SUBSTITUTE(SUBSTITUTE(SUBSTITUTE(SUBSTITUTE(Клиенты_исходные!D573," ",""),"-",""),"+",""),"(",""),")",""))="8","7"&amp;MID(SUBSTITUTE(SUBSTITUTE(SUBSTITUTE(SUBSTITUTE(SUBSTITUTE(Клиенты_исходные!D573," ",""),"-",""),"+",""),"(",""),")",""),2,10),SUBSTITUTE(SUBSTITUTE(SUBSTITUTE(SUBSTITUTE(SUBSTITUTE(Клиенты_исходные!D573," ",""),"-",""),"+",""),"(",""),")","")),5,3)&amp;"-"&amp;MID(IF(LEFT(SUBSTITUTE(SUBSTITUTE(SUBSTITUTE(SUBSTITUTE(SUBSTITUTE(Клиенты_исходные!D573," ",""),"-",""),"+",""),"(",""),")",""))="8","7"&amp;MID(SUBSTITUTE(SUBSTITUTE(SUBSTITUTE(SUBSTITUTE(SUBSTITUTE(Клиенты_исходные!D573," ",""),"-",""),"+",""),"(",""),")",""),2,10),SUBSTITUTE(SUBSTITUTE(SUBSTITUTE(SUBSTITUTE(SUBSTITUTE(Клиенты_исходные!D573," ",""),"-",""),"+",""),"(",""),")","")),8,2)&amp;"-"&amp;MID(IF(LEFT(SUBSTITUTE(SUBSTITUTE(SUBSTITUTE(SUBSTITUTE(SUBSTITUTE(Клиенты_исходные!D573," ",""),"-",""),"+",""),"(",""),")",""))="8","7"&amp;MID(SUBSTITUTE(SUBSTITUTE(SUBSTITUTE(SUBSTITUTE(SUBSTITUTE(Клиенты_исходные!D573," ",""),"-",""),"+",""),"(",""),")",""),2,10),SUBSTITUTE(SUBSTITUTE(SUBSTITUTE(SUBSTITUTE(SUBSTITUTE(Клиенты_исходные!D573," ",""),"-",""),"+",""),"(",""),")","")),10,2),IF(LEN(SUBSTITUTE(SUBSTITUTE(SUBSTITUTE(SUBSTITUTE(SUBSTITUTE(Клиенты_исходные!D573," ",""),"-",""),"+",""),"(",""),")",""))=10,"+7 ("&amp;MID(SUBSTITUTE(SUBSTITUTE(SUBSTITUTE(SUBSTITUTE(SUBSTITUTE(Клиенты_исходные!D573," ",""),"-",""),"+",""),"(",""),")",""),1,3)&amp;") "&amp;MID(SUBSTITUTE(SUBSTITUTE(SUBSTITUTE(SUBSTITUTE(SUBSTITUTE(Клиенты_исходные!D573," ",""),"-",""),"+",""),"(",""),")",""),4,3)&amp;"-"&amp;MID(SUBSTITUTE(SUBSTITUTE(SUBSTITUTE(SUBSTITUTE(SUBSTITUTE(Клиенты_исходные!D573," ",""),"-",""),"+",""),"(",""),")",""),6,2)&amp;"-"&amp;MID(SUBSTITUTE(SUBSTITUTE(SUBSTITUTE(SUBSTITUTE(SUBSTITUTE(Клиенты_исходные!D573," ",""),"-",""),"+",""),"(",""),")",""),8,2),Клиенты_исходные!D573)))</f>
        <v xml:space="preserve">+7 (903) 678-90-12</v>
      </c>
      <c r="E573" t="str">
        <f>IF(ISBLANK(Клиенты_исходные!E573),"",IF(ISNUMBER(FIND(".",MID(Клиенты_исходные!E573,FIND("@",Клиенты_исходные!E573)+1,255))),Клиенты_исходные!E573,IF(ISNUMBER(FIND("gmail",Клиенты_исходные!E573)),Клиенты_исходные!E573&amp;".com",Клиенты_исходные!E573&amp;".ru")))</f>
        <v>rybin@yandex.ru</v>
      </c>
      <c r="F573" t="str">
        <f>IFERROR(VLOOKUP(Клиенты_исходные!F573,Справочники!$J$2:$K$50,2,FALSE),Клиенты_исходные!F573)</f>
        <v>Майкоп</v>
      </c>
      <c r="G573" s="8">
        <f>IFERROR(IF(ISNUMBER(FIND(".",Клиенты_исходные!G573)),DATE(RIGHT(Клиенты_исходные!G573,4),MID(Клиенты_исходные!G573,4,2),LEFT(Клиенты_исходные!G573,2)),DATE(LEFT(Клиенты_исходные!G573,4),MID(Клиенты_исходные!G573,6,2),RIGHT(Клиенты_исходные!G573,2))),Клиенты_исходные!G573)</f>
        <v>50359</v>
      </c>
      <c r="H573">
        <f t="shared" ca="1" si="73"/>
        <v>54</v>
      </c>
      <c r="I573" t="str">
        <f t="shared" si="74"/>
        <v>OK</v>
      </c>
      <c r="J573" t="str">
        <f t="shared" si="75"/>
        <v>OK</v>
      </c>
    </row>
    <row r="574">
      <c r="A574" t="str">
        <f>Клиенты_исходные!A574</f>
        <v>C0573</v>
      </c>
      <c r="B574" t="str">
        <f>PROPER(TRIM(Клиенты_исходные!B574))</f>
        <v xml:space="preserve">Пирогова Мария Владимировна</v>
      </c>
      <c r="C574" s="8">
        <f>IFERROR(IF(ISNUMBER(FIND(".",Клиенты_исходные!C574)),DATE(RIGHT(Клиенты_исходные!C574,4),MID(Клиенты_исходные!C574,4,2),LEFT(Клиенты_исходные!C574,2)),DATE(LEFT(Клиенты_исходные!C574,4),MID(Клиенты_исходные!C574,6,2),RIGHT(Клиенты_исходные!C574,2))),Клиенты_исходные!C574)</f>
        <v>31243</v>
      </c>
      <c r="D574" t="str">
        <f>IF(ISBLANK(Клиенты_исходные!D574),"",IF(LEN(SUBSTITUTE(SUBSTITUTE(SUBSTITUTE(SUBSTITUTE(SUBSTITUTE(Клиенты_исходные!D574," ",""),"-",""),"+",""),"(",""),")",""))=11,"+7 ("&amp;MID(IF(LEFT(SUBSTITUTE(SUBSTITUTE(SUBSTITUTE(SUBSTITUTE(SUBSTITUTE(Клиенты_исходные!D574," ",""),"-",""),"+",""),"(",""),")",""))="8","7"&amp;MID(SUBSTITUTE(SUBSTITUTE(SUBSTITUTE(SUBSTITUTE(SUBSTITUTE(Клиенты_исходные!D574," ",""),"-",""),"+",""),"(",""),")",""),2,10),SUBSTITUTE(SUBSTITUTE(SUBSTITUTE(SUBSTITUTE(SUBSTITUTE(Клиенты_исходные!D574," ",""),"-",""),"+",""),"(",""),")","")),2,3)&amp;") "&amp;MID(IF(LEFT(SUBSTITUTE(SUBSTITUTE(SUBSTITUTE(SUBSTITUTE(SUBSTITUTE(Клиенты_исходные!D574," ",""),"-",""),"+",""),"(",""),")",""))="8","7"&amp;MID(SUBSTITUTE(SUBSTITUTE(SUBSTITUTE(SUBSTITUTE(SUBSTITUTE(Клиенты_исходные!D574," ",""),"-",""),"+",""),"(",""),")",""),2,10),SUBSTITUTE(SUBSTITUTE(SUBSTITUTE(SUBSTITUTE(SUBSTITUTE(Клиенты_исходные!D574," ",""),"-",""),"+",""),"(",""),")","")),5,3)&amp;"-"&amp;MID(IF(LEFT(SUBSTITUTE(SUBSTITUTE(SUBSTITUTE(SUBSTITUTE(SUBSTITUTE(Клиенты_исходные!D574," ",""),"-",""),"+",""),"(",""),")",""))="8","7"&amp;MID(SUBSTITUTE(SUBSTITUTE(SUBSTITUTE(SUBSTITUTE(SUBSTITUTE(Клиенты_исходные!D574," ",""),"-",""),"+",""),"(",""),")",""),2,10),SUBSTITUTE(SUBSTITUTE(SUBSTITUTE(SUBSTITUTE(SUBSTITUTE(Клиенты_исходные!D574," ",""),"-",""),"+",""),"(",""),")","")),8,2)&amp;"-"&amp;MID(IF(LEFT(SUBSTITUTE(SUBSTITUTE(SUBSTITUTE(SUBSTITUTE(SUBSTITUTE(Клиенты_исходные!D574," ",""),"-",""),"+",""),"(",""),")",""))="8","7"&amp;MID(SUBSTITUTE(SUBSTITUTE(SUBSTITUTE(SUBSTITUTE(SUBSTITUTE(Клиенты_исходные!D574," ",""),"-",""),"+",""),"(",""),")",""),2,10),SUBSTITUTE(SUBSTITUTE(SUBSTITUTE(SUBSTITUTE(SUBSTITUTE(Клиенты_исходные!D574," ",""),"-",""),"+",""),"(",""),")","")),10,2),IF(LEN(SUBSTITUTE(SUBSTITUTE(SUBSTITUTE(SUBSTITUTE(SUBSTITUTE(Клиенты_исходные!D574," ",""),"-",""),"+",""),"(",""),")",""))=10,"+7 ("&amp;MID(SUBSTITUTE(SUBSTITUTE(SUBSTITUTE(SUBSTITUTE(SUBSTITUTE(Клиенты_исходные!D574," ",""),"-",""),"+",""),"(",""),")",""),1,3)&amp;") "&amp;MID(SUBSTITUTE(SUBSTITUTE(SUBSTITUTE(SUBSTITUTE(SUBSTITUTE(Клиенты_исходные!D574," ",""),"-",""),"+",""),"(",""),")",""),4,3)&amp;"-"&amp;MID(SUBSTITUTE(SUBSTITUTE(SUBSTITUTE(SUBSTITUTE(SUBSTITUTE(Клиенты_исходные!D574," ",""),"-",""),"+",""),"(",""),")",""),6,2)&amp;"-"&amp;MID(SUBSTITUTE(SUBSTITUTE(SUBSTITUTE(SUBSTITUTE(SUBSTITUTE(Клиенты_исходные!D574," ",""),"-",""),"+",""),"(",""),")",""),8,2),Клиенты_исходные!D574)))</f>
        <v xml:space="preserve">+7 (903) 789-01-23</v>
      </c>
      <c r="E574" t="str">
        <f>IF(ISBLANK(Клиенты_исходные!E574),"",IF(ISNUMBER(FIND(".",MID(Клиенты_исходные!E574,FIND("@",Клиенты_исходные!E574)+1,255))),Клиенты_исходные!E574,IF(ISNUMBER(FIND("gmail",Клиенты_исходные!E574)),Клиенты_исходные!E574&amp;".com",Клиенты_исходные!E574&amp;".ru")))</f>
        <v>pirogova@gmail.com</v>
      </c>
      <c r="F574" t="str">
        <f>IFERROR(VLOOKUP(Клиенты_исходные!F574,Справочники!$J$2:$K$50,2,FALSE),Клиенты_исходные!F574)</f>
        <v>Уссурийск</v>
      </c>
      <c r="G574" s="8">
        <f>IFERROR(IF(ISNUMBER(FIND(".",Клиенты_исходные!G574)),DATE(RIGHT(Клиенты_исходные!G574,4),MID(Клиенты_исходные!G574,4,2),LEFT(Клиенты_исходные!G574,2)),DATE(LEFT(Клиенты_исходные!G574,4),MID(Клиенты_исходные!G574,6,2),RIGHT(Клиенты_исходные!G574,2))),Клиенты_исходные!G574)</f>
        <v>50359</v>
      </c>
      <c r="H574">
        <f t="shared" ca="1" si="73"/>
        <v>41</v>
      </c>
      <c r="I574" t="str">
        <f t="shared" si="74"/>
        <v>OK</v>
      </c>
      <c r="J574" t="str">
        <f t="shared" si="75"/>
        <v>OK</v>
      </c>
    </row>
    <row r="575">
      <c r="A575" t="str">
        <f>Клиенты_исходные!A575</f>
        <v>C0574</v>
      </c>
      <c r="B575" t="str">
        <f>PROPER(TRIM(Клиенты_исходные!B575))</f>
        <v xml:space="preserve">Агафонов Денис Павлович</v>
      </c>
      <c r="C575" s="8">
        <f>IFERROR(IF(ISNUMBER(FIND(".",Клиенты_исходные!C575)),DATE(RIGHT(Клиенты_исходные!C575,4),MID(Клиенты_исходные!C575,4,2),LEFT(Клиенты_исходные!C575,2)),DATE(LEFT(Клиенты_исходные!C575,4),MID(Клиенты_исходные!C575,6,2),RIGHT(Клиенты_исходные!C575,2))),Клиенты_исходные!C575)</f>
        <v>32271</v>
      </c>
      <c r="D575" t="str">
        <f>IF(ISBLANK(Клиенты_исходные!D575),"",IF(LEN(SUBSTITUTE(SUBSTITUTE(SUBSTITUTE(SUBSTITUTE(SUBSTITUTE(Клиенты_исходные!D575," ",""),"-",""),"+",""),"(",""),")",""))=11,"+7 ("&amp;MID(IF(LEFT(SUBSTITUTE(SUBSTITUTE(SUBSTITUTE(SUBSTITUTE(SUBSTITUTE(Клиенты_исходные!D575," ",""),"-",""),"+",""),"(",""),")",""))="8","7"&amp;MID(SUBSTITUTE(SUBSTITUTE(SUBSTITUTE(SUBSTITUTE(SUBSTITUTE(Клиенты_исходные!D575," ",""),"-",""),"+",""),"(",""),")",""),2,10),SUBSTITUTE(SUBSTITUTE(SUBSTITUTE(SUBSTITUTE(SUBSTITUTE(Клиенты_исходные!D575," ",""),"-",""),"+",""),"(",""),")","")),2,3)&amp;") "&amp;MID(IF(LEFT(SUBSTITUTE(SUBSTITUTE(SUBSTITUTE(SUBSTITUTE(SUBSTITUTE(Клиенты_исходные!D575," ",""),"-",""),"+",""),"(",""),")",""))="8","7"&amp;MID(SUBSTITUTE(SUBSTITUTE(SUBSTITUTE(SUBSTITUTE(SUBSTITUTE(Клиенты_исходные!D575," ",""),"-",""),"+",""),"(",""),")",""),2,10),SUBSTITUTE(SUBSTITUTE(SUBSTITUTE(SUBSTITUTE(SUBSTITUTE(Клиенты_исходные!D575," ",""),"-",""),"+",""),"(",""),")","")),5,3)&amp;"-"&amp;MID(IF(LEFT(SUBSTITUTE(SUBSTITUTE(SUBSTITUTE(SUBSTITUTE(SUBSTITUTE(Клиенты_исходные!D575," ",""),"-",""),"+",""),"(",""),")",""))="8","7"&amp;MID(SUBSTITUTE(SUBSTITUTE(SUBSTITUTE(SUBSTITUTE(SUBSTITUTE(Клиенты_исходные!D575," ",""),"-",""),"+",""),"(",""),")",""),2,10),SUBSTITUTE(SUBSTITUTE(SUBSTITUTE(SUBSTITUTE(SUBSTITUTE(Клиенты_исходные!D575," ",""),"-",""),"+",""),"(",""),")","")),8,2)&amp;"-"&amp;MID(IF(LEFT(SUBSTITUTE(SUBSTITUTE(SUBSTITUTE(SUBSTITUTE(SUBSTITUTE(Клиенты_исходные!D575," ",""),"-",""),"+",""),"(",""),")",""))="8","7"&amp;MID(SUBSTITUTE(SUBSTITUTE(SUBSTITUTE(SUBSTITUTE(SUBSTITUTE(Клиенты_исходные!D575," ",""),"-",""),"+",""),"(",""),")",""),2,10),SUBSTITUTE(SUBSTITUTE(SUBSTITUTE(SUBSTITUTE(SUBSTITUTE(Клиенты_исходные!D575," ",""),"-",""),"+",""),"(",""),")","")),10,2),IF(LEN(SUBSTITUTE(SUBSTITUTE(SUBSTITUTE(SUBSTITUTE(SUBSTITUTE(Клиенты_исходные!D575," ",""),"-",""),"+",""),"(",""),")",""))=10,"+7 ("&amp;MID(SUBSTITUTE(SUBSTITUTE(SUBSTITUTE(SUBSTITUTE(SUBSTITUTE(Клиенты_исходные!D575," ",""),"-",""),"+",""),"(",""),")",""),1,3)&amp;") "&amp;MID(SUBSTITUTE(SUBSTITUTE(SUBSTITUTE(SUBSTITUTE(SUBSTITUTE(Клиенты_исходные!D575," ",""),"-",""),"+",""),"(",""),")",""),4,3)&amp;"-"&amp;MID(SUBSTITUTE(SUBSTITUTE(SUBSTITUTE(SUBSTITUTE(SUBSTITUTE(Клиенты_исходные!D575," ",""),"-",""),"+",""),"(",""),")",""),6,2)&amp;"-"&amp;MID(SUBSTITUTE(SUBSTITUTE(SUBSTITUTE(SUBSTITUTE(SUBSTITUTE(Клиенты_исходные!D575," ",""),"-",""),"+",""),"(",""),")",""),8,2),Клиенты_исходные!D575)))</f>
        <v xml:space="preserve">+7 (903) 789-01-23</v>
      </c>
      <c r="E575" t="str">
        <f>IF(ISBLANK(Клиенты_исходные!E575),"",IF(ISNUMBER(FIND(".",MID(Клиенты_исходные!E575,FIND("@",Клиенты_исходные!E575)+1,255))),Клиенты_исходные!E575,IF(ISNUMBER(FIND("gmail",Клиенты_исходные!E575)),Клиенты_исходные!E575&amp;".com",Клиенты_исходные!E575&amp;".ru")))</f>
        <v>agafonov@mail.ru</v>
      </c>
      <c r="F575" t="str">
        <f>IFERROR(VLOOKUP(Клиенты_исходные!F575,Справочники!$J$2:$K$50,2,FALSE),Клиенты_исходные!F575)</f>
        <v>Миасс</v>
      </c>
      <c r="G575" s="8">
        <f>IFERROR(IF(ISNUMBER(FIND(".",Клиенты_исходные!G575)),DATE(RIGHT(Клиенты_исходные!G575,4),MID(Клиенты_исходные!G575,4,2),LEFT(Клиенты_исходные!G575,2)),DATE(LEFT(Клиенты_исходные!G575,4),MID(Клиенты_исходные!G575,6,2),RIGHT(Клиенты_исходные!G575,2))),Клиенты_исходные!G575)</f>
        <v>50375</v>
      </c>
      <c r="H575">
        <f t="shared" ca="1" si="73"/>
        <v>38</v>
      </c>
      <c r="I575" t="str">
        <f t="shared" si="74"/>
        <v>OK</v>
      </c>
      <c r="J575" t="str">
        <f t="shared" si="75"/>
        <v>OK</v>
      </c>
    </row>
    <row r="576">
      <c r="A576" t="str">
        <f>Клиенты_исходные!A576</f>
        <v>C0575</v>
      </c>
      <c r="B576" t="str">
        <f>PROPER(TRIM(Клиенты_исходные!B576))</f>
        <v xml:space="preserve">Соболева Ольга Сергеевна</v>
      </c>
      <c r="C576" s="8">
        <f>IFERROR(IF(ISNUMBER(FIND(".",Клиенты_исходные!C576)),DATE(RIGHT(Клиенты_исходные!C576,4),MID(Клиенты_исходные!C576,4,2),LEFT(Клиенты_исходные!C576,2)),DATE(LEFT(Клиенты_исходные!C576,4),MID(Клиенты_исходные!C576,6,2),RIGHT(Клиенты_исходные!C576,2))),Клиенты_исходные!C576)</f>
        <v>29582</v>
      </c>
      <c r="D576" t="str">
        <f>IF(ISBLANK(Клиенты_исходные!D576),"",IF(LEN(SUBSTITUTE(SUBSTITUTE(SUBSTITUTE(SUBSTITUTE(SUBSTITUTE(Клиенты_исходные!D576," ",""),"-",""),"+",""),"(",""),")",""))=11,"+7 ("&amp;MID(IF(LEFT(SUBSTITUTE(SUBSTITUTE(SUBSTITUTE(SUBSTITUTE(SUBSTITUTE(Клиенты_исходные!D576," ",""),"-",""),"+",""),"(",""),")",""))="8","7"&amp;MID(SUBSTITUTE(SUBSTITUTE(SUBSTITUTE(SUBSTITUTE(SUBSTITUTE(Клиенты_исходные!D576," ",""),"-",""),"+",""),"(",""),")",""),2,10),SUBSTITUTE(SUBSTITUTE(SUBSTITUTE(SUBSTITUTE(SUBSTITUTE(Клиенты_исходные!D576," ",""),"-",""),"+",""),"(",""),")","")),2,3)&amp;") "&amp;MID(IF(LEFT(SUBSTITUTE(SUBSTITUTE(SUBSTITUTE(SUBSTITUTE(SUBSTITUTE(Клиенты_исходные!D576," ",""),"-",""),"+",""),"(",""),")",""))="8","7"&amp;MID(SUBSTITUTE(SUBSTITUTE(SUBSTITUTE(SUBSTITUTE(SUBSTITUTE(Клиенты_исходные!D576," ",""),"-",""),"+",""),"(",""),")",""),2,10),SUBSTITUTE(SUBSTITUTE(SUBSTITUTE(SUBSTITUTE(SUBSTITUTE(Клиенты_исходные!D576," ",""),"-",""),"+",""),"(",""),")","")),5,3)&amp;"-"&amp;MID(IF(LEFT(SUBSTITUTE(SUBSTITUTE(SUBSTITUTE(SUBSTITUTE(SUBSTITUTE(Клиенты_исходные!D576," ",""),"-",""),"+",""),"(",""),")",""))="8","7"&amp;MID(SUBSTITUTE(SUBSTITUTE(SUBSTITUTE(SUBSTITUTE(SUBSTITUTE(Клиенты_исходные!D576," ",""),"-",""),"+",""),"(",""),")",""),2,10),SUBSTITUTE(SUBSTITUTE(SUBSTITUTE(SUBSTITUTE(SUBSTITUTE(Клиенты_исходные!D576," ",""),"-",""),"+",""),"(",""),")","")),8,2)&amp;"-"&amp;MID(IF(LEFT(SUBSTITUTE(SUBSTITUTE(SUBSTITUTE(SUBSTITUTE(SUBSTITUTE(Клиенты_исходные!D576," ",""),"-",""),"+",""),"(",""),")",""))="8","7"&amp;MID(SUBSTITUTE(SUBSTITUTE(SUBSTITUTE(SUBSTITUTE(SUBSTITUTE(Клиенты_исходные!D576," ",""),"-",""),"+",""),"(",""),")",""),2,10),SUBSTITUTE(SUBSTITUTE(SUBSTITUTE(SUBSTITUTE(SUBSTITUTE(Клиенты_исходные!D576," ",""),"-",""),"+",""),"(",""),")","")),10,2),IF(LEN(SUBSTITUTE(SUBSTITUTE(SUBSTITUTE(SUBSTITUTE(SUBSTITUTE(Клиенты_исходные!D576," ",""),"-",""),"+",""),"(",""),")",""))=10,"+7 ("&amp;MID(SUBSTITUTE(SUBSTITUTE(SUBSTITUTE(SUBSTITUTE(SUBSTITUTE(Клиенты_исходные!D576," ",""),"-",""),"+",""),"(",""),")",""),1,3)&amp;") "&amp;MID(SUBSTITUTE(SUBSTITUTE(SUBSTITUTE(SUBSTITUTE(SUBSTITUTE(Клиенты_исходные!D576," ",""),"-",""),"+",""),"(",""),")",""),4,3)&amp;"-"&amp;MID(SUBSTITUTE(SUBSTITUTE(SUBSTITUTE(SUBSTITUTE(SUBSTITUTE(Клиенты_исходные!D576," ",""),"-",""),"+",""),"(",""),")",""),6,2)&amp;"-"&amp;MID(SUBSTITUTE(SUBSTITUTE(SUBSTITUTE(SUBSTITUTE(SUBSTITUTE(Клиенты_исходные!D576," ",""),"-",""),"+",""),"(",""),")",""),8,2),Клиенты_исходные!D576)))</f>
        <v xml:space="preserve">+7 (903) 789-01-23</v>
      </c>
      <c r="E576" t="str">
        <f>IF(ISBLANK(Клиенты_исходные!E576),"",IF(ISNUMBER(FIND(".",MID(Клиенты_исходные!E576,FIND("@",Клиенты_исходные!E576)+1,255))),Клиенты_исходные!E576,IF(ISNUMBER(FIND("gmail",Клиенты_исходные!E576)),Клиенты_исходные!E576&amp;".com",Клиенты_исходные!E576&amp;".ru")))</f>
        <v>soboleva@yandex.ru</v>
      </c>
      <c r="F576" t="str">
        <f>IFERROR(VLOOKUP(Клиенты_исходные!F576,Справочники!$J$2:$K$50,2,FALSE),Клиенты_исходные!F576)</f>
        <v>Кызыл</v>
      </c>
      <c r="G576" s="8">
        <f>IFERROR(IF(ISNUMBER(FIND(".",Клиенты_исходные!G576)),DATE(RIGHT(Клиенты_исходные!G576,4),MID(Клиенты_исходные!G576,4,2),LEFT(Клиенты_исходные!G576,2)),DATE(LEFT(Клиенты_исходные!G576,4),MID(Клиенты_исходные!G576,6,2),RIGHT(Клиенты_исходные!G576,2))),Клиенты_исходные!G576)</f>
        <v>50384</v>
      </c>
      <c r="H576">
        <f t="shared" ca="1" si="73"/>
        <v>45</v>
      </c>
      <c r="I576" t="str">
        <f t="shared" si="74"/>
        <v>OK</v>
      </c>
      <c r="J576" t="str">
        <f t="shared" si="75"/>
        <v>OK</v>
      </c>
    </row>
    <row r="577">
      <c r="A577" t="str">
        <f>Клиенты_исходные!A577</f>
        <v>C0576</v>
      </c>
      <c r="B577" t="str">
        <f>PROPER(TRIM(Клиенты_исходные!B577))</f>
        <v xml:space="preserve">Кротов Илья Викторович</v>
      </c>
      <c r="C577" s="8">
        <f>IFERROR(IF(ISNUMBER(FIND(".",Клиенты_исходные!C577)),DATE(RIGHT(Клиенты_исходные!C577,4),MID(Клиенты_исходные!C577,4,2),LEFT(Клиенты_исходные!C577,2)),DATE(LEFT(Клиенты_исходные!C577,4),MID(Клиенты_исходные!C577,6,2),RIGHT(Клиенты_исходные!C577,2))),Клиенты_исходные!C577)</f>
        <v>27812</v>
      </c>
      <c r="D577" t="str">
        <f>IF(ISBLANK(Клиенты_исходные!D577),"",IF(LEN(SUBSTITUTE(SUBSTITUTE(SUBSTITUTE(SUBSTITUTE(SUBSTITUTE(Клиенты_исходные!D577," ",""),"-",""),"+",""),"(",""),")",""))=11,"+7 ("&amp;MID(IF(LEFT(SUBSTITUTE(SUBSTITUTE(SUBSTITUTE(SUBSTITUTE(SUBSTITUTE(Клиенты_исходные!D577," ",""),"-",""),"+",""),"(",""),")",""))="8","7"&amp;MID(SUBSTITUTE(SUBSTITUTE(SUBSTITUTE(SUBSTITUTE(SUBSTITUTE(Клиенты_исходные!D577," ",""),"-",""),"+",""),"(",""),")",""),2,10),SUBSTITUTE(SUBSTITUTE(SUBSTITUTE(SUBSTITUTE(SUBSTITUTE(Клиенты_исходные!D577," ",""),"-",""),"+",""),"(",""),")","")),2,3)&amp;") "&amp;MID(IF(LEFT(SUBSTITUTE(SUBSTITUTE(SUBSTITUTE(SUBSTITUTE(SUBSTITUTE(Клиенты_исходные!D577," ",""),"-",""),"+",""),"(",""),")",""))="8","7"&amp;MID(SUBSTITUTE(SUBSTITUTE(SUBSTITUTE(SUBSTITUTE(SUBSTITUTE(Клиенты_исходные!D577," ",""),"-",""),"+",""),"(",""),")",""),2,10),SUBSTITUTE(SUBSTITUTE(SUBSTITUTE(SUBSTITUTE(SUBSTITUTE(Клиенты_исходные!D577," ",""),"-",""),"+",""),"(",""),")","")),5,3)&amp;"-"&amp;MID(IF(LEFT(SUBSTITUTE(SUBSTITUTE(SUBSTITUTE(SUBSTITUTE(SUBSTITUTE(Клиенты_исходные!D577," ",""),"-",""),"+",""),"(",""),")",""))="8","7"&amp;MID(SUBSTITUTE(SUBSTITUTE(SUBSTITUTE(SUBSTITUTE(SUBSTITUTE(Клиенты_исходные!D577," ",""),"-",""),"+",""),"(",""),")",""),2,10),SUBSTITUTE(SUBSTITUTE(SUBSTITUTE(SUBSTITUTE(SUBSTITUTE(Клиенты_исходные!D577," ",""),"-",""),"+",""),"(",""),")","")),8,2)&amp;"-"&amp;MID(IF(LEFT(SUBSTITUTE(SUBSTITUTE(SUBSTITUTE(SUBSTITUTE(SUBSTITUTE(Клиенты_исходные!D577," ",""),"-",""),"+",""),"(",""),")",""))="8","7"&amp;MID(SUBSTITUTE(SUBSTITUTE(SUBSTITUTE(SUBSTITUTE(SUBSTITUTE(Клиенты_исходные!D577," ",""),"-",""),"+",""),"(",""),")",""),2,10),SUBSTITUTE(SUBSTITUTE(SUBSTITUTE(SUBSTITUTE(SUBSTITUTE(Клиенты_исходные!D577," ",""),"-",""),"+",""),"(",""),")","")),10,2),IF(LEN(SUBSTITUTE(SUBSTITUTE(SUBSTITUTE(SUBSTITUTE(SUBSTITUTE(Клиенты_исходные!D577," ",""),"-",""),"+",""),"(",""),")",""))=10,"+7 ("&amp;MID(SUBSTITUTE(SUBSTITUTE(SUBSTITUTE(SUBSTITUTE(SUBSTITUTE(Клиенты_исходные!D577," ",""),"-",""),"+",""),"(",""),")",""),1,3)&amp;") "&amp;MID(SUBSTITUTE(SUBSTITUTE(SUBSTITUTE(SUBSTITUTE(SUBSTITUTE(Клиенты_исходные!D577," ",""),"-",""),"+",""),"(",""),")",""),4,3)&amp;"-"&amp;MID(SUBSTITUTE(SUBSTITUTE(SUBSTITUTE(SUBSTITUTE(SUBSTITUTE(Клиенты_исходные!D577," ",""),"-",""),"+",""),"(",""),")",""),6,2)&amp;"-"&amp;MID(SUBSTITUTE(SUBSTITUTE(SUBSTITUTE(SUBSTITUTE(SUBSTITUTE(Клиенты_исходные!D577," ",""),"-",""),"+",""),"(",""),")",""),8,2),Клиенты_исходные!D577)))</f>
        <v xml:space="preserve">+7 (903) 890-12-34</v>
      </c>
      <c r="E577" t="str">
        <f>IF(ISBLANK(Клиенты_исходные!E577),"",IF(ISNUMBER(FIND(".",MID(Клиенты_исходные!E577,FIND("@",Клиенты_исходные!E577)+1,255))),Клиенты_исходные!E577,IF(ISNUMBER(FIND("gmail",Клиенты_исходные!E577)),Клиенты_исходные!E577&amp;".com",Клиенты_исходные!E577&amp;".ru")))</f>
        <v>krotov@gmail.com</v>
      </c>
      <c r="F577" t="str">
        <f>IFERROR(VLOOKUP(Клиенты_исходные!F577,Справочники!$J$2:$K$50,2,FALSE),Клиенты_исходные!F577)</f>
        <v>Калининград</v>
      </c>
      <c r="G577" s="8">
        <f>IFERROR(IF(ISNUMBER(FIND(".",Клиенты_исходные!G577)),DATE(RIGHT(Клиенты_исходные!G577,4),MID(Клиенты_исходные!G577,4,2),LEFT(Клиенты_исходные!G577,2)),DATE(LEFT(Клиенты_исходные!G577,4),MID(Клиенты_исходные!G577,6,2),RIGHT(Клиенты_исходные!G577,2))),Клиенты_исходные!G577)</f>
        <v>50384</v>
      </c>
      <c r="H577">
        <f t="shared" ca="1" si="73"/>
        <v>50</v>
      </c>
      <c r="I577" t="str">
        <f t="shared" si="74"/>
        <v>OK</v>
      </c>
      <c r="J577" t="str">
        <f t="shared" si="75"/>
        <v>OK</v>
      </c>
    </row>
    <row r="578">
      <c r="A578" t="str">
        <f>Клиенты_исходные!A578</f>
        <v>C0577</v>
      </c>
      <c r="B578" t="str">
        <f>PROPER(TRIM(Клиенты_исходные!B578))</f>
        <v xml:space="preserve">Судакова Екатерина Алексеевна</v>
      </c>
      <c r="C578" s="8">
        <f>IFERROR(IF(ISNUMBER(FIND(".",Клиенты_исходные!C578)),DATE(RIGHT(Клиенты_исходные!C578,4),MID(Клиенты_исходные!C578,4,2),LEFT(Клиенты_исходные!C578,2)),DATE(LEFT(Клиенты_исходные!C578,4),MID(Клиенты_исходные!C578,6,2),RIGHT(Клиенты_исходные!C578,2))),Клиенты_исходные!C578)</f>
        <v>30998</v>
      </c>
      <c r="D578" t="str">
        <f>IF(ISBLANK(Клиенты_исходные!D578),"",IF(LEN(SUBSTITUTE(SUBSTITUTE(SUBSTITUTE(SUBSTITUTE(SUBSTITUTE(Клиенты_исходные!D578," ",""),"-",""),"+",""),"(",""),")",""))=11,"+7 ("&amp;MID(IF(LEFT(SUBSTITUTE(SUBSTITUTE(SUBSTITUTE(SUBSTITUTE(SUBSTITUTE(Клиенты_исходные!D578," ",""),"-",""),"+",""),"(",""),")",""))="8","7"&amp;MID(SUBSTITUTE(SUBSTITUTE(SUBSTITUTE(SUBSTITUTE(SUBSTITUTE(Клиенты_исходные!D578," ",""),"-",""),"+",""),"(",""),")",""),2,10),SUBSTITUTE(SUBSTITUTE(SUBSTITUTE(SUBSTITUTE(SUBSTITUTE(Клиенты_исходные!D578," ",""),"-",""),"+",""),"(",""),")","")),2,3)&amp;") "&amp;MID(IF(LEFT(SUBSTITUTE(SUBSTITUTE(SUBSTITUTE(SUBSTITUTE(SUBSTITUTE(Клиенты_исходные!D578," ",""),"-",""),"+",""),"(",""),")",""))="8","7"&amp;MID(SUBSTITUTE(SUBSTITUTE(SUBSTITUTE(SUBSTITUTE(SUBSTITUTE(Клиенты_исходные!D578," ",""),"-",""),"+",""),"(",""),")",""),2,10),SUBSTITUTE(SUBSTITUTE(SUBSTITUTE(SUBSTITUTE(SUBSTITUTE(Клиенты_исходные!D578," ",""),"-",""),"+",""),"(",""),")","")),5,3)&amp;"-"&amp;MID(IF(LEFT(SUBSTITUTE(SUBSTITUTE(SUBSTITUTE(SUBSTITUTE(SUBSTITUTE(Клиенты_исходные!D578," ",""),"-",""),"+",""),"(",""),")",""))="8","7"&amp;MID(SUBSTITUTE(SUBSTITUTE(SUBSTITUTE(SUBSTITUTE(SUBSTITUTE(Клиенты_исходные!D578," ",""),"-",""),"+",""),"(",""),")",""),2,10),SUBSTITUTE(SUBSTITUTE(SUBSTITUTE(SUBSTITUTE(SUBSTITUTE(Клиенты_исходные!D578," ",""),"-",""),"+",""),"(",""),")","")),8,2)&amp;"-"&amp;MID(IF(LEFT(SUBSTITUTE(SUBSTITUTE(SUBSTITUTE(SUBSTITUTE(SUBSTITUTE(Клиенты_исходные!D578," ",""),"-",""),"+",""),"(",""),")",""))="8","7"&amp;MID(SUBSTITUTE(SUBSTITUTE(SUBSTITUTE(SUBSTITUTE(SUBSTITUTE(Клиенты_исходные!D578," ",""),"-",""),"+",""),"(",""),")",""),2,10),SUBSTITUTE(SUBSTITUTE(SUBSTITUTE(SUBSTITUTE(SUBSTITUTE(Клиенты_исходные!D578," ",""),"-",""),"+",""),"(",""),")","")),10,2),IF(LEN(SUBSTITUTE(SUBSTITUTE(SUBSTITUTE(SUBSTITUTE(SUBSTITUTE(Клиенты_исходные!D578," ",""),"-",""),"+",""),"(",""),")",""))=10,"+7 ("&amp;MID(SUBSTITUTE(SUBSTITUTE(SUBSTITUTE(SUBSTITUTE(SUBSTITUTE(Клиенты_исходные!D578," ",""),"-",""),"+",""),"(",""),")",""),1,3)&amp;") "&amp;MID(SUBSTITUTE(SUBSTITUTE(SUBSTITUTE(SUBSTITUTE(SUBSTITUTE(Клиенты_исходные!D578," ",""),"-",""),"+",""),"(",""),")",""),4,3)&amp;"-"&amp;MID(SUBSTITUTE(SUBSTITUTE(SUBSTITUTE(SUBSTITUTE(SUBSTITUTE(Клиенты_исходные!D578," ",""),"-",""),"+",""),"(",""),")",""),6,2)&amp;"-"&amp;MID(SUBSTITUTE(SUBSTITUTE(SUBSTITUTE(SUBSTITUTE(SUBSTITUTE(Клиенты_исходные!D578," ",""),"-",""),"+",""),"(",""),")",""),8,2),Клиенты_исходные!D578)))</f>
        <v xml:space="preserve">+7 (903) 890-12-34</v>
      </c>
      <c r="E578" t="str">
        <f>IF(ISBLANK(Клиенты_исходные!E578),"",IF(ISNUMBER(FIND(".",MID(Клиенты_исходные!E578,FIND("@",Клиенты_исходные!E578)+1,255))),Клиенты_исходные!E578,IF(ISNUMBER(FIND("gmail",Клиенты_исходные!E578)),Клиенты_исходные!E578&amp;".com",Клиенты_исходные!E578&amp;".ru")))</f>
        <v>sudakova@mail.ru</v>
      </c>
      <c r="F578" t="str">
        <f>IFERROR(VLOOKUP(Клиенты_исходные!F578,Справочники!$J$2:$K$50,2,FALSE),Клиенты_исходные!F578)</f>
        <v>Петрозаводск</v>
      </c>
      <c r="G578" s="8">
        <f>IFERROR(IF(ISNUMBER(FIND(".",Клиенты_исходные!G578)),DATE(RIGHT(Клиенты_исходные!G578,4),MID(Клиенты_исходные!G578,4,2),LEFT(Клиенты_исходные!G578,2)),DATE(LEFT(Клиенты_исходные!G578,4),MID(Клиенты_исходные!G578,6,2),RIGHT(Клиенты_исходные!G578,2))),Клиенты_исходные!G578)</f>
        <v>50406</v>
      </c>
      <c r="H578">
        <f t="shared" ca="1" si="73"/>
        <v>41</v>
      </c>
      <c r="I578" t="str">
        <f t="shared" si="74"/>
        <v>OK</v>
      </c>
      <c r="J578" t="str">
        <f t="shared" si="75"/>
        <v>OK</v>
      </c>
    </row>
    <row r="579">
      <c r="A579" t="str">
        <f>Клиенты_исходные!A579</f>
        <v>C0578</v>
      </c>
      <c r="B579" t="str">
        <f>PROPER(TRIM(Клиенты_исходные!B579))</f>
        <v xml:space="preserve">Белкин Андрей Олегович</v>
      </c>
      <c r="C579" s="8">
        <f>IFERROR(IF(ISNUMBER(FIND(".",Клиенты_исходные!C579)),DATE(RIGHT(Клиенты_исходные!C579,4),MID(Клиенты_исходные!C579,4,2),LEFT(Клиенты_исходные!C579,2)),DATE(LEFT(Клиенты_исходные!C579,4),MID(Клиенты_исходные!C579,6,2),RIGHT(Клиенты_исходные!C579,2))),Клиенты_исходные!C579)</f>
        <v>33053</v>
      </c>
      <c r="D579" t="str">
        <f>IF(ISBLANK(Клиенты_исходные!D579),"",IF(LEN(SUBSTITUTE(SUBSTITUTE(SUBSTITUTE(SUBSTITUTE(SUBSTITUTE(Клиенты_исходные!D579," ",""),"-",""),"+",""),"(",""),")",""))=11,"+7 ("&amp;MID(IF(LEFT(SUBSTITUTE(SUBSTITUTE(SUBSTITUTE(SUBSTITUTE(SUBSTITUTE(Клиенты_исходные!D579," ",""),"-",""),"+",""),"(",""),")",""))="8","7"&amp;MID(SUBSTITUTE(SUBSTITUTE(SUBSTITUTE(SUBSTITUTE(SUBSTITUTE(Клиенты_исходные!D579," ",""),"-",""),"+",""),"(",""),")",""),2,10),SUBSTITUTE(SUBSTITUTE(SUBSTITUTE(SUBSTITUTE(SUBSTITUTE(Клиенты_исходные!D579," ",""),"-",""),"+",""),"(",""),")","")),2,3)&amp;") "&amp;MID(IF(LEFT(SUBSTITUTE(SUBSTITUTE(SUBSTITUTE(SUBSTITUTE(SUBSTITUTE(Клиенты_исходные!D579," ",""),"-",""),"+",""),"(",""),")",""))="8","7"&amp;MID(SUBSTITUTE(SUBSTITUTE(SUBSTITUTE(SUBSTITUTE(SUBSTITUTE(Клиенты_исходные!D579," ",""),"-",""),"+",""),"(",""),")",""),2,10),SUBSTITUTE(SUBSTITUTE(SUBSTITUTE(SUBSTITUTE(SUBSTITUTE(Клиенты_исходные!D579," ",""),"-",""),"+",""),"(",""),")","")),5,3)&amp;"-"&amp;MID(IF(LEFT(SUBSTITUTE(SUBSTITUTE(SUBSTITUTE(SUBSTITUTE(SUBSTITUTE(Клиенты_исходные!D579," ",""),"-",""),"+",""),"(",""),")",""))="8","7"&amp;MID(SUBSTITUTE(SUBSTITUTE(SUBSTITUTE(SUBSTITUTE(SUBSTITUTE(Клиенты_исходные!D579," ",""),"-",""),"+",""),"(",""),")",""),2,10),SUBSTITUTE(SUBSTITUTE(SUBSTITUTE(SUBSTITUTE(SUBSTITUTE(Клиенты_исходные!D579," ",""),"-",""),"+",""),"(",""),")","")),8,2)&amp;"-"&amp;MID(IF(LEFT(SUBSTITUTE(SUBSTITUTE(SUBSTITUTE(SUBSTITUTE(SUBSTITUTE(Клиенты_исходные!D579," ",""),"-",""),"+",""),"(",""),")",""))="8","7"&amp;MID(SUBSTITUTE(SUBSTITUTE(SUBSTITUTE(SUBSTITUTE(SUBSTITUTE(Клиенты_исходные!D579," ",""),"-",""),"+",""),"(",""),")",""),2,10),SUBSTITUTE(SUBSTITUTE(SUBSTITUTE(SUBSTITUTE(SUBSTITUTE(Клиенты_исходные!D579," ",""),"-",""),"+",""),"(",""),")","")),10,2),IF(LEN(SUBSTITUTE(SUBSTITUTE(SUBSTITUTE(SUBSTITUTE(SUBSTITUTE(Клиенты_исходные!D579," ",""),"-",""),"+",""),"(",""),")",""))=10,"+7 ("&amp;MID(SUBSTITUTE(SUBSTITUTE(SUBSTITUTE(SUBSTITUTE(SUBSTITUTE(Клиенты_исходные!D579," ",""),"-",""),"+",""),"(",""),")",""),1,3)&amp;") "&amp;MID(SUBSTITUTE(SUBSTITUTE(SUBSTITUTE(SUBSTITUTE(SUBSTITUTE(Клиенты_исходные!D579," ",""),"-",""),"+",""),"(",""),")",""),4,3)&amp;"-"&amp;MID(SUBSTITUTE(SUBSTITUTE(SUBSTITUTE(SUBSTITUTE(SUBSTITUTE(Клиенты_исходные!D579," ",""),"-",""),"+",""),"(",""),")",""),6,2)&amp;"-"&amp;MID(SUBSTITUTE(SUBSTITUTE(SUBSTITUTE(SUBSTITUTE(SUBSTITUTE(Клиенты_исходные!D579," ",""),"-",""),"+",""),"(",""),")",""),8,2),Клиенты_исходные!D579)))</f>
        <v xml:space="preserve">+7 (903) 890-12-34</v>
      </c>
      <c r="E579" t="str">
        <f>IF(ISBLANK(Клиенты_исходные!E579),"",IF(ISNUMBER(FIND(".",MID(Клиенты_исходные!E579,FIND("@",Клиенты_исходные!E579)+1,255))),Клиенты_исходные!E579,IF(ISNUMBER(FIND("gmail",Клиенты_исходные!E579)),Клиенты_исходные!E579&amp;".com",Клиенты_исходные!E579&amp;".ru")))</f>
        <v>belkin@yandex.ru</v>
      </c>
      <c r="F579" t="str">
        <f>IFERROR(VLOOKUP(Клиенты_исходные!F579,Справочники!$J$2:$K$50,2,FALSE),Клиенты_исходные!F579)</f>
        <v>Рубцовск</v>
      </c>
      <c r="G579" s="8">
        <f>IFERROR(IF(ISNUMBER(FIND(".",Клиенты_исходные!G579)),DATE(RIGHT(Клиенты_исходные!G579,4),MID(Клиенты_исходные!G579,4,2),LEFT(Клиенты_исходные!G579,2)),DATE(LEFT(Клиенты_исходные!G579,4),MID(Клиенты_исходные!G579,6,2),RIGHT(Клиенты_исходные!G579,2))),Клиенты_исходные!G579)</f>
        <v>50420</v>
      </c>
      <c r="H579">
        <f t="shared" ca="1" si="73"/>
        <v>36</v>
      </c>
      <c r="I579" t="str">
        <f t="shared" si="74"/>
        <v>OK</v>
      </c>
      <c r="J579" t="str">
        <f t="shared" si="75"/>
        <v>OK</v>
      </c>
    </row>
    <row r="580">
      <c r="A580" t="str">
        <f>Клиенты_исходные!A580</f>
        <v>C0579</v>
      </c>
      <c r="B580" t="str">
        <f>PROPER(TRIM(Клиенты_исходные!B580))</f>
        <v xml:space="preserve">Митрофанова Мария Павловна</v>
      </c>
      <c r="C580" s="8">
        <f>IFERROR(IF(ISNUMBER(FIND(".",Клиенты_исходные!C580)),DATE(RIGHT(Клиенты_исходные!C580,4),MID(Клиенты_исходные!C580,4,2),LEFT(Клиенты_исходные!C580,2)),DATE(LEFT(Клиенты_исходные!C580,4),MID(Клиенты_исходные!C580,6,2),RIGHT(Клиенты_исходные!C580,2))),Клиенты_исходные!C580)</f>
        <v>26682</v>
      </c>
      <c r="D580" t="str">
        <f>IF(ISBLANK(Клиенты_исходные!D580),"",IF(LEN(SUBSTITUTE(SUBSTITUTE(SUBSTITUTE(SUBSTITUTE(SUBSTITUTE(Клиенты_исходные!D580," ",""),"-",""),"+",""),"(",""),")",""))=11,"+7 ("&amp;MID(IF(LEFT(SUBSTITUTE(SUBSTITUTE(SUBSTITUTE(SUBSTITUTE(SUBSTITUTE(Клиенты_исходные!D580," ",""),"-",""),"+",""),"(",""),")",""))="8","7"&amp;MID(SUBSTITUTE(SUBSTITUTE(SUBSTITUTE(SUBSTITUTE(SUBSTITUTE(Клиенты_исходные!D580," ",""),"-",""),"+",""),"(",""),")",""),2,10),SUBSTITUTE(SUBSTITUTE(SUBSTITUTE(SUBSTITUTE(SUBSTITUTE(Клиенты_исходные!D580," ",""),"-",""),"+",""),"(",""),")","")),2,3)&amp;") "&amp;MID(IF(LEFT(SUBSTITUTE(SUBSTITUTE(SUBSTITUTE(SUBSTITUTE(SUBSTITUTE(Клиенты_исходные!D580," ",""),"-",""),"+",""),"(",""),")",""))="8","7"&amp;MID(SUBSTITUTE(SUBSTITUTE(SUBSTITUTE(SUBSTITUTE(SUBSTITUTE(Клиенты_исходные!D580," ",""),"-",""),"+",""),"(",""),")",""),2,10),SUBSTITUTE(SUBSTITUTE(SUBSTITUTE(SUBSTITUTE(SUBSTITUTE(Клиенты_исходные!D580," ",""),"-",""),"+",""),"(",""),")","")),5,3)&amp;"-"&amp;MID(IF(LEFT(SUBSTITUTE(SUBSTITUTE(SUBSTITUTE(SUBSTITUTE(SUBSTITUTE(Клиенты_исходные!D580," ",""),"-",""),"+",""),"(",""),")",""))="8","7"&amp;MID(SUBSTITUTE(SUBSTITUTE(SUBSTITUTE(SUBSTITUTE(SUBSTITUTE(Клиенты_исходные!D580," ",""),"-",""),"+",""),"(",""),")",""),2,10),SUBSTITUTE(SUBSTITUTE(SUBSTITUTE(SUBSTITUTE(SUBSTITUTE(Клиенты_исходные!D580," ",""),"-",""),"+",""),"(",""),")","")),8,2)&amp;"-"&amp;MID(IF(LEFT(SUBSTITUTE(SUBSTITUTE(SUBSTITUTE(SUBSTITUTE(SUBSTITUTE(Клиенты_исходные!D580," ",""),"-",""),"+",""),"(",""),")",""))="8","7"&amp;MID(SUBSTITUTE(SUBSTITUTE(SUBSTITUTE(SUBSTITUTE(SUBSTITUTE(Клиенты_исходные!D580," ",""),"-",""),"+",""),"(",""),")",""),2,10),SUBSTITUTE(SUBSTITUTE(SUBSTITUTE(SUBSTITUTE(SUBSTITUTE(Клиенты_исходные!D580," ",""),"-",""),"+",""),"(",""),")","")),10,2),IF(LEN(SUBSTITUTE(SUBSTITUTE(SUBSTITUTE(SUBSTITUTE(SUBSTITUTE(Клиенты_исходные!D580," ",""),"-",""),"+",""),"(",""),")",""))=10,"+7 ("&amp;MID(SUBSTITUTE(SUBSTITUTE(SUBSTITUTE(SUBSTITUTE(SUBSTITUTE(Клиенты_исходные!D580," ",""),"-",""),"+",""),"(",""),")",""),1,3)&amp;") "&amp;MID(SUBSTITUTE(SUBSTITUTE(SUBSTITUTE(SUBSTITUTE(SUBSTITUTE(Клиенты_исходные!D580," ",""),"-",""),"+",""),"(",""),")",""),4,3)&amp;"-"&amp;MID(SUBSTITUTE(SUBSTITUTE(SUBSTITUTE(SUBSTITUTE(SUBSTITUTE(Клиенты_исходные!D580," ",""),"-",""),"+",""),"(",""),")",""),6,2)&amp;"-"&amp;MID(SUBSTITUTE(SUBSTITUTE(SUBSTITUTE(SUBSTITUTE(SUBSTITUTE(Клиенты_исходные!D580," ",""),"-",""),"+",""),"(",""),")",""),8,2),Клиенты_исходные!D580)))</f>
        <v xml:space="preserve">+7 (903) 901-23-45</v>
      </c>
      <c r="E580" t="str">
        <f>IF(ISBLANK(Клиенты_исходные!E580),"",IF(ISNUMBER(FIND(".",MID(Клиенты_исходные!E580,FIND("@",Клиенты_исходные!E580)+1,255))),Клиенты_исходные!E580,IF(ISNUMBER(FIND("gmail",Клиенты_исходные!E580)),Клиенты_исходные!E580&amp;".com",Клиенты_исходные!E580&amp;".ru")))</f>
        <v>mitrofanova@gmail.com</v>
      </c>
      <c r="F580" t="str">
        <f>IFERROR(VLOOKUP(Клиенты_исходные!F580,Справочники!$J$2:$K$50,2,FALSE),Клиенты_исходные!F580)</f>
        <v>Элиста</v>
      </c>
      <c r="G580" s="8">
        <f>IFERROR(IF(ISNUMBER(FIND(".",Клиенты_исходные!G580)),DATE(RIGHT(Клиенты_исходные!G580,4),MID(Клиенты_исходные!G580,4,2),LEFT(Клиенты_исходные!G580,2)),DATE(LEFT(Клиенты_исходные!G580,4),MID(Клиенты_исходные!G580,6,2),RIGHT(Клиенты_исходные!G580,2))),Клиенты_исходные!G580)</f>
        <v>50420</v>
      </c>
      <c r="H580">
        <f t="shared" ca="1" si="73"/>
        <v>53</v>
      </c>
      <c r="I580" t="str">
        <f t="shared" si="74"/>
        <v>OK</v>
      </c>
      <c r="J580" t="str">
        <f t="shared" si="75"/>
        <v>OK</v>
      </c>
    </row>
    <row r="581">
      <c r="A581" t="str">
        <f>Клиенты_исходные!A581</f>
        <v>C0580</v>
      </c>
      <c r="B581" t="str">
        <f>PROPER(TRIM(Клиенты_исходные!B581))</f>
        <v xml:space="preserve">Лысов Денис Сергеевич</v>
      </c>
      <c r="C581" s="8">
        <f>IFERROR(IF(ISNUMBER(FIND(".",Клиенты_исходные!C581)),DATE(RIGHT(Клиенты_исходные!C581,4),MID(Клиенты_исходные!C581,4,2),LEFT(Клиенты_исходные!C581,2)),DATE(LEFT(Клиенты_исходные!C581,4),MID(Клиенты_исходные!C581,6,2),RIGHT(Клиенты_исходные!C581,2))),Клиенты_исходные!C581)</f>
        <v>29836</v>
      </c>
      <c r="D581" t="str">
        <f>IF(ISBLANK(Клиенты_исходные!D581),"",IF(LEN(SUBSTITUTE(SUBSTITUTE(SUBSTITUTE(SUBSTITUTE(SUBSTITUTE(Клиенты_исходные!D581," ",""),"-",""),"+",""),"(",""),")",""))=11,"+7 ("&amp;MID(IF(LEFT(SUBSTITUTE(SUBSTITUTE(SUBSTITUTE(SUBSTITUTE(SUBSTITUTE(Клиенты_исходные!D581," ",""),"-",""),"+",""),"(",""),")",""))="8","7"&amp;MID(SUBSTITUTE(SUBSTITUTE(SUBSTITUTE(SUBSTITUTE(SUBSTITUTE(Клиенты_исходные!D581," ",""),"-",""),"+",""),"(",""),")",""),2,10),SUBSTITUTE(SUBSTITUTE(SUBSTITUTE(SUBSTITUTE(SUBSTITUTE(Клиенты_исходные!D581," ",""),"-",""),"+",""),"(",""),")","")),2,3)&amp;") "&amp;MID(IF(LEFT(SUBSTITUTE(SUBSTITUTE(SUBSTITUTE(SUBSTITUTE(SUBSTITUTE(Клиенты_исходные!D581," ",""),"-",""),"+",""),"(",""),")",""))="8","7"&amp;MID(SUBSTITUTE(SUBSTITUTE(SUBSTITUTE(SUBSTITUTE(SUBSTITUTE(Клиенты_исходные!D581," ",""),"-",""),"+",""),"(",""),")",""),2,10),SUBSTITUTE(SUBSTITUTE(SUBSTITUTE(SUBSTITUTE(SUBSTITUTE(Клиенты_исходные!D581," ",""),"-",""),"+",""),"(",""),")","")),5,3)&amp;"-"&amp;MID(IF(LEFT(SUBSTITUTE(SUBSTITUTE(SUBSTITUTE(SUBSTITUTE(SUBSTITUTE(Клиенты_исходные!D581," ",""),"-",""),"+",""),"(",""),")",""))="8","7"&amp;MID(SUBSTITUTE(SUBSTITUTE(SUBSTITUTE(SUBSTITUTE(SUBSTITUTE(Клиенты_исходные!D581," ",""),"-",""),"+",""),"(",""),")",""),2,10),SUBSTITUTE(SUBSTITUTE(SUBSTITUTE(SUBSTITUTE(SUBSTITUTE(Клиенты_исходные!D581," ",""),"-",""),"+",""),"(",""),")","")),8,2)&amp;"-"&amp;MID(IF(LEFT(SUBSTITUTE(SUBSTITUTE(SUBSTITUTE(SUBSTITUTE(SUBSTITUTE(Клиенты_исходные!D581," ",""),"-",""),"+",""),"(",""),")",""))="8","7"&amp;MID(SUBSTITUTE(SUBSTITUTE(SUBSTITUTE(SUBSTITUTE(SUBSTITUTE(Клиенты_исходные!D581," ",""),"-",""),"+",""),"(",""),")",""),2,10),SUBSTITUTE(SUBSTITUTE(SUBSTITUTE(SUBSTITUTE(SUBSTITUTE(Клиенты_исходные!D581," ",""),"-",""),"+",""),"(",""),")","")),10,2),IF(LEN(SUBSTITUTE(SUBSTITUTE(SUBSTITUTE(SUBSTITUTE(SUBSTITUTE(Клиенты_исходные!D581," ",""),"-",""),"+",""),"(",""),")",""))=10,"+7 ("&amp;MID(SUBSTITUTE(SUBSTITUTE(SUBSTITUTE(SUBSTITUTE(SUBSTITUTE(Клиенты_исходные!D581," ",""),"-",""),"+",""),"(",""),")",""),1,3)&amp;") "&amp;MID(SUBSTITUTE(SUBSTITUTE(SUBSTITUTE(SUBSTITUTE(SUBSTITUTE(Клиенты_исходные!D581," ",""),"-",""),"+",""),"(",""),")",""),4,3)&amp;"-"&amp;MID(SUBSTITUTE(SUBSTITUTE(SUBSTITUTE(SUBSTITUTE(SUBSTITUTE(Клиенты_исходные!D581," ",""),"-",""),"+",""),"(",""),")",""),6,2)&amp;"-"&amp;MID(SUBSTITUTE(SUBSTITUTE(SUBSTITUTE(SUBSTITUTE(SUBSTITUTE(Клиенты_исходные!D581," ",""),"-",""),"+",""),"(",""),")",""),8,2),Клиенты_исходные!D581)))</f>
        <v xml:space="preserve">+7 (903) 901-23-45</v>
      </c>
      <c r="E581" t="str">
        <f>IF(ISBLANK(Клиенты_исходные!E581),"",IF(ISNUMBER(FIND(".",MID(Клиенты_исходные!E581,FIND("@",Клиенты_исходные!E581)+1,255))),Клиенты_исходные!E581,IF(ISNUMBER(FIND("gmail",Клиенты_исходные!E581)),Клиенты_исходные!E581&amp;".com",Клиенты_исходные!E581&amp;".ru")))</f>
        <v>lysov@mail.ru</v>
      </c>
      <c r="F581" t="str">
        <f>IFERROR(VLOOKUP(Клиенты_исходные!F581,Справочники!$J$2:$K$50,2,FALSE),Клиенты_исходные!F581)</f>
        <v>Орск</v>
      </c>
      <c r="G581" s="8">
        <f>IFERROR(IF(ISNUMBER(FIND(".",Клиенты_исходные!G581)),DATE(RIGHT(Клиенты_исходные!G581,4),MID(Клиенты_исходные!G581,4,2),LEFT(Клиенты_исходные!G581,2)),DATE(LEFT(Клиенты_исходные!G581,4),MID(Клиенты_исходные!G581,6,2),RIGHT(Клиенты_исходные!G581,2))),Клиенты_исходные!G581)</f>
        <v>50437</v>
      </c>
      <c r="H581">
        <f t="shared" ca="1" si="73"/>
        <v>45</v>
      </c>
      <c r="I581" t="str">
        <f t="shared" si="74"/>
        <v>OK</v>
      </c>
      <c r="J581" t="str">
        <f t="shared" si="75"/>
        <v>OK</v>
      </c>
    </row>
    <row r="582">
      <c r="A582" t="str">
        <f>Клиенты_исходные!A582</f>
        <v>C0581</v>
      </c>
      <c r="B582" t="str">
        <f>PROPER(TRIM(Клиенты_исходные!B582))</f>
        <v xml:space="preserve">Горбачева Ольга Владимировна</v>
      </c>
      <c r="C582" s="8">
        <f>IFERROR(IF(ISNUMBER(FIND(".",Клиенты_исходные!C582)),DATE(RIGHT(Клиенты_исходные!C582,4),MID(Клиенты_исходные!C582,4,2),LEFT(Клиенты_исходные!C582,2)),DATE(LEFT(Клиенты_исходные!C582,4),MID(Клиенты_исходные!C582,6,2),RIGHT(Клиенты_исходные!C582,2))),Клиенты_исходные!C582)</f>
        <v>31617</v>
      </c>
      <c r="D582" t="str">
        <f>IF(ISBLANK(Клиенты_исходные!D582),"",IF(LEN(SUBSTITUTE(SUBSTITUTE(SUBSTITUTE(SUBSTITUTE(SUBSTITUTE(Клиенты_исходные!D582," ",""),"-",""),"+",""),"(",""),")",""))=11,"+7 ("&amp;MID(IF(LEFT(SUBSTITUTE(SUBSTITUTE(SUBSTITUTE(SUBSTITUTE(SUBSTITUTE(Клиенты_исходные!D582," ",""),"-",""),"+",""),"(",""),")",""))="8","7"&amp;MID(SUBSTITUTE(SUBSTITUTE(SUBSTITUTE(SUBSTITUTE(SUBSTITUTE(Клиенты_исходные!D582," ",""),"-",""),"+",""),"(",""),")",""),2,10),SUBSTITUTE(SUBSTITUTE(SUBSTITUTE(SUBSTITUTE(SUBSTITUTE(Клиенты_исходные!D582," ",""),"-",""),"+",""),"(",""),")","")),2,3)&amp;") "&amp;MID(IF(LEFT(SUBSTITUTE(SUBSTITUTE(SUBSTITUTE(SUBSTITUTE(SUBSTITUTE(Клиенты_исходные!D582," ",""),"-",""),"+",""),"(",""),")",""))="8","7"&amp;MID(SUBSTITUTE(SUBSTITUTE(SUBSTITUTE(SUBSTITUTE(SUBSTITUTE(Клиенты_исходные!D582," ",""),"-",""),"+",""),"(",""),")",""),2,10),SUBSTITUTE(SUBSTITUTE(SUBSTITUTE(SUBSTITUTE(SUBSTITUTE(Клиенты_исходные!D582," ",""),"-",""),"+",""),"(",""),")","")),5,3)&amp;"-"&amp;MID(IF(LEFT(SUBSTITUTE(SUBSTITUTE(SUBSTITUTE(SUBSTITUTE(SUBSTITUTE(Клиенты_исходные!D582," ",""),"-",""),"+",""),"(",""),")",""))="8","7"&amp;MID(SUBSTITUTE(SUBSTITUTE(SUBSTITUTE(SUBSTITUTE(SUBSTITUTE(Клиенты_исходные!D582," ",""),"-",""),"+",""),"(",""),")",""),2,10),SUBSTITUTE(SUBSTITUTE(SUBSTITUTE(SUBSTITUTE(SUBSTITUTE(Клиенты_исходные!D582," ",""),"-",""),"+",""),"(",""),")","")),8,2)&amp;"-"&amp;MID(IF(LEFT(SUBSTITUTE(SUBSTITUTE(SUBSTITUTE(SUBSTITUTE(SUBSTITUTE(Клиенты_исходные!D582," ",""),"-",""),"+",""),"(",""),")",""))="8","7"&amp;MID(SUBSTITUTE(SUBSTITUTE(SUBSTITUTE(SUBSTITUTE(SUBSTITUTE(Клиенты_исходные!D582," ",""),"-",""),"+",""),"(",""),")",""),2,10),SUBSTITUTE(SUBSTITUTE(SUBSTITUTE(SUBSTITUTE(SUBSTITUTE(Клиенты_исходные!D582," ",""),"-",""),"+",""),"(",""),")","")),10,2),IF(LEN(SUBSTITUTE(SUBSTITUTE(SUBSTITUTE(SUBSTITUTE(SUBSTITUTE(Клиенты_исходные!D582," ",""),"-",""),"+",""),"(",""),")",""))=10,"+7 ("&amp;MID(SUBSTITUTE(SUBSTITUTE(SUBSTITUTE(SUBSTITUTE(SUBSTITUTE(Клиенты_исходные!D582," ",""),"-",""),"+",""),"(",""),")",""),1,3)&amp;") "&amp;MID(SUBSTITUTE(SUBSTITUTE(SUBSTITUTE(SUBSTITUTE(SUBSTITUTE(Клиенты_исходные!D582," ",""),"-",""),"+",""),"(",""),")",""),4,3)&amp;"-"&amp;MID(SUBSTITUTE(SUBSTITUTE(SUBSTITUTE(SUBSTITUTE(SUBSTITUTE(Клиенты_исходные!D582," ",""),"-",""),"+",""),"(",""),")",""),6,2)&amp;"-"&amp;MID(SUBSTITUTE(SUBSTITUTE(SUBSTITUTE(SUBSTITUTE(SUBSTITUTE(Клиенты_исходные!D582," ",""),"-",""),"+",""),"(",""),")",""),8,2),Клиенты_исходные!D582)))</f>
        <v xml:space="preserve">+7 (903) 901-23-45</v>
      </c>
      <c r="E582" t="str">
        <f>IF(ISBLANK(Клиенты_исходные!E582),"",IF(ISNUMBER(FIND(".",MID(Клиенты_исходные!E582,FIND("@",Клиенты_исходные!E582)+1,255))),Клиенты_исходные!E582,IF(ISNUMBER(FIND("gmail",Клиенты_исходные!E582)),Клиенты_исходные!E582&amp;".com",Клиенты_исходные!E582&amp;".ru")))</f>
        <v>gorbacheva@yandex.ru</v>
      </c>
      <c r="F582" t="str">
        <f>IFERROR(VLOOKUP(Клиенты_исходные!F582,Справочники!$J$2:$K$50,2,FALSE),Клиенты_исходные!F582)</f>
        <v>Нижневартовск</v>
      </c>
      <c r="G582" s="8">
        <f>IFERROR(IF(ISNUMBER(FIND(".",Клиенты_исходные!G582)),DATE(RIGHT(Клиенты_исходные!G582,4),MID(Клиенты_исходные!G582,4,2),LEFT(Клиенты_исходные!G582,2)),DATE(LEFT(Клиенты_исходные!G582,4),MID(Клиенты_исходные!G582,6,2),RIGHT(Клиенты_исходные!G582,2))),Клиенты_исходные!G582)</f>
        <v>50446</v>
      </c>
      <c r="H582">
        <f t="shared" ca="1" si="73"/>
        <v>40</v>
      </c>
      <c r="I582" t="str">
        <f t="shared" si="74"/>
        <v>OK</v>
      </c>
      <c r="J582" t="str">
        <f t="shared" si="75"/>
        <v>OK</v>
      </c>
    </row>
    <row r="583">
      <c r="A583" t="str">
        <f>Клиенты_исходные!A583</f>
        <v>C0582</v>
      </c>
      <c r="B583" t="str">
        <f>PROPER(TRIM(Клиенты_исходные!B583))</f>
        <v xml:space="preserve">Сыроваткин Илья Алексеевич</v>
      </c>
      <c r="C583" s="8">
        <f>IFERROR(IF(ISNUMBER(FIND(".",Клиенты_исходные!C583)),DATE(RIGHT(Клиенты_исходные!C583,4),MID(Клиенты_исходные!C583,4,2),LEFT(Клиенты_исходные!C583,2)),DATE(LEFT(Клиенты_исходные!C583,4),MID(Клиенты_исходные!C583,6,2),RIGHT(Клиенты_исходные!C583,2))),Клиенты_исходные!C583)</f>
        <v>28460</v>
      </c>
      <c r="D583" t="str">
        <f>IF(ISBLANK(Клиенты_исходные!D583),"",IF(LEN(SUBSTITUTE(SUBSTITUTE(SUBSTITUTE(SUBSTITUTE(SUBSTITUTE(Клиенты_исходные!D583," ",""),"-",""),"+",""),"(",""),")",""))=11,"+7 ("&amp;MID(IF(LEFT(SUBSTITUTE(SUBSTITUTE(SUBSTITUTE(SUBSTITUTE(SUBSTITUTE(Клиенты_исходные!D583," ",""),"-",""),"+",""),"(",""),")",""))="8","7"&amp;MID(SUBSTITUTE(SUBSTITUTE(SUBSTITUTE(SUBSTITUTE(SUBSTITUTE(Клиенты_исходные!D583," ",""),"-",""),"+",""),"(",""),")",""),2,10),SUBSTITUTE(SUBSTITUTE(SUBSTITUTE(SUBSTITUTE(SUBSTITUTE(Клиенты_исходные!D583," ",""),"-",""),"+",""),"(",""),")","")),2,3)&amp;") "&amp;MID(IF(LEFT(SUBSTITUTE(SUBSTITUTE(SUBSTITUTE(SUBSTITUTE(SUBSTITUTE(Клиенты_исходные!D583," ",""),"-",""),"+",""),"(",""),")",""))="8","7"&amp;MID(SUBSTITUTE(SUBSTITUTE(SUBSTITUTE(SUBSTITUTE(SUBSTITUTE(Клиенты_исходные!D583," ",""),"-",""),"+",""),"(",""),")",""),2,10),SUBSTITUTE(SUBSTITUTE(SUBSTITUTE(SUBSTITUTE(SUBSTITUTE(Клиенты_исходные!D583," ",""),"-",""),"+",""),"(",""),")","")),5,3)&amp;"-"&amp;MID(IF(LEFT(SUBSTITUTE(SUBSTITUTE(SUBSTITUTE(SUBSTITUTE(SUBSTITUTE(Клиенты_исходные!D583," ",""),"-",""),"+",""),"(",""),")",""))="8","7"&amp;MID(SUBSTITUTE(SUBSTITUTE(SUBSTITUTE(SUBSTITUTE(SUBSTITUTE(Клиенты_исходные!D583," ",""),"-",""),"+",""),"(",""),")",""),2,10),SUBSTITUTE(SUBSTITUTE(SUBSTITUTE(SUBSTITUTE(SUBSTITUTE(Клиенты_исходные!D583," ",""),"-",""),"+",""),"(",""),")","")),8,2)&amp;"-"&amp;MID(IF(LEFT(SUBSTITUTE(SUBSTITUTE(SUBSTITUTE(SUBSTITUTE(SUBSTITUTE(Клиенты_исходные!D583," ",""),"-",""),"+",""),"(",""),")",""))="8","7"&amp;MID(SUBSTITUTE(SUBSTITUTE(SUBSTITUTE(SUBSTITUTE(SUBSTITUTE(Клиенты_исходные!D583," ",""),"-",""),"+",""),"(",""),")",""),2,10),SUBSTITUTE(SUBSTITUTE(SUBSTITUTE(SUBSTITUTE(SUBSTITUTE(Клиенты_исходные!D583," ",""),"-",""),"+",""),"(",""),")","")),10,2),IF(LEN(SUBSTITUTE(SUBSTITUTE(SUBSTITUTE(SUBSTITUTE(SUBSTITUTE(Клиенты_исходные!D583," ",""),"-",""),"+",""),"(",""),")",""))=10,"+7 ("&amp;MID(SUBSTITUTE(SUBSTITUTE(SUBSTITUTE(SUBSTITUTE(SUBSTITUTE(Клиенты_исходные!D583," ",""),"-",""),"+",""),"(",""),")",""),1,3)&amp;") "&amp;MID(SUBSTITUTE(SUBSTITUTE(SUBSTITUTE(SUBSTITUTE(SUBSTITUTE(Клиенты_исходные!D583," ",""),"-",""),"+",""),"(",""),")",""),4,3)&amp;"-"&amp;MID(SUBSTITUTE(SUBSTITUTE(SUBSTITUTE(SUBSTITUTE(SUBSTITUTE(Клиенты_исходные!D583," ",""),"-",""),"+",""),"(",""),")",""),6,2)&amp;"-"&amp;MID(SUBSTITUTE(SUBSTITUTE(SUBSTITUTE(SUBSTITUTE(SUBSTITUTE(Клиенты_исходные!D583," ",""),"-",""),"+",""),"(",""),")",""),8,2),Клиенты_исходные!D583)))</f>
        <v xml:space="preserve">+7 (903) 012-34-56</v>
      </c>
      <c r="E583" t="str">
        <f>IF(ISBLANK(Клиенты_исходные!E583),"",IF(ISNUMBER(FIND(".",MID(Клиенты_исходные!E583,FIND("@",Клиенты_исходные!E583)+1,255))),Клиенты_исходные!E583,IF(ISNUMBER(FIND("gmail",Клиенты_исходные!E583)),Клиенты_исходные!E583&amp;".com",Клиенты_исходные!E583&amp;".ru")))</f>
        <v>syrovatkin@gmail.com</v>
      </c>
      <c r="F583" t="str">
        <f>IFERROR(VLOOKUP(Клиенты_исходные!F583,Справочники!$J$2:$K$50,2,FALSE),Клиенты_исходные!F583)</f>
        <v>Новороссийск</v>
      </c>
      <c r="G583" s="8">
        <f>IFERROR(IF(ISNUMBER(FIND(".",Клиенты_исходные!G583)),DATE(RIGHT(Клиенты_исходные!G583,4),MID(Клиенты_исходные!G583,4,2),LEFT(Клиенты_исходные!G583,2)),DATE(LEFT(Клиенты_исходные!G583,4),MID(Клиенты_исходные!G583,6,2),RIGHT(Клиенты_исходные!G583,2))),Клиенты_исходные!G583)</f>
        <v>50446</v>
      </c>
      <c r="H583">
        <f t="shared" ca="1" si="73"/>
        <v>48</v>
      </c>
      <c r="I583" t="str">
        <f t="shared" si="74"/>
        <v>OK</v>
      </c>
      <c r="J583" t="str">
        <f t="shared" si="75"/>
        <v>OK</v>
      </c>
    </row>
    <row r="584">
      <c r="A584" t="str">
        <f>Клиенты_исходные!A584</f>
        <v>C0583</v>
      </c>
      <c r="B584" t="str">
        <f>PROPER(TRIM(Клиенты_исходные!B584))</f>
        <v xml:space="preserve">Блинова Екатерина Сергеевна</v>
      </c>
      <c r="C584" s="8">
        <f>IFERROR(IF(ISNUMBER(FIND(".",Клиенты_исходные!C584)),DATE(RIGHT(Клиенты_исходные!C584,4),MID(Клиенты_исходные!C584,4,2),LEFT(Клиенты_исходные!C584,2)),DATE(LEFT(Клиенты_исходные!C584,4),MID(Клиенты_исходные!C584,6,2),RIGHT(Клиенты_исходные!C584,2))),Клиенты_исходные!C584)</f>
        <v>30420</v>
      </c>
      <c r="D584" t="str">
        <f>IF(ISBLANK(Клиенты_исходные!D584),"",IF(LEN(SUBSTITUTE(SUBSTITUTE(SUBSTITUTE(SUBSTITUTE(SUBSTITUTE(Клиенты_исходные!D584," ",""),"-",""),"+",""),"(",""),")",""))=11,"+7 ("&amp;MID(IF(LEFT(SUBSTITUTE(SUBSTITUTE(SUBSTITUTE(SUBSTITUTE(SUBSTITUTE(Клиенты_исходные!D584," ",""),"-",""),"+",""),"(",""),")",""))="8","7"&amp;MID(SUBSTITUTE(SUBSTITUTE(SUBSTITUTE(SUBSTITUTE(SUBSTITUTE(Клиенты_исходные!D584," ",""),"-",""),"+",""),"(",""),")",""),2,10),SUBSTITUTE(SUBSTITUTE(SUBSTITUTE(SUBSTITUTE(SUBSTITUTE(Клиенты_исходные!D584," ",""),"-",""),"+",""),"(",""),")","")),2,3)&amp;") "&amp;MID(IF(LEFT(SUBSTITUTE(SUBSTITUTE(SUBSTITUTE(SUBSTITUTE(SUBSTITUTE(Клиенты_исходные!D584," ",""),"-",""),"+",""),"(",""),")",""))="8","7"&amp;MID(SUBSTITUTE(SUBSTITUTE(SUBSTITUTE(SUBSTITUTE(SUBSTITUTE(Клиенты_исходные!D584," ",""),"-",""),"+",""),"(",""),")",""),2,10),SUBSTITUTE(SUBSTITUTE(SUBSTITUTE(SUBSTITUTE(SUBSTITUTE(Клиенты_исходные!D584," ",""),"-",""),"+",""),"(",""),")","")),5,3)&amp;"-"&amp;MID(IF(LEFT(SUBSTITUTE(SUBSTITUTE(SUBSTITUTE(SUBSTITUTE(SUBSTITUTE(Клиенты_исходные!D584," ",""),"-",""),"+",""),"(",""),")",""))="8","7"&amp;MID(SUBSTITUTE(SUBSTITUTE(SUBSTITUTE(SUBSTITUTE(SUBSTITUTE(Клиенты_исходные!D584," ",""),"-",""),"+",""),"(",""),")",""),2,10),SUBSTITUTE(SUBSTITUTE(SUBSTITUTE(SUBSTITUTE(SUBSTITUTE(Клиенты_исходные!D584," ",""),"-",""),"+",""),"(",""),")","")),8,2)&amp;"-"&amp;MID(IF(LEFT(SUBSTITUTE(SUBSTITUTE(SUBSTITUTE(SUBSTITUTE(SUBSTITUTE(Клиенты_исходные!D584," ",""),"-",""),"+",""),"(",""),")",""))="8","7"&amp;MID(SUBSTITUTE(SUBSTITUTE(SUBSTITUTE(SUBSTITUTE(SUBSTITUTE(Клиенты_исходные!D584," ",""),"-",""),"+",""),"(",""),")",""),2,10),SUBSTITUTE(SUBSTITUTE(SUBSTITUTE(SUBSTITUTE(SUBSTITUTE(Клиенты_исходные!D584," ",""),"-",""),"+",""),"(",""),")","")),10,2),IF(LEN(SUBSTITUTE(SUBSTITUTE(SUBSTITUTE(SUBSTITUTE(SUBSTITUTE(Клиенты_исходные!D584," ",""),"-",""),"+",""),"(",""),")",""))=10,"+7 ("&amp;MID(SUBSTITUTE(SUBSTITUTE(SUBSTITUTE(SUBSTITUTE(SUBSTITUTE(Клиенты_исходные!D584," ",""),"-",""),"+",""),"(",""),")",""),1,3)&amp;") "&amp;MID(SUBSTITUTE(SUBSTITUTE(SUBSTITUTE(SUBSTITUTE(SUBSTITUTE(Клиенты_исходные!D584," ",""),"-",""),"+",""),"(",""),")",""),4,3)&amp;"-"&amp;MID(SUBSTITUTE(SUBSTITUTE(SUBSTITUTE(SUBSTITUTE(SUBSTITUTE(Клиенты_исходные!D584," ",""),"-",""),"+",""),"(",""),")",""),6,2)&amp;"-"&amp;MID(SUBSTITUTE(SUBSTITUTE(SUBSTITUTE(SUBSTITUTE(SUBSTITUTE(Клиенты_исходные!D584," ",""),"-",""),"+",""),"(",""),")",""),8,2),Клиенты_исходные!D584)))</f>
        <v xml:space="preserve">+7 (903) 012-34-56</v>
      </c>
      <c r="E584" t="str">
        <f>IF(ISBLANK(Клиенты_исходные!E584),"",IF(ISNUMBER(FIND(".",MID(Клиенты_исходные!E584,FIND("@",Клиенты_исходные!E584)+1,255))),Клиенты_исходные!E584,IF(ISNUMBER(FIND("gmail",Клиенты_исходные!E584)),Клиенты_исходные!E584&amp;".com",Клиенты_исходные!E584&amp;".ru")))</f>
        <v>blinova@mail.ru</v>
      </c>
      <c r="F584" t="str">
        <f>IFERROR(VLOOKUP(Клиенты_исходные!F584,Справочники!$J$2:$K$50,2,FALSE),Клиенты_исходные!F584)</f>
        <v>Химки</v>
      </c>
      <c r="G584" s="8">
        <f>IFERROR(IF(ISNUMBER(FIND(".",Клиенты_исходные!G584)),DATE(RIGHT(Клиенты_исходные!G584,4),MID(Клиенты_исходные!G584,4,2),LEFT(Клиенты_исходные!G584,2)),DATE(LEFT(Клиенты_исходные!G584,4),MID(Клиенты_исходные!G584,6,2),RIGHT(Клиенты_исходные!G584,2))),Клиенты_исходные!G584)</f>
        <v>50465</v>
      </c>
      <c r="H584">
        <f t="shared" ca="1" si="73"/>
        <v>43</v>
      </c>
      <c r="I584" t="str">
        <f t="shared" si="74"/>
        <v>OK</v>
      </c>
      <c r="J584" t="str">
        <f t="shared" si="75"/>
        <v>OK</v>
      </c>
    </row>
    <row r="585">
      <c r="A585" t="str">
        <f>Клиенты_исходные!A585</f>
        <v>C0584</v>
      </c>
      <c r="B585" t="str">
        <f>PROPER(TRIM(Клиенты_исходные!B585))</f>
        <v xml:space="preserve">Кочнев Андрей Павлович</v>
      </c>
      <c r="C585" s="8">
        <f>IFERROR(IF(ISNUMBER(FIND(".",Клиенты_исходные!C585)),DATE(RIGHT(Клиенты_исходные!C585,4),MID(Клиенты_исходные!C585,4,2),LEFT(Клиенты_исходные!C585,2)),DATE(LEFT(Клиенты_исходные!C585,4),MID(Клиенты_исходные!C585,6,2),RIGHT(Клиенты_исходные!C585,2))),Клиенты_исходные!C585)</f>
        <v>32802</v>
      </c>
      <c r="D585" t="str">
        <f>IF(ISBLANK(Клиенты_исходные!D585),"",IF(LEN(SUBSTITUTE(SUBSTITUTE(SUBSTITUTE(SUBSTITUTE(SUBSTITUTE(Клиенты_исходные!D585," ",""),"-",""),"+",""),"(",""),")",""))=11,"+7 ("&amp;MID(IF(LEFT(SUBSTITUTE(SUBSTITUTE(SUBSTITUTE(SUBSTITUTE(SUBSTITUTE(Клиенты_исходные!D585," ",""),"-",""),"+",""),"(",""),")",""))="8","7"&amp;MID(SUBSTITUTE(SUBSTITUTE(SUBSTITUTE(SUBSTITUTE(SUBSTITUTE(Клиенты_исходные!D585," ",""),"-",""),"+",""),"(",""),")",""),2,10),SUBSTITUTE(SUBSTITUTE(SUBSTITUTE(SUBSTITUTE(SUBSTITUTE(Клиенты_исходные!D585," ",""),"-",""),"+",""),"(",""),")","")),2,3)&amp;") "&amp;MID(IF(LEFT(SUBSTITUTE(SUBSTITUTE(SUBSTITUTE(SUBSTITUTE(SUBSTITUTE(Клиенты_исходные!D585," ",""),"-",""),"+",""),"(",""),")",""))="8","7"&amp;MID(SUBSTITUTE(SUBSTITUTE(SUBSTITUTE(SUBSTITUTE(SUBSTITUTE(Клиенты_исходные!D585," ",""),"-",""),"+",""),"(",""),")",""),2,10),SUBSTITUTE(SUBSTITUTE(SUBSTITUTE(SUBSTITUTE(SUBSTITUTE(Клиенты_исходные!D585," ",""),"-",""),"+",""),"(",""),")","")),5,3)&amp;"-"&amp;MID(IF(LEFT(SUBSTITUTE(SUBSTITUTE(SUBSTITUTE(SUBSTITUTE(SUBSTITUTE(Клиенты_исходные!D585," ",""),"-",""),"+",""),"(",""),")",""))="8","7"&amp;MID(SUBSTITUTE(SUBSTITUTE(SUBSTITUTE(SUBSTITUTE(SUBSTITUTE(Клиенты_исходные!D585," ",""),"-",""),"+",""),"(",""),")",""),2,10),SUBSTITUTE(SUBSTITUTE(SUBSTITUTE(SUBSTITUTE(SUBSTITUTE(Клиенты_исходные!D585," ",""),"-",""),"+",""),"(",""),")","")),8,2)&amp;"-"&amp;MID(IF(LEFT(SUBSTITUTE(SUBSTITUTE(SUBSTITUTE(SUBSTITUTE(SUBSTITUTE(Клиенты_исходные!D585," ",""),"-",""),"+",""),"(",""),")",""))="8","7"&amp;MID(SUBSTITUTE(SUBSTITUTE(SUBSTITUTE(SUBSTITUTE(SUBSTITUTE(Клиенты_исходные!D585," ",""),"-",""),"+",""),"(",""),")",""),2,10),SUBSTITUTE(SUBSTITUTE(SUBSTITUTE(SUBSTITUTE(SUBSTITUTE(Клиенты_исходные!D585," ",""),"-",""),"+",""),"(",""),")","")),10,2),IF(LEN(SUBSTITUTE(SUBSTITUTE(SUBSTITUTE(SUBSTITUTE(SUBSTITUTE(Клиенты_исходные!D585," ",""),"-",""),"+",""),"(",""),")",""))=10,"+7 ("&amp;MID(SUBSTITUTE(SUBSTITUTE(SUBSTITUTE(SUBSTITUTE(SUBSTITUTE(Клиенты_исходные!D585," ",""),"-",""),"+",""),"(",""),")",""),1,3)&amp;") "&amp;MID(SUBSTITUTE(SUBSTITUTE(SUBSTITUTE(SUBSTITUTE(SUBSTITUTE(Клиенты_исходные!D585," ",""),"-",""),"+",""),"(",""),")",""),4,3)&amp;"-"&amp;MID(SUBSTITUTE(SUBSTITUTE(SUBSTITUTE(SUBSTITUTE(SUBSTITUTE(Клиенты_исходные!D585," ",""),"-",""),"+",""),"(",""),")",""),6,2)&amp;"-"&amp;MID(SUBSTITUTE(SUBSTITUTE(SUBSTITUTE(SUBSTITUTE(SUBSTITUTE(Клиенты_исходные!D585," ",""),"-",""),"+",""),"(",""),")",""),8,2),Клиенты_исходные!D585)))</f>
        <v xml:space="preserve">+7 (903) 012-34-56</v>
      </c>
      <c r="E585" t="str">
        <f>IF(ISBLANK(Клиенты_исходные!E585),"",IF(ISNUMBER(FIND(".",MID(Клиенты_исходные!E585,FIND("@",Клиенты_исходные!E585)+1,255))),Клиенты_исходные!E585,IF(ISNUMBER(FIND("gmail",Клиенты_исходные!E585)),Клиенты_исходные!E585&amp;".com",Клиенты_исходные!E585&amp;".ru")))</f>
        <v>kochnev@yandex.ru</v>
      </c>
      <c r="F585" t="str">
        <f>IFERROR(VLOOKUP(Клиенты_исходные!F585,Справочники!$J$2:$K$50,2,FALSE),Клиенты_исходные!F585)</f>
        <v>Подольск</v>
      </c>
      <c r="G585" s="8">
        <f>IFERROR(IF(ISNUMBER(FIND(".",Клиенты_исходные!G585)),DATE(RIGHT(Клиенты_исходные!G585,4),MID(Клиенты_исходные!G585,4,2),LEFT(Клиенты_исходные!G585,2)),DATE(LEFT(Клиенты_исходные!G585,4),MID(Клиенты_исходные!G585,6,2),RIGHT(Клиенты_исходные!G585,2))),Клиенты_исходные!G585)</f>
        <v>50479</v>
      </c>
      <c r="H585">
        <f t="shared" ca="1" si="73"/>
        <v>36</v>
      </c>
      <c r="I585" t="str">
        <f t="shared" si="74"/>
        <v>OK</v>
      </c>
      <c r="J585" t="str">
        <f t="shared" si="75"/>
        <v>OK</v>
      </c>
    </row>
    <row r="586">
      <c r="A586" t="str">
        <f>Клиенты_исходные!A586</f>
        <v>C0585</v>
      </c>
      <c r="B586" t="str">
        <f>PROPER(TRIM(Клиенты_исходные!B586))</f>
        <v xml:space="preserve">Шаповалова Мария Олеговна</v>
      </c>
      <c r="C586" s="8">
        <f>IFERROR(IF(ISNUMBER(FIND(".",Клиенты_исходные!C586)),DATE(RIGHT(Клиенты_исходные!C586,4),MID(Клиенты_исходные!C586,4,2),LEFT(Клиенты_исходные!C586,2)),DATE(LEFT(Клиенты_исходные!C586,4),MID(Клиенты_исходные!C586,6,2),RIGHT(Клиенты_исходные!C586,2))),Клиенты_исходные!C586)</f>
        <v>27464</v>
      </c>
      <c r="D586" t="str">
        <f>IF(ISBLANK(Клиенты_исходные!D586),"",IF(LEN(SUBSTITUTE(SUBSTITUTE(SUBSTITUTE(SUBSTITUTE(SUBSTITUTE(Клиенты_исходные!D586," ",""),"-",""),"+",""),"(",""),")",""))=11,"+7 ("&amp;MID(IF(LEFT(SUBSTITUTE(SUBSTITUTE(SUBSTITUTE(SUBSTITUTE(SUBSTITUTE(Клиенты_исходные!D586," ",""),"-",""),"+",""),"(",""),")",""))="8","7"&amp;MID(SUBSTITUTE(SUBSTITUTE(SUBSTITUTE(SUBSTITUTE(SUBSTITUTE(Клиенты_исходные!D586," ",""),"-",""),"+",""),"(",""),")",""),2,10),SUBSTITUTE(SUBSTITUTE(SUBSTITUTE(SUBSTITUTE(SUBSTITUTE(Клиенты_исходные!D586," ",""),"-",""),"+",""),"(",""),")","")),2,3)&amp;") "&amp;MID(IF(LEFT(SUBSTITUTE(SUBSTITUTE(SUBSTITUTE(SUBSTITUTE(SUBSTITUTE(Клиенты_исходные!D586," ",""),"-",""),"+",""),"(",""),")",""))="8","7"&amp;MID(SUBSTITUTE(SUBSTITUTE(SUBSTITUTE(SUBSTITUTE(SUBSTITUTE(Клиенты_исходные!D586," ",""),"-",""),"+",""),"(",""),")",""),2,10),SUBSTITUTE(SUBSTITUTE(SUBSTITUTE(SUBSTITUTE(SUBSTITUTE(Клиенты_исходные!D586," ",""),"-",""),"+",""),"(",""),")","")),5,3)&amp;"-"&amp;MID(IF(LEFT(SUBSTITUTE(SUBSTITUTE(SUBSTITUTE(SUBSTITUTE(SUBSTITUTE(Клиенты_исходные!D586," ",""),"-",""),"+",""),"(",""),")",""))="8","7"&amp;MID(SUBSTITUTE(SUBSTITUTE(SUBSTITUTE(SUBSTITUTE(SUBSTITUTE(Клиенты_исходные!D586," ",""),"-",""),"+",""),"(",""),")",""),2,10),SUBSTITUTE(SUBSTITUTE(SUBSTITUTE(SUBSTITUTE(SUBSTITUTE(Клиенты_исходные!D586," ",""),"-",""),"+",""),"(",""),")","")),8,2)&amp;"-"&amp;MID(IF(LEFT(SUBSTITUTE(SUBSTITUTE(SUBSTITUTE(SUBSTITUTE(SUBSTITUTE(Клиенты_исходные!D586," ",""),"-",""),"+",""),"(",""),")",""))="8","7"&amp;MID(SUBSTITUTE(SUBSTITUTE(SUBSTITUTE(SUBSTITUTE(SUBSTITUTE(Клиенты_исходные!D586," ",""),"-",""),"+",""),"(",""),")",""),2,10),SUBSTITUTE(SUBSTITUTE(SUBSTITUTE(SUBSTITUTE(SUBSTITUTE(Клиенты_исходные!D586," ",""),"-",""),"+",""),"(",""),")","")),10,2),IF(LEN(SUBSTITUTE(SUBSTITUTE(SUBSTITUTE(SUBSTITUTE(SUBSTITUTE(Клиенты_исходные!D586," ",""),"-",""),"+",""),"(",""),")",""))=10,"+7 ("&amp;MID(SUBSTITUTE(SUBSTITUTE(SUBSTITUTE(SUBSTITUTE(SUBSTITUTE(Клиенты_исходные!D586," ",""),"-",""),"+",""),"(",""),")",""),1,3)&amp;") "&amp;MID(SUBSTITUTE(SUBSTITUTE(SUBSTITUTE(SUBSTITUTE(SUBSTITUTE(Клиенты_исходные!D586," ",""),"-",""),"+",""),"(",""),")",""),4,3)&amp;"-"&amp;MID(SUBSTITUTE(SUBSTITUTE(SUBSTITUTE(SUBSTITUTE(SUBSTITUTE(Клиенты_исходные!D586," ",""),"-",""),"+",""),"(",""),")",""),6,2)&amp;"-"&amp;MID(SUBSTITUTE(SUBSTITUTE(SUBSTITUTE(SUBSTITUTE(SUBSTITUTE(Клиенты_исходные!D586," ",""),"-",""),"+",""),"(",""),")",""),8,2),Клиенты_исходные!D586)))</f>
        <v xml:space="preserve">+7 (903) 123-45-67</v>
      </c>
      <c r="E586" t="str">
        <f>IF(ISBLANK(Клиенты_исходные!E586),"",IF(ISNUMBER(FIND(".",MID(Клиенты_исходные!E586,FIND("@",Клиенты_исходные!E586)+1,255))),Клиенты_исходные!E586,IF(ISNUMBER(FIND("gmail",Клиенты_исходные!E586)),Клиенты_исходные!E586&amp;".com",Клиенты_исходные!E586&amp;".ru")))</f>
        <v>shapovalova@gmail.com</v>
      </c>
      <c r="F586" t="str">
        <f>IFERROR(VLOOKUP(Клиенты_исходные!F586,Справочники!$J$2:$K$50,2,FALSE),Клиенты_исходные!F586)</f>
        <v>Балашиха</v>
      </c>
      <c r="G586" s="8">
        <f>IFERROR(IF(ISNUMBER(FIND(".",Клиенты_исходные!G586)),DATE(RIGHT(Клиенты_исходные!G586,4),MID(Клиенты_исходные!G586,4,2),LEFT(Клиенты_исходные!G586,2)),DATE(LEFT(Клиенты_исходные!G586,4),MID(Клиенты_исходные!G586,6,2),RIGHT(Клиенты_исходные!G586,2))),Клиенты_исходные!G586)</f>
        <v>50479</v>
      </c>
      <c r="H586">
        <f t="shared" ca="1" si="73"/>
        <v>51</v>
      </c>
      <c r="I586" t="str">
        <f t="shared" si="74"/>
        <v>OK</v>
      </c>
      <c r="J586" t="str">
        <f t="shared" si="75"/>
        <v>OK</v>
      </c>
    </row>
    <row r="587">
      <c r="A587" t="str">
        <f>Клиенты_исходные!A587</f>
        <v>C0586</v>
      </c>
      <c r="B587" t="str">
        <f>PROPER(TRIM(Клиенты_исходные!B587))</f>
        <v xml:space="preserve">Попов Денис Викторович</v>
      </c>
      <c r="C587" s="8">
        <f>IFERROR(IF(ISNUMBER(FIND(".",Клиенты_исходные!C587)),DATE(RIGHT(Клиенты_исходные!C587,4),MID(Клиенты_исходные!C587,4,2),LEFT(Клиенты_исходные!C587,2)),DATE(LEFT(Клиенты_исходные!C587,4),MID(Клиенты_исходные!C587,6,2),RIGHT(Клиенты_исходные!C587,2))),Клиенты_исходные!C587)</f>
        <v>30899</v>
      </c>
      <c r="D587" t="str">
        <f>IF(ISBLANK(Клиенты_исходные!D587),"",IF(LEN(SUBSTITUTE(SUBSTITUTE(SUBSTITUTE(SUBSTITUTE(SUBSTITUTE(Клиенты_исходные!D587," ",""),"-",""),"+",""),"(",""),")",""))=11,"+7 ("&amp;MID(IF(LEFT(SUBSTITUTE(SUBSTITUTE(SUBSTITUTE(SUBSTITUTE(SUBSTITUTE(Клиенты_исходные!D587," ",""),"-",""),"+",""),"(",""),")",""))="8","7"&amp;MID(SUBSTITUTE(SUBSTITUTE(SUBSTITUTE(SUBSTITUTE(SUBSTITUTE(Клиенты_исходные!D587," ",""),"-",""),"+",""),"(",""),")",""),2,10),SUBSTITUTE(SUBSTITUTE(SUBSTITUTE(SUBSTITUTE(SUBSTITUTE(Клиенты_исходные!D587," ",""),"-",""),"+",""),"(",""),")","")),2,3)&amp;") "&amp;MID(IF(LEFT(SUBSTITUTE(SUBSTITUTE(SUBSTITUTE(SUBSTITUTE(SUBSTITUTE(Клиенты_исходные!D587," ",""),"-",""),"+",""),"(",""),")",""))="8","7"&amp;MID(SUBSTITUTE(SUBSTITUTE(SUBSTITUTE(SUBSTITUTE(SUBSTITUTE(Клиенты_исходные!D587," ",""),"-",""),"+",""),"(",""),")",""),2,10),SUBSTITUTE(SUBSTITUTE(SUBSTITUTE(SUBSTITUTE(SUBSTITUTE(Клиенты_исходные!D587," ",""),"-",""),"+",""),"(",""),")","")),5,3)&amp;"-"&amp;MID(IF(LEFT(SUBSTITUTE(SUBSTITUTE(SUBSTITUTE(SUBSTITUTE(SUBSTITUTE(Клиенты_исходные!D587," ",""),"-",""),"+",""),"(",""),")",""))="8","7"&amp;MID(SUBSTITUTE(SUBSTITUTE(SUBSTITUTE(SUBSTITUTE(SUBSTITUTE(Клиенты_исходные!D587," ",""),"-",""),"+",""),"(",""),")",""),2,10),SUBSTITUTE(SUBSTITUTE(SUBSTITUTE(SUBSTITUTE(SUBSTITUTE(Клиенты_исходные!D587," ",""),"-",""),"+",""),"(",""),")","")),8,2)&amp;"-"&amp;MID(IF(LEFT(SUBSTITUTE(SUBSTITUTE(SUBSTITUTE(SUBSTITUTE(SUBSTITUTE(Клиенты_исходные!D587," ",""),"-",""),"+",""),"(",""),")",""))="8","7"&amp;MID(SUBSTITUTE(SUBSTITUTE(SUBSTITUTE(SUBSTITUTE(SUBSTITUTE(Клиенты_исходные!D587," ",""),"-",""),"+",""),"(",""),")",""),2,10),SUBSTITUTE(SUBSTITUTE(SUBSTITUTE(SUBSTITUTE(SUBSTITUTE(Клиенты_исходные!D587," ",""),"-",""),"+",""),"(",""),")","")),10,2),IF(LEN(SUBSTITUTE(SUBSTITUTE(SUBSTITUTE(SUBSTITUTE(SUBSTITUTE(Клиенты_исходные!D587," ",""),"-",""),"+",""),"(",""),")",""))=10,"+7 ("&amp;MID(SUBSTITUTE(SUBSTITUTE(SUBSTITUTE(SUBSTITUTE(SUBSTITUTE(Клиенты_исходные!D587," ",""),"-",""),"+",""),"(",""),")",""),1,3)&amp;") "&amp;MID(SUBSTITUTE(SUBSTITUTE(SUBSTITUTE(SUBSTITUTE(SUBSTITUTE(Клиенты_исходные!D587," ",""),"-",""),"+",""),"(",""),")",""),4,3)&amp;"-"&amp;MID(SUBSTITUTE(SUBSTITUTE(SUBSTITUTE(SUBSTITUTE(SUBSTITUTE(Клиенты_исходные!D587," ",""),"-",""),"+",""),"(",""),")",""),6,2)&amp;"-"&amp;MID(SUBSTITUTE(SUBSTITUTE(SUBSTITUTE(SUBSTITUTE(SUBSTITUTE(Клиенты_исходные!D587," ",""),"-",""),"+",""),"(",""),")",""),8,2),Клиенты_исходные!D587)))</f>
        <v xml:space="preserve">+7 (903) 123-45-67</v>
      </c>
      <c r="E587" t="str">
        <f>IF(ISBLANK(Клиенты_исходные!E587),"",IF(ISNUMBER(FIND(".",MID(Клиенты_исходные!E587,FIND("@",Клиенты_исходные!E587)+1,255))),Клиенты_исходные!E587,IF(ISNUMBER(FIND("gmail",Клиенты_исходные!E587)),Клиенты_исходные!E587&amp;".com",Клиенты_исходные!E587&amp;".ru")))</f>
        <v>popov@mail.ru</v>
      </c>
      <c r="F587" t="str">
        <f>IFERROR(VLOOKUP(Клиенты_исходные!F587,Справочники!$J$2:$K$50,2,FALSE),Клиенты_исходные!F587)</f>
        <v>Сургут</v>
      </c>
      <c r="G587" s="8">
        <f>IFERROR(IF(ISNUMBER(FIND(".",Клиенты_исходные!G587)),DATE(RIGHT(Клиенты_исходные!G587,4),MID(Клиенты_исходные!G587,4,2),LEFT(Клиенты_исходные!G587,2)),DATE(LEFT(Клиенты_исходные!G587,4),MID(Клиенты_исходные!G587,6,2),RIGHT(Клиенты_исходные!G587,2))),Клиенты_исходные!G587)</f>
        <v>50496</v>
      </c>
      <c r="H587">
        <f t="shared" ca="1" si="73"/>
        <v>42</v>
      </c>
      <c r="I587" t="str">
        <f t="shared" si="74"/>
        <v>OK</v>
      </c>
      <c r="J587" t="str">
        <f t="shared" si="75"/>
        <v>OK</v>
      </c>
    </row>
    <row r="588">
      <c r="A588" t="str">
        <f>Клиенты_исходные!A588</f>
        <v>C0587</v>
      </c>
      <c r="B588" t="str">
        <f>PROPER(TRIM(Клиенты_исходные!B588))</f>
        <v xml:space="preserve">Тарасова Ольга Павловна</v>
      </c>
      <c r="C588" s="8">
        <f>IFERROR(IF(ISNUMBER(FIND(".",Клиенты_исходные!C588)),DATE(RIGHT(Клиенты_исходные!C588,4),MID(Клиенты_исходные!C588,4,2),LEFT(Клиенты_исходные!C588,2)),DATE(LEFT(Клиенты_исходные!C588,4),MID(Клиенты_исходные!C588,6,2),RIGHT(Клиенты_исходные!C588,2))),Клиенты_исходные!C588)</f>
        <v>33568</v>
      </c>
      <c r="D588" t="str">
        <f>IF(ISBLANK(Клиенты_исходные!D588),"",IF(LEN(SUBSTITUTE(SUBSTITUTE(SUBSTITUTE(SUBSTITUTE(SUBSTITUTE(Клиенты_исходные!D588," ",""),"-",""),"+",""),"(",""),")",""))=11,"+7 ("&amp;MID(IF(LEFT(SUBSTITUTE(SUBSTITUTE(SUBSTITUTE(SUBSTITUTE(SUBSTITUTE(Клиенты_исходные!D588," ",""),"-",""),"+",""),"(",""),")",""))="8","7"&amp;MID(SUBSTITUTE(SUBSTITUTE(SUBSTITUTE(SUBSTITUTE(SUBSTITUTE(Клиенты_исходные!D588," ",""),"-",""),"+",""),"(",""),")",""),2,10),SUBSTITUTE(SUBSTITUTE(SUBSTITUTE(SUBSTITUTE(SUBSTITUTE(Клиенты_исходные!D588," ",""),"-",""),"+",""),"(",""),")","")),2,3)&amp;") "&amp;MID(IF(LEFT(SUBSTITUTE(SUBSTITUTE(SUBSTITUTE(SUBSTITUTE(SUBSTITUTE(Клиенты_исходные!D588," ",""),"-",""),"+",""),"(",""),")",""))="8","7"&amp;MID(SUBSTITUTE(SUBSTITUTE(SUBSTITUTE(SUBSTITUTE(SUBSTITUTE(Клиенты_исходные!D588," ",""),"-",""),"+",""),"(",""),")",""),2,10),SUBSTITUTE(SUBSTITUTE(SUBSTITUTE(SUBSTITUTE(SUBSTITUTE(Клиенты_исходные!D588," ",""),"-",""),"+",""),"(",""),")","")),5,3)&amp;"-"&amp;MID(IF(LEFT(SUBSTITUTE(SUBSTITUTE(SUBSTITUTE(SUBSTITUTE(SUBSTITUTE(Клиенты_исходные!D588," ",""),"-",""),"+",""),"(",""),")",""))="8","7"&amp;MID(SUBSTITUTE(SUBSTITUTE(SUBSTITUTE(SUBSTITUTE(SUBSTITUTE(Клиенты_исходные!D588," ",""),"-",""),"+",""),"(",""),")",""),2,10),SUBSTITUTE(SUBSTITUTE(SUBSTITUTE(SUBSTITUTE(SUBSTITUTE(Клиенты_исходные!D588," ",""),"-",""),"+",""),"(",""),")","")),8,2)&amp;"-"&amp;MID(IF(LEFT(SUBSTITUTE(SUBSTITUTE(SUBSTITUTE(SUBSTITUTE(SUBSTITUTE(Клиенты_исходные!D588," ",""),"-",""),"+",""),"(",""),")",""))="8","7"&amp;MID(SUBSTITUTE(SUBSTITUTE(SUBSTITUTE(SUBSTITUTE(SUBSTITUTE(Клиенты_исходные!D588," ",""),"-",""),"+",""),"(",""),")",""),2,10),SUBSTITUTE(SUBSTITUTE(SUBSTITUTE(SUBSTITUTE(SUBSTITUTE(Клиенты_исходные!D588," ",""),"-",""),"+",""),"(",""),")","")),10,2),IF(LEN(SUBSTITUTE(SUBSTITUTE(SUBSTITUTE(SUBSTITUTE(SUBSTITUTE(Клиенты_исходные!D588," ",""),"-",""),"+",""),"(",""),")",""))=10,"+7 ("&amp;MID(SUBSTITUTE(SUBSTITUTE(SUBSTITUTE(SUBSTITUTE(SUBSTITUTE(Клиенты_исходные!D588," ",""),"-",""),"+",""),"(",""),")",""),1,3)&amp;") "&amp;MID(SUBSTITUTE(SUBSTITUTE(SUBSTITUTE(SUBSTITUTE(SUBSTITUTE(Клиенты_исходные!D588," ",""),"-",""),"+",""),"(",""),")",""),4,3)&amp;"-"&amp;MID(SUBSTITUTE(SUBSTITUTE(SUBSTITUTE(SUBSTITUTE(SUBSTITUTE(Клиенты_исходные!D588," ",""),"-",""),"+",""),"(",""),")",""),6,2)&amp;"-"&amp;MID(SUBSTITUTE(SUBSTITUTE(SUBSTITUTE(SUBSTITUTE(SUBSTITUTE(Клиенты_исходные!D588," ",""),"-",""),"+",""),"(",""),")",""),8,2),Клиенты_исходные!D588)))</f>
        <v xml:space="preserve">+7 (903) 123-45-67</v>
      </c>
      <c r="E588" t="str">
        <f>IF(ISBLANK(Клиенты_исходные!E588),"",IF(ISNUMBER(FIND(".",MID(Клиенты_исходные!E588,FIND("@",Клиенты_исходные!E588)+1,255))),Клиенты_исходные!E588,IF(ISNUMBER(FIND("gmail",Клиенты_исходные!E588)),Клиенты_исходные!E588&amp;".com",Клиенты_исходные!E588&amp;".ru")))</f>
        <v>tarasova@yandex.ru</v>
      </c>
      <c r="F588" t="str">
        <f>IFERROR(VLOOKUP(Клиенты_исходные!F588,Справочники!$J$2:$K$50,2,FALSE),Клиенты_исходные!F588)</f>
        <v>Армавир</v>
      </c>
      <c r="G588" s="8">
        <f>IFERROR(IF(ISNUMBER(FIND(".",Клиенты_исходные!G588)),DATE(RIGHT(Клиенты_исходные!G588,4),MID(Клиенты_исходные!G588,4,2),LEFT(Клиенты_исходные!G588,2)),DATE(LEFT(Клиенты_исходные!G588,4),MID(Клиенты_исходные!G588,6,2),RIGHT(Клиенты_исходные!G588,2))),Клиенты_исходные!G588)</f>
        <v>50505</v>
      </c>
      <c r="H588">
        <f t="shared" ca="1" si="73"/>
        <v>34</v>
      </c>
      <c r="I588" t="str">
        <f t="shared" si="74"/>
        <v>OK</v>
      </c>
      <c r="J588" t="str">
        <f t="shared" si="75"/>
        <v>OK</v>
      </c>
    </row>
    <row r="589">
      <c r="A589" t="str">
        <f>Клиенты_исходные!A589</f>
        <v>C0588</v>
      </c>
      <c r="B589" t="str">
        <f>PROPER(TRIM(Клиенты_исходные!B589))</f>
        <v xml:space="preserve">Грибов Илья Александрович</v>
      </c>
      <c r="C589" s="8">
        <f>IFERROR(IF(ISNUMBER(FIND(".",Клиенты_исходные!C589)),DATE(RIGHT(Клиенты_исходные!C589,4),MID(Клиенты_исходные!C589,4,2),LEFT(Клиенты_исходные!C589,2)),DATE(LEFT(Клиенты_исходные!C589,4),MID(Клиенты_исходные!C589,6,2),RIGHT(Клиенты_исходные!C589,2))),Клиенты_исходные!C589)</f>
        <v>26480</v>
      </c>
      <c r="D589" t="str">
        <f>IF(ISBLANK(Клиенты_исходные!D589),"",IF(LEN(SUBSTITUTE(SUBSTITUTE(SUBSTITUTE(SUBSTITUTE(SUBSTITUTE(Клиенты_исходные!D589," ",""),"-",""),"+",""),"(",""),")",""))=11,"+7 ("&amp;MID(IF(LEFT(SUBSTITUTE(SUBSTITUTE(SUBSTITUTE(SUBSTITUTE(SUBSTITUTE(Клиенты_исходные!D589," ",""),"-",""),"+",""),"(",""),")",""))="8","7"&amp;MID(SUBSTITUTE(SUBSTITUTE(SUBSTITUTE(SUBSTITUTE(SUBSTITUTE(Клиенты_исходные!D589," ",""),"-",""),"+",""),"(",""),")",""),2,10),SUBSTITUTE(SUBSTITUTE(SUBSTITUTE(SUBSTITUTE(SUBSTITUTE(Клиенты_исходные!D589," ",""),"-",""),"+",""),"(",""),")","")),2,3)&amp;") "&amp;MID(IF(LEFT(SUBSTITUTE(SUBSTITUTE(SUBSTITUTE(SUBSTITUTE(SUBSTITUTE(Клиенты_исходные!D589," ",""),"-",""),"+",""),"(",""),")",""))="8","7"&amp;MID(SUBSTITUTE(SUBSTITUTE(SUBSTITUTE(SUBSTITUTE(SUBSTITUTE(Клиенты_исходные!D589," ",""),"-",""),"+",""),"(",""),")",""),2,10),SUBSTITUTE(SUBSTITUTE(SUBSTITUTE(SUBSTITUTE(SUBSTITUTE(Клиенты_исходные!D589," ",""),"-",""),"+",""),"(",""),")","")),5,3)&amp;"-"&amp;MID(IF(LEFT(SUBSTITUTE(SUBSTITUTE(SUBSTITUTE(SUBSTITUTE(SUBSTITUTE(Клиенты_исходные!D589," ",""),"-",""),"+",""),"(",""),")",""))="8","7"&amp;MID(SUBSTITUTE(SUBSTITUTE(SUBSTITUTE(SUBSTITUTE(SUBSTITUTE(Клиенты_исходные!D589," ",""),"-",""),"+",""),"(",""),")",""),2,10),SUBSTITUTE(SUBSTITUTE(SUBSTITUTE(SUBSTITUTE(SUBSTITUTE(Клиенты_исходные!D589," ",""),"-",""),"+",""),"(",""),")","")),8,2)&amp;"-"&amp;MID(IF(LEFT(SUBSTITUTE(SUBSTITUTE(SUBSTITUTE(SUBSTITUTE(SUBSTITUTE(Клиенты_исходные!D589," ",""),"-",""),"+",""),"(",""),")",""))="8","7"&amp;MID(SUBSTITUTE(SUBSTITUTE(SUBSTITUTE(SUBSTITUTE(SUBSTITUTE(Клиенты_исходные!D589," ",""),"-",""),"+",""),"(",""),")",""),2,10),SUBSTITUTE(SUBSTITUTE(SUBSTITUTE(SUBSTITUTE(SUBSTITUTE(Клиенты_исходные!D589," ",""),"-",""),"+",""),"(",""),")","")),10,2),IF(LEN(SUBSTITUTE(SUBSTITUTE(SUBSTITUTE(SUBSTITUTE(SUBSTITUTE(Клиенты_исходные!D589," ",""),"-",""),"+",""),"(",""),")",""))=10,"+7 ("&amp;MID(SUBSTITUTE(SUBSTITUTE(SUBSTITUTE(SUBSTITUTE(SUBSTITUTE(Клиенты_исходные!D589," ",""),"-",""),"+",""),"(",""),")",""),1,3)&amp;") "&amp;MID(SUBSTITUTE(SUBSTITUTE(SUBSTITUTE(SUBSTITUTE(SUBSTITUTE(Клиенты_исходные!D589," ",""),"-",""),"+",""),"(",""),")",""),4,3)&amp;"-"&amp;MID(SUBSTITUTE(SUBSTITUTE(SUBSTITUTE(SUBSTITUTE(SUBSTITUTE(Клиенты_исходные!D589," ",""),"-",""),"+",""),"(",""),")",""),6,2)&amp;"-"&amp;MID(SUBSTITUTE(SUBSTITUTE(SUBSTITUTE(SUBSTITUTE(SUBSTITUTE(Клиенты_исходные!D589," ",""),"-",""),"+",""),"(",""),")",""),8,2),Клиенты_исходные!D589)))</f>
        <v xml:space="preserve">+7 (903) 234-56-78</v>
      </c>
      <c r="E589" t="str">
        <f>IF(ISBLANK(Клиенты_исходные!E589),"",IF(ISNUMBER(FIND(".",MID(Клиенты_исходные!E589,FIND("@",Клиенты_исходные!E589)+1,255))),Клиенты_исходные!E589,IF(ISNUMBER(FIND("gmail",Клиенты_исходные!E589)),Клиенты_исходные!E589&amp;".com",Клиенты_исходные!E589&amp;".ru")))</f>
        <v>gribov@gmail.com</v>
      </c>
      <c r="F589" t="str">
        <f>IFERROR(VLOOKUP(Клиенты_исходные!F589,Справочники!$J$2:$K$50,2,FALSE),Клиенты_исходные!F589)</f>
        <v>Волжский</v>
      </c>
      <c r="G589" s="8">
        <f>IFERROR(IF(ISNUMBER(FIND(".",Клиенты_исходные!G589)),DATE(RIGHT(Клиенты_исходные!G589,4),MID(Клиенты_исходные!G589,4,2),LEFT(Клиенты_исходные!G589,2)),DATE(LEFT(Клиенты_исходные!G589,4),MID(Клиенты_исходные!G589,6,2),RIGHT(Клиенты_исходные!G589,2))),Клиенты_исходные!G589)</f>
        <v>50505</v>
      </c>
      <c r="H589">
        <f t="shared" ca="1" si="73"/>
        <v>54</v>
      </c>
      <c r="I589" t="str">
        <f t="shared" si="74"/>
        <v>OK</v>
      </c>
      <c r="J589" t="str">
        <f t="shared" si="75"/>
        <v>OK</v>
      </c>
    </row>
    <row r="590">
      <c r="A590" t="str">
        <f>Клиенты_исходные!A590</f>
        <v>C0589</v>
      </c>
      <c r="B590" t="str">
        <f>PROPER(TRIM(Клиенты_исходные!B590))</f>
        <v xml:space="preserve">Костюкова Екатерина Сергеевна</v>
      </c>
      <c r="C590" s="8">
        <f>IFERROR(IF(ISNUMBER(FIND(".",Клиенты_исходные!C590)),DATE(RIGHT(Клиенты_исходные!C590,4),MID(Клиенты_исходные!C590,4,2),LEFT(Клиенты_исходные!C590,2)),DATE(LEFT(Клиенты_исходные!C590,4),MID(Клиенты_исходные!C590,6,2),RIGHT(Клиенты_исходные!C590,2))),Клиенты_исходные!C590)</f>
        <v>29480</v>
      </c>
      <c r="D590" t="str">
        <f>IF(ISBLANK(Клиенты_исходные!D590),"",IF(LEN(SUBSTITUTE(SUBSTITUTE(SUBSTITUTE(SUBSTITUTE(SUBSTITUTE(Клиенты_исходные!D590," ",""),"-",""),"+",""),"(",""),")",""))=11,"+7 ("&amp;MID(IF(LEFT(SUBSTITUTE(SUBSTITUTE(SUBSTITUTE(SUBSTITUTE(SUBSTITUTE(Клиенты_исходные!D590," ",""),"-",""),"+",""),"(",""),")",""))="8","7"&amp;MID(SUBSTITUTE(SUBSTITUTE(SUBSTITUTE(SUBSTITUTE(SUBSTITUTE(Клиенты_исходные!D590," ",""),"-",""),"+",""),"(",""),")",""),2,10),SUBSTITUTE(SUBSTITUTE(SUBSTITUTE(SUBSTITUTE(SUBSTITUTE(Клиенты_исходные!D590," ",""),"-",""),"+",""),"(",""),")","")),2,3)&amp;") "&amp;MID(IF(LEFT(SUBSTITUTE(SUBSTITUTE(SUBSTITUTE(SUBSTITUTE(SUBSTITUTE(Клиенты_исходные!D590," ",""),"-",""),"+",""),"(",""),")",""))="8","7"&amp;MID(SUBSTITUTE(SUBSTITUTE(SUBSTITUTE(SUBSTITUTE(SUBSTITUTE(Клиенты_исходные!D590," ",""),"-",""),"+",""),"(",""),")",""),2,10),SUBSTITUTE(SUBSTITUTE(SUBSTITUTE(SUBSTITUTE(SUBSTITUTE(Клиенты_исходные!D590," ",""),"-",""),"+",""),"(",""),")","")),5,3)&amp;"-"&amp;MID(IF(LEFT(SUBSTITUTE(SUBSTITUTE(SUBSTITUTE(SUBSTITUTE(SUBSTITUTE(Клиенты_исходные!D590," ",""),"-",""),"+",""),"(",""),")",""))="8","7"&amp;MID(SUBSTITUTE(SUBSTITUTE(SUBSTITUTE(SUBSTITUTE(SUBSTITUTE(Клиенты_исходные!D590," ",""),"-",""),"+",""),"(",""),")",""),2,10),SUBSTITUTE(SUBSTITUTE(SUBSTITUTE(SUBSTITUTE(SUBSTITUTE(Клиенты_исходные!D590," ",""),"-",""),"+",""),"(",""),")","")),8,2)&amp;"-"&amp;MID(IF(LEFT(SUBSTITUTE(SUBSTITUTE(SUBSTITUTE(SUBSTITUTE(SUBSTITUTE(Клиенты_исходные!D590," ",""),"-",""),"+",""),"(",""),")",""))="8","7"&amp;MID(SUBSTITUTE(SUBSTITUTE(SUBSTITUTE(SUBSTITUTE(SUBSTITUTE(Клиенты_исходные!D590," ",""),"-",""),"+",""),"(",""),")",""),2,10),SUBSTITUTE(SUBSTITUTE(SUBSTITUTE(SUBSTITUTE(SUBSTITUTE(Клиенты_исходные!D590," ",""),"-",""),"+",""),"(",""),")","")),10,2),IF(LEN(SUBSTITUTE(SUBSTITUTE(SUBSTITUTE(SUBSTITUTE(SUBSTITUTE(Клиенты_исходные!D590," ",""),"-",""),"+",""),"(",""),")",""))=10,"+7 ("&amp;MID(SUBSTITUTE(SUBSTITUTE(SUBSTITUTE(SUBSTITUTE(SUBSTITUTE(Клиенты_исходные!D590," ",""),"-",""),"+",""),"(",""),")",""),1,3)&amp;") "&amp;MID(SUBSTITUTE(SUBSTITUTE(SUBSTITUTE(SUBSTITUTE(SUBSTITUTE(Клиенты_исходные!D590," ",""),"-",""),"+",""),"(",""),")",""),4,3)&amp;"-"&amp;MID(SUBSTITUTE(SUBSTITUTE(SUBSTITUTE(SUBSTITUTE(SUBSTITUTE(Клиенты_исходные!D590," ",""),"-",""),"+",""),"(",""),")",""),6,2)&amp;"-"&amp;MID(SUBSTITUTE(SUBSTITUTE(SUBSTITUTE(SUBSTITUTE(SUBSTITUTE(Клиенты_исходные!D590," ",""),"-",""),"+",""),"(",""),")",""),8,2),Клиенты_исходные!D590)))</f>
        <v xml:space="preserve">+7 (903) 234-56-78</v>
      </c>
      <c r="E590" t="str">
        <f>IF(ISBLANK(Клиенты_исходные!E590),"",IF(ISNUMBER(FIND(".",MID(Клиенты_исходные!E590,FIND("@",Клиенты_исходные!E590)+1,255))),Клиенты_исходные!E590,IF(ISNUMBER(FIND("gmail",Клиенты_исходные!E590)),Клиенты_исходные!E590&amp;".com",Клиенты_исходные!E590&amp;".ru")))</f>
        <v>kostyukova@mail.ru</v>
      </c>
      <c r="F590" t="str">
        <f>IFERROR(VLOOKUP(Клиенты_исходные!F590,Справочники!$J$2:$K$50,2,FALSE),Клиенты_исходные!F590)</f>
        <v>Шахты</v>
      </c>
      <c r="G590" s="8">
        <f>IFERROR(IF(ISNUMBER(FIND(".",Клиенты_исходные!G590)),DATE(RIGHT(Клиенты_исходные!G590,4),MID(Клиенты_исходные!G590,4,2),LEFT(Клиенты_исходные!G590,2)),DATE(LEFT(Клиенты_исходные!G590,4),MID(Клиенты_исходные!G590,6,2),RIGHT(Клиенты_исходные!G590,2))),Клиенты_исходные!G590)</f>
        <v>50526</v>
      </c>
      <c r="H590">
        <f t="shared" ca="1" si="73"/>
        <v>46</v>
      </c>
      <c r="I590" t="str">
        <f t="shared" si="74"/>
        <v>OK</v>
      </c>
      <c r="J590" t="str">
        <f t="shared" si="75"/>
        <v>OK</v>
      </c>
    </row>
    <row r="591">
      <c r="A591" t="str">
        <f>Клиенты_исходные!A591</f>
        <v>C0590</v>
      </c>
      <c r="B591" t="str">
        <f>PROPER(TRIM(Клиенты_исходные!B591))</f>
        <v xml:space="preserve">Чеботарев Андрей Олегович</v>
      </c>
      <c r="C591" s="8">
        <f>IFERROR(IF(ISNUMBER(FIND(".",Клиенты_исходные!C591)),DATE(RIGHT(Клиенты_исходные!C591,4),MID(Клиенты_исходные!C591,4,2),LEFT(Клиенты_исходные!C591,2)),DATE(LEFT(Клиенты_исходные!C591,4),MID(Клиенты_исходные!C591,6,2),RIGHT(Клиенты_исходные!C591,2))),Клиенты_исходные!C591)</f>
        <v>31858</v>
      </c>
      <c r="D591" t="str">
        <f>IF(ISBLANK(Клиенты_исходные!D591),"",IF(LEN(SUBSTITUTE(SUBSTITUTE(SUBSTITUTE(SUBSTITUTE(SUBSTITUTE(Клиенты_исходные!D591," ",""),"-",""),"+",""),"(",""),")",""))=11,"+7 ("&amp;MID(IF(LEFT(SUBSTITUTE(SUBSTITUTE(SUBSTITUTE(SUBSTITUTE(SUBSTITUTE(Клиенты_исходные!D591," ",""),"-",""),"+",""),"(",""),")",""))="8","7"&amp;MID(SUBSTITUTE(SUBSTITUTE(SUBSTITUTE(SUBSTITUTE(SUBSTITUTE(Клиенты_исходные!D591," ",""),"-",""),"+",""),"(",""),")",""),2,10),SUBSTITUTE(SUBSTITUTE(SUBSTITUTE(SUBSTITUTE(SUBSTITUTE(Клиенты_исходные!D591," ",""),"-",""),"+",""),"(",""),")","")),2,3)&amp;") "&amp;MID(IF(LEFT(SUBSTITUTE(SUBSTITUTE(SUBSTITUTE(SUBSTITUTE(SUBSTITUTE(Клиенты_исходные!D591," ",""),"-",""),"+",""),"(",""),")",""))="8","7"&amp;MID(SUBSTITUTE(SUBSTITUTE(SUBSTITUTE(SUBSTITUTE(SUBSTITUTE(Клиенты_исходные!D591," ",""),"-",""),"+",""),"(",""),")",""),2,10),SUBSTITUTE(SUBSTITUTE(SUBSTITUTE(SUBSTITUTE(SUBSTITUTE(Клиенты_исходные!D591," ",""),"-",""),"+",""),"(",""),")","")),5,3)&amp;"-"&amp;MID(IF(LEFT(SUBSTITUTE(SUBSTITUTE(SUBSTITUTE(SUBSTITUTE(SUBSTITUTE(Клиенты_исходные!D591," ",""),"-",""),"+",""),"(",""),")",""))="8","7"&amp;MID(SUBSTITUTE(SUBSTITUTE(SUBSTITUTE(SUBSTITUTE(SUBSTITUTE(Клиенты_исходные!D591," ",""),"-",""),"+",""),"(",""),")",""),2,10),SUBSTITUTE(SUBSTITUTE(SUBSTITUTE(SUBSTITUTE(SUBSTITUTE(Клиенты_исходные!D591," ",""),"-",""),"+",""),"(",""),")","")),8,2)&amp;"-"&amp;MID(IF(LEFT(SUBSTITUTE(SUBSTITUTE(SUBSTITUTE(SUBSTITUTE(SUBSTITUTE(Клиенты_исходные!D591," ",""),"-",""),"+",""),"(",""),")",""))="8","7"&amp;MID(SUBSTITUTE(SUBSTITUTE(SUBSTITUTE(SUBSTITUTE(SUBSTITUTE(Клиенты_исходные!D591," ",""),"-",""),"+",""),"(",""),")",""),2,10),SUBSTITUTE(SUBSTITUTE(SUBSTITUTE(SUBSTITUTE(SUBSTITUTE(Клиенты_исходные!D591," ",""),"-",""),"+",""),"(",""),")","")),10,2),IF(LEN(SUBSTITUTE(SUBSTITUTE(SUBSTITUTE(SUBSTITUTE(SUBSTITUTE(Клиенты_исходные!D591," ",""),"-",""),"+",""),"(",""),")",""))=10,"+7 ("&amp;MID(SUBSTITUTE(SUBSTITUTE(SUBSTITUTE(SUBSTITUTE(SUBSTITUTE(Клиенты_исходные!D591," ",""),"-",""),"+",""),"(",""),")",""),1,3)&amp;") "&amp;MID(SUBSTITUTE(SUBSTITUTE(SUBSTITUTE(SUBSTITUTE(SUBSTITUTE(Клиенты_исходные!D591," ",""),"-",""),"+",""),"(",""),")",""),4,3)&amp;"-"&amp;MID(SUBSTITUTE(SUBSTITUTE(SUBSTITUTE(SUBSTITUTE(SUBSTITUTE(Клиенты_исходные!D591," ",""),"-",""),"+",""),"(",""),")",""),6,2)&amp;"-"&amp;MID(SUBSTITUTE(SUBSTITUTE(SUBSTITUTE(SUBSTITUTE(SUBSTITUTE(Клиенты_исходные!D591," ",""),"-",""),"+",""),"(",""),")",""),8,2),Клиенты_исходные!D591)))</f>
        <v xml:space="preserve">+7 (903) 234-56-78</v>
      </c>
      <c r="E591" t="str">
        <f>IF(ISBLANK(Клиенты_исходные!E591),"",IF(ISNUMBER(FIND(".",MID(Клиенты_исходные!E591,FIND("@",Клиенты_исходные!E591)+1,255))),Клиенты_исходные!E591,IF(ISNUMBER(FIND("gmail",Клиенты_исходные!E591)),Клиенты_исходные!E591&amp;".com",Клиенты_исходные!E591&amp;".ru")))</f>
        <v>chebotarev@yandex.ru</v>
      </c>
      <c r="F591" t="str">
        <f>IFERROR(VLOOKUP(Клиенты_исходные!F591,Справочники!$J$2:$K$50,2,FALSE),Клиенты_исходные!F591)</f>
        <v>Златоуст</v>
      </c>
      <c r="G591" s="8">
        <f>IFERROR(IF(ISNUMBER(FIND(".",Клиенты_исходные!G591)),DATE(RIGHT(Клиенты_исходные!G591,4),MID(Клиенты_исходные!G591,4,2),LEFT(Клиенты_исходные!G591,2)),DATE(LEFT(Клиенты_исходные!G591,4),MID(Клиенты_исходные!G591,6,2),RIGHT(Клиенты_исходные!G591,2))),Клиенты_исходные!G591)</f>
        <v>50540</v>
      </c>
      <c r="H591">
        <f t="shared" ca="1" si="73"/>
        <v>39</v>
      </c>
      <c r="I591" t="str">
        <f t="shared" si="74"/>
        <v>OK</v>
      </c>
      <c r="J591" t="str">
        <f t="shared" si="75"/>
        <v>OK</v>
      </c>
    </row>
    <row r="592">
      <c r="A592" t="str">
        <f>Клиенты_исходные!A592</f>
        <v>C0591</v>
      </c>
      <c r="B592" t="str">
        <f>PROPER(TRIM(Клиенты_исходные!B592))</f>
        <v xml:space="preserve">Зорина Мария Владимировна</v>
      </c>
      <c r="C592" s="8">
        <f>IFERROR(IF(ISNUMBER(FIND(".",Клиенты_исходные!C592)),DATE(RIGHT(Клиенты_исходные!C592,4),MID(Клиенты_исходные!C592,4,2),LEFT(Клиенты_исходные!C592,2)),DATE(LEFT(Клиенты_исходные!C592,4),MID(Клиенты_исходные!C592,6,2),RIGHT(Клиенты_исходные!C592,2))),Клиенты_исходные!C592)</f>
        <v>27949</v>
      </c>
      <c r="D592" t="str">
        <f>IF(ISBLANK(Клиенты_исходные!D592),"",IF(LEN(SUBSTITUTE(SUBSTITUTE(SUBSTITUTE(SUBSTITUTE(SUBSTITUTE(Клиенты_исходные!D592," ",""),"-",""),"+",""),"(",""),")",""))=11,"+7 ("&amp;MID(IF(LEFT(SUBSTITUTE(SUBSTITUTE(SUBSTITUTE(SUBSTITUTE(SUBSTITUTE(Клиенты_исходные!D592," ",""),"-",""),"+",""),"(",""),")",""))="8","7"&amp;MID(SUBSTITUTE(SUBSTITUTE(SUBSTITUTE(SUBSTITUTE(SUBSTITUTE(Клиенты_исходные!D592," ",""),"-",""),"+",""),"(",""),")",""),2,10),SUBSTITUTE(SUBSTITUTE(SUBSTITUTE(SUBSTITUTE(SUBSTITUTE(Клиенты_исходные!D592," ",""),"-",""),"+",""),"(",""),")","")),2,3)&amp;") "&amp;MID(IF(LEFT(SUBSTITUTE(SUBSTITUTE(SUBSTITUTE(SUBSTITUTE(SUBSTITUTE(Клиенты_исходные!D592," ",""),"-",""),"+",""),"(",""),")",""))="8","7"&amp;MID(SUBSTITUTE(SUBSTITUTE(SUBSTITUTE(SUBSTITUTE(SUBSTITUTE(Клиенты_исходные!D592," ",""),"-",""),"+",""),"(",""),")",""),2,10),SUBSTITUTE(SUBSTITUTE(SUBSTITUTE(SUBSTITUTE(SUBSTITUTE(Клиенты_исходные!D592," ",""),"-",""),"+",""),"(",""),")","")),5,3)&amp;"-"&amp;MID(IF(LEFT(SUBSTITUTE(SUBSTITUTE(SUBSTITUTE(SUBSTITUTE(SUBSTITUTE(Клиенты_исходные!D592," ",""),"-",""),"+",""),"(",""),")",""))="8","7"&amp;MID(SUBSTITUTE(SUBSTITUTE(SUBSTITUTE(SUBSTITUTE(SUBSTITUTE(Клиенты_исходные!D592," ",""),"-",""),"+",""),"(",""),")",""),2,10),SUBSTITUTE(SUBSTITUTE(SUBSTITUTE(SUBSTITUTE(SUBSTITUTE(Клиенты_исходные!D592," ",""),"-",""),"+",""),"(",""),")","")),8,2)&amp;"-"&amp;MID(IF(LEFT(SUBSTITUTE(SUBSTITUTE(SUBSTITUTE(SUBSTITUTE(SUBSTITUTE(Клиенты_исходные!D592," ",""),"-",""),"+",""),"(",""),")",""))="8","7"&amp;MID(SUBSTITUTE(SUBSTITUTE(SUBSTITUTE(SUBSTITUTE(SUBSTITUTE(Клиенты_исходные!D592," ",""),"-",""),"+",""),"(",""),")",""),2,10),SUBSTITUTE(SUBSTITUTE(SUBSTITUTE(SUBSTITUTE(SUBSTITUTE(Клиенты_исходные!D592," ",""),"-",""),"+",""),"(",""),")","")),10,2),IF(LEN(SUBSTITUTE(SUBSTITUTE(SUBSTITUTE(SUBSTITUTE(SUBSTITUTE(Клиенты_исходные!D592," ",""),"-",""),"+",""),"(",""),")",""))=10,"+7 ("&amp;MID(SUBSTITUTE(SUBSTITUTE(SUBSTITUTE(SUBSTITUTE(SUBSTITUTE(Клиенты_исходные!D592," ",""),"-",""),"+",""),"(",""),")",""),1,3)&amp;") "&amp;MID(SUBSTITUTE(SUBSTITUTE(SUBSTITUTE(SUBSTITUTE(SUBSTITUTE(Клиенты_исходные!D592," ",""),"-",""),"+",""),"(",""),")",""),4,3)&amp;"-"&amp;MID(SUBSTITUTE(SUBSTITUTE(SUBSTITUTE(SUBSTITUTE(SUBSTITUTE(Клиенты_исходные!D592," ",""),"-",""),"+",""),"(",""),")",""),6,2)&amp;"-"&amp;MID(SUBSTITUTE(SUBSTITUTE(SUBSTITUTE(SUBSTITUTE(SUBSTITUTE(Клиенты_исходные!D592," ",""),"-",""),"+",""),"(",""),")",""),8,2),Клиенты_исходные!D592)))</f>
        <v xml:space="preserve">+7 (903) 345-67-89</v>
      </c>
      <c r="E592" t="str">
        <f>IF(ISBLANK(Клиенты_исходные!E592),"",IF(ISNUMBER(FIND(".",MID(Клиенты_исходные!E592,FIND("@",Клиенты_исходные!E592)+1,255))),Клиенты_исходные!E592,IF(ISNUMBER(FIND("gmail",Клиенты_исходные!E592)),Клиенты_исходные!E592&amp;".com",Клиенты_исходные!E592&amp;".ru")))</f>
        <v>zorina@gmail.com</v>
      </c>
      <c r="F592" t="str">
        <f>IFERROR(VLOOKUP(Клиенты_исходные!F592,Справочники!$J$2:$K$50,2,FALSE),Клиенты_исходные!F592)</f>
        <v>Ангарск</v>
      </c>
      <c r="G592" s="8">
        <f>IFERROR(IF(ISNUMBER(FIND(".",Клиенты_исходные!G592)),DATE(RIGHT(Клиенты_исходные!G592,4),MID(Клиенты_исходные!G592,4,2),LEFT(Клиенты_исходные!G592,2)),DATE(LEFT(Клиенты_исходные!G592,4),MID(Клиенты_исходные!G592,6,2),RIGHT(Клиенты_исходные!G592,2))),Клиенты_исходные!G592)</f>
        <v>50540</v>
      </c>
      <c r="H592">
        <f t="shared" ca="1" si="73"/>
        <v>50</v>
      </c>
      <c r="I592" t="str">
        <f t="shared" si="74"/>
        <v>OK</v>
      </c>
      <c r="J592" t="str">
        <f t="shared" si="75"/>
        <v>OK</v>
      </c>
    </row>
    <row r="593">
      <c r="A593" t="str">
        <f>Клиенты_исходные!A593</f>
        <v>C0592</v>
      </c>
      <c r="B593" t="str">
        <f>PROPER(TRIM(Клиенты_исходные!B593))</f>
        <v xml:space="preserve">Лопатин Денис Павлович</v>
      </c>
      <c r="C593" s="8">
        <f>IFERROR(IF(ISNUMBER(FIND(".",Клиенты_исходные!C593)),DATE(RIGHT(Клиенты_исходные!C593,4),MID(Клиенты_исходные!C593,4,2),LEFT(Клиенты_исходные!C593,2)),DATE(LEFT(Клиенты_исходные!C593,4),MID(Клиенты_исходные!C593,6,2),RIGHT(Клиенты_исходные!C593,2))),Клиенты_исходные!C593)</f>
        <v>30669</v>
      </c>
      <c r="D593" t="str">
        <f>IF(ISBLANK(Клиенты_исходные!D593),"",IF(LEN(SUBSTITUTE(SUBSTITUTE(SUBSTITUTE(SUBSTITUTE(SUBSTITUTE(Клиенты_исходные!D593," ",""),"-",""),"+",""),"(",""),")",""))=11,"+7 ("&amp;MID(IF(LEFT(SUBSTITUTE(SUBSTITUTE(SUBSTITUTE(SUBSTITUTE(SUBSTITUTE(Клиенты_исходные!D593," ",""),"-",""),"+",""),"(",""),")",""))="8","7"&amp;MID(SUBSTITUTE(SUBSTITUTE(SUBSTITUTE(SUBSTITUTE(SUBSTITUTE(Клиенты_исходные!D593," ",""),"-",""),"+",""),"(",""),")",""),2,10),SUBSTITUTE(SUBSTITUTE(SUBSTITUTE(SUBSTITUTE(SUBSTITUTE(Клиенты_исходные!D593," ",""),"-",""),"+",""),"(",""),")","")),2,3)&amp;") "&amp;MID(IF(LEFT(SUBSTITUTE(SUBSTITUTE(SUBSTITUTE(SUBSTITUTE(SUBSTITUTE(Клиенты_исходные!D593," ",""),"-",""),"+",""),"(",""),")",""))="8","7"&amp;MID(SUBSTITUTE(SUBSTITUTE(SUBSTITUTE(SUBSTITUTE(SUBSTITUTE(Клиенты_исходные!D593," ",""),"-",""),"+",""),"(",""),")",""),2,10),SUBSTITUTE(SUBSTITUTE(SUBSTITUTE(SUBSTITUTE(SUBSTITUTE(Клиенты_исходные!D593," ",""),"-",""),"+",""),"(",""),")","")),5,3)&amp;"-"&amp;MID(IF(LEFT(SUBSTITUTE(SUBSTITUTE(SUBSTITUTE(SUBSTITUTE(SUBSTITUTE(Клиенты_исходные!D593," ",""),"-",""),"+",""),"(",""),")",""))="8","7"&amp;MID(SUBSTITUTE(SUBSTITUTE(SUBSTITUTE(SUBSTITUTE(SUBSTITUTE(Клиенты_исходные!D593," ",""),"-",""),"+",""),"(",""),")",""),2,10),SUBSTITUTE(SUBSTITUTE(SUBSTITUTE(SUBSTITUTE(SUBSTITUTE(Клиенты_исходные!D593," ",""),"-",""),"+",""),"(",""),")","")),8,2)&amp;"-"&amp;MID(IF(LEFT(SUBSTITUTE(SUBSTITUTE(SUBSTITUTE(SUBSTITUTE(SUBSTITUTE(Клиенты_исходные!D593," ",""),"-",""),"+",""),"(",""),")",""))="8","7"&amp;MID(SUBSTITUTE(SUBSTITUTE(SUBSTITUTE(SUBSTITUTE(SUBSTITUTE(Клиенты_исходные!D593," ",""),"-",""),"+",""),"(",""),")",""),2,10),SUBSTITUTE(SUBSTITUTE(SUBSTITUTE(SUBSTITUTE(SUBSTITUTE(Клиенты_исходные!D593," ",""),"-",""),"+",""),"(",""),")","")),10,2),IF(LEN(SUBSTITUTE(SUBSTITUTE(SUBSTITUTE(SUBSTITUTE(SUBSTITUTE(Клиенты_исходные!D593," ",""),"-",""),"+",""),"(",""),")",""))=10,"+7 ("&amp;MID(SUBSTITUTE(SUBSTITUTE(SUBSTITUTE(SUBSTITUTE(SUBSTITUTE(Клиенты_исходные!D593," ",""),"-",""),"+",""),"(",""),")",""),1,3)&amp;") "&amp;MID(SUBSTITUTE(SUBSTITUTE(SUBSTITUTE(SUBSTITUTE(SUBSTITUTE(Клиенты_исходные!D593," ",""),"-",""),"+",""),"(",""),")",""),4,3)&amp;"-"&amp;MID(SUBSTITUTE(SUBSTITUTE(SUBSTITUTE(SUBSTITUTE(SUBSTITUTE(Клиенты_исходные!D593," ",""),"-",""),"+",""),"(",""),")",""),6,2)&amp;"-"&amp;MID(SUBSTITUTE(SUBSTITUTE(SUBSTITUTE(SUBSTITUTE(SUBSTITUTE(Клиенты_исходные!D593," ",""),"-",""),"+",""),"(",""),")",""),8,2),Клиенты_исходные!D593)))</f>
        <v xml:space="preserve">+7 (903) 345-67-89</v>
      </c>
      <c r="E593" t="str">
        <f>IF(ISBLANK(Клиенты_исходные!E593),"",IF(ISNUMBER(FIND(".",MID(Клиенты_исходные!E593,FIND("@",Клиенты_исходные!E593)+1,255))),Клиенты_исходные!E593,IF(ISNUMBER(FIND("gmail",Клиенты_исходные!E593)),Клиенты_исходные!E593&amp;".com",Клиенты_исходные!E593&amp;".ru")))</f>
        <v>lopatin@mail.ru</v>
      </c>
      <c r="F593" t="str">
        <f>IFERROR(VLOOKUP(Клиенты_исходные!F593,Справочники!$J$2:$K$50,2,FALSE),Клиенты_исходные!F593)</f>
        <v>Озёрск</v>
      </c>
      <c r="G593" s="8">
        <f>IFERROR(IF(ISNUMBER(FIND(".",Клиенты_исходные!G593)),DATE(RIGHT(Клиенты_исходные!G593,4),MID(Клиенты_исходные!G593,4,2),LEFT(Клиенты_исходные!G593,2)),DATE(LEFT(Клиенты_исходные!G593,4),MID(Клиенты_исходные!G593,6,2),RIGHT(Клиенты_исходные!G593,2))),Клиенты_исходные!G593)</f>
        <v>50557</v>
      </c>
      <c r="H593">
        <f t="shared" ca="1" si="73"/>
        <v>42</v>
      </c>
      <c r="I593" t="str">
        <f t="shared" si="74"/>
        <v>OK</v>
      </c>
      <c r="J593" t="str">
        <f t="shared" si="75"/>
        <v>OK</v>
      </c>
    </row>
    <row r="594">
      <c r="A594" t="str">
        <f>Клиенты_исходные!A594</f>
        <v>C0593</v>
      </c>
      <c r="B594" t="str">
        <f>PROPER(TRIM(Клиенты_исходные!B594))</f>
        <v xml:space="preserve">Овсянникова Ольга Сергеевна</v>
      </c>
      <c r="C594" s="8">
        <f>IFERROR(IF(ISNUMBER(FIND(".",Клиенты_исходные!C594)),DATE(RIGHT(Клиенты_исходные!C594,4),MID(Клиенты_исходные!C594,4,2),LEFT(Клиенты_исходные!C594,2)),DATE(LEFT(Клиенты_исходные!C594,4),MID(Клиенты_исходные!C594,6,2),RIGHT(Клиенты_исходные!C594,2))),Клиенты_исходные!C594)</f>
        <v>32264</v>
      </c>
      <c r="D594" t="str">
        <f>IF(ISBLANK(Клиенты_исходные!D594),"",IF(LEN(SUBSTITUTE(SUBSTITUTE(SUBSTITUTE(SUBSTITUTE(SUBSTITUTE(Клиенты_исходные!D594," ",""),"-",""),"+",""),"(",""),")",""))=11,"+7 ("&amp;MID(IF(LEFT(SUBSTITUTE(SUBSTITUTE(SUBSTITUTE(SUBSTITUTE(SUBSTITUTE(Клиенты_исходные!D594," ",""),"-",""),"+",""),"(",""),")",""))="8","7"&amp;MID(SUBSTITUTE(SUBSTITUTE(SUBSTITUTE(SUBSTITUTE(SUBSTITUTE(Клиенты_исходные!D594," ",""),"-",""),"+",""),"(",""),")",""),2,10),SUBSTITUTE(SUBSTITUTE(SUBSTITUTE(SUBSTITUTE(SUBSTITUTE(Клиенты_исходные!D594," ",""),"-",""),"+",""),"(",""),")","")),2,3)&amp;") "&amp;MID(IF(LEFT(SUBSTITUTE(SUBSTITUTE(SUBSTITUTE(SUBSTITUTE(SUBSTITUTE(Клиенты_исходные!D594," ",""),"-",""),"+",""),"(",""),")",""))="8","7"&amp;MID(SUBSTITUTE(SUBSTITUTE(SUBSTITUTE(SUBSTITUTE(SUBSTITUTE(Клиенты_исходные!D594," ",""),"-",""),"+",""),"(",""),")",""),2,10),SUBSTITUTE(SUBSTITUTE(SUBSTITUTE(SUBSTITUTE(SUBSTITUTE(Клиенты_исходные!D594," ",""),"-",""),"+",""),"(",""),")","")),5,3)&amp;"-"&amp;MID(IF(LEFT(SUBSTITUTE(SUBSTITUTE(SUBSTITUTE(SUBSTITUTE(SUBSTITUTE(Клиенты_исходные!D594," ",""),"-",""),"+",""),"(",""),")",""))="8","7"&amp;MID(SUBSTITUTE(SUBSTITUTE(SUBSTITUTE(SUBSTITUTE(SUBSTITUTE(Клиенты_исходные!D594," ",""),"-",""),"+",""),"(",""),")",""),2,10),SUBSTITUTE(SUBSTITUTE(SUBSTITUTE(SUBSTITUTE(SUBSTITUTE(Клиенты_исходные!D594," ",""),"-",""),"+",""),"(",""),")","")),8,2)&amp;"-"&amp;MID(IF(LEFT(SUBSTITUTE(SUBSTITUTE(SUBSTITUTE(SUBSTITUTE(SUBSTITUTE(Клиенты_исходные!D594," ",""),"-",""),"+",""),"(",""),")",""))="8","7"&amp;MID(SUBSTITUTE(SUBSTITUTE(SUBSTITUTE(SUBSTITUTE(SUBSTITUTE(Клиенты_исходные!D594," ",""),"-",""),"+",""),"(",""),")",""),2,10),SUBSTITUTE(SUBSTITUTE(SUBSTITUTE(SUBSTITUTE(SUBSTITUTE(Клиенты_исходные!D594," ",""),"-",""),"+",""),"(",""),")","")),10,2),IF(LEN(SUBSTITUTE(SUBSTITUTE(SUBSTITUTE(SUBSTITUTE(SUBSTITUTE(Клиенты_исходные!D594," ",""),"-",""),"+",""),"(",""),")",""))=10,"+7 ("&amp;MID(SUBSTITUTE(SUBSTITUTE(SUBSTITUTE(SUBSTITUTE(SUBSTITUTE(Клиенты_исходные!D594," ",""),"-",""),"+",""),"(",""),")",""),1,3)&amp;") "&amp;MID(SUBSTITUTE(SUBSTITUTE(SUBSTITUTE(SUBSTITUTE(SUBSTITUTE(Клиенты_исходные!D594," ",""),"-",""),"+",""),"(",""),")",""),4,3)&amp;"-"&amp;MID(SUBSTITUTE(SUBSTITUTE(SUBSTITUTE(SUBSTITUTE(SUBSTITUTE(Клиенты_исходные!D594," ",""),"-",""),"+",""),"(",""),")",""),6,2)&amp;"-"&amp;MID(SUBSTITUTE(SUBSTITUTE(SUBSTITUTE(SUBSTITUTE(SUBSTITUTE(Клиенты_исходные!D594," ",""),"-",""),"+",""),"(",""),")",""),8,2),Клиенты_исходные!D594)))</f>
        <v xml:space="preserve">+7 (903) 345-67-89</v>
      </c>
      <c r="E594" t="str">
        <f>IF(ISBLANK(Клиенты_исходные!E594),"",IF(ISNUMBER(FIND(".",MID(Клиенты_исходные!E594,FIND("@",Клиенты_исходные!E594)+1,255))),Клиенты_исходные!E594,IF(ISNUMBER(FIND("gmail",Клиенты_исходные!E594)),Клиенты_исходные!E594&amp;".com",Клиенты_исходные!E594&amp;".ru")))</f>
        <v>ovsyannikova@yandex.ru</v>
      </c>
      <c r="F594" t="str">
        <f>IFERROR(VLOOKUP(Клиенты_исходные!F594,Справочники!$J$2:$K$50,2,FALSE),Клиенты_исходные!F594)</f>
        <v>Орел</v>
      </c>
      <c r="G594" s="8">
        <f>IFERROR(IF(ISNUMBER(FIND(".",Клиенты_исходные!G594)),DATE(RIGHT(Клиенты_исходные!G594,4),MID(Клиенты_исходные!G594,4,2),LEFT(Клиенты_исходные!G594,2)),DATE(LEFT(Клиенты_исходные!G594,4),MID(Клиенты_исходные!G594,6,2),RIGHT(Клиенты_исходные!G594,2))),Клиенты_исходные!G594)</f>
        <v>50566</v>
      </c>
      <c r="H594">
        <f t="shared" ca="1" si="73"/>
        <v>38</v>
      </c>
      <c r="I594" t="str">
        <f t="shared" si="74"/>
        <v>OK</v>
      </c>
      <c r="J594" t="str">
        <f t="shared" si="75"/>
        <v>OK</v>
      </c>
    </row>
    <row r="595">
      <c r="A595" t="str">
        <f>Клиенты_исходные!A595</f>
        <v>C0594</v>
      </c>
      <c r="B595" t="str">
        <f>PROPER(TRIM(Клиенты_исходные!B595))</f>
        <v xml:space="preserve">Руднев Илья Викторович</v>
      </c>
      <c r="C595" s="8">
        <f>IFERROR(IF(ISNUMBER(FIND(".",Клиенты_исходные!C595)),DATE(RIGHT(Клиенты_исходные!C595,4),MID(Клиенты_исходные!C595,4,2),LEFT(Клиенты_исходные!C595,2)),DATE(LEFT(Клиенты_исходные!C595,4),MID(Клиенты_исходные!C595,6,2),RIGHT(Клиенты_исходные!C595,2))),Клиенты_исходные!C595)</f>
        <v>27319</v>
      </c>
      <c r="D595" t="str">
        <f>IF(ISBLANK(Клиенты_исходные!D595),"",IF(LEN(SUBSTITUTE(SUBSTITUTE(SUBSTITUTE(SUBSTITUTE(SUBSTITUTE(Клиенты_исходные!D595," ",""),"-",""),"+",""),"(",""),")",""))=11,"+7 ("&amp;MID(IF(LEFT(SUBSTITUTE(SUBSTITUTE(SUBSTITUTE(SUBSTITUTE(SUBSTITUTE(Клиенты_исходные!D595," ",""),"-",""),"+",""),"(",""),")",""))="8","7"&amp;MID(SUBSTITUTE(SUBSTITUTE(SUBSTITUTE(SUBSTITUTE(SUBSTITUTE(Клиенты_исходные!D595," ",""),"-",""),"+",""),"(",""),")",""),2,10),SUBSTITUTE(SUBSTITUTE(SUBSTITUTE(SUBSTITUTE(SUBSTITUTE(Клиенты_исходные!D595," ",""),"-",""),"+",""),"(",""),")","")),2,3)&amp;") "&amp;MID(IF(LEFT(SUBSTITUTE(SUBSTITUTE(SUBSTITUTE(SUBSTITUTE(SUBSTITUTE(Клиенты_исходные!D595," ",""),"-",""),"+",""),"(",""),")",""))="8","7"&amp;MID(SUBSTITUTE(SUBSTITUTE(SUBSTITUTE(SUBSTITUTE(SUBSTITUTE(Клиенты_исходные!D595," ",""),"-",""),"+",""),"(",""),")",""),2,10),SUBSTITUTE(SUBSTITUTE(SUBSTITUTE(SUBSTITUTE(SUBSTITUTE(Клиенты_исходные!D595," ",""),"-",""),"+",""),"(",""),")","")),5,3)&amp;"-"&amp;MID(IF(LEFT(SUBSTITUTE(SUBSTITUTE(SUBSTITUTE(SUBSTITUTE(SUBSTITUTE(Клиенты_исходные!D595," ",""),"-",""),"+",""),"(",""),")",""))="8","7"&amp;MID(SUBSTITUTE(SUBSTITUTE(SUBSTITUTE(SUBSTITUTE(SUBSTITUTE(Клиенты_исходные!D595," ",""),"-",""),"+",""),"(",""),")",""),2,10),SUBSTITUTE(SUBSTITUTE(SUBSTITUTE(SUBSTITUTE(SUBSTITUTE(Клиенты_исходные!D595," ",""),"-",""),"+",""),"(",""),")","")),8,2)&amp;"-"&amp;MID(IF(LEFT(SUBSTITUTE(SUBSTITUTE(SUBSTITUTE(SUBSTITUTE(SUBSTITUTE(Клиенты_исходные!D595," ",""),"-",""),"+",""),"(",""),")",""))="8","7"&amp;MID(SUBSTITUTE(SUBSTITUTE(SUBSTITUTE(SUBSTITUTE(SUBSTITUTE(Клиенты_исходные!D595," ",""),"-",""),"+",""),"(",""),")",""),2,10),SUBSTITUTE(SUBSTITUTE(SUBSTITUTE(SUBSTITUTE(SUBSTITUTE(Клиенты_исходные!D595," ",""),"-",""),"+",""),"(",""),")","")),10,2),IF(LEN(SUBSTITUTE(SUBSTITUTE(SUBSTITUTE(SUBSTITUTE(SUBSTITUTE(Клиенты_исходные!D595," ",""),"-",""),"+",""),"(",""),")",""))=10,"+7 ("&amp;MID(SUBSTITUTE(SUBSTITUTE(SUBSTITUTE(SUBSTITUTE(SUBSTITUTE(Клиенты_исходные!D595," ",""),"-",""),"+",""),"(",""),")",""),1,3)&amp;") "&amp;MID(SUBSTITUTE(SUBSTITUTE(SUBSTITUTE(SUBSTITUTE(SUBSTITUTE(Клиенты_исходные!D595," ",""),"-",""),"+",""),"(",""),")",""),4,3)&amp;"-"&amp;MID(SUBSTITUTE(SUBSTITUTE(SUBSTITUTE(SUBSTITUTE(SUBSTITUTE(Клиенты_исходные!D595," ",""),"-",""),"+",""),"(",""),")",""),6,2)&amp;"-"&amp;MID(SUBSTITUTE(SUBSTITUTE(SUBSTITUTE(SUBSTITUTE(SUBSTITUTE(Клиенты_исходные!D595," ",""),"-",""),"+",""),"(",""),")",""),8,2),Клиенты_исходные!D595)))</f>
        <v xml:space="preserve">+7 (903) 456-78-90</v>
      </c>
      <c r="E595" t="str">
        <f>IF(ISBLANK(Клиенты_исходные!E595),"",IF(ISNUMBER(FIND(".",MID(Клиенты_исходные!E595,FIND("@",Клиенты_исходные!E595)+1,255))),Клиенты_исходные!E595,IF(ISNUMBER(FIND("gmail",Клиенты_исходные!E595)),Клиенты_исходные!E595&amp;".com",Клиенты_исходные!E595&amp;".ru")))</f>
        <v>rudnev@gmail.com</v>
      </c>
      <c r="F595" t="str">
        <f>IFERROR(VLOOKUP(Клиенты_исходные!F595,Справочники!$J$2:$K$50,2,FALSE),Клиенты_исходные!F595)</f>
        <v>Магнитогорск</v>
      </c>
      <c r="G595" s="8">
        <f>IFERROR(IF(ISNUMBER(FIND(".",Клиенты_исходные!G595)),DATE(RIGHT(Клиенты_исходные!G595,4),MID(Клиенты_исходные!G595,4,2),LEFT(Клиенты_исходные!G595,2)),DATE(LEFT(Клиенты_исходные!G595,4),MID(Клиенты_исходные!G595,6,2),RIGHT(Клиенты_исходные!G595,2))),Клиенты_исходные!G595)</f>
        <v>50566</v>
      </c>
      <c r="H595">
        <f t="shared" ca="1" si="73"/>
        <v>51</v>
      </c>
      <c r="I595" t="str">
        <f t="shared" si="74"/>
        <v>OK</v>
      </c>
      <c r="J595" t="str">
        <f t="shared" si="75"/>
        <v>OK</v>
      </c>
    </row>
    <row r="596">
      <c r="A596" t="str">
        <f>Клиенты_исходные!A596</f>
        <v>C0595</v>
      </c>
      <c r="B596" t="str">
        <f>PROPER(TRIM(Клиенты_исходные!B596))</f>
        <v xml:space="preserve">Кулагина Екатерина Алексеевна</v>
      </c>
      <c r="C596" s="8">
        <f>IFERROR(IF(ISNUMBER(FIND(".",Клиенты_исходные!C596)),DATE(RIGHT(Клиенты_исходные!C596,4),MID(Клиенты_исходные!C596,4,2),LEFT(Клиенты_исходные!C596,2)),DATE(LEFT(Клиенты_исходные!C596,4),MID(Клиенты_исходные!C596,6,2),RIGHT(Клиенты_исходные!C596,2))),Клиенты_исходные!C596)</f>
        <v>30007</v>
      </c>
      <c r="D596" t="str">
        <f>IF(ISBLANK(Клиенты_исходные!D596),"",IF(LEN(SUBSTITUTE(SUBSTITUTE(SUBSTITUTE(SUBSTITUTE(SUBSTITUTE(Клиенты_исходные!D596," ",""),"-",""),"+",""),"(",""),")",""))=11,"+7 ("&amp;MID(IF(LEFT(SUBSTITUTE(SUBSTITUTE(SUBSTITUTE(SUBSTITUTE(SUBSTITUTE(Клиенты_исходные!D596," ",""),"-",""),"+",""),"(",""),")",""))="8","7"&amp;MID(SUBSTITUTE(SUBSTITUTE(SUBSTITUTE(SUBSTITUTE(SUBSTITUTE(Клиенты_исходные!D596," ",""),"-",""),"+",""),"(",""),")",""),2,10),SUBSTITUTE(SUBSTITUTE(SUBSTITUTE(SUBSTITUTE(SUBSTITUTE(Клиенты_исходные!D596," ",""),"-",""),"+",""),"(",""),")","")),2,3)&amp;") "&amp;MID(IF(LEFT(SUBSTITUTE(SUBSTITUTE(SUBSTITUTE(SUBSTITUTE(SUBSTITUTE(Клиенты_исходные!D596," ",""),"-",""),"+",""),"(",""),")",""))="8","7"&amp;MID(SUBSTITUTE(SUBSTITUTE(SUBSTITUTE(SUBSTITUTE(SUBSTITUTE(Клиенты_исходные!D596," ",""),"-",""),"+",""),"(",""),")",""),2,10),SUBSTITUTE(SUBSTITUTE(SUBSTITUTE(SUBSTITUTE(SUBSTITUTE(Клиенты_исходные!D596," ",""),"-",""),"+",""),"(",""),")","")),5,3)&amp;"-"&amp;MID(IF(LEFT(SUBSTITUTE(SUBSTITUTE(SUBSTITUTE(SUBSTITUTE(SUBSTITUTE(Клиенты_исходные!D596," ",""),"-",""),"+",""),"(",""),")",""))="8","7"&amp;MID(SUBSTITUTE(SUBSTITUTE(SUBSTITUTE(SUBSTITUTE(SUBSTITUTE(Клиенты_исходные!D596," ",""),"-",""),"+",""),"(",""),")",""),2,10),SUBSTITUTE(SUBSTITUTE(SUBSTITUTE(SUBSTITUTE(SUBSTITUTE(Клиенты_исходные!D596," ",""),"-",""),"+",""),"(",""),")","")),8,2)&amp;"-"&amp;MID(IF(LEFT(SUBSTITUTE(SUBSTITUTE(SUBSTITUTE(SUBSTITUTE(SUBSTITUTE(Клиенты_исходные!D596," ",""),"-",""),"+",""),"(",""),")",""))="8","7"&amp;MID(SUBSTITUTE(SUBSTITUTE(SUBSTITUTE(SUBSTITUTE(SUBSTITUTE(Клиенты_исходные!D596," ",""),"-",""),"+",""),"(",""),")",""),2,10),SUBSTITUTE(SUBSTITUTE(SUBSTITUTE(SUBSTITUTE(SUBSTITUTE(Клиенты_исходные!D596," ",""),"-",""),"+",""),"(",""),")","")),10,2),IF(LEN(SUBSTITUTE(SUBSTITUTE(SUBSTITUTE(SUBSTITUTE(SUBSTITUTE(Клиенты_исходные!D596," ",""),"-",""),"+",""),"(",""),")",""))=10,"+7 ("&amp;MID(SUBSTITUTE(SUBSTITUTE(SUBSTITUTE(SUBSTITUTE(SUBSTITUTE(Клиенты_исходные!D596," ",""),"-",""),"+",""),"(",""),")",""),1,3)&amp;") "&amp;MID(SUBSTITUTE(SUBSTITUTE(SUBSTITUTE(SUBSTITUTE(SUBSTITUTE(Клиенты_исходные!D596," ",""),"-",""),"+",""),"(",""),")",""),4,3)&amp;"-"&amp;MID(SUBSTITUTE(SUBSTITUTE(SUBSTITUTE(SUBSTITUTE(SUBSTITUTE(Клиенты_исходные!D596," ",""),"-",""),"+",""),"(",""),")",""),6,2)&amp;"-"&amp;MID(SUBSTITUTE(SUBSTITUTE(SUBSTITUTE(SUBSTITUTE(SUBSTITUTE(Клиенты_исходные!D596," ",""),"-",""),"+",""),"(",""),")",""),8,2),Клиенты_исходные!D596)))</f>
        <v xml:space="preserve">+7 (903) 456-78-90</v>
      </c>
      <c r="E596" t="str">
        <f>IF(ISBLANK(Клиенты_исходные!E596),"",IF(ISNUMBER(FIND(".",MID(Клиенты_исходные!E596,FIND("@",Клиенты_исходные!E596)+1,255))),Клиенты_исходные!E596,IF(ISNUMBER(FIND("gmail",Клиенты_исходные!E596)),Клиенты_исходные!E596&amp;".com",Клиенты_исходные!E596&amp;".ru")))</f>
        <v>kulagina@mail.ru</v>
      </c>
      <c r="F596" t="str">
        <f>IFERROR(VLOOKUP(Клиенты_исходные!F596,Справочники!$J$2:$K$50,2,FALSE),Клиенты_исходные!F596)</f>
        <v>Якутск</v>
      </c>
      <c r="G596" s="8">
        <f>IFERROR(IF(ISNUMBER(FIND(".",Клиенты_исходные!G596)),DATE(RIGHT(Клиенты_исходные!G596,4),MID(Клиенты_исходные!G596,4,2),LEFT(Клиенты_исходные!G596,2)),DATE(LEFT(Клиенты_исходные!G596,4),MID(Клиенты_исходные!G596,6,2),RIGHT(Клиенты_исходные!G596,2))),Клиенты_исходные!G596)</f>
        <v>50587</v>
      </c>
      <c r="H596">
        <f t="shared" ca="1" si="73"/>
        <v>44</v>
      </c>
      <c r="I596" t="str">
        <f t="shared" si="74"/>
        <v>OK</v>
      </c>
      <c r="J596" t="str">
        <f t="shared" si="75"/>
        <v>OK</v>
      </c>
    </row>
    <row r="597">
      <c r="A597" t="str">
        <f>Клиенты_исходные!A597</f>
        <v>C0596</v>
      </c>
      <c r="B597" t="str">
        <f>PROPER(TRIM(Клиенты_исходные!B597))</f>
        <v xml:space="preserve">Прохоров Андрей Олегович</v>
      </c>
      <c r="C597" s="8">
        <f>IFERROR(IF(ISNUMBER(FIND(".",Клиенты_исходные!C597)),DATE(RIGHT(Клиенты_исходные!C597,4),MID(Клиенты_исходные!C597,4,2),LEFT(Клиенты_исходные!C597,2)),DATE(LEFT(Клиенты_исходные!C597,4),MID(Клиенты_исходные!C597,6,2),RIGHT(Клиенты_исходные!C597,2))),Клиенты_исходные!C597)</f>
        <v>33091</v>
      </c>
      <c r="D597" t="str">
        <f>IF(ISBLANK(Клиенты_исходные!D597),"",IF(LEN(SUBSTITUTE(SUBSTITUTE(SUBSTITUTE(SUBSTITUTE(SUBSTITUTE(Клиенты_исходные!D597," ",""),"-",""),"+",""),"(",""),")",""))=11,"+7 ("&amp;MID(IF(LEFT(SUBSTITUTE(SUBSTITUTE(SUBSTITUTE(SUBSTITUTE(SUBSTITUTE(Клиенты_исходные!D597," ",""),"-",""),"+",""),"(",""),")",""))="8","7"&amp;MID(SUBSTITUTE(SUBSTITUTE(SUBSTITUTE(SUBSTITUTE(SUBSTITUTE(Клиенты_исходные!D597," ",""),"-",""),"+",""),"(",""),")",""),2,10),SUBSTITUTE(SUBSTITUTE(SUBSTITUTE(SUBSTITUTE(SUBSTITUTE(Клиенты_исходные!D597," ",""),"-",""),"+",""),"(",""),")","")),2,3)&amp;") "&amp;MID(IF(LEFT(SUBSTITUTE(SUBSTITUTE(SUBSTITUTE(SUBSTITUTE(SUBSTITUTE(Клиенты_исходные!D597," ",""),"-",""),"+",""),"(",""),")",""))="8","7"&amp;MID(SUBSTITUTE(SUBSTITUTE(SUBSTITUTE(SUBSTITUTE(SUBSTITUTE(Клиенты_исходные!D597," ",""),"-",""),"+",""),"(",""),")",""),2,10),SUBSTITUTE(SUBSTITUTE(SUBSTITUTE(SUBSTITUTE(SUBSTITUTE(Клиенты_исходные!D597," ",""),"-",""),"+",""),"(",""),")","")),5,3)&amp;"-"&amp;MID(IF(LEFT(SUBSTITUTE(SUBSTITUTE(SUBSTITUTE(SUBSTITUTE(SUBSTITUTE(Клиенты_исходные!D597," ",""),"-",""),"+",""),"(",""),")",""))="8","7"&amp;MID(SUBSTITUTE(SUBSTITUTE(SUBSTITUTE(SUBSTITUTE(SUBSTITUTE(Клиенты_исходные!D597," ",""),"-",""),"+",""),"(",""),")",""),2,10),SUBSTITUTE(SUBSTITUTE(SUBSTITUTE(SUBSTITUTE(SUBSTITUTE(Клиенты_исходные!D597," ",""),"-",""),"+",""),"(",""),")","")),8,2)&amp;"-"&amp;MID(IF(LEFT(SUBSTITUTE(SUBSTITUTE(SUBSTITUTE(SUBSTITUTE(SUBSTITUTE(Клиенты_исходные!D597," ",""),"-",""),"+",""),"(",""),")",""))="8","7"&amp;MID(SUBSTITUTE(SUBSTITUTE(SUBSTITUTE(SUBSTITUTE(SUBSTITUTE(Клиенты_исходные!D597," ",""),"-",""),"+",""),"(",""),")",""),2,10),SUBSTITUTE(SUBSTITUTE(SUBSTITUTE(SUBSTITUTE(SUBSTITUTE(Клиенты_исходные!D597," ",""),"-",""),"+",""),"(",""),")","")),10,2),IF(LEN(SUBSTITUTE(SUBSTITUTE(SUBSTITUTE(SUBSTITUTE(SUBSTITUTE(Клиенты_исходные!D597," ",""),"-",""),"+",""),"(",""),")",""))=10,"+7 ("&amp;MID(SUBSTITUTE(SUBSTITUTE(SUBSTITUTE(SUBSTITUTE(SUBSTITUTE(Клиенты_исходные!D597," ",""),"-",""),"+",""),"(",""),")",""),1,3)&amp;") "&amp;MID(SUBSTITUTE(SUBSTITUTE(SUBSTITUTE(SUBSTITUTE(SUBSTITUTE(Клиенты_исходные!D597," ",""),"-",""),"+",""),"(",""),")",""),4,3)&amp;"-"&amp;MID(SUBSTITUTE(SUBSTITUTE(SUBSTITUTE(SUBSTITUTE(SUBSTITUTE(Клиенты_исходные!D597," ",""),"-",""),"+",""),"(",""),")",""),6,2)&amp;"-"&amp;MID(SUBSTITUTE(SUBSTITUTE(SUBSTITUTE(SUBSTITUTE(SUBSTITUTE(Клиенты_исходные!D597," ",""),"-",""),"+",""),"(",""),")",""),8,2),Клиенты_исходные!D597)))</f>
        <v xml:space="preserve">+7 (903) 456-78-90</v>
      </c>
      <c r="E597" t="str">
        <f>IF(ISBLANK(Клиенты_исходные!E597),"",IF(ISNUMBER(FIND(".",MID(Клиенты_исходные!E597,FIND("@",Клиенты_исходные!E597)+1,255))),Клиенты_исходные!E597,IF(ISNUMBER(FIND("gmail",Клиенты_исходные!E597)),Клиенты_исходные!E597&amp;".com",Клиенты_исходные!E597&amp;".ru")))</f>
        <v>prohorov@yandex.ru</v>
      </c>
      <c r="F597" t="str">
        <f>IFERROR(VLOOKUP(Клиенты_исходные!F597,Справочники!$J$2:$K$50,2,FALSE),Клиенты_исходные!F597)</f>
        <v>Чебоксары</v>
      </c>
      <c r="G597" s="8">
        <f>IFERROR(IF(ISNUMBER(FIND(".",Клиенты_исходные!G597)),DATE(RIGHT(Клиенты_исходные!G597,4),MID(Клиенты_исходные!G597,4,2),LEFT(Клиенты_исходные!G597,2)),DATE(LEFT(Клиенты_исходные!G597,4),MID(Клиенты_исходные!G597,6,2),RIGHT(Клиенты_исходные!G597,2))),Клиенты_исходные!G597)</f>
        <v>50601</v>
      </c>
      <c r="H597">
        <f t="shared" ca="1" si="73"/>
        <v>36</v>
      </c>
      <c r="I597" t="str">
        <f t="shared" si="74"/>
        <v>OK</v>
      </c>
      <c r="J597" t="str">
        <f t="shared" si="75"/>
        <v>OK</v>
      </c>
    </row>
    <row r="598">
      <c r="A598" t="str">
        <f>Клиенты_исходные!A598</f>
        <v>C0597</v>
      </c>
      <c r="B598" t="str">
        <f>PROPER(TRIM(Клиенты_исходные!B598))</f>
        <v xml:space="preserve">Ермилова Мария Павловна</v>
      </c>
      <c r="C598" s="8">
        <f>IFERROR(IF(ISNUMBER(FIND(".",Клиенты_исходные!C598)),DATE(RIGHT(Клиенты_исходные!C598,4),MID(Клиенты_исходные!C598,4,2),LEFT(Клиенты_исходные!C598,2)),DATE(LEFT(Клиенты_исходные!C598,4),MID(Клиенты_исходные!C598,6,2),RIGHT(Клиенты_исходные!C598,2))),Клиенты_исходные!C598)</f>
        <v>28474</v>
      </c>
      <c r="D598" t="str">
        <f>IF(ISBLANK(Клиенты_исходные!D598),"",IF(LEN(SUBSTITUTE(SUBSTITUTE(SUBSTITUTE(SUBSTITUTE(SUBSTITUTE(Клиенты_исходные!D598," ",""),"-",""),"+",""),"(",""),")",""))=11,"+7 ("&amp;MID(IF(LEFT(SUBSTITUTE(SUBSTITUTE(SUBSTITUTE(SUBSTITUTE(SUBSTITUTE(Клиенты_исходные!D598," ",""),"-",""),"+",""),"(",""),")",""))="8","7"&amp;MID(SUBSTITUTE(SUBSTITUTE(SUBSTITUTE(SUBSTITUTE(SUBSTITUTE(Клиенты_исходные!D598," ",""),"-",""),"+",""),"(",""),")",""),2,10),SUBSTITUTE(SUBSTITUTE(SUBSTITUTE(SUBSTITUTE(SUBSTITUTE(Клиенты_исходные!D598," ",""),"-",""),"+",""),"(",""),")","")),2,3)&amp;") "&amp;MID(IF(LEFT(SUBSTITUTE(SUBSTITUTE(SUBSTITUTE(SUBSTITUTE(SUBSTITUTE(Клиенты_исходные!D598," ",""),"-",""),"+",""),"(",""),")",""))="8","7"&amp;MID(SUBSTITUTE(SUBSTITUTE(SUBSTITUTE(SUBSTITUTE(SUBSTITUTE(Клиенты_исходные!D598," ",""),"-",""),"+",""),"(",""),")",""),2,10),SUBSTITUTE(SUBSTITUTE(SUBSTITUTE(SUBSTITUTE(SUBSTITUTE(Клиенты_исходные!D598," ",""),"-",""),"+",""),"(",""),")","")),5,3)&amp;"-"&amp;MID(IF(LEFT(SUBSTITUTE(SUBSTITUTE(SUBSTITUTE(SUBSTITUTE(SUBSTITUTE(Клиенты_исходные!D598," ",""),"-",""),"+",""),"(",""),")",""))="8","7"&amp;MID(SUBSTITUTE(SUBSTITUTE(SUBSTITUTE(SUBSTITUTE(SUBSTITUTE(Клиенты_исходные!D598," ",""),"-",""),"+",""),"(",""),")",""),2,10),SUBSTITUTE(SUBSTITUTE(SUBSTITUTE(SUBSTITUTE(SUBSTITUTE(Клиенты_исходные!D598," ",""),"-",""),"+",""),"(",""),")","")),8,2)&amp;"-"&amp;MID(IF(LEFT(SUBSTITUTE(SUBSTITUTE(SUBSTITUTE(SUBSTITUTE(SUBSTITUTE(Клиенты_исходные!D598," ",""),"-",""),"+",""),"(",""),")",""))="8","7"&amp;MID(SUBSTITUTE(SUBSTITUTE(SUBSTITUTE(SUBSTITUTE(SUBSTITUTE(Клиенты_исходные!D598," ",""),"-",""),"+",""),"(",""),")",""),2,10),SUBSTITUTE(SUBSTITUTE(SUBSTITUTE(SUBSTITUTE(SUBSTITUTE(Клиенты_исходные!D598," ",""),"-",""),"+",""),"(",""),")","")),10,2),IF(LEN(SUBSTITUTE(SUBSTITUTE(SUBSTITUTE(SUBSTITUTE(SUBSTITUTE(Клиенты_исходные!D598," ",""),"-",""),"+",""),"(",""),")",""))=10,"+7 ("&amp;MID(SUBSTITUTE(SUBSTITUTE(SUBSTITUTE(SUBSTITUTE(SUBSTITUTE(Клиенты_исходные!D598," ",""),"-",""),"+",""),"(",""),")",""),1,3)&amp;") "&amp;MID(SUBSTITUTE(SUBSTITUTE(SUBSTITUTE(SUBSTITUTE(SUBSTITUTE(Клиенты_исходные!D598," ",""),"-",""),"+",""),"(",""),")",""),4,3)&amp;"-"&amp;MID(SUBSTITUTE(SUBSTITUTE(SUBSTITUTE(SUBSTITUTE(SUBSTITUTE(Клиенты_исходные!D598," ",""),"-",""),"+",""),"(",""),")",""),6,2)&amp;"-"&amp;MID(SUBSTITUTE(SUBSTITUTE(SUBSTITUTE(SUBSTITUTE(SUBSTITUTE(Клиенты_исходные!D598," ",""),"-",""),"+",""),"(",""),")",""),8,2),Клиенты_исходные!D598)))</f>
        <v xml:space="preserve">+7 (903) 567-89-01</v>
      </c>
      <c r="E598" t="str">
        <f>IF(ISBLANK(Клиенты_исходные!E598),"",IF(ISNUMBER(FIND(".",MID(Клиенты_исходные!E598,FIND("@",Клиенты_исходные!E598)+1,255))),Клиенты_исходные!E598,IF(ISNUMBER(FIND("gmail",Клиенты_исходные!E598)),Клиенты_исходные!E598&amp;".com",Клиенты_исходные!E598&amp;".ru")))</f>
        <v>ermilova@gmail.com</v>
      </c>
      <c r="F598" t="str">
        <f>IFERROR(VLOOKUP(Клиенты_исходные!F598,Справочники!$J$2:$K$50,2,FALSE),Клиенты_исходные!F598)</f>
        <v>Мурманск</v>
      </c>
      <c r="G598" s="8">
        <f>IFERROR(IF(ISNUMBER(FIND(".",Клиенты_исходные!G598)),DATE(RIGHT(Клиенты_исходные!G598,4),MID(Клиенты_исходные!G598,4,2),LEFT(Клиенты_исходные!G598,2)),DATE(LEFT(Клиенты_исходные!G598,4),MID(Клиенты_исходные!G598,6,2),RIGHT(Клиенты_исходные!G598,2))),Клиенты_исходные!G598)</f>
        <v>50601</v>
      </c>
      <c r="H598">
        <f t="shared" ca="1" si="73"/>
        <v>48</v>
      </c>
      <c r="I598" t="str">
        <f t="shared" si="74"/>
        <v>OK</v>
      </c>
      <c r="J598" t="str">
        <f t="shared" si="75"/>
        <v>OK</v>
      </c>
    </row>
    <row r="599">
      <c r="A599" t="str">
        <f>Клиенты_исходные!A599</f>
        <v>C0598</v>
      </c>
      <c r="B599" t="str">
        <f>PROPER(TRIM(Клиенты_исходные!B599))</f>
        <v xml:space="preserve">Крайнов Денис Сергеевич</v>
      </c>
      <c r="C599" s="8">
        <f>IFERROR(IF(ISNUMBER(FIND(".",Клиенты_исходные!C599)),DATE(RIGHT(Клиенты_исходные!C599,4),MID(Клиенты_исходные!C599,4,2),LEFT(Клиенты_исходные!C599,2)),DATE(LEFT(Клиенты_исходные!C599,4),MID(Клиенты_исходные!C599,6,2),RIGHT(Клиенты_исходные!C599,2))),Клиенты_исходные!C599)</f>
        <v>31166</v>
      </c>
      <c r="D599" t="str">
        <f>IF(ISBLANK(Клиенты_исходные!D599),"",IF(LEN(SUBSTITUTE(SUBSTITUTE(SUBSTITUTE(SUBSTITUTE(SUBSTITUTE(Клиенты_исходные!D599," ",""),"-",""),"+",""),"(",""),")",""))=11,"+7 ("&amp;MID(IF(LEFT(SUBSTITUTE(SUBSTITUTE(SUBSTITUTE(SUBSTITUTE(SUBSTITUTE(Клиенты_исходные!D599," ",""),"-",""),"+",""),"(",""),")",""))="8","7"&amp;MID(SUBSTITUTE(SUBSTITUTE(SUBSTITUTE(SUBSTITUTE(SUBSTITUTE(Клиенты_исходные!D599," ",""),"-",""),"+",""),"(",""),")",""),2,10),SUBSTITUTE(SUBSTITUTE(SUBSTITUTE(SUBSTITUTE(SUBSTITUTE(Клиенты_исходные!D599," ",""),"-",""),"+",""),"(",""),")","")),2,3)&amp;") "&amp;MID(IF(LEFT(SUBSTITUTE(SUBSTITUTE(SUBSTITUTE(SUBSTITUTE(SUBSTITUTE(Клиенты_исходные!D599," ",""),"-",""),"+",""),"(",""),")",""))="8","7"&amp;MID(SUBSTITUTE(SUBSTITUTE(SUBSTITUTE(SUBSTITUTE(SUBSTITUTE(Клиенты_исходные!D599," ",""),"-",""),"+",""),"(",""),")",""),2,10),SUBSTITUTE(SUBSTITUTE(SUBSTITUTE(SUBSTITUTE(SUBSTITUTE(Клиенты_исходные!D599," ",""),"-",""),"+",""),"(",""),")","")),5,3)&amp;"-"&amp;MID(IF(LEFT(SUBSTITUTE(SUBSTITUTE(SUBSTITUTE(SUBSTITUTE(SUBSTITUTE(Клиенты_исходные!D599," ",""),"-",""),"+",""),"(",""),")",""))="8","7"&amp;MID(SUBSTITUTE(SUBSTITUTE(SUBSTITUTE(SUBSTITUTE(SUBSTITUTE(Клиенты_исходные!D599," ",""),"-",""),"+",""),"(",""),")",""),2,10),SUBSTITUTE(SUBSTITUTE(SUBSTITUTE(SUBSTITUTE(SUBSTITUTE(Клиенты_исходные!D599," ",""),"-",""),"+",""),"(",""),")","")),8,2)&amp;"-"&amp;MID(IF(LEFT(SUBSTITUTE(SUBSTITUTE(SUBSTITUTE(SUBSTITUTE(SUBSTITUTE(Клиенты_исходные!D599," ",""),"-",""),"+",""),"(",""),")",""))="8","7"&amp;MID(SUBSTITUTE(SUBSTITUTE(SUBSTITUTE(SUBSTITUTE(SUBSTITUTE(Клиенты_исходные!D599," ",""),"-",""),"+",""),"(",""),")",""),2,10),SUBSTITUTE(SUBSTITUTE(SUBSTITUTE(SUBSTITUTE(SUBSTITUTE(Клиенты_исходные!D599," ",""),"-",""),"+",""),"(",""),")","")),10,2),IF(LEN(SUBSTITUTE(SUBSTITUTE(SUBSTITUTE(SUBSTITUTE(SUBSTITUTE(Клиенты_исходные!D599," ",""),"-",""),"+",""),"(",""),")",""))=10,"+7 ("&amp;MID(SUBSTITUTE(SUBSTITUTE(SUBSTITUTE(SUBSTITUTE(SUBSTITUTE(Клиенты_исходные!D599," ",""),"-",""),"+",""),"(",""),")",""),1,3)&amp;") "&amp;MID(SUBSTITUTE(SUBSTITUTE(SUBSTITUTE(SUBSTITUTE(SUBSTITUTE(Клиенты_исходные!D599," ",""),"-",""),"+",""),"(",""),")",""),4,3)&amp;"-"&amp;MID(SUBSTITUTE(SUBSTITUTE(SUBSTITUTE(SUBSTITUTE(SUBSTITUTE(Клиенты_исходные!D599," ",""),"-",""),"+",""),"(",""),")",""),6,2)&amp;"-"&amp;MID(SUBSTITUTE(SUBSTITUTE(SUBSTITUTE(SUBSTITUTE(SUBSTITUTE(Клиенты_исходные!D599," ",""),"-",""),"+",""),"(",""),")",""),8,2),Клиенты_исходные!D599)))</f>
        <v xml:space="preserve">+7 (903) 567-89-01</v>
      </c>
      <c r="E599" t="str">
        <f>IF(ISBLANK(Клиенты_исходные!E599),"",IF(ISNUMBER(FIND(".",MID(Клиенты_исходные!E599,FIND("@",Клиенты_исходные!E599)+1,255))),Клиенты_исходные!E599,IF(ISNUMBER(FIND("gmail",Клиенты_исходные!E599)),Клиенты_исходные!E599&amp;".com",Клиенты_исходные!E599&amp;".ru")))</f>
        <v>kraynov@mail.ru</v>
      </c>
      <c r="F599" t="str">
        <f>IFERROR(VLOOKUP(Клиенты_исходные!F599,Справочники!$J$2:$K$50,2,FALSE),Клиенты_исходные!F599)</f>
        <v>Смоленск</v>
      </c>
      <c r="G599" s="8">
        <f>IFERROR(IF(ISNUMBER(FIND(".",Клиенты_исходные!G599)),DATE(RIGHT(Клиенты_исходные!G599,4),MID(Клиенты_исходные!G599,4,2),LEFT(Клиенты_исходные!G599,2)),DATE(LEFT(Клиенты_исходные!G599,4),MID(Клиенты_исходные!G599,6,2),RIGHT(Клиенты_исходные!G599,2))),Клиенты_исходные!G599)</f>
        <v>50618</v>
      </c>
      <c r="H599">
        <f t="shared" ca="1" si="73"/>
        <v>41</v>
      </c>
      <c r="I599" t="str">
        <f t="shared" si="74"/>
        <v>OK</v>
      </c>
      <c r="J599" t="str">
        <f t="shared" si="75"/>
        <v>OK</v>
      </c>
    </row>
    <row r="600">
      <c r="A600" t="str">
        <f>Клиенты_исходные!A600</f>
        <v>C0599</v>
      </c>
      <c r="B600" t="str">
        <f>PROPER(TRIM(Клиенты_исходные!B600))</f>
        <v xml:space="preserve">Московцева Ольга Владимировна</v>
      </c>
      <c r="C600" s="8">
        <f>IFERROR(IF(ISNUMBER(FIND(".",Клиенты_исходные!C600)),DATE(RIGHT(Клиенты_исходные!C600,4),MID(Клиенты_исходные!C600,4,2),LEFT(Клиенты_исходные!C600,2)),DATE(LEFT(Клиенты_исходные!C600,4),MID(Клиенты_исходные!C600,6,2),RIGHT(Клиенты_исходные!C600,2))),Клиенты_исходные!C600)</f>
        <v>33850</v>
      </c>
      <c r="D600" t="str">
        <f>IF(ISBLANK(Клиенты_исходные!D600),"",IF(LEN(SUBSTITUTE(SUBSTITUTE(SUBSTITUTE(SUBSTITUTE(SUBSTITUTE(Клиенты_исходные!D600," ",""),"-",""),"+",""),"(",""),")",""))=11,"+7 ("&amp;MID(IF(LEFT(SUBSTITUTE(SUBSTITUTE(SUBSTITUTE(SUBSTITUTE(SUBSTITUTE(Клиенты_исходные!D600," ",""),"-",""),"+",""),"(",""),")",""))="8","7"&amp;MID(SUBSTITUTE(SUBSTITUTE(SUBSTITUTE(SUBSTITUTE(SUBSTITUTE(Клиенты_исходные!D600," ",""),"-",""),"+",""),"(",""),")",""),2,10),SUBSTITUTE(SUBSTITUTE(SUBSTITUTE(SUBSTITUTE(SUBSTITUTE(Клиенты_исходные!D600," ",""),"-",""),"+",""),"(",""),")","")),2,3)&amp;") "&amp;MID(IF(LEFT(SUBSTITUTE(SUBSTITUTE(SUBSTITUTE(SUBSTITUTE(SUBSTITUTE(Клиенты_исходные!D600," ",""),"-",""),"+",""),"(",""),")",""))="8","7"&amp;MID(SUBSTITUTE(SUBSTITUTE(SUBSTITUTE(SUBSTITUTE(SUBSTITUTE(Клиенты_исходные!D600," ",""),"-",""),"+",""),"(",""),")",""),2,10),SUBSTITUTE(SUBSTITUTE(SUBSTITUTE(SUBSTITUTE(SUBSTITUTE(Клиенты_исходные!D600," ",""),"-",""),"+",""),"(",""),")","")),5,3)&amp;"-"&amp;MID(IF(LEFT(SUBSTITUTE(SUBSTITUTE(SUBSTITUTE(SUBSTITUTE(SUBSTITUTE(Клиенты_исходные!D600," ",""),"-",""),"+",""),"(",""),")",""))="8","7"&amp;MID(SUBSTITUTE(SUBSTITUTE(SUBSTITUTE(SUBSTITUTE(SUBSTITUTE(Клиенты_исходные!D600," ",""),"-",""),"+",""),"(",""),")",""),2,10),SUBSTITUTE(SUBSTITUTE(SUBSTITUTE(SUBSTITUTE(SUBSTITUTE(Клиенты_исходные!D600," ",""),"-",""),"+",""),"(",""),")","")),8,2)&amp;"-"&amp;MID(IF(LEFT(SUBSTITUTE(SUBSTITUTE(SUBSTITUTE(SUBSTITUTE(SUBSTITUTE(Клиенты_исходные!D600," ",""),"-",""),"+",""),"(",""),")",""))="8","7"&amp;MID(SUBSTITUTE(SUBSTITUTE(SUBSTITUTE(SUBSTITUTE(SUBSTITUTE(Клиенты_исходные!D600," ",""),"-",""),"+",""),"(",""),")",""),2,10),SUBSTITUTE(SUBSTITUTE(SUBSTITUTE(SUBSTITUTE(SUBSTITUTE(Клиенты_исходные!D600," ",""),"-",""),"+",""),"(",""),")","")),10,2),IF(LEN(SUBSTITUTE(SUBSTITUTE(SUBSTITUTE(SUBSTITUTE(SUBSTITUTE(Клиенты_исходные!D600," ",""),"-",""),"+",""),"(",""),")",""))=10,"+7 ("&amp;MID(SUBSTITUTE(SUBSTITUTE(SUBSTITUTE(SUBSTITUTE(SUBSTITUTE(Клиенты_исходные!D600," ",""),"-",""),"+",""),"(",""),")",""),1,3)&amp;") "&amp;MID(SUBSTITUTE(SUBSTITUTE(SUBSTITUTE(SUBSTITUTE(SUBSTITUTE(Клиенты_исходные!D600," ",""),"-",""),"+",""),"(",""),")",""),4,3)&amp;"-"&amp;MID(SUBSTITUTE(SUBSTITUTE(SUBSTITUTE(SUBSTITUTE(SUBSTITUTE(Клиенты_исходные!D600," ",""),"-",""),"+",""),"(",""),")",""),6,2)&amp;"-"&amp;MID(SUBSTITUTE(SUBSTITUTE(SUBSTITUTE(SUBSTITUTE(SUBSTITUTE(Клиенты_исходные!D600," ",""),"-",""),"+",""),"(",""),")",""),8,2),Клиенты_исходные!D600)))</f>
        <v xml:space="preserve">+7 (903) 567-89-01</v>
      </c>
      <c r="E600" t="str">
        <f>IF(ISBLANK(Клиенты_исходные!E600),"",IF(ISNUMBER(FIND(".",MID(Клиенты_исходные!E600,FIND("@",Клиенты_исходные!E600)+1,255))),Клиенты_исходные!E600,IF(ISNUMBER(FIND("gmail",Клиенты_исходные!E600)),Клиенты_исходные!E600&amp;".com",Клиенты_исходные!E600&amp;".ru")))</f>
        <v>moskovtseva@yandex.ru</v>
      </c>
      <c r="F600" t="str">
        <f>IFERROR(VLOOKUP(Клиенты_исходные!F600,Справочники!$J$2:$K$50,2,FALSE),Клиенты_исходные!F600)</f>
        <v>Тула</v>
      </c>
      <c r="G600" s="8">
        <f>IFERROR(IF(ISNUMBER(FIND(".",Клиенты_исходные!G600)),DATE(RIGHT(Клиенты_исходные!G600,4),MID(Клиенты_исходные!G600,4,2),LEFT(Клиенты_исходные!G600,2)),DATE(LEFT(Клиенты_исходные!G600,4),MID(Клиенты_исходные!G600,6,2),RIGHT(Клиенты_исходные!G600,2))),Клиенты_исходные!G600)</f>
        <v>50627</v>
      </c>
      <c r="H600">
        <f t="shared" ca="1" si="73"/>
        <v>34</v>
      </c>
      <c r="I600" t="str">
        <f t="shared" si="74"/>
        <v>OK</v>
      </c>
      <c r="J600" t="str">
        <f t="shared" si="75"/>
        <v>OK</v>
      </c>
    </row>
    <row r="601">
      <c r="A601" t="str">
        <f>Клиенты_исходные!A601</f>
        <v>C0600</v>
      </c>
      <c r="B601" t="str">
        <f>PROPER(TRIM(Клиенты_исходные!B601))</f>
        <v xml:space="preserve">Шапкин Илья Александрович</v>
      </c>
      <c r="C601" s="8">
        <f>IFERROR(IF(ISNUMBER(FIND(".",Клиенты_исходные!C601)),DATE(RIGHT(Клиенты_исходные!C601,4),MID(Клиенты_исходные!C601,4,2),LEFT(Клиенты_исходные!C601,2)),DATE(LEFT(Клиенты_исходные!C601,4),MID(Клиенты_исходные!C601,6,2),RIGHT(Клиенты_исходные!C601,2))),Клиенты_исходные!C601)</f>
        <v>26253</v>
      </c>
      <c r="D601" t="str">
        <f>IF(ISBLANK(Клиенты_исходные!D601),"",IF(LEN(SUBSTITUTE(SUBSTITUTE(SUBSTITUTE(SUBSTITUTE(SUBSTITUTE(Клиенты_исходные!D601," ",""),"-",""),"+",""),"(",""),")",""))=11,"+7 ("&amp;MID(IF(LEFT(SUBSTITUTE(SUBSTITUTE(SUBSTITUTE(SUBSTITUTE(SUBSTITUTE(Клиенты_исходные!D601," ",""),"-",""),"+",""),"(",""),")",""))="8","7"&amp;MID(SUBSTITUTE(SUBSTITUTE(SUBSTITUTE(SUBSTITUTE(SUBSTITUTE(Клиенты_исходные!D601," ",""),"-",""),"+",""),"(",""),")",""),2,10),SUBSTITUTE(SUBSTITUTE(SUBSTITUTE(SUBSTITUTE(SUBSTITUTE(Клиенты_исходные!D601," ",""),"-",""),"+",""),"(",""),")","")),2,3)&amp;") "&amp;MID(IF(LEFT(SUBSTITUTE(SUBSTITUTE(SUBSTITUTE(SUBSTITUTE(SUBSTITUTE(Клиенты_исходные!D601," ",""),"-",""),"+",""),"(",""),")",""))="8","7"&amp;MID(SUBSTITUTE(SUBSTITUTE(SUBSTITUTE(SUBSTITUTE(SUBSTITUTE(Клиенты_исходные!D601," ",""),"-",""),"+",""),"(",""),")",""),2,10),SUBSTITUTE(SUBSTITUTE(SUBSTITUTE(SUBSTITUTE(SUBSTITUTE(Клиенты_исходные!D601," ",""),"-",""),"+",""),"(",""),")","")),5,3)&amp;"-"&amp;MID(IF(LEFT(SUBSTITUTE(SUBSTITUTE(SUBSTITUTE(SUBSTITUTE(SUBSTITUTE(Клиенты_исходные!D601," ",""),"-",""),"+",""),"(",""),")",""))="8","7"&amp;MID(SUBSTITUTE(SUBSTITUTE(SUBSTITUTE(SUBSTITUTE(SUBSTITUTE(Клиенты_исходные!D601," ",""),"-",""),"+",""),"(",""),")",""),2,10),SUBSTITUTE(SUBSTITUTE(SUBSTITUTE(SUBSTITUTE(SUBSTITUTE(Клиенты_исходные!D601," ",""),"-",""),"+",""),"(",""),")","")),8,2)&amp;"-"&amp;MID(IF(LEFT(SUBSTITUTE(SUBSTITUTE(SUBSTITUTE(SUBSTITUTE(SUBSTITUTE(Клиенты_исходные!D601," ",""),"-",""),"+",""),"(",""),")",""))="8","7"&amp;MID(SUBSTITUTE(SUBSTITUTE(SUBSTITUTE(SUBSTITUTE(SUBSTITUTE(Клиенты_исходные!D601," ",""),"-",""),"+",""),"(",""),")",""),2,10),SUBSTITUTE(SUBSTITUTE(SUBSTITUTE(SUBSTITUTE(SUBSTITUTE(Клиенты_исходные!D601," ",""),"-",""),"+",""),"(",""),")","")),10,2),IF(LEN(SUBSTITUTE(SUBSTITUTE(SUBSTITUTE(SUBSTITUTE(SUBSTITUTE(Клиенты_исходные!D601," ",""),"-",""),"+",""),"(",""),")",""))=10,"+7 ("&amp;MID(SUBSTITUTE(SUBSTITUTE(SUBSTITUTE(SUBSTITUTE(SUBSTITUTE(Клиенты_исходные!D601," ",""),"-",""),"+",""),"(",""),")",""),1,3)&amp;") "&amp;MID(SUBSTITUTE(SUBSTITUTE(SUBSTITUTE(SUBSTITUTE(SUBSTITUTE(Клиенты_исходные!D601," ",""),"-",""),"+",""),"(",""),")",""),4,3)&amp;"-"&amp;MID(SUBSTITUTE(SUBSTITUTE(SUBSTITUTE(SUBSTITUTE(SUBSTITUTE(Клиенты_исходные!D601," ",""),"-",""),"+",""),"(",""),")",""),6,2)&amp;"-"&amp;MID(SUBSTITUTE(SUBSTITUTE(SUBSTITUTE(SUBSTITUTE(SUBSTITUTE(Клиенты_исходные!D601," ",""),"-",""),"+",""),"(",""),")",""),8,2),Клиенты_исходные!D601)))</f>
        <v xml:space="preserve">+7 (903) 678-90-12</v>
      </c>
      <c r="E601" t="str">
        <f>IF(ISBLANK(Клиенты_исходные!E601),"",IF(ISNUMBER(FIND(".",MID(Клиенты_исходные!E601,FIND("@",Клиенты_исходные!E601)+1,255))),Клиенты_исходные!E601,IF(ISNUMBER(FIND("gmail",Клиенты_исходные!E601)),Клиенты_исходные!E601&amp;".com",Клиенты_исходные!E601&amp;".ru")))</f>
        <v>shapkin@gmail.com</v>
      </c>
      <c r="F601" t="str">
        <f>IFERROR(VLOOKUP(Клиенты_исходные!F601,Справочники!$J$2:$K$50,2,FALSE),Клиенты_исходные!F601)</f>
        <v>Калуга</v>
      </c>
      <c r="G601" s="8">
        <f>IFERROR(IF(ISNUMBER(FIND(".",Клиенты_исходные!G601)),DATE(RIGHT(Клиенты_исходные!G601,4),MID(Клиенты_исходные!G601,4,2),LEFT(Клиенты_исходные!G601,2)),DATE(LEFT(Клиенты_исходные!G601,4),MID(Клиенты_исходные!G601,6,2),RIGHT(Клиенты_исходные!G601,2))),Клиенты_исходные!G601)</f>
        <v>50627</v>
      </c>
      <c r="H601">
        <f t="shared" ca="1" si="73"/>
        <v>54</v>
      </c>
      <c r="I601" t="str">
        <f t="shared" si="74"/>
        <v>OK</v>
      </c>
      <c r="J601" t="str">
        <f t="shared" si="75"/>
        <v>OK</v>
      </c>
    </row>
    <row r="602">
      <c r="A602" t="str">
        <f>Клиенты_исходные!A602</f>
        <v>C0601</v>
      </c>
      <c r="B602" t="str">
        <f>PROPER(TRIM(Клиенты_исходные!B602))</f>
        <v xml:space="preserve">Антонова Екатерина Сергеевна</v>
      </c>
      <c r="C602" s="8">
        <f>IFERROR(IF(ISNUMBER(FIND(".",Клиенты_исходные!C602)),DATE(RIGHT(Клиенты_исходные!C602,4),MID(Клиенты_исходные!C602,4,2),LEFT(Клиенты_исходные!C602,2)),DATE(LEFT(Клиенты_исходные!C602,4),MID(Клиенты_исходные!C602,6,2),RIGHT(Клиенты_исходные!C602,2))),Клиенты_исходные!C602)</f>
        <v>29422</v>
      </c>
      <c r="D602" t="str">
        <f>IF(ISBLANK(Клиенты_исходные!D602),"",IF(LEN(SUBSTITUTE(SUBSTITUTE(SUBSTITUTE(SUBSTITUTE(SUBSTITUTE(Клиенты_исходные!D602," ",""),"-",""),"+",""),"(",""),")",""))=11,"+7 ("&amp;MID(IF(LEFT(SUBSTITUTE(SUBSTITUTE(SUBSTITUTE(SUBSTITUTE(SUBSTITUTE(Клиенты_исходные!D602," ",""),"-",""),"+",""),"(",""),")",""))="8","7"&amp;MID(SUBSTITUTE(SUBSTITUTE(SUBSTITUTE(SUBSTITUTE(SUBSTITUTE(Клиенты_исходные!D602," ",""),"-",""),"+",""),"(",""),")",""),2,10),SUBSTITUTE(SUBSTITUTE(SUBSTITUTE(SUBSTITUTE(SUBSTITUTE(Клиенты_исходные!D602," ",""),"-",""),"+",""),"(",""),")","")),2,3)&amp;") "&amp;MID(IF(LEFT(SUBSTITUTE(SUBSTITUTE(SUBSTITUTE(SUBSTITUTE(SUBSTITUTE(Клиенты_исходные!D602," ",""),"-",""),"+",""),"(",""),")",""))="8","7"&amp;MID(SUBSTITUTE(SUBSTITUTE(SUBSTITUTE(SUBSTITUTE(SUBSTITUTE(Клиенты_исходные!D602," ",""),"-",""),"+",""),"(",""),")",""),2,10),SUBSTITUTE(SUBSTITUTE(SUBSTITUTE(SUBSTITUTE(SUBSTITUTE(Клиенты_исходные!D602," ",""),"-",""),"+",""),"(",""),")","")),5,3)&amp;"-"&amp;MID(IF(LEFT(SUBSTITUTE(SUBSTITUTE(SUBSTITUTE(SUBSTITUTE(SUBSTITUTE(Клиенты_исходные!D602," ",""),"-",""),"+",""),"(",""),")",""))="8","7"&amp;MID(SUBSTITUTE(SUBSTITUTE(SUBSTITUTE(SUBSTITUTE(SUBSTITUTE(Клиенты_исходные!D602," ",""),"-",""),"+",""),"(",""),")",""),2,10),SUBSTITUTE(SUBSTITUTE(SUBSTITUTE(SUBSTITUTE(SUBSTITUTE(Клиенты_исходные!D602," ",""),"-",""),"+",""),"(",""),")","")),8,2)&amp;"-"&amp;MID(IF(LEFT(SUBSTITUTE(SUBSTITUTE(SUBSTITUTE(SUBSTITUTE(SUBSTITUTE(Клиенты_исходные!D602," ",""),"-",""),"+",""),"(",""),")",""))="8","7"&amp;MID(SUBSTITUTE(SUBSTITUTE(SUBSTITUTE(SUBSTITUTE(SUBSTITUTE(Клиенты_исходные!D602," ",""),"-",""),"+",""),"(",""),")",""),2,10),SUBSTITUTE(SUBSTITUTE(SUBSTITUTE(SUBSTITUTE(SUBSTITUTE(Клиенты_исходные!D602," ",""),"-",""),"+",""),"(",""),")","")),10,2),IF(LEN(SUBSTITUTE(SUBSTITUTE(SUBSTITUTE(SUBSTITUTE(SUBSTITUTE(Клиенты_исходные!D602," ",""),"-",""),"+",""),"(",""),")",""))=10,"+7 ("&amp;MID(SUBSTITUTE(SUBSTITUTE(SUBSTITUTE(SUBSTITUTE(SUBSTITUTE(Клиенты_исходные!D602," ",""),"-",""),"+",""),"(",""),")",""),1,3)&amp;") "&amp;MID(SUBSTITUTE(SUBSTITUTE(SUBSTITUTE(SUBSTITUTE(SUBSTITUTE(Клиенты_исходные!D602," ",""),"-",""),"+",""),"(",""),")",""),4,3)&amp;"-"&amp;MID(SUBSTITUTE(SUBSTITUTE(SUBSTITUTE(SUBSTITUTE(SUBSTITUTE(Клиенты_исходные!D602," ",""),"-",""),"+",""),"(",""),")",""),6,2)&amp;"-"&amp;MID(SUBSTITUTE(SUBSTITUTE(SUBSTITUTE(SUBSTITUTE(SUBSTITUTE(Клиенты_исходные!D602," ",""),"-",""),"+",""),"(",""),")",""),8,2),Клиенты_исходные!D602)))</f>
        <v xml:space="preserve">+7 (903) 678-90-12</v>
      </c>
      <c r="E602" t="str">
        <f>IF(ISBLANK(Клиенты_исходные!E602),"",IF(ISNUMBER(FIND(".",MID(Клиенты_исходные!E602,FIND("@",Клиенты_исходные!E602)+1,255))),Клиенты_исходные!E602,IF(ISNUMBER(FIND("gmail",Клиенты_исходные!E602)),Клиенты_исходные!E602&amp;".com",Клиенты_исходные!E602&amp;".ru")))</f>
        <v>antonova@mail.ru</v>
      </c>
      <c r="F602" t="str">
        <f>IFERROR(VLOOKUP(Клиенты_исходные!F602,Справочники!$J$2:$K$50,2,FALSE),Клиенты_исходные!F602)</f>
        <v>Владикавказ</v>
      </c>
      <c r="G602" s="8">
        <f>IFERROR(IF(ISNUMBER(FIND(".",Клиенты_исходные!G602)),DATE(RIGHT(Клиенты_исходные!G602,4),MID(Клиенты_исходные!G602,4,2),LEFT(Клиенты_исходные!G602,2)),DATE(LEFT(Клиенты_исходные!G602,4),MID(Клиенты_исходные!G602,6,2),RIGHT(Клиенты_исходные!G602,2))),Клиенты_исходные!G602)</f>
        <v>50649</v>
      </c>
      <c r="H602">
        <f t="shared" ca="1" si="73"/>
        <v>46</v>
      </c>
      <c r="I602" t="str">
        <f t="shared" si="74"/>
        <v>OK</v>
      </c>
      <c r="J602" t="str">
        <f t="shared" si="75"/>
        <v>OK</v>
      </c>
    </row>
    <row r="603">
      <c r="A603" t="str">
        <f>Клиенты_исходные!A603</f>
        <v>C0602</v>
      </c>
      <c r="B603" t="str">
        <f>PROPER(TRIM(Клиенты_исходные!B603))</f>
        <v xml:space="preserve">Рыжков Андрей Павлович</v>
      </c>
      <c r="C603" s="8">
        <f>IFERROR(IF(ISNUMBER(FIND(".",Клиенты_исходные!C603)),DATE(RIGHT(Клиенты_исходные!C603,4),MID(Клиенты_исходные!C603,4,2),LEFT(Клиенты_исходные!C603,2)),DATE(LEFT(Клиенты_исходные!C603,4),MID(Клиенты_исходные!C603,6,2),RIGHT(Клиенты_исходные!C603,2))),Клиенты_исходные!C603)</f>
        <v>31479</v>
      </c>
      <c r="D603" t="str">
        <f>IF(ISBLANK(Клиенты_исходные!D603),"",IF(LEN(SUBSTITUTE(SUBSTITUTE(SUBSTITUTE(SUBSTITUTE(SUBSTITUTE(Клиенты_исходные!D603," ",""),"-",""),"+",""),"(",""),")",""))=11,"+7 ("&amp;MID(IF(LEFT(SUBSTITUTE(SUBSTITUTE(SUBSTITUTE(SUBSTITUTE(SUBSTITUTE(Клиенты_исходные!D603," ",""),"-",""),"+",""),"(",""),")",""))="8","7"&amp;MID(SUBSTITUTE(SUBSTITUTE(SUBSTITUTE(SUBSTITUTE(SUBSTITUTE(Клиенты_исходные!D603," ",""),"-",""),"+",""),"(",""),")",""),2,10),SUBSTITUTE(SUBSTITUTE(SUBSTITUTE(SUBSTITUTE(SUBSTITUTE(Клиенты_исходные!D603," ",""),"-",""),"+",""),"(",""),")","")),2,3)&amp;") "&amp;MID(IF(LEFT(SUBSTITUTE(SUBSTITUTE(SUBSTITUTE(SUBSTITUTE(SUBSTITUTE(Клиенты_исходные!D603," ",""),"-",""),"+",""),"(",""),")",""))="8","7"&amp;MID(SUBSTITUTE(SUBSTITUTE(SUBSTITUTE(SUBSTITUTE(SUBSTITUTE(Клиенты_исходные!D603," ",""),"-",""),"+",""),"(",""),")",""),2,10),SUBSTITUTE(SUBSTITUTE(SUBSTITUTE(SUBSTITUTE(SUBSTITUTE(Клиенты_исходные!D603," ",""),"-",""),"+",""),"(",""),")","")),5,3)&amp;"-"&amp;MID(IF(LEFT(SUBSTITUTE(SUBSTITUTE(SUBSTITUTE(SUBSTITUTE(SUBSTITUTE(Клиенты_исходные!D603," ",""),"-",""),"+",""),"(",""),")",""))="8","7"&amp;MID(SUBSTITUTE(SUBSTITUTE(SUBSTITUTE(SUBSTITUTE(SUBSTITUTE(Клиенты_исходные!D603," ",""),"-",""),"+",""),"(",""),")",""),2,10),SUBSTITUTE(SUBSTITUTE(SUBSTITUTE(SUBSTITUTE(SUBSTITUTE(Клиенты_исходные!D603," ",""),"-",""),"+",""),"(",""),")","")),8,2)&amp;"-"&amp;MID(IF(LEFT(SUBSTITUTE(SUBSTITUTE(SUBSTITUTE(SUBSTITUTE(SUBSTITUTE(Клиенты_исходные!D603," ",""),"-",""),"+",""),"(",""),")",""))="8","7"&amp;MID(SUBSTITUTE(SUBSTITUTE(SUBSTITUTE(SUBSTITUTE(SUBSTITUTE(Клиенты_исходные!D603," ",""),"-",""),"+",""),"(",""),")",""),2,10),SUBSTITUTE(SUBSTITUTE(SUBSTITUTE(SUBSTITUTE(SUBSTITUTE(Клиенты_исходные!D603," ",""),"-",""),"+",""),"(",""),")","")),10,2),IF(LEN(SUBSTITUTE(SUBSTITUTE(SUBSTITUTE(SUBSTITUTE(SUBSTITUTE(Клиенты_исходные!D603," ",""),"-",""),"+",""),"(",""),")",""))=10,"+7 ("&amp;MID(SUBSTITUTE(SUBSTITUTE(SUBSTITUTE(SUBSTITUTE(SUBSTITUTE(Клиенты_исходные!D603," ",""),"-",""),"+",""),"(",""),")",""),1,3)&amp;") "&amp;MID(SUBSTITUTE(SUBSTITUTE(SUBSTITUTE(SUBSTITUTE(SUBSTITUTE(Клиенты_исходные!D603," ",""),"-",""),"+",""),"(",""),")",""),4,3)&amp;"-"&amp;MID(SUBSTITUTE(SUBSTITUTE(SUBSTITUTE(SUBSTITUTE(SUBSTITUTE(Клиенты_исходные!D603," ",""),"-",""),"+",""),"(",""),")",""),6,2)&amp;"-"&amp;MID(SUBSTITUTE(SUBSTITUTE(SUBSTITUTE(SUBSTITUTE(SUBSTITUTE(Клиенты_исходные!D603," ",""),"-",""),"+",""),"(",""),")",""),8,2),Клиенты_исходные!D603)))</f>
        <v xml:space="preserve">+7 (903) 678-90-12</v>
      </c>
      <c r="E603" t="str">
        <f>IF(ISBLANK(Клиенты_исходные!E603),"",IF(ISNUMBER(FIND(".",MID(Клиенты_исходные!E603,FIND("@",Клиенты_исходные!E603)+1,255))),Клиенты_исходные!E603,IF(ISNUMBER(FIND("gmail",Клиенты_исходные!E603)),Клиенты_исходные!E603&amp;".com",Клиенты_исходные!E603&amp;".ru")))</f>
        <v>ryzhkov@yandex.ru</v>
      </c>
      <c r="F603" t="str">
        <f>IFERROR(VLOOKUP(Клиенты_исходные!F603,Справочники!$J$2:$K$50,2,FALSE),Клиенты_исходные!F603)</f>
        <v>Смоленск</v>
      </c>
      <c r="G603" s="8">
        <f>IFERROR(IF(ISNUMBER(FIND(".",Клиенты_исходные!G603)),DATE(RIGHT(Клиенты_исходные!G603,4),MID(Клиенты_исходные!G603,4,2),LEFT(Клиенты_исходные!G603,2)),DATE(LEFT(Клиенты_исходные!G603,4),MID(Клиенты_исходные!G603,6,2),RIGHT(Клиенты_исходные!G603,2))),Клиенты_исходные!G603)</f>
        <v>50663</v>
      </c>
      <c r="H603">
        <f t="shared" ca="1" si="73"/>
        <v>40</v>
      </c>
      <c r="I603" t="str">
        <f t="shared" si="74"/>
        <v>OK</v>
      </c>
      <c r="J603" t="str">
        <f t="shared" si="75"/>
        <v>OK</v>
      </c>
    </row>
    <row r="604">
      <c r="A604" t="str">
        <f>Клиенты_исходные!A604</f>
        <v>C0603</v>
      </c>
      <c r="B604" t="str">
        <f>PROPER(TRIM(Клиенты_исходные!B604))</f>
        <v xml:space="preserve">Зеленина Мария Олеговна</v>
      </c>
      <c r="C604" s="8">
        <f>IFERROR(IF(ISNUMBER(FIND(".",Клиенты_исходные!C604)),DATE(RIGHT(Клиенты_исходные!C604,4),MID(Клиенты_исходные!C604,4,2),LEFT(Клиенты_исходные!C604,2)),DATE(LEFT(Клиенты_исходные!C604,4),MID(Клиенты_исходные!C604,6,2),RIGHT(Клиенты_исходные!C604,2))),Клиенты_исходные!C604)</f>
        <v>27694</v>
      </c>
      <c r="D604" t="str">
        <f>IF(ISBLANK(Клиенты_исходные!D604),"",IF(LEN(SUBSTITUTE(SUBSTITUTE(SUBSTITUTE(SUBSTITUTE(SUBSTITUTE(Клиенты_исходные!D604," ",""),"-",""),"+",""),"(",""),")",""))=11,"+7 ("&amp;MID(IF(LEFT(SUBSTITUTE(SUBSTITUTE(SUBSTITUTE(SUBSTITUTE(SUBSTITUTE(Клиенты_исходные!D604," ",""),"-",""),"+",""),"(",""),")",""))="8","7"&amp;MID(SUBSTITUTE(SUBSTITUTE(SUBSTITUTE(SUBSTITUTE(SUBSTITUTE(Клиенты_исходные!D604," ",""),"-",""),"+",""),"(",""),")",""),2,10),SUBSTITUTE(SUBSTITUTE(SUBSTITUTE(SUBSTITUTE(SUBSTITUTE(Клиенты_исходные!D604," ",""),"-",""),"+",""),"(",""),")","")),2,3)&amp;") "&amp;MID(IF(LEFT(SUBSTITUTE(SUBSTITUTE(SUBSTITUTE(SUBSTITUTE(SUBSTITUTE(Клиенты_исходные!D604," ",""),"-",""),"+",""),"(",""),")",""))="8","7"&amp;MID(SUBSTITUTE(SUBSTITUTE(SUBSTITUTE(SUBSTITUTE(SUBSTITUTE(Клиенты_исходные!D604," ",""),"-",""),"+",""),"(",""),")",""),2,10),SUBSTITUTE(SUBSTITUTE(SUBSTITUTE(SUBSTITUTE(SUBSTITUTE(Клиенты_исходные!D604," ",""),"-",""),"+",""),"(",""),")","")),5,3)&amp;"-"&amp;MID(IF(LEFT(SUBSTITUTE(SUBSTITUTE(SUBSTITUTE(SUBSTITUTE(SUBSTITUTE(Клиенты_исходные!D604," ",""),"-",""),"+",""),"(",""),")",""))="8","7"&amp;MID(SUBSTITUTE(SUBSTITUTE(SUBSTITUTE(SUBSTITUTE(SUBSTITUTE(Клиенты_исходные!D604," ",""),"-",""),"+",""),"(",""),")",""),2,10),SUBSTITUTE(SUBSTITUTE(SUBSTITUTE(SUBSTITUTE(SUBSTITUTE(Клиенты_исходные!D604," ",""),"-",""),"+",""),"(",""),")","")),8,2)&amp;"-"&amp;MID(IF(LEFT(SUBSTITUTE(SUBSTITUTE(SUBSTITUTE(SUBSTITUTE(SUBSTITUTE(Клиенты_исходные!D604," ",""),"-",""),"+",""),"(",""),")",""))="8","7"&amp;MID(SUBSTITUTE(SUBSTITUTE(SUBSTITUTE(SUBSTITUTE(SUBSTITUTE(Клиенты_исходные!D604," ",""),"-",""),"+",""),"(",""),")",""),2,10),SUBSTITUTE(SUBSTITUTE(SUBSTITUTE(SUBSTITUTE(SUBSTITUTE(Клиенты_исходные!D604," ",""),"-",""),"+",""),"(",""),")","")),10,2),IF(LEN(SUBSTITUTE(SUBSTITUTE(SUBSTITUTE(SUBSTITUTE(SUBSTITUTE(Клиенты_исходные!D604," ",""),"-",""),"+",""),"(",""),")",""))=10,"+7 ("&amp;MID(SUBSTITUTE(SUBSTITUTE(SUBSTITUTE(SUBSTITUTE(SUBSTITUTE(Клиенты_исходные!D604," ",""),"-",""),"+",""),"(",""),")",""),1,3)&amp;") "&amp;MID(SUBSTITUTE(SUBSTITUTE(SUBSTITUTE(SUBSTITUTE(SUBSTITUTE(Клиенты_исходные!D604," ",""),"-",""),"+",""),"(",""),")",""),4,3)&amp;"-"&amp;MID(SUBSTITUTE(SUBSTITUTE(SUBSTITUTE(SUBSTITUTE(SUBSTITUTE(Клиенты_исходные!D604," ",""),"-",""),"+",""),"(",""),")",""),6,2)&amp;"-"&amp;MID(SUBSTITUTE(SUBSTITUTE(SUBSTITUTE(SUBSTITUTE(SUBSTITUTE(Клиенты_исходные!D604," ",""),"-",""),"+",""),"(",""),")",""),8,2),Клиенты_исходные!D604)))</f>
        <v xml:space="preserve">+7 (903) 789-01-23</v>
      </c>
      <c r="E604" t="str">
        <f>IF(ISBLANK(Клиенты_исходные!E604),"",IF(ISNUMBER(FIND(".",MID(Клиенты_исходные!E604,FIND("@",Клиенты_исходные!E604)+1,255))),Клиенты_исходные!E604,IF(ISNUMBER(FIND("gmail",Клиенты_исходные!E604)),Клиенты_исходные!E604&amp;".com",Клиенты_исходные!E604&amp;".ru")))</f>
        <v>zelenina@gmail.com</v>
      </c>
      <c r="F604" t="str">
        <f>IFERROR(VLOOKUP(Клиенты_исходные!F604,Справочники!$J$2:$K$50,2,FALSE),Клиенты_исходные!F604)</f>
        <v>Белгород</v>
      </c>
      <c r="G604" s="8">
        <f>IFERROR(IF(ISNUMBER(FIND(".",Клиенты_исходные!G604)),DATE(RIGHT(Клиенты_исходные!G604,4),MID(Клиенты_исходные!G604,4,2),LEFT(Клиенты_исходные!G604,2)),DATE(LEFT(Клиенты_исходные!G604,4),MID(Клиенты_исходные!G604,6,2),RIGHT(Клиенты_исходные!G604,2))),Клиенты_исходные!G604)</f>
        <v>50663</v>
      </c>
      <c r="H604">
        <f t="shared" ca="1" si="73"/>
        <v>50</v>
      </c>
      <c r="I604" t="str">
        <f t="shared" si="74"/>
        <v>OK</v>
      </c>
      <c r="J604" t="str">
        <f t="shared" si="75"/>
        <v>OK</v>
      </c>
    </row>
    <row r="605">
      <c r="A605" t="str">
        <f>Клиенты_исходные!A605</f>
        <v>C0604</v>
      </c>
      <c r="B605" t="str">
        <f>PROPER(TRIM(Клиенты_исходные!B605))</f>
        <v xml:space="preserve">Суриков Денис Викторович</v>
      </c>
      <c r="C605" s="8">
        <f>IFERROR(IF(ISNUMBER(FIND(".",Клиенты_исходные!C605)),DATE(RIGHT(Клиенты_исходные!C605,4),MID(Клиенты_исходные!C605,4,2),LEFT(Клиенты_исходные!C605,2)),DATE(LEFT(Клиенты_исходные!C605,4),MID(Клиенты_исходные!C605,6,2),RIGHT(Клиенты_исходные!C605,2))),Клиенты_исходные!C605)</f>
        <v>30449</v>
      </c>
      <c r="D605" t="str">
        <f>IF(ISBLANK(Клиенты_исходные!D605),"",IF(LEN(SUBSTITUTE(SUBSTITUTE(SUBSTITUTE(SUBSTITUTE(SUBSTITUTE(Клиенты_исходные!D605," ",""),"-",""),"+",""),"(",""),")",""))=11,"+7 ("&amp;MID(IF(LEFT(SUBSTITUTE(SUBSTITUTE(SUBSTITUTE(SUBSTITUTE(SUBSTITUTE(Клиенты_исходные!D605," ",""),"-",""),"+",""),"(",""),")",""))="8","7"&amp;MID(SUBSTITUTE(SUBSTITUTE(SUBSTITUTE(SUBSTITUTE(SUBSTITUTE(Клиенты_исходные!D605," ",""),"-",""),"+",""),"(",""),")",""),2,10),SUBSTITUTE(SUBSTITUTE(SUBSTITUTE(SUBSTITUTE(SUBSTITUTE(Клиенты_исходные!D605," ",""),"-",""),"+",""),"(",""),")","")),2,3)&amp;") "&amp;MID(IF(LEFT(SUBSTITUTE(SUBSTITUTE(SUBSTITUTE(SUBSTITUTE(SUBSTITUTE(Клиенты_исходные!D605," ",""),"-",""),"+",""),"(",""),")",""))="8","7"&amp;MID(SUBSTITUTE(SUBSTITUTE(SUBSTITUTE(SUBSTITUTE(SUBSTITUTE(Клиенты_исходные!D605," ",""),"-",""),"+",""),"(",""),")",""),2,10),SUBSTITUTE(SUBSTITUTE(SUBSTITUTE(SUBSTITUTE(SUBSTITUTE(Клиенты_исходные!D605," ",""),"-",""),"+",""),"(",""),")","")),5,3)&amp;"-"&amp;MID(IF(LEFT(SUBSTITUTE(SUBSTITUTE(SUBSTITUTE(SUBSTITUTE(SUBSTITUTE(Клиенты_исходные!D605," ",""),"-",""),"+",""),"(",""),")",""))="8","7"&amp;MID(SUBSTITUTE(SUBSTITUTE(SUBSTITUTE(SUBSTITUTE(SUBSTITUTE(Клиенты_исходные!D605," ",""),"-",""),"+",""),"(",""),")",""),2,10),SUBSTITUTE(SUBSTITUTE(SUBSTITUTE(SUBSTITUTE(SUBSTITUTE(Клиенты_исходные!D605," ",""),"-",""),"+",""),"(",""),")","")),8,2)&amp;"-"&amp;MID(IF(LEFT(SUBSTITUTE(SUBSTITUTE(SUBSTITUTE(SUBSTITUTE(SUBSTITUTE(Клиенты_исходные!D605," ",""),"-",""),"+",""),"(",""),")",""))="8","7"&amp;MID(SUBSTITUTE(SUBSTITUTE(SUBSTITUTE(SUBSTITUTE(SUBSTITUTE(Клиенты_исходные!D605," ",""),"-",""),"+",""),"(",""),")",""),2,10),SUBSTITUTE(SUBSTITUTE(SUBSTITUTE(SUBSTITUTE(SUBSTITUTE(Клиенты_исходные!D605," ",""),"-",""),"+",""),"(",""),")","")),10,2),IF(LEN(SUBSTITUTE(SUBSTITUTE(SUBSTITUTE(SUBSTITUTE(SUBSTITUTE(Клиенты_исходные!D605," ",""),"-",""),"+",""),"(",""),")",""))=10,"+7 ("&amp;MID(SUBSTITUTE(SUBSTITUTE(SUBSTITUTE(SUBSTITUTE(SUBSTITUTE(Клиенты_исходные!D605," ",""),"-",""),"+",""),"(",""),")",""),1,3)&amp;") "&amp;MID(SUBSTITUTE(SUBSTITUTE(SUBSTITUTE(SUBSTITUTE(SUBSTITUTE(Клиенты_исходные!D605," ",""),"-",""),"+",""),"(",""),")",""),4,3)&amp;"-"&amp;MID(SUBSTITUTE(SUBSTITUTE(SUBSTITUTE(SUBSTITUTE(SUBSTITUTE(Клиенты_исходные!D605," ",""),"-",""),"+",""),"(",""),")",""),6,2)&amp;"-"&amp;MID(SUBSTITUTE(SUBSTITUTE(SUBSTITUTE(SUBSTITUTE(SUBSTITUTE(Клиенты_исходные!D605," ",""),"-",""),"+",""),"(",""),")",""),8,2),Клиенты_исходные!D605)))</f>
        <v xml:space="preserve">+7 (903) 789-01-23</v>
      </c>
      <c r="E605" t="str">
        <f>IF(ISBLANK(Клиенты_исходные!E605),"",IF(ISNUMBER(FIND(".",MID(Клиенты_исходные!E605,FIND("@",Клиенты_исходные!E605)+1,255))),Клиенты_исходные!E605,IF(ISNUMBER(FIND("gmail",Клиенты_исходные!E605)),Клиенты_исходные!E605&amp;".com",Клиенты_исходные!E605&amp;".ru")))</f>
        <v>sirikov@mail.ru</v>
      </c>
      <c r="F605" t="str">
        <f>IFERROR(VLOOKUP(Клиенты_исходные!F605,Справочники!$J$2:$K$50,2,FALSE),Клиенты_исходные!F605)</f>
        <v>Мурманск</v>
      </c>
      <c r="G605" s="8">
        <f>IFERROR(IF(ISNUMBER(FIND(".",Клиенты_исходные!G605)),DATE(RIGHT(Клиенты_исходные!G605,4),MID(Клиенты_исходные!G605,4,2),LEFT(Клиенты_исходные!G605,2)),DATE(LEFT(Клиенты_исходные!G605,4),MID(Клиенты_исходные!G605,6,2),RIGHT(Клиенты_исходные!G605,2))),Клиенты_исходные!G605)</f>
        <v>50679</v>
      </c>
      <c r="H605">
        <f t="shared" ca="1" si="73"/>
        <v>43</v>
      </c>
      <c r="I605" t="str">
        <f t="shared" si="74"/>
        <v>OK</v>
      </c>
      <c r="J605" t="str">
        <f t="shared" si="75"/>
        <v>OK</v>
      </c>
    </row>
    <row r="606">
      <c r="A606" t="str">
        <f>Клиенты_исходные!A606</f>
        <v>C0605</v>
      </c>
      <c r="B606" t="str">
        <f>PROPER(TRIM(Клиенты_исходные!B606))</f>
        <v xml:space="preserve">Петрова Ольга Павловна</v>
      </c>
      <c r="C606" s="8">
        <f>IFERROR(IF(ISNUMBER(FIND(".",Клиенты_исходные!C606)),DATE(RIGHT(Клиенты_исходные!C606,4),MID(Клиенты_исходные!C606,4,2),LEFT(Клиенты_исходные!C606,2)),DATE(LEFT(Клиенты_исходные!C606,4),MID(Клиенты_исходные!C606,6,2),RIGHT(Клиенты_исходные!C606,2))),Клиенты_исходные!C606)</f>
        <v>32495</v>
      </c>
      <c r="D606" t="str">
        <f>IF(ISBLANK(Клиенты_исходные!D606),"",IF(LEN(SUBSTITUTE(SUBSTITUTE(SUBSTITUTE(SUBSTITUTE(SUBSTITUTE(Клиенты_исходные!D606," ",""),"-",""),"+",""),"(",""),")",""))=11,"+7 ("&amp;MID(IF(LEFT(SUBSTITUTE(SUBSTITUTE(SUBSTITUTE(SUBSTITUTE(SUBSTITUTE(Клиенты_исходные!D606," ",""),"-",""),"+",""),"(",""),")",""))="8","7"&amp;MID(SUBSTITUTE(SUBSTITUTE(SUBSTITUTE(SUBSTITUTE(SUBSTITUTE(Клиенты_исходные!D606," ",""),"-",""),"+",""),"(",""),")",""),2,10),SUBSTITUTE(SUBSTITUTE(SUBSTITUTE(SUBSTITUTE(SUBSTITUTE(Клиенты_исходные!D606," ",""),"-",""),"+",""),"(",""),")","")),2,3)&amp;") "&amp;MID(IF(LEFT(SUBSTITUTE(SUBSTITUTE(SUBSTITUTE(SUBSTITUTE(SUBSTITUTE(Клиенты_исходные!D606," ",""),"-",""),"+",""),"(",""),")",""))="8","7"&amp;MID(SUBSTITUTE(SUBSTITUTE(SUBSTITUTE(SUBSTITUTE(SUBSTITUTE(Клиенты_исходные!D606," ",""),"-",""),"+",""),"(",""),")",""),2,10),SUBSTITUTE(SUBSTITUTE(SUBSTITUTE(SUBSTITUTE(SUBSTITUTE(Клиенты_исходные!D606," ",""),"-",""),"+",""),"(",""),")","")),5,3)&amp;"-"&amp;MID(IF(LEFT(SUBSTITUTE(SUBSTITUTE(SUBSTITUTE(SUBSTITUTE(SUBSTITUTE(Клиенты_исходные!D606," ",""),"-",""),"+",""),"(",""),")",""))="8","7"&amp;MID(SUBSTITUTE(SUBSTITUTE(SUBSTITUTE(SUBSTITUTE(SUBSTITUTE(Клиенты_исходные!D606," ",""),"-",""),"+",""),"(",""),")",""),2,10),SUBSTITUTE(SUBSTITUTE(SUBSTITUTE(SUBSTITUTE(SUBSTITUTE(Клиенты_исходные!D606," ",""),"-",""),"+",""),"(",""),")","")),8,2)&amp;"-"&amp;MID(IF(LEFT(SUBSTITUTE(SUBSTITUTE(SUBSTITUTE(SUBSTITUTE(SUBSTITUTE(Клиенты_исходные!D606," ",""),"-",""),"+",""),"(",""),")",""))="8","7"&amp;MID(SUBSTITUTE(SUBSTITUTE(SUBSTITUTE(SUBSTITUTE(SUBSTITUTE(Клиенты_исходные!D606," ",""),"-",""),"+",""),"(",""),")",""),2,10),SUBSTITUTE(SUBSTITUTE(SUBSTITUTE(SUBSTITUTE(SUBSTITUTE(Клиенты_исходные!D606," ",""),"-",""),"+",""),"(",""),")","")),10,2),IF(LEN(SUBSTITUTE(SUBSTITUTE(SUBSTITUTE(SUBSTITUTE(SUBSTITUTE(Клиенты_исходные!D606," ",""),"-",""),"+",""),"(",""),")",""))=10,"+7 ("&amp;MID(SUBSTITUTE(SUBSTITUTE(SUBSTITUTE(SUBSTITUTE(SUBSTITUTE(Клиенты_исходные!D606," ",""),"-",""),"+",""),"(",""),")",""),1,3)&amp;") "&amp;MID(SUBSTITUTE(SUBSTITUTE(SUBSTITUTE(SUBSTITUTE(SUBSTITUTE(Клиенты_исходные!D606," ",""),"-",""),"+",""),"(",""),")",""),4,3)&amp;"-"&amp;MID(SUBSTITUTE(SUBSTITUTE(SUBSTITUTE(SUBSTITUTE(SUBSTITUTE(Клиенты_исходные!D606," ",""),"-",""),"+",""),"(",""),")",""),6,2)&amp;"-"&amp;MID(SUBSTITUTE(SUBSTITUTE(SUBSTITUTE(SUBSTITUTE(SUBSTITUTE(Клиенты_исходные!D606," ",""),"-",""),"+",""),"(",""),")",""),8,2),Клиенты_исходные!D606)))</f>
        <v xml:space="preserve">+7 (903) 789-01-23</v>
      </c>
      <c r="E606" t="str">
        <f>IF(ISBLANK(Клиенты_исходные!E606),"",IF(ISNUMBER(FIND(".",MID(Клиенты_исходные!E606,FIND("@",Клиенты_исходные!E606)+1,255))),Клиенты_исходные!E606,IF(ISNUMBER(FIND("gmail",Клиенты_исходные!E606)),Клиенты_исходные!E606&amp;".com",Клиенты_исходные!E606&amp;".ru")))</f>
        <v>petrova@yandex.ru</v>
      </c>
      <c r="F606" t="str">
        <f>IFERROR(VLOOKUP(Клиенты_исходные!F606,Справочники!$J$2:$K$50,2,FALSE),Клиенты_исходные!F606)</f>
        <v>Ставрополь</v>
      </c>
      <c r="G606" s="8">
        <f>IFERROR(IF(ISNUMBER(FIND(".",Клиенты_исходные!G606)),DATE(RIGHT(Клиенты_исходные!G606,4),MID(Клиенты_исходные!G606,4,2),LEFT(Клиенты_исходные!G606,2)),DATE(LEFT(Клиенты_исходные!G606,4),MID(Клиенты_исходные!G606,6,2),RIGHT(Клиенты_исходные!G606,2))),Клиенты_исходные!G606)</f>
        <v>50688</v>
      </c>
      <c r="H606">
        <f t="shared" ca="1" si="73"/>
        <v>37</v>
      </c>
      <c r="I606" t="str">
        <f t="shared" si="74"/>
        <v>OK</v>
      </c>
      <c r="J606" t="str">
        <f t="shared" si="75"/>
        <v>OK</v>
      </c>
    </row>
    <row r="607">
      <c r="A607" t="str">
        <f>Клиенты_исходные!A607</f>
        <v>C0606</v>
      </c>
      <c r="B607" t="str">
        <f>PROPER(TRIM(Клиенты_исходные!B607))</f>
        <v xml:space="preserve">Беляков Илья Алексеевич</v>
      </c>
      <c r="C607" s="8">
        <f>IFERROR(IF(ISNUMBER(FIND(".",Клиенты_исходные!C607)),DATE(RIGHT(Клиенты_исходные!C607,4),MID(Клиенты_исходные!C607,4,2),LEFT(Клиенты_исходные!C607,2)),DATE(LEFT(Клиенты_исходные!C607,4),MID(Клиенты_исходные!C607,6,2),RIGHT(Клиенты_исходные!C607,2))),Клиенты_исходные!C607)</f>
        <v>28308</v>
      </c>
      <c r="D607" t="str">
        <f>IF(ISBLANK(Клиенты_исходные!D607),"",IF(LEN(SUBSTITUTE(SUBSTITUTE(SUBSTITUTE(SUBSTITUTE(SUBSTITUTE(Клиенты_исходные!D607," ",""),"-",""),"+",""),"(",""),")",""))=11,"+7 ("&amp;MID(IF(LEFT(SUBSTITUTE(SUBSTITUTE(SUBSTITUTE(SUBSTITUTE(SUBSTITUTE(Клиенты_исходные!D607," ",""),"-",""),"+",""),"(",""),")",""))="8","7"&amp;MID(SUBSTITUTE(SUBSTITUTE(SUBSTITUTE(SUBSTITUTE(SUBSTITUTE(Клиенты_исходные!D607," ",""),"-",""),"+",""),"(",""),")",""),2,10),SUBSTITUTE(SUBSTITUTE(SUBSTITUTE(SUBSTITUTE(SUBSTITUTE(Клиенты_исходные!D607," ",""),"-",""),"+",""),"(",""),")","")),2,3)&amp;") "&amp;MID(IF(LEFT(SUBSTITUTE(SUBSTITUTE(SUBSTITUTE(SUBSTITUTE(SUBSTITUTE(Клиенты_исходные!D607," ",""),"-",""),"+",""),"(",""),")",""))="8","7"&amp;MID(SUBSTITUTE(SUBSTITUTE(SUBSTITUTE(SUBSTITUTE(SUBSTITUTE(Клиенты_исходные!D607," ",""),"-",""),"+",""),"(",""),")",""),2,10),SUBSTITUTE(SUBSTITUTE(SUBSTITUTE(SUBSTITUTE(SUBSTITUTE(Клиенты_исходные!D607," ",""),"-",""),"+",""),"(",""),")","")),5,3)&amp;"-"&amp;MID(IF(LEFT(SUBSTITUTE(SUBSTITUTE(SUBSTITUTE(SUBSTITUTE(SUBSTITUTE(Клиенты_исходные!D607," ",""),"-",""),"+",""),"(",""),")",""))="8","7"&amp;MID(SUBSTITUTE(SUBSTITUTE(SUBSTITUTE(SUBSTITUTE(SUBSTITUTE(Клиенты_исходные!D607," ",""),"-",""),"+",""),"(",""),")",""),2,10),SUBSTITUTE(SUBSTITUTE(SUBSTITUTE(SUBSTITUTE(SUBSTITUTE(Клиенты_исходные!D607," ",""),"-",""),"+",""),"(",""),")","")),8,2)&amp;"-"&amp;MID(IF(LEFT(SUBSTITUTE(SUBSTITUTE(SUBSTITUTE(SUBSTITUTE(SUBSTITUTE(Клиенты_исходные!D607," ",""),"-",""),"+",""),"(",""),")",""))="8","7"&amp;MID(SUBSTITUTE(SUBSTITUTE(SUBSTITUTE(SUBSTITUTE(SUBSTITUTE(Клиенты_исходные!D607," ",""),"-",""),"+",""),"(",""),")",""),2,10),SUBSTITUTE(SUBSTITUTE(SUBSTITUTE(SUBSTITUTE(SUBSTITUTE(Клиенты_исходные!D607," ",""),"-",""),"+",""),"(",""),")","")),10,2),IF(LEN(SUBSTITUTE(SUBSTITUTE(SUBSTITUTE(SUBSTITUTE(SUBSTITUTE(Клиенты_исходные!D607," ",""),"-",""),"+",""),"(",""),")",""))=10,"+7 ("&amp;MID(SUBSTITUTE(SUBSTITUTE(SUBSTITUTE(SUBSTITUTE(SUBSTITUTE(Клиенты_исходные!D607," ",""),"-",""),"+",""),"(",""),")",""),1,3)&amp;") "&amp;MID(SUBSTITUTE(SUBSTITUTE(SUBSTITUTE(SUBSTITUTE(SUBSTITUTE(Клиенты_исходные!D607," ",""),"-",""),"+",""),"(",""),")",""),4,3)&amp;"-"&amp;MID(SUBSTITUTE(SUBSTITUTE(SUBSTITUTE(SUBSTITUTE(SUBSTITUTE(Клиенты_исходные!D607," ",""),"-",""),"+",""),"(",""),")",""),6,2)&amp;"-"&amp;MID(SUBSTITUTE(SUBSTITUTE(SUBSTITUTE(SUBSTITUTE(SUBSTITUTE(Клиенты_исходные!D607," ",""),"-",""),"+",""),"(",""),")",""),8,2),Клиенты_исходные!D607)))</f>
        <v xml:space="preserve">+7 (903) 890-12-34</v>
      </c>
      <c r="E607" t="str">
        <f>IF(ISBLANK(Клиенты_исходные!E607),"",IF(ISNUMBER(FIND(".",MID(Клиенты_исходные!E607,FIND("@",Клиенты_исходные!E607)+1,255))),Клиенты_исходные!E607,IF(ISNUMBER(FIND("gmail",Клиенты_исходные!E607)),Клиенты_исходные!E607&amp;".com",Клиенты_исходные!E607&amp;".ru")))</f>
        <v>belyakov@gmail.com</v>
      </c>
      <c r="F607" t="str">
        <f>IFERROR(VLOOKUP(Клиенты_исходные!F607,Справочники!$J$2:$K$50,2,FALSE),Клиенты_исходные!F607)</f>
        <v>Севастополь</v>
      </c>
      <c r="G607" s="8">
        <f>IFERROR(IF(ISNUMBER(FIND(".",Клиенты_исходные!G607)),DATE(RIGHT(Клиенты_исходные!G607,4),MID(Клиенты_исходные!G607,4,2),LEFT(Клиенты_исходные!G607,2)),DATE(LEFT(Клиенты_исходные!G607,4),MID(Клиенты_исходные!G607,6,2),RIGHT(Клиенты_исходные!G607,2))),Клиенты_исходные!G607)</f>
        <v>50688</v>
      </c>
      <c r="H607">
        <f t="shared" ca="1" si="73"/>
        <v>49</v>
      </c>
      <c r="I607" t="str">
        <f t="shared" si="74"/>
        <v>OK</v>
      </c>
      <c r="J607" t="str">
        <f t="shared" si="75"/>
        <v>OK</v>
      </c>
    </row>
    <row r="608">
      <c r="A608" t="str">
        <f>Клиенты_исходные!A608</f>
        <v>C0607</v>
      </c>
      <c r="B608" t="str">
        <f>PROPER(TRIM(Клиенты_исходные!B608))</f>
        <v xml:space="preserve">Фомина Екатерина Сергеевна</v>
      </c>
      <c r="C608" s="8">
        <f>IFERROR(IF(ISNUMBER(FIND(".",Клиенты_исходные!C608)),DATE(RIGHT(Клиенты_исходные!C608,4),MID(Клиенты_исходные!C608,4,2),LEFT(Клиенты_исходные!C608,2)),DATE(LEFT(Клиенты_исходные!C608,4),MID(Клиенты_исходные!C608,6,2),RIGHT(Клиенты_исходные!C608,2))),Клиенты_исходные!C608)</f>
        <v>30734</v>
      </c>
      <c r="D608" t="str">
        <f>IF(ISBLANK(Клиенты_исходные!D608),"",IF(LEN(SUBSTITUTE(SUBSTITUTE(SUBSTITUTE(SUBSTITUTE(SUBSTITUTE(Клиенты_исходные!D608," ",""),"-",""),"+",""),"(",""),")",""))=11,"+7 ("&amp;MID(IF(LEFT(SUBSTITUTE(SUBSTITUTE(SUBSTITUTE(SUBSTITUTE(SUBSTITUTE(Клиенты_исходные!D608," ",""),"-",""),"+",""),"(",""),")",""))="8","7"&amp;MID(SUBSTITUTE(SUBSTITUTE(SUBSTITUTE(SUBSTITUTE(SUBSTITUTE(Клиенты_исходные!D608," ",""),"-",""),"+",""),"(",""),")",""),2,10),SUBSTITUTE(SUBSTITUTE(SUBSTITUTE(SUBSTITUTE(SUBSTITUTE(Клиенты_исходные!D608," ",""),"-",""),"+",""),"(",""),")","")),2,3)&amp;") "&amp;MID(IF(LEFT(SUBSTITUTE(SUBSTITUTE(SUBSTITUTE(SUBSTITUTE(SUBSTITUTE(Клиенты_исходные!D608," ",""),"-",""),"+",""),"(",""),")",""))="8","7"&amp;MID(SUBSTITUTE(SUBSTITUTE(SUBSTITUTE(SUBSTITUTE(SUBSTITUTE(Клиенты_исходные!D608," ",""),"-",""),"+",""),"(",""),")",""),2,10),SUBSTITUTE(SUBSTITUTE(SUBSTITUTE(SUBSTITUTE(SUBSTITUTE(Клиенты_исходные!D608," ",""),"-",""),"+",""),"(",""),")","")),5,3)&amp;"-"&amp;MID(IF(LEFT(SUBSTITUTE(SUBSTITUTE(SUBSTITUTE(SUBSTITUTE(SUBSTITUTE(Клиенты_исходные!D608," ",""),"-",""),"+",""),"(",""),")",""))="8","7"&amp;MID(SUBSTITUTE(SUBSTITUTE(SUBSTITUTE(SUBSTITUTE(SUBSTITUTE(Клиенты_исходные!D608," ",""),"-",""),"+",""),"(",""),")",""),2,10),SUBSTITUTE(SUBSTITUTE(SUBSTITUTE(SUBSTITUTE(SUBSTITUTE(Клиенты_исходные!D608," ",""),"-",""),"+",""),"(",""),")","")),8,2)&amp;"-"&amp;MID(IF(LEFT(SUBSTITUTE(SUBSTITUTE(SUBSTITUTE(SUBSTITUTE(SUBSTITUTE(Клиенты_исходные!D608," ",""),"-",""),"+",""),"(",""),")",""))="8","7"&amp;MID(SUBSTITUTE(SUBSTITUTE(SUBSTITUTE(SUBSTITUTE(SUBSTITUTE(Клиенты_исходные!D608," ",""),"-",""),"+",""),"(",""),")",""),2,10),SUBSTITUTE(SUBSTITUTE(SUBSTITUTE(SUBSTITUTE(SUBSTITUTE(Клиенты_исходные!D608," ",""),"-",""),"+",""),"(",""),")","")),10,2),IF(LEN(SUBSTITUTE(SUBSTITUTE(SUBSTITUTE(SUBSTITUTE(SUBSTITUTE(Клиенты_исходные!D608," ",""),"-",""),"+",""),"(",""),")",""))=10,"+7 ("&amp;MID(SUBSTITUTE(SUBSTITUTE(SUBSTITUTE(SUBSTITUTE(SUBSTITUTE(Клиенты_исходные!D608," ",""),"-",""),"+",""),"(",""),")",""),1,3)&amp;") "&amp;MID(SUBSTITUTE(SUBSTITUTE(SUBSTITUTE(SUBSTITUTE(SUBSTITUTE(Клиенты_исходные!D608," ",""),"-",""),"+",""),"(",""),")",""),4,3)&amp;"-"&amp;MID(SUBSTITUTE(SUBSTITUTE(SUBSTITUTE(SUBSTITUTE(SUBSTITUTE(Клиенты_исходные!D608," ",""),"-",""),"+",""),"(",""),")",""),6,2)&amp;"-"&amp;MID(SUBSTITUTE(SUBSTITUTE(SUBSTITUTE(SUBSTITUTE(SUBSTITUTE(Клиенты_исходные!D608," ",""),"-",""),"+",""),"(",""),")",""),8,2),Клиенты_исходные!D608)))</f>
        <v xml:space="preserve">+7 (903) 890-12-34</v>
      </c>
      <c r="E608" t="str">
        <f>IF(ISBLANK(Клиенты_исходные!E608),"",IF(ISNUMBER(FIND(".",MID(Клиенты_исходные!E608,FIND("@",Клиенты_исходные!E608)+1,255))),Клиенты_исходные!E608,IF(ISNUMBER(FIND("gmail",Клиенты_исходные!E608)),Клиенты_исходные!E608&amp;".com",Клиенты_исходные!E608&amp;".ru")))</f>
        <v>fomina@mail.ru</v>
      </c>
      <c r="F608" t="str">
        <f>IFERROR(VLOOKUP(Клиенты_исходные!F608,Справочники!$J$2:$K$50,2,FALSE),Клиенты_исходные!F608)</f>
        <v>Сочи</v>
      </c>
      <c r="G608" s="8">
        <f>IFERROR(IF(ISNUMBER(FIND(".",Клиенты_исходные!G608)),DATE(RIGHT(Клиенты_исходные!G608,4),MID(Клиенты_исходные!G608,4,2),LEFT(Клиенты_исходные!G608,2)),DATE(LEFT(Клиенты_исходные!G608,4),MID(Клиенты_исходные!G608,6,2),RIGHT(Клиенты_исходные!G608,2))),Клиенты_исходные!G608)</f>
        <v>50710</v>
      </c>
      <c r="H608">
        <f t="shared" ca="1" si="73"/>
        <v>42</v>
      </c>
      <c r="I608" t="str">
        <f t="shared" si="74"/>
        <v>OK</v>
      </c>
      <c r="J608" t="str">
        <f t="shared" si="75"/>
        <v>OK</v>
      </c>
    </row>
    <row r="609">
      <c r="A609" t="str">
        <f>Клиенты_исходные!A609</f>
        <v>C0608</v>
      </c>
      <c r="B609" t="str">
        <f>PROPER(TRIM(Клиенты_исходные!B609))</f>
        <v xml:space="preserve">Галкин Андрей Олегович</v>
      </c>
      <c r="C609" s="8">
        <f>IFERROR(IF(ISNUMBER(FIND(".",Клиенты_исходные!C609)),DATE(RIGHT(Клиенты_исходные!C609,4),MID(Клиенты_исходные!C609,4,2),LEFT(Клиенты_исходные!C609,2)),DATE(LEFT(Клиенты_исходные!C609,4),MID(Клиенты_исходные!C609,6,2),RIGHT(Клиенты_исходные!C609,2))),Клиенты_исходные!C609)</f>
        <v>33495</v>
      </c>
      <c r="D609" t="str">
        <f>IF(ISBLANK(Клиенты_исходные!D609),"",IF(LEN(SUBSTITUTE(SUBSTITUTE(SUBSTITUTE(SUBSTITUTE(SUBSTITUTE(Клиенты_исходные!D609," ",""),"-",""),"+",""),"(",""),")",""))=11,"+7 ("&amp;MID(IF(LEFT(SUBSTITUTE(SUBSTITUTE(SUBSTITUTE(SUBSTITUTE(SUBSTITUTE(Клиенты_исходные!D609," ",""),"-",""),"+",""),"(",""),")",""))="8","7"&amp;MID(SUBSTITUTE(SUBSTITUTE(SUBSTITUTE(SUBSTITUTE(SUBSTITUTE(Клиенты_исходные!D609," ",""),"-",""),"+",""),"(",""),")",""),2,10),SUBSTITUTE(SUBSTITUTE(SUBSTITUTE(SUBSTITUTE(SUBSTITUTE(Клиенты_исходные!D609," ",""),"-",""),"+",""),"(",""),")","")),2,3)&amp;") "&amp;MID(IF(LEFT(SUBSTITUTE(SUBSTITUTE(SUBSTITUTE(SUBSTITUTE(SUBSTITUTE(Клиенты_исходные!D609," ",""),"-",""),"+",""),"(",""),")",""))="8","7"&amp;MID(SUBSTITUTE(SUBSTITUTE(SUBSTITUTE(SUBSTITUTE(SUBSTITUTE(Клиенты_исходные!D609," ",""),"-",""),"+",""),"(",""),")",""),2,10),SUBSTITUTE(SUBSTITUTE(SUBSTITUTE(SUBSTITUTE(SUBSTITUTE(Клиенты_исходные!D609," ",""),"-",""),"+",""),"(",""),")","")),5,3)&amp;"-"&amp;MID(IF(LEFT(SUBSTITUTE(SUBSTITUTE(SUBSTITUTE(SUBSTITUTE(SUBSTITUTE(Клиенты_исходные!D609," ",""),"-",""),"+",""),"(",""),")",""))="8","7"&amp;MID(SUBSTITUTE(SUBSTITUTE(SUBSTITUTE(SUBSTITUTE(SUBSTITUTE(Клиенты_исходные!D609," ",""),"-",""),"+",""),"(",""),")",""),2,10),SUBSTITUTE(SUBSTITUTE(SUBSTITUTE(SUBSTITUTE(SUBSTITUTE(Клиенты_исходные!D609," ",""),"-",""),"+",""),"(",""),")","")),8,2)&amp;"-"&amp;MID(IF(LEFT(SUBSTITUTE(SUBSTITUTE(SUBSTITUTE(SUBSTITUTE(SUBSTITUTE(Клиенты_исходные!D609," ",""),"-",""),"+",""),"(",""),")",""))="8","7"&amp;MID(SUBSTITUTE(SUBSTITUTE(SUBSTITUTE(SUBSTITUTE(SUBSTITUTE(Клиенты_исходные!D609," ",""),"-",""),"+",""),"(",""),")",""),2,10),SUBSTITUTE(SUBSTITUTE(SUBSTITUTE(SUBSTITUTE(SUBSTITUTE(Клиенты_исходные!D609," ",""),"-",""),"+",""),"(",""),")","")),10,2),IF(LEN(SUBSTITUTE(SUBSTITUTE(SUBSTITUTE(SUBSTITUTE(SUBSTITUTE(Клиенты_исходные!D609," ",""),"-",""),"+",""),"(",""),")",""))=10,"+7 ("&amp;MID(SUBSTITUTE(SUBSTITUTE(SUBSTITUTE(SUBSTITUTE(SUBSTITUTE(Клиенты_исходные!D609," ",""),"-",""),"+",""),"(",""),")",""),1,3)&amp;") "&amp;MID(SUBSTITUTE(SUBSTITUTE(SUBSTITUTE(SUBSTITUTE(SUBSTITUTE(Клиенты_исходные!D609," ",""),"-",""),"+",""),"(",""),")",""),4,3)&amp;"-"&amp;MID(SUBSTITUTE(SUBSTITUTE(SUBSTITUTE(SUBSTITUTE(SUBSTITUTE(Клиенты_исходные!D609," ",""),"-",""),"+",""),"(",""),")",""),6,2)&amp;"-"&amp;MID(SUBSTITUTE(SUBSTITUTE(SUBSTITUTE(SUBSTITUTE(SUBSTITUTE(Клиенты_исходные!D609," ",""),"-",""),"+",""),"(",""),")",""),8,2),Клиенты_исходные!D609)))</f>
        <v xml:space="preserve">+7 (903) 890-12-34</v>
      </c>
      <c r="E609" t="str">
        <f>IF(ISBLANK(Клиенты_исходные!E609),"",IF(ISNUMBER(FIND(".",MID(Клиенты_исходные!E609,FIND("@",Клиенты_исходные!E609)+1,255))),Клиенты_исходные!E609,IF(ISNUMBER(FIND("gmail",Клиенты_исходные!E609)),Клиенты_исходные!E609&amp;".com",Клиенты_исходные!E609&amp;".ru")))</f>
        <v>galkin@yandex.ru</v>
      </c>
      <c r="F609" t="str">
        <f>IFERROR(VLOOKUP(Клиенты_исходные!F609,Справочники!$J$2:$K$50,2,FALSE),Клиенты_исходные!F609)</f>
        <v>Симферополь</v>
      </c>
      <c r="G609" s="8">
        <f>IFERROR(IF(ISNUMBER(FIND(".",Клиенты_исходные!G609)),DATE(RIGHT(Клиенты_исходные!G609,4),MID(Клиенты_исходные!G609,4,2),LEFT(Клиенты_исходные!G609,2)),DATE(LEFT(Клиенты_исходные!G609,4),MID(Клиенты_исходные!G609,6,2),RIGHT(Клиенты_исходные!G609,2))),Клиенты_исходные!G609)</f>
        <v>50724</v>
      </c>
      <c r="H609">
        <f t="shared" ca="1" si="73"/>
        <v>35</v>
      </c>
      <c r="I609" t="str">
        <f t="shared" si="74"/>
        <v>OK</v>
      </c>
      <c r="J609" t="str">
        <f t="shared" si="75"/>
        <v>OK</v>
      </c>
    </row>
    <row r="610">
      <c r="A610" t="str">
        <f>Клиенты_исходные!A610</f>
        <v>C0609</v>
      </c>
      <c r="B610" t="str">
        <f>PROPER(TRIM(Клиенты_исходные!B610))</f>
        <v xml:space="preserve">Чумакова Мария Владимировна</v>
      </c>
      <c r="C610" s="8">
        <f>IFERROR(IF(ISNUMBER(FIND(".",Клиенты_исходные!C610)),DATE(RIGHT(Клиенты_исходные!C610,4),MID(Клиенты_исходные!C610,4,2),LEFT(Клиенты_исходные!C610,2)),DATE(LEFT(Клиенты_исходные!C610,4),MID(Клиенты_исходные!C610,6,2),RIGHT(Клиенты_исходные!C610,2))),Клиенты_исходные!C610)</f>
        <v>26763</v>
      </c>
      <c r="D610" t="str">
        <f>IF(ISBLANK(Клиенты_исходные!D610),"",IF(LEN(SUBSTITUTE(SUBSTITUTE(SUBSTITUTE(SUBSTITUTE(SUBSTITUTE(Клиенты_исходные!D610," ",""),"-",""),"+",""),"(",""),")",""))=11,"+7 ("&amp;MID(IF(LEFT(SUBSTITUTE(SUBSTITUTE(SUBSTITUTE(SUBSTITUTE(SUBSTITUTE(Клиенты_исходные!D610," ",""),"-",""),"+",""),"(",""),")",""))="8","7"&amp;MID(SUBSTITUTE(SUBSTITUTE(SUBSTITUTE(SUBSTITUTE(SUBSTITUTE(Клиенты_исходные!D610," ",""),"-",""),"+",""),"(",""),")",""),2,10),SUBSTITUTE(SUBSTITUTE(SUBSTITUTE(SUBSTITUTE(SUBSTITUTE(Клиенты_исходные!D610," ",""),"-",""),"+",""),"(",""),")","")),2,3)&amp;") "&amp;MID(IF(LEFT(SUBSTITUTE(SUBSTITUTE(SUBSTITUTE(SUBSTITUTE(SUBSTITUTE(Клиенты_исходные!D610," ",""),"-",""),"+",""),"(",""),")",""))="8","7"&amp;MID(SUBSTITUTE(SUBSTITUTE(SUBSTITUTE(SUBSTITUTE(SUBSTITUTE(Клиенты_исходные!D610," ",""),"-",""),"+",""),"(",""),")",""),2,10),SUBSTITUTE(SUBSTITUTE(SUBSTITUTE(SUBSTITUTE(SUBSTITUTE(Клиенты_исходные!D610," ",""),"-",""),"+",""),"(",""),")","")),5,3)&amp;"-"&amp;MID(IF(LEFT(SUBSTITUTE(SUBSTITUTE(SUBSTITUTE(SUBSTITUTE(SUBSTITUTE(Клиенты_исходные!D610," ",""),"-",""),"+",""),"(",""),")",""))="8","7"&amp;MID(SUBSTITUTE(SUBSTITUTE(SUBSTITUTE(SUBSTITUTE(SUBSTITUTE(Клиенты_исходные!D610," ",""),"-",""),"+",""),"(",""),")",""),2,10),SUBSTITUTE(SUBSTITUTE(SUBSTITUTE(SUBSTITUTE(SUBSTITUTE(Клиенты_исходные!D610," ",""),"-",""),"+",""),"(",""),")","")),8,2)&amp;"-"&amp;MID(IF(LEFT(SUBSTITUTE(SUBSTITUTE(SUBSTITUTE(SUBSTITUTE(SUBSTITUTE(Клиенты_исходные!D610," ",""),"-",""),"+",""),"(",""),")",""))="8","7"&amp;MID(SUBSTITUTE(SUBSTITUTE(SUBSTITUTE(SUBSTITUTE(SUBSTITUTE(Клиенты_исходные!D610," ",""),"-",""),"+",""),"(",""),")",""),2,10),SUBSTITUTE(SUBSTITUTE(SUBSTITUTE(SUBSTITUTE(SUBSTITUTE(Клиенты_исходные!D610," ",""),"-",""),"+",""),"(",""),")","")),10,2),IF(LEN(SUBSTITUTE(SUBSTITUTE(SUBSTITUTE(SUBSTITUTE(SUBSTITUTE(Клиенты_исходные!D610," ",""),"-",""),"+",""),"(",""),")",""))=10,"+7 ("&amp;MID(SUBSTITUTE(SUBSTITUTE(SUBSTITUTE(SUBSTITUTE(SUBSTITUTE(Клиенты_исходные!D610," ",""),"-",""),"+",""),"(",""),")",""),1,3)&amp;") "&amp;MID(SUBSTITUTE(SUBSTITUTE(SUBSTITUTE(SUBSTITUTE(SUBSTITUTE(Клиенты_исходные!D610," ",""),"-",""),"+",""),"(",""),")",""),4,3)&amp;"-"&amp;MID(SUBSTITUTE(SUBSTITUTE(SUBSTITUTE(SUBSTITUTE(SUBSTITUTE(Клиенты_исходные!D610," ",""),"-",""),"+",""),"(",""),")",""),6,2)&amp;"-"&amp;MID(SUBSTITUTE(SUBSTITUTE(SUBSTITUTE(SUBSTITUTE(SUBSTITUTE(Клиенты_исходные!D610," ",""),"-",""),"+",""),"(",""),")",""),8,2),Клиенты_исходные!D610)))</f>
        <v xml:space="preserve">+7 (903) 901-23-45</v>
      </c>
      <c r="E610" t="str">
        <f>IF(ISBLANK(Клиенты_исходные!E610),"",IF(ISNUMBER(FIND(".",MID(Клиенты_исходные!E610,FIND("@",Клиенты_исходные!E610)+1,255))),Клиенты_исходные!E610,IF(ISNUMBER(FIND("gmail",Клиенты_исходные!E610)),Клиенты_исходные!E610&amp;".com",Клиенты_исходные!E610&amp;".ru")))</f>
        <v>chumakova@gmail.com</v>
      </c>
      <c r="F610" t="str">
        <f>IFERROR(VLOOKUP(Клиенты_исходные!F610,Справочники!$J$2:$K$50,2,FALSE),Клиенты_исходные!F610)</f>
        <v>Брянск</v>
      </c>
      <c r="G610" s="8">
        <f>IFERROR(IF(ISNUMBER(FIND(".",Клиенты_исходные!G610)),DATE(RIGHT(Клиенты_исходные!G610,4),MID(Клиенты_исходные!G610,4,2),LEFT(Клиенты_исходные!G610,2)),DATE(LEFT(Клиенты_исходные!G610,4),MID(Клиенты_исходные!G610,6,2),RIGHT(Клиенты_исходные!G610,2))),Клиенты_исходные!G610)</f>
        <v>50724</v>
      </c>
      <c r="H610">
        <f t="shared" ca="1" si="73"/>
        <v>53</v>
      </c>
      <c r="I610" t="str">
        <f t="shared" si="74"/>
        <v>OK</v>
      </c>
      <c r="J610" t="str">
        <f t="shared" si="75"/>
        <v>OK</v>
      </c>
    </row>
    <row r="611">
      <c r="A611" t="str">
        <f>Клиенты_исходные!A611</f>
        <v>C0610</v>
      </c>
      <c r="B611" t="str">
        <f>PROPER(TRIM(Клиенты_исходные!B611))</f>
        <v xml:space="preserve">Евсеев Денис Павлович</v>
      </c>
      <c r="C611" s="8">
        <f>IFERROR(IF(ISNUMBER(FIND(".",Клиенты_исходные!C611)),DATE(RIGHT(Клиенты_исходные!C611,4),MID(Клиенты_исходные!C611,4,2),LEFT(Клиенты_исходные!C611,2)),DATE(LEFT(Клиенты_исходные!C611,4),MID(Клиенты_исходные!C611,6,2),RIGHT(Клиенты_исходные!C611,2))),Клиенты_исходные!C611)</f>
        <v>29916</v>
      </c>
      <c r="D611" t="str">
        <f>IF(ISBLANK(Клиенты_исходные!D611),"",IF(LEN(SUBSTITUTE(SUBSTITUTE(SUBSTITUTE(SUBSTITUTE(SUBSTITUTE(Клиенты_исходные!D611," ",""),"-",""),"+",""),"(",""),")",""))=11,"+7 ("&amp;MID(IF(LEFT(SUBSTITUTE(SUBSTITUTE(SUBSTITUTE(SUBSTITUTE(SUBSTITUTE(Клиенты_исходные!D611," ",""),"-",""),"+",""),"(",""),")",""))="8","7"&amp;MID(SUBSTITUTE(SUBSTITUTE(SUBSTITUTE(SUBSTITUTE(SUBSTITUTE(Клиенты_исходные!D611," ",""),"-",""),"+",""),"(",""),")",""),2,10),SUBSTITUTE(SUBSTITUTE(SUBSTITUTE(SUBSTITUTE(SUBSTITUTE(Клиенты_исходные!D611," ",""),"-",""),"+",""),"(",""),")","")),2,3)&amp;") "&amp;MID(IF(LEFT(SUBSTITUTE(SUBSTITUTE(SUBSTITUTE(SUBSTITUTE(SUBSTITUTE(Клиенты_исходные!D611," ",""),"-",""),"+",""),"(",""),")",""))="8","7"&amp;MID(SUBSTITUTE(SUBSTITUTE(SUBSTITUTE(SUBSTITUTE(SUBSTITUTE(Клиенты_исходные!D611," ",""),"-",""),"+",""),"(",""),")",""),2,10),SUBSTITUTE(SUBSTITUTE(SUBSTITUTE(SUBSTITUTE(SUBSTITUTE(Клиенты_исходные!D611," ",""),"-",""),"+",""),"(",""),")","")),5,3)&amp;"-"&amp;MID(IF(LEFT(SUBSTITUTE(SUBSTITUTE(SUBSTITUTE(SUBSTITUTE(SUBSTITUTE(Клиенты_исходные!D611," ",""),"-",""),"+",""),"(",""),")",""))="8","7"&amp;MID(SUBSTITUTE(SUBSTITUTE(SUBSTITUTE(SUBSTITUTE(SUBSTITUTE(Клиенты_исходные!D611," ",""),"-",""),"+",""),"(",""),")",""),2,10),SUBSTITUTE(SUBSTITUTE(SUBSTITUTE(SUBSTITUTE(SUBSTITUTE(Клиенты_исходные!D611," ",""),"-",""),"+",""),"(",""),")","")),8,2)&amp;"-"&amp;MID(IF(LEFT(SUBSTITUTE(SUBSTITUTE(SUBSTITUTE(SUBSTITUTE(SUBSTITUTE(Клиенты_исходные!D611," ",""),"-",""),"+",""),"(",""),")",""))="8","7"&amp;MID(SUBSTITUTE(SUBSTITUTE(SUBSTITUTE(SUBSTITUTE(SUBSTITUTE(Клиенты_исходные!D611," ",""),"-",""),"+",""),"(",""),")",""),2,10),SUBSTITUTE(SUBSTITUTE(SUBSTITUTE(SUBSTITUTE(SUBSTITUTE(Клиенты_исходные!D611," ",""),"-",""),"+",""),"(",""),")","")),10,2),IF(LEN(SUBSTITUTE(SUBSTITUTE(SUBSTITUTE(SUBSTITUTE(SUBSTITUTE(Клиенты_исходные!D611," ",""),"-",""),"+",""),"(",""),")",""))=10,"+7 ("&amp;MID(SUBSTITUTE(SUBSTITUTE(SUBSTITUTE(SUBSTITUTE(SUBSTITUTE(Клиенты_исходные!D611," ",""),"-",""),"+",""),"(",""),")",""),1,3)&amp;") "&amp;MID(SUBSTITUTE(SUBSTITUTE(SUBSTITUTE(SUBSTITUTE(SUBSTITUTE(Клиенты_исходные!D611," ",""),"-",""),"+",""),"(",""),")",""),4,3)&amp;"-"&amp;MID(SUBSTITUTE(SUBSTITUTE(SUBSTITUTE(SUBSTITUTE(SUBSTITUTE(Клиенты_исходные!D611," ",""),"-",""),"+",""),"(",""),")",""),6,2)&amp;"-"&amp;MID(SUBSTITUTE(SUBSTITUTE(SUBSTITUTE(SUBSTITUTE(SUBSTITUTE(Клиенты_исходные!D611," ",""),"-",""),"+",""),"(",""),")",""),8,2),Клиенты_исходные!D611)))</f>
        <v xml:space="preserve">+7 (903) 901-23-45</v>
      </c>
      <c r="E611" t="str">
        <f>IF(ISBLANK(Клиенты_исходные!E611),"",IF(ISNUMBER(FIND(".",MID(Клиенты_исходные!E611,FIND("@",Клиенты_исходные!E611)+1,255))),Клиенты_исходные!E611,IF(ISNUMBER(FIND("gmail",Клиенты_исходные!E611)),Клиенты_исходные!E611&amp;".com",Клиенты_исходные!E611&amp;".ru")))</f>
        <v>evseev@mail.ru</v>
      </c>
      <c r="F611" t="str">
        <f>IFERROR(VLOOKUP(Клиенты_исходные!F611,Справочники!$J$2:$K$50,2,FALSE),Клиенты_исходные!F611)</f>
        <v>Абакан</v>
      </c>
      <c r="G611" s="8">
        <f>IFERROR(IF(ISNUMBER(FIND(".",Клиенты_исходные!G611)),DATE(RIGHT(Клиенты_исходные!G611,4),MID(Клиенты_исходные!G611,4,2),LEFT(Клиенты_исходные!G611,2)),DATE(LEFT(Клиенты_исходные!G611,4),MID(Клиенты_исходные!G611,6,2),RIGHT(Клиенты_исходные!G611,2))),Клиенты_исходные!G611)</f>
        <v>50740</v>
      </c>
      <c r="H611">
        <f t="shared" ca="1" si="73"/>
        <v>44</v>
      </c>
      <c r="I611" t="str">
        <f t="shared" si="74"/>
        <v>OK</v>
      </c>
      <c r="J611" t="str">
        <f t="shared" si="75"/>
        <v>OK</v>
      </c>
    </row>
    <row r="612">
      <c r="A612" t="str">
        <f>Клиенты_исходные!A612</f>
        <v>C0611</v>
      </c>
      <c r="B612" t="str">
        <f>PROPER(TRIM(Клиенты_исходные!B612))</f>
        <v xml:space="preserve">Климова Ольга Сергеевна</v>
      </c>
      <c r="C612" s="8">
        <f>IFERROR(IF(ISNUMBER(FIND(".",Клиенты_исходные!C612)),DATE(RIGHT(Клиенты_исходные!C612,4),MID(Клиенты_исходные!C612,4,2),LEFT(Клиенты_исходные!C612,2)),DATE(LEFT(Клиенты_исходные!C612,4),MID(Клиенты_исходные!C612,6,2),RIGHT(Клиенты_исходные!C612,2))),Клиенты_исходные!C612)</f>
        <v>31993</v>
      </c>
      <c r="D612" t="str">
        <f>IF(ISBLANK(Клиенты_исходные!D612),"",IF(LEN(SUBSTITUTE(SUBSTITUTE(SUBSTITUTE(SUBSTITUTE(SUBSTITUTE(Клиенты_исходные!D612," ",""),"-",""),"+",""),"(",""),")",""))=11,"+7 ("&amp;MID(IF(LEFT(SUBSTITUTE(SUBSTITUTE(SUBSTITUTE(SUBSTITUTE(SUBSTITUTE(Клиенты_исходные!D612," ",""),"-",""),"+",""),"(",""),")",""))="8","7"&amp;MID(SUBSTITUTE(SUBSTITUTE(SUBSTITUTE(SUBSTITUTE(SUBSTITUTE(Клиенты_исходные!D612," ",""),"-",""),"+",""),"(",""),")",""),2,10),SUBSTITUTE(SUBSTITUTE(SUBSTITUTE(SUBSTITUTE(SUBSTITUTE(Клиенты_исходные!D612," ",""),"-",""),"+",""),"(",""),")","")),2,3)&amp;") "&amp;MID(IF(LEFT(SUBSTITUTE(SUBSTITUTE(SUBSTITUTE(SUBSTITUTE(SUBSTITUTE(Клиенты_исходные!D612," ",""),"-",""),"+",""),"(",""),")",""))="8","7"&amp;MID(SUBSTITUTE(SUBSTITUTE(SUBSTITUTE(SUBSTITUTE(SUBSTITUTE(Клиенты_исходные!D612," ",""),"-",""),"+",""),"(",""),")",""),2,10),SUBSTITUTE(SUBSTITUTE(SUBSTITUTE(SUBSTITUTE(SUBSTITUTE(Клиенты_исходные!D612," ",""),"-",""),"+",""),"(",""),")","")),5,3)&amp;"-"&amp;MID(IF(LEFT(SUBSTITUTE(SUBSTITUTE(SUBSTITUTE(SUBSTITUTE(SUBSTITUTE(Клиенты_исходные!D612," ",""),"-",""),"+",""),"(",""),")",""))="8","7"&amp;MID(SUBSTITUTE(SUBSTITUTE(SUBSTITUTE(SUBSTITUTE(SUBSTITUTE(Клиенты_исходные!D612," ",""),"-",""),"+",""),"(",""),")",""),2,10),SUBSTITUTE(SUBSTITUTE(SUBSTITUTE(SUBSTITUTE(SUBSTITUTE(Клиенты_исходные!D612," ",""),"-",""),"+",""),"(",""),")","")),8,2)&amp;"-"&amp;MID(IF(LEFT(SUBSTITUTE(SUBSTITUTE(SUBSTITUTE(SUBSTITUTE(SUBSTITUTE(Клиенты_исходные!D612," ",""),"-",""),"+",""),"(",""),")",""))="8","7"&amp;MID(SUBSTITUTE(SUBSTITUTE(SUBSTITUTE(SUBSTITUTE(SUBSTITUTE(Клиенты_исходные!D612," ",""),"-",""),"+",""),"(",""),")",""),2,10),SUBSTITUTE(SUBSTITUTE(SUBSTITUTE(SUBSTITUTE(SUBSTITUTE(Клиенты_исходные!D612," ",""),"-",""),"+",""),"(",""),")","")),10,2),IF(LEN(SUBSTITUTE(SUBSTITUTE(SUBSTITUTE(SUBSTITUTE(SUBSTITUTE(Клиенты_исходные!D612," ",""),"-",""),"+",""),"(",""),")",""))=10,"+7 ("&amp;MID(SUBSTITUTE(SUBSTITUTE(SUBSTITUTE(SUBSTITUTE(SUBSTITUTE(Клиенты_исходные!D612," ",""),"-",""),"+",""),"(",""),")",""),1,3)&amp;") "&amp;MID(SUBSTITUTE(SUBSTITUTE(SUBSTITUTE(SUBSTITUTE(SUBSTITUTE(Клиенты_исходные!D612," ",""),"-",""),"+",""),"(",""),")",""),4,3)&amp;"-"&amp;MID(SUBSTITUTE(SUBSTITUTE(SUBSTITUTE(SUBSTITUTE(SUBSTITUTE(Клиенты_исходные!D612," ",""),"-",""),"+",""),"(",""),")",""),6,2)&amp;"-"&amp;MID(SUBSTITUTE(SUBSTITUTE(SUBSTITUTE(SUBSTITUTE(SUBSTITUTE(Клиенты_исходные!D612," ",""),"-",""),"+",""),"(",""),")",""),8,2),Клиенты_исходные!D612)))</f>
        <v xml:space="preserve">+7 (903) 901-23-45</v>
      </c>
      <c r="E612" t="str">
        <f>IF(ISBLANK(Клиенты_исходные!E612),"",IF(ISNUMBER(FIND(".",MID(Клиенты_исходные!E612,FIND("@",Клиенты_исходные!E612)+1,255))),Клиенты_исходные!E612,IF(ISNUMBER(FIND("gmail",Клиенты_исходные!E612)),Клиенты_исходные!E612&amp;".com",Клиенты_исходные!E612&amp;".ru")))</f>
        <v>klimova@yandex.ru</v>
      </c>
      <c r="F612" t="str">
        <f>IFERROR(VLOOKUP(Клиенты_исходные!F612,Справочники!$J$2:$K$50,2,FALSE),Клиенты_исходные!F612)</f>
        <v>Грозный</v>
      </c>
      <c r="G612" s="8">
        <f>IFERROR(IF(ISNUMBER(FIND(".",Клиенты_исходные!G612)),DATE(RIGHT(Клиенты_исходные!G612,4),MID(Клиенты_исходные!G612,4,2),LEFT(Клиенты_исходные!G612,2)),DATE(LEFT(Клиенты_исходные!G612,4),MID(Клиенты_исходные!G612,6,2),RIGHT(Клиенты_исходные!G612,2))),Клиенты_исходные!G612)</f>
        <v>50749</v>
      </c>
      <c r="H612">
        <f t="shared" ref="H612:H675" ca="1" si="76">DATEDIF(C612,TODAY(),"Y")</f>
        <v>39</v>
      </c>
      <c r="I612" t="str">
        <f t="shared" ref="I612:I675" si="77">IF(OR(H612&lt;18,H612&gt;80),"Ошибка даты рождения","OK")</f>
        <v>OK</v>
      </c>
      <c r="J612" t="str">
        <f t="shared" ref="J612:J675" si="78">IF(AND(ISNUMBER(FIND("@",E612)),ISNUMBER(FIND(".",MID(E612,FIND("@",E612)+1,255)))),"OK","Ошибка Email")</f>
        <v>OK</v>
      </c>
    </row>
    <row r="613">
      <c r="A613" t="str">
        <f>Клиенты_исходные!A613</f>
        <v>C0612</v>
      </c>
      <c r="B613" t="str">
        <f>PROPER(TRIM(Клиенты_исходные!B613))</f>
        <v xml:space="preserve">Сазонов Илья Викторович</v>
      </c>
      <c r="C613" s="8">
        <f>IFERROR(IF(ISNUMBER(FIND(".",Клиенты_исходные!C613)),DATE(RIGHT(Клиенты_исходные!C613,4),MID(Клиенты_исходные!C613,4,2),LEFT(Клиенты_исходные!C613,2)),DATE(LEFT(Клиенты_исходные!C613,4),MID(Клиенты_исходные!C613,6,2),RIGHT(Клиенты_исходные!C613,2))),Клиенты_исходные!C613)</f>
        <v>28051</v>
      </c>
      <c r="D613" t="str">
        <f>IF(ISBLANK(Клиенты_исходные!D613),"",IF(LEN(SUBSTITUTE(SUBSTITUTE(SUBSTITUTE(SUBSTITUTE(SUBSTITUTE(Клиенты_исходные!D613," ",""),"-",""),"+",""),"(",""),")",""))=11,"+7 ("&amp;MID(IF(LEFT(SUBSTITUTE(SUBSTITUTE(SUBSTITUTE(SUBSTITUTE(SUBSTITUTE(Клиенты_исходные!D613," ",""),"-",""),"+",""),"(",""),")",""))="8","7"&amp;MID(SUBSTITUTE(SUBSTITUTE(SUBSTITUTE(SUBSTITUTE(SUBSTITUTE(Клиенты_исходные!D613," ",""),"-",""),"+",""),"(",""),")",""),2,10),SUBSTITUTE(SUBSTITUTE(SUBSTITUTE(SUBSTITUTE(SUBSTITUTE(Клиенты_исходные!D613," ",""),"-",""),"+",""),"(",""),")","")),2,3)&amp;") "&amp;MID(IF(LEFT(SUBSTITUTE(SUBSTITUTE(SUBSTITUTE(SUBSTITUTE(SUBSTITUTE(Клиенты_исходные!D613," ",""),"-",""),"+",""),"(",""),")",""))="8","7"&amp;MID(SUBSTITUTE(SUBSTITUTE(SUBSTITUTE(SUBSTITUTE(SUBSTITUTE(Клиенты_исходные!D613," ",""),"-",""),"+",""),"(",""),")",""),2,10),SUBSTITUTE(SUBSTITUTE(SUBSTITUTE(SUBSTITUTE(SUBSTITUTE(Клиенты_исходные!D613," ",""),"-",""),"+",""),"(",""),")","")),5,3)&amp;"-"&amp;MID(IF(LEFT(SUBSTITUTE(SUBSTITUTE(SUBSTITUTE(SUBSTITUTE(SUBSTITUTE(Клиенты_исходные!D613," ",""),"-",""),"+",""),"(",""),")",""))="8","7"&amp;MID(SUBSTITUTE(SUBSTITUTE(SUBSTITUTE(SUBSTITUTE(SUBSTITUTE(Клиенты_исходные!D613," ",""),"-",""),"+",""),"(",""),")",""),2,10),SUBSTITUTE(SUBSTITUTE(SUBSTITUTE(SUBSTITUTE(SUBSTITUTE(Клиенты_исходные!D613," ",""),"-",""),"+",""),"(",""),")","")),8,2)&amp;"-"&amp;MID(IF(LEFT(SUBSTITUTE(SUBSTITUTE(SUBSTITUTE(SUBSTITUTE(SUBSTITUTE(Клиенты_исходные!D613," ",""),"-",""),"+",""),"(",""),")",""))="8","7"&amp;MID(SUBSTITUTE(SUBSTITUTE(SUBSTITUTE(SUBSTITUTE(SUBSTITUTE(Клиенты_исходные!D613," ",""),"-",""),"+",""),"(",""),")",""),2,10),SUBSTITUTE(SUBSTITUTE(SUBSTITUTE(SUBSTITUTE(SUBSTITUTE(Клиенты_исходные!D613," ",""),"-",""),"+",""),"(",""),")","")),10,2),IF(LEN(SUBSTITUTE(SUBSTITUTE(SUBSTITUTE(SUBSTITUTE(SUBSTITUTE(Клиенты_исходные!D613," ",""),"-",""),"+",""),"(",""),")",""))=10,"+7 ("&amp;MID(SUBSTITUTE(SUBSTITUTE(SUBSTITUTE(SUBSTITUTE(SUBSTITUTE(Клиенты_исходные!D613," ",""),"-",""),"+",""),"(",""),")",""),1,3)&amp;") "&amp;MID(SUBSTITUTE(SUBSTITUTE(SUBSTITUTE(SUBSTITUTE(SUBSTITUTE(Клиенты_исходные!D613," ",""),"-",""),"+",""),"(",""),")",""),4,3)&amp;"-"&amp;MID(SUBSTITUTE(SUBSTITUTE(SUBSTITUTE(SUBSTITUTE(SUBSTITUTE(Клиенты_исходные!D613," ",""),"-",""),"+",""),"(",""),")",""),6,2)&amp;"-"&amp;MID(SUBSTITUTE(SUBSTITUTE(SUBSTITUTE(SUBSTITUTE(SUBSTITUTE(Клиенты_исходные!D613," ",""),"-",""),"+",""),"(",""),")",""),8,2),Клиенты_исходные!D613)))</f>
        <v xml:space="preserve">+7 (903) 012-34-56</v>
      </c>
      <c r="E613" t="str">
        <f>IF(ISBLANK(Клиенты_исходные!E613),"",IF(ISNUMBER(FIND(".",MID(Клиенты_исходные!E613,FIND("@",Клиенты_исходные!E613)+1,255))),Клиенты_исходные!E613,IF(ISNUMBER(FIND("gmail",Клиенты_исходные!E613)),Клиенты_исходные!E613&amp;".com",Клиенты_исходные!E613&amp;".ru")))</f>
        <v>sazonov@gmail.com</v>
      </c>
      <c r="F613" t="str">
        <f>IFERROR(VLOOKUP(Клиенты_исходные!F613,Справочники!$J$2:$K$50,2,FALSE),Клиенты_исходные!F613)</f>
        <v>Бийск</v>
      </c>
      <c r="G613" s="8">
        <f>IFERROR(IF(ISNUMBER(FIND(".",Клиенты_исходные!G613)),DATE(RIGHT(Клиенты_исходные!G613,4),MID(Клиенты_исходные!G613,4,2),LEFT(Клиенты_исходные!G613,2)),DATE(LEFT(Клиенты_исходные!G613,4),MID(Клиенты_исходные!G613,6,2),RIGHT(Клиенты_исходные!G613,2))),Клиенты_исходные!G613)</f>
        <v>50749</v>
      </c>
      <c r="H613">
        <f t="shared" ca="1" si="76"/>
        <v>49</v>
      </c>
      <c r="I613" t="str">
        <f t="shared" si="77"/>
        <v>OK</v>
      </c>
      <c r="J613" t="str">
        <f t="shared" si="78"/>
        <v>OK</v>
      </c>
    </row>
    <row r="614">
      <c r="A614" t="str">
        <f>Клиенты_исходные!A614</f>
        <v>C0613</v>
      </c>
      <c r="B614" t="str">
        <f>PROPER(TRIM(Клиенты_исходные!B614))</f>
        <v xml:space="preserve">Кузина Екатерина Алексеевна</v>
      </c>
      <c r="C614" s="8">
        <f>IFERROR(IF(ISNUMBER(FIND(".",Клиенты_исходные!C614)),DATE(RIGHT(Клиенты_исходные!C614,4),MID(Клиенты_исходные!C614,4,2),LEFT(Клиенты_исходные!C614,2)),DATE(LEFT(Клиенты_исходные!C614,4),MID(Клиенты_исходные!C614,6,2),RIGHT(Клиенты_исходные!C614,2))),Клиенты_исходные!C614)</f>
        <v>29570</v>
      </c>
      <c r="D614" t="str">
        <f>IF(ISBLANK(Клиенты_исходные!D614),"",IF(LEN(SUBSTITUTE(SUBSTITUTE(SUBSTITUTE(SUBSTITUTE(SUBSTITUTE(Клиенты_исходные!D614," ",""),"-",""),"+",""),"(",""),")",""))=11,"+7 ("&amp;MID(IF(LEFT(SUBSTITUTE(SUBSTITUTE(SUBSTITUTE(SUBSTITUTE(SUBSTITUTE(Клиенты_исходные!D614," ",""),"-",""),"+",""),"(",""),")",""))="8","7"&amp;MID(SUBSTITUTE(SUBSTITUTE(SUBSTITUTE(SUBSTITUTE(SUBSTITUTE(Клиенты_исходные!D614," ",""),"-",""),"+",""),"(",""),")",""),2,10),SUBSTITUTE(SUBSTITUTE(SUBSTITUTE(SUBSTITUTE(SUBSTITUTE(Клиенты_исходные!D614," ",""),"-",""),"+",""),"(",""),")","")),2,3)&amp;") "&amp;MID(IF(LEFT(SUBSTITUTE(SUBSTITUTE(SUBSTITUTE(SUBSTITUTE(SUBSTITUTE(Клиенты_исходные!D614," ",""),"-",""),"+",""),"(",""),")",""))="8","7"&amp;MID(SUBSTITUTE(SUBSTITUTE(SUBSTITUTE(SUBSTITUTE(SUBSTITUTE(Клиенты_исходные!D614," ",""),"-",""),"+",""),"(",""),")",""),2,10),SUBSTITUTE(SUBSTITUTE(SUBSTITUTE(SUBSTITUTE(SUBSTITUTE(Клиенты_исходные!D614," ",""),"-",""),"+",""),"(",""),")","")),5,3)&amp;"-"&amp;MID(IF(LEFT(SUBSTITUTE(SUBSTITUTE(SUBSTITUTE(SUBSTITUTE(SUBSTITUTE(Клиенты_исходные!D614," ",""),"-",""),"+",""),"(",""),")",""))="8","7"&amp;MID(SUBSTITUTE(SUBSTITUTE(SUBSTITUTE(SUBSTITUTE(SUBSTITUTE(Клиенты_исходные!D614," ",""),"-",""),"+",""),"(",""),")",""),2,10),SUBSTITUTE(SUBSTITUTE(SUBSTITUTE(SUBSTITUTE(SUBSTITUTE(Клиенты_исходные!D614," ",""),"-",""),"+",""),"(",""),")","")),8,2)&amp;"-"&amp;MID(IF(LEFT(SUBSTITUTE(SUBSTITUTE(SUBSTITUTE(SUBSTITUTE(SUBSTITUTE(Клиенты_исходные!D614," ",""),"-",""),"+",""),"(",""),")",""))="8","7"&amp;MID(SUBSTITUTE(SUBSTITUTE(SUBSTITUTE(SUBSTITUTE(SUBSTITUTE(Клиенты_исходные!D614," ",""),"-",""),"+",""),"(",""),")",""),2,10),SUBSTITUTE(SUBSTITUTE(SUBSTITUTE(SUBSTITUTE(SUBSTITUTE(Клиенты_исходные!D614," ",""),"-",""),"+",""),"(",""),")","")),10,2),IF(LEN(SUBSTITUTE(SUBSTITUTE(SUBSTITUTE(SUBSTITUTE(SUBSTITUTE(Клиенты_исходные!D614," ",""),"-",""),"+",""),"(",""),")",""))=10,"+7 ("&amp;MID(SUBSTITUTE(SUBSTITUTE(SUBSTITUTE(SUBSTITUTE(SUBSTITUTE(Клиенты_исходные!D614," ",""),"-",""),"+",""),"(",""),")",""),1,3)&amp;") "&amp;MID(SUBSTITUTE(SUBSTITUTE(SUBSTITUTE(SUBSTITUTE(SUBSTITUTE(Клиенты_исходные!D614," ",""),"-",""),"+",""),"(",""),")",""),4,3)&amp;"-"&amp;MID(SUBSTITUTE(SUBSTITUTE(SUBSTITUTE(SUBSTITUTE(SUBSTITUTE(Клиенты_исходные!D614," ",""),"-",""),"+",""),"(",""),")",""),6,2)&amp;"-"&amp;MID(SUBSTITUTE(SUBSTITUTE(SUBSTITUTE(SUBSTITUTE(SUBSTITUTE(Клиенты_исходные!D614," ",""),"-",""),"+",""),"(",""),")",""),8,2),Клиенты_исходные!D614)))</f>
        <v xml:space="preserve">+7 (903) 012-34-56</v>
      </c>
      <c r="E614" t="str">
        <f>IF(ISBLANK(Клиенты_исходные!E614),"",IF(ISNUMBER(FIND(".",MID(Клиенты_исходные!E614,FIND("@",Клиенты_исходные!E614)+1,255))),Клиенты_исходные!E614,IF(ISNUMBER(FIND("gmail",Клиенты_исходные!E614)),Клиенты_исходные!E614&amp;".com",Клиенты_исходные!E614&amp;".ru")))</f>
        <v>kuzina@mail.ru</v>
      </c>
      <c r="F614" t="str">
        <f>IFERROR(VLOOKUP(Клиенты_исходные!F614,Справочники!$J$2:$K$50,2,FALSE),Клиенты_исходные!F614)</f>
        <v>Йошкар-Ола</v>
      </c>
      <c r="G614" s="8">
        <f>IFERROR(IF(ISNUMBER(FIND(".",Клиенты_исходные!G614)),DATE(RIGHT(Клиенты_исходные!G614,4),MID(Клиенты_исходные!G614,4,2),LEFT(Клиенты_исходные!G614,2)),DATE(LEFT(Клиенты_исходные!G614,4),MID(Клиенты_исходные!G614,6,2),RIGHT(Клиенты_исходные!G614,2))),Клиенты_исходные!G614)</f>
        <v>50771</v>
      </c>
      <c r="H614">
        <f t="shared" ca="1" si="76"/>
        <v>45</v>
      </c>
      <c r="I614" t="str">
        <f t="shared" si="77"/>
        <v>OK</v>
      </c>
      <c r="J614" t="str">
        <f t="shared" si="78"/>
        <v>OK</v>
      </c>
    </row>
    <row r="615">
      <c r="A615" t="str">
        <f>Клиенты_исходные!A615</f>
        <v>C0614</v>
      </c>
      <c r="B615" t="str">
        <f>PROPER(TRIM(Клиенты_исходные!B615))</f>
        <v xml:space="preserve">Самойлов Андрей Олегович</v>
      </c>
      <c r="C615" s="8">
        <f>IFERROR(IF(ISNUMBER(FIND(".",Клиенты_исходные!C615)),DATE(RIGHT(Клиенты_исходные!C615,4),MID(Клиенты_исходные!C615,4,2),LEFT(Клиенты_исходные!C615,2)),DATE(LEFT(Клиенты_исходные!C615,4),MID(Клиенты_исходные!C615,6,2),RIGHT(Клиенты_исходные!C615,2))),Клиенты_исходные!C615)</f>
        <v>31221</v>
      </c>
      <c r="D615" t="str">
        <f>IF(ISBLANK(Клиенты_исходные!D615),"",IF(LEN(SUBSTITUTE(SUBSTITUTE(SUBSTITUTE(SUBSTITUTE(SUBSTITUTE(Клиенты_исходные!D615," ",""),"-",""),"+",""),"(",""),")",""))=11,"+7 ("&amp;MID(IF(LEFT(SUBSTITUTE(SUBSTITUTE(SUBSTITUTE(SUBSTITUTE(SUBSTITUTE(Клиенты_исходные!D615," ",""),"-",""),"+",""),"(",""),")",""))="8","7"&amp;MID(SUBSTITUTE(SUBSTITUTE(SUBSTITUTE(SUBSTITUTE(SUBSTITUTE(Клиенты_исходные!D615," ",""),"-",""),"+",""),"(",""),")",""),2,10),SUBSTITUTE(SUBSTITUTE(SUBSTITUTE(SUBSTITUTE(SUBSTITUTE(Клиенты_исходные!D615," ",""),"-",""),"+",""),"(",""),")","")),2,3)&amp;") "&amp;MID(IF(LEFT(SUBSTITUTE(SUBSTITUTE(SUBSTITUTE(SUBSTITUTE(SUBSTITUTE(Клиенты_исходные!D615," ",""),"-",""),"+",""),"(",""),")",""))="8","7"&amp;MID(SUBSTITUTE(SUBSTITUTE(SUBSTITUTE(SUBSTITUTE(SUBSTITUTE(Клиенты_исходные!D615," ",""),"-",""),"+",""),"(",""),")",""),2,10),SUBSTITUTE(SUBSTITUTE(SUBSTITUTE(SUBSTITUTE(SUBSTITUTE(Клиенты_исходные!D615," ",""),"-",""),"+",""),"(",""),")","")),5,3)&amp;"-"&amp;MID(IF(LEFT(SUBSTITUTE(SUBSTITUTE(SUBSTITUTE(SUBSTITUTE(SUBSTITUTE(Клиенты_исходные!D615," ",""),"-",""),"+",""),"(",""),")",""))="8","7"&amp;MID(SUBSTITUTE(SUBSTITUTE(SUBSTITUTE(SUBSTITUTE(SUBSTITUTE(Клиенты_исходные!D615," ",""),"-",""),"+",""),"(",""),")",""),2,10),SUBSTITUTE(SUBSTITUTE(SUBSTITUTE(SUBSTITUTE(SUBSTITUTE(Клиенты_исходные!D615," ",""),"-",""),"+",""),"(",""),")","")),8,2)&amp;"-"&amp;MID(IF(LEFT(SUBSTITUTE(SUBSTITUTE(SUBSTITUTE(SUBSTITUTE(SUBSTITUTE(Клиенты_исходные!D615," ",""),"-",""),"+",""),"(",""),")",""))="8","7"&amp;MID(SUBSTITUTE(SUBSTITUTE(SUBSTITUTE(SUBSTITUTE(SUBSTITUTE(Клиенты_исходные!D615," ",""),"-",""),"+",""),"(",""),")",""),2,10),SUBSTITUTE(SUBSTITUTE(SUBSTITUTE(SUBSTITUTE(SUBSTITUTE(Клиенты_исходные!D615," ",""),"-",""),"+",""),"(",""),")","")),10,2),IF(LEN(SUBSTITUTE(SUBSTITUTE(SUBSTITUTE(SUBSTITUTE(SUBSTITUTE(Клиенты_исходные!D615," ",""),"-",""),"+",""),"(",""),")",""))=10,"+7 ("&amp;MID(SUBSTITUTE(SUBSTITUTE(SUBSTITUTE(SUBSTITUTE(SUBSTITUTE(Клиенты_исходные!D615," ",""),"-",""),"+",""),"(",""),")",""),1,3)&amp;") "&amp;MID(SUBSTITUTE(SUBSTITUTE(SUBSTITUTE(SUBSTITUTE(SUBSTITUTE(Клиенты_исходные!D615," ",""),"-",""),"+",""),"(",""),")",""),4,3)&amp;"-"&amp;MID(SUBSTITUTE(SUBSTITUTE(SUBSTITUTE(SUBSTITUTE(SUBSTITUTE(Клиенты_исходные!D615," ",""),"-",""),"+",""),"(",""),")",""),6,2)&amp;"-"&amp;MID(SUBSTITUTE(SUBSTITUTE(SUBSTITUTE(SUBSTITUTE(SUBSTITUTE(Клиенты_исходные!D615," ",""),"-",""),"+",""),"(",""),")",""),8,2),Клиенты_исходные!D615)))</f>
        <v xml:space="preserve">+7 (903) 012-34-56</v>
      </c>
      <c r="E615" t="str">
        <f>IF(ISBLANK(Клиенты_исходные!E615),"",IF(ISNUMBER(FIND(".",MID(Клиенты_исходные!E615,FIND("@",Клиенты_исходные!E615)+1,255))),Клиенты_исходные!E615,IF(ISNUMBER(FIND("gmail",Клиенты_исходные!E615)),Клиенты_исходные!E615&amp;".com",Клиенты_исходные!E615&amp;".ru")))</f>
        <v>samoylov@yandex.ru</v>
      </c>
      <c r="F615" t="str">
        <f>IFERROR(VLOOKUP(Клиенты_исходные!F615,Справочники!$J$2:$K$50,2,FALSE),Клиенты_исходные!F615)</f>
        <v>Курган</v>
      </c>
      <c r="G615" s="8">
        <f>IFERROR(IF(ISNUMBER(FIND(".",Клиенты_исходные!G615)),DATE(RIGHT(Клиенты_исходные!G615,4),MID(Клиенты_исходные!G615,4,2),LEFT(Клиенты_исходные!G615,2)),DATE(LEFT(Клиенты_исходные!G615,4),MID(Клиенты_исходные!G615,6,2),RIGHT(Клиенты_исходные!G615,2))),Клиенты_исходные!G615)</f>
        <v>50785</v>
      </c>
      <c r="H615">
        <f t="shared" ca="1" si="76"/>
        <v>41</v>
      </c>
      <c r="I615" t="str">
        <f t="shared" si="77"/>
        <v>OK</v>
      </c>
      <c r="J615" t="str">
        <f t="shared" si="78"/>
        <v>OK</v>
      </c>
    </row>
    <row r="616">
      <c r="A616" t="str">
        <f>Клиенты_исходные!A616</f>
        <v>C0615</v>
      </c>
      <c r="B616" t="str">
        <f>PROPER(TRIM(Клиенты_исходные!B616))</f>
        <v xml:space="preserve">Трофимова Мария Павловна</v>
      </c>
      <c r="C616" s="8">
        <f>IFERROR(IF(ISNUMBER(FIND(".",Клиенты_исходные!C616)),DATE(RIGHT(Клиенты_исходные!C616,4),MID(Клиенты_исходные!C616,4,2),LEFT(Клиенты_исходные!C616,2)),DATE(LEFT(Клиенты_исходные!C616,4),MID(Клиенты_исходные!C616,6,2),RIGHT(Клиенты_исходные!C616,2))),Клиенты_исходные!C616)</f>
        <v>28871</v>
      </c>
      <c r="D616" t="str">
        <f>IF(ISBLANK(Клиенты_исходные!D616),"",IF(LEN(SUBSTITUTE(SUBSTITUTE(SUBSTITUTE(SUBSTITUTE(SUBSTITUTE(Клиенты_исходные!D616," ",""),"-",""),"+",""),"(",""),")",""))=11,"+7 ("&amp;MID(IF(LEFT(SUBSTITUTE(SUBSTITUTE(SUBSTITUTE(SUBSTITUTE(SUBSTITUTE(Клиенты_исходные!D616," ",""),"-",""),"+",""),"(",""),")",""))="8","7"&amp;MID(SUBSTITUTE(SUBSTITUTE(SUBSTITUTE(SUBSTITUTE(SUBSTITUTE(Клиенты_исходные!D616," ",""),"-",""),"+",""),"(",""),")",""),2,10),SUBSTITUTE(SUBSTITUTE(SUBSTITUTE(SUBSTITUTE(SUBSTITUTE(Клиенты_исходные!D616," ",""),"-",""),"+",""),"(",""),")","")),2,3)&amp;") "&amp;MID(IF(LEFT(SUBSTITUTE(SUBSTITUTE(SUBSTITUTE(SUBSTITUTE(SUBSTITUTE(Клиенты_исходные!D616," ",""),"-",""),"+",""),"(",""),")",""))="8","7"&amp;MID(SUBSTITUTE(SUBSTITUTE(SUBSTITUTE(SUBSTITUTE(SUBSTITUTE(Клиенты_исходные!D616," ",""),"-",""),"+",""),"(",""),")",""),2,10),SUBSTITUTE(SUBSTITUTE(SUBSTITUTE(SUBSTITUTE(SUBSTITUTE(Клиенты_исходные!D616," ",""),"-",""),"+",""),"(",""),")","")),5,3)&amp;"-"&amp;MID(IF(LEFT(SUBSTITUTE(SUBSTITUTE(SUBSTITUTE(SUBSTITUTE(SUBSTITUTE(Клиенты_исходные!D616," ",""),"-",""),"+",""),"(",""),")",""))="8","7"&amp;MID(SUBSTITUTE(SUBSTITUTE(SUBSTITUTE(SUBSTITUTE(SUBSTITUTE(Клиенты_исходные!D616," ",""),"-",""),"+",""),"(",""),")",""),2,10),SUBSTITUTE(SUBSTITUTE(SUBSTITUTE(SUBSTITUTE(SUBSTITUTE(Клиенты_исходные!D616," ",""),"-",""),"+",""),"(",""),")","")),8,2)&amp;"-"&amp;MID(IF(LEFT(SUBSTITUTE(SUBSTITUTE(SUBSTITUTE(SUBSTITUTE(SUBSTITUTE(Клиенты_исходные!D616," ",""),"-",""),"+",""),"(",""),")",""))="8","7"&amp;MID(SUBSTITUTE(SUBSTITUTE(SUBSTITUTE(SUBSTITUTE(SUBSTITUTE(Клиенты_исходные!D616," ",""),"-",""),"+",""),"(",""),")",""),2,10),SUBSTITUTE(SUBSTITUTE(SUBSTITUTE(SUBSTITUTE(SUBSTITUTE(Клиенты_исходные!D616," ",""),"-",""),"+",""),"(",""),")","")),10,2),IF(LEN(SUBSTITUTE(SUBSTITUTE(SUBSTITUTE(SUBSTITUTE(SUBSTITUTE(Клиенты_исходные!D616," ",""),"-",""),"+",""),"(",""),")",""))=10,"+7 ("&amp;MID(SUBSTITUTE(SUBSTITUTE(SUBSTITUTE(SUBSTITUTE(SUBSTITUTE(Клиенты_исходные!D616," ",""),"-",""),"+",""),"(",""),")",""),1,3)&amp;") "&amp;MID(SUBSTITUTE(SUBSTITUTE(SUBSTITUTE(SUBSTITUTE(SUBSTITUTE(Клиенты_исходные!D616," ",""),"-",""),"+",""),"(",""),")",""),4,3)&amp;"-"&amp;MID(SUBSTITUTE(SUBSTITUTE(SUBSTITUTE(SUBSTITUTE(SUBSTITUTE(Клиенты_исходные!D616," ",""),"-",""),"+",""),"(",""),")",""),6,2)&amp;"-"&amp;MID(SUBSTITUTE(SUBSTITUTE(SUBSTITUTE(SUBSTITUTE(SUBSTITUTE(Клиенты_исходные!D616," ",""),"-",""),"+",""),"(",""),")",""),8,2),Клиенты_исходные!D616)))</f>
        <v xml:space="preserve">+7 (903) 123-45-67</v>
      </c>
      <c r="E616" t="str">
        <f>IF(ISBLANK(Клиенты_исходные!E616),"",IF(ISNUMBER(FIND(".",MID(Клиенты_исходные!E616,FIND("@",Клиенты_исходные!E616)+1,255))),Клиенты_исходные!E616,IF(ISNUMBER(FIND("gmail",Клиенты_исходные!E616)),Клиенты_исходные!E616&amp;".com",Клиенты_исходные!E616&amp;".ru")))</f>
        <v>trofimova@gmail.com</v>
      </c>
      <c r="F616" t="str">
        <f>IFERROR(VLOOKUP(Клиенты_исходные!F616,Справочники!$J$2:$K$50,2,FALSE),Клиенты_исходные!F616)</f>
        <v>Архангельск</v>
      </c>
      <c r="G616" s="8">
        <f>IFERROR(IF(ISNUMBER(FIND(".",Клиенты_исходные!G616)),DATE(RIGHT(Клиенты_исходные!G616,4),MID(Клиенты_исходные!G616,4,2),LEFT(Клиенты_исходные!G616,2)),DATE(LEFT(Клиенты_исходные!G616,4),MID(Клиенты_исходные!G616,6,2),RIGHT(Клиенты_исходные!G616,2))),Клиенты_исходные!G616)</f>
        <v>50785</v>
      </c>
      <c r="H616">
        <f t="shared" ca="1" si="76"/>
        <v>47</v>
      </c>
      <c r="I616" t="str">
        <f t="shared" si="77"/>
        <v>OK</v>
      </c>
      <c r="J616" t="str">
        <f t="shared" si="78"/>
        <v>OK</v>
      </c>
    </row>
    <row r="617">
      <c r="A617" t="str">
        <f>Клиенты_исходные!A617</f>
        <v>C0616</v>
      </c>
      <c r="B617" t="str">
        <f>PROPER(TRIM(Клиенты_исходные!B617))</f>
        <v xml:space="preserve">Власов Денис Сергеевич</v>
      </c>
      <c r="C617" s="8">
        <f>IFERROR(IF(ISNUMBER(FIND(".",Клиенты_исходные!C617)),DATE(RIGHT(Клиенты_исходные!C617,4),MID(Клиенты_исходные!C617,4,2),LEFT(Клиенты_исходные!C617,2)),DATE(LEFT(Клиенты_исходные!C617,4),MID(Клиенты_исходные!C617,6,2),RIGHT(Клиенты_исходные!C617,2))),Клиенты_исходные!C617)</f>
        <v>30769</v>
      </c>
      <c r="D617" t="str">
        <f>IF(ISBLANK(Клиенты_исходные!D617),"",IF(LEN(SUBSTITUTE(SUBSTITUTE(SUBSTITUTE(SUBSTITUTE(SUBSTITUTE(Клиенты_исходные!D617," ",""),"-",""),"+",""),"(",""),")",""))=11,"+7 ("&amp;MID(IF(LEFT(SUBSTITUTE(SUBSTITUTE(SUBSTITUTE(SUBSTITUTE(SUBSTITUTE(Клиенты_исходные!D617," ",""),"-",""),"+",""),"(",""),")",""))="8","7"&amp;MID(SUBSTITUTE(SUBSTITUTE(SUBSTITUTE(SUBSTITUTE(SUBSTITUTE(Клиенты_исходные!D617," ",""),"-",""),"+",""),"(",""),")",""),2,10),SUBSTITUTE(SUBSTITUTE(SUBSTITUTE(SUBSTITUTE(SUBSTITUTE(Клиенты_исходные!D617," ",""),"-",""),"+",""),"(",""),")","")),2,3)&amp;") "&amp;MID(IF(LEFT(SUBSTITUTE(SUBSTITUTE(SUBSTITUTE(SUBSTITUTE(SUBSTITUTE(Клиенты_исходные!D617," ",""),"-",""),"+",""),"(",""),")",""))="8","7"&amp;MID(SUBSTITUTE(SUBSTITUTE(SUBSTITUTE(SUBSTITUTE(SUBSTITUTE(Клиенты_исходные!D617," ",""),"-",""),"+",""),"(",""),")",""),2,10),SUBSTITUTE(SUBSTITUTE(SUBSTITUTE(SUBSTITUTE(SUBSTITUTE(Клиенты_исходные!D617," ",""),"-",""),"+",""),"(",""),")","")),5,3)&amp;"-"&amp;MID(IF(LEFT(SUBSTITUTE(SUBSTITUTE(SUBSTITUTE(SUBSTITUTE(SUBSTITUTE(Клиенты_исходные!D617," ",""),"-",""),"+",""),"(",""),")",""))="8","7"&amp;MID(SUBSTITUTE(SUBSTITUTE(SUBSTITUTE(SUBSTITUTE(SUBSTITUTE(Клиенты_исходные!D617," ",""),"-",""),"+",""),"(",""),")",""),2,10),SUBSTITUTE(SUBSTITUTE(SUBSTITUTE(SUBSTITUTE(SUBSTITUTE(Клиенты_исходные!D617," ",""),"-",""),"+",""),"(",""),")","")),8,2)&amp;"-"&amp;MID(IF(LEFT(SUBSTITUTE(SUBSTITUTE(SUBSTITUTE(SUBSTITUTE(SUBSTITUTE(Клиенты_исходные!D617," ",""),"-",""),"+",""),"(",""),")",""))="8","7"&amp;MID(SUBSTITUTE(SUBSTITUTE(SUBSTITUTE(SUBSTITUTE(SUBSTITUTE(Клиенты_исходные!D617," ",""),"-",""),"+",""),"(",""),")",""),2,10),SUBSTITUTE(SUBSTITUTE(SUBSTITUTE(SUBSTITUTE(SUBSTITUTE(Клиенты_исходные!D617," ",""),"-",""),"+",""),"(",""),")","")),10,2),IF(LEN(SUBSTITUTE(SUBSTITUTE(SUBSTITUTE(SUBSTITUTE(SUBSTITUTE(Клиенты_исходные!D617," ",""),"-",""),"+",""),"(",""),")",""))=10,"+7 ("&amp;MID(SUBSTITUTE(SUBSTITUTE(SUBSTITUTE(SUBSTITUTE(SUBSTITUTE(Клиенты_исходные!D617," ",""),"-",""),"+",""),"(",""),")",""),1,3)&amp;") "&amp;MID(SUBSTITUTE(SUBSTITUTE(SUBSTITUTE(SUBSTITUTE(SUBSTITUTE(Клиенты_исходные!D617," ",""),"-",""),"+",""),"(",""),")",""),4,3)&amp;"-"&amp;MID(SUBSTITUTE(SUBSTITUTE(SUBSTITUTE(SUBSTITUTE(SUBSTITUTE(Клиенты_исходные!D617," ",""),"-",""),"+",""),"(",""),")",""),6,2)&amp;"-"&amp;MID(SUBSTITUTE(SUBSTITUTE(SUBSTITUTE(SUBSTITUTE(SUBSTITUTE(Клиенты_исходные!D617," ",""),"-",""),"+",""),"(",""),")",""),8,2),Клиенты_исходные!D617)))</f>
        <v xml:space="preserve">+7 (903) 123-45-67</v>
      </c>
      <c r="E617" t="str">
        <f>IF(ISBLANK(Клиенты_исходные!E617),"",IF(ISNUMBER(FIND(".",MID(Клиенты_исходные!E617,FIND("@",Клиенты_исходные!E617)+1,255))),Клиенты_исходные!E617,IF(ISNUMBER(FIND("gmail",Клиенты_исходные!E617)),Клиенты_исходные!E617&amp;".com",Клиенты_исходные!E617&amp;".ru")))</f>
        <v>vlasov@mail.ru</v>
      </c>
      <c r="F617" t="str">
        <f>IFERROR(VLOOKUP(Клиенты_исходные!F617,Справочники!$J$2:$K$50,2,FALSE),Клиенты_исходные!F617)</f>
        <v>Благовещенск</v>
      </c>
      <c r="G617" s="8">
        <f>IFERROR(IF(ISNUMBER(FIND(".",Клиенты_исходные!G617)),DATE(RIGHT(Клиенты_исходные!G617,4),MID(Клиенты_исходные!G617,4,2),LEFT(Клиенты_исходные!G617,2)),DATE(LEFT(Клиенты_исходные!G617,4),MID(Клиенты_исходные!G617,6,2),RIGHT(Клиенты_исходные!G617,2))),Клиенты_исходные!G617)</f>
        <v>50802</v>
      </c>
      <c r="H617">
        <f t="shared" ca="1" si="76"/>
        <v>42</v>
      </c>
      <c r="I617" t="str">
        <f t="shared" si="77"/>
        <v>OK</v>
      </c>
      <c r="J617" t="str">
        <f t="shared" si="78"/>
        <v>OK</v>
      </c>
    </row>
    <row r="618">
      <c r="A618" t="str">
        <f>Клиенты_исходные!A618</f>
        <v>C0617</v>
      </c>
      <c r="B618" t="str">
        <f>PROPER(TRIM(Клиенты_исходные!B618))</f>
        <v xml:space="preserve">Андреева Ольга Владимировна</v>
      </c>
      <c r="C618" s="8">
        <f>IFERROR(IF(ISNUMBER(FIND(".",Клиенты_исходные!C618)),DATE(RIGHT(Клиенты_исходные!C618,4),MID(Клиенты_исходные!C618,4,2),LEFT(Клиенты_исходные!C618,2)),DATE(LEFT(Клиенты_исходные!C618,4),MID(Клиенты_исходные!C618,6,2),RIGHT(Клиенты_исходные!C618,2))),Клиенты_исходные!C618)</f>
        <v>33061</v>
      </c>
      <c r="D618" t="str">
        <f>IF(ISBLANK(Клиенты_исходные!D618),"",IF(LEN(SUBSTITUTE(SUBSTITUTE(SUBSTITUTE(SUBSTITUTE(SUBSTITUTE(Клиенты_исходные!D618," ",""),"-",""),"+",""),"(",""),")",""))=11,"+7 ("&amp;MID(IF(LEFT(SUBSTITUTE(SUBSTITUTE(SUBSTITUTE(SUBSTITUTE(SUBSTITUTE(Клиенты_исходные!D618," ",""),"-",""),"+",""),"(",""),")",""))="8","7"&amp;MID(SUBSTITUTE(SUBSTITUTE(SUBSTITUTE(SUBSTITUTE(SUBSTITUTE(Клиенты_исходные!D618," ",""),"-",""),"+",""),"(",""),")",""),2,10),SUBSTITUTE(SUBSTITUTE(SUBSTITUTE(SUBSTITUTE(SUBSTITUTE(Клиенты_исходные!D618," ",""),"-",""),"+",""),"(",""),")","")),2,3)&amp;") "&amp;MID(IF(LEFT(SUBSTITUTE(SUBSTITUTE(SUBSTITUTE(SUBSTITUTE(SUBSTITUTE(Клиенты_исходные!D618," ",""),"-",""),"+",""),"(",""),")",""))="8","7"&amp;MID(SUBSTITUTE(SUBSTITUTE(SUBSTITUTE(SUBSTITUTE(SUBSTITUTE(Клиенты_исходные!D618," ",""),"-",""),"+",""),"(",""),")",""),2,10),SUBSTITUTE(SUBSTITUTE(SUBSTITUTE(SUBSTITUTE(SUBSTITUTE(Клиенты_исходные!D618," ",""),"-",""),"+",""),"(",""),")","")),5,3)&amp;"-"&amp;MID(IF(LEFT(SUBSTITUTE(SUBSTITUTE(SUBSTITUTE(SUBSTITUTE(SUBSTITUTE(Клиенты_исходные!D618," ",""),"-",""),"+",""),"(",""),")",""))="8","7"&amp;MID(SUBSTITUTE(SUBSTITUTE(SUBSTITUTE(SUBSTITUTE(SUBSTITUTE(Клиенты_исходные!D618," ",""),"-",""),"+",""),"(",""),")",""),2,10),SUBSTITUTE(SUBSTITUTE(SUBSTITUTE(SUBSTITUTE(SUBSTITUTE(Клиенты_исходные!D618," ",""),"-",""),"+",""),"(",""),")","")),8,2)&amp;"-"&amp;MID(IF(LEFT(SUBSTITUTE(SUBSTITUTE(SUBSTITUTE(SUBSTITUTE(SUBSTITUTE(Клиенты_исходные!D618," ",""),"-",""),"+",""),"(",""),")",""))="8","7"&amp;MID(SUBSTITUTE(SUBSTITUTE(SUBSTITUTE(SUBSTITUTE(SUBSTITUTE(Клиенты_исходные!D618," ",""),"-",""),"+",""),"(",""),")",""),2,10),SUBSTITUTE(SUBSTITUTE(SUBSTITUTE(SUBSTITUTE(SUBSTITUTE(Клиенты_исходные!D618," ",""),"-",""),"+",""),"(",""),")","")),10,2),IF(LEN(SUBSTITUTE(SUBSTITUTE(SUBSTITUTE(SUBSTITUTE(SUBSTITUTE(Клиенты_исходные!D618," ",""),"-",""),"+",""),"(",""),")",""))=10,"+7 ("&amp;MID(SUBSTITUTE(SUBSTITUTE(SUBSTITUTE(SUBSTITUTE(SUBSTITUTE(Клиенты_исходные!D618," ",""),"-",""),"+",""),"(",""),")",""),1,3)&amp;") "&amp;MID(SUBSTITUTE(SUBSTITUTE(SUBSTITUTE(SUBSTITUTE(SUBSTITUTE(Клиенты_исходные!D618," ",""),"-",""),"+",""),"(",""),")",""),4,3)&amp;"-"&amp;MID(SUBSTITUTE(SUBSTITUTE(SUBSTITUTE(SUBSTITUTE(SUBSTITUTE(Клиенты_исходные!D618," ",""),"-",""),"+",""),"(",""),")",""),6,2)&amp;"-"&amp;MID(SUBSTITUTE(SUBSTITUTE(SUBSTITUTE(SUBSTITUTE(SUBSTITUTE(Клиенты_исходные!D618," ",""),"-",""),"+",""),"(",""),")",""),8,2),Клиенты_исходные!D618)))</f>
        <v xml:space="preserve">+7 (903) 123-45-67</v>
      </c>
      <c r="E618" t="str">
        <f>IF(ISBLANK(Клиенты_исходные!E618),"",IF(ISNUMBER(FIND(".",MID(Клиенты_исходные!E618,FIND("@",Клиенты_исходные!E618)+1,255))),Клиенты_исходные!E618,IF(ISNUMBER(FIND("gmail",Клиенты_исходные!E618)),Клиенты_исходные!E618&amp;".com",Клиенты_исходные!E618&amp;".ru")))</f>
        <v>andreeva@yandex.ru</v>
      </c>
      <c r="F618" t="str">
        <f>IFERROR(VLOOKUP(Клиенты_исходные!F618,Справочники!$J$2:$K$50,2,FALSE),Клиенты_исходные!F618)</f>
        <v>Майкоп</v>
      </c>
      <c r="G618" s="8">
        <f>IFERROR(IF(ISNUMBER(FIND(".",Клиенты_исходные!G618)),DATE(RIGHT(Клиенты_исходные!G618,4),MID(Клиенты_исходные!G618,4,2),LEFT(Клиенты_исходные!G618,2)),DATE(LEFT(Клиенты_исходные!G618,4),MID(Клиенты_исходные!G618,6,2),RIGHT(Клиенты_исходные!G618,2))),Клиенты_исходные!G618)</f>
        <v>50811</v>
      </c>
      <c r="H618">
        <f t="shared" ca="1" si="76"/>
        <v>36</v>
      </c>
      <c r="I618" t="str">
        <f t="shared" si="77"/>
        <v>OK</v>
      </c>
      <c r="J618" t="str">
        <f t="shared" si="78"/>
        <v>OK</v>
      </c>
    </row>
    <row r="619">
      <c r="A619" t="str">
        <f>Клиенты_исходные!A619</f>
        <v>C0618</v>
      </c>
      <c r="B619" t="str">
        <f>PROPER(TRIM(Клиенты_исходные!B619))</f>
        <v xml:space="preserve">Плотников Илья Александрович</v>
      </c>
      <c r="C619" s="8">
        <f>IFERROR(IF(ISNUMBER(FIND(".",Клиенты_исходные!C619)),DATE(RIGHT(Клиенты_исходные!C619,4),MID(Клиенты_исходные!C619,4,2),LEFT(Клиенты_исходные!C619,2)),DATE(LEFT(Клиенты_исходные!C619,4),MID(Клиенты_исходные!C619,6,2),RIGHT(Клиенты_исходные!C619,2))),Клиенты_исходные!C619)</f>
        <v>26956</v>
      </c>
      <c r="D619" t="str">
        <f>IF(ISBLANK(Клиенты_исходные!D619),"",IF(LEN(SUBSTITUTE(SUBSTITUTE(SUBSTITUTE(SUBSTITUTE(SUBSTITUTE(Клиенты_исходные!D619," ",""),"-",""),"+",""),"(",""),")",""))=11,"+7 ("&amp;MID(IF(LEFT(SUBSTITUTE(SUBSTITUTE(SUBSTITUTE(SUBSTITUTE(SUBSTITUTE(Клиенты_исходные!D619," ",""),"-",""),"+",""),"(",""),")",""))="8","7"&amp;MID(SUBSTITUTE(SUBSTITUTE(SUBSTITUTE(SUBSTITUTE(SUBSTITUTE(Клиенты_исходные!D619," ",""),"-",""),"+",""),"(",""),")",""),2,10),SUBSTITUTE(SUBSTITUTE(SUBSTITUTE(SUBSTITUTE(SUBSTITUTE(Клиенты_исходные!D619," ",""),"-",""),"+",""),"(",""),")","")),2,3)&amp;") "&amp;MID(IF(LEFT(SUBSTITUTE(SUBSTITUTE(SUBSTITUTE(SUBSTITUTE(SUBSTITUTE(Клиенты_исходные!D619," ",""),"-",""),"+",""),"(",""),")",""))="8","7"&amp;MID(SUBSTITUTE(SUBSTITUTE(SUBSTITUTE(SUBSTITUTE(SUBSTITUTE(Клиенты_исходные!D619," ",""),"-",""),"+",""),"(",""),")",""),2,10),SUBSTITUTE(SUBSTITUTE(SUBSTITUTE(SUBSTITUTE(SUBSTITUTE(Клиенты_исходные!D619," ",""),"-",""),"+",""),"(",""),")","")),5,3)&amp;"-"&amp;MID(IF(LEFT(SUBSTITUTE(SUBSTITUTE(SUBSTITUTE(SUBSTITUTE(SUBSTITUTE(Клиенты_исходные!D619," ",""),"-",""),"+",""),"(",""),")",""))="8","7"&amp;MID(SUBSTITUTE(SUBSTITUTE(SUBSTITUTE(SUBSTITUTE(SUBSTITUTE(Клиенты_исходные!D619," ",""),"-",""),"+",""),"(",""),")",""),2,10),SUBSTITUTE(SUBSTITUTE(SUBSTITUTE(SUBSTITUTE(SUBSTITUTE(Клиенты_исходные!D619," ",""),"-",""),"+",""),"(",""),")","")),8,2)&amp;"-"&amp;MID(IF(LEFT(SUBSTITUTE(SUBSTITUTE(SUBSTITUTE(SUBSTITUTE(SUBSTITUTE(Клиенты_исходные!D619," ",""),"-",""),"+",""),"(",""),")",""))="8","7"&amp;MID(SUBSTITUTE(SUBSTITUTE(SUBSTITUTE(SUBSTITUTE(SUBSTITUTE(Клиенты_исходные!D619," ",""),"-",""),"+",""),"(",""),")",""),2,10),SUBSTITUTE(SUBSTITUTE(SUBSTITUTE(SUBSTITUTE(SUBSTITUTE(Клиенты_исходные!D619," ",""),"-",""),"+",""),"(",""),")","")),10,2),IF(LEN(SUBSTITUTE(SUBSTITUTE(SUBSTITUTE(SUBSTITUTE(SUBSTITUTE(Клиенты_исходные!D619," ",""),"-",""),"+",""),"(",""),")",""))=10,"+7 ("&amp;MID(SUBSTITUTE(SUBSTITUTE(SUBSTITUTE(SUBSTITUTE(SUBSTITUTE(Клиенты_исходные!D619," ",""),"-",""),"+",""),"(",""),")",""),1,3)&amp;") "&amp;MID(SUBSTITUTE(SUBSTITUTE(SUBSTITUTE(SUBSTITUTE(SUBSTITUTE(Клиенты_исходные!D619," ",""),"-",""),"+",""),"(",""),")",""),4,3)&amp;"-"&amp;MID(SUBSTITUTE(SUBSTITUTE(SUBSTITUTE(SUBSTITUTE(SUBSTITUTE(Клиенты_исходные!D619," ",""),"-",""),"+",""),"(",""),")",""),6,2)&amp;"-"&amp;MID(SUBSTITUTE(SUBSTITUTE(SUBSTITUTE(SUBSTITUTE(SUBSTITUTE(Клиенты_исходные!D619," ",""),"-",""),"+",""),"(",""),")",""),8,2),Клиенты_исходные!D619)))</f>
        <v xml:space="preserve">+7 (903) 234-56-78</v>
      </c>
      <c r="E619" t="str">
        <f>IF(ISBLANK(Клиенты_исходные!E619),"",IF(ISNUMBER(FIND(".",MID(Клиенты_исходные!E619,FIND("@",Клиенты_исходные!E619)+1,255))),Клиенты_исходные!E619,IF(ISNUMBER(FIND("gmail",Клиенты_исходные!E619)),Клиенты_исходные!E619&amp;".com",Клиенты_исходные!E619&amp;".ru")))</f>
        <v>plotnikov@gmail.com</v>
      </c>
      <c r="F619" t="str">
        <f>IFERROR(VLOOKUP(Клиенты_исходные!F619,Справочники!$J$2:$K$50,2,FALSE),Клиенты_исходные!F619)</f>
        <v>Уссурийск</v>
      </c>
      <c r="G619" s="8">
        <f>IFERROR(IF(ISNUMBER(FIND(".",Клиенты_исходные!G619)),DATE(RIGHT(Клиенты_исходные!G619,4),MID(Клиенты_исходные!G619,4,2),LEFT(Клиенты_исходные!G619,2)),DATE(LEFT(Клиенты_исходные!G619,4),MID(Клиенты_исходные!G619,6,2),RIGHT(Клиенты_исходные!G619,2))),Клиенты_исходные!G619)</f>
        <v>50811</v>
      </c>
      <c r="H619">
        <f t="shared" ca="1" si="76"/>
        <v>52</v>
      </c>
      <c r="I619" t="str">
        <f t="shared" si="77"/>
        <v>OK</v>
      </c>
      <c r="J619" t="str">
        <f t="shared" si="78"/>
        <v>OK</v>
      </c>
    </row>
    <row r="620">
      <c r="A620" t="str">
        <f>Клиенты_исходные!A620</f>
        <v>C0619</v>
      </c>
      <c r="B620" t="str">
        <f>PROPER(TRIM(Клиенты_исходные!B620))</f>
        <v xml:space="preserve">Максимова Екатерина Сергеевна</v>
      </c>
      <c r="C620" s="8">
        <f>IFERROR(IF(ISNUMBER(FIND(".",Клиенты_исходные!C620)),DATE(RIGHT(Клиенты_исходные!C620,4),MID(Клиенты_исходные!C620,4,2),LEFT(Клиенты_исходные!C620,2)),DATE(LEFT(Клиенты_исходные!C620,4),MID(Клиенты_исходные!C620,6,2),RIGHT(Клиенты_исходные!C620,2))),Клиенты_исходные!C620)</f>
        <v>30214</v>
      </c>
      <c r="D620" t="str">
        <f>IF(ISBLANK(Клиенты_исходные!D620),"",IF(LEN(SUBSTITUTE(SUBSTITUTE(SUBSTITUTE(SUBSTITUTE(SUBSTITUTE(Клиенты_исходные!D620," ",""),"-",""),"+",""),"(",""),")",""))=11,"+7 ("&amp;MID(IF(LEFT(SUBSTITUTE(SUBSTITUTE(SUBSTITUTE(SUBSTITUTE(SUBSTITUTE(Клиенты_исходные!D620," ",""),"-",""),"+",""),"(",""),")",""))="8","7"&amp;MID(SUBSTITUTE(SUBSTITUTE(SUBSTITUTE(SUBSTITUTE(SUBSTITUTE(Клиенты_исходные!D620," ",""),"-",""),"+",""),"(",""),")",""),2,10),SUBSTITUTE(SUBSTITUTE(SUBSTITUTE(SUBSTITUTE(SUBSTITUTE(Клиенты_исходные!D620," ",""),"-",""),"+",""),"(",""),")","")),2,3)&amp;") "&amp;MID(IF(LEFT(SUBSTITUTE(SUBSTITUTE(SUBSTITUTE(SUBSTITUTE(SUBSTITUTE(Клиенты_исходные!D620," ",""),"-",""),"+",""),"(",""),")",""))="8","7"&amp;MID(SUBSTITUTE(SUBSTITUTE(SUBSTITUTE(SUBSTITUTE(SUBSTITUTE(Клиенты_исходные!D620," ",""),"-",""),"+",""),"(",""),")",""),2,10),SUBSTITUTE(SUBSTITUTE(SUBSTITUTE(SUBSTITUTE(SUBSTITUTE(Клиенты_исходные!D620," ",""),"-",""),"+",""),"(",""),")","")),5,3)&amp;"-"&amp;MID(IF(LEFT(SUBSTITUTE(SUBSTITUTE(SUBSTITUTE(SUBSTITUTE(SUBSTITUTE(Клиенты_исходные!D620," ",""),"-",""),"+",""),"(",""),")",""))="8","7"&amp;MID(SUBSTITUTE(SUBSTITUTE(SUBSTITUTE(SUBSTITUTE(SUBSTITUTE(Клиенты_исходные!D620," ",""),"-",""),"+",""),"(",""),")",""),2,10),SUBSTITUTE(SUBSTITUTE(SUBSTITUTE(SUBSTITUTE(SUBSTITUTE(Клиенты_исходные!D620," ",""),"-",""),"+",""),"(",""),")","")),8,2)&amp;"-"&amp;MID(IF(LEFT(SUBSTITUTE(SUBSTITUTE(SUBSTITUTE(SUBSTITUTE(SUBSTITUTE(Клиенты_исходные!D620," ",""),"-",""),"+",""),"(",""),")",""))="8","7"&amp;MID(SUBSTITUTE(SUBSTITUTE(SUBSTITUTE(SUBSTITUTE(SUBSTITUTE(Клиенты_исходные!D620," ",""),"-",""),"+",""),"(",""),")",""),2,10),SUBSTITUTE(SUBSTITUTE(SUBSTITUTE(SUBSTITUTE(SUBSTITUTE(Клиенты_исходные!D620," ",""),"-",""),"+",""),"(",""),")","")),10,2),IF(LEN(SUBSTITUTE(SUBSTITUTE(SUBSTITUTE(SUBSTITUTE(SUBSTITUTE(Клиенты_исходные!D620," ",""),"-",""),"+",""),"(",""),")",""))=10,"+7 ("&amp;MID(SUBSTITUTE(SUBSTITUTE(SUBSTITUTE(SUBSTITUTE(SUBSTITUTE(Клиенты_исходные!D620," ",""),"-",""),"+",""),"(",""),")",""),1,3)&amp;") "&amp;MID(SUBSTITUTE(SUBSTITUTE(SUBSTITUTE(SUBSTITUTE(SUBSTITUTE(Клиенты_исходные!D620," ",""),"-",""),"+",""),"(",""),")",""),4,3)&amp;"-"&amp;MID(SUBSTITUTE(SUBSTITUTE(SUBSTITUTE(SUBSTITUTE(SUBSTITUTE(Клиенты_исходные!D620," ",""),"-",""),"+",""),"(",""),")",""),6,2)&amp;"-"&amp;MID(SUBSTITUTE(SUBSTITUTE(SUBSTITUTE(SUBSTITUTE(SUBSTITUTE(Клиенты_исходные!D620," ",""),"-",""),"+",""),"(",""),")",""),8,2),Клиенты_исходные!D620)))</f>
        <v xml:space="preserve">+7 (903) 234-56-78</v>
      </c>
      <c r="E620" t="str">
        <f>IF(ISBLANK(Клиенты_исходные!E620),"",IF(ISNUMBER(FIND(".",MID(Клиенты_исходные!E620,FIND("@",Клиенты_исходные!E620)+1,255))),Клиенты_исходные!E620,IF(ISNUMBER(FIND("gmail",Клиенты_исходные!E620)),Клиенты_исходные!E620&amp;".com",Клиенты_исходные!E620&amp;".ru")))</f>
        <v>maksimova@mail.ru</v>
      </c>
      <c r="F620" t="str">
        <f>IFERROR(VLOOKUP(Клиенты_исходные!F620,Справочники!$J$2:$K$50,2,FALSE),Клиенты_исходные!F620)</f>
        <v>Миасс</v>
      </c>
      <c r="G620" s="8">
        <f>IFERROR(IF(ISNUMBER(FIND(".",Клиенты_исходные!G620)),DATE(RIGHT(Клиенты_исходные!G620,4),MID(Клиенты_исходные!G620,4,2),LEFT(Клиенты_исходные!G620,2)),DATE(LEFT(Клиенты_исходные!G620,4),MID(Клиенты_исходные!G620,6,2),RIGHT(Клиенты_исходные!G620,2))),Клиенты_исходные!G620)</f>
        <v>50830</v>
      </c>
      <c r="H620">
        <f t="shared" ca="1" si="76"/>
        <v>44</v>
      </c>
      <c r="I620" t="str">
        <f t="shared" si="77"/>
        <v>OK</v>
      </c>
      <c r="J620" t="str">
        <f t="shared" si="78"/>
        <v>OK</v>
      </c>
    </row>
    <row r="621">
      <c r="A621" t="str">
        <f>Клиенты_исходные!A621</f>
        <v>C0620</v>
      </c>
      <c r="B621" t="str">
        <f>PROPER(TRIM(Клиенты_исходные!B621))</f>
        <v xml:space="preserve">Владимиров Андрей Павлович</v>
      </c>
      <c r="C621" s="8">
        <f>IFERROR(IF(ISNUMBER(FIND(".",Клиенты_исходные!C621)),DATE(RIGHT(Клиенты_исходные!C621,4),MID(Клиенты_исходные!C621,4,2),LEFT(Клиенты_исходные!C621,2)),DATE(LEFT(Клиенты_исходные!C621,4),MID(Клиенты_исходные!C621,6,2),RIGHT(Клиенты_исходные!C621,2))),Клиенты_исходные!C621)</f>
        <v>31898</v>
      </c>
      <c r="D621" t="str">
        <f>IF(ISBLANK(Клиенты_исходные!D621),"",IF(LEN(SUBSTITUTE(SUBSTITUTE(SUBSTITUTE(SUBSTITUTE(SUBSTITUTE(Клиенты_исходные!D621," ",""),"-",""),"+",""),"(",""),")",""))=11,"+7 ("&amp;MID(IF(LEFT(SUBSTITUTE(SUBSTITUTE(SUBSTITUTE(SUBSTITUTE(SUBSTITUTE(Клиенты_исходные!D621," ",""),"-",""),"+",""),"(",""),")",""))="8","7"&amp;MID(SUBSTITUTE(SUBSTITUTE(SUBSTITUTE(SUBSTITUTE(SUBSTITUTE(Клиенты_исходные!D621," ",""),"-",""),"+",""),"(",""),")",""),2,10),SUBSTITUTE(SUBSTITUTE(SUBSTITUTE(SUBSTITUTE(SUBSTITUTE(Клиенты_исходные!D621," ",""),"-",""),"+",""),"(",""),")","")),2,3)&amp;") "&amp;MID(IF(LEFT(SUBSTITUTE(SUBSTITUTE(SUBSTITUTE(SUBSTITUTE(SUBSTITUTE(Клиенты_исходные!D621," ",""),"-",""),"+",""),"(",""),")",""))="8","7"&amp;MID(SUBSTITUTE(SUBSTITUTE(SUBSTITUTE(SUBSTITUTE(SUBSTITUTE(Клиенты_исходные!D621," ",""),"-",""),"+",""),"(",""),")",""),2,10),SUBSTITUTE(SUBSTITUTE(SUBSTITUTE(SUBSTITUTE(SUBSTITUTE(Клиенты_исходные!D621," ",""),"-",""),"+",""),"(",""),")","")),5,3)&amp;"-"&amp;MID(IF(LEFT(SUBSTITUTE(SUBSTITUTE(SUBSTITUTE(SUBSTITUTE(SUBSTITUTE(Клиенты_исходные!D621," ",""),"-",""),"+",""),"(",""),")",""))="8","7"&amp;MID(SUBSTITUTE(SUBSTITUTE(SUBSTITUTE(SUBSTITUTE(SUBSTITUTE(Клиенты_исходные!D621," ",""),"-",""),"+",""),"(",""),")",""),2,10),SUBSTITUTE(SUBSTITUTE(SUBSTITUTE(SUBSTITUTE(SUBSTITUTE(Клиенты_исходные!D621," ",""),"-",""),"+",""),"(",""),")","")),8,2)&amp;"-"&amp;MID(IF(LEFT(SUBSTITUTE(SUBSTITUTE(SUBSTITUTE(SUBSTITUTE(SUBSTITUTE(Клиенты_исходные!D621," ",""),"-",""),"+",""),"(",""),")",""))="8","7"&amp;MID(SUBSTITUTE(SUBSTITUTE(SUBSTITUTE(SUBSTITUTE(SUBSTITUTE(Клиенты_исходные!D621," ",""),"-",""),"+",""),"(",""),")",""),2,10),SUBSTITUTE(SUBSTITUTE(SUBSTITUTE(SUBSTITUTE(SUBSTITUTE(Клиенты_исходные!D621," ",""),"-",""),"+",""),"(",""),")","")),10,2),IF(LEN(SUBSTITUTE(SUBSTITUTE(SUBSTITUTE(SUBSTITUTE(SUBSTITUTE(Клиенты_исходные!D621," ",""),"-",""),"+",""),"(",""),")",""))=10,"+7 ("&amp;MID(SUBSTITUTE(SUBSTITUTE(SUBSTITUTE(SUBSTITUTE(SUBSTITUTE(Клиенты_исходные!D621," ",""),"-",""),"+",""),"(",""),")",""),1,3)&amp;") "&amp;MID(SUBSTITUTE(SUBSTITUTE(SUBSTITUTE(SUBSTITUTE(SUBSTITUTE(Клиенты_исходные!D621," ",""),"-",""),"+",""),"(",""),")",""),4,3)&amp;"-"&amp;MID(SUBSTITUTE(SUBSTITUTE(SUBSTITUTE(SUBSTITUTE(SUBSTITUTE(Клиенты_исходные!D621," ",""),"-",""),"+",""),"(",""),")",""),6,2)&amp;"-"&amp;MID(SUBSTITUTE(SUBSTITUTE(SUBSTITUTE(SUBSTITUTE(SUBSTITUTE(Клиенты_исходные!D621," ",""),"-",""),"+",""),"(",""),")",""),8,2),Клиенты_исходные!D621)))</f>
        <v xml:space="preserve">+7 (903) 234-56-78</v>
      </c>
      <c r="E621" t="str">
        <f>IF(ISBLANK(Клиенты_исходные!E621),"",IF(ISNUMBER(FIND(".",MID(Клиенты_исходные!E621,FIND("@",Клиенты_исходные!E621)+1,255))),Клиенты_исходные!E621,IF(ISNUMBER(FIND("gmail",Клиенты_исходные!E621)),Клиенты_исходные!E621&amp;".com",Клиенты_исходные!E621&amp;".ru")))</f>
        <v>vladimirov@yandex.ru</v>
      </c>
      <c r="F621" t="str">
        <f>IFERROR(VLOOKUP(Клиенты_исходные!F621,Справочники!$J$2:$K$50,2,FALSE),Клиенты_исходные!F621)</f>
        <v>Кызыл</v>
      </c>
      <c r="G621" s="8">
        <f>IFERROR(IF(ISNUMBER(FIND(".",Клиенты_исходные!G621)),DATE(RIGHT(Клиенты_исходные!G621,4),MID(Клиенты_исходные!G621,4,2),LEFT(Клиенты_исходные!G621,2)),DATE(LEFT(Клиенты_исходные!G621,4),MID(Клиенты_исходные!G621,6,2),RIGHT(Клиенты_исходные!G621,2))),Клиенты_исходные!G621)</f>
        <v>50844</v>
      </c>
      <c r="H621">
        <f t="shared" ca="1" si="76"/>
        <v>39</v>
      </c>
      <c r="I621" t="str">
        <f t="shared" si="77"/>
        <v>OK</v>
      </c>
      <c r="J621" t="str">
        <f t="shared" si="78"/>
        <v>OK</v>
      </c>
    </row>
    <row r="622">
      <c r="A622" t="str">
        <f>Клиенты_исходные!A622</f>
        <v>C0621</v>
      </c>
      <c r="B622" t="str">
        <f>PROPER(TRIM(Клиенты_исходные!B622))</f>
        <v xml:space="preserve">Грибова Мария Олеговна</v>
      </c>
      <c r="C622" s="8">
        <f>IFERROR(IF(ISNUMBER(FIND(".",Клиенты_исходные!C622)),DATE(RIGHT(Клиенты_исходные!C622,4),MID(Клиенты_исходные!C622,4,2),LEFT(Клиенты_исходные!C622,2)),DATE(LEFT(Клиенты_исходные!C622,4),MID(Клиенты_исходные!C622,6,2),RIGHT(Клиенты_исходные!C622,2))),Клиенты_исходные!C622)</f>
        <v>28116</v>
      </c>
      <c r="D622" t="str">
        <f>IF(ISBLANK(Клиенты_исходные!D622),"",IF(LEN(SUBSTITUTE(SUBSTITUTE(SUBSTITUTE(SUBSTITUTE(SUBSTITUTE(Клиенты_исходные!D622," ",""),"-",""),"+",""),"(",""),")",""))=11,"+7 ("&amp;MID(IF(LEFT(SUBSTITUTE(SUBSTITUTE(SUBSTITUTE(SUBSTITUTE(SUBSTITUTE(Клиенты_исходные!D622," ",""),"-",""),"+",""),"(",""),")",""))="8","7"&amp;MID(SUBSTITUTE(SUBSTITUTE(SUBSTITUTE(SUBSTITUTE(SUBSTITUTE(Клиенты_исходные!D622," ",""),"-",""),"+",""),"(",""),")",""),2,10),SUBSTITUTE(SUBSTITUTE(SUBSTITUTE(SUBSTITUTE(SUBSTITUTE(Клиенты_исходные!D622," ",""),"-",""),"+",""),"(",""),")","")),2,3)&amp;") "&amp;MID(IF(LEFT(SUBSTITUTE(SUBSTITUTE(SUBSTITUTE(SUBSTITUTE(SUBSTITUTE(Клиенты_исходные!D622," ",""),"-",""),"+",""),"(",""),")",""))="8","7"&amp;MID(SUBSTITUTE(SUBSTITUTE(SUBSTITUTE(SUBSTITUTE(SUBSTITUTE(Клиенты_исходные!D622," ",""),"-",""),"+",""),"(",""),")",""),2,10),SUBSTITUTE(SUBSTITUTE(SUBSTITUTE(SUBSTITUTE(SUBSTITUTE(Клиенты_исходные!D622," ",""),"-",""),"+",""),"(",""),")","")),5,3)&amp;"-"&amp;MID(IF(LEFT(SUBSTITUTE(SUBSTITUTE(SUBSTITUTE(SUBSTITUTE(SUBSTITUTE(Клиенты_исходные!D622," ",""),"-",""),"+",""),"(",""),")",""))="8","7"&amp;MID(SUBSTITUTE(SUBSTITUTE(SUBSTITUTE(SUBSTITUTE(SUBSTITUTE(Клиенты_исходные!D622," ",""),"-",""),"+",""),"(",""),")",""),2,10),SUBSTITUTE(SUBSTITUTE(SUBSTITUTE(SUBSTITUTE(SUBSTITUTE(Клиенты_исходные!D622," ",""),"-",""),"+",""),"(",""),")","")),8,2)&amp;"-"&amp;MID(IF(LEFT(SUBSTITUTE(SUBSTITUTE(SUBSTITUTE(SUBSTITUTE(SUBSTITUTE(Клиенты_исходные!D622," ",""),"-",""),"+",""),"(",""),")",""))="8","7"&amp;MID(SUBSTITUTE(SUBSTITUTE(SUBSTITUTE(SUBSTITUTE(SUBSTITUTE(Клиенты_исходные!D622," ",""),"-",""),"+",""),"(",""),")",""),2,10),SUBSTITUTE(SUBSTITUTE(SUBSTITUTE(SUBSTITUTE(SUBSTITUTE(Клиенты_исходные!D622," ",""),"-",""),"+",""),"(",""),")","")),10,2),IF(LEN(SUBSTITUTE(SUBSTITUTE(SUBSTITUTE(SUBSTITUTE(SUBSTITUTE(Клиенты_исходные!D622," ",""),"-",""),"+",""),"(",""),")",""))=10,"+7 ("&amp;MID(SUBSTITUTE(SUBSTITUTE(SUBSTITUTE(SUBSTITUTE(SUBSTITUTE(Клиенты_исходные!D622," ",""),"-",""),"+",""),"(",""),")",""),1,3)&amp;") "&amp;MID(SUBSTITUTE(SUBSTITUTE(SUBSTITUTE(SUBSTITUTE(SUBSTITUTE(Клиенты_исходные!D622," ",""),"-",""),"+",""),"(",""),")",""),4,3)&amp;"-"&amp;MID(SUBSTITUTE(SUBSTITUTE(SUBSTITUTE(SUBSTITUTE(SUBSTITUTE(Клиенты_исходные!D622," ",""),"-",""),"+",""),"(",""),")",""),6,2)&amp;"-"&amp;MID(SUBSTITUTE(SUBSTITUTE(SUBSTITUTE(SUBSTITUTE(SUBSTITUTE(Клиенты_исходные!D622," ",""),"-",""),"+",""),"(",""),")",""),8,2),Клиенты_исходные!D622)))</f>
        <v xml:space="preserve">+7 (903) 345-67-89</v>
      </c>
      <c r="E622" t="str">
        <f>IF(ISBLANK(Клиенты_исходные!E622),"",IF(ISNUMBER(FIND(".",MID(Клиенты_исходные!E622,FIND("@",Клиенты_исходные!E622)+1,255))),Клиенты_исходные!E622,IF(ISNUMBER(FIND("gmail",Клиенты_исходные!E622)),Клиенты_исходные!E622&amp;".com",Клиенты_исходные!E622&amp;".ru")))</f>
        <v>gribova@gmail.com</v>
      </c>
      <c r="F622" t="str">
        <f>IFERROR(VLOOKUP(Клиенты_исходные!F622,Справочники!$J$2:$K$50,2,FALSE),Клиенты_исходные!F622)</f>
        <v>Калининград</v>
      </c>
      <c r="G622" s="8">
        <f>IFERROR(IF(ISNUMBER(FIND(".",Клиенты_исходные!G622)),DATE(RIGHT(Клиенты_исходные!G622,4),MID(Клиенты_исходные!G622,4,2),LEFT(Клиенты_исходные!G622,2)),DATE(LEFT(Клиенты_исходные!G622,4),MID(Клиенты_исходные!G622,6,2),RIGHT(Клиенты_исходные!G622,2))),Клиенты_исходные!G622)</f>
        <v>50844</v>
      </c>
      <c r="H622">
        <f t="shared" ca="1" si="76"/>
        <v>49</v>
      </c>
      <c r="I622" t="str">
        <f t="shared" si="77"/>
        <v>OK</v>
      </c>
      <c r="J622" t="str">
        <f t="shared" si="78"/>
        <v>OK</v>
      </c>
    </row>
    <row r="623">
      <c r="A623" t="str">
        <f>Клиенты_исходные!A623</f>
        <v>C0622</v>
      </c>
      <c r="B623" t="str">
        <f>PROPER(TRIM(Клиенты_исходные!B623))</f>
        <v xml:space="preserve">Курочкин Денис Викторович</v>
      </c>
      <c r="C623" s="8">
        <f>IFERROR(IF(ISNUMBER(FIND(".",Клиенты_исходные!C623)),DATE(RIGHT(Клиенты_исходные!C623,4),MID(Клиенты_исходные!C623,4,2),LEFT(Клиенты_исходные!C623,2)),DATE(LEFT(Клиенты_исходные!C623,4),MID(Клиенты_исходные!C623,6,2),RIGHT(Клиенты_исходные!C623,2))),Клиенты_исходные!C623)</f>
        <v>30543</v>
      </c>
      <c r="D623" t="str">
        <f>IF(ISBLANK(Клиенты_исходные!D623),"",IF(LEN(SUBSTITUTE(SUBSTITUTE(SUBSTITUTE(SUBSTITUTE(SUBSTITUTE(Клиенты_исходные!D623," ",""),"-",""),"+",""),"(",""),")",""))=11,"+7 ("&amp;MID(IF(LEFT(SUBSTITUTE(SUBSTITUTE(SUBSTITUTE(SUBSTITUTE(SUBSTITUTE(Клиенты_исходные!D623," ",""),"-",""),"+",""),"(",""),")",""))="8","7"&amp;MID(SUBSTITUTE(SUBSTITUTE(SUBSTITUTE(SUBSTITUTE(SUBSTITUTE(Клиенты_исходные!D623," ",""),"-",""),"+",""),"(",""),")",""),2,10),SUBSTITUTE(SUBSTITUTE(SUBSTITUTE(SUBSTITUTE(SUBSTITUTE(Клиенты_исходные!D623," ",""),"-",""),"+",""),"(",""),")","")),2,3)&amp;") "&amp;MID(IF(LEFT(SUBSTITUTE(SUBSTITUTE(SUBSTITUTE(SUBSTITUTE(SUBSTITUTE(Клиенты_исходные!D623," ",""),"-",""),"+",""),"(",""),")",""))="8","7"&amp;MID(SUBSTITUTE(SUBSTITUTE(SUBSTITUTE(SUBSTITUTE(SUBSTITUTE(Клиенты_исходные!D623," ",""),"-",""),"+",""),"(",""),")",""),2,10),SUBSTITUTE(SUBSTITUTE(SUBSTITUTE(SUBSTITUTE(SUBSTITUTE(Клиенты_исходные!D623," ",""),"-",""),"+",""),"(",""),")","")),5,3)&amp;"-"&amp;MID(IF(LEFT(SUBSTITUTE(SUBSTITUTE(SUBSTITUTE(SUBSTITUTE(SUBSTITUTE(Клиенты_исходные!D623," ",""),"-",""),"+",""),"(",""),")",""))="8","7"&amp;MID(SUBSTITUTE(SUBSTITUTE(SUBSTITUTE(SUBSTITUTE(SUBSTITUTE(Клиенты_исходные!D623," ",""),"-",""),"+",""),"(",""),")",""),2,10),SUBSTITUTE(SUBSTITUTE(SUBSTITUTE(SUBSTITUTE(SUBSTITUTE(Клиенты_исходные!D623," ",""),"-",""),"+",""),"(",""),")","")),8,2)&amp;"-"&amp;MID(IF(LEFT(SUBSTITUTE(SUBSTITUTE(SUBSTITUTE(SUBSTITUTE(SUBSTITUTE(Клиенты_исходные!D623," ",""),"-",""),"+",""),"(",""),")",""))="8","7"&amp;MID(SUBSTITUTE(SUBSTITUTE(SUBSTITUTE(SUBSTITUTE(SUBSTITUTE(Клиенты_исходные!D623," ",""),"-",""),"+",""),"(",""),")",""),2,10),SUBSTITUTE(SUBSTITUTE(SUBSTITUTE(SUBSTITUTE(SUBSTITUTE(Клиенты_исходные!D623," ",""),"-",""),"+",""),"(",""),")","")),10,2),IF(LEN(SUBSTITUTE(SUBSTITUTE(SUBSTITUTE(SUBSTITUTE(SUBSTITUTE(Клиенты_исходные!D623," ",""),"-",""),"+",""),"(",""),")",""))=10,"+7 ("&amp;MID(SUBSTITUTE(SUBSTITUTE(SUBSTITUTE(SUBSTITUTE(SUBSTITUTE(Клиенты_исходные!D623," ",""),"-",""),"+",""),"(",""),")",""),1,3)&amp;") "&amp;MID(SUBSTITUTE(SUBSTITUTE(SUBSTITUTE(SUBSTITUTE(SUBSTITUTE(Клиенты_исходные!D623," ",""),"-",""),"+",""),"(",""),")",""),4,3)&amp;"-"&amp;MID(SUBSTITUTE(SUBSTITUTE(SUBSTITUTE(SUBSTITUTE(SUBSTITUTE(Клиенты_исходные!D623," ",""),"-",""),"+",""),"(",""),")",""),6,2)&amp;"-"&amp;MID(SUBSTITUTE(SUBSTITUTE(SUBSTITUTE(SUBSTITUTE(SUBSTITUTE(Клиенты_исходные!D623," ",""),"-",""),"+",""),"(",""),")",""),8,2),Клиенты_исходные!D623)))</f>
        <v xml:space="preserve">+7 (903) 345-67-89</v>
      </c>
      <c r="E623" t="str">
        <f>IF(ISBLANK(Клиенты_исходные!E623),"",IF(ISNUMBER(FIND(".",MID(Клиенты_исходные!E623,FIND("@",Клиенты_исходные!E623)+1,255))),Клиенты_исходные!E623,IF(ISNUMBER(FIND("gmail",Клиенты_исходные!E623)),Клиенты_исходные!E623&amp;".com",Клиенты_исходные!E623&amp;".ru")))</f>
        <v>kurochkin@mail.ru</v>
      </c>
      <c r="F623" t="str">
        <f>IFERROR(VLOOKUP(Клиенты_исходные!F623,Справочники!$J$2:$K$50,2,FALSE),Клиенты_исходные!F623)</f>
        <v>Петрозаводск</v>
      </c>
      <c r="G623" s="8">
        <f>IFERROR(IF(ISNUMBER(FIND(".",Клиенты_исходные!G623)),DATE(RIGHT(Клиенты_исходные!G623,4),MID(Клиенты_исходные!G623,4,2),LEFT(Клиенты_исходные!G623,2)),DATE(LEFT(Клиенты_исходные!G623,4),MID(Клиенты_исходные!G623,6,2),RIGHT(Клиенты_исходные!G623,2))),Клиенты_исходные!G623)</f>
        <v>50861</v>
      </c>
      <c r="H623">
        <f t="shared" ca="1" si="76"/>
        <v>43</v>
      </c>
      <c r="I623" t="str">
        <f t="shared" si="77"/>
        <v>OK</v>
      </c>
      <c r="J623" t="str">
        <f t="shared" si="78"/>
        <v>OK</v>
      </c>
    </row>
    <row r="624">
      <c r="A624" t="str">
        <f>Клиенты_исходные!A624</f>
        <v>C0623</v>
      </c>
      <c r="B624" t="str">
        <f>PROPER(TRIM(Клиенты_исходные!B624))</f>
        <v xml:space="preserve">Соловьева Ольга Павловна</v>
      </c>
      <c r="C624" s="8">
        <f>IFERROR(IF(ISNUMBER(FIND(".",Клиенты_исходные!C624)),DATE(RIGHT(Клиенты_исходные!C624,4),MID(Клиенты_исходные!C624,4,2),LEFT(Клиенты_исходные!C624,2)),DATE(LEFT(Клиенты_исходные!C624,4),MID(Клиенты_исходные!C624,6,2),RIGHT(Клиенты_исходные!C624,2))),Клиенты_исходные!C624)</f>
        <v>32259</v>
      </c>
      <c r="D624" t="str">
        <f>IF(ISBLANK(Клиенты_исходные!D624),"",IF(LEN(SUBSTITUTE(SUBSTITUTE(SUBSTITUTE(SUBSTITUTE(SUBSTITUTE(Клиенты_исходные!D624," ",""),"-",""),"+",""),"(",""),")",""))=11,"+7 ("&amp;MID(IF(LEFT(SUBSTITUTE(SUBSTITUTE(SUBSTITUTE(SUBSTITUTE(SUBSTITUTE(Клиенты_исходные!D624," ",""),"-",""),"+",""),"(",""),")",""))="8","7"&amp;MID(SUBSTITUTE(SUBSTITUTE(SUBSTITUTE(SUBSTITUTE(SUBSTITUTE(Клиенты_исходные!D624," ",""),"-",""),"+",""),"(",""),")",""),2,10),SUBSTITUTE(SUBSTITUTE(SUBSTITUTE(SUBSTITUTE(SUBSTITUTE(Клиенты_исходные!D624," ",""),"-",""),"+",""),"(",""),")","")),2,3)&amp;") "&amp;MID(IF(LEFT(SUBSTITUTE(SUBSTITUTE(SUBSTITUTE(SUBSTITUTE(SUBSTITUTE(Клиенты_исходные!D624," ",""),"-",""),"+",""),"(",""),")",""))="8","7"&amp;MID(SUBSTITUTE(SUBSTITUTE(SUBSTITUTE(SUBSTITUTE(SUBSTITUTE(Клиенты_исходные!D624," ",""),"-",""),"+",""),"(",""),")",""),2,10),SUBSTITUTE(SUBSTITUTE(SUBSTITUTE(SUBSTITUTE(SUBSTITUTE(Клиенты_исходные!D624," ",""),"-",""),"+",""),"(",""),")","")),5,3)&amp;"-"&amp;MID(IF(LEFT(SUBSTITUTE(SUBSTITUTE(SUBSTITUTE(SUBSTITUTE(SUBSTITUTE(Клиенты_исходные!D624," ",""),"-",""),"+",""),"(",""),")",""))="8","7"&amp;MID(SUBSTITUTE(SUBSTITUTE(SUBSTITUTE(SUBSTITUTE(SUBSTITUTE(Клиенты_исходные!D624," ",""),"-",""),"+",""),"(",""),")",""),2,10),SUBSTITUTE(SUBSTITUTE(SUBSTITUTE(SUBSTITUTE(SUBSTITUTE(Клиенты_исходные!D624," ",""),"-",""),"+",""),"(",""),")","")),8,2)&amp;"-"&amp;MID(IF(LEFT(SUBSTITUTE(SUBSTITUTE(SUBSTITUTE(SUBSTITUTE(SUBSTITUTE(Клиенты_исходные!D624," ",""),"-",""),"+",""),"(",""),")",""))="8","7"&amp;MID(SUBSTITUTE(SUBSTITUTE(SUBSTITUTE(SUBSTITUTE(SUBSTITUTE(Клиенты_исходные!D624," ",""),"-",""),"+",""),"(",""),")",""),2,10),SUBSTITUTE(SUBSTITUTE(SUBSTITUTE(SUBSTITUTE(SUBSTITUTE(Клиенты_исходные!D624," ",""),"-",""),"+",""),"(",""),")","")),10,2),IF(LEN(SUBSTITUTE(SUBSTITUTE(SUBSTITUTE(SUBSTITUTE(SUBSTITUTE(Клиенты_исходные!D624," ",""),"-",""),"+",""),"(",""),")",""))=10,"+7 ("&amp;MID(SUBSTITUTE(SUBSTITUTE(SUBSTITUTE(SUBSTITUTE(SUBSTITUTE(Клиенты_исходные!D624," ",""),"-",""),"+",""),"(",""),")",""),1,3)&amp;") "&amp;MID(SUBSTITUTE(SUBSTITUTE(SUBSTITUTE(SUBSTITUTE(SUBSTITUTE(Клиенты_исходные!D624," ",""),"-",""),"+",""),"(",""),")",""),4,3)&amp;"-"&amp;MID(SUBSTITUTE(SUBSTITUTE(SUBSTITUTE(SUBSTITUTE(SUBSTITUTE(Клиенты_исходные!D624," ",""),"-",""),"+",""),"(",""),")",""),6,2)&amp;"-"&amp;MID(SUBSTITUTE(SUBSTITUTE(SUBSTITUTE(SUBSTITUTE(SUBSTITUTE(Клиенты_исходные!D624," ",""),"-",""),"+",""),"(",""),")",""),8,2),Клиенты_исходные!D624)))</f>
        <v xml:space="preserve">+7 (903) 345-67-89</v>
      </c>
      <c r="E624" t="str">
        <f>IF(ISBLANK(Клиенты_исходные!E624),"",IF(ISNUMBER(FIND(".",MID(Клиенты_исходные!E624,FIND("@",Клиенты_исходные!E624)+1,255))),Клиенты_исходные!E624,IF(ISNUMBER(FIND("gmail",Клиенты_исходные!E624)),Клиенты_исходные!E624&amp;".com",Клиенты_исходные!E624&amp;".ru")))</f>
        <v>solovieva@yandex.ru</v>
      </c>
      <c r="F624" t="str">
        <f>IFERROR(VLOOKUP(Клиенты_исходные!F624,Справочники!$J$2:$K$50,2,FALSE),Клиенты_исходные!F624)</f>
        <v>Рубцовск</v>
      </c>
      <c r="G624" s="8">
        <f>IFERROR(IF(ISNUMBER(FIND(".",Клиенты_исходные!G624)),DATE(RIGHT(Клиенты_исходные!G624,4),MID(Клиенты_исходные!G624,4,2),LEFT(Клиенты_исходные!G624,2)),DATE(LEFT(Клиенты_исходные!G624,4),MID(Клиенты_исходные!G624,6,2),RIGHT(Клиенты_исходные!G624,2))),Клиенты_исходные!G624)</f>
        <v>50870</v>
      </c>
      <c r="H624">
        <f t="shared" ca="1" si="76"/>
        <v>38</v>
      </c>
      <c r="I624" t="str">
        <f t="shared" si="77"/>
        <v>OK</v>
      </c>
      <c r="J624" t="str">
        <f t="shared" si="78"/>
        <v>OK</v>
      </c>
    </row>
    <row r="625">
      <c r="A625" t="str">
        <f>Клиенты_исходные!A625</f>
        <v>C0624</v>
      </c>
      <c r="B625" t="str">
        <f>PROPER(TRIM(Клиенты_исходные!B625))</f>
        <v xml:space="preserve">Звягинцев Илья Алексеевич</v>
      </c>
      <c r="C625" s="8">
        <f>IFERROR(IF(ISNUMBER(FIND(".",Клиенты_исходные!C625)),DATE(RIGHT(Клиенты_исходные!C625,4),MID(Клиенты_исходные!C625,4,2),LEFT(Клиенты_исходные!C625,2)),DATE(LEFT(Клиенты_исходные!C625,4),MID(Клиенты_исходные!C625,6,2),RIGHT(Клиенты_исходные!C625,2))),Клиенты_исходные!C625)</f>
        <v>27346</v>
      </c>
      <c r="D625" t="str">
        <f>IF(ISBLANK(Клиенты_исходные!D625),"",IF(LEN(SUBSTITUTE(SUBSTITUTE(SUBSTITUTE(SUBSTITUTE(SUBSTITUTE(Клиенты_исходные!D625," ",""),"-",""),"+",""),"(",""),")",""))=11,"+7 ("&amp;MID(IF(LEFT(SUBSTITUTE(SUBSTITUTE(SUBSTITUTE(SUBSTITUTE(SUBSTITUTE(Клиенты_исходные!D625," ",""),"-",""),"+",""),"(",""),")",""))="8","7"&amp;MID(SUBSTITUTE(SUBSTITUTE(SUBSTITUTE(SUBSTITUTE(SUBSTITUTE(Клиенты_исходные!D625," ",""),"-",""),"+",""),"(",""),")",""),2,10),SUBSTITUTE(SUBSTITUTE(SUBSTITUTE(SUBSTITUTE(SUBSTITUTE(Клиенты_исходные!D625," ",""),"-",""),"+",""),"(",""),")","")),2,3)&amp;") "&amp;MID(IF(LEFT(SUBSTITUTE(SUBSTITUTE(SUBSTITUTE(SUBSTITUTE(SUBSTITUTE(Клиенты_исходные!D625," ",""),"-",""),"+",""),"(",""),")",""))="8","7"&amp;MID(SUBSTITUTE(SUBSTITUTE(SUBSTITUTE(SUBSTITUTE(SUBSTITUTE(Клиенты_исходные!D625," ",""),"-",""),"+",""),"(",""),")",""),2,10),SUBSTITUTE(SUBSTITUTE(SUBSTITUTE(SUBSTITUTE(SUBSTITUTE(Клиенты_исходные!D625," ",""),"-",""),"+",""),"(",""),")","")),5,3)&amp;"-"&amp;MID(IF(LEFT(SUBSTITUTE(SUBSTITUTE(SUBSTITUTE(SUBSTITUTE(SUBSTITUTE(Клиенты_исходные!D625," ",""),"-",""),"+",""),"(",""),")",""))="8","7"&amp;MID(SUBSTITUTE(SUBSTITUTE(SUBSTITUTE(SUBSTITUTE(SUBSTITUTE(Клиенты_исходные!D625," ",""),"-",""),"+",""),"(",""),")",""),2,10),SUBSTITUTE(SUBSTITUTE(SUBSTITUTE(SUBSTITUTE(SUBSTITUTE(Клиенты_исходные!D625," ",""),"-",""),"+",""),"(",""),")","")),8,2)&amp;"-"&amp;MID(IF(LEFT(SUBSTITUTE(SUBSTITUTE(SUBSTITUTE(SUBSTITUTE(SUBSTITUTE(Клиенты_исходные!D625," ",""),"-",""),"+",""),"(",""),")",""))="8","7"&amp;MID(SUBSTITUTE(SUBSTITUTE(SUBSTITUTE(SUBSTITUTE(SUBSTITUTE(Клиенты_исходные!D625," ",""),"-",""),"+",""),"(",""),")",""),2,10),SUBSTITUTE(SUBSTITUTE(SUBSTITUTE(SUBSTITUTE(SUBSTITUTE(Клиенты_исходные!D625," ",""),"-",""),"+",""),"(",""),")","")),10,2),IF(LEN(SUBSTITUTE(SUBSTITUTE(SUBSTITUTE(SUBSTITUTE(SUBSTITUTE(Клиенты_исходные!D625," ",""),"-",""),"+",""),"(",""),")",""))=10,"+7 ("&amp;MID(SUBSTITUTE(SUBSTITUTE(SUBSTITUTE(SUBSTITUTE(SUBSTITUTE(Клиенты_исходные!D625," ",""),"-",""),"+",""),"(",""),")",""),1,3)&amp;") "&amp;MID(SUBSTITUTE(SUBSTITUTE(SUBSTITUTE(SUBSTITUTE(SUBSTITUTE(Клиенты_исходные!D625," ",""),"-",""),"+",""),"(",""),")",""),4,3)&amp;"-"&amp;MID(SUBSTITUTE(SUBSTITUTE(SUBSTITUTE(SUBSTITUTE(SUBSTITUTE(Клиенты_исходные!D625," ",""),"-",""),"+",""),"(",""),")",""),6,2)&amp;"-"&amp;MID(SUBSTITUTE(SUBSTITUTE(SUBSTITUTE(SUBSTITUTE(SUBSTITUTE(Клиенты_исходные!D625," ",""),"-",""),"+",""),"(",""),")",""),8,2),Клиенты_исходные!D625)))</f>
        <v xml:space="preserve">+7 (903) 456-78-90</v>
      </c>
      <c r="E625" t="str">
        <f>IF(ISBLANK(Клиенты_исходные!E625),"",IF(ISNUMBER(FIND(".",MID(Клиенты_исходные!E625,FIND("@",Клиенты_исходные!E625)+1,255))),Клиенты_исходные!E625,IF(ISNUMBER(FIND("gmail",Клиенты_исходные!E625)),Клиенты_исходные!E625&amp;".com",Клиенты_исходные!E625&amp;".ru")))</f>
        <v>zvyagintsev@gmail.com</v>
      </c>
      <c r="F625" t="str">
        <f>IFERROR(VLOOKUP(Клиенты_исходные!F625,Справочники!$J$2:$K$50,2,FALSE),Клиенты_исходные!F625)</f>
        <v>Элиста</v>
      </c>
      <c r="G625" s="8">
        <f>IFERROR(IF(ISNUMBER(FIND(".",Клиенты_исходные!G625)),DATE(RIGHT(Клиенты_исходные!G625,4),MID(Клиенты_исходные!G625,4,2),LEFT(Клиенты_исходные!G625,2)),DATE(LEFT(Клиенты_исходные!G625,4),MID(Клиенты_исходные!G625,6,2),RIGHT(Клиенты_исходные!G625,2))),Клиенты_исходные!G625)</f>
        <v>50870</v>
      </c>
      <c r="H625">
        <f t="shared" ca="1" si="76"/>
        <v>51</v>
      </c>
      <c r="I625" t="str">
        <f t="shared" si="77"/>
        <v>OK</v>
      </c>
      <c r="J625" t="str">
        <f t="shared" si="78"/>
        <v>OK</v>
      </c>
    </row>
    <row r="626">
      <c r="A626" t="str">
        <f>Клиенты_исходные!A626</f>
        <v>C0625</v>
      </c>
      <c r="B626" t="str">
        <f>PROPER(TRIM(Клиенты_исходные!B626))</f>
        <v xml:space="preserve">Муромцева Екатерина Сергеевна</v>
      </c>
      <c r="C626" s="8">
        <f>IFERROR(IF(ISNUMBER(FIND(".",Клиенты_исходные!C626)),DATE(RIGHT(Клиенты_исходные!C626,4),MID(Клиенты_исходные!C626,4,2),LEFT(Клиенты_исходные!C626,2)),DATE(LEFT(Клиенты_исходные!C626,4),MID(Клиенты_исходные!C626,6,2),RIGHT(Клиенты_исходные!C626,2))),Клиенты_исходные!C626)</f>
        <v>29746</v>
      </c>
      <c r="D626" t="str">
        <f>IF(ISBLANK(Клиенты_исходные!D626),"",IF(LEN(SUBSTITUTE(SUBSTITUTE(SUBSTITUTE(SUBSTITUTE(SUBSTITUTE(Клиенты_исходные!D626," ",""),"-",""),"+",""),"(",""),")",""))=11,"+7 ("&amp;MID(IF(LEFT(SUBSTITUTE(SUBSTITUTE(SUBSTITUTE(SUBSTITUTE(SUBSTITUTE(Клиенты_исходные!D626," ",""),"-",""),"+",""),"(",""),")",""))="8","7"&amp;MID(SUBSTITUTE(SUBSTITUTE(SUBSTITUTE(SUBSTITUTE(SUBSTITUTE(Клиенты_исходные!D626," ",""),"-",""),"+",""),"(",""),")",""),2,10),SUBSTITUTE(SUBSTITUTE(SUBSTITUTE(SUBSTITUTE(SUBSTITUTE(Клиенты_исходные!D626," ",""),"-",""),"+",""),"(",""),")","")),2,3)&amp;") "&amp;MID(IF(LEFT(SUBSTITUTE(SUBSTITUTE(SUBSTITUTE(SUBSTITUTE(SUBSTITUTE(Клиенты_исходные!D626," ",""),"-",""),"+",""),"(",""),")",""))="8","7"&amp;MID(SUBSTITUTE(SUBSTITUTE(SUBSTITUTE(SUBSTITUTE(SUBSTITUTE(Клиенты_исходные!D626," ",""),"-",""),"+",""),"(",""),")",""),2,10),SUBSTITUTE(SUBSTITUTE(SUBSTITUTE(SUBSTITUTE(SUBSTITUTE(Клиенты_исходные!D626," ",""),"-",""),"+",""),"(",""),")","")),5,3)&amp;"-"&amp;MID(IF(LEFT(SUBSTITUTE(SUBSTITUTE(SUBSTITUTE(SUBSTITUTE(SUBSTITUTE(Клиенты_исходные!D626," ",""),"-",""),"+",""),"(",""),")",""))="8","7"&amp;MID(SUBSTITUTE(SUBSTITUTE(SUBSTITUTE(SUBSTITUTE(SUBSTITUTE(Клиенты_исходные!D626," ",""),"-",""),"+",""),"(",""),")",""),2,10),SUBSTITUTE(SUBSTITUTE(SUBSTITUTE(SUBSTITUTE(SUBSTITUTE(Клиенты_исходные!D626," ",""),"-",""),"+",""),"(",""),")","")),8,2)&amp;"-"&amp;MID(IF(LEFT(SUBSTITUTE(SUBSTITUTE(SUBSTITUTE(SUBSTITUTE(SUBSTITUTE(Клиенты_исходные!D626," ",""),"-",""),"+",""),"(",""),")",""))="8","7"&amp;MID(SUBSTITUTE(SUBSTITUTE(SUBSTITUTE(SUBSTITUTE(SUBSTITUTE(Клиенты_исходные!D626," ",""),"-",""),"+",""),"(",""),")",""),2,10),SUBSTITUTE(SUBSTITUTE(SUBSTITUTE(SUBSTITUTE(SUBSTITUTE(Клиенты_исходные!D626," ",""),"-",""),"+",""),"(",""),")","")),10,2),IF(LEN(SUBSTITUTE(SUBSTITUTE(SUBSTITUTE(SUBSTITUTE(SUBSTITUTE(Клиенты_исходные!D626," ",""),"-",""),"+",""),"(",""),")",""))=10,"+7 ("&amp;MID(SUBSTITUTE(SUBSTITUTE(SUBSTITUTE(SUBSTITUTE(SUBSTITUTE(Клиенты_исходные!D626," ",""),"-",""),"+",""),"(",""),")",""),1,3)&amp;") "&amp;MID(SUBSTITUTE(SUBSTITUTE(SUBSTITUTE(SUBSTITUTE(SUBSTITUTE(Клиенты_исходные!D626," ",""),"-",""),"+",""),"(",""),")",""),4,3)&amp;"-"&amp;MID(SUBSTITUTE(SUBSTITUTE(SUBSTITUTE(SUBSTITUTE(SUBSTITUTE(Клиенты_исходные!D626," ",""),"-",""),"+",""),"(",""),")",""),6,2)&amp;"-"&amp;MID(SUBSTITUTE(SUBSTITUTE(SUBSTITUTE(SUBSTITUTE(SUBSTITUTE(Клиенты_исходные!D626," ",""),"-",""),"+",""),"(",""),")",""),8,2),Клиенты_исходные!D626)))</f>
        <v xml:space="preserve">+7 (903) 456-78-90</v>
      </c>
      <c r="E626" t="str">
        <f>IF(ISBLANK(Клиенты_исходные!E626),"",IF(ISNUMBER(FIND(".",MID(Клиенты_исходные!E626,FIND("@",Клиенты_исходные!E626)+1,255))),Клиенты_исходные!E626,IF(ISNUMBER(FIND("gmail",Клиенты_исходные!E626)),Клиенты_исходные!E626&amp;".com",Клиенты_исходные!E626&amp;".ru")))</f>
        <v>muromtseva@mail.ru</v>
      </c>
      <c r="F626" t="str">
        <f>IFERROR(VLOOKUP(Клиенты_исходные!F626,Справочники!$J$2:$K$50,2,FALSE),Клиенты_исходные!F626)</f>
        <v>Орск</v>
      </c>
      <c r="G626" s="8">
        <f>IFERROR(IF(ISNUMBER(FIND(".",Клиенты_исходные!G626)),DATE(RIGHT(Клиенты_исходные!G626,4),MID(Клиенты_исходные!G626,4,2),LEFT(Клиенты_исходные!G626,2)),DATE(LEFT(Клиенты_исходные!G626,4),MID(Клиенты_исходные!G626,6,2),RIGHT(Клиенты_исходные!G626,2))),Клиенты_исходные!G626)</f>
        <v>50891</v>
      </c>
      <c r="H626">
        <f t="shared" ca="1" si="76"/>
        <v>45</v>
      </c>
      <c r="I626" t="str">
        <f t="shared" si="77"/>
        <v>OK</v>
      </c>
      <c r="J626" t="str">
        <f t="shared" si="78"/>
        <v>OK</v>
      </c>
    </row>
    <row r="627">
      <c r="A627" t="str">
        <f>Клиенты_исходные!A627</f>
        <v>C0626</v>
      </c>
      <c r="B627" t="str">
        <f>PROPER(TRIM(Клиенты_исходные!B627))</f>
        <v xml:space="preserve">Бакулин Андрей Олегович</v>
      </c>
      <c r="C627" s="8">
        <f>IFERROR(IF(ISNUMBER(FIND(".",Клиенты_исходные!C627)),DATE(RIGHT(Клиенты_исходные!C627,4),MID(Клиенты_исходные!C627,4,2),LEFT(Клиенты_исходные!C627,2)),DATE(LEFT(Клиенты_исходные!C627,4),MID(Клиенты_исходные!C627,6,2),RIGHT(Клиенты_исходные!C627,2))),Клиенты_исходные!C627)</f>
        <v>33864</v>
      </c>
      <c r="D627" t="str">
        <f>IF(ISBLANK(Клиенты_исходные!D627),"",IF(LEN(SUBSTITUTE(SUBSTITUTE(SUBSTITUTE(SUBSTITUTE(SUBSTITUTE(Клиенты_исходные!D627," ",""),"-",""),"+",""),"(",""),")",""))=11,"+7 ("&amp;MID(IF(LEFT(SUBSTITUTE(SUBSTITUTE(SUBSTITUTE(SUBSTITUTE(SUBSTITUTE(Клиенты_исходные!D627," ",""),"-",""),"+",""),"(",""),")",""))="8","7"&amp;MID(SUBSTITUTE(SUBSTITUTE(SUBSTITUTE(SUBSTITUTE(SUBSTITUTE(Клиенты_исходные!D627," ",""),"-",""),"+",""),"(",""),")",""),2,10),SUBSTITUTE(SUBSTITUTE(SUBSTITUTE(SUBSTITUTE(SUBSTITUTE(Клиенты_исходные!D627," ",""),"-",""),"+",""),"(",""),")","")),2,3)&amp;") "&amp;MID(IF(LEFT(SUBSTITUTE(SUBSTITUTE(SUBSTITUTE(SUBSTITUTE(SUBSTITUTE(Клиенты_исходные!D627," ",""),"-",""),"+",""),"(",""),")",""))="8","7"&amp;MID(SUBSTITUTE(SUBSTITUTE(SUBSTITUTE(SUBSTITUTE(SUBSTITUTE(Клиенты_исходные!D627," ",""),"-",""),"+",""),"(",""),")",""),2,10),SUBSTITUTE(SUBSTITUTE(SUBSTITUTE(SUBSTITUTE(SUBSTITUTE(Клиенты_исходные!D627," ",""),"-",""),"+",""),"(",""),")","")),5,3)&amp;"-"&amp;MID(IF(LEFT(SUBSTITUTE(SUBSTITUTE(SUBSTITUTE(SUBSTITUTE(SUBSTITUTE(Клиенты_исходные!D627," ",""),"-",""),"+",""),"(",""),")",""))="8","7"&amp;MID(SUBSTITUTE(SUBSTITUTE(SUBSTITUTE(SUBSTITUTE(SUBSTITUTE(Клиенты_исходные!D627," ",""),"-",""),"+",""),"(",""),")",""),2,10),SUBSTITUTE(SUBSTITUTE(SUBSTITUTE(SUBSTITUTE(SUBSTITUTE(Клиенты_исходные!D627," ",""),"-",""),"+",""),"(",""),")","")),8,2)&amp;"-"&amp;MID(IF(LEFT(SUBSTITUTE(SUBSTITUTE(SUBSTITUTE(SUBSTITUTE(SUBSTITUTE(Клиенты_исходные!D627," ",""),"-",""),"+",""),"(",""),")",""))="8","7"&amp;MID(SUBSTITUTE(SUBSTITUTE(SUBSTITUTE(SUBSTITUTE(SUBSTITUTE(Клиенты_исходные!D627," ",""),"-",""),"+",""),"(",""),")",""),2,10),SUBSTITUTE(SUBSTITUTE(SUBSTITUTE(SUBSTITUTE(SUBSTITUTE(Клиенты_исходные!D627," ",""),"-",""),"+",""),"(",""),")","")),10,2),IF(LEN(SUBSTITUTE(SUBSTITUTE(SUBSTITUTE(SUBSTITUTE(SUBSTITUTE(Клиенты_исходные!D627," ",""),"-",""),"+",""),"(",""),")",""))=10,"+7 ("&amp;MID(SUBSTITUTE(SUBSTITUTE(SUBSTITUTE(SUBSTITUTE(SUBSTITUTE(Клиенты_исходные!D627," ",""),"-",""),"+",""),"(",""),")",""),1,3)&amp;") "&amp;MID(SUBSTITUTE(SUBSTITUTE(SUBSTITUTE(SUBSTITUTE(SUBSTITUTE(Клиенты_исходные!D627," ",""),"-",""),"+",""),"(",""),")",""),4,3)&amp;"-"&amp;MID(SUBSTITUTE(SUBSTITUTE(SUBSTITUTE(SUBSTITUTE(SUBSTITUTE(Клиенты_исходные!D627," ",""),"-",""),"+",""),"(",""),")",""),6,2)&amp;"-"&amp;MID(SUBSTITUTE(SUBSTITUTE(SUBSTITUTE(SUBSTITUTE(SUBSTITUTE(Клиенты_исходные!D627," ",""),"-",""),"+",""),"(",""),")",""),8,2),Клиенты_исходные!D627)))</f>
        <v xml:space="preserve">+7 (903) 456-78-90</v>
      </c>
      <c r="E627" t="str">
        <f>IF(ISBLANK(Клиенты_исходные!E627),"",IF(ISNUMBER(FIND(".",MID(Клиенты_исходные!E627,FIND("@",Клиенты_исходные!E627)+1,255))),Клиенты_исходные!E627,IF(ISNUMBER(FIND("gmail",Клиенты_исходные!E627)),Клиенты_исходные!E627&amp;".com",Клиенты_исходные!E627&amp;".ru")))</f>
        <v>bakulin@yandex.ru</v>
      </c>
      <c r="F627" t="str">
        <f>IFERROR(VLOOKUP(Клиенты_исходные!F627,Справочники!$J$2:$K$50,2,FALSE),Клиенты_исходные!F627)</f>
        <v>Нижневартовск</v>
      </c>
      <c r="G627" s="8">
        <f>IFERROR(IF(ISNUMBER(FIND(".",Клиенты_исходные!G627)),DATE(RIGHT(Клиенты_исходные!G627,4),MID(Клиенты_исходные!G627,4,2),LEFT(Клиенты_исходные!G627,2)),DATE(LEFT(Клиенты_исходные!G627,4),MID(Клиенты_исходные!G627,6,2),RIGHT(Клиенты_исходные!G627,2))),Клиенты_исходные!G627)</f>
        <v>50905</v>
      </c>
      <c r="H627">
        <f t="shared" ca="1" si="76"/>
        <v>34</v>
      </c>
      <c r="I627" t="str">
        <f t="shared" si="77"/>
        <v>OK</v>
      </c>
      <c r="J627" t="str">
        <f t="shared" si="78"/>
        <v>OK</v>
      </c>
    </row>
    <row r="628">
      <c r="A628" t="str">
        <f>Клиенты_исходные!A628</f>
        <v>C0627</v>
      </c>
      <c r="B628" t="str">
        <f>PROPER(TRIM(Клиенты_исходные!B628))</f>
        <v xml:space="preserve">Корнеева Мария Владимировна</v>
      </c>
      <c r="C628" s="8">
        <f>IFERROR(IF(ISNUMBER(FIND(".",Клиенты_исходные!C628)),DATE(RIGHT(Клиенты_исходные!C628,4),MID(Клиенты_исходные!C628,4,2),LEFT(Клиенты_исходные!C628,2)),DATE(LEFT(Клиенты_исходные!C628,4),MID(Клиенты_исходные!C628,6,2),RIGHT(Клиенты_исходные!C628,2))),Клиенты_исходные!C628)</f>
        <v>27424</v>
      </c>
      <c r="D628" t="str">
        <f>IF(ISBLANK(Клиенты_исходные!D628),"",IF(LEN(SUBSTITUTE(SUBSTITUTE(SUBSTITUTE(SUBSTITUTE(SUBSTITUTE(Клиенты_исходные!D628," ",""),"-",""),"+",""),"(",""),")",""))=11,"+7 ("&amp;MID(IF(LEFT(SUBSTITUTE(SUBSTITUTE(SUBSTITUTE(SUBSTITUTE(SUBSTITUTE(Клиенты_исходные!D628," ",""),"-",""),"+",""),"(",""),")",""))="8","7"&amp;MID(SUBSTITUTE(SUBSTITUTE(SUBSTITUTE(SUBSTITUTE(SUBSTITUTE(Клиенты_исходные!D628," ",""),"-",""),"+",""),"(",""),")",""),2,10),SUBSTITUTE(SUBSTITUTE(SUBSTITUTE(SUBSTITUTE(SUBSTITUTE(Клиенты_исходные!D628," ",""),"-",""),"+",""),"(",""),")","")),2,3)&amp;") "&amp;MID(IF(LEFT(SUBSTITUTE(SUBSTITUTE(SUBSTITUTE(SUBSTITUTE(SUBSTITUTE(Клиенты_исходные!D628," ",""),"-",""),"+",""),"(",""),")",""))="8","7"&amp;MID(SUBSTITUTE(SUBSTITUTE(SUBSTITUTE(SUBSTITUTE(SUBSTITUTE(Клиенты_исходные!D628," ",""),"-",""),"+",""),"(",""),")",""),2,10),SUBSTITUTE(SUBSTITUTE(SUBSTITUTE(SUBSTITUTE(SUBSTITUTE(Клиенты_исходные!D628," ",""),"-",""),"+",""),"(",""),")","")),5,3)&amp;"-"&amp;MID(IF(LEFT(SUBSTITUTE(SUBSTITUTE(SUBSTITUTE(SUBSTITUTE(SUBSTITUTE(Клиенты_исходные!D628," ",""),"-",""),"+",""),"(",""),")",""))="8","7"&amp;MID(SUBSTITUTE(SUBSTITUTE(SUBSTITUTE(SUBSTITUTE(SUBSTITUTE(Клиенты_исходные!D628," ",""),"-",""),"+",""),"(",""),")",""),2,10),SUBSTITUTE(SUBSTITUTE(SUBSTITUTE(SUBSTITUTE(SUBSTITUTE(Клиенты_исходные!D628," ",""),"-",""),"+",""),"(",""),")","")),8,2)&amp;"-"&amp;MID(IF(LEFT(SUBSTITUTE(SUBSTITUTE(SUBSTITUTE(SUBSTITUTE(SUBSTITUTE(Клиенты_исходные!D628," ",""),"-",""),"+",""),"(",""),")",""))="8","7"&amp;MID(SUBSTITUTE(SUBSTITUTE(SUBSTITUTE(SUBSTITUTE(SUBSTITUTE(Клиенты_исходные!D628," ",""),"-",""),"+",""),"(",""),")",""),2,10),SUBSTITUTE(SUBSTITUTE(SUBSTITUTE(SUBSTITUTE(SUBSTITUTE(Клиенты_исходные!D628," ",""),"-",""),"+",""),"(",""),")","")),10,2),IF(LEN(SUBSTITUTE(SUBSTITUTE(SUBSTITUTE(SUBSTITUTE(SUBSTITUTE(Клиенты_исходные!D628," ",""),"-",""),"+",""),"(",""),")",""))=10,"+7 ("&amp;MID(SUBSTITUTE(SUBSTITUTE(SUBSTITUTE(SUBSTITUTE(SUBSTITUTE(Клиенты_исходные!D628," ",""),"-",""),"+",""),"(",""),")",""),1,3)&amp;") "&amp;MID(SUBSTITUTE(SUBSTITUTE(SUBSTITUTE(SUBSTITUTE(SUBSTITUTE(Клиенты_исходные!D628," ",""),"-",""),"+",""),"(",""),")",""),4,3)&amp;"-"&amp;MID(SUBSTITUTE(SUBSTITUTE(SUBSTITUTE(SUBSTITUTE(SUBSTITUTE(Клиенты_исходные!D628," ",""),"-",""),"+",""),"(",""),")",""),6,2)&amp;"-"&amp;MID(SUBSTITUTE(SUBSTITUTE(SUBSTITUTE(SUBSTITUTE(SUBSTITUTE(Клиенты_исходные!D628," ",""),"-",""),"+",""),"(",""),")",""),8,2),Клиенты_исходные!D628)))</f>
        <v xml:space="preserve">+7 (903) 567-89-01</v>
      </c>
      <c r="E628" t="str">
        <f>IF(ISBLANK(Клиенты_исходные!E628),"",IF(ISNUMBER(FIND(".",MID(Клиенты_исходные!E628,FIND("@",Клиенты_исходные!E628)+1,255))),Клиенты_исходные!E628,IF(ISNUMBER(FIND("gmail",Клиенты_исходные!E628)),Клиенты_исходные!E628&amp;".com",Клиенты_исходные!E628&amp;".ru")))</f>
        <v>korneeva@gmail.com</v>
      </c>
      <c r="F628" t="str">
        <f>IFERROR(VLOOKUP(Клиенты_исходные!F628,Справочники!$J$2:$K$50,2,FALSE),Клиенты_исходные!F628)</f>
        <v>Новороссийск</v>
      </c>
      <c r="G628" s="8">
        <f>IFERROR(IF(ISNUMBER(FIND(".",Клиенты_исходные!G628)),DATE(RIGHT(Клиенты_исходные!G628,4),MID(Клиенты_исходные!G628,4,2),LEFT(Клиенты_исходные!G628,2)),DATE(LEFT(Клиенты_исходные!G628,4),MID(Клиенты_исходные!G628,6,2),RIGHT(Клиенты_исходные!G628,2))),Клиенты_исходные!G628)</f>
        <v>50905</v>
      </c>
      <c r="H628">
        <f t="shared" ca="1" si="76"/>
        <v>51</v>
      </c>
      <c r="I628" t="str">
        <f t="shared" si="77"/>
        <v>OK</v>
      </c>
      <c r="J628" t="str">
        <f t="shared" si="78"/>
        <v>OK</v>
      </c>
    </row>
    <row r="629">
      <c r="A629" t="str">
        <f>Клиенты_исходные!A629</f>
        <v>C0628</v>
      </c>
      <c r="B629" t="str">
        <f>PROPER(TRIM(Клиенты_исходные!B629))</f>
        <v xml:space="preserve">Сидоров Денис Павлович</v>
      </c>
      <c r="C629" s="8">
        <f>IFERROR(IF(ISNUMBER(FIND(".",Клиенты_исходные!C629)),DATE(RIGHT(Клиенты_исходные!C629,4),MID(Клиенты_исходные!C629,4,2),LEFT(Клиенты_исходные!C629,2)),DATE(LEFT(Клиенты_исходные!C629,4),MID(Клиенты_исходные!C629,6,2),RIGHT(Клиенты_исходные!C629,2))),Клиенты_исходные!C629)</f>
        <v>30871</v>
      </c>
      <c r="D629" t="str">
        <f>IF(ISBLANK(Клиенты_исходные!D629),"",IF(LEN(SUBSTITUTE(SUBSTITUTE(SUBSTITUTE(SUBSTITUTE(SUBSTITUTE(Клиенты_исходные!D629," ",""),"-",""),"+",""),"(",""),")",""))=11,"+7 ("&amp;MID(IF(LEFT(SUBSTITUTE(SUBSTITUTE(SUBSTITUTE(SUBSTITUTE(SUBSTITUTE(Клиенты_исходные!D629," ",""),"-",""),"+",""),"(",""),")",""))="8","7"&amp;MID(SUBSTITUTE(SUBSTITUTE(SUBSTITUTE(SUBSTITUTE(SUBSTITUTE(Клиенты_исходные!D629," ",""),"-",""),"+",""),"(",""),")",""),2,10),SUBSTITUTE(SUBSTITUTE(SUBSTITUTE(SUBSTITUTE(SUBSTITUTE(Клиенты_исходные!D629," ",""),"-",""),"+",""),"(",""),")","")),2,3)&amp;") "&amp;MID(IF(LEFT(SUBSTITUTE(SUBSTITUTE(SUBSTITUTE(SUBSTITUTE(SUBSTITUTE(Клиенты_исходные!D629," ",""),"-",""),"+",""),"(",""),")",""))="8","7"&amp;MID(SUBSTITUTE(SUBSTITUTE(SUBSTITUTE(SUBSTITUTE(SUBSTITUTE(Клиенты_исходные!D629," ",""),"-",""),"+",""),"(",""),")",""),2,10),SUBSTITUTE(SUBSTITUTE(SUBSTITUTE(SUBSTITUTE(SUBSTITUTE(Клиенты_исходные!D629," ",""),"-",""),"+",""),"(",""),")","")),5,3)&amp;"-"&amp;MID(IF(LEFT(SUBSTITUTE(SUBSTITUTE(SUBSTITUTE(SUBSTITUTE(SUBSTITUTE(Клиенты_исходные!D629," ",""),"-",""),"+",""),"(",""),")",""))="8","7"&amp;MID(SUBSTITUTE(SUBSTITUTE(SUBSTITUTE(SUBSTITUTE(SUBSTITUTE(Клиенты_исходные!D629," ",""),"-",""),"+",""),"(",""),")",""),2,10),SUBSTITUTE(SUBSTITUTE(SUBSTITUTE(SUBSTITUTE(SUBSTITUTE(Клиенты_исходные!D629," ",""),"-",""),"+",""),"(",""),")","")),8,2)&amp;"-"&amp;MID(IF(LEFT(SUBSTITUTE(SUBSTITUTE(SUBSTITUTE(SUBSTITUTE(SUBSTITUTE(Клиенты_исходные!D629," ",""),"-",""),"+",""),"(",""),")",""))="8","7"&amp;MID(SUBSTITUTE(SUBSTITUTE(SUBSTITUTE(SUBSTITUTE(SUBSTITUTE(Клиенты_исходные!D629," ",""),"-",""),"+",""),"(",""),")",""),2,10),SUBSTITUTE(SUBSTITUTE(SUBSTITUTE(SUBSTITUTE(SUBSTITUTE(Клиенты_исходные!D629," ",""),"-",""),"+",""),"(",""),")","")),10,2),IF(LEN(SUBSTITUTE(SUBSTITUTE(SUBSTITUTE(SUBSTITUTE(SUBSTITUTE(Клиенты_исходные!D629," ",""),"-",""),"+",""),"(",""),")",""))=10,"+7 ("&amp;MID(SUBSTITUTE(SUBSTITUTE(SUBSTITUTE(SUBSTITUTE(SUBSTITUTE(Клиенты_исходные!D629," ",""),"-",""),"+",""),"(",""),")",""),1,3)&amp;") "&amp;MID(SUBSTITUTE(SUBSTITUTE(SUBSTITUTE(SUBSTITUTE(SUBSTITUTE(Клиенты_исходные!D629," ",""),"-",""),"+",""),"(",""),")",""),4,3)&amp;"-"&amp;MID(SUBSTITUTE(SUBSTITUTE(SUBSTITUTE(SUBSTITUTE(SUBSTITUTE(Клиенты_исходные!D629," ",""),"-",""),"+",""),"(",""),")",""),6,2)&amp;"-"&amp;MID(SUBSTITUTE(SUBSTITUTE(SUBSTITUTE(SUBSTITUTE(SUBSTITUTE(Клиенты_исходные!D629," ",""),"-",""),"+",""),"(",""),")",""),8,2),Клиенты_исходные!D629)))</f>
        <v xml:space="preserve">+7 (903) 567-89-01</v>
      </c>
      <c r="E629" t="str">
        <f>IF(ISBLANK(Клиенты_исходные!E629),"",IF(ISNUMBER(FIND(".",MID(Клиенты_исходные!E629,FIND("@",Клиенты_исходные!E629)+1,255))),Клиенты_исходные!E629,IF(ISNUMBER(FIND("gmail",Клиенты_исходные!E629)),Клиенты_исходные!E629&amp;".com",Клиенты_исходные!E629&amp;".ru")))</f>
        <v>sidorov@mail.ru</v>
      </c>
      <c r="F629" t="str">
        <f>IFERROR(VLOOKUP(Клиенты_исходные!F629,Справочники!$J$2:$K$50,2,FALSE),Клиенты_исходные!F629)</f>
        <v>Химки</v>
      </c>
      <c r="G629" s="8">
        <f>IFERROR(IF(ISNUMBER(FIND(".",Клиенты_исходные!G629)),DATE(RIGHT(Клиенты_исходные!G629,4),MID(Клиенты_исходные!G629,4,2),LEFT(Клиенты_исходные!G629,2)),DATE(LEFT(Клиенты_исходные!G629,4),MID(Клиенты_исходные!G629,6,2),RIGHT(Клиенты_исходные!G629,2))),Клиенты_исходные!G629)</f>
        <v>50922</v>
      </c>
      <c r="H629">
        <f t="shared" ca="1" si="76"/>
        <v>42</v>
      </c>
      <c r="I629" t="str">
        <f t="shared" si="77"/>
        <v>OK</v>
      </c>
      <c r="J629" t="str">
        <f t="shared" si="78"/>
        <v>OK</v>
      </c>
    </row>
    <row r="630">
      <c r="A630" t="str">
        <f>Клиенты_исходные!A630</f>
        <v>C0629</v>
      </c>
      <c r="B630" t="str">
        <f>PROPER(TRIM(Клиенты_исходные!B630))</f>
        <v xml:space="preserve">Бирюкова Ольга Сергеевна</v>
      </c>
      <c r="C630" s="8">
        <f>IFERROR(IF(ISNUMBER(FIND(".",Клиенты_исходные!C630)),DATE(RIGHT(Клиенты_исходные!C630,4),MID(Клиенты_исходные!C630,4,2),LEFT(Клиенты_исходные!C630,2)),DATE(LEFT(Клиенты_исходные!C630,4),MID(Клиенты_исходные!C630,6,2),RIGHT(Клиенты_исходные!C630,2))),Клиенты_исходные!C630)</f>
        <v>32950</v>
      </c>
      <c r="D630" t="str">
        <f>IF(ISBLANK(Клиенты_исходные!D630),"",IF(LEN(SUBSTITUTE(SUBSTITUTE(SUBSTITUTE(SUBSTITUTE(SUBSTITUTE(Клиенты_исходные!D630," ",""),"-",""),"+",""),"(",""),")",""))=11,"+7 ("&amp;MID(IF(LEFT(SUBSTITUTE(SUBSTITUTE(SUBSTITUTE(SUBSTITUTE(SUBSTITUTE(Клиенты_исходные!D630," ",""),"-",""),"+",""),"(",""),")",""))="8","7"&amp;MID(SUBSTITUTE(SUBSTITUTE(SUBSTITUTE(SUBSTITUTE(SUBSTITUTE(Клиенты_исходные!D630," ",""),"-",""),"+",""),"(",""),")",""),2,10),SUBSTITUTE(SUBSTITUTE(SUBSTITUTE(SUBSTITUTE(SUBSTITUTE(Клиенты_исходные!D630," ",""),"-",""),"+",""),"(",""),")","")),2,3)&amp;") "&amp;MID(IF(LEFT(SUBSTITUTE(SUBSTITUTE(SUBSTITUTE(SUBSTITUTE(SUBSTITUTE(Клиенты_исходные!D630," ",""),"-",""),"+",""),"(",""),")",""))="8","7"&amp;MID(SUBSTITUTE(SUBSTITUTE(SUBSTITUTE(SUBSTITUTE(SUBSTITUTE(Клиенты_исходные!D630," ",""),"-",""),"+",""),"(",""),")",""),2,10),SUBSTITUTE(SUBSTITUTE(SUBSTITUTE(SUBSTITUTE(SUBSTITUTE(Клиенты_исходные!D630," ",""),"-",""),"+",""),"(",""),")","")),5,3)&amp;"-"&amp;MID(IF(LEFT(SUBSTITUTE(SUBSTITUTE(SUBSTITUTE(SUBSTITUTE(SUBSTITUTE(Клиенты_исходные!D630," ",""),"-",""),"+",""),"(",""),")",""))="8","7"&amp;MID(SUBSTITUTE(SUBSTITUTE(SUBSTITUTE(SUBSTITUTE(SUBSTITUTE(Клиенты_исходные!D630," ",""),"-",""),"+",""),"(",""),")",""),2,10),SUBSTITUTE(SUBSTITUTE(SUBSTITUTE(SUBSTITUTE(SUBSTITUTE(Клиенты_исходные!D630," ",""),"-",""),"+",""),"(",""),")","")),8,2)&amp;"-"&amp;MID(IF(LEFT(SUBSTITUTE(SUBSTITUTE(SUBSTITUTE(SUBSTITUTE(SUBSTITUTE(Клиенты_исходные!D630," ",""),"-",""),"+",""),"(",""),")",""))="8","7"&amp;MID(SUBSTITUTE(SUBSTITUTE(SUBSTITUTE(SUBSTITUTE(SUBSTITUTE(Клиенты_исходные!D630," ",""),"-",""),"+",""),"(",""),")",""),2,10),SUBSTITUTE(SUBSTITUTE(SUBSTITUTE(SUBSTITUTE(SUBSTITUTE(Клиенты_исходные!D630," ",""),"-",""),"+",""),"(",""),")","")),10,2),IF(LEN(SUBSTITUTE(SUBSTITUTE(SUBSTITUTE(SUBSTITUTE(SUBSTITUTE(Клиенты_исходные!D630," ",""),"-",""),"+",""),"(",""),")",""))=10,"+7 ("&amp;MID(SUBSTITUTE(SUBSTITUTE(SUBSTITUTE(SUBSTITUTE(SUBSTITUTE(Клиенты_исходные!D630," ",""),"-",""),"+",""),"(",""),")",""),1,3)&amp;") "&amp;MID(SUBSTITUTE(SUBSTITUTE(SUBSTITUTE(SUBSTITUTE(SUBSTITUTE(Клиенты_исходные!D630," ",""),"-",""),"+",""),"(",""),")",""),4,3)&amp;"-"&amp;MID(SUBSTITUTE(SUBSTITUTE(SUBSTITUTE(SUBSTITUTE(SUBSTITUTE(Клиенты_исходные!D630," ",""),"-",""),"+",""),"(",""),")",""),6,2)&amp;"-"&amp;MID(SUBSTITUTE(SUBSTITUTE(SUBSTITUTE(SUBSTITUTE(SUBSTITUTE(Клиенты_исходные!D630," ",""),"-",""),"+",""),"(",""),")",""),8,2),Клиенты_исходные!D630)))</f>
        <v xml:space="preserve">+7 (903) 567-89-01</v>
      </c>
      <c r="E630" t="str">
        <f>IF(ISBLANK(Клиенты_исходные!E630),"",IF(ISNUMBER(FIND(".",MID(Клиенты_исходные!E630,FIND("@",Клиенты_исходные!E630)+1,255))),Клиенты_исходные!E630,IF(ISNUMBER(FIND("gmail",Клиенты_исходные!E630)),Клиенты_исходные!E630&amp;".com",Клиенты_исходные!E630&amp;".ru")))</f>
        <v>biryukova@yandex.ru</v>
      </c>
      <c r="F630" t="str">
        <f>IFERROR(VLOOKUP(Клиенты_исходные!F630,Справочники!$J$2:$K$50,2,FALSE),Клиенты_исходные!F630)</f>
        <v>Подольск</v>
      </c>
      <c r="G630" s="8">
        <f>IFERROR(IF(ISNUMBER(FIND(".",Клиенты_исходные!G630)),DATE(RIGHT(Клиенты_исходные!G630,4),MID(Клиенты_исходные!G630,4,2),LEFT(Клиенты_исходные!G630,2)),DATE(LEFT(Клиенты_исходные!G630,4),MID(Клиенты_исходные!G630,6,2),RIGHT(Клиенты_исходные!G630,2))),Клиенты_исходные!G630)</f>
        <v>50931</v>
      </c>
      <c r="H630">
        <f t="shared" ca="1" si="76"/>
        <v>36</v>
      </c>
      <c r="I630" t="str">
        <f t="shared" si="77"/>
        <v>OK</v>
      </c>
      <c r="J630" t="str">
        <f t="shared" si="78"/>
        <v>OK</v>
      </c>
    </row>
    <row r="631">
      <c r="A631" t="str">
        <f>Клиенты_исходные!A631</f>
        <v>C0630</v>
      </c>
      <c r="B631" t="str">
        <f>PROPER(TRIM(Клиенты_исходные!B631))</f>
        <v xml:space="preserve">Елисеев Илья Викторович</v>
      </c>
      <c r="C631" s="8">
        <f>IFERROR(IF(ISNUMBER(FIND(".",Клиенты_исходные!C631)),DATE(RIGHT(Клиенты_исходные!C631,4),MID(Клиенты_исходные!C631,4,2),LEFT(Клиенты_исходные!C631,2)),DATE(LEFT(Клиенты_исходные!C631,4),MID(Клиенты_исходные!C631,6,2),RIGHT(Клиенты_исходные!C631,2))),Клиенты_исходные!C631)</f>
        <v>28483</v>
      </c>
      <c r="D631" t="str">
        <f>IF(ISBLANK(Клиенты_исходные!D631),"",IF(LEN(SUBSTITUTE(SUBSTITUTE(SUBSTITUTE(SUBSTITUTE(SUBSTITUTE(Клиенты_исходные!D631," ",""),"-",""),"+",""),"(",""),")",""))=11,"+7 ("&amp;MID(IF(LEFT(SUBSTITUTE(SUBSTITUTE(SUBSTITUTE(SUBSTITUTE(SUBSTITUTE(Клиенты_исходные!D631," ",""),"-",""),"+",""),"(",""),")",""))="8","7"&amp;MID(SUBSTITUTE(SUBSTITUTE(SUBSTITUTE(SUBSTITUTE(SUBSTITUTE(Клиенты_исходные!D631," ",""),"-",""),"+",""),"(",""),")",""),2,10),SUBSTITUTE(SUBSTITUTE(SUBSTITUTE(SUBSTITUTE(SUBSTITUTE(Клиенты_исходные!D631," ",""),"-",""),"+",""),"(",""),")","")),2,3)&amp;") "&amp;MID(IF(LEFT(SUBSTITUTE(SUBSTITUTE(SUBSTITUTE(SUBSTITUTE(SUBSTITUTE(Клиенты_исходные!D631," ",""),"-",""),"+",""),"(",""),")",""))="8","7"&amp;MID(SUBSTITUTE(SUBSTITUTE(SUBSTITUTE(SUBSTITUTE(SUBSTITUTE(Клиенты_исходные!D631," ",""),"-",""),"+",""),"(",""),")",""),2,10),SUBSTITUTE(SUBSTITUTE(SUBSTITUTE(SUBSTITUTE(SUBSTITUTE(Клиенты_исходные!D631," ",""),"-",""),"+",""),"(",""),")","")),5,3)&amp;"-"&amp;MID(IF(LEFT(SUBSTITUTE(SUBSTITUTE(SUBSTITUTE(SUBSTITUTE(SUBSTITUTE(Клиенты_исходные!D631," ",""),"-",""),"+",""),"(",""),")",""))="8","7"&amp;MID(SUBSTITUTE(SUBSTITUTE(SUBSTITUTE(SUBSTITUTE(SUBSTITUTE(Клиенты_исходные!D631," ",""),"-",""),"+",""),"(",""),")",""),2,10),SUBSTITUTE(SUBSTITUTE(SUBSTITUTE(SUBSTITUTE(SUBSTITUTE(Клиенты_исходные!D631," ",""),"-",""),"+",""),"(",""),")","")),8,2)&amp;"-"&amp;MID(IF(LEFT(SUBSTITUTE(SUBSTITUTE(SUBSTITUTE(SUBSTITUTE(SUBSTITUTE(Клиенты_исходные!D631," ",""),"-",""),"+",""),"(",""),")",""))="8","7"&amp;MID(SUBSTITUTE(SUBSTITUTE(SUBSTITUTE(SUBSTITUTE(SUBSTITUTE(Клиенты_исходные!D631," ",""),"-",""),"+",""),"(",""),")",""),2,10),SUBSTITUTE(SUBSTITUTE(SUBSTITUTE(SUBSTITUTE(SUBSTITUTE(Клиенты_исходные!D631," ",""),"-",""),"+",""),"(",""),")","")),10,2),IF(LEN(SUBSTITUTE(SUBSTITUTE(SUBSTITUTE(SUBSTITUTE(SUBSTITUTE(Клиенты_исходные!D631," ",""),"-",""),"+",""),"(",""),")",""))=10,"+7 ("&amp;MID(SUBSTITUTE(SUBSTITUTE(SUBSTITUTE(SUBSTITUTE(SUBSTITUTE(Клиенты_исходные!D631," ",""),"-",""),"+",""),"(",""),")",""),1,3)&amp;") "&amp;MID(SUBSTITUTE(SUBSTITUTE(SUBSTITUTE(SUBSTITUTE(SUBSTITUTE(Клиенты_исходные!D631," ",""),"-",""),"+",""),"(",""),")",""),4,3)&amp;"-"&amp;MID(SUBSTITUTE(SUBSTITUTE(SUBSTITUTE(SUBSTITUTE(SUBSTITUTE(Клиенты_исходные!D631," ",""),"-",""),"+",""),"(",""),")",""),6,2)&amp;"-"&amp;MID(SUBSTITUTE(SUBSTITUTE(SUBSTITUTE(SUBSTITUTE(SUBSTITUTE(Клиенты_исходные!D631," ",""),"-",""),"+",""),"(",""),")",""),8,2),Клиенты_исходные!D631)))</f>
        <v xml:space="preserve">+7 (903) 678-90-12</v>
      </c>
      <c r="E631" t="str">
        <f>IF(ISBLANK(Клиенты_исходные!E631),"",IF(ISNUMBER(FIND(".",MID(Клиенты_исходные!E631,FIND("@",Клиенты_исходные!E631)+1,255))),Клиенты_исходные!E631,IF(ISNUMBER(FIND("gmail",Клиенты_исходные!E631)),Клиенты_исходные!E631&amp;".com",Клиенты_исходные!E631&amp;".ru")))</f>
        <v>eliseev@gmail.com</v>
      </c>
      <c r="F631" t="str">
        <f>IFERROR(VLOOKUP(Клиенты_исходные!F631,Справочники!$J$2:$K$50,2,FALSE),Клиенты_исходные!F631)</f>
        <v>Балашиха</v>
      </c>
      <c r="G631" s="8">
        <f>IFERROR(IF(ISNUMBER(FIND(".",Клиенты_исходные!G631)),DATE(RIGHT(Клиенты_исходные!G631,4),MID(Клиенты_исходные!G631,4,2),LEFT(Клиенты_исходные!G631,2)),DATE(LEFT(Клиенты_исходные!G631,4),MID(Клиенты_исходные!G631,6,2),RIGHT(Клиенты_исходные!G631,2))),Клиенты_исходные!G631)</f>
        <v>50931</v>
      </c>
      <c r="H631">
        <f t="shared" ca="1" si="76"/>
        <v>48</v>
      </c>
      <c r="I631" t="str">
        <f t="shared" si="77"/>
        <v>OK</v>
      </c>
      <c r="J631" t="str">
        <f t="shared" si="78"/>
        <v>OK</v>
      </c>
    </row>
    <row r="632">
      <c r="A632" t="str">
        <f>Клиенты_исходные!A632</f>
        <v>C0631</v>
      </c>
      <c r="B632" t="str">
        <f>PROPER(TRIM(Клиенты_исходные!B632))</f>
        <v xml:space="preserve">Демидова Екатерина Алексеевна</v>
      </c>
      <c r="C632" s="8">
        <f>IFERROR(IF(ISNUMBER(FIND(".",Клиенты_исходные!C632)),DATE(RIGHT(Клиенты_исходные!C632,4),MID(Клиенты_исходные!C632,4,2),LEFT(Клиенты_исходные!C632,2)),DATE(LEFT(Клиенты_исходные!C632,4),MID(Клиенты_исходные!C632,6,2),RIGHT(Клиенты_исходные!C632,2))),Клиенты_исходные!C632)</f>
        <v>31706</v>
      </c>
      <c r="D632" t="str">
        <f>IF(ISBLANK(Клиенты_исходные!D632),"",IF(LEN(SUBSTITUTE(SUBSTITUTE(SUBSTITUTE(SUBSTITUTE(SUBSTITUTE(Клиенты_исходные!D632," ",""),"-",""),"+",""),"(",""),")",""))=11,"+7 ("&amp;MID(IF(LEFT(SUBSTITUTE(SUBSTITUTE(SUBSTITUTE(SUBSTITUTE(SUBSTITUTE(Клиенты_исходные!D632," ",""),"-",""),"+",""),"(",""),")",""))="8","7"&amp;MID(SUBSTITUTE(SUBSTITUTE(SUBSTITUTE(SUBSTITUTE(SUBSTITUTE(Клиенты_исходные!D632," ",""),"-",""),"+",""),"(",""),")",""),2,10),SUBSTITUTE(SUBSTITUTE(SUBSTITUTE(SUBSTITUTE(SUBSTITUTE(Клиенты_исходные!D632," ",""),"-",""),"+",""),"(",""),")","")),2,3)&amp;") "&amp;MID(IF(LEFT(SUBSTITUTE(SUBSTITUTE(SUBSTITUTE(SUBSTITUTE(SUBSTITUTE(Клиенты_исходные!D632," ",""),"-",""),"+",""),"(",""),")",""))="8","7"&amp;MID(SUBSTITUTE(SUBSTITUTE(SUBSTITUTE(SUBSTITUTE(SUBSTITUTE(Клиенты_исходные!D632," ",""),"-",""),"+",""),"(",""),")",""),2,10),SUBSTITUTE(SUBSTITUTE(SUBSTITUTE(SUBSTITUTE(SUBSTITUTE(Клиенты_исходные!D632," ",""),"-",""),"+",""),"(",""),")","")),5,3)&amp;"-"&amp;MID(IF(LEFT(SUBSTITUTE(SUBSTITUTE(SUBSTITUTE(SUBSTITUTE(SUBSTITUTE(Клиенты_исходные!D632," ",""),"-",""),"+",""),"(",""),")",""))="8","7"&amp;MID(SUBSTITUTE(SUBSTITUTE(SUBSTITUTE(SUBSTITUTE(SUBSTITUTE(Клиенты_исходные!D632," ",""),"-",""),"+",""),"(",""),")",""),2,10),SUBSTITUTE(SUBSTITUTE(SUBSTITUTE(SUBSTITUTE(SUBSTITUTE(Клиенты_исходные!D632," ",""),"-",""),"+",""),"(",""),")","")),8,2)&amp;"-"&amp;MID(IF(LEFT(SUBSTITUTE(SUBSTITUTE(SUBSTITUTE(SUBSTITUTE(SUBSTITUTE(Клиенты_исходные!D632," ",""),"-",""),"+",""),"(",""),")",""))="8","7"&amp;MID(SUBSTITUTE(SUBSTITUTE(SUBSTITUTE(SUBSTITUTE(SUBSTITUTE(Клиенты_исходные!D632," ",""),"-",""),"+",""),"(",""),")",""),2,10),SUBSTITUTE(SUBSTITUTE(SUBSTITUTE(SUBSTITUTE(SUBSTITUTE(Клиенты_исходные!D632," ",""),"-",""),"+",""),"(",""),")","")),10,2),IF(LEN(SUBSTITUTE(SUBSTITUTE(SUBSTITUTE(SUBSTITUTE(SUBSTITUTE(Клиенты_исходные!D632," ",""),"-",""),"+",""),"(",""),")",""))=10,"+7 ("&amp;MID(SUBSTITUTE(SUBSTITUTE(SUBSTITUTE(SUBSTITUTE(SUBSTITUTE(Клиенты_исходные!D632," ",""),"-",""),"+",""),"(",""),")",""),1,3)&amp;") "&amp;MID(SUBSTITUTE(SUBSTITUTE(SUBSTITUTE(SUBSTITUTE(SUBSTITUTE(Клиенты_исходные!D632," ",""),"-",""),"+",""),"(",""),")",""),4,3)&amp;"-"&amp;MID(SUBSTITUTE(SUBSTITUTE(SUBSTITUTE(SUBSTITUTE(SUBSTITUTE(Клиенты_исходные!D632," ",""),"-",""),"+",""),"(",""),")",""),6,2)&amp;"-"&amp;MID(SUBSTITUTE(SUBSTITUTE(SUBSTITUTE(SUBSTITUTE(SUBSTITUTE(Клиенты_исходные!D632," ",""),"-",""),"+",""),"(",""),")",""),8,2),Клиенты_исходные!D632)))</f>
        <v xml:space="preserve">+7 (903) 678-90-12</v>
      </c>
      <c r="E632" t="str">
        <f>IF(ISBLANK(Клиенты_исходные!E632),"",IF(ISNUMBER(FIND(".",MID(Клиенты_исходные!E632,FIND("@",Клиенты_исходные!E632)+1,255))),Клиенты_исходные!E632,IF(ISNUMBER(FIND("gmail",Клиенты_исходные!E632)),Клиенты_исходные!E632&amp;".com",Клиенты_исходные!E632&amp;".ru")))</f>
        <v>demidova@mail.ru</v>
      </c>
      <c r="F632" t="str">
        <f>IFERROR(VLOOKUP(Клиенты_исходные!F632,Справочники!$J$2:$K$50,2,FALSE),Клиенты_исходные!F632)</f>
        <v>Сургут</v>
      </c>
      <c r="G632" s="8">
        <f>IFERROR(IF(ISNUMBER(FIND(".",Клиенты_исходные!G632)),DATE(RIGHT(Клиенты_исходные!G632,4),MID(Клиенты_исходные!G632,4,2),LEFT(Клиенты_исходные!G632,2)),DATE(LEFT(Клиенты_исходные!G632,4),MID(Клиенты_исходные!G632,6,2),RIGHT(Клиенты_исходные!G632,2))),Клиенты_исходные!G632)</f>
        <v>50952</v>
      </c>
      <c r="H632">
        <f t="shared" ca="1" si="76"/>
        <v>39</v>
      </c>
      <c r="I632" t="str">
        <f t="shared" si="77"/>
        <v>OK</v>
      </c>
      <c r="J632" t="str">
        <f t="shared" si="78"/>
        <v>OK</v>
      </c>
    </row>
    <row r="633">
      <c r="A633" t="str">
        <f>Клиенты_исходные!A633</f>
        <v>C0632</v>
      </c>
      <c r="B633" t="str">
        <f>PROPER(TRIM(Клиенты_исходные!B633))</f>
        <v xml:space="preserve">Медведев Андрей Олегович</v>
      </c>
      <c r="C633" s="8">
        <f>IFERROR(IF(ISNUMBER(FIND(".",Клиенты_исходные!C633)),DATE(RIGHT(Клиенты_исходные!C633,4),MID(Клиенты_исходные!C633,4,2),LEFT(Клиенты_исходные!C633,2)),DATE(LEFT(Клиенты_исходные!C633,4),MID(Клиенты_исходные!C633,6,2),RIGHT(Клиенты_исходные!C633,2))),Клиенты_исходные!C633)</f>
        <v>30170</v>
      </c>
      <c r="D633" t="str">
        <f>IF(ISBLANK(Клиенты_исходные!D633),"",IF(LEN(SUBSTITUTE(SUBSTITUTE(SUBSTITUTE(SUBSTITUTE(SUBSTITUTE(Клиенты_исходные!D633," ",""),"-",""),"+",""),"(",""),")",""))=11,"+7 ("&amp;MID(IF(LEFT(SUBSTITUTE(SUBSTITUTE(SUBSTITUTE(SUBSTITUTE(SUBSTITUTE(Клиенты_исходные!D633," ",""),"-",""),"+",""),"(",""),")",""))="8","7"&amp;MID(SUBSTITUTE(SUBSTITUTE(SUBSTITUTE(SUBSTITUTE(SUBSTITUTE(Клиенты_исходные!D633," ",""),"-",""),"+",""),"(",""),")",""),2,10),SUBSTITUTE(SUBSTITUTE(SUBSTITUTE(SUBSTITUTE(SUBSTITUTE(Клиенты_исходные!D633," ",""),"-",""),"+",""),"(",""),")","")),2,3)&amp;") "&amp;MID(IF(LEFT(SUBSTITUTE(SUBSTITUTE(SUBSTITUTE(SUBSTITUTE(SUBSTITUTE(Клиенты_исходные!D633," ",""),"-",""),"+",""),"(",""),")",""))="8","7"&amp;MID(SUBSTITUTE(SUBSTITUTE(SUBSTITUTE(SUBSTITUTE(SUBSTITUTE(Клиенты_исходные!D633," ",""),"-",""),"+",""),"(",""),")",""),2,10),SUBSTITUTE(SUBSTITUTE(SUBSTITUTE(SUBSTITUTE(SUBSTITUTE(Клиенты_исходные!D633," ",""),"-",""),"+",""),"(",""),")","")),5,3)&amp;"-"&amp;MID(IF(LEFT(SUBSTITUTE(SUBSTITUTE(SUBSTITUTE(SUBSTITUTE(SUBSTITUTE(Клиенты_исходные!D633," ",""),"-",""),"+",""),"(",""),")",""))="8","7"&amp;MID(SUBSTITUTE(SUBSTITUTE(SUBSTITUTE(SUBSTITUTE(SUBSTITUTE(Клиенты_исходные!D633," ",""),"-",""),"+",""),"(",""),")",""),2,10),SUBSTITUTE(SUBSTITUTE(SUBSTITUTE(SUBSTITUTE(SUBSTITUTE(Клиенты_исходные!D633," ",""),"-",""),"+",""),"(",""),")","")),8,2)&amp;"-"&amp;MID(IF(LEFT(SUBSTITUTE(SUBSTITUTE(SUBSTITUTE(SUBSTITUTE(SUBSTITUTE(Клиенты_исходные!D633," ",""),"-",""),"+",""),"(",""),")",""))="8","7"&amp;MID(SUBSTITUTE(SUBSTITUTE(SUBSTITUTE(SUBSTITUTE(SUBSTITUTE(Клиенты_исходные!D633," ",""),"-",""),"+",""),"(",""),")",""),2,10),SUBSTITUTE(SUBSTITUTE(SUBSTITUTE(SUBSTITUTE(SUBSTITUTE(Клиенты_исходные!D633," ",""),"-",""),"+",""),"(",""),")","")),10,2),IF(LEN(SUBSTITUTE(SUBSTITUTE(SUBSTITUTE(SUBSTITUTE(SUBSTITUTE(Клиенты_исходные!D633," ",""),"-",""),"+",""),"(",""),")",""))=10,"+7 ("&amp;MID(SUBSTITUTE(SUBSTITUTE(SUBSTITUTE(SUBSTITUTE(SUBSTITUTE(Клиенты_исходные!D633," ",""),"-",""),"+",""),"(",""),")",""),1,3)&amp;") "&amp;MID(SUBSTITUTE(SUBSTITUTE(SUBSTITUTE(SUBSTITUTE(SUBSTITUTE(Клиенты_исходные!D633," ",""),"-",""),"+",""),"(",""),")",""),4,3)&amp;"-"&amp;MID(SUBSTITUTE(SUBSTITUTE(SUBSTITUTE(SUBSTITUTE(SUBSTITUTE(Клиенты_исходные!D633," ",""),"-",""),"+",""),"(",""),")",""),6,2)&amp;"-"&amp;MID(SUBSTITUTE(SUBSTITUTE(SUBSTITUTE(SUBSTITUTE(SUBSTITUTE(Клиенты_исходные!D633," ",""),"-",""),"+",""),"(",""),")",""),8,2),Клиенты_исходные!D633)))</f>
        <v xml:space="preserve">+7 (903) 678-90-12</v>
      </c>
      <c r="E633" t="str">
        <f>IF(ISBLANK(Клиенты_исходные!E633),"",IF(ISNUMBER(FIND(".",MID(Клиенты_исходные!E633,FIND("@",Клиенты_исходные!E633)+1,255))),Клиенты_исходные!E633,IF(ISNUMBER(FIND("gmail",Клиенты_исходные!E633)),Клиенты_исходные!E633&amp;".com",Клиенты_исходные!E633&amp;".ru")))</f>
        <v>medvedev@yandex.ru</v>
      </c>
      <c r="F633" t="str">
        <f>IFERROR(VLOOKUP(Клиенты_исходные!F633,Справочники!$J$2:$K$50,2,FALSE),Клиенты_исходные!F633)</f>
        <v>Армавир</v>
      </c>
      <c r="G633" s="8">
        <f>IFERROR(IF(ISNUMBER(FIND(".",Клиенты_исходные!G633)),DATE(RIGHT(Клиенты_исходные!G633,4),MID(Клиенты_исходные!G633,4,2),LEFT(Клиенты_исходные!G633,2)),DATE(LEFT(Клиенты_исходные!G633,4),MID(Клиенты_исходные!G633,6,2),RIGHT(Клиенты_исходные!G633,2))),Клиенты_исходные!G633)</f>
        <v>50966</v>
      </c>
      <c r="H633">
        <f t="shared" ca="1" si="76"/>
        <v>44</v>
      </c>
      <c r="I633" t="str">
        <f t="shared" si="77"/>
        <v>OK</v>
      </c>
      <c r="J633" t="str">
        <f t="shared" si="78"/>
        <v>OK</v>
      </c>
    </row>
    <row r="634">
      <c r="A634" t="str">
        <f>Клиенты_исходные!A634</f>
        <v>C0633</v>
      </c>
      <c r="B634" t="str">
        <f>PROPER(TRIM(Клиенты_исходные!B634))</f>
        <v xml:space="preserve">Покровская Мария Павловна</v>
      </c>
      <c r="C634" s="8">
        <f>IFERROR(IF(ISNUMBER(FIND(".",Клиенты_исходные!C634)),DATE(RIGHT(Клиенты_исходные!C634,4),MID(Клиенты_исходные!C634,4,2),LEFT(Клиенты_исходные!C634,2)),DATE(LEFT(Клиенты_исходные!C634,4),MID(Клиенты_исходные!C634,6,2),RIGHT(Клиенты_исходные!C634,2))),Клиенты_исходные!C634)</f>
        <v>26799</v>
      </c>
      <c r="D634" t="str">
        <f>IF(ISBLANK(Клиенты_исходные!D634),"",IF(LEN(SUBSTITUTE(SUBSTITUTE(SUBSTITUTE(SUBSTITUTE(SUBSTITUTE(Клиенты_исходные!D634," ",""),"-",""),"+",""),"(",""),")",""))=11,"+7 ("&amp;MID(IF(LEFT(SUBSTITUTE(SUBSTITUTE(SUBSTITUTE(SUBSTITUTE(SUBSTITUTE(Клиенты_исходные!D634," ",""),"-",""),"+",""),"(",""),")",""))="8","7"&amp;MID(SUBSTITUTE(SUBSTITUTE(SUBSTITUTE(SUBSTITUTE(SUBSTITUTE(Клиенты_исходные!D634," ",""),"-",""),"+",""),"(",""),")",""),2,10),SUBSTITUTE(SUBSTITUTE(SUBSTITUTE(SUBSTITUTE(SUBSTITUTE(Клиенты_исходные!D634," ",""),"-",""),"+",""),"(",""),")","")),2,3)&amp;") "&amp;MID(IF(LEFT(SUBSTITUTE(SUBSTITUTE(SUBSTITUTE(SUBSTITUTE(SUBSTITUTE(Клиенты_исходные!D634," ",""),"-",""),"+",""),"(",""),")",""))="8","7"&amp;MID(SUBSTITUTE(SUBSTITUTE(SUBSTITUTE(SUBSTITUTE(SUBSTITUTE(Клиенты_исходные!D634," ",""),"-",""),"+",""),"(",""),")",""),2,10),SUBSTITUTE(SUBSTITUTE(SUBSTITUTE(SUBSTITUTE(SUBSTITUTE(Клиенты_исходные!D634," ",""),"-",""),"+",""),"(",""),")","")),5,3)&amp;"-"&amp;MID(IF(LEFT(SUBSTITUTE(SUBSTITUTE(SUBSTITUTE(SUBSTITUTE(SUBSTITUTE(Клиенты_исходные!D634," ",""),"-",""),"+",""),"(",""),")",""))="8","7"&amp;MID(SUBSTITUTE(SUBSTITUTE(SUBSTITUTE(SUBSTITUTE(SUBSTITUTE(Клиенты_исходные!D634," ",""),"-",""),"+",""),"(",""),")",""),2,10),SUBSTITUTE(SUBSTITUTE(SUBSTITUTE(SUBSTITUTE(SUBSTITUTE(Клиенты_исходные!D634," ",""),"-",""),"+",""),"(",""),")","")),8,2)&amp;"-"&amp;MID(IF(LEFT(SUBSTITUTE(SUBSTITUTE(SUBSTITUTE(SUBSTITUTE(SUBSTITUTE(Клиенты_исходные!D634," ",""),"-",""),"+",""),"(",""),")",""))="8","7"&amp;MID(SUBSTITUTE(SUBSTITUTE(SUBSTITUTE(SUBSTITUTE(SUBSTITUTE(Клиенты_исходные!D634," ",""),"-",""),"+",""),"(",""),")",""),2,10),SUBSTITUTE(SUBSTITUTE(SUBSTITUTE(SUBSTITUTE(SUBSTITUTE(Клиенты_исходные!D634," ",""),"-",""),"+",""),"(",""),")","")),10,2),IF(LEN(SUBSTITUTE(SUBSTITUTE(SUBSTITUTE(SUBSTITUTE(SUBSTITUTE(Клиенты_исходные!D634," ",""),"-",""),"+",""),"(",""),")",""))=10,"+7 ("&amp;MID(SUBSTITUTE(SUBSTITUTE(SUBSTITUTE(SUBSTITUTE(SUBSTITUTE(Клиенты_исходные!D634," ",""),"-",""),"+",""),"(",""),")",""),1,3)&amp;") "&amp;MID(SUBSTITUTE(SUBSTITUTE(SUBSTITUTE(SUBSTITUTE(SUBSTITUTE(Клиенты_исходные!D634," ",""),"-",""),"+",""),"(",""),")",""),4,3)&amp;"-"&amp;MID(SUBSTITUTE(SUBSTITUTE(SUBSTITUTE(SUBSTITUTE(SUBSTITUTE(Клиенты_исходные!D634," ",""),"-",""),"+",""),"(",""),")",""),6,2)&amp;"-"&amp;MID(SUBSTITUTE(SUBSTITUTE(SUBSTITUTE(SUBSTITUTE(SUBSTITUTE(Клиенты_исходные!D634," ",""),"-",""),"+",""),"(",""),")",""),8,2),Клиенты_исходные!D634)))</f>
        <v xml:space="preserve">+7 (903) 789-01-23</v>
      </c>
      <c r="E634" t="str">
        <f>IF(ISBLANK(Клиенты_исходные!E634),"",IF(ISNUMBER(FIND(".",MID(Клиенты_исходные!E634,FIND("@",Клиенты_исходные!E634)+1,255))),Клиенты_исходные!E634,IF(ISNUMBER(FIND("gmail",Клиенты_исходные!E634)),Клиенты_исходные!E634&amp;".com",Клиенты_исходные!E634&amp;".ru")))</f>
        <v>pokrovskaya@gmail.com</v>
      </c>
      <c r="F634" t="str">
        <f>IFERROR(VLOOKUP(Клиенты_исходные!F634,Справочники!$J$2:$K$50,2,FALSE),Клиенты_исходные!F634)</f>
        <v>Волжский</v>
      </c>
      <c r="G634" s="8">
        <f>IFERROR(IF(ISNUMBER(FIND(".",Клиенты_исходные!G634)),DATE(RIGHT(Клиенты_исходные!G634,4),MID(Клиенты_исходные!G634,4,2),LEFT(Клиенты_исходные!G634,2)),DATE(LEFT(Клиенты_исходные!G634,4),MID(Клиенты_исходные!G634,6,2),RIGHT(Клиенты_исходные!G634,2))),Клиенты_исходные!G634)</f>
        <v>50966</v>
      </c>
      <c r="H634">
        <f t="shared" ca="1" si="76"/>
        <v>53</v>
      </c>
      <c r="I634" t="str">
        <f t="shared" si="77"/>
        <v>OK</v>
      </c>
      <c r="J634" t="str">
        <f t="shared" si="78"/>
        <v>OK</v>
      </c>
    </row>
    <row r="635">
      <c r="A635" t="str">
        <f>Клиенты_исходные!A635</f>
        <v>C0634</v>
      </c>
      <c r="B635" t="str">
        <f>PROPER(TRIM(Клиенты_исходные!B635))</f>
        <v xml:space="preserve">Коршунов Денис Сергеевич</v>
      </c>
      <c r="C635" s="8">
        <f>IFERROR(IF(ISNUMBER(FIND(".",Клиенты_исходные!C635)),DATE(RIGHT(Клиенты_исходные!C635,4),MID(Клиенты_исходные!C635,4,2),LEFT(Клиенты_исходные!C635,2)),DATE(LEFT(Клиенты_исходные!C635,4),MID(Клиенты_исходные!C635,6,2),RIGHT(Клиенты_исходные!C635,2))),Клиенты_исходные!C635)</f>
        <v>32450</v>
      </c>
      <c r="D635" t="str">
        <f>IF(ISBLANK(Клиенты_исходные!D635),"",IF(LEN(SUBSTITUTE(SUBSTITUTE(SUBSTITUTE(SUBSTITUTE(SUBSTITUTE(Клиенты_исходные!D635," ",""),"-",""),"+",""),"(",""),")",""))=11,"+7 ("&amp;MID(IF(LEFT(SUBSTITUTE(SUBSTITUTE(SUBSTITUTE(SUBSTITUTE(SUBSTITUTE(Клиенты_исходные!D635," ",""),"-",""),"+",""),"(",""),")",""))="8","7"&amp;MID(SUBSTITUTE(SUBSTITUTE(SUBSTITUTE(SUBSTITUTE(SUBSTITUTE(Клиенты_исходные!D635," ",""),"-",""),"+",""),"(",""),")",""),2,10),SUBSTITUTE(SUBSTITUTE(SUBSTITUTE(SUBSTITUTE(SUBSTITUTE(Клиенты_исходные!D635," ",""),"-",""),"+",""),"(",""),")","")),2,3)&amp;") "&amp;MID(IF(LEFT(SUBSTITUTE(SUBSTITUTE(SUBSTITUTE(SUBSTITUTE(SUBSTITUTE(Клиенты_исходные!D635," ",""),"-",""),"+",""),"(",""),")",""))="8","7"&amp;MID(SUBSTITUTE(SUBSTITUTE(SUBSTITUTE(SUBSTITUTE(SUBSTITUTE(Клиенты_исходные!D635," ",""),"-",""),"+",""),"(",""),")",""),2,10),SUBSTITUTE(SUBSTITUTE(SUBSTITUTE(SUBSTITUTE(SUBSTITUTE(Клиенты_исходные!D635," ",""),"-",""),"+",""),"(",""),")","")),5,3)&amp;"-"&amp;MID(IF(LEFT(SUBSTITUTE(SUBSTITUTE(SUBSTITUTE(SUBSTITUTE(SUBSTITUTE(Клиенты_исходные!D635," ",""),"-",""),"+",""),"(",""),")",""))="8","7"&amp;MID(SUBSTITUTE(SUBSTITUTE(SUBSTITUTE(SUBSTITUTE(SUBSTITUTE(Клиенты_исходные!D635," ",""),"-",""),"+",""),"(",""),")",""),2,10),SUBSTITUTE(SUBSTITUTE(SUBSTITUTE(SUBSTITUTE(SUBSTITUTE(Клиенты_исходные!D635," ",""),"-",""),"+",""),"(",""),")","")),8,2)&amp;"-"&amp;MID(IF(LEFT(SUBSTITUTE(SUBSTITUTE(SUBSTITUTE(SUBSTITUTE(SUBSTITUTE(Клиенты_исходные!D635," ",""),"-",""),"+",""),"(",""),")",""))="8","7"&amp;MID(SUBSTITUTE(SUBSTITUTE(SUBSTITUTE(SUBSTITUTE(SUBSTITUTE(Клиенты_исходные!D635," ",""),"-",""),"+",""),"(",""),")",""),2,10),SUBSTITUTE(SUBSTITUTE(SUBSTITUTE(SUBSTITUTE(SUBSTITUTE(Клиенты_исходные!D635," ",""),"-",""),"+",""),"(",""),")","")),10,2),IF(LEN(SUBSTITUTE(SUBSTITUTE(SUBSTITUTE(SUBSTITUTE(SUBSTITUTE(Клиенты_исходные!D635," ",""),"-",""),"+",""),"(",""),")",""))=10,"+7 ("&amp;MID(SUBSTITUTE(SUBSTITUTE(SUBSTITUTE(SUBSTITUTE(SUBSTITUTE(Клиенты_исходные!D635," ",""),"-",""),"+",""),"(",""),")",""),1,3)&amp;") "&amp;MID(SUBSTITUTE(SUBSTITUTE(SUBSTITUTE(SUBSTITUTE(SUBSTITUTE(Клиенты_исходные!D635," ",""),"-",""),"+",""),"(",""),")",""),4,3)&amp;"-"&amp;MID(SUBSTITUTE(SUBSTITUTE(SUBSTITUTE(SUBSTITUTE(SUBSTITUTE(Клиенты_исходные!D635," ",""),"-",""),"+",""),"(",""),")",""),6,2)&amp;"-"&amp;MID(SUBSTITUTE(SUBSTITUTE(SUBSTITUTE(SUBSTITUTE(SUBSTITUTE(Клиенты_исходные!D635," ",""),"-",""),"+",""),"(",""),")",""),8,2),Клиенты_исходные!D635)))</f>
        <v xml:space="preserve">+7 (903) 789-01-23</v>
      </c>
      <c r="E635" t="str">
        <f>IF(ISBLANK(Клиенты_исходные!E635),"",IF(ISNUMBER(FIND(".",MID(Клиенты_исходные!E635,FIND("@",Клиенты_исходные!E635)+1,255))),Клиенты_исходные!E635,IF(ISNUMBER(FIND("gmail",Клиенты_исходные!E635)),Клиенты_исходные!E635&amp;".com",Клиенты_исходные!E635&amp;".ru")))</f>
        <v>korshunov@mail.ru</v>
      </c>
      <c r="F635" t="str">
        <f>IFERROR(VLOOKUP(Клиенты_исходные!F635,Справочники!$J$2:$K$50,2,FALSE),Клиенты_исходные!F635)</f>
        <v>Шахты</v>
      </c>
      <c r="G635" s="8">
        <f>IFERROR(IF(ISNUMBER(FIND(".",Клиенты_исходные!G635)),DATE(RIGHT(Клиенты_исходные!G635,4),MID(Клиенты_исходные!G635,4,2),LEFT(Клиенты_исходные!G635,2)),DATE(LEFT(Клиенты_исходные!G635,4),MID(Клиенты_исходные!G635,6,2),RIGHT(Клиенты_исходные!G635,2))),Клиенты_исходные!G635)</f>
        <v>50983</v>
      </c>
      <c r="H635">
        <f t="shared" ca="1" si="76"/>
        <v>37</v>
      </c>
      <c r="I635" t="str">
        <f t="shared" si="77"/>
        <v>OK</v>
      </c>
      <c r="J635" t="str">
        <f t="shared" si="78"/>
        <v>OK</v>
      </c>
    </row>
    <row r="636">
      <c r="A636" t="str">
        <f>Клиенты_исходные!A636</f>
        <v>C0635</v>
      </c>
      <c r="B636" t="str">
        <f>PROPER(TRIM(Клиенты_исходные!B636))</f>
        <v xml:space="preserve">Алексеева Ольга Владимировна</v>
      </c>
      <c r="C636" s="8">
        <f>IFERROR(IF(ISNUMBER(FIND(".",Клиенты_исходные!C636)),DATE(RIGHT(Клиенты_исходные!C636,4),MID(Клиенты_исходные!C636,4,2),LEFT(Клиенты_исходные!C636,2)),DATE(LEFT(Клиенты_исходные!C636,4),MID(Клиенты_исходные!C636,6,2),RIGHT(Клиенты_исходные!C636,2))),Клиенты_исходные!C636)</f>
        <v>31312</v>
      </c>
      <c r="D636" t="str">
        <f>IF(ISBLANK(Клиенты_исходные!D636),"",IF(LEN(SUBSTITUTE(SUBSTITUTE(SUBSTITUTE(SUBSTITUTE(SUBSTITUTE(Клиенты_исходные!D636," ",""),"-",""),"+",""),"(",""),")",""))=11,"+7 ("&amp;MID(IF(LEFT(SUBSTITUTE(SUBSTITUTE(SUBSTITUTE(SUBSTITUTE(SUBSTITUTE(Клиенты_исходные!D636," ",""),"-",""),"+",""),"(",""),")",""))="8","7"&amp;MID(SUBSTITUTE(SUBSTITUTE(SUBSTITUTE(SUBSTITUTE(SUBSTITUTE(Клиенты_исходные!D636," ",""),"-",""),"+",""),"(",""),")",""),2,10),SUBSTITUTE(SUBSTITUTE(SUBSTITUTE(SUBSTITUTE(SUBSTITUTE(Клиенты_исходные!D636," ",""),"-",""),"+",""),"(",""),")","")),2,3)&amp;") "&amp;MID(IF(LEFT(SUBSTITUTE(SUBSTITUTE(SUBSTITUTE(SUBSTITUTE(SUBSTITUTE(Клиенты_исходные!D636," ",""),"-",""),"+",""),"(",""),")",""))="8","7"&amp;MID(SUBSTITUTE(SUBSTITUTE(SUBSTITUTE(SUBSTITUTE(SUBSTITUTE(Клиенты_исходные!D636," ",""),"-",""),"+",""),"(",""),")",""),2,10),SUBSTITUTE(SUBSTITUTE(SUBSTITUTE(SUBSTITUTE(SUBSTITUTE(Клиенты_исходные!D636," ",""),"-",""),"+",""),"(",""),")","")),5,3)&amp;"-"&amp;MID(IF(LEFT(SUBSTITUTE(SUBSTITUTE(SUBSTITUTE(SUBSTITUTE(SUBSTITUTE(Клиенты_исходные!D636," ",""),"-",""),"+",""),"(",""),")",""))="8","7"&amp;MID(SUBSTITUTE(SUBSTITUTE(SUBSTITUTE(SUBSTITUTE(SUBSTITUTE(Клиенты_исходные!D636," ",""),"-",""),"+",""),"(",""),")",""),2,10),SUBSTITUTE(SUBSTITUTE(SUBSTITUTE(SUBSTITUTE(SUBSTITUTE(Клиенты_исходные!D636," ",""),"-",""),"+",""),"(",""),")","")),8,2)&amp;"-"&amp;MID(IF(LEFT(SUBSTITUTE(SUBSTITUTE(SUBSTITUTE(SUBSTITUTE(SUBSTITUTE(Клиенты_исходные!D636," ",""),"-",""),"+",""),"(",""),")",""))="8","7"&amp;MID(SUBSTITUTE(SUBSTITUTE(SUBSTITUTE(SUBSTITUTE(SUBSTITUTE(Клиенты_исходные!D636," ",""),"-",""),"+",""),"(",""),")",""),2,10),SUBSTITUTE(SUBSTITUTE(SUBSTITUTE(SUBSTITUTE(SUBSTITUTE(Клиенты_исходные!D636," ",""),"-",""),"+",""),"(",""),")","")),10,2),IF(LEN(SUBSTITUTE(SUBSTITUTE(SUBSTITUTE(SUBSTITUTE(SUBSTITUTE(Клиенты_исходные!D636," ",""),"-",""),"+",""),"(",""),")",""))=10,"+7 ("&amp;MID(SUBSTITUTE(SUBSTITUTE(SUBSTITUTE(SUBSTITUTE(SUBSTITUTE(Клиенты_исходные!D636," ",""),"-",""),"+",""),"(",""),")",""),1,3)&amp;") "&amp;MID(SUBSTITUTE(SUBSTITUTE(SUBSTITUTE(SUBSTITUTE(SUBSTITUTE(Клиенты_исходные!D636," ",""),"-",""),"+",""),"(",""),")",""),4,3)&amp;"-"&amp;MID(SUBSTITUTE(SUBSTITUTE(SUBSTITUTE(SUBSTITUTE(SUBSTITUTE(Клиенты_исходные!D636," ",""),"-",""),"+",""),"(",""),")",""),6,2)&amp;"-"&amp;MID(SUBSTITUTE(SUBSTITUTE(SUBSTITUTE(SUBSTITUTE(SUBSTITUTE(Клиенты_исходные!D636," ",""),"-",""),"+",""),"(",""),")",""),8,2),Клиенты_исходные!D636)))</f>
        <v xml:space="preserve">+7 (903) 789-01-23</v>
      </c>
      <c r="E636" t="str">
        <f>IF(ISBLANK(Клиенты_исходные!E636),"",IF(ISNUMBER(FIND(".",MID(Клиенты_исходные!E636,FIND("@",Клиенты_исходные!E636)+1,255))),Клиенты_исходные!E636,IF(ISNUMBER(FIND("gmail",Клиенты_исходные!E636)),Клиенты_исходные!E636&amp;".com",Клиенты_исходные!E636&amp;".ru")))</f>
        <v>alekseeva@yandex.ru</v>
      </c>
      <c r="F636" t="str">
        <f>IFERROR(VLOOKUP(Клиенты_исходные!F636,Справочники!$J$2:$K$50,2,FALSE),Клиенты_исходные!F636)</f>
        <v>Златоуст</v>
      </c>
      <c r="G636" s="8">
        <f>IFERROR(IF(ISNUMBER(FIND(".",Клиенты_исходные!G636)),DATE(RIGHT(Клиенты_исходные!G636,4),MID(Клиенты_исходные!G636,4,2),LEFT(Клиенты_исходные!G636,2)),DATE(LEFT(Клиенты_исходные!G636,4),MID(Клиенты_исходные!G636,6,2),RIGHT(Клиенты_исходные!G636,2))),Клиенты_исходные!G636)</f>
        <v>50992</v>
      </c>
      <c r="H636">
        <f t="shared" ca="1" si="76"/>
        <v>41</v>
      </c>
      <c r="I636" t="str">
        <f t="shared" si="77"/>
        <v>OK</v>
      </c>
      <c r="J636" t="str">
        <f t="shared" si="78"/>
        <v>OK</v>
      </c>
    </row>
    <row r="637">
      <c r="A637" t="str">
        <f>Клиенты_исходные!A637</f>
        <v>C0636</v>
      </c>
      <c r="B637" t="str">
        <f>PROPER(TRIM(Клиенты_исходные!B637))</f>
        <v xml:space="preserve">Баринов Илья Александрович</v>
      </c>
      <c r="C637" s="8">
        <f>IFERROR(IF(ISNUMBER(FIND(".",Клиенты_исходные!C637)),DATE(RIGHT(Клиенты_исходные!C637,4),MID(Клиенты_исходные!C637,4,2),LEFT(Клиенты_исходные!C637,2)),DATE(LEFT(Клиенты_исходные!C637,4),MID(Клиенты_исходные!C637,6,2),RIGHT(Клиенты_исходные!C637,2))),Клиенты_исходные!C637)</f>
        <v>28535</v>
      </c>
      <c r="D637" t="str">
        <f>IF(ISBLANK(Клиенты_исходные!D637),"",IF(LEN(SUBSTITUTE(SUBSTITUTE(SUBSTITUTE(SUBSTITUTE(SUBSTITUTE(Клиенты_исходные!D637," ",""),"-",""),"+",""),"(",""),")",""))=11,"+7 ("&amp;MID(IF(LEFT(SUBSTITUTE(SUBSTITUTE(SUBSTITUTE(SUBSTITUTE(SUBSTITUTE(Клиенты_исходные!D637," ",""),"-",""),"+",""),"(",""),")",""))="8","7"&amp;MID(SUBSTITUTE(SUBSTITUTE(SUBSTITUTE(SUBSTITUTE(SUBSTITUTE(Клиенты_исходные!D637," ",""),"-",""),"+",""),"(",""),")",""),2,10),SUBSTITUTE(SUBSTITUTE(SUBSTITUTE(SUBSTITUTE(SUBSTITUTE(Клиенты_исходные!D637," ",""),"-",""),"+",""),"(",""),")","")),2,3)&amp;") "&amp;MID(IF(LEFT(SUBSTITUTE(SUBSTITUTE(SUBSTITUTE(SUBSTITUTE(SUBSTITUTE(Клиенты_исходные!D637," ",""),"-",""),"+",""),"(",""),")",""))="8","7"&amp;MID(SUBSTITUTE(SUBSTITUTE(SUBSTITUTE(SUBSTITUTE(SUBSTITUTE(Клиенты_исходные!D637," ",""),"-",""),"+",""),"(",""),")",""),2,10),SUBSTITUTE(SUBSTITUTE(SUBSTITUTE(SUBSTITUTE(SUBSTITUTE(Клиенты_исходные!D637," ",""),"-",""),"+",""),"(",""),")","")),5,3)&amp;"-"&amp;MID(IF(LEFT(SUBSTITUTE(SUBSTITUTE(SUBSTITUTE(SUBSTITUTE(SUBSTITUTE(Клиенты_исходные!D637," ",""),"-",""),"+",""),"(",""),")",""))="8","7"&amp;MID(SUBSTITUTE(SUBSTITUTE(SUBSTITUTE(SUBSTITUTE(SUBSTITUTE(Клиенты_исходные!D637," ",""),"-",""),"+",""),"(",""),")",""),2,10),SUBSTITUTE(SUBSTITUTE(SUBSTITUTE(SUBSTITUTE(SUBSTITUTE(Клиенты_исходные!D637," ",""),"-",""),"+",""),"(",""),")","")),8,2)&amp;"-"&amp;MID(IF(LEFT(SUBSTITUTE(SUBSTITUTE(SUBSTITUTE(SUBSTITUTE(SUBSTITUTE(Клиенты_исходные!D637," ",""),"-",""),"+",""),"(",""),")",""))="8","7"&amp;MID(SUBSTITUTE(SUBSTITUTE(SUBSTITUTE(SUBSTITUTE(SUBSTITUTE(Клиенты_исходные!D637," ",""),"-",""),"+",""),"(",""),")",""),2,10),SUBSTITUTE(SUBSTITUTE(SUBSTITUTE(SUBSTITUTE(SUBSTITUTE(Клиенты_исходные!D637," ",""),"-",""),"+",""),"(",""),")","")),10,2),IF(LEN(SUBSTITUTE(SUBSTITUTE(SUBSTITUTE(SUBSTITUTE(SUBSTITUTE(Клиенты_исходные!D637," ",""),"-",""),"+",""),"(",""),")",""))=10,"+7 ("&amp;MID(SUBSTITUTE(SUBSTITUTE(SUBSTITUTE(SUBSTITUTE(SUBSTITUTE(Клиенты_исходные!D637," ",""),"-",""),"+",""),"(",""),")",""),1,3)&amp;") "&amp;MID(SUBSTITUTE(SUBSTITUTE(SUBSTITUTE(SUBSTITUTE(SUBSTITUTE(Клиенты_исходные!D637," ",""),"-",""),"+",""),"(",""),")",""),4,3)&amp;"-"&amp;MID(SUBSTITUTE(SUBSTITUTE(SUBSTITUTE(SUBSTITUTE(SUBSTITUTE(Клиенты_исходные!D637," ",""),"-",""),"+",""),"(",""),")",""),6,2)&amp;"-"&amp;MID(SUBSTITUTE(SUBSTITUTE(SUBSTITUTE(SUBSTITUTE(SUBSTITUTE(Клиенты_исходные!D637," ",""),"-",""),"+",""),"(",""),")",""),8,2),Клиенты_исходные!D637)))</f>
        <v xml:space="preserve">+7 (903) 890-12-34</v>
      </c>
      <c r="E637" t="str">
        <f>IF(ISBLANK(Клиенты_исходные!E637),"",IF(ISNUMBER(FIND(".",MID(Клиенты_исходные!E637,FIND("@",Клиенты_исходные!E637)+1,255))),Клиенты_исходные!E637,IF(ISNUMBER(FIND("gmail",Клиенты_исходные!E637)),Клиенты_исходные!E637&amp;".com",Клиенты_исходные!E637&amp;".ru")))</f>
        <v>barinov@gmail.com</v>
      </c>
      <c r="F637" t="str">
        <f>IFERROR(VLOOKUP(Клиенты_исходные!F637,Справочники!$J$2:$K$50,2,FALSE),Клиенты_исходные!F637)</f>
        <v>Ангарск</v>
      </c>
      <c r="G637" s="8">
        <f>IFERROR(IF(ISNUMBER(FIND(".",Клиенты_исходные!G637)),DATE(RIGHT(Клиенты_исходные!G637,4),MID(Клиенты_исходные!G637,4,2),LEFT(Клиенты_исходные!G637,2)),DATE(LEFT(Клиенты_исходные!G637,4),MID(Клиенты_исходные!G637,6,2),RIGHT(Клиенты_исходные!G637,2))),Клиенты_исходные!G637)</f>
        <v>50992</v>
      </c>
      <c r="H637">
        <f t="shared" ca="1" si="76"/>
        <v>48</v>
      </c>
      <c r="I637" t="str">
        <f t="shared" si="77"/>
        <v>OK</v>
      </c>
      <c r="J637" t="str">
        <f t="shared" si="78"/>
        <v>OK</v>
      </c>
    </row>
    <row r="638">
      <c r="A638" t="str">
        <f>Клиенты_исходные!A638</f>
        <v>C0637</v>
      </c>
      <c r="B638" t="str">
        <f>PROPER(TRIM(Клиенты_исходные!B638))</f>
        <v xml:space="preserve">Савельева Екатерина Сергеевна</v>
      </c>
      <c r="C638" s="8">
        <f>IFERROR(IF(ISNUMBER(FIND(".",Клиенты_исходные!C638)),DATE(RIGHT(Клиенты_исходные!C638,4),MID(Клиенты_исходные!C638,4,2),LEFT(Клиенты_исходные!C638,2)),DATE(LEFT(Клиенты_исходные!C638,4),MID(Клиенты_исходные!C638,6,2),RIGHT(Клиенты_исходные!C638,2))),Клиенты_исходные!C638)</f>
        <v>33428</v>
      </c>
      <c r="D638" t="str">
        <f>IF(ISBLANK(Клиенты_исходные!D638),"",IF(LEN(SUBSTITUTE(SUBSTITUTE(SUBSTITUTE(SUBSTITUTE(SUBSTITUTE(Клиенты_исходные!D638," ",""),"-",""),"+",""),"(",""),")",""))=11,"+7 ("&amp;MID(IF(LEFT(SUBSTITUTE(SUBSTITUTE(SUBSTITUTE(SUBSTITUTE(SUBSTITUTE(Клиенты_исходные!D638," ",""),"-",""),"+",""),"(",""),")",""))="8","7"&amp;MID(SUBSTITUTE(SUBSTITUTE(SUBSTITUTE(SUBSTITUTE(SUBSTITUTE(Клиенты_исходные!D638," ",""),"-",""),"+",""),"(",""),")",""),2,10),SUBSTITUTE(SUBSTITUTE(SUBSTITUTE(SUBSTITUTE(SUBSTITUTE(Клиенты_исходные!D638," ",""),"-",""),"+",""),"(",""),")","")),2,3)&amp;") "&amp;MID(IF(LEFT(SUBSTITUTE(SUBSTITUTE(SUBSTITUTE(SUBSTITUTE(SUBSTITUTE(Клиенты_исходные!D638," ",""),"-",""),"+",""),"(",""),")",""))="8","7"&amp;MID(SUBSTITUTE(SUBSTITUTE(SUBSTITUTE(SUBSTITUTE(SUBSTITUTE(Клиенты_исходные!D638," ",""),"-",""),"+",""),"(",""),")",""),2,10),SUBSTITUTE(SUBSTITUTE(SUBSTITUTE(SUBSTITUTE(SUBSTITUTE(Клиенты_исходные!D638," ",""),"-",""),"+",""),"(",""),")","")),5,3)&amp;"-"&amp;MID(IF(LEFT(SUBSTITUTE(SUBSTITUTE(SUBSTITUTE(SUBSTITUTE(SUBSTITUTE(Клиенты_исходные!D638," ",""),"-",""),"+",""),"(",""),")",""))="8","7"&amp;MID(SUBSTITUTE(SUBSTITUTE(SUBSTITUTE(SUBSTITUTE(SUBSTITUTE(Клиенты_исходные!D638," ",""),"-",""),"+",""),"(",""),")",""),2,10),SUBSTITUTE(SUBSTITUTE(SUBSTITUTE(SUBSTITUTE(SUBSTITUTE(Клиенты_исходные!D638," ",""),"-",""),"+",""),"(",""),")","")),8,2)&amp;"-"&amp;MID(IF(LEFT(SUBSTITUTE(SUBSTITUTE(SUBSTITUTE(SUBSTITUTE(SUBSTITUTE(Клиенты_исходные!D638," ",""),"-",""),"+",""),"(",""),")",""))="8","7"&amp;MID(SUBSTITUTE(SUBSTITUTE(SUBSTITUTE(SUBSTITUTE(SUBSTITUTE(Клиенты_исходные!D638," ",""),"-",""),"+",""),"(",""),")",""),2,10),SUBSTITUTE(SUBSTITUTE(SUBSTITUTE(SUBSTITUTE(SUBSTITUTE(Клиенты_исходные!D638," ",""),"-",""),"+",""),"(",""),")","")),10,2),IF(LEN(SUBSTITUTE(SUBSTITUTE(SUBSTITUTE(SUBSTITUTE(SUBSTITUTE(Клиенты_исходные!D638," ",""),"-",""),"+",""),"(",""),")",""))=10,"+7 ("&amp;MID(SUBSTITUTE(SUBSTITUTE(SUBSTITUTE(SUBSTITUTE(SUBSTITUTE(Клиенты_исходные!D638," ",""),"-",""),"+",""),"(",""),")",""),1,3)&amp;") "&amp;MID(SUBSTITUTE(SUBSTITUTE(SUBSTITUTE(SUBSTITUTE(SUBSTITUTE(Клиенты_исходные!D638," ",""),"-",""),"+",""),"(",""),")",""),4,3)&amp;"-"&amp;MID(SUBSTITUTE(SUBSTITUTE(SUBSTITUTE(SUBSTITUTE(SUBSTITUTE(Клиенты_исходные!D638," ",""),"-",""),"+",""),"(",""),")",""),6,2)&amp;"-"&amp;MID(SUBSTITUTE(SUBSTITUTE(SUBSTITUTE(SUBSTITUTE(SUBSTITUTE(Клиенты_исходные!D638," ",""),"-",""),"+",""),"(",""),")",""),8,2),Клиенты_исходные!D638)))</f>
        <v xml:space="preserve">+7 (903) 890-12-34</v>
      </c>
      <c r="E638" t="str">
        <f>IF(ISBLANK(Клиенты_исходные!E638),"",IF(ISNUMBER(FIND(".",MID(Клиенты_исходные!E638,FIND("@",Клиенты_исходные!E638)+1,255))),Клиенты_исходные!E638,IF(ISNUMBER(FIND("gmail",Клиенты_исходные!E638)),Клиенты_исходные!E638&amp;".com",Клиенты_исходные!E638&amp;".ru")))</f>
        <v>saveleva@mail.ru</v>
      </c>
      <c r="F638" t="str">
        <f>IFERROR(VLOOKUP(Клиенты_исходные!F638,Справочники!$J$2:$K$50,2,FALSE),Клиенты_исходные!F638)</f>
        <v>Озёрск</v>
      </c>
      <c r="G638" s="8">
        <f>IFERROR(IF(ISNUMBER(FIND(".",Клиенты_исходные!G638)),DATE(RIGHT(Клиенты_исходные!G638,4),MID(Клиенты_исходные!G638,4,2),LEFT(Клиенты_исходные!G638,2)),DATE(LEFT(Клиенты_исходные!G638,4),MID(Клиенты_исходные!G638,6,2),RIGHT(Клиенты_исходные!G638,2))),Клиенты_исходные!G638)</f>
        <v>51014</v>
      </c>
      <c r="H638">
        <f t="shared" ca="1" si="76"/>
        <v>35</v>
      </c>
      <c r="I638" t="str">
        <f t="shared" si="77"/>
        <v>OK</v>
      </c>
      <c r="J638" t="str">
        <f t="shared" si="78"/>
        <v>OK</v>
      </c>
    </row>
    <row r="639">
      <c r="A639" t="str">
        <f>Клиенты_исходные!A639</f>
        <v>C0638</v>
      </c>
      <c r="B639" t="str">
        <f>PROPER(TRIM(Клиенты_исходные!B639))</f>
        <v xml:space="preserve">Богданов Андрей Павлович</v>
      </c>
      <c r="C639" s="8">
        <f>IFERROR(IF(ISNUMBER(FIND(".",Клиенты_исходные!C639)),DATE(RIGHT(Клиенты_исходные!C639,4),MID(Клиенты_исходные!C639,4,2),LEFT(Клиенты_исходные!C639,2)),DATE(LEFT(Клиенты_исходные!C639,4),MID(Клиенты_исходные!C639,6,2),RIGHT(Клиенты_исходные!C639,2))),Клиенты_исходные!C639)</f>
        <v>29249</v>
      </c>
      <c r="D639" t="str">
        <f>IF(ISBLANK(Клиенты_исходные!D639),"",IF(LEN(SUBSTITUTE(SUBSTITUTE(SUBSTITUTE(SUBSTITUTE(SUBSTITUTE(Клиенты_исходные!D639," ",""),"-",""),"+",""),"(",""),")",""))=11,"+7 ("&amp;MID(IF(LEFT(SUBSTITUTE(SUBSTITUTE(SUBSTITUTE(SUBSTITUTE(SUBSTITUTE(Клиенты_исходные!D639," ",""),"-",""),"+",""),"(",""),")",""))="8","7"&amp;MID(SUBSTITUTE(SUBSTITUTE(SUBSTITUTE(SUBSTITUTE(SUBSTITUTE(Клиенты_исходные!D639," ",""),"-",""),"+",""),"(",""),")",""),2,10),SUBSTITUTE(SUBSTITUTE(SUBSTITUTE(SUBSTITUTE(SUBSTITUTE(Клиенты_исходные!D639," ",""),"-",""),"+",""),"(",""),")","")),2,3)&amp;") "&amp;MID(IF(LEFT(SUBSTITUTE(SUBSTITUTE(SUBSTITUTE(SUBSTITUTE(SUBSTITUTE(Клиенты_исходные!D639," ",""),"-",""),"+",""),"(",""),")",""))="8","7"&amp;MID(SUBSTITUTE(SUBSTITUTE(SUBSTITUTE(SUBSTITUTE(SUBSTITUTE(Клиенты_исходные!D639," ",""),"-",""),"+",""),"(",""),")",""),2,10),SUBSTITUTE(SUBSTITUTE(SUBSTITUTE(SUBSTITUTE(SUBSTITUTE(Клиенты_исходные!D639," ",""),"-",""),"+",""),"(",""),")","")),5,3)&amp;"-"&amp;MID(IF(LEFT(SUBSTITUTE(SUBSTITUTE(SUBSTITUTE(SUBSTITUTE(SUBSTITUTE(Клиенты_исходные!D639," ",""),"-",""),"+",""),"(",""),")",""))="8","7"&amp;MID(SUBSTITUTE(SUBSTITUTE(SUBSTITUTE(SUBSTITUTE(SUBSTITUTE(Клиенты_исходные!D639," ",""),"-",""),"+",""),"(",""),")",""),2,10),SUBSTITUTE(SUBSTITUTE(SUBSTITUTE(SUBSTITUTE(SUBSTITUTE(Клиенты_исходные!D639," ",""),"-",""),"+",""),"(",""),")","")),8,2)&amp;"-"&amp;MID(IF(LEFT(SUBSTITUTE(SUBSTITUTE(SUBSTITUTE(SUBSTITUTE(SUBSTITUTE(Клиенты_исходные!D639," ",""),"-",""),"+",""),"(",""),")",""))="8","7"&amp;MID(SUBSTITUTE(SUBSTITUTE(SUBSTITUTE(SUBSTITUTE(SUBSTITUTE(Клиенты_исходные!D639," ",""),"-",""),"+",""),"(",""),")",""),2,10),SUBSTITUTE(SUBSTITUTE(SUBSTITUTE(SUBSTITUTE(SUBSTITUTE(Клиенты_исходные!D639," ",""),"-",""),"+",""),"(",""),")","")),10,2),IF(LEN(SUBSTITUTE(SUBSTITUTE(SUBSTITUTE(SUBSTITUTE(SUBSTITUTE(Клиенты_исходные!D639," ",""),"-",""),"+",""),"(",""),")",""))=10,"+7 ("&amp;MID(SUBSTITUTE(SUBSTITUTE(SUBSTITUTE(SUBSTITUTE(SUBSTITUTE(Клиенты_исходные!D639," ",""),"-",""),"+",""),"(",""),")",""),1,3)&amp;") "&amp;MID(SUBSTITUTE(SUBSTITUTE(SUBSTITUTE(SUBSTITUTE(SUBSTITUTE(Клиенты_исходные!D639," ",""),"-",""),"+",""),"(",""),")",""),4,3)&amp;"-"&amp;MID(SUBSTITUTE(SUBSTITUTE(SUBSTITUTE(SUBSTITUTE(SUBSTITUTE(Клиенты_исходные!D639," ",""),"-",""),"+",""),"(",""),")",""),6,2)&amp;"-"&amp;MID(SUBSTITUTE(SUBSTITUTE(SUBSTITUTE(SUBSTITUTE(SUBSTITUTE(Клиенты_исходные!D639," ",""),"-",""),"+",""),"(",""),")",""),8,2),Клиенты_исходные!D639)))</f>
        <v xml:space="preserve">+7 (903) 890-12-34</v>
      </c>
      <c r="E639" t="str">
        <f>IF(ISBLANK(Клиенты_исходные!E639),"",IF(ISNUMBER(FIND(".",MID(Клиенты_исходные!E639,FIND("@",Клиенты_исходные!E639)+1,255))),Клиенты_исходные!E639,IF(ISNUMBER(FIND("gmail",Клиенты_исходные!E639)),Клиенты_исходные!E639&amp;".com",Клиенты_исходные!E639&amp;".ru")))</f>
        <v>bogdanov@yandex.ru</v>
      </c>
      <c r="F639" t="str">
        <f>IFERROR(VLOOKUP(Клиенты_исходные!F639,Справочники!$J$2:$K$50,2,FALSE),Клиенты_исходные!F639)</f>
        <v>Орел</v>
      </c>
      <c r="G639" s="8">
        <f>IFERROR(IF(ISNUMBER(FIND(".",Клиенты_исходные!G639)),DATE(RIGHT(Клиенты_исходные!G639,4),MID(Клиенты_исходные!G639,4,2),LEFT(Клиенты_исходные!G639,2)),DATE(LEFT(Клиенты_исходные!G639,4),MID(Клиенты_исходные!G639,6,2),RIGHT(Клиенты_исходные!G639,2))),Клиенты_исходные!G639)</f>
        <v>51028</v>
      </c>
      <c r="H639">
        <f t="shared" ca="1" si="76"/>
        <v>46</v>
      </c>
      <c r="I639" t="str">
        <f t="shared" si="77"/>
        <v>OK</v>
      </c>
      <c r="J639" t="str">
        <f t="shared" si="78"/>
        <v>OK</v>
      </c>
    </row>
    <row r="640">
      <c r="A640" t="str">
        <f>Клиенты_исходные!A640</f>
        <v>C0639</v>
      </c>
      <c r="B640" t="str">
        <f>PROPER(TRIM(Клиенты_исходные!B640))</f>
        <v xml:space="preserve">Петрова Мария Олеговна</v>
      </c>
      <c r="C640" s="8">
        <f>IFERROR(IF(ISNUMBER(FIND(".",Клиенты_исходные!C640)),DATE(RIGHT(Клиенты_исходные!C640,4),MID(Клиенты_исходные!C640,4,2),LEFT(Клиенты_исходные!C640,2)),DATE(LEFT(Клиенты_исходные!C640,4),MID(Клиенты_исходные!C640,6,2),RIGHT(Клиенты_исходные!C640,2))),Клиенты_исходные!C640)</f>
        <v>27381</v>
      </c>
      <c r="D640" t="str">
        <f>IF(ISBLANK(Клиенты_исходные!D640),"",IF(LEN(SUBSTITUTE(SUBSTITUTE(SUBSTITUTE(SUBSTITUTE(SUBSTITUTE(Клиенты_исходные!D640," ",""),"-",""),"+",""),"(",""),")",""))=11,"+7 ("&amp;MID(IF(LEFT(SUBSTITUTE(SUBSTITUTE(SUBSTITUTE(SUBSTITUTE(SUBSTITUTE(Клиенты_исходные!D640," ",""),"-",""),"+",""),"(",""),")",""))="8","7"&amp;MID(SUBSTITUTE(SUBSTITUTE(SUBSTITUTE(SUBSTITUTE(SUBSTITUTE(Клиенты_исходные!D640," ",""),"-",""),"+",""),"(",""),")",""),2,10),SUBSTITUTE(SUBSTITUTE(SUBSTITUTE(SUBSTITUTE(SUBSTITUTE(Клиенты_исходные!D640," ",""),"-",""),"+",""),"(",""),")","")),2,3)&amp;") "&amp;MID(IF(LEFT(SUBSTITUTE(SUBSTITUTE(SUBSTITUTE(SUBSTITUTE(SUBSTITUTE(Клиенты_исходные!D640," ",""),"-",""),"+",""),"(",""),")",""))="8","7"&amp;MID(SUBSTITUTE(SUBSTITUTE(SUBSTITUTE(SUBSTITUTE(SUBSTITUTE(Клиенты_исходные!D640," ",""),"-",""),"+",""),"(",""),")",""),2,10),SUBSTITUTE(SUBSTITUTE(SUBSTITUTE(SUBSTITUTE(SUBSTITUTE(Клиенты_исходные!D640," ",""),"-",""),"+",""),"(",""),")","")),5,3)&amp;"-"&amp;MID(IF(LEFT(SUBSTITUTE(SUBSTITUTE(SUBSTITUTE(SUBSTITUTE(SUBSTITUTE(Клиенты_исходные!D640," ",""),"-",""),"+",""),"(",""),")",""))="8","7"&amp;MID(SUBSTITUTE(SUBSTITUTE(SUBSTITUTE(SUBSTITUTE(SUBSTITUTE(Клиенты_исходные!D640," ",""),"-",""),"+",""),"(",""),")",""),2,10),SUBSTITUTE(SUBSTITUTE(SUBSTITUTE(SUBSTITUTE(SUBSTITUTE(Клиенты_исходные!D640," ",""),"-",""),"+",""),"(",""),")","")),8,2)&amp;"-"&amp;MID(IF(LEFT(SUBSTITUTE(SUBSTITUTE(SUBSTITUTE(SUBSTITUTE(SUBSTITUTE(Клиенты_исходные!D640," ",""),"-",""),"+",""),"(",""),")",""))="8","7"&amp;MID(SUBSTITUTE(SUBSTITUTE(SUBSTITUTE(SUBSTITUTE(SUBSTITUTE(Клиенты_исходные!D640," ",""),"-",""),"+",""),"(",""),")",""),2,10),SUBSTITUTE(SUBSTITUTE(SUBSTITUTE(SUBSTITUTE(SUBSTITUTE(Клиенты_исходные!D640," ",""),"-",""),"+",""),"(",""),")","")),10,2),IF(LEN(SUBSTITUTE(SUBSTITUTE(SUBSTITUTE(SUBSTITUTE(SUBSTITUTE(Клиенты_исходные!D640," ",""),"-",""),"+",""),"(",""),")",""))=10,"+7 ("&amp;MID(SUBSTITUTE(SUBSTITUTE(SUBSTITUTE(SUBSTITUTE(SUBSTITUTE(Клиенты_исходные!D640," ",""),"-",""),"+",""),"(",""),")",""),1,3)&amp;") "&amp;MID(SUBSTITUTE(SUBSTITUTE(SUBSTITUTE(SUBSTITUTE(SUBSTITUTE(Клиенты_исходные!D640," ",""),"-",""),"+",""),"(",""),")",""),4,3)&amp;"-"&amp;MID(SUBSTITUTE(SUBSTITUTE(SUBSTITUTE(SUBSTITUTE(SUBSTITUTE(Клиенты_исходные!D640," ",""),"-",""),"+",""),"(",""),")",""),6,2)&amp;"-"&amp;MID(SUBSTITUTE(SUBSTITUTE(SUBSTITUTE(SUBSTITUTE(SUBSTITUTE(Клиенты_исходные!D640," ",""),"-",""),"+",""),"(",""),")",""),8,2),Клиенты_исходные!D640)))</f>
        <v xml:space="preserve">+7 (903) 901-23-45</v>
      </c>
      <c r="E640" t="str">
        <f>IF(ISBLANK(Клиенты_исходные!E640),"",IF(ISNUMBER(FIND(".",MID(Клиенты_исходные!E640,FIND("@",Клиенты_исходные!E640)+1,255))),Клиенты_исходные!E640,IF(ISNUMBER(FIND("gmail",Клиенты_исходные!E640)),Клиенты_исходные!E640&amp;".com",Клиенты_исходные!E640&amp;".ru")))</f>
        <v>petrova@gmail.com</v>
      </c>
      <c r="F640" t="str">
        <f>IFERROR(VLOOKUP(Клиенты_исходные!F640,Справочники!$J$2:$K$50,2,FALSE),Клиенты_исходные!F640)</f>
        <v>Магнитогорск</v>
      </c>
      <c r="G640" s="8">
        <f>IFERROR(IF(ISNUMBER(FIND(".",Клиенты_исходные!G640)),DATE(RIGHT(Клиенты_исходные!G640,4),MID(Клиенты_исходные!G640,4,2),LEFT(Клиенты_исходные!G640,2)),DATE(LEFT(Клиенты_исходные!G640,4),MID(Клиенты_исходные!G640,6,2),RIGHT(Клиенты_исходные!G640,2))),Клиенты_исходные!G640)</f>
        <v>51028</v>
      </c>
      <c r="H640">
        <f t="shared" ca="1" si="76"/>
        <v>51</v>
      </c>
      <c r="I640" t="str">
        <f t="shared" si="77"/>
        <v>OK</v>
      </c>
      <c r="J640" t="str">
        <f t="shared" si="78"/>
        <v>OK</v>
      </c>
    </row>
    <row r="641">
      <c r="A641" t="str">
        <f>Клиенты_исходные!A641</f>
        <v>C0640</v>
      </c>
      <c r="B641" t="str">
        <f>PROPER(TRIM(Клиенты_исходные!B641))</f>
        <v xml:space="preserve">Лукоянов Денис Викторович</v>
      </c>
      <c r="C641" s="8">
        <f>IFERROR(IF(ISNUMBER(FIND(".",Клиенты_исходные!C641)),DATE(RIGHT(Клиенты_исходные!C641,4),MID(Клиенты_исходные!C641,4,2),LEFT(Клиенты_исходные!C641,2)),DATE(LEFT(Клиенты_исходные!C641,4),MID(Клиенты_исходные!C641,6,2),RIGHT(Клиенты_исходные!C641,2))),Клиенты_исходные!C641)</f>
        <v>30470</v>
      </c>
      <c r="D641" t="str">
        <f>IF(ISBLANK(Клиенты_исходные!D641),"",IF(LEN(SUBSTITUTE(SUBSTITUTE(SUBSTITUTE(SUBSTITUTE(SUBSTITUTE(Клиенты_исходные!D641," ",""),"-",""),"+",""),"(",""),")",""))=11,"+7 ("&amp;MID(IF(LEFT(SUBSTITUTE(SUBSTITUTE(SUBSTITUTE(SUBSTITUTE(SUBSTITUTE(Клиенты_исходные!D641," ",""),"-",""),"+",""),"(",""),")",""))="8","7"&amp;MID(SUBSTITUTE(SUBSTITUTE(SUBSTITUTE(SUBSTITUTE(SUBSTITUTE(Клиенты_исходные!D641," ",""),"-",""),"+",""),"(",""),")",""),2,10),SUBSTITUTE(SUBSTITUTE(SUBSTITUTE(SUBSTITUTE(SUBSTITUTE(Клиенты_исходные!D641," ",""),"-",""),"+",""),"(",""),")","")),2,3)&amp;") "&amp;MID(IF(LEFT(SUBSTITUTE(SUBSTITUTE(SUBSTITUTE(SUBSTITUTE(SUBSTITUTE(Клиенты_исходные!D641," ",""),"-",""),"+",""),"(",""),")",""))="8","7"&amp;MID(SUBSTITUTE(SUBSTITUTE(SUBSTITUTE(SUBSTITUTE(SUBSTITUTE(Клиенты_исходные!D641," ",""),"-",""),"+",""),"(",""),")",""),2,10),SUBSTITUTE(SUBSTITUTE(SUBSTITUTE(SUBSTITUTE(SUBSTITUTE(Клиенты_исходные!D641," ",""),"-",""),"+",""),"(",""),")","")),5,3)&amp;"-"&amp;MID(IF(LEFT(SUBSTITUTE(SUBSTITUTE(SUBSTITUTE(SUBSTITUTE(SUBSTITUTE(Клиенты_исходные!D641," ",""),"-",""),"+",""),"(",""),")",""))="8","7"&amp;MID(SUBSTITUTE(SUBSTITUTE(SUBSTITUTE(SUBSTITUTE(SUBSTITUTE(Клиенты_исходные!D641," ",""),"-",""),"+",""),"(",""),")",""),2,10),SUBSTITUTE(SUBSTITUTE(SUBSTITUTE(SUBSTITUTE(SUBSTITUTE(Клиенты_исходные!D641," ",""),"-",""),"+",""),"(",""),")","")),8,2)&amp;"-"&amp;MID(IF(LEFT(SUBSTITUTE(SUBSTITUTE(SUBSTITUTE(SUBSTITUTE(SUBSTITUTE(Клиенты_исходные!D641," ",""),"-",""),"+",""),"(",""),")",""))="8","7"&amp;MID(SUBSTITUTE(SUBSTITUTE(SUBSTITUTE(SUBSTITUTE(SUBSTITUTE(Клиенты_исходные!D641," ",""),"-",""),"+",""),"(",""),")",""),2,10),SUBSTITUTE(SUBSTITUTE(SUBSTITUTE(SUBSTITUTE(SUBSTITUTE(Клиенты_исходные!D641," ",""),"-",""),"+",""),"(",""),")","")),10,2),IF(LEN(SUBSTITUTE(SUBSTITUTE(SUBSTITUTE(SUBSTITUTE(SUBSTITUTE(Клиенты_исходные!D641," ",""),"-",""),"+",""),"(",""),")",""))=10,"+7 ("&amp;MID(SUBSTITUTE(SUBSTITUTE(SUBSTITUTE(SUBSTITUTE(SUBSTITUTE(Клиенты_исходные!D641," ",""),"-",""),"+",""),"(",""),")",""),1,3)&amp;") "&amp;MID(SUBSTITUTE(SUBSTITUTE(SUBSTITUTE(SUBSTITUTE(SUBSTITUTE(Клиенты_исходные!D641," ",""),"-",""),"+",""),"(",""),")",""),4,3)&amp;"-"&amp;MID(SUBSTITUTE(SUBSTITUTE(SUBSTITUTE(SUBSTITUTE(SUBSTITUTE(Клиенты_исходные!D641," ",""),"-",""),"+",""),"(",""),")",""),6,2)&amp;"-"&amp;MID(SUBSTITUTE(SUBSTITUTE(SUBSTITUTE(SUBSTITUTE(SUBSTITUTE(Клиенты_исходные!D641," ",""),"-",""),"+",""),"(",""),")",""),8,2),Клиенты_исходные!D641)))</f>
        <v xml:space="preserve">+7 (903) 901-23-45</v>
      </c>
      <c r="E641" t="str">
        <f>IF(ISBLANK(Клиенты_исходные!E641),"",IF(ISNUMBER(FIND(".",MID(Клиенты_исходные!E641,FIND("@",Клиенты_исходные!E641)+1,255))),Клиенты_исходные!E641,IF(ISNUMBER(FIND("gmail",Клиенты_исходные!E641)),Клиенты_исходные!E641&amp;".com",Клиенты_исходные!E641&amp;".ru")))</f>
        <v>lukoyanov@mail.ru</v>
      </c>
      <c r="F641" t="str">
        <f>IFERROR(VLOOKUP(Клиенты_исходные!F641,Справочники!$J$2:$K$50,2,FALSE),Клиенты_исходные!F641)</f>
        <v>Якутск</v>
      </c>
      <c r="G641" s="8">
        <f>IFERROR(IF(ISNUMBER(FIND(".",Клиенты_исходные!G641)),DATE(RIGHT(Клиенты_исходные!G641,4),MID(Клиенты_исходные!G641,4,2),LEFT(Клиенты_исходные!G641,2)),DATE(LEFT(Клиенты_исходные!G641,4),MID(Клиенты_исходные!G641,6,2),RIGHT(Клиенты_исходные!G641,2))),Клиенты_исходные!G641)</f>
        <v>51044</v>
      </c>
      <c r="H641">
        <f t="shared" ca="1" si="76"/>
        <v>43</v>
      </c>
      <c r="I641" t="str">
        <f t="shared" si="77"/>
        <v>OK</v>
      </c>
      <c r="J641" t="str">
        <f t="shared" si="78"/>
        <v>OK</v>
      </c>
    </row>
    <row r="642">
      <c r="A642" t="str">
        <f>Клиенты_исходные!A642</f>
        <v>C0641</v>
      </c>
      <c r="B642" t="str">
        <f>PROPER(TRIM(Клиенты_исходные!B642))</f>
        <v xml:space="preserve">Толмачева Ольга Павловна</v>
      </c>
      <c r="C642" s="8">
        <f>IFERROR(IF(ISNUMBER(FIND(".",Клиенты_исходные!C642)),DATE(RIGHT(Клиенты_исходные!C642,4),MID(Клиенты_исходные!C642,4,2),LEFT(Клиенты_исходные!C642,2)),DATE(LEFT(Клиенты_исходные!C642,4),MID(Клиенты_исходные!C642,6,2),RIGHT(Клиенты_исходные!C642,2))),Клиенты_исходные!C642)</f>
        <v>32806</v>
      </c>
      <c r="D642" t="str">
        <f>IF(ISBLANK(Клиенты_исходные!D642),"",IF(LEN(SUBSTITUTE(SUBSTITUTE(SUBSTITUTE(SUBSTITUTE(SUBSTITUTE(Клиенты_исходные!D642," ",""),"-",""),"+",""),"(",""),")",""))=11,"+7 ("&amp;MID(IF(LEFT(SUBSTITUTE(SUBSTITUTE(SUBSTITUTE(SUBSTITUTE(SUBSTITUTE(Клиенты_исходные!D642," ",""),"-",""),"+",""),"(",""),")",""))="8","7"&amp;MID(SUBSTITUTE(SUBSTITUTE(SUBSTITUTE(SUBSTITUTE(SUBSTITUTE(Клиенты_исходные!D642," ",""),"-",""),"+",""),"(",""),")",""),2,10),SUBSTITUTE(SUBSTITUTE(SUBSTITUTE(SUBSTITUTE(SUBSTITUTE(Клиенты_исходные!D642," ",""),"-",""),"+",""),"(",""),")","")),2,3)&amp;") "&amp;MID(IF(LEFT(SUBSTITUTE(SUBSTITUTE(SUBSTITUTE(SUBSTITUTE(SUBSTITUTE(Клиенты_исходные!D642," ",""),"-",""),"+",""),"(",""),")",""))="8","7"&amp;MID(SUBSTITUTE(SUBSTITUTE(SUBSTITUTE(SUBSTITUTE(SUBSTITUTE(Клиенты_исходные!D642," ",""),"-",""),"+",""),"(",""),")",""),2,10),SUBSTITUTE(SUBSTITUTE(SUBSTITUTE(SUBSTITUTE(SUBSTITUTE(Клиенты_исходные!D642," ",""),"-",""),"+",""),"(",""),")","")),5,3)&amp;"-"&amp;MID(IF(LEFT(SUBSTITUTE(SUBSTITUTE(SUBSTITUTE(SUBSTITUTE(SUBSTITUTE(Клиенты_исходные!D642," ",""),"-",""),"+",""),"(",""),")",""))="8","7"&amp;MID(SUBSTITUTE(SUBSTITUTE(SUBSTITUTE(SUBSTITUTE(SUBSTITUTE(Клиенты_исходные!D642," ",""),"-",""),"+",""),"(",""),")",""),2,10),SUBSTITUTE(SUBSTITUTE(SUBSTITUTE(SUBSTITUTE(SUBSTITUTE(Клиенты_исходные!D642," ",""),"-",""),"+",""),"(",""),")","")),8,2)&amp;"-"&amp;MID(IF(LEFT(SUBSTITUTE(SUBSTITUTE(SUBSTITUTE(SUBSTITUTE(SUBSTITUTE(Клиенты_исходные!D642," ",""),"-",""),"+",""),"(",""),")",""))="8","7"&amp;MID(SUBSTITUTE(SUBSTITUTE(SUBSTITUTE(SUBSTITUTE(SUBSTITUTE(Клиенты_исходные!D642," ",""),"-",""),"+",""),"(",""),")",""),2,10),SUBSTITUTE(SUBSTITUTE(SUBSTITUTE(SUBSTITUTE(SUBSTITUTE(Клиенты_исходные!D642," ",""),"-",""),"+",""),"(",""),")","")),10,2),IF(LEN(SUBSTITUTE(SUBSTITUTE(SUBSTITUTE(SUBSTITUTE(SUBSTITUTE(Клиенты_исходные!D642," ",""),"-",""),"+",""),"(",""),")",""))=10,"+7 ("&amp;MID(SUBSTITUTE(SUBSTITUTE(SUBSTITUTE(SUBSTITUTE(SUBSTITUTE(Клиенты_исходные!D642," ",""),"-",""),"+",""),"(",""),")",""),1,3)&amp;") "&amp;MID(SUBSTITUTE(SUBSTITUTE(SUBSTITUTE(SUBSTITUTE(SUBSTITUTE(Клиенты_исходные!D642," ",""),"-",""),"+",""),"(",""),")",""),4,3)&amp;"-"&amp;MID(SUBSTITUTE(SUBSTITUTE(SUBSTITUTE(SUBSTITUTE(SUBSTITUTE(Клиенты_исходные!D642," ",""),"-",""),"+",""),"(",""),")",""),6,2)&amp;"-"&amp;MID(SUBSTITUTE(SUBSTITUTE(SUBSTITUTE(SUBSTITUTE(SUBSTITUTE(Клиенты_исходные!D642," ",""),"-",""),"+",""),"(",""),")",""),8,2),Клиенты_исходные!D642)))</f>
        <v xml:space="preserve">+7 (903) 901-23-45</v>
      </c>
      <c r="E642" t="str">
        <f>IF(ISBLANK(Клиенты_исходные!E642),"",IF(ISNUMBER(FIND(".",MID(Клиенты_исходные!E642,FIND("@",Клиенты_исходные!E642)+1,255))),Клиенты_исходные!E642,IF(ISNUMBER(FIND("gmail",Клиенты_исходные!E642)),Клиенты_исходные!E642&amp;".com",Клиенты_исходные!E642&amp;".ru")))</f>
        <v>tolmacheva@yandex.ru</v>
      </c>
      <c r="F642" t="str">
        <f>IFERROR(VLOOKUP(Клиенты_исходные!F642,Справочники!$J$2:$K$50,2,FALSE),Клиенты_исходные!F642)</f>
        <v>Чебоксары</v>
      </c>
      <c r="G642" s="8">
        <f>IFERROR(IF(ISNUMBER(FIND(".",Клиенты_исходные!G642)),DATE(RIGHT(Клиенты_исходные!G642,4),MID(Клиенты_исходные!G642,4,2),LEFT(Клиенты_исходные!G642,2)),DATE(LEFT(Клиенты_исходные!G642,4),MID(Клиенты_исходные!G642,6,2),RIGHT(Клиенты_исходные!G642,2))),Клиенты_исходные!G642)</f>
        <v>51053</v>
      </c>
      <c r="H642">
        <f t="shared" ca="1" si="76"/>
        <v>36</v>
      </c>
      <c r="I642" t="str">
        <f t="shared" si="77"/>
        <v>OK</v>
      </c>
      <c r="J642" t="str">
        <f t="shared" si="78"/>
        <v>OK</v>
      </c>
    </row>
    <row r="643">
      <c r="A643" t="str">
        <f>Клиенты_исходные!A643</f>
        <v>C0642</v>
      </c>
      <c r="B643" t="str">
        <f>PROPER(TRIM(Клиенты_исходные!B643))</f>
        <v xml:space="preserve">Зайцев Илья Алексеевич</v>
      </c>
      <c r="C643" s="8">
        <f>IFERROR(IF(ISNUMBER(FIND(".",Клиенты_исходные!C643)),DATE(RIGHT(Клиенты_исходные!C643,4),MID(Клиенты_исходные!C643,4,2),LEFT(Клиенты_исходные!C643,2)),DATE(LEFT(Клиенты_исходные!C643,4),MID(Клиенты_исходные!C643,6,2),RIGHT(Клиенты_исходные!C643,2))),Клиенты_исходные!C643)</f>
        <v>27988</v>
      </c>
      <c r="D643" t="str">
        <f>IF(ISBLANK(Клиенты_исходные!D643),"",IF(LEN(SUBSTITUTE(SUBSTITUTE(SUBSTITUTE(SUBSTITUTE(SUBSTITUTE(Клиенты_исходные!D643," ",""),"-",""),"+",""),"(",""),")",""))=11,"+7 ("&amp;MID(IF(LEFT(SUBSTITUTE(SUBSTITUTE(SUBSTITUTE(SUBSTITUTE(SUBSTITUTE(Клиенты_исходные!D643," ",""),"-",""),"+",""),"(",""),")",""))="8","7"&amp;MID(SUBSTITUTE(SUBSTITUTE(SUBSTITUTE(SUBSTITUTE(SUBSTITUTE(Клиенты_исходные!D643," ",""),"-",""),"+",""),"(",""),")",""),2,10),SUBSTITUTE(SUBSTITUTE(SUBSTITUTE(SUBSTITUTE(SUBSTITUTE(Клиенты_исходные!D643," ",""),"-",""),"+",""),"(",""),")","")),2,3)&amp;") "&amp;MID(IF(LEFT(SUBSTITUTE(SUBSTITUTE(SUBSTITUTE(SUBSTITUTE(SUBSTITUTE(Клиенты_исходные!D643," ",""),"-",""),"+",""),"(",""),")",""))="8","7"&amp;MID(SUBSTITUTE(SUBSTITUTE(SUBSTITUTE(SUBSTITUTE(SUBSTITUTE(Клиенты_исходные!D643," ",""),"-",""),"+",""),"(",""),")",""),2,10),SUBSTITUTE(SUBSTITUTE(SUBSTITUTE(SUBSTITUTE(SUBSTITUTE(Клиенты_исходные!D643," ",""),"-",""),"+",""),"(",""),")","")),5,3)&amp;"-"&amp;MID(IF(LEFT(SUBSTITUTE(SUBSTITUTE(SUBSTITUTE(SUBSTITUTE(SUBSTITUTE(Клиенты_исходные!D643," ",""),"-",""),"+",""),"(",""),")",""))="8","7"&amp;MID(SUBSTITUTE(SUBSTITUTE(SUBSTITUTE(SUBSTITUTE(SUBSTITUTE(Клиенты_исходные!D643," ",""),"-",""),"+",""),"(",""),")",""),2,10),SUBSTITUTE(SUBSTITUTE(SUBSTITUTE(SUBSTITUTE(SUBSTITUTE(Клиенты_исходные!D643," ",""),"-",""),"+",""),"(",""),")","")),8,2)&amp;"-"&amp;MID(IF(LEFT(SUBSTITUTE(SUBSTITUTE(SUBSTITUTE(SUBSTITUTE(SUBSTITUTE(Клиенты_исходные!D643," ",""),"-",""),"+",""),"(",""),")",""))="8","7"&amp;MID(SUBSTITUTE(SUBSTITUTE(SUBSTITUTE(SUBSTITUTE(SUBSTITUTE(Клиенты_исходные!D643," ",""),"-",""),"+",""),"(",""),")",""),2,10),SUBSTITUTE(SUBSTITUTE(SUBSTITUTE(SUBSTITUTE(SUBSTITUTE(Клиенты_исходные!D643," ",""),"-",""),"+",""),"(",""),")","")),10,2),IF(LEN(SUBSTITUTE(SUBSTITUTE(SUBSTITUTE(SUBSTITUTE(SUBSTITUTE(Клиенты_исходные!D643," ",""),"-",""),"+",""),"(",""),")",""))=10,"+7 ("&amp;MID(SUBSTITUTE(SUBSTITUTE(SUBSTITUTE(SUBSTITUTE(SUBSTITUTE(Клиенты_исходные!D643," ",""),"-",""),"+",""),"(",""),")",""),1,3)&amp;") "&amp;MID(SUBSTITUTE(SUBSTITUTE(SUBSTITUTE(SUBSTITUTE(SUBSTITUTE(Клиенты_исходные!D643," ",""),"-",""),"+",""),"(",""),")",""),4,3)&amp;"-"&amp;MID(SUBSTITUTE(SUBSTITUTE(SUBSTITUTE(SUBSTITUTE(SUBSTITUTE(Клиенты_исходные!D643," ",""),"-",""),"+",""),"(",""),")",""),6,2)&amp;"-"&amp;MID(SUBSTITUTE(SUBSTITUTE(SUBSTITUTE(SUBSTITUTE(SUBSTITUTE(Клиенты_исходные!D643," ",""),"-",""),"+",""),"(",""),")",""),8,2),Клиенты_исходные!D643)))</f>
        <v xml:space="preserve">+7 (903) 012-34-56</v>
      </c>
      <c r="E643" t="str">
        <f>IF(ISBLANK(Клиенты_исходные!E643),"",IF(ISNUMBER(FIND(".",MID(Клиенты_исходные!E643,FIND("@",Клиенты_исходные!E643)+1,255))),Клиенты_исходные!E643,IF(ISNUMBER(FIND("gmail",Клиенты_исходные!E643)),Клиенты_исходные!E643&amp;".com",Клиенты_исходные!E643&amp;".ru")))</f>
        <v>zaytsev@gmail.com</v>
      </c>
      <c r="F643" t="str">
        <f>IFERROR(VLOOKUP(Клиенты_исходные!F643,Справочники!$J$2:$K$50,2,FALSE),Клиенты_исходные!F643)</f>
        <v>Мурманск</v>
      </c>
      <c r="G643" s="8">
        <f>IFERROR(IF(ISNUMBER(FIND(".",Клиенты_исходные!G643)),DATE(RIGHT(Клиенты_исходные!G643,4),MID(Клиенты_исходные!G643,4,2),LEFT(Клиенты_исходные!G643,2)),DATE(LEFT(Клиенты_исходные!G643,4),MID(Клиенты_исходные!G643,6,2),RIGHT(Клиенты_исходные!G643,2))),Клиенты_исходные!G643)</f>
        <v>51053</v>
      </c>
      <c r="H643">
        <f t="shared" ca="1" si="76"/>
        <v>50</v>
      </c>
      <c r="I643" t="str">
        <f t="shared" si="77"/>
        <v>OK</v>
      </c>
      <c r="J643" t="str">
        <f t="shared" si="78"/>
        <v>OK</v>
      </c>
    </row>
    <row r="644">
      <c r="A644" t="str">
        <f>Клиенты_исходные!A644</f>
        <v>C0643</v>
      </c>
      <c r="B644" t="str">
        <f>PROPER(TRIM(Клиенты_исходные!B644))</f>
        <v xml:space="preserve">Сидорова Екатерина Сергеевна</v>
      </c>
      <c r="C644" s="8">
        <f>IFERROR(IF(ISNUMBER(FIND(".",Клиенты_исходные!C644)),DATE(RIGHT(Клиенты_исходные!C644,4),MID(Клиенты_исходные!C644,4,2),LEFT(Клиенты_исходные!C644,2)),DATE(LEFT(Клиенты_исходные!C644,4),MID(Клиенты_исходные!C644,6,2),RIGHT(Клиенты_исходные!C644,2))),Клиенты_исходные!C644)</f>
        <v>31544</v>
      </c>
      <c r="D644" t="str">
        <f>IF(ISBLANK(Клиенты_исходные!D644),"",IF(LEN(SUBSTITUTE(SUBSTITUTE(SUBSTITUTE(SUBSTITUTE(SUBSTITUTE(Клиенты_исходные!D644," ",""),"-",""),"+",""),"(",""),")",""))=11,"+7 ("&amp;MID(IF(LEFT(SUBSTITUTE(SUBSTITUTE(SUBSTITUTE(SUBSTITUTE(SUBSTITUTE(Клиенты_исходные!D644," ",""),"-",""),"+",""),"(",""),")",""))="8","7"&amp;MID(SUBSTITUTE(SUBSTITUTE(SUBSTITUTE(SUBSTITUTE(SUBSTITUTE(Клиенты_исходные!D644," ",""),"-",""),"+",""),"(",""),")",""),2,10),SUBSTITUTE(SUBSTITUTE(SUBSTITUTE(SUBSTITUTE(SUBSTITUTE(Клиенты_исходные!D644," ",""),"-",""),"+",""),"(",""),")","")),2,3)&amp;") "&amp;MID(IF(LEFT(SUBSTITUTE(SUBSTITUTE(SUBSTITUTE(SUBSTITUTE(SUBSTITUTE(Клиенты_исходные!D644," ",""),"-",""),"+",""),"(",""),")",""))="8","7"&amp;MID(SUBSTITUTE(SUBSTITUTE(SUBSTITUTE(SUBSTITUTE(SUBSTITUTE(Клиенты_исходные!D644," ",""),"-",""),"+",""),"(",""),")",""),2,10),SUBSTITUTE(SUBSTITUTE(SUBSTITUTE(SUBSTITUTE(SUBSTITUTE(Клиенты_исходные!D644," ",""),"-",""),"+",""),"(",""),")","")),5,3)&amp;"-"&amp;MID(IF(LEFT(SUBSTITUTE(SUBSTITUTE(SUBSTITUTE(SUBSTITUTE(SUBSTITUTE(Клиенты_исходные!D644," ",""),"-",""),"+",""),"(",""),")",""))="8","7"&amp;MID(SUBSTITUTE(SUBSTITUTE(SUBSTITUTE(SUBSTITUTE(SUBSTITUTE(Клиенты_исходные!D644," ",""),"-",""),"+",""),"(",""),")",""),2,10),SUBSTITUTE(SUBSTITUTE(SUBSTITUTE(SUBSTITUTE(SUBSTITUTE(Клиенты_исходные!D644," ",""),"-",""),"+",""),"(",""),")","")),8,2)&amp;"-"&amp;MID(IF(LEFT(SUBSTITUTE(SUBSTITUTE(SUBSTITUTE(SUBSTITUTE(SUBSTITUTE(Клиенты_исходные!D644," ",""),"-",""),"+",""),"(",""),")",""))="8","7"&amp;MID(SUBSTITUTE(SUBSTITUTE(SUBSTITUTE(SUBSTITUTE(SUBSTITUTE(Клиенты_исходные!D644," ",""),"-",""),"+",""),"(",""),")",""),2,10),SUBSTITUTE(SUBSTITUTE(SUBSTITUTE(SUBSTITUTE(SUBSTITUTE(Клиенты_исходные!D644," ",""),"-",""),"+",""),"(",""),")","")),10,2),IF(LEN(SUBSTITUTE(SUBSTITUTE(SUBSTITUTE(SUBSTITUTE(SUBSTITUTE(Клиенты_исходные!D644," ",""),"-",""),"+",""),"(",""),")",""))=10,"+7 ("&amp;MID(SUBSTITUTE(SUBSTITUTE(SUBSTITUTE(SUBSTITUTE(SUBSTITUTE(Клиенты_исходные!D644," ",""),"-",""),"+",""),"(",""),")",""),1,3)&amp;") "&amp;MID(SUBSTITUTE(SUBSTITUTE(SUBSTITUTE(SUBSTITUTE(SUBSTITUTE(Клиенты_исходные!D644," ",""),"-",""),"+",""),"(",""),")",""),4,3)&amp;"-"&amp;MID(SUBSTITUTE(SUBSTITUTE(SUBSTITUTE(SUBSTITUTE(SUBSTITUTE(Клиенты_исходные!D644," ",""),"-",""),"+",""),"(",""),")",""),6,2)&amp;"-"&amp;MID(SUBSTITUTE(SUBSTITUTE(SUBSTITUTE(SUBSTITUTE(SUBSTITUTE(Клиенты_исходные!D644," ",""),"-",""),"+",""),"(",""),")",""),8,2),Клиенты_исходные!D644)))</f>
        <v xml:space="preserve">+7 (903) 012-34-56</v>
      </c>
      <c r="E644" t="str">
        <f>IF(ISBLANK(Клиенты_исходные!E644),"",IF(ISNUMBER(FIND(".",MID(Клиенты_исходные!E644,FIND("@",Клиенты_исходные!E644)+1,255))),Клиенты_исходные!E644,IF(ISNUMBER(FIND("gmail",Клиенты_исходные!E644)),Клиенты_исходные!E644&amp;".com",Клиенты_исходные!E644&amp;".ru")))</f>
        <v>sidorova@mail.ru</v>
      </c>
      <c r="F644" t="str">
        <f>IFERROR(VLOOKUP(Клиенты_исходные!F644,Справочники!$J$2:$K$50,2,FALSE),Клиенты_исходные!F644)</f>
        <v>Смоленск</v>
      </c>
      <c r="G644" s="8">
        <f>IFERROR(IF(ISNUMBER(FIND(".",Клиенты_исходные!G644)),DATE(RIGHT(Клиенты_исходные!G644,4),MID(Клиенты_исходные!G644,4,2),LEFT(Клиенты_исходные!G644,2)),DATE(LEFT(Клиенты_исходные!G644,4),MID(Клиенты_исходные!G644,6,2),RIGHT(Клиенты_исходные!G644,2))),Клиенты_исходные!G644)</f>
        <v>51075</v>
      </c>
      <c r="H644">
        <f t="shared" ca="1" si="76"/>
        <v>40</v>
      </c>
      <c r="I644" t="str">
        <f t="shared" si="77"/>
        <v>OK</v>
      </c>
      <c r="J644" t="str">
        <f t="shared" si="78"/>
        <v>OK</v>
      </c>
    </row>
    <row r="645">
      <c r="A645" t="str">
        <f>Клиенты_исходные!A645</f>
        <v>C0644</v>
      </c>
      <c r="B645" t="str">
        <f>PROPER(TRIM(Клиенты_исходные!B645))</f>
        <v xml:space="preserve">Соловьев Андрей Олегович</v>
      </c>
      <c r="C645" s="8">
        <f>IFERROR(IF(ISNUMBER(FIND(".",Клиенты_исходные!C645)),DATE(RIGHT(Клиенты_исходные!C645,4),MID(Клиенты_исходные!C645,4,2),LEFT(Клиенты_исходные!C645,2)),DATE(LEFT(Клиенты_исходные!C645,4),MID(Клиенты_исходные!C645,6,2),RIGHT(Клиенты_исходные!C645,2))),Клиенты_исходные!C645)</f>
        <v>29637</v>
      </c>
      <c r="D645" t="str">
        <f>IF(ISBLANK(Клиенты_исходные!D645),"",IF(LEN(SUBSTITUTE(SUBSTITUTE(SUBSTITUTE(SUBSTITUTE(SUBSTITUTE(Клиенты_исходные!D645," ",""),"-",""),"+",""),"(",""),")",""))=11,"+7 ("&amp;MID(IF(LEFT(SUBSTITUTE(SUBSTITUTE(SUBSTITUTE(SUBSTITUTE(SUBSTITUTE(Клиенты_исходные!D645," ",""),"-",""),"+",""),"(",""),")",""))="8","7"&amp;MID(SUBSTITUTE(SUBSTITUTE(SUBSTITUTE(SUBSTITUTE(SUBSTITUTE(Клиенты_исходные!D645," ",""),"-",""),"+",""),"(",""),")",""),2,10),SUBSTITUTE(SUBSTITUTE(SUBSTITUTE(SUBSTITUTE(SUBSTITUTE(Клиенты_исходные!D645," ",""),"-",""),"+",""),"(",""),")","")),2,3)&amp;") "&amp;MID(IF(LEFT(SUBSTITUTE(SUBSTITUTE(SUBSTITUTE(SUBSTITUTE(SUBSTITUTE(Клиенты_исходные!D645," ",""),"-",""),"+",""),"(",""),")",""))="8","7"&amp;MID(SUBSTITUTE(SUBSTITUTE(SUBSTITUTE(SUBSTITUTE(SUBSTITUTE(Клиенты_исходные!D645," ",""),"-",""),"+",""),"(",""),")",""),2,10),SUBSTITUTE(SUBSTITUTE(SUBSTITUTE(SUBSTITUTE(SUBSTITUTE(Клиенты_исходные!D645," ",""),"-",""),"+",""),"(",""),")","")),5,3)&amp;"-"&amp;MID(IF(LEFT(SUBSTITUTE(SUBSTITUTE(SUBSTITUTE(SUBSTITUTE(SUBSTITUTE(Клиенты_исходные!D645," ",""),"-",""),"+",""),"(",""),")",""))="8","7"&amp;MID(SUBSTITUTE(SUBSTITUTE(SUBSTITUTE(SUBSTITUTE(SUBSTITUTE(Клиенты_исходные!D645," ",""),"-",""),"+",""),"(",""),")",""),2,10),SUBSTITUTE(SUBSTITUTE(SUBSTITUTE(SUBSTITUTE(SUBSTITUTE(Клиенты_исходные!D645," ",""),"-",""),"+",""),"(",""),")","")),8,2)&amp;"-"&amp;MID(IF(LEFT(SUBSTITUTE(SUBSTITUTE(SUBSTITUTE(SUBSTITUTE(SUBSTITUTE(Клиенты_исходные!D645," ",""),"-",""),"+",""),"(",""),")",""))="8","7"&amp;MID(SUBSTITUTE(SUBSTITUTE(SUBSTITUTE(SUBSTITUTE(SUBSTITUTE(Клиенты_исходные!D645," ",""),"-",""),"+",""),"(",""),")",""),2,10),SUBSTITUTE(SUBSTITUTE(SUBSTITUTE(SUBSTITUTE(SUBSTITUTE(Клиенты_исходные!D645," ",""),"-",""),"+",""),"(",""),")","")),10,2),IF(LEN(SUBSTITUTE(SUBSTITUTE(SUBSTITUTE(SUBSTITUTE(SUBSTITUTE(Клиенты_исходные!D645," ",""),"-",""),"+",""),"(",""),")",""))=10,"+7 ("&amp;MID(SUBSTITUTE(SUBSTITUTE(SUBSTITUTE(SUBSTITUTE(SUBSTITUTE(Клиенты_исходные!D645," ",""),"-",""),"+",""),"(",""),")",""),1,3)&amp;") "&amp;MID(SUBSTITUTE(SUBSTITUTE(SUBSTITUTE(SUBSTITUTE(SUBSTITUTE(Клиенты_исходные!D645," ",""),"-",""),"+",""),"(",""),")",""),4,3)&amp;"-"&amp;MID(SUBSTITUTE(SUBSTITUTE(SUBSTITUTE(SUBSTITUTE(SUBSTITUTE(Клиенты_исходные!D645," ",""),"-",""),"+",""),"(",""),")",""),6,2)&amp;"-"&amp;MID(SUBSTITUTE(SUBSTITUTE(SUBSTITUTE(SUBSTITUTE(SUBSTITUTE(Клиенты_исходные!D645," ",""),"-",""),"+",""),"(",""),")",""),8,2),Клиенты_исходные!D645)))</f>
        <v xml:space="preserve">+7 (903) 012-34-56</v>
      </c>
      <c r="E645" t="str">
        <f>IF(ISBLANK(Клиенты_исходные!E645),"",IF(ISNUMBER(FIND(".",MID(Клиенты_исходные!E645,FIND("@",Клиенты_исходные!E645)+1,255))),Клиенты_исходные!E645,IF(ISNUMBER(FIND("gmail",Клиенты_исходные!E645)),Клиенты_исходные!E645&amp;".com",Клиенты_исходные!E645&amp;".ru")))</f>
        <v>soloviev@yandex.ru</v>
      </c>
      <c r="F645" t="str">
        <f>IFERROR(VLOOKUP(Клиенты_исходные!F645,Справочники!$J$2:$K$50,2,FALSE),Клиенты_исходные!F645)</f>
        <v>Тула</v>
      </c>
      <c r="G645" s="8">
        <f>IFERROR(IF(ISNUMBER(FIND(".",Клиенты_исходные!G645)),DATE(RIGHT(Клиенты_исходные!G645,4),MID(Клиенты_исходные!G645,4,2),LEFT(Клиенты_исходные!G645,2)),DATE(LEFT(Клиенты_исходные!G645,4),MID(Клиенты_исходные!G645,6,2),RIGHT(Клиенты_исходные!G645,2))),Клиенты_исходные!G645)</f>
        <v>51089</v>
      </c>
      <c r="H645">
        <f t="shared" ca="1" si="76"/>
        <v>45</v>
      </c>
      <c r="I645" t="str">
        <f t="shared" si="77"/>
        <v>OK</v>
      </c>
      <c r="J645" t="str">
        <f t="shared" si="78"/>
        <v>OK</v>
      </c>
    </row>
    <row r="646">
      <c r="A646" t="str">
        <f>Клиенты_исходные!A646</f>
        <v>C0645</v>
      </c>
      <c r="B646" t="str">
        <f>PROPER(TRIM(Клиенты_исходные!B646))</f>
        <v xml:space="preserve">Голубева Мария Владимировна</v>
      </c>
      <c r="C646" s="8">
        <f>IFERROR(IF(ISNUMBER(FIND(".",Клиенты_исходные!C646)),DATE(RIGHT(Клиенты_исходные!C646,4),MID(Клиенты_исходные!C646,4,2),LEFT(Клиенты_исходные!C646,2)),DATE(LEFT(Клиенты_исходные!C646,4),MID(Клиенты_исходные!C646,6,2),RIGHT(Клиенты_исходные!C646,2))),Клиенты_исходные!C646)</f>
        <v>26511</v>
      </c>
      <c r="D646" t="str">
        <f>IF(ISBLANK(Клиенты_исходные!D646),"",IF(LEN(SUBSTITUTE(SUBSTITUTE(SUBSTITUTE(SUBSTITUTE(SUBSTITUTE(Клиенты_исходные!D646," ",""),"-",""),"+",""),"(",""),")",""))=11,"+7 ("&amp;MID(IF(LEFT(SUBSTITUTE(SUBSTITUTE(SUBSTITUTE(SUBSTITUTE(SUBSTITUTE(Клиенты_исходные!D646," ",""),"-",""),"+",""),"(",""),")",""))="8","7"&amp;MID(SUBSTITUTE(SUBSTITUTE(SUBSTITUTE(SUBSTITUTE(SUBSTITUTE(Клиенты_исходные!D646," ",""),"-",""),"+",""),"(",""),")",""),2,10),SUBSTITUTE(SUBSTITUTE(SUBSTITUTE(SUBSTITUTE(SUBSTITUTE(Клиенты_исходные!D646," ",""),"-",""),"+",""),"(",""),")","")),2,3)&amp;") "&amp;MID(IF(LEFT(SUBSTITUTE(SUBSTITUTE(SUBSTITUTE(SUBSTITUTE(SUBSTITUTE(Клиенты_исходные!D646," ",""),"-",""),"+",""),"(",""),")",""))="8","7"&amp;MID(SUBSTITUTE(SUBSTITUTE(SUBSTITUTE(SUBSTITUTE(SUBSTITUTE(Клиенты_исходные!D646," ",""),"-",""),"+",""),"(",""),")",""),2,10),SUBSTITUTE(SUBSTITUTE(SUBSTITUTE(SUBSTITUTE(SUBSTITUTE(Клиенты_исходные!D646," ",""),"-",""),"+",""),"(",""),")","")),5,3)&amp;"-"&amp;MID(IF(LEFT(SUBSTITUTE(SUBSTITUTE(SUBSTITUTE(SUBSTITUTE(SUBSTITUTE(Клиенты_исходные!D646," ",""),"-",""),"+",""),"(",""),")",""))="8","7"&amp;MID(SUBSTITUTE(SUBSTITUTE(SUBSTITUTE(SUBSTITUTE(SUBSTITUTE(Клиенты_исходные!D646," ",""),"-",""),"+",""),"(",""),")",""),2,10),SUBSTITUTE(SUBSTITUTE(SUBSTITUTE(SUBSTITUTE(SUBSTITUTE(Клиенты_исходные!D646," ",""),"-",""),"+",""),"(",""),")","")),8,2)&amp;"-"&amp;MID(IF(LEFT(SUBSTITUTE(SUBSTITUTE(SUBSTITUTE(SUBSTITUTE(SUBSTITUTE(Клиенты_исходные!D646," ",""),"-",""),"+",""),"(",""),")",""))="8","7"&amp;MID(SUBSTITUTE(SUBSTITUTE(SUBSTITUTE(SUBSTITUTE(SUBSTITUTE(Клиенты_исходные!D646," ",""),"-",""),"+",""),"(",""),")",""),2,10),SUBSTITUTE(SUBSTITUTE(SUBSTITUTE(SUBSTITUTE(SUBSTITUTE(Клиенты_исходные!D646," ",""),"-",""),"+",""),"(",""),")","")),10,2),IF(LEN(SUBSTITUTE(SUBSTITUTE(SUBSTITUTE(SUBSTITUTE(SUBSTITUTE(Клиенты_исходные!D646," ",""),"-",""),"+",""),"(",""),")",""))=10,"+7 ("&amp;MID(SUBSTITUTE(SUBSTITUTE(SUBSTITUTE(SUBSTITUTE(SUBSTITUTE(Клиенты_исходные!D646," ",""),"-",""),"+",""),"(",""),")",""),1,3)&amp;") "&amp;MID(SUBSTITUTE(SUBSTITUTE(SUBSTITUTE(SUBSTITUTE(SUBSTITUTE(Клиенты_исходные!D646," ",""),"-",""),"+",""),"(",""),")",""),4,3)&amp;"-"&amp;MID(SUBSTITUTE(SUBSTITUTE(SUBSTITUTE(SUBSTITUTE(SUBSTITUTE(Клиенты_исходные!D646," ",""),"-",""),"+",""),"(",""),")",""),6,2)&amp;"-"&amp;MID(SUBSTITUTE(SUBSTITUTE(SUBSTITUTE(SUBSTITUTE(SUBSTITUTE(Клиенты_исходные!D646," ",""),"-",""),"+",""),"(",""),")",""),8,2),Клиенты_исходные!D646)))</f>
        <v xml:space="preserve">+7 (903) 123-45-67</v>
      </c>
      <c r="E646" t="str">
        <f>IF(ISBLANK(Клиенты_исходные!E646),"",IF(ISNUMBER(FIND(".",MID(Клиенты_исходные!E646,FIND("@",Клиенты_исходные!E646)+1,255))),Клиенты_исходные!E646,IF(ISNUMBER(FIND("gmail",Клиенты_исходные!E646)),Клиенты_исходные!E646&amp;".com",Клиенты_исходные!E646&amp;".ru")))</f>
        <v>golubeva@gmail.com</v>
      </c>
      <c r="F646" t="str">
        <f>IFERROR(VLOOKUP(Клиенты_исходные!F646,Справочники!$J$2:$K$50,2,FALSE),Клиенты_исходные!F646)</f>
        <v>Калуга</v>
      </c>
      <c r="G646" s="8">
        <f>IFERROR(IF(ISNUMBER(FIND(".",Клиенты_исходные!G646)),DATE(RIGHT(Клиенты_исходные!G646,4),MID(Клиенты_исходные!G646,4,2),LEFT(Клиенты_исходные!G646,2)),DATE(LEFT(Клиенты_исходные!G646,4),MID(Клиенты_исходные!G646,6,2),RIGHT(Клиенты_исходные!G646,2))),Клиенты_исходные!G646)</f>
        <v>51089</v>
      </c>
      <c r="H646">
        <f t="shared" ca="1" si="76"/>
        <v>54</v>
      </c>
      <c r="I646" t="str">
        <f t="shared" si="77"/>
        <v>OK</v>
      </c>
      <c r="J646" t="str">
        <f t="shared" si="78"/>
        <v>OK</v>
      </c>
    </row>
    <row r="647">
      <c r="A647" t="str">
        <f>Клиенты_исходные!A647</f>
        <v>C0646</v>
      </c>
      <c r="B647" t="str">
        <f>PROPER(TRIM(Клиенты_исходные!B647))</f>
        <v xml:space="preserve">Харитонов Денис Павлович</v>
      </c>
      <c r="C647" s="8">
        <f>IFERROR(IF(ISNUMBER(FIND(".",Клиенты_исходные!C647)),DATE(RIGHT(Клиенты_исходные!C647,4),MID(Клиенты_исходные!C647,4,2),LEFT(Клиенты_исходные!C647,2)),DATE(LEFT(Клиенты_исходные!C647,4),MID(Клиенты_исходные!C647,6,2),RIGHT(Клиенты_исходные!C647,2))),Клиенты_исходные!C647)</f>
        <v>32429</v>
      </c>
      <c r="D647" t="str">
        <f>IF(ISBLANK(Клиенты_исходные!D647),"",IF(LEN(SUBSTITUTE(SUBSTITUTE(SUBSTITUTE(SUBSTITUTE(SUBSTITUTE(Клиенты_исходные!D647," ",""),"-",""),"+",""),"(",""),")",""))=11,"+7 ("&amp;MID(IF(LEFT(SUBSTITUTE(SUBSTITUTE(SUBSTITUTE(SUBSTITUTE(SUBSTITUTE(Клиенты_исходные!D647," ",""),"-",""),"+",""),"(",""),")",""))="8","7"&amp;MID(SUBSTITUTE(SUBSTITUTE(SUBSTITUTE(SUBSTITUTE(SUBSTITUTE(Клиенты_исходные!D647," ",""),"-",""),"+",""),"(",""),")",""),2,10),SUBSTITUTE(SUBSTITUTE(SUBSTITUTE(SUBSTITUTE(SUBSTITUTE(Клиенты_исходные!D647," ",""),"-",""),"+",""),"(",""),")","")),2,3)&amp;") "&amp;MID(IF(LEFT(SUBSTITUTE(SUBSTITUTE(SUBSTITUTE(SUBSTITUTE(SUBSTITUTE(Клиенты_исходные!D647," ",""),"-",""),"+",""),"(",""),")",""))="8","7"&amp;MID(SUBSTITUTE(SUBSTITUTE(SUBSTITUTE(SUBSTITUTE(SUBSTITUTE(Клиенты_исходные!D647," ",""),"-",""),"+",""),"(",""),")",""),2,10),SUBSTITUTE(SUBSTITUTE(SUBSTITUTE(SUBSTITUTE(SUBSTITUTE(Клиенты_исходные!D647," ",""),"-",""),"+",""),"(",""),")","")),5,3)&amp;"-"&amp;MID(IF(LEFT(SUBSTITUTE(SUBSTITUTE(SUBSTITUTE(SUBSTITUTE(SUBSTITUTE(Клиенты_исходные!D647," ",""),"-",""),"+",""),"(",""),")",""))="8","7"&amp;MID(SUBSTITUTE(SUBSTITUTE(SUBSTITUTE(SUBSTITUTE(SUBSTITUTE(Клиенты_исходные!D647," ",""),"-",""),"+",""),"(",""),")",""),2,10),SUBSTITUTE(SUBSTITUTE(SUBSTITUTE(SUBSTITUTE(SUBSTITUTE(Клиенты_исходные!D647," ",""),"-",""),"+",""),"(",""),")","")),8,2)&amp;"-"&amp;MID(IF(LEFT(SUBSTITUTE(SUBSTITUTE(SUBSTITUTE(SUBSTITUTE(SUBSTITUTE(Клиенты_исходные!D647," ",""),"-",""),"+",""),"(",""),")",""))="8","7"&amp;MID(SUBSTITUTE(SUBSTITUTE(SUBSTITUTE(SUBSTITUTE(SUBSTITUTE(Клиенты_исходные!D647," ",""),"-",""),"+",""),"(",""),")",""),2,10),SUBSTITUTE(SUBSTITUTE(SUBSTITUTE(SUBSTITUTE(SUBSTITUTE(Клиенты_исходные!D647," ",""),"-",""),"+",""),"(",""),")","")),10,2),IF(LEN(SUBSTITUTE(SUBSTITUTE(SUBSTITUTE(SUBSTITUTE(SUBSTITUTE(Клиенты_исходные!D647," ",""),"-",""),"+",""),"(",""),")",""))=10,"+7 ("&amp;MID(SUBSTITUTE(SUBSTITUTE(SUBSTITUTE(SUBSTITUTE(SUBSTITUTE(Клиенты_исходные!D647," ",""),"-",""),"+",""),"(",""),")",""),1,3)&amp;") "&amp;MID(SUBSTITUTE(SUBSTITUTE(SUBSTITUTE(SUBSTITUTE(SUBSTITUTE(Клиенты_исходные!D647," ",""),"-",""),"+",""),"(",""),")",""),4,3)&amp;"-"&amp;MID(SUBSTITUTE(SUBSTITUTE(SUBSTITUTE(SUBSTITUTE(SUBSTITUTE(Клиенты_исходные!D647," ",""),"-",""),"+",""),"(",""),")",""),6,2)&amp;"-"&amp;MID(SUBSTITUTE(SUBSTITUTE(SUBSTITUTE(SUBSTITUTE(SUBSTITUTE(Клиенты_исходные!D647," ",""),"-",""),"+",""),"(",""),")",""),8,2),Клиенты_исходные!D647)))</f>
        <v xml:space="preserve">+7 (903) 123-45-67</v>
      </c>
      <c r="E647" t="str">
        <f>IF(ISBLANK(Клиенты_исходные!E647),"",IF(ISNUMBER(FIND(".",MID(Клиенты_исходные!E647,FIND("@",Клиенты_исходные!E647)+1,255))),Клиенты_исходные!E647,IF(ISNUMBER(FIND("gmail",Клиенты_исходные!E647)),Клиенты_исходные!E647&amp;".com",Клиенты_исходные!E647&amp;".ru")))</f>
        <v>haritonov@mail.ru</v>
      </c>
      <c r="F647" t="str">
        <f>IFERROR(VLOOKUP(Клиенты_исходные!F647,Справочники!$J$2:$K$50,2,FALSE),Клиенты_исходные!F647)</f>
        <v>Владикавказ</v>
      </c>
      <c r="G647" s="8">
        <f>IFERROR(IF(ISNUMBER(FIND(".",Клиенты_исходные!G647)),DATE(RIGHT(Клиенты_исходные!G647,4),MID(Клиенты_исходные!G647,4,2),LEFT(Клиенты_исходные!G647,2)),DATE(LEFT(Клиенты_исходные!G647,4),MID(Клиенты_исходные!G647,6,2),RIGHT(Клиенты_исходные!G647,2))),Клиенты_исходные!G647)</f>
        <v>51105</v>
      </c>
      <c r="H647">
        <f t="shared" ca="1" si="76"/>
        <v>37</v>
      </c>
      <c r="I647" t="str">
        <f t="shared" si="77"/>
        <v>OK</v>
      </c>
      <c r="J647" t="str">
        <f t="shared" si="78"/>
        <v>OK</v>
      </c>
    </row>
    <row r="648">
      <c r="A648" t="str">
        <f>Клиенты_исходные!A648</f>
        <v>C0647</v>
      </c>
      <c r="B648" t="str">
        <f>PROPER(TRIM(Клиенты_исходные!B648))</f>
        <v xml:space="preserve">Чернова Ольга Сергеевна</v>
      </c>
      <c r="C648" s="8">
        <f>IFERROR(IF(ISNUMBER(FIND(".",Клиенты_исходные!C648)),DATE(RIGHT(Клиенты_исходные!C648,4),MID(Клиенты_исходные!C648,4,2),LEFT(Клиенты_исходные!C648,2)),DATE(LEFT(Клиенты_исходные!C648,4),MID(Клиенты_исходные!C648,6,2),RIGHT(Клиенты_исходные!C648,2))),Клиенты_исходные!C648)</f>
        <v>34331</v>
      </c>
      <c r="D648" t="str">
        <f>IF(ISBLANK(Клиенты_исходные!D648),"",IF(LEN(SUBSTITUTE(SUBSTITUTE(SUBSTITUTE(SUBSTITUTE(SUBSTITUTE(Клиенты_исходные!D648," ",""),"-",""),"+",""),"(",""),")",""))=11,"+7 ("&amp;MID(IF(LEFT(SUBSTITUTE(SUBSTITUTE(SUBSTITUTE(SUBSTITUTE(SUBSTITUTE(Клиенты_исходные!D648," ",""),"-",""),"+",""),"(",""),")",""))="8","7"&amp;MID(SUBSTITUTE(SUBSTITUTE(SUBSTITUTE(SUBSTITUTE(SUBSTITUTE(Клиенты_исходные!D648," ",""),"-",""),"+",""),"(",""),")",""),2,10),SUBSTITUTE(SUBSTITUTE(SUBSTITUTE(SUBSTITUTE(SUBSTITUTE(Клиенты_исходные!D648," ",""),"-",""),"+",""),"(",""),")","")),2,3)&amp;") "&amp;MID(IF(LEFT(SUBSTITUTE(SUBSTITUTE(SUBSTITUTE(SUBSTITUTE(SUBSTITUTE(Клиенты_исходные!D648," ",""),"-",""),"+",""),"(",""),")",""))="8","7"&amp;MID(SUBSTITUTE(SUBSTITUTE(SUBSTITUTE(SUBSTITUTE(SUBSTITUTE(Клиенты_исходные!D648," ",""),"-",""),"+",""),"(",""),")",""),2,10),SUBSTITUTE(SUBSTITUTE(SUBSTITUTE(SUBSTITUTE(SUBSTITUTE(Клиенты_исходные!D648," ",""),"-",""),"+",""),"(",""),")","")),5,3)&amp;"-"&amp;MID(IF(LEFT(SUBSTITUTE(SUBSTITUTE(SUBSTITUTE(SUBSTITUTE(SUBSTITUTE(Клиенты_исходные!D648," ",""),"-",""),"+",""),"(",""),")",""))="8","7"&amp;MID(SUBSTITUTE(SUBSTITUTE(SUBSTITUTE(SUBSTITUTE(SUBSTITUTE(Клиенты_исходные!D648," ",""),"-",""),"+",""),"(",""),")",""),2,10),SUBSTITUTE(SUBSTITUTE(SUBSTITUTE(SUBSTITUTE(SUBSTITUTE(Клиенты_исходные!D648," ",""),"-",""),"+",""),"(",""),")","")),8,2)&amp;"-"&amp;MID(IF(LEFT(SUBSTITUTE(SUBSTITUTE(SUBSTITUTE(SUBSTITUTE(SUBSTITUTE(Клиенты_исходные!D648," ",""),"-",""),"+",""),"(",""),")",""))="8","7"&amp;MID(SUBSTITUTE(SUBSTITUTE(SUBSTITUTE(SUBSTITUTE(SUBSTITUTE(Клиенты_исходные!D648," ",""),"-",""),"+",""),"(",""),")",""),2,10),SUBSTITUTE(SUBSTITUTE(SUBSTITUTE(SUBSTITUTE(SUBSTITUTE(Клиенты_исходные!D648," ",""),"-",""),"+",""),"(",""),")","")),10,2),IF(LEN(SUBSTITUTE(SUBSTITUTE(SUBSTITUTE(SUBSTITUTE(SUBSTITUTE(Клиенты_исходные!D648," ",""),"-",""),"+",""),"(",""),")",""))=10,"+7 ("&amp;MID(SUBSTITUTE(SUBSTITUTE(SUBSTITUTE(SUBSTITUTE(SUBSTITUTE(Клиенты_исходные!D648," ",""),"-",""),"+",""),"(",""),")",""),1,3)&amp;") "&amp;MID(SUBSTITUTE(SUBSTITUTE(SUBSTITUTE(SUBSTITUTE(SUBSTITUTE(Клиенты_исходные!D648," ",""),"-",""),"+",""),"(",""),")",""),4,3)&amp;"-"&amp;MID(SUBSTITUTE(SUBSTITUTE(SUBSTITUTE(SUBSTITUTE(SUBSTITUTE(Клиенты_исходные!D648," ",""),"-",""),"+",""),"(",""),")",""),6,2)&amp;"-"&amp;MID(SUBSTITUTE(SUBSTITUTE(SUBSTITUTE(SUBSTITUTE(SUBSTITUTE(Клиенты_исходные!D648," ",""),"-",""),"+",""),"(",""),")",""),8,2),Клиенты_исходные!D648)))</f>
        <v xml:space="preserve">+7 (903) 123-45-67</v>
      </c>
      <c r="E648" t="str">
        <f>IF(ISBLANK(Клиенты_исходные!E648),"",IF(ISNUMBER(FIND(".",MID(Клиенты_исходные!E648,FIND("@",Клиенты_исходные!E648)+1,255))),Клиенты_исходные!E648,IF(ISNUMBER(FIND("gmail",Клиенты_исходные!E648)),Клиенты_исходные!E648&amp;".com",Клиенты_исходные!E648&amp;".ru")))</f>
        <v>chernova@yandex.ru</v>
      </c>
      <c r="F648" t="str">
        <f>IFERROR(VLOOKUP(Клиенты_исходные!F648,Справочники!$J$2:$K$50,2,FALSE),Клиенты_исходные!F648)</f>
        <v>Смоленск</v>
      </c>
      <c r="G648" s="8">
        <f>IFERROR(IF(ISNUMBER(FIND(".",Клиенты_исходные!G648)),DATE(RIGHT(Клиенты_исходные!G648,4),MID(Клиенты_исходные!G648,4,2),LEFT(Клиенты_исходные!G648,2)),DATE(LEFT(Клиенты_исходные!G648,4),MID(Клиенты_исходные!G648,6,2),RIGHT(Клиенты_исходные!G648,2))),Клиенты_исходные!G648)</f>
        <v>51114</v>
      </c>
      <c r="H648">
        <f t="shared" ca="1" si="76"/>
        <v>32</v>
      </c>
      <c r="I648" t="str">
        <f t="shared" si="77"/>
        <v>OK</v>
      </c>
      <c r="J648" t="str">
        <f t="shared" si="78"/>
        <v>OK</v>
      </c>
    </row>
    <row r="649">
      <c r="A649" t="str">
        <f>Клиенты_исходные!A649</f>
        <v>C0648</v>
      </c>
      <c r="B649" t="str">
        <f>PROPER(TRIM(Клиенты_исходные!B649))</f>
        <v xml:space="preserve">Щербаков Илья Александрович</v>
      </c>
      <c r="C649" s="8">
        <f>IFERROR(IF(ISNUMBER(FIND(".",Клиенты_исходные!C649)),DATE(RIGHT(Клиенты_исходные!C649,4),MID(Клиенты_исходные!C649,4,2),LEFT(Клиенты_исходные!C649,2)),DATE(LEFT(Клиенты_исходные!C649,4),MID(Клиенты_исходные!C649,6,2),RIGHT(Клиенты_исходные!C649,2))),Клиенты_исходные!C649)</f>
        <v>28961</v>
      </c>
      <c r="D649" t="str">
        <f>IF(ISBLANK(Клиенты_исходные!D649),"",IF(LEN(SUBSTITUTE(SUBSTITUTE(SUBSTITUTE(SUBSTITUTE(SUBSTITUTE(Клиенты_исходные!D649," ",""),"-",""),"+",""),"(",""),")",""))=11,"+7 ("&amp;MID(IF(LEFT(SUBSTITUTE(SUBSTITUTE(SUBSTITUTE(SUBSTITUTE(SUBSTITUTE(Клиенты_исходные!D649," ",""),"-",""),"+",""),"(",""),")",""))="8","7"&amp;MID(SUBSTITUTE(SUBSTITUTE(SUBSTITUTE(SUBSTITUTE(SUBSTITUTE(Клиенты_исходные!D649," ",""),"-",""),"+",""),"(",""),")",""),2,10),SUBSTITUTE(SUBSTITUTE(SUBSTITUTE(SUBSTITUTE(SUBSTITUTE(Клиенты_исходные!D649," ",""),"-",""),"+",""),"(",""),")","")),2,3)&amp;") "&amp;MID(IF(LEFT(SUBSTITUTE(SUBSTITUTE(SUBSTITUTE(SUBSTITUTE(SUBSTITUTE(Клиенты_исходные!D649," ",""),"-",""),"+",""),"(",""),")",""))="8","7"&amp;MID(SUBSTITUTE(SUBSTITUTE(SUBSTITUTE(SUBSTITUTE(SUBSTITUTE(Клиенты_исходные!D649," ",""),"-",""),"+",""),"(",""),")",""),2,10),SUBSTITUTE(SUBSTITUTE(SUBSTITUTE(SUBSTITUTE(SUBSTITUTE(Клиенты_исходные!D649," ",""),"-",""),"+",""),"(",""),")","")),5,3)&amp;"-"&amp;MID(IF(LEFT(SUBSTITUTE(SUBSTITUTE(SUBSTITUTE(SUBSTITUTE(SUBSTITUTE(Клиенты_исходные!D649," ",""),"-",""),"+",""),"(",""),")",""))="8","7"&amp;MID(SUBSTITUTE(SUBSTITUTE(SUBSTITUTE(SUBSTITUTE(SUBSTITUTE(Клиенты_исходные!D649," ",""),"-",""),"+",""),"(",""),")",""),2,10),SUBSTITUTE(SUBSTITUTE(SUBSTITUTE(SUBSTITUTE(SUBSTITUTE(Клиенты_исходные!D649," ",""),"-",""),"+",""),"(",""),")","")),8,2)&amp;"-"&amp;MID(IF(LEFT(SUBSTITUTE(SUBSTITUTE(SUBSTITUTE(SUBSTITUTE(SUBSTITUTE(Клиенты_исходные!D649," ",""),"-",""),"+",""),"(",""),")",""))="8","7"&amp;MID(SUBSTITUTE(SUBSTITUTE(SUBSTITUTE(SUBSTITUTE(SUBSTITUTE(Клиенты_исходные!D649," ",""),"-",""),"+",""),"(",""),")",""),2,10),SUBSTITUTE(SUBSTITUTE(SUBSTITUTE(SUBSTITUTE(SUBSTITUTE(Клиенты_исходные!D649," ",""),"-",""),"+",""),"(",""),")","")),10,2),IF(LEN(SUBSTITUTE(SUBSTITUTE(SUBSTITUTE(SUBSTITUTE(SUBSTITUTE(Клиенты_исходные!D649," ",""),"-",""),"+",""),"(",""),")",""))=10,"+7 ("&amp;MID(SUBSTITUTE(SUBSTITUTE(SUBSTITUTE(SUBSTITUTE(SUBSTITUTE(Клиенты_исходные!D649," ",""),"-",""),"+",""),"(",""),")",""),1,3)&amp;") "&amp;MID(SUBSTITUTE(SUBSTITUTE(SUBSTITUTE(SUBSTITUTE(SUBSTITUTE(Клиенты_исходные!D649," ",""),"-",""),"+",""),"(",""),")",""),4,3)&amp;"-"&amp;MID(SUBSTITUTE(SUBSTITUTE(SUBSTITUTE(SUBSTITUTE(SUBSTITUTE(Клиенты_исходные!D649," ",""),"-",""),"+",""),"(",""),")",""),6,2)&amp;"-"&amp;MID(SUBSTITUTE(SUBSTITUTE(SUBSTITUTE(SUBSTITUTE(SUBSTITUTE(Клиенты_исходные!D649," ",""),"-",""),"+",""),"(",""),")",""),8,2),Клиенты_исходные!D649)))</f>
        <v xml:space="preserve">+7 (903) 234-56-78</v>
      </c>
      <c r="E649" t="str">
        <f>IF(ISBLANK(Клиенты_исходные!E649),"",IF(ISNUMBER(FIND(".",MID(Клиенты_исходные!E649,FIND("@",Клиенты_исходные!E649)+1,255))),Клиенты_исходные!E649,IF(ISNUMBER(FIND("gmail",Клиенты_исходные!E649)),Клиенты_исходные!E649&amp;".com",Клиенты_исходные!E649&amp;".ru")))</f>
        <v>scherbakov@gmail.com</v>
      </c>
      <c r="F649" t="str">
        <f>IFERROR(VLOOKUP(Клиенты_исходные!F649,Справочники!$J$2:$K$50,2,FALSE),Клиенты_исходные!F649)</f>
        <v>Белгород</v>
      </c>
      <c r="G649" s="8">
        <f>IFERROR(IF(ISNUMBER(FIND(".",Клиенты_исходные!G649)),DATE(RIGHT(Клиенты_исходные!G649,4),MID(Клиенты_исходные!G649,4,2),LEFT(Клиенты_исходные!G649,2)),DATE(LEFT(Клиенты_исходные!G649,4),MID(Клиенты_исходные!G649,6,2),RIGHT(Клиенты_исходные!G649,2))),Клиенты_исходные!G649)</f>
        <v>51114</v>
      </c>
      <c r="H649">
        <f t="shared" ca="1" si="76"/>
        <v>47</v>
      </c>
      <c r="I649" t="str">
        <f t="shared" si="77"/>
        <v>OK</v>
      </c>
      <c r="J649" t="str">
        <f t="shared" si="78"/>
        <v>OK</v>
      </c>
    </row>
    <row r="650">
      <c r="A650" t="str">
        <f>Клиенты_исходные!A650</f>
        <v>C0649</v>
      </c>
      <c r="B650" t="str">
        <f>PROPER(TRIM(Клиенты_исходные!B650))</f>
        <v xml:space="preserve">Колесникова Екатерина Алексеевна</v>
      </c>
      <c r="C650" s="8">
        <f>IFERROR(IF(ISNUMBER(FIND(".",Клиенты_исходные!C650)),DATE(RIGHT(Клиенты_исходные!C650,4),MID(Клиенты_исходные!C650,4,2),LEFT(Клиенты_исходные!C650,2)),DATE(LEFT(Клиенты_исходные!C650,4),MID(Клиенты_исходные!C650,6,2),RIGHT(Клиенты_исходные!C650,2))),Клиенты_исходные!C650)</f>
        <v>30934</v>
      </c>
      <c r="D650" t="str">
        <f>IF(ISBLANK(Клиенты_исходные!D650),"",IF(LEN(SUBSTITUTE(SUBSTITUTE(SUBSTITUTE(SUBSTITUTE(SUBSTITUTE(Клиенты_исходные!D650," ",""),"-",""),"+",""),"(",""),")",""))=11,"+7 ("&amp;MID(IF(LEFT(SUBSTITUTE(SUBSTITUTE(SUBSTITUTE(SUBSTITUTE(SUBSTITUTE(Клиенты_исходные!D650," ",""),"-",""),"+",""),"(",""),")",""))="8","7"&amp;MID(SUBSTITUTE(SUBSTITUTE(SUBSTITUTE(SUBSTITUTE(SUBSTITUTE(Клиенты_исходные!D650," ",""),"-",""),"+",""),"(",""),")",""),2,10),SUBSTITUTE(SUBSTITUTE(SUBSTITUTE(SUBSTITUTE(SUBSTITUTE(Клиенты_исходные!D650," ",""),"-",""),"+",""),"(",""),")","")),2,3)&amp;") "&amp;MID(IF(LEFT(SUBSTITUTE(SUBSTITUTE(SUBSTITUTE(SUBSTITUTE(SUBSTITUTE(Клиенты_исходные!D650," ",""),"-",""),"+",""),"(",""),")",""))="8","7"&amp;MID(SUBSTITUTE(SUBSTITUTE(SUBSTITUTE(SUBSTITUTE(SUBSTITUTE(Клиенты_исходные!D650," ",""),"-",""),"+",""),"(",""),")",""),2,10),SUBSTITUTE(SUBSTITUTE(SUBSTITUTE(SUBSTITUTE(SUBSTITUTE(Клиенты_исходные!D650," ",""),"-",""),"+",""),"(",""),")","")),5,3)&amp;"-"&amp;MID(IF(LEFT(SUBSTITUTE(SUBSTITUTE(SUBSTITUTE(SUBSTITUTE(SUBSTITUTE(Клиенты_исходные!D650," ",""),"-",""),"+",""),"(",""),")",""))="8","7"&amp;MID(SUBSTITUTE(SUBSTITUTE(SUBSTITUTE(SUBSTITUTE(SUBSTITUTE(Клиенты_исходные!D650," ",""),"-",""),"+",""),"(",""),")",""),2,10),SUBSTITUTE(SUBSTITUTE(SUBSTITUTE(SUBSTITUTE(SUBSTITUTE(Клиенты_исходные!D650," ",""),"-",""),"+",""),"(",""),")","")),8,2)&amp;"-"&amp;MID(IF(LEFT(SUBSTITUTE(SUBSTITUTE(SUBSTITUTE(SUBSTITUTE(SUBSTITUTE(Клиенты_исходные!D650," ",""),"-",""),"+",""),"(",""),")",""))="8","7"&amp;MID(SUBSTITUTE(SUBSTITUTE(SUBSTITUTE(SUBSTITUTE(SUBSTITUTE(Клиенты_исходные!D650," ",""),"-",""),"+",""),"(",""),")",""),2,10),SUBSTITUTE(SUBSTITUTE(SUBSTITUTE(SUBSTITUTE(SUBSTITUTE(Клиенты_исходные!D650," ",""),"-",""),"+",""),"(",""),")","")),10,2),IF(LEN(SUBSTITUTE(SUBSTITUTE(SUBSTITUTE(SUBSTITUTE(SUBSTITUTE(Клиенты_исходные!D650," ",""),"-",""),"+",""),"(",""),")",""))=10,"+7 ("&amp;MID(SUBSTITUTE(SUBSTITUTE(SUBSTITUTE(SUBSTITUTE(SUBSTITUTE(Клиенты_исходные!D650," ",""),"-",""),"+",""),"(",""),")",""),1,3)&amp;") "&amp;MID(SUBSTITUTE(SUBSTITUTE(SUBSTITUTE(SUBSTITUTE(SUBSTITUTE(Клиенты_исходные!D650," ",""),"-",""),"+",""),"(",""),")",""),4,3)&amp;"-"&amp;MID(SUBSTITUTE(SUBSTITUTE(SUBSTITUTE(SUBSTITUTE(SUBSTITUTE(Клиенты_исходные!D650," ",""),"-",""),"+",""),"(",""),")",""),6,2)&amp;"-"&amp;MID(SUBSTITUTE(SUBSTITUTE(SUBSTITUTE(SUBSTITUTE(SUBSTITUTE(Клиенты_исходные!D650," ",""),"-",""),"+",""),"(",""),")",""),8,2),Клиенты_исходные!D650)))</f>
        <v xml:space="preserve">+7 (903) 234-56-78</v>
      </c>
      <c r="E650" t="str">
        <f>IF(ISBLANK(Клиенты_исходные!E650),"",IF(ISNUMBER(FIND(".",MID(Клиенты_исходные!E650,FIND("@",Клиенты_исходные!E650)+1,255))),Клиенты_исходные!E650,IF(ISNUMBER(FIND("gmail",Клиенты_исходные!E650)),Клиенты_исходные!E650&amp;".com",Клиенты_исходные!E650&amp;".ru")))</f>
        <v>kolesnikova@mail.ru</v>
      </c>
      <c r="F650" t="str">
        <f>IFERROR(VLOOKUP(Клиенты_исходные!F650,Справочники!$J$2:$K$50,2,FALSE),Клиенты_исходные!F650)</f>
        <v>Мурманск</v>
      </c>
      <c r="G650" s="8">
        <f>IFERROR(IF(ISNUMBER(FIND(".",Клиенты_исходные!G650)),DATE(RIGHT(Клиенты_исходные!G650,4),MID(Клиенты_исходные!G650,4,2),LEFT(Клиенты_исходные!G650,2)),DATE(LEFT(Клиенты_исходные!G650,4),MID(Клиенты_исходные!G650,6,2),RIGHT(Клиенты_исходные!G650,2))),Клиенты_исходные!G650)</f>
        <v>51136</v>
      </c>
      <c r="H650">
        <f t="shared" ca="1" si="76"/>
        <v>42</v>
      </c>
      <c r="I650" t="str">
        <f t="shared" si="77"/>
        <v>OK</v>
      </c>
      <c r="J650" t="str">
        <f t="shared" si="78"/>
        <v>OK</v>
      </c>
    </row>
    <row r="651">
      <c r="A651" t="str">
        <f>Клиенты_исходные!A651</f>
        <v>C0650</v>
      </c>
      <c r="B651" t="str">
        <f>PROPER(TRIM(Клиенты_исходные!B651))</f>
        <v xml:space="preserve">Тихонов Андрей Олегович</v>
      </c>
      <c r="C651" s="8">
        <f>IFERROR(IF(ISNUMBER(FIND(".",Клиенты_исходные!C651)),DATE(RIGHT(Клиенты_исходные!C651,4),MID(Клиенты_исходные!C651,4,2),LEFT(Клиенты_исходные!C651,2)),DATE(LEFT(Клиенты_исходные!C651,4),MID(Клиенты_исходные!C651,6,2),RIGHT(Клиенты_исходные!C651,2))),Клиенты_исходные!C651)</f>
        <v>32102</v>
      </c>
      <c r="D651" t="str">
        <f>IF(ISBLANK(Клиенты_исходные!D651),"",IF(LEN(SUBSTITUTE(SUBSTITUTE(SUBSTITUTE(SUBSTITUTE(SUBSTITUTE(Клиенты_исходные!D651," ",""),"-",""),"+",""),"(",""),")",""))=11,"+7 ("&amp;MID(IF(LEFT(SUBSTITUTE(SUBSTITUTE(SUBSTITUTE(SUBSTITUTE(SUBSTITUTE(Клиенты_исходные!D651," ",""),"-",""),"+",""),"(",""),")",""))="8","7"&amp;MID(SUBSTITUTE(SUBSTITUTE(SUBSTITUTE(SUBSTITUTE(SUBSTITUTE(Клиенты_исходные!D651," ",""),"-",""),"+",""),"(",""),")",""),2,10),SUBSTITUTE(SUBSTITUTE(SUBSTITUTE(SUBSTITUTE(SUBSTITUTE(Клиенты_исходные!D651," ",""),"-",""),"+",""),"(",""),")","")),2,3)&amp;") "&amp;MID(IF(LEFT(SUBSTITUTE(SUBSTITUTE(SUBSTITUTE(SUBSTITUTE(SUBSTITUTE(Клиенты_исходные!D651," ",""),"-",""),"+",""),"(",""),")",""))="8","7"&amp;MID(SUBSTITUTE(SUBSTITUTE(SUBSTITUTE(SUBSTITUTE(SUBSTITUTE(Клиенты_исходные!D651," ",""),"-",""),"+",""),"(",""),")",""),2,10),SUBSTITUTE(SUBSTITUTE(SUBSTITUTE(SUBSTITUTE(SUBSTITUTE(Клиенты_исходные!D651," ",""),"-",""),"+",""),"(",""),")","")),5,3)&amp;"-"&amp;MID(IF(LEFT(SUBSTITUTE(SUBSTITUTE(SUBSTITUTE(SUBSTITUTE(SUBSTITUTE(Клиенты_исходные!D651," ",""),"-",""),"+",""),"(",""),")",""))="8","7"&amp;MID(SUBSTITUTE(SUBSTITUTE(SUBSTITUTE(SUBSTITUTE(SUBSTITUTE(Клиенты_исходные!D651," ",""),"-",""),"+",""),"(",""),")",""),2,10),SUBSTITUTE(SUBSTITUTE(SUBSTITUTE(SUBSTITUTE(SUBSTITUTE(Клиенты_исходные!D651," ",""),"-",""),"+",""),"(",""),")","")),8,2)&amp;"-"&amp;MID(IF(LEFT(SUBSTITUTE(SUBSTITUTE(SUBSTITUTE(SUBSTITUTE(SUBSTITUTE(Клиенты_исходные!D651," ",""),"-",""),"+",""),"(",""),")",""))="8","7"&amp;MID(SUBSTITUTE(SUBSTITUTE(SUBSTITUTE(SUBSTITUTE(SUBSTITUTE(Клиенты_исходные!D651," ",""),"-",""),"+",""),"(",""),")",""),2,10),SUBSTITUTE(SUBSTITUTE(SUBSTITUTE(SUBSTITUTE(SUBSTITUTE(Клиенты_исходные!D651," ",""),"-",""),"+",""),"(",""),")","")),10,2),IF(LEN(SUBSTITUTE(SUBSTITUTE(SUBSTITUTE(SUBSTITUTE(SUBSTITUTE(Клиенты_исходные!D651," ",""),"-",""),"+",""),"(",""),")",""))=10,"+7 ("&amp;MID(SUBSTITUTE(SUBSTITUTE(SUBSTITUTE(SUBSTITUTE(SUBSTITUTE(Клиенты_исходные!D651," ",""),"-",""),"+",""),"(",""),")",""),1,3)&amp;") "&amp;MID(SUBSTITUTE(SUBSTITUTE(SUBSTITUTE(SUBSTITUTE(SUBSTITUTE(Клиенты_исходные!D651," ",""),"-",""),"+",""),"(",""),")",""),4,3)&amp;"-"&amp;MID(SUBSTITUTE(SUBSTITUTE(SUBSTITUTE(SUBSTITUTE(SUBSTITUTE(Клиенты_исходные!D651," ",""),"-",""),"+",""),"(",""),")",""),6,2)&amp;"-"&amp;MID(SUBSTITUTE(SUBSTITUTE(SUBSTITUTE(SUBSTITUTE(SUBSTITUTE(Клиенты_исходные!D651," ",""),"-",""),"+",""),"(",""),")",""),8,2),Клиенты_исходные!D651)))</f>
        <v xml:space="preserve">+7 (903) 234-56-78</v>
      </c>
      <c r="E651" t="str">
        <f>IF(ISBLANK(Клиенты_исходные!E651),"",IF(ISNUMBER(FIND(".",MID(Клиенты_исходные!E651,FIND("@",Клиенты_исходные!E651)+1,255))),Клиенты_исходные!E651,IF(ISNUMBER(FIND("gmail",Клиенты_исходные!E651)),Клиенты_исходные!E651&amp;".com",Клиенты_исходные!E651&amp;".ru")))</f>
        <v>tihonov@yandex.ru</v>
      </c>
      <c r="F651" t="str">
        <f>IFERROR(VLOOKUP(Клиенты_исходные!F651,Справочники!$J$2:$K$50,2,FALSE),Клиенты_исходные!F651)</f>
        <v>Ставрополь</v>
      </c>
      <c r="G651" s="8">
        <f>IFERROR(IF(ISNUMBER(FIND(".",Клиенты_исходные!G651)),DATE(RIGHT(Клиенты_исходные!G651,4),MID(Клиенты_исходные!G651,4,2),LEFT(Клиенты_исходные!G651,2)),DATE(LEFT(Клиенты_исходные!G651,4),MID(Клиенты_исходные!G651,6,2),RIGHT(Клиенты_исходные!G651,2))),Клиенты_исходные!G651)</f>
        <v>51150</v>
      </c>
      <c r="H651">
        <f t="shared" ca="1" si="76"/>
        <v>38</v>
      </c>
      <c r="I651" t="str">
        <f t="shared" si="77"/>
        <v>OK</v>
      </c>
      <c r="J651" t="str">
        <f t="shared" si="78"/>
        <v>OK</v>
      </c>
    </row>
    <row r="652">
      <c r="A652" t="str">
        <f>Клиенты_исходные!A652</f>
        <v>C0651</v>
      </c>
      <c r="B652" t="str">
        <f>PROPER(TRIM(Клиенты_исходные!B652))</f>
        <v xml:space="preserve">Дубровина Мария Павловна</v>
      </c>
      <c r="C652" s="8">
        <f>IFERROR(IF(ISNUMBER(FIND(".",Клиенты_исходные!C652)),DATE(RIGHT(Клиенты_исходные!C652,4),MID(Клиенты_исходные!C652,4,2),LEFT(Клиенты_исходные!C652,2)),DATE(LEFT(Клиенты_исходные!C652,4),MID(Клиенты_исходные!C652,6,2),RIGHT(Клиенты_исходные!C652,2))),Клиенты_исходные!C652)</f>
        <v>27577</v>
      </c>
      <c r="D652" t="str">
        <f>IF(ISBLANK(Клиенты_исходные!D652),"",IF(LEN(SUBSTITUTE(SUBSTITUTE(SUBSTITUTE(SUBSTITUTE(SUBSTITUTE(Клиенты_исходные!D652," ",""),"-",""),"+",""),"(",""),")",""))=11,"+7 ("&amp;MID(IF(LEFT(SUBSTITUTE(SUBSTITUTE(SUBSTITUTE(SUBSTITUTE(SUBSTITUTE(Клиенты_исходные!D652," ",""),"-",""),"+",""),"(",""),")",""))="8","7"&amp;MID(SUBSTITUTE(SUBSTITUTE(SUBSTITUTE(SUBSTITUTE(SUBSTITUTE(Клиенты_исходные!D652," ",""),"-",""),"+",""),"(",""),")",""),2,10),SUBSTITUTE(SUBSTITUTE(SUBSTITUTE(SUBSTITUTE(SUBSTITUTE(Клиенты_исходные!D652," ",""),"-",""),"+",""),"(",""),")","")),2,3)&amp;") "&amp;MID(IF(LEFT(SUBSTITUTE(SUBSTITUTE(SUBSTITUTE(SUBSTITUTE(SUBSTITUTE(Клиенты_исходные!D652," ",""),"-",""),"+",""),"(",""),")",""))="8","7"&amp;MID(SUBSTITUTE(SUBSTITUTE(SUBSTITUTE(SUBSTITUTE(SUBSTITUTE(Клиенты_исходные!D652," ",""),"-",""),"+",""),"(",""),")",""),2,10),SUBSTITUTE(SUBSTITUTE(SUBSTITUTE(SUBSTITUTE(SUBSTITUTE(Клиенты_исходные!D652," ",""),"-",""),"+",""),"(",""),")","")),5,3)&amp;"-"&amp;MID(IF(LEFT(SUBSTITUTE(SUBSTITUTE(SUBSTITUTE(SUBSTITUTE(SUBSTITUTE(Клиенты_исходные!D652," ",""),"-",""),"+",""),"(",""),")",""))="8","7"&amp;MID(SUBSTITUTE(SUBSTITUTE(SUBSTITUTE(SUBSTITUTE(SUBSTITUTE(Клиенты_исходные!D652," ",""),"-",""),"+",""),"(",""),")",""),2,10),SUBSTITUTE(SUBSTITUTE(SUBSTITUTE(SUBSTITUTE(SUBSTITUTE(Клиенты_исходные!D652," ",""),"-",""),"+",""),"(",""),")","")),8,2)&amp;"-"&amp;MID(IF(LEFT(SUBSTITUTE(SUBSTITUTE(SUBSTITUTE(SUBSTITUTE(SUBSTITUTE(Клиенты_исходные!D652," ",""),"-",""),"+",""),"(",""),")",""))="8","7"&amp;MID(SUBSTITUTE(SUBSTITUTE(SUBSTITUTE(SUBSTITUTE(SUBSTITUTE(Клиенты_исходные!D652," ",""),"-",""),"+",""),"(",""),")",""),2,10),SUBSTITUTE(SUBSTITUTE(SUBSTITUTE(SUBSTITUTE(SUBSTITUTE(Клиенты_исходные!D652," ",""),"-",""),"+",""),"(",""),")","")),10,2),IF(LEN(SUBSTITUTE(SUBSTITUTE(SUBSTITUTE(SUBSTITUTE(SUBSTITUTE(Клиенты_исходные!D652," ",""),"-",""),"+",""),"(",""),")",""))=10,"+7 ("&amp;MID(SUBSTITUTE(SUBSTITUTE(SUBSTITUTE(SUBSTITUTE(SUBSTITUTE(Клиенты_исходные!D652," ",""),"-",""),"+",""),"(",""),")",""),1,3)&amp;") "&amp;MID(SUBSTITUTE(SUBSTITUTE(SUBSTITUTE(SUBSTITUTE(SUBSTITUTE(Клиенты_исходные!D652," ",""),"-",""),"+",""),"(",""),")",""),4,3)&amp;"-"&amp;MID(SUBSTITUTE(SUBSTITUTE(SUBSTITUTE(SUBSTITUTE(SUBSTITUTE(Клиенты_исходные!D652," ",""),"-",""),"+",""),"(",""),")",""),6,2)&amp;"-"&amp;MID(SUBSTITUTE(SUBSTITUTE(SUBSTITUTE(SUBSTITUTE(SUBSTITUTE(Клиенты_исходные!D652," ",""),"-",""),"+",""),"(",""),")",""),8,2),Клиенты_исходные!D652)))</f>
        <v xml:space="preserve">+7 (903) 345-67-89</v>
      </c>
      <c r="E652" t="str">
        <f>IF(ISBLANK(Клиенты_исходные!E652),"",IF(ISNUMBER(FIND(".",MID(Клиенты_исходные!E652,FIND("@",Клиенты_исходные!E652)+1,255))),Клиенты_исходные!E652,IF(ISNUMBER(FIND("gmail",Клиенты_исходные!E652)),Клиенты_исходные!E652&amp;".com",Клиенты_исходные!E652&amp;".ru")))</f>
        <v>dubrovina@gmail.com</v>
      </c>
      <c r="F652" t="str">
        <f>IFERROR(VLOOKUP(Клиенты_исходные!F652,Справочники!$J$2:$K$50,2,FALSE),Клиенты_исходные!F652)</f>
        <v>Севастополь</v>
      </c>
      <c r="G652" s="8">
        <f>IFERROR(IF(ISNUMBER(FIND(".",Клиенты_исходные!G652)),DATE(RIGHT(Клиенты_исходные!G652,4),MID(Клиенты_исходные!G652,4,2),LEFT(Клиенты_исходные!G652,2)),DATE(LEFT(Клиенты_исходные!G652,4),MID(Клиенты_исходные!G652,6,2),RIGHT(Клиенты_исходные!G652,2))),Клиенты_исходные!G652)</f>
        <v>51150</v>
      </c>
      <c r="H652">
        <f t="shared" ca="1" si="76"/>
        <v>51</v>
      </c>
      <c r="I652" t="str">
        <f t="shared" si="77"/>
        <v>OK</v>
      </c>
      <c r="J652" t="str">
        <f t="shared" si="78"/>
        <v>OK</v>
      </c>
    </row>
    <row r="653">
      <c r="A653" t="str">
        <f>Клиенты_исходные!A653</f>
        <v>C0652</v>
      </c>
      <c r="B653" t="str">
        <f>PROPER(TRIM(Клиенты_исходные!B653))</f>
        <v xml:space="preserve">Ткаченко Денис Викторович</v>
      </c>
      <c r="C653" s="8">
        <f>IFERROR(IF(ISNUMBER(FIND(".",Клиенты_исходные!C653)),DATE(RIGHT(Клиенты_исходные!C653,4),MID(Клиенты_исходные!C653,4,2),LEFT(Клиенты_исходные!C653,2)),DATE(LEFT(Клиенты_исходные!C653,4),MID(Клиенты_исходные!C653,6,2),RIGHT(Клиенты_исходные!C653,2))),Клиенты_исходные!C653)</f>
        <v>30021</v>
      </c>
      <c r="D653" t="str">
        <f>IF(ISBLANK(Клиенты_исходные!D653),"",IF(LEN(SUBSTITUTE(SUBSTITUTE(SUBSTITUTE(SUBSTITUTE(SUBSTITUTE(Клиенты_исходные!D653," ",""),"-",""),"+",""),"(",""),")",""))=11,"+7 ("&amp;MID(IF(LEFT(SUBSTITUTE(SUBSTITUTE(SUBSTITUTE(SUBSTITUTE(SUBSTITUTE(Клиенты_исходные!D653," ",""),"-",""),"+",""),"(",""),")",""))="8","7"&amp;MID(SUBSTITUTE(SUBSTITUTE(SUBSTITUTE(SUBSTITUTE(SUBSTITUTE(Клиенты_исходные!D653," ",""),"-",""),"+",""),"(",""),")",""),2,10),SUBSTITUTE(SUBSTITUTE(SUBSTITUTE(SUBSTITUTE(SUBSTITUTE(Клиенты_исходные!D653," ",""),"-",""),"+",""),"(",""),")","")),2,3)&amp;") "&amp;MID(IF(LEFT(SUBSTITUTE(SUBSTITUTE(SUBSTITUTE(SUBSTITUTE(SUBSTITUTE(Клиенты_исходные!D653," ",""),"-",""),"+",""),"(",""),")",""))="8","7"&amp;MID(SUBSTITUTE(SUBSTITUTE(SUBSTITUTE(SUBSTITUTE(SUBSTITUTE(Клиенты_исходные!D653," ",""),"-",""),"+",""),"(",""),")",""),2,10),SUBSTITUTE(SUBSTITUTE(SUBSTITUTE(SUBSTITUTE(SUBSTITUTE(Клиенты_исходные!D653," ",""),"-",""),"+",""),"(",""),")","")),5,3)&amp;"-"&amp;MID(IF(LEFT(SUBSTITUTE(SUBSTITUTE(SUBSTITUTE(SUBSTITUTE(SUBSTITUTE(Клиенты_исходные!D653," ",""),"-",""),"+",""),"(",""),")",""))="8","7"&amp;MID(SUBSTITUTE(SUBSTITUTE(SUBSTITUTE(SUBSTITUTE(SUBSTITUTE(Клиенты_исходные!D653," ",""),"-",""),"+",""),"(",""),")",""),2,10),SUBSTITUTE(SUBSTITUTE(SUBSTITUTE(SUBSTITUTE(SUBSTITUTE(Клиенты_исходные!D653," ",""),"-",""),"+",""),"(",""),")","")),8,2)&amp;"-"&amp;MID(IF(LEFT(SUBSTITUTE(SUBSTITUTE(SUBSTITUTE(SUBSTITUTE(SUBSTITUTE(Клиенты_исходные!D653," ",""),"-",""),"+",""),"(",""),")",""))="8","7"&amp;MID(SUBSTITUTE(SUBSTITUTE(SUBSTITUTE(SUBSTITUTE(SUBSTITUTE(Клиенты_исходные!D653," ",""),"-",""),"+",""),"(",""),")",""),2,10),SUBSTITUTE(SUBSTITUTE(SUBSTITUTE(SUBSTITUTE(SUBSTITUTE(Клиенты_исходные!D653," ",""),"-",""),"+",""),"(",""),")","")),10,2),IF(LEN(SUBSTITUTE(SUBSTITUTE(SUBSTITUTE(SUBSTITUTE(SUBSTITUTE(Клиенты_исходные!D653," ",""),"-",""),"+",""),"(",""),")",""))=10,"+7 ("&amp;MID(SUBSTITUTE(SUBSTITUTE(SUBSTITUTE(SUBSTITUTE(SUBSTITUTE(Клиенты_исходные!D653," ",""),"-",""),"+",""),"(",""),")",""),1,3)&amp;") "&amp;MID(SUBSTITUTE(SUBSTITUTE(SUBSTITUTE(SUBSTITUTE(SUBSTITUTE(Клиенты_исходные!D653," ",""),"-",""),"+",""),"(",""),")",""),4,3)&amp;"-"&amp;MID(SUBSTITUTE(SUBSTITUTE(SUBSTITUTE(SUBSTITUTE(SUBSTITUTE(Клиенты_исходные!D653," ",""),"-",""),"+",""),"(",""),")",""),6,2)&amp;"-"&amp;MID(SUBSTITUTE(SUBSTITUTE(SUBSTITUTE(SUBSTITUTE(SUBSTITUTE(Клиенты_исходные!D653," ",""),"-",""),"+",""),"(",""),")",""),8,2),Клиенты_исходные!D653)))</f>
        <v xml:space="preserve">+7 (903) 345-67-89</v>
      </c>
      <c r="E653" t="str">
        <f>IF(ISBLANK(Клиенты_исходные!E653),"",IF(ISNUMBER(FIND(".",MID(Клиенты_исходные!E653,FIND("@",Клиенты_исходные!E653)+1,255))),Клиенты_исходные!E653,IF(ISNUMBER(FIND("gmail",Клиенты_исходные!E653)),Клиенты_исходные!E653&amp;".com",Клиенты_исходные!E653&amp;".ru")))</f>
        <v>tkachenko@mail.ru</v>
      </c>
      <c r="F653" t="str">
        <f>IFERROR(VLOOKUP(Клиенты_исходные!F653,Справочники!$J$2:$K$50,2,FALSE),Клиенты_исходные!F653)</f>
        <v>Сочи</v>
      </c>
      <c r="G653" s="8">
        <f>IFERROR(IF(ISNUMBER(FIND(".",Клиенты_исходные!G653)),DATE(RIGHT(Клиенты_исходные!G653,4),MID(Клиенты_исходные!G653,4,2),LEFT(Клиенты_исходные!G653,2)),DATE(LEFT(Клиенты_исходные!G653,4),MID(Клиенты_исходные!G653,6,2),RIGHT(Клиенты_исходные!G653,2))),Клиенты_исходные!G653)</f>
        <v>51167</v>
      </c>
      <c r="H653">
        <f t="shared" ca="1" si="76"/>
        <v>44</v>
      </c>
      <c r="I653" t="str">
        <f t="shared" si="77"/>
        <v>OK</v>
      </c>
      <c r="J653" t="str">
        <f t="shared" si="78"/>
        <v>OK</v>
      </c>
    </row>
    <row r="654">
      <c r="A654" t="str">
        <f>Клиенты_исходные!A654</f>
        <v>C0653</v>
      </c>
      <c r="B654" t="str">
        <f>PROPER(TRIM(Клиенты_исходные!B654))</f>
        <v xml:space="preserve">Калинина Ольга Сергеевна</v>
      </c>
      <c r="C654" s="8">
        <f>IFERROR(IF(ISNUMBER(FIND(".",Клиенты_исходные!C654)),DATE(RIGHT(Клиенты_исходные!C654,4),MID(Клиенты_исходные!C654,4,2),LEFT(Клиенты_исходные!C654,2)),DATE(LEFT(Клиенты_исходные!C654,4),MID(Клиенты_исходные!C654,6,2),RIGHT(Клиенты_исходные!C654,2))),Клиенты_исходные!C654)</f>
        <v>33231</v>
      </c>
      <c r="D654" t="str">
        <f>IF(ISBLANK(Клиенты_исходные!D654),"",IF(LEN(SUBSTITUTE(SUBSTITUTE(SUBSTITUTE(SUBSTITUTE(SUBSTITUTE(Клиенты_исходные!D654," ",""),"-",""),"+",""),"(",""),")",""))=11,"+7 ("&amp;MID(IF(LEFT(SUBSTITUTE(SUBSTITUTE(SUBSTITUTE(SUBSTITUTE(SUBSTITUTE(Клиенты_исходные!D654," ",""),"-",""),"+",""),"(",""),")",""))="8","7"&amp;MID(SUBSTITUTE(SUBSTITUTE(SUBSTITUTE(SUBSTITUTE(SUBSTITUTE(Клиенты_исходные!D654," ",""),"-",""),"+",""),"(",""),")",""),2,10),SUBSTITUTE(SUBSTITUTE(SUBSTITUTE(SUBSTITUTE(SUBSTITUTE(Клиенты_исходные!D654," ",""),"-",""),"+",""),"(",""),")","")),2,3)&amp;") "&amp;MID(IF(LEFT(SUBSTITUTE(SUBSTITUTE(SUBSTITUTE(SUBSTITUTE(SUBSTITUTE(Клиенты_исходные!D654," ",""),"-",""),"+",""),"(",""),")",""))="8","7"&amp;MID(SUBSTITUTE(SUBSTITUTE(SUBSTITUTE(SUBSTITUTE(SUBSTITUTE(Клиенты_исходные!D654," ",""),"-",""),"+",""),"(",""),")",""),2,10),SUBSTITUTE(SUBSTITUTE(SUBSTITUTE(SUBSTITUTE(SUBSTITUTE(Клиенты_исходные!D654," ",""),"-",""),"+",""),"(",""),")","")),5,3)&amp;"-"&amp;MID(IF(LEFT(SUBSTITUTE(SUBSTITUTE(SUBSTITUTE(SUBSTITUTE(SUBSTITUTE(Клиенты_исходные!D654," ",""),"-",""),"+",""),"(",""),")",""))="8","7"&amp;MID(SUBSTITUTE(SUBSTITUTE(SUBSTITUTE(SUBSTITUTE(SUBSTITUTE(Клиенты_исходные!D654," ",""),"-",""),"+",""),"(",""),")",""),2,10),SUBSTITUTE(SUBSTITUTE(SUBSTITUTE(SUBSTITUTE(SUBSTITUTE(Клиенты_исходные!D654," ",""),"-",""),"+",""),"(",""),")","")),8,2)&amp;"-"&amp;MID(IF(LEFT(SUBSTITUTE(SUBSTITUTE(SUBSTITUTE(SUBSTITUTE(SUBSTITUTE(Клиенты_исходные!D654," ",""),"-",""),"+",""),"(",""),")",""))="8","7"&amp;MID(SUBSTITUTE(SUBSTITUTE(SUBSTITUTE(SUBSTITUTE(SUBSTITUTE(Клиенты_исходные!D654," ",""),"-",""),"+",""),"(",""),")",""),2,10),SUBSTITUTE(SUBSTITUTE(SUBSTITUTE(SUBSTITUTE(SUBSTITUTE(Клиенты_исходные!D654," ",""),"-",""),"+",""),"(",""),")","")),10,2),IF(LEN(SUBSTITUTE(SUBSTITUTE(SUBSTITUTE(SUBSTITUTE(SUBSTITUTE(Клиенты_исходные!D654," ",""),"-",""),"+",""),"(",""),")",""))=10,"+7 ("&amp;MID(SUBSTITUTE(SUBSTITUTE(SUBSTITUTE(SUBSTITUTE(SUBSTITUTE(Клиенты_исходные!D654," ",""),"-",""),"+",""),"(",""),")",""),1,3)&amp;") "&amp;MID(SUBSTITUTE(SUBSTITUTE(SUBSTITUTE(SUBSTITUTE(SUBSTITUTE(Клиенты_исходные!D654," ",""),"-",""),"+",""),"(",""),")",""),4,3)&amp;"-"&amp;MID(SUBSTITUTE(SUBSTITUTE(SUBSTITUTE(SUBSTITUTE(SUBSTITUTE(Клиенты_исходные!D654," ",""),"-",""),"+",""),"(",""),")",""),6,2)&amp;"-"&amp;MID(SUBSTITUTE(SUBSTITUTE(SUBSTITUTE(SUBSTITUTE(SUBSTITUTE(Клиенты_исходные!D654," ",""),"-",""),"+",""),"(",""),")",""),8,2),Клиенты_исходные!D654)))</f>
        <v xml:space="preserve">+7 (903) 345-67-89</v>
      </c>
      <c r="E654" t="str">
        <f>IF(ISBLANK(Клиенты_исходные!E654),"",IF(ISNUMBER(FIND(".",MID(Клиенты_исходные!E654,FIND("@",Клиенты_исходные!E654)+1,255))),Клиенты_исходные!E654,IF(ISNUMBER(FIND("gmail",Клиенты_исходные!E654)),Клиенты_исходные!E654&amp;".com",Клиенты_исходные!E654&amp;".ru")))</f>
        <v>kalinina@yandex.ru</v>
      </c>
      <c r="F654" t="str">
        <f>IFERROR(VLOOKUP(Клиенты_исходные!F654,Справочники!$J$2:$K$50,2,FALSE),Клиенты_исходные!F654)</f>
        <v>Симферополь</v>
      </c>
      <c r="G654" s="8">
        <f>IFERROR(IF(ISNUMBER(FIND(".",Клиенты_исходные!G654)),DATE(RIGHT(Клиенты_исходные!G654,4),MID(Клиенты_исходные!G654,4,2),LEFT(Клиенты_исходные!G654,2)),DATE(LEFT(Клиенты_исходные!G654,4),MID(Клиенты_исходные!G654,6,2),RIGHT(Клиенты_исходные!G654,2))),Клиенты_исходные!G654)</f>
        <v>51176</v>
      </c>
      <c r="H654">
        <f t="shared" ca="1" si="76"/>
        <v>35</v>
      </c>
      <c r="I654" t="str">
        <f t="shared" si="77"/>
        <v>OK</v>
      </c>
      <c r="J654" t="str">
        <f t="shared" si="78"/>
        <v>OK</v>
      </c>
    </row>
    <row r="655">
      <c r="A655" t="str">
        <f>Клиенты_исходные!A655</f>
        <v>C0654</v>
      </c>
      <c r="B655" t="str">
        <f>PROPER(TRIM(Клиенты_исходные!B655))</f>
        <v xml:space="preserve">Макаров Илья Алексеевич</v>
      </c>
      <c r="C655" s="8">
        <f>IFERROR(IF(ISNUMBER(FIND(".",Клиенты_исходные!C655)),DATE(RIGHT(Клиенты_исходные!C655,4),MID(Клиенты_исходные!C655,4,2),LEFT(Клиенты_исходные!C655,2)),DATE(LEFT(Клиенты_исходные!C655,4),MID(Клиенты_исходные!C655,6,2),RIGHT(Клиенты_исходные!C655,2))),Клиенты_исходные!C655)</f>
        <v>26912</v>
      </c>
      <c r="D655" t="str">
        <f>IF(ISBLANK(Клиенты_исходные!D655),"",IF(LEN(SUBSTITUTE(SUBSTITUTE(SUBSTITUTE(SUBSTITUTE(SUBSTITUTE(Клиенты_исходные!D655," ",""),"-",""),"+",""),"(",""),")",""))=11,"+7 ("&amp;MID(IF(LEFT(SUBSTITUTE(SUBSTITUTE(SUBSTITUTE(SUBSTITUTE(SUBSTITUTE(Клиенты_исходные!D655," ",""),"-",""),"+",""),"(",""),")",""))="8","7"&amp;MID(SUBSTITUTE(SUBSTITUTE(SUBSTITUTE(SUBSTITUTE(SUBSTITUTE(Клиенты_исходные!D655," ",""),"-",""),"+",""),"(",""),")",""),2,10),SUBSTITUTE(SUBSTITUTE(SUBSTITUTE(SUBSTITUTE(SUBSTITUTE(Клиенты_исходные!D655," ",""),"-",""),"+",""),"(",""),")","")),2,3)&amp;") "&amp;MID(IF(LEFT(SUBSTITUTE(SUBSTITUTE(SUBSTITUTE(SUBSTITUTE(SUBSTITUTE(Клиенты_исходные!D655," ",""),"-",""),"+",""),"(",""),")",""))="8","7"&amp;MID(SUBSTITUTE(SUBSTITUTE(SUBSTITUTE(SUBSTITUTE(SUBSTITUTE(Клиенты_исходные!D655," ",""),"-",""),"+",""),"(",""),")",""),2,10),SUBSTITUTE(SUBSTITUTE(SUBSTITUTE(SUBSTITUTE(SUBSTITUTE(Клиенты_исходные!D655," ",""),"-",""),"+",""),"(",""),")","")),5,3)&amp;"-"&amp;MID(IF(LEFT(SUBSTITUTE(SUBSTITUTE(SUBSTITUTE(SUBSTITUTE(SUBSTITUTE(Клиенты_исходные!D655," ",""),"-",""),"+",""),"(",""),")",""))="8","7"&amp;MID(SUBSTITUTE(SUBSTITUTE(SUBSTITUTE(SUBSTITUTE(SUBSTITUTE(Клиенты_исходные!D655," ",""),"-",""),"+",""),"(",""),")",""),2,10),SUBSTITUTE(SUBSTITUTE(SUBSTITUTE(SUBSTITUTE(SUBSTITUTE(Клиенты_исходные!D655," ",""),"-",""),"+",""),"(",""),")","")),8,2)&amp;"-"&amp;MID(IF(LEFT(SUBSTITUTE(SUBSTITUTE(SUBSTITUTE(SUBSTITUTE(SUBSTITUTE(Клиенты_исходные!D655," ",""),"-",""),"+",""),"(",""),")",""))="8","7"&amp;MID(SUBSTITUTE(SUBSTITUTE(SUBSTITUTE(SUBSTITUTE(SUBSTITUTE(Клиенты_исходные!D655," ",""),"-",""),"+",""),"(",""),")",""),2,10),SUBSTITUTE(SUBSTITUTE(SUBSTITUTE(SUBSTITUTE(SUBSTITUTE(Клиенты_исходные!D655," ",""),"-",""),"+",""),"(",""),")","")),10,2),IF(LEN(SUBSTITUTE(SUBSTITUTE(SUBSTITUTE(SUBSTITUTE(SUBSTITUTE(Клиенты_исходные!D655," ",""),"-",""),"+",""),"(",""),")",""))=10,"+7 ("&amp;MID(SUBSTITUTE(SUBSTITUTE(SUBSTITUTE(SUBSTITUTE(SUBSTITUTE(Клиенты_исходные!D655," ",""),"-",""),"+",""),"(",""),")",""),1,3)&amp;") "&amp;MID(SUBSTITUTE(SUBSTITUTE(SUBSTITUTE(SUBSTITUTE(SUBSTITUTE(Клиенты_исходные!D655," ",""),"-",""),"+",""),"(",""),")",""),4,3)&amp;"-"&amp;MID(SUBSTITUTE(SUBSTITUTE(SUBSTITUTE(SUBSTITUTE(SUBSTITUTE(Клиенты_исходные!D655," ",""),"-",""),"+",""),"(",""),")",""),6,2)&amp;"-"&amp;MID(SUBSTITUTE(SUBSTITUTE(SUBSTITUTE(SUBSTITUTE(SUBSTITUTE(Клиенты_исходные!D655," ",""),"-",""),"+",""),"(",""),")",""),8,2),Клиенты_исходные!D655)))</f>
        <v xml:space="preserve">+7 (903) 456-78-90</v>
      </c>
      <c r="E655" t="str">
        <f>IF(ISBLANK(Клиенты_исходные!E655),"",IF(ISNUMBER(FIND(".",MID(Клиенты_исходные!E655,FIND("@",Клиенты_исходные!E655)+1,255))),Клиенты_исходные!E655,IF(ISNUMBER(FIND("gmail",Клиенты_исходные!E655)),Клиенты_исходные!E655&amp;".com",Клиенты_исходные!E655&amp;".ru")))</f>
        <v>makarov@gmail.com</v>
      </c>
      <c r="F655" t="str">
        <f>IFERROR(VLOOKUP(Клиенты_исходные!F655,Справочники!$J$2:$K$50,2,FALSE),Клиенты_исходные!F655)</f>
        <v>Брянск</v>
      </c>
      <c r="G655" s="8">
        <f>IFERROR(IF(ISNUMBER(FIND(".",Клиенты_исходные!G655)),DATE(RIGHT(Клиенты_исходные!G655,4),MID(Клиенты_исходные!G655,4,2),LEFT(Клиенты_исходные!G655,2)),DATE(LEFT(Клиенты_исходные!G655,4),MID(Клиенты_исходные!G655,6,2),RIGHT(Клиенты_исходные!G655,2))),Клиенты_исходные!G655)</f>
        <v>51176</v>
      </c>
      <c r="H655">
        <f t="shared" ca="1" si="76"/>
        <v>53</v>
      </c>
      <c r="I655" t="str">
        <f t="shared" si="77"/>
        <v>OK</v>
      </c>
      <c r="J655" t="str">
        <f t="shared" si="78"/>
        <v>OK</v>
      </c>
    </row>
    <row r="656">
      <c r="A656" t="str">
        <f>Клиенты_исходные!A656</f>
        <v>C0655</v>
      </c>
      <c r="B656" t="str">
        <f>PROPER(TRIM(Клиенты_исходные!B656))</f>
        <v xml:space="preserve">Володина Екатерина Владимировна</v>
      </c>
      <c r="C656" s="8">
        <f>IFERROR(IF(ISNUMBER(FIND(".",Клиенты_исходные!C656)),DATE(RIGHT(Клиенты_исходные!C656,4),MID(Клиенты_исходные!C656,4,2),LEFT(Клиенты_исходные!C656,2)),DATE(LEFT(Клиенты_исходные!C656,4),MID(Клиенты_исходные!C656,6,2),RIGHT(Клиенты_исходные!C656,2))),Клиенты_исходные!C656)</f>
        <v>31561</v>
      </c>
      <c r="D656" t="str">
        <f>IF(ISBLANK(Клиенты_исходные!D656),"",IF(LEN(SUBSTITUTE(SUBSTITUTE(SUBSTITUTE(SUBSTITUTE(SUBSTITUTE(Клиенты_исходные!D656," ",""),"-",""),"+",""),"(",""),")",""))=11,"+7 ("&amp;MID(IF(LEFT(SUBSTITUTE(SUBSTITUTE(SUBSTITUTE(SUBSTITUTE(SUBSTITUTE(Клиенты_исходные!D656," ",""),"-",""),"+",""),"(",""),")",""))="8","7"&amp;MID(SUBSTITUTE(SUBSTITUTE(SUBSTITUTE(SUBSTITUTE(SUBSTITUTE(Клиенты_исходные!D656," ",""),"-",""),"+",""),"(",""),")",""),2,10),SUBSTITUTE(SUBSTITUTE(SUBSTITUTE(SUBSTITUTE(SUBSTITUTE(Клиенты_исходные!D656," ",""),"-",""),"+",""),"(",""),")","")),2,3)&amp;") "&amp;MID(IF(LEFT(SUBSTITUTE(SUBSTITUTE(SUBSTITUTE(SUBSTITUTE(SUBSTITUTE(Клиенты_исходные!D656," ",""),"-",""),"+",""),"(",""),")",""))="8","7"&amp;MID(SUBSTITUTE(SUBSTITUTE(SUBSTITUTE(SUBSTITUTE(SUBSTITUTE(Клиенты_исходные!D656," ",""),"-",""),"+",""),"(",""),")",""),2,10),SUBSTITUTE(SUBSTITUTE(SUBSTITUTE(SUBSTITUTE(SUBSTITUTE(Клиенты_исходные!D656," ",""),"-",""),"+",""),"(",""),")","")),5,3)&amp;"-"&amp;MID(IF(LEFT(SUBSTITUTE(SUBSTITUTE(SUBSTITUTE(SUBSTITUTE(SUBSTITUTE(Клиенты_исходные!D656," ",""),"-",""),"+",""),"(",""),")",""))="8","7"&amp;MID(SUBSTITUTE(SUBSTITUTE(SUBSTITUTE(SUBSTITUTE(SUBSTITUTE(Клиенты_исходные!D656," ",""),"-",""),"+",""),"(",""),")",""),2,10),SUBSTITUTE(SUBSTITUTE(SUBSTITUTE(SUBSTITUTE(SUBSTITUTE(Клиенты_исходные!D656," ",""),"-",""),"+",""),"(",""),")","")),8,2)&amp;"-"&amp;MID(IF(LEFT(SUBSTITUTE(SUBSTITUTE(SUBSTITUTE(SUBSTITUTE(SUBSTITUTE(Клиенты_исходные!D656," ",""),"-",""),"+",""),"(",""),")",""))="8","7"&amp;MID(SUBSTITUTE(SUBSTITUTE(SUBSTITUTE(SUBSTITUTE(SUBSTITUTE(Клиенты_исходные!D656," ",""),"-",""),"+",""),"(",""),")",""),2,10),SUBSTITUTE(SUBSTITUTE(SUBSTITUTE(SUBSTITUTE(SUBSTITUTE(Клиенты_исходные!D656," ",""),"-",""),"+",""),"(",""),")","")),10,2),IF(LEN(SUBSTITUTE(SUBSTITUTE(SUBSTITUTE(SUBSTITUTE(SUBSTITUTE(Клиенты_исходные!D656," ",""),"-",""),"+",""),"(",""),")",""))=10,"+7 ("&amp;MID(SUBSTITUTE(SUBSTITUTE(SUBSTITUTE(SUBSTITUTE(SUBSTITUTE(Клиенты_исходные!D656," ",""),"-",""),"+",""),"(",""),")",""),1,3)&amp;") "&amp;MID(SUBSTITUTE(SUBSTITUTE(SUBSTITUTE(SUBSTITUTE(SUBSTITUTE(Клиенты_исходные!D656," ",""),"-",""),"+",""),"(",""),")",""),4,3)&amp;"-"&amp;MID(SUBSTITUTE(SUBSTITUTE(SUBSTITUTE(SUBSTITUTE(SUBSTITUTE(Клиенты_исходные!D656," ",""),"-",""),"+",""),"(",""),")",""),6,2)&amp;"-"&amp;MID(SUBSTITUTE(SUBSTITUTE(SUBSTITUTE(SUBSTITUTE(SUBSTITUTE(Клиенты_исходные!D656," ",""),"-",""),"+",""),"(",""),")",""),8,2),Клиенты_исходные!D656)))</f>
        <v xml:space="preserve">+7 (903) 456-78-90</v>
      </c>
      <c r="E656" t="str">
        <f>IF(ISBLANK(Клиенты_исходные!E656),"",IF(ISNUMBER(FIND(".",MID(Клиенты_исходные!E656,FIND("@",Клиенты_исходные!E656)+1,255))),Клиенты_исходные!E656,IF(ISNUMBER(FIND("gmail",Клиенты_исходные!E656)),Клиенты_исходные!E656&amp;".com",Клиенты_исходные!E656&amp;".ru")))</f>
        <v>volodina@mail.ru</v>
      </c>
      <c r="F656" t="str">
        <f>IFERROR(VLOOKUP(Клиенты_исходные!F656,Справочники!$J$2:$K$50,2,FALSE),Клиенты_исходные!F656)</f>
        <v>Абакан</v>
      </c>
      <c r="G656" s="8">
        <f>IFERROR(IF(ISNUMBER(FIND(".",Клиенты_исходные!G656)),DATE(RIGHT(Клиенты_исходные!G656,4),MID(Клиенты_исходные!G656,4,2),LEFT(Клиенты_исходные!G656,2)),DATE(LEFT(Клиенты_исходные!G656,4),MID(Клиенты_исходные!G656,6,2),RIGHT(Клиенты_исходные!G656,2))),Клиенты_исходные!G656)</f>
        <v>51196</v>
      </c>
      <c r="H656">
        <f t="shared" ca="1" si="76"/>
        <v>40</v>
      </c>
      <c r="I656" t="str">
        <f t="shared" si="77"/>
        <v>OK</v>
      </c>
      <c r="J656" t="str">
        <f t="shared" si="78"/>
        <v>OK</v>
      </c>
    </row>
    <row r="657">
      <c r="A657" t="str">
        <f>Клиенты_исходные!A657</f>
        <v>C0656</v>
      </c>
      <c r="B657" t="str">
        <f>PROPER(TRIM(Клиенты_исходные!B657))</f>
        <v xml:space="preserve">Понкратов Андрей Павлович</v>
      </c>
      <c r="C657" s="8">
        <f>IFERROR(IF(ISNUMBER(FIND(".",Клиенты_исходные!C657)),DATE(RIGHT(Клиенты_исходные!C657,4),MID(Клиенты_исходные!C657,4,2),LEFT(Клиенты_исходные!C657,2)),DATE(LEFT(Клиенты_исходные!C657,4),MID(Клиенты_исходные!C657,6,2),RIGHT(Клиенты_исходные!C657,2))),Клиенты_исходные!C657)</f>
        <v>29603</v>
      </c>
      <c r="D657" t="str">
        <f>IF(ISBLANK(Клиенты_исходные!D657),"",IF(LEN(SUBSTITUTE(SUBSTITUTE(SUBSTITUTE(SUBSTITUTE(SUBSTITUTE(Клиенты_исходные!D657," ",""),"-",""),"+",""),"(",""),")",""))=11,"+7 ("&amp;MID(IF(LEFT(SUBSTITUTE(SUBSTITUTE(SUBSTITUTE(SUBSTITUTE(SUBSTITUTE(Клиенты_исходные!D657," ",""),"-",""),"+",""),"(",""),")",""))="8","7"&amp;MID(SUBSTITUTE(SUBSTITUTE(SUBSTITUTE(SUBSTITUTE(SUBSTITUTE(Клиенты_исходные!D657," ",""),"-",""),"+",""),"(",""),")",""),2,10),SUBSTITUTE(SUBSTITUTE(SUBSTITUTE(SUBSTITUTE(SUBSTITUTE(Клиенты_исходные!D657," ",""),"-",""),"+",""),"(",""),")","")),2,3)&amp;") "&amp;MID(IF(LEFT(SUBSTITUTE(SUBSTITUTE(SUBSTITUTE(SUBSTITUTE(SUBSTITUTE(Клиенты_исходные!D657," ",""),"-",""),"+",""),"(",""),")",""))="8","7"&amp;MID(SUBSTITUTE(SUBSTITUTE(SUBSTITUTE(SUBSTITUTE(SUBSTITUTE(Клиенты_исходные!D657," ",""),"-",""),"+",""),"(",""),")",""),2,10),SUBSTITUTE(SUBSTITUTE(SUBSTITUTE(SUBSTITUTE(SUBSTITUTE(Клиенты_исходные!D657," ",""),"-",""),"+",""),"(",""),")","")),5,3)&amp;"-"&amp;MID(IF(LEFT(SUBSTITUTE(SUBSTITUTE(SUBSTITUTE(SUBSTITUTE(SUBSTITUTE(Клиенты_исходные!D657," ",""),"-",""),"+",""),"(",""),")",""))="8","7"&amp;MID(SUBSTITUTE(SUBSTITUTE(SUBSTITUTE(SUBSTITUTE(SUBSTITUTE(Клиенты_исходные!D657," ",""),"-",""),"+",""),"(",""),")",""),2,10),SUBSTITUTE(SUBSTITUTE(SUBSTITUTE(SUBSTITUTE(SUBSTITUTE(Клиенты_исходные!D657," ",""),"-",""),"+",""),"(",""),")","")),8,2)&amp;"-"&amp;MID(IF(LEFT(SUBSTITUTE(SUBSTITUTE(SUBSTITUTE(SUBSTITUTE(SUBSTITUTE(Клиенты_исходные!D657," ",""),"-",""),"+",""),"(",""),")",""))="8","7"&amp;MID(SUBSTITUTE(SUBSTITUTE(SUBSTITUTE(SUBSTITUTE(SUBSTITUTE(Клиенты_исходные!D657," ",""),"-",""),"+",""),"(",""),")",""),2,10),SUBSTITUTE(SUBSTITUTE(SUBSTITUTE(SUBSTITUTE(SUBSTITUTE(Клиенты_исходные!D657," ",""),"-",""),"+",""),"(",""),")","")),10,2),IF(LEN(SUBSTITUTE(SUBSTITUTE(SUBSTITUTE(SUBSTITUTE(SUBSTITUTE(Клиенты_исходные!D657," ",""),"-",""),"+",""),"(",""),")",""))=10,"+7 ("&amp;MID(SUBSTITUTE(SUBSTITUTE(SUBSTITUTE(SUBSTITUTE(SUBSTITUTE(Клиенты_исходные!D657," ",""),"-",""),"+",""),"(",""),")",""),1,3)&amp;") "&amp;MID(SUBSTITUTE(SUBSTITUTE(SUBSTITUTE(SUBSTITUTE(SUBSTITUTE(Клиенты_исходные!D657," ",""),"-",""),"+",""),"(",""),")",""),4,3)&amp;"-"&amp;MID(SUBSTITUTE(SUBSTITUTE(SUBSTITUTE(SUBSTITUTE(SUBSTITUTE(Клиенты_исходные!D657," ",""),"-",""),"+",""),"(",""),")",""),6,2)&amp;"-"&amp;MID(SUBSTITUTE(SUBSTITUTE(SUBSTITUTE(SUBSTITUTE(SUBSTITUTE(Клиенты_исходные!D657," ",""),"-",""),"+",""),"(",""),")",""),8,2),Клиенты_исходные!D657)))</f>
        <v xml:space="preserve">+7 (903) 456-78-90</v>
      </c>
      <c r="E657" t="str">
        <f>IF(ISBLANK(Клиенты_исходные!E657),"",IF(ISNUMBER(FIND(".",MID(Клиенты_исходные!E657,FIND("@",Клиенты_исходные!E657)+1,255))),Клиенты_исходные!E657,IF(ISNUMBER(FIND("gmail",Клиенты_исходные!E657)),Клиенты_исходные!E657&amp;".com",Клиенты_исходные!E657&amp;".ru")))</f>
        <v>ponkratov@yandex.ru</v>
      </c>
      <c r="F657" t="str">
        <f>IFERROR(VLOOKUP(Клиенты_исходные!F657,Справочники!$J$2:$K$50,2,FALSE),Клиенты_исходные!F657)</f>
        <v>Грозный</v>
      </c>
      <c r="G657" s="8">
        <f>IFERROR(IF(ISNUMBER(FIND(".",Клиенты_исходные!G657)),DATE(RIGHT(Клиенты_исходные!G657,4),MID(Клиенты_исходные!G657,4,2),LEFT(Клиенты_исходные!G657,2)),DATE(LEFT(Клиенты_исходные!G657,4),MID(Клиенты_исходные!G657,6,2),RIGHT(Клиенты_исходные!G657,2))),Клиенты_исходные!G657)</f>
        <v>51210</v>
      </c>
      <c r="H657">
        <f t="shared" ca="1" si="76"/>
        <v>45</v>
      </c>
      <c r="I657" t="str">
        <f t="shared" si="77"/>
        <v>OK</v>
      </c>
      <c r="J657" t="str">
        <f t="shared" si="78"/>
        <v>OK</v>
      </c>
    </row>
    <row r="658">
      <c r="A658" t="str">
        <f>Клиенты_исходные!A658</f>
        <v>C0657</v>
      </c>
      <c r="B658" t="str">
        <f>PROPER(TRIM(Клиенты_исходные!B658))</f>
        <v xml:space="preserve">Маркина Мария Олеговна</v>
      </c>
      <c r="C658" s="8">
        <f>IFERROR(IF(ISNUMBER(FIND(".",Клиенты_исходные!C658)),DATE(RIGHT(Клиенты_исходные!C658,4),MID(Клиенты_исходные!C658,4,2),LEFT(Клиенты_исходные!C658,2)),DATE(LEFT(Клиенты_исходные!C658,4),MID(Клиенты_исходные!C658,6,2),RIGHT(Клиенты_исходные!C658,2))),Клиенты_исходные!C658)</f>
        <v>28839</v>
      </c>
      <c r="D658" t="str">
        <f>IF(ISBLANK(Клиенты_исходные!D658),"",IF(LEN(SUBSTITUTE(SUBSTITUTE(SUBSTITUTE(SUBSTITUTE(SUBSTITUTE(Клиенты_исходные!D658," ",""),"-",""),"+",""),"(",""),")",""))=11,"+7 ("&amp;MID(IF(LEFT(SUBSTITUTE(SUBSTITUTE(SUBSTITUTE(SUBSTITUTE(SUBSTITUTE(Клиенты_исходные!D658," ",""),"-",""),"+",""),"(",""),")",""))="8","7"&amp;MID(SUBSTITUTE(SUBSTITUTE(SUBSTITUTE(SUBSTITUTE(SUBSTITUTE(Клиенты_исходные!D658," ",""),"-",""),"+",""),"(",""),")",""),2,10),SUBSTITUTE(SUBSTITUTE(SUBSTITUTE(SUBSTITUTE(SUBSTITUTE(Клиенты_исходные!D658," ",""),"-",""),"+",""),"(",""),")","")),2,3)&amp;") "&amp;MID(IF(LEFT(SUBSTITUTE(SUBSTITUTE(SUBSTITUTE(SUBSTITUTE(SUBSTITUTE(Клиенты_исходные!D658," ",""),"-",""),"+",""),"(",""),")",""))="8","7"&amp;MID(SUBSTITUTE(SUBSTITUTE(SUBSTITUTE(SUBSTITUTE(SUBSTITUTE(Клиенты_исходные!D658," ",""),"-",""),"+",""),"(",""),")",""),2,10),SUBSTITUTE(SUBSTITUTE(SUBSTITUTE(SUBSTITUTE(SUBSTITUTE(Клиенты_исходные!D658," ",""),"-",""),"+",""),"(",""),")","")),5,3)&amp;"-"&amp;MID(IF(LEFT(SUBSTITUTE(SUBSTITUTE(SUBSTITUTE(SUBSTITUTE(SUBSTITUTE(Клиенты_исходные!D658," ",""),"-",""),"+",""),"(",""),")",""))="8","7"&amp;MID(SUBSTITUTE(SUBSTITUTE(SUBSTITUTE(SUBSTITUTE(SUBSTITUTE(Клиенты_исходные!D658," ",""),"-",""),"+",""),"(",""),")",""),2,10),SUBSTITUTE(SUBSTITUTE(SUBSTITUTE(SUBSTITUTE(SUBSTITUTE(Клиенты_исходные!D658," ",""),"-",""),"+",""),"(",""),")","")),8,2)&amp;"-"&amp;MID(IF(LEFT(SUBSTITUTE(SUBSTITUTE(SUBSTITUTE(SUBSTITUTE(SUBSTITUTE(Клиенты_исходные!D658," ",""),"-",""),"+",""),"(",""),")",""))="8","7"&amp;MID(SUBSTITUTE(SUBSTITUTE(SUBSTITUTE(SUBSTITUTE(SUBSTITUTE(Клиенты_исходные!D658," ",""),"-",""),"+",""),"(",""),")",""),2,10),SUBSTITUTE(SUBSTITUTE(SUBSTITUTE(SUBSTITUTE(SUBSTITUTE(Клиенты_исходные!D658," ",""),"-",""),"+",""),"(",""),")","")),10,2),IF(LEN(SUBSTITUTE(SUBSTITUTE(SUBSTITUTE(SUBSTITUTE(SUBSTITUTE(Клиенты_исходные!D658," ",""),"-",""),"+",""),"(",""),")",""))=10,"+7 ("&amp;MID(SUBSTITUTE(SUBSTITUTE(SUBSTITUTE(SUBSTITUTE(SUBSTITUTE(Клиенты_исходные!D658," ",""),"-",""),"+",""),"(",""),")",""),1,3)&amp;") "&amp;MID(SUBSTITUTE(SUBSTITUTE(SUBSTITUTE(SUBSTITUTE(SUBSTITUTE(Клиенты_исходные!D658," ",""),"-",""),"+",""),"(",""),")",""),4,3)&amp;"-"&amp;MID(SUBSTITUTE(SUBSTITUTE(SUBSTITUTE(SUBSTITUTE(SUBSTITUTE(Клиенты_исходные!D658," ",""),"-",""),"+",""),"(",""),")",""),6,2)&amp;"-"&amp;MID(SUBSTITUTE(SUBSTITUTE(SUBSTITUTE(SUBSTITUTE(SUBSTITUTE(Клиенты_исходные!D658," ",""),"-",""),"+",""),"(",""),")",""),8,2),Клиенты_исходные!D658)))</f>
        <v xml:space="preserve">+7 (903) 567-89-01</v>
      </c>
      <c r="E658" t="str">
        <f>IF(ISBLANK(Клиенты_исходные!E658),"",IF(ISNUMBER(FIND(".",MID(Клиенты_исходные!E658,FIND("@",Клиенты_исходные!E658)+1,255))),Клиенты_исходные!E658,IF(ISNUMBER(FIND("gmail",Клиенты_исходные!E658)),Клиенты_исходные!E658&amp;".com",Клиенты_исходные!E658&amp;".ru")))</f>
        <v>markina@gmail.com</v>
      </c>
      <c r="F658" t="str">
        <f>IFERROR(VLOOKUP(Клиенты_исходные!F658,Справочники!$J$2:$K$50,2,FALSE),Клиенты_исходные!F658)</f>
        <v>Бийск</v>
      </c>
      <c r="G658" s="8">
        <f>IFERROR(IF(ISNUMBER(FIND(".",Клиенты_исходные!G658)),DATE(RIGHT(Клиенты_исходные!G658,4),MID(Клиенты_исходные!G658,4,2),LEFT(Клиенты_исходные!G658,2)),DATE(LEFT(Клиенты_исходные!G658,4),MID(Клиенты_исходные!G658,6,2),RIGHT(Клиенты_исходные!G658,2))),Клиенты_исходные!G658)</f>
        <v>51210</v>
      </c>
      <c r="H658">
        <f t="shared" ca="1" si="76"/>
        <v>47</v>
      </c>
      <c r="I658" t="str">
        <f t="shared" si="77"/>
        <v>OK</v>
      </c>
      <c r="J658" t="str">
        <f t="shared" si="78"/>
        <v>OK</v>
      </c>
    </row>
    <row r="659">
      <c r="A659" t="str">
        <f>Клиенты_исходные!A659</f>
        <v>C0658</v>
      </c>
      <c r="B659" t="str">
        <f>PROPER(TRIM(Клиенты_исходные!B659))</f>
        <v xml:space="preserve">Гончаров Денис Сергеевич</v>
      </c>
      <c r="C659" s="8">
        <f>IFERROR(IF(ISNUMBER(FIND(".",Клиенты_исходные!C659)),DATE(RIGHT(Клиенты_исходные!C659,4),MID(Клиенты_исходные!C659,4,2),LEFT(Клиенты_исходные!C659,2)),DATE(LEFT(Клиенты_исходные!C659,4),MID(Клиенты_исходные!C659,6,2),RIGHT(Клиенты_исходные!C659,2))),Клиенты_исходные!C659)</f>
        <v>31329</v>
      </c>
      <c r="D659" t="str">
        <f>IF(ISBLANK(Клиенты_исходные!D659),"",IF(LEN(SUBSTITUTE(SUBSTITUTE(SUBSTITUTE(SUBSTITUTE(SUBSTITUTE(Клиенты_исходные!D659," ",""),"-",""),"+",""),"(",""),")",""))=11,"+7 ("&amp;MID(IF(LEFT(SUBSTITUTE(SUBSTITUTE(SUBSTITUTE(SUBSTITUTE(SUBSTITUTE(Клиенты_исходные!D659," ",""),"-",""),"+",""),"(",""),")",""))="8","7"&amp;MID(SUBSTITUTE(SUBSTITUTE(SUBSTITUTE(SUBSTITUTE(SUBSTITUTE(Клиенты_исходные!D659," ",""),"-",""),"+",""),"(",""),")",""),2,10),SUBSTITUTE(SUBSTITUTE(SUBSTITUTE(SUBSTITUTE(SUBSTITUTE(Клиенты_исходные!D659," ",""),"-",""),"+",""),"(",""),")","")),2,3)&amp;") "&amp;MID(IF(LEFT(SUBSTITUTE(SUBSTITUTE(SUBSTITUTE(SUBSTITUTE(SUBSTITUTE(Клиенты_исходные!D659," ",""),"-",""),"+",""),"(",""),")",""))="8","7"&amp;MID(SUBSTITUTE(SUBSTITUTE(SUBSTITUTE(SUBSTITUTE(SUBSTITUTE(Клиенты_исходные!D659," ",""),"-",""),"+",""),"(",""),")",""),2,10),SUBSTITUTE(SUBSTITUTE(SUBSTITUTE(SUBSTITUTE(SUBSTITUTE(Клиенты_исходные!D659," ",""),"-",""),"+",""),"(",""),")","")),5,3)&amp;"-"&amp;MID(IF(LEFT(SUBSTITUTE(SUBSTITUTE(SUBSTITUTE(SUBSTITUTE(SUBSTITUTE(Клиенты_исходные!D659," ",""),"-",""),"+",""),"(",""),")",""))="8","7"&amp;MID(SUBSTITUTE(SUBSTITUTE(SUBSTITUTE(SUBSTITUTE(SUBSTITUTE(Клиенты_исходные!D659," ",""),"-",""),"+",""),"(",""),")",""),2,10),SUBSTITUTE(SUBSTITUTE(SUBSTITUTE(SUBSTITUTE(SUBSTITUTE(Клиенты_исходные!D659," ",""),"-",""),"+",""),"(",""),")","")),8,2)&amp;"-"&amp;MID(IF(LEFT(SUBSTITUTE(SUBSTITUTE(SUBSTITUTE(SUBSTITUTE(SUBSTITUTE(Клиенты_исходные!D659," ",""),"-",""),"+",""),"(",""),")",""))="8","7"&amp;MID(SUBSTITUTE(SUBSTITUTE(SUBSTITUTE(SUBSTITUTE(SUBSTITUTE(Клиенты_исходные!D659," ",""),"-",""),"+",""),"(",""),")",""),2,10),SUBSTITUTE(SUBSTITUTE(SUBSTITUTE(SUBSTITUTE(SUBSTITUTE(Клиенты_исходные!D659," ",""),"-",""),"+",""),"(",""),")","")),10,2),IF(LEN(SUBSTITUTE(SUBSTITUTE(SUBSTITUTE(SUBSTITUTE(SUBSTITUTE(Клиенты_исходные!D659," ",""),"-",""),"+",""),"(",""),")",""))=10,"+7 ("&amp;MID(SUBSTITUTE(SUBSTITUTE(SUBSTITUTE(SUBSTITUTE(SUBSTITUTE(Клиенты_исходные!D659," ",""),"-",""),"+",""),"(",""),")",""),1,3)&amp;") "&amp;MID(SUBSTITUTE(SUBSTITUTE(SUBSTITUTE(SUBSTITUTE(SUBSTITUTE(Клиенты_исходные!D659," ",""),"-",""),"+",""),"(",""),")",""),4,3)&amp;"-"&amp;MID(SUBSTITUTE(SUBSTITUTE(SUBSTITUTE(SUBSTITUTE(SUBSTITUTE(Клиенты_исходные!D659," ",""),"-",""),"+",""),"(",""),")",""),6,2)&amp;"-"&amp;MID(SUBSTITUTE(SUBSTITUTE(SUBSTITUTE(SUBSTITUTE(SUBSTITUTE(Клиенты_исходные!D659," ",""),"-",""),"+",""),"(",""),")",""),8,2),Клиенты_исходные!D659)))</f>
        <v xml:space="preserve">+7 (903) 567-89-01</v>
      </c>
      <c r="E659" t="str">
        <f>IF(ISBLANK(Клиенты_исходные!E659),"",IF(ISNUMBER(FIND(".",MID(Клиенты_исходные!E659,FIND("@",Клиенты_исходные!E659)+1,255))),Клиенты_исходные!E659,IF(ISNUMBER(FIND("gmail",Клиенты_исходные!E659)),Клиенты_исходные!E659&amp;".com",Клиенты_исходные!E659&amp;".ru")))</f>
        <v>goncharov@mail.ru</v>
      </c>
      <c r="F659" t="str">
        <f>IFERROR(VLOOKUP(Клиенты_исходные!F659,Справочники!$J$2:$K$50,2,FALSE),Клиенты_исходные!F659)</f>
        <v>Йошкар-Ола</v>
      </c>
      <c r="G659" s="8">
        <f>IFERROR(IF(ISNUMBER(FIND(".",Клиенты_исходные!G659)),DATE(RIGHT(Клиенты_исходные!G659,4),MID(Клиенты_исходные!G659,4,2),LEFT(Клиенты_исходные!G659,2)),DATE(LEFT(Клиенты_исходные!G659,4),MID(Клиенты_исходные!G659,6,2),RIGHT(Клиенты_исходные!G659,2))),Клиенты_исходные!G659)</f>
        <v>51227</v>
      </c>
      <c r="H659">
        <f t="shared" ca="1" si="76"/>
        <v>40</v>
      </c>
      <c r="I659" t="str">
        <f t="shared" si="77"/>
        <v>OK</v>
      </c>
      <c r="J659" t="str">
        <f t="shared" si="78"/>
        <v>OK</v>
      </c>
    </row>
    <row r="660">
      <c r="A660" t="str">
        <f>Клиенты_исходные!A660</f>
        <v>C0659</v>
      </c>
      <c r="B660" t="str">
        <f>PROPER(TRIM(Клиенты_исходные!B660))</f>
        <v xml:space="preserve">Логинова Ольга Павловна</v>
      </c>
      <c r="C660" s="8">
        <f>IFERROR(IF(ISNUMBER(FIND(".",Клиенты_исходные!C660)),DATE(RIGHT(Клиенты_исходные!C660,4),MID(Клиенты_исходные!C660,4,2),LEFT(Клиенты_исходные!C660,2)),DATE(LEFT(Клиенты_исходные!C660,4),MID(Клиенты_исходные!C660,6,2),RIGHT(Клиенты_исходные!C660,2))),Клиенты_исходные!C660)</f>
        <v>33758</v>
      </c>
      <c r="D660" t="str">
        <f>IF(ISBLANK(Клиенты_исходные!D660),"",IF(LEN(SUBSTITUTE(SUBSTITUTE(SUBSTITUTE(SUBSTITUTE(SUBSTITUTE(Клиенты_исходные!D660," ",""),"-",""),"+",""),"(",""),")",""))=11,"+7 ("&amp;MID(IF(LEFT(SUBSTITUTE(SUBSTITUTE(SUBSTITUTE(SUBSTITUTE(SUBSTITUTE(Клиенты_исходные!D660," ",""),"-",""),"+",""),"(",""),")",""))="8","7"&amp;MID(SUBSTITUTE(SUBSTITUTE(SUBSTITUTE(SUBSTITUTE(SUBSTITUTE(Клиенты_исходные!D660," ",""),"-",""),"+",""),"(",""),")",""),2,10),SUBSTITUTE(SUBSTITUTE(SUBSTITUTE(SUBSTITUTE(SUBSTITUTE(Клиенты_исходные!D660," ",""),"-",""),"+",""),"(",""),")","")),2,3)&amp;") "&amp;MID(IF(LEFT(SUBSTITUTE(SUBSTITUTE(SUBSTITUTE(SUBSTITUTE(SUBSTITUTE(Клиенты_исходные!D660," ",""),"-",""),"+",""),"(",""),")",""))="8","7"&amp;MID(SUBSTITUTE(SUBSTITUTE(SUBSTITUTE(SUBSTITUTE(SUBSTITUTE(Клиенты_исходные!D660," ",""),"-",""),"+",""),"(",""),")",""),2,10),SUBSTITUTE(SUBSTITUTE(SUBSTITUTE(SUBSTITUTE(SUBSTITUTE(Клиенты_исходные!D660," ",""),"-",""),"+",""),"(",""),")","")),5,3)&amp;"-"&amp;MID(IF(LEFT(SUBSTITUTE(SUBSTITUTE(SUBSTITUTE(SUBSTITUTE(SUBSTITUTE(Клиенты_исходные!D660," ",""),"-",""),"+",""),"(",""),")",""))="8","7"&amp;MID(SUBSTITUTE(SUBSTITUTE(SUBSTITUTE(SUBSTITUTE(SUBSTITUTE(Клиенты_исходные!D660," ",""),"-",""),"+",""),"(",""),")",""),2,10),SUBSTITUTE(SUBSTITUTE(SUBSTITUTE(SUBSTITUTE(SUBSTITUTE(Клиенты_исходные!D660," ",""),"-",""),"+",""),"(",""),")","")),8,2)&amp;"-"&amp;MID(IF(LEFT(SUBSTITUTE(SUBSTITUTE(SUBSTITUTE(SUBSTITUTE(SUBSTITUTE(Клиенты_исходные!D660," ",""),"-",""),"+",""),"(",""),")",""))="8","7"&amp;MID(SUBSTITUTE(SUBSTITUTE(SUBSTITUTE(SUBSTITUTE(SUBSTITUTE(Клиенты_исходные!D660," ",""),"-",""),"+",""),"(",""),")",""),2,10),SUBSTITUTE(SUBSTITUTE(SUBSTITUTE(SUBSTITUTE(SUBSTITUTE(Клиенты_исходные!D660," ",""),"-",""),"+",""),"(",""),")","")),10,2),IF(LEN(SUBSTITUTE(SUBSTITUTE(SUBSTITUTE(SUBSTITUTE(SUBSTITUTE(Клиенты_исходные!D660," ",""),"-",""),"+",""),"(",""),")",""))=10,"+7 ("&amp;MID(SUBSTITUTE(SUBSTITUTE(SUBSTITUTE(SUBSTITUTE(SUBSTITUTE(Клиенты_исходные!D660," ",""),"-",""),"+",""),"(",""),")",""),1,3)&amp;") "&amp;MID(SUBSTITUTE(SUBSTITUTE(SUBSTITUTE(SUBSTITUTE(SUBSTITUTE(Клиенты_исходные!D660," ",""),"-",""),"+",""),"(",""),")",""),4,3)&amp;"-"&amp;MID(SUBSTITUTE(SUBSTITUTE(SUBSTITUTE(SUBSTITUTE(SUBSTITUTE(Клиенты_исходные!D660," ",""),"-",""),"+",""),"(",""),")",""),6,2)&amp;"-"&amp;MID(SUBSTITUTE(SUBSTITUTE(SUBSTITUTE(SUBSTITUTE(SUBSTITUTE(Клиенты_исходные!D660," ",""),"-",""),"+",""),"(",""),")",""),8,2),Клиенты_исходные!D660)))</f>
        <v xml:space="preserve">+7 (903) 567-89-01</v>
      </c>
      <c r="E660" t="str">
        <f>IF(ISBLANK(Клиенты_исходные!E660),"",IF(ISNUMBER(FIND(".",MID(Клиенты_исходные!E660,FIND("@",Клиенты_исходные!E660)+1,255))),Клиенты_исходные!E660,IF(ISNUMBER(FIND("gmail",Клиенты_исходные!E660)),Клиенты_исходные!E660&amp;".com",Клиенты_исходные!E660&amp;".ru")))</f>
        <v>loginova@yandex.ru</v>
      </c>
      <c r="F660" t="str">
        <f>IFERROR(VLOOKUP(Клиенты_исходные!F660,Справочники!$J$2:$K$50,2,FALSE),Клиенты_исходные!F660)</f>
        <v>Курган</v>
      </c>
      <c r="G660" s="8">
        <f>IFERROR(IF(ISNUMBER(FIND(".",Клиенты_исходные!G660)),DATE(RIGHT(Клиенты_исходные!G660,4),MID(Клиенты_исходные!G660,4,2),LEFT(Клиенты_исходные!G660,2)),DATE(LEFT(Клиенты_исходные!G660,4),MID(Клиенты_исходные!G660,6,2),RIGHT(Клиенты_исходные!G660,2))),Клиенты_исходные!G660)</f>
        <v>51236</v>
      </c>
      <c r="H660">
        <f t="shared" ca="1" si="76"/>
        <v>34</v>
      </c>
      <c r="I660" t="str">
        <f t="shared" si="77"/>
        <v>OK</v>
      </c>
      <c r="J660" t="str">
        <f t="shared" si="78"/>
        <v>OK</v>
      </c>
    </row>
    <row r="661">
      <c r="A661" t="str">
        <f>Клиенты_исходные!A661</f>
        <v>C0660</v>
      </c>
      <c r="B661" t="str">
        <f>PROPER(TRIM(Клиенты_исходные!B661))</f>
        <v xml:space="preserve">Ульянов Илья Викторович</v>
      </c>
      <c r="C661" s="8">
        <f>IFERROR(IF(ISNUMBER(FIND(".",Клиенты_исходные!C661)),DATE(RIGHT(Клиенты_исходные!C661,4),MID(Клиенты_исходные!C661,4,2),LEFT(Клиенты_исходные!C661,2)),DATE(LEFT(Клиенты_исходные!C661,4),MID(Клиенты_исходные!C661,6,2),RIGHT(Клиенты_исходные!C661,2))),Клиенты_исходные!C661)</f>
        <v>27106</v>
      </c>
      <c r="D661" t="str">
        <f>IF(ISBLANK(Клиенты_исходные!D661),"",IF(LEN(SUBSTITUTE(SUBSTITUTE(SUBSTITUTE(SUBSTITUTE(SUBSTITUTE(Клиенты_исходные!D661," ",""),"-",""),"+",""),"(",""),")",""))=11,"+7 ("&amp;MID(IF(LEFT(SUBSTITUTE(SUBSTITUTE(SUBSTITUTE(SUBSTITUTE(SUBSTITUTE(Клиенты_исходные!D661," ",""),"-",""),"+",""),"(",""),")",""))="8","7"&amp;MID(SUBSTITUTE(SUBSTITUTE(SUBSTITUTE(SUBSTITUTE(SUBSTITUTE(Клиенты_исходные!D661," ",""),"-",""),"+",""),"(",""),")",""),2,10),SUBSTITUTE(SUBSTITUTE(SUBSTITUTE(SUBSTITUTE(SUBSTITUTE(Клиенты_исходные!D661," ",""),"-",""),"+",""),"(",""),")","")),2,3)&amp;") "&amp;MID(IF(LEFT(SUBSTITUTE(SUBSTITUTE(SUBSTITUTE(SUBSTITUTE(SUBSTITUTE(Клиенты_исходные!D661," ",""),"-",""),"+",""),"(",""),")",""))="8","7"&amp;MID(SUBSTITUTE(SUBSTITUTE(SUBSTITUTE(SUBSTITUTE(SUBSTITUTE(Клиенты_исходные!D661," ",""),"-",""),"+",""),"(",""),")",""),2,10),SUBSTITUTE(SUBSTITUTE(SUBSTITUTE(SUBSTITUTE(SUBSTITUTE(Клиенты_исходные!D661," ",""),"-",""),"+",""),"(",""),")","")),5,3)&amp;"-"&amp;MID(IF(LEFT(SUBSTITUTE(SUBSTITUTE(SUBSTITUTE(SUBSTITUTE(SUBSTITUTE(Клиенты_исходные!D661," ",""),"-",""),"+",""),"(",""),")",""))="8","7"&amp;MID(SUBSTITUTE(SUBSTITUTE(SUBSTITUTE(SUBSTITUTE(SUBSTITUTE(Клиенты_исходные!D661," ",""),"-",""),"+",""),"(",""),")",""),2,10),SUBSTITUTE(SUBSTITUTE(SUBSTITUTE(SUBSTITUTE(SUBSTITUTE(Клиенты_исходные!D661," ",""),"-",""),"+",""),"(",""),")","")),8,2)&amp;"-"&amp;MID(IF(LEFT(SUBSTITUTE(SUBSTITUTE(SUBSTITUTE(SUBSTITUTE(SUBSTITUTE(Клиенты_исходные!D661," ",""),"-",""),"+",""),"(",""),")",""))="8","7"&amp;MID(SUBSTITUTE(SUBSTITUTE(SUBSTITUTE(SUBSTITUTE(SUBSTITUTE(Клиенты_исходные!D661," ",""),"-",""),"+",""),"(",""),")",""),2,10),SUBSTITUTE(SUBSTITUTE(SUBSTITUTE(SUBSTITUTE(SUBSTITUTE(Клиенты_исходные!D661," ",""),"-",""),"+",""),"(",""),")","")),10,2),IF(LEN(SUBSTITUTE(SUBSTITUTE(SUBSTITUTE(SUBSTITUTE(SUBSTITUTE(Клиенты_исходные!D661," ",""),"-",""),"+",""),"(",""),")",""))=10,"+7 ("&amp;MID(SUBSTITUTE(SUBSTITUTE(SUBSTITUTE(SUBSTITUTE(SUBSTITUTE(Клиенты_исходные!D661," ",""),"-",""),"+",""),"(",""),")",""),1,3)&amp;") "&amp;MID(SUBSTITUTE(SUBSTITUTE(SUBSTITUTE(SUBSTITUTE(SUBSTITUTE(Клиенты_исходные!D661," ",""),"-",""),"+",""),"(",""),")",""),4,3)&amp;"-"&amp;MID(SUBSTITUTE(SUBSTITUTE(SUBSTITUTE(SUBSTITUTE(SUBSTITUTE(Клиенты_исходные!D661," ",""),"-",""),"+",""),"(",""),")",""),6,2)&amp;"-"&amp;MID(SUBSTITUTE(SUBSTITUTE(SUBSTITUTE(SUBSTITUTE(SUBSTITUTE(Клиенты_исходные!D661," ",""),"-",""),"+",""),"(",""),")",""),8,2),Клиенты_исходные!D661)))</f>
        <v xml:space="preserve">+7 (903) 678-90-12</v>
      </c>
      <c r="E661" t="str">
        <f>IF(ISBLANK(Клиенты_исходные!E661),"",IF(ISNUMBER(FIND(".",MID(Клиенты_исходные!E661,FIND("@",Клиенты_исходные!E661)+1,255))),Клиенты_исходные!E661,IF(ISNUMBER(FIND("gmail",Клиенты_исходные!E661)),Клиенты_исходные!E661&amp;".com",Клиенты_исходные!E661&amp;".ru")))</f>
        <v>ulyanov@gmail.com</v>
      </c>
      <c r="F661" t="str">
        <f>IFERROR(VLOOKUP(Клиенты_исходные!F661,Справочники!$J$2:$K$50,2,FALSE),Клиенты_исходные!F661)</f>
        <v>Архангельск</v>
      </c>
      <c r="G661" s="8">
        <f>IFERROR(IF(ISNUMBER(FIND(".",Клиенты_исходные!G661)),DATE(RIGHT(Клиенты_исходные!G661,4),MID(Клиенты_исходные!G661,4,2),LEFT(Клиенты_исходные!G661,2)),DATE(LEFT(Клиенты_исходные!G661,4),MID(Клиенты_исходные!G661,6,2),RIGHT(Клиенты_исходные!G661,2))),Клиенты_исходные!G661)</f>
        <v>51236</v>
      </c>
      <c r="H661">
        <f t="shared" ca="1" si="76"/>
        <v>52</v>
      </c>
      <c r="I661" t="str">
        <f t="shared" si="77"/>
        <v>OK</v>
      </c>
      <c r="J661" t="str">
        <f t="shared" si="78"/>
        <v>OK</v>
      </c>
    </row>
    <row r="662">
      <c r="A662" t="str">
        <f>Клиенты_исходные!A662</f>
        <v>C0661</v>
      </c>
      <c r="B662" t="str">
        <f>PROPER(TRIM(Клиенты_исходные!B662))</f>
        <v xml:space="preserve">Пушкарева Екатерина Сергеевна</v>
      </c>
      <c r="C662" s="8">
        <f>IFERROR(IF(ISNUMBER(FIND(".",Клиенты_исходные!C662)),DATE(RIGHT(Клиенты_исходные!C662,4),MID(Клиенты_исходные!C662,4,2),LEFT(Клиенты_исходные!C662,2)),DATE(LEFT(Клиенты_исходные!C662,4),MID(Клиенты_исходные!C662,6,2),RIGHT(Клиенты_исходные!C662,2))),Клиенты_исходные!C662)</f>
        <v>30278</v>
      </c>
      <c r="D662" t="str">
        <f>IF(ISBLANK(Клиенты_исходные!D662),"",IF(LEN(SUBSTITUTE(SUBSTITUTE(SUBSTITUTE(SUBSTITUTE(SUBSTITUTE(Клиенты_исходные!D662," ",""),"-",""),"+",""),"(",""),")",""))=11,"+7 ("&amp;MID(IF(LEFT(SUBSTITUTE(SUBSTITUTE(SUBSTITUTE(SUBSTITUTE(SUBSTITUTE(Клиенты_исходные!D662," ",""),"-",""),"+",""),"(",""),")",""))="8","7"&amp;MID(SUBSTITUTE(SUBSTITUTE(SUBSTITUTE(SUBSTITUTE(SUBSTITUTE(Клиенты_исходные!D662," ",""),"-",""),"+",""),"(",""),")",""),2,10),SUBSTITUTE(SUBSTITUTE(SUBSTITUTE(SUBSTITUTE(SUBSTITUTE(Клиенты_исходные!D662," ",""),"-",""),"+",""),"(",""),")","")),2,3)&amp;") "&amp;MID(IF(LEFT(SUBSTITUTE(SUBSTITUTE(SUBSTITUTE(SUBSTITUTE(SUBSTITUTE(Клиенты_исходные!D662," ",""),"-",""),"+",""),"(",""),")",""))="8","7"&amp;MID(SUBSTITUTE(SUBSTITUTE(SUBSTITUTE(SUBSTITUTE(SUBSTITUTE(Клиенты_исходные!D662," ",""),"-",""),"+",""),"(",""),")",""),2,10),SUBSTITUTE(SUBSTITUTE(SUBSTITUTE(SUBSTITUTE(SUBSTITUTE(Клиенты_исходные!D662," ",""),"-",""),"+",""),"(",""),")","")),5,3)&amp;"-"&amp;MID(IF(LEFT(SUBSTITUTE(SUBSTITUTE(SUBSTITUTE(SUBSTITUTE(SUBSTITUTE(Клиенты_исходные!D662," ",""),"-",""),"+",""),"(",""),")",""))="8","7"&amp;MID(SUBSTITUTE(SUBSTITUTE(SUBSTITUTE(SUBSTITUTE(SUBSTITUTE(Клиенты_исходные!D662," ",""),"-",""),"+",""),"(",""),")",""),2,10),SUBSTITUTE(SUBSTITUTE(SUBSTITUTE(SUBSTITUTE(SUBSTITUTE(Клиенты_исходные!D662," ",""),"-",""),"+",""),"(",""),")","")),8,2)&amp;"-"&amp;MID(IF(LEFT(SUBSTITUTE(SUBSTITUTE(SUBSTITUTE(SUBSTITUTE(SUBSTITUTE(Клиенты_исходные!D662," ",""),"-",""),"+",""),"(",""),")",""))="8","7"&amp;MID(SUBSTITUTE(SUBSTITUTE(SUBSTITUTE(SUBSTITUTE(SUBSTITUTE(Клиенты_исходные!D662," ",""),"-",""),"+",""),"(",""),")",""),2,10),SUBSTITUTE(SUBSTITUTE(SUBSTITUTE(SUBSTITUTE(SUBSTITUTE(Клиенты_исходные!D662," ",""),"-",""),"+",""),"(",""),")","")),10,2),IF(LEN(SUBSTITUTE(SUBSTITUTE(SUBSTITUTE(SUBSTITUTE(SUBSTITUTE(Клиенты_исходные!D662," ",""),"-",""),"+",""),"(",""),")",""))=10,"+7 ("&amp;MID(SUBSTITUTE(SUBSTITUTE(SUBSTITUTE(SUBSTITUTE(SUBSTITUTE(Клиенты_исходные!D662," ",""),"-",""),"+",""),"(",""),")",""),1,3)&amp;") "&amp;MID(SUBSTITUTE(SUBSTITUTE(SUBSTITUTE(SUBSTITUTE(SUBSTITUTE(Клиенты_исходные!D662," ",""),"-",""),"+",""),"(",""),")",""),4,3)&amp;"-"&amp;MID(SUBSTITUTE(SUBSTITUTE(SUBSTITUTE(SUBSTITUTE(SUBSTITUTE(Клиенты_исходные!D662," ",""),"-",""),"+",""),"(",""),")",""),6,2)&amp;"-"&amp;MID(SUBSTITUTE(SUBSTITUTE(SUBSTITUTE(SUBSTITUTE(SUBSTITUTE(Клиенты_исходные!D662," ",""),"-",""),"+",""),"(",""),")",""),8,2),Клиенты_исходные!D662)))</f>
        <v xml:space="preserve">+7 (903) 678-90-12</v>
      </c>
      <c r="E662" t="str">
        <f>IF(ISBLANK(Клиенты_исходные!E662),"",IF(ISNUMBER(FIND(".",MID(Клиенты_исходные!E662,FIND("@",Клиенты_исходные!E662)+1,255))),Клиенты_исходные!E662,IF(ISNUMBER(FIND("gmail",Клиенты_исходные!E662)),Клиенты_исходные!E662&amp;".com",Клиенты_исходные!E662&amp;".ru")))</f>
        <v>pushkareva@mail.ru</v>
      </c>
      <c r="F662" t="str">
        <f>IFERROR(VLOOKUP(Клиенты_исходные!F662,Справочники!$J$2:$K$50,2,FALSE),Клиенты_исходные!F662)</f>
        <v>Благовещенск</v>
      </c>
      <c r="G662" s="8">
        <f>IFERROR(IF(ISNUMBER(FIND(".",Клиенты_исходные!G662)),DATE(RIGHT(Клиенты_исходные!G662,4),MID(Клиенты_исходные!G662,4,2),LEFT(Клиенты_исходные!G662,2)),DATE(LEFT(Клиенты_исходные!G662,4),MID(Клиенты_исходные!G662,6,2),RIGHT(Клиенты_исходные!G662,2))),Клиенты_исходные!G662)</f>
        <v>51257</v>
      </c>
      <c r="H662">
        <f t="shared" ca="1" si="76"/>
        <v>43</v>
      </c>
      <c r="I662" t="str">
        <f t="shared" si="77"/>
        <v>OK</v>
      </c>
      <c r="J662" t="str">
        <f t="shared" si="78"/>
        <v>OK</v>
      </c>
    </row>
    <row r="663">
      <c r="A663" t="str">
        <f>Клиенты_исходные!A663</f>
        <v>C0662</v>
      </c>
      <c r="B663" t="str">
        <f>PROPER(TRIM(Клиенты_исходные!B663))</f>
        <v xml:space="preserve">Никитин Андрей Олегович</v>
      </c>
      <c r="C663" s="8">
        <f>IFERROR(IF(ISNUMBER(FIND(".",Клиенты_исходные!C663)),DATE(RIGHT(Клиенты_исходные!C663,4),MID(Клиенты_исходные!C663,4,2),LEFT(Клиенты_исходные!C663,2)),DATE(LEFT(Клиенты_исходные!C663,4),MID(Клиенты_исходные!C663,6,2),RIGHT(Клиенты_исходные!C663,2))),Клиенты_исходные!C663)</f>
        <v>32695</v>
      </c>
      <c r="D663" t="str">
        <f>IF(ISBLANK(Клиенты_исходные!D663),"",IF(LEN(SUBSTITUTE(SUBSTITUTE(SUBSTITUTE(SUBSTITUTE(SUBSTITUTE(Клиенты_исходные!D663," ",""),"-",""),"+",""),"(",""),")",""))=11,"+7 ("&amp;MID(IF(LEFT(SUBSTITUTE(SUBSTITUTE(SUBSTITUTE(SUBSTITUTE(SUBSTITUTE(Клиенты_исходные!D663," ",""),"-",""),"+",""),"(",""),")",""))="8","7"&amp;MID(SUBSTITUTE(SUBSTITUTE(SUBSTITUTE(SUBSTITUTE(SUBSTITUTE(Клиенты_исходные!D663," ",""),"-",""),"+",""),"(",""),")",""),2,10),SUBSTITUTE(SUBSTITUTE(SUBSTITUTE(SUBSTITUTE(SUBSTITUTE(Клиенты_исходные!D663," ",""),"-",""),"+",""),"(",""),")","")),2,3)&amp;") "&amp;MID(IF(LEFT(SUBSTITUTE(SUBSTITUTE(SUBSTITUTE(SUBSTITUTE(SUBSTITUTE(Клиенты_исходные!D663," ",""),"-",""),"+",""),"(",""),")",""))="8","7"&amp;MID(SUBSTITUTE(SUBSTITUTE(SUBSTITUTE(SUBSTITUTE(SUBSTITUTE(Клиенты_исходные!D663," ",""),"-",""),"+",""),"(",""),")",""),2,10),SUBSTITUTE(SUBSTITUTE(SUBSTITUTE(SUBSTITUTE(SUBSTITUTE(Клиенты_исходные!D663," ",""),"-",""),"+",""),"(",""),")","")),5,3)&amp;"-"&amp;MID(IF(LEFT(SUBSTITUTE(SUBSTITUTE(SUBSTITUTE(SUBSTITUTE(SUBSTITUTE(Клиенты_исходные!D663," ",""),"-",""),"+",""),"(",""),")",""))="8","7"&amp;MID(SUBSTITUTE(SUBSTITUTE(SUBSTITUTE(SUBSTITUTE(SUBSTITUTE(Клиенты_исходные!D663," ",""),"-",""),"+",""),"(",""),")",""),2,10),SUBSTITUTE(SUBSTITUTE(SUBSTITUTE(SUBSTITUTE(SUBSTITUTE(Клиенты_исходные!D663," ",""),"-",""),"+",""),"(",""),")","")),8,2)&amp;"-"&amp;MID(IF(LEFT(SUBSTITUTE(SUBSTITUTE(SUBSTITUTE(SUBSTITUTE(SUBSTITUTE(Клиенты_исходные!D663," ",""),"-",""),"+",""),"(",""),")",""))="8","7"&amp;MID(SUBSTITUTE(SUBSTITUTE(SUBSTITUTE(SUBSTITUTE(SUBSTITUTE(Клиенты_исходные!D663," ",""),"-",""),"+",""),"(",""),")",""),2,10),SUBSTITUTE(SUBSTITUTE(SUBSTITUTE(SUBSTITUTE(SUBSTITUTE(Клиенты_исходные!D663," ",""),"-",""),"+",""),"(",""),")","")),10,2),IF(LEN(SUBSTITUTE(SUBSTITUTE(SUBSTITUTE(SUBSTITUTE(SUBSTITUTE(Клиенты_исходные!D663," ",""),"-",""),"+",""),"(",""),")",""))=10,"+7 ("&amp;MID(SUBSTITUTE(SUBSTITUTE(SUBSTITUTE(SUBSTITUTE(SUBSTITUTE(Клиенты_исходные!D663," ",""),"-",""),"+",""),"(",""),")",""),1,3)&amp;") "&amp;MID(SUBSTITUTE(SUBSTITUTE(SUBSTITUTE(SUBSTITUTE(SUBSTITUTE(Клиенты_исходные!D663," ",""),"-",""),"+",""),"(",""),")",""),4,3)&amp;"-"&amp;MID(SUBSTITUTE(SUBSTITUTE(SUBSTITUTE(SUBSTITUTE(SUBSTITUTE(Клиенты_исходные!D663," ",""),"-",""),"+",""),"(",""),")",""),6,2)&amp;"-"&amp;MID(SUBSTITUTE(SUBSTITUTE(SUBSTITUTE(SUBSTITUTE(SUBSTITUTE(Клиенты_исходные!D663," ",""),"-",""),"+",""),"(",""),")",""),8,2),Клиенты_исходные!D663)))</f>
        <v xml:space="preserve">+7 (903) 678-90-12</v>
      </c>
      <c r="E663" t="str">
        <f>IF(ISBLANK(Клиенты_исходные!E663),"",IF(ISNUMBER(FIND(".",MID(Клиенты_исходные!E663,FIND("@",Клиенты_исходные!E663)+1,255))),Клиенты_исходные!E663,IF(ISNUMBER(FIND("gmail",Клиенты_исходные!E663)),Клиенты_исходные!E663&amp;".com",Клиенты_исходные!E663&amp;".ru")))</f>
        <v>nikitin@yandex.ru</v>
      </c>
      <c r="F663" t="str">
        <f>IFERROR(VLOOKUP(Клиенты_исходные!F663,Справочники!$J$2:$K$50,2,FALSE),Клиенты_исходные!F663)</f>
        <v>Майкоп</v>
      </c>
      <c r="G663" s="8">
        <f>IFERROR(IF(ISNUMBER(FIND(".",Клиенты_исходные!G663)),DATE(RIGHT(Клиенты_исходные!G663,4),MID(Клиенты_исходные!G663,4,2),LEFT(Клиенты_исходные!G663,2)),DATE(LEFT(Клиенты_исходные!G663,4),MID(Клиенты_исходные!G663,6,2),RIGHT(Клиенты_исходные!G663,2))),Клиенты_исходные!G663)</f>
        <v>51271</v>
      </c>
      <c r="H663">
        <f t="shared" ca="1" si="76"/>
        <v>37</v>
      </c>
      <c r="I663" t="str">
        <f t="shared" si="77"/>
        <v>OK</v>
      </c>
      <c r="J663" t="str">
        <f t="shared" si="78"/>
        <v>OK</v>
      </c>
    </row>
    <row r="664">
      <c r="A664" t="str">
        <f>Клиенты_исходные!A664</f>
        <v>C0663</v>
      </c>
      <c r="B664" t="str">
        <f>PROPER(TRIM(Клиенты_исходные!B664))</f>
        <v xml:space="preserve">Старцева Мария Владимировна</v>
      </c>
      <c r="C664" s="8">
        <f>IFERROR(IF(ISNUMBER(FIND(".",Клиенты_исходные!C664)),DATE(RIGHT(Клиенты_исходные!C664,4),MID(Клиенты_исходные!C664,4,2),LEFT(Клиенты_исходные!C664,2)),DATE(LEFT(Клиенты_исходные!C664,4),MID(Клиенты_исходные!C664,6,2),RIGHT(Клиенты_исходные!C664,2))),Клиенты_исходные!C664)</f>
        <v>27773</v>
      </c>
      <c r="D664" t="str">
        <f>IF(ISBLANK(Клиенты_исходные!D664),"",IF(LEN(SUBSTITUTE(SUBSTITUTE(SUBSTITUTE(SUBSTITUTE(SUBSTITUTE(Клиенты_исходные!D664," ",""),"-",""),"+",""),"(",""),")",""))=11,"+7 ("&amp;MID(IF(LEFT(SUBSTITUTE(SUBSTITUTE(SUBSTITUTE(SUBSTITUTE(SUBSTITUTE(Клиенты_исходные!D664," ",""),"-",""),"+",""),"(",""),")",""))="8","7"&amp;MID(SUBSTITUTE(SUBSTITUTE(SUBSTITUTE(SUBSTITUTE(SUBSTITUTE(Клиенты_исходные!D664," ",""),"-",""),"+",""),"(",""),")",""),2,10),SUBSTITUTE(SUBSTITUTE(SUBSTITUTE(SUBSTITUTE(SUBSTITUTE(Клиенты_исходные!D664," ",""),"-",""),"+",""),"(",""),")","")),2,3)&amp;") "&amp;MID(IF(LEFT(SUBSTITUTE(SUBSTITUTE(SUBSTITUTE(SUBSTITUTE(SUBSTITUTE(Клиенты_исходные!D664," ",""),"-",""),"+",""),"(",""),")",""))="8","7"&amp;MID(SUBSTITUTE(SUBSTITUTE(SUBSTITUTE(SUBSTITUTE(SUBSTITUTE(Клиенты_исходные!D664," ",""),"-",""),"+",""),"(",""),")",""),2,10),SUBSTITUTE(SUBSTITUTE(SUBSTITUTE(SUBSTITUTE(SUBSTITUTE(Клиенты_исходные!D664," ",""),"-",""),"+",""),"(",""),")","")),5,3)&amp;"-"&amp;MID(IF(LEFT(SUBSTITUTE(SUBSTITUTE(SUBSTITUTE(SUBSTITUTE(SUBSTITUTE(Клиенты_исходные!D664," ",""),"-",""),"+",""),"(",""),")",""))="8","7"&amp;MID(SUBSTITUTE(SUBSTITUTE(SUBSTITUTE(SUBSTITUTE(SUBSTITUTE(Клиенты_исходные!D664," ",""),"-",""),"+",""),"(",""),")",""),2,10),SUBSTITUTE(SUBSTITUTE(SUBSTITUTE(SUBSTITUTE(SUBSTITUTE(Клиенты_исходные!D664," ",""),"-",""),"+",""),"(",""),")","")),8,2)&amp;"-"&amp;MID(IF(LEFT(SUBSTITUTE(SUBSTITUTE(SUBSTITUTE(SUBSTITUTE(SUBSTITUTE(Клиенты_исходные!D664," ",""),"-",""),"+",""),"(",""),")",""))="8","7"&amp;MID(SUBSTITUTE(SUBSTITUTE(SUBSTITUTE(SUBSTITUTE(SUBSTITUTE(Клиенты_исходные!D664," ",""),"-",""),"+",""),"(",""),")",""),2,10),SUBSTITUTE(SUBSTITUTE(SUBSTITUTE(SUBSTITUTE(SUBSTITUTE(Клиенты_исходные!D664," ",""),"-",""),"+",""),"(",""),")","")),10,2),IF(LEN(SUBSTITUTE(SUBSTITUTE(SUBSTITUTE(SUBSTITUTE(SUBSTITUTE(Клиенты_исходные!D664," ",""),"-",""),"+",""),"(",""),")",""))=10,"+7 ("&amp;MID(SUBSTITUTE(SUBSTITUTE(SUBSTITUTE(SUBSTITUTE(SUBSTITUTE(Клиенты_исходные!D664," ",""),"-",""),"+",""),"(",""),")",""),1,3)&amp;") "&amp;MID(SUBSTITUTE(SUBSTITUTE(SUBSTITUTE(SUBSTITUTE(SUBSTITUTE(Клиенты_исходные!D664," ",""),"-",""),"+",""),"(",""),")",""),4,3)&amp;"-"&amp;MID(SUBSTITUTE(SUBSTITUTE(SUBSTITUTE(SUBSTITUTE(SUBSTITUTE(Клиенты_исходные!D664," ",""),"-",""),"+",""),"(",""),")",""),6,2)&amp;"-"&amp;MID(SUBSTITUTE(SUBSTITUTE(SUBSTITUTE(SUBSTITUTE(SUBSTITUTE(Клиенты_исходные!D664," ",""),"-",""),"+",""),"(",""),")",""),8,2),Клиенты_исходные!D664)))</f>
        <v xml:space="preserve">+7 (903) 789-01-23</v>
      </c>
      <c r="E664" t="str">
        <f>IF(ISBLANK(Клиенты_исходные!E664),"",IF(ISNUMBER(FIND(".",MID(Клиенты_исходные!E664,FIND("@",Клиенты_исходные!E664)+1,255))),Клиенты_исходные!E664,IF(ISNUMBER(FIND("gmail",Клиенты_исходные!E664)),Клиенты_исходные!E664&amp;".com",Клиенты_исходные!E664&amp;".ru")))</f>
        <v>startseva@gmail.com</v>
      </c>
      <c r="F664" t="str">
        <f>IFERROR(VLOOKUP(Клиенты_исходные!F664,Справочники!$J$2:$K$50,2,FALSE),Клиенты_исходные!F664)</f>
        <v>Уссурийск</v>
      </c>
      <c r="G664" s="8">
        <f>IFERROR(IF(ISNUMBER(FIND(".",Клиенты_исходные!G664)),DATE(RIGHT(Клиенты_исходные!G664,4),MID(Клиенты_исходные!G664,4,2),LEFT(Клиенты_исходные!G664,2)),DATE(LEFT(Клиенты_исходные!G664,4),MID(Клиенты_исходные!G664,6,2),RIGHT(Клиенты_исходные!G664,2))),Клиенты_исходные!G664)</f>
        <v>51271</v>
      </c>
      <c r="H664">
        <f t="shared" ca="1" si="76"/>
        <v>50</v>
      </c>
      <c r="I664" t="str">
        <f t="shared" si="77"/>
        <v>OK</v>
      </c>
      <c r="J664" t="str">
        <f t="shared" si="78"/>
        <v>OK</v>
      </c>
    </row>
    <row r="665">
      <c r="A665" t="str">
        <f>Клиенты_исходные!A665</f>
        <v>C0664</v>
      </c>
      <c r="B665" t="str">
        <f>PROPER(TRIM(Клиенты_исходные!B665))</f>
        <v xml:space="preserve">Моргунов Денис Павлович</v>
      </c>
      <c r="C665" s="8">
        <f>IFERROR(IF(ISNUMBER(FIND(".",Клиенты_исходные!C665)),DATE(RIGHT(Клиенты_исходные!C665,4),MID(Клиенты_исходные!C665,4,2),LEFT(Клиенты_исходные!C665,2)),DATE(LEFT(Клиенты_исходные!C665,4),MID(Клиенты_исходные!C665,6,2),RIGHT(Клиенты_исходные!C665,2))),Клиенты_исходные!C665)</f>
        <v>30586</v>
      </c>
      <c r="D665" t="str">
        <f>IF(ISBLANK(Клиенты_исходные!D665),"",IF(LEN(SUBSTITUTE(SUBSTITUTE(SUBSTITUTE(SUBSTITUTE(SUBSTITUTE(Клиенты_исходные!D665," ",""),"-",""),"+",""),"(",""),")",""))=11,"+7 ("&amp;MID(IF(LEFT(SUBSTITUTE(SUBSTITUTE(SUBSTITUTE(SUBSTITUTE(SUBSTITUTE(Клиенты_исходные!D665," ",""),"-",""),"+",""),"(",""),")",""))="8","7"&amp;MID(SUBSTITUTE(SUBSTITUTE(SUBSTITUTE(SUBSTITUTE(SUBSTITUTE(Клиенты_исходные!D665," ",""),"-",""),"+",""),"(",""),")",""),2,10),SUBSTITUTE(SUBSTITUTE(SUBSTITUTE(SUBSTITUTE(SUBSTITUTE(Клиенты_исходные!D665," ",""),"-",""),"+",""),"(",""),")","")),2,3)&amp;") "&amp;MID(IF(LEFT(SUBSTITUTE(SUBSTITUTE(SUBSTITUTE(SUBSTITUTE(SUBSTITUTE(Клиенты_исходные!D665," ",""),"-",""),"+",""),"(",""),")",""))="8","7"&amp;MID(SUBSTITUTE(SUBSTITUTE(SUBSTITUTE(SUBSTITUTE(SUBSTITUTE(Клиенты_исходные!D665," ",""),"-",""),"+",""),"(",""),")",""),2,10),SUBSTITUTE(SUBSTITUTE(SUBSTITUTE(SUBSTITUTE(SUBSTITUTE(Клиенты_исходные!D665," ",""),"-",""),"+",""),"(",""),")","")),5,3)&amp;"-"&amp;MID(IF(LEFT(SUBSTITUTE(SUBSTITUTE(SUBSTITUTE(SUBSTITUTE(SUBSTITUTE(Клиенты_исходные!D665," ",""),"-",""),"+",""),"(",""),")",""))="8","7"&amp;MID(SUBSTITUTE(SUBSTITUTE(SUBSTITUTE(SUBSTITUTE(SUBSTITUTE(Клиенты_исходные!D665," ",""),"-",""),"+",""),"(",""),")",""),2,10),SUBSTITUTE(SUBSTITUTE(SUBSTITUTE(SUBSTITUTE(SUBSTITUTE(Клиенты_исходные!D665," ",""),"-",""),"+",""),"(",""),")","")),8,2)&amp;"-"&amp;MID(IF(LEFT(SUBSTITUTE(SUBSTITUTE(SUBSTITUTE(SUBSTITUTE(SUBSTITUTE(Клиенты_исходные!D665," ",""),"-",""),"+",""),"(",""),")",""))="8","7"&amp;MID(SUBSTITUTE(SUBSTITUTE(SUBSTITUTE(SUBSTITUTE(SUBSTITUTE(Клиенты_исходные!D665," ",""),"-",""),"+",""),"(",""),")",""),2,10),SUBSTITUTE(SUBSTITUTE(SUBSTITUTE(SUBSTITUTE(SUBSTITUTE(Клиенты_исходные!D665," ",""),"-",""),"+",""),"(",""),")","")),10,2),IF(LEN(SUBSTITUTE(SUBSTITUTE(SUBSTITUTE(SUBSTITUTE(SUBSTITUTE(Клиенты_исходные!D665," ",""),"-",""),"+",""),"(",""),")",""))=10,"+7 ("&amp;MID(SUBSTITUTE(SUBSTITUTE(SUBSTITUTE(SUBSTITUTE(SUBSTITUTE(Клиенты_исходные!D665," ",""),"-",""),"+",""),"(",""),")",""),1,3)&amp;") "&amp;MID(SUBSTITUTE(SUBSTITUTE(SUBSTITUTE(SUBSTITUTE(SUBSTITUTE(Клиенты_исходные!D665," ",""),"-",""),"+",""),"(",""),")",""),4,3)&amp;"-"&amp;MID(SUBSTITUTE(SUBSTITUTE(SUBSTITUTE(SUBSTITUTE(SUBSTITUTE(Клиенты_исходные!D665," ",""),"-",""),"+",""),"(",""),")",""),6,2)&amp;"-"&amp;MID(SUBSTITUTE(SUBSTITUTE(SUBSTITUTE(SUBSTITUTE(SUBSTITUTE(Клиенты_исходные!D665," ",""),"-",""),"+",""),"(",""),")",""),8,2),Клиенты_исходные!D665)))</f>
        <v xml:space="preserve">+7 (903) 789-01-23</v>
      </c>
      <c r="E665" t="str">
        <f>IF(ISBLANK(Клиенты_исходные!E665),"",IF(ISNUMBER(FIND(".",MID(Клиенты_исходные!E665,FIND("@",Клиенты_исходные!E665)+1,255))),Клиенты_исходные!E665,IF(ISNUMBER(FIND("gmail",Клиенты_исходные!E665)),Клиенты_исходные!E665&amp;".com",Клиенты_исходные!E665&amp;".ru")))</f>
        <v>morgunov@mail.ru</v>
      </c>
      <c r="F665" t="str">
        <f>IFERROR(VLOOKUP(Клиенты_исходные!F665,Справочники!$J$2:$K$50,2,FALSE),Клиенты_исходные!F665)</f>
        <v>Миасс</v>
      </c>
      <c r="G665" s="8">
        <f>IFERROR(IF(ISNUMBER(FIND(".",Клиенты_исходные!G665)),DATE(RIGHT(Клиенты_исходные!G665,4),MID(Клиенты_исходные!G665,4,2),LEFT(Клиенты_исходные!G665,2)),DATE(LEFT(Клиенты_исходные!G665,4),MID(Клиенты_исходные!G665,6,2),RIGHT(Клиенты_исходные!G665,2))),Клиенты_исходные!G665)</f>
        <v>51288</v>
      </c>
      <c r="H665">
        <f t="shared" ca="1" si="76"/>
        <v>43</v>
      </c>
      <c r="I665" t="str">
        <f t="shared" si="77"/>
        <v>OK</v>
      </c>
      <c r="J665" t="str">
        <f t="shared" si="78"/>
        <v>OK</v>
      </c>
    </row>
    <row r="666">
      <c r="A666" t="str">
        <f>Клиенты_исходные!A666</f>
        <v>C0665</v>
      </c>
      <c r="B666" t="str">
        <f>PROPER(TRIM(Клиенты_исходные!B666))</f>
        <v xml:space="preserve">Астахова Ольга Сергеевна</v>
      </c>
      <c r="C666" s="8">
        <f>IFERROR(IF(ISNUMBER(FIND(".",Клиенты_исходные!C666)),DATE(RIGHT(Клиенты_исходные!C666,4),MID(Клиенты_исходные!C666,4,2),LEFT(Клиенты_исходные!C666,2)),DATE(LEFT(Клиенты_исходные!C666,4),MID(Клиенты_исходные!C666,6,2),RIGHT(Клиенты_исходные!C666,2))),Клиенты_исходные!C666)</f>
        <v>32242</v>
      </c>
      <c r="D666" t="str">
        <f>IF(ISBLANK(Клиенты_исходные!D666),"",IF(LEN(SUBSTITUTE(SUBSTITUTE(SUBSTITUTE(SUBSTITUTE(SUBSTITUTE(Клиенты_исходные!D666," ",""),"-",""),"+",""),"(",""),")",""))=11,"+7 ("&amp;MID(IF(LEFT(SUBSTITUTE(SUBSTITUTE(SUBSTITUTE(SUBSTITUTE(SUBSTITUTE(Клиенты_исходные!D666," ",""),"-",""),"+",""),"(",""),")",""))="8","7"&amp;MID(SUBSTITUTE(SUBSTITUTE(SUBSTITUTE(SUBSTITUTE(SUBSTITUTE(Клиенты_исходные!D666," ",""),"-",""),"+",""),"(",""),")",""),2,10),SUBSTITUTE(SUBSTITUTE(SUBSTITUTE(SUBSTITUTE(SUBSTITUTE(Клиенты_исходные!D666," ",""),"-",""),"+",""),"(",""),")","")),2,3)&amp;") "&amp;MID(IF(LEFT(SUBSTITUTE(SUBSTITUTE(SUBSTITUTE(SUBSTITUTE(SUBSTITUTE(Клиенты_исходные!D666," ",""),"-",""),"+",""),"(",""),")",""))="8","7"&amp;MID(SUBSTITUTE(SUBSTITUTE(SUBSTITUTE(SUBSTITUTE(SUBSTITUTE(Клиенты_исходные!D666," ",""),"-",""),"+",""),"(",""),")",""),2,10),SUBSTITUTE(SUBSTITUTE(SUBSTITUTE(SUBSTITUTE(SUBSTITUTE(Клиенты_исходные!D666," ",""),"-",""),"+",""),"(",""),")","")),5,3)&amp;"-"&amp;MID(IF(LEFT(SUBSTITUTE(SUBSTITUTE(SUBSTITUTE(SUBSTITUTE(SUBSTITUTE(Клиенты_исходные!D666," ",""),"-",""),"+",""),"(",""),")",""))="8","7"&amp;MID(SUBSTITUTE(SUBSTITUTE(SUBSTITUTE(SUBSTITUTE(SUBSTITUTE(Клиенты_исходные!D666," ",""),"-",""),"+",""),"(",""),")",""),2,10),SUBSTITUTE(SUBSTITUTE(SUBSTITUTE(SUBSTITUTE(SUBSTITUTE(Клиенты_исходные!D666," ",""),"-",""),"+",""),"(",""),")","")),8,2)&amp;"-"&amp;MID(IF(LEFT(SUBSTITUTE(SUBSTITUTE(SUBSTITUTE(SUBSTITUTE(SUBSTITUTE(Клиенты_исходные!D666," ",""),"-",""),"+",""),"(",""),")",""))="8","7"&amp;MID(SUBSTITUTE(SUBSTITUTE(SUBSTITUTE(SUBSTITUTE(SUBSTITUTE(Клиенты_исходные!D666," ",""),"-",""),"+",""),"(",""),")",""),2,10),SUBSTITUTE(SUBSTITUTE(SUBSTITUTE(SUBSTITUTE(SUBSTITUTE(Клиенты_исходные!D666," ",""),"-",""),"+",""),"(",""),")","")),10,2),IF(LEN(SUBSTITUTE(SUBSTITUTE(SUBSTITUTE(SUBSTITUTE(SUBSTITUTE(Клиенты_исходные!D666," ",""),"-",""),"+",""),"(",""),")",""))=10,"+7 ("&amp;MID(SUBSTITUTE(SUBSTITUTE(SUBSTITUTE(SUBSTITUTE(SUBSTITUTE(Клиенты_исходные!D666," ",""),"-",""),"+",""),"(",""),")",""),1,3)&amp;") "&amp;MID(SUBSTITUTE(SUBSTITUTE(SUBSTITUTE(SUBSTITUTE(SUBSTITUTE(Клиенты_исходные!D666," ",""),"-",""),"+",""),"(",""),")",""),4,3)&amp;"-"&amp;MID(SUBSTITUTE(SUBSTITUTE(SUBSTITUTE(SUBSTITUTE(SUBSTITUTE(Клиенты_исходные!D666," ",""),"-",""),"+",""),"(",""),")",""),6,2)&amp;"-"&amp;MID(SUBSTITUTE(SUBSTITUTE(SUBSTITUTE(SUBSTITUTE(SUBSTITUTE(Клиенты_исходные!D666," ",""),"-",""),"+",""),"(",""),")",""),8,2),Клиенты_исходные!D666)))</f>
        <v xml:space="preserve">+7 (903) 789-01-23</v>
      </c>
      <c r="E666" t="str">
        <f>IF(ISBLANK(Клиенты_исходные!E666),"",IF(ISNUMBER(FIND(".",MID(Клиенты_исходные!E666,FIND("@",Клиенты_исходные!E666)+1,255))),Клиенты_исходные!E666,IF(ISNUMBER(FIND("gmail",Клиенты_исходные!E666)),Клиенты_исходные!E666&amp;".com",Клиенты_исходные!E666&amp;".ru")))</f>
        <v>astahova@yandex.ru</v>
      </c>
      <c r="F666" t="str">
        <f>IFERROR(VLOOKUP(Клиенты_исходные!F666,Справочники!$J$2:$K$50,2,FALSE),Клиенты_исходные!F666)</f>
        <v>Кызыл</v>
      </c>
      <c r="G666" s="8">
        <f>IFERROR(IF(ISNUMBER(FIND(".",Клиенты_исходные!G666)),DATE(RIGHT(Клиенты_исходные!G666,4),MID(Клиенты_исходные!G666,4,2),LEFT(Клиенты_исходные!G666,2)),DATE(LEFT(Клиенты_исходные!G666,4),MID(Клиенты_исходные!G666,6,2),RIGHT(Клиенты_исходные!G666,2))),Клиенты_исходные!G666)</f>
        <v>51297</v>
      </c>
      <c r="H666">
        <f t="shared" ca="1" si="76"/>
        <v>38</v>
      </c>
      <c r="I666" t="str">
        <f t="shared" si="77"/>
        <v>OK</v>
      </c>
      <c r="J666" t="str">
        <f t="shared" si="78"/>
        <v>OK</v>
      </c>
    </row>
    <row r="667">
      <c r="A667" t="str">
        <f>Клиенты_исходные!A667</f>
        <v>C0666</v>
      </c>
      <c r="B667" t="str">
        <f>PROPER(TRIM(Клиенты_исходные!B667))</f>
        <v xml:space="preserve">Кириченко Илья Александрович</v>
      </c>
      <c r="C667" s="8">
        <f>IFERROR(IF(ISNUMBER(FIND(".",Клиенты_исходные!C667)),DATE(RIGHT(Клиенты_исходные!C667,4),MID(Клиенты_исходные!C667,4,2),LEFT(Клиенты_исходные!C667,2)),DATE(LEFT(Клиенты_исходные!C667,4),MID(Клиенты_исходные!C667,6,2),RIGHT(Клиенты_исходные!C667,2))),Клиенты_исходные!C667)</f>
        <v>27625</v>
      </c>
      <c r="D667" t="str">
        <f>IF(ISBLANK(Клиенты_исходные!D667),"",IF(LEN(SUBSTITUTE(SUBSTITUTE(SUBSTITUTE(SUBSTITUTE(SUBSTITUTE(Клиенты_исходные!D667," ",""),"-",""),"+",""),"(",""),")",""))=11,"+7 ("&amp;MID(IF(LEFT(SUBSTITUTE(SUBSTITUTE(SUBSTITUTE(SUBSTITUTE(SUBSTITUTE(Клиенты_исходные!D667," ",""),"-",""),"+",""),"(",""),")",""))="8","7"&amp;MID(SUBSTITUTE(SUBSTITUTE(SUBSTITUTE(SUBSTITUTE(SUBSTITUTE(Клиенты_исходные!D667," ",""),"-",""),"+",""),"(",""),")",""),2,10),SUBSTITUTE(SUBSTITUTE(SUBSTITUTE(SUBSTITUTE(SUBSTITUTE(Клиенты_исходные!D667," ",""),"-",""),"+",""),"(",""),")","")),2,3)&amp;") "&amp;MID(IF(LEFT(SUBSTITUTE(SUBSTITUTE(SUBSTITUTE(SUBSTITUTE(SUBSTITUTE(Клиенты_исходные!D667," ",""),"-",""),"+",""),"(",""),")",""))="8","7"&amp;MID(SUBSTITUTE(SUBSTITUTE(SUBSTITUTE(SUBSTITUTE(SUBSTITUTE(Клиенты_исходные!D667," ",""),"-",""),"+",""),"(",""),")",""),2,10),SUBSTITUTE(SUBSTITUTE(SUBSTITUTE(SUBSTITUTE(SUBSTITUTE(Клиенты_исходные!D667," ",""),"-",""),"+",""),"(",""),")","")),5,3)&amp;"-"&amp;MID(IF(LEFT(SUBSTITUTE(SUBSTITUTE(SUBSTITUTE(SUBSTITUTE(SUBSTITUTE(Клиенты_исходные!D667," ",""),"-",""),"+",""),"(",""),")",""))="8","7"&amp;MID(SUBSTITUTE(SUBSTITUTE(SUBSTITUTE(SUBSTITUTE(SUBSTITUTE(Клиенты_исходные!D667," ",""),"-",""),"+",""),"(",""),")",""),2,10),SUBSTITUTE(SUBSTITUTE(SUBSTITUTE(SUBSTITUTE(SUBSTITUTE(Клиенты_исходные!D667," ",""),"-",""),"+",""),"(",""),")","")),8,2)&amp;"-"&amp;MID(IF(LEFT(SUBSTITUTE(SUBSTITUTE(SUBSTITUTE(SUBSTITUTE(SUBSTITUTE(Клиенты_исходные!D667," ",""),"-",""),"+",""),"(",""),")",""))="8","7"&amp;MID(SUBSTITUTE(SUBSTITUTE(SUBSTITUTE(SUBSTITUTE(SUBSTITUTE(Клиенты_исходные!D667," ",""),"-",""),"+",""),"(",""),")",""),2,10),SUBSTITUTE(SUBSTITUTE(SUBSTITUTE(SUBSTITUTE(SUBSTITUTE(Клиенты_исходные!D667," ",""),"-",""),"+",""),"(",""),")","")),10,2),IF(LEN(SUBSTITUTE(SUBSTITUTE(SUBSTITUTE(SUBSTITUTE(SUBSTITUTE(Клиенты_исходные!D667," ",""),"-",""),"+",""),"(",""),")",""))=10,"+7 ("&amp;MID(SUBSTITUTE(SUBSTITUTE(SUBSTITUTE(SUBSTITUTE(SUBSTITUTE(Клиенты_исходные!D667," ",""),"-",""),"+",""),"(",""),")",""),1,3)&amp;") "&amp;MID(SUBSTITUTE(SUBSTITUTE(SUBSTITUTE(SUBSTITUTE(SUBSTITUTE(Клиенты_исходные!D667," ",""),"-",""),"+",""),"(",""),")",""),4,3)&amp;"-"&amp;MID(SUBSTITUTE(SUBSTITUTE(SUBSTITUTE(SUBSTITUTE(SUBSTITUTE(Клиенты_исходные!D667," ",""),"-",""),"+",""),"(",""),")",""),6,2)&amp;"-"&amp;MID(SUBSTITUTE(SUBSTITUTE(SUBSTITUTE(SUBSTITUTE(SUBSTITUTE(Клиенты_исходные!D667," ",""),"-",""),"+",""),"(",""),")",""),8,2),Клиенты_исходные!D667)))</f>
        <v xml:space="preserve">+7 (903) 890-12-34</v>
      </c>
      <c r="E667" t="str">
        <f>IF(ISBLANK(Клиенты_исходные!E667),"",IF(ISNUMBER(FIND(".",MID(Клиенты_исходные!E667,FIND("@",Клиенты_исходные!E667)+1,255))),Клиенты_исходные!E667,IF(ISNUMBER(FIND("gmail",Клиенты_исходные!E667)),Клиенты_исходные!E667&amp;".com",Клиенты_исходные!E667&amp;".ru")))</f>
        <v>kirichenko@gmail.com</v>
      </c>
      <c r="F667" t="str">
        <f>IFERROR(VLOOKUP(Клиенты_исходные!F667,Справочники!$J$2:$K$50,2,FALSE),Клиенты_исходные!F667)</f>
        <v>Калининград</v>
      </c>
      <c r="G667" s="8">
        <f>IFERROR(IF(ISNUMBER(FIND(".",Клиенты_исходные!G667)),DATE(RIGHT(Клиенты_исходные!G667,4),MID(Клиенты_исходные!G667,4,2),LEFT(Клиенты_исходные!G667,2)),DATE(LEFT(Клиенты_исходные!G667,4),MID(Клиенты_исходные!G667,6,2),RIGHT(Клиенты_исходные!G667,2))),Клиенты_исходные!G667)</f>
        <v>51297</v>
      </c>
      <c r="H667">
        <f t="shared" ca="1" si="76"/>
        <v>51</v>
      </c>
      <c r="I667" t="str">
        <f t="shared" si="77"/>
        <v>OK</v>
      </c>
      <c r="J667" t="str">
        <f t="shared" si="78"/>
        <v>OK</v>
      </c>
    </row>
    <row r="668">
      <c r="A668" t="str">
        <f>Клиенты_исходные!A668</f>
        <v>C0667</v>
      </c>
      <c r="B668" t="str">
        <f>PROPER(TRIM(Клиенты_исходные!B668))</f>
        <v xml:space="preserve">Борисова Екатерина Алексеевна</v>
      </c>
      <c r="C668" s="8">
        <f>IFERROR(IF(ISNUMBER(FIND(".",Клиенты_исходные!C668)),DATE(RIGHT(Клиенты_исходные!C668,4),MID(Клиенты_исходные!C668,4,2),LEFT(Клиенты_исходные!C668,2)),DATE(LEFT(Клиенты_исходные!C668,4),MID(Клиенты_исходные!C668,6,2),RIGHT(Клиенты_исходные!C668,2))),Клиенты_исходные!C668)</f>
        <v>30989</v>
      </c>
      <c r="D668" t="str">
        <f>IF(ISBLANK(Клиенты_исходные!D668),"",IF(LEN(SUBSTITUTE(SUBSTITUTE(SUBSTITUTE(SUBSTITUTE(SUBSTITUTE(Клиенты_исходные!D668," ",""),"-",""),"+",""),"(",""),")",""))=11,"+7 ("&amp;MID(IF(LEFT(SUBSTITUTE(SUBSTITUTE(SUBSTITUTE(SUBSTITUTE(SUBSTITUTE(Клиенты_исходные!D668," ",""),"-",""),"+",""),"(",""),")",""))="8","7"&amp;MID(SUBSTITUTE(SUBSTITUTE(SUBSTITUTE(SUBSTITUTE(SUBSTITUTE(Клиенты_исходные!D668," ",""),"-",""),"+",""),"(",""),")",""),2,10),SUBSTITUTE(SUBSTITUTE(SUBSTITUTE(SUBSTITUTE(SUBSTITUTE(Клиенты_исходные!D668," ",""),"-",""),"+",""),"(",""),")","")),2,3)&amp;") "&amp;MID(IF(LEFT(SUBSTITUTE(SUBSTITUTE(SUBSTITUTE(SUBSTITUTE(SUBSTITUTE(Клиенты_исходные!D668," ",""),"-",""),"+",""),"(",""),")",""))="8","7"&amp;MID(SUBSTITUTE(SUBSTITUTE(SUBSTITUTE(SUBSTITUTE(SUBSTITUTE(Клиенты_исходные!D668," ",""),"-",""),"+",""),"(",""),")",""),2,10),SUBSTITUTE(SUBSTITUTE(SUBSTITUTE(SUBSTITUTE(SUBSTITUTE(Клиенты_исходные!D668," ",""),"-",""),"+",""),"(",""),")","")),5,3)&amp;"-"&amp;MID(IF(LEFT(SUBSTITUTE(SUBSTITUTE(SUBSTITUTE(SUBSTITUTE(SUBSTITUTE(Клиенты_исходные!D668," ",""),"-",""),"+",""),"(",""),")",""))="8","7"&amp;MID(SUBSTITUTE(SUBSTITUTE(SUBSTITUTE(SUBSTITUTE(SUBSTITUTE(Клиенты_исходные!D668," ",""),"-",""),"+",""),"(",""),")",""),2,10),SUBSTITUTE(SUBSTITUTE(SUBSTITUTE(SUBSTITUTE(SUBSTITUTE(Клиенты_исходные!D668," ",""),"-",""),"+",""),"(",""),")","")),8,2)&amp;"-"&amp;MID(IF(LEFT(SUBSTITUTE(SUBSTITUTE(SUBSTITUTE(SUBSTITUTE(SUBSTITUTE(Клиенты_исходные!D668," ",""),"-",""),"+",""),"(",""),")",""))="8","7"&amp;MID(SUBSTITUTE(SUBSTITUTE(SUBSTITUTE(SUBSTITUTE(SUBSTITUTE(Клиенты_исходные!D668," ",""),"-",""),"+",""),"(",""),")",""),2,10),SUBSTITUTE(SUBSTITUTE(SUBSTITUTE(SUBSTITUTE(SUBSTITUTE(Клиенты_исходные!D668," ",""),"-",""),"+",""),"(",""),")","")),10,2),IF(LEN(SUBSTITUTE(SUBSTITUTE(SUBSTITUTE(SUBSTITUTE(SUBSTITUTE(Клиенты_исходные!D668," ",""),"-",""),"+",""),"(",""),")",""))=10,"+7 ("&amp;MID(SUBSTITUTE(SUBSTITUTE(SUBSTITUTE(SUBSTITUTE(SUBSTITUTE(Клиенты_исходные!D668," ",""),"-",""),"+",""),"(",""),")",""),1,3)&amp;") "&amp;MID(SUBSTITUTE(SUBSTITUTE(SUBSTITUTE(SUBSTITUTE(SUBSTITUTE(Клиенты_исходные!D668," ",""),"-",""),"+",""),"(",""),")",""),4,3)&amp;"-"&amp;MID(SUBSTITUTE(SUBSTITUTE(SUBSTITUTE(SUBSTITUTE(SUBSTITUTE(Клиенты_исходные!D668," ",""),"-",""),"+",""),"(",""),")",""),6,2)&amp;"-"&amp;MID(SUBSTITUTE(SUBSTITUTE(SUBSTITUTE(SUBSTITUTE(SUBSTITUTE(Клиенты_исходные!D668," ",""),"-",""),"+",""),"(",""),")",""),8,2),Клиенты_исходные!D668)))</f>
        <v xml:space="preserve">+7 (903) 890-12-34</v>
      </c>
      <c r="E668" t="str">
        <f>IF(ISBLANK(Клиенты_исходные!E668),"",IF(ISNUMBER(FIND(".",MID(Клиенты_исходные!E668,FIND("@",Клиенты_исходные!E668)+1,255))),Клиенты_исходные!E668,IF(ISNUMBER(FIND("gmail",Клиенты_исходные!E668)),Клиенты_исходные!E668&amp;".com",Клиенты_исходные!E668&amp;".ru")))</f>
        <v>borisova@mail.ru</v>
      </c>
      <c r="F668" t="str">
        <f>IFERROR(VLOOKUP(Клиенты_исходные!F668,Справочники!$J$2:$K$50,2,FALSE),Клиенты_исходные!F668)</f>
        <v>Петрозаводск</v>
      </c>
      <c r="G668" s="8">
        <f>IFERROR(IF(ISNUMBER(FIND(".",Клиенты_исходные!G668)),DATE(RIGHT(Клиенты_исходные!G668,4),MID(Клиенты_исходные!G668,4,2),LEFT(Клиенты_исходные!G668,2)),DATE(LEFT(Клиенты_исходные!G668,4),MID(Клиенты_исходные!G668,6,2),RIGHT(Клиенты_исходные!G668,2))),Клиенты_исходные!G668)</f>
        <v>51318</v>
      </c>
      <c r="H668">
        <f t="shared" ca="1" si="76"/>
        <v>41</v>
      </c>
      <c r="I668" t="str">
        <f t="shared" si="77"/>
        <v>OK</v>
      </c>
      <c r="J668" t="str">
        <f t="shared" si="78"/>
        <v>OK</v>
      </c>
    </row>
    <row r="669">
      <c r="A669" t="str">
        <f>Клиенты_исходные!A669</f>
        <v>C0668</v>
      </c>
      <c r="B669" t="str">
        <f>PROPER(TRIM(Клиенты_исходные!B669))</f>
        <v xml:space="preserve">Гусев Андрей Олегович</v>
      </c>
      <c r="C669" s="8">
        <f>IFERROR(IF(ISNUMBER(FIND(".",Клиенты_исходные!C669)),DATE(RIGHT(Клиенты_исходные!C669,4),MID(Клиенты_исходные!C669,4,2),LEFT(Клиенты_исходные!C669,2)),DATE(LEFT(Клиенты_исходные!C669,4),MID(Клиенты_исходные!C669,6,2),RIGHT(Клиенты_исходные!C669,2))),Клиенты_исходные!C669)</f>
        <v>33285</v>
      </c>
      <c r="D669" t="str">
        <f>IF(ISBLANK(Клиенты_исходные!D669),"",IF(LEN(SUBSTITUTE(SUBSTITUTE(SUBSTITUTE(SUBSTITUTE(SUBSTITUTE(Клиенты_исходные!D669," ",""),"-",""),"+",""),"(",""),")",""))=11,"+7 ("&amp;MID(IF(LEFT(SUBSTITUTE(SUBSTITUTE(SUBSTITUTE(SUBSTITUTE(SUBSTITUTE(Клиенты_исходные!D669," ",""),"-",""),"+",""),"(",""),")",""))="8","7"&amp;MID(SUBSTITUTE(SUBSTITUTE(SUBSTITUTE(SUBSTITUTE(SUBSTITUTE(Клиенты_исходные!D669," ",""),"-",""),"+",""),"(",""),")",""),2,10),SUBSTITUTE(SUBSTITUTE(SUBSTITUTE(SUBSTITUTE(SUBSTITUTE(Клиенты_исходные!D669," ",""),"-",""),"+",""),"(",""),")","")),2,3)&amp;") "&amp;MID(IF(LEFT(SUBSTITUTE(SUBSTITUTE(SUBSTITUTE(SUBSTITUTE(SUBSTITUTE(Клиенты_исходные!D669," ",""),"-",""),"+",""),"(",""),")",""))="8","7"&amp;MID(SUBSTITUTE(SUBSTITUTE(SUBSTITUTE(SUBSTITUTE(SUBSTITUTE(Клиенты_исходные!D669," ",""),"-",""),"+",""),"(",""),")",""),2,10),SUBSTITUTE(SUBSTITUTE(SUBSTITUTE(SUBSTITUTE(SUBSTITUTE(Клиенты_исходные!D669," ",""),"-",""),"+",""),"(",""),")","")),5,3)&amp;"-"&amp;MID(IF(LEFT(SUBSTITUTE(SUBSTITUTE(SUBSTITUTE(SUBSTITUTE(SUBSTITUTE(Клиенты_исходные!D669," ",""),"-",""),"+",""),"(",""),")",""))="8","7"&amp;MID(SUBSTITUTE(SUBSTITUTE(SUBSTITUTE(SUBSTITUTE(SUBSTITUTE(Клиенты_исходные!D669," ",""),"-",""),"+",""),"(",""),")",""),2,10),SUBSTITUTE(SUBSTITUTE(SUBSTITUTE(SUBSTITUTE(SUBSTITUTE(Клиенты_исходные!D669," ",""),"-",""),"+",""),"(",""),")","")),8,2)&amp;"-"&amp;MID(IF(LEFT(SUBSTITUTE(SUBSTITUTE(SUBSTITUTE(SUBSTITUTE(SUBSTITUTE(Клиенты_исходные!D669," ",""),"-",""),"+",""),"(",""),")",""))="8","7"&amp;MID(SUBSTITUTE(SUBSTITUTE(SUBSTITUTE(SUBSTITUTE(SUBSTITUTE(Клиенты_исходные!D669," ",""),"-",""),"+",""),"(",""),")",""),2,10),SUBSTITUTE(SUBSTITUTE(SUBSTITUTE(SUBSTITUTE(SUBSTITUTE(Клиенты_исходные!D669," ",""),"-",""),"+",""),"(",""),")","")),10,2),IF(LEN(SUBSTITUTE(SUBSTITUTE(SUBSTITUTE(SUBSTITUTE(SUBSTITUTE(Клиенты_исходные!D669," ",""),"-",""),"+",""),"(",""),")",""))=10,"+7 ("&amp;MID(SUBSTITUTE(SUBSTITUTE(SUBSTITUTE(SUBSTITUTE(SUBSTITUTE(Клиенты_исходные!D669," ",""),"-",""),"+",""),"(",""),")",""),1,3)&amp;") "&amp;MID(SUBSTITUTE(SUBSTITUTE(SUBSTITUTE(SUBSTITUTE(SUBSTITUTE(Клиенты_исходные!D669," ",""),"-",""),"+",""),"(",""),")",""),4,3)&amp;"-"&amp;MID(SUBSTITUTE(SUBSTITUTE(SUBSTITUTE(SUBSTITUTE(SUBSTITUTE(Клиенты_исходные!D669," ",""),"-",""),"+",""),"(",""),")",""),6,2)&amp;"-"&amp;MID(SUBSTITUTE(SUBSTITUTE(SUBSTITUTE(SUBSTITUTE(SUBSTITUTE(Клиенты_исходные!D669," ",""),"-",""),"+",""),"(",""),")",""),8,2),Клиенты_исходные!D669)))</f>
        <v xml:space="preserve">+7 (903) 890-12-34</v>
      </c>
      <c r="E669" t="str">
        <f>IF(ISBLANK(Клиенты_исходные!E669),"",IF(ISNUMBER(FIND(".",MID(Клиенты_исходные!E669,FIND("@",Клиенты_исходные!E669)+1,255))),Клиенты_исходные!E669,IF(ISNUMBER(FIND("gmail",Клиенты_исходные!E669)),Клиенты_исходные!E669&amp;".com",Клиенты_исходные!E669&amp;".ru")))</f>
        <v>gusev@yandex.ru</v>
      </c>
      <c r="F669" t="str">
        <f>IFERROR(VLOOKUP(Клиенты_исходные!F669,Справочники!$J$2:$K$50,2,FALSE),Клиенты_исходные!F669)</f>
        <v>Рубцовск</v>
      </c>
      <c r="G669" s="8">
        <f>IFERROR(IF(ISNUMBER(FIND(".",Клиенты_исходные!G669)),DATE(RIGHT(Клиенты_исходные!G669,4),MID(Клиенты_исходные!G669,4,2),LEFT(Клиенты_исходные!G669,2)),DATE(LEFT(Клиенты_исходные!G669,4),MID(Клиенты_исходные!G669,6,2),RIGHT(Клиенты_исходные!G669,2))),Клиенты_исходные!G669)</f>
        <v>51332</v>
      </c>
      <c r="H669">
        <f t="shared" ca="1" si="76"/>
        <v>35</v>
      </c>
      <c r="I669" t="str">
        <f t="shared" si="77"/>
        <v>OK</v>
      </c>
      <c r="J669" t="str">
        <f t="shared" si="78"/>
        <v>OK</v>
      </c>
    </row>
    <row r="670">
      <c r="A670" t="str">
        <f>Клиенты_исходные!A670</f>
        <v>C0669</v>
      </c>
      <c r="B670" t="str">
        <f>PROPER(TRIM(Клиенты_исходные!B670))</f>
        <v xml:space="preserve">Серова Мария Павловна</v>
      </c>
      <c r="C670" s="8">
        <f>IFERROR(IF(ISNUMBER(FIND(".",Клиенты_исходные!C670)),DATE(RIGHT(Клиенты_исходные!C670,4),MID(Клиенты_исходные!C670,4,2),LEFT(Клиенты_исходные!C670,2)),DATE(LEFT(Клиенты_исходные!C670,4),MID(Клиенты_исходные!C670,6,2),RIGHT(Клиенты_исходные!C670,2))),Клиенты_исходные!C670)</f>
        <v>28269</v>
      </c>
      <c r="D670" t="str">
        <f>IF(ISBLANK(Клиенты_исходные!D670),"",IF(LEN(SUBSTITUTE(SUBSTITUTE(SUBSTITUTE(SUBSTITUTE(SUBSTITUTE(Клиенты_исходные!D670," ",""),"-",""),"+",""),"(",""),")",""))=11,"+7 ("&amp;MID(IF(LEFT(SUBSTITUTE(SUBSTITUTE(SUBSTITUTE(SUBSTITUTE(SUBSTITUTE(Клиенты_исходные!D670," ",""),"-",""),"+",""),"(",""),")",""))="8","7"&amp;MID(SUBSTITUTE(SUBSTITUTE(SUBSTITUTE(SUBSTITUTE(SUBSTITUTE(Клиенты_исходные!D670," ",""),"-",""),"+",""),"(",""),")",""),2,10),SUBSTITUTE(SUBSTITUTE(SUBSTITUTE(SUBSTITUTE(SUBSTITUTE(Клиенты_исходные!D670," ",""),"-",""),"+",""),"(",""),")","")),2,3)&amp;") "&amp;MID(IF(LEFT(SUBSTITUTE(SUBSTITUTE(SUBSTITUTE(SUBSTITUTE(SUBSTITUTE(Клиенты_исходные!D670," ",""),"-",""),"+",""),"(",""),")",""))="8","7"&amp;MID(SUBSTITUTE(SUBSTITUTE(SUBSTITUTE(SUBSTITUTE(SUBSTITUTE(Клиенты_исходные!D670," ",""),"-",""),"+",""),"(",""),")",""),2,10),SUBSTITUTE(SUBSTITUTE(SUBSTITUTE(SUBSTITUTE(SUBSTITUTE(Клиенты_исходные!D670," ",""),"-",""),"+",""),"(",""),")","")),5,3)&amp;"-"&amp;MID(IF(LEFT(SUBSTITUTE(SUBSTITUTE(SUBSTITUTE(SUBSTITUTE(SUBSTITUTE(Клиенты_исходные!D670," ",""),"-",""),"+",""),"(",""),")",""))="8","7"&amp;MID(SUBSTITUTE(SUBSTITUTE(SUBSTITUTE(SUBSTITUTE(SUBSTITUTE(Клиенты_исходные!D670," ",""),"-",""),"+",""),"(",""),")",""),2,10),SUBSTITUTE(SUBSTITUTE(SUBSTITUTE(SUBSTITUTE(SUBSTITUTE(Клиенты_исходные!D670," ",""),"-",""),"+",""),"(",""),")","")),8,2)&amp;"-"&amp;MID(IF(LEFT(SUBSTITUTE(SUBSTITUTE(SUBSTITUTE(SUBSTITUTE(SUBSTITUTE(Клиенты_исходные!D670," ",""),"-",""),"+",""),"(",""),")",""))="8","7"&amp;MID(SUBSTITUTE(SUBSTITUTE(SUBSTITUTE(SUBSTITUTE(SUBSTITUTE(Клиенты_исходные!D670," ",""),"-",""),"+",""),"(",""),")",""),2,10),SUBSTITUTE(SUBSTITUTE(SUBSTITUTE(SUBSTITUTE(SUBSTITUTE(Клиенты_исходные!D670," ",""),"-",""),"+",""),"(",""),")","")),10,2),IF(LEN(SUBSTITUTE(SUBSTITUTE(SUBSTITUTE(SUBSTITUTE(SUBSTITUTE(Клиенты_исходные!D670," ",""),"-",""),"+",""),"(",""),")",""))=10,"+7 ("&amp;MID(SUBSTITUTE(SUBSTITUTE(SUBSTITUTE(SUBSTITUTE(SUBSTITUTE(Клиенты_исходные!D670," ",""),"-",""),"+",""),"(",""),")",""),1,3)&amp;") "&amp;MID(SUBSTITUTE(SUBSTITUTE(SUBSTITUTE(SUBSTITUTE(SUBSTITUTE(Клиенты_исходные!D670," ",""),"-",""),"+",""),"(",""),")",""),4,3)&amp;"-"&amp;MID(SUBSTITUTE(SUBSTITUTE(SUBSTITUTE(SUBSTITUTE(SUBSTITUTE(Клиенты_исходные!D670," ",""),"-",""),"+",""),"(",""),")",""),6,2)&amp;"-"&amp;MID(SUBSTITUTE(SUBSTITUTE(SUBSTITUTE(SUBSTITUTE(SUBSTITUTE(Клиенты_исходные!D670," ",""),"-",""),"+",""),"(",""),")",""),8,2),Клиенты_исходные!D670)))</f>
        <v xml:space="preserve">+7 (903) 901-23-45</v>
      </c>
      <c r="E670" t="str">
        <f>IF(ISBLANK(Клиенты_исходные!E670),"",IF(ISNUMBER(FIND(".",MID(Клиенты_исходные!E670,FIND("@",Клиенты_исходные!E670)+1,255))),Клиенты_исходные!E670,IF(ISNUMBER(FIND("gmail",Клиенты_исходные!E670)),Клиенты_исходные!E670&amp;".com",Клиенты_исходные!E670&amp;".ru")))</f>
        <v>serova@gmail.com</v>
      </c>
      <c r="F670" t="str">
        <f>IFERROR(VLOOKUP(Клиенты_исходные!F670,Справочники!$J$2:$K$50,2,FALSE),Клиенты_исходные!F670)</f>
        <v>Элиста</v>
      </c>
      <c r="G670" s="8">
        <f>IFERROR(IF(ISNUMBER(FIND(".",Клиенты_исходные!G670)),DATE(RIGHT(Клиенты_исходные!G670,4),MID(Клиенты_исходные!G670,4,2),LEFT(Клиенты_исходные!G670,2)),DATE(LEFT(Клиенты_исходные!G670,4),MID(Клиенты_исходные!G670,6,2),RIGHT(Клиенты_исходные!G670,2))),Клиенты_исходные!G670)</f>
        <v>51332</v>
      </c>
      <c r="H670">
        <f t="shared" ca="1" si="76"/>
        <v>49</v>
      </c>
      <c r="I670" t="str">
        <f t="shared" si="77"/>
        <v>OK</v>
      </c>
      <c r="J670" t="str">
        <f t="shared" si="78"/>
        <v>OK</v>
      </c>
    </row>
    <row r="671">
      <c r="A671" t="str">
        <f>Клиенты_исходные!A671</f>
        <v>C0670</v>
      </c>
      <c r="B671" t="str">
        <f>PROPER(TRIM(Клиенты_исходные!B671))</f>
        <v xml:space="preserve">Чернов Денис Викторович</v>
      </c>
      <c r="C671" s="8">
        <f>IFERROR(IF(ISNUMBER(FIND(".",Клиенты_исходные!C671)),DATE(RIGHT(Клиенты_исходные!C671,4),MID(Клиенты_исходные!C671,4,2),LEFT(Клиенты_исходные!C671,2)),DATE(LEFT(Клиенты_исходные!C671,4),MID(Клиенты_исходные!C671,6,2),RIGHT(Клиенты_исходные!C671,2))),Клиенты_исходные!C671)</f>
        <v>31634</v>
      </c>
      <c r="D671" t="str">
        <f>IF(ISBLANK(Клиенты_исходные!D671),"",IF(LEN(SUBSTITUTE(SUBSTITUTE(SUBSTITUTE(SUBSTITUTE(SUBSTITUTE(Клиенты_исходные!D671," ",""),"-",""),"+",""),"(",""),")",""))=11,"+7 ("&amp;MID(IF(LEFT(SUBSTITUTE(SUBSTITUTE(SUBSTITUTE(SUBSTITUTE(SUBSTITUTE(Клиенты_исходные!D671," ",""),"-",""),"+",""),"(",""),")",""))="8","7"&amp;MID(SUBSTITUTE(SUBSTITUTE(SUBSTITUTE(SUBSTITUTE(SUBSTITUTE(Клиенты_исходные!D671," ",""),"-",""),"+",""),"(",""),")",""),2,10),SUBSTITUTE(SUBSTITUTE(SUBSTITUTE(SUBSTITUTE(SUBSTITUTE(Клиенты_исходные!D671," ",""),"-",""),"+",""),"(",""),")","")),2,3)&amp;") "&amp;MID(IF(LEFT(SUBSTITUTE(SUBSTITUTE(SUBSTITUTE(SUBSTITUTE(SUBSTITUTE(Клиенты_исходные!D671," ",""),"-",""),"+",""),"(",""),")",""))="8","7"&amp;MID(SUBSTITUTE(SUBSTITUTE(SUBSTITUTE(SUBSTITUTE(SUBSTITUTE(Клиенты_исходные!D671," ",""),"-",""),"+",""),"(",""),")",""),2,10),SUBSTITUTE(SUBSTITUTE(SUBSTITUTE(SUBSTITUTE(SUBSTITUTE(Клиенты_исходные!D671," ",""),"-",""),"+",""),"(",""),")","")),5,3)&amp;"-"&amp;MID(IF(LEFT(SUBSTITUTE(SUBSTITUTE(SUBSTITUTE(SUBSTITUTE(SUBSTITUTE(Клиенты_исходные!D671," ",""),"-",""),"+",""),"(",""),")",""))="8","7"&amp;MID(SUBSTITUTE(SUBSTITUTE(SUBSTITUTE(SUBSTITUTE(SUBSTITUTE(Клиенты_исходные!D671," ",""),"-",""),"+",""),"(",""),")",""),2,10),SUBSTITUTE(SUBSTITUTE(SUBSTITUTE(SUBSTITUTE(SUBSTITUTE(Клиенты_исходные!D671," ",""),"-",""),"+",""),"(",""),")","")),8,2)&amp;"-"&amp;MID(IF(LEFT(SUBSTITUTE(SUBSTITUTE(SUBSTITUTE(SUBSTITUTE(SUBSTITUTE(Клиенты_исходные!D671," ",""),"-",""),"+",""),"(",""),")",""))="8","7"&amp;MID(SUBSTITUTE(SUBSTITUTE(SUBSTITUTE(SUBSTITUTE(SUBSTITUTE(Клиенты_исходные!D671," ",""),"-",""),"+",""),"(",""),")",""),2,10),SUBSTITUTE(SUBSTITUTE(SUBSTITUTE(SUBSTITUTE(SUBSTITUTE(Клиенты_исходные!D671," ",""),"-",""),"+",""),"(",""),")","")),10,2),IF(LEN(SUBSTITUTE(SUBSTITUTE(SUBSTITUTE(SUBSTITUTE(SUBSTITUTE(Клиенты_исходные!D671," ",""),"-",""),"+",""),"(",""),")",""))=10,"+7 ("&amp;MID(SUBSTITUTE(SUBSTITUTE(SUBSTITUTE(SUBSTITUTE(SUBSTITUTE(Клиенты_исходные!D671," ",""),"-",""),"+",""),"(",""),")",""),1,3)&amp;") "&amp;MID(SUBSTITUTE(SUBSTITUTE(SUBSTITUTE(SUBSTITUTE(SUBSTITUTE(Клиенты_исходные!D671," ",""),"-",""),"+",""),"(",""),")",""),4,3)&amp;"-"&amp;MID(SUBSTITUTE(SUBSTITUTE(SUBSTITUTE(SUBSTITUTE(SUBSTITUTE(Клиенты_исходные!D671," ",""),"-",""),"+",""),"(",""),")",""),6,2)&amp;"-"&amp;MID(SUBSTITUTE(SUBSTITUTE(SUBSTITUTE(SUBSTITUTE(SUBSTITUTE(Клиенты_исходные!D671," ",""),"-",""),"+",""),"(",""),")",""),8,2),Клиенты_исходные!D671)))</f>
        <v xml:space="preserve">+7 (903) 901-23-45</v>
      </c>
      <c r="E671" t="str">
        <f>IF(ISBLANK(Клиенты_исходные!E671),"",IF(ISNUMBER(FIND(".",MID(Клиенты_исходные!E671,FIND("@",Клиенты_исходные!E671)+1,255))),Клиенты_исходные!E671,IF(ISNUMBER(FIND("gmail",Клиенты_исходные!E671)),Клиенты_исходные!E671&amp;".com",Клиенты_исходные!E671&amp;".ru")))</f>
        <v>chernov@mail.ru</v>
      </c>
      <c r="F671" t="str">
        <f>IFERROR(VLOOKUP(Клиенты_исходные!F671,Справочники!$J$2:$K$50,2,FALSE),Клиенты_исходные!F671)</f>
        <v>Орск</v>
      </c>
      <c r="G671" s="8">
        <f>IFERROR(IF(ISNUMBER(FIND(".",Клиенты_исходные!G671)),DATE(RIGHT(Клиенты_исходные!G671,4),MID(Клиенты_исходные!G671,4,2),LEFT(Клиенты_исходные!G671,2)),DATE(LEFT(Клиенты_исходные!G671,4),MID(Клиенты_исходные!G671,6,2),RIGHT(Клиенты_исходные!G671,2))),Клиенты_исходные!G671)</f>
        <v>51349</v>
      </c>
      <c r="H671">
        <f t="shared" ca="1" si="76"/>
        <v>40</v>
      </c>
      <c r="I671" t="str">
        <f t="shared" si="77"/>
        <v>OK</v>
      </c>
      <c r="J671" t="str">
        <f t="shared" si="78"/>
        <v>OK</v>
      </c>
    </row>
    <row r="672">
      <c r="A672" t="str">
        <f>Клиенты_исходные!A672</f>
        <v>C0671</v>
      </c>
      <c r="B672" t="str">
        <f>PROPER(TRIM(Клиенты_исходные!B672))</f>
        <v xml:space="preserve">Козлова Ольга Владимировна</v>
      </c>
      <c r="C672" s="8">
        <f>IFERROR(IF(ISNUMBER(FIND(".",Клиенты_исходные!C672)),DATE(RIGHT(Клиенты_исходные!C672,4),MID(Клиенты_исходные!C672,4,2),LEFT(Клиенты_исходные!C672,2)),DATE(LEFT(Клиенты_исходные!C672,4),MID(Клиенты_исходные!C672,6,2),RIGHT(Клиенты_исходные!C672,2))),Клиенты_исходные!C672)</f>
        <v>29309</v>
      </c>
      <c r="D672" t="str">
        <f>IF(ISBLANK(Клиенты_исходные!D672),"",IF(LEN(SUBSTITUTE(SUBSTITUTE(SUBSTITUTE(SUBSTITUTE(SUBSTITUTE(Клиенты_исходные!D672," ",""),"-",""),"+",""),"(",""),")",""))=11,"+7 ("&amp;MID(IF(LEFT(SUBSTITUTE(SUBSTITUTE(SUBSTITUTE(SUBSTITUTE(SUBSTITUTE(Клиенты_исходные!D672," ",""),"-",""),"+",""),"(",""),")",""))="8","7"&amp;MID(SUBSTITUTE(SUBSTITUTE(SUBSTITUTE(SUBSTITUTE(SUBSTITUTE(Клиенты_исходные!D672," ",""),"-",""),"+",""),"(",""),")",""),2,10),SUBSTITUTE(SUBSTITUTE(SUBSTITUTE(SUBSTITUTE(SUBSTITUTE(Клиенты_исходные!D672," ",""),"-",""),"+",""),"(",""),")","")),2,3)&amp;") "&amp;MID(IF(LEFT(SUBSTITUTE(SUBSTITUTE(SUBSTITUTE(SUBSTITUTE(SUBSTITUTE(Клиенты_исходные!D672," ",""),"-",""),"+",""),"(",""),")",""))="8","7"&amp;MID(SUBSTITUTE(SUBSTITUTE(SUBSTITUTE(SUBSTITUTE(SUBSTITUTE(Клиенты_исходные!D672," ",""),"-",""),"+",""),"(",""),")",""),2,10),SUBSTITUTE(SUBSTITUTE(SUBSTITUTE(SUBSTITUTE(SUBSTITUTE(Клиенты_исходные!D672," ",""),"-",""),"+",""),"(",""),")","")),5,3)&amp;"-"&amp;MID(IF(LEFT(SUBSTITUTE(SUBSTITUTE(SUBSTITUTE(SUBSTITUTE(SUBSTITUTE(Клиенты_исходные!D672," ",""),"-",""),"+",""),"(",""),")",""))="8","7"&amp;MID(SUBSTITUTE(SUBSTITUTE(SUBSTITUTE(SUBSTITUTE(SUBSTITUTE(Клиенты_исходные!D672," ",""),"-",""),"+",""),"(",""),")",""),2,10),SUBSTITUTE(SUBSTITUTE(SUBSTITUTE(SUBSTITUTE(SUBSTITUTE(Клиенты_исходные!D672," ",""),"-",""),"+",""),"(",""),")","")),8,2)&amp;"-"&amp;MID(IF(LEFT(SUBSTITUTE(SUBSTITUTE(SUBSTITUTE(SUBSTITUTE(SUBSTITUTE(Клиенты_исходные!D672," ",""),"-",""),"+",""),"(",""),")",""))="8","7"&amp;MID(SUBSTITUTE(SUBSTITUTE(SUBSTITUTE(SUBSTITUTE(SUBSTITUTE(Клиенты_исходные!D672," ",""),"-",""),"+",""),"(",""),")",""),2,10),SUBSTITUTE(SUBSTITUTE(SUBSTITUTE(SUBSTITUTE(SUBSTITUTE(Клиенты_исходные!D672," ",""),"-",""),"+",""),"(",""),")","")),10,2),IF(LEN(SUBSTITUTE(SUBSTITUTE(SUBSTITUTE(SUBSTITUTE(SUBSTITUTE(Клиенты_исходные!D672," ",""),"-",""),"+",""),"(",""),")",""))=10,"+7 ("&amp;MID(SUBSTITUTE(SUBSTITUTE(SUBSTITUTE(SUBSTITUTE(SUBSTITUTE(Клиенты_исходные!D672," ",""),"-",""),"+",""),"(",""),")",""),1,3)&amp;") "&amp;MID(SUBSTITUTE(SUBSTITUTE(SUBSTITUTE(SUBSTITUTE(SUBSTITUTE(Клиенты_исходные!D672," ",""),"-",""),"+",""),"(",""),")",""),4,3)&amp;"-"&amp;MID(SUBSTITUTE(SUBSTITUTE(SUBSTITUTE(SUBSTITUTE(SUBSTITUTE(Клиенты_исходные!D672," ",""),"-",""),"+",""),"(",""),")",""),6,2)&amp;"-"&amp;MID(SUBSTITUTE(SUBSTITUTE(SUBSTITUTE(SUBSTITUTE(SUBSTITUTE(Клиенты_исходные!D672," ",""),"-",""),"+",""),"(",""),")",""),8,2),Клиенты_исходные!D672)))</f>
        <v xml:space="preserve">+7 (903) 901-23-45</v>
      </c>
      <c r="E672" t="str">
        <f>IF(ISBLANK(Клиенты_исходные!E672),"",IF(ISNUMBER(FIND(".",MID(Клиенты_исходные!E672,FIND("@",Клиенты_исходные!E672)+1,255))),Клиенты_исходные!E672,IF(ISNUMBER(FIND("gmail",Клиенты_исходные!E672)),Клиенты_исходные!E672&amp;".com",Клиенты_исходные!E672&amp;".ru")))</f>
        <v>kozlova@yandex.ru</v>
      </c>
      <c r="F672" t="str">
        <f>IFERROR(VLOOKUP(Клиенты_исходные!F672,Справочники!$J$2:$K$50,2,FALSE),Клиенты_исходные!F672)</f>
        <v>Нижневартовск</v>
      </c>
      <c r="G672" s="8">
        <f>IFERROR(IF(ISNUMBER(FIND(".",Клиенты_исходные!G672)),DATE(RIGHT(Клиенты_исходные!G672,4),MID(Клиенты_исходные!G672,4,2),LEFT(Клиенты_исходные!G672,2)),DATE(LEFT(Клиенты_исходные!G672,4),MID(Клиенты_исходные!G672,6,2),RIGHT(Клиенты_исходные!G672,2))),Клиенты_исходные!G672)</f>
        <v>51358</v>
      </c>
      <c r="H672">
        <f t="shared" ca="1" si="76"/>
        <v>46</v>
      </c>
      <c r="I672" t="str">
        <f t="shared" si="77"/>
        <v>OK</v>
      </c>
      <c r="J672" t="str">
        <f t="shared" si="78"/>
        <v>OK</v>
      </c>
    </row>
    <row r="673">
      <c r="A673" t="str">
        <f>Клиенты_исходные!A673</f>
        <v>C0672</v>
      </c>
      <c r="B673" t="str">
        <f>PROPER(TRIM(Клиенты_исходные!B673))</f>
        <v xml:space="preserve">Орлов Илья Алексеевич</v>
      </c>
      <c r="C673" s="8">
        <f>IFERROR(IF(ISNUMBER(FIND(".",Клиенты_исходные!C673)),DATE(RIGHT(Клиенты_исходные!C673,4),MID(Клиенты_исходные!C673,4,2),LEFT(Клиенты_исходные!C673,2)),DATE(LEFT(Клиенты_исходные!C673,4),MID(Клиенты_исходные!C673,6,2),RIGHT(Клиенты_исходные!C673,2))),Клиенты_исходные!C673)</f>
        <v>26649</v>
      </c>
      <c r="D673" t="str">
        <f>IF(ISBLANK(Клиенты_исходные!D673),"",IF(LEN(SUBSTITUTE(SUBSTITUTE(SUBSTITUTE(SUBSTITUTE(SUBSTITUTE(Клиенты_исходные!D673," ",""),"-",""),"+",""),"(",""),")",""))=11,"+7 ("&amp;MID(IF(LEFT(SUBSTITUTE(SUBSTITUTE(SUBSTITUTE(SUBSTITUTE(SUBSTITUTE(Клиенты_исходные!D673," ",""),"-",""),"+",""),"(",""),")",""))="8","7"&amp;MID(SUBSTITUTE(SUBSTITUTE(SUBSTITUTE(SUBSTITUTE(SUBSTITUTE(Клиенты_исходные!D673," ",""),"-",""),"+",""),"(",""),")",""),2,10),SUBSTITUTE(SUBSTITUTE(SUBSTITUTE(SUBSTITUTE(SUBSTITUTE(Клиенты_исходные!D673," ",""),"-",""),"+",""),"(",""),")","")),2,3)&amp;") "&amp;MID(IF(LEFT(SUBSTITUTE(SUBSTITUTE(SUBSTITUTE(SUBSTITUTE(SUBSTITUTE(Клиенты_исходные!D673," ",""),"-",""),"+",""),"(",""),")",""))="8","7"&amp;MID(SUBSTITUTE(SUBSTITUTE(SUBSTITUTE(SUBSTITUTE(SUBSTITUTE(Клиенты_исходные!D673," ",""),"-",""),"+",""),"(",""),")",""),2,10),SUBSTITUTE(SUBSTITUTE(SUBSTITUTE(SUBSTITUTE(SUBSTITUTE(Клиенты_исходные!D673," ",""),"-",""),"+",""),"(",""),")","")),5,3)&amp;"-"&amp;MID(IF(LEFT(SUBSTITUTE(SUBSTITUTE(SUBSTITUTE(SUBSTITUTE(SUBSTITUTE(Клиенты_исходные!D673," ",""),"-",""),"+",""),"(",""),")",""))="8","7"&amp;MID(SUBSTITUTE(SUBSTITUTE(SUBSTITUTE(SUBSTITUTE(SUBSTITUTE(Клиенты_исходные!D673," ",""),"-",""),"+",""),"(",""),")",""),2,10),SUBSTITUTE(SUBSTITUTE(SUBSTITUTE(SUBSTITUTE(SUBSTITUTE(Клиенты_исходные!D673," ",""),"-",""),"+",""),"(",""),")","")),8,2)&amp;"-"&amp;MID(IF(LEFT(SUBSTITUTE(SUBSTITUTE(SUBSTITUTE(SUBSTITUTE(SUBSTITUTE(Клиенты_исходные!D673," ",""),"-",""),"+",""),"(",""),")",""))="8","7"&amp;MID(SUBSTITUTE(SUBSTITUTE(SUBSTITUTE(SUBSTITUTE(SUBSTITUTE(Клиенты_исходные!D673," ",""),"-",""),"+",""),"(",""),")",""),2,10),SUBSTITUTE(SUBSTITUTE(SUBSTITUTE(SUBSTITUTE(SUBSTITUTE(Клиенты_исходные!D673," ",""),"-",""),"+",""),"(",""),")","")),10,2),IF(LEN(SUBSTITUTE(SUBSTITUTE(SUBSTITUTE(SUBSTITUTE(SUBSTITUTE(Клиенты_исходные!D673," ",""),"-",""),"+",""),"(",""),")",""))=10,"+7 ("&amp;MID(SUBSTITUTE(SUBSTITUTE(SUBSTITUTE(SUBSTITUTE(SUBSTITUTE(Клиенты_исходные!D673," ",""),"-",""),"+",""),"(",""),")",""),1,3)&amp;") "&amp;MID(SUBSTITUTE(SUBSTITUTE(SUBSTITUTE(SUBSTITUTE(SUBSTITUTE(Клиенты_исходные!D673," ",""),"-",""),"+",""),"(",""),")",""),4,3)&amp;"-"&amp;MID(SUBSTITUTE(SUBSTITUTE(SUBSTITUTE(SUBSTITUTE(SUBSTITUTE(Клиенты_исходные!D673," ",""),"-",""),"+",""),"(",""),")",""),6,2)&amp;"-"&amp;MID(SUBSTITUTE(SUBSTITUTE(SUBSTITUTE(SUBSTITUTE(SUBSTITUTE(Клиенты_исходные!D673," ",""),"-",""),"+",""),"(",""),")",""),8,2),Клиенты_исходные!D673)))</f>
        <v xml:space="preserve">+7 (903) 012-34-56</v>
      </c>
      <c r="E673" t="str">
        <f>IF(ISBLANK(Клиенты_исходные!E673),"",IF(ISNUMBER(FIND(".",MID(Клиенты_исходные!E673,FIND("@",Клиенты_исходные!E673)+1,255))),Клиенты_исходные!E673,IF(ISNUMBER(FIND("gmail",Клиенты_исходные!E673)),Клиенты_исходные!E673&amp;".com",Клиенты_исходные!E673&amp;".ru")))</f>
        <v>orlov@gmail.com</v>
      </c>
      <c r="F673" t="str">
        <f>IFERROR(VLOOKUP(Клиенты_исходные!F673,Справочники!$J$2:$K$50,2,FALSE),Клиенты_исходные!F673)</f>
        <v>Новороссийск</v>
      </c>
      <c r="G673" s="8">
        <f>IFERROR(IF(ISNUMBER(FIND(".",Клиенты_исходные!G673)),DATE(RIGHT(Клиенты_исходные!G673,4),MID(Клиенты_исходные!G673,4,2),LEFT(Клиенты_исходные!G673,2)),DATE(LEFT(Клиенты_исходные!G673,4),MID(Клиенты_исходные!G673,6,2),RIGHT(Клиенты_исходные!G673,2))),Клиенты_исходные!G673)</f>
        <v>51358</v>
      </c>
      <c r="H673">
        <f t="shared" ca="1" si="76"/>
        <v>53</v>
      </c>
      <c r="I673" t="str">
        <f t="shared" si="77"/>
        <v>OK</v>
      </c>
      <c r="J673" t="str">
        <f t="shared" si="78"/>
        <v>OK</v>
      </c>
    </row>
    <row r="674">
      <c r="A674" t="str">
        <f>Клиенты_исходные!A674</f>
        <v>C0673</v>
      </c>
      <c r="B674" t="str">
        <f>PROPER(TRIM(Клиенты_исходные!B674))</f>
        <v xml:space="preserve">Панфилова Екатерина Сергеевна</v>
      </c>
      <c r="C674" s="8">
        <f>IFERROR(IF(ISNUMBER(FIND(".",Клиенты_исходные!C674)),DATE(RIGHT(Клиенты_исходные!C674,4),MID(Клиенты_исходные!C674,4,2),LEFT(Клиенты_исходные!C674,2)),DATE(LEFT(Клиенты_исходные!C674,4),MID(Клиенты_исходные!C674,6,2),RIGHT(Клиенты_исходные!C674,2))),Клиенты_исходные!C674)</f>
        <v>31240</v>
      </c>
      <c r="D674" t="str">
        <f>IF(ISBLANK(Клиенты_исходные!D674),"",IF(LEN(SUBSTITUTE(SUBSTITUTE(SUBSTITUTE(SUBSTITUTE(SUBSTITUTE(Клиенты_исходные!D674," ",""),"-",""),"+",""),"(",""),")",""))=11,"+7 ("&amp;MID(IF(LEFT(SUBSTITUTE(SUBSTITUTE(SUBSTITUTE(SUBSTITUTE(SUBSTITUTE(Клиенты_исходные!D674," ",""),"-",""),"+",""),"(",""),")",""))="8","7"&amp;MID(SUBSTITUTE(SUBSTITUTE(SUBSTITUTE(SUBSTITUTE(SUBSTITUTE(Клиенты_исходные!D674," ",""),"-",""),"+",""),"(",""),")",""),2,10),SUBSTITUTE(SUBSTITUTE(SUBSTITUTE(SUBSTITUTE(SUBSTITUTE(Клиенты_исходные!D674," ",""),"-",""),"+",""),"(",""),")","")),2,3)&amp;") "&amp;MID(IF(LEFT(SUBSTITUTE(SUBSTITUTE(SUBSTITUTE(SUBSTITUTE(SUBSTITUTE(Клиенты_исходные!D674," ",""),"-",""),"+",""),"(",""),")",""))="8","7"&amp;MID(SUBSTITUTE(SUBSTITUTE(SUBSTITUTE(SUBSTITUTE(SUBSTITUTE(Клиенты_исходные!D674," ",""),"-",""),"+",""),"(",""),")",""),2,10),SUBSTITUTE(SUBSTITUTE(SUBSTITUTE(SUBSTITUTE(SUBSTITUTE(Клиенты_исходные!D674," ",""),"-",""),"+",""),"(",""),")","")),5,3)&amp;"-"&amp;MID(IF(LEFT(SUBSTITUTE(SUBSTITUTE(SUBSTITUTE(SUBSTITUTE(SUBSTITUTE(Клиенты_исходные!D674," ",""),"-",""),"+",""),"(",""),")",""))="8","7"&amp;MID(SUBSTITUTE(SUBSTITUTE(SUBSTITUTE(SUBSTITUTE(SUBSTITUTE(Клиенты_исходные!D674," ",""),"-",""),"+",""),"(",""),")",""),2,10),SUBSTITUTE(SUBSTITUTE(SUBSTITUTE(SUBSTITUTE(SUBSTITUTE(Клиенты_исходные!D674," ",""),"-",""),"+",""),"(",""),")","")),8,2)&amp;"-"&amp;MID(IF(LEFT(SUBSTITUTE(SUBSTITUTE(SUBSTITUTE(SUBSTITUTE(SUBSTITUTE(Клиенты_исходные!D674," ",""),"-",""),"+",""),"(",""),")",""))="8","7"&amp;MID(SUBSTITUTE(SUBSTITUTE(SUBSTITUTE(SUBSTITUTE(SUBSTITUTE(Клиенты_исходные!D674," ",""),"-",""),"+",""),"(",""),")",""),2,10),SUBSTITUTE(SUBSTITUTE(SUBSTITUTE(SUBSTITUTE(SUBSTITUTE(Клиенты_исходные!D674," ",""),"-",""),"+",""),"(",""),")","")),10,2),IF(LEN(SUBSTITUTE(SUBSTITUTE(SUBSTITUTE(SUBSTITUTE(SUBSTITUTE(Клиенты_исходные!D674," ",""),"-",""),"+",""),"(",""),")",""))=10,"+7 ("&amp;MID(SUBSTITUTE(SUBSTITUTE(SUBSTITUTE(SUBSTITUTE(SUBSTITUTE(Клиенты_исходные!D674," ",""),"-",""),"+",""),"(",""),")",""),1,3)&amp;") "&amp;MID(SUBSTITUTE(SUBSTITUTE(SUBSTITUTE(SUBSTITUTE(SUBSTITUTE(Клиенты_исходные!D674," ",""),"-",""),"+",""),"(",""),")",""),4,3)&amp;"-"&amp;MID(SUBSTITUTE(SUBSTITUTE(SUBSTITUTE(SUBSTITUTE(SUBSTITUTE(Клиенты_исходные!D674," ",""),"-",""),"+",""),"(",""),")",""),6,2)&amp;"-"&amp;MID(SUBSTITUTE(SUBSTITUTE(SUBSTITUTE(SUBSTITUTE(SUBSTITUTE(Клиенты_исходные!D674," ",""),"-",""),"+",""),"(",""),")",""),8,2),Клиенты_исходные!D674)))</f>
        <v xml:space="preserve">+7 (903) 012-34-56</v>
      </c>
      <c r="E674" t="str">
        <f>IF(ISBLANK(Клиенты_исходные!E674),"",IF(ISNUMBER(FIND(".",MID(Клиенты_исходные!E674,FIND("@",Клиенты_исходные!E674)+1,255))),Клиенты_исходные!E674,IF(ISNUMBER(FIND("gmail",Клиенты_исходные!E674)),Клиенты_исходные!E674&amp;".com",Клиенты_исходные!E674&amp;".ru")))</f>
        <v>panfilova@mail.ru</v>
      </c>
      <c r="F674" t="str">
        <f>IFERROR(VLOOKUP(Клиенты_исходные!F674,Справочники!$J$2:$K$50,2,FALSE),Клиенты_исходные!F674)</f>
        <v>Химки</v>
      </c>
      <c r="G674" s="8">
        <f>IFERROR(IF(ISNUMBER(FIND(".",Клиенты_исходные!G674)),DATE(RIGHT(Клиенты_исходные!G674,4),MID(Клиенты_исходные!G674,4,2),LEFT(Клиенты_исходные!G674,2)),DATE(LEFT(Клиенты_исходные!G674,4),MID(Клиенты_исходные!G674,6,2),RIGHT(Клиенты_исходные!G674,2))),Клиенты_исходные!G674)</f>
        <v>51380</v>
      </c>
      <c r="H674">
        <f t="shared" ca="1" si="76"/>
        <v>41</v>
      </c>
      <c r="I674" t="str">
        <f t="shared" si="77"/>
        <v>OK</v>
      </c>
      <c r="J674" t="str">
        <f t="shared" si="78"/>
        <v>OK</v>
      </c>
    </row>
    <row r="675">
      <c r="A675" t="str">
        <f>Клиенты_исходные!A675</f>
        <v>C0674</v>
      </c>
      <c r="B675" t="str">
        <f>PROPER(TRIM(Клиенты_исходные!B675))</f>
        <v xml:space="preserve">Крутов Андрей Павлович</v>
      </c>
      <c r="C675" s="8">
        <f>IFERROR(IF(ISNUMBER(FIND(".",Клиенты_исходные!C675)),DATE(RIGHT(Клиенты_исходные!C675,4),MID(Клиенты_исходные!C675,4,2),LEFT(Клиенты_исходные!C675,2)),DATE(LEFT(Клиенты_исходные!C675,4),MID(Клиенты_исходные!C675,6,2),RIGHT(Клиенты_исходные!C675,2))),Клиенты_исходные!C675)</f>
        <v>33167</v>
      </c>
      <c r="D675" t="str">
        <f>IF(ISBLANK(Клиенты_исходные!D675),"",IF(LEN(SUBSTITUTE(SUBSTITUTE(SUBSTITUTE(SUBSTITUTE(SUBSTITUTE(Клиенты_исходные!D675," ",""),"-",""),"+",""),"(",""),")",""))=11,"+7 ("&amp;MID(IF(LEFT(SUBSTITUTE(SUBSTITUTE(SUBSTITUTE(SUBSTITUTE(SUBSTITUTE(Клиенты_исходные!D675," ",""),"-",""),"+",""),"(",""),")",""))="8","7"&amp;MID(SUBSTITUTE(SUBSTITUTE(SUBSTITUTE(SUBSTITUTE(SUBSTITUTE(Клиенты_исходные!D675," ",""),"-",""),"+",""),"(",""),")",""),2,10),SUBSTITUTE(SUBSTITUTE(SUBSTITUTE(SUBSTITUTE(SUBSTITUTE(Клиенты_исходные!D675," ",""),"-",""),"+",""),"(",""),")","")),2,3)&amp;") "&amp;MID(IF(LEFT(SUBSTITUTE(SUBSTITUTE(SUBSTITUTE(SUBSTITUTE(SUBSTITUTE(Клиенты_исходные!D675," ",""),"-",""),"+",""),"(",""),")",""))="8","7"&amp;MID(SUBSTITUTE(SUBSTITUTE(SUBSTITUTE(SUBSTITUTE(SUBSTITUTE(Клиенты_исходные!D675," ",""),"-",""),"+",""),"(",""),")",""),2,10),SUBSTITUTE(SUBSTITUTE(SUBSTITUTE(SUBSTITUTE(SUBSTITUTE(Клиенты_исходные!D675," ",""),"-",""),"+",""),"(",""),")","")),5,3)&amp;"-"&amp;MID(IF(LEFT(SUBSTITUTE(SUBSTITUTE(SUBSTITUTE(SUBSTITUTE(SUBSTITUTE(Клиенты_исходные!D675," ",""),"-",""),"+",""),"(",""),")",""))="8","7"&amp;MID(SUBSTITUTE(SUBSTITUTE(SUBSTITUTE(SUBSTITUTE(SUBSTITUTE(Клиенты_исходные!D675," ",""),"-",""),"+",""),"(",""),")",""),2,10),SUBSTITUTE(SUBSTITUTE(SUBSTITUTE(SUBSTITUTE(SUBSTITUTE(Клиенты_исходные!D675," ",""),"-",""),"+",""),"(",""),")","")),8,2)&amp;"-"&amp;MID(IF(LEFT(SUBSTITUTE(SUBSTITUTE(SUBSTITUTE(SUBSTITUTE(SUBSTITUTE(Клиенты_исходные!D675," ",""),"-",""),"+",""),"(",""),")",""))="8","7"&amp;MID(SUBSTITUTE(SUBSTITUTE(SUBSTITUTE(SUBSTITUTE(SUBSTITUTE(Клиенты_исходные!D675," ",""),"-",""),"+",""),"(",""),")",""),2,10),SUBSTITUTE(SUBSTITUTE(SUBSTITUTE(SUBSTITUTE(SUBSTITUTE(Клиенты_исходные!D675," ",""),"-",""),"+",""),"(",""),")","")),10,2),IF(LEN(SUBSTITUTE(SUBSTITUTE(SUBSTITUTE(SUBSTITUTE(SUBSTITUTE(Клиенты_исходные!D675," ",""),"-",""),"+",""),"(",""),")",""))=10,"+7 ("&amp;MID(SUBSTITUTE(SUBSTITUTE(SUBSTITUTE(SUBSTITUTE(SUBSTITUTE(Клиенты_исходные!D675," ",""),"-",""),"+",""),"(",""),")",""),1,3)&amp;") "&amp;MID(SUBSTITUTE(SUBSTITUTE(SUBSTITUTE(SUBSTITUTE(SUBSTITUTE(Клиенты_исходные!D675," ",""),"-",""),"+",""),"(",""),")",""),4,3)&amp;"-"&amp;MID(SUBSTITUTE(SUBSTITUTE(SUBSTITUTE(SUBSTITUTE(SUBSTITUTE(Клиенты_исходные!D675," ",""),"-",""),"+",""),"(",""),")",""),6,2)&amp;"-"&amp;MID(SUBSTITUTE(SUBSTITUTE(SUBSTITUTE(SUBSTITUTE(SUBSTITUTE(Клиенты_исходные!D675," ",""),"-",""),"+",""),"(",""),")",""),8,2),Клиенты_исходные!D675)))</f>
        <v xml:space="preserve">+7 (903) 012-34-56</v>
      </c>
      <c r="E675" t="str">
        <f>IF(ISBLANK(Клиенты_исходные!E675),"",IF(ISNUMBER(FIND(".",MID(Клиенты_исходные!E675,FIND("@",Клиенты_исходные!E675)+1,255))),Клиенты_исходные!E675,IF(ISNUMBER(FIND("gmail",Клиенты_исходные!E675)),Клиенты_исходные!E675&amp;".com",Клиенты_исходные!E675&amp;".ru")))</f>
        <v>krutov@yandex.ru</v>
      </c>
      <c r="F675" t="str">
        <f>IFERROR(VLOOKUP(Клиенты_исходные!F675,Справочники!$J$2:$K$50,2,FALSE),Клиенты_исходные!F675)</f>
        <v>Подольск</v>
      </c>
      <c r="G675" s="8">
        <f>IFERROR(IF(ISNUMBER(FIND(".",Клиенты_исходные!G675)),DATE(RIGHT(Клиенты_исходные!G675,4),MID(Клиенты_исходные!G675,4,2),LEFT(Клиенты_исходные!G675,2)),DATE(LEFT(Клиенты_исходные!G675,4),MID(Клиенты_исходные!G675,6,2),RIGHT(Клиенты_исходные!G675,2))),Клиенты_исходные!G675)</f>
        <v>51394</v>
      </c>
      <c r="H675">
        <f t="shared" ca="1" si="76"/>
        <v>35</v>
      </c>
      <c r="I675" t="str">
        <f t="shared" si="77"/>
        <v>OK</v>
      </c>
      <c r="J675" t="str">
        <f t="shared" si="78"/>
        <v>OK</v>
      </c>
    </row>
    <row r="676">
      <c r="A676" t="str">
        <f>Клиенты_исходные!A676</f>
        <v>C0675</v>
      </c>
      <c r="B676" t="str">
        <f>PROPER(TRIM(Клиенты_исходные!B676))</f>
        <v xml:space="preserve">Силина Мария Олеговна</v>
      </c>
      <c r="C676" s="8">
        <f>IFERROR(IF(ISNUMBER(FIND(".",Клиенты_исходные!C676)),DATE(RIGHT(Клиенты_исходные!C676,4),MID(Клиенты_исходные!C676,4,2),LEFT(Клиенты_исходные!C676,2)),DATE(LEFT(Клиенты_исходные!C676,4),MID(Клиенты_исходные!C676,6,2),RIGHT(Клиенты_исходные!C676,2))),Клиенты_исходные!C676)</f>
        <v>28649</v>
      </c>
      <c r="D676" t="str">
        <f>IF(ISBLANK(Клиенты_исходные!D676),"",IF(LEN(SUBSTITUTE(SUBSTITUTE(SUBSTITUTE(SUBSTITUTE(SUBSTITUTE(Клиенты_исходные!D676," ",""),"-",""),"+",""),"(",""),")",""))=11,"+7 ("&amp;MID(IF(LEFT(SUBSTITUTE(SUBSTITUTE(SUBSTITUTE(SUBSTITUTE(SUBSTITUTE(Клиенты_исходные!D676," ",""),"-",""),"+",""),"(",""),")",""))="8","7"&amp;MID(SUBSTITUTE(SUBSTITUTE(SUBSTITUTE(SUBSTITUTE(SUBSTITUTE(Клиенты_исходные!D676," ",""),"-",""),"+",""),"(",""),")",""),2,10),SUBSTITUTE(SUBSTITUTE(SUBSTITUTE(SUBSTITUTE(SUBSTITUTE(Клиенты_исходные!D676," ",""),"-",""),"+",""),"(",""),")","")),2,3)&amp;") "&amp;MID(IF(LEFT(SUBSTITUTE(SUBSTITUTE(SUBSTITUTE(SUBSTITUTE(SUBSTITUTE(Клиенты_исходные!D676," ",""),"-",""),"+",""),"(",""),")",""))="8","7"&amp;MID(SUBSTITUTE(SUBSTITUTE(SUBSTITUTE(SUBSTITUTE(SUBSTITUTE(Клиенты_исходные!D676," ",""),"-",""),"+",""),"(",""),")",""),2,10),SUBSTITUTE(SUBSTITUTE(SUBSTITUTE(SUBSTITUTE(SUBSTITUTE(Клиенты_исходные!D676," ",""),"-",""),"+",""),"(",""),")","")),5,3)&amp;"-"&amp;MID(IF(LEFT(SUBSTITUTE(SUBSTITUTE(SUBSTITUTE(SUBSTITUTE(SUBSTITUTE(Клиенты_исходные!D676," ",""),"-",""),"+",""),"(",""),")",""))="8","7"&amp;MID(SUBSTITUTE(SUBSTITUTE(SUBSTITUTE(SUBSTITUTE(SUBSTITUTE(Клиенты_исходные!D676," ",""),"-",""),"+",""),"(",""),")",""),2,10),SUBSTITUTE(SUBSTITUTE(SUBSTITUTE(SUBSTITUTE(SUBSTITUTE(Клиенты_исходные!D676," ",""),"-",""),"+",""),"(",""),")","")),8,2)&amp;"-"&amp;MID(IF(LEFT(SUBSTITUTE(SUBSTITUTE(SUBSTITUTE(SUBSTITUTE(SUBSTITUTE(Клиенты_исходные!D676," ",""),"-",""),"+",""),"(",""),")",""))="8","7"&amp;MID(SUBSTITUTE(SUBSTITUTE(SUBSTITUTE(SUBSTITUTE(SUBSTITUTE(Клиенты_исходные!D676," ",""),"-",""),"+",""),"(",""),")",""),2,10),SUBSTITUTE(SUBSTITUTE(SUBSTITUTE(SUBSTITUTE(SUBSTITUTE(Клиенты_исходные!D676," ",""),"-",""),"+",""),"(",""),")","")),10,2),IF(LEN(SUBSTITUTE(SUBSTITUTE(SUBSTITUTE(SUBSTITUTE(SUBSTITUTE(Клиенты_исходные!D676," ",""),"-",""),"+",""),"(",""),")",""))=10,"+7 ("&amp;MID(SUBSTITUTE(SUBSTITUTE(SUBSTITUTE(SUBSTITUTE(SUBSTITUTE(Клиенты_исходные!D676," ",""),"-",""),"+",""),"(",""),")",""),1,3)&amp;") "&amp;MID(SUBSTITUTE(SUBSTITUTE(SUBSTITUTE(SUBSTITUTE(SUBSTITUTE(Клиенты_исходные!D676," ",""),"-",""),"+",""),"(",""),")",""),4,3)&amp;"-"&amp;MID(SUBSTITUTE(SUBSTITUTE(SUBSTITUTE(SUBSTITUTE(SUBSTITUTE(Клиенты_исходные!D676," ",""),"-",""),"+",""),"(",""),")",""),6,2)&amp;"-"&amp;MID(SUBSTITUTE(SUBSTITUTE(SUBSTITUTE(SUBSTITUTE(SUBSTITUTE(Клиенты_исходные!D676," ",""),"-",""),"+",""),"(",""),")",""),8,2),Клиенты_исходные!D676)))</f>
        <v xml:space="preserve">+7 (903) 123-45-67</v>
      </c>
      <c r="E676" t="str">
        <f>IF(ISBLANK(Клиенты_исходные!E676),"",IF(ISNUMBER(FIND(".",MID(Клиенты_исходные!E676,FIND("@",Клиенты_исходные!E676)+1,255))),Клиенты_исходные!E676,IF(ISNUMBER(FIND("gmail",Клиенты_исходные!E676)),Клиенты_исходные!E676&amp;".com",Клиенты_исходные!E676&amp;".ru")))</f>
        <v>silina@gmail.com</v>
      </c>
      <c r="F676" t="str">
        <f>IFERROR(VLOOKUP(Клиенты_исходные!F676,Справочники!$J$2:$K$50,2,FALSE),Клиенты_исходные!F676)</f>
        <v>Балашиха</v>
      </c>
      <c r="G676" s="8">
        <f>IFERROR(IF(ISNUMBER(FIND(".",Клиенты_исходные!G676)),DATE(RIGHT(Клиенты_исходные!G676,4),MID(Клиенты_исходные!G676,4,2),LEFT(Клиенты_исходные!G676,2)),DATE(LEFT(Клиенты_исходные!G676,4),MID(Клиенты_исходные!G676,6,2),RIGHT(Клиенты_исходные!G676,2))),Клиенты_исходные!G676)</f>
        <v>51394</v>
      </c>
      <c r="H676">
        <f t="shared" ref="H676:H739" ca="1" si="79">DATEDIF(C676,TODAY(),"Y")</f>
        <v>48</v>
      </c>
      <c r="I676" t="str">
        <f t="shared" ref="I676:I739" si="80">IF(OR(H676&lt;18,H676&gt;80),"Ошибка даты рождения","OK")</f>
        <v>OK</v>
      </c>
      <c r="J676" t="str">
        <f t="shared" ref="J676:J739" si="81">IF(AND(ISNUMBER(FIND("@",E676)),ISNUMBER(FIND(".",MID(E676,FIND("@",E676)+1,255)))),"OK","Ошибка Email")</f>
        <v>OK</v>
      </c>
    </row>
    <row r="677">
      <c r="A677" t="str">
        <f>Клиенты_исходные!A677</f>
        <v>C0676</v>
      </c>
      <c r="B677" t="str">
        <f>PROPER(TRIM(Клиенты_исходные!B677))</f>
        <v xml:space="preserve">Дорохов Денис Сергеевич</v>
      </c>
      <c r="C677" s="8">
        <f>IFERROR(IF(ISNUMBER(FIND(".",Клиенты_исходные!C677)),DATE(RIGHT(Клиенты_исходные!C677,4),MID(Клиенты_исходные!C677,4,2),LEFT(Клиенты_исходные!C677,2)),DATE(LEFT(Клиенты_исходные!C677,4),MID(Клиенты_исходные!C677,6,2),RIGHT(Клиенты_исходные!C677,2))),Клиенты_исходные!C677)</f>
        <v>30333</v>
      </c>
      <c r="D677" t="str">
        <f>IF(ISBLANK(Клиенты_исходные!D677),"",IF(LEN(SUBSTITUTE(SUBSTITUTE(SUBSTITUTE(SUBSTITUTE(SUBSTITUTE(Клиенты_исходные!D677," ",""),"-",""),"+",""),"(",""),")",""))=11,"+7 ("&amp;MID(IF(LEFT(SUBSTITUTE(SUBSTITUTE(SUBSTITUTE(SUBSTITUTE(SUBSTITUTE(Клиенты_исходные!D677," ",""),"-",""),"+",""),"(",""),")",""))="8","7"&amp;MID(SUBSTITUTE(SUBSTITUTE(SUBSTITUTE(SUBSTITUTE(SUBSTITUTE(Клиенты_исходные!D677," ",""),"-",""),"+",""),"(",""),")",""),2,10),SUBSTITUTE(SUBSTITUTE(SUBSTITUTE(SUBSTITUTE(SUBSTITUTE(Клиенты_исходные!D677," ",""),"-",""),"+",""),"(",""),")","")),2,3)&amp;") "&amp;MID(IF(LEFT(SUBSTITUTE(SUBSTITUTE(SUBSTITUTE(SUBSTITUTE(SUBSTITUTE(Клиенты_исходные!D677," ",""),"-",""),"+",""),"(",""),")",""))="8","7"&amp;MID(SUBSTITUTE(SUBSTITUTE(SUBSTITUTE(SUBSTITUTE(SUBSTITUTE(Клиенты_исходные!D677," ",""),"-",""),"+",""),"(",""),")",""),2,10),SUBSTITUTE(SUBSTITUTE(SUBSTITUTE(SUBSTITUTE(SUBSTITUTE(Клиенты_исходные!D677," ",""),"-",""),"+",""),"(",""),")","")),5,3)&amp;"-"&amp;MID(IF(LEFT(SUBSTITUTE(SUBSTITUTE(SUBSTITUTE(SUBSTITUTE(SUBSTITUTE(Клиенты_исходные!D677," ",""),"-",""),"+",""),"(",""),")",""))="8","7"&amp;MID(SUBSTITUTE(SUBSTITUTE(SUBSTITUTE(SUBSTITUTE(SUBSTITUTE(Клиенты_исходные!D677," ",""),"-",""),"+",""),"(",""),")",""),2,10),SUBSTITUTE(SUBSTITUTE(SUBSTITUTE(SUBSTITUTE(SUBSTITUTE(Клиенты_исходные!D677," ",""),"-",""),"+",""),"(",""),")","")),8,2)&amp;"-"&amp;MID(IF(LEFT(SUBSTITUTE(SUBSTITUTE(SUBSTITUTE(SUBSTITUTE(SUBSTITUTE(Клиенты_исходные!D677," ",""),"-",""),"+",""),"(",""),")",""))="8","7"&amp;MID(SUBSTITUTE(SUBSTITUTE(SUBSTITUTE(SUBSTITUTE(SUBSTITUTE(Клиенты_исходные!D677," ",""),"-",""),"+",""),"(",""),")",""),2,10),SUBSTITUTE(SUBSTITUTE(SUBSTITUTE(SUBSTITUTE(SUBSTITUTE(Клиенты_исходные!D677," ",""),"-",""),"+",""),"(",""),")","")),10,2),IF(LEN(SUBSTITUTE(SUBSTITUTE(SUBSTITUTE(SUBSTITUTE(SUBSTITUTE(Клиенты_исходные!D677," ",""),"-",""),"+",""),"(",""),")",""))=10,"+7 ("&amp;MID(SUBSTITUTE(SUBSTITUTE(SUBSTITUTE(SUBSTITUTE(SUBSTITUTE(Клиенты_исходные!D677," ",""),"-",""),"+",""),"(",""),")",""),1,3)&amp;") "&amp;MID(SUBSTITUTE(SUBSTITUTE(SUBSTITUTE(SUBSTITUTE(SUBSTITUTE(Клиенты_исходные!D677," ",""),"-",""),"+",""),"(",""),")",""),4,3)&amp;"-"&amp;MID(SUBSTITUTE(SUBSTITUTE(SUBSTITUTE(SUBSTITUTE(SUBSTITUTE(Клиенты_исходные!D677," ",""),"-",""),"+",""),"(",""),")",""),6,2)&amp;"-"&amp;MID(SUBSTITUTE(SUBSTITUTE(SUBSTITUTE(SUBSTITUTE(SUBSTITUTE(Клиенты_исходные!D677," ",""),"-",""),"+",""),"(",""),")",""),8,2),Клиенты_исходные!D677)))</f>
        <v xml:space="preserve">+7 (903) 123-45-67</v>
      </c>
      <c r="E677" t="str">
        <f>IF(ISBLANK(Клиенты_исходные!E677),"",IF(ISNUMBER(FIND(".",MID(Клиенты_исходные!E677,FIND("@",Клиенты_исходные!E677)+1,255))),Клиенты_исходные!E677,IF(ISNUMBER(FIND("gmail",Клиенты_исходные!E677)),Клиенты_исходные!E677&amp;".com",Клиенты_исходные!E677&amp;".ru")))</f>
        <v>dorohov@mail.ru</v>
      </c>
      <c r="F677" t="str">
        <f>IFERROR(VLOOKUP(Клиенты_исходные!F677,Справочники!$J$2:$K$50,2,FALSE),Клиенты_исходные!F677)</f>
        <v>Сургут</v>
      </c>
      <c r="G677" s="8">
        <f>IFERROR(IF(ISNUMBER(FIND(".",Клиенты_исходные!G677)),DATE(RIGHT(Клиенты_исходные!G677,4),MID(Клиенты_исходные!G677,4,2),LEFT(Клиенты_исходные!G677,2)),DATE(LEFT(Клиенты_исходные!G677,4),MID(Клиенты_исходные!G677,6,2),RIGHT(Клиенты_исходные!G677,2))),Клиенты_исходные!G677)</f>
        <v>51410</v>
      </c>
      <c r="H677">
        <f t="shared" ca="1" si="79"/>
        <v>43</v>
      </c>
      <c r="I677" t="str">
        <f t="shared" si="80"/>
        <v>OK</v>
      </c>
      <c r="J677" t="str">
        <f t="shared" si="81"/>
        <v>OK</v>
      </c>
    </row>
    <row r="678">
      <c r="A678" t="str">
        <f>Клиенты_исходные!A678</f>
        <v>C0677</v>
      </c>
      <c r="B678" t="str">
        <f>PROPER(TRIM(Клиенты_исходные!B678))</f>
        <v xml:space="preserve">Семенова Ольга Павловна</v>
      </c>
      <c r="C678" s="8">
        <f>IFERROR(IF(ISNUMBER(FIND(".",Клиенты_исходные!C678)),DATE(RIGHT(Клиенты_исходные!C678,4),MID(Клиенты_исходные!C678,4,2),LEFT(Клиенты_исходные!C678,2)),DATE(LEFT(Клиенты_исходные!C678,4),MID(Клиенты_исходные!C678,6,2),RIGHT(Клиенты_исходные!C678,2))),Клиенты_исходные!C678)</f>
        <v>31872</v>
      </c>
      <c r="D678" t="str">
        <f>IF(ISBLANK(Клиенты_исходные!D678),"",IF(LEN(SUBSTITUTE(SUBSTITUTE(SUBSTITUTE(SUBSTITUTE(SUBSTITUTE(Клиенты_исходные!D678," ",""),"-",""),"+",""),"(",""),")",""))=11,"+7 ("&amp;MID(IF(LEFT(SUBSTITUTE(SUBSTITUTE(SUBSTITUTE(SUBSTITUTE(SUBSTITUTE(Клиенты_исходные!D678," ",""),"-",""),"+",""),"(",""),")",""))="8","7"&amp;MID(SUBSTITUTE(SUBSTITUTE(SUBSTITUTE(SUBSTITUTE(SUBSTITUTE(Клиенты_исходные!D678," ",""),"-",""),"+",""),"(",""),")",""),2,10),SUBSTITUTE(SUBSTITUTE(SUBSTITUTE(SUBSTITUTE(SUBSTITUTE(Клиенты_исходные!D678," ",""),"-",""),"+",""),"(",""),")","")),2,3)&amp;") "&amp;MID(IF(LEFT(SUBSTITUTE(SUBSTITUTE(SUBSTITUTE(SUBSTITUTE(SUBSTITUTE(Клиенты_исходные!D678," ",""),"-",""),"+",""),"(",""),")",""))="8","7"&amp;MID(SUBSTITUTE(SUBSTITUTE(SUBSTITUTE(SUBSTITUTE(SUBSTITUTE(Клиенты_исходные!D678," ",""),"-",""),"+",""),"(",""),")",""),2,10),SUBSTITUTE(SUBSTITUTE(SUBSTITUTE(SUBSTITUTE(SUBSTITUTE(Клиенты_исходные!D678," ",""),"-",""),"+",""),"(",""),")","")),5,3)&amp;"-"&amp;MID(IF(LEFT(SUBSTITUTE(SUBSTITUTE(SUBSTITUTE(SUBSTITUTE(SUBSTITUTE(Клиенты_исходные!D678," ",""),"-",""),"+",""),"(",""),")",""))="8","7"&amp;MID(SUBSTITUTE(SUBSTITUTE(SUBSTITUTE(SUBSTITUTE(SUBSTITUTE(Клиенты_исходные!D678," ",""),"-",""),"+",""),"(",""),")",""),2,10),SUBSTITUTE(SUBSTITUTE(SUBSTITUTE(SUBSTITUTE(SUBSTITUTE(Клиенты_исходные!D678," ",""),"-",""),"+",""),"(",""),")","")),8,2)&amp;"-"&amp;MID(IF(LEFT(SUBSTITUTE(SUBSTITUTE(SUBSTITUTE(SUBSTITUTE(SUBSTITUTE(Клиенты_исходные!D678," ",""),"-",""),"+",""),"(",""),")",""))="8","7"&amp;MID(SUBSTITUTE(SUBSTITUTE(SUBSTITUTE(SUBSTITUTE(SUBSTITUTE(Клиенты_исходные!D678," ",""),"-",""),"+",""),"(",""),")",""),2,10),SUBSTITUTE(SUBSTITUTE(SUBSTITUTE(SUBSTITUTE(SUBSTITUTE(Клиенты_исходные!D678," ",""),"-",""),"+",""),"(",""),")","")),10,2),IF(LEN(SUBSTITUTE(SUBSTITUTE(SUBSTITUTE(SUBSTITUTE(SUBSTITUTE(Клиенты_исходные!D678," ",""),"-",""),"+",""),"(",""),")",""))=10,"+7 ("&amp;MID(SUBSTITUTE(SUBSTITUTE(SUBSTITUTE(SUBSTITUTE(SUBSTITUTE(Клиенты_исходные!D678," ",""),"-",""),"+",""),"(",""),")",""),1,3)&amp;") "&amp;MID(SUBSTITUTE(SUBSTITUTE(SUBSTITUTE(SUBSTITUTE(SUBSTITUTE(Клиенты_исходные!D678," ",""),"-",""),"+",""),"(",""),")",""),4,3)&amp;"-"&amp;MID(SUBSTITUTE(SUBSTITUTE(SUBSTITUTE(SUBSTITUTE(SUBSTITUTE(Клиенты_исходные!D678," ",""),"-",""),"+",""),"(",""),")",""),6,2)&amp;"-"&amp;MID(SUBSTITUTE(SUBSTITUTE(SUBSTITUTE(SUBSTITUTE(SUBSTITUTE(Клиенты_исходные!D678," ",""),"-",""),"+",""),"(",""),")",""),8,2),Клиенты_исходные!D678)))</f>
        <v xml:space="preserve">+7 (903) 123-45-67</v>
      </c>
      <c r="E678" t="str">
        <f>IF(ISBLANK(Клиенты_исходные!E678),"",IF(ISNUMBER(FIND(".",MID(Клиенты_исходные!E678,FIND("@",Клиенты_исходные!E678)+1,255))),Клиенты_исходные!E678,IF(ISNUMBER(FIND("gmail",Клиенты_исходные!E678)),Клиенты_исходные!E678&amp;".com",Клиенты_исходные!E678&amp;".ru")))</f>
        <v>semenova@yandex.ru</v>
      </c>
      <c r="F678" t="str">
        <f>IFERROR(VLOOKUP(Клиенты_исходные!F678,Справочники!$J$2:$K$50,2,FALSE),Клиенты_исходные!F678)</f>
        <v>Армавир</v>
      </c>
      <c r="G678" s="8">
        <f>IFERROR(IF(ISNUMBER(FIND(".",Клиенты_исходные!G678)),DATE(RIGHT(Клиенты_исходные!G678,4),MID(Клиенты_исходные!G678,4,2),LEFT(Клиенты_исходные!G678,2)),DATE(LEFT(Клиенты_исходные!G678,4),MID(Клиенты_исходные!G678,6,2),RIGHT(Клиенты_исходные!G678,2))),Клиенты_исходные!G678)</f>
        <v>51419</v>
      </c>
      <c r="H678">
        <f t="shared" ca="1" si="79"/>
        <v>39</v>
      </c>
      <c r="I678" t="str">
        <f t="shared" si="80"/>
        <v>OK</v>
      </c>
      <c r="J678" t="str">
        <f t="shared" si="81"/>
        <v>OK</v>
      </c>
    </row>
    <row r="679">
      <c r="A679" t="str">
        <f>Клиенты_исходные!A679</f>
        <v>C0678</v>
      </c>
      <c r="B679" t="str">
        <f>PROPER(TRIM(Клиенты_исходные!B679))</f>
        <v xml:space="preserve">Потапов Илья Викторович</v>
      </c>
      <c r="C679" s="8">
        <f>IFERROR(IF(ISNUMBER(FIND(".",Клиенты_исходные!C679)),DATE(RIGHT(Клиенты_исходные!C679,4),MID(Клиенты_исходные!C679,4,2),LEFT(Клиенты_исходные!C679,2)),DATE(LEFT(Клиенты_исходные!C679,4),MID(Клиенты_исходные!C679,6,2),RIGHT(Клиенты_исходные!C679,2))),Клиенты_исходные!C679)</f>
        <v>27232</v>
      </c>
      <c r="D679" t="str">
        <f>IF(ISBLANK(Клиенты_исходные!D679),"",IF(LEN(SUBSTITUTE(SUBSTITUTE(SUBSTITUTE(SUBSTITUTE(SUBSTITUTE(Клиенты_исходные!D679," ",""),"-",""),"+",""),"(",""),")",""))=11,"+7 ("&amp;MID(IF(LEFT(SUBSTITUTE(SUBSTITUTE(SUBSTITUTE(SUBSTITUTE(SUBSTITUTE(Клиенты_исходные!D679," ",""),"-",""),"+",""),"(",""),")",""))="8","7"&amp;MID(SUBSTITUTE(SUBSTITUTE(SUBSTITUTE(SUBSTITUTE(SUBSTITUTE(Клиенты_исходные!D679," ",""),"-",""),"+",""),"(",""),")",""),2,10),SUBSTITUTE(SUBSTITUTE(SUBSTITUTE(SUBSTITUTE(SUBSTITUTE(Клиенты_исходные!D679," ",""),"-",""),"+",""),"(",""),")","")),2,3)&amp;") "&amp;MID(IF(LEFT(SUBSTITUTE(SUBSTITUTE(SUBSTITUTE(SUBSTITUTE(SUBSTITUTE(Клиенты_исходные!D679," ",""),"-",""),"+",""),"(",""),")",""))="8","7"&amp;MID(SUBSTITUTE(SUBSTITUTE(SUBSTITUTE(SUBSTITUTE(SUBSTITUTE(Клиенты_исходные!D679," ",""),"-",""),"+",""),"(",""),")",""),2,10),SUBSTITUTE(SUBSTITUTE(SUBSTITUTE(SUBSTITUTE(SUBSTITUTE(Клиенты_исходные!D679," ",""),"-",""),"+",""),"(",""),")","")),5,3)&amp;"-"&amp;MID(IF(LEFT(SUBSTITUTE(SUBSTITUTE(SUBSTITUTE(SUBSTITUTE(SUBSTITUTE(Клиенты_исходные!D679," ",""),"-",""),"+",""),"(",""),")",""))="8","7"&amp;MID(SUBSTITUTE(SUBSTITUTE(SUBSTITUTE(SUBSTITUTE(SUBSTITUTE(Клиенты_исходные!D679," ",""),"-",""),"+",""),"(",""),")",""),2,10),SUBSTITUTE(SUBSTITUTE(SUBSTITUTE(SUBSTITUTE(SUBSTITUTE(Клиенты_исходные!D679," ",""),"-",""),"+",""),"(",""),")","")),8,2)&amp;"-"&amp;MID(IF(LEFT(SUBSTITUTE(SUBSTITUTE(SUBSTITUTE(SUBSTITUTE(SUBSTITUTE(Клиенты_исходные!D679," ",""),"-",""),"+",""),"(",""),")",""))="8","7"&amp;MID(SUBSTITUTE(SUBSTITUTE(SUBSTITUTE(SUBSTITUTE(SUBSTITUTE(Клиенты_исходные!D679," ",""),"-",""),"+",""),"(",""),")",""),2,10),SUBSTITUTE(SUBSTITUTE(SUBSTITUTE(SUBSTITUTE(SUBSTITUTE(Клиенты_исходные!D679," ",""),"-",""),"+",""),"(",""),")","")),10,2),IF(LEN(SUBSTITUTE(SUBSTITUTE(SUBSTITUTE(SUBSTITUTE(SUBSTITUTE(Клиенты_исходные!D679," ",""),"-",""),"+",""),"(",""),")",""))=10,"+7 ("&amp;MID(SUBSTITUTE(SUBSTITUTE(SUBSTITUTE(SUBSTITUTE(SUBSTITUTE(Клиенты_исходные!D679," ",""),"-",""),"+",""),"(",""),")",""),1,3)&amp;") "&amp;MID(SUBSTITUTE(SUBSTITUTE(SUBSTITUTE(SUBSTITUTE(SUBSTITUTE(Клиенты_исходные!D679," ",""),"-",""),"+",""),"(",""),")",""),4,3)&amp;"-"&amp;MID(SUBSTITUTE(SUBSTITUTE(SUBSTITUTE(SUBSTITUTE(SUBSTITUTE(Клиенты_исходные!D679," ",""),"-",""),"+",""),"(",""),")",""),6,2)&amp;"-"&amp;MID(SUBSTITUTE(SUBSTITUTE(SUBSTITUTE(SUBSTITUTE(SUBSTITUTE(Клиенты_исходные!D679," ",""),"-",""),"+",""),"(",""),")",""),8,2),Клиенты_исходные!D679)))</f>
        <v xml:space="preserve">+7 (903) 234-56-78</v>
      </c>
      <c r="E679" t="str">
        <f>IF(ISBLANK(Клиенты_исходные!E679),"",IF(ISNUMBER(FIND(".",MID(Клиенты_исходные!E679,FIND("@",Клиенты_исходные!E679)+1,255))),Клиенты_исходные!E679,IF(ISNUMBER(FIND("gmail",Клиенты_исходные!E679)),Клиенты_исходные!E679&amp;".com",Клиенты_исходные!E679&amp;".ru")))</f>
        <v>potapov@gmail.com</v>
      </c>
      <c r="F679" t="str">
        <f>IFERROR(VLOOKUP(Клиенты_исходные!F679,Справочники!$J$2:$K$50,2,FALSE),Клиенты_исходные!F679)</f>
        <v>Волжский</v>
      </c>
      <c r="G679" s="8">
        <f>IFERROR(IF(ISNUMBER(FIND(".",Клиенты_исходные!G679)),DATE(RIGHT(Клиенты_исходные!G679,4),MID(Клиенты_исходные!G679,4,2),LEFT(Клиенты_исходные!G679,2)),DATE(LEFT(Клиенты_исходные!G679,4),MID(Клиенты_исходные!G679,6,2),RIGHT(Клиенты_исходные!G679,2))),Клиенты_исходные!G679)</f>
        <v>51419</v>
      </c>
      <c r="H679">
        <f t="shared" ca="1" si="79"/>
        <v>52</v>
      </c>
      <c r="I679" t="str">
        <f t="shared" si="80"/>
        <v>OK</v>
      </c>
      <c r="J679" t="str">
        <f t="shared" si="81"/>
        <v>OK</v>
      </c>
    </row>
    <row r="680">
      <c r="A680" t="str">
        <f>Клиенты_исходные!A680</f>
        <v>C0679</v>
      </c>
      <c r="B680" t="str">
        <f>PROPER(TRIM(Клиенты_исходные!B680))</f>
        <v xml:space="preserve">Кудряшова Екатерина Алексеевна</v>
      </c>
      <c r="C680" s="8">
        <f>IFERROR(IF(ISNUMBER(FIND(".",Клиенты_исходные!C680)),DATE(RIGHT(Клиенты_исходные!C680,4),MID(Клиенты_исходные!C680,4,2),LEFT(Клиенты_исходные!C680,2)),DATE(LEFT(Клиенты_исходные!C680,4),MID(Клиенты_исходные!C680,6,2),RIGHT(Клиенты_исходные!C680,2))),Клиенты_исходные!C680)</f>
        <v>30238</v>
      </c>
      <c r="D680" t="str">
        <f>IF(ISBLANK(Клиенты_исходные!D680),"",IF(LEN(SUBSTITUTE(SUBSTITUTE(SUBSTITUTE(SUBSTITUTE(SUBSTITUTE(Клиенты_исходные!D680," ",""),"-",""),"+",""),"(",""),")",""))=11,"+7 ("&amp;MID(IF(LEFT(SUBSTITUTE(SUBSTITUTE(SUBSTITUTE(SUBSTITUTE(SUBSTITUTE(Клиенты_исходные!D680," ",""),"-",""),"+",""),"(",""),")",""))="8","7"&amp;MID(SUBSTITUTE(SUBSTITUTE(SUBSTITUTE(SUBSTITUTE(SUBSTITUTE(Клиенты_исходные!D680," ",""),"-",""),"+",""),"(",""),")",""),2,10),SUBSTITUTE(SUBSTITUTE(SUBSTITUTE(SUBSTITUTE(SUBSTITUTE(Клиенты_исходные!D680," ",""),"-",""),"+",""),"(",""),")","")),2,3)&amp;") "&amp;MID(IF(LEFT(SUBSTITUTE(SUBSTITUTE(SUBSTITUTE(SUBSTITUTE(SUBSTITUTE(Клиенты_исходные!D680," ",""),"-",""),"+",""),"(",""),")",""))="8","7"&amp;MID(SUBSTITUTE(SUBSTITUTE(SUBSTITUTE(SUBSTITUTE(SUBSTITUTE(Клиенты_исходные!D680," ",""),"-",""),"+",""),"(",""),")",""),2,10),SUBSTITUTE(SUBSTITUTE(SUBSTITUTE(SUBSTITUTE(SUBSTITUTE(Клиенты_исходные!D680," ",""),"-",""),"+",""),"(",""),")","")),5,3)&amp;"-"&amp;MID(IF(LEFT(SUBSTITUTE(SUBSTITUTE(SUBSTITUTE(SUBSTITUTE(SUBSTITUTE(Клиенты_исходные!D680," ",""),"-",""),"+",""),"(",""),")",""))="8","7"&amp;MID(SUBSTITUTE(SUBSTITUTE(SUBSTITUTE(SUBSTITUTE(SUBSTITUTE(Клиенты_исходные!D680," ",""),"-",""),"+",""),"(",""),")",""),2,10),SUBSTITUTE(SUBSTITUTE(SUBSTITUTE(SUBSTITUTE(SUBSTITUTE(Клиенты_исходные!D680," ",""),"-",""),"+",""),"(",""),")","")),8,2)&amp;"-"&amp;MID(IF(LEFT(SUBSTITUTE(SUBSTITUTE(SUBSTITUTE(SUBSTITUTE(SUBSTITUTE(Клиенты_исходные!D680," ",""),"-",""),"+",""),"(",""),")",""))="8","7"&amp;MID(SUBSTITUTE(SUBSTITUTE(SUBSTITUTE(SUBSTITUTE(SUBSTITUTE(Клиенты_исходные!D680," ",""),"-",""),"+",""),"(",""),")",""),2,10),SUBSTITUTE(SUBSTITUTE(SUBSTITUTE(SUBSTITUTE(SUBSTITUTE(Клиенты_исходные!D680," ",""),"-",""),"+",""),"(",""),")","")),10,2),IF(LEN(SUBSTITUTE(SUBSTITUTE(SUBSTITUTE(SUBSTITUTE(SUBSTITUTE(Клиенты_исходные!D680," ",""),"-",""),"+",""),"(",""),")",""))=10,"+7 ("&amp;MID(SUBSTITUTE(SUBSTITUTE(SUBSTITUTE(SUBSTITUTE(SUBSTITUTE(Клиенты_исходные!D680," ",""),"-",""),"+",""),"(",""),")",""),1,3)&amp;") "&amp;MID(SUBSTITUTE(SUBSTITUTE(SUBSTITUTE(SUBSTITUTE(SUBSTITUTE(Клиенты_исходные!D680," ",""),"-",""),"+",""),"(",""),")",""),4,3)&amp;"-"&amp;MID(SUBSTITUTE(SUBSTITUTE(SUBSTITUTE(SUBSTITUTE(SUBSTITUTE(Клиенты_исходные!D680," ",""),"-",""),"+",""),"(",""),")",""),6,2)&amp;"-"&amp;MID(SUBSTITUTE(SUBSTITUTE(SUBSTITUTE(SUBSTITUTE(SUBSTITUTE(Клиенты_исходные!D680," ",""),"-",""),"+",""),"(",""),")",""),8,2),Клиенты_исходные!D680)))</f>
        <v xml:space="preserve">+7 (903) 234-56-78</v>
      </c>
      <c r="E680" t="str">
        <f>IF(ISBLANK(Клиенты_исходные!E680),"",IF(ISNUMBER(FIND(".",MID(Клиенты_исходные!E680,FIND("@",Клиенты_исходные!E680)+1,255))),Клиенты_исходные!E680,IF(ISNUMBER(FIND("gmail",Клиенты_исходные!E680)),Клиенты_исходные!E680&amp;".com",Клиенты_исходные!E680&amp;".ru")))</f>
        <v>kudryashova@mail.ru</v>
      </c>
      <c r="F680" t="str">
        <f>IFERROR(VLOOKUP(Клиенты_исходные!F680,Справочники!$J$2:$K$50,2,FALSE),Клиенты_исходные!F680)</f>
        <v>Шахты</v>
      </c>
      <c r="G680" s="8">
        <f>IFERROR(IF(ISNUMBER(FIND(".",Клиенты_исходные!G680)),DATE(RIGHT(Клиенты_исходные!G680,4),MID(Клиенты_исходные!G680,4,2),LEFT(Клиенты_исходные!G680,2)),DATE(LEFT(Клиенты_исходные!G680,4),MID(Клиенты_исходные!G680,6,2),RIGHT(Клиенты_исходные!G680,2))),Клиенты_исходные!G680)</f>
        <v>51441</v>
      </c>
      <c r="H680">
        <f t="shared" ca="1" si="79"/>
        <v>43</v>
      </c>
      <c r="I680" t="str">
        <f t="shared" si="80"/>
        <v>OK</v>
      </c>
      <c r="J680" t="str">
        <f t="shared" si="81"/>
        <v>OK</v>
      </c>
    </row>
    <row r="681">
      <c r="A681" t="str">
        <f>Клиенты_исходные!A681</f>
        <v>C0680</v>
      </c>
      <c r="B681" t="str">
        <f>PROPER(TRIM(Клиенты_исходные!B681))</f>
        <v xml:space="preserve">Семенюк Андрей Олегович</v>
      </c>
      <c r="C681" s="8">
        <f>IFERROR(IF(ISNUMBER(FIND(".",Клиенты_исходные!C681)),DATE(RIGHT(Клиенты_исходные!C681,4),MID(Клиенты_исходные!C681,4,2),LEFT(Клиенты_исходные!C681,2)),DATE(LEFT(Клиенты_исходные!C681,4),MID(Клиенты_исходные!C681,6,2),RIGHT(Клиенты_исходные!C681,2))),Клиенты_исходные!C681)</f>
        <v>32547</v>
      </c>
      <c r="D681" t="str">
        <f>IF(ISBLANK(Клиенты_исходные!D681),"",IF(LEN(SUBSTITUTE(SUBSTITUTE(SUBSTITUTE(SUBSTITUTE(SUBSTITUTE(Клиенты_исходные!D681," ",""),"-",""),"+",""),"(",""),")",""))=11,"+7 ("&amp;MID(IF(LEFT(SUBSTITUTE(SUBSTITUTE(SUBSTITUTE(SUBSTITUTE(SUBSTITUTE(Клиенты_исходные!D681," ",""),"-",""),"+",""),"(",""),")",""))="8","7"&amp;MID(SUBSTITUTE(SUBSTITUTE(SUBSTITUTE(SUBSTITUTE(SUBSTITUTE(Клиенты_исходные!D681," ",""),"-",""),"+",""),"(",""),")",""),2,10),SUBSTITUTE(SUBSTITUTE(SUBSTITUTE(SUBSTITUTE(SUBSTITUTE(Клиенты_исходные!D681," ",""),"-",""),"+",""),"(",""),")","")),2,3)&amp;") "&amp;MID(IF(LEFT(SUBSTITUTE(SUBSTITUTE(SUBSTITUTE(SUBSTITUTE(SUBSTITUTE(Клиенты_исходные!D681," ",""),"-",""),"+",""),"(",""),")",""))="8","7"&amp;MID(SUBSTITUTE(SUBSTITUTE(SUBSTITUTE(SUBSTITUTE(SUBSTITUTE(Клиенты_исходные!D681," ",""),"-",""),"+",""),"(",""),")",""),2,10),SUBSTITUTE(SUBSTITUTE(SUBSTITUTE(SUBSTITUTE(SUBSTITUTE(Клиенты_исходные!D681," ",""),"-",""),"+",""),"(",""),")","")),5,3)&amp;"-"&amp;MID(IF(LEFT(SUBSTITUTE(SUBSTITUTE(SUBSTITUTE(SUBSTITUTE(SUBSTITUTE(Клиенты_исходные!D681," ",""),"-",""),"+",""),"(",""),")",""))="8","7"&amp;MID(SUBSTITUTE(SUBSTITUTE(SUBSTITUTE(SUBSTITUTE(SUBSTITUTE(Клиенты_исходные!D681," ",""),"-",""),"+",""),"(",""),")",""),2,10),SUBSTITUTE(SUBSTITUTE(SUBSTITUTE(SUBSTITUTE(SUBSTITUTE(Клиенты_исходные!D681," ",""),"-",""),"+",""),"(",""),")","")),8,2)&amp;"-"&amp;MID(IF(LEFT(SUBSTITUTE(SUBSTITUTE(SUBSTITUTE(SUBSTITUTE(SUBSTITUTE(Клиенты_исходные!D681," ",""),"-",""),"+",""),"(",""),")",""))="8","7"&amp;MID(SUBSTITUTE(SUBSTITUTE(SUBSTITUTE(SUBSTITUTE(SUBSTITUTE(Клиенты_исходные!D681," ",""),"-",""),"+",""),"(",""),")",""),2,10),SUBSTITUTE(SUBSTITUTE(SUBSTITUTE(SUBSTITUTE(SUBSTITUTE(Клиенты_исходные!D681," ",""),"-",""),"+",""),"(",""),")","")),10,2),IF(LEN(SUBSTITUTE(SUBSTITUTE(SUBSTITUTE(SUBSTITUTE(SUBSTITUTE(Клиенты_исходные!D681," ",""),"-",""),"+",""),"(",""),")",""))=10,"+7 ("&amp;MID(SUBSTITUTE(SUBSTITUTE(SUBSTITUTE(SUBSTITUTE(SUBSTITUTE(Клиенты_исходные!D681," ",""),"-",""),"+",""),"(",""),")",""),1,3)&amp;") "&amp;MID(SUBSTITUTE(SUBSTITUTE(SUBSTITUTE(SUBSTITUTE(SUBSTITUTE(Клиенты_исходные!D681," ",""),"-",""),"+",""),"(",""),")",""),4,3)&amp;"-"&amp;MID(SUBSTITUTE(SUBSTITUTE(SUBSTITUTE(SUBSTITUTE(SUBSTITUTE(Клиенты_исходные!D681," ",""),"-",""),"+",""),"(",""),")",""),6,2)&amp;"-"&amp;MID(SUBSTITUTE(SUBSTITUTE(SUBSTITUTE(SUBSTITUTE(SUBSTITUTE(Клиенты_исходные!D681," ",""),"-",""),"+",""),"(",""),")",""),8,2),Клиенты_исходные!D681)))</f>
        <v xml:space="preserve">+7 (903) 234-56-78</v>
      </c>
      <c r="E681" t="str">
        <f>IF(ISBLANK(Клиенты_исходные!E681),"",IF(ISNUMBER(FIND(".",MID(Клиенты_исходные!E681,FIND("@",Клиенты_исходные!E681)+1,255))),Клиенты_исходные!E681,IF(ISNUMBER(FIND("gmail",Клиенты_исходные!E681)),Клиенты_исходные!E681&amp;".com",Клиенты_исходные!E681&amp;".ru")))</f>
        <v>semenyuk@yandex.ru</v>
      </c>
      <c r="F681" t="str">
        <f>IFERROR(VLOOKUP(Клиенты_исходные!F681,Справочники!$J$2:$K$50,2,FALSE),Клиенты_исходные!F681)</f>
        <v>Златоуст</v>
      </c>
      <c r="G681" s="8">
        <f>IFERROR(IF(ISNUMBER(FIND(".",Клиенты_исходные!G681)),DATE(RIGHT(Клиенты_исходные!G681,4),MID(Клиенты_исходные!G681,4,2),LEFT(Клиенты_исходные!G681,2)),DATE(LEFT(Клиенты_исходные!G681,4),MID(Клиенты_исходные!G681,6,2),RIGHT(Клиенты_исходные!G681,2))),Клиенты_исходные!G681)</f>
        <v>51455</v>
      </c>
      <c r="H681">
        <f t="shared" ca="1" si="79"/>
        <v>37</v>
      </c>
      <c r="I681" t="str">
        <f t="shared" si="80"/>
        <v>OK</v>
      </c>
      <c r="J681" t="str">
        <f t="shared" si="81"/>
        <v>OK</v>
      </c>
    </row>
    <row r="682">
      <c r="A682" t="str">
        <f>Клиенты_исходные!A682</f>
        <v>C0681</v>
      </c>
      <c r="B682" t="str">
        <f>PROPER(TRIM(Клиенты_исходные!B682))</f>
        <v xml:space="preserve">Устинова Мария Владимировна</v>
      </c>
      <c r="C682" s="8">
        <f>IFERROR(IF(ISNUMBER(FIND(".",Клиенты_исходные!C682)),DATE(RIGHT(Клиенты_исходные!C682,4),MID(Клиенты_исходные!C682,4,2),LEFT(Клиенты_исходные!C682,2)),DATE(LEFT(Клиенты_исходные!C682,4),MID(Клиенты_исходные!C682,6,2),RIGHT(Клиенты_исходные!C682,2))),Клиенты_исходные!C682)</f>
        <v>29002</v>
      </c>
      <c r="D682" t="str">
        <f>IF(ISBLANK(Клиенты_исходные!D682),"",IF(LEN(SUBSTITUTE(SUBSTITUTE(SUBSTITUTE(SUBSTITUTE(SUBSTITUTE(Клиенты_исходные!D682," ",""),"-",""),"+",""),"(",""),")",""))=11,"+7 ("&amp;MID(IF(LEFT(SUBSTITUTE(SUBSTITUTE(SUBSTITUTE(SUBSTITUTE(SUBSTITUTE(Клиенты_исходные!D682," ",""),"-",""),"+",""),"(",""),")",""))="8","7"&amp;MID(SUBSTITUTE(SUBSTITUTE(SUBSTITUTE(SUBSTITUTE(SUBSTITUTE(Клиенты_исходные!D682," ",""),"-",""),"+",""),"(",""),")",""),2,10),SUBSTITUTE(SUBSTITUTE(SUBSTITUTE(SUBSTITUTE(SUBSTITUTE(Клиенты_исходные!D682," ",""),"-",""),"+",""),"(",""),")","")),2,3)&amp;") "&amp;MID(IF(LEFT(SUBSTITUTE(SUBSTITUTE(SUBSTITUTE(SUBSTITUTE(SUBSTITUTE(Клиенты_исходные!D682," ",""),"-",""),"+",""),"(",""),")",""))="8","7"&amp;MID(SUBSTITUTE(SUBSTITUTE(SUBSTITUTE(SUBSTITUTE(SUBSTITUTE(Клиенты_исходные!D682," ",""),"-",""),"+",""),"(",""),")",""),2,10),SUBSTITUTE(SUBSTITUTE(SUBSTITUTE(SUBSTITUTE(SUBSTITUTE(Клиенты_исходные!D682," ",""),"-",""),"+",""),"(",""),")","")),5,3)&amp;"-"&amp;MID(IF(LEFT(SUBSTITUTE(SUBSTITUTE(SUBSTITUTE(SUBSTITUTE(SUBSTITUTE(Клиенты_исходные!D682," ",""),"-",""),"+",""),"(",""),")",""))="8","7"&amp;MID(SUBSTITUTE(SUBSTITUTE(SUBSTITUTE(SUBSTITUTE(SUBSTITUTE(Клиенты_исходные!D682," ",""),"-",""),"+",""),"(",""),")",""),2,10),SUBSTITUTE(SUBSTITUTE(SUBSTITUTE(SUBSTITUTE(SUBSTITUTE(Клиенты_исходные!D682," ",""),"-",""),"+",""),"(",""),")","")),8,2)&amp;"-"&amp;MID(IF(LEFT(SUBSTITUTE(SUBSTITUTE(SUBSTITUTE(SUBSTITUTE(SUBSTITUTE(Клиенты_исходные!D682," ",""),"-",""),"+",""),"(",""),")",""))="8","7"&amp;MID(SUBSTITUTE(SUBSTITUTE(SUBSTITUTE(SUBSTITUTE(SUBSTITUTE(Клиенты_исходные!D682," ",""),"-",""),"+",""),"(",""),")",""),2,10),SUBSTITUTE(SUBSTITUTE(SUBSTITUTE(SUBSTITUTE(SUBSTITUTE(Клиенты_исходные!D682," ",""),"-",""),"+",""),"(",""),")","")),10,2),IF(LEN(SUBSTITUTE(SUBSTITUTE(SUBSTITUTE(SUBSTITUTE(SUBSTITUTE(Клиенты_исходные!D682," ",""),"-",""),"+",""),"(",""),")",""))=10,"+7 ("&amp;MID(SUBSTITUTE(SUBSTITUTE(SUBSTITUTE(SUBSTITUTE(SUBSTITUTE(Клиенты_исходные!D682," ",""),"-",""),"+",""),"(",""),")",""),1,3)&amp;") "&amp;MID(SUBSTITUTE(SUBSTITUTE(SUBSTITUTE(SUBSTITUTE(SUBSTITUTE(Клиенты_исходные!D682," ",""),"-",""),"+",""),"(",""),")",""),4,3)&amp;"-"&amp;MID(SUBSTITUTE(SUBSTITUTE(SUBSTITUTE(SUBSTITUTE(SUBSTITUTE(Клиенты_исходные!D682," ",""),"-",""),"+",""),"(",""),")",""),6,2)&amp;"-"&amp;MID(SUBSTITUTE(SUBSTITUTE(SUBSTITUTE(SUBSTITUTE(SUBSTITUTE(Клиенты_исходные!D682," ",""),"-",""),"+",""),"(",""),")",""),8,2),Клиенты_исходные!D682)))</f>
        <v xml:space="preserve">+7 (903) 345-67-89</v>
      </c>
      <c r="E682" t="str">
        <f>IF(ISBLANK(Клиенты_исходные!E682),"",IF(ISNUMBER(FIND(".",MID(Клиенты_исходные!E682,FIND("@",Клиенты_исходные!E682)+1,255))),Клиенты_исходные!E682,IF(ISNUMBER(FIND("gmail",Клиенты_исходные!E682)),Клиенты_исходные!E682&amp;".com",Клиенты_исходные!E682&amp;".ru")))</f>
        <v>ustinova@gmail.com</v>
      </c>
      <c r="F682" t="str">
        <f>IFERROR(VLOOKUP(Клиенты_исходные!F682,Справочники!$J$2:$K$50,2,FALSE),Клиенты_исходные!F682)</f>
        <v>Ангарск</v>
      </c>
      <c r="G682" s="8">
        <f>IFERROR(IF(ISNUMBER(FIND(".",Клиенты_исходные!G682)),DATE(RIGHT(Клиенты_исходные!G682,4),MID(Клиенты_исходные!G682,4,2),LEFT(Клиенты_исходные!G682,2)),DATE(LEFT(Клиенты_исходные!G682,4),MID(Клиенты_исходные!G682,6,2),RIGHT(Клиенты_исходные!G682,2))),Клиенты_исходные!G682)</f>
        <v>51455</v>
      </c>
      <c r="H682">
        <f t="shared" ca="1" si="79"/>
        <v>47</v>
      </c>
      <c r="I682" t="str">
        <f t="shared" si="80"/>
        <v>OK</v>
      </c>
      <c r="J682" t="str">
        <f t="shared" si="81"/>
        <v>OK</v>
      </c>
    </row>
    <row r="683">
      <c r="A683" t="str">
        <f>Клиенты_исходные!A683</f>
        <v>C0682</v>
      </c>
      <c r="B683" t="str">
        <f>PROPER(TRIM(Клиенты_исходные!B683))</f>
        <v xml:space="preserve">Баев Денис Павлович</v>
      </c>
      <c r="C683" s="8">
        <f>IFERROR(IF(ISNUMBER(FIND(".",Клиенты_исходные!C683)),DATE(RIGHT(Клиенты_исходные!C683,4),MID(Клиенты_исходные!C683,4,2),LEFT(Клиенты_исходные!C683,2)),DATE(LEFT(Клиенты_исходные!C683,4),MID(Клиенты_исходные!C683,6,2),RIGHT(Клиенты_исходные!C683,2))),Клиенты_исходные!C683)</f>
        <v>31399</v>
      </c>
      <c r="D683" t="str">
        <f>IF(ISBLANK(Клиенты_исходные!D683),"",IF(LEN(SUBSTITUTE(SUBSTITUTE(SUBSTITUTE(SUBSTITUTE(SUBSTITUTE(Клиенты_исходные!D683," ",""),"-",""),"+",""),"(",""),")",""))=11,"+7 ("&amp;MID(IF(LEFT(SUBSTITUTE(SUBSTITUTE(SUBSTITUTE(SUBSTITUTE(SUBSTITUTE(Клиенты_исходные!D683," ",""),"-",""),"+",""),"(",""),")",""))="8","7"&amp;MID(SUBSTITUTE(SUBSTITUTE(SUBSTITUTE(SUBSTITUTE(SUBSTITUTE(Клиенты_исходные!D683," ",""),"-",""),"+",""),"(",""),")",""),2,10),SUBSTITUTE(SUBSTITUTE(SUBSTITUTE(SUBSTITUTE(SUBSTITUTE(Клиенты_исходные!D683," ",""),"-",""),"+",""),"(",""),")","")),2,3)&amp;") "&amp;MID(IF(LEFT(SUBSTITUTE(SUBSTITUTE(SUBSTITUTE(SUBSTITUTE(SUBSTITUTE(Клиенты_исходные!D683," ",""),"-",""),"+",""),"(",""),")",""))="8","7"&amp;MID(SUBSTITUTE(SUBSTITUTE(SUBSTITUTE(SUBSTITUTE(SUBSTITUTE(Клиенты_исходные!D683," ",""),"-",""),"+",""),"(",""),")",""),2,10),SUBSTITUTE(SUBSTITUTE(SUBSTITUTE(SUBSTITUTE(SUBSTITUTE(Клиенты_исходные!D683," ",""),"-",""),"+",""),"(",""),")","")),5,3)&amp;"-"&amp;MID(IF(LEFT(SUBSTITUTE(SUBSTITUTE(SUBSTITUTE(SUBSTITUTE(SUBSTITUTE(Клиенты_исходные!D683," ",""),"-",""),"+",""),"(",""),")",""))="8","7"&amp;MID(SUBSTITUTE(SUBSTITUTE(SUBSTITUTE(SUBSTITUTE(SUBSTITUTE(Клиенты_исходные!D683," ",""),"-",""),"+",""),"(",""),")",""),2,10),SUBSTITUTE(SUBSTITUTE(SUBSTITUTE(SUBSTITUTE(SUBSTITUTE(Клиенты_исходные!D683," ",""),"-",""),"+",""),"(",""),")","")),8,2)&amp;"-"&amp;MID(IF(LEFT(SUBSTITUTE(SUBSTITUTE(SUBSTITUTE(SUBSTITUTE(SUBSTITUTE(Клиенты_исходные!D683," ",""),"-",""),"+",""),"(",""),")",""))="8","7"&amp;MID(SUBSTITUTE(SUBSTITUTE(SUBSTITUTE(SUBSTITUTE(SUBSTITUTE(Клиенты_исходные!D683," ",""),"-",""),"+",""),"(",""),")",""),2,10),SUBSTITUTE(SUBSTITUTE(SUBSTITUTE(SUBSTITUTE(SUBSTITUTE(Клиенты_исходные!D683," ",""),"-",""),"+",""),"(",""),")","")),10,2),IF(LEN(SUBSTITUTE(SUBSTITUTE(SUBSTITUTE(SUBSTITUTE(SUBSTITUTE(Клиенты_исходные!D683," ",""),"-",""),"+",""),"(",""),")",""))=10,"+7 ("&amp;MID(SUBSTITUTE(SUBSTITUTE(SUBSTITUTE(SUBSTITUTE(SUBSTITUTE(Клиенты_исходные!D683," ",""),"-",""),"+",""),"(",""),")",""),1,3)&amp;") "&amp;MID(SUBSTITUTE(SUBSTITUTE(SUBSTITUTE(SUBSTITUTE(SUBSTITUTE(Клиенты_исходные!D683," ",""),"-",""),"+",""),"(",""),")",""),4,3)&amp;"-"&amp;MID(SUBSTITUTE(SUBSTITUTE(SUBSTITUTE(SUBSTITUTE(SUBSTITUTE(Клиенты_исходные!D683," ",""),"-",""),"+",""),"(",""),")",""),6,2)&amp;"-"&amp;MID(SUBSTITUTE(SUBSTITUTE(SUBSTITUTE(SUBSTITUTE(SUBSTITUTE(Клиенты_исходные!D683," ",""),"-",""),"+",""),"(",""),")",""),8,2),Клиенты_исходные!D683)))</f>
        <v xml:space="preserve">+7 (903) 345-67-89</v>
      </c>
      <c r="E683" t="str">
        <f>IF(ISBLANK(Клиенты_исходные!E683),"",IF(ISNUMBER(FIND(".",MID(Клиенты_исходные!E683,FIND("@",Клиенты_исходные!E683)+1,255))),Клиенты_исходные!E683,IF(ISNUMBER(FIND("gmail",Клиенты_исходные!E683)),Клиенты_исходные!E683&amp;".com",Клиенты_исходные!E683&amp;".ru")))</f>
        <v>baev@mail.ru</v>
      </c>
      <c r="F683" t="str">
        <f>IFERROR(VLOOKUP(Клиенты_исходные!F683,Справочники!$J$2:$K$50,2,FALSE),Клиенты_исходные!F683)</f>
        <v>Озёрск</v>
      </c>
      <c r="G683" s="8">
        <f>IFERROR(IF(ISNUMBER(FIND(".",Клиенты_исходные!G683)),DATE(RIGHT(Клиенты_исходные!G683,4),MID(Клиенты_исходные!G683,4,2),LEFT(Клиенты_исходные!G683,2)),DATE(LEFT(Клиенты_исходные!G683,4),MID(Клиенты_исходные!G683,6,2),RIGHT(Клиенты_исходные!G683,2))),Клиенты_исходные!G683)</f>
        <v>51471</v>
      </c>
      <c r="H683">
        <f t="shared" ca="1" si="79"/>
        <v>40</v>
      </c>
      <c r="I683" t="str">
        <f t="shared" si="80"/>
        <v>OK</v>
      </c>
      <c r="J683" t="str">
        <f t="shared" si="81"/>
        <v>OK</v>
      </c>
    </row>
    <row r="684">
      <c r="A684" t="str">
        <f>Клиенты_исходные!A684</f>
        <v>C0683</v>
      </c>
      <c r="B684" t="str">
        <f>PROPER(TRIM(Клиенты_исходные!B684))</f>
        <v xml:space="preserve">Хрусталева Ольга Сергеевна</v>
      </c>
      <c r="C684" s="8">
        <f>IFERROR(IF(ISNUMBER(FIND(".",Клиенты_исходные!C684)),DATE(RIGHT(Клиенты_исходные!C684,4),MID(Клиенты_исходные!C684,4,2),LEFT(Клиенты_исходные!C684,2)),DATE(LEFT(Клиенты_исходные!C684,4),MID(Клиенты_исходные!C684,6,2),RIGHT(Клиенты_исходные!C684,2))),Клиенты_исходные!C684)</f>
        <v>33817</v>
      </c>
      <c r="D684" t="str">
        <f>IF(ISBLANK(Клиенты_исходные!D684),"",IF(LEN(SUBSTITUTE(SUBSTITUTE(SUBSTITUTE(SUBSTITUTE(SUBSTITUTE(Клиенты_исходные!D684," ",""),"-",""),"+",""),"(",""),")",""))=11,"+7 ("&amp;MID(IF(LEFT(SUBSTITUTE(SUBSTITUTE(SUBSTITUTE(SUBSTITUTE(SUBSTITUTE(Клиенты_исходные!D684," ",""),"-",""),"+",""),"(",""),")",""))="8","7"&amp;MID(SUBSTITUTE(SUBSTITUTE(SUBSTITUTE(SUBSTITUTE(SUBSTITUTE(Клиенты_исходные!D684," ",""),"-",""),"+",""),"(",""),")",""),2,10),SUBSTITUTE(SUBSTITUTE(SUBSTITUTE(SUBSTITUTE(SUBSTITUTE(Клиенты_исходные!D684," ",""),"-",""),"+",""),"(",""),")","")),2,3)&amp;") "&amp;MID(IF(LEFT(SUBSTITUTE(SUBSTITUTE(SUBSTITUTE(SUBSTITUTE(SUBSTITUTE(Клиенты_исходные!D684," ",""),"-",""),"+",""),"(",""),")",""))="8","7"&amp;MID(SUBSTITUTE(SUBSTITUTE(SUBSTITUTE(SUBSTITUTE(SUBSTITUTE(Клиенты_исходные!D684," ",""),"-",""),"+",""),"(",""),")",""),2,10),SUBSTITUTE(SUBSTITUTE(SUBSTITUTE(SUBSTITUTE(SUBSTITUTE(Клиенты_исходные!D684," ",""),"-",""),"+",""),"(",""),")","")),5,3)&amp;"-"&amp;MID(IF(LEFT(SUBSTITUTE(SUBSTITUTE(SUBSTITUTE(SUBSTITUTE(SUBSTITUTE(Клиенты_исходные!D684," ",""),"-",""),"+",""),"(",""),")",""))="8","7"&amp;MID(SUBSTITUTE(SUBSTITUTE(SUBSTITUTE(SUBSTITUTE(SUBSTITUTE(Клиенты_исходные!D684," ",""),"-",""),"+",""),"(",""),")",""),2,10),SUBSTITUTE(SUBSTITUTE(SUBSTITUTE(SUBSTITUTE(SUBSTITUTE(Клиенты_исходные!D684," ",""),"-",""),"+",""),"(",""),")","")),8,2)&amp;"-"&amp;MID(IF(LEFT(SUBSTITUTE(SUBSTITUTE(SUBSTITUTE(SUBSTITUTE(SUBSTITUTE(Клиенты_исходные!D684," ",""),"-",""),"+",""),"(",""),")",""))="8","7"&amp;MID(SUBSTITUTE(SUBSTITUTE(SUBSTITUTE(SUBSTITUTE(SUBSTITUTE(Клиенты_исходные!D684," ",""),"-",""),"+",""),"(",""),")",""),2,10),SUBSTITUTE(SUBSTITUTE(SUBSTITUTE(SUBSTITUTE(SUBSTITUTE(Клиенты_исходные!D684," ",""),"-",""),"+",""),"(",""),")","")),10,2),IF(LEN(SUBSTITUTE(SUBSTITUTE(SUBSTITUTE(SUBSTITUTE(SUBSTITUTE(Клиенты_исходные!D684," ",""),"-",""),"+",""),"(",""),")",""))=10,"+7 ("&amp;MID(SUBSTITUTE(SUBSTITUTE(SUBSTITUTE(SUBSTITUTE(SUBSTITUTE(Клиенты_исходные!D684," ",""),"-",""),"+",""),"(",""),")",""),1,3)&amp;") "&amp;MID(SUBSTITUTE(SUBSTITUTE(SUBSTITUTE(SUBSTITUTE(SUBSTITUTE(Клиенты_исходные!D684," ",""),"-",""),"+",""),"(",""),")",""),4,3)&amp;"-"&amp;MID(SUBSTITUTE(SUBSTITUTE(SUBSTITUTE(SUBSTITUTE(SUBSTITUTE(Клиенты_исходные!D684," ",""),"-",""),"+",""),"(",""),")",""),6,2)&amp;"-"&amp;MID(SUBSTITUTE(SUBSTITUTE(SUBSTITUTE(SUBSTITUTE(SUBSTITUTE(Клиенты_исходные!D684," ",""),"-",""),"+",""),"(",""),")",""),8,2),Клиенты_исходные!D684)))</f>
        <v xml:space="preserve">+7 (903) 345-67-89</v>
      </c>
      <c r="E684" t="str">
        <f>IF(ISBLANK(Клиенты_исходные!E684),"",IF(ISNUMBER(FIND(".",MID(Клиенты_исходные!E684,FIND("@",Клиенты_исходные!E684)+1,255))),Клиенты_исходные!E684,IF(ISNUMBER(FIND("gmail",Клиенты_исходные!E684)),Клиенты_исходные!E684&amp;".com",Клиенты_исходные!E684&amp;".ru")))</f>
        <v>hrustaleva@yandex.ru</v>
      </c>
      <c r="F684" t="str">
        <f>IFERROR(VLOOKUP(Клиенты_исходные!F684,Справочники!$J$2:$K$50,2,FALSE),Клиенты_исходные!F684)</f>
        <v>Орел</v>
      </c>
      <c r="G684" s="8">
        <f>IFERROR(IF(ISNUMBER(FIND(".",Клиенты_исходные!G684)),DATE(RIGHT(Клиенты_исходные!G684,4),MID(Клиенты_исходные!G684,4,2),LEFT(Клиенты_исходные!G684,2)),DATE(LEFT(Клиенты_исходные!G684,4),MID(Клиенты_исходные!G684,6,2),RIGHT(Клиенты_исходные!G684,2))),Клиенты_исходные!G684)</f>
        <v>51480</v>
      </c>
      <c r="H684">
        <f t="shared" ca="1" si="79"/>
        <v>34</v>
      </c>
      <c r="I684" t="str">
        <f t="shared" si="80"/>
        <v>OK</v>
      </c>
      <c r="J684" t="str">
        <f t="shared" si="81"/>
        <v>OK</v>
      </c>
    </row>
    <row r="685">
      <c r="A685" t="str">
        <f>Клиенты_исходные!A685</f>
        <v>C0684</v>
      </c>
      <c r="B685" t="str">
        <f>PROPER(TRIM(Клиенты_исходные!B685))</f>
        <v xml:space="preserve">Романов Илья Александрович</v>
      </c>
      <c r="C685" s="8">
        <f>IFERROR(IF(ISNUMBER(FIND(".",Клиенты_исходные!C685)),DATE(RIGHT(Клиенты_исходные!C685,4),MID(Клиенты_исходные!C685,4,2),LEFT(Клиенты_исходные!C685,2)),DATE(LEFT(Клиенты_исходные!C685,4),MID(Клиенты_исходные!C685,6,2),RIGHT(Клиенты_исходные!C685,2))),Клиенты_исходные!C685)</f>
        <v>27842</v>
      </c>
      <c r="D685" t="str">
        <f>IF(ISBLANK(Клиенты_исходные!D685),"",IF(LEN(SUBSTITUTE(SUBSTITUTE(SUBSTITUTE(SUBSTITUTE(SUBSTITUTE(Клиенты_исходные!D685," ",""),"-",""),"+",""),"(",""),")",""))=11,"+7 ("&amp;MID(IF(LEFT(SUBSTITUTE(SUBSTITUTE(SUBSTITUTE(SUBSTITUTE(SUBSTITUTE(Клиенты_исходные!D685," ",""),"-",""),"+",""),"(",""),")",""))="8","7"&amp;MID(SUBSTITUTE(SUBSTITUTE(SUBSTITUTE(SUBSTITUTE(SUBSTITUTE(Клиенты_исходные!D685," ",""),"-",""),"+",""),"(",""),")",""),2,10),SUBSTITUTE(SUBSTITUTE(SUBSTITUTE(SUBSTITUTE(SUBSTITUTE(Клиенты_исходные!D685," ",""),"-",""),"+",""),"(",""),")","")),2,3)&amp;") "&amp;MID(IF(LEFT(SUBSTITUTE(SUBSTITUTE(SUBSTITUTE(SUBSTITUTE(SUBSTITUTE(Клиенты_исходные!D685," ",""),"-",""),"+",""),"(",""),")",""))="8","7"&amp;MID(SUBSTITUTE(SUBSTITUTE(SUBSTITUTE(SUBSTITUTE(SUBSTITUTE(Клиенты_исходные!D685," ",""),"-",""),"+",""),"(",""),")",""),2,10),SUBSTITUTE(SUBSTITUTE(SUBSTITUTE(SUBSTITUTE(SUBSTITUTE(Клиенты_исходные!D685," ",""),"-",""),"+",""),"(",""),")","")),5,3)&amp;"-"&amp;MID(IF(LEFT(SUBSTITUTE(SUBSTITUTE(SUBSTITUTE(SUBSTITUTE(SUBSTITUTE(Клиенты_исходные!D685," ",""),"-",""),"+",""),"(",""),")",""))="8","7"&amp;MID(SUBSTITUTE(SUBSTITUTE(SUBSTITUTE(SUBSTITUTE(SUBSTITUTE(Клиенты_исходные!D685," ",""),"-",""),"+",""),"(",""),")",""),2,10),SUBSTITUTE(SUBSTITUTE(SUBSTITUTE(SUBSTITUTE(SUBSTITUTE(Клиенты_исходные!D685," ",""),"-",""),"+",""),"(",""),")","")),8,2)&amp;"-"&amp;MID(IF(LEFT(SUBSTITUTE(SUBSTITUTE(SUBSTITUTE(SUBSTITUTE(SUBSTITUTE(Клиенты_исходные!D685," ",""),"-",""),"+",""),"(",""),")",""))="8","7"&amp;MID(SUBSTITUTE(SUBSTITUTE(SUBSTITUTE(SUBSTITUTE(SUBSTITUTE(Клиенты_исходные!D685," ",""),"-",""),"+",""),"(",""),")",""),2,10),SUBSTITUTE(SUBSTITUTE(SUBSTITUTE(SUBSTITUTE(SUBSTITUTE(Клиенты_исходные!D685," ",""),"-",""),"+",""),"(",""),")","")),10,2),IF(LEN(SUBSTITUTE(SUBSTITUTE(SUBSTITUTE(SUBSTITUTE(SUBSTITUTE(Клиенты_исходные!D685," ",""),"-",""),"+",""),"(",""),")",""))=10,"+7 ("&amp;MID(SUBSTITUTE(SUBSTITUTE(SUBSTITUTE(SUBSTITUTE(SUBSTITUTE(Клиенты_исходные!D685," ",""),"-",""),"+",""),"(",""),")",""),1,3)&amp;") "&amp;MID(SUBSTITUTE(SUBSTITUTE(SUBSTITUTE(SUBSTITUTE(SUBSTITUTE(Клиенты_исходные!D685," ",""),"-",""),"+",""),"(",""),")",""),4,3)&amp;"-"&amp;MID(SUBSTITUTE(SUBSTITUTE(SUBSTITUTE(SUBSTITUTE(SUBSTITUTE(Клиенты_исходные!D685," ",""),"-",""),"+",""),"(",""),")",""),6,2)&amp;"-"&amp;MID(SUBSTITUTE(SUBSTITUTE(SUBSTITUTE(SUBSTITUTE(SUBSTITUTE(Клиенты_исходные!D685," ",""),"-",""),"+",""),"(",""),")",""),8,2),Клиенты_исходные!D685)))</f>
        <v xml:space="preserve">+7 (903) 456-78-90</v>
      </c>
      <c r="E685" t="str">
        <f>IF(ISBLANK(Клиенты_исходные!E685),"",IF(ISNUMBER(FIND(".",MID(Клиенты_исходные!E685,FIND("@",Клиенты_исходные!E685)+1,255))),Клиенты_исходные!E685,IF(ISNUMBER(FIND("gmail",Клиенты_исходные!E685)),Клиенты_исходные!E685&amp;".com",Клиенты_исходные!E685&amp;".ru")))</f>
        <v>romanov@gmail.com</v>
      </c>
      <c r="F685" t="str">
        <f>IFERROR(VLOOKUP(Клиенты_исходные!F685,Справочники!$J$2:$K$50,2,FALSE),Клиенты_исходные!F685)</f>
        <v>Магнитогорск</v>
      </c>
      <c r="G685" s="8">
        <f>IFERROR(IF(ISNUMBER(FIND(".",Клиенты_исходные!G685)),DATE(RIGHT(Клиенты_исходные!G685,4),MID(Клиенты_исходные!G685,4,2),LEFT(Клиенты_исходные!G685,2)),DATE(LEFT(Клиенты_исходные!G685,4),MID(Клиенты_исходные!G685,6,2),RIGHT(Клиенты_исходные!G685,2))),Клиенты_исходные!G685)</f>
        <v>51480</v>
      </c>
      <c r="H685">
        <f t="shared" ca="1" si="79"/>
        <v>50</v>
      </c>
      <c r="I685" t="str">
        <f t="shared" si="80"/>
        <v>OK</v>
      </c>
      <c r="J685" t="str">
        <f t="shared" si="81"/>
        <v>OK</v>
      </c>
    </row>
    <row r="686">
      <c r="A686" t="str">
        <f>Клиенты_исходные!A686</f>
        <v>C0685</v>
      </c>
      <c r="B686" t="str">
        <f>PROPER(TRIM(Клиенты_исходные!B686))</f>
        <v xml:space="preserve">Добрынина Екатерина Владимировна</v>
      </c>
      <c r="C686" s="8">
        <f>IFERROR(IF(ISNUMBER(FIND(".",Клиенты_исходные!C686)),DATE(RIGHT(Клиенты_исходные!C686,4),MID(Клиенты_исходные!C686,4,2),LEFT(Клиенты_исходные!C686,2)),DATE(LEFT(Клиенты_исходные!C686,4),MID(Клиенты_исходные!C686,6,2),RIGHT(Клиенты_исходные!C686,2))),Клиенты_исходные!C686)</f>
        <v>29897</v>
      </c>
      <c r="D686" t="str">
        <f>IF(ISBLANK(Клиенты_исходные!D686),"",IF(LEN(SUBSTITUTE(SUBSTITUTE(SUBSTITUTE(SUBSTITUTE(SUBSTITUTE(Клиенты_исходные!D686," ",""),"-",""),"+",""),"(",""),")",""))=11,"+7 ("&amp;MID(IF(LEFT(SUBSTITUTE(SUBSTITUTE(SUBSTITUTE(SUBSTITUTE(SUBSTITUTE(Клиенты_исходные!D686," ",""),"-",""),"+",""),"(",""),")",""))="8","7"&amp;MID(SUBSTITUTE(SUBSTITUTE(SUBSTITUTE(SUBSTITUTE(SUBSTITUTE(Клиенты_исходные!D686," ",""),"-",""),"+",""),"(",""),")",""),2,10),SUBSTITUTE(SUBSTITUTE(SUBSTITUTE(SUBSTITUTE(SUBSTITUTE(Клиенты_исходные!D686," ",""),"-",""),"+",""),"(",""),")","")),2,3)&amp;") "&amp;MID(IF(LEFT(SUBSTITUTE(SUBSTITUTE(SUBSTITUTE(SUBSTITUTE(SUBSTITUTE(Клиенты_исходные!D686," ",""),"-",""),"+",""),"(",""),")",""))="8","7"&amp;MID(SUBSTITUTE(SUBSTITUTE(SUBSTITUTE(SUBSTITUTE(SUBSTITUTE(Клиенты_исходные!D686," ",""),"-",""),"+",""),"(",""),")",""),2,10),SUBSTITUTE(SUBSTITUTE(SUBSTITUTE(SUBSTITUTE(SUBSTITUTE(Клиенты_исходные!D686," ",""),"-",""),"+",""),"(",""),")","")),5,3)&amp;"-"&amp;MID(IF(LEFT(SUBSTITUTE(SUBSTITUTE(SUBSTITUTE(SUBSTITUTE(SUBSTITUTE(Клиенты_исходные!D686," ",""),"-",""),"+",""),"(",""),")",""))="8","7"&amp;MID(SUBSTITUTE(SUBSTITUTE(SUBSTITUTE(SUBSTITUTE(SUBSTITUTE(Клиенты_исходные!D686," ",""),"-",""),"+",""),"(",""),")",""),2,10),SUBSTITUTE(SUBSTITUTE(SUBSTITUTE(SUBSTITUTE(SUBSTITUTE(Клиенты_исходные!D686," ",""),"-",""),"+",""),"(",""),")","")),8,2)&amp;"-"&amp;MID(IF(LEFT(SUBSTITUTE(SUBSTITUTE(SUBSTITUTE(SUBSTITUTE(SUBSTITUTE(Клиенты_исходные!D686," ",""),"-",""),"+",""),"(",""),")",""))="8","7"&amp;MID(SUBSTITUTE(SUBSTITUTE(SUBSTITUTE(SUBSTITUTE(SUBSTITUTE(Клиенты_исходные!D686," ",""),"-",""),"+",""),"(",""),")",""),2,10),SUBSTITUTE(SUBSTITUTE(SUBSTITUTE(SUBSTITUTE(SUBSTITUTE(Клиенты_исходные!D686," ",""),"-",""),"+",""),"(",""),")","")),10,2),IF(LEN(SUBSTITUTE(SUBSTITUTE(SUBSTITUTE(SUBSTITUTE(SUBSTITUTE(Клиенты_исходные!D686," ",""),"-",""),"+",""),"(",""),")",""))=10,"+7 ("&amp;MID(SUBSTITUTE(SUBSTITUTE(SUBSTITUTE(SUBSTITUTE(SUBSTITUTE(Клиенты_исходные!D686," ",""),"-",""),"+",""),"(",""),")",""),1,3)&amp;") "&amp;MID(SUBSTITUTE(SUBSTITUTE(SUBSTITUTE(SUBSTITUTE(SUBSTITUTE(Клиенты_исходные!D686," ",""),"-",""),"+",""),"(",""),")",""),4,3)&amp;"-"&amp;MID(SUBSTITUTE(SUBSTITUTE(SUBSTITUTE(SUBSTITUTE(SUBSTITUTE(Клиенты_исходные!D686," ",""),"-",""),"+",""),"(",""),")",""),6,2)&amp;"-"&amp;MID(SUBSTITUTE(SUBSTITUTE(SUBSTITUTE(SUBSTITUTE(SUBSTITUTE(Клиенты_исходные!D686," ",""),"-",""),"+",""),"(",""),")",""),8,2),Клиенты_исходные!D686)))</f>
        <v xml:space="preserve">+7 (903) 456-78-90</v>
      </c>
      <c r="E686" t="str">
        <f>IF(ISBLANK(Клиенты_исходные!E686),"",IF(ISNUMBER(FIND(".",MID(Клиенты_исходные!E686,FIND("@",Клиенты_исходные!E686)+1,255))),Клиенты_исходные!E686,IF(ISNUMBER(FIND("gmail",Клиенты_исходные!E686)),Клиенты_исходные!E686&amp;".com",Клиенты_исходные!E686&amp;".ru")))</f>
        <v>dobrynina@mail.ru</v>
      </c>
      <c r="F686" t="str">
        <f>IFERROR(VLOOKUP(Клиенты_исходные!F686,Справочники!$J$2:$K$50,2,FALSE),Клиенты_исходные!F686)</f>
        <v>Якутск</v>
      </c>
      <c r="G686" s="8">
        <f>IFERROR(IF(ISNUMBER(FIND(".",Клиенты_исходные!G686)),DATE(RIGHT(Клиенты_исходные!G686,4),MID(Клиенты_исходные!G686,4,2),LEFT(Клиенты_исходные!G686,2)),DATE(LEFT(Клиенты_исходные!G686,4),MID(Клиенты_исходные!G686,6,2),RIGHT(Клиенты_исходные!G686,2))),Клиенты_исходные!G686)</f>
        <v>51502</v>
      </c>
      <c r="H686">
        <f t="shared" ca="1" si="79"/>
        <v>44</v>
      </c>
      <c r="I686" t="str">
        <f t="shared" si="80"/>
        <v>OK</v>
      </c>
      <c r="J686" t="str">
        <f t="shared" si="81"/>
        <v>OK</v>
      </c>
    </row>
    <row r="687">
      <c r="A687" t="str">
        <f>Клиенты_исходные!A687</f>
        <v>C0686</v>
      </c>
      <c r="B687" t="str">
        <f>PROPER(TRIM(Клиенты_исходные!B687))</f>
        <v xml:space="preserve">Некрасов Андрей Олегович</v>
      </c>
      <c r="C687" s="8">
        <f>IFERROR(IF(ISNUMBER(FIND(".",Клиенты_исходные!C687)),DATE(RIGHT(Клиенты_исходные!C687,4),MID(Клиенты_исходные!C687,4,2),LEFT(Клиенты_исходные!C687,2)),DATE(LEFT(Клиенты_исходные!C687,4),MID(Клиенты_исходные!C687,6,2),RIGHT(Клиенты_исходные!C687,2))),Клиенты_исходные!C687)</f>
        <v>32401</v>
      </c>
      <c r="D687" t="str">
        <f>IF(ISBLANK(Клиенты_исходные!D687),"",IF(LEN(SUBSTITUTE(SUBSTITUTE(SUBSTITUTE(SUBSTITUTE(SUBSTITUTE(Клиенты_исходные!D687," ",""),"-",""),"+",""),"(",""),")",""))=11,"+7 ("&amp;MID(IF(LEFT(SUBSTITUTE(SUBSTITUTE(SUBSTITUTE(SUBSTITUTE(SUBSTITUTE(Клиенты_исходные!D687," ",""),"-",""),"+",""),"(",""),")",""))="8","7"&amp;MID(SUBSTITUTE(SUBSTITUTE(SUBSTITUTE(SUBSTITUTE(SUBSTITUTE(Клиенты_исходные!D687," ",""),"-",""),"+",""),"(",""),")",""),2,10),SUBSTITUTE(SUBSTITUTE(SUBSTITUTE(SUBSTITUTE(SUBSTITUTE(Клиенты_исходные!D687," ",""),"-",""),"+",""),"(",""),")","")),2,3)&amp;") "&amp;MID(IF(LEFT(SUBSTITUTE(SUBSTITUTE(SUBSTITUTE(SUBSTITUTE(SUBSTITUTE(Клиенты_исходные!D687," ",""),"-",""),"+",""),"(",""),")",""))="8","7"&amp;MID(SUBSTITUTE(SUBSTITUTE(SUBSTITUTE(SUBSTITUTE(SUBSTITUTE(Клиенты_исходные!D687," ",""),"-",""),"+",""),"(",""),")",""),2,10),SUBSTITUTE(SUBSTITUTE(SUBSTITUTE(SUBSTITUTE(SUBSTITUTE(Клиенты_исходные!D687," ",""),"-",""),"+",""),"(",""),")","")),5,3)&amp;"-"&amp;MID(IF(LEFT(SUBSTITUTE(SUBSTITUTE(SUBSTITUTE(SUBSTITUTE(SUBSTITUTE(Клиенты_исходные!D687," ",""),"-",""),"+",""),"(",""),")",""))="8","7"&amp;MID(SUBSTITUTE(SUBSTITUTE(SUBSTITUTE(SUBSTITUTE(SUBSTITUTE(Клиенты_исходные!D687," ",""),"-",""),"+",""),"(",""),")",""),2,10),SUBSTITUTE(SUBSTITUTE(SUBSTITUTE(SUBSTITUTE(SUBSTITUTE(Клиенты_исходные!D687," ",""),"-",""),"+",""),"(",""),")","")),8,2)&amp;"-"&amp;MID(IF(LEFT(SUBSTITUTE(SUBSTITUTE(SUBSTITUTE(SUBSTITUTE(SUBSTITUTE(Клиенты_исходные!D687," ",""),"-",""),"+",""),"(",""),")",""))="8","7"&amp;MID(SUBSTITUTE(SUBSTITUTE(SUBSTITUTE(SUBSTITUTE(SUBSTITUTE(Клиенты_исходные!D687," ",""),"-",""),"+",""),"(",""),")",""),2,10),SUBSTITUTE(SUBSTITUTE(SUBSTITUTE(SUBSTITUTE(SUBSTITUTE(Клиенты_исходные!D687," ",""),"-",""),"+",""),"(",""),")","")),10,2),IF(LEN(SUBSTITUTE(SUBSTITUTE(SUBSTITUTE(SUBSTITUTE(SUBSTITUTE(Клиенты_исходные!D687," ",""),"-",""),"+",""),"(",""),")",""))=10,"+7 ("&amp;MID(SUBSTITUTE(SUBSTITUTE(SUBSTITUTE(SUBSTITUTE(SUBSTITUTE(Клиенты_исходные!D687," ",""),"-",""),"+",""),"(",""),")",""),1,3)&amp;") "&amp;MID(SUBSTITUTE(SUBSTITUTE(SUBSTITUTE(SUBSTITUTE(SUBSTITUTE(Клиенты_исходные!D687," ",""),"-",""),"+",""),"(",""),")",""),4,3)&amp;"-"&amp;MID(SUBSTITUTE(SUBSTITUTE(SUBSTITUTE(SUBSTITUTE(SUBSTITUTE(Клиенты_исходные!D687," ",""),"-",""),"+",""),"(",""),")",""),6,2)&amp;"-"&amp;MID(SUBSTITUTE(SUBSTITUTE(SUBSTITUTE(SUBSTITUTE(SUBSTITUTE(Клиенты_исходные!D687," ",""),"-",""),"+",""),"(",""),")",""),8,2),Клиенты_исходные!D687)))</f>
        <v xml:space="preserve">+7 (903) 456-78-90</v>
      </c>
      <c r="E687" t="str">
        <f>IF(ISBLANK(Клиенты_исходные!E687),"",IF(ISNUMBER(FIND(".",MID(Клиенты_исходные!E687,FIND("@",Клиенты_исходные!E687)+1,255))),Клиенты_исходные!E687,IF(ISNUMBER(FIND("gmail",Клиенты_исходные!E687)),Клиенты_исходные!E687&amp;".com",Клиенты_исходные!E687&amp;".ru")))</f>
        <v>nekrasov@yandex.ru</v>
      </c>
      <c r="F687" t="str">
        <f>IFERROR(VLOOKUP(Клиенты_исходные!F687,Справочники!$J$2:$K$50,2,FALSE),Клиенты_исходные!F687)</f>
        <v>Чебоксары</v>
      </c>
      <c r="G687" s="8">
        <f>IFERROR(IF(ISNUMBER(FIND(".",Клиенты_исходные!G687)),DATE(RIGHT(Клиенты_исходные!G687,4),MID(Клиенты_исходные!G687,4,2),LEFT(Клиенты_исходные!G687,2)),DATE(LEFT(Клиенты_исходные!G687,4),MID(Клиенты_исходные!G687,6,2),RIGHT(Клиенты_исходные!G687,2))),Клиенты_исходные!G687)</f>
        <v>51516</v>
      </c>
      <c r="H687">
        <f t="shared" ca="1" si="79"/>
        <v>38</v>
      </c>
      <c r="I687" t="str">
        <f t="shared" si="80"/>
        <v>OK</v>
      </c>
      <c r="J687" t="str">
        <f t="shared" si="81"/>
        <v>OK</v>
      </c>
    </row>
    <row r="688">
      <c r="A688" t="str">
        <f>Клиенты_исходные!A688</f>
        <v>C0687</v>
      </c>
      <c r="B688" t="str">
        <f>PROPER(TRIM(Клиенты_исходные!B688))</f>
        <v xml:space="preserve">Круглова Мария Павловна</v>
      </c>
      <c r="C688" s="8">
        <f>IFERROR(IF(ISNUMBER(FIND(".",Клиенты_исходные!C688)),DATE(RIGHT(Клиенты_исходные!C688,4),MID(Клиенты_исходные!C688,4,2),LEFT(Клиенты_исходные!C688,2)),DATE(LEFT(Клиенты_исходные!C688,4),MID(Клиенты_исходные!C688,6,2),RIGHT(Клиенты_исходные!C688,2))),Клиенты_исходные!C688)</f>
        <v>26723</v>
      </c>
      <c r="D688" t="str">
        <f>IF(ISBLANK(Клиенты_исходные!D688),"",IF(LEN(SUBSTITUTE(SUBSTITUTE(SUBSTITUTE(SUBSTITUTE(SUBSTITUTE(Клиенты_исходные!D688," ",""),"-",""),"+",""),"(",""),")",""))=11,"+7 ("&amp;MID(IF(LEFT(SUBSTITUTE(SUBSTITUTE(SUBSTITUTE(SUBSTITUTE(SUBSTITUTE(Клиенты_исходные!D688," ",""),"-",""),"+",""),"(",""),")",""))="8","7"&amp;MID(SUBSTITUTE(SUBSTITUTE(SUBSTITUTE(SUBSTITUTE(SUBSTITUTE(Клиенты_исходные!D688," ",""),"-",""),"+",""),"(",""),")",""),2,10),SUBSTITUTE(SUBSTITUTE(SUBSTITUTE(SUBSTITUTE(SUBSTITUTE(Клиенты_исходные!D688," ",""),"-",""),"+",""),"(",""),")","")),2,3)&amp;") "&amp;MID(IF(LEFT(SUBSTITUTE(SUBSTITUTE(SUBSTITUTE(SUBSTITUTE(SUBSTITUTE(Клиенты_исходные!D688," ",""),"-",""),"+",""),"(",""),")",""))="8","7"&amp;MID(SUBSTITUTE(SUBSTITUTE(SUBSTITUTE(SUBSTITUTE(SUBSTITUTE(Клиенты_исходные!D688," ",""),"-",""),"+",""),"(",""),")",""),2,10),SUBSTITUTE(SUBSTITUTE(SUBSTITUTE(SUBSTITUTE(SUBSTITUTE(Клиенты_исходные!D688," ",""),"-",""),"+",""),"(",""),")","")),5,3)&amp;"-"&amp;MID(IF(LEFT(SUBSTITUTE(SUBSTITUTE(SUBSTITUTE(SUBSTITUTE(SUBSTITUTE(Клиенты_исходные!D688," ",""),"-",""),"+",""),"(",""),")",""))="8","7"&amp;MID(SUBSTITUTE(SUBSTITUTE(SUBSTITUTE(SUBSTITUTE(SUBSTITUTE(Клиенты_исходные!D688," ",""),"-",""),"+",""),"(",""),")",""),2,10),SUBSTITUTE(SUBSTITUTE(SUBSTITUTE(SUBSTITUTE(SUBSTITUTE(Клиенты_исходные!D688," ",""),"-",""),"+",""),"(",""),")","")),8,2)&amp;"-"&amp;MID(IF(LEFT(SUBSTITUTE(SUBSTITUTE(SUBSTITUTE(SUBSTITUTE(SUBSTITUTE(Клиенты_исходные!D688," ",""),"-",""),"+",""),"(",""),")",""))="8","7"&amp;MID(SUBSTITUTE(SUBSTITUTE(SUBSTITUTE(SUBSTITUTE(SUBSTITUTE(Клиенты_исходные!D688," ",""),"-",""),"+",""),"(",""),")",""),2,10),SUBSTITUTE(SUBSTITUTE(SUBSTITUTE(SUBSTITUTE(SUBSTITUTE(Клиенты_исходные!D688," ",""),"-",""),"+",""),"(",""),")","")),10,2),IF(LEN(SUBSTITUTE(SUBSTITUTE(SUBSTITUTE(SUBSTITUTE(SUBSTITUTE(Клиенты_исходные!D688," ",""),"-",""),"+",""),"(",""),")",""))=10,"+7 ("&amp;MID(SUBSTITUTE(SUBSTITUTE(SUBSTITUTE(SUBSTITUTE(SUBSTITUTE(Клиенты_исходные!D688," ",""),"-",""),"+",""),"(",""),")",""),1,3)&amp;") "&amp;MID(SUBSTITUTE(SUBSTITUTE(SUBSTITUTE(SUBSTITUTE(SUBSTITUTE(Клиенты_исходные!D688," ",""),"-",""),"+",""),"(",""),")",""),4,3)&amp;"-"&amp;MID(SUBSTITUTE(SUBSTITUTE(SUBSTITUTE(SUBSTITUTE(SUBSTITUTE(Клиенты_исходные!D688," ",""),"-",""),"+",""),"(",""),")",""),6,2)&amp;"-"&amp;MID(SUBSTITUTE(SUBSTITUTE(SUBSTITUTE(SUBSTITUTE(SUBSTITUTE(Клиенты_исходные!D688," ",""),"-",""),"+",""),"(",""),")",""),8,2),Клиенты_исходные!D688)))</f>
        <v xml:space="preserve">+7 (903) 567-89-01</v>
      </c>
      <c r="E688" t="str">
        <f>IF(ISBLANK(Клиенты_исходные!E688),"",IF(ISNUMBER(FIND(".",MID(Клиенты_исходные!E688,FIND("@",Клиенты_исходные!E688)+1,255))),Клиенты_исходные!E688,IF(ISNUMBER(FIND("gmail",Клиенты_исходные!E688)),Клиенты_исходные!E688&amp;".com",Клиенты_исходные!E688&amp;".ru")))</f>
        <v>kruglova@gmail.com</v>
      </c>
      <c r="F688" t="str">
        <f>IFERROR(VLOOKUP(Клиенты_исходные!F688,Справочники!$J$2:$K$50,2,FALSE),Клиенты_исходные!F688)</f>
        <v>Мурманск</v>
      </c>
      <c r="G688" s="8">
        <f>IFERROR(IF(ISNUMBER(FIND(".",Клиенты_исходные!G688)),DATE(RIGHT(Клиенты_исходные!G688,4),MID(Клиенты_исходные!G688,4,2),LEFT(Клиенты_исходные!G688,2)),DATE(LEFT(Клиенты_исходные!G688,4),MID(Клиенты_исходные!G688,6,2),RIGHT(Клиенты_исходные!G688,2))),Клиенты_исходные!G688)</f>
        <v>51516</v>
      </c>
      <c r="H688">
        <f t="shared" ca="1" si="79"/>
        <v>53</v>
      </c>
      <c r="I688" t="str">
        <f t="shared" si="80"/>
        <v>OK</v>
      </c>
      <c r="J688" t="str">
        <f t="shared" si="81"/>
        <v>OK</v>
      </c>
    </row>
    <row r="689">
      <c r="A689" t="str">
        <f>Клиенты_исходные!A689</f>
        <v>C0688</v>
      </c>
      <c r="B689" t="str">
        <f>PROPER(TRIM(Клиенты_исходные!B689))</f>
        <v xml:space="preserve">Артамонов Денис Викторович</v>
      </c>
      <c r="C689" s="8">
        <f>IFERROR(IF(ISNUMBER(FIND(".",Клиенты_исходные!C689)),DATE(RIGHT(Клиенты_исходные!C689,4),MID(Клиенты_исходные!C689,4,2),LEFT(Клиенты_исходные!C689,2)),DATE(LEFT(Клиенты_исходные!C689,4),MID(Клиенты_исходные!C689,6,2),RIGHT(Клиенты_исходные!C689,2))),Клиенты_исходные!C689)</f>
        <v>31218</v>
      </c>
      <c r="D689" t="str">
        <f>IF(ISBLANK(Клиенты_исходные!D689),"",IF(LEN(SUBSTITUTE(SUBSTITUTE(SUBSTITUTE(SUBSTITUTE(SUBSTITUTE(Клиенты_исходные!D689," ",""),"-",""),"+",""),"(",""),")",""))=11,"+7 ("&amp;MID(IF(LEFT(SUBSTITUTE(SUBSTITUTE(SUBSTITUTE(SUBSTITUTE(SUBSTITUTE(Клиенты_исходные!D689," ",""),"-",""),"+",""),"(",""),")",""))="8","7"&amp;MID(SUBSTITUTE(SUBSTITUTE(SUBSTITUTE(SUBSTITUTE(SUBSTITUTE(Клиенты_исходные!D689," ",""),"-",""),"+",""),"(",""),")",""),2,10),SUBSTITUTE(SUBSTITUTE(SUBSTITUTE(SUBSTITUTE(SUBSTITUTE(Клиенты_исходные!D689," ",""),"-",""),"+",""),"(",""),")","")),2,3)&amp;") "&amp;MID(IF(LEFT(SUBSTITUTE(SUBSTITUTE(SUBSTITUTE(SUBSTITUTE(SUBSTITUTE(Клиенты_исходные!D689," ",""),"-",""),"+",""),"(",""),")",""))="8","7"&amp;MID(SUBSTITUTE(SUBSTITUTE(SUBSTITUTE(SUBSTITUTE(SUBSTITUTE(Клиенты_исходные!D689," ",""),"-",""),"+",""),"(",""),")",""),2,10),SUBSTITUTE(SUBSTITUTE(SUBSTITUTE(SUBSTITUTE(SUBSTITUTE(Клиенты_исходные!D689," ",""),"-",""),"+",""),"(",""),")","")),5,3)&amp;"-"&amp;MID(IF(LEFT(SUBSTITUTE(SUBSTITUTE(SUBSTITUTE(SUBSTITUTE(SUBSTITUTE(Клиенты_исходные!D689," ",""),"-",""),"+",""),"(",""),")",""))="8","7"&amp;MID(SUBSTITUTE(SUBSTITUTE(SUBSTITUTE(SUBSTITUTE(SUBSTITUTE(Клиенты_исходные!D689," ",""),"-",""),"+",""),"(",""),")",""),2,10),SUBSTITUTE(SUBSTITUTE(SUBSTITUTE(SUBSTITUTE(SUBSTITUTE(Клиенты_исходные!D689," ",""),"-",""),"+",""),"(",""),")","")),8,2)&amp;"-"&amp;MID(IF(LEFT(SUBSTITUTE(SUBSTITUTE(SUBSTITUTE(SUBSTITUTE(SUBSTITUTE(Клиенты_исходные!D689," ",""),"-",""),"+",""),"(",""),")",""))="8","7"&amp;MID(SUBSTITUTE(SUBSTITUTE(SUBSTITUTE(SUBSTITUTE(SUBSTITUTE(Клиенты_исходные!D689," ",""),"-",""),"+",""),"(",""),")",""),2,10),SUBSTITUTE(SUBSTITUTE(SUBSTITUTE(SUBSTITUTE(SUBSTITUTE(Клиенты_исходные!D689," ",""),"-",""),"+",""),"(",""),")","")),10,2),IF(LEN(SUBSTITUTE(SUBSTITUTE(SUBSTITUTE(SUBSTITUTE(SUBSTITUTE(Клиенты_исходные!D689," ",""),"-",""),"+",""),"(",""),")",""))=10,"+7 ("&amp;MID(SUBSTITUTE(SUBSTITUTE(SUBSTITUTE(SUBSTITUTE(SUBSTITUTE(Клиенты_исходные!D689," ",""),"-",""),"+",""),"(",""),")",""),1,3)&amp;") "&amp;MID(SUBSTITUTE(SUBSTITUTE(SUBSTITUTE(SUBSTITUTE(SUBSTITUTE(Клиенты_исходные!D689," ",""),"-",""),"+",""),"(",""),")",""),4,3)&amp;"-"&amp;MID(SUBSTITUTE(SUBSTITUTE(SUBSTITUTE(SUBSTITUTE(SUBSTITUTE(Клиенты_исходные!D689," ",""),"-",""),"+",""),"(",""),")",""),6,2)&amp;"-"&amp;MID(SUBSTITUTE(SUBSTITUTE(SUBSTITUTE(SUBSTITUTE(SUBSTITUTE(Клиенты_исходные!D689," ",""),"-",""),"+",""),"(",""),")",""),8,2),Клиенты_исходные!D689)))</f>
        <v xml:space="preserve">+7 (903) 567-89-01</v>
      </c>
      <c r="E689" t="str">
        <f>IF(ISBLANK(Клиенты_исходные!E689),"",IF(ISNUMBER(FIND(".",MID(Клиенты_исходные!E689,FIND("@",Клиенты_исходные!E689)+1,255))),Клиенты_исходные!E689,IF(ISNUMBER(FIND("gmail",Клиенты_исходные!E689)),Клиенты_исходные!E689&amp;".com",Клиенты_исходные!E689&amp;".ru")))</f>
        <v>artamonov@mail.ru</v>
      </c>
      <c r="F689" t="str">
        <f>IFERROR(VLOOKUP(Клиенты_исходные!F689,Справочники!$J$2:$K$50,2,FALSE),Клиенты_исходные!F689)</f>
        <v>Смоленск</v>
      </c>
      <c r="G689" s="8">
        <f>IFERROR(IF(ISNUMBER(FIND(".",Клиенты_исходные!G689)),DATE(RIGHT(Клиенты_исходные!G689,4),MID(Клиенты_исходные!G689,4,2),LEFT(Клиенты_исходные!G689,2)),DATE(LEFT(Клиенты_исходные!G689,4),MID(Клиенты_исходные!G689,6,2),RIGHT(Клиенты_исходные!G689,2))),Клиенты_исходные!G689)</f>
        <v>51533</v>
      </c>
      <c r="H689">
        <f t="shared" ca="1" si="79"/>
        <v>41</v>
      </c>
      <c r="I689" t="str">
        <f t="shared" si="80"/>
        <v>OK</v>
      </c>
      <c r="J689" t="str">
        <f t="shared" si="81"/>
        <v>OK</v>
      </c>
    </row>
    <row r="690">
      <c r="A690" t="str">
        <f>Клиенты_исходные!A690</f>
        <v>C0689</v>
      </c>
      <c r="B690" t="str">
        <f>PROPER(TRIM(Клиенты_исходные!B690))</f>
        <v xml:space="preserve">Горюнова Ольга Сергеевна</v>
      </c>
      <c r="C690" s="8">
        <f>IFERROR(IF(ISNUMBER(FIND(".",Клиенты_исходные!C690)),DATE(RIGHT(Клиенты_исходные!C690,4),MID(Клиенты_исходные!C690,4,2),LEFT(Клиенты_исходные!C690,2)),DATE(LEFT(Клиенты_исходные!C690,4),MID(Клиенты_исходные!C690,6,2),RIGHT(Клиенты_исходные!C690,2))),Клиенты_исходные!C690)</f>
        <v>33216</v>
      </c>
      <c r="D690" t="str">
        <f>IF(ISBLANK(Клиенты_исходные!D690),"",IF(LEN(SUBSTITUTE(SUBSTITUTE(SUBSTITUTE(SUBSTITUTE(SUBSTITUTE(Клиенты_исходные!D690," ",""),"-",""),"+",""),"(",""),")",""))=11,"+7 ("&amp;MID(IF(LEFT(SUBSTITUTE(SUBSTITUTE(SUBSTITUTE(SUBSTITUTE(SUBSTITUTE(Клиенты_исходные!D690," ",""),"-",""),"+",""),"(",""),")",""))="8","7"&amp;MID(SUBSTITUTE(SUBSTITUTE(SUBSTITUTE(SUBSTITUTE(SUBSTITUTE(Клиенты_исходные!D690," ",""),"-",""),"+",""),"(",""),")",""),2,10),SUBSTITUTE(SUBSTITUTE(SUBSTITUTE(SUBSTITUTE(SUBSTITUTE(Клиенты_исходные!D690," ",""),"-",""),"+",""),"(",""),")","")),2,3)&amp;") "&amp;MID(IF(LEFT(SUBSTITUTE(SUBSTITUTE(SUBSTITUTE(SUBSTITUTE(SUBSTITUTE(Клиенты_исходные!D690," ",""),"-",""),"+",""),"(",""),")",""))="8","7"&amp;MID(SUBSTITUTE(SUBSTITUTE(SUBSTITUTE(SUBSTITUTE(SUBSTITUTE(Клиенты_исходные!D690," ",""),"-",""),"+",""),"(",""),")",""),2,10),SUBSTITUTE(SUBSTITUTE(SUBSTITUTE(SUBSTITUTE(SUBSTITUTE(Клиенты_исходные!D690," ",""),"-",""),"+",""),"(",""),")","")),5,3)&amp;"-"&amp;MID(IF(LEFT(SUBSTITUTE(SUBSTITUTE(SUBSTITUTE(SUBSTITUTE(SUBSTITUTE(Клиенты_исходные!D690," ",""),"-",""),"+",""),"(",""),")",""))="8","7"&amp;MID(SUBSTITUTE(SUBSTITUTE(SUBSTITUTE(SUBSTITUTE(SUBSTITUTE(Клиенты_исходные!D690," ",""),"-",""),"+",""),"(",""),")",""),2,10),SUBSTITUTE(SUBSTITUTE(SUBSTITUTE(SUBSTITUTE(SUBSTITUTE(Клиенты_исходные!D690," ",""),"-",""),"+",""),"(",""),")","")),8,2)&amp;"-"&amp;MID(IF(LEFT(SUBSTITUTE(SUBSTITUTE(SUBSTITUTE(SUBSTITUTE(SUBSTITUTE(Клиенты_исходные!D690," ",""),"-",""),"+",""),"(",""),")",""))="8","7"&amp;MID(SUBSTITUTE(SUBSTITUTE(SUBSTITUTE(SUBSTITUTE(SUBSTITUTE(Клиенты_исходные!D690," ",""),"-",""),"+",""),"(",""),")",""),2,10),SUBSTITUTE(SUBSTITUTE(SUBSTITUTE(SUBSTITUTE(SUBSTITUTE(Клиенты_исходные!D690," ",""),"-",""),"+",""),"(",""),")","")),10,2),IF(LEN(SUBSTITUTE(SUBSTITUTE(SUBSTITUTE(SUBSTITUTE(SUBSTITUTE(Клиенты_исходные!D690," ",""),"-",""),"+",""),"(",""),")",""))=10,"+7 ("&amp;MID(SUBSTITUTE(SUBSTITUTE(SUBSTITUTE(SUBSTITUTE(SUBSTITUTE(Клиенты_исходные!D690," ",""),"-",""),"+",""),"(",""),")",""),1,3)&amp;") "&amp;MID(SUBSTITUTE(SUBSTITUTE(SUBSTITUTE(SUBSTITUTE(SUBSTITUTE(Клиенты_исходные!D690," ",""),"-",""),"+",""),"(",""),")",""),4,3)&amp;"-"&amp;MID(SUBSTITUTE(SUBSTITUTE(SUBSTITUTE(SUBSTITUTE(SUBSTITUTE(Клиенты_исходные!D690," ",""),"-",""),"+",""),"(",""),")",""),6,2)&amp;"-"&amp;MID(SUBSTITUTE(SUBSTITUTE(SUBSTITUTE(SUBSTITUTE(SUBSTITUTE(Клиенты_исходные!D690," ",""),"-",""),"+",""),"(",""),")",""),8,2),Клиенты_исходные!D690)))</f>
        <v xml:space="preserve">+7 (903) 567-89-01</v>
      </c>
      <c r="E690" t="str">
        <f>IF(ISBLANK(Клиенты_исходные!E690),"",IF(ISNUMBER(FIND(".",MID(Клиенты_исходные!E690,FIND("@",Клиенты_исходные!E690)+1,255))),Клиенты_исходные!E690,IF(ISNUMBER(FIND("gmail",Клиенты_исходные!E690)),Клиенты_исходные!E690&amp;".com",Клиенты_исходные!E690&amp;".ru")))</f>
        <v>goryunova@yandex.ru</v>
      </c>
      <c r="F690" t="str">
        <f>IFERROR(VLOOKUP(Клиенты_исходные!F690,Справочники!$J$2:$K$50,2,FALSE),Клиенты_исходные!F690)</f>
        <v>Тула</v>
      </c>
      <c r="G690" s="8">
        <f>IFERROR(IF(ISNUMBER(FIND(".",Клиенты_исходные!G690)),DATE(RIGHT(Клиенты_исходные!G690,4),MID(Клиенты_исходные!G690,4,2),LEFT(Клиенты_исходные!G690,2)),DATE(LEFT(Клиенты_исходные!G690,4),MID(Клиенты_исходные!G690,6,2),RIGHT(Клиенты_исходные!G690,2))),Клиенты_исходные!G690)</f>
        <v>51542</v>
      </c>
      <c r="H690">
        <f t="shared" ca="1" si="79"/>
        <v>35</v>
      </c>
      <c r="I690" t="str">
        <f t="shared" si="80"/>
        <v>OK</v>
      </c>
      <c r="J690" t="str">
        <f t="shared" si="81"/>
        <v>OK</v>
      </c>
    </row>
    <row r="691">
      <c r="A691" t="str">
        <f>Клиенты_исходные!A691</f>
        <v>C0690</v>
      </c>
      <c r="B691" t="str">
        <f>PROPER(TRIM(Клиенты_исходные!B691))</f>
        <v xml:space="preserve">Мерзляков Илья Алексеевич</v>
      </c>
      <c r="C691" s="8">
        <f>IFERROR(IF(ISNUMBER(FIND(".",Клиенты_исходные!C691)),DATE(RIGHT(Клиенты_исходные!C691,4),MID(Клиенты_исходные!C691,4,2),LEFT(Клиенты_исходные!C691,2)),DATE(LEFT(Клиенты_исходные!C691,4),MID(Клиенты_исходные!C691,6,2),RIGHT(Клиенты_исходные!C691,2))),Клиенты_исходные!C691)</f>
        <v>27144</v>
      </c>
      <c r="D691" t="str">
        <f>IF(ISBLANK(Клиенты_исходные!D691),"",IF(LEN(SUBSTITUTE(SUBSTITUTE(SUBSTITUTE(SUBSTITUTE(SUBSTITUTE(Клиенты_исходные!D691," ",""),"-",""),"+",""),"(",""),")",""))=11,"+7 ("&amp;MID(IF(LEFT(SUBSTITUTE(SUBSTITUTE(SUBSTITUTE(SUBSTITUTE(SUBSTITUTE(Клиенты_исходные!D691," ",""),"-",""),"+",""),"(",""),")",""))="8","7"&amp;MID(SUBSTITUTE(SUBSTITUTE(SUBSTITUTE(SUBSTITUTE(SUBSTITUTE(Клиенты_исходные!D691," ",""),"-",""),"+",""),"(",""),")",""),2,10),SUBSTITUTE(SUBSTITUTE(SUBSTITUTE(SUBSTITUTE(SUBSTITUTE(Клиенты_исходные!D691," ",""),"-",""),"+",""),"(",""),")","")),2,3)&amp;") "&amp;MID(IF(LEFT(SUBSTITUTE(SUBSTITUTE(SUBSTITUTE(SUBSTITUTE(SUBSTITUTE(Клиенты_исходные!D691," ",""),"-",""),"+",""),"(",""),")",""))="8","7"&amp;MID(SUBSTITUTE(SUBSTITUTE(SUBSTITUTE(SUBSTITUTE(SUBSTITUTE(Клиенты_исходные!D691," ",""),"-",""),"+",""),"(",""),")",""),2,10),SUBSTITUTE(SUBSTITUTE(SUBSTITUTE(SUBSTITUTE(SUBSTITUTE(Клиенты_исходные!D691," ",""),"-",""),"+",""),"(",""),")","")),5,3)&amp;"-"&amp;MID(IF(LEFT(SUBSTITUTE(SUBSTITUTE(SUBSTITUTE(SUBSTITUTE(SUBSTITUTE(Клиенты_исходные!D691," ",""),"-",""),"+",""),"(",""),")",""))="8","7"&amp;MID(SUBSTITUTE(SUBSTITUTE(SUBSTITUTE(SUBSTITUTE(SUBSTITUTE(Клиенты_исходные!D691," ",""),"-",""),"+",""),"(",""),")",""),2,10),SUBSTITUTE(SUBSTITUTE(SUBSTITUTE(SUBSTITUTE(SUBSTITUTE(Клиенты_исходные!D691," ",""),"-",""),"+",""),"(",""),")","")),8,2)&amp;"-"&amp;MID(IF(LEFT(SUBSTITUTE(SUBSTITUTE(SUBSTITUTE(SUBSTITUTE(SUBSTITUTE(Клиенты_исходные!D691," ",""),"-",""),"+",""),"(",""),")",""))="8","7"&amp;MID(SUBSTITUTE(SUBSTITUTE(SUBSTITUTE(SUBSTITUTE(SUBSTITUTE(Клиенты_исходные!D691," ",""),"-",""),"+",""),"(",""),")",""),2,10),SUBSTITUTE(SUBSTITUTE(SUBSTITUTE(SUBSTITUTE(SUBSTITUTE(Клиенты_исходные!D691," ",""),"-",""),"+",""),"(",""),")","")),10,2),IF(LEN(SUBSTITUTE(SUBSTITUTE(SUBSTITUTE(SUBSTITUTE(SUBSTITUTE(Клиенты_исходные!D691," ",""),"-",""),"+",""),"(",""),")",""))=10,"+7 ("&amp;MID(SUBSTITUTE(SUBSTITUTE(SUBSTITUTE(SUBSTITUTE(SUBSTITUTE(Клиенты_исходные!D691," ",""),"-",""),"+",""),"(",""),")",""),1,3)&amp;") "&amp;MID(SUBSTITUTE(SUBSTITUTE(SUBSTITUTE(SUBSTITUTE(SUBSTITUTE(Клиенты_исходные!D691," ",""),"-",""),"+",""),"(",""),")",""),4,3)&amp;"-"&amp;MID(SUBSTITUTE(SUBSTITUTE(SUBSTITUTE(SUBSTITUTE(SUBSTITUTE(Клиенты_исходные!D691," ",""),"-",""),"+",""),"(",""),")",""),6,2)&amp;"-"&amp;MID(SUBSTITUTE(SUBSTITUTE(SUBSTITUTE(SUBSTITUTE(SUBSTITUTE(Клиенты_исходные!D691," ",""),"-",""),"+",""),"(",""),")",""),8,2),Клиенты_исходные!D691)))</f>
        <v xml:space="preserve">+7 (903) 678-90-12</v>
      </c>
      <c r="E691" t="str">
        <f>IF(ISBLANK(Клиенты_исходные!E691),"",IF(ISNUMBER(FIND(".",MID(Клиенты_исходные!E691,FIND("@",Клиенты_исходные!E691)+1,255))),Клиенты_исходные!E691,IF(ISNUMBER(FIND("gmail",Клиенты_исходные!E691)),Клиенты_исходные!E691&amp;".com",Клиенты_исходные!E691&amp;".ru")))</f>
        <v>merzlyakov@gmail.com</v>
      </c>
      <c r="F691" t="str">
        <f>IFERROR(VLOOKUP(Клиенты_исходные!F691,Справочники!$J$2:$K$50,2,FALSE),Клиенты_исходные!F691)</f>
        <v>Калуга</v>
      </c>
      <c r="G691" s="8">
        <f>IFERROR(IF(ISNUMBER(FIND(".",Клиенты_исходные!G691)),DATE(RIGHT(Клиенты_исходные!G691,4),MID(Клиенты_исходные!G691,4,2),LEFT(Клиенты_исходные!G691,2)),DATE(LEFT(Клиенты_исходные!G691,4),MID(Клиенты_исходные!G691,6,2),RIGHT(Клиенты_исходные!G691,2))),Клиенты_исходные!G691)</f>
        <v>51542</v>
      </c>
      <c r="H691">
        <f t="shared" ca="1" si="79"/>
        <v>52</v>
      </c>
      <c r="I691" t="str">
        <f t="shared" si="80"/>
        <v>OK</v>
      </c>
      <c r="J691" t="str">
        <f t="shared" si="81"/>
        <v>OK</v>
      </c>
    </row>
    <row r="692">
      <c r="A692" t="str">
        <f>Клиенты_исходные!A692</f>
        <v>C0691</v>
      </c>
      <c r="B692" t="str">
        <f>PROPER(TRIM(Клиенты_исходные!B692))</f>
        <v xml:space="preserve">Андрианова Екатерина Сергеевна</v>
      </c>
      <c r="C692" s="8">
        <f>IFERROR(IF(ISNUMBER(FIND(".",Клиенты_исходные!C692)),DATE(RIGHT(Клиенты_исходные!C692,4),MID(Клиенты_исходные!C692,4,2),LEFT(Клиенты_исходные!C692,2)),DATE(LEFT(Клиенты_исходные!C692,4),MID(Клиенты_исходные!C692,6,2),RIGHT(Клиенты_исходные!C692,2))),Клиенты_исходные!C692)</f>
        <v>30148</v>
      </c>
      <c r="D692" t="str">
        <f>IF(ISBLANK(Клиенты_исходные!D692),"",IF(LEN(SUBSTITUTE(SUBSTITUTE(SUBSTITUTE(SUBSTITUTE(SUBSTITUTE(Клиенты_исходные!D692," ",""),"-",""),"+",""),"(",""),")",""))=11,"+7 ("&amp;MID(IF(LEFT(SUBSTITUTE(SUBSTITUTE(SUBSTITUTE(SUBSTITUTE(SUBSTITUTE(Клиенты_исходные!D692," ",""),"-",""),"+",""),"(",""),")",""))="8","7"&amp;MID(SUBSTITUTE(SUBSTITUTE(SUBSTITUTE(SUBSTITUTE(SUBSTITUTE(Клиенты_исходные!D692," ",""),"-",""),"+",""),"(",""),")",""),2,10),SUBSTITUTE(SUBSTITUTE(SUBSTITUTE(SUBSTITUTE(SUBSTITUTE(Клиенты_исходные!D692," ",""),"-",""),"+",""),"(",""),")","")),2,3)&amp;") "&amp;MID(IF(LEFT(SUBSTITUTE(SUBSTITUTE(SUBSTITUTE(SUBSTITUTE(SUBSTITUTE(Клиенты_исходные!D692," ",""),"-",""),"+",""),"(",""),")",""))="8","7"&amp;MID(SUBSTITUTE(SUBSTITUTE(SUBSTITUTE(SUBSTITUTE(SUBSTITUTE(Клиенты_исходные!D692," ",""),"-",""),"+",""),"(",""),")",""),2,10),SUBSTITUTE(SUBSTITUTE(SUBSTITUTE(SUBSTITUTE(SUBSTITUTE(Клиенты_исходные!D692," ",""),"-",""),"+",""),"(",""),")","")),5,3)&amp;"-"&amp;MID(IF(LEFT(SUBSTITUTE(SUBSTITUTE(SUBSTITUTE(SUBSTITUTE(SUBSTITUTE(Клиенты_исходные!D692," ",""),"-",""),"+",""),"(",""),")",""))="8","7"&amp;MID(SUBSTITUTE(SUBSTITUTE(SUBSTITUTE(SUBSTITUTE(SUBSTITUTE(Клиенты_исходные!D692," ",""),"-",""),"+",""),"(",""),")",""),2,10),SUBSTITUTE(SUBSTITUTE(SUBSTITUTE(SUBSTITUTE(SUBSTITUTE(Клиенты_исходные!D692," ",""),"-",""),"+",""),"(",""),")","")),8,2)&amp;"-"&amp;MID(IF(LEFT(SUBSTITUTE(SUBSTITUTE(SUBSTITUTE(SUBSTITUTE(SUBSTITUTE(Клиенты_исходные!D692," ",""),"-",""),"+",""),"(",""),")",""))="8","7"&amp;MID(SUBSTITUTE(SUBSTITUTE(SUBSTITUTE(SUBSTITUTE(SUBSTITUTE(Клиенты_исходные!D692," ",""),"-",""),"+",""),"(",""),")",""),2,10),SUBSTITUTE(SUBSTITUTE(SUBSTITUTE(SUBSTITUTE(SUBSTITUTE(Клиенты_исходные!D692," ",""),"-",""),"+",""),"(",""),")","")),10,2),IF(LEN(SUBSTITUTE(SUBSTITUTE(SUBSTITUTE(SUBSTITUTE(SUBSTITUTE(Клиенты_исходные!D692," ",""),"-",""),"+",""),"(",""),")",""))=10,"+7 ("&amp;MID(SUBSTITUTE(SUBSTITUTE(SUBSTITUTE(SUBSTITUTE(SUBSTITUTE(Клиенты_исходные!D692," ",""),"-",""),"+",""),"(",""),")",""),1,3)&amp;") "&amp;MID(SUBSTITUTE(SUBSTITUTE(SUBSTITUTE(SUBSTITUTE(SUBSTITUTE(Клиенты_исходные!D692," ",""),"-",""),"+",""),"(",""),")",""),4,3)&amp;"-"&amp;MID(SUBSTITUTE(SUBSTITUTE(SUBSTITUTE(SUBSTITUTE(SUBSTITUTE(Клиенты_исходные!D692," ",""),"-",""),"+",""),"(",""),")",""),6,2)&amp;"-"&amp;MID(SUBSTITUTE(SUBSTITUTE(SUBSTITUTE(SUBSTITUTE(SUBSTITUTE(Клиенты_исходные!D692," ",""),"-",""),"+",""),"(",""),")",""),8,2),Клиенты_исходные!D692)))</f>
        <v xml:space="preserve">+7 (903) 678-90-12</v>
      </c>
      <c r="E692" t="str">
        <f>IF(ISBLANK(Клиенты_исходные!E692),"",IF(ISNUMBER(FIND(".",MID(Клиенты_исходные!E692,FIND("@",Клиенты_исходные!E692)+1,255))),Клиенты_исходные!E692,IF(ISNUMBER(FIND("gmail",Клиенты_исходные!E692)),Клиенты_исходные!E692&amp;".com",Клиенты_исходные!E692&amp;".ru")))</f>
        <v>andrianova@mail.ru</v>
      </c>
      <c r="F692" t="str">
        <f>IFERROR(VLOOKUP(Клиенты_исходные!F692,Справочники!$J$2:$K$50,2,FALSE),Клиенты_исходные!F692)</f>
        <v>Владикавказ</v>
      </c>
      <c r="G692" s="8">
        <f>IFERROR(IF(ISNUMBER(FIND(".",Клиенты_исходные!G692)),DATE(RIGHT(Клиенты_исходные!G692,4),MID(Клиенты_исходные!G692,4,2),LEFT(Клиенты_исходные!G692,2)),DATE(LEFT(Клиенты_исходные!G692,4),MID(Клиенты_исходные!G692,6,2),RIGHT(Клиенты_исходные!G692,2))),Клиенты_исходные!G692)</f>
        <v>51561</v>
      </c>
      <c r="H692">
        <f t="shared" ca="1" si="79"/>
        <v>44</v>
      </c>
      <c r="I692" t="str">
        <f t="shared" si="80"/>
        <v>OK</v>
      </c>
      <c r="J692" t="str">
        <f t="shared" si="81"/>
        <v>OK</v>
      </c>
    </row>
    <row r="693">
      <c r="A693" t="str">
        <f>Клиенты_исходные!A693</f>
        <v>C0692</v>
      </c>
      <c r="B693" t="str">
        <f>PROPER(TRIM(Клиенты_исходные!B693))</f>
        <v xml:space="preserve">Рябов Андрей Павлович</v>
      </c>
      <c r="C693" s="8">
        <f>IFERROR(IF(ISNUMBER(FIND(".",Клиенты_исходные!C693)),DATE(RIGHT(Клиенты_исходные!C693,4),MID(Клиенты_исходные!C693,4,2),LEFT(Клиенты_исходные!C693,2)),DATE(LEFT(Клиенты_исходные!C693,4),MID(Клиенты_исходные!C693,6,2),RIGHT(Клиенты_исходные!C693,2))),Клиенты_исходные!C693)</f>
        <v>32792</v>
      </c>
      <c r="D693" t="str">
        <f>IF(ISBLANK(Клиенты_исходные!D693),"",IF(LEN(SUBSTITUTE(SUBSTITUTE(SUBSTITUTE(SUBSTITUTE(SUBSTITUTE(Клиенты_исходные!D693," ",""),"-",""),"+",""),"(",""),")",""))=11,"+7 ("&amp;MID(IF(LEFT(SUBSTITUTE(SUBSTITUTE(SUBSTITUTE(SUBSTITUTE(SUBSTITUTE(Клиенты_исходные!D693," ",""),"-",""),"+",""),"(",""),")",""))="8","7"&amp;MID(SUBSTITUTE(SUBSTITUTE(SUBSTITUTE(SUBSTITUTE(SUBSTITUTE(Клиенты_исходные!D693," ",""),"-",""),"+",""),"(",""),")",""),2,10),SUBSTITUTE(SUBSTITUTE(SUBSTITUTE(SUBSTITUTE(SUBSTITUTE(Клиенты_исходные!D693," ",""),"-",""),"+",""),"(",""),")","")),2,3)&amp;") "&amp;MID(IF(LEFT(SUBSTITUTE(SUBSTITUTE(SUBSTITUTE(SUBSTITUTE(SUBSTITUTE(Клиенты_исходные!D693," ",""),"-",""),"+",""),"(",""),")",""))="8","7"&amp;MID(SUBSTITUTE(SUBSTITUTE(SUBSTITUTE(SUBSTITUTE(SUBSTITUTE(Клиенты_исходные!D693," ",""),"-",""),"+",""),"(",""),")",""),2,10),SUBSTITUTE(SUBSTITUTE(SUBSTITUTE(SUBSTITUTE(SUBSTITUTE(Клиенты_исходные!D693," ",""),"-",""),"+",""),"(",""),")","")),5,3)&amp;"-"&amp;MID(IF(LEFT(SUBSTITUTE(SUBSTITUTE(SUBSTITUTE(SUBSTITUTE(SUBSTITUTE(Клиенты_исходные!D693," ",""),"-",""),"+",""),"(",""),")",""))="8","7"&amp;MID(SUBSTITUTE(SUBSTITUTE(SUBSTITUTE(SUBSTITUTE(SUBSTITUTE(Клиенты_исходные!D693," ",""),"-",""),"+",""),"(",""),")",""),2,10),SUBSTITUTE(SUBSTITUTE(SUBSTITUTE(SUBSTITUTE(SUBSTITUTE(Клиенты_исходные!D693," ",""),"-",""),"+",""),"(",""),")","")),8,2)&amp;"-"&amp;MID(IF(LEFT(SUBSTITUTE(SUBSTITUTE(SUBSTITUTE(SUBSTITUTE(SUBSTITUTE(Клиенты_исходные!D693," ",""),"-",""),"+",""),"(",""),")",""))="8","7"&amp;MID(SUBSTITUTE(SUBSTITUTE(SUBSTITUTE(SUBSTITUTE(SUBSTITUTE(Клиенты_исходные!D693," ",""),"-",""),"+",""),"(",""),")",""),2,10),SUBSTITUTE(SUBSTITUTE(SUBSTITUTE(SUBSTITUTE(SUBSTITUTE(Клиенты_исходные!D693," ",""),"-",""),"+",""),"(",""),")","")),10,2),IF(LEN(SUBSTITUTE(SUBSTITUTE(SUBSTITUTE(SUBSTITUTE(SUBSTITUTE(Клиенты_исходные!D693," ",""),"-",""),"+",""),"(",""),")",""))=10,"+7 ("&amp;MID(SUBSTITUTE(SUBSTITUTE(SUBSTITUTE(SUBSTITUTE(SUBSTITUTE(Клиенты_исходные!D693," ",""),"-",""),"+",""),"(",""),")",""),1,3)&amp;") "&amp;MID(SUBSTITUTE(SUBSTITUTE(SUBSTITUTE(SUBSTITUTE(SUBSTITUTE(Клиенты_исходные!D693," ",""),"-",""),"+",""),"(",""),")",""),4,3)&amp;"-"&amp;MID(SUBSTITUTE(SUBSTITUTE(SUBSTITUTE(SUBSTITUTE(SUBSTITUTE(Клиенты_исходные!D693," ",""),"-",""),"+",""),"(",""),")",""),6,2)&amp;"-"&amp;MID(SUBSTITUTE(SUBSTITUTE(SUBSTITUTE(SUBSTITUTE(SUBSTITUTE(Клиенты_исходные!D693," ",""),"-",""),"+",""),"(",""),")",""),8,2),Клиенты_исходные!D693)))</f>
        <v xml:space="preserve">+7 (903) 678-90-12</v>
      </c>
      <c r="E693" t="str">
        <f>IF(ISBLANK(Клиенты_исходные!E693),"",IF(ISNUMBER(FIND(".",MID(Клиенты_исходные!E693,FIND("@",Клиенты_исходные!E693)+1,255))),Клиенты_исходные!E693,IF(ISNUMBER(FIND("gmail",Клиенты_исходные!E693)),Клиенты_исходные!E693&amp;".com",Клиенты_исходные!E693&amp;".ru")))</f>
        <v>ryabov@yandex.ru</v>
      </c>
      <c r="F693" t="str">
        <f>IFERROR(VLOOKUP(Клиенты_исходные!F693,Справочники!$J$2:$K$50,2,FALSE),Клиенты_исходные!F693)</f>
        <v>Смоленск</v>
      </c>
      <c r="G693" s="8">
        <f>IFERROR(IF(ISNUMBER(FIND(".",Клиенты_исходные!G693)),DATE(RIGHT(Клиенты_исходные!G693,4),MID(Клиенты_исходные!G693,4,2),LEFT(Клиенты_исходные!G693,2)),DATE(LEFT(Клиенты_исходные!G693,4),MID(Клиенты_исходные!G693,6,2),RIGHT(Клиенты_исходные!G693,2))),Клиенты_исходные!G693)</f>
        <v>51575</v>
      </c>
      <c r="H693">
        <f t="shared" ca="1" si="79"/>
        <v>36</v>
      </c>
      <c r="I693" t="str">
        <f t="shared" si="80"/>
        <v>OK</v>
      </c>
      <c r="J693" t="str">
        <f t="shared" si="81"/>
        <v>OK</v>
      </c>
    </row>
    <row r="694">
      <c r="A694" t="str">
        <f>Клиенты_исходные!A694</f>
        <v>C0693</v>
      </c>
      <c r="B694" t="str">
        <f>PROPER(TRIM(Клиенты_исходные!B694))</f>
        <v xml:space="preserve">Саввина Мария Олеговна</v>
      </c>
      <c r="C694" s="8">
        <f>IFERROR(IF(ISNUMBER(FIND(".",Клиенты_исходные!C694)),DATE(RIGHT(Клиенты_исходные!C694,4),MID(Клиенты_исходные!C694,4,2),LEFT(Клиенты_исходные!C694,2)),DATE(LEFT(Клиенты_исходные!C694,4),MID(Клиенты_исходные!C694,6,2),RIGHT(Клиенты_исходные!C694,2))),Клиенты_исходные!C694)</f>
        <v>27517</v>
      </c>
      <c r="D694" t="str">
        <f>IF(ISBLANK(Клиенты_исходные!D694),"",IF(LEN(SUBSTITUTE(SUBSTITUTE(SUBSTITUTE(SUBSTITUTE(SUBSTITUTE(Клиенты_исходные!D694," ",""),"-",""),"+",""),"(",""),")",""))=11,"+7 ("&amp;MID(IF(LEFT(SUBSTITUTE(SUBSTITUTE(SUBSTITUTE(SUBSTITUTE(SUBSTITUTE(Клиенты_исходные!D694," ",""),"-",""),"+",""),"(",""),")",""))="8","7"&amp;MID(SUBSTITUTE(SUBSTITUTE(SUBSTITUTE(SUBSTITUTE(SUBSTITUTE(Клиенты_исходные!D694," ",""),"-",""),"+",""),"(",""),")",""),2,10),SUBSTITUTE(SUBSTITUTE(SUBSTITUTE(SUBSTITUTE(SUBSTITUTE(Клиенты_исходные!D694," ",""),"-",""),"+",""),"(",""),")","")),2,3)&amp;") "&amp;MID(IF(LEFT(SUBSTITUTE(SUBSTITUTE(SUBSTITUTE(SUBSTITUTE(SUBSTITUTE(Клиенты_исходные!D694," ",""),"-",""),"+",""),"(",""),")",""))="8","7"&amp;MID(SUBSTITUTE(SUBSTITUTE(SUBSTITUTE(SUBSTITUTE(SUBSTITUTE(Клиенты_исходные!D694," ",""),"-",""),"+",""),"(",""),")",""),2,10),SUBSTITUTE(SUBSTITUTE(SUBSTITUTE(SUBSTITUTE(SUBSTITUTE(Клиенты_исходные!D694," ",""),"-",""),"+",""),"(",""),")","")),5,3)&amp;"-"&amp;MID(IF(LEFT(SUBSTITUTE(SUBSTITUTE(SUBSTITUTE(SUBSTITUTE(SUBSTITUTE(Клиенты_исходные!D694," ",""),"-",""),"+",""),"(",""),")",""))="8","7"&amp;MID(SUBSTITUTE(SUBSTITUTE(SUBSTITUTE(SUBSTITUTE(SUBSTITUTE(Клиенты_исходные!D694," ",""),"-",""),"+",""),"(",""),")",""),2,10),SUBSTITUTE(SUBSTITUTE(SUBSTITUTE(SUBSTITUTE(SUBSTITUTE(Клиенты_исходные!D694," ",""),"-",""),"+",""),"(",""),")","")),8,2)&amp;"-"&amp;MID(IF(LEFT(SUBSTITUTE(SUBSTITUTE(SUBSTITUTE(SUBSTITUTE(SUBSTITUTE(Клиенты_исходные!D694," ",""),"-",""),"+",""),"(",""),")",""))="8","7"&amp;MID(SUBSTITUTE(SUBSTITUTE(SUBSTITUTE(SUBSTITUTE(SUBSTITUTE(Клиенты_исходные!D694," ",""),"-",""),"+",""),"(",""),")",""),2,10),SUBSTITUTE(SUBSTITUTE(SUBSTITUTE(SUBSTITUTE(SUBSTITUTE(Клиенты_исходные!D694," ",""),"-",""),"+",""),"(",""),")","")),10,2),IF(LEN(SUBSTITUTE(SUBSTITUTE(SUBSTITUTE(SUBSTITUTE(SUBSTITUTE(Клиенты_исходные!D694," ",""),"-",""),"+",""),"(",""),")",""))=10,"+7 ("&amp;MID(SUBSTITUTE(SUBSTITUTE(SUBSTITUTE(SUBSTITUTE(SUBSTITUTE(Клиенты_исходные!D694," ",""),"-",""),"+",""),"(",""),")",""),1,3)&amp;") "&amp;MID(SUBSTITUTE(SUBSTITUTE(SUBSTITUTE(SUBSTITUTE(SUBSTITUTE(Клиенты_исходные!D694," ",""),"-",""),"+",""),"(",""),")",""),4,3)&amp;"-"&amp;MID(SUBSTITUTE(SUBSTITUTE(SUBSTITUTE(SUBSTITUTE(SUBSTITUTE(Клиенты_исходные!D694," ",""),"-",""),"+",""),"(",""),")",""),6,2)&amp;"-"&amp;MID(SUBSTITUTE(SUBSTITUTE(SUBSTITUTE(SUBSTITUTE(SUBSTITUTE(Клиенты_исходные!D694," ",""),"-",""),"+",""),"(",""),")",""),8,2),Клиенты_исходные!D694)))</f>
        <v xml:space="preserve">+7 (903) 789-01-23</v>
      </c>
      <c r="E694" t="str">
        <f>IF(ISBLANK(Клиенты_исходные!E694),"",IF(ISNUMBER(FIND(".",MID(Клиенты_исходные!E694,FIND("@",Клиенты_исходные!E694)+1,255))),Клиенты_исходные!E694,IF(ISNUMBER(FIND("gmail",Клиенты_исходные!E694)),Клиенты_исходные!E694&amp;".com",Клиенты_исходные!E694&amp;".ru")))</f>
        <v>savvina@gmail.com</v>
      </c>
      <c r="F694" t="str">
        <f>IFERROR(VLOOKUP(Клиенты_исходные!F694,Справочники!$J$2:$K$50,2,FALSE),Клиенты_исходные!F694)</f>
        <v>Белгород</v>
      </c>
      <c r="G694" s="8">
        <f>IFERROR(IF(ISNUMBER(FIND(".",Клиенты_исходные!G694)),DATE(RIGHT(Клиенты_исходные!G694,4),MID(Клиенты_исходные!G694,4,2),LEFT(Клиенты_исходные!G694,2)),DATE(LEFT(Клиенты_исходные!G694,4),MID(Клиенты_исходные!G694,6,2),RIGHT(Клиенты_исходные!G694,2))),Клиенты_исходные!G694)</f>
        <v>51575</v>
      </c>
      <c r="H694">
        <f t="shared" ca="1" si="79"/>
        <v>51</v>
      </c>
      <c r="I694" t="str">
        <f t="shared" si="80"/>
        <v>OK</v>
      </c>
      <c r="J694" t="str">
        <f t="shared" si="81"/>
        <v>OK</v>
      </c>
    </row>
    <row r="695">
      <c r="A695" t="str">
        <f>Клиенты_исходные!A695</f>
        <v>C0694</v>
      </c>
      <c r="B695" t="str">
        <f>PROPER(TRIM(Клиенты_исходные!B695))</f>
        <v xml:space="preserve">Степанов Денис Викторович</v>
      </c>
      <c r="C695" s="8">
        <f>IFERROR(IF(ISNUMBER(FIND(".",Клиенты_исходные!C695)),DATE(RIGHT(Клиенты_исходные!C695,4),MID(Клиенты_исходные!C695,4,2),LEFT(Клиенты_исходные!C695,2)),DATE(LEFT(Клиенты_исходные!C695,4),MID(Клиенты_исходные!C695,6,2),RIGHT(Клиенты_исходные!C695,2))),Клиенты_исходные!C695)</f>
        <v>30920</v>
      </c>
      <c r="D695" t="str">
        <f>IF(ISBLANK(Клиенты_исходные!D695),"",IF(LEN(SUBSTITUTE(SUBSTITUTE(SUBSTITUTE(SUBSTITUTE(SUBSTITUTE(Клиенты_исходные!D695," ",""),"-",""),"+",""),"(",""),")",""))=11,"+7 ("&amp;MID(IF(LEFT(SUBSTITUTE(SUBSTITUTE(SUBSTITUTE(SUBSTITUTE(SUBSTITUTE(Клиенты_исходные!D695," ",""),"-",""),"+",""),"(",""),")",""))="8","7"&amp;MID(SUBSTITUTE(SUBSTITUTE(SUBSTITUTE(SUBSTITUTE(SUBSTITUTE(Клиенты_исходные!D695," ",""),"-",""),"+",""),"(",""),")",""),2,10),SUBSTITUTE(SUBSTITUTE(SUBSTITUTE(SUBSTITUTE(SUBSTITUTE(Клиенты_исходные!D695," ",""),"-",""),"+",""),"(",""),")","")),2,3)&amp;") "&amp;MID(IF(LEFT(SUBSTITUTE(SUBSTITUTE(SUBSTITUTE(SUBSTITUTE(SUBSTITUTE(Клиенты_исходные!D695," ",""),"-",""),"+",""),"(",""),")",""))="8","7"&amp;MID(SUBSTITUTE(SUBSTITUTE(SUBSTITUTE(SUBSTITUTE(SUBSTITUTE(Клиенты_исходные!D695," ",""),"-",""),"+",""),"(",""),")",""),2,10),SUBSTITUTE(SUBSTITUTE(SUBSTITUTE(SUBSTITUTE(SUBSTITUTE(Клиенты_исходные!D695," ",""),"-",""),"+",""),"(",""),")","")),5,3)&amp;"-"&amp;MID(IF(LEFT(SUBSTITUTE(SUBSTITUTE(SUBSTITUTE(SUBSTITUTE(SUBSTITUTE(Клиенты_исходные!D695," ",""),"-",""),"+",""),"(",""),")",""))="8","7"&amp;MID(SUBSTITUTE(SUBSTITUTE(SUBSTITUTE(SUBSTITUTE(SUBSTITUTE(Клиенты_исходные!D695," ",""),"-",""),"+",""),"(",""),")",""),2,10),SUBSTITUTE(SUBSTITUTE(SUBSTITUTE(SUBSTITUTE(SUBSTITUTE(Клиенты_исходные!D695," ",""),"-",""),"+",""),"(",""),")","")),8,2)&amp;"-"&amp;MID(IF(LEFT(SUBSTITUTE(SUBSTITUTE(SUBSTITUTE(SUBSTITUTE(SUBSTITUTE(Клиенты_исходные!D695," ",""),"-",""),"+",""),"(",""),")",""))="8","7"&amp;MID(SUBSTITUTE(SUBSTITUTE(SUBSTITUTE(SUBSTITUTE(SUBSTITUTE(Клиенты_исходные!D695," ",""),"-",""),"+",""),"(",""),")",""),2,10),SUBSTITUTE(SUBSTITUTE(SUBSTITUTE(SUBSTITUTE(SUBSTITUTE(Клиенты_исходные!D695," ",""),"-",""),"+",""),"(",""),")","")),10,2),IF(LEN(SUBSTITUTE(SUBSTITUTE(SUBSTITUTE(SUBSTITUTE(SUBSTITUTE(Клиенты_исходные!D695," ",""),"-",""),"+",""),"(",""),")",""))=10,"+7 ("&amp;MID(SUBSTITUTE(SUBSTITUTE(SUBSTITUTE(SUBSTITUTE(SUBSTITUTE(Клиенты_исходные!D695," ",""),"-",""),"+",""),"(",""),")",""),1,3)&amp;") "&amp;MID(SUBSTITUTE(SUBSTITUTE(SUBSTITUTE(SUBSTITUTE(SUBSTITUTE(Клиенты_исходные!D695," ",""),"-",""),"+",""),"(",""),")",""),4,3)&amp;"-"&amp;MID(SUBSTITUTE(SUBSTITUTE(SUBSTITUTE(SUBSTITUTE(SUBSTITUTE(Клиенты_исходные!D695," ",""),"-",""),"+",""),"(",""),")",""),6,2)&amp;"-"&amp;MID(SUBSTITUTE(SUBSTITUTE(SUBSTITUTE(SUBSTITUTE(SUBSTITUTE(Клиенты_исходные!D695," ",""),"-",""),"+",""),"(",""),")",""),8,2),Клиенты_исходные!D695)))</f>
        <v xml:space="preserve">+7 (903) 789-01-23</v>
      </c>
      <c r="E695" t="str">
        <f>IF(ISBLANK(Клиенты_исходные!E695),"",IF(ISNUMBER(FIND(".",MID(Клиенты_исходные!E695,FIND("@",Клиенты_исходные!E695)+1,255))),Клиенты_исходные!E695,IF(ISNUMBER(FIND("gmail",Клиенты_исходные!E695)),Клиенты_исходные!E695&amp;".com",Клиенты_исходные!E695&amp;".ru")))</f>
        <v>stepanov@mail.ru</v>
      </c>
      <c r="F695" t="str">
        <f>IFERROR(VLOOKUP(Клиенты_исходные!F695,Справочники!$J$2:$K$50,2,FALSE),Клиенты_исходные!F695)</f>
        <v>Мурманск</v>
      </c>
      <c r="G695" s="8">
        <f>IFERROR(IF(ISNUMBER(FIND(".",Клиенты_исходные!G695)),DATE(RIGHT(Клиенты_исходные!G695,4),MID(Клиенты_исходные!G695,4,2),LEFT(Клиенты_исходные!G695,2)),DATE(LEFT(Клиенты_исходные!G695,4),MID(Клиенты_исходные!G695,6,2),RIGHT(Клиенты_исходные!G695,2))),Клиенты_исходные!G695)</f>
        <v>51592</v>
      </c>
      <c r="H695">
        <f t="shared" ca="1" si="79"/>
        <v>42</v>
      </c>
      <c r="I695" t="str">
        <f t="shared" si="80"/>
        <v>OK</v>
      </c>
      <c r="J695" t="str">
        <f t="shared" si="81"/>
        <v>OK</v>
      </c>
    </row>
    <row r="696">
      <c r="A696" t="str">
        <f>Клиенты_исходные!A696</f>
        <v>C0695</v>
      </c>
      <c r="B696" t="str">
        <f>PROPER(TRIM(Клиенты_исходные!B696))</f>
        <v xml:space="preserve">Гаврилова Ольга Павловна</v>
      </c>
      <c r="C696" s="8">
        <f>IFERROR(IF(ISNUMBER(FIND(".",Клиенты_исходные!C696)),DATE(RIGHT(Клиенты_исходные!C696,4),MID(Клиенты_исходные!C696,4,2),LEFT(Клиенты_исходные!C696,2)),DATE(LEFT(Клиенты_исходные!C696,4),MID(Клиенты_исходные!C696,6,2),RIGHT(Клиенты_исходные!C696,2))),Клиенты_исходные!C696)</f>
        <v>33257</v>
      </c>
      <c r="D696" t="str">
        <f>IF(ISBLANK(Клиенты_исходные!D696),"",IF(LEN(SUBSTITUTE(SUBSTITUTE(SUBSTITUTE(SUBSTITUTE(SUBSTITUTE(Клиенты_исходные!D696," ",""),"-",""),"+",""),"(",""),")",""))=11,"+7 ("&amp;MID(IF(LEFT(SUBSTITUTE(SUBSTITUTE(SUBSTITUTE(SUBSTITUTE(SUBSTITUTE(Клиенты_исходные!D696," ",""),"-",""),"+",""),"(",""),")",""))="8","7"&amp;MID(SUBSTITUTE(SUBSTITUTE(SUBSTITUTE(SUBSTITUTE(SUBSTITUTE(Клиенты_исходные!D696," ",""),"-",""),"+",""),"(",""),")",""),2,10),SUBSTITUTE(SUBSTITUTE(SUBSTITUTE(SUBSTITUTE(SUBSTITUTE(Клиенты_исходные!D696," ",""),"-",""),"+",""),"(",""),")","")),2,3)&amp;") "&amp;MID(IF(LEFT(SUBSTITUTE(SUBSTITUTE(SUBSTITUTE(SUBSTITUTE(SUBSTITUTE(Клиенты_исходные!D696," ",""),"-",""),"+",""),"(",""),")",""))="8","7"&amp;MID(SUBSTITUTE(SUBSTITUTE(SUBSTITUTE(SUBSTITUTE(SUBSTITUTE(Клиенты_исходные!D696," ",""),"-",""),"+",""),"(",""),")",""),2,10),SUBSTITUTE(SUBSTITUTE(SUBSTITUTE(SUBSTITUTE(SUBSTITUTE(Клиенты_исходные!D696," ",""),"-",""),"+",""),"(",""),")","")),5,3)&amp;"-"&amp;MID(IF(LEFT(SUBSTITUTE(SUBSTITUTE(SUBSTITUTE(SUBSTITUTE(SUBSTITUTE(Клиенты_исходные!D696," ",""),"-",""),"+",""),"(",""),")",""))="8","7"&amp;MID(SUBSTITUTE(SUBSTITUTE(SUBSTITUTE(SUBSTITUTE(SUBSTITUTE(Клиенты_исходные!D696," ",""),"-",""),"+",""),"(",""),")",""),2,10),SUBSTITUTE(SUBSTITUTE(SUBSTITUTE(SUBSTITUTE(SUBSTITUTE(Клиенты_исходные!D696," ",""),"-",""),"+",""),"(",""),")","")),8,2)&amp;"-"&amp;MID(IF(LEFT(SUBSTITUTE(SUBSTITUTE(SUBSTITUTE(SUBSTITUTE(SUBSTITUTE(Клиенты_исходные!D696," ",""),"-",""),"+",""),"(",""),")",""))="8","7"&amp;MID(SUBSTITUTE(SUBSTITUTE(SUBSTITUTE(SUBSTITUTE(SUBSTITUTE(Клиенты_исходные!D696," ",""),"-",""),"+",""),"(",""),")",""),2,10),SUBSTITUTE(SUBSTITUTE(SUBSTITUTE(SUBSTITUTE(SUBSTITUTE(Клиенты_исходные!D696," ",""),"-",""),"+",""),"(",""),")","")),10,2),IF(LEN(SUBSTITUTE(SUBSTITUTE(SUBSTITUTE(SUBSTITUTE(SUBSTITUTE(Клиенты_исходные!D696," ",""),"-",""),"+",""),"(",""),")",""))=10,"+7 ("&amp;MID(SUBSTITUTE(SUBSTITUTE(SUBSTITUTE(SUBSTITUTE(SUBSTITUTE(Клиенты_исходные!D696," ",""),"-",""),"+",""),"(",""),")",""),1,3)&amp;") "&amp;MID(SUBSTITUTE(SUBSTITUTE(SUBSTITUTE(SUBSTITUTE(SUBSTITUTE(Клиенты_исходные!D696," ",""),"-",""),"+",""),"(",""),")",""),4,3)&amp;"-"&amp;MID(SUBSTITUTE(SUBSTITUTE(SUBSTITUTE(SUBSTITUTE(SUBSTITUTE(Клиенты_исходные!D696," ",""),"-",""),"+",""),"(",""),")",""),6,2)&amp;"-"&amp;MID(SUBSTITUTE(SUBSTITUTE(SUBSTITUTE(SUBSTITUTE(SUBSTITUTE(Клиенты_исходные!D696," ",""),"-",""),"+",""),"(",""),")",""),8,2),Клиенты_исходные!D696)))</f>
        <v xml:space="preserve">+7 (903) 789-01-23</v>
      </c>
      <c r="E696" t="str">
        <f>IF(ISBLANK(Клиенты_исходные!E696),"",IF(ISNUMBER(FIND(".",MID(Клиенты_исходные!E696,FIND("@",Клиенты_исходные!E696)+1,255))),Клиенты_исходные!E696,IF(ISNUMBER(FIND("gmail",Клиенты_исходные!E696)),Клиенты_исходные!E696&amp;".com",Клиенты_исходные!E696&amp;".ru")))</f>
        <v>gavrilova@yandex.ru</v>
      </c>
      <c r="F696" t="str">
        <f>IFERROR(VLOOKUP(Клиенты_исходные!F696,Справочники!$J$2:$K$50,2,FALSE),Клиенты_исходные!F696)</f>
        <v>Ставрополь</v>
      </c>
      <c r="G696" s="8">
        <f>IFERROR(IF(ISNUMBER(FIND(".",Клиенты_исходные!G696)),DATE(RIGHT(Клиенты_исходные!G696,4),MID(Клиенты_исходные!G696,4,2),LEFT(Клиенты_исходные!G696,2)),DATE(LEFT(Клиенты_исходные!G696,4),MID(Клиенты_исходные!G696,6,2),RIGHT(Клиенты_исходные!G696,2))),Клиенты_исходные!G696)</f>
        <v>51601</v>
      </c>
      <c r="H696">
        <f t="shared" ca="1" si="79"/>
        <v>35</v>
      </c>
      <c r="I696" t="str">
        <f t="shared" si="80"/>
        <v>OK</v>
      </c>
      <c r="J696" t="str">
        <f t="shared" si="81"/>
        <v>OK</v>
      </c>
    </row>
    <row r="697">
      <c r="A697" t="str">
        <f>Клиенты_исходные!A697</f>
        <v>C0696</v>
      </c>
      <c r="B697" t="str">
        <f>PROPER(TRIM(Клиенты_исходные!B697))</f>
        <v xml:space="preserve">Кулешова Екатерина Алексеевна</v>
      </c>
      <c r="C697" s="8">
        <f>IFERROR(IF(ISNUMBER(FIND(".",Клиенты_исходные!C697)),DATE(RIGHT(Клиенты_исходные!C697,4),MID(Клиенты_исходные!C697,4,2),LEFT(Клиенты_исходные!C697,2)),DATE(LEFT(Клиенты_исходные!C697,4),MID(Клиенты_исходные!C697,6,2),RIGHT(Клиенты_исходные!C697,2))),Клиенты_исходные!C697)</f>
        <v>28816</v>
      </c>
      <c r="D697" t="str">
        <f>IF(ISBLANK(Клиенты_исходные!D697),"",IF(LEN(SUBSTITUTE(SUBSTITUTE(SUBSTITUTE(SUBSTITUTE(SUBSTITUTE(Клиенты_исходные!D697," ",""),"-",""),"+",""),"(",""),")",""))=11,"+7 ("&amp;MID(IF(LEFT(SUBSTITUTE(SUBSTITUTE(SUBSTITUTE(SUBSTITUTE(SUBSTITUTE(Клиенты_исходные!D697," ",""),"-",""),"+",""),"(",""),")",""))="8","7"&amp;MID(SUBSTITUTE(SUBSTITUTE(SUBSTITUTE(SUBSTITUTE(SUBSTITUTE(Клиенты_исходные!D697," ",""),"-",""),"+",""),"(",""),")",""),2,10),SUBSTITUTE(SUBSTITUTE(SUBSTITUTE(SUBSTITUTE(SUBSTITUTE(Клиенты_исходные!D697," ",""),"-",""),"+",""),"(",""),")","")),2,3)&amp;") "&amp;MID(IF(LEFT(SUBSTITUTE(SUBSTITUTE(SUBSTITUTE(SUBSTITUTE(SUBSTITUTE(Клиенты_исходные!D697," ",""),"-",""),"+",""),"(",""),")",""))="8","7"&amp;MID(SUBSTITUTE(SUBSTITUTE(SUBSTITUTE(SUBSTITUTE(SUBSTITUTE(Клиенты_исходные!D697," ",""),"-",""),"+",""),"(",""),")",""),2,10),SUBSTITUTE(SUBSTITUTE(SUBSTITUTE(SUBSTITUTE(SUBSTITUTE(Клиенты_исходные!D697," ",""),"-",""),"+",""),"(",""),")","")),5,3)&amp;"-"&amp;MID(IF(LEFT(SUBSTITUTE(SUBSTITUTE(SUBSTITUTE(SUBSTITUTE(SUBSTITUTE(Клиенты_исходные!D697," ",""),"-",""),"+",""),"(",""),")",""))="8","7"&amp;MID(SUBSTITUTE(SUBSTITUTE(SUBSTITUTE(SUBSTITUTE(SUBSTITUTE(Клиенты_исходные!D697," ",""),"-",""),"+",""),"(",""),")",""),2,10),SUBSTITUTE(SUBSTITUTE(SUBSTITUTE(SUBSTITUTE(SUBSTITUTE(Клиенты_исходные!D697," ",""),"-",""),"+",""),"(",""),")","")),8,2)&amp;"-"&amp;MID(IF(LEFT(SUBSTITUTE(SUBSTITUTE(SUBSTITUTE(SUBSTITUTE(SUBSTITUTE(Клиенты_исходные!D697," ",""),"-",""),"+",""),"(",""),")",""))="8","7"&amp;MID(SUBSTITUTE(SUBSTITUTE(SUBSTITUTE(SUBSTITUTE(SUBSTITUTE(Клиенты_исходные!D697," ",""),"-",""),"+",""),"(",""),")",""),2,10),SUBSTITUTE(SUBSTITUTE(SUBSTITUTE(SUBSTITUTE(SUBSTITUTE(Клиенты_исходные!D697," ",""),"-",""),"+",""),"(",""),")","")),10,2),IF(LEN(SUBSTITUTE(SUBSTITUTE(SUBSTITUTE(SUBSTITUTE(SUBSTITUTE(Клиенты_исходные!D697," ",""),"-",""),"+",""),"(",""),")",""))=10,"+7 ("&amp;MID(SUBSTITUTE(SUBSTITUTE(SUBSTITUTE(SUBSTITUTE(SUBSTITUTE(Клиенты_исходные!D697," ",""),"-",""),"+",""),"(",""),")",""),1,3)&amp;") "&amp;MID(SUBSTITUTE(SUBSTITUTE(SUBSTITUTE(SUBSTITUTE(SUBSTITUTE(Клиенты_исходные!D697," ",""),"-",""),"+",""),"(",""),")",""),4,3)&amp;"-"&amp;MID(SUBSTITUTE(SUBSTITUTE(SUBSTITUTE(SUBSTITUTE(SUBSTITUTE(Клиенты_исходные!D697," ",""),"-",""),"+",""),"(",""),")",""),6,2)&amp;"-"&amp;MID(SUBSTITUTE(SUBSTITUTE(SUBSTITUTE(SUBSTITUTE(SUBSTITUTE(Клиенты_исходные!D697," ",""),"-",""),"+",""),"(",""),")",""),8,2),Клиенты_исходные!D697)))</f>
        <v xml:space="preserve">+7 (903) 890-12-34</v>
      </c>
      <c r="E697" t="str">
        <f>IF(ISBLANK(Клиенты_исходные!E697),"",IF(ISNUMBER(FIND(".",MID(Клиенты_исходные!E697,FIND("@",Клиенты_исходные!E697)+1,255))),Клиенты_исходные!E697,IF(ISNUMBER(FIND("gmail",Клиенты_исходные!E697)),Клиенты_исходные!E697&amp;".com",Клиенты_исходные!E697&amp;".ru")))</f>
        <v>kuleshova@gmail.com</v>
      </c>
      <c r="F697" t="str">
        <f>IFERROR(VLOOKUP(Клиенты_исходные!F697,Справочники!$J$2:$K$50,2,FALSE),Клиенты_исходные!F697)</f>
        <v>Севастополь</v>
      </c>
      <c r="G697" s="8">
        <f>IFERROR(IF(ISNUMBER(FIND(".",Клиенты_исходные!G697)),DATE(RIGHT(Клиенты_исходные!G697,4),MID(Клиенты_исходные!G697,4,2),LEFT(Клиенты_исходные!G697,2)),DATE(LEFT(Клиенты_исходные!G697,4),MID(Клиенты_исходные!G697,6,2),RIGHT(Клиенты_исходные!G697,2))),Клиенты_исходные!G697)</f>
        <v>51601</v>
      </c>
      <c r="H697">
        <f t="shared" ca="1" si="79"/>
        <v>47</v>
      </c>
      <c r="I697" t="str">
        <f t="shared" si="80"/>
        <v>OK</v>
      </c>
      <c r="J697" t="str">
        <f t="shared" si="81"/>
        <v>OK</v>
      </c>
    </row>
    <row r="698">
      <c r="A698" t="str">
        <f>Клиенты_исходные!A698</f>
        <v>C0697</v>
      </c>
      <c r="B698" t="str">
        <f>PROPER(TRIM(Клиенты_исходные!B698))</f>
        <v xml:space="preserve">Молчанов Илья Александрович</v>
      </c>
      <c r="C698" s="8">
        <f>IFERROR(IF(ISNUMBER(FIND(".",Клиенты_исходные!C698)),DATE(RIGHT(Клиенты_исходные!C698,4),MID(Клиенты_исходные!C698,4,2),LEFT(Клиенты_исходные!C698,2)),DATE(LEFT(Клиенты_исходные!C698,4),MID(Клиенты_исходные!C698,6,2),RIGHT(Клиенты_исходные!C698,2))),Клиенты_исходные!C698)</f>
        <v>31669</v>
      </c>
      <c r="D698" t="str">
        <f>IF(ISBLANK(Клиенты_исходные!D698),"",IF(LEN(SUBSTITUTE(SUBSTITUTE(SUBSTITUTE(SUBSTITUTE(SUBSTITUTE(Клиенты_исходные!D698," ",""),"-",""),"+",""),"(",""),")",""))=11,"+7 ("&amp;MID(IF(LEFT(SUBSTITUTE(SUBSTITUTE(SUBSTITUTE(SUBSTITUTE(SUBSTITUTE(Клиенты_исходные!D698," ",""),"-",""),"+",""),"(",""),")",""))="8","7"&amp;MID(SUBSTITUTE(SUBSTITUTE(SUBSTITUTE(SUBSTITUTE(SUBSTITUTE(Клиенты_исходные!D698," ",""),"-",""),"+",""),"(",""),")",""),2,10),SUBSTITUTE(SUBSTITUTE(SUBSTITUTE(SUBSTITUTE(SUBSTITUTE(Клиенты_исходные!D698," ",""),"-",""),"+",""),"(",""),")","")),2,3)&amp;") "&amp;MID(IF(LEFT(SUBSTITUTE(SUBSTITUTE(SUBSTITUTE(SUBSTITUTE(SUBSTITUTE(Клиенты_исходные!D698," ",""),"-",""),"+",""),"(",""),")",""))="8","7"&amp;MID(SUBSTITUTE(SUBSTITUTE(SUBSTITUTE(SUBSTITUTE(SUBSTITUTE(Клиенты_исходные!D698," ",""),"-",""),"+",""),"(",""),")",""),2,10),SUBSTITUTE(SUBSTITUTE(SUBSTITUTE(SUBSTITUTE(SUBSTITUTE(Клиенты_исходные!D698," ",""),"-",""),"+",""),"(",""),")","")),5,3)&amp;"-"&amp;MID(IF(LEFT(SUBSTITUTE(SUBSTITUTE(SUBSTITUTE(SUBSTITUTE(SUBSTITUTE(Клиенты_исходные!D698," ",""),"-",""),"+",""),"(",""),")",""))="8","7"&amp;MID(SUBSTITUTE(SUBSTITUTE(SUBSTITUTE(SUBSTITUTE(SUBSTITUTE(Клиенты_исходные!D698," ",""),"-",""),"+",""),"(",""),")",""),2,10),SUBSTITUTE(SUBSTITUTE(SUBSTITUTE(SUBSTITUTE(SUBSTITUTE(Клиенты_исходные!D698," ",""),"-",""),"+",""),"(",""),")","")),8,2)&amp;"-"&amp;MID(IF(LEFT(SUBSTITUTE(SUBSTITUTE(SUBSTITUTE(SUBSTITUTE(SUBSTITUTE(Клиенты_исходные!D698," ",""),"-",""),"+",""),"(",""),")",""))="8","7"&amp;MID(SUBSTITUTE(SUBSTITUTE(SUBSTITUTE(SUBSTITUTE(SUBSTITUTE(Клиенты_исходные!D698," ",""),"-",""),"+",""),"(",""),")",""),2,10),SUBSTITUTE(SUBSTITUTE(SUBSTITUTE(SUBSTITUTE(SUBSTITUTE(Клиенты_исходные!D698," ",""),"-",""),"+",""),"(",""),")","")),10,2),IF(LEN(SUBSTITUTE(SUBSTITUTE(SUBSTITUTE(SUBSTITUTE(SUBSTITUTE(Клиенты_исходные!D698," ",""),"-",""),"+",""),"(",""),")",""))=10,"+7 ("&amp;MID(SUBSTITUTE(SUBSTITUTE(SUBSTITUTE(SUBSTITUTE(SUBSTITUTE(Клиенты_исходные!D698," ",""),"-",""),"+",""),"(",""),")",""),1,3)&amp;") "&amp;MID(SUBSTITUTE(SUBSTITUTE(SUBSTITUTE(SUBSTITUTE(SUBSTITUTE(Клиенты_исходные!D698," ",""),"-",""),"+",""),"(",""),")",""),4,3)&amp;"-"&amp;MID(SUBSTITUTE(SUBSTITUTE(SUBSTITUTE(SUBSTITUTE(SUBSTITUTE(Клиенты_исходные!D698," ",""),"-",""),"+",""),"(",""),")",""),6,2)&amp;"-"&amp;MID(SUBSTITUTE(SUBSTITUTE(SUBSTITUTE(SUBSTITUTE(SUBSTITUTE(Клиенты_исходные!D698," ",""),"-",""),"+",""),"(",""),")",""),8,2),Клиенты_исходные!D698)))</f>
        <v xml:space="preserve">+7 (903) 890-12-34</v>
      </c>
      <c r="E698" t="str">
        <f>IF(ISBLANK(Клиенты_исходные!E698),"",IF(ISNUMBER(FIND(".",MID(Клиенты_исходные!E698,FIND("@",Клиенты_исходные!E698)+1,255))),Клиенты_исходные!E698,IF(ISNUMBER(FIND("gmail",Клиенты_исходные!E698)),Клиенты_исходные!E698&amp;".com",Клиенты_исходные!E698&amp;".ru")))</f>
        <v>molchanov@mail.ru</v>
      </c>
      <c r="F698" t="str">
        <f>IFERROR(VLOOKUP(Клиенты_исходные!F698,Справочники!$J$2:$K$50,2,FALSE),Клиенты_исходные!F698)</f>
        <v>Сочи</v>
      </c>
      <c r="G698" s="8">
        <f>IFERROR(IF(ISNUMBER(FIND(".",Клиенты_исходные!G698)),DATE(RIGHT(Клиенты_исходные!G698,4),MID(Клиенты_исходные!G698,4,2),LEFT(Клиенты_исходные!G698,2)),DATE(LEFT(Клиенты_исходные!G698,4),MID(Клиенты_исходные!G698,6,2),RIGHT(Клиенты_исходные!G698,2))),Клиенты_исходные!G698)</f>
        <v>51622</v>
      </c>
      <c r="H698">
        <f t="shared" ca="1" si="79"/>
        <v>40</v>
      </c>
      <c r="I698" t="str">
        <f t="shared" si="80"/>
        <v>OK</v>
      </c>
      <c r="J698" t="str">
        <f t="shared" si="81"/>
        <v>OK</v>
      </c>
    </row>
    <row r="699">
      <c r="A699" t="str">
        <f>Клиенты_исходные!A699</f>
        <v>C0698</v>
      </c>
      <c r="B699" t="str">
        <f>PROPER(TRIM(Клиенты_исходные!B699))</f>
        <v xml:space="preserve">Пестова Мария Владимировна</v>
      </c>
      <c r="C699" s="8">
        <f>IFERROR(IF(ISNUMBER(FIND(".",Клиенты_исходные!C699)),DATE(RIGHT(Клиенты_исходные!C699,4),MID(Клиенты_исходные!C699,4,2),LEFT(Клиенты_исходные!C699,2)),DATE(LEFT(Клиенты_исходные!C699,4),MID(Клиенты_исходные!C699,6,2),RIGHT(Клиенты_исходные!C699,2))),Клиенты_исходные!C699)</f>
        <v>30475</v>
      </c>
      <c r="D699" t="str">
        <f>IF(ISBLANK(Клиенты_исходные!D699),"",IF(LEN(SUBSTITUTE(SUBSTITUTE(SUBSTITUTE(SUBSTITUTE(SUBSTITUTE(Клиенты_исходные!D699," ",""),"-",""),"+",""),"(",""),")",""))=11,"+7 ("&amp;MID(IF(LEFT(SUBSTITUTE(SUBSTITUTE(SUBSTITUTE(SUBSTITUTE(SUBSTITUTE(Клиенты_исходные!D699," ",""),"-",""),"+",""),"(",""),")",""))="8","7"&amp;MID(SUBSTITUTE(SUBSTITUTE(SUBSTITUTE(SUBSTITUTE(SUBSTITUTE(Клиенты_исходные!D699," ",""),"-",""),"+",""),"(",""),")",""),2,10),SUBSTITUTE(SUBSTITUTE(SUBSTITUTE(SUBSTITUTE(SUBSTITUTE(Клиенты_исходные!D699," ",""),"-",""),"+",""),"(",""),")","")),2,3)&amp;") "&amp;MID(IF(LEFT(SUBSTITUTE(SUBSTITUTE(SUBSTITUTE(SUBSTITUTE(SUBSTITUTE(Клиенты_исходные!D699," ",""),"-",""),"+",""),"(",""),")",""))="8","7"&amp;MID(SUBSTITUTE(SUBSTITUTE(SUBSTITUTE(SUBSTITUTE(SUBSTITUTE(Клиенты_исходные!D699," ",""),"-",""),"+",""),"(",""),")",""),2,10),SUBSTITUTE(SUBSTITUTE(SUBSTITUTE(SUBSTITUTE(SUBSTITUTE(Клиенты_исходные!D699," ",""),"-",""),"+",""),"(",""),")","")),5,3)&amp;"-"&amp;MID(IF(LEFT(SUBSTITUTE(SUBSTITUTE(SUBSTITUTE(SUBSTITUTE(SUBSTITUTE(Клиенты_исходные!D699," ",""),"-",""),"+",""),"(",""),")",""))="8","7"&amp;MID(SUBSTITUTE(SUBSTITUTE(SUBSTITUTE(SUBSTITUTE(SUBSTITUTE(Клиенты_исходные!D699," ",""),"-",""),"+",""),"(",""),")",""),2,10),SUBSTITUTE(SUBSTITUTE(SUBSTITUTE(SUBSTITUTE(SUBSTITUTE(Клиенты_исходные!D699," ",""),"-",""),"+",""),"(",""),")","")),8,2)&amp;"-"&amp;MID(IF(LEFT(SUBSTITUTE(SUBSTITUTE(SUBSTITUTE(SUBSTITUTE(SUBSTITUTE(Клиенты_исходные!D699," ",""),"-",""),"+",""),"(",""),")",""))="8","7"&amp;MID(SUBSTITUTE(SUBSTITUTE(SUBSTITUTE(SUBSTITUTE(SUBSTITUTE(Клиенты_исходные!D699," ",""),"-",""),"+",""),"(",""),")",""),2,10),SUBSTITUTE(SUBSTITUTE(SUBSTITUTE(SUBSTITUTE(SUBSTITUTE(Клиенты_исходные!D699," ",""),"-",""),"+",""),"(",""),")","")),10,2),IF(LEN(SUBSTITUTE(SUBSTITUTE(SUBSTITUTE(SUBSTITUTE(SUBSTITUTE(Клиенты_исходные!D699," ",""),"-",""),"+",""),"(",""),")",""))=10,"+7 ("&amp;MID(SUBSTITUTE(SUBSTITUTE(SUBSTITUTE(SUBSTITUTE(SUBSTITUTE(Клиенты_исходные!D699," ",""),"-",""),"+",""),"(",""),")",""),1,3)&amp;") "&amp;MID(SUBSTITUTE(SUBSTITUTE(SUBSTITUTE(SUBSTITUTE(SUBSTITUTE(Клиенты_исходные!D699," ",""),"-",""),"+",""),"(",""),")",""),4,3)&amp;"-"&amp;MID(SUBSTITUTE(SUBSTITUTE(SUBSTITUTE(SUBSTITUTE(SUBSTITUTE(Клиенты_исходные!D699," ",""),"-",""),"+",""),"(",""),")",""),6,2)&amp;"-"&amp;MID(SUBSTITUTE(SUBSTITUTE(SUBSTITUTE(SUBSTITUTE(SUBSTITUTE(Клиенты_исходные!D699," ",""),"-",""),"+",""),"(",""),")",""),8,2),Клиенты_исходные!D699)))</f>
        <v xml:space="preserve">+7 (903) 890-12-34</v>
      </c>
      <c r="E699" t="str">
        <f>IF(ISBLANK(Клиенты_исходные!E699),"",IF(ISNUMBER(FIND(".",MID(Клиенты_исходные!E699,FIND("@",Клиенты_исходные!E699)+1,255))),Клиенты_исходные!E699,IF(ISNUMBER(FIND("gmail",Клиенты_исходные!E699)),Клиенты_исходные!E699&amp;".com",Клиенты_исходные!E699&amp;".ru")))</f>
        <v>pestova@yandex.ru</v>
      </c>
      <c r="F699" t="str">
        <f>IFERROR(VLOOKUP(Клиенты_исходные!F699,Справочники!$J$2:$K$50,2,FALSE),Клиенты_исходные!F699)</f>
        <v>Симферополь</v>
      </c>
      <c r="G699" s="8">
        <f>IFERROR(IF(ISNUMBER(FIND(".",Клиенты_исходные!G699)),DATE(RIGHT(Клиенты_исходные!G699,4),MID(Клиенты_исходные!G699,4,2),LEFT(Клиенты_исходные!G699,2)),DATE(LEFT(Клиенты_исходные!G699,4),MID(Клиенты_исходные!G699,6,2),RIGHT(Клиенты_исходные!G699,2))),Клиенты_исходные!G699)</f>
        <v>51636</v>
      </c>
      <c r="H699">
        <f t="shared" ca="1" si="79"/>
        <v>43</v>
      </c>
      <c r="I699" t="str">
        <f t="shared" si="80"/>
        <v>OK</v>
      </c>
      <c r="J699" t="str">
        <f t="shared" si="81"/>
        <v>OK</v>
      </c>
    </row>
    <row r="700">
      <c r="A700" t="str">
        <f>Клиенты_исходные!A700</f>
        <v>C0699</v>
      </c>
      <c r="B700" t="str">
        <f>PROPER(TRIM(Клиенты_исходные!B700))</f>
        <v xml:space="preserve">Дроздов Андрей Олегович</v>
      </c>
      <c r="C700" s="8">
        <f>IFERROR(IF(ISNUMBER(FIND(".",Клиенты_исходные!C700)),DATE(RIGHT(Клиенты_исходные!C700,4),MID(Клиенты_исходные!C700,4,2),LEFT(Клиенты_исходные!C700,2)),DATE(LEFT(Клиенты_исходные!C700,4),MID(Клиенты_исходные!C700,6,2),RIGHT(Клиенты_исходные!C700,2))),Клиенты_исходные!C700)</f>
        <v>28489</v>
      </c>
      <c r="D700" t="str">
        <f>IF(ISBLANK(Клиенты_исходные!D700),"",IF(LEN(SUBSTITUTE(SUBSTITUTE(SUBSTITUTE(SUBSTITUTE(SUBSTITUTE(Клиенты_исходные!D700," ",""),"-",""),"+",""),"(",""),")",""))=11,"+7 ("&amp;MID(IF(LEFT(SUBSTITUTE(SUBSTITUTE(SUBSTITUTE(SUBSTITUTE(SUBSTITUTE(Клиенты_исходные!D700," ",""),"-",""),"+",""),"(",""),")",""))="8","7"&amp;MID(SUBSTITUTE(SUBSTITUTE(SUBSTITUTE(SUBSTITUTE(SUBSTITUTE(Клиенты_исходные!D700," ",""),"-",""),"+",""),"(",""),")",""),2,10),SUBSTITUTE(SUBSTITUTE(SUBSTITUTE(SUBSTITUTE(SUBSTITUTE(Клиенты_исходные!D700," ",""),"-",""),"+",""),"(",""),")","")),2,3)&amp;") "&amp;MID(IF(LEFT(SUBSTITUTE(SUBSTITUTE(SUBSTITUTE(SUBSTITUTE(SUBSTITUTE(Клиенты_исходные!D700," ",""),"-",""),"+",""),"(",""),")",""))="8","7"&amp;MID(SUBSTITUTE(SUBSTITUTE(SUBSTITUTE(SUBSTITUTE(SUBSTITUTE(Клиенты_исходные!D700," ",""),"-",""),"+",""),"(",""),")",""),2,10),SUBSTITUTE(SUBSTITUTE(SUBSTITUTE(SUBSTITUTE(SUBSTITUTE(Клиенты_исходные!D700," ",""),"-",""),"+",""),"(",""),")","")),5,3)&amp;"-"&amp;MID(IF(LEFT(SUBSTITUTE(SUBSTITUTE(SUBSTITUTE(SUBSTITUTE(SUBSTITUTE(Клиенты_исходные!D700," ",""),"-",""),"+",""),"(",""),")",""))="8","7"&amp;MID(SUBSTITUTE(SUBSTITUTE(SUBSTITUTE(SUBSTITUTE(SUBSTITUTE(Клиенты_исходные!D700," ",""),"-",""),"+",""),"(",""),")",""),2,10),SUBSTITUTE(SUBSTITUTE(SUBSTITUTE(SUBSTITUTE(SUBSTITUTE(Клиенты_исходные!D700," ",""),"-",""),"+",""),"(",""),")","")),8,2)&amp;"-"&amp;MID(IF(LEFT(SUBSTITUTE(SUBSTITUTE(SUBSTITUTE(SUBSTITUTE(SUBSTITUTE(Клиенты_исходные!D700," ",""),"-",""),"+",""),"(",""),")",""))="8","7"&amp;MID(SUBSTITUTE(SUBSTITUTE(SUBSTITUTE(SUBSTITUTE(SUBSTITUTE(Клиенты_исходные!D700," ",""),"-",""),"+",""),"(",""),")",""),2,10),SUBSTITUTE(SUBSTITUTE(SUBSTITUTE(SUBSTITUTE(SUBSTITUTE(Клиенты_исходные!D700," ",""),"-",""),"+",""),"(",""),")","")),10,2),IF(LEN(SUBSTITUTE(SUBSTITUTE(SUBSTITUTE(SUBSTITUTE(SUBSTITUTE(Клиенты_исходные!D700," ",""),"-",""),"+",""),"(",""),")",""))=10,"+7 ("&amp;MID(SUBSTITUTE(SUBSTITUTE(SUBSTITUTE(SUBSTITUTE(SUBSTITUTE(Клиенты_исходные!D700," ",""),"-",""),"+",""),"(",""),")",""),1,3)&amp;") "&amp;MID(SUBSTITUTE(SUBSTITUTE(SUBSTITUTE(SUBSTITUTE(SUBSTITUTE(Клиенты_исходные!D700," ",""),"-",""),"+",""),"(",""),")",""),4,3)&amp;"-"&amp;MID(SUBSTITUTE(SUBSTITUTE(SUBSTITUTE(SUBSTITUTE(SUBSTITUTE(Клиенты_исходные!D700," ",""),"-",""),"+",""),"(",""),")",""),6,2)&amp;"-"&amp;MID(SUBSTITUTE(SUBSTITUTE(SUBSTITUTE(SUBSTITUTE(SUBSTITUTE(Клиенты_исходные!D700," ",""),"-",""),"+",""),"(",""),")",""),8,2),Клиенты_исходные!D700)))</f>
        <v xml:space="preserve">+7 (903) 901-23-45</v>
      </c>
      <c r="E700" t="str">
        <f>IF(ISBLANK(Клиенты_исходные!E700),"",IF(ISNUMBER(FIND(".",MID(Клиенты_исходные!E700,FIND("@",Клиенты_исходные!E700)+1,255))),Клиенты_исходные!E700,IF(ISNUMBER(FIND("gmail",Клиенты_исходные!E700)),Клиенты_исходные!E700&amp;".com",Клиенты_исходные!E700&amp;".ru")))</f>
        <v>drozdov@gmail.com</v>
      </c>
      <c r="F700" t="str">
        <f>IFERROR(VLOOKUP(Клиенты_исходные!F700,Справочники!$J$2:$K$50,2,FALSE),Клиенты_исходные!F700)</f>
        <v>Брянск</v>
      </c>
      <c r="G700" s="8">
        <f>IFERROR(IF(ISNUMBER(FIND(".",Клиенты_исходные!G700)),DATE(RIGHT(Клиенты_исходные!G700,4),MID(Клиенты_исходные!G700,4,2),LEFT(Клиенты_исходные!G700,2)),DATE(LEFT(Клиенты_исходные!G700,4),MID(Клиенты_исходные!G700,6,2),RIGHT(Клиенты_исходные!G700,2))),Клиенты_исходные!G700)</f>
        <v>51636</v>
      </c>
      <c r="H700">
        <f t="shared" ca="1" si="79"/>
        <v>48</v>
      </c>
      <c r="I700" t="str">
        <f t="shared" si="80"/>
        <v>OK</v>
      </c>
      <c r="J700" t="str">
        <f t="shared" si="81"/>
        <v>OK</v>
      </c>
    </row>
    <row r="701">
      <c r="A701" t="str">
        <f>Клиенты_исходные!A701</f>
        <v>C0700</v>
      </c>
      <c r="B701" t="str">
        <f>PROPER(TRIM(Клиенты_исходные!B701))</f>
        <v xml:space="preserve">Дубинина Ольга Сергеевна</v>
      </c>
      <c r="C701" s="8">
        <f>IFERROR(IF(ISNUMBER(FIND(".",Клиенты_исходные!C701)),DATE(RIGHT(Клиенты_исходные!C701,4),MID(Клиенты_исходные!C701,4,2),LEFT(Клиенты_исходные!C701,2)),DATE(LEFT(Клиенты_исходные!C701,4),MID(Клиенты_исходные!C701,6,2),RIGHT(Клиенты_исходные!C701,2))),Клиенты_исходные!C701)</f>
        <v>32225</v>
      </c>
      <c r="D701" t="str">
        <f>IF(ISBLANK(Клиенты_исходные!D701),"",IF(LEN(SUBSTITUTE(SUBSTITUTE(SUBSTITUTE(SUBSTITUTE(SUBSTITUTE(Клиенты_исходные!D701," ",""),"-",""),"+",""),"(",""),")",""))=11,"+7 ("&amp;MID(IF(LEFT(SUBSTITUTE(SUBSTITUTE(SUBSTITUTE(SUBSTITUTE(SUBSTITUTE(Клиенты_исходные!D701," ",""),"-",""),"+",""),"(",""),")",""))="8","7"&amp;MID(SUBSTITUTE(SUBSTITUTE(SUBSTITUTE(SUBSTITUTE(SUBSTITUTE(Клиенты_исходные!D701," ",""),"-",""),"+",""),"(",""),")",""),2,10),SUBSTITUTE(SUBSTITUTE(SUBSTITUTE(SUBSTITUTE(SUBSTITUTE(Клиенты_исходные!D701," ",""),"-",""),"+",""),"(",""),")","")),2,3)&amp;") "&amp;MID(IF(LEFT(SUBSTITUTE(SUBSTITUTE(SUBSTITUTE(SUBSTITUTE(SUBSTITUTE(Клиенты_исходные!D701," ",""),"-",""),"+",""),"(",""),")",""))="8","7"&amp;MID(SUBSTITUTE(SUBSTITUTE(SUBSTITUTE(SUBSTITUTE(SUBSTITUTE(Клиенты_исходные!D701," ",""),"-",""),"+",""),"(",""),")",""),2,10),SUBSTITUTE(SUBSTITUTE(SUBSTITUTE(SUBSTITUTE(SUBSTITUTE(Клиенты_исходные!D701," ",""),"-",""),"+",""),"(",""),")","")),5,3)&amp;"-"&amp;MID(IF(LEFT(SUBSTITUTE(SUBSTITUTE(SUBSTITUTE(SUBSTITUTE(SUBSTITUTE(Клиенты_исходные!D701," ",""),"-",""),"+",""),"(",""),")",""))="8","7"&amp;MID(SUBSTITUTE(SUBSTITUTE(SUBSTITUTE(SUBSTITUTE(SUBSTITUTE(Клиенты_исходные!D701," ",""),"-",""),"+",""),"(",""),")",""),2,10),SUBSTITUTE(SUBSTITUTE(SUBSTITUTE(SUBSTITUTE(SUBSTITUTE(Клиенты_исходные!D701," ",""),"-",""),"+",""),"(",""),")","")),8,2)&amp;"-"&amp;MID(IF(LEFT(SUBSTITUTE(SUBSTITUTE(SUBSTITUTE(SUBSTITUTE(SUBSTITUTE(Клиенты_исходные!D701," ",""),"-",""),"+",""),"(",""),")",""))="8","7"&amp;MID(SUBSTITUTE(SUBSTITUTE(SUBSTITUTE(SUBSTITUTE(SUBSTITUTE(Клиенты_исходные!D701," ",""),"-",""),"+",""),"(",""),")",""),2,10),SUBSTITUTE(SUBSTITUTE(SUBSTITUTE(SUBSTITUTE(SUBSTITUTE(Клиенты_исходные!D701," ",""),"-",""),"+",""),"(",""),")","")),10,2),IF(LEN(SUBSTITUTE(SUBSTITUTE(SUBSTITUTE(SUBSTITUTE(SUBSTITUTE(Клиенты_исходные!D701," ",""),"-",""),"+",""),"(",""),")",""))=10,"+7 ("&amp;MID(SUBSTITUTE(SUBSTITUTE(SUBSTITUTE(SUBSTITUTE(SUBSTITUTE(Клиенты_исходные!D701," ",""),"-",""),"+",""),"(",""),")",""),1,3)&amp;") "&amp;MID(SUBSTITUTE(SUBSTITUTE(SUBSTITUTE(SUBSTITUTE(SUBSTITUTE(Клиенты_исходные!D701," ",""),"-",""),"+",""),"(",""),")",""),4,3)&amp;"-"&amp;MID(SUBSTITUTE(SUBSTITUTE(SUBSTITUTE(SUBSTITUTE(SUBSTITUTE(Клиенты_исходные!D701," ",""),"-",""),"+",""),"(",""),")",""),6,2)&amp;"-"&amp;MID(SUBSTITUTE(SUBSTITUTE(SUBSTITUTE(SUBSTITUTE(SUBSTITUTE(Клиенты_исходные!D701," ",""),"-",""),"+",""),"(",""),")",""),8,2),Клиенты_исходные!D701)))</f>
        <v xml:space="preserve">+7 (903) 901-23-45</v>
      </c>
      <c r="E701" t="str">
        <f>IF(ISBLANK(Клиенты_исходные!E701),"",IF(ISNUMBER(FIND(".",MID(Клиенты_исходные!E701,FIND("@",Клиенты_исходные!E701)+1,255))),Клиенты_исходные!E701,IF(ISNUMBER(FIND("gmail",Клиенты_исходные!E701)),Клиенты_исходные!E701&amp;".com",Клиенты_исходные!E701&amp;".ru")))</f>
        <v>dubinina@mail.ru</v>
      </c>
      <c r="F701" t="str">
        <f>IFERROR(VLOOKUP(Клиенты_исходные!F701,Справочники!$J$2:$K$50,2,FALSE),Клиенты_исходные!F701)</f>
        <v>Абакан</v>
      </c>
      <c r="G701" s="8">
        <f>IFERROR(IF(ISNUMBER(FIND(".",Клиенты_исходные!G701)),DATE(RIGHT(Клиенты_исходные!G701,4),MID(Клиенты_исходные!G701,4,2),LEFT(Клиенты_исходные!G701,2)),DATE(LEFT(Клиенты_исходные!G701,4),MID(Клиенты_исходные!G701,6,2),RIGHT(Клиенты_исходные!G701,2))),Клиенты_исходные!G701)</f>
        <v>51653</v>
      </c>
      <c r="H701">
        <f t="shared" ca="1" si="79"/>
        <v>38</v>
      </c>
      <c r="I701" t="str">
        <f t="shared" si="80"/>
        <v>OK</v>
      </c>
      <c r="J701" t="str">
        <f t="shared" si="81"/>
        <v>OK</v>
      </c>
    </row>
    <row r="702">
      <c r="A702" t="str">
        <f>Клиенты_исходные!A702</f>
        <v>C0701</v>
      </c>
      <c r="B702" t="str">
        <f>PROPER(TRIM(Клиенты_исходные!B702))</f>
        <v xml:space="preserve">Корнилов Денис Павлович</v>
      </c>
      <c r="C702" s="8">
        <f>IFERROR(IF(ISNUMBER(FIND(".",Клиенты_исходные!C702)),DATE(RIGHT(Клиенты_исходные!C702,4),MID(Клиенты_исходные!C702,4,2),LEFT(Клиенты_исходные!C702,2)),DATE(LEFT(Клиенты_исходные!C702,4),MID(Клиенты_исходные!C702,6,2),RIGHT(Клиенты_исходные!C702,2))),Клиенты_исходные!C702)</f>
        <v>29784</v>
      </c>
      <c r="D702" t="str">
        <f>IF(ISBLANK(Клиенты_исходные!D702),"",IF(LEN(SUBSTITUTE(SUBSTITUTE(SUBSTITUTE(SUBSTITUTE(SUBSTITUTE(Клиенты_исходные!D702," ",""),"-",""),"+",""),"(",""),")",""))=11,"+7 ("&amp;MID(IF(LEFT(SUBSTITUTE(SUBSTITUTE(SUBSTITUTE(SUBSTITUTE(SUBSTITUTE(Клиенты_исходные!D702," ",""),"-",""),"+",""),"(",""),")",""))="8","7"&amp;MID(SUBSTITUTE(SUBSTITUTE(SUBSTITUTE(SUBSTITUTE(SUBSTITUTE(Клиенты_исходные!D702," ",""),"-",""),"+",""),"(",""),")",""),2,10),SUBSTITUTE(SUBSTITUTE(SUBSTITUTE(SUBSTITUTE(SUBSTITUTE(Клиенты_исходные!D702," ",""),"-",""),"+",""),"(",""),")","")),2,3)&amp;") "&amp;MID(IF(LEFT(SUBSTITUTE(SUBSTITUTE(SUBSTITUTE(SUBSTITUTE(SUBSTITUTE(Клиенты_исходные!D702," ",""),"-",""),"+",""),"(",""),")",""))="8","7"&amp;MID(SUBSTITUTE(SUBSTITUTE(SUBSTITUTE(SUBSTITUTE(SUBSTITUTE(Клиенты_исходные!D702," ",""),"-",""),"+",""),"(",""),")",""),2,10),SUBSTITUTE(SUBSTITUTE(SUBSTITUTE(SUBSTITUTE(SUBSTITUTE(Клиенты_исходные!D702," ",""),"-",""),"+",""),"(",""),")","")),5,3)&amp;"-"&amp;MID(IF(LEFT(SUBSTITUTE(SUBSTITUTE(SUBSTITUTE(SUBSTITUTE(SUBSTITUTE(Клиенты_исходные!D702," ",""),"-",""),"+",""),"(",""),")",""))="8","7"&amp;MID(SUBSTITUTE(SUBSTITUTE(SUBSTITUTE(SUBSTITUTE(SUBSTITUTE(Клиенты_исходные!D702," ",""),"-",""),"+",""),"(",""),")",""),2,10),SUBSTITUTE(SUBSTITUTE(SUBSTITUTE(SUBSTITUTE(SUBSTITUTE(Клиенты_исходные!D702," ",""),"-",""),"+",""),"(",""),")","")),8,2)&amp;"-"&amp;MID(IF(LEFT(SUBSTITUTE(SUBSTITUTE(SUBSTITUTE(SUBSTITUTE(SUBSTITUTE(Клиенты_исходные!D702," ",""),"-",""),"+",""),"(",""),")",""))="8","7"&amp;MID(SUBSTITUTE(SUBSTITUTE(SUBSTITUTE(SUBSTITUTE(SUBSTITUTE(Клиенты_исходные!D702," ",""),"-",""),"+",""),"(",""),")",""),2,10),SUBSTITUTE(SUBSTITUTE(SUBSTITUTE(SUBSTITUTE(SUBSTITUTE(Клиенты_исходные!D702," ",""),"-",""),"+",""),"(",""),")","")),10,2),IF(LEN(SUBSTITUTE(SUBSTITUTE(SUBSTITUTE(SUBSTITUTE(SUBSTITUTE(Клиенты_исходные!D702," ",""),"-",""),"+",""),"(",""),")",""))=10,"+7 ("&amp;MID(SUBSTITUTE(SUBSTITUTE(SUBSTITUTE(SUBSTITUTE(SUBSTITUTE(Клиенты_исходные!D702," ",""),"-",""),"+",""),"(",""),")",""),1,3)&amp;") "&amp;MID(SUBSTITUTE(SUBSTITUTE(SUBSTITUTE(SUBSTITUTE(SUBSTITUTE(Клиенты_исходные!D702," ",""),"-",""),"+",""),"(",""),")",""),4,3)&amp;"-"&amp;MID(SUBSTITUTE(SUBSTITUTE(SUBSTITUTE(SUBSTITUTE(SUBSTITUTE(Клиенты_исходные!D702," ",""),"-",""),"+",""),"(",""),")",""),6,2)&amp;"-"&amp;MID(SUBSTITUTE(SUBSTITUTE(SUBSTITUTE(SUBSTITUTE(SUBSTITUTE(Клиенты_исходные!D702," ",""),"-",""),"+",""),"(",""),")",""),8,2),Клиенты_исходные!D702)))</f>
        <v xml:space="preserve">+7 (903) 901-23-45</v>
      </c>
      <c r="E702" t="str">
        <f>IF(ISBLANK(Клиенты_исходные!E702),"",IF(ISNUMBER(FIND(".",MID(Клиенты_исходные!E702,FIND("@",Клиенты_исходные!E702)+1,255))),Клиенты_исходные!E702,IF(ISNUMBER(FIND("gmail",Клиенты_исходные!E702)),Клиенты_исходные!E702&amp;".com",Клиенты_исходные!E702&amp;".ru")))</f>
        <v>kornilov@yandex.ru</v>
      </c>
      <c r="F702" t="str">
        <f>IFERROR(VLOOKUP(Клиенты_исходные!F702,Справочники!$J$2:$K$50,2,FALSE),Клиенты_исходные!F702)</f>
        <v>Грозный</v>
      </c>
      <c r="G702" s="8">
        <f>IFERROR(IF(ISNUMBER(FIND(".",Клиенты_исходные!G702)),DATE(RIGHT(Клиенты_исходные!G702,4),MID(Клиенты_исходные!G702,4,2),LEFT(Клиенты_исходные!G702,2)),DATE(LEFT(Клиенты_исходные!G702,4),MID(Клиенты_исходные!G702,6,2),RIGHT(Клиенты_исходные!G702,2))),Клиенты_исходные!G702)</f>
        <v>51662</v>
      </c>
      <c r="H702">
        <f t="shared" ca="1" si="79"/>
        <v>45</v>
      </c>
      <c r="I702" t="str">
        <f t="shared" si="80"/>
        <v>OK</v>
      </c>
      <c r="J702" t="str">
        <f t="shared" si="81"/>
        <v>OK</v>
      </c>
    </row>
    <row r="703">
      <c r="A703" t="str">
        <f>Клиенты_исходные!A703</f>
        <v>C0702</v>
      </c>
      <c r="B703" t="str">
        <f>PROPER(TRIM(Клиенты_исходные!B703))</f>
        <v xml:space="preserve">Соколова Екатерина Владимировна</v>
      </c>
      <c r="C703" s="8">
        <f>IFERROR(IF(ISNUMBER(FIND(".",Клиенты_исходные!C703)),DATE(RIGHT(Клиенты_исходные!C703,4),MID(Клиенты_исходные!C703,4,2),LEFT(Клиенты_исходные!C703,2)),DATE(LEFT(Клиенты_исходные!C703,4),MID(Клиенты_исходные!C703,6,2),RIGHT(Клиенты_исходные!C703,2))),Клиенты_исходные!C703)</f>
        <v>28039</v>
      </c>
      <c r="D703" t="str">
        <f>IF(ISBLANK(Клиенты_исходные!D703),"",IF(LEN(SUBSTITUTE(SUBSTITUTE(SUBSTITUTE(SUBSTITUTE(SUBSTITUTE(Клиенты_исходные!D703," ",""),"-",""),"+",""),"(",""),")",""))=11,"+7 ("&amp;MID(IF(LEFT(SUBSTITUTE(SUBSTITUTE(SUBSTITUTE(SUBSTITUTE(SUBSTITUTE(Клиенты_исходные!D703," ",""),"-",""),"+",""),"(",""),")",""))="8","7"&amp;MID(SUBSTITUTE(SUBSTITUTE(SUBSTITUTE(SUBSTITUTE(SUBSTITUTE(Клиенты_исходные!D703," ",""),"-",""),"+",""),"(",""),")",""),2,10),SUBSTITUTE(SUBSTITUTE(SUBSTITUTE(SUBSTITUTE(SUBSTITUTE(Клиенты_исходные!D703," ",""),"-",""),"+",""),"(",""),")","")),2,3)&amp;") "&amp;MID(IF(LEFT(SUBSTITUTE(SUBSTITUTE(SUBSTITUTE(SUBSTITUTE(SUBSTITUTE(Клиенты_исходные!D703," ",""),"-",""),"+",""),"(",""),")",""))="8","7"&amp;MID(SUBSTITUTE(SUBSTITUTE(SUBSTITUTE(SUBSTITUTE(SUBSTITUTE(Клиенты_исходные!D703," ",""),"-",""),"+",""),"(",""),")",""),2,10),SUBSTITUTE(SUBSTITUTE(SUBSTITUTE(SUBSTITUTE(SUBSTITUTE(Клиенты_исходные!D703," ",""),"-",""),"+",""),"(",""),")","")),5,3)&amp;"-"&amp;MID(IF(LEFT(SUBSTITUTE(SUBSTITUTE(SUBSTITUTE(SUBSTITUTE(SUBSTITUTE(Клиенты_исходные!D703," ",""),"-",""),"+",""),"(",""),")",""))="8","7"&amp;MID(SUBSTITUTE(SUBSTITUTE(SUBSTITUTE(SUBSTITUTE(SUBSTITUTE(Клиенты_исходные!D703," ",""),"-",""),"+",""),"(",""),")",""),2,10),SUBSTITUTE(SUBSTITUTE(SUBSTITUTE(SUBSTITUTE(SUBSTITUTE(Клиенты_исходные!D703," ",""),"-",""),"+",""),"(",""),")","")),8,2)&amp;"-"&amp;MID(IF(LEFT(SUBSTITUTE(SUBSTITUTE(SUBSTITUTE(SUBSTITUTE(SUBSTITUTE(Клиенты_исходные!D703," ",""),"-",""),"+",""),"(",""),")",""))="8","7"&amp;MID(SUBSTITUTE(SUBSTITUTE(SUBSTITUTE(SUBSTITUTE(SUBSTITUTE(Клиенты_исходные!D703," ",""),"-",""),"+",""),"(",""),")",""),2,10),SUBSTITUTE(SUBSTITUTE(SUBSTITUTE(SUBSTITUTE(SUBSTITUTE(Клиенты_исходные!D703," ",""),"-",""),"+",""),"(",""),")","")),10,2),IF(LEN(SUBSTITUTE(SUBSTITUTE(SUBSTITUTE(SUBSTITUTE(SUBSTITUTE(Клиенты_исходные!D703," ",""),"-",""),"+",""),"(",""),")",""))=10,"+7 ("&amp;MID(SUBSTITUTE(SUBSTITUTE(SUBSTITUTE(SUBSTITUTE(SUBSTITUTE(Клиенты_исходные!D703," ",""),"-",""),"+",""),"(",""),")",""),1,3)&amp;") "&amp;MID(SUBSTITUTE(SUBSTITUTE(SUBSTITUTE(SUBSTITUTE(SUBSTITUTE(Клиенты_исходные!D703," ",""),"-",""),"+",""),"(",""),")",""),4,3)&amp;"-"&amp;MID(SUBSTITUTE(SUBSTITUTE(SUBSTITUTE(SUBSTITUTE(SUBSTITUTE(Клиенты_исходные!D703," ",""),"-",""),"+",""),"(",""),")",""),6,2)&amp;"-"&amp;MID(SUBSTITUTE(SUBSTITUTE(SUBSTITUTE(SUBSTITUTE(SUBSTITUTE(Клиенты_исходные!D703," ",""),"-",""),"+",""),"(",""),")",""),8,2),Клиенты_исходные!D703)))</f>
        <v xml:space="preserve">+7 (903) 012-34-56</v>
      </c>
      <c r="E703" t="str">
        <f>IF(ISBLANK(Клиенты_исходные!E703),"",IF(ISNUMBER(FIND(".",MID(Клиенты_исходные!E703,FIND("@",Клиенты_исходные!E703)+1,255))),Клиенты_исходные!E703,IF(ISNUMBER(FIND("gmail",Клиенты_исходные!E703)),Клиенты_исходные!E703&amp;".com",Клиенты_исходные!E703&amp;".ru")))</f>
        <v>sokolova@gmail.com</v>
      </c>
      <c r="F703" t="str">
        <f>IFERROR(VLOOKUP(Клиенты_исходные!F703,Справочники!$J$2:$K$50,2,FALSE),Клиенты_исходные!F703)</f>
        <v>Бийск</v>
      </c>
      <c r="G703" s="8">
        <f>IFERROR(IF(ISNUMBER(FIND(".",Клиенты_исходные!G703)),DATE(RIGHT(Клиенты_исходные!G703,4),MID(Клиенты_исходные!G703,4,2),LEFT(Клиенты_исходные!G703,2)),DATE(LEFT(Клиенты_исходные!G703,4),MID(Клиенты_исходные!G703,6,2),RIGHT(Клиенты_исходные!G703,2))),Клиенты_исходные!G703)</f>
        <v>51662</v>
      </c>
      <c r="H703">
        <f t="shared" ca="1" si="79"/>
        <v>49</v>
      </c>
      <c r="I703" t="str">
        <f t="shared" si="80"/>
        <v>OK</v>
      </c>
      <c r="J703" t="str">
        <f t="shared" si="81"/>
        <v>OK</v>
      </c>
    </row>
    <row r="704">
      <c r="A704" t="str">
        <f>Клиенты_исходные!A704</f>
        <v>C0703</v>
      </c>
      <c r="B704" t="str">
        <f>PROPER(TRIM(Клиенты_исходные!B704))</f>
        <v xml:space="preserve">Ушаков Илья Александрович</v>
      </c>
      <c r="C704" s="8">
        <f>IFERROR(IF(ISNUMBER(FIND(".",Клиенты_исходные!C704)),DATE(RIGHT(Клиенты_исходные!C704,4),MID(Клиенты_исходные!C704,4,2),LEFT(Клиенты_исходные!C704,2)),DATE(LEFT(Клиенты_исходные!C704,4),MID(Клиенты_исходные!C704,6,2),RIGHT(Клиенты_исходные!C704,2))),Клиенты_исходные!C704)</f>
        <v>31018</v>
      </c>
      <c r="D704" t="str">
        <f>IF(ISBLANK(Клиенты_исходные!D704),"",IF(LEN(SUBSTITUTE(SUBSTITUTE(SUBSTITUTE(SUBSTITUTE(SUBSTITUTE(Клиенты_исходные!D704," ",""),"-",""),"+",""),"(",""),")",""))=11,"+7 ("&amp;MID(IF(LEFT(SUBSTITUTE(SUBSTITUTE(SUBSTITUTE(SUBSTITUTE(SUBSTITUTE(Клиенты_исходные!D704," ",""),"-",""),"+",""),"(",""),")",""))="8","7"&amp;MID(SUBSTITUTE(SUBSTITUTE(SUBSTITUTE(SUBSTITUTE(SUBSTITUTE(Клиенты_исходные!D704," ",""),"-",""),"+",""),"(",""),")",""),2,10),SUBSTITUTE(SUBSTITUTE(SUBSTITUTE(SUBSTITUTE(SUBSTITUTE(Клиенты_исходные!D704," ",""),"-",""),"+",""),"(",""),")","")),2,3)&amp;") "&amp;MID(IF(LEFT(SUBSTITUTE(SUBSTITUTE(SUBSTITUTE(SUBSTITUTE(SUBSTITUTE(Клиенты_исходные!D704," ",""),"-",""),"+",""),"(",""),")",""))="8","7"&amp;MID(SUBSTITUTE(SUBSTITUTE(SUBSTITUTE(SUBSTITUTE(SUBSTITUTE(Клиенты_исходные!D704," ",""),"-",""),"+",""),"(",""),")",""),2,10),SUBSTITUTE(SUBSTITUTE(SUBSTITUTE(SUBSTITUTE(SUBSTITUTE(Клиенты_исходные!D704," ",""),"-",""),"+",""),"(",""),")","")),5,3)&amp;"-"&amp;MID(IF(LEFT(SUBSTITUTE(SUBSTITUTE(SUBSTITUTE(SUBSTITUTE(SUBSTITUTE(Клиенты_исходные!D704," ",""),"-",""),"+",""),"(",""),")",""))="8","7"&amp;MID(SUBSTITUTE(SUBSTITUTE(SUBSTITUTE(SUBSTITUTE(SUBSTITUTE(Клиенты_исходные!D704," ",""),"-",""),"+",""),"(",""),")",""),2,10),SUBSTITUTE(SUBSTITUTE(SUBSTITUTE(SUBSTITUTE(SUBSTITUTE(Клиенты_исходные!D704," ",""),"-",""),"+",""),"(",""),")","")),8,2)&amp;"-"&amp;MID(IF(LEFT(SUBSTITUTE(SUBSTITUTE(SUBSTITUTE(SUBSTITUTE(SUBSTITUTE(Клиенты_исходные!D704," ",""),"-",""),"+",""),"(",""),")",""))="8","7"&amp;MID(SUBSTITUTE(SUBSTITUTE(SUBSTITUTE(SUBSTITUTE(SUBSTITUTE(Клиенты_исходные!D704," ",""),"-",""),"+",""),"(",""),")",""),2,10),SUBSTITUTE(SUBSTITUTE(SUBSTITUTE(SUBSTITUTE(SUBSTITUTE(Клиенты_исходные!D704," ",""),"-",""),"+",""),"(",""),")","")),10,2),IF(LEN(SUBSTITUTE(SUBSTITUTE(SUBSTITUTE(SUBSTITUTE(SUBSTITUTE(Клиенты_исходные!D704," ",""),"-",""),"+",""),"(",""),")",""))=10,"+7 ("&amp;MID(SUBSTITUTE(SUBSTITUTE(SUBSTITUTE(SUBSTITUTE(SUBSTITUTE(Клиенты_исходные!D704," ",""),"-",""),"+",""),"(",""),")",""),1,3)&amp;") "&amp;MID(SUBSTITUTE(SUBSTITUTE(SUBSTITUTE(SUBSTITUTE(SUBSTITUTE(Клиенты_исходные!D704," ",""),"-",""),"+",""),"(",""),")",""),4,3)&amp;"-"&amp;MID(SUBSTITUTE(SUBSTITUTE(SUBSTITUTE(SUBSTITUTE(SUBSTITUTE(Клиенты_исходные!D704," ",""),"-",""),"+",""),"(",""),")",""),6,2)&amp;"-"&amp;MID(SUBSTITUTE(SUBSTITUTE(SUBSTITUTE(SUBSTITUTE(SUBSTITUTE(Клиенты_исходные!D704," ",""),"-",""),"+",""),"(",""),")",""),8,2),Клиенты_исходные!D704)))</f>
        <v xml:space="preserve">+7 (903) 012-34-56</v>
      </c>
      <c r="E704" t="str">
        <f>IF(ISBLANK(Клиенты_исходные!E704),"",IF(ISNUMBER(FIND(".",MID(Клиенты_исходные!E704,FIND("@",Клиенты_исходные!E704)+1,255))),Клиенты_исходные!E704,IF(ISNUMBER(FIND("gmail",Клиенты_исходные!E704)),Клиенты_исходные!E704&amp;".com",Клиенты_исходные!E704&amp;".ru")))</f>
        <v>ushakov@mail.ru</v>
      </c>
      <c r="F704" t="str">
        <f>IFERROR(VLOOKUP(Клиенты_исходные!F704,Справочники!$J$2:$K$50,2,FALSE),Клиенты_исходные!F704)</f>
        <v>Йошкар-Ола</v>
      </c>
      <c r="G704" s="8">
        <f>IFERROR(IF(ISNUMBER(FIND(".",Клиенты_исходные!G704)),DATE(RIGHT(Клиенты_исходные!G704,4),MID(Клиенты_исходные!G704,4,2),LEFT(Клиенты_исходные!G704,2)),DATE(LEFT(Клиенты_исходные!G704,4),MID(Клиенты_исходные!G704,6,2),RIGHT(Клиенты_исходные!G704,2))),Клиенты_исходные!G704)</f>
        <v>51683</v>
      </c>
      <c r="H704">
        <f t="shared" ca="1" si="79"/>
        <v>41</v>
      </c>
      <c r="I704" t="str">
        <f t="shared" si="80"/>
        <v>OK</v>
      </c>
      <c r="J704" t="str">
        <f t="shared" si="81"/>
        <v>OK</v>
      </c>
    </row>
    <row r="705">
      <c r="A705" t="str">
        <f>Клиенты_исходные!A705</f>
        <v>C0704</v>
      </c>
      <c r="B705" t="str">
        <f>PROPER(TRIM(Клиенты_исходные!B705))</f>
        <v xml:space="preserve">Минаева Мария Павловна</v>
      </c>
      <c r="C705" s="8">
        <f>IFERROR(IF(ISNUMBER(FIND(".",Клиенты_исходные!C705)),DATE(RIGHT(Клиенты_исходные!C705,4),MID(Клиенты_исходные!C705,4,2),LEFT(Клиенты_исходные!C705,2)),DATE(LEFT(Клиенты_исходные!C705,4),MID(Клиенты_исходные!C705,6,2),RIGHT(Клиенты_исходные!C705,2))),Клиенты_исходные!C705)</f>
        <v>33837</v>
      </c>
      <c r="D705" t="str">
        <f>IF(ISBLANK(Клиенты_исходные!D705),"",IF(LEN(SUBSTITUTE(SUBSTITUTE(SUBSTITUTE(SUBSTITUTE(SUBSTITUTE(Клиенты_исходные!D705," ",""),"-",""),"+",""),"(",""),")",""))=11,"+7 ("&amp;MID(IF(LEFT(SUBSTITUTE(SUBSTITUTE(SUBSTITUTE(SUBSTITUTE(SUBSTITUTE(Клиенты_исходные!D705," ",""),"-",""),"+",""),"(",""),")",""))="8","7"&amp;MID(SUBSTITUTE(SUBSTITUTE(SUBSTITUTE(SUBSTITUTE(SUBSTITUTE(Клиенты_исходные!D705," ",""),"-",""),"+",""),"(",""),")",""),2,10),SUBSTITUTE(SUBSTITUTE(SUBSTITUTE(SUBSTITUTE(SUBSTITUTE(Клиенты_исходные!D705," ",""),"-",""),"+",""),"(",""),")","")),2,3)&amp;") "&amp;MID(IF(LEFT(SUBSTITUTE(SUBSTITUTE(SUBSTITUTE(SUBSTITUTE(SUBSTITUTE(Клиенты_исходные!D705," ",""),"-",""),"+",""),"(",""),")",""))="8","7"&amp;MID(SUBSTITUTE(SUBSTITUTE(SUBSTITUTE(SUBSTITUTE(SUBSTITUTE(Клиенты_исходные!D705," ",""),"-",""),"+",""),"(",""),")",""),2,10),SUBSTITUTE(SUBSTITUTE(SUBSTITUTE(SUBSTITUTE(SUBSTITUTE(Клиенты_исходные!D705," ",""),"-",""),"+",""),"(",""),")","")),5,3)&amp;"-"&amp;MID(IF(LEFT(SUBSTITUTE(SUBSTITUTE(SUBSTITUTE(SUBSTITUTE(SUBSTITUTE(Клиенты_исходные!D705," ",""),"-",""),"+",""),"(",""),")",""))="8","7"&amp;MID(SUBSTITUTE(SUBSTITUTE(SUBSTITUTE(SUBSTITUTE(SUBSTITUTE(Клиенты_исходные!D705," ",""),"-",""),"+",""),"(",""),")",""),2,10),SUBSTITUTE(SUBSTITUTE(SUBSTITUTE(SUBSTITUTE(SUBSTITUTE(Клиенты_исходные!D705," ",""),"-",""),"+",""),"(",""),")","")),8,2)&amp;"-"&amp;MID(IF(LEFT(SUBSTITUTE(SUBSTITUTE(SUBSTITUTE(SUBSTITUTE(SUBSTITUTE(Клиенты_исходные!D705," ",""),"-",""),"+",""),"(",""),")",""))="8","7"&amp;MID(SUBSTITUTE(SUBSTITUTE(SUBSTITUTE(SUBSTITUTE(SUBSTITUTE(Клиенты_исходные!D705," ",""),"-",""),"+",""),"(",""),")",""),2,10),SUBSTITUTE(SUBSTITUTE(SUBSTITUTE(SUBSTITUTE(SUBSTITUTE(Клиенты_исходные!D705," ",""),"-",""),"+",""),"(",""),")","")),10,2),IF(LEN(SUBSTITUTE(SUBSTITUTE(SUBSTITUTE(SUBSTITUTE(SUBSTITUTE(Клиенты_исходные!D705," ",""),"-",""),"+",""),"(",""),")",""))=10,"+7 ("&amp;MID(SUBSTITUTE(SUBSTITUTE(SUBSTITUTE(SUBSTITUTE(SUBSTITUTE(Клиенты_исходные!D705," ",""),"-",""),"+",""),"(",""),")",""),1,3)&amp;") "&amp;MID(SUBSTITUTE(SUBSTITUTE(SUBSTITUTE(SUBSTITUTE(SUBSTITUTE(Клиенты_исходные!D705," ",""),"-",""),"+",""),"(",""),")",""),4,3)&amp;"-"&amp;MID(SUBSTITUTE(SUBSTITUTE(SUBSTITUTE(SUBSTITUTE(SUBSTITUTE(Клиенты_исходные!D705," ",""),"-",""),"+",""),"(",""),")",""),6,2)&amp;"-"&amp;MID(SUBSTITUTE(SUBSTITUTE(SUBSTITUTE(SUBSTITUTE(SUBSTITUTE(Клиенты_исходные!D705," ",""),"-",""),"+",""),"(",""),")",""),8,2),Клиенты_исходные!D705)))</f>
        <v xml:space="preserve">+7 (903) 012-34-56</v>
      </c>
      <c r="E705" t="str">
        <f>IF(ISBLANK(Клиенты_исходные!E705),"",IF(ISNUMBER(FIND(".",MID(Клиенты_исходные!E705,FIND("@",Клиенты_исходные!E705)+1,255))),Клиенты_исходные!E705,IF(ISNUMBER(FIND("gmail",Клиенты_исходные!E705)),Клиенты_исходные!E705&amp;".com",Клиенты_исходные!E705&amp;".ru")))</f>
        <v>minaeva@yandex.ru</v>
      </c>
      <c r="F705" t="str">
        <f>IFERROR(VLOOKUP(Клиенты_исходные!F705,Справочники!$J$2:$K$50,2,FALSE),Клиенты_исходные!F705)</f>
        <v>Курган</v>
      </c>
      <c r="G705" s="8">
        <f>IFERROR(IF(ISNUMBER(FIND(".",Клиенты_исходные!G705)),DATE(RIGHT(Клиенты_исходные!G705,4),MID(Клиенты_исходные!G705,4,2),LEFT(Клиенты_исходные!G705,2)),DATE(LEFT(Клиенты_исходные!G705,4),MID(Клиенты_исходные!G705,6,2),RIGHT(Клиенты_исходные!G705,2))),Клиенты_исходные!G705)</f>
        <v>51697</v>
      </c>
      <c r="H705">
        <f t="shared" ca="1" si="79"/>
        <v>34</v>
      </c>
      <c r="I705" t="str">
        <f t="shared" si="80"/>
        <v>OK</v>
      </c>
      <c r="J705" t="str">
        <f t="shared" si="81"/>
        <v>OK</v>
      </c>
    </row>
    <row r="706">
      <c r="A706" t="str">
        <f>Клиенты_исходные!A706</f>
        <v>C0705</v>
      </c>
      <c r="B706" t="str">
        <f>PROPER(TRIM(Клиенты_исходные!B706))</f>
        <v xml:space="preserve">Герасимова Ольга Сергеевна</v>
      </c>
      <c r="C706" s="8">
        <f>IFERROR(IF(ISNUMBER(FIND(".",Клиенты_исходные!C706)),DATE(RIGHT(Клиенты_исходные!C706,4),MID(Клиенты_исходные!C706,4,2),LEFT(Клиенты_исходные!C706,2)),DATE(LEFT(Клиенты_исходные!C706,4),MID(Клиенты_исходные!C706,6,2),RIGHT(Клиенты_исходные!C706,2))),Клиенты_исходные!C706)</f>
        <v>28959</v>
      </c>
      <c r="D706" t="str">
        <f>IF(ISBLANK(Клиенты_исходные!D706),"",IF(LEN(SUBSTITUTE(SUBSTITUTE(SUBSTITUTE(SUBSTITUTE(SUBSTITUTE(Клиенты_исходные!D706," ",""),"-",""),"+",""),"(",""),")",""))=11,"+7 ("&amp;MID(IF(LEFT(SUBSTITUTE(SUBSTITUTE(SUBSTITUTE(SUBSTITUTE(SUBSTITUTE(Клиенты_исходные!D706," ",""),"-",""),"+",""),"(",""),")",""))="8","7"&amp;MID(SUBSTITUTE(SUBSTITUTE(SUBSTITUTE(SUBSTITUTE(SUBSTITUTE(Клиенты_исходные!D706," ",""),"-",""),"+",""),"(",""),")",""),2,10),SUBSTITUTE(SUBSTITUTE(SUBSTITUTE(SUBSTITUTE(SUBSTITUTE(Клиенты_исходные!D706," ",""),"-",""),"+",""),"(",""),")","")),2,3)&amp;") "&amp;MID(IF(LEFT(SUBSTITUTE(SUBSTITUTE(SUBSTITUTE(SUBSTITUTE(SUBSTITUTE(Клиенты_исходные!D706," ",""),"-",""),"+",""),"(",""),")",""))="8","7"&amp;MID(SUBSTITUTE(SUBSTITUTE(SUBSTITUTE(SUBSTITUTE(SUBSTITUTE(Клиенты_исходные!D706," ",""),"-",""),"+",""),"(",""),")",""),2,10),SUBSTITUTE(SUBSTITUTE(SUBSTITUTE(SUBSTITUTE(SUBSTITUTE(Клиенты_исходные!D706," ",""),"-",""),"+",""),"(",""),")","")),5,3)&amp;"-"&amp;MID(IF(LEFT(SUBSTITUTE(SUBSTITUTE(SUBSTITUTE(SUBSTITUTE(SUBSTITUTE(Клиенты_исходные!D706," ",""),"-",""),"+",""),"(",""),")",""))="8","7"&amp;MID(SUBSTITUTE(SUBSTITUTE(SUBSTITUTE(SUBSTITUTE(SUBSTITUTE(Клиенты_исходные!D706," ",""),"-",""),"+",""),"(",""),")",""),2,10),SUBSTITUTE(SUBSTITUTE(SUBSTITUTE(SUBSTITUTE(SUBSTITUTE(Клиенты_исходные!D706," ",""),"-",""),"+",""),"(",""),")","")),8,2)&amp;"-"&amp;MID(IF(LEFT(SUBSTITUTE(SUBSTITUTE(SUBSTITUTE(SUBSTITUTE(SUBSTITUTE(Клиенты_исходные!D706," ",""),"-",""),"+",""),"(",""),")",""))="8","7"&amp;MID(SUBSTITUTE(SUBSTITUTE(SUBSTITUTE(SUBSTITUTE(SUBSTITUTE(Клиенты_исходные!D706," ",""),"-",""),"+",""),"(",""),")",""),2,10),SUBSTITUTE(SUBSTITUTE(SUBSTITUTE(SUBSTITUTE(SUBSTITUTE(Клиенты_исходные!D706," ",""),"-",""),"+",""),"(",""),")","")),10,2),IF(LEN(SUBSTITUTE(SUBSTITUTE(SUBSTITUTE(SUBSTITUTE(SUBSTITUTE(Клиенты_исходные!D706," ",""),"-",""),"+",""),"(",""),")",""))=10,"+7 ("&amp;MID(SUBSTITUTE(SUBSTITUTE(SUBSTITUTE(SUBSTITUTE(SUBSTITUTE(Клиенты_исходные!D706," ",""),"-",""),"+",""),"(",""),")",""),1,3)&amp;") "&amp;MID(SUBSTITUTE(SUBSTITUTE(SUBSTITUTE(SUBSTITUTE(SUBSTITUTE(Клиенты_исходные!D706," ",""),"-",""),"+",""),"(",""),")",""),4,3)&amp;"-"&amp;MID(SUBSTITUTE(SUBSTITUTE(SUBSTITUTE(SUBSTITUTE(SUBSTITUTE(Клиенты_исходные!D706," ",""),"-",""),"+",""),"(",""),")",""),6,2)&amp;"-"&amp;MID(SUBSTITUTE(SUBSTITUTE(SUBSTITUTE(SUBSTITUTE(SUBSTITUTE(Клиенты_исходные!D706," ",""),"-",""),"+",""),"(",""),")",""),8,2),Клиенты_исходные!D706)))</f>
        <v xml:space="preserve">+7 (903) 123-45-67</v>
      </c>
      <c r="E706" t="str">
        <f>IF(ISBLANK(Клиенты_исходные!E706),"",IF(ISNUMBER(FIND(".",MID(Клиенты_исходные!E706,FIND("@",Клиенты_исходные!E706)+1,255))),Клиенты_исходные!E706,IF(ISNUMBER(FIND("gmail",Клиенты_исходные!E706)),Клиенты_исходные!E706&amp;".com",Клиенты_исходные!E706&amp;".ru")))</f>
        <v>gerasimova@gmail.com</v>
      </c>
      <c r="F706" t="str">
        <f>IFERROR(VLOOKUP(Клиенты_исходные!F706,Справочники!$J$2:$K$50,2,FALSE),Клиенты_исходные!F706)</f>
        <v>Архангельск</v>
      </c>
      <c r="G706" s="8">
        <f>IFERROR(IF(ISNUMBER(FIND(".",Клиенты_исходные!G706)),DATE(RIGHT(Клиенты_исходные!G706,4),MID(Клиенты_исходные!G706,4,2),LEFT(Клиенты_исходные!G706,2)),DATE(LEFT(Клиенты_исходные!G706,4),MID(Клиенты_исходные!G706,6,2),RIGHT(Клиенты_исходные!G706,2))),Клиенты_исходные!G706)</f>
        <v>51697</v>
      </c>
      <c r="H706">
        <f t="shared" ca="1" si="79"/>
        <v>47</v>
      </c>
      <c r="I706" t="str">
        <f t="shared" si="80"/>
        <v>OK</v>
      </c>
      <c r="J706" t="str">
        <f t="shared" si="81"/>
        <v>OK</v>
      </c>
    </row>
    <row r="707">
      <c r="A707" t="str">
        <f>Клиенты_исходные!A707</f>
        <v>C0706</v>
      </c>
      <c r="B707" t="str">
        <f>PROPER(TRIM(Клиенты_исходные!B707))</f>
        <v xml:space="preserve">Печерский Денис Викторович</v>
      </c>
      <c r="C707" s="8">
        <f>IFERROR(IF(ISNUMBER(FIND(".",Клиенты_исходные!C707)),DATE(RIGHT(Клиенты_исходные!C707,4),MID(Клиенты_исходные!C707,4,2),LEFT(Клиенты_исходные!C707,2)),DATE(LEFT(Клиенты_исходные!C707,4),MID(Клиенты_исходные!C707,6,2),RIGHT(Клиенты_исходные!C707,2))),Клиенты_исходные!C707)</f>
        <v>31226</v>
      </c>
      <c r="D707" t="str">
        <f>IF(ISBLANK(Клиенты_исходные!D707),"",IF(LEN(SUBSTITUTE(SUBSTITUTE(SUBSTITUTE(SUBSTITUTE(SUBSTITUTE(Клиенты_исходные!D707," ",""),"-",""),"+",""),"(",""),")",""))=11,"+7 ("&amp;MID(IF(LEFT(SUBSTITUTE(SUBSTITUTE(SUBSTITUTE(SUBSTITUTE(SUBSTITUTE(Клиенты_исходные!D707," ",""),"-",""),"+",""),"(",""),")",""))="8","7"&amp;MID(SUBSTITUTE(SUBSTITUTE(SUBSTITUTE(SUBSTITUTE(SUBSTITUTE(Клиенты_исходные!D707," ",""),"-",""),"+",""),"(",""),")",""),2,10),SUBSTITUTE(SUBSTITUTE(SUBSTITUTE(SUBSTITUTE(SUBSTITUTE(Клиенты_исходные!D707," ",""),"-",""),"+",""),"(",""),")","")),2,3)&amp;") "&amp;MID(IF(LEFT(SUBSTITUTE(SUBSTITUTE(SUBSTITUTE(SUBSTITUTE(SUBSTITUTE(Клиенты_исходные!D707," ",""),"-",""),"+",""),"(",""),")",""))="8","7"&amp;MID(SUBSTITUTE(SUBSTITUTE(SUBSTITUTE(SUBSTITUTE(SUBSTITUTE(Клиенты_исходные!D707," ",""),"-",""),"+",""),"(",""),")",""),2,10),SUBSTITUTE(SUBSTITUTE(SUBSTITUTE(SUBSTITUTE(SUBSTITUTE(Клиенты_исходные!D707," ",""),"-",""),"+",""),"(",""),")","")),5,3)&amp;"-"&amp;MID(IF(LEFT(SUBSTITUTE(SUBSTITUTE(SUBSTITUTE(SUBSTITUTE(SUBSTITUTE(Клиенты_исходные!D707," ",""),"-",""),"+",""),"(",""),")",""))="8","7"&amp;MID(SUBSTITUTE(SUBSTITUTE(SUBSTITUTE(SUBSTITUTE(SUBSTITUTE(Клиенты_исходные!D707," ",""),"-",""),"+",""),"(",""),")",""),2,10),SUBSTITUTE(SUBSTITUTE(SUBSTITUTE(SUBSTITUTE(SUBSTITUTE(Клиенты_исходные!D707," ",""),"-",""),"+",""),"(",""),")","")),8,2)&amp;"-"&amp;MID(IF(LEFT(SUBSTITUTE(SUBSTITUTE(SUBSTITUTE(SUBSTITUTE(SUBSTITUTE(Клиенты_исходные!D707," ",""),"-",""),"+",""),"(",""),")",""))="8","7"&amp;MID(SUBSTITUTE(SUBSTITUTE(SUBSTITUTE(SUBSTITUTE(SUBSTITUTE(Клиенты_исходные!D707," ",""),"-",""),"+",""),"(",""),")",""),2,10),SUBSTITUTE(SUBSTITUTE(SUBSTITUTE(SUBSTITUTE(SUBSTITUTE(Клиенты_исходные!D707," ",""),"-",""),"+",""),"(",""),")","")),10,2),IF(LEN(SUBSTITUTE(SUBSTITUTE(SUBSTITUTE(SUBSTITUTE(SUBSTITUTE(Клиенты_исходные!D707," ",""),"-",""),"+",""),"(",""),")",""))=10,"+7 ("&amp;MID(SUBSTITUTE(SUBSTITUTE(SUBSTITUTE(SUBSTITUTE(SUBSTITUTE(Клиенты_исходные!D707," ",""),"-",""),"+",""),"(",""),")",""),1,3)&amp;") "&amp;MID(SUBSTITUTE(SUBSTITUTE(SUBSTITUTE(SUBSTITUTE(SUBSTITUTE(Клиенты_исходные!D707," ",""),"-",""),"+",""),"(",""),")",""),4,3)&amp;"-"&amp;MID(SUBSTITUTE(SUBSTITUTE(SUBSTITUTE(SUBSTITUTE(SUBSTITUTE(Клиенты_исходные!D707," ",""),"-",""),"+",""),"(",""),")",""),6,2)&amp;"-"&amp;MID(SUBSTITUTE(SUBSTITUTE(SUBSTITUTE(SUBSTITUTE(SUBSTITUTE(Клиенты_исходные!D707," ",""),"-",""),"+",""),"(",""),")",""),8,2),Клиенты_исходные!D707)))</f>
        <v xml:space="preserve">+7 (903) 123-45-67</v>
      </c>
      <c r="E707" t="str">
        <f>IF(ISBLANK(Клиенты_исходные!E707),"",IF(ISNUMBER(FIND(".",MID(Клиенты_исходные!E707,FIND("@",Клиенты_исходные!E707)+1,255))),Клиенты_исходные!E707,IF(ISNUMBER(FIND("gmail",Клиенты_исходные!E707)),Клиенты_исходные!E707&amp;".com",Клиенты_исходные!E707&amp;".ru")))</f>
        <v>pechersky@mail.ru</v>
      </c>
      <c r="F707" t="str">
        <f>IFERROR(VLOOKUP(Клиенты_исходные!F707,Справочники!$J$2:$K$50,2,FALSE),Клиенты_исходные!F707)</f>
        <v>Благовещенск</v>
      </c>
      <c r="G707" s="8">
        <f>IFERROR(IF(ISNUMBER(FIND(".",Клиенты_исходные!G707)),DATE(RIGHT(Клиенты_исходные!G707,4),MID(Клиенты_исходные!G707,4,2),LEFT(Клиенты_исходные!G707,2)),DATE(LEFT(Клиенты_исходные!G707,4),MID(Клиенты_исходные!G707,6,2),RIGHT(Клиенты_исходные!G707,2))),Клиенты_исходные!G707)</f>
        <v>51714</v>
      </c>
      <c r="H707">
        <f t="shared" ca="1" si="79"/>
        <v>41</v>
      </c>
      <c r="I707" t="str">
        <f t="shared" si="80"/>
        <v>OK</v>
      </c>
      <c r="J707" t="str">
        <f t="shared" si="81"/>
        <v>OK</v>
      </c>
    </row>
    <row r="708">
      <c r="A708" t="str">
        <f>Клиенты_исходные!A708</f>
        <v>C0707</v>
      </c>
      <c r="B708" t="str">
        <f>PROPER(TRIM(Клиенты_исходные!B708))</f>
        <v xml:space="preserve">Карасева Екатерина Алексеевна</v>
      </c>
      <c r="C708" s="8">
        <f>IFERROR(IF(ISNUMBER(FIND(".",Клиенты_исходные!C708)),DATE(RIGHT(Клиенты_исходные!C708,4),MID(Клиенты_исходные!C708,4,2),LEFT(Клиенты_исходные!C708,2)),DATE(LEFT(Клиенты_исходные!C708,4),MID(Клиенты_исходные!C708,6,2),RIGHT(Клиенты_исходные!C708,2))),Клиенты_исходные!C708)</f>
        <v>33224</v>
      </c>
      <c r="D708" t="str">
        <f>IF(ISBLANK(Клиенты_исходные!D708),"",IF(LEN(SUBSTITUTE(SUBSTITUTE(SUBSTITUTE(SUBSTITUTE(SUBSTITUTE(Клиенты_исходные!D708," ",""),"-",""),"+",""),"(",""),")",""))=11,"+7 ("&amp;MID(IF(LEFT(SUBSTITUTE(SUBSTITUTE(SUBSTITUTE(SUBSTITUTE(SUBSTITUTE(Клиенты_исходные!D708," ",""),"-",""),"+",""),"(",""),")",""))="8","7"&amp;MID(SUBSTITUTE(SUBSTITUTE(SUBSTITUTE(SUBSTITUTE(SUBSTITUTE(Клиенты_исходные!D708," ",""),"-",""),"+",""),"(",""),")",""),2,10),SUBSTITUTE(SUBSTITUTE(SUBSTITUTE(SUBSTITUTE(SUBSTITUTE(Клиенты_исходные!D708," ",""),"-",""),"+",""),"(",""),")","")),2,3)&amp;") "&amp;MID(IF(LEFT(SUBSTITUTE(SUBSTITUTE(SUBSTITUTE(SUBSTITUTE(SUBSTITUTE(Клиенты_исходные!D708," ",""),"-",""),"+",""),"(",""),")",""))="8","7"&amp;MID(SUBSTITUTE(SUBSTITUTE(SUBSTITUTE(SUBSTITUTE(SUBSTITUTE(Клиенты_исходные!D708," ",""),"-",""),"+",""),"(",""),")",""),2,10),SUBSTITUTE(SUBSTITUTE(SUBSTITUTE(SUBSTITUTE(SUBSTITUTE(Клиенты_исходные!D708," ",""),"-",""),"+",""),"(",""),")","")),5,3)&amp;"-"&amp;MID(IF(LEFT(SUBSTITUTE(SUBSTITUTE(SUBSTITUTE(SUBSTITUTE(SUBSTITUTE(Клиенты_исходные!D708," ",""),"-",""),"+",""),"(",""),")",""))="8","7"&amp;MID(SUBSTITUTE(SUBSTITUTE(SUBSTITUTE(SUBSTITUTE(SUBSTITUTE(Клиенты_исходные!D708," ",""),"-",""),"+",""),"(",""),")",""),2,10),SUBSTITUTE(SUBSTITUTE(SUBSTITUTE(SUBSTITUTE(SUBSTITUTE(Клиенты_исходные!D708," ",""),"-",""),"+",""),"(",""),")","")),8,2)&amp;"-"&amp;MID(IF(LEFT(SUBSTITUTE(SUBSTITUTE(SUBSTITUTE(SUBSTITUTE(SUBSTITUTE(Клиенты_исходные!D708," ",""),"-",""),"+",""),"(",""),")",""))="8","7"&amp;MID(SUBSTITUTE(SUBSTITUTE(SUBSTITUTE(SUBSTITUTE(SUBSTITUTE(Клиенты_исходные!D708," ",""),"-",""),"+",""),"(",""),")",""),2,10),SUBSTITUTE(SUBSTITUTE(SUBSTITUTE(SUBSTITUTE(SUBSTITUTE(Клиенты_исходные!D708," ",""),"-",""),"+",""),"(",""),")","")),10,2),IF(LEN(SUBSTITUTE(SUBSTITUTE(SUBSTITUTE(SUBSTITUTE(SUBSTITUTE(Клиенты_исходные!D708," ",""),"-",""),"+",""),"(",""),")",""))=10,"+7 ("&amp;MID(SUBSTITUTE(SUBSTITUTE(SUBSTITUTE(SUBSTITUTE(SUBSTITUTE(Клиенты_исходные!D708," ",""),"-",""),"+",""),"(",""),")",""),1,3)&amp;") "&amp;MID(SUBSTITUTE(SUBSTITUTE(SUBSTITUTE(SUBSTITUTE(SUBSTITUTE(Клиенты_исходные!D708," ",""),"-",""),"+",""),"(",""),")",""),4,3)&amp;"-"&amp;MID(SUBSTITUTE(SUBSTITUTE(SUBSTITUTE(SUBSTITUTE(SUBSTITUTE(Клиенты_исходные!D708," ",""),"-",""),"+",""),"(",""),")",""),6,2)&amp;"-"&amp;MID(SUBSTITUTE(SUBSTITUTE(SUBSTITUTE(SUBSTITUTE(SUBSTITUTE(Клиенты_исходные!D708," ",""),"-",""),"+",""),"(",""),")",""),8,2),Клиенты_исходные!D708)))</f>
        <v xml:space="preserve">+7 (903) 123-45-67</v>
      </c>
      <c r="E708" t="str">
        <f>IF(ISBLANK(Клиенты_исходные!E708),"",IF(ISNUMBER(FIND(".",MID(Клиенты_исходные!E708,FIND("@",Клиенты_исходные!E708)+1,255))),Клиенты_исходные!E708,IF(ISNUMBER(FIND("gmail",Клиенты_исходные!E708)),Клиенты_исходные!E708&amp;".com",Клиенты_исходные!E708&amp;".ru")))</f>
        <v>karaseva@yandex.ru</v>
      </c>
      <c r="F708" t="str">
        <f>IFERROR(VLOOKUP(Клиенты_исходные!F708,Справочники!$J$2:$K$50,2,FALSE),Клиенты_исходные!F708)</f>
        <v>Майкоп</v>
      </c>
      <c r="G708" s="8">
        <f>IFERROR(IF(ISNUMBER(FIND(".",Клиенты_исходные!G708)),DATE(RIGHT(Клиенты_исходные!G708,4),MID(Клиенты_исходные!G708,4,2),LEFT(Клиенты_исходные!G708,2)),DATE(LEFT(Клиенты_исходные!G708,4),MID(Клиенты_исходные!G708,6,2),RIGHT(Клиенты_исходные!G708,2))),Клиенты_исходные!G708)</f>
        <v>51723</v>
      </c>
      <c r="H708">
        <f t="shared" ca="1" si="79"/>
        <v>35</v>
      </c>
      <c r="I708" t="str">
        <f t="shared" si="80"/>
        <v>OK</v>
      </c>
      <c r="J708" t="str">
        <f t="shared" si="81"/>
        <v>OK</v>
      </c>
    </row>
    <row r="709">
      <c r="A709" t="str">
        <f>Клиенты_исходные!A709</f>
        <v>C0708</v>
      </c>
      <c r="B709" t="str">
        <f>PROPER(TRIM(Клиенты_исходные!B709))</f>
        <v xml:space="preserve">Лукин Андрей Олегович</v>
      </c>
      <c r="C709" s="8">
        <f>IFERROR(IF(ISNUMBER(FIND(".",Клиенты_исходные!C709)),DATE(RIGHT(Клиенты_исходные!C709,4),MID(Клиенты_исходные!C709,4,2),LEFT(Клиенты_исходные!C709,2)),DATE(LEFT(Клиенты_исходные!C709,4),MID(Клиенты_исходные!C709,6,2),RIGHT(Клиенты_исходные!C709,2))),Клиенты_исходные!C709)</f>
        <v>28165</v>
      </c>
      <c r="D709" t="str">
        <f>IF(ISBLANK(Клиенты_исходные!D709),"",IF(LEN(SUBSTITUTE(SUBSTITUTE(SUBSTITUTE(SUBSTITUTE(SUBSTITUTE(Клиенты_исходные!D709," ",""),"-",""),"+",""),"(",""),")",""))=11,"+7 ("&amp;MID(IF(LEFT(SUBSTITUTE(SUBSTITUTE(SUBSTITUTE(SUBSTITUTE(SUBSTITUTE(Клиенты_исходные!D709," ",""),"-",""),"+",""),"(",""),")",""))="8","7"&amp;MID(SUBSTITUTE(SUBSTITUTE(SUBSTITUTE(SUBSTITUTE(SUBSTITUTE(Клиенты_исходные!D709," ",""),"-",""),"+",""),"(",""),")",""),2,10),SUBSTITUTE(SUBSTITUTE(SUBSTITUTE(SUBSTITUTE(SUBSTITUTE(Клиенты_исходные!D709," ",""),"-",""),"+",""),"(",""),")","")),2,3)&amp;") "&amp;MID(IF(LEFT(SUBSTITUTE(SUBSTITUTE(SUBSTITUTE(SUBSTITUTE(SUBSTITUTE(Клиенты_исходные!D709," ",""),"-",""),"+",""),"(",""),")",""))="8","7"&amp;MID(SUBSTITUTE(SUBSTITUTE(SUBSTITUTE(SUBSTITUTE(SUBSTITUTE(Клиенты_исходные!D709," ",""),"-",""),"+",""),"(",""),")",""),2,10),SUBSTITUTE(SUBSTITUTE(SUBSTITUTE(SUBSTITUTE(SUBSTITUTE(Клиенты_исходные!D709," ",""),"-",""),"+",""),"(",""),")","")),5,3)&amp;"-"&amp;MID(IF(LEFT(SUBSTITUTE(SUBSTITUTE(SUBSTITUTE(SUBSTITUTE(SUBSTITUTE(Клиенты_исходные!D709," ",""),"-",""),"+",""),"(",""),")",""))="8","7"&amp;MID(SUBSTITUTE(SUBSTITUTE(SUBSTITUTE(SUBSTITUTE(SUBSTITUTE(Клиенты_исходные!D709," ",""),"-",""),"+",""),"(",""),")",""),2,10),SUBSTITUTE(SUBSTITUTE(SUBSTITUTE(SUBSTITUTE(SUBSTITUTE(Клиенты_исходные!D709," ",""),"-",""),"+",""),"(",""),")","")),8,2)&amp;"-"&amp;MID(IF(LEFT(SUBSTITUTE(SUBSTITUTE(SUBSTITUTE(SUBSTITUTE(SUBSTITUTE(Клиенты_исходные!D709," ",""),"-",""),"+",""),"(",""),")",""))="8","7"&amp;MID(SUBSTITUTE(SUBSTITUTE(SUBSTITUTE(SUBSTITUTE(SUBSTITUTE(Клиенты_исходные!D709," ",""),"-",""),"+",""),"(",""),")",""),2,10),SUBSTITUTE(SUBSTITUTE(SUBSTITUTE(SUBSTITUTE(SUBSTITUTE(Клиенты_исходные!D709," ",""),"-",""),"+",""),"(",""),")","")),10,2),IF(LEN(SUBSTITUTE(SUBSTITUTE(SUBSTITUTE(SUBSTITUTE(SUBSTITUTE(Клиенты_исходные!D709," ",""),"-",""),"+",""),"(",""),")",""))=10,"+7 ("&amp;MID(SUBSTITUTE(SUBSTITUTE(SUBSTITUTE(SUBSTITUTE(SUBSTITUTE(Клиенты_исходные!D709," ",""),"-",""),"+",""),"(",""),")",""),1,3)&amp;") "&amp;MID(SUBSTITUTE(SUBSTITUTE(SUBSTITUTE(SUBSTITUTE(SUBSTITUTE(Клиенты_исходные!D709," ",""),"-",""),"+",""),"(",""),")",""),4,3)&amp;"-"&amp;MID(SUBSTITUTE(SUBSTITUTE(SUBSTITUTE(SUBSTITUTE(SUBSTITUTE(Клиенты_исходные!D709," ",""),"-",""),"+",""),"(",""),")",""),6,2)&amp;"-"&amp;MID(SUBSTITUTE(SUBSTITUTE(SUBSTITUTE(SUBSTITUTE(SUBSTITUTE(Клиенты_исходные!D709," ",""),"-",""),"+",""),"(",""),")",""),8,2),Клиенты_исходные!D709)))</f>
        <v xml:space="preserve">+7 (903) 234-56-78</v>
      </c>
      <c r="E709" t="str">
        <f>IF(ISBLANK(Клиенты_исходные!E709),"",IF(ISNUMBER(FIND(".",MID(Клиенты_исходные!E709,FIND("@",Клиенты_исходные!E709)+1,255))),Клиенты_исходные!E709,IF(ISNUMBER(FIND("gmail",Клиенты_исходные!E709)),Клиенты_исходные!E709&amp;".com",Клиенты_исходные!E709&amp;".ru")))</f>
        <v>lukin@gmail.com</v>
      </c>
      <c r="F709" t="str">
        <f>IFERROR(VLOOKUP(Клиенты_исходные!F709,Справочники!$J$2:$K$50,2,FALSE),Клиенты_исходные!F709)</f>
        <v>Уссурийск</v>
      </c>
      <c r="G709" s="8">
        <f>IFERROR(IF(ISNUMBER(FIND(".",Клиенты_исходные!G709)),DATE(RIGHT(Клиенты_исходные!G709,4),MID(Клиенты_исходные!G709,4,2),LEFT(Клиенты_исходные!G709,2)),DATE(LEFT(Клиенты_исходные!G709,4),MID(Клиенты_исходные!G709,6,2),RIGHT(Клиенты_исходные!G709,2))),Клиенты_исходные!G709)</f>
        <v>51723</v>
      </c>
      <c r="H709">
        <f t="shared" ca="1" si="79"/>
        <v>49</v>
      </c>
      <c r="I709" t="str">
        <f t="shared" si="80"/>
        <v>OK</v>
      </c>
      <c r="J709" t="str">
        <f t="shared" si="81"/>
        <v>OK</v>
      </c>
    </row>
    <row r="710">
      <c r="A710" t="str">
        <f>Клиенты_исходные!A710</f>
        <v>C0709</v>
      </c>
      <c r="B710" t="str">
        <f>PROPER(TRIM(Клиенты_исходные!B710))</f>
        <v xml:space="preserve">Седова Мария Владимировна</v>
      </c>
      <c r="C710" s="8">
        <f>IFERROR(IF(ISNUMBER(FIND(".",Клиенты_исходные!C710)),DATE(RIGHT(Клиенты_исходные!C710,4),MID(Клиенты_исходные!C710,4,2),LEFT(Клиенты_исходные!C710,2)),DATE(LEFT(Клиенты_исходные!C710,4),MID(Клиенты_исходные!C710,6,2),RIGHT(Клиенты_исходные!C710,2))),Клиенты_исходные!C710)</f>
        <v>30521</v>
      </c>
      <c r="D710" t="str">
        <f>IF(ISBLANK(Клиенты_исходные!D710),"",IF(LEN(SUBSTITUTE(SUBSTITUTE(SUBSTITUTE(SUBSTITUTE(SUBSTITUTE(Клиенты_исходные!D710," ",""),"-",""),"+",""),"(",""),")",""))=11,"+7 ("&amp;MID(IF(LEFT(SUBSTITUTE(SUBSTITUTE(SUBSTITUTE(SUBSTITUTE(SUBSTITUTE(Клиенты_исходные!D710," ",""),"-",""),"+",""),"(",""),")",""))="8","7"&amp;MID(SUBSTITUTE(SUBSTITUTE(SUBSTITUTE(SUBSTITUTE(SUBSTITUTE(Клиенты_исходные!D710," ",""),"-",""),"+",""),"(",""),")",""),2,10),SUBSTITUTE(SUBSTITUTE(SUBSTITUTE(SUBSTITUTE(SUBSTITUTE(Клиенты_исходные!D710," ",""),"-",""),"+",""),"(",""),")","")),2,3)&amp;") "&amp;MID(IF(LEFT(SUBSTITUTE(SUBSTITUTE(SUBSTITUTE(SUBSTITUTE(SUBSTITUTE(Клиенты_исходные!D710," ",""),"-",""),"+",""),"(",""),")",""))="8","7"&amp;MID(SUBSTITUTE(SUBSTITUTE(SUBSTITUTE(SUBSTITUTE(SUBSTITUTE(Клиенты_исходные!D710," ",""),"-",""),"+",""),"(",""),")",""),2,10),SUBSTITUTE(SUBSTITUTE(SUBSTITUTE(SUBSTITUTE(SUBSTITUTE(Клиенты_исходные!D710," ",""),"-",""),"+",""),"(",""),")","")),5,3)&amp;"-"&amp;MID(IF(LEFT(SUBSTITUTE(SUBSTITUTE(SUBSTITUTE(SUBSTITUTE(SUBSTITUTE(Клиенты_исходные!D710," ",""),"-",""),"+",""),"(",""),")",""))="8","7"&amp;MID(SUBSTITUTE(SUBSTITUTE(SUBSTITUTE(SUBSTITUTE(SUBSTITUTE(Клиенты_исходные!D710," ",""),"-",""),"+",""),"(",""),")",""),2,10),SUBSTITUTE(SUBSTITUTE(SUBSTITUTE(SUBSTITUTE(SUBSTITUTE(Клиенты_исходные!D710," ",""),"-",""),"+",""),"(",""),")","")),8,2)&amp;"-"&amp;MID(IF(LEFT(SUBSTITUTE(SUBSTITUTE(SUBSTITUTE(SUBSTITUTE(SUBSTITUTE(Клиенты_исходные!D710," ",""),"-",""),"+",""),"(",""),")",""))="8","7"&amp;MID(SUBSTITUTE(SUBSTITUTE(SUBSTITUTE(SUBSTITUTE(SUBSTITUTE(Клиенты_исходные!D710," ",""),"-",""),"+",""),"(",""),")",""),2,10),SUBSTITUTE(SUBSTITUTE(SUBSTITUTE(SUBSTITUTE(SUBSTITUTE(Клиенты_исходные!D710," ",""),"-",""),"+",""),"(",""),")","")),10,2),IF(LEN(SUBSTITUTE(SUBSTITUTE(SUBSTITUTE(SUBSTITUTE(SUBSTITUTE(Клиенты_исходные!D710," ",""),"-",""),"+",""),"(",""),")",""))=10,"+7 ("&amp;MID(SUBSTITUTE(SUBSTITUTE(SUBSTITUTE(SUBSTITUTE(SUBSTITUTE(Клиенты_исходные!D710," ",""),"-",""),"+",""),"(",""),")",""),1,3)&amp;") "&amp;MID(SUBSTITUTE(SUBSTITUTE(SUBSTITUTE(SUBSTITUTE(SUBSTITUTE(Клиенты_исходные!D710," ",""),"-",""),"+",""),"(",""),")",""),4,3)&amp;"-"&amp;MID(SUBSTITUTE(SUBSTITUTE(SUBSTITUTE(SUBSTITUTE(SUBSTITUTE(Клиенты_исходные!D710," ",""),"-",""),"+",""),"(",""),")",""),6,2)&amp;"-"&amp;MID(SUBSTITUTE(SUBSTITUTE(SUBSTITUTE(SUBSTITUTE(SUBSTITUTE(Клиенты_исходные!D710," ",""),"-",""),"+",""),"(",""),")",""),8,2),Клиенты_исходные!D710)))</f>
        <v xml:space="preserve">+7 (903) 234-56-78</v>
      </c>
      <c r="E710" t="str">
        <f>IF(ISBLANK(Клиенты_исходные!E710),"",IF(ISNUMBER(FIND(".",MID(Клиенты_исходные!E710,FIND("@",Клиенты_исходные!E710)+1,255))),Клиенты_исходные!E710,IF(ISNUMBER(FIND("gmail",Клиенты_исходные!E710)),Клиенты_исходные!E710&amp;".com",Клиенты_исходные!E710&amp;".ru")))</f>
        <v>sedova@mail.ru</v>
      </c>
      <c r="F710" t="str">
        <f>IFERROR(VLOOKUP(Клиенты_исходные!F710,Справочники!$J$2:$K$50,2,FALSE),Клиенты_исходные!F710)</f>
        <v>Миасс</v>
      </c>
      <c r="G710" s="8">
        <f>IFERROR(IF(ISNUMBER(FIND(".",Клиенты_исходные!G710)),DATE(RIGHT(Клиенты_исходные!G710,4),MID(Клиенты_исходные!G710,4,2),LEFT(Клиенты_исходные!G710,2)),DATE(LEFT(Клиенты_исходные!G710,4),MID(Клиенты_исходные!G710,6,2),RIGHT(Клиенты_исходные!G710,2))),Клиенты_исходные!G710)</f>
        <v>51745</v>
      </c>
      <c r="H710">
        <f t="shared" ca="1" si="79"/>
        <v>43</v>
      </c>
      <c r="I710" t="str">
        <f t="shared" si="80"/>
        <v>OK</v>
      </c>
      <c r="J710" t="str">
        <f t="shared" si="81"/>
        <v>OK</v>
      </c>
    </row>
    <row r="711">
      <c r="A711" t="str">
        <f>Клиенты_исходные!A711</f>
        <v>C0710</v>
      </c>
      <c r="B711" t="str">
        <f>PROPER(TRIM(Клиенты_исходные!B711))</f>
        <v xml:space="preserve">Новожилов Илья Алексеевич</v>
      </c>
      <c r="C711" s="8">
        <f>IFERROR(IF(ISNUMBER(FIND(".",Клиенты_исходные!C711)),DATE(RIGHT(Клиенты_исходные!C711,4),MID(Клиенты_исходные!C711,4,2),LEFT(Клиенты_исходные!C711,2)),DATE(LEFT(Клиенты_исходные!C711,4),MID(Клиенты_исходные!C711,6,2),RIGHT(Клиенты_исходные!C711,2))),Клиенты_исходные!C711)</f>
        <v>32217</v>
      </c>
      <c r="D711" t="str">
        <f>IF(ISBLANK(Клиенты_исходные!D711),"",IF(LEN(SUBSTITUTE(SUBSTITUTE(SUBSTITUTE(SUBSTITUTE(SUBSTITUTE(Клиенты_исходные!D711," ",""),"-",""),"+",""),"(",""),")",""))=11,"+7 ("&amp;MID(IF(LEFT(SUBSTITUTE(SUBSTITUTE(SUBSTITUTE(SUBSTITUTE(SUBSTITUTE(Клиенты_исходные!D711," ",""),"-",""),"+",""),"(",""),")",""))="8","7"&amp;MID(SUBSTITUTE(SUBSTITUTE(SUBSTITUTE(SUBSTITUTE(SUBSTITUTE(Клиенты_исходные!D711," ",""),"-",""),"+",""),"(",""),")",""),2,10),SUBSTITUTE(SUBSTITUTE(SUBSTITUTE(SUBSTITUTE(SUBSTITUTE(Клиенты_исходные!D711," ",""),"-",""),"+",""),"(",""),")","")),2,3)&amp;") "&amp;MID(IF(LEFT(SUBSTITUTE(SUBSTITUTE(SUBSTITUTE(SUBSTITUTE(SUBSTITUTE(Клиенты_исходные!D711," ",""),"-",""),"+",""),"(",""),")",""))="8","7"&amp;MID(SUBSTITUTE(SUBSTITUTE(SUBSTITUTE(SUBSTITUTE(SUBSTITUTE(Клиенты_исходные!D711," ",""),"-",""),"+",""),"(",""),")",""),2,10),SUBSTITUTE(SUBSTITUTE(SUBSTITUTE(SUBSTITUTE(SUBSTITUTE(Клиенты_исходные!D711," ",""),"-",""),"+",""),"(",""),")","")),5,3)&amp;"-"&amp;MID(IF(LEFT(SUBSTITUTE(SUBSTITUTE(SUBSTITUTE(SUBSTITUTE(SUBSTITUTE(Клиенты_исходные!D711," ",""),"-",""),"+",""),"(",""),")",""))="8","7"&amp;MID(SUBSTITUTE(SUBSTITUTE(SUBSTITUTE(SUBSTITUTE(SUBSTITUTE(Клиенты_исходные!D711," ",""),"-",""),"+",""),"(",""),")",""),2,10),SUBSTITUTE(SUBSTITUTE(SUBSTITUTE(SUBSTITUTE(SUBSTITUTE(Клиенты_исходные!D711," ",""),"-",""),"+",""),"(",""),")","")),8,2)&amp;"-"&amp;MID(IF(LEFT(SUBSTITUTE(SUBSTITUTE(SUBSTITUTE(SUBSTITUTE(SUBSTITUTE(Клиенты_исходные!D711," ",""),"-",""),"+",""),"(",""),")",""))="8","7"&amp;MID(SUBSTITUTE(SUBSTITUTE(SUBSTITUTE(SUBSTITUTE(SUBSTITUTE(Клиенты_исходные!D711," ",""),"-",""),"+",""),"(",""),")",""),2,10),SUBSTITUTE(SUBSTITUTE(SUBSTITUTE(SUBSTITUTE(SUBSTITUTE(Клиенты_исходные!D711," ",""),"-",""),"+",""),"(",""),")","")),10,2),IF(LEN(SUBSTITUTE(SUBSTITUTE(SUBSTITUTE(SUBSTITUTE(SUBSTITUTE(Клиенты_исходные!D711," ",""),"-",""),"+",""),"(",""),")",""))=10,"+7 ("&amp;MID(SUBSTITUTE(SUBSTITUTE(SUBSTITUTE(SUBSTITUTE(SUBSTITUTE(Клиенты_исходные!D711," ",""),"-",""),"+",""),"(",""),")",""),1,3)&amp;") "&amp;MID(SUBSTITUTE(SUBSTITUTE(SUBSTITUTE(SUBSTITUTE(SUBSTITUTE(Клиенты_исходные!D711," ",""),"-",""),"+",""),"(",""),")",""),4,3)&amp;"-"&amp;MID(SUBSTITUTE(SUBSTITUTE(SUBSTITUTE(SUBSTITUTE(SUBSTITUTE(Клиенты_исходные!D711," ",""),"-",""),"+",""),"(",""),")",""),6,2)&amp;"-"&amp;MID(SUBSTITUTE(SUBSTITUTE(SUBSTITUTE(SUBSTITUTE(SUBSTITUTE(Клиенты_исходные!D711," ",""),"-",""),"+",""),"(",""),")",""),8,2),Клиенты_исходные!D711)))</f>
        <v xml:space="preserve">+7 (903) 234-56-78</v>
      </c>
      <c r="E711" t="str">
        <f>IF(ISBLANK(Клиенты_исходные!E711),"",IF(ISNUMBER(FIND(".",MID(Клиенты_исходные!E711,FIND("@",Клиенты_исходные!E711)+1,255))),Клиенты_исходные!E711,IF(ISNUMBER(FIND("gmail",Клиенты_исходные!E711)),Клиенты_исходные!E711&amp;".com",Клиенты_исходные!E711&amp;".ru")))</f>
        <v>novozhilov@yandex.ru</v>
      </c>
      <c r="F711" t="str">
        <f>IFERROR(VLOOKUP(Клиенты_исходные!F711,Справочники!$J$2:$K$50,2,FALSE),Клиенты_исходные!F711)</f>
        <v>Кызыл</v>
      </c>
      <c r="G711" s="8">
        <f>IFERROR(IF(ISNUMBER(FIND(".",Клиенты_исходные!G711)),DATE(RIGHT(Клиенты_исходные!G711,4),MID(Клиенты_исходные!G711,4,2),LEFT(Клиенты_исходные!G711,2)),DATE(LEFT(Клиенты_исходные!G711,4),MID(Клиенты_исходные!G711,6,2),RIGHT(Клиенты_исходные!G711,2))),Клиенты_исходные!G711)</f>
        <v>51759</v>
      </c>
      <c r="H711">
        <f t="shared" ca="1" si="79"/>
        <v>38</v>
      </c>
      <c r="I711" t="str">
        <f t="shared" si="80"/>
        <v>OK</v>
      </c>
      <c r="J711" t="str">
        <f t="shared" si="81"/>
        <v>OK</v>
      </c>
    </row>
    <row r="712">
      <c r="A712" t="str">
        <f>Клиенты_исходные!A712</f>
        <v>C0711</v>
      </c>
      <c r="B712" t="str">
        <f>PROPER(TRIM(Клиенты_исходные!B712))</f>
        <v xml:space="preserve">Терентьева Ольга Павловна</v>
      </c>
      <c r="C712" s="8">
        <f>IFERROR(IF(ISNUMBER(FIND(".",Клиенты_исходные!C712)),DATE(RIGHT(Клиенты_исходные!C712,4),MID(Клиенты_исходные!C712,4,2),LEFT(Клиенты_исходные!C712,2)),DATE(LEFT(Клиенты_исходные!C712,4),MID(Клиенты_исходные!C712,6,2),RIGHT(Клиенты_исходные!C712,2))),Клиенты_исходные!C712)</f>
        <v>27334</v>
      </c>
      <c r="D712" t="str">
        <f>IF(ISBLANK(Клиенты_исходные!D712),"",IF(LEN(SUBSTITUTE(SUBSTITUTE(SUBSTITUTE(SUBSTITUTE(SUBSTITUTE(Клиенты_исходные!D712," ",""),"-",""),"+",""),"(",""),")",""))=11,"+7 ("&amp;MID(IF(LEFT(SUBSTITUTE(SUBSTITUTE(SUBSTITUTE(SUBSTITUTE(SUBSTITUTE(Клиенты_исходные!D712," ",""),"-",""),"+",""),"(",""),")",""))="8","7"&amp;MID(SUBSTITUTE(SUBSTITUTE(SUBSTITUTE(SUBSTITUTE(SUBSTITUTE(Клиенты_исходные!D712," ",""),"-",""),"+",""),"(",""),")",""),2,10),SUBSTITUTE(SUBSTITUTE(SUBSTITUTE(SUBSTITUTE(SUBSTITUTE(Клиенты_исходные!D712," ",""),"-",""),"+",""),"(",""),")","")),2,3)&amp;") "&amp;MID(IF(LEFT(SUBSTITUTE(SUBSTITUTE(SUBSTITUTE(SUBSTITUTE(SUBSTITUTE(Клиенты_исходные!D712," ",""),"-",""),"+",""),"(",""),")",""))="8","7"&amp;MID(SUBSTITUTE(SUBSTITUTE(SUBSTITUTE(SUBSTITUTE(SUBSTITUTE(Клиенты_исходные!D712," ",""),"-",""),"+",""),"(",""),")",""),2,10),SUBSTITUTE(SUBSTITUTE(SUBSTITUTE(SUBSTITUTE(SUBSTITUTE(Клиенты_исходные!D712," ",""),"-",""),"+",""),"(",""),")","")),5,3)&amp;"-"&amp;MID(IF(LEFT(SUBSTITUTE(SUBSTITUTE(SUBSTITUTE(SUBSTITUTE(SUBSTITUTE(Клиенты_исходные!D712," ",""),"-",""),"+",""),"(",""),")",""))="8","7"&amp;MID(SUBSTITUTE(SUBSTITUTE(SUBSTITUTE(SUBSTITUTE(SUBSTITUTE(Клиенты_исходные!D712," ",""),"-",""),"+",""),"(",""),")",""),2,10),SUBSTITUTE(SUBSTITUTE(SUBSTITUTE(SUBSTITUTE(SUBSTITUTE(Клиенты_исходные!D712," ",""),"-",""),"+",""),"(",""),")","")),8,2)&amp;"-"&amp;MID(IF(LEFT(SUBSTITUTE(SUBSTITUTE(SUBSTITUTE(SUBSTITUTE(SUBSTITUTE(Клиенты_исходные!D712," ",""),"-",""),"+",""),"(",""),")",""))="8","7"&amp;MID(SUBSTITUTE(SUBSTITUTE(SUBSTITUTE(SUBSTITUTE(SUBSTITUTE(Клиенты_исходные!D712," ",""),"-",""),"+",""),"(",""),")",""),2,10),SUBSTITUTE(SUBSTITUTE(SUBSTITUTE(SUBSTITUTE(SUBSTITUTE(Клиенты_исходные!D712," ",""),"-",""),"+",""),"(",""),")","")),10,2),IF(LEN(SUBSTITUTE(SUBSTITUTE(SUBSTITUTE(SUBSTITUTE(SUBSTITUTE(Клиенты_исходные!D712," ",""),"-",""),"+",""),"(",""),")",""))=10,"+7 ("&amp;MID(SUBSTITUTE(SUBSTITUTE(SUBSTITUTE(SUBSTITUTE(SUBSTITUTE(Клиенты_исходные!D712," ",""),"-",""),"+",""),"(",""),")",""),1,3)&amp;") "&amp;MID(SUBSTITUTE(SUBSTITUTE(SUBSTITUTE(SUBSTITUTE(SUBSTITUTE(Клиенты_исходные!D712," ",""),"-",""),"+",""),"(",""),")",""),4,3)&amp;"-"&amp;MID(SUBSTITUTE(SUBSTITUTE(SUBSTITUTE(SUBSTITUTE(SUBSTITUTE(Клиенты_исходные!D712," ",""),"-",""),"+",""),"(",""),")",""),6,2)&amp;"-"&amp;MID(SUBSTITUTE(SUBSTITUTE(SUBSTITUTE(SUBSTITUTE(SUBSTITUTE(Клиенты_исходные!D712," ",""),"-",""),"+",""),"(",""),")",""),8,2),Клиенты_исходные!D712)))</f>
        <v xml:space="preserve">+7 (903) 345-67-89</v>
      </c>
      <c r="E712" t="str">
        <f>IF(ISBLANK(Клиенты_исходные!E712),"",IF(ISNUMBER(FIND(".",MID(Клиенты_исходные!E712,FIND("@",Клиенты_исходные!E712)+1,255))),Клиенты_исходные!E712,IF(ISNUMBER(FIND("gmail",Клиенты_исходные!E712)),Клиенты_исходные!E712&amp;".com",Клиенты_исходные!E712&amp;".ru")))</f>
        <v>terenteva@gmail.com</v>
      </c>
      <c r="F712" t="str">
        <f>IFERROR(VLOOKUP(Клиенты_исходные!F712,Справочники!$J$2:$K$50,2,FALSE),Клиенты_исходные!F712)</f>
        <v>Калининград</v>
      </c>
      <c r="G712" s="8">
        <f>IFERROR(IF(ISNUMBER(FIND(".",Клиенты_исходные!G712)),DATE(RIGHT(Клиенты_исходные!G712,4),MID(Клиенты_исходные!G712,4,2),LEFT(Клиенты_исходные!G712,2)),DATE(LEFT(Клиенты_исходные!G712,4),MID(Клиенты_исходные!G712,6,2),RIGHT(Клиенты_исходные!G712,2))),Клиенты_исходные!G712)</f>
        <v>51759</v>
      </c>
      <c r="H712">
        <f t="shared" ca="1" si="79"/>
        <v>51</v>
      </c>
      <c r="I712" t="str">
        <f t="shared" si="80"/>
        <v>OK</v>
      </c>
      <c r="J712" t="str">
        <f t="shared" si="81"/>
        <v>OK</v>
      </c>
    </row>
    <row r="713">
      <c r="A713" t="str">
        <f>Клиенты_исходные!A713</f>
        <v>C0712</v>
      </c>
      <c r="B713" t="str">
        <f>PROPER(TRIM(Клиенты_исходные!B713))</f>
        <v xml:space="preserve">Горбатов Денис Сергеевич</v>
      </c>
      <c r="C713" s="8">
        <f>IFERROR(IF(ISNUMBER(FIND(".",Клиенты_исходные!C713)),DATE(RIGHT(Клиенты_исходные!C713,4),MID(Клиенты_исходные!C713,4,2),LEFT(Клиенты_исходные!C713,2)),DATE(LEFT(Клиенты_исходные!C713,4),MID(Клиенты_исходные!C713,6,2),RIGHT(Клиенты_исходные!C713,2))),Клиенты_исходные!C713)</f>
        <v>30246</v>
      </c>
      <c r="D713" t="str">
        <f>IF(ISBLANK(Клиенты_исходные!D713),"",IF(LEN(SUBSTITUTE(SUBSTITUTE(SUBSTITUTE(SUBSTITUTE(SUBSTITUTE(Клиенты_исходные!D713," ",""),"-",""),"+",""),"(",""),")",""))=11,"+7 ("&amp;MID(IF(LEFT(SUBSTITUTE(SUBSTITUTE(SUBSTITUTE(SUBSTITUTE(SUBSTITUTE(Клиенты_исходные!D713," ",""),"-",""),"+",""),"(",""),")",""))="8","7"&amp;MID(SUBSTITUTE(SUBSTITUTE(SUBSTITUTE(SUBSTITUTE(SUBSTITUTE(Клиенты_исходные!D713," ",""),"-",""),"+",""),"(",""),")",""),2,10),SUBSTITUTE(SUBSTITUTE(SUBSTITUTE(SUBSTITUTE(SUBSTITUTE(Клиенты_исходные!D713," ",""),"-",""),"+",""),"(",""),")","")),2,3)&amp;") "&amp;MID(IF(LEFT(SUBSTITUTE(SUBSTITUTE(SUBSTITUTE(SUBSTITUTE(SUBSTITUTE(Клиенты_исходные!D713," ",""),"-",""),"+",""),"(",""),")",""))="8","7"&amp;MID(SUBSTITUTE(SUBSTITUTE(SUBSTITUTE(SUBSTITUTE(SUBSTITUTE(Клиенты_исходные!D713," ",""),"-",""),"+",""),"(",""),")",""),2,10),SUBSTITUTE(SUBSTITUTE(SUBSTITUTE(SUBSTITUTE(SUBSTITUTE(Клиенты_исходные!D713," ",""),"-",""),"+",""),"(",""),")","")),5,3)&amp;"-"&amp;MID(IF(LEFT(SUBSTITUTE(SUBSTITUTE(SUBSTITUTE(SUBSTITUTE(SUBSTITUTE(Клиенты_исходные!D713," ",""),"-",""),"+",""),"(",""),")",""))="8","7"&amp;MID(SUBSTITUTE(SUBSTITUTE(SUBSTITUTE(SUBSTITUTE(SUBSTITUTE(Клиенты_исходные!D713," ",""),"-",""),"+",""),"(",""),")",""),2,10),SUBSTITUTE(SUBSTITUTE(SUBSTITUTE(SUBSTITUTE(SUBSTITUTE(Клиенты_исходные!D713," ",""),"-",""),"+",""),"(",""),")","")),8,2)&amp;"-"&amp;MID(IF(LEFT(SUBSTITUTE(SUBSTITUTE(SUBSTITUTE(SUBSTITUTE(SUBSTITUTE(Клиенты_исходные!D713," ",""),"-",""),"+",""),"(",""),")",""))="8","7"&amp;MID(SUBSTITUTE(SUBSTITUTE(SUBSTITUTE(SUBSTITUTE(SUBSTITUTE(Клиенты_исходные!D713," ",""),"-",""),"+",""),"(",""),")",""),2,10),SUBSTITUTE(SUBSTITUTE(SUBSTITUTE(SUBSTITUTE(SUBSTITUTE(Клиенты_исходные!D713," ",""),"-",""),"+",""),"(",""),")","")),10,2),IF(LEN(SUBSTITUTE(SUBSTITUTE(SUBSTITUTE(SUBSTITUTE(SUBSTITUTE(Клиенты_исходные!D713," ",""),"-",""),"+",""),"(",""),")",""))=10,"+7 ("&amp;MID(SUBSTITUTE(SUBSTITUTE(SUBSTITUTE(SUBSTITUTE(SUBSTITUTE(Клиенты_исходные!D713," ",""),"-",""),"+",""),"(",""),")",""),1,3)&amp;") "&amp;MID(SUBSTITUTE(SUBSTITUTE(SUBSTITUTE(SUBSTITUTE(SUBSTITUTE(Клиенты_исходные!D713," ",""),"-",""),"+",""),"(",""),")",""),4,3)&amp;"-"&amp;MID(SUBSTITUTE(SUBSTITUTE(SUBSTITUTE(SUBSTITUTE(SUBSTITUTE(Клиенты_исходные!D713," ",""),"-",""),"+",""),"(",""),")",""),6,2)&amp;"-"&amp;MID(SUBSTITUTE(SUBSTITUTE(SUBSTITUTE(SUBSTITUTE(SUBSTITUTE(Клиенты_исходные!D713," ",""),"-",""),"+",""),"(",""),")",""),8,2),Клиенты_исходные!D713)))</f>
        <v xml:space="preserve">+7 (903) 345-67-89</v>
      </c>
      <c r="E713" t="str">
        <f>IF(ISBLANK(Клиенты_исходные!E713),"",IF(ISNUMBER(FIND(".",MID(Клиенты_исходные!E713,FIND("@",Клиенты_исходные!E713)+1,255))),Клиенты_исходные!E713,IF(ISNUMBER(FIND("gmail",Клиенты_исходные!E713)),Клиенты_исходные!E713&amp;".com",Клиенты_исходные!E713&amp;".ru")))</f>
        <v>gorbatov@mail.ru</v>
      </c>
      <c r="F713" t="str">
        <f>IFERROR(VLOOKUP(Клиенты_исходные!F713,Справочники!$J$2:$K$50,2,FALSE),Клиенты_исходные!F713)</f>
        <v>Петрозаводск</v>
      </c>
      <c r="G713" s="8">
        <f>IFERROR(IF(ISNUMBER(FIND(".",Клиенты_исходные!G713)),DATE(RIGHT(Клиенты_исходные!G713,4),MID(Клиенты_исходные!G713,4,2),LEFT(Клиенты_исходные!G713,2)),DATE(LEFT(Клиенты_исходные!G713,4),MID(Клиенты_исходные!G713,6,2),RIGHT(Клиенты_исходные!G713,2))),Клиенты_исходные!G713)</f>
        <v>51775</v>
      </c>
      <c r="H713">
        <f t="shared" ca="1" si="79"/>
        <v>43</v>
      </c>
      <c r="I713" t="str">
        <f t="shared" si="80"/>
        <v>OK</v>
      </c>
      <c r="J713" t="str">
        <f t="shared" si="81"/>
        <v>OK</v>
      </c>
    </row>
    <row r="714">
      <c r="A714" t="str">
        <f>Клиенты_исходные!A714</f>
        <v>C0713</v>
      </c>
      <c r="B714" t="str">
        <f>PROPER(TRIM(Клиенты_исходные!B714))</f>
        <v xml:space="preserve">Шелестова Екатерина Сергеевна</v>
      </c>
      <c r="C714" s="8">
        <f>IFERROR(IF(ISNUMBER(FIND(".",Клиенты_исходные!C714)),DATE(RIGHT(Клиенты_исходные!C714,4),MID(Клиенты_исходные!C714,4,2),LEFT(Клиенты_исходные!C714,2)),DATE(LEFT(Клиенты_исходные!C714,4),MID(Клиенты_исходные!C714,6,2),RIGHT(Клиенты_исходные!C714,2))),Клиенты_исходные!C714)</f>
        <v>32640</v>
      </c>
      <c r="D714" t="str">
        <f>IF(ISBLANK(Клиенты_исходные!D714),"",IF(LEN(SUBSTITUTE(SUBSTITUTE(SUBSTITUTE(SUBSTITUTE(SUBSTITUTE(Клиенты_исходные!D714," ",""),"-",""),"+",""),"(",""),")",""))=11,"+7 ("&amp;MID(IF(LEFT(SUBSTITUTE(SUBSTITUTE(SUBSTITUTE(SUBSTITUTE(SUBSTITUTE(Клиенты_исходные!D714," ",""),"-",""),"+",""),"(",""),")",""))="8","7"&amp;MID(SUBSTITUTE(SUBSTITUTE(SUBSTITUTE(SUBSTITUTE(SUBSTITUTE(Клиенты_исходные!D714," ",""),"-",""),"+",""),"(",""),")",""),2,10),SUBSTITUTE(SUBSTITUTE(SUBSTITUTE(SUBSTITUTE(SUBSTITUTE(Клиенты_исходные!D714," ",""),"-",""),"+",""),"(",""),")","")),2,3)&amp;") "&amp;MID(IF(LEFT(SUBSTITUTE(SUBSTITUTE(SUBSTITUTE(SUBSTITUTE(SUBSTITUTE(Клиенты_исходные!D714," ",""),"-",""),"+",""),"(",""),")",""))="8","7"&amp;MID(SUBSTITUTE(SUBSTITUTE(SUBSTITUTE(SUBSTITUTE(SUBSTITUTE(Клиенты_исходные!D714," ",""),"-",""),"+",""),"(",""),")",""),2,10),SUBSTITUTE(SUBSTITUTE(SUBSTITUTE(SUBSTITUTE(SUBSTITUTE(Клиенты_исходные!D714," ",""),"-",""),"+",""),"(",""),")","")),5,3)&amp;"-"&amp;MID(IF(LEFT(SUBSTITUTE(SUBSTITUTE(SUBSTITUTE(SUBSTITUTE(SUBSTITUTE(Клиенты_исходные!D714," ",""),"-",""),"+",""),"(",""),")",""))="8","7"&amp;MID(SUBSTITUTE(SUBSTITUTE(SUBSTITUTE(SUBSTITUTE(SUBSTITUTE(Клиенты_исходные!D714," ",""),"-",""),"+",""),"(",""),")",""),2,10),SUBSTITUTE(SUBSTITUTE(SUBSTITUTE(SUBSTITUTE(SUBSTITUTE(Клиенты_исходные!D714," ",""),"-",""),"+",""),"(",""),")","")),8,2)&amp;"-"&amp;MID(IF(LEFT(SUBSTITUTE(SUBSTITUTE(SUBSTITUTE(SUBSTITUTE(SUBSTITUTE(Клиенты_исходные!D714," ",""),"-",""),"+",""),"(",""),")",""))="8","7"&amp;MID(SUBSTITUTE(SUBSTITUTE(SUBSTITUTE(SUBSTITUTE(SUBSTITUTE(Клиенты_исходные!D714," ",""),"-",""),"+",""),"(",""),")",""),2,10),SUBSTITUTE(SUBSTITUTE(SUBSTITUTE(SUBSTITUTE(SUBSTITUTE(Клиенты_исходные!D714," ",""),"-",""),"+",""),"(",""),")","")),10,2),IF(LEN(SUBSTITUTE(SUBSTITUTE(SUBSTITUTE(SUBSTITUTE(SUBSTITUTE(Клиенты_исходные!D714," ",""),"-",""),"+",""),"(",""),")",""))=10,"+7 ("&amp;MID(SUBSTITUTE(SUBSTITUTE(SUBSTITUTE(SUBSTITUTE(SUBSTITUTE(Клиенты_исходные!D714," ",""),"-",""),"+",""),"(",""),")",""),1,3)&amp;") "&amp;MID(SUBSTITUTE(SUBSTITUTE(SUBSTITUTE(SUBSTITUTE(SUBSTITUTE(Клиенты_исходные!D714," ",""),"-",""),"+",""),"(",""),")",""),4,3)&amp;"-"&amp;MID(SUBSTITUTE(SUBSTITUTE(SUBSTITUTE(SUBSTITUTE(SUBSTITUTE(Клиенты_исходные!D714," ",""),"-",""),"+",""),"(",""),")",""),6,2)&amp;"-"&amp;MID(SUBSTITUTE(SUBSTITUTE(SUBSTITUTE(SUBSTITUTE(SUBSTITUTE(Клиенты_исходные!D714," ",""),"-",""),"+",""),"(",""),")",""),8,2),Клиенты_исходные!D714)))</f>
        <v xml:space="preserve">+7 (903) 345-67-89</v>
      </c>
      <c r="E714" t="str">
        <f>IF(ISBLANK(Клиенты_исходные!E714),"",IF(ISNUMBER(FIND(".",MID(Клиенты_исходные!E714,FIND("@",Клиенты_исходные!E714)+1,255))),Клиенты_исходные!E714,IF(ISNUMBER(FIND("gmail",Клиенты_исходные!E714)),Клиенты_исходные!E714&amp;".com",Клиенты_исходные!E714&amp;".ru")))</f>
        <v>shelyostova@yandex.ru</v>
      </c>
      <c r="F714" t="str">
        <f>IFERROR(VLOOKUP(Клиенты_исходные!F714,Справочники!$J$2:$K$50,2,FALSE),Клиенты_исходные!F714)</f>
        <v>Рубцовск</v>
      </c>
      <c r="G714" s="8">
        <f>IFERROR(IF(ISNUMBER(FIND(".",Клиенты_исходные!G714)),DATE(RIGHT(Клиенты_исходные!G714,4),MID(Клиенты_исходные!G714,4,2),LEFT(Клиенты_исходные!G714,2)),DATE(LEFT(Клиенты_исходные!G714,4),MID(Клиенты_исходные!G714,6,2),RIGHT(Клиенты_исходные!G714,2))),Клиенты_исходные!G714)</f>
        <v>51784</v>
      </c>
      <c r="H714">
        <f t="shared" ca="1" si="79"/>
        <v>37</v>
      </c>
      <c r="I714" t="str">
        <f t="shared" si="80"/>
        <v>OK</v>
      </c>
      <c r="J714" t="str">
        <f t="shared" si="81"/>
        <v>OK</v>
      </c>
    </row>
    <row r="715">
      <c r="A715" t="str">
        <f>Клиенты_исходные!A715</f>
        <v>C0714</v>
      </c>
      <c r="B715" t="str">
        <f>PROPER(TRIM(Клиенты_исходные!B715))</f>
        <v xml:space="preserve">Костин Андрей Павлович</v>
      </c>
      <c r="C715" s="8">
        <f>IFERROR(IF(ISNUMBER(FIND(".",Клиенты_исходные!C715)),DATE(RIGHT(Клиенты_исходные!C715,4),MID(Клиенты_исходные!C715,4,2),LEFT(Клиенты_исходные!C715,2)),DATE(LEFT(Клиенты_исходные!C715,4),MID(Клиенты_исходные!C715,6,2),RIGHT(Клиенты_исходные!C715,2))),Клиенты_исходные!C715)</f>
        <v>27786</v>
      </c>
      <c r="D715" t="str">
        <f>IF(ISBLANK(Клиенты_исходные!D715),"",IF(LEN(SUBSTITUTE(SUBSTITUTE(SUBSTITUTE(SUBSTITUTE(SUBSTITUTE(Клиенты_исходные!D715," ",""),"-",""),"+",""),"(",""),")",""))=11,"+7 ("&amp;MID(IF(LEFT(SUBSTITUTE(SUBSTITUTE(SUBSTITUTE(SUBSTITUTE(SUBSTITUTE(Клиенты_исходные!D715," ",""),"-",""),"+",""),"(",""),")",""))="8","7"&amp;MID(SUBSTITUTE(SUBSTITUTE(SUBSTITUTE(SUBSTITUTE(SUBSTITUTE(Клиенты_исходные!D715," ",""),"-",""),"+",""),"(",""),")",""),2,10),SUBSTITUTE(SUBSTITUTE(SUBSTITUTE(SUBSTITUTE(SUBSTITUTE(Клиенты_исходные!D715," ",""),"-",""),"+",""),"(",""),")","")),2,3)&amp;") "&amp;MID(IF(LEFT(SUBSTITUTE(SUBSTITUTE(SUBSTITUTE(SUBSTITUTE(SUBSTITUTE(Клиенты_исходные!D715," ",""),"-",""),"+",""),"(",""),")",""))="8","7"&amp;MID(SUBSTITUTE(SUBSTITUTE(SUBSTITUTE(SUBSTITUTE(SUBSTITUTE(Клиенты_исходные!D715," ",""),"-",""),"+",""),"(",""),")",""),2,10),SUBSTITUTE(SUBSTITUTE(SUBSTITUTE(SUBSTITUTE(SUBSTITUTE(Клиенты_исходные!D715," ",""),"-",""),"+",""),"(",""),")","")),5,3)&amp;"-"&amp;MID(IF(LEFT(SUBSTITUTE(SUBSTITUTE(SUBSTITUTE(SUBSTITUTE(SUBSTITUTE(Клиенты_исходные!D715," ",""),"-",""),"+",""),"(",""),")",""))="8","7"&amp;MID(SUBSTITUTE(SUBSTITUTE(SUBSTITUTE(SUBSTITUTE(SUBSTITUTE(Клиенты_исходные!D715," ",""),"-",""),"+",""),"(",""),")",""),2,10),SUBSTITUTE(SUBSTITUTE(SUBSTITUTE(SUBSTITUTE(SUBSTITUTE(Клиенты_исходные!D715," ",""),"-",""),"+",""),"(",""),")","")),8,2)&amp;"-"&amp;MID(IF(LEFT(SUBSTITUTE(SUBSTITUTE(SUBSTITUTE(SUBSTITUTE(SUBSTITUTE(Клиенты_исходные!D715," ",""),"-",""),"+",""),"(",""),")",""))="8","7"&amp;MID(SUBSTITUTE(SUBSTITUTE(SUBSTITUTE(SUBSTITUTE(SUBSTITUTE(Клиенты_исходные!D715," ",""),"-",""),"+",""),"(",""),")",""),2,10),SUBSTITUTE(SUBSTITUTE(SUBSTITUTE(SUBSTITUTE(SUBSTITUTE(Клиенты_исходные!D715," ",""),"-",""),"+",""),"(",""),")","")),10,2),IF(LEN(SUBSTITUTE(SUBSTITUTE(SUBSTITUTE(SUBSTITUTE(SUBSTITUTE(Клиенты_исходные!D715," ",""),"-",""),"+",""),"(",""),")",""))=10,"+7 ("&amp;MID(SUBSTITUTE(SUBSTITUTE(SUBSTITUTE(SUBSTITUTE(SUBSTITUTE(Клиенты_исходные!D715," ",""),"-",""),"+",""),"(",""),")",""),1,3)&amp;") "&amp;MID(SUBSTITUTE(SUBSTITUTE(SUBSTITUTE(SUBSTITUTE(SUBSTITUTE(Клиенты_исходные!D715," ",""),"-",""),"+",""),"(",""),")",""),4,3)&amp;"-"&amp;MID(SUBSTITUTE(SUBSTITUTE(SUBSTITUTE(SUBSTITUTE(SUBSTITUTE(Клиенты_исходные!D715," ",""),"-",""),"+",""),"(",""),")",""),6,2)&amp;"-"&amp;MID(SUBSTITUTE(SUBSTITUTE(SUBSTITUTE(SUBSTITUTE(SUBSTITUTE(Клиенты_исходные!D715," ",""),"-",""),"+",""),"(",""),")",""),8,2),Клиенты_исходные!D715)))</f>
        <v xml:space="preserve">+7 (903) 456-78-90</v>
      </c>
      <c r="E715" t="str">
        <f>IF(ISBLANK(Клиенты_исходные!E715),"",IF(ISNUMBER(FIND(".",MID(Клиенты_исходные!E715,FIND("@",Клиенты_исходные!E715)+1,255))),Клиенты_исходные!E715,IF(ISNUMBER(FIND("gmail",Клиенты_исходные!E715)),Клиенты_исходные!E715&amp;".com",Клиенты_исходные!E715&amp;".ru")))</f>
        <v>kostin@gmail.com</v>
      </c>
      <c r="F715" t="str">
        <f>IFERROR(VLOOKUP(Клиенты_исходные!F715,Справочники!$J$2:$K$50,2,FALSE),Клиенты_исходные!F715)</f>
        <v>Элиста</v>
      </c>
      <c r="G715" s="8">
        <f>IFERROR(IF(ISNUMBER(FIND(".",Клиенты_исходные!G715)),DATE(RIGHT(Клиенты_исходные!G715,4),MID(Клиенты_исходные!G715,4,2),LEFT(Клиенты_исходные!G715,2)),DATE(LEFT(Клиенты_исходные!G715,4),MID(Клиенты_исходные!G715,6,2),RIGHT(Клиенты_исходные!G715,2))),Клиенты_исходные!G715)</f>
        <v>51784</v>
      </c>
      <c r="H715">
        <f t="shared" ca="1" si="79"/>
        <v>50</v>
      </c>
      <c r="I715" t="str">
        <f t="shared" si="80"/>
        <v>OK</v>
      </c>
      <c r="J715" t="str">
        <f t="shared" si="81"/>
        <v>OK</v>
      </c>
    </row>
    <row r="716">
      <c r="A716" t="str">
        <f>Клиенты_исходные!A716</f>
        <v>C0715</v>
      </c>
      <c r="B716" t="str">
        <f>PROPER(TRIM(Клиенты_исходные!B716))</f>
        <v xml:space="preserve">Маслова Мария Олеговна</v>
      </c>
      <c r="C716" s="8">
        <f>IFERROR(IF(ISNUMBER(FIND(".",Клиенты_исходные!C716)),DATE(RIGHT(Клиенты_исходные!C716,4),MID(Клиенты_исходные!C716,4,2),LEFT(Клиенты_исходные!C716,2)),DATE(LEFT(Клиенты_исходные!C716,4),MID(Клиенты_исходные!C716,6,2),RIGHT(Клиенты_исходные!C716,2))),Клиенты_исходные!C716)</f>
        <v>30930</v>
      </c>
      <c r="D716" t="str">
        <f>IF(ISBLANK(Клиенты_исходные!D716),"",IF(LEN(SUBSTITUTE(SUBSTITUTE(SUBSTITUTE(SUBSTITUTE(SUBSTITUTE(Клиенты_исходные!D716," ",""),"-",""),"+",""),"(",""),")",""))=11,"+7 ("&amp;MID(IF(LEFT(SUBSTITUTE(SUBSTITUTE(SUBSTITUTE(SUBSTITUTE(SUBSTITUTE(Клиенты_исходные!D716," ",""),"-",""),"+",""),"(",""),")",""))="8","7"&amp;MID(SUBSTITUTE(SUBSTITUTE(SUBSTITUTE(SUBSTITUTE(SUBSTITUTE(Клиенты_исходные!D716," ",""),"-",""),"+",""),"(",""),")",""),2,10),SUBSTITUTE(SUBSTITUTE(SUBSTITUTE(SUBSTITUTE(SUBSTITUTE(Клиенты_исходные!D716," ",""),"-",""),"+",""),"(",""),")","")),2,3)&amp;") "&amp;MID(IF(LEFT(SUBSTITUTE(SUBSTITUTE(SUBSTITUTE(SUBSTITUTE(SUBSTITUTE(Клиенты_исходные!D716," ",""),"-",""),"+",""),"(",""),")",""))="8","7"&amp;MID(SUBSTITUTE(SUBSTITUTE(SUBSTITUTE(SUBSTITUTE(SUBSTITUTE(Клиенты_исходные!D716," ",""),"-",""),"+",""),"(",""),")",""),2,10),SUBSTITUTE(SUBSTITUTE(SUBSTITUTE(SUBSTITUTE(SUBSTITUTE(Клиенты_исходные!D716," ",""),"-",""),"+",""),"(",""),")","")),5,3)&amp;"-"&amp;MID(IF(LEFT(SUBSTITUTE(SUBSTITUTE(SUBSTITUTE(SUBSTITUTE(SUBSTITUTE(Клиенты_исходные!D716," ",""),"-",""),"+",""),"(",""),")",""))="8","7"&amp;MID(SUBSTITUTE(SUBSTITUTE(SUBSTITUTE(SUBSTITUTE(SUBSTITUTE(Клиенты_исходные!D716," ",""),"-",""),"+",""),"(",""),")",""),2,10),SUBSTITUTE(SUBSTITUTE(SUBSTITUTE(SUBSTITUTE(SUBSTITUTE(Клиенты_исходные!D716," ",""),"-",""),"+",""),"(",""),")","")),8,2)&amp;"-"&amp;MID(IF(LEFT(SUBSTITUTE(SUBSTITUTE(SUBSTITUTE(SUBSTITUTE(SUBSTITUTE(Клиенты_исходные!D716," ",""),"-",""),"+",""),"(",""),")",""))="8","7"&amp;MID(SUBSTITUTE(SUBSTITUTE(SUBSTITUTE(SUBSTITUTE(SUBSTITUTE(Клиенты_исходные!D716," ",""),"-",""),"+",""),"(",""),")",""),2,10),SUBSTITUTE(SUBSTITUTE(SUBSTITUTE(SUBSTITUTE(SUBSTITUTE(Клиенты_исходные!D716," ",""),"-",""),"+",""),"(",""),")","")),10,2),IF(LEN(SUBSTITUTE(SUBSTITUTE(SUBSTITUTE(SUBSTITUTE(SUBSTITUTE(Клиенты_исходные!D716," ",""),"-",""),"+",""),"(",""),")",""))=10,"+7 ("&amp;MID(SUBSTITUTE(SUBSTITUTE(SUBSTITUTE(SUBSTITUTE(SUBSTITUTE(Клиенты_исходные!D716," ",""),"-",""),"+",""),"(",""),")",""),1,3)&amp;") "&amp;MID(SUBSTITUTE(SUBSTITUTE(SUBSTITUTE(SUBSTITUTE(SUBSTITUTE(Клиенты_исходные!D716," ",""),"-",""),"+",""),"(",""),")",""),4,3)&amp;"-"&amp;MID(SUBSTITUTE(SUBSTITUTE(SUBSTITUTE(SUBSTITUTE(SUBSTITUTE(Клиенты_исходные!D716," ",""),"-",""),"+",""),"(",""),")",""),6,2)&amp;"-"&amp;MID(SUBSTITUTE(SUBSTITUTE(SUBSTITUTE(SUBSTITUTE(SUBSTITUTE(Клиенты_исходные!D716," ",""),"-",""),"+",""),"(",""),")",""),8,2),Клиенты_исходные!D716)))</f>
        <v xml:space="preserve">+7 (903) 456-78-90</v>
      </c>
      <c r="E716" t="str">
        <f>IF(ISBLANK(Клиенты_исходные!E716),"",IF(ISNUMBER(FIND(".",MID(Клиенты_исходные!E716,FIND("@",Клиенты_исходные!E716)+1,255))),Клиенты_исходные!E716,IF(ISNUMBER(FIND("gmail",Клиенты_исходные!E716)),Клиенты_исходные!E716&amp;".com",Клиенты_исходные!E716&amp;".ru")))</f>
        <v>maslova@mail.ru</v>
      </c>
      <c r="F716" t="str">
        <f>IFERROR(VLOOKUP(Клиенты_исходные!F716,Справочники!$J$2:$K$50,2,FALSE),Клиенты_исходные!F716)</f>
        <v>Орск</v>
      </c>
      <c r="G716" s="8">
        <f>IFERROR(IF(ISNUMBER(FIND(".",Клиенты_исходные!G716)),DATE(RIGHT(Клиенты_исходные!G716,4),MID(Клиенты_исходные!G716,4,2),LEFT(Клиенты_исходные!G716,2)),DATE(LEFT(Клиенты_исходные!G716,4),MID(Клиенты_исходные!G716,6,2),RIGHT(Клиенты_исходные!G716,2))),Клиенты_исходные!G716)</f>
        <v>51806</v>
      </c>
      <c r="H716">
        <f t="shared" ca="1" si="79"/>
        <v>42</v>
      </c>
      <c r="I716" t="str">
        <f t="shared" si="80"/>
        <v>OK</v>
      </c>
      <c r="J716" t="str">
        <f t="shared" si="81"/>
        <v>OK</v>
      </c>
    </row>
    <row r="717">
      <c r="A717" t="str">
        <f>Клиенты_исходные!A717</f>
        <v>C0716</v>
      </c>
      <c r="B717" t="str">
        <f>PROPER(TRIM(Клиенты_исходные!B717))</f>
        <v xml:space="preserve">Стекольщиков Денис Викторович</v>
      </c>
      <c r="C717" s="8">
        <f>IFERROR(IF(ISNUMBER(FIND(".",Клиенты_исходные!C717)),DATE(RIGHT(Клиенты_исходные!C717,4),MID(Клиенты_исходные!C717,4,2),LEFT(Клиенты_исходные!C717,2)),DATE(LEFT(Клиенты_исходные!C717,4),MID(Клиенты_исходные!C717,6,2),RIGHT(Клиенты_исходные!C717,2))),Клиенты_исходные!C717)</f>
        <v>33586</v>
      </c>
      <c r="D717" t="str">
        <f>IF(ISBLANK(Клиенты_исходные!D717),"",IF(LEN(SUBSTITUTE(SUBSTITUTE(SUBSTITUTE(SUBSTITUTE(SUBSTITUTE(Клиенты_исходные!D717," ",""),"-",""),"+",""),"(",""),")",""))=11,"+7 ("&amp;MID(IF(LEFT(SUBSTITUTE(SUBSTITUTE(SUBSTITUTE(SUBSTITUTE(SUBSTITUTE(Клиенты_исходные!D717," ",""),"-",""),"+",""),"(",""),")",""))="8","7"&amp;MID(SUBSTITUTE(SUBSTITUTE(SUBSTITUTE(SUBSTITUTE(SUBSTITUTE(Клиенты_исходные!D717," ",""),"-",""),"+",""),"(",""),")",""),2,10),SUBSTITUTE(SUBSTITUTE(SUBSTITUTE(SUBSTITUTE(SUBSTITUTE(Клиенты_исходные!D717," ",""),"-",""),"+",""),"(",""),")","")),2,3)&amp;") "&amp;MID(IF(LEFT(SUBSTITUTE(SUBSTITUTE(SUBSTITUTE(SUBSTITUTE(SUBSTITUTE(Клиенты_исходные!D717," ",""),"-",""),"+",""),"(",""),")",""))="8","7"&amp;MID(SUBSTITUTE(SUBSTITUTE(SUBSTITUTE(SUBSTITUTE(SUBSTITUTE(Клиенты_исходные!D717," ",""),"-",""),"+",""),"(",""),")",""),2,10),SUBSTITUTE(SUBSTITUTE(SUBSTITUTE(SUBSTITUTE(SUBSTITUTE(Клиенты_исходные!D717," ",""),"-",""),"+",""),"(",""),")","")),5,3)&amp;"-"&amp;MID(IF(LEFT(SUBSTITUTE(SUBSTITUTE(SUBSTITUTE(SUBSTITUTE(SUBSTITUTE(Клиенты_исходные!D717," ",""),"-",""),"+",""),"(",""),")",""))="8","7"&amp;MID(SUBSTITUTE(SUBSTITUTE(SUBSTITUTE(SUBSTITUTE(SUBSTITUTE(Клиенты_исходные!D717," ",""),"-",""),"+",""),"(",""),")",""),2,10),SUBSTITUTE(SUBSTITUTE(SUBSTITUTE(SUBSTITUTE(SUBSTITUTE(Клиенты_исходные!D717," ",""),"-",""),"+",""),"(",""),")","")),8,2)&amp;"-"&amp;MID(IF(LEFT(SUBSTITUTE(SUBSTITUTE(SUBSTITUTE(SUBSTITUTE(SUBSTITUTE(Клиенты_исходные!D717," ",""),"-",""),"+",""),"(",""),")",""))="8","7"&amp;MID(SUBSTITUTE(SUBSTITUTE(SUBSTITUTE(SUBSTITUTE(SUBSTITUTE(Клиенты_исходные!D717," ",""),"-",""),"+",""),"(",""),")",""),2,10),SUBSTITUTE(SUBSTITUTE(SUBSTITUTE(SUBSTITUTE(SUBSTITUTE(Клиенты_исходные!D717," ",""),"-",""),"+",""),"(",""),")","")),10,2),IF(LEN(SUBSTITUTE(SUBSTITUTE(SUBSTITUTE(SUBSTITUTE(SUBSTITUTE(Клиенты_исходные!D717," ",""),"-",""),"+",""),"(",""),")",""))=10,"+7 ("&amp;MID(SUBSTITUTE(SUBSTITUTE(SUBSTITUTE(SUBSTITUTE(SUBSTITUTE(Клиенты_исходные!D717," ",""),"-",""),"+",""),"(",""),")",""),1,3)&amp;") "&amp;MID(SUBSTITUTE(SUBSTITUTE(SUBSTITUTE(SUBSTITUTE(SUBSTITUTE(Клиенты_исходные!D717," ",""),"-",""),"+",""),"(",""),")",""),4,3)&amp;"-"&amp;MID(SUBSTITUTE(SUBSTITUTE(SUBSTITUTE(SUBSTITUTE(SUBSTITUTE(Клиенты_исходные!D717," ",""),"-",""),"+",""),"(",""),")",""),6,2)&amp;"-"&amp;MID(SUBSTITUTE(SUBSTITUTE(SUBSTITUTE(SUBSTITUTE(SUBSTITUTE(Клиенты_исходные!D717," ",""),"-",""),"+",""),"(",""),")",""),8,2),Клиенты_исходные!D717)))</f>
        <v xml:space="preserve">+7 (903) 456-78-90</v>
      </c>
      <c r="E717" t="str">
        <f>IF(ISBLANK(Клиенты_исходные!E717),"",IF(ISNUMBER(FIND(".",MID(Клиенты_исходные!E717,FIND("@",Клиенты_исходные!E717)+1,255))),Клиенты_исходные!E717,IF(ISNUMBER(FIND("gmail",Клиенты_исходные!E717)),Клиенты_исходные!E717&amp;".com",Клиенты_исходные!E717&amp;".ru")))</f>
        <v>stekolschikov@yandex.ru</v>
      </c>
      <c r="F717" t="str">
        <f>IFERROR(VLOOKUP(Клиенты_исходные!F717,Справочники!$J$2:$K$50,2,FALSE),Клиенты_исходные!F717)</f>
        <v>Нижневартовск</v>
      </c>
      <c r="G717" s="8">
        <f>IFERROR(IF(ISNUMBER(FIND(".",Клиенты_исходные!G717)),DATE(RIGHT(Клиенты_исходные!G717,4),MID(Клиенты_исходные!G717,4,2),LEFT(Клиенты_исходные!G717,2)),DATE(LEFT(Клиенты_исходные!G717,4),MID(Клиенты_исходные!G717,6,2),RIGHT(Клиенты_исходные!G717,2))),Клиенты_исходные!G717)</f>
        <v>51820</v>
      </c>
      <c r="H717">
        <f t="shared" ca="1" si="79"/>
        <v>34</v>
      </c>
      <c r="I717" t="str">
        <f t="shared" si="80"/>
        <v>OK</v>
      </c>
      <c r="J717" t="str">
        <f t="shared" si="81"/>
        <v>OK</v>
      </c>
    </row>
    <row r="718">
      <c r="A718" t="str">
        <f>Клиенты_исходные!A718</f>
        <v>C0717</v>
      </c>
      <c r="B718" t="str">
        <f>PROPER(TRIM(Клиенты_исходные!B718))</f>
        <v xml:space="preserve">Орехова Ольга Владимировна</v>
      </c>
      <c r="C718" s="8">
        <f>IFERROR(IF(ISNUMBER(FIND(".",Клиенты_исходные!C718)),DATE(RIGHT(Клиенты_исходные!C718,4),MID(Клиенты_исходные!C718,4,2),LEFT(Клиенты_исходные!C718,2)),DATE(LEFT(Клиенты_исходные!C718,4),MID(Клиенты_исходные!C718,6,2),RIGHT(Клиенты_исходные!C718,2))),Клиенты_исходные!C718)</f>
        <v>28223</v>
      </c>
      <c r="D718" t="str">
        <f>IF(ISBLANK(Клиенты_исходные!D718),"",IF(LEN(SUBSTITUTE(SUBSTITUTE(SUBSTITUTE(SUBSTITUTE(SUBSTITUTE(Клиенты_исходные!D718," ",""),"-",""),"+",""),"(",""),")",""))=11,"+7 ("&amp;MID(IF(LEFT(SUBSTITUTE(SUBSTITUTE(SUBSTITUTE(SUBSTITUTE(SUBSTITUTE(Клиенты_исходные!D718," ",""),"-",""),"+",""),"(",""),")",""))="8","7"&amp;MID(SUBSTITUTE(SUBSTITUTE(SUBSTITUTE(SUBSTITUTE(SUBSTITUTE(Клиенты_исходные!D718," ",""),"-",""),"+",""),"(",""),")",""),2,10),SUBSTITUTE(SUBSTITUTE(SUBSTITUTE(SUBSTITUTE(SUBSTITUTE(Клиенты_исходные!D718," ",""),"-",""),"+",""),"(",""),")","")),2,3)&amp;") "&amp;MID(IF(LEFT(SUBSTITUTE(SUBSTITUTE(SUBSTITUTE(SUBSTITUTE(SUBSTITUTE(Клиенты_исходные!D718," ",""),"-",""),"+",""),"(",""),")",""))="8","7"&amp;MID(SUBSTITUTE(SUBSTITUTE(SUBSTITUTE(SUBSTITUTE(SUBSTITUTE(Клиенты_исходные!D718," ",""),"-",""),"+",""),"(",""),")",""),2,10),SUBSTITUTE(SUBSTITUTE(SUBSTITUTE(SUBSTITUTE(SUBSTITUTE(Клиенты_исходные!D718," ",""),"-",""),"+",""),"(",""),")","")),5,3)&amp;"-"&amp;MID(IF(LEFT(SUBSTITUTE(SUBSTITUTE(SUBSTITUTE(SUBSTITUTE(SUBSTITUTE(Клиенты_исходные!D718," ",""),"-",""),"+",""),"(",""),")",""))="8","7"&amp;MID(SUBSTITUTE(SUBSTITUTE(SUBSTITUTE(SUBSTITUTE(SUBSTITUTE(Клиенты_исходные!D718," ",""),"-",""),"+",""),"(",""),")",""),2,10),SUBSTITUTE(SUBSTITUTE(SUBSTITUTE(SUBSTITUTE(SUBSTITUTE(Клиенты_исходные!D718," ",""),"-",""),"+",""),"(",""),")","")),8,2)&amp;"-"&amp;MID(IF(LEFT(SUBSTITUTE(SUBSTITUTE(SUBSTITUTE(SUBSTITUTE(SUBSTITUTE(Клиенты_исходные!D718," ",""),"-",""),"+",""),"(",""),")",""))="8","7"&amp;MID(SUBSTITUTE(SUBSTITUTE(SUBSTITUTE(SUBSTITUTE(SUBSTITUTE(Клиенты_исходные!D718," ",""),"-",""),"+",""),"(",""),")",""),2,10),SUBSTITUTE(SUBSTITUTE(SUBSTITUTE(SUBSTITUTE(SUBSTITUTE(Клиенты_исходные!D718," ",""),"-",""),"+",""),"(",""),")","")),10,2),IF(LEN(SUBSTITUTE(SUBSTITUTE(SUBSTITUTE(SUBSTITUTE(SUBSTITUTE(Клиенты_исходные!D718," ",""),"-",""),"+",""),"(",""),")",""))=10,"+7 ("&amp;MID(SUBSTITUTE(SUBSTITUTE(SUBSTITUTE(SUBSTITUTE(SUBSTITUTE(Клиенты_исходные!D718," ",""),"-",""),"+",""),"(",""),")",""),1,3)&amp;") "&amp;MID(SUBSTITUTE(SUBSTITUTE(SUBSTITUTE(SUBSTITUTE(SUBSTITUTE(Клиенты_исходные!D718," ",""),"-",""),"+",""),"(",""),")",""),4,3)&amp;"-"&amp;MID(SUBSTITUTE(SUBSTITUTE(SUBSTITUTE(SUBSTITUTE(SUBSTITUTE(Клиенты_исходные!D718," ",""),"-",""),"+",""),"(",""),")",""),6,2)&amp;"-"&amp;MID(SUBSTITUTE(SUBSTITUTE(SUBSTITUTE(SUBSTITUTE(SUBSTITUTE(Клиенты_исходные!D718," ",""),"-",""),"+",""),"(",""),")",""),8,2),Клиенты_исходные!D718)))</f>
        <v xml:space="preserve">+7 (903) 567-89-01</v>
      </c>
      <c r="E718" t="str">
        <f>IF(ISBLANK(Клиенты_исходные!E718),"",IF(ISNUMBER(FIND(".",MID(Клиенты_исходные!E718,FIND("@",Клиенты_исходные!E718)+1,255))),Клиенты_исходные!E718,IF(ISNUMBER(FIND("gmail",Клиенты_исходные!E718)),Клиенты_исходные!E718&amp;".com",Клиенты_исходные!E718&amp;".ru")))</f>
        <v>orehova@gmail.com</v>
      </c>
      <c r="F718" t="str">
        <f>IFERROR(VLOOKUP(Клиенты_исходные!F718,Справочники!$J$2:$K$50,2,FALSE),Клиенты_исходные!F718)</f>
        <v>Новороссийск</v>
      </c>
      <c r="G718" s="8">
        <f>IFERROR(IF(ISNUMBER(FIND(".",Клиенты_исходные!G718)),DATE(RIGHT(Клиенты_исходные!G718,4),MID(Клиенты_исходные!G718,4,2),LEFT(Клиенты_исходные!G718,2)),DATE(LEFT(Клиенты_исходные!G718,4),MID(Клиенты_исходные!G718,6,2),RIGHT(Клиенты_исходные!G718,2))),Клиенты_исходные!G718)</f>
        <v>51820</v>
      </c>
      <c r="H718">
        <f t="shared" ca="1" si="79"/>
        <v>49</v>
      </c>
      <c r="I718" t="str">
        <f t="shared" si="80"/>
        <v>OK</v>
      </c>
      <c r="J718" t="str">
        <f t="shared" si="81"/>
        <v>OK</v>
      </c>
    </row>
    <row r="719">
      <c r="A719" t="str">
        <f>Клиенты_исходные!A719</f>
        <v>C0718</v>
      </c>
      <c r="B719" t="str">
        <f>PROPER(TRIM(Клиенты_исходные!B719))</f>
        <v xml:space="preserve">Рябцев Илья Александрович</v>
      </c>
      <c r="C719" s="8">
        <f>IFERROR(IF(ISNUMBER(FIND(".",Клиенты_исходные!C719)),DATE(RIGHT(Клиенты_исходные!C719,4),MID(Клиенты_исходные!C719,4,2),LEFT(Клиенты_исходные!C719,2)),DATE(LEFT(Клиенты_исходные!C719,4),MID(Клиенты_исходные!C719,6,2),RIGHT(Клиенты_исходные!C719,2))),Клиенты_исходные!C719)</f>
        <v>30557</v>
      </c>
      <c r="D719" t="str">
        <f>IF(ISBLANK(Клиенты_исходные!D719),"",IF(LEN(SUBSTITUTE(SUBSTITUTE(SUBSTITUTE(SUBSTITUTE(SUBSTITUTE(Клиенты_исходные!D719," ",""),"-",""),"+",""),"(",""),")",""))=11,"+7 ("&amp;MID(IF(LEFT(SUBSTITUTE(SUBSTITUTE(SUBSTITUTE(SUBSTITUTE(SUBSTITUTE(Клиенты_исходные!D719," ",""),"-",""),"+",""),"(",""),")",""))="8","7"&amp;MID(SUBSTITUTE(SUBSTITUTE(SUBSTITUTE(SUBSTITUTE(SUBSTITUTE(Клиенты_исходные!D719," ",""),"-",""),"+",""),"(",""),")",""),2,10),SUBSTITUTE(SUBSTITUTE(SUBSTITUTE(SUBSTITUTE(SUBSTITUTE(Клиенты_исходные!D719," ",""),"-",""),"+",""),"(",""),")","")),2,3)&amp;") "&amp;MID(IF(LEFT(SUBSTITUTE(SUBSTITUTE(SUBSTITUTE(SUBSTITUTE(SUBSTITUTE(Клиенты_исходные!D719," ",""),"-",""),"+",""),"(",""),")",""))="8","7"&amp;MID(SUBSTITUTE(SUBSTITUTE(SUBSTITUTE(SUBSTITUTE(SUBSTITUTE(Клиенты_исходные!D719," ",""),"-",""),"+",""),"(",""),")",""),2,10),SUBSTITUTE(SUBSTITUTE(SUBSTITUTE(SUBSTITUTE(SUBSTITUTE(Клиенты_исходные!D719," ",""),"-",""),"+",""),"(",""),")","")),5,3)&amp;"-"&amp;MID(IF(LEFT(SUBSTITUTE(SUBSTITUTE(SUBSTITUTE(SUBSTITUTE(SUBSTITUTE(Клиенты_исходные!D719," ",""),"-",""),"+",""),"(",""),")",""))="8","7"&amp;MID(SUBSTITUTE(SUBSTITUTE(SUBSTITUTE(SUBSTITUTE(SUBSTITUTE(Клиенты_исходные!D719," ",""),"-",""),"+",""),"(",""),")",""),2,10),SUBSTITUTE(SUBSTITUTE(SUBSTITUTE(SUBSTITUTE(SUBSTITUTE(Клиенты_исходные!D719," ",""),"-",""),"+",""),"(",""),")","")),8,2)&amp;"-"&amp;MID(IF(LEFT(SUBSTITUTE(SUBSTITUTE(SUBSTITUTE(SUBSTITUTE(SUBSTITUTE(Клиенты_исходные!D719," ",""),"-",""),"+",""),"(",""),")",""))="8","7"&amp;MID(SUBSTITUTE(SUBSTITUTE(SUBSTITUTE(SUBSTITUTE(SUBSTITUTE(Клиенты_исходные!D719," ",""),"-",""),"+",""),"(",""),")",""),2,10),SUBSTITUTE(SUBSTITUTE(SUBSTITUTE(SUBSTITUTE(SUBSTITUTE(Клиенты_исходные!D719," ",""),"-",""),"+",""),"(",""),")","")),10,2),IF(LEN(SUBSTITUTE(SUBSTITUTE(SUBSTITUTE(SUBSTITUTE(SUBSTITUTE(Клиенты_исходные!D719," ",""),"-",""),"+",""),"(",""),")",""))=10,"+7 ("&amp;MID(SUBSTITUTE(SUBSTITUTE(SUBSTITUTE(SUBSTITUTE(SUBSTITUTE(Клиенты_исходные!D719," ",""),"-",""),"+",""),"(",""),")",""),1,3)&amp;") "&amp;MID(SUBSTITUTE(SUBSTITUTE(SUBSTITUTE(SUBSTITUTE(SUBSTITUTE(Клиенты_исходные!D719," ",""),"-",""),"+",""),"(",""),")",""),4,3)&amp;"-"&amp;MID(SUBSTITUTE(SUBSTITUTE(SUBSTITUTE(SUBSTITUTE(SUBSTITUTE(Клиенты_исходные!D719," ",""),"-",""),"+",""),"(",""),")",""),6,2)&amp;"-"&amp;MID(SUBSTITUTE(SUBSTITUTE(SUBSTITUTE(SUBSTITUTE(SUBSTITUTE(Клиенты_исходные!D719," ",""),"-",""),"+",""),"(",""),")",""),8,2),Клиенты_исходные!D719)))</f>
        <v xml:space="preserve">+7 (903) 567-89-01</v>
      </c>
      <c r="E719" t="str">
        <f>IF(ISBLANK(Клиенты_исходные!E719),"",IF(ISNUMBER(FIND(".",MID(Клиенты_исходные!E719,FIND("@",Клиенты_исходные!E719)+1,255))),Клиенты_исходные!E719,IF(ISNUMBER(FIND("gmail",Клиенты_исходные!E719)),Клиенты_исходные!E719&amp;".com",Клиенты_исходные!E719&amp;".ru")))</f>
        <v>ryabtsev@mail.ru</v>
      </c>
      <c r="F719" t="str">
        <f>IFERROR(VLOOKUP(Клиенты_исходные!F719,Справочники!$J$2:$K$50,2,FALSE),Клиенты_исходные!F719)</f>
        <v>Химки</v>
      </c>
      <c r="G719" s="8">
        <f>IFERROR(IF(ISNUMBER(FIND(".",Клиенты_исходные!G719)),DATE(RIGHT(Клиенты_исходные!G719,4),MID(Клиенты_исходные!G719,4,2),LEFT(Клиенты_исходные!G719,2)),DATE(LEFT(Клиенты_исходные!G719,4),MID(Клиенты_исходные!G719,6,2),RIGHT(Клиенты_исходные!G719,2))),Клиенты_исходные!G719)</f>
        <v>51836</v>
      </c>
      <c r="H719">
        <f t="shared" ca="1" si="79"/>
        <v>43</v>
      </c>
      <c r="I719" t="str">
        <f t="shared" si="80"/>
        <v>OK</v>
      </c>
      <c r="J719" t="str">
        <f t="shared" si="81"/>
        <v>OK</v>
      </c>
    </row>
    <row r="720">
      <c r="A720" t="str">
        <f>Клиенты_исходные!A720</f>
        <v>C0719</v>
      </c>
      <c r="B720" t="str">
        <f>PROPER(TRIM(Клиенты_исходные!B720))</f>
        <v xml:space="preserve">Клокова Екатерина Сергеевна</v>
      </c>
      <c r="C720" s="8">
        <f>IFERROR(IF(ISNUMBER(FIND(".",Клиенты_исходные!C720)),DATE(RIGHT(Клиенты_исходные!C720,4),MID(Клиенты_исходные!C720,4,2),LEFT(Клиенты_исходные!C720,2)),DATE(LEFT(Клиенты_исходные!C720,4),MID(Клиенты_исходные!C720,6,2),RIGHT(Клиенты_исходные!C720,2))),Клиенты_исходные!C720)</f>
        <v>33226</v>
      </c>
      <c r="D720" t="str">
        <f>IF(ISBLANK(Клиенты_исходные!D720),"",IF(LEN(SUBSTITUTE(SUBSTITUTE(SUBSTITUTE(SUBSTITUTE(SUBSTITUTE(Клиенты_исходные!D720," ",""),"-",""),"+",""),"(",""),")",""))=11,"+7 ("&amp;MID(IF(LEFT(SUBSTITUTE(SUBSTITUTE(SUBSTITUTE(SUBSTITUTE(SUBSTITUTE(Клиенты_исходные!D720," ",""),"-",""),"+",""),"(",""),")",""))="8","7"&amp;MID(SUBSTITUTE(SUBSTITUTE(SUBSTITUTE(SUBSTITUTE(SUBSTITUTE(Клиенты_исходные!D720," ",""),"-",""),"+",""),"(",""),")",""),2,10),SUBSTITUTE(SUBSTITUTE(SUBSTITUTE(SUBSTITUTE(SUBSTITUTE(Клиенты_исходные!D720," ",""),"-",""),"+",""),"(",""),")","")),2,3)&amp;") "&amp;MID(IF(LEFT(SUBSTITUTE(SUBSTITUTE(SUBSTITUTE(SUBSTITUTE(SUBSTITUTE(Клиенты_исходные!D720," ",""),"-",""),"+",""),"(",""),")",""))="8","7"&amp;MID(SUBSTITUTE(SUBSTITUTE(SUBSTITUTE(SUBSTITUTE(SUBSTITUTE(Клиенты_исходные!D720," ",""),"-",""),"+",""),"(",""),")",""),2,10),SUBSTITUTE(SUBSTITUTE(SUBSTITUTE(SUBSTITUTE(SUBSTITUTE(Клиенты_исходные!D720," ",""),"-",""),"+",""),"(",""),")","")),5,3)&amp;"-"&amp;MID(IF(LEFT(SUBSTITUTE(SUBSTITUTE(SUBSTITUTE(SUBSTITUTE(SUBSTITUTE(Клиенты_исходные!D720," ",""),"-",""),"+",""),"(",""),")",""))="8","7"&amp;MID(SUBSTITUTE(SUBSTITUTE(SUBSTITUTE(SUBSTITUTE(SUBSTITUTE(Клиенты_исходные!D720," ",""),"-",""),"+",""),"(",""),")",""),2,10),SUBSTITUTE(SUBSTITUTE(SUBSTITUTE(SUBSTITUTE(SUBSTITUTE(Клиенты_исходные!D720," ",""),"-",""),"+",""),"(",""),")","")),8,2)&amp;"-"&amp;MID(IF(LEFT(SUBSTITUTE(SUBSTITUTE(SUBSTITUTE(SUBSTITUTE(SUBSTITUTE(Клиенты_исходные!D720," ",""),"-",""),"+",""),"(",""),")",""))="8","7"&amp;MID(SUBSTITUTE(SUBSTITUTE(SUBSTITUTE(SUBSTITUTE(SUBSTITUTE(Клиенты_исходные!D720," ",""),"-",""),"+",""),"(",""),")",""),2,10),SUBSTITUTE(SUBSTITUTE(SUBSTITUTE(SUBSTITUTE(SUBSTITUTE(Клиенты_исходные!D720," ",""),"-",""),"+",""),"(",""),")","")),10,2),IF(LEN(SUBSTITUTE(SUBSTITUTE(SUBSTITUTE(SUBSTITUTE(SUBSTITUTE(Клиенты_исходные!D720," ",""),"-",""),"+",""),"(",""),")",""))=10,"+7 ("&amp;MID(SUBSTITUTE(SUBSTITUTE(SUBSTITUTE(SUBSTITUTE(SUBSTITUTE(Клиенты_исходные!D720," ",""),"-",""),"+",""),"(",""),")",""),1,3)&amp;") "&amp;MID(SUBSTITUTE(SUBSTITUTE(SUBSTITUTE(SUBSTITUTE(SUBSTITUTE(Клиенты_исходные!D720," ",""),"-",""),"+",""),"(",""),")",""),4,3)&amp;"-"&amp;MID(SUBSTITUTE(SUBSTITUTE(SUBSTITUTE(SUBSTITUTE(SUBSTITUTE(Клиенты_исходные!D720," ",""),"-",""),"+",""),"(",""),")",""),6,2)&amp;"-"&amp;MID(SUBSTITUTE(SUBSTITUTE(SUBSTITUTE(SUBSTITUTE(SUBSTITUTE(Клиенты_исходные!D720," ",""),"-",""),"+",""),"(",""),")",""),8,2),Клиенты_исходные!D720)))</f>
        <v xml:space="preserve">+7 (903) 567-89-01</v>
      </c>
      <c r="E720" t="str">
        <f>IF(ISBLANK(Клиенты_исходные!E720),"",IF(ISNUMBER(FIND(".",MID(Клиенты_исходные!E720,FIND("@",Клиенты_исходные!E720)+1,255))),Клиенты_исходные!E720,IF(ISNUMBER(FIND("gmail",Клиенты_исходные!E720)),Клиенты_исходные!E720&amp;".com",Клиенты_исходные!E720&amp;".ru")))</f>
        <v>klokova@yandex.ru</v>
      </c>
      <c r="F720" t="str">
        <f>IFERROR(VLOOKUP(Клиенты_исходные!F720,Справочники!$J$2:$K$50,2,FALSE),Клиенты_исходные!F720)</f>
        <v>Подольск</v>
      </c>
      <c r="G720" s="8">
        <f>IFERROR(IF(ISNUMBER(FIND(".",Клиенты_исходные!G720)),DATE(RIGHT(Клиенты_исходные!G720,4),MID(Клиенты_исходные!G720,4,2),LEFT(Клиенты_исходные!G720,2)),DATE(LEFT(Клиенты_исходные!G720,4),MID(Клиенты_исходные!G720,6,2),RIGHT(Клиенты_исходные!G720,2))),Клиенты_исходные!G720)</f>
        <v>51845</v>
      </c>
      <c r="H720">
        <f t="shared" ca="1" si="79"/>
        <v>35</v>
      </c>
      <c r="I720" t="str">
        <f t="shared" si="80"/>
        <v>OK</v>
      </c>
      <c r="J720" t="str">
        <f t="shared" si="81"/>
        <v>OK</v>
      </c>
    </row>
    <row r="721">
      <c r="A721" t="str">
        <f>Клиенты_исходные!A721</f>
        <v>C0720</v>
      </c>
      <c r="B721" t="str">
        <f>PROPER(TRIM(Клиенты_исходные!B721))</f>
        <v xml:space="preserve">Шульгин Андрей Олегович</v>
      </c>
      <c r="C721" s="8">
        <f>IFERROR(IF(ISNUMBER(FIND(".",Клиенты_исходные!C721)),DATE(RIGHT(Клиенты_исходные!C721,4),MID(Клиенты_исходные!C721,4,2),LEFT(Клиенты_исходные!C721,2)),DATE(LEFT(Клиенты_исходные!C721,4),MID(Клиенты_исходные!C721,6,2),RIGHT(Клиенты_исходные!C721,2))),Клиенты_исходные!C721)</f>
        <v>28643</v>
      </c>
      <c r="D721" t="str">
        <f>IF(ISBLANK(Клиенты_исходные!D721),"",IF(LEN(SUBSTITUTE(SUBSTITUTE(SUBSTITUTE(SUBSTITUTE(SUBSTITUTE(Клиенты_исходные!D721," ",""),"-",""),"+",""),"(",""),")",""))=11,"+7 ("&amp;MID(IF(LEFT(SUBSTITUTE(SUBSTITUTE(SUBSTITUTE(SUBSTITUTE(SUBSTITUTE(Клиенты_исходные!D721," ",""),"-",""),"+",""),"(",""),")",""))="8","7"&amp;MID(SUBSTITUTE(SUBSTITUTE(SUBSTITUTE(SUBSTITUTE(SUBSTITUTE(Клиенты_исходные!D721," ",""),"-",""),"+",""),"(",""),")",""),2,10),SUBSTITUTE(SUBSTITUTE(SUBSTITUTE(SUBSTITUTE(SUBSTITUTE(Клиенты_исходные!D721," ",""),"-",""),"+",""),"(",""),")","")),2,3)&amp;") "&amp;MID(IF(LEFT(SUBSTITUTE(SUBSTITUTE(SUBSTITUTE(SUBSTITUTE(SUBSTITUTE(Клиенты_исходные!D721," ",""),"-",""),"+",""),"(",""),")",""))="8","7"&amp;MID(SUBSTITUTE(SUBSTITUTE(SUBSTITUTE(SUBSTITUTE(SUBSTITUTE(Клиенты_исходные!D721," ",""),"-",""),"+",""),"(",""),")",""),2,10),SUBSTITUTE(SUBSTITUTE(SUBSTITUTE(SUBSTITUTE(SUBSTITUTE(Клиенты_исходные!D721," ",""),"-",""),"+",""),"(",""),")","")),5,3)&amp;"-"&amp;MID(IF(LEFT(SUBSTITUTE(SUBSTITUTE(SUBSTITUTE(SUBSTITUTE(SUBSTITUTE(Клиенты_исходные!D721," ",""),"-",""),"+",""),"(",""),")",""))="8","7"&amp;MID(SUBSTITUTE(SUBSTITUTE(SUBSTITUTE(SUBSTITUTE(SUBSTITUTE(Клиенты_исходные!D721," ",""),"-",""),"+",""),"(",""),")",""),2,10),SUBSTITUTE(SUBSTITUTE(SUBSTITUTE(SUBSTITUTE(SUBSTITUTE(Клиенты_исходные!D721," ",""),"-",""),"+",""),"(",""),")","")),8,2)&amp;"-"&amp;MID(IF(LEFT(SUBSTITUTE(SUBSTITUTE(SUBSTITUTE(SUBSTITUTE(SUBSTITUTE(Клиенты_исходные!D721," ",""),"-",""),"+",""),"(",""),")",""))="8","7"&amp;MID(SUBSTITUTE(SUBSTITUTE(SUBSTITUTE(SUBSTITUTE(SUBSTITUTE(Клиенты_исходные!D721," ",""),"-",""),"+",""),"(",""),")",""),2,10),SUBSTITUTE(SUBSTITUTE(SUBSTITUTE(SUBSTITUTE(SUBSTITUTE(Клиенты_исходные!D721," ",""),"-",""),"+",""),"(",""),")","")),10,2),IF(LEN(SUBSTITUTE(SUBSTITUTE(SUBSTITUTE(SUBSTITUTE(SUBSTITUTE(Клиенты_исходные!D721," ",""),"-",""),"+",""),"(",""),")",""))=10,"+7 ("&amp;MID(SUBSTITUTE(SUBSTITUTE(SUBSTITUTE(SUBSTITUTE(SUBSTITUTE(Клиенты_исходные!D721," ",""),"-",""),"+",""),"(",""),")",""),1,3)&amp;") "&amp;MID(SUBSTITUTE(SUBSTITUTE(SUBSTITUTE(SUBSTITUTE(SUBSTITUTE(Клиенты_исходные!D721," ",""),"-",""),"+",""),"(",""),")",""),4,3)&amp;"-"&amp;MID(SUBSTITUTE(SUBSTITUTE(SUBSTITUTE(SUBSTITUTE(SUBSTITUTE(Клиенты_исходные!D721," ",""),"-",""),"+",""),"(",""),")",""),6,2)&amp;"-"&amp;MID(SUBSTITUTE(SUBSTITUTE(SUBSTITUTE(SUBSTITUTE(SUBSTITUTE(Клиенты_исходные!D721," ",""),"-",""),"+",""),"(",""),")",""),8,2),Клиенты_исходные!D721)))</f>
        <v xml:space="preserve">+7 (903) 678-90-12</v>
      </c>
      <c r="E721" t="str">
        <f>IF(ISBLANK(Клиенты_исходные!E721),"",IF(ISNUMBER(FIND(".",MID(Клиенты_исходные!E721,FIND("@",Клиенты_исходные!E721)+1,255))),Клиенты_исходные!E721,IF(ISNUMBER(FIND("gmail",Клиенты_исходные!E721)),Клиенты_исходные!E721&amp;".com",Клиенты_исходные!E721&amp;".ru")))</f>
        <v>shulgin@gmail.com</v>
      </c>
      <c r="F721" t="str">
        <f>IFERROR(VLOOKUP(Клиенты_исходные!F721,Справочники!$J$2:$K$50,2,FALSE),Клиенты_исходные!F721)</f>
        <v>Балашиха</v>
      </c>
      <c r="G721" s="8">
        <f>IFERROR(IF(ISNUMBER(FIND(".",Клиенты_исходные!G721)),DATE(RIGHT(Клиенты_исходные!G721,4),MID(Клиенты_исходные!G721,4,2),LEFT(Клиенты_исходные!G721,2)),DATE(LEFT(Клиенты_исходные!G721,4),MID(Клиенты_исходные!G721,6,2),RIGHT(Клиенты_исходные!G721,2))),Клиенты_исходные!G721)</f>
        <v>51845</v>
      </c>
      <c r="H721">
        <f t="shared" ca="1" si="79"/>
        <v>48</v>
      </c>
      <c r="I721" t="str">
        <f t="shared" si="80"/>
        <v>OK</v>
      </c>
      <c r="J721" t="str">
        <f t="shared" si="81"/>
        <v>OK</v>
      </c>
    </row>
    <row r="722">
      <c r="A722" t="str">
        <f>Клиенты_исходные!A722</f>
        <v>C0721</v>
      </c>
      <c r="B722" t="str">
        <f>PROPER(TRIM(Клиенты_исходные!B722))</f>
        <v xml:space="preserve">Короткова Мария Павловна</v>
      </c>
      <c r="C722" s="8">
        <f>IFERROR(IF(ISNUMBER(FIND(".",Клиенты_исходные!C722)),DATE(RIGHT(Клиенты_исходные!C722,4),MID(Клиенты_исходные!C722,4,2),LEFT(Клиенты_исходные!C722,2)),DATE(LEFT(Клиенты_исходные!C722,4),MID(Клиенты_исходные!C722,6,2),RIGHT(Клиенты_исходные!C722,2))),Клиенты_исходные!C722)</f>
        <v>31367</v>
      </c>
      <c r="D722" t="str">
        <f>IF(ISBLANK(Клиенты_исходные!D722),"",IF(LEN(SUBSTITUTE(SUBSTITUTE(SUBSTITUTE(SUBSTITUTE(SUBSTITUTE(Клиенты_исходные!D722," ",""),"-",""),"+",""),"(",""),")",""))=11,"+7 ("&amp;MID(IF(LEFT(SUBSTITUTE(SUBSTITUTE(SUBSTITUTE(SUBSTITUTE(SUBSTITUTE(Клиенты_исходные!D722," ",""),"-",""),"+",""),"(",""),")",""))="8","7"&amp;MID(SUBSTITUTE(SUBSTITUTE(SUBSTITUTE(SUBSTITUTE(SUBSTITUTE(Клиенты_исходные!D722," ",""),"-",""),"+",""),"(",""),")",""),2,10),SUBSTITUTE(SUBSTITUTE(SUBSTITUTE(SUBSTITUTE(SUBSTITUTE(Клиенты_исходные!D722," ",""),"-",""),"+",""),"(",""),")","")),2,3)&amp;") "&amp;MID(IF(LEFT(SUBSTITUTE(SUBSTITUTE(SUBSTITUTE(SUBSTITUTE(SUBSTITUTE(Клиенты_исходные!D722," ",""),"-",""),"+",""),"(",""),")",""))="8","7"&amp;MID(SUBSTITUTE(SUBSTITUTE(SUBSTITUTE(SUBSTITUTE(SUBSTITUTE(Клиенты_исходные!D722," ",""),"-",""),"+",""),"(",""),")",""),2,10),SUBSTITUTE(SUBSTITUTE(SUBSTITUTE(SUBSTITUTE(SUBSTITUTE(Клиенты_исходные!D722," ",""),"-",""),"+",""),"(",""),")","")),5,3)&amp;"-"&amp;MID(IF(LEFT(SUBSTITUTE(SUBSTITUTE(SUBSTITUTE(SUBSTITUTE(SUBSTITUTE(Клиенты_исходные!D722," ",""),"-",""),"+",""),"(",""),")",""))="8","7"&amp;MID(SUBSTITUTE(SUBSTITUTE(SUBSTITUTE(SUBSTITUTE(SUBSTITUTE(Клиенты_исходные!D722," ",""),"-",""),"+",""),"(",""),")",""),2,10),SUBSTITUTE(SUBSTITUTE(SUBSTITUTE(SUBSTITUTE(SUBSTITUTE(Клиенты_исходные!D722," ",""),"-",""),"+",""),"(",""),")","")),8,2)&amp;"-"&amp;MID(IF(LEFT(SUBSTITUTE(SUBSTITUTE(SUBSTITUTE(SUBSTITUTE(SUBSTITUTE(Клиенты_исходные!D722," ",""),"-",""),"+",""),"(",""),")",""))="8","7"&amp;MID(SUBSTITUTE(SUBSTITUTE(SUBSTITUTE(SUBSTITUTE(SUBSTITUTE(Клиенты_исходные!D722," ",""),"-",""),"+",""),"(",""),")",""),2,10),SUBSTITUTE(SUBSTITUTE(SUBSTITUTE(SUBSTITUTE(SUBSTITUTE(Клиенты_исходные!D722," ",""),"-",""),"+",""),"(",""),")","")),10,2),IF(LEN(SUBSTITUTE(SUBSTITUTE(SUBSTITUTE(SUBSTITUTE(SUBSTITUTE(Клиенты_исходные!D722," ",""),"-",""),"+",""),"(",""),")",""))=10,"+7 ("&amp;MID(SUBSTITUTE(SUBSTITUTE(SUBSTITUTE(SUBSTITUTE(SUBSTITUTE(Клиенты_исходные!D722," ",""),"-",""),"+",""),"(",""),")",""),1,3)&amp;") "&amp;MID(SUBSTITUTE(SUBSTITUTE(SUBSTITUTE(SUBSTITUTE(SUBSTITUTE(Клиенты_исходные!D722," ",""),"-",""),"+",""),"(",""),")",""),4,3)&amp;"-"&amp;MID(SUBSTITUTE(SUBSTITUTE(SUBSTITUTE(SUBSTITUTE(SUBSTITUTE(Клиенты_исходные!D722," ",""),"-",""),"+",""),"(",""),")",""),6,2)&amp;"-"&amp;MID(SUBSTITUTE(SUBSTITUTE(SUBSTITUTE(SUBSTITUTE(SUBSTITUTE(Клиенты_исходные!D722," ",""),"-",""),"+",""),"(",""),")",""),8,2),Клиенты_исходные!D722)))</f>
        <v xml:space="preserve">+7 (903) 678-90-12</v>
      </c>
      <c r="E722" t="str">
        <f>IF(ISBLANK(Клиенты_исходные!E722),"",IF(ISNUMBER(FIND(".",MID(Клиенты_исходные!E722,FIND("@",Клиенты_исходные!E722)+1,255))),Клиенты_исходные!E722,IF(ISNUMBER(FIND("gmail",Клиенты_исходные!E722)),Клиенты_исходные!E722&amp;".com",Клиенты_исходные!E722&amp;".ru")))</f>
        <v>korotkova@mail.ru</v>
      </c>
      <c r="F722" t="str">
        <f>IFERROR(VLOOKUP(Клиенты_исходные!F722,Справочники!$J$2:$K$50,2,FALSE),Клиенты_исходные!F722)</f>
        <v>Сургут</v>
      </c>
      <c r="G722" s="8">
        <f>IFERROR(IF(ISNUMBER(FIND(".",Клиенты_исходные!G722)),DATE(RIGHT(Клиенты_исходные!G722,4),MID(Клиенты_исходные!G722,4,2),LEFT(Клиенты_исходные!G722,2)),DATE(LEFT(Клиенты_исходные!G722,4),MID(Клиенты_исходные!G722,6,2),RIGHT(Клиенты_исходные!G722,2))),Клиенты_исходные!G722)</f>
        <v>51867</v>
      </c>
      <c r="H722">
        <f t="shared" ca="1" si="79"/>
        <v>40</v>
      </c>
      <c r="I722" t="str">
        <f t="shared" si="80"/>
        <v>OK</v>
      </c>
      <c r="J722" t="str">
        <f t="shared" si="81"/>
        <v>OK</v>
      </c>
    </row>
    <row r="723">
      <c r="A723" t="str">
        <f>Клиенты_исходные!A723</f>
        <v>C0722</v>
      </c>
      <c r="B723" t="str">
        <f>PROPER(TRIM(Клиенты_исходные!B723))</f>
        <v xml:space="preserve">Литвиненко Денис Викторович</v>
      </c>
      <c r="C723" s="8">
        <f>IFERROR(IF(ISNUMBER(FIND(".",Клиенты_исходные!C723)),DATE(RIGHT(Клиенты_исходные!C723,4),MID(Клиенты_исходные!C723,4,2),LEFT(Клиенты_исходные!C723,2)),DATE(LEFT(Клиенты_исходные!C723,4),MID(Клиенты_исходные!C723,6,2),RIGHT(Клиенты_исходные!C723,2))),Клиенты_исходные!C723)</f>
        <v>30249</v>
      </c>
      <c r="D723" t="str">
        <f>IF(ISBLANK(Клиенты_исходные!D723),"",IF(LEN(SUBSTITUTE(SUBSTITUTE(SUBSTITUTE(SUBSTITUTE(SUBSTITUTE(Клиенты_исходные!D723," ",""),"-",""),"+",""),"(",""),")",""))=11,"+7 ("&amp;MID(IF(LEFT(SUBSTITUTE(SUBSTITUTE(SUBSTITUTE(SUBSTITUTE(SUBSTITUTE(Клиенты_исходные!D723," ",""),"-",""),"+",""),"(",""),")",""))="8","7"&amp;MID(SUBSTITUTE(SUBSTITUTE(SUBSTITUTE(SUBSTITUTE(SUBSTITUTE(Клиенты_исходные!D723," ",""),"-",""),"+",""),"(",""),")",""),2,10),SUBSTITUTE(SUBSTITUTE(SUBSTITUTE(SUBSTITUTE(SUBSTITUTE(Клиенты_исходные!D723," ",""),"-",""),"+",""),"(",""),")","")),2,3)&amp;") "&amp;MID(IF(LEFT(SUBSTITUTE(SUBSTITUTE(SUBSTITUTE(SUBSTITUTE(SUBSTITUTE(Клиенты_исходные!D723," ",""),"-",""),"+",""),"(",""),")",""))="8","7"&amp;MID(SUBSTITUTE(SUBSTITUTE(SUBSTITUTE(SUBSTITUTE(SUBSTITUTE(Клиенты_исходные!D723," ",""),"-",""),"+",""),"(",""),")",""),2,10),SUBSTITUTE(SUBSTITUTE(SUBSTITUTE(SUBSTITUTE(SUBSTITUTE(Клиенты_исходные!D723," ",""),"-",""),"+",""),"(",""),")","")),5,3)&amp;"-"&amp;MID(IF(LEFT(SUBSTITUTE(SUBSTITUTE(SUBSTITUTE(SUBSTITUTE(SUBSTITUTE(Клиенты_исходные!D723," ",""),"-",""),"+",""),"(",""),")",""))="8","7"&amp;MID(SUBSTITUTE(SUBSTITUTE(SUBSTITUTE(SUBSTITUTE(SUBSTITUTE(Клиенты_исходные!D723," ",""),"-",""),"+",""),"(",""),")",""),2,10),SUBSTITUTE(SUBSTITUTE(SUBSTITUTE(SUBSTITUTE(SUBSTITUTE(Клиенты_исходные!D723," ",""),"-",""),"+",""),"(",""),")","")),8,2)&amp;"-"&amp;MID(IF(LEFT(SUBSTITUTE(SUBSTITUTE(SUBSTITUTE(SUBSTITUTE(SUBSTITUTE(Клиенты_исходные!D723," ",""),"-",""),"+",""),"(",""),")",""))="8","7"&amp;MID(SUBSTITUTE(SUBSTITUTE(SUBSTITUTE(SUBSTITUTE(SUBSTITUTE(Клиенты_исходные!D723," ",""),"-",""),"+",""),"(",""),")",""),2,10),SUBSTITUTE(SUBSTITUTE(SUBSTITUTE(SUBSTITUTE(SUBSTITUTE(Клиенты_исходные!D723," ",""),"-",""),"+",""),"(",""),")","")),10,2),IF(LEN(SUBSTITUTE(SUBSTITUTE(SUBSTITUTE(SUBSTITUTE(SUBSTITUTE(Клиенты_исходные!D723," ",""),"-",""),"+",""),"(",""),")",""))=10,"+7 ("&amp;MID(SUBSTITUTE(SUBSTITUTE(SUBSTITUTE(SUBSTITUTE(SUBSTITUTE(Клиенты_исходные!D723," ",""),"-",""),"+",""),"(",""),")",""),1,3)&amp;") "&amp;MID(SUBSTITUTE(SUBSTITUTE(SUBSTITUTE(SUBSTITUTE(SUBSTITUTE(Клиенты_исходные!D723," ",""),"-",""),"+",""),"(",""),")",""),4,3)&amp;"-"&amp;MID(SUBSTITUTE(SUBSTITUTE(SUBSTITUTE(SUBSTITUTE(SUBSTITUTE(Клиенты_исходные!D723," ",""),"-",""),"+",""),"(",""),")",""),6,2)&amp;"-"&amp;MID(SUBSTITUTE(SUBSTITUTE(SUBSTITUTE(SUBSTITUTE(SUBSTITUTE(Клиенты_исходные!D723," ",""),"-",""),"+",""),"(",""),")",""),8,2),Клиенты_исходные!D723)))</f>
        <v xml:space="preserve">+7 (903) 678-90-12</v>
      </c>
      <c r="E723" t="str">
        <f>IF(ISBLANK(Клиенты_исходные!E723),"",IF(ISNUMBER(FIND(".",MID(Клиенты_исходные!E723,FIND("@",Клиенты_исходные!E723)+1,255))),Клиенты_исходные!E723,IF(ISNUMBER(FIND("gmail",Клиенты_исходные!E723)),Клиенты_исходные!E723&amp;".com",Клиенты_исходные!E723&amp;".ru")))</f>
        <v>litvinenko@yandex.ru</v>
      </c>
      <c r="F723" t="str">
        <f>IFERROR(VLOOKUP(Клиенты_исходные!F723,Справочники!$J$2:$K$50,2,FALSE),Клиенты_исходные!F723)</f>
        <v>Армавир</v>
      </c>
      <c r="G723" s="8">
        <f>IFERROR(IF(ISNUMBER(FIND(".",Клиенты_исходные!G723)),DATE(RIGHT(Клиенты_исходные!G723,4),MID(Клиенты_исходные!G723,4,2),LEFT(Клиенты_исходные!G723,2)),DATE(LEFT(Клиенты_исходные!G723,4),MID(Клиенты_исходные!G723,6,2),RIGHT(Клиенты_исходные!G723,2))),Клиенты_исходные!G723)</f>
        <v>51881</v>
      </c>
      <c r="H723">
        <f t="shared" ca="1" si="79"/>
        <v>43</v>
      </c>
      <c r="I723" t="str">
        <f t="shared" si="80"/>
        <v>OK</v>
      </c>
      <c r="J723" t="str">
        <f t="shared" si="81"/>
        <v>OK</v>
      </c>
    </row>
    <row r="724">
      <c r="A724" t="str">
        <f>Клиенты_исходные!A724</f>
        <v>C0723</v>
      </c>
      <c r="B724" t="str">
        <f>PROPER(TRIM(Клиенты_исходные!B724))</f>
        <v xml:space="preserve">Старкова Ольга Сергеевна</v>
      </c>
      <c r="C724" s="8">
        <f>IFERROR(IF(ISNUMBER(FIND(".",Клиенты_исходные!C724)),DATE(RIGHT(Клиенты_исходные!C724,4),MID(Клиенты_исходные!C724,4,2),LEFT(Клиенты_исходные!C724,2)),DATE(LEFT(Клиенты_исходные!C724,4),MID(Клиенты_исходные!C724,6,2),RIGHT(Клиенты_исходные!C724,2))),Клиенты_исходные!C724)</f>
        <v>32712</v>
      </c>
      <c r="D724" t="str">
        <f>IF(ISBLANK(Клиенты_исходные!D724),"",IF(LEN(SUBSTITUTE(SUBSTITUTE(SUBSTITUTE(SUBSTITUTE(SUBSTITUTE(Клиенты_исходные!D724," ",""),"-",""),"+",""),"(",""),")",""))=11,"+7 ("&amp;MID(IF(LEFT(SUBSTITUTE(SUBSTITUTE(SUBSTITUTE(SUBSTITUTE(SUBSTITUTE(Клиенты_исходные!D724," ",""),"-",""),"+",""),"(",""),")",""))="8","7"&amp;MID(SUBSTITUTE(SUBSTITUTE(SUBSTITUTE(SUBSTITUTE(SUBSTITUTE(Клиенты_исходные!D724," ",""),"-",""),"+",""),"(",""),")",""),2,10),SUBSTITUTE(SUBSTITUTE(SUBSTITUTE(SUBSTITUTE(SUBSTITUTE(Клиенты_исходные!D724," ",""),"-",""),"+",""),"(",""),")","")),2,3)&amp;") "&amp;MID(IF(LEFT(SUBSTITUTE(SUBSTITUTE(SUBSTITUTE(SUBSTITUTE(SUBSTITUTE(Клиенты_исходные!D724," ",""),"-",""),"+",""),"(",""),")",""))="8","7"&amp;MID(SUBSTITUTE(SUBSTITUTE(SUBSTITUTE(SUBSTITUTE(SUBSTITUTE(Клиенты_исходные!D724," ",""),"-",""),"+",""),"(",""),")",""),2,10),SUBSTITUTE(SUBSTITUTE(SUBSTITUTE(SUBSTITUTE(SUBSTITUTE(Клиенты_исходные!D724," ",""),"-",""),"+",""),"(",""),")","")),5,3)&amp;"-"&amp;MID(IF(LEFT(SUBSTITUTE(SUBSTITUTE(SUBSTITUTE(SUBSTITUTE(SUBSTITUTE(Клиенты_исходные!D724," ",""),"-",""),"+",""),"(",""),")",""))="8","7"&amp;MID(SUBSTITUTE(SUBSTITUTE(SUBSTITUTE(SUBSTITUTE(SUBSTITUTE(Клиенты_исходные!D724," ",""),"-",""),"+",""),"(",""),")",""),2,10),SUBSTITUTE(SUBSTITUTE(SUBSTITUTE(SUBSTITUTE(SUBSTITUTE(Клиенты_исходные!D724," ",""),"-",""),"+",""),"(",""),")","")),8,2)&amp;"-"&amp;MID(IF(LEFT(SUBSTITUTE(SUBSTITUTE(SUBSTITUTE(SUBSTITUTE(SUBSTITUTE(Клиенты_исходные!D724," ",""),"-",""),"+",""),"(",""),")",""))="8","7"&amp;MID(SUBSTITUTE(SUBSTITUTE(SUBSTITUTE(SUBSTITUTE(SUBSTITUTE(Клиенты_исходные!D724," ",""),"-",""),"+",""),"(",""),")",""),2,10),SUBSTITUTE(SUBSTITUTE(SUBSTITUTE(SUBSTITUTE(SUBSTITUTE(Клиенты_исходные!D724," ",""),"-",""),"+",""),"(",""),")","")),10,2),IF(LEN(SUBSTITUTE(SUBSTITUTE(SUBSTITUTE(SUBSTITUTE(SUBSTITUTE(Клиенты_исходные!D724," ",""),"-",""),"+",""),"(",""),")",""))=10,"+7 ("&amp;MID(SUBSTITUTE(SUBSTITUTE(SUBSTITUTE(SUBSTITUTE(SUBSTITUTE(Клиенты_исходные!D724," ",""),"-",""),"+",""),"(",""),")",""),1,3)&amp;") "&amp;MID(SUBSTITUTE(SUBSTITUTE(SUBSTITUTE(SUBSTITUTE(SUBSTITUTE(Клиенты_исходные!D724," ",""),"-",""),"+",""),"(",""),")",""),4,3)&amp;"-"&amp;MID(SUBSTITUTE(SUBSTITUTE(SUBSTITUTE(SUBSTITUTE(SUBSTITUTE(Клиенты_исходные!D724," ",""),"-",""),"+",""),"(",""),")",""),6,2)&amp;"-"&amp;MID(SUBSTITUTE(SUBSTITUTE(SUBSTITUTE(SUBSTITUTE(SUBSTITUTE(Клиенты_исходные!D724," ",""),"-",""),"+",""),"(",""),")",""),8,2),Клиенты_исходные!D724)))</f>
        <v xml:space="preserve">+7 (903) 789-01-23</v>
      </c>
      <c r="E724" t="str">
        <f>IF(ISBLANK(Клиенты_исходные!E724),"",IF(ISNUMBER(FIND(".",MID(Клиенты_исходные!E724,FIND("@",Клиенты_исходные!E724)+1,255))),Клиенты_исходные!E724,IF(ISNUMBER(FIND("gmail",Клиенты_исходные!E724)),Клиенты_исходные!E724&amp;".com",Клиенты_исходные!E724&amp;".ru")))</f>
        <v>starkova@gmail.com</v>
      </c>
      <c r="F724" t="str">
        <f>IFERROR(VLOOKUP(Клиенты_исходные!F724,Справочники!$J$2:$K$50,2,FALSE),Клиенты_исходные!F724)</f>
        <v>Волжский</v>
      </c>
      <c r="G724" s="8">
        <f>IFERROR(IF(ISNUMBER(FIND(".",Клиенты_исходные!G724)),DATE(RIGHT(Клиенты_исходные!G724,4),MID(Клиенты_исходные!G724,4,2),LEFT(Клиенты_исходные!G724,2)),DATE(LEFT(Клиенты_исходные!G724,4),MID(Клиенты_исходные!G724,6,2),RIGHT(Клиенты_исходные!G724,2))),Клиенты_исходные!G724)</f>
        <v>51881</v>
      </c>
      <c r="H724">
        <f t="shared" ca="1" si="79"/>
        <v>37</v>
      </c>
      <c r="I724" t="str">
        <f t="shared" si="80"/>
        <v>OK</v>
      </c>
      <c r="J724" t="str">
        <f t="shared" si="81"/>
        <v>OK</v>
      </c>
    </row>
    <row r="725">
      <c r="A725" t="str">
        <f>Клиенты_исходные!A725</f>
        <v>C0724</v>
      </c>
      <c r="B725" t="str">
        <f>PROPER(TRIM(Клиенты_исходные!B725))</f>
        <v xml:space="preserve">Паршин Илья Александрович</v>
      </c>
      <c r="C725" s="8">
        <f>IFERROR(IF(ISNUMBER(FIND(".",Клиенты_исходные!C725)),DATE(RIGHT(Клиенты_исходные!C725,4),MID(Клиенты_исходные!C725,4,2),LEFT(Клиенты_исходные!C725,2)),DATE(LEFT(Клиенты_исходные!C725,4),MID(Клиенты_исходные!C725,6,2),RIGHT(Клиенты_исходные!C725,2))),Клиенты_исходные!C725)</f>
        <v>27437</v>
      </c>
      <c r="D725" t="str">
        <f>IF(ISBLANK(Клиенты_исходные!D725),"",IF(LEN(SUBSTITUTE(SUBSTITUTE(SUBSTITUTE(SUBSTITUTE(SUBSTITUTE(Клиенты_исходные!D725," ",""),"-",""),"+",""),"(",""),")",""))=11,"+7 ("&amp;MID(IF(LEFT(SUBSTITUTE(SUBSTITUTE(SUBSTITUTE(SUBSTITUTE(SUBSTITUTE(Клиенты_исходные!D725," ",""),"-",""),"+",""),"(",""),")",""))="8","7"&amp;MID(SUBSTITUTE(SUBSTITUTE(SUBSTITUTE(SUBSTITUTE(SUBSTITUTE(Клиенты_исходные!D725," ",""),"-",""),"+",""),"(",""),")",""),2,10),SUBSTITUTE(SUBSTITUTE(SUBSTITUTE(SUBSTITUTE(SUBSTITUTE(Клиенты_исходные!D725," ",""),"-",""),"+",""),"(",""),")","")),2,3)&amp;") "&amp;MID(IF(LEFT(SUBSTITUTE(SUBSTITUTE(SUBSTITUTE(SUBSTITUTE(SUBSTITUTE(Клиенты_исходные!D725," ",""),"-",""),"+",""),"(",""),")",""))="8","7"&amp;MID(SUBSTITUTE(SUBSTITUTE(SUBSTITUTE(SUBSTITUTE(SUBSTITUTE(Клиенты_исходные!D725," ",""),"-",""),"+",""),"(",""),")",""),2,10),SUBSTITUTE(SUBSTITUTE(SUBSTITUTE(SUBSTITUTE(SUBSTITUTE(Клиенты_исходные!D725," ",""),"-",""),"+",""),"(",""),")","")),5,3)&amp;"-"&amp;MID(IF(LEFT(SUBSTITUTE(SUBSTITUTE(SUBSTITUTE(SUBSTITUTE(SUBSTITUTE(Клиенты_исходные!D725," ",""),"-",""),"+",""),"(",""),")",""))="8","7"&amp;MID(SUBSTITUTE(SUBSTITUTE(SUBSTITUTE(SUBSTITUTE(SUBSTITUTE(Клиенты_исходные!D725," ",""),"-",""),"+",""),"(",""),")",""),2,10),SUBSTITUTE(SUBSTITUTE(SUBSTITUTE(SUBSTITUTE(SUBSTITUTE(Клиенты_исходные!D725," ",""),"-",""),"+",""),"(",""),")","")),8,2)&amp;"-"&amp;MID(IF(LEFT(SUBSTITUTE(SUBSTITUTE(SUBSTITUTE(SUBSTITUTE(SUBSTITUTE(Клиенты_исходные!D725," ",""),"-",""),"+",""),"(",""),")",""))="8","7"&amp;MID(SUBSTITUTE(SUBSTITUTE(SUBSTITUTE(SUBSTITUTE(SUBSTITUTE(Клиенты_исходные!D725," ",""),"-",""),"+",""),"(",""),")",""),2,10),SUBSTITUTE(SUBSTITUTE(SUBSTITUTE(SUBSTITUTE(SUBSTITUTE(Клиенты_исходные!D725," ",""),"-",""),"+",""),"(",""),")","")),10,2),IF(LEN(SUBSTITUTE(SUBSTITUTE(SUBSTITUTE(SUBSTITUTE(SUBSTITUTE(Клиенты_исходные!D725," ",""),"-",""),"+",""),"(",""),")",""))=10,"+7 ("&amp;MID(SUBSTITUTE(SUBSTITUTE(SUBSTITUTE(SUBSTITUTE(SUBSTITUTE(Клиенты_исходные!D725," ",""),"-",""),"+",""),"(",""),")",""),1,3)&amp;") "&amp;MID(SUBSTITUTE(SUBSTITUTE(SUBSTITUTE(SUBSTITUTE(SUBSTITUTE(Клиенты_исходные!D725," ",""),"-",""),"+",""),"(",""),")",""),4,3)&amp;"-"&amp;MID(SUBSTITUTE(SUBSTITUTE(SUBSTITUTE(SUBSTITUTE(SUBSTITUTE(Клиенты_исходные!D725," ",""),"-",""),"+",""),"(",""),")",""),6,2)&amp;"-"&amp;MID(SUBSTITUTE(SUBSTITUTE(SUBSTITUTE(SUBSTITUTE(SUBSTITUTE(Клиенты_исходные!D725," ",""),"-",""),"+",""),"(",""),")",""),8,2),Клиенты_исходные!D725)))</f>
        <v xml:space="preserve">+7 (903) 789-01-23</v>
      </c>
      <c r="E725" t="str">
        <f>IF(ISBLANK(Клиенты_исходные!E725),"",IF(ISNUMBER(FIND(".",MID(Клиенты_исходные!E725,FIND("@",Клиенты_исходные!E725)+1,255))),Клиенты_исходные!E725,IF(ISNUMBER(FIND("gmail",Клиенты_исходные!E725)),Клиенты_исходные!E725&amp;".com",Клиенты_исходные!E725&amp;".ru")))</f>
        <v>parshin@mail.ru</v>
      </c>
      <c r="F725" t="str">
        <f>IFERROR(VLOOKUP(Клиенты_исходные!F725,Справочники!$J$2:$K$50,2,FALSE),Клиенты_исходные!F725)</f>
        <v>Шахты</v>
      </c>
      <c r="G725" s="8">
        <f>IFERROR(IF(ISNUMBER(FIND(".",Клиенты_исходные!G725)),DATE(RIGHT(Клиенты_исходные!G725,4),MID(Клиенты_исходные!G725,4,2),LEFT(Клиенты_исходные!G725,2)),DATE(LEFT(Клиенты_исходные!G725,4),MID(Клиенты_исходные!G725,6,2),RIGHT(Клиенты_исходные!G725,2))),Клиенты_исходные!G725)</f>
        <v>51898</v>
      </c>
      <c r="H725">
        <f t="shared" ca="1" si="79"/>
        <v>51</v>
      </c>
      <c r="I725" t="str">
        <f t="shared" si="80"/>
        <v>OK</v>
      </c>
      <c r="J725" t="str">
        <f t="shared" si="81"/>
        <v>OK</v>
      </c>
    </row>
    <row r="726">
      <c r="A726" t="str">
        <f>Клиенты_исходные!A726</f>
        <v>C0725</v>
      </c>
      <c r="B726" t="str">
        <f>PROPER(TRIM(Клиенты_исходные!B726))</f>
        <v xml:space="preserve">Яковлева Екатерина Владимировна</v>
      </c>
      <c r="C726" s="8">
        <f>IFERROR(IF(ISNUMBER(FIND(".",Клиенты_исходные!C726)),DATE(RIGHT(Клиенты_исходные!C726,4),MID(Клиенты_исходные!C726,4,2),LEFT(Клиенты_исходные!C726,2)),DATE(LEFT(Клиенты_исходные!C726,4),MID(Клиенты_исходные!C726,6,2),RIGHT(Клиенты_исходные!C726,2))),Клиенты_исходные!C726)</f>
        <v>30563</v>
      </c>
      <c r="D726" t="str">
        <f>IF(ISBLANK(Клиенты_исходные!D726),"",IF(LEN(SUBSTITUTE(SUBSTITUTE(SUBSTITUTE(SUBSTITUTE(SUBSTITUTE(Клиенты_исходные!D726," ",""),"-",""),"+",""),"(",""),")",""))=11,"+7 ("&amp;MID(IF(LEFT(SUBSTITUTE(SUBSTITUTE(SUBSTITUTE(SUBSTITUTE(SUBSTITUTE(Клиенты_исходные!D726," ",""),"-",""),"+",""),"(",""),")",""))="8","7"&amp;MID(SUBSTITUTE(SUBSTITUTE(SUBSTITUTE(SUBSTITUTE(SUBSTITUTE(Клиенты_исходные!D726," ",""),"-",""),"+",""),"(",""),")",""),2,10),SUBSTITUTE(SUBSTITUTE(SUBSTITUTE(SUBSTITUTE(SUBSTITUTE(Клиенты_исходные!D726," ",""),"-",""),"+",""),"(",""),")","")),2,3)&amp;") "&amp;MID(IF(LEFT(SUBSTITUTE(SUBSTITUTE(SUBSTITUTE(SUBSTITUTE(SUBSTITUTE(Клиенты_исходные!D726," ",""),"-",""),"+",""),"(",""),")",""))="8","7"&amp;MID(SUBSTITUTE(SUBSTITUTE(SUBSTITUTE(SUBSTITUTE(SUBSTITUTE(Клиенты_исходные!D726," ",""),"-",""),"+",""),"(",""),")",""),2,10),SUBSTITUTE(SUBSTITUTE(SUBSTITUTE(SUBSTITUTE(SUBSTITUTE(Клиенты_исходные!D726," ",""),"-",""),"+",""),"(",""),")","")),5,3)&amp;"-"&amp;MID(IF(LEFT(SUBSTITUTE(SUBSTITUTE(SUBSTITUTE(SUBSTITUTE(SUBSTITUTE(Клиенты_исходные!D726," ",""),"-",""),"+",""),"(",""),")",""))="8","7"&amp;MID(SUBSTITUTE(SUBSTITUTE(SUBSTITUTE(SUBSTITUTE(SUBSTITUTE(Клиенты_исходные!D726," ",""),"-",""),"+",""),"(",""),")",""),2,10),SUBSTITUTE(SUBSTITUTE(SUBSTITUTE(SUBSTITUTE(SUBSTITUTE(Клиенты_исходные!D726," ",""),"-",""),"+",""),"(",""),")","")),8,2)&amp;"-"&amp;MID(IF(LEFT(SUBSTITUTE(SUBSTITUTE(SUBSTITUTE(SUBSTITUTE(SUBSTITUTE(Клиенты_исходные!D726," ",""),"-",""),"+",""),"(",""),")",""))="8","7"&amp;MID(SUBSTITUTE(SUBSTITUTE(SUBSTITUTE(SUBSTITUTE(SUBSTITUTE(Клиенты_исходные!D726," ",""),"-",""),"+",""),"(",""),")",""),2,10),SUBSTITUTE(SUBSTITUTE(SUBSTITUTE(SUBSTITUTE(SUBSTITUTE(Клиенты_исходные!D726," ",""),"-",""),"+",""),"(",""),")","")),10,2),IF(LEN(SUBSTITUTE(SUBSTITUTE(SUBSTITUTE(SUBSTITUTE(SUBSTITUTE(Клиенты_исходные!D726," ",""),"-",""),"+",""),"(",""),")",""))=10,"+7 ("&amp;MID(SUBSTITUTE(SUBSTITUTE(SUBSTITUTE(SUBSTITUTE(SUBSTITUTE(Клиенты_исходные!D726," ",""),"-",""),"+",""),"(",""),")",""),1,3)&amp;") "&amp;MID(SUBSTITUTE(SUBSTITUTE(SUBSTITUTE(SUBSTITUTE(SUBSTITUTE(Клиенты_исходные!D726," ",""),"-",""),"+",""),"(",""),")",""),4,3)&amp;"-"&amp;MID(SUBSTITUTE(SUBSTITUTE(SUBSTITUTE(SUBSTITUTE(SUBSTITUTE(Клиенты_исходные!D726," ",""),"-",""),"+",""),"(",""),")",""),6,2)&amp;"-"&amp;MID(SUBSTITUTE(SUBSTITUTE(SUBSTITUTE(SUBSTITUTE(SUBSTITUTE(Клиенты_исходные!D726," ",""),"-",""),"+",""),"(",""),")",""),8,2),Клиенты_исходные!D726)))</f>
        <v xml:space="preserve">+7 (903) 789-01-23</v>
      </c>
      <c r="E726" t="str">
        <f>IF(ISBLANK(Клиенты_исходные!E726),"",IF(ISNUMBER(FIND(".",MID(Клиенты_исходные!E726,FIND("@",Клиенты_исходные!E726)+1,255))),Клиенты_исходные!E726,IF(ISNUMBER(FIND("gmail",Клиенты_исходные!E726)),Клиенты_исходные!E726&amp;".com",Клиенты_исходные!E726&amp;".ru")))</f>
        <v>yakovleva@yandex.ru</v>
      </c>
      <c r="F726" t="str">
        <f>IFERROR(VLOOKUP(Клиенты_исходные!F726,Справочники!$J$2:$K$50,2,FALSE),Клиенты_исходные!F726)</f>
        <v>Златоуст</v>
      </c>
      <c r="G726" s="8">
        <f>IFERROR(IF(ISNUMBER(FIND(".",Клиенты_исходные!G726)),DATE(RIGHT(Клиенты_исходные!G726,4),MID(Клиенты_исходные!G726,4,2),LEFT(Клиенты_исходные!G726,2)),DATE(LEFT(Клиенты_исходные!G726,4),MID(Клиенты_исходные!G726,6,2),RIGHT(Клиенты_исходные!G726,2))),Клиенты_исходные!G726)</f>
        <v>51907</v>
      </c>
      <c r="H726">
        <f t="shared" ca="1" si="79"/>
        <v>43</v>
      </c>
      <c r="I726" t="str">
        <f t="shared" si="80"/>
        <v>OK</v>
      </c>
      <c r="J726" t="str">
        <f t="shared" si="81"/>
        <v>OK</v>
      </c>
    </row>
    <row r="727">
      <c r="A727" t="str">
        <f>Клиенты_исходные!A727</f>
        <v>C0726</v>
      </c>
      <c r="B727" t="str">
        <f>PROPER(TRIM(Клиенты_исходные!B727))</f>
        <v xml:space="preserve">Козырев Андрей Олегович</v>
      </c>
      <c r="C727" s="8">
        <f>IFERROR(IF(ISNUMBER(FIND(".",Клиенты_исходные!C727)),DATE(RIGHT(Клиенты_исходные!C727,4),MID(Клиенты_исходные!C727,4,2),LEFT(Клиенты_исходные!C727,2)),DATE(LEFT(Клиенты_исходные!C727,4),MID(Клиенты_исходные!C727,6,2),RIGHT(Клиенты_исходные!C727,2))),Клиенты_исходные!C727)</f>
        <v>33741</v>
      </c>
      <c r="D727" t="str">
        <f>IF(ISBLANK(Клиенты_исходные!D727),"",IF(LEN(SUBSTITUTE(SUBSTITUTE(SUBSTITUTE(SUBSTITUTE(SUBSTITUTE(Клиенты_исходные!D727," ",""),"-",""),"+",""),"(",""),")",""))=11,"+7 ("&amp;MID(IF(LEFT(SUBSTITUTE(SUBSTITUTE(SUBSTITUTE(SUBSTITUTE(SUBSTITUTE(Клиенты_исходные!D727," ",""),"-",""),"+",""),"(",""),")",""))="8","7"&amp;MID(SUBSTITUTE(SUBSTITUTE(SUBSTITUTE(SUBSTITUTE(SUBSTITUTE(Клиенты_исходные!D727," ",""),"-",""),"+",""),"(",""),")",""),2,10),SUBSTITUTE(SUBSTITUTE(SUBSTITUTE(SUBSTITUTE(SUBSTITUTE(Клиенты_исходные!D727," ",""),"-",""),"+",""),"(",""),")","")),2,3)&amp;") "&amp;MID(IF(LEFT(SUBSTITUTE(SUBSTITUTE(SUBSTITUTE(SUBSTITUTE(SUBSTITUTE(Клиенты_исходные!D727," ",""),"-",""),"+",""),"(",""),")",""))="8","7"&amp;MID(SUBSTITUTE(SUBSTITUTE(SUBSTITUTE(SUBSTITUTE(SUBSTITUTE(Клиенты_исходные!D727," ",""),"-",""),"+",""),"(",""),")",""),2,10),SUBSTITUTE(SUBSTITUTE(SUBSTITUTE(SUBSTITUTE(SUBSTITUTE(Клиенты_исходные!D727," ",""),"-",""),"+",""),"(",""),")","")),5,3)&amp;"-"&amp;MID(IF(LEFT(SUBSTITUTE(SUBSTITUTE(SUBSTITUTE(SUBSTITUTE(SUBSTITUTE(Клиенты_исходные!D727," ",""),"-",""),"+",""),"(",""),")",""))="8","7"&amp;MID(SUBSTITUTE(SUBSTITUTE(SUBSTITUTE(SUBSTITUTE(SUBSTITUTE(Клиенты_исходные!D727," ",""),"-",""),"+",""),"(",""),")",""),2,10),SUBSTITUTE(SUBSTITUTE(SUBSTITUTE(SUBSTITUTE(SUBSTITUTE(Клиенты_исходные!D727," ",""),"-",""),"+",""),"(",""),")","")),8,2)&amp;"-"&amp;MID(IF(LEFT(SUBSTITUTE(SUBSTITUTE(SUBSTITUTE(SUBSTITUTE(SUBSTITUTE(Клиенты_исходные!D727," ",""),"-",""),"+",""),"(",""),")",""))="8","7"&amp;MID(SUBSTITUTE(SUBSTITUTE(SUBSTITUTE(SUBSTITUTE(SUBSTITUTE(Клиенты_исходные!D727," ",""),"-",""),"+",""),"(",""),")",""),2,10),SUBSTITUTE(SUBSTITUTE(SUBSTITUTE(SUBSTITUTE(SUBSTITUTE(Клиенты_исходные!D727," ",""),"-",""),"+",""),"(",""),")","")),10,2),IF(LEN(SUBSTITUTE(SUBSTITUTE(SUBSTITUTE(SUBSTITUTE(SUBSTITUTE(Клиенты_исходные!D727," ",""),"-",""),"+",""),"(",""),")",""))=10,"+7 ("&amp;MID(SUBSTITUTE(SUBSTITUTE(SUBSTITUTE(SUBSTITUTE(SUBSTITUTE(Клиенты_исходные!D727," ",""),"-",""),"+",""),"(",""),")",""),1,3)&amp;") "&amp;MID(SUBSTITUTE(SUBSTITUTE(SUBSTITUTE(SUBSTITUTE(SUBSTITUTE(Клиенты_исходные!D727," ",""),"-",""),"+",""),"(",""),")",""),4,3)&amp;"-"&amp;MID(SUBSTITUTE(SUBSTITUTE(SUBSTITUTE(SUBSTITUTE(SUBSTITUTE(Клиенты_исходные!D727," ",""),"-",""),"+",""),"(",""),")",""),6,2)&amp;"-"&amp;MID(SUBSTITUTE(SUBSTITUTE(SUBSTITUTE(SUBSTITUTE(SUBSTITUTE(Клиенты_исходные!D727," ",""),"-",""),"+",""),"(",""),")",""),8,2),Клиенты_исходные!D727)))</f>
        <v xml:space="preserve">+7 (903) 890-12-34</v>
      </c>
      <c r="E727" t="str">
        <f>IF(ISBLANK(Клиенты_исходные!E727),"",IF(ISNUMBER(FIND(".",MID(Клиенты_исходные!E727,FIND("@",Клиенты_исходные!E727)+1,255))),Клиенты_исходные!E727,IF(ISNUMBER(FIND("gmail",Клиенты_исходные!E727)),Клиенты_исходные!E727&amp;".com",Клиенты_исходные!E727&amp;".ru")))</f>
        <v>kozyrev@gmail.com</v>
      </c>
      <c r="F727" t="str">
        <f>IFERROR(VLOOKUP(Клиенты_исходные!F727,Справочники!$J$2:$K$50,2,FALSE),Клиенты_исходные!F727)</f>
        <v>Ангарск</v>
      </c>
      <c r="G727" s="8">
        <f>IFERROR(IF(ISNUMBER(FIND(".",Клиенты_исходные!G727)),DATE(RIGHT(Клиенты_исходные!G727,4),MID(Клиенты_исходные!G727,4,2),LEFT(Клиенты_исходные!G727,2)),DATE(LEFT(Клиенты_исходные!G727,4),MID(Клиенты_исходные!G727,6,2),RIGHT(Клиенты_исходные!G727,2))),Клиенты_исходные!G727)</f>
        <v>51907</v>
      </c>
      <c r="H727">
        <f t="shared" ca="1" si="79"/>
        <v>34</v>
      </c>
      <c r="I727" t="str">
        <f t="shared" si="80"/>
        <v>OK</v>
      </c>
      <c r="J727" t="str">
        <f t="shared" si="81"/>
        <v>OK</v>
      </c>
    </row>
    <row r="728">
      <c r="A728" t="str">
        <f>Клиенты_исходные!A728</f>
        <v>C0727</v>
      </c>
      <c r="B728" t="str">
        <f>PROPER(TRIM(Клиенты_исходные!B728))</f>
        <v xml:space="preserve">Батина Мария Павловна</v>
      </c>
      <c r="C728" s="8">
        <f>IFERROR(IF(ISNUMBER(FIND(".",Клиенты_исходные!C728)),DATE(RIGHT(Клиенты_исходные!C728,4),MID(Клиенты_исходные!C728,4,2),LEFT(Клиенты_исходные!C728,2)),DATE(LEFT(Клиенты_исходные!C728,4),MID(Клиенты_исходные!C728,6,2),RIGHT(Клиенты_исходные!C728,2))),Клиенты_исходные!C728)</f>
        <v>28465</v>
      </c>
      <c r="D728" t="str">
        <f>IF(ISBLANK(Клиенты_исходные!D728),"",IF(LEN(SUBSTITUTE(SUBSTITUTE(SUBSTITUTE(SUBSTITUTE(SUBSTITUTE(Клиенты_исходные!D728," ",""),"-",""),"+",""),"(",""),")",""))=11,"+7 ("&amp;MID(IF(LEFT(SUBSTITUTE(SUBSTITUTE(SUBSTITUTE(SUBSTITUTE(SUBSTITUTE(Клиенты_исходные!D728," ",""),"-",""),"+",""),"(",""),")",""))="8","7"&amp;MID(SUBSTITUTE(SUBSTITUTE(SUBSTITUTE(SUBSTITUTE(SUBSTITUTE(Клиенты_исходные!D728," ",""),"-",""),"+",""),"(",""),")",""),2,10),SUBSTITUTE(SUBSTITUTE(SUBSTITUTE(SUBSTITUTE(SUBSTITUTE(Клиенты_исходные!D728," ",""),"-",""),"+",""),"(",""),")","")),2,3)&amp;") "&amp;MID(IF(LEFT(SUBSTITUTE(SUBSTITUTE(SUBSTITUTE(SUBSTITUTE(SUBSTITUTE(Клиенты_исходные!D728," ",""),"-",""),"+",""),"(",""),")",""))="8","7"&amp;MID(SUBSTITUTE(SUBSTITUTE(SUBSTITUTE(SUBSTITUTE(SUBSTITUTE(Клиенты_исходные!D728," ",""),"-",""),"+",""),"(",""),")",""),2,10),SUBSTITUTE(SUBSTITUTE(SUBSTITUTE(SUBSTITUTE(SUBSTITUTE(Клиенты_исходные!D728," ",""),"-",""),"+",""),"(",""),")","")),5,3)&amp;"-"&amp;MID(IF(LEFT(SUBSTITUTE(SUBSTITUTE(SUBSTITUTE(SUBSTITUTE(SUBSTITUTE(Клиенты_исходные!D728," ",""),"-",""),"+",""),"(",""),")",""))="8","7"&amp;MID(SUBSTITUTE(SUBSTITUTE(SUBSTITUTE(SUBSTITUTE(SUBSTITUTE(Клиенты_исходные!D728," ",""),"-",""),"+",""),"(",""),")",""),2,10),SUBSTITUTE(SUBSTITUTE(SUBSTITUTE(SUBSTITUTE(SUBSTITUTE(Клиенты_исходные!D728," ",""),"-",""),"+",""),"(",""),")","")),8,2)&amp;"-"&amp;MID(IF(LEFT(SUBSTITUTE(SUBSTITUTE(SUBSTITUTE(SUBSTITUTE(SUBSTITUTE(Клиенты_исходные!D728," ",""),"-",""),"+",""),"(",""),")",""))="8","7"&amp;MID(SUBSTITUTE(SUBSTITUTE(SUBSTITUTE(SUBSTITUTE(SUBSTITUTE(Клиенты_исходные!D728," ",""),"-",""),"+",""),"(",""),")",""),2,10),SUBSTITUTE(SUBSTITUTE(SUBSTITUTE(SUBSTITUTE(SUBSTITUTE(Клиенты_исходные!D728," ",""),"-",""),"+",""),"(",""),")","")),10,2),IF(LEN(SUBSTITUTE(SUBSTITUTE(SUBSTITUTE(SUBSTITUTE(SUBSTITUTE(Клиенты_исходные!D728," ",""),"-",""),"+",""),"(",""),")",""))=10,"+7 ("&amp;MID(SUBSTITUTE(SUBSTITUTE(SUBSTITUTE(SUBSTITUTE(SUBSTITUTE(Клиенты_исходные!D728," ",""),"-",""),"+",""),"(",""),")",""),1,3)&amp;") "&amp;MID(SUBSTITUTE(SUBSTITUTE(SUBSTITUTE(SUBSTITUTE(SUBSTITUTE(Клиенты_исходные!D728," ",""),"-",""),"+",""),"(",""),")",""),4,3)&amp;"-"&amp;MID(SUBSTITUTE(SUBSTITUTE(SUBSTITUTE(SUBSTITUTE(SUBSTITUTE(Клиенты_исходные!D728," ",""),"-",""),"+",""),"(",""),")",""),6,2)&amp;"-"&amp;MID(SUBSTITUTE(SUBSTITUTE(SUBSTITUTE(SUBSTITUTE(SUBSTITUTE(Клиенты_исходные!D728," ",""),"-",""),"+",""),"(",""),")",""),8,2),Клиенты_исходные!D728)))</f>
        <v xml:space="preserve">+7 (903) 890-12-34</v>
      </c>
      <c r="E728" t="str">
        <f>IF(ISBLANK(Клиенты_исходные!E728),"",IF(ISNUMBER(FIND(".",MID(Клиенты_исходные!E728,FIND("@",Клиенты_исходные!E728)+1,255))),Клиенты_исходные!E728,IF(ISNUMBER(FIND("gmail",Клиенты_исходные!E728)),Клиенты_исходные!E728&amp;".com",Клиенты_исходные!E728&amp;".ru")))</f>
        <v>batina@mail.ru</v>
      </c>
      <c r="F728" t="str">
        <f>IFERROR(VLOOKUP(Клиенты_исходные!F728,Справочники!$J$2:$K$50,2,FALSE),Клиенты_исходные!F728)</f>
        <v>Озёрск</v>
      </c>
      <c r="G728" s="8">
        <f>IFERROR(IF(ISNUMBER(FIND(".",Клиенты_исходные!G728)),DATE(RIGHT(Клиенты_исходные!G728,4),MID(Клиенты_исходные!G728,4,2),LEFT(Клиенты_исходные!G728,2)),DATE(LEFT(Клиенты_исходные!G728,4),MID(Клиенты_исходные!G728,6,2),RIGHT(Клиенты_исходные!G728,2))),Клиенты_исходные!G728)</f>
        <v>51926</v>
      </c>
      <c r="H728">
        <f t="shared" ca="1" si="79"/>
        <v>48</v>
      </c>
      <c r="I728" t="str">
        <f t="shared" si="80"/>
        <v>OK</v>
      </c>
      <c r="J728" t="str">
        <f t="shared" si="81"/>
        <v>OK</v>
      </c>
    </row>
    <row r="729">
      <c r="A729" t="str">
        <f>Клиенты_исходные!A729</f>
        <v>C0728</v>
      </c>
      <c r="B729" t="str">
        <f>PROPER(TRIM(Клиенты_исходные!B729))</f>
        <v xml:space="preserve">Коротков Денис Сергеевич</v>
      </c>
      <c r="C729" s="8">
        <f>IFERROR(IF(ISNUMBER(FIND(".",Клиенты_исходные!C729)),DATE(RIGHT(Клиенты_исходные!C729,4),MID(Клиенты_исходные!C729,4,2),LEFT(Клиенты_исходные!C729,2)),DATE(LEFT(Клиенты_исходные!C729,4),MID(Клиенты_исходные!C729,6,2),RIGHT(Клиенты_исходные!C729,2))),Клиенты_исходные!C729)</f>
        <v>31530</v>
      </c>
      <c r="D729" t="str">
        <f>IF(ISBLANK(Клиенты_исходные!D729),"",IF(LEN(SUBSTITUTE(SUBSTITUTE(SUBSTITUTE(SUBSTITUTE(SUBSTITUTE(Клиенты_исходные!D729," ",""),"-",""),"+",""),"(",""),")",""))=11,"+7 ("&amp;MID(IF(LEFT(SUBSTITUTE(SUBSTITUTE(SUBSTITUTE(SUBSTITUTE(SUBSTITUTE(Клиенты_исходные!D729," ",""),"-",""),"+",""),"(",""),")",""))="8","7"&amp;MID(SUBSTITUTE(SUBSTITUTE(SUBSTITUTE(SUBSTITUTE(SUBSTITUTE(Клиенты_исходные!D729," ",""),"-",""),"+",""),"(",""),")",""),2,10),SUBSTITUTE(SUBSTITUTE(SUBSTITUTE(SUBSTITUTE(SUBSTITUTE(Клиенты_исходные!D729," ",""),"-",""),"+",""),"(",""),")","")),2,3)&amp;") "&amp;MID(IF(LEFT(SUBSTITUTE(SUBSTITUTE(SUBSTITUTE(SUBSTITUTE(SUBSTITUTE(Клиенты_исходные!D729," ",""),"-",""),"+",""),"(",""),")",""))="8","7"&amp;MID(SUBSTITUTE(SUBSTITUTE(SUBSTITUTE(SUBSTITUTE(SUBSTITUTE(Клиенты_исходные!D729," ",""),"-",""),"+",""),"(",""),")",""),2,10),SUBSTITUTE(SUBSTITUTE(SUBSTITUTE(SUBSTITUTE(SUBSTITUTE(Клиенты_исходные!D729," ",""),"-",""),"+",""),"(",""),")","")),5,3)&amp;"-"&amp;MID(IF(LEFT(SUBSTITUTE(SUBSTITUTE(SUBSTITUTE(SUBSTITUTE(SUBSTITUTE(Клиенты_исходные!D729," ",""),"-",""),"+",""),"(",""),")",""))="8","7"&amp;MID(SUBSTITUTE(SUBSTITUTE(SUBSTITUTE(SUBSTITUTE(SUBSTITUTE(Клиенты_исходные!D729," ",""),"-",""),"+",""),"(",""),")",""),2,10),SUBSTITUTE(SUBSTITUTE(SUBSTITUTE(SUBSTITUTE(SUBSTITUTE(Клиенты_исходные!D729," ",""),"-",""),"+",""),"(",""),")","")),8,2)&amp;"-"&amp;MID(IF(LEFT(SUBSTITUTE(SUBSTITUTE(SUBSTITUTE(SUBSTITUTE(SUBSTITUTE(Клиенты_исходные!D729," ",""),"-",""),"+",""),"(",""),")",""))="8","7"&amp;MID(SUBSTITUTE(SUBSTITUTE(SUBSTITUTE(SUBSTITUTE(SUBSTITUTE(Клиенты_исходные!D729," ",""),"-",""),"+",""),"(",""),")",""),2,10),SUBSTITUTE(SUBSTITUTE(SUBSTITUTE(SUBSTITUTE(SUBSTITUTE(Клиенты_исходные!D729," ",""),"-",""),"+",""),"(",""),")","")),10,2),IF(LEN(SUBSTITUTE(SUBSTITUTE(SUBSTITUTE(SUBSTITUTE(SUBSTITUTE(Клиенты_исходные!D729," ",""),"-",""),"+",""),"(",""),")",""))=10,"+7 ("&amp;MID(SUBSTITUTE(SUBSTITUTE(SUBSTITUTE(SUBSTITUTE(SUBSTITUTE(Клиенты_исходные!D729," ",""),"-",""),"+",""),"(",""),")",""),1,3)&amp;") "&amp;MID(SUBSTITUTE(SUBSTITUTE(SUBSTITUTE(SUBSTITUTE(SUBSTITUTE(Клиенты_исходные!D729," ",""),"-",""),"+",""),"(",""),")",""),4,3)&amp;"-"&amp;MID(SUBSTITUTE(SUBSTITUTE(SUBSTITUTE(SUBSTITUTE(SUBSTITUTE(Клиенты_исходные!D729," ",""),"-",""),"+",""),"(",""),")",""),6,2)&amp;"-"&amp;MID(SUBSTITUTE(SUBSTITUTE(SUBSTITUTE(SUBSTITUTE(SUBSTITUTE(Клиенты_исходные!D729," ",""),"-",""),"+",""),"(",""),")",""),8,2),Клиенты_исходные!D729)))</f>
        <v xml:space="preserve">+7 (903) 890-12-34</v>
      </c>
      <c r="E729" t="str">
        <f>IF(ISBLANK(Клиенты_исходные!E729),"",IF(ISNUMBER(FIND(".",MID(Клиенты_исходные!E729,FIND("@",Клиенты_исходные!E729)+1,255))),Клиенты_исходные!E729,IF(ISNUMBER(FIND("gmail",Клиенты_исходные!E729)),Клиенты_исходные!E729&amp;".com",Клиенты_исходные!E729&amp;".ru")))</f>
        <v>korotkov@yandex.ru</v>
      </c>
      <c r="F729" t="str">
        <f>IFERROR(VLOOKUP(Клиенты_исходные!F729,Справочники!$J$2:$K$50,2,FALSE),Клиенты_исходные!F729)</f>
        <v>Орел</v>
      </c>
      <c r="G729" s="8">
        <f>IFERROR(IF(ISNUMBER(FIND(".",Клиенты_исходные!G729)),DATE(RIGHT(Клиенты_исходные!G729,4),MID(Клиенты_исходные!G729,4,2),LEFT(Клиенты_исходные!G729,2)),DATE(LEFT(Клиенты_исходные!G729,4),MID(Клиенты_исходные!G729,6,2),RIGHT(Клиенты_исходные!G729,2))),Клиенты_исходные!G729)</f>
        <v>51940</v>
      </c>
      <c r="H729">
        <f t="shared" ca="1" si="79"/>
        <v>40</v>
      </c>
      <c r="I729" t="str">
        <f t="shared" si="80"/>
        <v>OK</v>
      </c>
      <c r="J729" t="str">
        <f t="shared" si="81"/>
        <v>OK</v>
      </c>
    </row>
    <row r="730">
      <c r="A730" t="str">
        <f>Клиенты_исходные!A730</f>
        <v>C0729</v>
      </c>
      <c r="B730" t="str">
        <f>PROPER(TRIM(Клиенты_исходные!B730))</f>
        <v xml:space="preserve">Соловьева Ольга Сергеевна</v>
      </c>
      <c r="C730" s="8">
        <f>IFERROR(IF(ISNUMBER(FIND(".",Клиенты_исходные!C730)),DATE(RIGHT(Клиенты_исходные!C730,4),MID(Клиенты_исходные!C730,4,2),LEFT(Клиенты_исходные!C730,2)),DATE(LEFT(Клиенты_исходные!C730,4),MID(Клиенты_исходные!C730,6,2),RIGHT(Клиенты_исходные!C730,2))),Клиенты_исходные!C730)</f>
        <v>33452</v>
      </c>
      <c r="D730" t="str">
        <f>IF(ISBLANK(Клиенты_исходные!D730),"",IF(LEN(SUBSTITUTE(SUBSTITUTE(SUBSTITUTE(SUBSTITUTE(SUBSTITUTE(Клиенты_исходные!D730," ",""),"-",""),"+",""),"(",""),")",""))=11,"+7 ("&amp;MID(IF(LEFT(SUBSTITUTE(SUBSTITUTE(SUBSTITUTE(SUBSTITUTE(SUBSTITUTE(Клиенты_исходные!D730," ",""),"-",""),"+",""),"(",""),")",""))="8","7"&amp;MID(SUBSTITUTE(SUBSTITUTE(SUBSTITUTE(SUBSTITUTE(SUBSTITUTE(Клиенты_исходные!D730," ",""),"-",""),"+",""),"(",""),")",""),2,10),SUBSTITUTE(SUBSTITUTE(SUBSTITUTE(SUBSTITUTE(SUBSTITUTE(Клиенты_исходные!D730," ",""),"-",""),"+",""),"(",""),")","")),2,3)&amp;") "&amp;MID(IF(LEFT(SUBSTITUTE(SUBSTITUTE(SUBSTITUTE(SUBSTITUTE(SUBSTITUTE(Клиенты_исходные!D730," ",""),"-",""),"+",""),"(",""),")",""))="8","7"&amp;MID(SUBSTITUTE(SUBSTITUTE(SUBSTITUTE(SUBSTITUTE(SUBSTITUTE(Клиенты_исходные!D730," ",""),"-",""),"+",""),"(",""),")",""),2,10),SUBSTITUTE(SUBSTITUTE(SUBSTITUTE(SUBSTITUTE(SUBSTITUTE(Клиенты_исходные!D730," ",""),"-",""),"+",""),"(",""),")","")),5,3)&amp;"-"&amp;MID(IF(LEFT(SUBSTITUTE(SUBSTITUTE(SUBSTITUTE(SUBSTITUTE(SUBSTITUTE(Клиенты_исходные!D730," ",""),"-",""),"+",""),"(",""),")",""))="8","7"&amp;MID(SUBSTITUTE(SUBSTITUTE(SUBSTITUTE(SUBSTITUTE(SUBSTITUTE(Клиенты_исходные!D730," ",""),"-",""),"+",""),"(",""),")",""),2,10),SUBSTITUTE(SUBSTITUTE(SUBSTITUTE(SUBSTITUTE(SUBSTITUTE(Клиенты_исходные!D730," ",""),"-",""),"+",""),"(",""),")","")),8,2)&amp;"-"&amp;MID(IF(LEFT(SUBSTITUTE(SUBSTITUTE(SUBSTITUTE(SUBSTITUTE(SUBSTITUTE(Клиенты_исходные!D730," ",""),"-",""),"+",""),"(",""),")",""))="8","7"&amp;MID(SUBSTITUTE(SUBSTITUTE(SUBSTITUTE(SUBSTITUTE(SUBSTITUTE(Клиенты_исходные!D730," ",""),"-",""),"+",""),"(",""),")",""),2,10),SUBSTITUTE(SUBSTITUTE(SUBSTITUTE(SUBSTITUTE(SUBSTITUTE(Клиенты_исходные!D730," ",""),"-",""),"+",""),"(",""),")","")),10,2),IF(LEN(SUBSTITUTE(SUBSTITUTE(SUBSTITUTE(SUBSTITUTE(SUBSTITUTE(Клиенты_исходные!D730," ",""),"-",""),"+",""),"(",""),")",""))=10,"+7 ("&amp;MID(SUBSTITUTE(SUBSTITUTE(SUBSTITUTE(SUBSTITUTE(SUBSTITUTE(Клиенты_исходные!D730," ",""),"-",""),"+",""),"(",""),")",""),1,3)&amp;") "&amp;MID(SUBSTITUTE(SUBSTITUTE(SUBSTITUTE(SUBSTITUTE(SUBSTITUTE(Клиенты_исходные!D730," ",""),"-",""),"+",""),"(",""),")",""),4,3)&amp;"-"&amp;MID(SUBSTITUTE(SUBSTITUTE(SUBSTITUTE(SUBSTITUTE(SUBSTITUTE(Клиенты_исходные!D730," ",""),"-",""),"+",""),"(",""),")",""),6,2)&amp;"-"&amp;MID(SUBSTITUTE(SUBSTITUTE(SUBSTITUTE(SUBSTITUTE(SUBSTITUTE(Клиенты_исходные!D730," ",""),"-",""),"+",""),"(",""),")",""),8,2),Клиенты_исходные!D730)))</f>
        <v xml:space="preserve">+7 (903) 901-23-45</v>
      </c>
      <c r="E730" t="str">
        <f>IF(ISBLANK(Клиенты_исходные!E730),"",IF(ISNUMBER(FIND(".",MID(Клиенты_исходные!E730,FIND("@",Клиенты_исходные!E730)+1,255))),Клиенты_исходные!E730,IF(ISNUMBER(FIND("gmail",Клиенты_исходные!E730)),Клиенты_исходные!E730&amp;".com",Клиенты_исходные!E730&amp;".ru")))</f>
        <v>solovieva@gmail.com</v>
      </c>
      <c r="F730" t="str">
        <f>IFERROR(VLOOKUP(Клиенты_исходные!F730,Справочники!$J$2:$K$50,2,FALSE),Клиенты_исходные!F730)</f>
        <v>Магнитогорск</v>
      </c>
      <c r="G730" s="8">
        <f>IFERROR(IF(ISNUMBER(FIND(".",Клиенты_исходные!G730)),DATE(RIGHT(Клиенты_исходные!G730,4),MID(Клиенты_исходные!G730,4,2),LEFT(Клиенты_исходные!G730,2)),DATE(LEFT(Клиенты_исходные!G730,4),MID(Клиенты_исходные!G730,6,2),RIGHT(Клиенты_исходные!G730,2))),Клиенты_исходные!G730)</f>
        <v>51940</v>
      </c>
      <c r="H730">
        <f t="shared" ca="1" si="79"/>
        <v>35</v>
      </c>
      <c r="I730" t="str">
        <f t="shared" si="80"/>
        <v>OK</v>
      </c>
      <c r="J730" t="str">
        <f t="shared" si="81"/>
        <v>OK</v>
      </c>
    </row>
    <row r="731">
      <c r="A731" t="str">
        <f>Клиенты_исходные!A731</f>
        <v>C0730</v>
      </c>
      <c r="B731" t="str">
        <f>PROPER(TRIM(Клиенты_исходные!B731))</f>
        <v xml:space="preserve">Лаврентьев Илья Алексеевич</v>
      </c>
      <c r="C731" s="8">
        <f>IFERROR(IF(ISNUMBER(FIND(".",Клиенты_исходные!C731)),DATE(RIGHT(Клиенты_исходные!C731,4),MID(Клиенты_исходные!C731,4,2),LEFT(Клиенты_исходные!C731,2)),DATE(LEFT(Клиенты_исходные!C731,4),MID(Клиенты_исходные!C731,6,2),RIGHT(Клиенты_исходные!C731,2))),Клиенты_исходные!C731)</f>
        <v>27199</v>
      </c>
      <c r="D731" t="str">
        <f>IF(ISBLANK(Клиенты_исходные!D731),"",IF(LEN(SUBSTITUTE(SUBSTITUTE(SUBSTITUTE(SUBSTITUTE(SUBSTITUTE(Клиенты_исходные!D731," ",""),"-",""),"+",""),"(",""),")",""))=11,"+7 ("&amp;MID(IF(LEFT(SUBSTITUTE(SUBSTITUTE(SUBSTITUTE(SUBSTITUTE(SUBSTITUTE(Клиенты_исходные!D731," ",""),"-",""),"+",""),"(",""),")",""))="8","7"&amp;MID(SUBSTITUTE(SUBSTITUTE(SUBSTITUTE(SUBSTITUTE(SUBSTITUTE(Клиенты_исходные!D731," ",""),"-",""),"+",""),"(",""),")",""),2,10),SUBSTITUTE(SUBSTITUTE(SUBSTITUTE(SUBSTITUTE(SUBSTITUTE(Клиенты_исходные!D731," ",""),"-",""),"+",""),"(",""),")","")),2,3)&amp;") "&amp;MID(IF(LEFT(SUBSTITUTE(SUBSTITUTE(SUBSTITUTE(SUBSTITUTE(SUBSTITUTE(Клиенты_исходные!D731," ",""),"-",""),"+",""),"(",""),")",""))="8","7"&amp;MID(SUBSTITUTE(SUBSTITUTE(SUBSTITUTE(SUBSTITUTE(SUBSTITUTE(Клиенты_исходные!D731," ",""),"-",""),"+",""),"(",""),")",""),2,10),SUBSTITUTE(SUBSTITUTE(SUBSTITUTE(SUBSTITUTE(SUBSTITUTE(Клиенты_исходные!D731," ",""),"-",""),"+",""),"(",""),")","")),5,3)&amp;"-"&amp;MID(IF(LEFT(SUBSTITUTE(SUBSTITUTE(SUBSTITUTE(SUBSTITUTE(SUBSTITUTE(Клиенты_исходные!D731," ",""),"-",""),"+",""),"(",""),")",""))="8","7"&amp;MID(SUBSTITUTE(SUBSTITUTE(SUBSTITUTE(SUBSTITUTE(SUBSTITUTE(Клиенты_исходные!D731," ",""),"-",""),"+",""),"(",""),")",""),2,10),SUBSTITUTE(SUBSTITUTE(SUBSTITUTE(SUBSTITUTE(SUBSTITUTE(Клиенты_исходные!D731," ",""),"-",""),"+",""),"(",""),")","")),8,2)&amp;"-"&amp;MID(IF(LEFT(SUBSTITUTE(SUBSTITUTE(SUBSTITUTE(SUBSTITUTE(SUBSTITUTE(Клиенты_исходные!D731," ",""),"-",""),"+",""),"(",""),")",""))="8","7"&amp;MID(SUBSTITUTE(SUBSTITUTE(SUBSTITUTE(SUBSTITUTE(SUBSTITUTE(Клиенты_исходные!D731," ",""),"-",""),"+",""),"(",""),")",""),2,10),SUBSTITUTE(SUBSTITUTE(SUBSTITUTE(SUBSTITUTE(SUBSTITUTE(Клиенты_исходные!D731," ",""),"-",""),"+",""),"(",""),")","")),10,2),IF(LEN(SUBSTITUTE(SUBSTITUTE(SUBSTITUTE(SUBSTITUTE(SUBSTITUTE(Клиенты_исходные!D731," ",""),"-",""),"+",""),"(",""),")",""))=10,"+7 ("&amp;MID(SUBSTITUTE(SUBSTITUTE(SUBSTITUTE(SUBSTITUTE(SUBSTITUTE(Клиенты_исходные!D731," ",""),"-",""),"+",""),"(",""),")",""),1,3)&amp;") "&amp;MID(SUBSTITUTE(SUBSTITUTE(SUBSTITUTE(SUBSTITUTE(SUBSTITUTE(Клиенты_исходные!D731," ",""),"-",""),"+",""),"(",""),")",""),4,3)&amp;"-"&amp;MID(SUBSTITUTE(SUBSTITUTE(SUBSTITUTE(SUBSTITUTE(SUBSTITUTE(Клиенты_исходные!D731," ",""),"-",""),"+",""),"(",""),")",""),6,2)&amp;"-"&amp;MID(SUBSTITUTE(SUBSTITUTE(SUBSTITUTE(SUBSTITUTE(SUBSTITUTE(Клиенты_исходные!D731," ",""),"-",""),"+",""),"(",""),")",""),8,2),Клиенты_исходные!D731)))</f>
        <v xml:space="preserve">+7 (903) 901-23-45</v>
      </c>
      <c r="E731" t="str">
        <f>IF(ISBLANK(Клиенты_исходные!E731),"",IF(ISNUMBER(FIND(".",MID(Клиенты_исходные!E731,FIND("@",Клиенты_исходные!E731)+1,255))),Клиенты_исходные!E731,IF(ISNUMBER(FIND("gmail",Клиенты_исходные!E731)),Клиенты_исходные!E731&amp;".com",Клиенты_исходные!E731&amp;".ru")))</f>
        <v>lavrentiev@mail.ru</v>
      </c>
      <c r="F731" t="str">
        <f>IFERROR(VLOOKUP(Клиенты_исходные!F731,Справочники!$J$2:$K$50,2,FALSE),Клиенты_исходные!F731)</f>
        <v>Якутск</v>
      </c>
      <c r="G731" s="8">
        <f>IFERROR(IF(ISNUMBER(FIND(".",Клиенты_исходные!G731)),DATE(RIGHT(Клиенты_исходные!G731,4),MID(Клиенты_исходные!G731,4,2),LEFT(Клиенты_исходные!G731,2)),DATE(LEFT(Клиенты_исходные!G731,4),MID(Клиенты_исходные!G731,6,2),RIGHT(Клиенты_исходные!G731,2))),Клиенты_исходные!G731)</f>
        <v>51957</v>
      </c>
      <c r="H731">
        <f t="shared" ca="1" si="79"/>
        <v>52</v>
      </c>
      <c r="I731" t="str">
        <f t="shared" si="80"/>
        <v>OK</v>
      </c>
      <c r="J731" t="str">
        <f t="shared" si="81"/>
        <v>OK</v>
      </c>
    </row>
    <row r="732">
      <c r="A732" t="str">
        <f>Клиенты_исходные!A732</f>
        <v>C0731</v>
      </c>
      <c r="B732" t="str">
        <f>PROPER(TRIM(Клиенты_исходные!B732))</f>
        <v xml:space="preserve">Алексахина Екатерина Сергеевна</v>
      </c>
      <c r="C732" s="8">
        <f>IFERROR(IF(ISNUMBER(FIND(".",Клиенты_исходные!C732)),DATE(RIGHT(Клиенты_исходные!C732,4),MID(Клиенты_исходные!C732,4,2),LEFT(Клиенты_исходные!C732,2)),DATE(LEFT(Клиенты_исходные!C732,4),MID(Клиенты_исходные!C732,6,2),RIGHT(Клиенты_исходные!C732,2))),Клиенты_исходные!C732)</f>
        <v>29505</v>
      </c>
      <c r="D732" t="str">
        <f>IF(ISBLANK(Клиенты_исходные!D732),"",IF(LEN(SUBSTITUTE(SUBSTITUTE(SUBSTITUTE(SUBSTITUTE(SUBSTITUTE(Клиенты_исходные!D732," ",""),"-",""),"+",""),"(",""),")",""))=11,"+7 ("&amp;MID(IF(LEFT(SUBSTITUTE(SUBSTITUTE(SUBSTITUTE(SUBSTITUTE(SUBSTITUTE(Клиенты_исходные!D732," ",""),"-",""),"+",""),"(",""),")",""))="8","7"&amp;MID(SUBSTITUTE(SUBSTITUTE(SUBSTITUTE(SUBSTITUTE(SUBSTITUTE(Клиенты_исходные!D732," ",""),"-",""),"+",""),"(",""),")",""),2,10),SUBSTITUTE(SUBSTITUTE(SUBSTITUTE(SUBSTITUTE(SUBSTITUTE(Клиенты_исходные!D732," ",""),"-",""),"+",""),"(",""),")","")),2,3)&amp;") "&amp;MID(IF(LEFT(SUBSTITUTE(SUBSTITUTE(SUBSTITUTE(SUBSTITUTE(SUBSTITUTE(Клиенты_исходные!D732," ",""),"-",""),"+",""),"(",""),")",""))="8","7"&amp;MID(SUBSTITUTE(SUBSTITUTE(SUBSTITUTE(SUBSTITUTE(SUBSTITUTE(Клиенты_исходные!D732," ",""),"-",""),"+",""),"(",""),")",""),2,10),SUBSTITUTE(SUBSTITUTE(SUBSTITUTE(SUBSTITUTE(SUBSTITUTE(Клиенты_исходные!D732," ",""),"-",""),"+",""),"(",""),")","")),5,3)&amp;"-"&amp;MID(IF(LEFT(SUBSTITUTE(SUBSTITUTE(SUBSTITUTE(SUBSTITUTE(SUBSTITUTE(Клиенты_исходные!D732," ",""),"-",""),"+",""),"(",""),")",""))="8","7"&amp;MID(SUBSTITUTE(SUBSTITUTE(SUBSTITUTE(SUBSTITUTE(SUBSTITUTE(Клиенты_исходные!D732," ",""),"-",""),"+",""),"(",""),")",""),2,10),SUBSTITUTE(SUBSTITUTE(SUBSTITUTE(SUBSTITUTE(SUBSTITUTE(Клиенты_исходные!D732," ",""),"-",""),"+",""),"(",""),")","")),8,2)&amp;"-"&amp;MID(IF(LEFT(SUBSTITUTE(SUBSTITUTE(SUBSTITUTE(SUBSTITUTE(SUBSTITUTE(Клиенты_исходные!D732," ",""),"-",""),"+",""),"(",""),")",""))="8","7"&amp;MID(SUBSTITUTE(SUBSTITUTE(SUBSTITUTE(SUBSTITUTE(SUBSTITUTE(Клиенты_исходные!D732," ",""),"-",""),"+",""),"(",""),")",""),2,10),SUBSTITUTE(SUBSTITUTE(SUBSTITUTE(SUBSTITUTE(SUBSTITUTE(Клиенты_исходные!D732," ",""),"-",""),"+",""),"(",""),")","")),10,2),IF(LEN(SUBSTITUTE(SUBSTITUTE(SUBSTITUTE(SUBSTITUTE(SUBSTITUTE(Клиенты_исходные!D732," ",""),"-",""),"+",""),"(",""),")",""))=10,"+7 ("&amp;MID(SUBSTITUTE(SUBSTITUTE(SUBSTITUTE(SUBSTITUTE(SUBSTITUTE(Клиенты_исходные!D732," ",""),"-",""),"+",""),"(",""),")",""),1,3)&amp;") "&amp;MID(SUBSTITUTE(SUBSTITUTE(SUBSTITUTE(SUBSTITUTE(SUBSTITUTE(Клиенты_исходные!D732," ",""),"-",""),"+",""),"(",""),")",""),4,3)&amp;"-"&amp;MID(SUBSTITUTE(SUBSTITUTE(SUBSTITUTE(SUBSTITUTE(SUBSTITUTE(Клиенты_исходные!D732," ",""),"-",""),"+",""),"(",""),")",""),6,2)&amp;"-"&amp;MID(SUBSTITUTE(SUBSTITUTE(SUBSTITUTE(SUBSTITUTE(SUBSTITUTE(Клиенты_исходные!D732," ",""),"-",""),"+",""),"(",""),")",""),8,2),Клиенты_исходные!D732)))</f>
        <v xml:space="preserve">+7 (903) 901-23-45</v>
      </c>
      <c r="E732" t="str">
        <f>IF(ISBLANK(Клиенты_исходные!E732),"",IF(ISNUMBER(FIND(".",MID(Клиенты_исходные!E732,FIND("@",Клиенты_исходные!E732)+1,255))),Клиенты_исходные!E732,IF(ISNUMBER(FIND("gmail",Клиенты_исходные!E732)),Клиенты_исходные!E732&amp;".com",Клиенты_исходные!E732&amp;".ru")))</f>
        <v>aleksahina@yandex.ru</v>
      </c>
      <c r="F732" t="str">
        <f>IFERROR(VLOOKUP(Клиенты_исходные!F732,Справочники!$J$2:$K$50,2,FALSE),Клиенты_исходные!F732)</f>
        <v>Чебоксары</v>
      </c>
      <c r="G732" s="8">
        <f>IFERROR(IF(ISNUMBER(FIND(".",Клиенты_исходные!G732)),DATE(RIGHT(Клиенты_исходные!G732,4),MID(Клиенты_исходные!G732,4,2),LEFT(Клиенты_исходные!G732,2)),DATE(LEFT(Клиенты_исходные!G732,4),MID(Клиенты_исходные!G732,6,2),RIGHT(Клиенты_исходные!G732,2))),Клиенты_исходные!G732)</f>
        <v>51966</v>
      </c>
      <c r="H732">
        <f t="shared" ca="1" si="79"/>
        <v>45</v>
      </c>
      <c r="I732" t="str">
        <f t="shared" si="80"/>
        <v>OK</v>
      </c>
      <c r="J732" t="str">
        <f t="shared" si="81"/>
        <v>OK</v>
      </c>
    </row>
    <row r="733">
      <c r="A733" t="str">
        <f>Клиенты_исходные!A733</f>
        <v>C0732</v>
      </c>
      <c r="B733" t="str">
        <f>PROPER(TRIM(Клиенты_исходные!B733))</f>
        <v xml:space="preserve">Каменев Андрей Павлович</v>
      </c>
      <c r="C733" s="8">
        <f>IFERROR(IF(ISNUMBER(FIND(".",Клиенты_исходные!C733)),DATE(RIGHT(Клиенты_исходные!C733,4),MID(Клиенты_исходные!C733,4,2),LEFT(Клиенты_исходные!C733,2)),DATE(LEFT(Клиенты_исходные!C733,4),MID(Клиенты_исходные!C733,6,2),RIGHT(Клиенты_исходные!C733,2))),Клиенты_исходные!C733)</f>
        <v>31807</v>
      </c>
      <c r="D733" t="str">
        <f>IF(ISBLANK(Клиенты_исходные!D733),"",IF(LEN(SUBSTITUTE(SUBSTITUTE(SUBSTITUTE(SUBSTITUTE(SUBSTITUTE(Клиенты_исходные!D733," ",""),"-",""),"+",""),"(",""),")",""))=11,"+7 ("&amp;MID(IF(LEFT(SUBSTITUTE(SUBSTITUTE(SUBSTITUTE(SUBSTITUTE(SUBSTITUTE(Клиенты_исходные!D733," ",""),"-",""),"+",""),"(",""),")",""))="8","7"&amp;MID(SUBSTITUTE(SUBSTITUTE(SUBSTITUTE(SUBSTITUTE(SUBSTITUTE(Клиенты_исходные!D733," ",""),"-",""),"+",""),"(",""),")",""),2,10),SUBSTITUTE(SUBSTITUTE(SUBSTITUTE(SUBSTITUTE(SUBSTITUTE(Клиенты_исходные!D733," ",""),"-",""),"+",""),"(",""),")","")),2,3)&amp;") "&amp;MID(IF(LEFT(SUBSTITUTE(SUBSTITUTE(SUBSTITUTE(SUBSTITUTE(SUBSTITUTE(Клиенты_исходные!D733," ",""),"-",""),"+",""),"(",""),")",""))="8","7"&amp;MID(SUBSTITUTE(SUBSTITUTE(SUBSTITUTE(SUBSTITUTE(SUBSTITUTE(Клиенты_исходные!D733," ",""),"-",""),"+",""),"(",""),")",""),2,10),SUBSTITUTE(SUBSTITUTE(SUBSTITUTE(SUBSTITUTE(SUBSTITUTE(Клиенты_исходные!D733," ",""),"-",""),"+",""),"(",""),")","")),5,3)&amp;"-"&amp;MID(IF(LEFT(SUBSTITUTE(SUBSTITUTE(SUBSTITUTE(SUBSTITUTE(SUBSTITUTE(Клиенты_исходные!D733," ",""),"-",""),"+",""),"(",""),")",""))="8","7"&amp;MID(SUBSTITUTE(SUBSTITUTE(SUBSTITUTE(SUBSTITUTE(SUBSTITUTE(Клиенты_исходные!D733," ",""),"-",""),"+",""),"(",""),")",""),2,10),SUBSTITUTE(SUBSTITUTE(SUBSTITUTE(SUBSTITUTE(SUBSTITUTE(Клиенты_исходные!D733," ",""),"-",""),"+",""),"(",""),")","")),8,2)&amp;"-"&amp;MID(IF(LEFT(SUBSTITUTE(SUBSTITUTE(SUBSTITUTE(SUBSTITUTE(SUBSTITUTE(Клиенты_исходные!D733," ",""),"-",""),"+",""),"(",""),")",""))="8","7"&amp;MID(SUBSTITUTE(SUBSTITUTE(SUBSTITUTE(SUBSTITUTE(SUBSTITUTE(Клиенты_исходные!D733," ",""),"-",""),"+",""),"(",""),")",""),2,10),SUBSTITUTE(SUBSTITUTE(SUBSTITUTE(SUBSTITUTE(SUBSTITUTE(Клиенты_исходные!D733," ",""),"-",""),"+",""),"(",""),")","")),10,2),IF(LEN(SUBSTITUTE(SUBSTITUTE(SUBSTITUTE(SUBSTITUTE(SUBSTITUTE(Клиенты_исходные!D733," ",""),"-",""),"+",""),"(",""),")",""))=10,"+7 ("&amp;MID(SUBSTITUTE(SUBSTITUTE(SUBSTITUTE(SUBSTITUTE(SUBSTITUTE(Клиенты_исходные!D733," ",""),"-",""),"+",""),"(",""),")",""),1,3)&amp;") "&amp;MID(SUBSTITUTE(SUBSTITUTE(SUBSTITUTE(SUBSTITUTE(SUBSTITUTE(Клиенты_исходные!D733," ",""),"-",""),"+",""),"(",""),")",""),4,3)&amp;"-"&amp;MID(SUBSTITUTE(SUBSTITUTE(SUBSTITUTE(SUBSTITUTE(SUBSTITUTE(Клиенты_исходные!D733," ",""),"-",""),"+",""),"(",""),")",""),6,2)&amp;"-"&amp;MID(SUBSTITUTE(SUBSTITUTE(SUBSTITUTE(SUBSTITUTE(SUBSTITUTE(Клиенты_исходные!D733," ",""),"-",""),"+",""),"(",""),")",""),8,2),Клиенты_исходные!D733)))</f>
        <v xml:space="preserve">+7 (903) 012-34-56</v>
      </c>
      <c r="E733" t="str">
        <f>IF(ISBLANK(Клиенты_исходные!E733),"",IF(ISNUMBER(FIND(".",MID(Клиенты_исходные!E733,FIND("@",Клиенты_исходные!E733)+1,255))),Клиенты_исходные!E733,IF(ISNUMBER(FIND("gmail",Клиенты_исходные!E733)),Клиенты_исходные!E733&amp;".com",Клиенты_исходные!E733&amp;".ru")))</f>
        <v>kamenev@gmail.com</v>
      </c>
      <c r="F733" t="str">
        <f>IFERROR(VLOOKUP(Клиенты_исходные!F733,Справочники!$J$2:$K$50,2,FALSE),Клиенты_исходные!F733)</f>
        <v>Мурманск</v>
      </c>
      <c r="G733" s="8">
        <f>IFERROR(IF(ISNUMBER(FIND(".",Клиенты_исходные!G733)),DATE(RIGHT(Клиенты_исходные!G733,4),MID(Клиенты_исходные!G733,4,2),LEFT(Клиенты_исходные!G733,2)),DATE(LEFT(Клиенты_исходные!G733,4),MID(Клиенты_исходные!G733,6,2),RIGHT(Клиенты_исходные!G733,2))),Клиенты_исходные!G733)</f>
        <v>51966</v>
      </c>
      <c r="H733">
        <f t="shared" ca="1" si="79"/>
        <v>39</v>
      </c>
      <c r="I733" t="str">
        <f t="shared" si="80"/>
        <v>OK</v>
      </c>
      <c r="J733" t="str">
        <f t="shared" si="81"/>
        <v>OK</v>
      </c>
    </row>
    <row r="734">
      <c r="A734" t="str">
        <f>Клиенты_исходные!A734</f>
        <v>C0733</v>
      </c>
      <c r="B734" t="str">
        <f>PROPER(TRIM(Клиенты_исходные!B734))</f>
        <v xml:space="preserve">Захарова Мария Олеговна</v>
      </c>
      <c r="C734" s="8">
        <f>IFERROR(IF(ISNUMBER(FIND(".",Клиенты_исходные!C734)),DATE(RIGHT(Клиенты_исходные!C734,4),MID(Клиенты_исходные!C734,4,2),LEFT(Клиенты_исходные!C734,2)),DATE(LEFT(Клиенты_исходные!C734,4),MID(Клиенты_исходные!C734,6,2),RIGHT(Клиенты_исходные!C734,2))),Клиенты_исходные!C734)</f>
        <v>27597</v>
      </c>
      <c r="D734" t="str">
        <f>IF(ISBLANK(Клиенты_исходные!D734),"",IF(LEN(SUBSTITUTE(SUBSTITUTE(SUBSTITUTE(SUBSTITUTE(SUBSTITUTE(Клиенты_исходные!D734," ",""),"-",""),"+",""),"(",""),")",""))=11,"+7 ("&amp;MID(IF(LEFT(SUBSTITUTE(SUBSTITUTE(SUBSTITUTE(SUBSTITUTE(SUBSTITUTE(Клиенты_исходные!D734," ",""),"-",""),"+",""),"(",""),")",""))="8","7"&amp;MID(SUBSTITUTE(SUBSTITUTE(SUBSTITUTE(SUBSTITUTE(SUBSTITUTE(Клиенты_исходные!D734," ",""),"-",""),"+",""),"(",""),")",""),2,10),SUBSTITUTE(SUBSTITUTE(SUBSTITUTE(SUBSTITUTE(SUBSTITUTE(Клиенты_исходные!D734," ",""),"-",""),"+",""),"(",""),")","")),2,3)&amp;") "&amp;MID(IF(LEFT(SUBSTITUTE(SUBSTITUTE(SUBSTITUTE(SUBSTITUTE(SUBSTITUTE(Клиенты_исходные!D734," ",""),"-",""),"+",""),"(",""),")",""))="8","7"&amp;MID(SUBSTITUTE(SUBSTITUTE(SUBSTITUTE(SUBSTITUTE(SUBSTITUTE(Клиенты_исходные!D734," ",""),"-",""),"+",""),"(",""),")",""),2,10),SUBSTITUTE(SUBSTITUTE(SUBSTITUTE(SUBSTITUTE(SUBSTITUTE(Клиенты_исходные!D734," ",""),"-",""),"+",""),"(",""),")","")),5,3)&amp;"-"&amp;MID(IF(LEFT(SUBSTITUTE(SUBSTITUTE(SUBSTITUTE(SUBSTITUTE(SUBSTITUTE(Клиенты_исходные!D734," ",""),"-",""),"+",""),"(",""),")",""))="8","7"&amp;MID(SUBSTITUTE(SUBSTITUTE(SUBSTITUTE(SUBSTITUTE(SUBSTITUTE(Клиенты_исходные!D734," ",""),"-",""),"+",""),"(",""),")",""),2,10),SUBSTITUTE(SUBSTITUTE(SUBSTITUTE(SUBSTITUTE(SUBSTITUTE(Клиенты_исходные!D734," ",""),"-",""),"+",""),"(",""),")","")),8,2)&amp;"-"&amp;MID(IF(LEFT(SUBSTITUTE(SUBSTITUTE(SUBSTITUTE(SUBSTITUTE(SUBSTITUTE(Клиенты_исходные!D734," ",""),"-",""),"+",""),"(",""),")",""))="8","7"&amp;MID(SUBSTITUTE(SUBSTITUTE(SUBSTITUTE(SUBSTITUTE(SUBSTITUTE(Клиенты_исходные!D734," ",""),"-",""),"+",""),"(",""),")",""),2,10),SUBSTITUTE(SUBSTITUTE(SUBSTITUTE(SUBSTITUTE(SUBSTITUTE(Клиенты_исходные!D734," ",""),"-",""),"+",""),"(",""),")","")),10,2),IF(LEN(SUBSTITUTE(SUBSTITUTE(SUBSTITUTE(SUBSTITUTE(SUBSTITUTE(Клиенты_исходные!D734," ",""),"-",""),"+",""),"(",""),")",""))=10,"+7 ("&amp;MID(SUBSTITUTE(SUBSTITUTE(SUBSTITUTE(SUBSTITUTE(SUBSTITUTE(Клиенты_исходные!D734," ",""),"-",""),"+",""),"(",""),")",""),1,3)&amp;") "&amp;MID(SUBSTITUTE(SUBSTITUTE(SUBSTITUTE(SUBSTITUTE(SUBSTITUTE(Клиенты_исходные!D734," ",""),"-",""),"+",""),"(",""),")",""),4,3)&amp;"-"&amp;MID(SUBSTITUTE(SUBSTITUTE(SUBSTITUTE(SUBSTITUTE(SUBSTITUTE(Клиенты_исходные!D734," ",""),"-",""),"+",""),"(",""),")",""),6,2)&amp;"-"&amp;MID(SUBSTITUTE(SUBSTITUTE(SUBSTITUTE(SUBSTITUTE(SUBSTITUTE(Клиенты_исходные!D734," ",""),"-",""),"+",""),"(",""),")",""),8,2),Клиенты_исходные!D734)))</f>
        <v xml:space="preserve">+7 (903) 012-34-56</v>
      </c>
      <c r="E734" t="str">
        <f>IF(ISBLANK(Клиенты_исходные!E734),"",IF(ISNUMBER(FIND(".",MID(Клиенты_исходные!E734,FIND("@",Клиенты_исходные!E734)+1,255))),Клиенты_исходные!E734,IF(ISNUMBER(FIND("gmail",Клиенты_исходные!E734)),Клиенты_исходные!E734&amp;".com",Клиенты_исходные!E734&amp;".ru")))</f>
        <v>zaharova@mail.ru</v>
      </c>
      <c r="F734" t="str">
        <f>IFERROR(VLOOKUP(Клиенты_исходные!F734,Справочники!$J$2:$K$50,2,FALSE),Клиенты_исходные!F734)</f>
        <v>Смоленск</v>
      </c>
      <c r="G734" s="8">
        <f>IFERROR(IF(ISNUMBER(FIND(".",Клиенты_исходные!G734)),DATE(RIGHT(Клиенты_исходные!G734,4),MID(Клиенты_исходные!G734,4,2),LEFT(Клиенты_исходные!G734,2)),DATE(LEFT(Клиенты_исходные!G734,4),MID(Клиенты_исходные!G734,6,2),RIGHT(Клиенты_исходные!G734,2))),Клиенты_исходные!G734)</f>
        <v>51987</v>
      </c>
      <c r="H734">
        <f t="shared" ca="1" si="79"/>
        <v>51</v>
      </c>
      <c r="I734" t="str">
        <f t="shared" si="80"/>
        <v>OK</v>
      </c>
      <c r="J734" t="str">
        <f t="shared" si="81"/>
        <v>OK</v>
      </c>
    </row>
    <row r="735">
      <c r="A735" t="str">
        <f>Клиенты_исходные!A735</f>
        <v>C0734</v>
      </c>
      <c r="B735" t="str">
        <f>PROPER(TRIM(Клиенты_исходные!B735))</f>
        <v xml:space="preserve">Стеклов Денис Викторович</v>
      </c>
      <c r="C735" s="8">
        <f>IFERROR(IF(ISNUMBER(FIND(".",Клиенты_исходные!C735)),DATE(RIGHT(Клиенты_исходные!C735,4),MID(Клиенты_исходные!C735,4,2),LEFT(Клиенты_исходные!C735,2)),DATE(LEFT(Клиенты_исходные!C735,4),MID(Клиенты_исходные!C735,6,2),RIGHT(Клиенты_исходные!C735,2))),Клиенты_исходные!C735)</f>
        <v>31033</v>
      </c>
      <c r="D735" t="str">
        <f>IF(ISBLANK(Клиенты_исходные!D735),"",IF(LEN(SUBSTITUTE(SUBSTITUTE(SUBSTITUTE(SUBSTITUTE(SUBSTITUTE(Клиенты_исходные!D735," ",""),"-",""),"+",""),"(",""),")",""))=11,"+7 ("&amp;MID(IF(LEFT(SUBSTITUTE(SUBSTITUTE(SUBSTITUTE(SUBSTITUTE(SUBSTITUTE(Клиенты_исходные!D735," ",""),"-",""),"+",""),"(",""),")",""))="8","7"&amp;MID(SUBSTITUTE(SUBSTITUTE(SUBSTITUTE(SUBSTITUTE(SUBSTITUTE(Клиенты_исходные!D735," ",""),"-",""),"+",""),"(",""),")",""),2,10),SUBSTITUTE(SUBSTITUTE(SUBSTITUTE(SUBSTITUTE(SUBSTITUTE(Клиенты_исходные!D735," ",""),"-",""),"+",""),"(",""),")","")),2,3)&amp;") "&amp;MID(IF(LEFT(SUBSTITUTE(SUBSTITUTE(SUBSTITUTE(SUBSTITUTE(SUBSTITUTE(Клиенты_исходные!D735," ",""),"-",""),"+",""),"(",""),")",""))="8","7"&amp;MID(SUBSTITUTE(SUBSTITUTE(SUBSTITUTE(SUBSTITUTE(SUBSTITUTE(Клиенты_исходные!D735," ",""),"-",""),"+",""),"(",""),")",""),2,10),SUBSTITUTE(SUBSTITUTE(SUBSTITUTE(SUBSTITUTE(SUBSTITUTE(Клиенты_исходные!D735," ",""),"-",""),"+",""),"(",""),")","")),5,3)&amp;"-"&amp;MID(IF(LEFT(SUBSTITUTE(SUBSTITUTE(SUBSTITUTE(SUBSTITUTE(SUBSTITUTE(Клиенты_исходные!D735," ",""),"-",""),"+",""),"(",""),")",""))="8","7"&amp;MID(SUBSTITUTE(SUBSTITUTE(SUBSTITUTE(SUBSTITUTE(SUBSTITUTE(Клиенты_исходные!D735," ",""),"-",""),"+",""),"(",""),")",""),2,10),SUBSTITUTE(SUBSTITUTE(SUBSTITUTE(SUBSTITUTE(SUBSTITUTE(Клиенты_исходные!D735," ",""),"-",""),"+",""),"(",""),")","")),8,2)&amp;"-"&amp;MID(IF(LEFT(SUBSTITUTE(SUBSTITUTE(SUBSTITUTE(SUBSTITUTE(SUBSTITUTE(Клиенты_исходные!D735," ",""),"-",""),"+",""),"(",""),")",""))="8","7"&amp;MID(SUBSTITUTE(SUBSTITUTE(SUBSTITUTE(SUBSTITUTE(SUBSTITUTE(Клиенты_исходные!D735," ",""),"-",""),"+",""),"(",""),")",""),2,10),SUBSTITUTE(SUBSTITUTE(SUBSTITUTE(SUBSTITUTE(SUBSTITUTE(Клиенты_исходные!D735," ",""),"-",""),"+",""),"(",""),")","")),10,2),IF(LEN(SUBSTITUTE(SUBSTITUTE(SUBSTITUTE(SUBSTITUTE(SUBSTITUTE(Клиенты_исходные!D735," ",""),"-",""),"+",""),"(",""),")",""))=10,"+7 ("&amp;MID(SUBSTITUTE(SUBSTITUTE(SUBSTITUTE(SUBSTITUTE(SUBSTITUTE(Клиенты_исходные!D735," ",""),"-",""),"+",""),"(",""),")",""),1,3)&amp;") "&amp;MID(SUBSTITUTE(SUBSTITUTE(SUBSTITUTE(SUBSTITUTE(SUBSTITUTE(Клиенты_исходные!D735," ",""),"-",""),"+",""),"(",""),")",""),4,3)&amp;"-"&amp;MID(SUBSTITUTE(SUBSTITUTE(SUBSTITUTE(SUBSTITUTE(SUBSTITUTE(Клиенты_исходные!D735," ",""),"-",""),"+",""),"(",""),")",""),6,2)&amp;"-"&amp;MID(SUBSTITUTE(SUBSTITUTE(SUBSTITUTE(SUBSTITUTE(SUBSTITUTE(Клиенты_исходные!D735," ",""),"-",""),"+",""),"(",""),")",""),8,2),Клиенты_исходные!D735)))</f>
        <v xml:space="preserve">+7 (903) 012-34-56</v>
      </c>
      <c r="E735" t="str">
        <f>IF(ISBLANK(Клиенты_исходные!E735),"",IF(ISNUMBER(FIND(".",MID(Клиенты_исходные!E735,FIND("@",Клиенты_исходные!E735)+1,255))),Клиенты_исходные!E735,IF(ISNUMBER(FIND("gmail",Клиенты_исходные!E735)),Клиенты_исходные!E735&amp;".com",Клиенты_исходные!E735&amp;".ru")))</f>
        <v>steklov@yandex.ru</v>
      </c>
      <c r="F735" t="str">
        <f>IFERROR(VLOOKUP(Клиенты_исходные!F735,Справочники!$J$2:$K$50,2,FALSE),Клиенты_исходные!F735)</f>
        <v>Тула</v>
      </c>
      <c r="G735" s="8">
        <f>IFERROR(IF(ISNUMBER(FIND(".",Клиенты_исходные!G735)),DATE(RIGHT(Клиенты_исходные!G735,4),MID(Клиенты_исходные!G735,4,2),LEFT(Клиенты_исходные!G735,2)),DATE(LEFT(Клиенты_исходные!G735,4),MID(Клиенты_исходные!G735,6,2),RIGHT(Клиенты_исходные!G735,2))),Клиенты_исходные!G735)</f>
        <v>52001</v>
      </c>
      <c r="H735">
        <f t="shared" ca="1" si="79"/>
        <v>41</v>
      </c>
      <c r="I735" t="str">
        <f t="shared" si="80"/>
        <v>OK</v>
      </c>
      <c r="J735" t="str">
        <f t="shared" si="81"/>
        <v>OK</v>
      </c>
    </row>
    <row r="736">
      <c r="A736" t="str">
        <f>Клиенты_исходные!A736</f>
        <v>C0735</v>
      </c>
      <c r="B736" t="str">
        <f>PROPER(TRIM(Клиенты_исходные!B736))</f>
        <v xml:space="preserve">Мишина Ольга Павловна</v>
      </c>
      <c r="C736" s="8">
        <f>IFERROR(IF(ISNUMBER(FIND(".",Клиенты_исходные!C736)),DATE(RIGHT(Клиенты_исходные!C736,4),MID(Клиенты_исходные!C736,4,2),LEFT(Клиенты_исходные!C736,2)),DATE(LEFT(Клиенты_исходные!C736,4),MID(Клиенты_исходные!C736,6,2),RIGHT(Клиенты_исходные!C736,2))),Клиенты_исходные!C736)</f>
        <v>32271</v>
      </c>
      <c r="D736" t="str">
        <f>IF(ISBLANK(Клиенты_исходные!D736),"",IF(LEN(SUBSTITUTE(SUBSTITUTE(SUBSTITUTE(SUBSTITUTE(SUBSTITUTE(Клиенты_исходные!D736," ",""),"-",""),"+",""),"(",""),")",""))=11,"+7 ("&amp;MID(IF(LEFT(SUBSTITUTE(SUBSTITUTE(SUBSTITUTE(SUBSTITUTE(SUBSTITUTE(Клиенты_исходные!D736," ",""),"-",""),"+",""),"(",""),")",""))="8","7"&amp;MID(SUBSTITUTE(SUBSTITUTE(SUBSTITUTE(SUBSTITUTE(SUBSTITUTE(Клиенты_исходные!D736," ",""),"-",""),"+",""),"(",""),")",""),2,10),SUBSTITUTE(SUBSTITUTE(SUBSTITUTE(SUBSTITUTE(SUBSTITUTE(Клиенты_исходные!D736," ",""),"-",""),"+",""),"(",""),")","")),2,3)&amp;") "&amp;MID(IF(LEFT(SUBSTITUTE(SUBSTITUTE(SUBSTITUTE(SUBSTITUTE(SUBSTITUTE(Клиенты_исходные!D736," ",""),"-",""),"+",""),"(",""),")",""))="8","7"&amp;MID(SUBSTITUTE(SUBSTITUTE(SUBSTITUTE(SUBSTITUTE(SUBSTITUTE(Клиенты_исходные!D736," ",""),"-",""),"+",""),"(",""),")",""),2,10),SUBSTITUTE(SUBSTITUTE(SUBSTITUTE(SUBSTITUTE(SUBSTITUTE(Клиенты_исходные!D736," ",""),"-",""),"+",""),"(",""),")","")),5,3)&amp;"-"&amp;MID(IF(LEFT(SUBSTITUTE(SUBSTITUTE(SUBSTITUTE(SUBSTITUTE(SUBSTITUTE(Клиенты_исходные!D736," ",""),"-",""),"+",""),"(",""),")",""))="8","7"&amp;MID(SUBSTITUTE(SUBSTITUTE(SUBSTITUTE(SUBSTITUTE(SUBSTITUTE(Клиенты_исходные!D736," ",""),"-",""),"+",""),"(",""),")",""),2,10),SUBSTITUTE(SUBSTITUTE(SUBSTITUTE(SUBSTITUTE(SUBSTITUTE(Клиенты_исходные!D736," ",""),"-",""),"+",""),"(",""),")","")),8,2)&amp;"-"&amp;MID(IF(LEFT(SUBSTITUTE(SUBSTITUTE(SUBSTITUTE(SUBSTITUTE(SUBSTITUTE(Клиенты_исходные!D736," ",""),"-",""),"+",""),"(",""),")",""))="8","7"&amp;MID(SUBSTITUTE(SUBSTITUTE(SUBSTITUTE(SUBSTITUTE(SUBSTITUTE(Клиенты_исходные!D736," ",""),"-",""),"+",""),"(",""),")",""),2,10),SUBSTITUTE(SUBSTITUTE(SUBSTITUTE(SUBSTITUTE(SUBSTITUTE(Клиенты_исходные!D736," ",""),"-",""),"+",""),"(",""),")","")),10,2),IF(LEN(SUBSTITUTE(SUBSTITUTE(SUBSTITUTE(SUBSTITUTE(SUBSTITUTE(Клиенты_исходные!D736," ",""),"-",""),"+",""),"(",""),")",""))=10,"+7 ("&amp;MID(SUBSTITUTE(SUBSTITUTE(SUBSTITUTE(SUBSTITUTE(SUBSTITUTE(Клиенты_исходные!D736," ",""),"-",""),"+",""),"(",""),")",""),1,3)&amp;") "&amp;MID(SUBSTITUTE(SUBSTITUTE(SUBSTITUTE(SUBSTITUTE(SUBSTITUTE(Клиенты_исходные!D736," ",""),"-",""),"+",""),"(",""),")",""),4,3)&amp;"-"&amp;MID(SUBSTITUTE(SUBSTITUTE(SUBSTITUTE(SUBSTITUTE(SUBSTITUTE(Клиенты_исходные!D736," ",""),"-",""),"+",""),"(",""),")",""),6,2)&amp;"-"&amp;MID(SUBSTITUTE(SUBSTITUTE(SUBSTITUTE(SUBSTITUTE(SUBSTITUTE(Клиенты_исходные!D736," ",""),"-",""),"+",""),"(",""),")",""),8,2),Клиенты_исходные!D736)))</f>
        <v xml:space="preserve">+7 (903) 123-45-67</v>
      </c>
      <c r="E736" t="str">
        <f>IF(ISBLANK(Клиенты_исходные!E736),"",IF(ISNUMBER(FIND(".",MID(Клиенты_исходные!E736,FIND("@",Клиенты_исходные!E736)+1,255))),Клиенты_исходные!E736,IF(ISNUMBER(FIND("gmail",Клиенты_исходные!E736)),Клиенты_исходные!E736&amp;".com",Клиенты_исходные!E736&amp;".ru")))</f>
        <v>mishina@gmail.com</v>
      </c>
      <c r="F736" t="str">
        <f>IFERROR(VLOOKUP(Клиенты_исходные!F736,Справочники!$J$2:$K$50,2,FALSE),Клиенты_исходные!F736)</f>
        <v>Калуга</v>
      </c>
      <c r="G736" s="8">
        <f>IFERROR(IF(ISNUMBER(FIND(".",Клиенты_исходные!G736)),DATE(RIGHT(Клиенты_исходные!G736,4),MID(Клиенты_исходные!G736,4,2),LEFT(Клиенты_исходные!G736,2)),DATE(LEFT(Клиенты_исходные!G736,4),MID(Клиенты_исходные!G736,6,2),RIGHT(Клиенты_исходные!G736,2))),Клиенты_исходные!G736)</f>
        <v>52001</v>
      </c>
      <c r="H736">
        <f t="shared" ca="1" si="79"/>
        <v>38</v>
      </c>
      <c r="I736" t="str">
        <f t="shared" si="80"/>
        <v>OK</v>
      </c>
      <c r="J736" t="str">
        <f t="shared" si="81"/>
        <v>OK</v>
      </c>
    </row>
    <row r="737">
      <c r="A737" t="str">
        <f>Клиенты_исходные!A737</f>
        <v>C0736</v>
      </c>
      <c r="B737" t="str">
        <f>PROPER(TRIM(Клиенты_исходные!B737))</f>
        <v xml:space="preserve">Шатохин Илья Александрович</v>
      </c>
      <c r="C737" s="8">
        <f>IFERROR(IF(ISNUMBER(FIND(".",Клиенты_исходные!C737)),DATE(RIGHT(Клиенты_исходные!C737,4),MID(Клиенты_исходные!C737,4,2),LEFT(Клиенты_исходные!C737,2)),DATE(LEFT(Клиенты_исходные!C737,4),MID(Клиенты_исходные!C737,6,2),RIGHT(Клиенты_исходные!C737,2))),Клиенты_исходные!C737)</f>
        <v>26933</v>
      </c>
      <c r="D737" t="str">
        <f>IF(ISBLANK(Клиенты_исходные!D737),"",IF(LEN(SUBSTITUTE(SUBSTITUTE(SUBSTITUTE(SUBSTITUTE(SUBSTITUTE(Клиенты_исходные!D737," ",""),"-",""),"+",""),"(",""),")",""))=11,"+7 ("&amp;MID(IF(LEFT(SUBSTITUTE(SUBSTITUTE(SUBSTITUTE(SUBSTITUTE(SUBSTITUTE(Клиенты_исходные!D737," ",""),"-",""),"+",""),"(",""),")",""))="8","7"&amp;MID(SUBSTITUTE(SUBSTITUTE(SUBSTITUTE(SUBSTITUTE(SUBSTITUTE(Клиенты_исходные!D737," ",""),"-",""),"+",""),"(",""),")",""),2,10),SUBSTITUTE(SUBSTITUTE(SUBSTITUTE(SUBSTITUTE(SUBSTITUTE(Клиенты_исходные!D737," ",""),"-",""),"+",""),"(",""),")","")),2,3)&amp;") "&amp;MID(IF(LEFT(SUBSTITUTE(SUBSTITUTE(SUBSTITUTE(SUBSTITUTE(SUBSTITUTE(Клиенты_исходные!D737," ",""),"-",""),"+",""),"(",""),")",""))="8","7"&amp;MID(SUBSTITUTE(SUBSTITUTE(SUBSTITUTE(SUBSTITUTE(SUBSTITUTE(Клиенты_исходные!D737," ",""),"-",""),"+",""),"(",""),")",""),2,10),SUBSTITUTE(SUBSTITUTE(SUBSTITUTE(SUBSTITUTE(SUBSTITUTE(Клиенты_исходные!D737," ",""),"-",""),"+",""),"(",""),")","")),5,3)&amp;"-"&amp;MID(IF(LEFT(SUBSTITUTE(SUBSTITUTE(SUBSTITUTE(SUBSTITUTE(SUBSTITUTE(Клиенты_исходные!D737," ",""),"-",""),"+",""),"(",""),")",""))="8","7"&amp;MID(SUBSTITUTE(SUBSTITUTE(SUBSTITUTE(SUBSTITUTE(SUBSTITUTE(Клиенты_исходные!D737," ",""),"-",""),"+",""),"(",""),")",""),2,10),SUBSTITUTE(SUBSTITUTE(SUBSTITUTE(SUBSTITUTE(SUBSTITUTE(Клиенты_исходные!D737," ",""),"-",""),"+",""),"(",""),")","")),8,2)&amp;"-"&amp;MID(IF(LEFT(SUBSTITUTE(SUBSTITUTE(SUBSTITUTE(SUBSTITUTE(SUBSTITUTE(Клиенты_исходные!D737," ",""),"-",""),"+",""),"(",""),")",""))="8","7"&amp;MID(SUBSTITUTE(SUBSTITUTE(SUBSTITUTE(SUBSTITUTE(SUBSTITUTE(Клиенты_исходные!D737," ",""),"-",""),"+",""),"(",""),")",""),2,10),SUBSTITUTE(SUBSTITUTE(SUBSTITUTE(SUBSTITUTE(SUBSTITUTE(Клиенты_исходные!D737," ",""),"-",""),"+",""),"(",""),")","")),10,2),IF(LEN(SUBSTITUTE(SUBSTITUTE(SUBSTITUTE(SUBSTITUTE(SUBSTITUTE(Клиенты_исходные!D737," ",""),"-",""),"+",""),"(",""),")",""))=10,"+7 ("&amp;MID(SUBSTITUTE(SUBSTITUTE(SUBSTITUTE(SUBSTITUTE(SUBSTITUTE(Клиенты_исходные!D737," ",""),"-",""),"+",""),"(",""),")",""),1,3)&amp;") "&amp;MID(SUBSTITUTE(SUBSTITUTE(SUBSTITUTE(SUBSTITUTE(SUBSTITUTE(Клиенты_исходные!D737," ",""),"-",""),"+",""),"(",""),")",""),4,3)&amp;"-"&amp;MID(SUBSTITUTE(SUBSTITUTE(SUBSTITUTE(SUBSTITUTE(SUBSTITUTE(Клиенты_исходные!D737," ",""),"-",""),"+",""),"(",""),")",""),6,2)&amp;"-"&amp;MID(SUBSTITUTE(SUBSTITUTE(SUBSTITUTE(SUBSTITUTE(SUBSTITUTE(Клиенты_исходные!D737," ",""),"-",""),"+",""),"(",""),")",""),8,2),Клиенты_исходные!D737)))</f>
        <v xml:space="preserve">+7 (903) 123-45-67</v>
      </c>
      <c r="E737" t="str">
        <f>IF(ISBLANK(Клиенты_исходные!E737),"",IF(ISNUMBER(FIND(".",MID(Клиенты_исходные!E737,FIND("@",Клиенты_исходные!E737)+1,255))),Клиенты_исходные!E737,IF(ISNUMBER(FIND("gmail",Клиенты_исходные!E737)),Клиенты_исходные!E737&amp;".com",Клиенты_исходные!E737&amp;".ru")))</f>
        <v>shatohin@mail.ru</v>
      </c>
      <c r="F737" t="str">
        <f>IFERROR(VLOOKUP(Клиенты_исходные!F737,Справочники!$J$2:$K$50,2,FALSE),Клиенты_исходные!F737)</f>
        <v>Владикавказ</v>
      </c>
      <c r="G737" s="8">
        <f>IFERROR(IF(ISNUMBER(FIND(".",Клиенты_исходные!G737)),DATE(RIGHT(Клиенты_исходные!G737,4),MID(Клиенты_исходные!G737,4,2),LEFT(Клиенты_исходные!G737,2)),DATE(LEFT(Клиенты_исходные!G737,4),MID(Клиенты_исходные!G737,6,2),RIGHT(Клиенты_исходные!G737,2))),Клиенты_исходные!G737)</f>
        <v>52018</v>
      </c>
      <c r="H737">
        <f t="shared" ca="1" si="79"/>
        <v>53</v>
      </c>
      <c r="I737" t="str">
        <f t="shared" si="80"/>
        <v>OK</v>
      </c>
      <c r="J737" t="str">
        <f t="shared" si="81"/>
        <v>OK</v>
      </c>
    </row>
    <row r="738">
      <c r="A738" t="str">
        <f>Клиенты_исходные!A738</f>
        <v>C0737</v>
      </c>
      <c r="B738" t="str">
        <f>PROPER(TRIM(Клиенты_исходные!B738))</f>
        <v xml:space="preserve">Черепанова Екатерина Сергеевна</v>
      </c>
      <c r="C738" s="8">
        <f>IFERROR(IF(ISNUMBER(FIND(".",Клиенты_исходные!C738)),DATE(RIGHT(Клиенты_исходные!C738,4),MID(Клиенты_исходные!C738,4,2),LEFT(Клиенты_исходные!C738,2)),DATE(LEFT(Клиенты_исходные!C738,4),MID(Клиенты_исходные!C738,6,2),RIGHT(Клиенты_исходные!C738,2))),Клиенты_исходные!C738)</f>
        <v>30024</v>
      </c>
      <c r="D738" t="str">
        <f>IF(ISBLANK(Клиенты_исходные!D738),"",IF(LEN(SUBSTITUTE(SUBSTITUTE(SUBSTITUTE(SUBSTITUTE(SUBSTITUTE(Клиенты_исходные!D738," ",""),"-",""),"+",""),"(",""),")",""))=11,"+7 ("&amp;MID(IF(LEFT(SUBSTITUTE(SUBSTITUTE(SUBSTITUTE(SUBSTITUTE(SUBSTITUTE(Клиенты_исходные!D738," ",""),"-",""),"+",""),"(",""),")",""))="8","7"&amp;MID(SUBSTITUTE(SUBSTITUTE(SUBSTITUTE(SUBSTITUTE(SUBSTITUTE(Клиенты_исходные!D738," ",""),"-",""),"+",""),"(",""),")",""),2,10),SUBSTITUTE(SUBSTITUTE(SUBSTITUTE(SUBSTITUTE(SUBSTITUTE(Клиенты_исходные!D738," ",""),"-",""),"+",""),"(",""),")","")),2,3)&amp;") "&amp;MID(IF(LEFT(SUBSTITUTE(SUBSTITUTE(SUBSTITUTE(SUBSTITUTE(SUBSTITUTE(Клиенты_исходные!D738," ",""),"-",""),"+",""),"(",""),")",""))="8","7"&amp;MID(SUBSTITUTE(SUBSTITUTE(SUBSTITUTE(SUBSTITUTE(SUBSTITUTE(Клиенты_исходные!D738," ",""),"-",""),"+",""),"(",""),")",""),2,10),SUBSTITUTE(SUBSTITUTE(SUBSTITUTE(SUBSTITUTE(SUBSTITUTE(Клиенты_исходные!D738," ",""),"-",""),"+",""),"(",""),")","")),5,3)&amp;"-"&amp;MID(IF(LEFT(SUBSTITUTE(SUBSTITUTE(SUBSTITUTE(SUBSTITUTE(SUBSTITUTE(Клиенты_исходные!D738," ",""),"-",""),"+",""),"(",""),")",""))="8","7"&amp;MID(SUBSTITUTE(SUBSTITUTE(SUBSTITUTE(SUBSTITUTE(SUBSTITUTE(Клиенты_исходные!D738," ",""),"-",""),"+",""),"(",""),")",""),2,10),SUBSTITUTE(SUBSTITUTE(SUBSTITUTE(SUBSTITUTE(SUBSTITUTE(Клиенты_исходные!D738," ",""),"-",""),"+",""),"(",""),")","")),8,2)&amp;"-"&amp;MID(IF(LEFT(SUBSTITUTE(SUBSTITUTE(SUBSTITUTE(SUBSTITUTE(SUBSTITUTE(Клиенты_исходные!D738," ",""),"-",""),"+",""),"(",""),")",""))="8","7"&amp;MID(SUBSTITUTE(SUBSTITUTE(SUBSTITUTE(SUBSTITUTE(SUBSTITUTE(Клиенты_исходные!D738," ",""),"-",""),"+",""),"(",""),")",""),2,10),SUBSTITUTE(SUBSTITUTE(SUBSTITUTE(SUBSTITUTE(SUBSTITUTE(Клиенты_исходные!D738," ",""),"-",""),"+",""),"(",""),")","")),10,2),IF(LEN(SUBSTITUTE(SUBSTITUTE(SUBSTITUTE(SUBSTITUTE(SUBSTITUTE(Клиенты_исходные!D738," ",""),"-",""),"+",""),"(",""),")",""))=10,"+7 ("&amp;MID(SUBSTITUTE(SUBSTITUTE(SUBSTITUTE(SUBSTITUTE(SUBSTITUTE(Клиенты_исходные!D738," ",""),"-",""),"+",""),"(",""),")",""),1,3)&amp;") "&amp;MID(SUBSTITUTE(SUBSTITUTE(SUBSTITUTE(SUBSTITUTE(SUBSTITUTE(Клиенты_исходные!D738," ",""),"-",""),"+",""),"(",""),")",""),4,3)&amp;"-"&amp;MID(SUBSTITUTE(SUBSTITUTE(SUBSTITUTE(SUBSTITUTE(SUBSTITUTE(Клиенты_исходные!D738," ",""),"-",""),"+",""),"(",""),")",""),6,2)&amp;"-"&amp;MID(SUBSTITUTE(SUBSTITUTE(SUBSTITUTE(SUBSTITUTE(SUBSTITUTE(Клиенты_исходные!D738," ",""),"-",""),"+",""),"(",""),")",""),8,2),Клиенты_исходные!D738)))</f>
        <v xml:space="preserve">+7 (903) 123-45-67</v>
      </c>
      <c r="E738" t="str">
        <f>IF(ISBLANK(Клиенты_исходные!E738),"",IF(ISNUMBER(FIND(".",MID(Клиенты_исходные!E738,FIND("@",Клиенты_исходные!E738)+1,255))),Клиенты_исходные!E738,IF(ISNUMBER(FIND("gmail",Клиенты_исходные!E738)),Клиенты_исходные!E738&amp;".com",Клиенты_исходные!E738&amp;".ru")))</f>
        <v>cherepanova@yandex.ru</v>
      </c>
      <c r="F738" t="str">
        <f>IFERROR(VLOOKUP(Клиенты_исходные!F738,Справочники!$J$2:$K$50,2,FALSE),Клиенты_исходные!F738)</f>
        <v>Смоленск</v>
      </c>
      <c r="G738" s="8">
        <f>IFERROR(IF(ISNUMBER(FIND(".",Клиенты_исходные!G738)),DATE(RIGHT(Клиенты_исходные!G738,4),MID(Клиенты_исходные!G738,4,2),LEFT(Клиенты_исходные!G738,2)),DATE(LEFT(Клиенты_исходные!G738,4),MID(Клиенты_исходные!G738,6,2),RIGHT(Клиенты_исходные!G738,2))),Клиенты_исходные!G738)</f>
        <v>52027</v>
      </c>
      <c r="H738">
        <f t="shared" ca="1" si="79"/>
        <v>44</v>
      </c>
      <c r="I738" t="str">
        <f t="shared" si="80"/>
        <v>OK</v>
      </c>
      <c r="J738" t="str">
        <f t="shared" si="81"/>
        <v>OK</v>
      </c>
    </row>
    <row r="739">
      <c r="A739" t="str">
        <f>Клиенты_исходные!A739</f>
        <v>C0738</v>
      </c>
      <c r="B739" t="str">
        <f>PROPER(TRIM(Клиенты_исходные!B739))</f>
        <v xml:space="preserve">Пантелеев Андрей Олегович</v>
      </c>
      <c r="C739" s="8">
        <f>IFERROR(IF(ISNUMBER(FIND(".",Клиенты_исходные!C739)),DATE(RIGHT(Клиенты_исходные!C739,4),MID(Клиенты_исходные!C739,4,2),LEFT(Клиенты_исходные!C739,2)),DATE(LEFT(Клиенты_исходные!C739,4),MID(Клиенты_исходные!C739,6,2),RIGHT(Клиенты_исходные!C739,2))),Клиенты_исходные!C739)</f>
        <v>33182</v>
      </c>
      <c r="D739" t="str">
        <f>IF(ISBLANK(Клиенты_исходные!D739),"",IF(LEN(SUBSTITUTE(SUBSTITUTE(SUBSTITUTE(SUBSTITUTE(SUBSTITUTE(Клиенты_исходные!D739," ",""),"-",""),"+",""),"(",""),")",""))=11,"+7 ("&amp;MID(IF(LEFT(SUBSTITUTE(SUBSTITUTE(SUBSTITUTE(SUBSTITUTE(SUBSTITUTE(Клиенты_исходные!D739," ",""),"-",""),"+",""),"(",""),")",""))="8","7"&amp;MID(SUBSTITUTE(SUBSTITUTE(SUBSTITUTE(SUBSTITUTE(SUBSTITUTE(Клиенты_исходные!D739," ",""),"-",""),"+",""),"(",""),")",""),2,10),SUBSTITUTE(SUBSTITUTE(SUBSTITUTE(SUBSTITUTE(SUBSTITUTE(Клиенты_исходные!D739," ",""),"-",""),"+",""),"(",""),")","")),2,3)&amp;") "&amp;MID(IF(LEFT(SUBSTITUTE(SUBSTITUTE(SUBSTITUTE(SUBSTITUTE(SUBSTITUTE(Клиенты_исходные!D739," ",""),"-",""),"+",""),"(",""),")",""))="8","7"&amp;MID(SUBSTITUTE(SUBSTITUTE(SUBSTITUTE(SUBSTITUTE(SUBSTITUTE(Клиенты_исходные!D739," ",""),"-",""),"+",""),"(",""),")",""),2,10),SUBSTITUTE(SUBSTITUTE(SUBSTITUTE(SUBSTITUTE(SUBSTITUTE(Клиенты_исходные!D739," ",""),"-",""),"+",""),"(",""),")","")),5,3)&amp;"-"&amp;MID(IF(LEFT(SUBSTITUTE(SUBSTITUTE(SUBSTITUTE(SUBSTITUTE(SUBSTITUTE(Клиенты_исходные!D739," ",""),"-",""),"+",""),"(",""),")",""))="8","7"&amp;MID(SUBSTITUTE(SUBSTITUTE(SUBSTITUTE(SUBSTITUTE(SUBSTITUTE(Клиенты_исходные!D739," ",""),"-",""),"+",""),"(",""),")",""),2,10),SUBSTITUTE(SUBSTITUTE(SUBSTITUTE(SUBSTITUTE(SUBSTITUTE(Клиенты_исходные!D739," ",""),"-",""),"+",""),"(",""),")","")),8,2)&amp;"-"&amp;MID(IF(LEFT(SUBSTITUTE(SUBSTITUTE(SUBSTITUTE(SUBSTITUTE(SUBSTITUTE(Клиенты_исходные!D739," ",""),"-",""),"+",""),"(",""),")",""))="8","7"&amp;MID(SUBSTITUTE(SUBSTITUTE(SUBSTITUTE(SUBSTITUTE(SUBSTITUTE(Клиенты_исходные!D739," ",""),"-",""),"+",""),"(",""),")",""),2,10),SUBSTITUTE(SUBSTITUTE(SUBSTITUTE(SUBSTITUTE(SUBSTITUTE(Клиенты_исходные!D739," ",""),"-",""),"+",""),"(",""),")","")),10,2),IF(LEN(SUBSTITUTE(SUBSTITUTE(SUBSTITUTE(SUBSTITUTE(SUBSTITUTE(Клиенты_исходные!D739," ",""),"-",""),"+",""),"(",""),")",""))=10,"+7 ("&amp;MID(SUBSTITUTE(SUBSTITUTE(SUBSTITUTE(SUBSTITUTE(SUBSTITUTE(Клиенты_исходные!D739," ",""),"-",""),"+",""),"(",""),")",""),1,3)&amp;") "&amp;MID(SUBSTITUTE(SUBSTITUTE(SUBSTITUTE(SUBSTITUTE(SUBSTITUTE(Клиенты_исходные!D739," ",""),"-",""),"+",""),"(",""),")",""),4,3)&amp;"-"&amp;MID(SUBSTITUTE(SUBSTITUTE(SUBSTITUTE(SUBSTITUTE(SUBSTITUTE(Клиенты_исходные!D739," ",""),"-",""),"+",""),"(",""),")",""),6,2)&amp;"-"&amp;MID(SUBSTITUTE(SUBSTITUTE(SUBSTITUTE(SUBSTITUTE(SUBSTITUTE(Клиенты_исходные!D739," ",""),"-",""),"+",""),"(",""),")",""),8,2),Клиенты_исходные!D739)))</f>
        <v xml:space="preserve">+7 (903) 234-56-78</v>
      </c>
      <c r="E739" t="str">
        <f>IF(ISBLANK(Клиенты_исходные!E739),"",IF(ISNUMBER(FIND(".",MID(Клиенты_исходные!E739,FIND("@",Клиенты_исходные!E739)+1,255))),Клиенты_исходные!E739,IF(ISNUMBER(FIND("gmail",Клиенты_исходные!E739)),Клиенты_исходные!E739&amp;".com",Клиенты_исходные!E739&amp;".ru")))</f>
        <v>panteleev@gmail.com</v>
      </c>
      <c r="F739" t="str">
        <f>IFERROR(VLOOKUP(Клиенты_исходные!F739,Справочники!$J$2:$K$50,2,FALSE),Клиенты_исходные!F739)</f>
        <v>Белгород</v>
      </c>
      <c r="G739" s="8">
        <f>IFERROR(IF(ISNUMBER(FIND(".",Клиенты_исходные!G739)),DATE(RIGHT(Клиенты_исходные!G739,4),MID(Клиенты_исходные!G739,4,2),LEFT(Клиенты_исходные!G739,2)),DATE(LEFT(Клиенты_исходные!G739,4),MID(Клиенты_исходные!G739,6,2),RIGHT(Клиенты_исходные!G739,2))),Клиенты_исходные!G739)</f>
        <v>52027</v>
      </c>
      <c r="H739">
        <f t="shared" ca="1" si="79"/>
        <v>35</v>
      </c>
      <c r="I739" t="str">
        <f t="shared" si="80"/>
        <v>OK</v>
      </c>
      <c r="J739" t="str">
        <f t="shared" si="81"/>
        <v>OK</v>
      </c>
    </row>
    <row r="740">
      <c r="A740" t="str">
        <f>Клиенты_исходные!A740</f>
        <v>C0739</v>
      </c>
      <c r="B740" t="str">
        <f>PROPER(TRIM(Клиенты_исходные!B740))</f>
        <v xml:space="preserve">Букина Мария Владимировна</v>
      </c>
      <c r="C740" s="8">
        <f>IFERROR(IF(ISNUMBER(FIND(".",Клиенты_исходные!C740)),DATE(RIGHT(Клиенты_исходные!C740,4),MID(Клиенты_исходные!C740,4,2),LEFT(Клиенты_исходные!C740,2)),DATE(LEFT(Клиенты_исходные!C740,4),MID(Клиенты_исходные!C740,6,2),RIGHT(Клиенты_исходные!C740,2))),Клиенты_исходные!C740)</f>
        <v>28294</v>
      </c>
      <c r="D740" t="str">
        <f>IF(ISBLANK(Клиенты_исходные!D740),"",IF(LEN(SUBSTITUTE(SUBSTITUTE(SUBSTITUTE(SUBSTITUTE(SUBSTITUTE(Клиенты_исходные!D740," ",""),"-",""),"+",""),"(",""),")",""))=11,"+7 ("&amp;MID(IF(LEFT(SUBSTITUTE(SUBSTITUTE(SUBSTITUTE(SUBSTITUTE(SUBSTITUTE(Клиенты_исходные!D740," ",""),"-",""),"+",""),"(",""),")",""))="8","7"&amp;MID(SUBSTITUTE(SUBSTITUTE(SUBSTITUTE(SUBSTITUTE(SUBSTITUTE(Клиенты_исходные!D740," ",""),"-",""),"+",""),"(",""),")",""),2,10),SUBSTITUTE(SUBSTITUTE(SUBSTITUTE(SUBSTITUTE(SUBSTITUTE(Клиенты_исходные!D740," ",""),"-",""),"+",""),"(",""),")","")),2,3)&amp;") "&amp;MID(IF(LEFT(SUBSTITUTE(SUBSTITUTE(SUBSTITUTE(SUBSTITUTE(SUBSTITUTE(Клиенты_исходные!D740," ",""),"-",""),"+",""),"(",""),")",""))="8","7"&amp;MID(SUBSTITUTE(SUBSTITUTE(SUBSTITUTE(SUBSTITUTE(SUBSTITUTE(Клиенты_исходные!D740," ",""),"-",""),"+",""),"(",""),")",""),2,10),SUBSTITUTE(SUBSTITUTE(SUBSTITUTE(SUBSTITUTE(SUBSTITUTE(Клиенты_исходные!D740," ",""),"-",""),"+",""),"(",""),")","")),5,3)&amp;"-"&amp;MID(IF(LEFT(SUBSTITUTE(SUBSTITUTE(SUBSTITUTE(SUBSTITUTE(SUBSTITUTE(Клиенты_исходные!D740," ",""),"-",""),"+",""),"(",""),")",""))="8","7"&amp;MID(SUBSTITUTE(SUBSTITUTE(SUBSTITUTE(SUBSTITUTE(SUBSTITUTE(Клиенты_исходные!D740," ",""),"-",""),"+",""),"(",""),")",""),2,10),SUBSTITUTE(SUBSTITUTE(SUBSTITUTE(SUBSTITUTE(SUBSTITUTE(Клиенты_исходные!D740," ",""),"-",""),"+",""),"(",""),")","")),8,2)&amp;"-"&amp;MID(IF(LEFT(SUBSTITUTE(SUBSTITUTE(SUBSTITUTE(SUBSTITUTE(SUBSTITUTE(Клиенты_исходные!D740," ",""),"-",""),"+",""),"(",""),")",""))="8","7"&amp;MID(SUBSTITUTE(SUBSTITUTE(SUBSTITUTE(SUBSTITUTE(SUBSTITUTE(Клиенты_исходные!D740," ",""),"-",""),"+",""),"(",""),")",""),2,10),SUBSTITUTE(SUBSTITUTE(SUBSTITUTE(SUBSTITUTE(SUBSTITUTE(Клиенты_исходные!D740," ",""),"-",""),"+",""),"(",""),")","")),10,2),IF(LEN(SUBSTITUTE(SUBSTITUTE(SUBSTITUTE(SUBSTITUTE(SUBSTITUTE(Клиенты_исходные!D740," ",""),"-",""),"+",""),"(",""),")",""))=10,"+7 ("&amp;MID(SUBSTITUTE(SUBSTITUTE(SUBSTITUTE(SUBSTITUTE(SUBSTITUTE(Клиенты_исходные!D740," ",""),"-",""),"+",""),"(",""),")",""),1,3)&amp;") "&amp;MID(SUBSTITUTE(SUBSTITUTE(SUBSTITUTE(SUBSTITUTE(SUBSTITUTE(Клиенты_исходные!D740," ",""),"-",""),"+",""),"(",""),")",""),4,3)&amp;"-"&amp;MID(SUBSTITUTE(SUBSTITUTE(SUBSTITUTE(SUBSTITUTE(SUBSTITUTE(Клиенты_исходные!D740," ",""),"-",""),"+",""),"(",""),")",""),6,2)&amp;"-"&amp;MID(SUBSTITUTE(SUBSTITUTE(SUBSTITUTE(SUBSTITUTE(SUBSTITUTE(Клиенты_исходные!D740," ",""),"-",""),"+",""),"(",""),")",""),8,2),Клиенты_исходные!D740)))</f>
        <v xml:space="preserve">+7 (903) 234-56-78</v>
      </c>
      <c r="E740" t="str">
        <f>IF(ISBLANK(Клиенты_исходные!E740),"",IF(ISNUMBER(FIND(".",MID(Клиенты_исходные!E740,FIND("@",Клиенты_исходные!E740)+1,255))),Клиенты_исходные!E740,IF(ISNUMBER(FIND("gmail",Клиенты_исходные!E740)),Клиенты_исходные!E740&amp;".com",Клиенты_исходные!E740&amp;".ru")))</f>
        <v>bukina@mail.ru</v>
      </c>
      <c r="F740" t="str">
        <f>IFERROR(VLOOKUP(Клиенты_исходные!F740,Справочники!$J$2:$K$50,2,FALSE),Клиенты_исходные!F740)</f>
        <v>Мурманск</v>
      </c>
      <c r="G740" s="8">
        <f>IFERROR(IF(ISNUMBER(FIND(".",Клиенты_исходные!G740)),DATE(RIGHT(Клиенты_исходные!G740,4),MID(Клиенты_исходные!G740,4,2),LEFT(Клиенты_исходные!G740,2)),DATE(LEFT(Клиенты_исходные!G740,4),MID(Клиенты_исходные!G740,6,2),RIGHT(Клиенты_исходные!G740,2))),Клиенты_исходные!G740)</f>
        <v>52048</v>
      </c>
      <c r="H740">
        <f t="shared" ref="H740:H803" ca="1" si="82">DATEDIF(C740,TODAY(),"Y")</f>
        <v>49</v>
      </c>
      <c r="I740" t="str">
        <f t="shared" ref="I740:I803" si="83">IF(OR(H740&lt;18,H740&gt;80),"Ошибка даты рождения","OK")</f>
        <v>OK</v>
      </c>
      <c r="J740" t="str">
        <f t="shared" ref="J740:J803" si="84">IF(AND(ISNUMBER(FIND("@",E740)),ISNUMBER(FIND(".",MID(E740,FIND("@",E740)+1,255)))),"OK","Ошибка Email")</f>
        <v>OK</v>
      </c>
    </row>
    <row r="741">
      <c r="A741" t="str">
        <f>Клиенты_исходные!A741</f>
        <v>C0740</v>
      </c>
      <c r="B741" t="str">
        <f>PROPER(TRIM(Клиенты_исходные!B741))</f>
        <v xml:space="preserve">Суворов Денис Павлович</v>
      </c>
      <c r="C741" s="8">
        <f>IFERROR(IF(ISNUMBER(FIND(".",Клиенты_исходные!C741)),DATE(RIGHT(Клиенты_исходные!C741,4),MID(Клиенты_исходные!C741,4,2),LEFT(Клиенты_исходные!C741,2)),DATE(LEFT(Клиенты_исходные!C741,4),MID(Клиенты_исходные!C741,6,2),RIGHT(Клиенты_исходные!C741,2))),Клиенты_исходные!C741)</f>
        <v>31054</v>
      </c>
      <c r="D741" t="str">
        <f>IF(ISBLANK(Клиенты_исходные!D741),"",IF(LEN(SUBSTITUTE(SUBSTITUTE(SUBSTITUTE(SUBSTITUTE(SUBSTITUTE(Клиенты_исходные!D741," ",""),"-",""),"+",""),"(",""),")",""))=11,"+7 ("&amp;MID(IF(LEFT(SUBSTITUTE(SUBSTITUTE(SUBSTITUTE(SUBSTITUTE(SUBSTITUTE(Клиенты_исходные!D741," ",""),"-",""),"+",""),"(",""),")",""))="8","7"&amp;MID(SUBSTITUTE(SUBSTITUTE(SUBSTITUTE(SUBSTITUTE(SUBSTITUTE(Клиенты_исходные!D741," ",""),"-",""),"+",""),"(",""),")",""),2,10),SUBSTITUTE(SUBSTITUTE(SUBSTITUTE(SUBSTITUTE(SUBSTITUTE(Клиенты_исходные!D741," ",""),"-",""),"+",""),"(",""),")","")),2,3)&amp;") "&amp;MID(IF(LEFT(SUBSTITUTE(SUBSTITUTE(SUBSTITUTE(SUBSTITUTE(SUBSTITUTE(Клиенты_исходные!D741," ",""),"-",""),"+",""),"(",""),")",""))="8","7"&amp;MID(SUBSTITUTE(SUBSTITUTE(SUBSTITUTE(SUBSTITUTE(SUBSTITUTE(Клиенты_исходные!D741," ",""),"-",""),"+",""),"(",""),")",""),2,10),SUBSTITUTE(SUBSTITUTE(SUBSTITUTE(SUBSTITUTE(SUBSTITUTE(Клиенты_исходные!D741," ",""),"-",""),"+",""),"(",""),")","")),5,3)&amp;"-"&amp;MID(IF(LEFT(SUBSTITUTE(SUBSTITUTE(SUBSTITUTE(SUBSTITUTE(SUBSTITUTE(Клиенты_исходные!D741," ",""),"-",""),"+",""),"(",""),")",""))="8","7"&amp;MID(SUBSTITUTE(SUBSTITUTE(SUBSTITUTE(SUBSTITUTE(SUBSTITUTE(Клиенты_исходные!D741," ",""),"-",""),"+",""),"(",""),")",""),2,10),SUBSTITUTE(SUBSTITUTE(SUBSTITUTE(SUBSTITUTE(SUBSTITUTE(Клиенты_исходные!D741," ",""),"-",""),"+",""),"(",""),")","")),8,2)&amp;"-"&amp;MID(IF(LEFT(SUBSTITUTE(SUBSTITUTE(SUBSTITUTE(SUBSTITUTE(SUBSTITUTE(Клиенты_исходные!D741," ",""),"-",""),"+",""),"(",""),")",""))="8","7"&amp;MID(SUBSTITUTE(SUBSTITUTE(SUBSTITUTE(SUBSTITUTE(SUBSTITUTE(Клиенты_исходные!D741," ",""),"-",""),"+",""),"(",""),")",""),2,10),SUBSTITUTE(SUBSTITUTE(SUBSTITUTE(SUBSTITUTE(SUBSTITUTE(Клиенты_исходные!D741," ",""),"-",""),"+",""),"(",""),")","")),10,2),IF(LEN(SUBSTITUTE(SUBSTITUTE(SUBSTITUTE(SUBSTITUTE(SUBSTITUTE(Клиенты_исходные!D741," ",""),"-",""),"+",""),"(",""),")",""))=10,"+7 ("&amp;MID(SUBSTITUTE(SUBSTITUTE(SUBSTITUTE(SUBSTITUTE(SUBSTITUTE(Клиенты_исходные!D741," ",""),"-",""),"+",""),"(",""),")",""),1,3)&amp;") "&amp;MID(SUBSTITUTE(SUBSTITUTE(SUBSTITUTE(SUBSTITUTE(SUBSTITUTE(Клиенты_исходные!D741," ",""),"-",""),"+",""),"(",""),")",""),4,3)&amp;"-"&amp;MID(SUBSTITUTE(SUBSTITUTE(SUBSTITUTE(SUBSTITUTE(SUBSTITUTE(Клиенты_исходные!D741," ",""),"-",""),"+",""),"(",""),")",""),6,2)&amp;"-"&amp;MID(SUBSTITUTE(SUBSTITUTE(SUBSTITUTE(SUBSTITUTE(SUBSTITUTE(Клиенты_исходные!D741," ",""),"-",""),"+",""),"(",""),")",""),8,2),Клиенты_исходные!D741)))</f>
        <v xml:space="preserve">+7 (903) 234-56-78</v>
      </c>
      <c r="E741" t="str">
        <f>IF(ISBLANK(Клиенты_исходные!E741),"",IF(ISNUMBER(FIND(".",MID(Клиенты_исходные!E741,FIND("@",Клиенты_исходные!E741)+1,255))),Клиенты_исходные!E741,IF(ISNUMBER(FIND("gmail",Клиенты_исходные!E741)),Клиенты_исходные!E741&amp;".com",Клиенты_исходные!E741&amp;".ru")))</f>
        <v>suvorov@yandex.ru</v>
      </c>
      <c r="F741" t="str">
        <f>IFERROR(VLOOKUP(Клиенты_исходные!F741,Справочники!$J$2:$K$50,2,FALSE),Клиенты_исходные!F741)</f>
        <v>Ставрополь</v>
      </c>
      <c r="G741" s="8">
        <f>IFERROR(IF(ISNUMBER(FIND(".",Клиенты_исходные!G741)),DATE(RIGHT(Клиенты_исходные!G741,4),MID(Клиенты_исходные!G741,4,2),LEFT(Клиенты_исходные!G741,2)),DATE(LEFT(Клиенты_исходные!G741,4),MID(Клиенты_исходные!G741,6,2),RIGHT(Клиенты_исходные!G741,2))),Клиенты_исходные!G741)</f>
        <v>52062</v>
      </c>
      <c r="H741">
        <f t="shared" ca="1" si="82"/>
        <v>41</v>
      </c>
      <c r="I741" t="str">
        <f t="shared" si="83"/>
        <v>OK</v>
      </c>
      <c r="J741" t="str">
        <f t="shared" si="84"/>
        <v>OK</v>
      </c>
    </row>
    <row r="742">
      <c r="A742" t="str">
        <f>Клиенты_исходные!A742</f>
        <v>C0741</v>
      </c>
      <c r="B742" t="str">
        <f>PROPER(TRIM(Клиенты_исходные!B742))</f>
        <v xml:space="preserve">Погодина Ольга Сергеевна</v>
      </c>
      <c r="C742" s="8">
        <f>IFERROR(IF(ISNUMBER(FIND(".",Клиенты_исходные!C742)),DATE(RIGHT(Клиенты_исходные!C742,4),MID(Клиенты_исходные!C742,4,2),LEFT(Клиенты_исходные!C742,2)),DATE(LEFT(Клиенты_исходные!C742,4),MID(Клиенты_исходные!C742,6,2),RIGHT(Клиенты_исходные!C742,2))),Клиенты_исходные!C742)</f>
        <v>33840</v>
      </c>
      <c r="D742" t="str">
        <f>IF(ISBLANK(Клиенты_исходные!D742),"",IF(LEN(SUBSTITUTE(SUBSTITUTE(SUBSTITUTE(SUBSTITUTE(SUBSTITUTE(Клиенты_исходные!D742," ",""),"-",""),"+",""),"(",""),")",""))=11,"+7 ("&amp;MID(IF(LEFT(SUBSTITUTE(SUBSTITUTE(SUBSTITUTE(SUBSTITUTE(SUBSTITUTE(Клиенты_исходные!D742," ",""),"-",""),"+",""),"(",""),")",""))="8","7"&amp;MID(SUBSTITUTE(SUBSTITUTE(SUBSTITUTE(SUBSTITUTE(SUBSTITUTE(Клиенты_исходные!D742," ",""),"-",""),"+",""),"(",""),")",""),2,10),SUBSTITUTE(SUBSTITUTE(SUBSTITUTE(SUBSTITUTE(SUBSTITUTE(Клиенты_исходные!D742," ",""),"-",""),"+",""),"(",""),")","")),2,3)&amp;") "&amp;MID(IF(LEFT(SUBSTITUTE(SUBSTITUTE(SUBSTITUTE(SUBSTITUTE(SUBSTITUTE(Клиенты_исходные!D742," ",""),"-",""),"+",""),"(",""),")",""))="8","7"&amp;MID(SUBSTITUTE(SUBSTITUTE(SUBSTITUTE(SUBSTITUTE(SUBSTITUTE(Клиенты_исходные!D742," ",""),"-",""),"+",""),"(",""),")",""),2,10),SUBSTITUTE(SUBSTITUTE(SUBSTITUTE(SUBSTITUTE(SUBSTITUTE(Клиенты_исходные!D742," ",""),"-",""),"+",""),"(",""),")","")),5,3)&amp;"-"&amp;MID(IF(LEFT(SUBSTITUTE(SUBSTITUTE(SUBSTITUTE(SUBSTITUTE(SUBSTITUTE(Клиенты_исходные!D742," ",""),"-",""),"+",""),"(",""),")",""))="8","7"&amp;MID(SUBSTITUTE(SUBSTITUTE(SUBSTITUTE(SUBSTITUTE(SUBSTITUTE(Клиенты_исходные!D742," ",""),"-",""),"+",""),"(",""),")",""),2,10),SUBSTITUTE(SUBSTITUTE(SUBSTITUTE(SUBSTITUTE(SUBSTITUTE(Клиенты_исходные!D742," ",""),"-",""),"+",""),"(",""),")","")),8,2)&amp;"-"&amp;MID(IF(LEFT(SUBSTITUTE(SUBSTITUTE(SUBSTITUTE(SUBSTITUTE(SUBSTITUTE(Клиенты_исходные!D742," ",""),"-",""),"+",""),"(",""),")",""))="8","7"&amp;MID(SUBSTITUTE(SUBSTITUTE(SUBSTITUTE(SUBSTITUTE(SUBSTITUTE(Клиенты_исходные!D742," ",""),"-",""),"+",""),"(",""),")",""),2,10),SUBSTITUTE(SUBSTITUTE(SUBSTITUTE(SUBSTITUTE(SUBSTITUTE(Клиенты_исходные!D742," ",""),"-",""),"+",""),"(",""),")","")),10,2),IF(LEN(SUBSTITUTE(SUBSTITUTE(SUBSTITUTE(SUBSTITUTE(SUBSTITUTE(Клиенты_исходные!D742," ",""),"-",""),"+",""),"(",""),")",""))=10,"+7 ("&amp;MID(SUBSTITUTE(SUBSTITUTE(SUBSTITUTE(SUBSTITUTE(SUBSTITUTE(Клиенты_исходные!D742," ",""),"-",""),"+",""),"(",""),")",""),1,3)&amp;") "&amp;MID(SUBSTITUTE(SUBSTITUTE(SUBSTITUTE(SUBSTITUTE(SUBSTITUTE(Клиенты_исходные!D742," ",""),"-",""),"+",""),"(",""),")",""),4,3)&amp;"-"&amp;MID(SUBSTITUTE(SUBSTITUTE(SUBSTITUTE(SUBSTITUTE(SUBSTITUTE(Клиенты_исходные!D742," ",""),"-",""),"+",""),"(",""),")",""),6,2)&amp;"-"&amp;MID(SUBSTITUTE(SUBSTITUTE(SUBSTITUTE(SUBSTITUTE(SUBSTITUTE(Клиенты_исходные!D742," ",""),"-",""),"+",""),"(",""),")",""),8,2),Клиенты_исходные!D742)))</f>
        <v xml:space="preserve">+7 (903) 345-67-89</v>
      </c>
      <c r="E742" t="str">
        <f>IF(ISBLANK(Клиенты_исходные!E742),"",IF(ISNUMBER(FIND(".",MID(Клиенты_исходные!E742,FIND("@",Клиенты_исходные!E742)+1,255))),Клиенты_исходные!E742,IF(ISNUMBER(FIND("gmail",Клиенты_исходные!E742)),Клиенты_исходные!E742&amp;".com",Клиенты_исходные!E742&amp;".ru")))</f>
        <v>pogodina@gmail.com</v>
      </c>
      <c r="F742" t="str">
        <f>IFERROR(VLOOKUP(Клиенты_исходные!F742,Справочники!$J$2:$K$50,2,FALSE),Клиенты_исходные!F742)</f>
        <v>Севастополь</v>
      </c>
      <c r="G742" s="8">
        <f>IFERROR(IF(ISNUMBER(FIND(".",Клиенты_исходные!G742)),DATE(RIGHT(Клиенты_исходные!G742,4),MID(Клиенты_исходные!G742,4,2),LEFT(Клиенты_исходные!G742,2)),DATE(LEFT(Клиенты_исходные!G742,4),MID(Клиенты_исходные!G742,6,2),RIGHT(Клиенты_исходные!G742,2))),Клиенты_исходные!G742)</f>
        <v>52062</v>
      </c>
      <c r="H742">
        <f t="shared" ca="1" si="82"/>
        <v>34</v>
      </c>
      <c r="I742" t="str">
        <f t="shared" si="83"/>
        <v>OK</v>
      </c>
      <c r="J742" t="str">
        <f t="shared" si="84"/>
        <v>OK</v>
      </c>
    </row>
    <row r="743">
      <c r="A743" t="str">
        <f>Клиенты_исходные!A743</f>
        <v>C0742</v>
      </c>
      <c r="B743" t="str">
        <f>PROPER(TRIM(Клиенты_исходные!B743))</f>
        <v xml:space="preserve">Карпов Илья Александрович</v>
      </c>
      <c r="C743" s="8">
        <f>IFERROR(IF(ISNUMBER(FIND(".",Клиенты_исходные!C743)),DATE(RIGHT(Клиенты_исходные!C743,4),MID(Клиенты_исходные!C743,4,2),LEFT(Клиенты_исходные!C743,2)),DATE(LEFT(Клиенты_исходные!C743,4),MID(Клиенты_исходные!C743,6,2),RIGHT(Клиенты_исходные!C743,2))),Клиенты_исходные!C743)</f>
        <v>28961</v>
      </c>
      <c r="D743" t="str">
        <f>IF(ISBLANK(Клиенты_исходные!D743),"",IF(LEN(SUBSTITUTE(SUBSTITUTE(SUBSTITUTE(SUBSTITUTE(SUBSTITUTE(Клиенты_исходные!D743," ",""),"-",""),"+",""),"(",""),")",""))=11,"+7 ("&amp;MID(IF(LEFT(SUBSTITUTE(SUBSTITUTE(SUBSTITUTE(SUBSTITUTE(SUBSTITUTE(Клиенты_исходные!D743," ",""),"-",""),"+",""),"(",""),")",""))="8","7"&amp;MID(SUBSTITUTE(SUBSTITUTE(SUBSTITUTE(SUBSTITUTE(SUBSTITUTE(Клиенты_исходные!D743," ",""),"-",""),"+",""),"(",""),")",""),2,10),SUBSTITUTE(SUBSTITUTE(SUBSTITUTE(SUBSTITUTE(SUBSTITUTE(Клиенты_исходные!D743," ",""),"-",""),"+",""),"(",""),")","")),2,3)&amp;") "&amp;MID(IF(LEFT(SUBSTITUTE(SUBSTITUTE(SUBSTITUTE(SUBSTITUTE(SUBSTITUTE(Клиенты_исходные!D743," ",""),"-",""),"+",""),"(",""),")",""))="8","7"&amp;MID(SUBSTITUTE(SUBSTITUTE(SUBSTITUTE(SUBSTITUTE(SUBSTITUTE(Клиенты_исходные!D743," ",""),"-",""),"+",""),"(",""),")",""),2,10),SUBSTITUTE(SUBSTITUTE(SUBSTITUTE(SUBSTITUTE(SUBSTITUTE(Клиенты_исходные!D743," ",""),"-",""),"+",""),"(",""),")","")),5,3)&amp;"-"&amp;MID(IF(LEFT(SUBSTITUTE(SUBSTITUTE(SUBSTITUTE(SUBSTITUTE(SUBSTITUTE(Клиенты_исходные!D743," ",""),"-",""),"+",""),"(",""),")",""))="8","7"&amp;MID(SUBSTITUTE(SUBSTITUTE(SUBSTITUTE(SUBSTITUTE(SUBSTITUTE(Клиенты_исходные!D743," ",""),"-",""),"+",""),"(",""),")",""),2,10),SUBSTITUTE(SUBSTITUTE(SUBSTITUTE(SUBSTITUTE(SUBSTITUTE(Клиенты_исходные!D743," ",""),"-",""),"+",""),"(",""),")","")),8,2)&amp;"-"&amp;MID(IF(LEFT(SUBSTITUTE(SUBSTITUTE(SUBSTITUTE(SUBSTITUTE(SUBSTITUTE(Клиенты_исходные!D743," ",""),"-",""),"+",""),"(",""),")",""))="8","7"&amp;MID(SUBSTITUTE(SUBSTITUTE(SUBSTITUTE(SUBSTITUTE(SUBSTITUTE(Клиенты_исходные!D743," ",""),"-",""),"+",""),"(",""),")",""),2,10),SUBSTITUTE(SUBSTITUTE(SUBSTITUTE(SUBSTITUTE(SUBSTITUTE(Клиенты_исходные!D743," ",""),"-",""),"+",""),"(",""),")","")),10,2),IF(LEN(SUBSTITUTE(SUBSTITUTE(SUBSTITUTE(SUBSTITUTE(SUBSTITUTE(Клиенты_исходные!D743," ",""),"-",""),"+",""),"(",""),")",""))=10,"+7 ("&amp;MID(SUBSTITUTE(SUBSTITUTE(SUBSTITUTE(SUBSTITUTE(SUBSTITUTE(Клиенты_исходные!D743," ",""),"-",""),"+",""),"(",""),")",""),1,3)&amp;") "&amp;MID(SUBSTITUTE(SUBSTITUTE(SUBSTITUTE(SUBSTITUTE(SUBSTITUTE(Клиенты_исходные!D743," ",""),"-",""),"+",""),"(",""),")",""),4,3)&amp;"-"&amp;MID(SUBSTITUTE(SUBSTITUTE(SUBSTITUTE(SUBSTITUTE(SUBSTITUTE(Клиенты_исходные!D743," ",""),"-",""),"+",""),"(",""),")",""),6,2)&amp;"-"&amp;MID(SUBSTITUTE(SUBSTITUTE(SUBSTITUTE(SUBSTITUTE(SUBSTITUTE(Клиенты_исходные!D743," ",""),"-",""),"+",""),"(",""),")",""),8,2),Клиенты_исходные!D743)))</f>
        <v xml:space="preserve">+7 (903) 345-67-89</v>
      </c>
      <c r="E743" t="str">
        <f>IF(ISBLANK(Клиенты_исходные!E743),"",IF(ISNUMBER(FIND(".",MID(Клиенты_исходные!E743,FIND("@",Клиенты_исходные!E743)+1,255))),Клиенты_исходные!E743,IF(ISNUMBER(FIND("gmail",Клиенты_исходные!E743)),Клиенты_исходные!E743&amp;".com",Клиенты_исходные!E743&amp;".ru")))</f>
        <v>karpov@mail.ru</v>
      </c>
      <c r="F743" t="str">
        <f>IFERROR(VLOOKUP(Клиенты_исходные!F743,Справочники!$J$2:$K$50,2,FALSE),Клиенты_исходные!F743)</f>
        <v>Сочи</v>
      </c>
      <c r="G743" s="8">
        <f>IFERROR(IF(ISNUMBER(FIND(".",Клиенты_исходные!G743)),DATE(RIGHT(Клиенты_исходные!G743,4),MID(Клиенты_исходные!G743,4,2),LEFT(Клиенты_исходные!G743,2)),DATE(LEFT(Клиенты_исходные!G743,4),MID(Клиенты_исходные!G743,6,2),RIGHT(Клиенты_исходные!G743,2))),Клиенты_исходные!G743)</f>
        <v>52079</v>
      </c>
      <c r="H743">
        <f t="shared" ca="1" si="82"/>
        <v>47</v>
      </c>
      <c r="I743" t="str">
        <f t="shared" si="83"/>
        <v>OK</v>
      </c>
      <c r="J743" t="str">
        <f t="shared" si="84"/>
        <v>OK</v>
      </c>
    </row>
    <row r="744">
      <c r="A744" t="str">
        <f>Клиенты_исходные!A744</f>
        <v>C0743</v>
      </c>
      <c r="B744" t="str">
        <f>PROPER(TRIM(Клиенты_исходные!B744))</f>
        <v xml:space="preserve">Бычкова Екатерина Алексеевна</v>
      </c>
      <c r="C744" s="8">
        <f>IFERROR(IF(ISNUMBER(FIND(".",Клиенты_исходные!C744)),DATE(RIGHT(Клиенты_исходные!C744,4),MID(Клиенты_исходные!C744,4,2),LEFT(Клиенты_исходные!C744,2)),DATE(LEFT(Клиенты_исходные!C744,4),MID(Клиенты_исходные!C744,6,2),RIGHT(Клиенты_исходные!C744,2))),Клиенты_исходные!C744)</f>
        <v>31688</v>
      </c>
      <c r="D744" t="str">
        <f>IF(ISBLANK(Клиенты_исходные!D744),"",IF(LEN(SUBSTITUTE(SUBSTITUTE(SUBSTITUTE(SUBSTITUTE(SUBSTITUTE(Клиенты_исходные!D744," ",""),"-",""),"+",""),"(",""),")",""))=11,"+7 ("&amp;MID(IF(LEFT(SUBSTITUTE(SUBSTITUTE(SUBSTITUTE(SUBSTITUTE(SUBSTITUTE(Клиенты_исходные!D744," ",""),"-",""),"+",""),"(",""),")",""))="8","7"&amp;MID(SUBSTITUTE(SUBSTITUTE(SUBSTITUTE(SUBSTITUTE(SUBSTITUTE(Клиенты_исходные!D744," ",""),"-",""),"+",""),"(",""),")",""),2,10),SUBSTITUTE(SUBSTITUTE(SUBSTITUTE(SUBSTITUTE(SUBSTITUTE(Клиенты_исходные!D744," ",""),"-",""),"+",""),"(",""),")","")),2,3)&amp;") "&amp;MID(IF(LEFT(SUBSTITUTE(SUBSTITUTE(SUBSTITUTE(SUBSTITUTE(SUBSTITUTE(Клиенты_исходные!D744," ",""),"-",""),"+",""),"(",""),")",""))="8","7"&amp;MID(SUBSTITUTE(SUBSTITUTE(SUBSTITUTE(SUBSTITUTE(SUBSTITUTE(Клиенты_исходные!D744," ",""),"-",""),"+",""),"(",""),")",""),2,10),SUBSTITUTE(SUBSTITUTE(SUBSTITUTE(SUBSTITUTE(SUBSTITUTE(Клиенты_исходные!D744," ",""),"-",""),"+",""),"(",""),")","")),5,3)&amp;"-"&amp;MID(IF(LEFT(SUBSTITUTE(SUBSTITUTE(SUBSTITUTE(SUBSTITUTE(SUBSTITUTE(Клиенты_исходные!D744," ",""),"-",""),"+",""),"(",""),")",""))="8","7"&amp;MID(SUBSTITUTE(SUBSTITUTE(SUBSTITUTE(SUBSTITUTE(SUBSTITUTE(Клиенты_исходные!D744," ",""),"-",""),"+",""),"(",""),")",""),2,10),SUBSTITUTE(SUBSTITUTE(SUBSTITUTE(SUBSTITUTE(SUBSTITUTE(Клиенты_исходные!D744," ",""),"-",""),"+",""),"(",""),")","")),8,2)&amp;"-"&amp;MID(IF(LEFT(SUBSTITUTE(SUBSTITUTE(SUBSTITUTE(SUBSTITUTE(SUBSTITUTE(Клиенты_исходные!D744," ",""),"-",""),"+",""),"(",""),")",""))="8","7"&amp;MID(SUBSTITUTE(SUBSTITUTE(SUBSTITUTE(SUBSTITUTE(SUBSTITUTE(Клиенты_исходные!D744," ",""),"-",""),"+",""),"(",""),")",""),2,10),SUBSTITUTE(SUBSTITUTE(SUBSTITUTE(SUBSTITUTE(SUBSTITUTE(Клиенты_исходные!D744," ",""),"-",""),"+",""),"(",""),")","")),10,2),IF(LEN(SUBSTITUTE(SUBSTITUTE(SUBSTITUTE(SUBSTITUTE(SUBSTITUTE(Клиенты_исходные!D744," ",""),"-",""),"+",""),"(",""),")",""))=10,"+7 ("&amp;MID(SUBSTITUTE(SUBSTITUTE(SUBSTITUTE(SUBSTITUTE(SUBSTITUTE(Клиенты_исходные!D744," ",""),"-",""),"+",""),"(",""),")",""),1,3)&amp;") "&amp;MID(SUBSTITUTE(SUBSTITUTE(SUBSTITUTE(SUBSTITUTE(SUBSTITUTE(Клиенты_исходные!D744," ",""),"-",""),"+",""),"(",""),")",""),4,3)&amp;"-"&amp;MID(SUBSTITUTE(SUBSTITUTE(SUBSTITUTE(SUBSTITUTE(SUBSTITUTE(Клиенты_исходные!D744," ",""),"-",""),"+",""),"(",""),")",""),6,2)&amp;"-"&amp;MID(SUBSTITUTE(SUBSTITUTE(SUBSTITUTE(SUBSTITUTE(SUBSTITUTE(Клиенты_исходные!D744," ",""),"-",""),"+",""),"(",""),")",""),8,2),Клиенты_исходные!D744)))</f>
        <v xml:space="preserve">+7 (903) 345-67-89</v>
      </c>
      <c r="E744" t="str">
        <f>IF(ISBLANK(Клиенты_исходные!E744),"",IF(ISNUMBER(FIND(".",MID(Клиенты_исходные!E744,FIND("@",Клиенты_исходные!E744)+1,255))),Клиенты_исходные!E744,IF(ISNUMBER(FIND("gmail",Клиенты_исходные!E744)),Клиенты_исходные!E744&amp;".com",Клиенты_исходные!E744&amp;".ru")))</f>
        <v>bychkova@yandex.ru</v>
      </c>
      <c r="F744" t="str">
        <f>IFERROR(VLOOKUP(Клиенты_исходные!F744,Справочники!$J$2:$K$50,2,FALSE),Клиенты_исходные!F744)</f>
        <v>Симферополь</v>
      </c>
      <c r="G744" s="8">
        <f>IFERROR(IF(ISNUMBER(FIND(".",Клиенты_исходные!G744)),DATE(RIGHT(Клиенты_исходные!G744,4),MID(Клиенты_исходные!G744,4,2),LEFT(Клиенты_исходные!G744,2)),DATE(LEFT(Клиенты_исходные!G744,4),MID(Клиенты_исходные!G744,6,2),RIGHT(Клиенты_исходные!G744,2))),Клиенты_исходные!G744)</f>
        <v>52088</v>
      </c>
      <c r="H744">
        <f t="shared" ca="1" si="82"/>
        <v>39</v>
      </c>
      <c r="I744" t="str">
        <f t="shared" si="83"/>
        <v>OK</v>
      </c>
      <c r="J744" t="str">
        <f t="shared" si="84"/>
        <v>OK</v>
      </c>
    </row>
    <row r="745">
      <c r="A745" t="str">
        <f>Клиенты_исходные!A745</f>
        <v>C0744</v>
      </c>
      <c r="B745" t="str">
        <f>PROPER(TRIM(Клиенты_исходные!B745))</f>
        <v xml:space="preserve">Кукушкин Андрей Олегович</v>
      </c>
      <c r="C745" s="8">
        <f>IFERROR(IF(ISNUMBER(FIND(".",Клиенты_исходные!C745)),DATE(RIGHT(Клиенты_исходные!C745,4),MID(Клиенты_исходные!C745,4,2),LEFT(Клиенты_исходные!C745,2)),DATE(LEFT(Клиенты_исходные!C745,4),MID(Клиенты_исходные!C745,6,2),RIGHT(Клиенты_исходные!C745,2))),Клиенты_исходные!C745)</f>
        <v>29949</v>
      </c>
      <c r="D745" t="str">
        <f>IF(ISBLANK(Клиенты_исходные!D745),"",IF(LEN(SUBSTITUTE(SUBSTITUTE(SUBSTITUTE(SUBSTITUTE(SUBSTITUTE(Клиенты_исходные!D745," ",""),"-",""),"+",""),"(",""),")",""))=11,"+7 ("&amp;MID(IF(LEFT(SUBSTITUTE(SUBSTITUTE(SUBSTITUTE(SUBSTITUTE(SUBSTITUTE(Клиенты_исходные!D745," ",""),"-",""),"+",""),"(",""),")",""))="8","7"&amp;MID(SUBSTITUTE(SUBSTITUTE(SUBSTITUTE(SUBSTITUTE(SUBSTITUTE(Клиенты_исходные!D745," ",""),"-",""),"+",""),"(",""),")",""),2,10),SUBSTITUTE(SUBSTITUTE(SUBSTITUTE(SUBSTITUTE(SUBSTITUTE(Клиенты_исходные!D745," ",""),"-",""),"+",""),"(",""),")","")),2,3)&amp;") "&amp;MID(IF(LEFT(SUBSTITUTE(SUBSTITUTE(SUBSTITUTE(SUBSTITUTE(SUBSTITUTE(Клиенты_исходные!D745," ",""),"-",""),"+",""),"(",""),")",""))="8","7"&amp;MID(SUBSTITUTE(SUBSTITUTE(SUBSTITUTE(SUBSTITUTE(SUBSTITUTE(Клиенты_исходные!D745," ",""),"-",""),"+",""),"(",""),")",""),2,10),SUBSTITUTE(SUBSTITUTE(SUBSTITUTE(SUBSTITUTE(SUBSTITUTE(Клиенты_исходные!D745," ",""),"-",""),"+",""),"(",""),")","")),5,3)&amp;"-"&amp;MID(IF(LEFT(SUBSTITUTE(SUBSTITUTE(SUBSTITUTE(SUBSTITUTE(SUBSTITUTE(Клиенты_исходные!D745," ",""),"-",""),"+",""),"(",""),")",""))="8","7"&amp;MID(SUBSTITUTE(SUBSTITUTE(SUBSTITUTE(SUBSTITUTE(SUBSTITUTE(Клиенты_исходные!D745," ",""),"-",""),"+",""),"(",""),")",""),2,10),SUBSTITUTE(SUBSTITUTE(SUBSTITUTE(SUBSTITUTE(SUBSTITUTE(Клиенты_исходные!D745," ",""),"-",""),"+",""),"(",""),")","")),8,2)&amp;"-"&amp;MID(IF(LEFT(SUBSTITUTE(SUBSTITUTE(SUBSTITUTE(SUBSTITUTE(SUBSTITUTE(Клиенты_исходные!D745," ",""),"-",""),"+",""),"(",""),")",""))="8","7"&amp;MID(SUBSTITUTE(SUBSTITUTE(SUBSTITUTE(SUBSTITUTE(SUBSTITUTE(Клиенты_исходные!D745," ",""),"-",""),"+",""),"(",""),")",""),2,10),SUBSTITUTE(SUBSTITUTE(SUBSTITUTE(SUBSTITUTE(SUBSTITUTE(Клиенты_исходные!D745," ",""),"-",""),"+",""),"(",""),")","")),10,2),IF(LEN(SUBSTITUTE(SUBSTITUTE(SUBSTITUTE(SUBSTITUTE(SUBSTITUTE(Клиенты_исходные!D745," ",""),"-",""),"+",""),"(",""),")",""))=10,"+7 ("&amp;MID(SUBSTITUTE(SUBSTITUTE(SUBSTITUTE(SUBSTITUTE(SUBSTITUTE(Клиенты_исходные!D745," ",""),"-",""),"+",""),"(",""),")",""),1,3)&amp;") "&amp;MID(SUBSTITUTE(SUBSTITUTE(SUBSTITUTE(SUBSTITUTE(SUBSTITUTE(Клиенты_исходные!D745," ",""),"-",""),"+",""),"(",""),")",""),4,3)&amp;"-"&amp;MID(SUBSTITUTE(SUBSTITUTE(SUBSTITUTE(SUBSTITUTE(SUBSTITUTE(Клиенты_исходные!D745," ",""),"-",""),"+",""),"(",""),")",""),6,2)&amp;"-"&amp;MID(SUBSTITUTE(SUBSTITUTE(SUBSTITUTE(SUBSTITUTE(SUBSTITUTE(Клиенты_исходные!D745," ",""),"-",""),"+",""),"(",""),")",""),8,2),Клиенты_исходные!D745)))</f>
        <v xml:space="preserve">+7 (903) 456-78-90</v>
      </c>
      <c r="E745" t="str">
        <f>IF(ISBLANK(Клиенты_исходные!E745),"",IF(ISNUMBER(FIND(".",MID(Клиенты_исходные!E745,FIND("@",Клиенты_исходные!E745)+1,255))),Клиенты_исходные!E745,IF(ISNUMBER(FIND("gmail",Клиенты_исходные!E745)),Клиенты_исходные!E745&amp;".com",Клиенты_исходные!E745&amp;".ru")))</f>
        <v>kukushkin@gmail.com</v>
      </c>
      <c r="F745" t="str">
        <f>IFERROR(VLOOKUP(Клиенты_исходные!F745,Справочники!$J$2:$K$50,2,FALSE),Клиенты_исходные!F745)</f>
        <v>Брянск</v>
      </c>
      <c r="G745" s="8">
        <f>IFERROR(IF(ISNUMBER(FIND(".",Клиенты_исходные!G745)),DATE(RIGHT(Клиенты_исходные!G745,4),MID(Клиенты_исходные!G745,4,2),LEFT(Клиенты_исходные!G745,2)),DATE(LEFT(Клиенты_исходные!G745,4),MID(Клиенты_исходные!G745,6,2),RIGHT(Клиенты_исходные!G745,2))),Клиенты_исходные!G745)</f>
        <v>52088</v>
      </c>
      <c r="H745">
        <f t="shared" ca="1" si="82"/>
        <v>44</v>
      </c>
      <c r="I745" t="str">
        <f t="shared" si="83"/>
        <v>OK</v>
      </c>
      <c r="J745" t="str">
        <f t="shared" si="84"/>
        <v>OK</v>
      </c>
    </row>
    <row r="746">
      <c r="A746" t="str">
        <f>Клиенты_исходные!A746</f>
        <v>C0745</v>
      </c>
      <c r="B746" t="str">
        <f>PROPER(TRIM(Клиенты_исходные!B746))</f>
        <v xml:space="preserve">Старшинова Мария Павловна</v>
      </c>
      <c r="C746" s="8">
        <f>IFERROR(IF(ISNUMBER(FIND(".",Клиенты_исходные!C746)),DATE(RIGHT(Клиенты_исходные!C746,4),MID(Клиенты_исходные!C746,4,2),LEFT(Клиенты_исходные!C746,2)),DATE(LEFT(Клиенты_исходные!C746,4),MID(Клиенты_исходные!C746,6,2),RIGHT(Клиенты_исходные!C746,2))),Клиенты_исходные!C746)</f>
        <v>27953</v>
      </c>
      <c r="D746" t="str">
        <f>IF(ISBLANK(Клиенты_исходные!D746),"",IF(LEN(SUBSTITUTE(SUBSTITUTE(SUBSTITUTE(SUBSTITUTE(SUBSTITUTE(Клиенты_исходные!D746," ",""),"-",""),"+",""),"(",""),")",""))=11,"+7 ("&amp;MID(IF(LEFT(SUBSTITUTE(SUBSTITUTE(SUBSTITUTE(SUBSTITUTE(SUBSTITUTE(Клиенты_исходные!D746," ",""),"-",""),"+",""),"(",""),")",""))="8","7"&amp;MID(SUBSTITUTE(SUBSTITUTE(SUBSTITUTE(SUBSTITUTE(SUBSTITUTE(Клиенты_исходные!D746," ",""),"-",""),"+",""),"(",""),")",""),2,10),SUBSTITUTE(SUBSTITUTE(SUBSTITUTE(SUBSTITUTE(SUBSTITUTE(Клиенты_исходные!D746," ",""),"-",""),"+",""),"(",""),")","")),2,3)&amp;") "&amp;MID(IF(LEFT(SUBSTITUTE(SUBSTITUTE(SUBSTITUTE(SUBSTITUTE(SUBSTITUTE(Клиенты_исходные!D746," ",""),"-",""),"+",""),"(",""),")",""))="8","7"&amp;MID(SUBSTITUTE(SUBSTITUTE(SUBSTITUTE(SUBSTITUTE(SUBSTITUTE(Клиенты_исходные!D746," ",""),"-",""),"+",""),"(",""),")",""),2,10),SUBSTITUTE(SUBSTITUTE(SUBSTITUTE(SUBSTITUTE(SUBSTITUTE(Клиенты_исходные!D746," ",""),"-",""),"+",""),"(",""),")","")),5,3)&amp;"-"&amp;MID(IF(LEFT(SUBSTITUTE(SUBSTITUTE(SUBSTITUTE(SUBSTITUTE(SUBSTITUTE(Клиенты_исходные!D746," ",""),"-",""),"+",""),"(",""),")",""))="8","7"&amp;MID(SUBSTITUTE(SUBSTITUTE(SUBSTITUTE(SUBSTITUTE(SUBSTITUTE(Клиенты_исходные!D746," ",""),"-",""),"+",""),"(",""),")",""),2,10),SUBSTITUTE(SUBSTITUTE(SUBSTITUTE(SUBSTITUTE(SUBSTITUTE(Клиенты_исходные!D746," ",""),"-",""),"+",""),"(",""),")","")),8,2)&amp;"-"&amp;MID(IF(LEFT(SUBSTITUTE(SUBSTITUTE(SUBSTITUTE(SUBSTITUTE(SUBSTITUTE(Клиенты_исходные!D746," ",""),"-",""),"+",""),"(",""),")",""))="8","7"&amp;MID(SUBSTITUTE(SUBSTITUTE(SUBSTITUTE(SUBSTITUTE(SUBSTITUTE(Клиенты_исходные!D746," ",""),"-",""),"+",""),"(",""),")",""),2,10),SUBSTITUTE(SUBSTITUTE(SUBSTITUTE(SUBSTITUTE(SUBSTITUTE(Клиенты_исходные!D746," ",""),"-",""),"+",""),"(",""),")","")),10,2),IF(LEN(SUBSTITUTE(SUBSTITUTE(SUBSTITUTE(SUBSTITUTE(SUBSTITUTE(Клиенты_исходные!D746," ",""),"-",""),"+",""),"(",""),")",""))=10,"+7 ("&amp;MID(SUBSTITUTE(SUBSTITUTE(SUBSTITUTE(SUBSTITUTE(SUBSTITUTE(Клиенты_исходные!D746," ",""),"-",""),"+",""),"(",""),")",""),1,3)&amp;") "&amp;MID(SUBSTITUTE(SUBSTITUTE(SUBSTITUTE(SUBSTITUTE(SUBSTITUTE(Клиенты_исходные!D746," ",""),"-",""),"+",""),"(",""),")",""),4,3)&amp;"-"&amp;MID(SUBSTITUTE(SUBSTITUTE(SUBSTITUTE(SUBSTITUTE(SUBSTITUTE(Клиенты_исходные!D746," ",""),"-",""),"+",""),"(",""),")",""),6,2)&amp;"-"&amp;MID(SUBSTITUTE(SUBSTITUTE(SUBSTITUTE(SUBSTITUTE(SUBSTITUTE(Клиенты_исходные!D746," ",""),"-",""),"+",""),"(",""),")",""),8,2),Клиенты_исходные!D746)))</f>
        <v xml:space="preserve">+7 (903) 456-78-90</v>
      </c>
      <c r="E746" t="str">
        <f>IF(ISBLANK(Клиенты_исходные!E746),"",IF(ISNUMBER(FIND(".",MID(Клиенты_исходные!E746,FIND("@",Клиенты_исходные!E746)+1,255))),Клиенты_исходные!E746,IF(ISNUMBER(FIND("gmail",Клиенты_исходные!E746)),Клиенты_исходные!E746&amp;".com",Клиенты_исходные!E746&amp;".ru")))</f>
        <v>starshinova@mail.ru</v>
      </c>
      <c r="F746" t="str">
        <f>IFERROR(VLOOKUP(Клиенты_исходные!F746,Справочники!$J$2:$K$50,2,FALSE),Клиенты_исходные!F746)</f>
        <v>Абакан</v>
      </c>
      <c r="G746" s="8">
        <f>IFERROR(IF(ISNUMBER(FIND(".",Клиенты_исходные!G746)),DATE(RIGHT(Клиенты_исходные!G746,4),MID(Клиенты_исходные!G746,4,2),LEFT(Клиенты_исходные!G746,2)),DATE(LEFT(Клиенты_исходные!G746,4),MID(Клиенты_исходные!G746,6,2),RIGHT(Клиенты_исходные!G746,2))),Клиенты_исходные!G746)</f>
        <v>52110</v>
      </c>
      <c r="H746">
        <f t="shared" ca="1" si="82"/>
        <v>50</v>
      </c>
      <c r="I746" t="str">
        <f t="shared" si="83"/>
        <v>OK</v>
      </c>
      <c r="J746" t="str">
        <f t="shared" si="84"/>
        <v>OK</v>
      </c>
    </row>
    <row r="747">
      <c r="A747" t="str">
        <f>Клиенты_исходные!A747</f>
        <v>C0746</v>
      </c>
      <c r="B747" t="str">
        <f>PROPER(TRIM(Клиенты_исходные!B747))</f>
        <v xml:space="preserve">Стрельников Денис Викторович</v>
      </c>
      <c r="C747" s="8">
        <f>IFERROR(IF(ISNUMBER(FIND(".",Клиенты_исходные!C747)),DATE(RIGHT(Клиенты_исходные!C747,4),MID(Клиенты_исходные!C747,4,2),LEFT(Клиенты_исходные!C747,2)),DATE(LEFT(Клиенты_исходные!C747,4),MID(Клиенты_исходные!C747,6,2),RIGHT(Клиенты_исходные!C747,2))),Клиенты_исходные!C747)</f>
        <v>32409</v>
      </c>
      <c r="D747" t="str">
        <f>IF(ISBLANK(Клиенты_исходные!D747),"",IF(LEN(SUBSTITUTE(SUBSTITUTE(SUBSTITUTE(SUBSTITUTE(SUBSTITUTE(Клиенты_исходные!D747," ",""),"-",""),"+",""),"(",""),")",""))=11,"+7 ("&amp;MID(IF(LEFT(SUBSTITUTE(SUBSTITUTE(SUBSTITUTE(SUBSTITUTE(SUBSTITUTE(Клиенты_исходные!D747," ",""),"-",""),"+",""),"(",""),")",""))="8","7"&amp;MID(SUBSTITUTE(SUBSTITUTE(SUBSTITUTE(SUBSTITUTE(SUBSTITUTE(Клиенты_исходные!D747," ",""),"-",""),"+",""),"(",""),")",""),2,10),SUBSTITUTE(SUBSTITUTE(SUBSTITUTE(SUBSTITUTE(SUBSTITUTE(Клиенты_исходные!D747," ",""),"-",""),"+",""),"(",""),")","")),2,3)&amp;") "&amp;MID(IF(LEFT(SUBSTITUTE(SUBSTITUTE(SUBSTITUTE(SUBSTITUTE(SUBSTITUTE(Клиенты_исходные!D747," ",""),"-",""),"+",""),"(",""),")",""))="8","7"&amp;MID(SUBSTITUTE(SUBSTITUTE(SUBSTITUTE(SUBSTITUTE(SUBSTITUTE(Клиенты_исходные!D747," ",""),"-",""),"+",""),"(",""),")",""),2,10),SUBSTITUTE(SUBSTITUTE(SUBSTITUTE(SUBSTITUTE(SUBSTITUTE(Клиенты_исходные!D747," ",""),"-",""),"+",""),"(",""),")","")),5,3)&amp;"-"&amp;MID(IF(LEFT(SUBSTITUTE(SUBSTITUTE(SUBSTITUTE(SUBSTITUTE(SUBSTITUTE(Клиенты_исходные!D747," ",""),"-",""),"+",""),"(",""),")",""))="8","7"&amp;MID(SUBSTITUTE(SUBSTITUTE(SUBSTITUTE(SUBSTITUTE(SUBSTITUTE(Клиенты_исходные!D747," ",""),"-",""),"+",""),"(",""),")",""),2,10),SUBSTITUTE(SUBSTITUTE(SUBSTITUTE(SUBSTITUTE(SUBSTITUTE(Клиенты_исходные!D747," ",""),"-",""),"+",""),"(",""),")","")),8,2)&amp;"-"&amp;MID(IF(LEFT(SUBSTITUTE(SUBSTITUTE(SUBSTITUTE(SUBSTITUTE(SUBSTITUTE(Клиенты_исходные!D747," ",""),"-",""),"+",""),"(",""),")",""))="8","7"&amp;MID(SUBSTITUTE(SUBSTITUTE(SUBSTITUTE(SUBSTITUTE(SUBSTITUTE(Клиенты_исходные!D747," ",""),"-",""),"+",""),"(",""),")",""),2,10),SUBSTITUTE(SUBSTITUTE(SUBSTITUTE(SUBSTITUTE(SUBSTITUTE(Клиенты_исходные!D747," ",""),"-",""),"+",""),"(",""),")","")),10,2),IF(LEN(SUBSTITUTE(SUBSTITUTE(SUBSTITUTE(SUBSTITUTE(SUBSTITUTE(Клиенты_исходные!D747," ",""),"-",""),"+",""),"(",""),")",""))=10,"+7 ("&amp;MID(SUBSTITUTE(SUBSTITUTE(SUBSTITUTE(SUBSTITUTE(SUBSTITUTE(Клиенты_исходные!D747," ",""),"-",""),"+",""),"(",""),")",""),1,3)&amp;") "&amp;MID(SUBSTITUTE(SUBSTITUTE(SUBSTITUTE(SUBSTITUTE(SUBSTITUTE(Клиенты_исходные!D747," ",""),"-",""),"+",""),"(",""),")",""),4,3)&amp;"-"&amp;MID(SUBSTITUTE(SUBSTITUTE(SUBSTITUTE(SUBSTITUTE(SUBSTITUTE(Клиенты_исходные!D747," ",""),"-",""),"+",""),"(",""),")",""),6,2)&amp;"-"&amp;MID(SUBSTITUTE(SUBSTITUTE(SUBSTITUTE(SUBSTITUTE(SUBSTITUTE(Клиенты_исходные!D747," ",""),"-",""),"+",""),"(",""),")",""),8,2),Клиенты_исходные!D747)))</f>
        <v xml:space="preserve">+7 (903) 456-78-90</v>
      </c>
      <c r="E747" t="str">
        <f>IF(ISBLANK(Клиенты_исходные!E747),"",IF(ISNUMBER(FIND(".",MID(Клиенты_исходные!E747,FIND("@",Клиенты_исходные!E747)+1,255))),Клиенты_исходные!E747,IF(ISNUMBER(FIND("gmail",Клиенты_исходные!E747)),Клиенты_исходные!E747&amp;".com",Клиенты_исходные!E747&amp;".ru")))</f>
        <v>strelnikov@yandex.ru</v>
      </c>
      <c r="F747" t="str">
        <f>IFERROR(VLOOKUP(Клиенты_исходные!F747,Справочники!$J$2:$K$50,2,FALSE),Клиенты_исходные!F747)</f>
        <v>Грозный</v>
      </c>
      <c r="G747" s="8">
        <f>IFERROR(IF(ISNUMBER(FIND(".",Клиенты_исходные!G747)),DATE(RIGHT(Клиенты_исходные!G747,4),MID(Клиенты_исходные!G747,4,2),LEFT(Клиенты_исходные!G747,2)),DATE(LEFT(Клиенты_исходные!G747,4),MID(Клиенты_исходные!G747,6,2),RIGHT(Клиенты_исходные!G747,2))),Клиенты_исходные!G747)</f>
        <v>52124</v>
      </c>
      <c r="H747">
        <f t="shared" ca="1" si="82"/>
        <v>38</v>
      </c>
      <c r="I747" t="str">
        <f t="shared" si="83"/>
        <v>OK</v>
      </c>
      <c r="J747" t="str">
        <f t="shared" si="84"/>
        <v>OK</v>
      </c>
    </row>
    <row r="748">
      <c r="A748" t="str">
        <f>Клиенты_исходные!A748</f>
        <v>C0747</v>
      </c>
      <c r="B748" t="str">
        <f>PROPER(TRIM(Клиенты_исходные!B748))</f>
        <v xml:space="preserve">Березина Ольга Сергеевна</v>
      </c>
      <c r="C748" s="8">
        <f>IFERROR(IF(ISNUMBER(FIND(".",Клиенты_исходные!C748)),DATE(RIGHT(Клиенты_исходные!C748,4),MID(Клиенты_исходные!C748,4,2),LEFT(Клиенты_исходные!C748,2)),DATE(LEFT(Клиенты_исходные!C748,4),MID(Клиенты_исходные!C748,6,2),RIGHT(Клиенты_исходные!C748,2))),Клиенты_исходные!C748)</f>
        <v>30726</v>
      </c>
      <c r="D748" t="str">
        <f>IF(ISBLANK(Клиенты_исходные!D748),"",IF(LEN(SUBSTITUTE(SUBSTITUTE(SUBSTITUTE(SUBSTITUTE(SUBSTITUTE(Клиенты_исходные!D748," ",""),"-",""),"+",""),"(",""),")",""))=11,"+7 ("&amp;MID(IF(LEFT(SUBSTITUTE(SUBSTITUTE(SUBSTITUTE(SUBSTITUTE(SUBSTITUTE(Клиенты_исходные!D748," ",""),"-",""),"+",""),"(",""),")",""))="8","7"&amp;MID(SUBSTITUTE(SUBSTITUTE(SUBSTITUTE(SUBSTITUTE(SUBSTITUTE(Клиенты_исходные!D748," ",""),"-",""),"+",""),"(",""),")",""),2,10),SUBSTITUTE(SUBSTITUTE(SUBSTITUTE(SUBSTITUTE(SUBSTITUTE(Клиенты_исходные!D748," ",""),"-",""),"+",""),"(",""),")","")),2,3)&amp;") "&amp;MID(IF(LEFT(SUBSTITUTE(SUBSTITUTE(SUBSTITUTE(SUBSTITUTE(SUBSTITUTE(Клиенты_исходные!D748," ",""),"-",""),"+",""),"(",""),")",""))="8","7"&amp;MID(SUBSTITUTE(SUBSTITUTE(SUBSTITUTE(SUBSTITUTE(SUBSTITUTE(Клиенты_исходные!D748," ",""),"-",""),"+",""),"(",""),")",""),2,10),SUBSTITUTE(SUBSTITUTE(SUBSTITUTE(SUBSTITUTE(SUBSTITUTE(Клиенты_исходные!D748," ",""),"-",""),"+",""),"(",""),")","")),5,3)&amp;"-"&amp;MID(IF(LEFT(SUBSTITUTE(SUBSTITUTE(SUBSTITUTE(SUBSTITUTE(SUBSTITUTE(Клиенты_исходные!D748," ",""),"-",""),"+",""),"(",""),")",""))="8","7"&amp;MID(SUBSTITUTE(SUBSTITUTE(SUBSTITUTE(SUBSTITUTE(SUBSTITUTE(Клиенты_исходные!D748," ",""),"-",""),"+",""),"(",""),")",""),2,10),SUBSTITUTE(SUBSTITUTE(SUBSTITUTE(SUBSTITUTE(SUBSTITUTE(Клиенты_исходные!D748," ",""),"-",""),"+",""),"(",""),")","")),8,2)&amp;"-"&amp;MID(IF(LEFT(SUBSTITUTE(SUBSTITUTE(SUBSTITUTE(SUBSTITUTE(SUBSTITUTE(Клиенты_исходные!D748," ",""),"-",""),"+",""),"(",""),")",""))="8","7"&amp;MID(SUBSTITUTE(SUBSTITUTE(SUBSTITUTE(SUBSTITUTE(SUBSTITUTE(Клиенты_исходные!D748," ",""),"-",""),"+",""),"(",""),")",""),2,10),SUBSTITUTE(SUBSTITUTE(SUBSTITUTE(SUBSTITUTE(SUBSTITUTE(Клиенты_исходные!D748," ",""),"-",""),"+",""),"(",""),")","")),10,2),IF(LEN(SUBSTITUTE(SUBSTITUTE(SUBSTITUTE(SUBSTITUTE(SUBSTITUTE(Клиенты_исходные!D748," ",""),"-",""),"+",""),"(",""),")",""))=10,"+7 ("&amp;MID(SUBSTITUTE(SUBSTITUTE(SUBSTITUTE(SUBSTITUTE(SUBSTITUTE(Клиенты_исходные!D748," ",""),"-",""),"+",""),"(",""),")",""),1,3)&amp;") "&amp;MID(SUBSTITUTE(SUBSTITUTE(SUBSTITUTE(SUBSTITUTE(SUBSTITUTE(Клиенты_исходные!D748," ",""),"-",""),"+",""),"(",""),")",""),4,3)&amp;"-"&amp;MID(SUBSTITUTE(SUBSTITUTE(SUBSTITUTE(SUBSTITUTE(SUBSTITUTE(Клиенты_исходные!D748," ",""),"-",""),"+",""),"(",""),")",""),6,2)&amp;"-"&amp;MID(SUBSTITUTE(SUBSTITUTE(SUBSTITUTE(SUBSTITUTE(SUBSTITUTE(Клиенты_исходные!D748," ",""),"-",""),"+",""),"(",""),")",""),8,2),Клиенты_исходные!D748)))</f>
        <v xml:space="preserve">+7 (903) 567-89-01</v>
      </c>
      <c r="E748" t="str">
        <f>IF(ISBLANK(Клиенты_исходные!E748),"",IF(ISNUMBER(FIND(".",MID(Клиенты_исходные!E748,FIND("@",Клиенты_исходные!E748)+1,255))),Клиенты_исходные!E748,IF(ISNUMBER(FIND("gmail",Клиенты_исходные!E748)),Клиенты_исходные!E748&amp;".com",Клиенты_исходные!E748&amp;".ru")))</f>
        <v>berezina@gmail.com</v>
      </c>
      <c r="F748" t="str">
        <f>IFERROR(VLOOKUP(Клиенты_исходные!F748,Справочники!$J$2:$K$50,2,FALSE),Клиенты_исходные!F748)</f>
        <v>Бийск</v>
      </c>
      <c r="G748" s="8">
        <f>IFERROR(IF(ISNUMBER(FIND(".",Клиенты_исходные!G748)),DATE(RIGHT(Клиенты_исходные!G748,4),MID(Клиенты_исходные!G748,4,2),LEFT(Клиенты_исходные!G748,2)),DATE(LEFT(Клиенты_исходные!G748,4),MID(Клиенты_исходные!G748,6,2),RIGHT(Клиенты_исходные!G748,2))),Клиенты_исходные!G748)</f>
        <v>52124</v>
      </c>
      <c r="H748">
        <f t="shared" ca="1" si="82"/>
        <v>42</v>
      </c>
      <c r="I748" t="str">
        <f t="shared" si="83"/>
        <v>OK</v>
      </c>
      <c r="J748" t="str">
        <f t="shared" si="84"/>
        <v>OK</v>
      </c>
    </row>
    <row r="749">
      <c r="A749" t="str">
        <f>Клиенты_исходные!A749</f>
        <v>C0748</v>
      </c>
      <c r="B749" t="str">
        <f>PROPER(TRIM(Клиенты_исходные!B749))</f>
        <v xml:space="preserve">Сысоев Илья Алексеевич</v>
      </c>
      <c r="C749" s="8">
        <f>IFERROR(IF(ISNUMBER(FIND(".",Клиенты_исходные!C749)),DATE(RIGHT(Клиенты_исходные!C749,4),MID(Клиенты_исходные!C749,4,2),LEFT(Клиенты_исходные!C749,2)),DATE(LEFT(Клиенты_исходные!C749,4),MID(Клиенты_исходные!C749,6,2),RIGHT(Клиенты_исходные!C749,2))),Клиенты_исходные!C749)</f>
        <v>26785</v>
      </c>
      <c r="D749" t="str">
        <f>IF(ISBLANK(Клиенты_исходные!D749),"",IF(LEN(SUBSTITUTE(SUBSTITUTE(SUBSTITUTE(SUBSTITUTE(SUBSTITUTE(Клиенты_исходные!D749," ",""),"-",""),"+",""),"(",""),")",""))=11,"+7 ("&amp;MID(IF(LEFT(SUBSTITUTE(SUBSTITUTE(SUBSTITUTE(SUBSTITUTE(SUBSTITUTE(Клиенты_исходные!D749," ",""),"-",""),"+",""),"(",""),")",""))="8","7"&amp;MID(SUBSTITUTE(SUBSTITUTE(SUBSTITUTE(SUBSTITUTE(SUBSTITUTE(Клиенты_исходные!D749," ",""),"-",""),"+",""),"(",""),")",""),2,10),SUBSTITUTE(SUBSTITUTE(SUBSTITUTE(SUBSTITUTE(SUBSTITUTE(Клиенты_исходные!D749," ",""),"-",""),"+",""),"(",""),")","")),2,3)&amp;") "&amp;MID(IF(LEFT(SUBSTITUTE(SUBSTITUTE(SUBSTITUTE(SUBSTITUTE(SUBSTITUTE(Клиенты_исходные!D749," ",""),"-",""),"+",""),"(",""),")",""))="8","7"&amp;MID(SUBSTITUTE(SUBSTITUTE(SUBSTITUTE(SUBSTITUTE(SUBSTITUTE(Клиенты_исходные!D749," ",""),"-",""),"+",""),"(",""),")",""),2,10),SUBSTITUTE(SUBSTITUTE(SUBSTITUTE(SUBSTITUTE(SUBSTITUTE(Клиенты_исходные!D749," ",""),"-",""),"+",""),"(",""),")","")),5,3)&amp;"-"&amp;MID(IF(LEFT(SUBSTITUTE(SUBSTITUTE(SUBSTITUTE(SUBSTITUTE(SUBSTITUTE(Клиенты_исходные!D749," ",""),"-",""),"+",""),"(",""),")",""))="8","7"&amp;MID(SUBSTITUTE(SUBSTITUTE(SUBSTITUTE(SUBSTITUTE(SUBSTITUTE(Клиенты_исходные!D749," ",""),"-",""),"+",""),"(",""),")",""),2,10),SUBSTITUTE(SUBSTITUTE(SUBSTITUTE(SUBSTITUTE(SUBSTITUTE(Клиенты_исходные!D749," ",""),"-",""),"+",""),"(",""),")","")),8,2)&amp;"-"&amp;MID(IF(LEFT(SUBSTITUTE(SUBSTITUTE(SUBSTITUTE(SUBSTITUTE(SUBSTITUTE(Клиенты_исходные!D749," ",""),"-",""),"+",""),"(",""),")",""))="8","7"&amp;MID(SUBSTITUTE(SUBSTITUTE(SUBSTITUTE(SUBSTITUTE(SUBSTITUTE(Клиенты_исходные!D749," ",""),"-",""),"+",""),"(",""),")",""),2,10),SUBSTITUTE(SUBSTITUTE(SUBSTITUTE(SUBSTITUTE(SUBSTITUTE(Клиенты_исходные!D749," ",""),"-",""),"+",""),"(",""),")","")),10,2),IF(LEN(SUBSTITUTE(SUBSTITUTE(SUBSTITUTE(SUBSTITUTE(SUBSTITUTE(Клиенты_исходные!D749," ",""),"-",""),"+",""),"(",""),")",""))=10,"+7 ("&amp;MID(SUBSTITUTE(SUBSTITUTE(SUBSTITUTE(SUBSTITUTE(SUBSTITUTE(Клиенты_исходные!D749," ",""),"-",""),"+",""),"(",""),")",""),1,3)&amp;") "&amp;MID(SUBSTITUTE(SUBSTITUTE(SUBSTITUTE(SUBSTITUTE(SUBSTITUTE(Клиенты_исходные!D749," ",""),"-",""),"+",""),"(",""),")",""),4,3)&amp;"-"&amp;MID(SUBSTITUTE(SUBSTITUTE(SUBSTITUTE(SUBSTITUTE(SUBSTITUTE(Клиенты_исходные!D749," ",""),"-",""),"+",""),"(",""),")",""),6,2)&amp;"-"&amp;MID(SUBSTITUTE(SUBSTITUTE(SUBSTITUTE(SUBSTITUTE(SUBSTITUTE(Клиенты_исходные!D749," ",""),"-",""),"+",""),"(",""),")",""),8,2),Клиенты_исходные!D749)))</f>
        <v xml:space="preserve">+7 (903) 567-89-01</v>
      </c>
      <c r="E749" t="str">
        <f>IF(ISBLANK(Клиенты_исходные!E749),"",IF(ISNUMBER(FIND(".",MID(Клиенты_исходные!E749,FIND("@",Клиенты_исходные!E749)+1,255))),Клиенты_исходные!E749,IF(ISNUMBER(FIND("gmail",Клиенты_исходные!E749)),Клиенты_исходные!E749&amp;".com",Клиенты_исходные!E749&amp;".ru")))</f>
        <v>sysoev@mail.ru</v>
      </c>
      <c r="F749" t="str">
        <f>IFERROR(VLOOKUP(Клиенты_исходные!F749,Справочники!$J$2:$K$50,2,FALSE),Клиенты_исходные!F749)</f>
        <v>Йошкар-Ола</v>
      </c>
      <c r="G749" s="8">
        <f>IFERROR(IF(ISNUMBER(FIND(".",Клиенты_исходные!G749)),DATE(RIGHT(Клиенты_исходные!G749,4),MID(Клиенты_исходные!G749,4,2),LEFT(Клиенты_исходные!G749,2)),DATE(LEFT(Клиенты_исходные!G749,4),MID(Клиенты_исходные!G749,6,2),RIGHT(Клиенты_исходные!G749,2))),Клиенты_исходные!G749)</f>
        <v>52140</v>
      </c>
      <c r="H749">
        <f t="shared" ca="1" si="82"/>
        <v>53</v>
      </c>
      <c r="I749" t="str">
        <f t="shared" si="83"/>
        <v>OK</v>
      </c>
      <c r="J749" t="str">
        <f t="shared" si="84"/>
        <v>OK</v>
      </c>
    </row>
    <row r="750">
      <c r="A750" t="str">
        <f>Клиенты_исходные!A750</f>
        <v>C0749</v>
      </c>
      <c r="B750" t="str">
        <f>PROPER(TRIM(Клиенты_исходные!B750))</f>
        <v xml:space="preserve">Жижина Екатерина Владимировна</v>
      </c>
      <c r="C750" s="8">
        <f>IFERROR(IF(ISNUMBER(FIND(".",Клиенты_исходные!C750)),DATE(RIGHT(Клиенты_исходные!C750,4),MID(Клиенты_исходные!C750,4,2),LEFT(Клиенты_исходные!C750,2)),DATE(LEFT(Клиенты_исходные!C750,4),MID(Клиенты_исходные!C750,6,2),RIGHT(Клиенты_исходные!C750,2))),Клиенты_исходные!C750)</f>
        <v>29453</v>
      </c>
      <c r="D750" t="str">
        <f>IF(ISBLANK(Клиенты_исходные!D750),"",IF(LEN(SUBSTITUTE(SUBSTITUTE(SUBSTITUTE(SUBSTITUTE(SUBSTITUTE(Клиенты_исходные!D750," ",""),"-",""),"+",""),"(",""),")",""))=11,"+7 ("&amp;MID(IF(LEFT(SUBSTITUTE(SUBSTITUTE(SUBSTITUTE(SUBSTITUTE(SUBSTITUTE(Клиенты_исходные!D750," ",""),"-",""),"+",""),"(",""),")",""))="8","7"&amp;MID(SUBSTITUTE(SUBSTITUTE(SUBSTITUTE(SUBSTITUTE(SUBSTITUTE(Клиенты_исходные!D750," ",""),"-",""),"+",""),"(",""),")",""),2,10),SUBSTITUTE(SUBSTITUTE(SUBSTITUTE(SUBSTITUTE(SUBSTITUTE(Клиенты_исходные!D750," ",""),"-",""),"+",""),"(",""),")","")),2,3)&amp;") "&amp;MID(IF(LEFT(SUBSTITUTE(SUBSTITUTE(SUBSTITUTE(SUBSTITUTE(SUBSTITUTE(Клиенты_исходные!D750," ",""),"-",""),"+",""),"(",""),")",""))="8","7"&amp;MID(SUBSTITUTE(SUBSTITUTE(SUBSTITUTE(SUBSTITUTE(SUBSTITUTE(Клиенты_исходные!D750," ",""),"-",""),"+",""),"(",""),")",""),2,10),SUBSTITUTE(SUBSTITUTE(SUBSTITUTE(SUBSTITUTE(SUBSTITUTE(Клиенты_исходные!D750," ",""),"-",""),"+",""),"(",""),")","")),5,3)&amp;"-"&amp;MID(IF(LEFT(SUBSTITUTE(SUBSTITUTE(SUBSTITUTE(SUBSTITUTE(SUBSTITUTE(Клиенты_исходные!D750," ",""),"-",""),"+",""),"(",""),")",""))="8","7"&amp;MID(SUBSTITUTE(SUBSTITUTE(SUBSTITUTE(SUBSTITUTE(SUBSTITUTE(Клиенты_исходные!D750," ",""),"-",""),"+",""),"(",""),")",""),2,10),SUBSTITUTE(SUBSTITUTE(SUBSTITUTE(SUBSTITUTE(SUBSTITUTE(Клиенты_исходные!D750," ",""),"-",""),"+",""),"(",""),")","")),8,2)&amp;"-"&amp;MID(IF(LEFT(SUBSTITUTE(SUBSTITUTE(SUBSTITUTE(SUBSTITUTE(SUBSTITUTE(Клиенты_исходные!D750," ",""),"-",""),"+",""),"(",""),")",""))="8","7"&amp;MID(SUBSTITUTE(SUBSTITUTE(SUBSTITUTE(SUBSTITUTE(SUBSTITUTE(Клиенты_исходные!D750," ",""),"-",""),"+",""),"(",""),")",""),2,10),SUBSTITUTE(SUBSTITUTE(SUBSTITUTE(SUBSTITUTE(SUBSTITUTE(Клиенты_исходные!D750," ",""),"-",""),"+",""),"(",""),")","")),10,2),IF(LEN(SUBSTITUTE(SUBSTITUTE(SUBSTITUTE(SUBSTITUTE(SUBSTITUTE(Клиенты_исходные!D750," ",""),"-",""),"+",""),"(",""),")",""))=10,"+7 ("&amp;MID(SUBSTITUTE(SUBSTITUTE(SUBSTITUTE(SUBSTITUTE(SUBSTITUTE(Клиенты_исходные!D750," ",""),"-",""),"+",""),"(",""),")",""),1,3)&amp;") "&amp;MID(SUBSTITUTE(SUBSTITUTE(SUBSTITUTE(SUBSTITUTE(SUBSTITUTE(Клиенты_исходные!D750," ",""),"-",""),"+",""),"(",""),")",""),4,3)&amp;"-"&amp;MID(SUBSTITUTE(SUBSTITUTE(SUBSTITUTE(SUBSTITUTE(SUBSTITUTE(Клиенты_исходные!D750," ",""),"-",""),"+",""),"(",""),")",""),6,2)&amp;"-"&amp;MID(SUBSTITUTE(SUBSTITUTE(SUBSTITUTE(SUBSTITUTE(SUBSTITUTE(Клиенты_исходные!D750," ",""),"-",""),"+",""),"(",""),")",""),8,2),Клиенты_исходные!D750)))</f>
        <v xml:space="preserve">+7 (903) 567-89-01</v>
      </c>
      <c r="E750" t="str">
        <f>IF(ISBLANK(Клиенты_исходные!E750),"",IF(ISNUMBER(FIND(".",MID(Клиенты_исходные!E750,FIND("@",Клиенты_исходные!E750)+1,255))),Клиенты_исходные!E750,IF(ISNUMBER(FIND("gmail",Клиенты_исходные!E750)),Клиенты_исходные!E750&amp;".com",Клиенты_исходные!E750&amp;".ru")))</f>
        <v>zhizhina@yandex.ru</v>
      </c>
      <c r="F750" t="str">
        <f>IFERROR(VLOOKUP(Клиенты_исходные!F750,Справочники!$J$2:$K$50,2,FALSE),Клиенты_исходные!F750)</f>
        <v>Курган</v>
      </c>
      <c r="G750" s="8">
        <f>IFERROR(IF(ISNUMBER(FIND(".",Клиенты_исходные!G750)),DATE(RIGHT(Клиенты_исходные!G750,4),MID(Клиенты_исходные!G750,4,2),LEFT(Клиенты_исходные!G750,2)),DATE(LEFT(Клиенты_исходные!G750,4),MID(Клиенты_исходные!G750,6,2),RIGHT(Клиенты_исходные!G750,2))),Клиенты_исходные!G750)</f>
        <v>52149</v>
      </c>
      <c r="H750">
        <f t="shared" ca="1" si="82"/>
        <v>46</v>
      </c>
      <c r="I750" t="str">
        <f t="shared" si="83"/>
        <v>OK</v>
      </c>
      <c r="J750" t="str">
        <f t="shared" si="84"/>
        <v>OK</v>
      </c>
    </row>
    <row r="751">
      <c r="A751" t="str">
        <f>Клиенты_исходные!A751</f>
        <v>C0750</v>
      </c>
      <c r="B751" t="str">
        <f>PROPER(TRIM(Клиенты_исходные!B751))</f>
        <v xml:space="preserve">Кривошеев Андрей Павлович</v>
      </c>
      <c r="C751" s="8">
        <f>IFERROR(IF(ISNUMBER(FIND(".",Клиенты_исходные!C751)),DATE(RIGHT(Клиенты_исходные!C751,4),MID(Клиенты_исходные!C751,4,2),LEFT(Клиенты_исходные!C751,2)),DATE(LEFT(Клиенты_исходные!C751,4),MID(Клиенты_исходные!C751,6,2),RIGHT(Клиенты_исходные!C751,2))),Клиенты_исходные!C751)</f>
        <v>31757</v>
      </c>
      <c r="D751" t="str">
        <f>IF(ISBLANK(Клиенты_исходные!D751),"",IF(LEN(SUBSTITUTE(SUBSTITUTE(SUBSTITUTE(SUBSTITUTE(SUBSTITUTE(Клиенты_исходные!D751," ",""),"-",""),"+",""),"(",""),")",""))=11,"+7 ("&amp;MID(IF(LEFT(SUBSTITUTE(SUBSTITUTE(SUBSTITUTE(SUBSTITUTE(SUBSTITUTE(Клиенты_исходные!D751," ",""),"-",""),"+",""),"(",""),")",""))="8","7"&amp;MID(SUBSTITUTE(SUBSTITUTE(SUBSTITUTE(SUBSTITUTE(SUBSTITUTE(Клиенты_исходные!D751," ",""),"-",""),"+",""),"(",""),")",""),2,10),SUBSTITUTE(SUBSTITUTE(SUBSTITUTE(SUBSTITUTE(SUBSTITUTE(Клиенты_исходные!D751," ",""),"-",""),"+",""),"(",""),")","")),2,3)&amp;") "&amp;MID(IF(LEFT(SUBSTITUTE(SUBSTITUTE(SUBSTITUTE(SUBSTITUTE(SUBSTITUTE(Клиенты_исходные!D751," ",""),"-",""),"+",""),"(",""),")",""))="8","7"&amp;MID(SUBSTITUTE(SUBSTITUTE(SUBSTITUTE(SUBSTITUTE(SUBSTITUTE(Клиенты_исходные!D751," ",""),"-",""),"+",""),"(",""),")",""),2,10),SUBSTITUTE(SUBSTITUTE(SUBSTITUTE(SUBSTITUTE(SUBSTITUTE(Клиенты_исходные!D751," ",""),"-",""),"+",""),"(",""),")","")),5,3)&amp;"-"&amp;MID(IF(LEFT(SUBSTITUTE(SUBSTITUTE(SUBSTITUTE(SUBSTITUTE(SUBSTITUTE(Клиенты_исходные!D751," ",""),"-",""),"+",""),"(",""),")",""))="8","7"&amp;MID(SUBSTITUTE(SUBSTITUTE(SUBSTITUTE(SUBSTITUTE(SUBSTITUTE(Клиенты_исходные!D751," ",""),"-",""),"+",""),"(",""),")",""),2,10),SUBSTITUTE(SUBSTITUTE(SUBSTITUTE(SUBSTITUTE(SUBSTITUTE(Клиенты_исходные!D751," ",""),"-",""),"+",""),"(",""),")","")),8,2)&amp;"-"&amp;MID(IF(LEFT(SUBSTITUTE(SUBSTITUTE(SUBSTITUTE(SUBSTITUTE(SUBSTITUTE(Клиенты_исходные!D751," ",""),"-",""),"+",""),"(",""),")",""))="8","7"&amp;MID(SUBSTITUTE(SUBSTITUTE(SUBSTITUTE(SUBSTITUTE(SUBSTITUTE(Клиенты_исходные!D751," ",""),"-",""),"+",""),"(",""),")",""),2,10),SUBSTITUTE(SUBSTITUTE(SUBSTITUTE(SUBSTITUTE(SUBSTITUTE(Клиенты_исходные!D751," ",""),"-",""),"+",""),"(",""),")","")),10,2),IF(LEN(SUBSTITUTE(SUBSTITUTE(SUBSTITUTE(SUBSTITUTE(SUBSTITUTE(Клиенты_исходные!D751," ",""),"-",""),"+",""),"(",""),")",""))=10,"+7 ("&amp;MID(SUBSTITUTE(SUBSTITUTE(SUBSTITUTE(SUBSTITUTE(SUBSTITUTE(Клиенты_исходные!D751," ",""),"-",""),"+",""),"(",""),")",""),1,3)&amp;") "&amp;MID(SUBSTITUTE(SUBSTITUTE(SUBSTITUTE(SUBSTITUTE(SUBSTITUTE(Клиенты_исходные!D751," ",""),"-",""),"+",""),"(",""),")",""),4,3)&amp;"-"&amp;MID(SUBSTITUTE(SUBSTITUTE(SUBSTITUTE(SUBSTITUTE(SUBSTITUTE(Клиенты_исходные!D751," ",""),"-",""),"+",""),"(",""),")",""),6,2)&amp;"-"&amp;MID(SUBSTITUTE(SUBSTITUTE(SUBSTITUTE(SUBSTITUTE(SUBSTITUTE(Клиенты_исходные!D751," ",""),"-",""),"+",""),"(",""),")",""),8,2),Клиенты_исходные!D751)))</f>
        <v xml:space="preserve">+7 (903) 678-90-12</v>
      </c>
      <c r="E751" t="str">
        <f>IF(ISBLANK(Клиенты_исходные!E751),"",IF(ISNUMBER(FIND(".",MID(Клиенты_исходные!E751,FIND("@",Клиенты_исходные!E751)+1,255))),Клиенты_исходные!E751,IF(ISNUMBER(FIND("gmail",Клиенты_исходные!E751)),Клиенты_исходные!E751&amp;".com",Клиенты_исходные!E751&amp;".ru")))</f>
        <v>krivosheev@gmail.com</v>
      </c>
      <c r="F751" t="str">
        <f>IFERROR(VLOOKUP(Клиенты_исходные!F751,Справочники!$J$2:$K$50,2,FALSE),Клиенты_исходные!F751)</f>
        <v>Архангельск</v>
      </c>
      <c r="G751" s="8">
        <f>IFERROR(IF(ISNUMBER(FIND(".",Клиенты_исходные!G751)),DATE(RIGHT(Клиенты_исходные!G751,4),MID(Клиенты_исходные!G751,4,2),LEFT(Клиенты_исходные!G751,2)),DATE(LEFT(Клиенты_исходные!G751,4),MID(Клиенты_исходные!G751,6,2),RIGHT(Клиенты_исходные!G751,2))),Клиенты_исходные!G751)</f>
        <v>52149</v>
      </c>
      <c r="H751">
        <f t="shared" ca="1" si="82"/>
        <v>39</v>
      </c>
      <c r="I751" t="str">
        <f t="shared" si="83"/>
        <v>OK</v>
      </c>
      <c r="J751" t="str">
        <f t="shared" si="84"/>
        <v>OK</v>
      </c>
    </row>
    <row r="752">
      <c r="A752" t="str">
        <f>Клиенты_исходные!A752</f>
        <v>C0751</v>
      </c>
      <c r="B752" t="str">
        <f>PROPER(TRIM(Клиенты_исходные!B752))</f>
        <v xml:space="preserve">Вьюнова Мария Олеговна</v>
      </c>
      <c r="C752" s="8">
        <f>IFERROR(IF(ISNUMBER(FIND(".",Клиенты_исходные!C752)),DATE(RIGHT(Клиенты_исходные!C752,4),MID(Клиенты_исходные!C752,4,2),LEFT(Клиенты_исходные!C752,2)),DATE(LEFT(Клиенты_исходные!C752,4),MID(Клиенты_исходные!C752,6,2),RIGHT(Клиенты_исходные!C752,2))),Клиенты_исходные!C752)</f>
        <v>28222</v>
      </c>
      <c r="D752" t="str">
        <f>IF(ISBLANK(Клиенты_исходные!D752),"",IF(LEN(SUBSTITUTE(SUBSTITUTE(SUBSTITUTE(SUBSTITUTE(SUBSTITUTE(Клиенты_исходные!D752," ",""),"-",""),"+",""),"(",""),")",""))=11,"+7 ("&amp;MID(IF(LEFT(SUBSTITUTE(SUBSTITUTE(SUBSTITUTE(SUBSTITUTE(SUBSTITUTE(Клиенты_исходные!D752," ",""),"-",""),"+",""),"(",""),")",""))="8","7"&amp;MID(SUBSTITUTE(SUBSTITUTE(SUBSTITUTE(SUBSTITUTE(SUBSTITUTE(Клиенты_исходные!D752," ",""),"-",""),"+",""),"(",""),")",""),2,10),SUBSTITUTE(SUBSTITUTE(SUBSTITUTE(SUBSTITUTE(SUBSTITUTE(Клиенты_исходные!D752," ",""),"-",""),"+",""),"(",""),")","")),2,3)&amp;") "&amp;MID(IF(LEFT(SUBSTITUTE(SUBSTITUTE(SUBSTITUTE(SUBSTITUTE(SUBSTITUTE(Клиенты_исходные!D752," ",""),"-",""),"+",""),"(",""),")",""))="8","7"&amp;MID(SUBSTITUTE(SUBSTITUTE(SUBSTITUTE(SUBSTITUTE(SUBSTITUTE(Клиенты_исходные!D752," ",""),"-",""),"+",""),"(",""),")",""),2,10),SUBSTITUTE(SUBSTITUTE(SUBSTITUTE(SUBSTITUTE(SUBSTITUTE(Клиенты_исходные!D752," ",""),"-",""),"+",""),"(",""),")","")),5,3)&amp;"-"&amp;MID(IF(LEFT(SUBSTITUTE(SUBSTITUTE(SUBSTITUTE(SUBSTITUTE(SUBSTITUTE(Клиенты_исходные!D752," ",""),"-",""),"+",""),"(",""),")",""))="8","7"&amp;MID(SUBSTITUTE(SUBSTITUTE(SUBSTITUTE(SUBSTITUTE(SUBSTITUTE(Клиенты_исходные!D752," ",""),"-",""),"+",""),"(",""),")",""),2,10),SUBSTITUTE(SUBSTITUTE(SUBSTITUTE(SUBSTITUTE(SUBSTITUTE(Клиенты_исходные!D752," ",""),"-",""),"+",""),"(",""),")","")),8,2)&amp;"-"&amp;MID(IF(LEFT(SUBSTITUTE(SUBSTITUTE(SUBSTITUTE(SUBSTITUTE(SUBSTITUTE(Клиенты_исходные!D752," ",""),"-",""),"+",""),"(",""),")",""))="8","7"&amp;MID(SUBSTITUTE(SUBSTITUTE(SUBSTITUTE(SUBSTITUTE(SUBSTITUTE(Клиенты_исходные!D752," ",""),"-",""),"+",""),"(",""),")",""),2,10),SUBSTITUTE(SUBSTITUTE(SUBSTITUTE(SUBSTITUTE(SUBSTITUTE(Клиенты_исходные!D752," ",""),"-",""),"+",""),"(",""),")","")),10,2),IF(LEN(SUBSTITUTE(SUBSTITUTE(SUBSTITUTE(SUBSTITUTE(SUBSTITUTE(Клиенты_исходные!D752," ",""),"-",""),"+",""),"(",""),")",""))=10,"+7 ("&amp;MID(SUBSTITUTE(SUBSTITUTE(SUBSTITUTE(SUBSTITUTE(SUBSTITUTE(Клиенты_исходные!D752," ",""),"-",""),"+",""),"(",""),")",""),1,3)&amp;") "&amp;MID(SUBSTITUTE(SUBSTITUTE(SUBSTITUTE(SUBSTITUTE(SUBSTITUTE(Клиенты_исходные!D752," ",""),"-",""),"+",""),"(",""),")",""),4,3)&amp;"-"&amp;MID(SUBSTITUTE(SUBSTITUTE(SUBSTITUTE(SUBSTITUTE(SUBSTITUTE(Клиенты_исходные!D752," ",""),"-",""),"+",""),"(",""),")",""),6,2)&amp;"-"&amp;MID(SUBSTITUTE(SUBSTITUTE(SUBSTITUTE(SUBSTITUTE(SUBSTITUTE(Клиенты_исходные!D752," ",""),"-",""),"+",""),"(",""),")",""),8,2),Клиенты_исходные!D752)))</f>
        <v xml:space="preserve">+7 (903) 678-90-12</v>
      </c>
      <c r="E752" t="str">
        <f>IF(ISBLANK(Клиенты_исходные!E752),"",IF(ISNUMBER(FIND(".",MID(Клиенты_исходные!E752,FIND("@",Клиенты_исходные!E752)+1,255))),Клиенты_исходные!E752,IF(ISNUMBER(FIND("gmail",Клиенты_исходные!E752)),Клиенты_исходные!E752&amp;".com",Клиенты_исходные!E752&amp;".ru")))</f>
        <v>vyunova@mail.ru</v>
      </c>
      <c r="F752" t="str">
        <f>IFERROR(VLOOKUP(Клиенты_исходные!F752,Справочники!$J$2:$K$50,2,FALSE),Клиенты_исходные!F752)</f>
        <v>Благовещенск</v>
      </c>
      <c r="G752" s="8">
        <f>IFERROR(IF(ISNUMBER(FIND(".",Клиенты_исходные!G752)),DATE(RIGHT(Клиенты_исходные!G752,4),MID(Клиенты_исходные!G752,4,2),LEFT(Клиенты_исходные!G752,2)),DATE(LEFT(Клиенты_исходные!G752,4),MID(Клиенты_исходные!G752,6,2),RIGHT(Клиенты_исходные!G752,2))),Клиенты_исходные!G752)</f>
        <v>52171</v>
      </c>
      <c r="H752">
        <f t="shared" ca="1" si="82"/>
        <v>49</v>
      </c>
      <c r="I752" t="str">
        <f t="shared" si="83"/>
        <v>OK</v>
      </c>
      <c r="J752" t="str">
        <f t="shared" si="84"/>
        <v>OK</v>
      </c>
    </row>
    <row r="753">
      <c r="A753" t="str">
        <f>Клиенты_исходные!A753</f>
        <v>C0752</v>
      </c>
      <c r="B753" t="str">
        <f>PROPER(TRIM(Клиенты_исходные!B753))</f>
        <v xml:space="preserve">Гладких Денис Сергеевич</v>
      </c>
      <c r="C753" s="8">
        <f>IFERROR(IF(ISNUMBER(FIND(".",Клиенты_исходные!C753)),DATE(RIGHT(Клиенты_исходные!C753,4),MID(Клиенты_исходные!C753,4,2),LEFT(Клиенты_исходные!C753,2)),DATE(LEFT(Клиенты_исходные!C753,4),MID(Клиенты_исходные!C753,6,2),RIGHT(Клиенты_исходные!C753,2))),Клиенты_исходные!C753)</f>
        <v>33568</v>
      </c>
      <c r="D753" t="str">
        <f>IF(ISBLANK(Клиенты_исходные!D753),"",IF(LEN(SUBSTITUTE(SUBSTITUTE(SUBSTITUTE(SUBSTITUTE(SUBSTITUTE(Клиенты_исходные!D753," ",""),"-",""),"+",""),"(",""),")",""))=11,"+7 ("&amp;MID(IF(LEFT(SUBSTITUTE(SUBSTITUTE(SUBSTITUTE(SUBSTITUTE(SUBSTITUTE(Клиенты_исходные!D753," ",""),"-",""),"+",""),"(",""),")",""))="8","7"&amp;MID(SUBSTITUTE(SUBSTITUTE(SUBSTITUTE(SUBSTITUTE(SUBSTITUTE(Клиенты_исходные!D753," ",""),"-",""),"+",""),"(",""),")",""),2,10),SUBSTITUTE(SUBSTITUTE(SUBSTITUTE(SUBSTITUTE(SUBSTITUTE(Клиенты_исходные!D753," ",""),"-",""),"+",""),"(",""),")","")),2,3)&amp;") "&amp;MID(IF(LEFT(SUBSTITUTE(SUBSTITUTE(SUBSTITUTE(SUBSTITUTE(SUBSTITUTE(Клиенты_исходные!D753," ",""),"-",""),"+",""),"(",""),")",""))="8","7"&amp;MID(SUBSTITUTE(SUBSTITUTE(SUBSTITUTE(SUBSTITUTE(SUBSTITUTE(Клиенты_исходные!D753," ",""),"-",""),"+",""),"(",""),")",""),2,10),SUBSTITUTE(SUBSTITUTE(SUBSTITUTE(SUBSTITUTE(SUBSTITUTE(Клиенты_исходные!D753," ",""),"-",""),"+",""),"(",""),")","")),5,3)&amp;"-"&amp;MID(IF(LEFT(SUBSTITUTE(SUBSTITUTE(SUBSTITUTE(SUBSTITUTE(SUBSTITUTE(Клиенты_исходные!D753," ",""),"-",""),"+",""),"(",""),")",""))="8","7"&amp;MID(SUBSTITUTE(SUBSTITUTE(SUBSTITUTE(SUBSTITUTE(SUBSTITUTE(Клиенты_исходные!D753," ",""),"-",""),"+",""),"(",""),")",""),2,10),SUBSTITUTE(SUBSTITUTE(SUBSTITUTE(SUBSTITUTE(SUBSTITUTE(Клиенты_исходные!D753," ",""),"-",""),"+",""),"(",""),")","")),8,2)&amp;"-"&amp;MID(IF(LEFT(SUBSTITUTE(SUBSTITUTE(SUBSTITUTE(SUBSTITUTE(SUBSTITUTE(Клиенты_исходные!D753," ",""),"-",""),"+",""),"(",""),")",""))="8","7"&amp;MID(SUBSTITUTE(SUBSTITUTE(SUBSTITUTE(SUBSTITUTE(SUBSTITUTE(Клиенты_исходные!D753," ",""),"-",""),"+",""),"(",""),")",""),2,10),SUBSTITUTE(SUBSTITUTE(SUBSTITUTE(SUBSTITUTE(SUBSTITUTE(Клиенты_исходные!D753," ",""),"-",""),"+",""),"(",""),")","")),10,2),IF(LEN(SUBSTITUTE(SUBSTITUTE(SUBSTITUTE(SUBSTITUTE(SUBSTITUTE(Клиенты_исходные!D753," ",""),"-",""),"+",""),"(",""),")",""))=10,"+7 ("&amp;MID(SUBSTITUTE(SUBSTITUTE(SUBSTITUTE(SUBSTITUTE(SUBSTITUTE(Клиенты_исходные!D753," ",""),"-",""),"+",""),"(",""),")",""),1,3)&amp;") "&amp;MID(SUBSTITUTE(SUBSTITUTE(SUBSTITUTE(SUBSTITUTE(SUBSTITUTE(Клиенты_исходные!D753," ",""),"-",""),"+",""),"(",""),")",""),4,3)&amp;"-"&amp;MID(SUBSTITUTE(SUBSTITUTE(SUBSTITUTE(SUBSTITUTE(SUBSTITUTE(Клиенты_исходные!D753," ",""),"-",""),"+",""),"(",""),")",""),6,2)&amp;"-"&amp;MID(SUBSTITUTE(SUBSTITUTE(SUBSTITUTE(SUBSTITUTE(SUBSTITUTE(Клиенты_исходные!D753," ",""),"-",""),"+",""),"(",""),")",""),8,2),Клиенты_исходные!D753)))</f>
        <v xml:space="preserve">+7 (903) 678-90-12</v>
      </c>
      <c r="E753" t="str">
        <f>IF(ISBLANK(Клиенты_исходные!E753),"",IF(ISNUMBER(FIND(".",MID(Клиенты_исходные!E753,FIND("@",Клиенты_исходные!E753)+1,255))),Клиенты_исходные!E753,IF(ISNUMBER(FIND("gmail",Клиенты_исходные!E753)),Клиенты_исходные!E753&amp;".com",Клиенты_исходные!E753&amp;".ru")))</f>
        <v>gladkih@yandex.ru</v>
      </c>
      <c r="F753" t="str">
        <f>IFERROR(VLOOKUP(Клиенты_исходные!F753,Справочники!$J$2:$K$50,2,FALSE),Клиенты_исходные!F753)</f>
        <v>Майкоп</v>
      </c>
      <c r="G753" s="8">
        <f>IFERROR(IF(ISNUMBER(FIND(".",Клиенты_исходные!G753)),DATE(RIGHT(Клиенты_исходные!G753,4),MID(Клиенты_исходные!G753,4,2),LEFT(Клиенты_исходные!G753,2)),DATE(LEFT(Клиенты_исходные!G753,4),MID(Клиенты_исходные!G753,6,2),RIGHT(Клиенты_исходные!G753,2))),Клиенты_исходные!G753)</f>
        <v>52185</v>
      </c>
      <c r="H753">
        <f t="shared" ca="1" si="82"/>
        <v>34</v>
      </c>
      <c r="I753" t="str">
        <f t="shared" si="83"/>
        <v>OK</v>
      </c>
      <c r="J753" t="str">
        <f t="shared" si="84"/>
        <v>OK</v>
      </c>
    </row>
    <row r="754">
      <c r="A754" t="str">
        <f>Клиенты_исходные!A754</f>
        <v>C0753</v>
      </c>
      <c r="B754" t="str">
        <f>PROPER(TRIM(Клиенты_исходные!B754))</f>
        <v xml:space="preserve">Емельянова Ольга Павловна</v>
      </c>
      <c r="C754" s="8">
        <f>IFERROR(IF(ISNUMBER(FIND(".",Клиенты_исходные!C754)),DATE(RIGHT(Клиенты_исходные!C754,4),MID(Клиенты_исходные!C754,4,2),LEFT(Клиенты_исходные!C754,2)),DATE(LEFT(Клиенты_исходные!C754,4),MID(Клиенты_исходные!C754,6,2),RIGHT(Клиенты_исходные!C754,2))),Клиенты_исходные!C754)</f>
        <v>30233</v>
      </c>
      <c r="D754" t="str">
        <f>IF(ISBLANK(Клиенты_исходные!D754),"",IF(LEN(SUBSTITUTE(SUBSTITUTE(SUBSTITUTE(SUBSTITUTE(SUBSTITUTE(Клиенты_исходные!D754," ",""),"-",""),"+",""),"(",""),")",""))=11,"+7 ("&amp;MID(IF(LEFT(SUBSTITUTE(SUBSTITUTE(SUBSTITUTE(SUBSTITUTE(SUBSTITUTE(Клиенты_исходные!D754," ",""),"-",""),"+",""),"(",""),")",""))="8","7"&amp;MID(SUBSTITUTE(SUBSTITUTE(SUBSTITUTE(SUBSTITUTE(SUBSTITUTE(Клиенты_исходные!D754," ",""),"-",""),"+",""),"(",""),")",""),2,10),SUBSTITUTE(SUBSTITUTE(SUBSTITUTE(SUBSTITUTE(SUBSTITUTE(Клиенты_исходные!D754," ",""),"-",""),"+",""),"(",""),")","")),2,3)&amp;") "&amp;MID(IF(LEFT(SUBSTITUTE(SUBSTITUTE(SUBSTITUTE(SUBSTITUTE(SUBSTITUTE(Клиенты_исходные!D754," ",""),"-",""),"+",""),"(",""),")",""))="8","7"&amp;MID(SUBSTITUTE(SUBSTITUTE(SUBSTITUTE(SUBSTITUTE(SUBSTITUTE(Клиенты_исходные!D754," ",""),"-",""),"+",""),"(",""),")",""),2,10),SUBSTITUTE(SUBSTITUTE(SUBSTITUTE(SUBSTITUTE(SUBSTITUTE(Клиенты_исходные!D754," ",""),"-",""),"+",""),"(",""),")","")),5,3)&amp;"-"&amp;MID(IF(LEFT(SUBSTITUTE(SUBSTITUTE(SUBSTITUTE(SUBSTITUTE(SUBSTITUTE(Клиенты_исходные!D754," ",""),"-",""),"+",""),"(",""),")",""))="8","7"&amp;MID(SUBSTITUTE(SUBSTITUTE(SUBSTITUTE(SUBSTITUTE(SUBSTITUTE(Клиенты_исходные!D754," ",""),"-",""),"+",""),"(",""),")",""),2,10),SUBSTITUTE(SUBSTITUTE(SUBSTITUTE(SUBSTITUTE(SUBSTITUTE(Клиенты_исходные!D754," ",""),"-",""),"+",""),"(",""),")","")),8,2)&amp;"-"&amp;MID(IF(LEFT(SUBSTITUTE(SUBSTITUTE(SUBSTITUTE(SUBSTITUTE(SUBSTITUTE(Клиенты_исходные!D754," ",""),"-",""),"+",""),"(",""),")",""))="8","7"&amp;MID(SUBSTITUTE(SUBSTITUTE(SUBSTITUTE(SUBSTITUTE(SUBSTITUTE(Клиенты_исходные!D754," ",""),"-",""),"+",""),"(",""),")",""),2,10),SUBSTITUTE(SUBSTITUTE(SUBSTITUTE(SUBSTITUTE(SUBSTITUTE(Клиенты_исходные!D754," ",""),"-",""),"+",""),"(",""),")","")),10,2),IF(LEN(SUBSTITUTE(SUBSTITUTE(SUBSTITUTE(SUBSTITUTE(SUBSTITUTE(Клиенты_исходные!D754," ",""),"-",""),"+",""),"(",""),")",""))=10,"+7 ("&amp;MID(SUBSTITUTE(SUBSTITUTE(SUBSTITUTE(SUBSTITUTE(SUBSTITUTE(Клиенты_исходные!D754," ",""),"-",""),"+",""),"(",""),")",""),1,3)&amp;") "&amp;MID(SUBSTITUTE(SUBSTITUTE(SUBSTITUTE(SUBSTITUTE(SUBSTITUTE(Клиенты_исходные!D754," ",""),"-",""),"+",""),"(",""),")",""),4,3)&amp;"-"&amp;MID(SUBSTITUTE(SUBSTITUTE(SUBSTITUTE(SUBSTITUTE(SUBSTITUTE(Клиенты_исходные!D754," ",""),"-",""),"+",""),"(",""),")",""),6,2)&amp;"-"&amp;MID(SUBSTITUTE(SUBSTITUTE(SUBSTITUTE(SUBSTITUTE(SUBSTITUTE(Клиенты_исходные!D754," ",""),"-",""),"+",""),"(",""),")",""),8,2),Клиенты_исходные!D754)))</f>
        <v xml:space="preserve">+7 (903) 789-01-23</v>
      </c>
      <c r="E754" t="str">
        <f>IF(ISBLANK(Клиенты_исходные!E754),"",IF(ISNUMBER(FIND(".",MID(Клиенты_исходные!E754,FIND("@",Клиенты_исходные!E754)+1,255))),Клиенты_исходные!E754,IF(ISNUMBER(FIND("gmail",Клиенты_исходные!E754)),Клиенты_исходные!E754&amp;".com",Клиенты_исходные!E754&amp;".ru")))</f>
        <v>emelyanova@gmail.com</v>
      </c>
      <c r="F754" t="str">
        <f>IFERROR(VLOOKUP(Клиенты_исходные!F754,Справочники!$J$2:$K$50,2,FALSE),Клиенты_исходные!F754)</f>
        <v>Уссурийск</v>
      </c>
      <c r="G754" s="8">
        <f>IFERROR(IF(ISNUMBER(FIND(".",Клиенты_исходные!G754)),DATE(RIGHT(Клиенты_исходные!G754,4),MID(Клиенты_исходные!G754,4,2),LEFT(Клиенты_исходные!G754,2)),DATE(LEFT(Клиенты_исходные!G754,4),MID(Клиенты_исходные!G754,6,2),RIGHT(Клиенты_исходные!G754,2))),Клиенты_исходные!G754)</f>
        <v>52185</v>
      </c>
      <c r="H754">
        <f t="shared" ca="1" si="82"/>
        <v>43</v>
      </c>
      <c r="I754" t="str">
        <f t="shared" si="83"/>
        <v>OK</v>
      </c>
      <c r="J754" t="str">
        <f t="shared" si="84"/>
        <v>OK</v>
      </c>
    </row>
    <row r="755">
      <c r="A755" t="str">
        <f>Клиенты_исходные!A755</f>
        <v>C0754</v>
      </c>
      <c r="B755" t="str">
        <f>PROPER(TRIM(Клиенты_исходные!B755))</f>
        <v xml:space="preserve">Семенчук Илья Александрович</v>
      </c>
      <c r="C755" s="8">
        <f>IFERROR(IF(ISNUMBER(FIND(".",Клиенты_исходные!C755)),DATE(RIGHT(Клиенты_исходные!C755,4),MID(Клиенты_исходные!C755,4,2),LEFT(Клиенты_исходные!C755,2)),DATE(LEFT(Клиенты_исходные!C755,4),MID(Клиенты_исходные!C755,6,2),RIGHT(Клиенты_исходные!C755,2))),Клиенты_исходные!C755)</f>
        <v>27110</v>
      </c>
      <c r="D755" t="str">
        <f>IF(ISBLANK(Клиенты_исходные!D755),"",IF(LEN(SUBSTITUTE(SUBSTITUTE(SUBSTITUTE(SUBSTITUTE(SUBSTITUTE(Клиенты_исходные!D755," ",""),"-",""),"+",""),"(",""),")",""))=11,"+7 ("&amp;MID(IF(LEFT(SUBSTITUTE(SUBSTITUTE(SUBSTITUTE(SUBSTITUTE(SUBSTITUTE(Клиенты_исходные!D755," ",""),"-",""),"+",""),"(",""),")",""))="8","7"&amp;MID(SUBSTITUTE(SUBSTITUTE(SUBSTITUTE(SUBSTITUTE(SUBSTITUTE(Клиенты_исходные!D755," ",""),"-",""),"+",""),"(",""),")",""),2,10),SUBSTITUTE(SUBSTITUTE(SUBSTITUTE(SUBSTITUTE(SUBSTITUTE(Клиенты_исходные!D755," ",""),"-",""),"+",""),"(",""),")","")),2,3)&amp;") "&amp;MID(IF(LEFT(SUBSTITUTE(SUBSTITUTE(SUBSTITUTE(SUBSTITUTE(SUBSTITUTE(Клиенты_исходные!D755," ",""),"-",""),"+",""),"(",""),")",""))="8","7"&amp;MID(SUBSTITUTE(SUBSTITUTE(SUBSTITUTE(SUBSTITUTE(SUBSTITUTE(Клиенты_исходные!D755," ",""),"-",""),"+",""),"(",""),")",""),2,10),SUBSTITUTE(SUBSTITUTE(SUBSTITUTE(SUBSTITUTE(SUBSTITUTE(Клиенты_исходные!D755," ",""),"-",""),"+",""),"(",""),")","")),5,3)&amp;"-"&amp;MID(IF(LEFT(SUBSTITUTE(SUBSTITUTE(SUBSTITUTE(SUBSTITUTE(SUBSTITUTE(Клиенты_исходные!D755," ",""),"-",""),"+",""),"(",""),")",""))="8","7"&amp;MID(SUBSTITUTE(SUBSTITUTE(SUBSTITUTE(SUBSTITUTE(SUBSTITUTE(Клиенты_исходные!D755," ",""),"-",""),"+",""),"(",""),")",""),2,10),SUBSTITUTE(SUBSTITUTE(SUBSTITUTE(SUBSTITUTE(SUBSTITUTE(Клиенты_исходные!D755," ",""),"-",""),"+",""),"(",""),")","")),8,2)&amp;"-"&amp;MID(IF(LEFT(SUBSTITUTE(SUBSTITUTE(SUBSTITUTE(SUBSTITUTE(SUBSTITUTE(Клиенты_исходные!D755," ",""),"-",""),"+",""),"(",""),")",""))="8","7"&amp;MID(SUBSTITUTE(SUBSTITUTE(SUBSTITUTE(SUBSTITUTE(SUBSTITUTE(Клиенты_исходные!D755," ",""),"-",""),"+",""),"(",""),")",""),2,10),SUBSTITUTE(SUBSTITUTE(SUBSTITUTE(SUBSTITUTE(SUBSTITUTE(Клиенты_исходные!D755," ",""),"-",""),"+",""),"(",""),")","")),10,2),IF(LEN(SUBSTITUTE(SUBSTITUTE(SUBSTITUTE(SUBSTITUTE(SUBSTITUTE(Клиенты_исходные!D755," ",""),"-",""),"+",""),"(",""),")",""))=10,"+7 ("&amp;MID(SUBSTITUTE(SUBSTITUTE(SUBSTITUTE(SUBSTITUTE(SUBSTITUTE(Клиенты_исходные!D755," ",""),"-",""),"+",""),"(",""),")",""),1,3)&amp;") "&amp;MID(SUBSTITUTE(SUBSTITUTE(SUBSTITUTE(SUBSTITUTE(SUBSTITUTE(Клиенты_исходные!D755," ",""),"-",""),"+",""),"(",""),")",""),4,3)&amp;"-"&amp;MID(SUBSTITUTE(SUBSTITUTE(SUBSTITUTE(SUBSTITUTE(SUBSTITUTE(Клиенты_исходные!D755," ",""),"-",""),"+",""),"(",""),")",""),6,2)&amp;"-"&amp;MID(SUBSTITUTE(SUBSTITUTE(SUBSTITUTE(SUBSTITUTE(SUBSTITUTE(Клиенты_исходные!D755," ",""),"-",""),"+",""),"(",""),")",""),8,2),Клиенты_исходные!D755)))</f>
        <v xml:space="preserve">+7 (903) 789-01-23</v>
      </c>
      <c r="E755" t="str">
        <f>IF(ISBLANK(Клиенты_исходные!E755),"",IF(ISNUMBER(FIND(".",MID(Клиенты_исходные!E755,FIND("@",Клиенты_исходные!E755)+1,255))),Клиенты_исходные!E755,IF(ISNUMBER(FIND("gmail",Клиенты_исходные!E755)),Клиенты_исходные!E755&amp;".com",Клиенты_исходные!E755&amp;".ru")))</f>
        <v>semenchuk@mail.ru</v>
      </c>
      <c r="F755" t="str">
        <f>IFERROR(VLOOKUP(Клиенты_исходные!F755,Справочники!$J$2:$K$50,2,FALSE),Клиенты_исходные!F755)</f>
        <v>Миасс</v>
      </c>
      <c r="G755" s="8">
        <f>IFERROR(IF(ISNUMBER(FIND(".",Клиенты_исходные!G755)),DATE(RIGHT(Клиенты_исходные!G755,4),MID(Клиенты_исходные!G755,4,2),LEFT(Клиенты_исходные!G755,2)),DATE(LEFT(Клиенты_исходные!G755,4),MID(Клиенты_исходные!G755,6,2),RIGHT(Клиенты_исходные!G755,2))),Клиенты_исходные!G755)</f>
        <v>52201</v>
      </c>
      <c r="H755">
        <f t="shared" ca="1" si="82"/>
        <v>52</v>
      </c>
      <c r="I755" t="str">
        <f t="shared" si="83"/>
        <v>OK</v>
      </c>
      <c r="J755" t="str">
        <f t="shared" si="84"/>
        <v>OK</v>
      </c>
    </row>
    <row r="756">
      <c r="A756" t="str">
        <f>Клиенты_исходные!A756</f>
        <v>C0755</v>
      </c>
      <c r="B756" t="str">
        <f>PROPER(TRIM(Клиенты_исходные!B756))</f>
        <v xml:space="preserve">Огородникова Екатерина Сергеевна</v>
      </c>
      <c r="C756" s="8">
        <f>IFERROR(IF(ISNUMBER(FIND(".",Клиенты_исходные!C756)),DATE(RIGHT(Клиенты_исходные!C756,4),MID(Клиенты_исходные!C756,4,2),LEFT(Клиенты_исходные!C756,2)),DATE(LEFT(Клиенты_исходные!C756,4),MID(Клиенты_исходные!C756,6,2),RIGHT(Клиенты_исходные!C756,2))),Клиенты_исходные!C756)</f>
        <v>32704</v>
      </c>
      <c r="D756" t="str">
        <f>IF(ISBLANK(Клиенты_исходные!D756),"",IF(LEN(SUBSTITUTE(SUBSTITUTE(SUBSTITUTE(SUBSTITUTE(SUBSTITUTE(Клиенты_исходные!D756," ",""),"-",""),"+",""),"(",""),")",""))=11,"+7 ("&amp;MID(IF(LEFT(SUBSTITUTE(SUBSTITUTE(SUBSTITUTE(SUBSTITUTE(SUBSTITUTE(Клиенты_исходные!D756," ",""),"-",""),"+",""),"(",""),")",""))="8","7"&amp;MID(SUBSTITUTE(SUBSTITUTE(SUBSTITUTE(SUBSTITUTE(SUBSTITUTE(Клиенты_исходные!D756," ",""),"-",""),"+",""),"(",""),")",""),2,10),SUBSTITUTE(SUBSTITUTE(SUBSTITUTE(SUBSTITUTE(SUBSTITUTE(Клиенты_исходные!D756," ",""),"-",""),"+",""),"(",""),")","")),2,3)&amp;") "&amp;MID(IF(LEFT(SUBSTITUTE(SUBSTITUTE(SUBSTITUTE(SUBSTITUTE(SUBSTITUTE(Клиенты_исходные!D756," ",""),"-",""),"+",""),"(",""),")",""))="8","7"&amp;MID(SUBSTITUTE(SUBSTITUTE(SUBSTITUTE(SUBSTITUTE(SUBSTITUTE(Клиенты_исходные!D756," ",""),"-",""),"+",""),"(",""),")",""),2,10),SUBSTITUTE(SUBSTITUTE(SUBSTITUTE(SUBSTITUTE(SUBSTITUTE(Клиенты_исходные!D756," ",""),"-",""),"+",""),"(",""),")","")),5,3)&amp;"-"&amp;MID(IF(LEFT(SUBSTITUTE(SUBSTITUTE(SUBSTITUTE(SUBSTITUTE(SUBSTITUTE(Клиенты_исходные!D756," ",""),"-",""),"+",""),"(",""),")",""))="8","7"&amp;MID(SUBSTITUTE(SUBSTITUTE(SUBSTITUTE(SUBSTITUTE(SUBSTITUTE(Клиенты_исходные!D756," ",""),"-",""),"+",""),"(",""),")",""),2,10),SUBSTITUTE(SUBSTITUTE(SUBSTITUTE(SUBSTITUTE(SUBSTITUTE(Клиенты_исходные!D756," ",""),"-",""),"+",""),"(",""),")","")),8,2)&amp;"-"&amp;MID(IF(LEFT(SUBSTITUTE(SUBSTITUTE(SUBSTITUTE(SUBSTITUTE(SUBSTITUTE(Клиенты_исходные!D756," ",""),"-",""),"+",""),"(",""),")",""))="8","7"&amp;MID(SUBSTITUTE(SUBSTITUTE(SUBSTITUTE(SUBSTITUTE(SUBSTITUTE(Клиенты_исходные!D756," ",""),"-",""),"+",""),"(",""),")",""),2,10),SUBSTITUTE(SUBSTITUTE(SUBSTITUTE(SUBSTITUTE(SUBSTITUTE(Клиенты_исходные!D756," ",""),"-",""),"+",""),"(",""),")","")),10,2),IF(LEN(SUBSTITUTE(SUBSTITUTE(SUBSTITUTE(SUBSTITUTE(SUBSTITUTE(Клиенты_исходные!D756," ",""),"-",""),"+",""),"(",""),")",""))=10,"+7 ("&amp;MID(SUBSTITUTE(SUBSTITUTE(SUBSTITUTE(SUBSTITUTE(SUBSTITUTE(Клиенты_исходные!D756," ",""),"-",""),"+",""),"(",""),")",""),1,3)&amp;") "&amp;MID(SUBSTITUTE(SUBSTITUTE(SUBSTITUTE(SUBSTITUTE(SUBSTITUTE(Клиенты_исходные!D756," ",""),"-",""),"+",""),"(",""),")",""),4,3)&amp;"-"&amp;MID(SUBSTITUTE(SUBSTITUTE(SUBSTITUTE(SUBSTITUTE(SUBSTITUTE(Клиенты_исходные!D756," ",""),"-",""),"+",""),"(",""),")",""),6,2)&amp;"-"&amp;MID(SUBSTITUTE(SUBSTITUTE(SUBSTITUTE(SUBSTITUTE(SUBSTITUTE(Клиенты_исходные!D756," ",""),"-",""),"+",""),"(",""),")",""),8,2),Клиенты_исходные!D756)))</f>
        <v xml:space="preserve">+7 (903) 789-01-23</v>
      </c>
      <c r="E756" t="str">
        <f>IF(ISBLANK(Клиенты_исходные!E756),"",IF(ISNUMBER(FIND(".",MID(Клиенты_исходные!E756,FIND("@",Клиенты_исходные!E756)+1,255))),Клиенты_исходные!E756,IF(ISNUMBER(FIND("gmail",Клиенты_исходные!E756)),Клиенты_исходные!E756&amp;".com",Клиенты_исходные!E756&amp;".ru")))</f>
        <v>ogorodnikova@yandex.ru</v>
      </c>
      <c r="F756" t="str">
        <f>IFERROR(VLOOKUP(Клиенты_исходные!F756,Справочники!$J$2:$K$50,2,FALSE),Клиенты_исходные!F756)</f>
        <v>Кызыл</v>
      </c>
      <c r="G756" s="8">
        <f>IFERROR(IF(ISNUMBER(FIND(".",Клиенты_исходные!G756)),DATE(RIGHT(Клиенты_исходные!G756,4),MID(Клиенты_исходные!G756,4,2),LEFT(Клиенты_исходные!G756,2)),DATE(LEFT(Клиенты_исходные!G756,4),MID(Клиенты_исходные!G756,6,2),RIGHT(Клиенты_исходные!G756,2))),Клиенты_исходные!G756)</f>
        <v>52210</v>
      </c>
      <c r="H756">
        <f t="shared" ca="1" si="82"/>
        <v>37</v>
      </c>
      <c r="I756" t="str">
        <f t="shared" si="83"/>
        <v>OK</v>
      </c>
      <c r="J756" t="str">
        <f t="shared" si="84"/>
        <v>OK</v>
      </c>
    </row>
    <row r="757">
      <c r="A757" t="str">
        <f>Клиенты_исходные!A757</f>
        <v>C0756</v>
      </c>
      <c r="B757" t="str">
        <f>PROPER(TRIM(Клиенты_исходные!B757))</f>
        <v xml:space="preserve">Бессонов Андрей Олегович</v>
      </c>
      <c r="C757" s="8">
        <f>IFERROR(IF(ISNUMBER(FIND(".",Клиенты_исходные!C757)),DATE(RIGHT(Клиенты_исходные!C757,4),MID(Клиенты_исходные!C757,4,2),LEFT(Клиенты_исходные!C757,2)),DATE(LEFT(Клиенты_исходные!C757,4),MID(Клиенты_исходные!C757,6,2),RIGHT(Клиенты_исходные!C757,2))),Клиенты_исходные!C757)</f>
        <v>31272</v>
      </c>
      <c r="D757" t="str">
        <f>IF(ISBLANK(Клиенты_исходные!D757),"",IF(LEN(SUBSTITUTE(SUBSTITUTE(SUBSTITUTE(SUBSTITUTE(SUBSTITUTE(Клиенты_исходные!D757," ",""),"-",""),"+",""),"(",""),")",""))=11,"+7 ("&amp;MID(IF(LEFT(SUBSTITUTE(SUBSTITUTE(SUBSTITUTE(SUBSTITUTE(SUBSTITUTE(Клиенты_исходные!D757," ",""),"-",""),"+",""),"(",""),")",""))="8","7"&amp;MID(SUBSTITUTE(SUBSTITUTE(SUBSTITUTE(SUBSTITUTE(SUBSTITUTE(Клиенты_исходные!D757," ",""),"-",""),"+",""),"(",""),")",""),2,10),SUBSTITUTE(SUBSTITUTE(SUBSTITUTE(SUBSTITUTE(SUBSTITUTE(Клиенты_исходные!D757," ",""),"-",""),"+",""),"(",""),")","")),2,3)&amp;") "&amp;MID(IF(LEFT(SUBSTITUTE(SUBSTITUTE(SUBSTITUTE(SUBSTITUTE(SUBSTITUTE(Клиенты_исходные!D757," ",""),"-",""),"+",""),"(",""),")",""))="8","7"&amp;MID(SUBSTITUTE(SUBSTITUTE(SUBSTITUTE(SUBSTITUTE(SUBSTITUTE(Клиенты_исходные!D757," ",""),"-",""),"+",""),"(",""),")",""),2,10),SUBSTITUTE(SUBSTITUTE(SUBSTITUTE(SUBSTITUTE(SUBSTITUTE(Клиенты_исходные!D757," ",""),"-",""),"+",""),"(",""),")","")),5,3)&amp;"-"&amp;MID(IF(LEFT(SUBSTITUTE(SUBSTITUTE(SUBSTITUTE(SUBSTITUTE(SUBSTITUTE(Клиенты_исходные!D757," ",""),"-",""),"+",""),"(",""),")",""))="8","7"&amp;MID(SUBSTITUTE(SUBSTITUTE(SUBSTITUTE(SUBSTITUTE(SUBSTITUTE(Клиенты_исходные!D757," ",""),"-",""),"+",""),"(",""),")",""),2,10),SUBSTITUTE(SUBSTITUTE(SUBSTITUTE(SUBSTITUTE(SUBSTITUTE(Клиенты_исходные!D757," ",""),"-",""),"+",""),"(",""),")","")),8,2)&amp;"-"&amp;MID(IF(LEFT(SUBSTITUTE(SUBSTITUTE(SUBSTITUTE(SUBSTITUTE(SUBSTITUTE(Клиенты_исходные!D757," ",""),"-",""),"+",""),"(",""),")",""))="8","7"&amp;MID(SUBSTITUTE(SUBSTITUTE(SUBSTITUTE(SUBSTITUTE(SUBSTITUTE(Клиенты_исходные!D757," ",""),"-",""),"+",""),"(",""),")",""),2,10),SUBSTITUTE(SUBSTITUTE(SUBSTITUTE(SUBSTITUTE(SUBSTITUTE(Клиенты_исходные!D757," ",""),"-",""),"+",""),"(",""),")","")),10,2),IF(LEN(SUBSTITUTE(SUBSTITUTE(SUBSTITUTE(SUBSTITUTE(SUBSTITUTE(Клиенты_исходные!D757," ",""),"-",""),"+",""),"(",""),")",""))=10,"+7 ("&amp;MID(SUBSTITUTE(SUBSTITUTE(SUBSTITUTE(SUBSTITUTE(SUBSTITUTE(Клиенты_исходные!D757," ",""),"-",""),"+",""),"(",""),")",""),1,3)&amp;") "&amp;MID(SUBSTITUTE(SUBSTITUTE(SUBSTITUTE(SUBSTITUTE(SUBSTITUTE(Клиенты_исходные!D757," ",""),"-",""),"+",""),"(",""),")",""),4,3)&amp;"-"&amp;MID(SUBSTITUTE(SUBSTITUTE(SUBSTITUTE(SUBSTITUTE(SUBSTITUTE(Клиенты_исходные!D757," ",""),"-",""),"+",""),"(",""),")",""),6,2)&amp;"-"&amp;MID(SUBSTITUTE(SUBSTITUTE(SUBSTITUTE(SUBSTITUTE(SUBSTITUTE(Клиенты_исходные!D757," ",""),"-",""),"+",""),"(",""),")",""),8,2),Клиенты_исходные!D757)))</f>
        <v xml:space="preserve">+7 (903) 890-12-34</v>
      </c>
      <c r="E757" t="str">
        <f>IF(ISBLANK(Клиенты_исходные!E757),"",IF(ISNUMBER(FIND(".",MID(Клиенты_исходные!E757,FIND("@",Клиенты_исходные!E757)+1,255))),Клиенты_исходные!E757,IF(ISNUMBER(FIND("gmail",Клиенты_исходные!E757)),Клиенты_исходные!E757&amp;".com",Клиенты_исходные!E757&amp;".ru")))</f>
        <v>bessonov@gmail.com</v>
      </c>
      <c r="F757" t="str">
        <f>IFERROR(VLOOKUP(Клиенты_исходные!F757,Справочники!$J$2:$K$50,2,FALSE),Клиенты_исходные!F757)</f>
        <v>Калининград</v>
      </c>
      <c r="G757" s="8">
        <f>IFERROR(IF(ISNUMBER(FIND(".",Клиенты_исходные!G757)),DATE(RIGHT(Клиенты_исходные!G757,4),MID(Клиенты_исходные!G757,4,2),LEFT(Клиенты_исходные!G757,2)),DATE(LEFT(Клиенты_исходные!G757,4),MID(Клиенты_исходные!G757,6,2),RIGHT(Клиенты_исходные!G757,2))),Клиенты_исходные!G757)</f>
        <v>52210</v>
      </c>
      <c r="H757">
        <f t="shared" ca="1" si="82"/>
        <v>41</v>
      </c>
      <c r="I757" t="str">
        <f t="shared" si="83"/>
        <v>OK</v>
      </c>
      <c r="J757" t="str">
        <f t="shared" si="84"/>
        <v>OK</v>
      </c>
    </row>
    <row r="758">
      <c r="A758" t="str">
        <f>Клиенты_исходные!A758</f>
        <v>C0757</v>
      </c>
      <c r="B758" t="str">
        <f>PROPER(TRIM(Клиенты_исходные!B758))</f>
        <v xml:space="preserve">Верещагина Мария Владимировна</v>
      </c>
      <c r="C758" s="8">
        <f>IFERROR(IF(ISNUMBER(FIND(".",Клиенты_исходные!C758)),DATE(RIGHT(Клиенты_исходные!C758,4),MID(Клиенты_исходные!C758,4,2),LEFT(Клиенты_исходные!C758,2)),DATE(LEFT(Клиенты_исходные!C758,4),MID(Клиенты_исходные!C758,6,2),RIGHT(Клиенты_исходные!C758,2))),Клиенты_исходные!C758)</f>
        <v>26468</v>
      </c>
      <c r="D758" t="str">
        <f>IF(ISBLANK(Клиенты_исходные!D758),"",IF(LEN(SUBSTITUTE(SUBSTITUTE(SUBSTITUTE(SUBSTITUTE(SUBSTITUTE(Клиенты_исходные!D758," ",""),"-",""),"+",""),"(",""),")",""))=11,"+7 ("&amp;MID(IF(LEFT(SUBSTITUTE(SUBSTITUTE(SUBSTITUTE(SUBSTITUTE(SUBSTITUTE(Клиенты_исходные!D758," ",""),"-",""),"+",""),"(",""),")",""))="8","7"&amp;MID(SUBSTITUTE(SUBSTITUTE(SUBSTITUTE(SUBSTITUTE(SUBSTITUTE(Клиенты_исходные!D758," ",""),"-",""),"+",""),"(",""),")",""),2,10),SUBSTITUTE(SUBSTITUTE(SUBSTITUTE(SUBSTITUTE(SUBSTITUTE(Клиенты_исходные!D758," ",""),"-",""),"+",""),"(",""),")","")),2,3)&amp;") "&amp;MID(IF(LEFT(SUBSTITUTE(SUBSTITUTE(SUBSTITUTE(SUBSTITUTE(SUBSTITUTE(Клиенты_исходные!D758," ",""),"-",""),"+",""),"(",""),")",""))="8","7"&amp;MID(SUBSTITUTE(SUBSTITUTE(SUBSTITUTE(SUBSTITUTE(SUBSTITUTE(Клиенты_исходные!D758," ",""),"-",""),"+",""),"(",""),")",""),2,10),SUBSTITUTE(SUBSTITUTE(SUBSTITUTE(SUBSTITUTE(SUBSTITUTE(Клиенты_исходные!D758," ",""),"-",""),"+",""),"(",""),")","")),5,3)&amp;"-"&amp;MID(IF(LEFT(SUBSTITUTE(SUBSTITUTE(SUBSTITUTE(SUBSTITUTE(SUBSTITUTE(Клиенты_исходные!D758," ",""),"-",""),"+",""),"(",""),")",""))="8","7"&amp;MID(SUBSTITUTE(SUBSTITUTE(SUBSTITUTE(SUBSTITUTE(SUBSTITUTE(Клиенты_исходные!D758," ",""),"-",""),"+",""),"(",""),")",""),2,10),SUBSTITUTE(SUBSTITUTE(SUBSTITUTE(SUBSTITUTE(SUBSTITUTE(Клиенты_исходные!D758," ",""),"-",""),"+",""),"(",""),")","")),8,2)&amp;"-"&amp;MID(IF(LEFT(SUBSTITUTE(SUBSTITUTE(SUBSTITUTE(SUBSTITUTE(SUBSTITUTE(Клиенты_исходные!D758," ",""),"-",""),"+",""),"(",""),")",""))="8","7"&amp;MID(SUBSTITUTE(SUBSTITUTE(SUBSTITUTE(SUBSTITUTE(SUBSTITUTE(Клиенты_исходные!D758," ",""),"-",""),"+",""),"(",""),")",""),2,10),SUBSTITUTE(SUBSTITUTE(SUBSTITUTE(SUBSTITUTE(SUBSTITUTE(Клиенты_исходные!D758," ",""),"-",""),"+",""),"(",""),")","")),10,2),IF(LEN(SUBSTITUTE(SUBSTITUTE(SUBSTITUTE(SUBSTITUTE(SUBSTITUTE(Клиенты_исходные!D758," ",""),"-",""),"+",""),"(",""),")",""))=10,"+7 ("&amp;MID(SUBSTITUTE(SUBSTITUTE(SUBSTITUTE(SUBSTITUTE(SUBSTITUTE(Клиенты_исходные!D758," ",""),"-",""),"+",""),"(",""),")",""),1,3)&amp;") "&amp;MID(SUBSTITUTE(SUBSTITUTE(SUBSTITUTE(SUBSTITUTE(SUBSTITUTE(Клиенты_исходные!D758," ",""),"-",""),"+",""),"(",""),")",""),4,3)&amp;"-"&amp;MID(SUBSTITUTE(SUBSTITUTE(SUBSTITUTE(SUBSTITUTE(SUBSTITUTE(Клиенты_исходные!D758," ",""),"-",""),"+",""),"(",""),")",""),6,2)&amp;"-"&amp;MID(SUBSTITUTE(SUBSTITUTE(SUBSTITUTE(SUBSTITUTE(SUBSTITUTE(Клиенты_исходные!D758," ",""),"-",""),"+",""),"(",""),")",""),8,2),Клиенты_исходные!D758)))</f>
        <v xml:space="preserve">+7 (903) 890-12-34</v>
      </c>
      <c r="E758" t="str">
        <f>IF(ISBLANK(Клиенты_исходные!E758),"",IF(ISNUMBER(FIND(".",MID(Клиенты_исходные!E758,FIND("@",Клиенты_исходные!E758)+1,255))),Клиенты_исходные!E758,IF(ISNUMBER(FIND("gmail",Клиенты_исходные!E758)),Клиенты_исходные!E758&amp;".com",Клиенты_исходные!E758&amp;".ru")))</f>
        <v>vereschagina@mail.ru</v>
      </c>
      <c r="F758" t="str">
        <f>IFERROR(VLOOKUP(Клиенты_исходные!F758,Справочники!$J$2:$K$50,2,FALSE),Клиенты_исходные!F758)</f>
        <v>Петрозаводск</v>
      </c>
      <c r="G758" s="8">
        <f>IFERROR(IF(ISNUMBER(FIND(".",Клиенты_исходные!G758)),DATE(RIGHT(Клиенты_исходные!G758,4),MID(Клиенты_исходные!G758,4,2),LEFT(Клиенты_исходные!G758,2)),DATE(LEFT(Клиенты_исходные!G758,4),MID(Клиенты_исходные!G758,6,2),RIGHT(Клиенты_исходные!G758,2))),Клиенты_исходные!G758)</f>
        <v>52232</v>
      </c>
      <c r="H758">
        <f t="shared" ca="1" si="82"/>
        <v>54</v>
      </c>
      <c r="I758" t="str">
        <f t="shared" si="83"/>
        <v>OK</v>
      </c>
      <c r="J758" t="str">
        <f t="shared" si="84"/>
        <v>OK</v>
      </c>
    </row>
    <row r="759">
      <c r="A759" t="str">
        <f>Клиенты_исходные!A759</f>
        <v>C0758</v>
      </c>
      <c r="B759" t="str">
        <f>PROPER(TRIM(Клиенты_исходные!B759))</f>
        <v xml:space="preserve">Малинин Денис Павлович</v>
      </c>
      <c r="C759" s="8">
        <f>IFERROR(IF(ISNUMBER(FIND(".",Клиенты_исходные!C759)),DATE(RIGHT(Клиенты_исходные!C759,4),MID(Клиенты_исходные!C759,4,2),LEFT(Клиенты_исходные!C759,2)),DATE(LEFT(Клиенты_исходные!C759,4),MID(Клиенты_исходные!C759,6,2),RIGHT(Клиенты_исходные!C759,2))),Клиенты_исходные!C759)</f>
        <v>30587</v>
      </c>
      <c r="D759" t="str">
        <f>IF(ISBLANK(Клиенты_исходные!D759),"",IF(LEN(SUBSTITUTE(SUBSTITUTE(SUBSTITUTE(SUBSTITUTE(SUBSTITUTE(Клиенты_исходные!D759," ",""),"-",""),"+",""),"(",""),")",""))=11,"+7 ("&amp;MID(IF(LEFT(SUBSTITUTE(SUBSTITUTE(SUBSTITUTE(SUBSTITUTE(SUBSTITUTE(Клиенты_исходные!D759," ",""),"-",""),"+",""),"(",""),")",""))="8","7"&amp;MID(SUBSTITUTE(SUBSTITUTE(SUBSTITUTE(SUBSTITUTE(SUBSTITUTE(Клиенты_исходные!D759," ",""),"-",""),"+",""),"(",""),")",""),2,10),SUBSTITUTE(SUBSTITUTE(SUBSTITUTE(SUBSTITUTE(SUBSTITUTE(Клиенты_исходные!D759," ",""),"-",""),"+",""),"(",""),")","")),2,3)&amp;") "&amp;MID(IF(LEFT(SUBSTITUTE(SUBSTITUTE(SUBSTITUTE(SUBSTITUTE(SUBSTITUTE(Клиенты_исходные!D759," ",""),"-",""),"+",""),"(",""),")",""))="8","7"&amp;MID(SUBSTITUTE(SUBSTITUTE(SUBSTITUTE(SUBSTITUTE(SUBSTITUTE(Клиенты_исходные!D759," ",""),"-",""),"+",""),"(",""),")",""),2,10),SUBSTITUTE(SUBSTITUTE(SUBSTITUTE(SUBSTITUTE(SUBSTITUTE(Клиенты_исходные!D759," ",""),"-",""),"+",""),"(",""),")","")),5,3)&amp;"-"&amp;MID(IF(LEFT(SUBSTITUTE(SUBSTITUTE(SUBSTITUTE(SUBSTITUTE(SUBSTITUTE(Клиенты_исходные!D759," ",""),"-",""),"+",""),"(",""),")",""))="8","7"&amp;MID(SUBSTITUTE(SUBSTITUTE(SUBSTITUTE(SUBSTITUTE(SUBSTITUTE(Клиенты_исходные!D759," ",""),"-",""),"+",""),"(",""),")",""),2,10),SUBSTITUTE(SUBSTITUTE(SUBSTITUTE(SUBSTITUTE(SUBSTITUTE(Клиенты_исходные!D759," ",""),"-",""),"+",""),"(",""),")","")),8,2)&amp;"-"&amp;MID(IF(LEFT(SUBSTITUTE(SUBSTITUTE(SUBSTITUTE(SUBSTITUTE(SUBSTITUTE(Клиенты_исходные!D759," ",""),"-",""),"+",""),"(",""),")",""))="8","7"&amp;MID(SUBSTITUTE(SUBSTITUTE(SUBSTITUTE(SUBSTITUTE(SUBSTITUTE(Клиенты_исходные!D759," ",""),"-",""),"+",""),"(",""),")",""),2,10),SUBSTITUTE(SUBSTITUTE(SUBSTITUTE(SUBSTITUTE(SUBSTITUTE(Клиенты_исходные!D759," ",""),"-",""),"+",""),"(",""),")","")),10,2),IF(LEN(SUBSTITUTE(SUBSTITUTE(SUBSTITUTE(SUBSTITUTE(SUBSTITUTE(Клиенты_исходные!D759," ",""),"-",""),"+",""),"(",""),")",""))=10,"+7 ("&amp;MID(SUBSTITUTE(SUBSTITUTE(SUBSTITUTE(SUBSTITUTE(SUBSTITUTE(Клиенты_исходные!D759," ",""),"-",""),"+",""),"(",""),")",""),1,3)&amp;") "&amp;MID(SUBSTITUTE(SUBSTITUTE(SUBSTITUTE(SUBSTITUTE(SUBSTITUTE(Клиенты_исходные!D759," ",""),"-",""),"+",""),"(",""),")",""),4,3)&amp;"-"&amp;MID(SUBSTITUTE(SUBSTITUTE(SUBSTITUTE(SUBSTITUTE(SUBSTITUTE(Клиенты_исходные!D759," ",""),"-",""),"+",""),"(",""),")",""),6,2)&amp;"-"&amp;MID(SUBSTITUTE(SUBSTITUTE(SUBSTITUTE(SUBSTITUTE(SUBSTITUTE(Клиенты_исходные!D759," ",""),"-",""),"+",""),"(",""),")",""),8,2),Клиенты_исходные!D759)))</f>
        <v xml:space="preserve">+7 (903) 890-12-34</v>
      </c>
      <c r="E759" t="str">
        <f>IF(ISBLANK(Клиенты_исходные!E759),"",IF(ISNUMBER(FIND(".",MID(Клиенты_исходные!E759,FIND("@",Клиенты_исходные!E759)+1,255))),Клиенты_исходные!E759,IF(ISNUMBER(FIND("gmail",Клиенты_исходные!E759)),Клиенты_исходные!E759&amp;".com",Клиенты_исходные!E759&amp;".ru")))</f>
        <v>malinin@yandex.ru</v>
      </c>
      <c r="F759" t="str">
        <f>IFERROR(VLOOKUP(Клиенты_исходные!F759,Справочники!$J$2:$K$50,2,FALSE),Клиенты_исходные!F759)</f>
        <v>Рубцовск</v>
      </c>
      <c r="G759" s="8">
        <f>IFERROR(IF(ISNUMBER(FIND(".",Клиенты_исходные!G759)),DATE(RIGHT(Клиенты_исходные!G759,4),MID(Клиенты_исходные!G759,4,2),LEFT(Клиенты_исходные!G759,2)),DATE(LEFT(Клиенты_исходные!G759,4),MID(Клиенты_исходные!G759,6,2),RIGHT(Клиенты_исходные!G759,2))),Клиенты_исходные!G759)</f>
        <v>52246</v>
      </c>
      <c r="H759">
        <f t="shared" ca="1" si="82"/>
        <v>43</v>
      </c>
      <c r="I759" t="str">
        <f t="shared" si="83"/>
        <v>OK</v>
      </c>
      <c r="J759" t="str">
        <f t="shared" si="84"/>
        <v>OK</v>
      </c>
    </row>
    <row r="760">
      <c r="A760" t="str">
        <f>Клиенты_исходные!A760</f>
        <v>C0759</v>
      </c>
      <c r="B760" t="str">
        <f>PROPER(TRIM(Клиенты_исходные!B760))</f>
        <v xml:space="preserve">Дубова Ольга Сергеевна</v>
      </c>
      <c r="C760" s="8">
        <f>IFERROR(IF(ISNUMBER(FIND(".",Клиенты_исходные!C760)),DATE(RIGHT(Клиенты_исходные!C760,4),MID(Клиенты_исходные!C760,4,2),LEFT(Клиенты_исходные!C760,2)),DATE(LEFT(Клиенты_исходные!C760,4),MID(Клиенты_исходные!C760,6,2),RIGHT(Клиенты_исходные!C760,2))),Клиенты_исходные!C760)</f>
        <v>33211</v>
      </c>
      <c r="D760" t="str">
        <f>IF(ISBLANK(Клиенты_исходные!D760),"",IF(LEN(SUBSTITUTE(SUBSTITUTE(SUBSTITUTE(SUBSTITUTE(SUBSTITUTE(Клиенты_исходные!D760," ",""),"-",""),"+",""),"(",""),")",""))=11,"+7 ("&amp;MID(IF(LEFT(SUBSTITUTE(SUBSTITUTE(SUBSTITUTE(SUBSTITUTE(SUBSTITUTE(Клиенты_исходные!D760," ",""),"-",""),"+",""),"(",""),")",""))="8","7"&amp;MID(SUBSTITUTE(SUBSTITUTE(SUBSTITUTE(SUBSTITUTE(SUBSTITUTE(Клиенты_исходные!D760," ",""),"-",""),"+",""),"(",""),")",""),2,10),SUBSTITUTE(SUBSTITUTE(SUBSTITUTE(SUBSTITUTE(SUBSTITUTE(Клиенты_исходные!D760," ",""),"-",""),"+",""),"(",""),")","")),2,3)&amp;") "&amp;MID(IF(LEFT(SUBSTITUTE(SUBSTITUTE(SUBSTITUTE(SUBSTITUTE(SUBSTITUTE(Клиенты_исходные!D760," ",""),"-",""),"+",""),"(",""),")",""))="8","7"&amp;MID(SUBSTITUTE(SUBSTITUTE(SUBSTITUTE(SUBSTITUTE(SUBSTITUTE(Клиенты_исходные!D760," ",""),"-",""),"+",""),"(",""),")",""),2,10),SUBSTITUTE(SUBSTITUTE(SUBSTITUTE(SUBSTITUTE(SUBSTITUTE(Клиенты_исходные!D760," ",""),"-",""),"+",""),"(",""),")","")),5,3)&amp;"-"&amp;MID(IF(LEFT(SUBSTITUTE(SUBSTITUTE(SUBSTITUTE(SUBSTITUTE(SUBSTITUTE(Клиенты_исходные!D760," ",""),"-",""),"+",""),"(",""),")",""))="8","7"&amp;MID(SUBSTITUTE(SUBSTITUTE(SUBSTITUTE(SUBSTITUTE(SUBSTITUTE(Клиенты_исходные!D760," ",""),"-",""),"+",""),"(",""),")",""),2,10),SUBSTITUTE(SUBSTITUTE(SUBSTITUTE(SUBSTITUTE(SUBSTITUTE(Клиенты_исходные!D760," ",""),"-",""),"+",""),"(",""),")","")),8,2)&amp;"-"&amp;MID(IF(LEFT(SUBSTITUTE(SUBSTITUTE(SUBSTITUTE(SUBSTITUTE(SUBSTITUTE(Клиенты_исходные!D760," ",""),"-",""),"+",""),"(",""),")",""))="8","7"&amp;MID(SUBSTITUTE(SUBSTITUTE(SUBSTITUTE(SUBSTITUTE(SUBSTITUTE(Клиенты_исходные!D760," ",""),"-",""),"+",""),"(",""),")",""),2,10),SUBSTITUTE(SUBSTITUTE(SUBSTITUTE(SUBSTITUTE(SUBSTITUTE(Клиенты_исходные!D760," ",""),"-",""),"+",""),"(",""),")","")),10,2),IF(LEN(SUBSTITUTE(SUBSTITUTE(SUBSTITUTE(SUBSTITUTE(SUBSTITUTE(Клиенты_исходные!D760," ",""),"-",""),"+",""),"(",""),")",""))=10,"+7 ("&amp;MID(SUBSTITUTE(SUBSTITUTE(SUBSTITUTE(SUBSTITUTE(SUBSTITUTE(Клиенты_исходные!D760," ",""),"-",""),"+",""),"(",""),")",""),1,3)&amp;") "&amp;MID(SUBSTITUTE(SUBSTITUTE(SUBSTITUTE(SUBSTITUTE(SUBSTITUTE(Клиенты_исходные!D760," ",""),"-",""),"+",""),"(",""),")",""),4,3)&amp;"-"&amp;MID(SUBSTITUTE(SUBSTITUTE(SUBSTITUTE(SUBSTITUTE(SUBSTITUTE(Клиенты_исходные!D760," ",""),"-",""),"+",""),"(",""),")",""),6,2)&amp;"-"&amp;MID(SUBSTITUTE(SUBSTITUTE(SUBSTITUTE(SUBSTITUTE(SUBSTITUTE(Клиенты_исходные!D760," ",""),"-",""),"+",""),"(",""),")",""),8,2),Клиенты_исходные!D760)))</f>
        <v xml:space="preserve">+7 (903) 901-23-45</v>
      </c>
      <c r="E760" t="str">
        <f>IF(ISBLANK(Клиенты_исходные!E760),"",IF(ISNUMBER(FIND(".",MID(Клиенты_исходные!E760,FIND("@",Клиенты_исходные!E760)+1,255))),Клиенты_исходные!E760,IF(ISNUMBER(FIND("gmail",Клиенты_исходные!E760)),Клиенты_исходные!E760&amp;".com",Клиенты_исходные!E760&amp;".ru")))</f>
        <v>dubova@gmail.com</v>
      </c>
      <c r="F760" t="str">
        <f>IFERROR(VLOOKUP(Клиенты_исходные!F760,Справочники!$J$2:$K$50,2,FALSE),Клиенты_исходные!F760)</f>
        <v>Элиста</v>
      </c>
      <c r="G760" s="8">
        <f>IFERROR(IF(ISNUMBER(FIND(".",Клиенты_исходные!G760)),DATE(RIGHT(Клиенты_исходные!G760,4),MID(Клиенты_исходные!G760,4,2),LEFT(Клиенты_исходные!G760,2)),DATE(LEFT(Клиенты_исходные!G760,4),MID(Клиенты_исходные!G760,6,2),RIGHT(Клиенты_исходные!G760,2))),Клиенты_исходные!G760)</f>
        <v>52246</v>
      </c>
      <c r="H760">
        <f t="shared" ca="1" si="82"/>
        <v>35</v>
      </c>
      <c r="I760" t="str">
        <f t="shared" si="83"/>
        <v>OK</v>
      </c>
      <c r="J760" t="str">
        <f t="shared" si="84"/>
        <v>OK</v>
      </c>
    </row>
    <row r="761">
      <c r="A761" t="str">
        <f>Клиенты_исходные!A761</f>
        <v>C0760</v>
      </c>
      <c r="B761" t="str">
        <f>PROPER(TRIM(Клиенты_исходные!B761))</f>
        <v xml:space="preserve">Старцев Илья Алексеевич</v>
      </c>
      <c r="C761" s="8">
        <f>IFERROR(IF(ISNUMBER(FIND(".",Клиенты_исходные!C761)),DATE(RIGHT(Клиенты_исходные!C761,4),MID(Клиенты_исходные!C761,4,2),LEFT(Клиенты_исходные!C761,2)),DATE(LEFT(Клиенты_исходные!C761,4),MID(Клиенты_исходные!C761,6,2),RIGHT(Клиенты_исходные!C761,2))),Клиенты_исходные!C761)</f>
        <v>27905</v>
      </c>
      <c r="D761" t="str">
        <f>IF(ISBLANK(Клиенты_исходные!D761),"",IF(LEN(SUBSTITUTE(SUBSTITUTE(SUBSTITUTE(SUBSTITUTE(SUBSTITUTE(Клиенты_исходные!D761," ",""),"-",""),"+",""),"(",""),")",""))=11,"+7 ("&amp;MID(IF(LEFT(SUBSTITUTE(SUBSTITUTE(SUBSTITUTE(SUBSTITUTE(SUBSTITUTE(Клиенты_исходные!D761," ",""),"-",""),"+",""),"(",""),")",""))="8","7"&amp;MID(SUBSTITUTE(SUBSTITUTE(SUBSTITUTE(SUBSTITUTE(SUBSTITUTE(Клиенты_исходные!D761," ",""),"-",""),"+",""),"(",""),")",""),2,10),SUBSTITUTE(SUBSTITUTE(SUBSTITUTE(SUBSTITUTE(SUBSTITUTE(Клиенты_исходные!D761," ",""),"-",""),"+",""),"(",""),")","")),2,3)&amp;") "&amp;MID(IF(LEFT(SUBSTITUTE(SUBSTITUTE(SUBSTITUTE(SUBSTITUTE(SUBSTITUTE(Клиенты_исходные!D761," ",""),"-",""),"+",""),"(",""),")",""))="8","7"&amp;MID(SUBSTITUTE(SUBSTITUTE(SUBSTITUTE(SUBSTITUTE(SUBSTITUTE(Клиенты_исходные!D761," ",""),"-",""),"+",""),"(",""),")",""),2,10),SUBSTITUTE(SUBSTITUTE(SUBSTITUTE(SUBSTITUTE(SUBSTITUTE(Клиенты_исходные!D761," ",""),"-",""),"+",""),"(",""),")","")),5,3)&amp;"-"&amp;MID(IF(LEFT(SUBSTITUTE(SUBSTITUTE(SUBSTITUTE(SUBSTITUTE(SUBSTITUTE(Клиенты_исходные!D761," ",""),"-",""),"+",""),"(",""),")",""))="8","7"&amp;MID(SUBSTITUTE(SUBSTITUTE(SUBSTITUTE(SUBSTITUTE(SUBSTITUTE(Клиенты_исходные!D761," ",""),"-",""),"+",""),"(",""),")",""),2,10),SUBSTITUTE(SUBSTITUTE(SUBSTITUTE(SUBSTITUTE(SUBSTITUTE(Клиенты_исходные!D761," ",""),"-",""),"+",""),"(",""),")","")),8,2)&amp;"-"&amp;MID(IF(LEFT(SUBSTITUTE(SUBSTITUTE(SUBSTITUTE(SUBSTITUTE(SUBSTITUTE(Клиенты_исходные!D761," ",""),"-",""),"+",""),"(",""),")",""))="8","7"&amp;MID(SUBSTITUTE(SUBSTITUTE(SUBSTITUTE(SUBSTITUTE(SUBSTITUTE(Клиенты_исходные!D761," ",""),"-",""),"+",""),"(",""),")",""),2,10),SUBSTITUTE(SUBSTITUTE(SUBSTITUTE(SUBSTITUTE(SUBSTITUTE(Клиенты_исходные!D761," ",""),"-",""),"+",""),"(",""),")","")),10,2),IF(LEN(SUBSTITUTE(SUBSTITUTE(SUBSTITUTE(SUBSTITUTE(SUBSTITUTE(Клиенты_исходные!D761," ",""),"-",""),"+",""),"(",""),")",""))=10,"+7 ("&amp;MID(SUBSTITUTE(SUBSTITUTE(SUBSTITUTE(SUBSTITUTE(SUBSTITUTE(Клиенты_исходные!D761," ",""),"-",""),"+",""),"(",""),")",""),1,3)&amp;") "&amp;MID(SUBSTITUTE(SUBSTITUTE(SUBSTITUTE(SUBSTITUTE(SUBSTITUTE(Клиенты_исходные!D761," ",""),"-",""),"+",""),"(",""),")",""),4,3)&amp;"-"&amp;MID(SUBSTITUTE(SUBSTITUTE(SUBSTITUTE(SUBSTITUTE(SUBSTITUTE(Клиенты_исходные!D761," ",""),"-",""),"+",""),"(",""),")",""),6,2)&amp;"-"&amp;MID(SUBSTITUTE(SUBSTITUTE(SUBSTITUTE(SUBSTITUTE(SUBSTITUTE(Клиенты_исходные!D761," ",""),"-",""),"+",""),"(",""),")",""),8,2),Клиенты_исходные!D761)))</f>
        <v xml:space="preserve">+7 (903) 901-23-45</v>
      </c>
      <c r="E761" t="str">
        <f>IF(ISBLANK(Клиенты_исходные!E761),"",IF(ISNUMBER(FIND(".",MID(Клиенты_исходные!E761,FIND("@",Клиенты_исходные!E761)+1,255))),Клиенты_исходные!E761,IF(ISNUMBER(FIND("gmail",Клиенты_исходные!E761)),Клиенты_исходные!E761&amp;".com",Клиенты_исходные!E761&amp;".ru")))</f>
        <v>startsev@mail.ru</v>
      </c>
      <c r="F761" t="str">
        <f>IFERROR(VLOOKUP(Клиенты_исходные!F761,Справочники!$J$2:$K$50,2,FALSE),Клиенты_исходные!F761)</f>
        <v>Орск</v>
      </c>
      <c r="G761" s="8">
        <f>IFERROR(IF(ISNUMBER(FIND(".",Клиенты_исходные!G761)),DATE(RIGHT(Клиенты_исходные!G761,4),MID(Клиенты_исходные!G761,4,2),LEFT(Клиенты_исходные!G761,2)),DATE(LEFT(Клиенты_исходные!G761,4),MID(Клиенты_исходные!G761,6,2),RIGHT(Клиенты_исходные!G761,2))),Клиенты_исходные!G761)</f>
        <v>52263</v>
      </c>
      <c r="H761">
        <f t="shared" ca="1" si="82"/>
        <v>50</v>
      </c>
      <c r="I761" t="str">
        <f t="shared" si="83"/>
        <v>OK</v>
      </c>
      <c r="J761" t="str">
        <f t="shared" si="84"/>
        <v>OK</v>
      </c>
    </row>
    <row r="762">
      <c r="A762" t="str">
        <f>Клиенты_исходные!A762</f>
        <v>C0761</v>
      </c>
      <c r="B762" t="str">
        <f>PROPER(TRIM(Клиенты_исходные!B762))</f>
        <v xml:space="preserve">Антипова Екатерина Владимировна</v>
      </c>
      <c r="C762" s="8">
        <f>IFERROR(IF(ISNUMBER(FIND(".",Клиенты_исходные!C762)),DATE(RIGHT(Клиенты_исходные!C762,4),MID(Клиенты_исходные!C762,4,2),LEFT(Клиенты_исходные!C762,2)),DATE(LEFT(Клиенты_исходные!C762,4),MID(Клиенты_исходные!C762,6,2),RIGHT(Клиенты_исходные!C762,2))),Клиенты_исходные!C762)</f>
        <v>32446</v>
      </c>
      <c r="D762" t="str">
        <f>IF(ISBLANK(Клиенты_исходные!D762),"",IF(LEN(SUBSTITUTE(SUBSTITUTE(SUBSTITUTE(SUBSTITUTE(SUBSTITUTE(Клиенты_исходные!D762," ",""),"-",""),"+",""),"(",""),")",""))=11,"+7 ("&amp;MID(IF(LEFT(SUBSTITUTE(SUBSTITUTE(SUBSTITUTE(SUBSTITUTE(SUBSTITUTE(Клиенты_исходные!D762," ",""),"-",""),"+",""),"(",""),")",""))="8","7"&amp;MID(SUBSTITUTE(SUBSTITUTE(SUBSTITUTE(SUBSTITUTE(SUBSTITUTE(Клиенты_исходные!D762," ",""),"-",""),"+",""),"(",""),")",""),2,10),SUBSTITUTE(SUBSTITUTE(SUBSTITUTE(SUBSTITUTE(SUBSTITUTE(Клиенты_исходные!D762," ",""),"-",""),"+",""),"(",""),")","")),2,3)&amp;") "&amp;MID(IF(LEFT(SUBSTITUTE(SUBSTITUTE(SUBSTITUTE(SUBSTITUTE(SUBSTITUTE(Клиенты_исходные!D762," ",""),"-",""),"+",""),"(",""),")",""))="8","7"&amp;MID(SUBSTITUTE(SUBSTITUTE(SUBSTITUTE(SUBSTITUTE(SUBSTITUTE(Клиенты_исходные!D762," ",""),"-",""),"+",""),"(",""),")",""),2,10),SUBSTITUTE(SUBSTITUTE(SUBSTITUTE(SUBSTITUTE(SUBSTITUTE(Клиенты_исходные!D762," ",""),"-",""),"+",""),"(",""),")","")),5,3)&amp;"-"&amp;MID(IF(LEFT(SUBSTITUTE(SUBSTITUTE(SUBSTITUTE(SUBSTITUTE(SUBSTITUTE(Клиенты_исходные!D762," ",""),"-",""),"+",""),"(",""),")",""))="8","7"&amp;MID(SUBSTITUTE(SUBSTITUTE(SUBSTITUTE(SUBSTITUTE(SUBSTITUTE(Клиенты_исходные!D762," ",""),"-",""),"+",""),"(",""),")",""),2,10),SUBSTITUTE(SUBSTITUTE(SUBSTITUTE(SUBSTITUTE(SUBSTITUTE(Клиенты_исходные!D762," ",""),"-",""),"+",""),"(",""),")","")),8,2)&amp;"-"&amp;MID(IF(LEFT(SUBSTITUTE(SUBSTITUTE(SUBSTITUTE(SUBSTITUTE(SUBSTITUTE(Клиенты_исходные!D762," ",""),"-",""),"+",""),"(",""),")",""))="8","7"&amp;MID(SUBSTITUTE(SUBSTITUTE(SUBSTITUTE(SUBSTITUTE(SUBSTITUTE(Клиенты_исходные!D762," ",""),"-",""),"+",""),"(",""),")",""),2,10),SUBSTITUTE(SUBSTITUTE(SUBSTITUTE(SUBSTITUTE(SUBSTITUTE(Клиенты_исходные!D762," ",""),"-",""),"+",""),"(",""),")","")),10,2),IF(LEN(SUBSTITUTE(SUBSTITUTE(SUBSTITUTE(SUBSTITUTE(SUBSTITUTE(Клиенты_исходные!D762," ",""),"-",""),"+",""),"(",""),")",""))=10,"+7 ("&amp;MID(SUBSTITUTE(SUBSTITUTE(SUBSTITUTE(SUBSTITUTE(SUBSTITUTE(Клиенты_исходные!D762," ",""),"-",""),"+",""),"(",""),")",""),1,3)&amp;") "&amp;MID(SUBSTITUTE(SUBSTITUTE(SUBSTITUTE(SUBSTITUTE(SUBSTITUTE(Клиенты_исходные!D762," ",""),"-",""),"+",""),"(",""),")",""),4,3)&amp;"-"&amp;MID(SUBSTITUTE(SUBSTITUTE(SUBSTITUTE(SUBSTITUTE(SUBSTITUTE(Клиенты_исходные!D762," ",""),"-",""),"+",""),"(",""),")",""),6,2)&amp;"-"&amp;MID(SUBSTITUTE(SUBSTITUTE(SUBSTITUTE(SUBSTITUTE(SUBSTITUTE(Клиенты_исходные!D762," ",""),"-",""),"+",""),"(",""),")",""),8,2),Клиенты_исходные!D762)))</f>
        <v xml:space="preserve">+7 (903) 901-23-45</v>
      </c>
      <c r="E762" t="str">
        <f>IF(ISBLANK(Клиенты_исходные!E762),"",IF(ISNUMBER(FIND(".",MID(Клиенты_исходные!E762,FIND("@",Клиенты_исходные!E762)+1,255))),Клиенты_исходные!E762,IF(ISNUMBER(FIND("gmail",Клиенты_исходные!E762)),Клиенты_исходные!E762&amp;".com",Клиенты_исходные!E762&amp;".ru")))</f>
        <v>antipova@yandex.ru</v>
      </c>
      <c r="F762" t="str">
        <f>IFERROR(VLOOKUP(Клиенты_исходные!F762,Справочники!$J$2:$K$50,2,FALSE),Клиенты_исходные!F762)</f>
        <v>Нижневартовск</v>
      </c>
      <c r="G762" s="8">
        <f>IFERROR(IF(ISNUMBER(FIND(".",Клиенты_исходные!G762)),DATE(RIGHT(Клиенты_исходные!G762,4),MID(Клиенты_исходные!G762,4,2),LEFT(Клиенты_исходные!G762,2)),DATE(LEFT(Клиенты_исходные!G762,4),MID(Клиенты_исходные!G762,6,2),RIGHT(Клиенты_исходные!G762,2))),Клиенты_исходные!G762)</f>
        <v>52272</v>
      </c>
      <c r="H762">
        <f t="shared" ca="1" si="82"/>
        <v>37</v>
      </c>
      <c r="I762" t="str">
        <f t="shared" si="83"/>
        <v>OK</v>
      </c>
      <c r="J762" t="str">
        <f t="shared" si="84"/>
        <v>OK</v>
      </c>
    </row>
    <row r="763">
      <c r="A763" t="str">
        <f>Клиенты_исходные!A763</f>
        <v>C0762</v>
      </c>
      <c r="B763" t="str">
        <f>PROPER(TRIM(Клиенты_исходные!B763))</f>
        <v xml:space="preserve">Марчук Андрей Олегович</v>
      </c>
      <c r="C763" s="8">
        <f>IFERROR(IF(ISNUMBER(FIND(".",Клиенты_исходные!C763)),DATE(RIGHT(Клиенты_исходные!C763,4),MID(Клиенты_исходные!C763,4,2),LEFT(Клиенты_исходные!C763,2)),DATE(LEFT(Клиенты_исходные!C763,4),MID(Клиенты_исходные!C763,6,2),RIGHT(Клиенты_исходные!C763,2))),Клиенты_исходные!C763)</f>
        <v>29625</v>
      </c>
      <c r="D763" t="str">
        <f>IF(ISBLANK(Клиенты_исходные!D763),"",IF(LEN(SUBSTITUTE(SUBSTITUTE(SUBSTITUTE(SUBSTITUTE(SUBSTITUTE(Клиенты_исходные!D763," ",""),"-",""),"+",""),"(",""),")",""))=11,"+7 ("&amp;MID(IF(LEFT(SUBSTITUTE(SUBSTITUTE(SUBSTITUTE(SUBSTITUTE(SUBSTITUTE(Клиенты_исходные!D763," ",""),"-",""),"+",""),"(",""),")",""))="8","7"&amp;MID(SUBSTITUTE(SUBSTITUTE(SUBSTITUTE(SUBSTITUTE(SUBSTITUTE(Клиенты_исходные!D763," ",""),"-",""),"+",""),"(",""),")",""),2,10),SUBSTITUTE(SUBSTITUTE(SUBSTITUTE(SUBSTITUTE(SUBSTITUTE(Клиенты_исходные!D763," ",""),"-",""),"+",""),"(",""),")","")),2,3)&amp;") "&amp;MID(IF(LEFT(SUBSTITUTE(SUBSTITUTE(SUBSTITUTE(SUBSTITUTE(SUBSTITUTE(Клиенты_исходные!D763," ",""),"-",""),"+",""),"(",""),")",""))="8","7"&amp;MID(SUBSTITUTE(SUBSTITUTE(SUBSTITUTE(SUBSTITUTE(SUBSTITUTE(Клиенты_исходные!D763," ",""),"-",""),"+",""),"(",""),")",""),2,10),SUBSTITUTE(SUBSTITUTE(SUBSTITUTE(SUBSTITUTE(SUBSTITUTE(Клиенты_исходные!D763," ",""),"-",""),"+",""),"(",""),")","")),5,3)&amp;"-"&amp;MID(IF(LEFT(SUBSTITUTE(SUBSTITUTE(SUBSTITUTE(SUBSTITUTE(SUBSTITUTE(Клиенты_исходные!D763," ",""),"-",""),"+",""),"(",""),")",""))="8","7"&amp;MID(SUBSTITUTE(SUBSTITUTE(SUBSTITUTE(SUBSTITUTE(SUBSTITUTE(Клиенты_исходные!D763," ",""),"-",""),"+",""),"(",""),")",""),2,10),SUBSTITUTE(SUBSTITUTE(SUBSTITUTE(SUBSTITUTE(SUBSTITUTE(Клиенты_исходные!D763," ",""),"-",""),"+",""),"(",""),")","")),8,2)&amp;"-"&amp;MID(IF(LEFT(SUBSTITUTE(SUBSTITUTE(SUBSTITUTE(SUBSTITUTE(SUBSTITUTE(Клиенты_исходные!D763," ",""),"-",""),"+",""),"(",""),")",""))="8","7"&amp;MID(SUBSTITUTE(SUBSTITUTE(SUBSTITUTE(SUBSTITUTE(SUBSTITUTE(Клиенты_исходные!D763," ",""),"-",""),"+",""),"(",""),")",""),2,10),SUBSTITUTE(SUBSTITUTE(SUBSTITUTE(SUBSTITUTE(SUBSTITUTE(Клиенты_исходные!D763," ",""),"-",""),"+",""),"(",""),")","")),10,2),IF(LEN(SUBSTITUTE(SUBSTITUTE(SUBSTITUTE(SUBSTITUTE(SUBSTITUTE(Клиенты_исходные!D763," ",""),"-",""),"+",""),"(",""),")",""))=10,"+7 ("&amp;MID(SUBSTITUTE(SUBSTITUTE(SUBSTITUTE(SUBSTITUTE(SUBSTITUTE(Клиенты_исходные!D763," ",""),"-",""),"+",""),"(",""),")",""),1,3)&amp;") "&amp;MID(SUBSTITUTE(SUBSTITUTE(SUBSTITUTE(SUBSTITUTE(SUBSTITUTE(Клиенты_исходные!D763," ",""),"-",""),"+",""),"(",""),")",""),4,3)&amp;"-"&amp;MID(SUBSTITUTE(SUBSTITUTE(SUBSTITUTE(SUBSTITUTE(SUBSTITUTE(Клиенты_исходные!D763," ",""),"-",""),"+",""),"(",""),")",""),6,2)&amp;"-"&amp;MID(SUBSTITUTE(SUBSTITUTE(SUBSTITUTE(SUBSTITUTE(SUBSTITUTE(Клиенты_исходные!D763," ",""),"-",""),"+",""),"(",""),")",""),8,2),Клиенты_исходные!D763)))</f>
        <v xml:space="preserve">+7 (903) 012-34-56</v>
      </c>
      <c r="E763" t="str">
        <f>IF(ISBLANK(Клиенты_исходные!E763),"",IF(ISNUMBER(FIND(".",MID(Клиенты_исходные!E763,FIND("@",Клиенты_исходные!E763)+1,255))),Клиенты_исходные!E763,IF(ISNUMBER(FIND("gmail",Клиенты_исходные!E763)),Клиенты_исходные!E763&amp;".com",Клиенты_исходные!E763&amp;".ru")))</f>
        <v>marchuk@gmail.com</v>
      </c>
      <c r="F763" t="str">
        <f>IFERROR(VLOOKUP(Клиенты_исходные!F763,Справочники!$J$2:$K$50,2,FALSE),Клиенты_исходные!F763)</f>
        <v>Новороссийск</v>
      </c>
      <c r="G763" s="8">
        <f>IFERROR(IF(ISNUMBER(FIND(".",Клиенты_исходные!G763)),DATE(RIGHT(Клиенты_исходные!G763,4),MID(Клиенты_исходные!G763,4,2),LEFT(Клиенты_исходные!G763,2)),DATE(LEFT(Клиенты_исходные!G763,4),MID(Клиенты_исходные!G763,6,2),RIGHT(Клиенты_исходные!G763,2))),Клиенты_исходные!G763)</f>
        <v>52272</v>
      </c>
      <c r="H763">
        <f t="shared" ca="1" si="82"/>
        <v>45</v>
      </c>
      <c r="I763" t="str">
        <f t="shared" si="83"/>
        <v>OK</v>
      </c>
      <c r="J763" t="str">
        <f t="shared" si="84"/>
        <v>OK</v>
      </c>
    </row>
    <row r="764">
      <c r="A764" t="str">
        <f>Клиенты_исходные!A764</f>
        <v>C0763</v>
      </c>
      <c r="B764" t="str">
        <f>PROPER(TRIM(Клиенты_исходные!B764))</f>
        <v xml:space="preserve">Завьялова Мария Павловна</v>
      </c>
      <c r="C764" s="8">
        <f>IFERROR(IF(ISNUMBER(FIND(".",Клиенты_исходные!C764)),DATE(RIGHT(Клиенты_исходные!C764,4),MID(Клиенты_исходные!C764,4,2),LEFT(Клиенты_исходные!C764,2)),DATE(LEFT(Клиенты_исходные!C764,4),MID(Клиенты_исходные!C764,6,2),RIGHT(Клиенты_исходные!C764,2))),Клиенты_исходные!C764)</f>
        <v>29052</v>
      </c>
      <c r="D764" t="str">
        <f>IF(ISBLANK(Клиенты_исходные!D764),"",IF(LEN(SUBSTITUTE(SUBSTITUTE(SUBSTITUTE(SUBSTITUTE(SUBSTITUTE(Клиенты_исходные!D764," ",""),"-",""),"+",""),"(",""),")",""))=11,"+7 ("&amp;MID(IF(LEFT(SUBSTITUTE(SUBSTITUTE(SUBSTITUTE(SUBSTITUTE(SUBSTITUTE(Клиенты_исходные!D764," ",""),"-",""),"+",""),"(",""),")",""))="8","7"&amp;MID(SUBSTITUTE(SUBSTITUTE(SUBSTITUTE(SUBSTITUTE(SUBSTITUTE(Клиенты_исходные!D764," ",""),"-",""),"+",""),"(",""),")",""),2,10),SUBSTITUTE(SUBSTITUTE(SUBSTITUTE(SUBSTITUTE(SUBSTITUTE(Клиенты_исходные!D764," ",""),"-",""),"+",""),"(",""),")","")),2,3)&amp;") "&amp;MID(IF(LEFT(SUBSTITUTE(SUBSTITUTE(SUBSTITUTE(SUBSTITUTE(SUBSTITUTE(Клиенты_исходные!D764," ",""),"-",""),"+",""),"(",""),")",""))="8","7"&amp;MID(SUBSTITUTE(SUBSTITUTE(SUBSTITUTE(SUBSTITUTE(SUBSTITUTE(Клиенты_исходные!D764," ",""),"-",""),"+",""),"(",""),")",""),2,10),SUBSTITUTE(SUBSTITUTE(SUBSTITUTE(SUBSTITUTE(SUBSTITUTE(Клиенты_исходные!D764," ",""),"-",""),"+",""),"(",""),")","")),5,3)&amp;"-"&amp;MID(IF(LEFT(SUBSTITUTE(SUBSTITUTE(SUBSTITUTE(SUBSTITUTE(SUBSTITUTE(Клиенты_исходные!D764," ",""),"-",""),"+",""),"(",""),")",""))="8","7"&amp;MID(SUBSTITUTE(SUBSTITUTE(SUBSTITUTE(SUBSTITUTE(SUBSTITUTE(Клиенты_исходные!D764," ",""),"-",""),"+",""),"(",""),")",""),2,10),SUBSTITUTE(SUBSTITUTE(SUBSTITUTE(SUBSTITUTE(SUBSTITUTE(Клиенты_исходные!D764," ",""),"-",""),"+",""),"(",""),")","")),8,2)&amp;"-"&amp;MID(IF(LEFT(SUBSTITUTE(SUBSTITUTE(SUBSTITUTE(SUBSTITUTE(SUBSTITUTE(Клиенты_исходные!D764," ",""),"-",""),"+",""),"(",""),")",""))="8","7"&amp;MID(SUBSTITUTE(SUBSTITUTE(SUBSTITUTE(SUBSTITUTE(SUBSTITUTE(Клиенты_исходные!D764," ",""),"-",""),"+",""),"(",""),")",""),2,10),SUBSTITUTE(SUBSTITUTE(SUBSTITUTE(SUBSTITUTE(SUBSTITUTE(Клиенты_исходные!D764," ",""),"-",""),"+",""),"(",""),")","")),10,2),IF(LEN(SUBSTITUTE(SUBSTITUTE(SUBSTITUTE(SUBSTITUTE(SUBSTITUTE(Клиенты_исходные!D764," ",""),"-",""),"+",""),"(",""),")",""))=10,"+7 ("&amp;MID(SUBSTITUTE(SUBSTITUTE(SUBSTITUTE(SUBSTITUTE(SUBSTITUTE(Клиенты_исходные!D764," ",""),"-",""),"+",""),"(",""),")",""),1,3)&amp;") "&amp;MID(SUBSTITUTE(SUBSTITUTE(SUBSTITUTE(SUBSTITUTE(SUBSTITUTE(Клиенты_исходные!D764," ",""),"-",""),"+",""),"(",""),")",""),4,3)&amp;"-"&amp;MID(SUBSTITUTE(SUBSTITUTE(SUBSTITUTE(SUBSTITUTE(SUBSTITUTE(Клиенты_исходные!D764," ",""),"-",""),"+",""),"(",""),")",""),6,2)&amp;"-"&amp;MID(SUBSTITUTE(SUBSTITUTE(SUBSTITUTE(SUBSTITUTE(SUBSTITUTE(Клиенты_исходные!D764," ",""),"-",""),"+",""),"(",""),")",""),8,2),Клиенты_исходные!D764)))</f>
        <v xml:space="preserve">+7 (903) 012-34-56</v>
      </c>
      <c r="E764" t="str">
        <f>IF(ISBLANK(Клиенты_исходные!E764),"",IF(ISNUMBER(FIND(".",MID(Клиенты_исходные!E764,FIND("@",Клиенты_исходные!E764)+1,255))),Клиенты_исходные!E764,IF(ISNUMBER(FIND("gmail",Клиенты_исходные!E764)),Клиенты_исходные!E764&amp;".com",Клиенты_исходные!E764&amp;".ru")))</f>
        <v>zavyalova@mail.ru</v>
      </c>
      <c r="F764" t="str">
        <f>IFERROR(VLOOKUP(Клиенты_исходные!F764,Справочники!$J$2:$K$50,2,FALSE),Клиенты_исходные!F764)</f>
        <v>Химки</v>
      </c>
      <c r="G764" s="8">
        <f>IFERROR(IF(ISNUMBER(FIND(".",Клиенты_исходные!G764)),DATE(RIGHT(Клиенты_исходные!G764,4),MID(Клиенты_исходные!G764,4,2),LEFT(Клиенты_исходные!G764,2)),DATE(LEFT(Клиенты_исходные!G764,4),MID(Клиенты_исходные!G764,6,2),RIGHT(Клиенты_исходные!G764,2))),Клиенты_исходные!G764)</f>
        <v>52291</v>
      </c>
      <c r="H764">
        <f t="shared" ca="1" si="82"/>
        <v>47</v>
      </c>
      <c r="I764" t="str">
        <f t="shared" si="83"/>
        <v>OK</v>
      </c>
      <c r="J764" t="str">
        <f t="shared" si="84"/>
        <v>OK</v>
      </c>
    </row>
    <row r="765">
      <c r="A765" t="str">
        <f>Клиенты_исходные!A765</f>
        <v>C0764</v>
      </c>
      <c r="B765" t="str">
        <f>PROPER(TRIM(Клиенты_исходные!B765))</f>
        <v xml:space="preserve">Балашов Денис Викторович</v>
      </c>
      <c r="C765" s="8">
        <f>IFERROR(IF(ISNUMBER(FIND(".",Клиенты_исходные!C765)),DATE(RIGHT(Клиенты_исходные!C765,4),MID(Клиенты_исходные!C765,4,2),LEFT(Клиенты_исходные!C765,2)),DATE(LEFT(Клиенты_исходные!C765,4),MID(Клиенты_исходные!C765,6,2),RIGHT(Клиенты_исходные!C765,2))),Клиенты_исходные!C765)</f>
        <v>31674</v>
      </c>
      <c r="D765" t="str">
        <f>IF(ISBLANK(Клиенты_исходные!D765),"",IF(LEN(SUBSTITUTE(SUBSTITUTE(SUBSTITUTE(SUBSTITUTE(SUBSTITUTE(Клиенты_исходные!D765," ",""),"-",""),"+",""),"(",""),")",""))=11,"+7 ("&amp;MID(IF(LEFT(SUBSTITUTE(SUBSTITUTE(SUBSTITUTE(SUBSTITUTE(SUBSTITUTE(Клиенты_исходные!D765," ",""),"-",""),"+",""),"(",""),")",""))="8","7"&amp;MID(SUBSTITUTE(SUBSTITUTE(SUBSTITUTE(SUBSTITUTE(SUBSTITUTE(Клиенты_исходные!D765," ",""),"-",""),"+",""),"(",""),")",""),2,10),SUBSTITUTE(SUBSTITUTE(SUBSTITUTE(SUBSTITUTE(SUBSTITUTE(Клиенты_исходные!D765," ",""),"-",""),"+",""),"(",""),")","")),2,3)&amp;") "&amp;MID(IF(LEFT(SUBSTITUTE(SUBSTITUTE(SUBSTITUTE(SUBSTITUTE(SUBSTITUTE(Клиенты_исходные!D765," ",""),"-",""),"+",""),"(",""),")",""))="8","7"&amp;MID(SUBSTITUTE(SUBSTITUTE(SUBSTITUTE(SUBSTITUTE(SUBSTITUTE(Клиенты_исходные!D765," ",""),"-",""),"+",""),"(",""),")",""),2,10),SUBSTITUTE(SUBSTITUTE(SUBSTITUTE(SUBSTITUTE(SUBSTITUTE(Клиенты_исходные!D765," ",""),"-",""),"+",""),"(",""),")","")),5,3)&amp;"-"&amp;MID(IF(LEFT(SUBSTITUTE(SUBSTITUTE(SUBSTITUTE(SUBSTITUTE(SUBSTITUTE(Клиенты_исходные!D765," ",""),"-",""),"+",""),"(",""),")",""))="8","7"&amp;MID(SUBSTITUTE(SUBSTITUTE(SUBSTITUTE(SUBSTITUTE(SUBSTITUTE(Клиенты_исходные!D765," ",""),"-",""),"+",""),"(",""),")",""),2,10),SUBSTITUTE(SUBSTITUTE(SUBSTITUTE(SUBSTITUTE(SUBSTITUTE(Клиенты_исходные!D765," ",""),"-",""),"+",""),"(",""),")","")),8,2)&amp;"-"&amp;MID(IF(LEFT(SUBSTITUTE(SUBSTITUTE(SUBSTITUTE(SUBSTITUTE(SUBSTITUTE(Клиенты_исходные!D765," ",""),"-",""),"+",""),"(",""),")",""))="8","7"&amp;MID(SUBSTITUTE(SUBSTITUTE(SUBSTITUTE(SUBSTITUTE(SUBSTITUTE(Клиенты_исходные!D765," ",""),"-",""),"+",""),"(",""),")",""),2,10),SUBSTITUTE(SUBSTITUTE(SUBSTITUTE(SUBSTITUTE(SUBSTITUTE(Клиенты_исходные!D765," ",""),"-",""),"+",""),"(",""),")","")),10,2),IF(LEN(SUBSTITUTE(SUBSTITUTE(SUBSTITUTE(SUBSTITUTE(SUBSTITUTE(Клиенты_исходные!D765," ",""),"-",""),"+",""),"(",""),")",""))=10,"+7 ("&amp;MID(SUBSTITUTE(SUBSTITUTE(SUBSTITUTE(SUBSTITUTE(SUBSTITUTE(Клиенты_исходные!D765," ",""),"-",""),"+",""),"(",""),")",""),1,3)&amp;") "&amp;MID(SUBSTITUTE(SUBSTITUTE(SUBSTITUTE(SUBSTITUTE(SUBSTITUTE(Клиенты_исходные!D765," ",""),"-",""),"+",""),"(",""),")",""),4,3)&amp;"-"&amp;MID(SUBSTITUTE(SUBSTITUTE(SUBSTITUTE(SUBSTITUTE(SUBSTITUTE(Клиенты_исходные!D765," ",""),"-",""),"+",""),"(",""),")",""),6,2)&amp;"-"&amp;MID(SUBSTITUTE(SUBSTITUTE(SUBSTITUTE(SUBSTITUTE(SUBSTITUTE(Клиенты_исходные!D765," ",""),"-",""),"+",""),"(",""),")",""),8,2),Клиенты_исходные!D765)))</f>
        <v xml:space="preserve">+7 (903) 012-34-56</v>
      </c>
      <c r="E765" t="str">
        <f>IF(ISBLANK(Клиенты_исходные!E765),"",IF(ISNUMBER(FIND(".",MID(Клиенты_исходные!E765,FIND("@",Клиенты_исходные!E765)+1,255))),Клиенты_исходные!E765,IF(ISNUMBER(FIND("gmail",Клиенты_исходные!E765)),Клиенты_исходные!E765&amp;".com",Клиенты_исходные!E765&amp;".ru")))</f>
        <v>balashov@yandex.ru</v>
      </c>
      <c r="F765" t="str">
        <f>IFERROR(VLOOKUP(Клиенты_исходные!F765,Справочники!$J$2:$K$50,2,FALSE),Клиенты_исходные!F765)</f>
        <v>Подольск</v>
      </c>
      <c r="G765" s="8">
        <f>IFERROR(IF(ISNUMBER(FIND(".",Клиенты_исходные!G765)),DATE(RIGHT(Клиенты_исходные!G765,4),MID(Клиенты_исходные!G765,4,2),LEFT(Клиенты_исходные!G765,2)),DATE(LEFT(Клиенты_исходные!G765,4),MID(Клиенты_исходные!G765,6,2),RIGHT(Клиенты_исходные!G765,2))),Клиенты_исходные!G765)</f>
        <v>52305</v>
      </c>
      <c r="H765">
        <f t="shared" ca="1" si="82"/>
        <v>40</v>
      </c>
      <c r="I765" t="str">
        <f t="shared" si="83"/>
        <v>OK</v>
      </c>
      <c r="J765" t="str">
        <f t="shared" si="84"/>
        <v>OK</v>
      </c>
    </row>
    <row r="766">
      <c r="A766" t="str">
        <f>Клиенты_исходные!A766</f>
        <v>C0765</v>
      </c>
      <c r="B766" t="str">
        <f>PROPER(TRIM(Клиенты_исходные!B766))</f>
        <v xml:space="preserve">Борисенко Ольга Сергеевна</v>
      </c>
      <c r="C766" s="8">
        <f>IFERROR(IF(ISNUMBER(FIND(".",Клиенты_исходные!C766)),DATE(RIGHT(Клиенты_исходные!C766,4),MID(Клиенты_исходные!C766,4,2),LEFT(Клиенты_исходные!C766,2)),DATE(LEFT(Клиенты_исходные!C766,4),MID(Клиенты_исходные!C766,6,2),RIGHT(Клиенты_исходные!C766,2))),Клиенты_исходные!C766)</f>
        <v>30682</v>
      </c>
      <c r="D766" t="str">
        <f>IF(ISBLANK(Клиенты_исходные!D766),"",IF(LEN(SUBSTITUTE(SUBSTITUTE(SUBSTITUTE(SUBSTITUTE(SUBSTITUTE(Клиенты_исходные!D766," ",""),"-",""),"+",""),"(",""),")",""))=11,"+7 ("&amp;MID(IF(LEFT(SUBSTITUTE(SUBSTITUTE(SUBSTITUTE(SUBSTITUTE(SUBSTITUTE(Клиенты_исходные!D766," ",""),"-",""),"+",""),"(",""),")",""))="8","7"&amp;MID(SUBSTITUTE(SUBSTITUTE(SUBSTITUTE(SUBSTITUTE(SUBSTITUTE(Клиенты_исходные!D766," ",""),"-",""),"+",""),"(",""),")",""),2,10),SUBSTITUTE(SUBSTITUTE(SUBSTITUTE(SUBSTITUTE(SUBSTITUTE(Клиенты_исходные!D766," ",""),"-",""),"+",""),"(",""),")","")),2,3)&amp;") "&amp;MID(IF(LEFT(SUBSTITUTE(SUBSTITUTE(SUBSTITUTE(SUBSTITUTE(SUBSTITUTE(Клиенты_исходные!D766," ",""),"-",""),"+",""),"(",""),")",""))="8","7"&amp;MID(SUBSTITUTE(SUBSTITUTE(SUBSTITUTE(SUBSTITUTE(SUBSTITUTE(Клиенты_исходные!D766," ",""),"-",""),"+",""),"(",""),")",""),2,10),SUBSTITUTE(SUBSTITUTE(SUBSTITUTE(SUBSTITUTE(SUBSTITUTE(Клиенты_исходные!D766," ",""),"-",""),"+",""),"(",""),")","")),5,3)&amp;"-"&amp;MID(IF(LEFT(SUBSTITUTE(SUBSTITUTE(SUBSTITUTE(SUBSTITUTE(SUBSTITUTE(Клиенты_исходные!D766," ",""),"-",""),"+",""),"(",""),")",""))="8","7"&amp;MID(SUBSTITUTE(SUBSTITUTE(SUBSTITUTE(SUBSTITUTE(SUBSTITUTE(Клиенты_исходные!D766," ",""),"-",""),"+",""),"(",""),")",""),2,10),SUBSTITUTE(SUBSTITUTE(SUBSTITUTE(SUBSTITUTE(SUBSTITUTE(Клиенты_исходные!D766," ",""),"-",""),"+",""),"(",""),")","")),8,2)&amp;"-"&amp;MID(IF(LEFT(SUBSTITUTE(SUBSTITUTE(SUBSTITUTE(SUBSTITUTE(SUBSTITUTE(Клиенты_исходные!D766," ",""),"-",""),"+",""),"(",""),")",""))="8","7"&amp;MID(SUBSTITUTE(SUBSTITUTE(SUBSTITUTE(SUBSTITUTE(SUBSTITUTE(Клиенты_исходные!D766," ",""),"-",""),"+",""),"(",""),")",""),2,10),SUBSTITUTE(SUBSTITUTE(SUBSTITUTE(SUBSTITUTE(SUBSTITUTE(Клиенты_исходные!D766," ",""),"-",""),"+",""),"(",""),")","")),10,2),IF(LEN(SUBSTITUTE(SUBSTITUTE(SUBSTITUTE(SUBSTITUTE(SUBSTITUTE(Клиенты_исходные!D766," ",""),"-",""),"+",""),"(",""),")",""))=10,"+7 ("&amp;MID(SUBSTITUTE(SUBSTITUTE(SUBSTITUTE(SUBSTITUTE(SUBSTITUTE(Клиенты_исходные!D766," ",""),"-",""),"+",""),"(",""),")",""),1,3)&amp;") "&amp;MID(SUBSTITUTE(SUBSTITUTE(SUBSTITUTE(SUBSTITUTE(SUBSTITUTE(Клиенты_исходные!D766," ",""),"-",""),"+",""),"(",""),")",""),4,3)&amp;"-"&amp;MID(SUBSTITUTE(SUBSTITUTE(SUBSTITUTE(SUBSTITUTE(SUBSTITUTE(Клиенты_исходные!D766," ",""),"-",""),"+",""),"(",""),")",""),6,2)&amp;"-"&amp;MID(SUBSTITUTE(SUBSTITUTE(SUBSTITUTE(SUBSTITUTE(SUBSTITUTE(Клиенты_исходные!D766," ",""),"-",""),"+",""),"(",""),")",""),8,2),Клиенты_исходные!D766)))</f>
        <v xml:space="preserve">+7 (903) 123-45-67</v>
      </c>
      <c r="E766" t="str">
        <f>IF(ISBLANK(Клиенты_исходные!E766),"",IF(ISNUMBER(FIND(".",MID(Клиенты_исходные!E766,FIND("@",Клиенты_исходные!E766)+1,255))),Клиенты_исходные!E766,IF(ISNUMBER(FIND("gmail",Клиенты_исходные!E766)),Клиенты_исходные!E766&amp;".com",Клиенты_исходные!E766&amp;".ru")))</f>
        <v>borisenko@gmail.com</v>
      </c>
      <c r="F766" t="str">
        <f>IFERROR(VLOOKUP(Клиенты_исходные!F766,Справочники!$J$2:$K$50,2,FALSE),Клиенты_исходные!F766)</f>
        <v>Балашиха</v>
      </c>
      <c r="G766" s="8">
        <f>IFERROR(IF(ISNUMBER(FIND(".",Клиенты_исходные!G766)),DATE(RIGHT(Клиенты_исходные!G766,4),MID(Клиенты_исходные!G766,4,2),LEFT(Клиенты_исходные!G766,2)),DATE(LEFT(Клиенты_исходные!G766,4),MID(Клиенты_исходные!G766,6,2),RIGHT(Клиенты_исходные!G766,2))),Клиенты_исходные!G766)</f>
        <v>52305</v>
      </c>
      <c r="H766">
        <f t="shared" ca="1" si="82"/>
        <v>42</v>
      </c>
      <c r="I766" t="str">
        <f t="shared" si="83"/>
        <v>OK</v>
      </c>
      <c r="J766" t="str">
        <f t="shared" si="84"/>
        <v>OK</v>
      </c>
    </row>
    <row r="767">
      <c r="A767" t="str">
        <f>Клиенты_исходные!A767</f>
        <v>C0766</v>
      </c>
      <c r="B767" t="str">
        <f>PROPER(TRIM(Клиенты_исходные!B767))</f>
        <v xml:space="preserve">Золотарев Илья Александрович</v>
      </c>
      <c r="C767" s="8">
        <f>IFERROR(IF(ISNUMBER(FIND(".",Клиенты_исходные!C767)),DATE(RIGHT(Клиенты_исходные!C767,4),MID(Клиенты_исходные!C767,4,2),LEFT(Клиенты_исходные!C767,2)),DATE(LEFT(Клиенты_исходные!C767,4),MID(Клиенты_исходные!C767,6,2),RIGHT(Клиенты_исходные!C767,2))),Клиенты_исходные!C767)</f>
        <v>28446</v>
      </c>
      <c r="D767" t="str">
        <f>IF(ISBLANK(Клиенты_исходные!D767),"",IF(LEN(SUBSTITUTE(SUBSTITUTE(SUBSTITUTE(SUBSTITUTE(SUBSTITUTE(Клиенты_исходные!D767," ",""),"-",""),"+",""),"(",""),")",""))=11,"+7 ("&amp;MID(IF(LEFT(SUBSTITUTE(SUBSTITUTE(SUBSTITUTE(SUBSTITUTE(SUBSTITUTE(Клиенты_исходные!D767," ",""),"-",""),"+",""),"(",""),")",""))="8","7"&amp;MID(SUBSTITUTE(SUBSTITUTE(SUBSTITUTE(SUBSTITUTE(SUBSTITUTE(Клиенты_исходные!D767," ",""),"-",""),"+",""),"(",""),")",""),2,10),SUBSTITUTE(SUBSTITUTE(SUBSTITUTE(SUBSTITUTE(SUBSTITUTE(Клиенты_исходные!D767," ",""),"-",""),"+",""),"(",""),")","")),2,3)&amp;") "&amp;MID(IF(LEFT(SUBSTITUTE(SUBSTITUTE(SUBSTITUTE(SUBSTITUTE(SUBSTITUTE(Клиенты_исходные!D767," ",""),"-",""),"+",""),"(",""),")",""))="8","7"&amp;MID(SUBSTITUTE(SUBSTITUTE(SUBSTITUTE(SUBSTITUTE(SUBSTITUTE(Клиенты_исходные!D767," ",""),"-",""),"+",""),"(",""),")",""),2,10),SUBSTITUTE(SUBSTITUTE(SUBSTITUTE(SUBSTITUTE(SUBSTITUTE(Клиенты_исходные!D767," ",""),"-",""),"+",""),"(",""),")","")),5,3)&amp;"-"&amp;MID(IF(LEFT(SUBSTITUTE(SUBSTITUTE(SUBSTITUTE(SUBSTITUTE(SUBSTITUTE(Клиенты_исходные!D767," ",""),"-",""),"+",""),"(",""),")",""))="8","7"&amp;MID(SUBSTITUTE(SUBSTITUTE(SUBSTITUTE(SUBSTITUTE(SUBSTITUTE(Клиенты_исходные!D767," ",""),"-",""),"+",""),"(",""),")",""),2,10),SUBSTITUTE(SUBSTITUTE(SUBSTITUTE(SUBSTITUTE(SUBSTITUTE(Клиенты_исходные!D767," ",""),"-",""),"+",""),"(",""),")","")),8,2)&amp;"-"&amp;MID(IF(LEFT(SUBSTITUTE(SUBSTITUTE(SUBSTITUTE(SUBSTITUTE(SUBSTITUTE(Клиенты_исходные!D767," ",""),"-",""),"+",""),"(",""),")",""))="8","7"&amp;MID(SUBSTITUTE(SUBSTITUTE(SUBSTITUTE(SUBSTITUTE(SUBSTITUTE(Клиенты_исходные!D767," ",""),"-",""),"+",""),"(",""),")",""),2,10),SUBSTITUTE(SUBSTITUTE(SUBSTITUTE(SUBSTITUTE(SUBSTITUTE(Клиенты_исходные!D767," ",""),"-",""),"+",""),"(",""),")","")),10,2),IF(LEN(SUBSTITUTE(SUBSTITUTE(SUBSTITUTE(SUBSTITUTE(SUBSTITUTE(Клиенты_исходные!D767," ",""),"-",""),"+",""),"(",""),")",""))=10,"+7 ("&amp;MID(SUBSTITUTE(SUBSTITUTE(SUBSTITUTE(SUBSTITUTE(SUBSTITUTE(Клиенты_исходные!D767," ",""),"-",""),"+",""),"(",""),")",""),1,3)&amp;") "&amp;MID(SUBSTITUTE(SUBSTITUTE(SUBSTITUTE(SUBSTITUTE(SUBSTITUTE(Клиенты_исходные!D767," ",""),"-",""),"+",""),"(",""),")",""),4,3)&amp;"-"&amp;MID(SUBSTITUTE(SUBSTITUTE(SUBSTITUTE(SUBSTITUTE(SUBSTITUTE(Клиенты_исходные!D767," ",""),"-",""),"+",""),"(",""),")",""),6,2)&amp;"-"&amp;MID(SUBSTITUTE(SUBSTITUTE(SUBSTITUTE(SUBSTITUTE(SUBSTITUTE(Клиенты_исходные!D767," ",""),"-",""),"+",""),"(",""),")",""),8,2),Клиенты_исходные!D767)))</f>
        <v xml:space="preserve">+7 (903) 123-45-67</v>
      </c>
      <c r="E767" t="str">
        <f>IF(ISBLANK(Клиенты_исходные!E767),"",IF(ISNUMBER(FIND(".",MID(Клиенты_исходные!E767,FIND("@",Клиенты_исходные!E767)+1,255))),Клиенты_исходные!E767,IF(ISNUMBER(FIND("gmail",Клиенты_исходные!E767)),Клиенты_исходные!E767&amp;".com",Клиенты_исходные!E767&amp;".ru")))</f>
        <v>zolotarev@mail.ru</v>
      </c>
      <c r="F767" t="str">
        <f>IFERROR(VLOOKUP(Клиенты_исходные!F767,Справочники!$J$2:$K$50,2,FALSE),Клиенты_исходные!F767)</f>
        <v>Сургут</v>
      </c>
      <c r="G767" s="8">
        <f>IFERROR(IF(ISNUMBER(FIND(".",Клиенты_исходные!G767)),DATE(RIGHT(Клиенты_исходные!G767,4),MID(Клиенты_исходные!G767,4,2),LEFT(Клиенты_исходные!G767,2)),DATE(LEFT(Клиенты_исходные!G767,4),MID(Клиенты_исходные!G767,6,2),RIGHT(Клиенты_исходные!G767,2))),Клиенты_исходные!G767)</f>
        <v>52322</v>
      </c>
      <c r="H767">
        <f t="shared" ca="1" si="82"/>
        <v>48</v>
      </c>
      <c r="I767" t="str">
        <f t="shared" si="83"/>
        <v>OK</v>
      </c>
      <c r="J767" t="str">
        <f t="shared" si="84"/>
        <v>OK</v>
      </c>
    </row>
    <row r="768">
      <c r="A768" t="str">
        <f>Клиенты_исходные!A768</f>
        <v>C0767</v>
      </c>
      <c r="B768" t="str">
        <f>PROPER(TRIM(Клиенты_исходные!B768))</f>
        <v xml:space="preserve">Никольская Екатерина Алексеевна</v>
      </c>
      <c r="C768" s="8">
        <f>IFERROR(IF(ISNUMBER(FIND(".",Клиенты_исходные!C768)),DATE(RIGHT(Клиенты_исходные!C768,4),MID(Клиенты_исходные!C768,4,2),LEFT(Клиенты_исходные!C768,2)),DATE(LEFT(Клиенты_исходные!C768,4),MID(Клиенты_исходные!C768,6,2),RIGHT(Клиенты_исходные!C768,2))),Клиенты_исходные!C768)</f>
        <v>33779</v>
      </c>
      <c r="D768" t="str">
        <f>IF(ISBLANK(Клиенты_исходные!D768),"",IF(LEN(SUBSTITUTE(SUBSTITUTE(SUBSTITUTE(SUBSTITUTE(SUBSTITUTE(Клиенты_исходные!D768," ",""),"-",""),"+",""),"(",""),")",""))=11,"+7 ("&amp;MID(IF(LEFT(SUBSTITUTE(SUBSTITUTE(SUBSTITUTE(SUBSTITUTE(SUBSTITUTE(Клиенты_исходные!D768," ",""),"-",""),"+",""),"(",""),")",""))="8","7"&amp;MID(SUBSTITUTE(SUBSTITUTE(SUBSTITUTE(SUBSTITUTE(SUBSTITUTE(Клиенты_исходные!D768," ",""),"-",""),"+",""),"(",""),")",""),2,10),SUBSTITUTE(SUBSTITUTE(SUBSTITUTE(SUBSTITUTE(SUBSTITUTE(Клиенты_исходные!D768," ",""),"-",""),"+",""),"(",""),")","")),2,3)&amp;") "&amp;MID(IF(LEFT(SUBSTITUTE(SUBSTITUTE(SUBSTITUTE(SUBSTITUTE(SUBSTITUTE(Клиенты_исходные!D768," ",""),"-",""),"+",""),"(",""),")",""))="8","7"&amp;MID(SUBSTITUTE(SUBSTITUTE(SUBSTITUTE(SUBSTITUTE(SUBSTITUTE(Клиенты_исходные!D768," ",""),"-",""),"+",""),"(",""),")",""),2,10),SUBSTITUTE(SUBSTITUTE(SUBSTITUTE(SUBSTITUTE(SUBSTITUTE(Клиенты_исходные!D768," ",""),"-",""),"+",""),"(",""),")","")),5,3)&amp;"-"&amp;MID(IF(LEFT(SUBSTITUTE(SUBSTITUTE(SUBSTITUTE(SUBSTITUTE(SUBSTITUTE(Клиенты_исходные!D768," ",""),"-",""),"+",""),"(",""),")",""))="8","7"&amp;MID(SUBSTITUTE(SUBSTITUTE(SUBSTITUTE(SUBSTITUTE(SUBSTITUTE(Клиенты_исходные!D768," ",""),"-",""),"+",""),"(",""),")",""),2,10),SUBSTITUTE(SUBSTITUTE(SUBSTITUTE(SUBSTITUTE(SUBSTITUTE(Клиенты_исходные!D768," ",""),"-",""),"+",""),"(",""),")","")),8,2)&amp;"-"&amp;MID(IF(LEFT(SUBSTITUTE(SUBSTITUTE(SUBSTITUTE(SUBSTITUTE(SUBSTITUTE(Клиенты_исходные!D768," ",""),"-",""),"+",""),"(",""),")",""))="8","7"&amp;MID(SUBSTITUTE(SUBSTITUTE(SUBSTITUTE(SUBSTITUTE(SUBSTITUTE(Клиенты_исходные!D768," ",""),"-",""),"+",""),"(",""),")",""),2,10),SUBSTITUTE(SUBSTITUTE(SUBSTITUTE(SUBSTITUTE(SUBSTITUTE(Клиенты_исходные!D768," ",""),"-",""),"+",""),"(",""),")","")),10,2),IF(LEN(SUBSTITUTE(SUBSTITUTE(SUBSTITUTE(SUBSTITUTE(SUBSTITUTE(Клиенты_исходные!D768," ",""),"-",""),"+",""),"(",""),")",""))=10,"+7 ("&amp;MID(SUBSTITUTE(SUBSTITUTE(SUBSTITUTE(SUBSTITUTE(SUBSTITUTE(Клиенты_исходные!D768," ",""),"-",""),"+",""),"(",""),")",""),1,3)&amp;") "&amp;MID(SUBSTITUTE(SUBSTITUTE(SUBSTITUTE(SUBSTITUTE(SUBSTITUTE(Клиенты_исходные!D768," ",""),"-",""),"+",""),"(",""),")",""),4,3)&amp;"-"&amp;MID(SUBSTITUTE(SUBSTITUTE(SUBSTITUTE(SUBSTITUTE(SUBSTITUTE(Клиенты_исходные!D768," ",""),"-",""),"+",""),"(",""),")",""),6,2)&amp;"-"&amp;MID(SUBSTITUTE(SUBSTITUTE(SUBSTITUTE(SUBSTITUTE(SUBSTITUTE(Клиенты_исходные!D768," ",""),"-",""),"+",""),"(",""),")",""),8,2),Клиенты_исходные!D768)))</f>
        <v xml:space="preserve">+7 (903) 123-45-67</v>
      </c>
      <c r="E768" t="str">
        <f>IF(ISBLANK(Клиенты_исходные!E768),"",IF(ISNUMBER(FIND(".",MID(Клиенты_исходные!E768,FIND("@",Клиенты_исходные!E768)+1,255))),Клиенты_исходные!E768,IF(ISNUMBER(FIND("gmail",Клиенты_исходные!E768)),Клиенты_исходные!E768&amp;".com",Клиенты_исходные!E768&amp;".ru")))</f>
        <v>nikolskaya@yandex.ru</v>
      </c>
      <c r="F768" t="str">
        <f>IFERROR(VLOOKUP(Клиенты_исходные!F768,Справочники!$J$2:$K$50,2,FALSE),Клиенты_исходные!F768)</f>
        <v>Армавир</v>
      </c>
      <c r="G768" s="8">
        <f>IFERROR(IF(ISNUMBER(FIND(".",Клиенты_исходные!G768)),DATE(RIGHT(Клиенты_исходные!G768,4),MID(Клиенты_исходные!G768,4,2),LEFT(Клиенты_исходные!G768,2)),DATE(LEFT(Клиенты_исходные!G768,4),MID(Клиенты_исходные!G768,6,2),RIGHT(Клиенты_исходные!G768,2))),Клиенты_исходные!G768)</f>
        <v>52331</v>
      </c>
      <c r="H768">
        <f t="shared" ca="1" si="82"/>
        <v>34</v>
      </c>
      <c r="I768" t="str">
        <f t="shared" si="83"/>
        <v>OK</v>
      </c>
      <c r="J768" t="str">
        <f t="shared" si="84"/>
        <v>OK</v>
      </c>
    </row>
    <row r="769">
      <c r="A769" t="str">
        <f>Клиенты_исходные!A769</f>
        <v>C0768</v>
      </c>
      <c r="B769" t="str">
        <f>PROPER(TRIM(Клиенты_исходные!B769))</f>
        <v xml:space="preserve">Шишкин Андрей Павлович</v>
      </c>
      <c r="C769" s="8">
        <f>IFERROR(IF(ISNUMBER(FIND(".",Клиенты_исходные!C769)),DATE(RIGHT(Клиенты_исходные!C769,4),MID(Клиенты_исходные!C769,4,2),LEFT(Клиенты_исходные!C769,2)),DATE(LEFT(Клиенты_исходные!C769,4),MID(Клиенты_исходные!C769,6,2),RIGHT(Клиенты_исходные!C769,2))),Клиенты_исходные!C769)</f>
        <v>31404</v>
      </c>
      <c r="D769" t="str">
        <f>IF(ISBLANK(Клиенты_исходные!D769),"",IF(LEN(SUBSTITUTE(SUBSTITUTE(SUBSTITUTE(SUBSTITUTE(SUBSTITUTE(Клиенты_исходные!D769," ",""),"-",""),"+",""),"(",""),")",""))=11,"+7 ("&amp;MID(IF(LEFT(SUBSTITUTE(SUBSTITUTE(SUBSTITUTE(SUBSTITUTE(SUBSTITUTE(Клиенты_исходные!D769," ",""),"-",""),"+",""),"(",""),")",""))="8","7"&amp;MID(SUBSTITUTE(SUBSTITUTE(SUBSTITUTE(SUBSTITUTE(SUBSTITUTE(Клиенты_исходные!D769," ",""),"-",""),"+",""),"(",""),")",""),2,10),SUBSTITUTE(SUBSTITUTE(SUBSTITUTE(SUBSTITUTE(SUBSTITUTE(Клиенты_исходные!D769," ",""),"-",""),"+",""),"(",""),")","")),2,3)&amp;") "&amp;MID(IF(LEFT(SUBSTITUTE(SUBSTITUTE(SUBSTITUTE(SUBSTITUTE(SUBSTITUTE(Клиенты_исходные!D769," ",""),"-",""),"+",""),"(",""),")",""))="8","7"&amp;MID(SUBSTITUTE(SUBSTITUTE(SUBSTITUTE(SUBSTITUTE(SUBSTITUTE(Клиенты_исходные!D769," ",""),"-",""),"+",""),"(",""),")",""),2,10),SUBSTITUTE(SUBSTITUTE(SUBSTITUTE(SUBSTITUTE(SUBSTITUTE(Клиенты_исходные!D769," ",""),"-",""),"+",""),"(",""),")","")),5,3)&amp;"-"&amp;MID(IF(LEFT(SUBSTITUTE(SUBSTITUTE(SUBSTITUTE(SUBSTITUTE(SUBSTITUTE(Клиенты_исходные!D769," ",""),"-",""),"+",""),"(",""),")",""))="8","7"&amp;MID(SUBSTITUTE(SUBSTITUTE(SUBSTITUTE(SUBSTITUTE(SUBSTITUTE(Клиенты_исходные!D769," ",""),"-",""),"+",""),"(",""),")",""),2,10),SUBSTITUTE(SUBSTITUTE(SUBSTITUTE(SUBSTITUTE(SUBSTITUTE(Клиенты_исходные!D769," ",""),"-",""),"+",""),"(",""),")","")),8,2)&amp;"-"&amp;MID(IF(LEFT(SUBSTITUTE(SUBSTITUTE(SUBSTITUTE(SUBSTITUTE(SUBSTITUTE(Клиенты_исходные!D769," ",""),"-",""),"+",""),"(",""),")",""))="8","7"&amp;MID(SUBSTITUTE(SUBSTITUTE(SUBSTITUTE(SUBSTITUTE(SUBSTITUTE(Клиенты_исходные!D769," ",""),"-",""),"+",""),"(",""),")",""),2,10),SUBSTITUTE(SUBSTITUTE(SUBSTITUTE(SUBSTITUTE(SUBSTITUTE(Клиенты_исходные!D769," ",""),"-",""),"+",""),"(",""),")","")),10,2),IF(LEN(SUBSTITUTE(SUBSTITUTE(SUBSTITUTE(SUBSTITUTE(SUBSTITUTE(Клиенты_исходные!D769," ",""),"-",""),"+",""),"(",""),")",""))=10,"+7 ("&amp;MID(SUBSTITUTE(SUBSTITUTE(SUBSTITUTE(SUBSTITUTE(SUBSTITUTE(Клиенты_исходные!D769," ",""),"-",""),"+",""),"(",""),")",""),1,3)&amp;") "&amp;MID(SUBSTITUTE(SUBSTITUTE(SUBSTITUTE(SUBSTITUTE(SUBSTITUTE(Клиенты_исходные!D769," ",""),"-",""),"+",""),"(",""),")",""),4,3)&amp;"-"&amp;MID(SUBSTITUTE(SUBSTITUTE(SUBSTITUTE(SUBSTITUTE(SUBSTITUTE(Клиенты_исходные!D769," ",""),"-",""),"+",""),"(",""),")",""),6,2)&amp;"-"&amp;MID(SUBSTITUTE(SUBSTITUTE(SUBSTITUTE(SUBSTITUTE(SUBSTITUTE(Клиенты_исходные!D769," ",""),"-",""),"+",""),"(",""),")",""),8,2),Клиенты_исходные!D769)))</f>
        <v xml:space="preserve">+7 (903) 234-56-78</v>
      </c>
      <c r="E769" t="str">
        <f>IF(ISBLANK(Клиенты_исходные!E769),"",IF(ISNUMBER(FIND(".",MID(Клиенты_исходные!E769,FIND("@",Клиенты_исходные!E769)+1,255))),Клиенты_исходные!E769,IF(ISNUMBER(FIND("gmail",Клиенты_исходные!E769)),Клиенты_исходные!E769&amp;".com",Клиенты_исходные!E769&amp;".ru")))</f>
        <v>shishkin@gmail.com</v>
      </c>
      <c r="F769" t="str">
        <f>IFERROR(VLOOKUP(Клиенты_исходные!F769,Справочники!$J$2:$K$50,2,FALSE),Клиенты_исходные!F769)</f>
        <v>Волжский</v>
      </c>
      <c r="G769" s="8">
        <f>IFERROR(IF(ISNUMBER(FIND(".",Клиенты_исходные!G769)),DATE(RIGHT(Клиенты_исходные!G769,4),MID(Клиенты_исходные!G769,4,2),LEFT(Клиенты_исходные!G769,2)),DATE(LEFT(Клиенты_исходные!G769,4),MID(Клиенты_исходные!G769,6,2),RIGHT(Клиенты_исходные!G769,2))),Клиенты_исходные!G769)</f>
        <v>52331</v>
      </c>
      <c r="H769">
        <f t="shared" ca="1" si="82"/>
        <v>40</v>
      </c>
      <c r="I769" t="str">
        <f t="shared" si="83"/>
        <v>OK</v>
      </c>
      <c r="J769" t="str">
        <f t="shared" si="84"/>
        <v>OK</v>
      </c>
    </row>
    <row r="770">
      <c r="A770" t="str">
        <f>Клиенты_исходные!A770</f>
        <v>C0769</v>
      </c>
      <c r="B770" t="str">
        <f>PROPER(TRIM(Клиенты_исходные!B770))</f>
        <v xml:space="preserve">Гущина Мария Олеговна</v>
      </c>
      <c r="C770" s="8">
        <f>IFERROR(IF(ISNUMBER(FIND(".",Клиенты_исходные!C770)),DATE(RIGHT(Клиенты_исходные!C770,4),MID(Клиенты_исходные!C770,4,2),LEFT(Клиенты_исходные!C770,2)),DATE(LEFT(Клиенты_исходные!C770,4),MID(Клиенты_исходные!C770,6,2),RIGHT(Клиенты_исходные!C770,2))),Клиенты_исходные!C770)</f>
        <v>27221</v>
      </c>
      <c r="D770" t="str">
        <f>IF(ISBLANK(Клиенты_исходные!D770),"",IF(LEN(SUBSTITUTE(SUBSTITUTE(SUBSTITUTE(SUBSTITUTE(SUBSTITUTE(Клиенты_исходные!D770," ",""),"-",""),"+",""),"(",""),")",""))=11,"+7 ("&amp;MID(IF(LEFT(SUBSTITUTE(SUBSTITUTE(SUBSTITUTE(SUBSTITUTE(SUBSTITUTE(Клиенты_исходные!D770," ",""),"-",""),"+",""),"(",""),")",""))="8","7"&amp;MID(SUBSTITUTE(SUBSTITUTE(SUBSTITUTE(SUBSTITUTE(SUBSTITUTE(Клиенты_исходные!D770," ",""),"-",""),"+",""),"(",""),")",""),2,10),SUBSTITUTE(SUBSTITUTE(SUBSTITUTE(SUBSTITUTE(SUBSTITUTE(Клиенты_исходные!D770," ",""),"-",""),"+",""),"(",""),")","")),2,3)&amp;") "&amp;MID(IF(LEFT(SUBSTITUTE(SUBSTITUTE(SUBSTITUTE(SUBSTITUTE(SUBSTITUTE(Клиенты_исходные!D770," ",""),"-",""),"+",""),"(",""),")",""))="8","7"&amp;MID(SUBSTITUTE(SUBSTITUTE(SUBSTITUTE(SUBSTITUTE(SUBSTITUTE(Клиенты_исходные!D770," ",""),"-",""),"+",""),"(",""),")",""),2,10),SUBSTITUTE(SUBSTITUTE(SUBSTITUTE(SUBSTITUTE(SUBSTITUTE(Клиенты_исходные!D770," ",""),"-",""),"+",""),"(",""),")","")),5,3)&amp;"-"&amp;MID(IF(LEFT(SUBSTITUTE(SUBSTITUTE(SUBSTITUTE(SUBSTITUTE(SUBSTITUTE(Клиенты_исходные!D770," ",""),"-",""),"+",""),"(",""),")",""))="8","7"&amp;MID(SUBSTITUTE(SUBSTITUTE(SUBSTITUTE(SUBSTITUTE(SUBSTITUTE(Клиенты_исходные!D770," ",""),"-",""),"+",""),"(",""),")",""),2,10),SUBSTITUTE(SUBSTITUTE(SUBSTITUTE(SUBSTITUTE(SUBSTITUTE(Клиенты_исходные!D770," ",""),"-",""),"+",""),"(",""),")","")),8,2)&amp;"-"&amp;MID(IF(LEFT(SUBSTITUTE(SUBSTITUTE(SUBSTITUTE(SUBSTITUTE(SUBSTITUTE(Клиенты_исходные!D770," ",""),"-",""),"+",""),"(",""),")",""))="8","7"&amp;MID(SUBSTITUTE(SUBSTITUTE(SUBSTITUTE(SUBSTITUTE(SUBSTITUTE(Клиенты_исходные!D770," ",""),"-",""),"+",""),"(",""),")",""),2,10),SUBSTITUTE(SUBSTITUTE(SUBSTITUTE(SUBSTITUTE(SUBSTITUTE(Клиенты_исходные!D770," ",""),"-",""),"+",""),"(",""),")","")),10,2),IF(LEN(SUBSTITUTE(SUBSTITUTE(SUBSTITUTE(SUBSTITUTE(SUBSTITUTE(Клиенты_исходные!D770," ",""),"-",""),"+",""),"(",""),")",""))=10,"+7 ("&amp;MID(SUBSTITUTE(SUBSTITUTE(SUBSTITUTE(SUBSTITUTE(SUBSTITUTE(Клиенты_исходные!D770," ",""),"-",""),"+",""),"(",""),")",""),1,3)&amp;") "&amp;MID(SUBSTITUTE(SUBSTITUTE(SUBSTITUTE(SUBSTITUTE(SUBSTITUTE(Клиенты_исходные!D770," ",""),"-",""),"+",""),"(",""),")",""),4,3)&amp;"-"&amp;MID(SUBSTITUTE(SUBSTITUTE(SUBSTITUTE(SUBSTITUTE(SUBSTITUTE(Клиенты_исходные!D770," ",""),"-",""),"+",""),"(",""),")",""),6,2)&amp;"-"&amp;MID(SUBSTITUTE(SUBSTITUTE(SUBSTITUTE(SUBSTITUTE(SUBSTITUTE(Клиенты_исходные!D770," ",""),"-",""),"+",""),"(",""),")",""),8,2),Клиенты_исходные!D770)))</f>
        <v xml:space="preserve">+7 (903) 234-56-78</v>
      </c>
      <c r="E770" t="str">
        <f>IF(ISBLANK(Клиенты_исходные!E770),"",IF(ISNUMBER(FIND(".",MID(Клиенты_исходные!E770,FIND("@",Клиенты_исходные!E770)+1,255))),Клиенты_исходные!E770,IF(ISNUMBER(FIND("gmail",Клиенты_исходные!E770)),Клиенты_исходные!E770&amp;".com",Клиенты_исходные!E770&amp;".ru")))</f>
        <v>guschina@mail.ru</v>
      </c>
      <c r="F770" t="str">
        <f>IFERROR(VLOOKUP(Клиенты_исходные!F770,Справочники!$J$2:$K$50,2,FALSE),Клиенты_исходные!F770)</f>
        <v>Шахты</v>
      </c>
      <c r="G770" s="8">
        <f>IFERROR(IF(ISNUMBER(FIND(".",Клиенты_исходные!G770)),DATE(RIGHT(Клиенты_исходные!G770,4),MID(Клиенты_исходные!G770,4,2),LEFT(Клиенты_исходные!G770,2)),DATE(LEFT(Клиенты_исходные!G770,4),MID(Клиенты_исходные!G770,6,2),RIGHT(Клиенты_исходные!G770,2))),Клиенты_исходные!G770)</f>
        <v>52352</v>
      </c>
      <c r="H770">
        <f t="shared" ca="1" si="82"/>
        <v>52</v>
      </c>
      <c r="I770" t="str">
        <f t="shared" si="83"/>
        <v>OK</v>
      </c>
      <c r="J770" t="str">
        <f t="shared" si="84"/>
        <v>OK</v>
      </c>
    </row>
    <row r="771">
      <c r="A771" t="str">
        <f>Клиенты_исходные!A771</f>
        <v>C0770</v>
      </c>
      <c r="B771" t="str">
        <f>PROPER(TRIM(Клиенты_исходные!B771))</f>
        <v xml:space="preserve">Трушин Денис Сергеевич</v>
      </c>
      <c r="C771" s="8">
        <f>IFERROR(IF(ISNUMBER(FIND(".",Клиенты_исходные!C771)),DATE(RIGHT(Клиенты_исходные!C771,4),MID(Клиенты_исходные!C771,4,2),LEFT(Клиенты_исходные!C771,2)),DATE(LEFT(Клиенты_исходные!C771,4),MID(Клиенты_исходные!C771,6,2),RIGHT(Клиенты_исходные!C771,2))),Клиенты_исходные!C771)</f>
        <v>32808</v>
      </c>
      <c r="D771" t="str">
        <f>IF(ISBLANK(Клиенты_исходные!D771),"",IF(LEN(SUBSTITUTE(SUBSTITUTE(SUBSTITUTE(SUBSTITUTE(SUBSTITUTE(Клиенты_исходные!D771," ",""),"-",""),"+",""),"(",""),")",""))=11,"+7 ("&amp;MID(IF(LEFT(SUBSTITUTE(SUBSTITUTE(SUBSTITUTE(SUBSTITUTE(SUBSTITUTE(Клиенты_исходные!D771," ",""),"-",""),"+",""),"(",""),")",""))="8","7"&amp;MID(SUBSTITUTE(SUBSTITUTE(SUBSTITUTE(SUBSTITUTE(SUBSTITUTE(Клиенты_исходные!D771," ",""),"-",""),"+",""),"(",""),")",""),2,10),SUBSTITUTE(SUBSTITUTE(SUBSTITUTE(SUBSTITUTE(SUBSTITUTE(Клиенты_исходные!D771," ",""),"-",""),"+",""),"(",""),")","")),2,3)&amp;") "&amp;MID(IF(LEFT(SUBSTITUTE(SUBSTITUTE(SUBSTITUTE(SUBSTITUTE(SUBSTITUTE(Клиенты_исходные!D771," ",""),"-",""),"+",""),"(",""),")",""))="8","7"&amp;MID(SUBSTITUTE(SUBSTITUTE(SUBSTITUTE(SUBSTITUTE(SUBSTITUTE(Клиенты_исходные!D771," ",""),"-",""),"+",""),"(",""),")",""),2,10),SUBSTITUTE(SUBSTITUTE(SUBSTITUTE(SUBSTITUTE(SUBSTITUTE(Клиенты_исходные!D771," ",""),"-",""),"+",""),"(",""),")","")),5,3)&amp;"-"&amp;MID(IF(LEFT(SUBSTITUTE(SUBSTITUTE(SUBSTITUTE(SUBSTITUTE(SUBSTITUTE(Клиенты_исходные!D771," ",""),"-",""),"+",""),"(",""),")",""))="8","7"&amp;MID(SUBSTITUTE(SUBSTITUTE(SUBSTITUTE(SUBSTITUTE(SUBSTITUTE(Клиенты_исходные!D771," ",""),"-",""),"+",""),"(",""),")",""),2,10),SUBSTITUTE(SUBSTITUTE(SUBSTITUTE(SUBSTITUTE(SUBSTITUTE(Клиенты_исходные!D771," ",""),"-",""),"+",""),"(",""),")","")),8,2)&amp;"-"&amp;MID(IF(LEFT(SUBSTITUTE(SUBSTITUTE(SUBSTITUTE(SUBSTITUTE(SUBSTITUTE(Клиенты_исходные!D771," ",""),"-",""),"+",""),"(",""),")",""))="8","7"&amp;MID(SUBSTITUTE(SUBSTITUTE(SUBSTITUTE(SUBSTITUTE(SUBSTITUTE(Клиенты_исходные!D771," ",""),"-",""),"+",""),"(",""),")",""),2,10),SUBSTITUTE(SUBSTITUTE(SUBSTITUTE(SUBSTITUTE(SUBSTITUTE(Клиенты_исходные!D771," ",""),"-",""),"+",""),"(",""),")","")),10,2),IF(LEN(SUBSTITUTE(SUBSTITUTE(SUBSTITUTE(SUBSTITUTE(SUBSTITUTE(Клиенты_исходные!D771," ",""),"-",""),"+",""),"(",""),")",""))=10,"+7 ("&amp;MID(SUBSTITUTE(SUBSTITUTE(SUBSTITUTE(SUBSTITUTE(SUBSTITUTE(Клиенты_исходные!D771," ",""),"-",""),"+",""),"(",""),")",""),1,3)&amp;") "&amp;MID(SUBSTITUTE(SUBSTITUTE(SUBSTITUTE(SUBSTITUTE(SUBSTITUTE(Клиенты_исходные!D771," ",""),"-",""),"+",""),"(",""),")",""),4,3)&amp;"-"&amp;MID(SUBSTITUTE(SUBSTITUTE(SUBSTITUTE(SUBSTITUTE(SUBSTITUTE(Клиенты_исходные!D771," ",""),"-",""),"+",""),"(",""),")",""),6,2)&amp;"-"&amp;MID(SUBSTITUTE(SUBSTITUTE(SUBSTITUTE(SUBSTITUTE(SUBSTITUTE(Клиенты_исходные!D771," ",""),"-",""),"+",""),"(",""),")",""),8,2),Клиенты_исходные!D771)))</f>
        <v xml:space="preserve">+7 (903) 234-56-78</v>
      </c>
      <c r="E771" t="str">
        <f>IF(ISBLANK(Клиенты_исходные!E771),"",IF(ISNUMBER(FIND(".",MID(Клиенты_исходные!E771,FIND("@",Клиенты_исходные!E771)+1,255))),Клиенты_исходные!E771,IF(ISNUMBER(FIND("gmail",Клиенты_исходные!E771)),Клиенты_исходные!E771&amp;".com",Клиенты_исходные!E771&amp;".ru")))</f>
        <v>trushin@yandex.ru</v>
      </c>
      <c r="F771" t="str">
        <f>IFERROR(VLOOKUP(Клиенты_исходные!F771,Справочники!$J$2:$K$50,2,FALSE),Клиенты_исходные!F771)</f>
        <v>Златоуст</v>
      </c>
      <c r="G771" s="8">
        <f>IFERROR(IF(ISNUMBER(FIND(".",Клиенты_исходные!G771)),DATE(RIGHT(Клиенты_исходные!G771,4),MID(Клиенты_исходные!G771,4,2),LEFT(Клиенты_исходные!G771,2)),DATE(LEFT(Клиенты_исходные!G771,4),MID(Клиенты_исходные!G771,6,2),RIGHT(Клиенты_исходные!G771,2))),Клиенты_исходные!G771)</f>
        <v>52366</v>
      </c>
      <c r="H771">
        <f t="shared" ca="1" si="82"/>
        <v>36</v>
      </c>
      <c r="I771" t="str">
        <f t="shared" si="83"/>
        <v>OK</v>
      </c>
      <c r="J771" t="str">
        <f t="shared" si="84"/>
        <v>OK</v>
      </c>
    </row>
    <row r="772">
      <c r="A772" t="str">
        <f>Клиенты_исходные!A772</f>
        <v>C0771</v>
      </c>
      <c r="B772" t="str">
        <f>PROPER(TRIM(Клиенты_исходные!B772))</f>
        <v xml:space="preserve">Лаврикова Ольга Владимировна</v>
      </c>
      <c r="C772" s="8">
        <f>IFERROR(IF(ISNUMBER(FIND(".",Клиенты_исходные!C772)),DATE(RIGHT(Клиенты_исходные!C772,4),MID(Клиенты_исходные!C772,4,2),LEFT(Клиенты_исходные!C772,2)),DATE(LEFT(Клиенты_исходные!C772,4),MID(Клиенты_исходные!C772,6,2),RIGHT(Клиенты_исходные!C772,2))),Клиенты_исходные!C772)</f>
        <v>30015</v>
      </c>
      <c r="D772" t="str">
        <f>IF(ISBLANK(Клиенты_исходные!D772),"",IF(LEN(SUBSTITUTE(SUBSTITUTE(SUBSTITUTE(SUBSTITUTE(SUBSTITUTE(Клиенты_исходные!D772," ",""),"-",""),"+",""),"(",""),")",""))=11,"+7 ("&amp;MID(IF(LEFT(SUBSTITUTE(SUBSTITUTE(SUBSTITUTE(SUBSTITUTE(SUBSTITUTE(Клиенты_исходные!D772," ",""),"-",""),"+",""),"(",""),")",""))="8","7"&amp;MID(SUBSTITUTE(SUBSTITUTE(SUBSTITUTE(SUBSTITUTE(SUBSTITUTE(Клиенты_исходные!D772," ",""),"-",""),"+",""),"(",""),")",""),2,10),SUBSTITUTE(SUBSTITUTE(SUBSTITUTE(SUBSTITUTE(SUBSTITUTE(Клиенты_исходные!D772," ",""),"-",""),"+",""),"(",""),")","")),2,3)&amp;") "&amp;MID(IF(LEFT(SUBSTITUTE(SUBSTITUTE(SUBSTITUTE(SUBSTITUTE(SUBSTITUTE(Клиенты_исходные!D772," ",""),"-",""),"+",""),"(",""),")",""))="8","7"&amp;MID(SUBSTITUTE(SUBSTITUTE(SUBSTITUTE(SUBSTITUTE(SUBSTITUTE(Клиенты_исходные!D772," ",""),"-",""),"+",""),"(",""),")",""),2,10),SUBSTITUTE(SUBSTITUTE(SUBSTITUTE(SUBSTITUTE(SUBSTITUTE(Клиенты_исходные!D772," ",""),"-",""),"+",""),"(",""),")","")),5,3)&amp;"-"&amp;MID(IF(LEFT(SUBSTITUTE(SUBSTITUTE(SUBSTITUTE(SUBSTITUTE(SUBSTITUTE(Клиенты_исходные!D772," ",""),"-",""),"+",""),"(",""),")",""))="8","7"&amp;MID(SUBSTITUTE(SUBSTITUTE(SUBSTITUTE(SUBSTITUTE(SUBSTITUTE(Клиенты_исходные!D772," ",""),"-",""),"+",""),"(",""),")",""),2,10),SUBSTITUTE(SUBSTITUTE(SUBSTITUTE(SUBSTITUTE(SUBSTITUTE(Клиенты_исходные!D772," ",""),"-",""),"+",""),"(",""),")","")),8,2)&amp;"-"&amp;MID(IF(LEFT(SUBSTITUTE(SUBSTITUTE(SUBSTITUTE(SUBSTITUTE(SUBSTITUTE(Клиенты_исходные!D772," ",""),"-",""),"+",""),"(",""),")",""))="8","7"&amp;MID(SUBSTITUTE(SUBSTITUTE(SUBSTITUTE(SUBSTITUTE(SUBSTITUTE(Клиенты_исходные!D772," ",""),"-",""),"+",""),"(",""),")",""),2,10),SUBSTITUTE(SUBSTITUTE(SUBSTITUTE(SUBSTITUTE(SUBSTITUTE(Клиенты_исходные!D772," ",""),"-",""),"+",""),"(",""),")","")),10,2),IF(LEN(SUBSTITUTE(SUBSTITUTE(SUBSTITUTE(SUBSTITUTE(SUBSTITUTE(Клиенты_исходные!D772," ",""),"-",""),"+",""),"(",""),")",""))=10,"+7 ("&amp;MID(SUBSTITUTE(SUBSTITUTE(SUBSTITUTE(SUBSTITUTE(SUBSTITUTE(Клиенты_исходные!D772," ",""),"-",""),"+",""),"(",""),")",""),1,3)&amp;") "&amp;MID(SUBSTITUTE(SUBSTITUTE(SUBSTITUTE(SUBSTITUTE(SUBSTITUTE(Клиенты_исходные!D772," ",""),"-",""),"+",""),"(",""),")",""),4,3)&amp;"-"&amp;MID(SUBSTITUTE(SUBSTITUTE(SUBSTITUTE(SUBSTITUTE(SUBSTITUTE(Клиенты_исходные!D772," ",""),"-",""),"+",""),"(",""),")",""),6,2)&amp;"-"&amp;MID(SUBSTITUTE(SUBSTITUTE(SUBSTITUTE(SUBSTITUTE(SUBSTITUTE(Клиенты_исходные!D772," ",""),"-",""),"+",""),"(",""),")",""),8,2),Клиенты_исходные!D772)))</f>
        <v xml:space="preserve">+7 (903) 345-67-89</v>
      </c>
      <c r="E772" t="str">
        <f>IF(ISBLANK(Клиенты_исходные!E772),"",IF(ISNUMBER(FIND(".",MID(Клиенты_исходные!E772,FIND("@",Клиенты_исходные!E772)+1,255))),Клиенты_исходные!E772,IF(ISNUMBER(FIND("gmail",Клиенты_исходные!E772)),Клиенты_исходные!E772&amp;".com",Клиенты_исходные!E772&amp;".ru")))</f>
        <v>lavrikova@gmail.com</v>
      </c>
      <c r="F772" t="str">
        <f>IFERROR(VLOOKUP(Клиенты_исходные!F772,Справочники!$J$2:$K$50,2,FALSE),Клиенты_исходные!F772)</f>
        <v>Ангарск</v>
      </c>
      <c r="G772" s="8">
        <f>IFERROR(IF(ISNUMBER(FIND(".",Клиенты_исходные!G772)),DATE(RIGHT(Клиенты_исходные!G772,4),MID(Клиенты_исходные!G772,4,2),LEFT(Клиенты_исходные!G772,2)),DATE(LEFT(Клиенты_исходные!G772,4),MID(Клиенты_исходные!G772,6,2),RIGHT(Клиенты_исходные!G772,2))),Клиенты_исходные!G772)</f>
        <v>52366</v>
      </c>
      <c r="H772">
        <f t="shared" ca="1" si="82"/>
        <v>44</v>
      </c>
      <c r="I772" t="str">
        <f t="shared" si="83"/>
        <v>OK</v>
      </c>
      <c r="J772" t="str">
        <f t="shared" si="84"/>
        <v>OK</v>
      </c>
    </row>
    <row r="773">
      <c r="A773" t="str">
        <f>Клиенты_исходные!A773</f>
        <v>C0772</v>
      </c>
      <c r="B773" t="str">
        <f>PROPER(TRIM(Клиенты_исходные!B773))</f>
        <v xml:space="preserve">Сластников Илья Алексеевич</v>
      </c>
      <c r="C773" s="8">
        <f>IFERROR(IF(ISNUMBER(FIND(".",Клиенты_исходные!C773)),DATE(RIGHT(Клиенты_исходные!C773,4),MID(Клиенты_исходные!C773,4,2),LEFT(Клиенты_исходные!C773,2)),DATE(LEFT(Клиенты_исходные!C773,4),MID(Клиенты_исходные!C773,6,2),RIGHT(Клиенты_исходные!C773,2))),Клиенты_исходные!C773)</f>
        <v>27984</v>
      </c>
      <c r="D773" t="str">
        <f>IF(ISBLANK(Клиенты_исходные!D773),"",IF(LEN(SUBSTITUTE(SUBSTITUTE(SUBSTITUTE(SUBSTITUTE(SUBSTITUTE(Клиенты_исходные!D773," ",""),"-",""),"+",""),"(",""),")",""))=11,"+7 ("&amp;MID(IF(LEFT(SUBSTITUTE(SUBSTITUTE(SUBSTITUTE(SUBSTITUTE(SUBSTITUTE(Клиенты_исходные!D773," ",""),"-",""),"+",""),"(",""),")",""))="8","7"&amp;MID(SUBSTITUTE(SUBSTITUTE(SUBSTITUTE(SUBSTITUTE(SUBSTITUTE(Клиенты_исходные!D773," ",""),"-",""),"+",""),"(",""),")",""),2,10),SUBSTITUTE(SUBSTITUTE(SUBSTITUTE(SUBSTITUTE(SUBSTITUTE(Клиенты_исходные!D773," ",""),"-",""),"+",""),"(",""),")","")),2,3)&amp;") "&amp;MID(IF(LEFT(SUBSTITUTE(SUBSTITUTE(SUBSTITUTE(SUBSTITUTE(SUBSTITUTE(Клиенты_исходные!D773," ",""),"-",""),"+",""),"(",""),")",""))="8","7"&amp;MID(SUBSTITUTE(SUBSTITUTE(SUBSTITUTE(SUBSTITUTE(SUBSTITUTE(Клиенты_исходные!D773," ",""),"-",""),"+",""),"(",""),")",""),2,10),SUBSTITUTE(SUBSTITUTE(SUBSTITUTE(SUBSTITUTE(SUBSTITUTE(Клиенты_исходные!D773," ",""),"-",""),"+",""),"(",""),")","")),5,3)&amp;"-"&amp;MID(IF(LEFT(SUBSTITUTE(SUBSTITUTE(SUBSTITUTE(SUBSTITUTE(SUBSTITUTE(Клиенты_исходные!D773," ",""),"-",""),"+",""),"(",""),")",""))="8","7"&amp;MID(SUBSTITUTE(SUBSTITUTE(SUBSTITUTE(SUBSTITUTE(SUBSTITUTE(Клиенты_исходные!D773," ",""),"-",""),"+",""),"(",""),")",""),2,10),SUBSTITUTE(SUBSTITUTE(SUBSTITUTE(SUBSTITUTE(SUBSTITUTE(Клиенты_исходные!D773," ",""),"-",""),"+",""),"(",""),")","")),8,2)&amp;"-"&amp;MID(IF(LEFT(SUBSTITUTE(SUBSTITUTE(SUBSTITUTE(SUBSTITUTE(SUBSTITUTE(Клиенты_исходные!D773," ",""),"-",""),"+",""),"(",""),")",""))="8","7"&amp;MID(SUBSTITUTE(SUBSTITUTE(SUBSTITUTE(SUBSTITUTE(SUBSTITUTE(Клиенты_исходные!D773," ",""),"-",""),"+",""),"(",""),")",""),2,10),SUBSTITUTE(SUBSTITUTE(SUBSTITUTE(SUBSTITUTE(SUBSTITUTE(Клиенты_исходные!D773," ",""),"-",""),"+",""),"(",""),")","")),10,2),IF(LEN(SUBSTITUTE(SUBSTITUTE(SUBSTITUTE(SUBSTITUTE(SUBSTITUTE(Клиенты_исходные!D773," ",""),"-",""),"+",""),"(",""),")",""))=10,"+7 ("&amp;MID(SUBSTITUTE(SUBSTITUTE(SUBSTITUTE(SUBSTITUTE(SUBSTITUTE(Клиенты_исходные!D773," ",""),"-",""),"+",""),"(",""),")",""),1,3)&amp;") "&amp;MID(SUBSTITUTE(SUBSTITUTE(SUBSTITUTE(SUBSTITUTE(SUBSTITUTE(Клиенты_исходные!D773," ",""),"-",""),"+",""),"(",""),")",""),4,3)&amp;"-"&amp;MID(SUBSTITUTE(SUBSTITUTE(SUBSTITUTE(SUBSTITUTE(SUBSTITUTE(Клиенты_исходные!D773," ",""),"-",""),"+",""),"(",""),")",""),6,2)&amp;"-"&amp;MID(SUBSTITUTE(SUBSTITUTE(SUBSTITUTE(SUBSTITUTE(SUBSTITUTE(Клиенты_исходные!D773," ",""),"-",""),"+",""),"(",""),")",""),8,2),Клиенты_исходные!D773)))</f>
        <v xml:space="preserve">+7 (903) 345-67-89</v>
      </c>
      <c r="E773" t="str">
        <f>IF(ISBLANK(Клиенты_исходные!E773),"",IF(ISNUMBER(FIND(".",MID(Клиенты_исходные!E773,FIND("@",Клиенты_исходные!E773)+1,255))),Клиенты_исходные!E773,IF(ISNUMBER(FIND("gmail",Клиенты_исходные!E773)),Клиенты_исходные!E773&amp;".com",Клиенты_исходные!E773&amp;".ru")))</f>
        <v>slastnikov@mail.ru</v>
      </c>
      <c r="F773" t="str">
        <f>IFERROR(VLOOKUP(Клиенты_исходные!F773,Справочники!$J$2:$K$50,2,FALSE),Клиенты_исходные!F773)</f>
        <v>Озёрск</v>
      </c>
      <c r="G773" s="8">
        <f>IFERROR(IF(ISNUMBER(FIND(".",Клиенты_исходные!G773)),DATE(RIGHT(Клиенты_исходные!G773,4),MID(Клиенты_исходные!G773,4,2),LEFT(Клиенты_исходные!G773,2)),DATE(LEFT(Клиенты_исходные!G773,4),MID(Клиенты_исходные!G773,6,2),RIGHT(Клиенты_исходные!G773,2))),Клиенты_исходные!G773)</f>
        <v>52383</v>
      </c>
      <c r="H773">
        <f t="shared" ca="1" si="82"/>
        <v>50</v>
      </c>
      <c r="I773" t="str">
        <f t="shared" si="83"/>
        <v>OK</v>
      </c>
      <c r="J773" t="str">
        <f t="shared" si="84"/>
        <v>OK</v>
      </c>
    </row>
    <row r="774">
      <c r="A774" t="str">
        <f>Клиенты_исходные!A774</f>
        <v>C0773</v>
      </c>
      <c r="B774" t="str">
        <f>PROPER(TRIM(Клиенты_исходные!B774))</f>
        <v xml:space="preserve">Кузьменко Екатерина Сергеевна</v>
      </c>
      <c r="C774" s="8">
        <f>IFERROR(IF(ISNUMBER(FIND(".",Клиенты_исходные!C774)),DATE(RIGHT(Клиенты_исходные!C774,4),MID(Клиенты_исходные!C774,4,2),LEFT(Клиенты_исходные!C774,2)),DATE(LEFT(Клиенты_исходные!C774,4),MID(Клиенты_исходные!C774,6,2),RIGHT(Клиенты_исходные!C774,2))),Клиенты_исходные!C774)</f>
        <v>31888</v>
      </c>
      <c r="D774" t="str">
        <f>IF(ISBLANK(Клиенты_исходные!D774),"",IF(LEN(SUBSTITUTE(SUBSTITUTE(SUBSTITUTE(SUBSTITUTE(SUBSTITUTE(Клиенты_исходные!D774," ",""),"-",""),"+",""),"(",""),")",""))=11,"+7 ("&amp;MID(IF(LEFT(SUBSTITUTE(SUBSTITUTE(SUBSTITUTE(SUBSTITUTE(SUBSTITUTE(Клиенты_исходные!D774," ",""),"-",""),"+",""),"(",""),")",""))="8","7"&amp;MID(SUBSTITUTE(SUBSTITUTE(SUBSTITUTE(SUBSTITUTE(SUBSTITUTE(Клиенты_исходные!D774," ",""),"-",""),"+",""),"(",""),")",""),2,10),SUBSTITUTE(SUBSTITUTE(SUBSTITUTE(SUBSTITUTE(SUBSTITUTE(Клиенты_исходные!D774," ",""),"-",""),"+",""),"(",""),")","")),2,3)&amp;") "&amp;MID(IF(LEFT(SUBSTITUTE(SUBSTITUTE(SUBSTITUTE(SUBSTITUTE(SUBSTITUTE(Клиенты_исходные!D774," ",""),"-",""),"+",""),"(",""),")",""))="8","7"&amp;MID(SUBSTITUTE(SUBSTITUTE(SUBSTITUTE(SUBSTITUTE(SUBSTITUTE(Клиенты_исходные!D774," ",""),"-",""),"+",""),"(",""),")",""),2,10),SUBSTITUTE(SUBSTITUTE(SUBSTITUTE(SUBSTITUTE(SUBSTITUTE(Клиенты_исходные!D774," ",""),"-",""),"+",""),"(",""),")","")),5,3)&amp;"-"&amp;MID(IF(LEFT(SUBSTITUTE(SUBSTITUTE(SUBSTITUTE(SUBSTITUTE(SUBSTITUTE(Клиенты_исходные!D774," ",""),"-",""),"+",""),"(",""),")",""))="8","7"&amp;MID(SUBSTITUTE(SUBSTITUTE(SUBSTITUTE(SUBSTITUTE(SUBSTITUTE(Клиенты_исходные!D774," ",""),"-",""),"+",""),"(",""),")",""),2,10),SUBSTITUTE(SUBSTITUTE(SUBSTITUTE(SUBSTITUTE(SUBSTITUTE(Клиенты_исходные!D774," ",""),"-",""),"+",""),"(",""),")","")),8,2)&amp;"-"&amp;MID(IF(LEFT(SUBSTITUTE(SUBSTITUTE(SUBSTITUTE(SUBSTITUTE(SUBSTITUTE(Клиенты_исходные!D774," ",""),"-",""),"+",""),"(",""),")",""))="8","7"&amp;MID(SUBSTITUTE(SUBSTITUTE(SUBSTITUTE(SUBSTITUTE(SUBSTITUTE(Клиенты_исходные!D774," ",""),"-",""),"+",""),"(",""),")",""),2,10),SUBSTITUTE(SUBSTITUTE(SUBSTITUTE(SUBSTITUTE(SUBSTITUTE(Клиенты_исходные!D774," ",""),"-",""),"+",""),"(",""),")","")),10,2),IF(LEN(SUBSTITUTE(SUBSTITUTE(SUBSTITUTE(SUBSTITUTE(SUBSTITUTE(Клиенты_исходные!D774," ",""),"-",""),"+",""),"(",""),")",""))=10,"+7 ("&amp;MID(SUBSTITUTE(SUBSTITUTE(SUBSTITUTE(SUBSTITUTE(SUBSTITUTE(Клиенты_исходные!D774," ",""),"-",""),"+",""),"(",""),")",""),1,3)&amp;") "&amp;MID(SUBSTITUTE(SUBSTITUTE(SUBSTITUTE(SUBSTITUTE(SUBSTITUTE(Клиенты_исходные!D774," ",""),"-",""),"+",""),"(",""),")",""),4,3)&amp;"-"&amp;MID(SUBSTITUTE(SUBSTITUTE(SUBSTITUTE(SUBSTITUTE(SUBSTITUTE(Клиенты_исходные!D774," ",""),"-",""),"+",""),"(",""),")",""),6,2)&amp;"-"&amp;MID(SUBSTITUTE(SUBSTITUTE(SUBSTITUTE(SUBSTITUTE(SUBSTITUTE(Клиенты_исходные!D774," ",""),"-",""),"+",""),"(",""),")",""),8,2),Клиенты_исходные!D774)))</f>
        <v xml:space="preserve">+7 (903) 345-67-89</v>
      </c>
      <c r="E774" t="str">
        <f>IF(ISBLANK(Клиенты_исходные!E774),"",IF(ISNUMBER(FIND(".",MID(Клиенты_исходные!E774,FIND("@",Клиенты_исходные!E774)+1,255))),Клиенты_исходные!E774,IF(ISNUMBER(FIND("gmail",Клиенты_исходные!E774)),Клиенты_исходные!E774&amp;".com",Клиенты_исходные!E774&amp;".ru")))</f>
        <v>kuzmenko@yandex.ru</v>
      </c>
      <c r="F774" t="str">
        <f>IFERROR(VLOOKUP(Клиенты_исходные!F774,Справочники!$J$2:$K$50,2,FALSE),Клиенты_исходные!F774)</f>
        <v>Орел</v>
      </c>
      <c r="G774" s="8">
        <f>IFERROR(IF(ISNUMBER(FIND(".",Клиенты_исходные!G774)),DATE(RIGHT(Клиенты_исходные!G774,4),MID(Клиенты_исходные!G774,4,2),LEFT(Клиенты_исходные!G774,2)),DATE(LEFT(Клиенты_исходные!G774,4),MID(Клиенты_исходные!G774,6,2),RIGHT(Клиенты_исходные!G774,2))),Клиенты_исходные!G774)</f>
        <v>52392</v>
      </c>
      <c r="H774">
        <f t="shared" ca="1" si="82"/>
        <v>39</v>
      </c>
      <c r="I774" t="str">
        <f t="shared" si="83"/>
        <v>OK</v>
      </c>
      <c r="J774" t="str">
        <f t="shared" si="84"/>
        <v>OK</v>
      </c>
    </row>
    <row r="775">
      <c r="A775" t="str">
        <f>Клиенты_исходные!A775</f>
        <v>C0774</v>
      </c>
      <c r="B775" t="str">
        <f>PROPER(TRIM(Клиенты_исходные!B775))</f>
        <v xml:space="preserve">Токаренко Андрей Олегович</v>
      </c>
      <c r="C775" s="8">
        <f>IFERROR(IF(ISNUMBER(FIND(".",Клиенты_исходные!C775)),DATE(RIGHT(Клиенты_исходные!C775,4),MID(Клиенты_исходные!C775,4,2),LEFT(Клиенты_исходные!C775,2)),DATE(LEFT(Клиенты_исходные!C775,4),MID(Клиенты_исходные!C775,6,2),RIGHT(Клиенты_исходные!C775,2))),Клиенты_исходные!C775)</f>
        <v>30573</v>
      </c>
      <c r="D775" t="str">
        <f>IF(ISBLANK(Клиенты_исходные!D775),"",IF(LEN(SUBSTITUTE(SUBSTITUTE(SUBSTITUTE(SUBSTITUTE(SUBSTITUTE(Клиенты_исходные!D775," ",""),"-",""),"+",""),"(",""),")",""))=11,"+7 ("&amp;MID(IF(LEFT(SUBSTITUTE(SUBSTITUTE(SUBSTITUTE(SUBSTITUTE(SUBSTITUTE(Клиенты_исходные!D775," ",""),"-",""),"+",""),"(",""),")",""))="8","7"&amp;MID(SUBSTITUTE(SUBSTITUTE(SUBSTITUTE(SUBSTITUTE(SUBSTITUTE(Клиенты_исходные!D775," ",""),"-",""),"+",""),"(",""),")",""),2,10),SUBSTITUTE(SUBSTITUTE(SUBSTITUTE(SUBSTITUTE(SUBSTITUTE(Клиенты_исходные!D775," ",""),"-",""),"+",""),"(",""),")","")),2,3)&amp;") "&amp;MID(IF(LEFT(SUBSTITUTE(SUBSTITUTE(SUBSTITUTE(SUBSTITUTE(SUBSTITUTE(Клиенты_исходные!D775," ",""),"-",""),"+",""),"(",""),")",""))="8","7"&amp;MID(SUBSTITUTE(SUBSTITUTE(SUBSTITUTE(SUBSTITUTE(SUBSTITUTE(Клиенты_исходные!D775," ",""),"-",""),"+",""),"(",""),")",""),2,10),SUBSTITUTE(SUBSTITUTE(SUBSTITUTE(SUBSTITUTE(SUBSTITUTE(Клиенты_исходные!D775," ",""),"-",""),"+",""),"(",""),")","")),5,3)&amp;"-"&amp;MID(IF(LEFT(SUBSTITUTE(SUBSTITUTE(SUBSTITUTE(SUBSTITUTE(SUBSTITUTE(Клиенты_исходные!D775," ",""),"-",""),"+",""),"(",""),")",""))="8","7"&amp;MID(SUBSTITUTE(SUBSTITUTE(SUBSTITUTE(SUBSTITUTE(SUBSTITUTE(Клиенты_исходные!D775," ",""),"-",""),"+",""),"(",""),")",""),2,10),SUBSTITUTE(SUBSTITUTE(SUBSTITUTE(SUBSTITUTE(SUBSTITUTE(Клиенты_исходные!D775," ",""),"-",""),"+",""),"(",""),")","")),8,2)&amp;"-"&amp;MID(IF(LEFT(SUBSTITUTE(SUBSTITUTE(SUBSTITUTE(SUBSTITUTE(SUBSTITUTE(Клиенты_исходные!D775," ",""),"-",""),"+",""),"(",""),")",""))="8","7"&amp;MID(SUBSTITUTE(SUBSTITUTE(SUBSTITUTE(SUBSTITUTE(SUBSTITUTE(Клиенты_исходные!D775," ",""),"-",""),"+",""),"(",""),")",""),2,10),SUBSTITUTE(SUBSTITUTE(SUBSTITUTE(SUBSTITUTE(SUBSTITUTE(Клиенты_исходные!D775," ",""),"-",""),"+",""),"(",""),")","")),10,2),IF(LEN(SUBSTITUTE(SUBSTITUTE(SUBSTITUTE(SUBSTITUTE(SUBSTITUTE(Клиенты_исходные!D775," ",""),"-",""),"+",""),"(",""),")",""))=10,"+7 ("&amp;MID(SUBSTITUTE(SUBSTITUTE(SUBSTITUTE(SUBSTITUTE(SUBSTITUTE(Клиенты_исходные!D775," ",""),"-",""),"+",""),"(",""),")",""),1,3)&amp;") "&amp;MID(SUBSTITUTE(SUBSTITUTE(SUBSTITUTE(SUBSTITUTE(SUBSTITUTE(Клиенты_исходные!D775," ",""),"-",""),"+",""),"(",""),")",""),4,3)&amp;"-"&amp;MID(SUBSTITUTE(SUBSTITUTE(SUBSTITUTE(SUBSTITUTE(SUBSTITUTE(Клиенты_исходные!D775," ",""),"-",""),"+",""),"(",""),")",""),6,2)&amp;"-"&amp;MID(SUBSTITUTE(SUBSTITUTE(SUBSTITUTE(SUBSTITUTE(SUBSTITUTE(Клиенты_исходные!D775," ",""),"-",""),"+",""),"(",""),")",""),8,2),Клиенты_исходные!D775)))</f>
        <v xml:space="preserve">+7 (903) 456-78-90</v>
      </c>
      <c r="E775" t="str">
        <f>IF(ISBLANK(Клиенты_исходные!E775),"",IF(ISNUMBER(FIND(".",MID(Клиенты_исходные!E775,FIND("@",Клиенты_исходные!E775)+1,255))),Клиенты_исходные!E775,IF(ISNUMBER(FIND("gmail",Клиенты_исходные!E775)),Клиенты_исходные!E775&amp;".com",Клиенты_исходные!E775&amp;".ru")))</f>
        <v>tokarenko@gmail.com</v>
      </c>
      <c r="F775" t="str">
        <f>IFERROR(VLOOKUP(Клиенты_исходные!F775,Справочники!$J$2:$K$50,2,FALSE),Клиенты_исходные!F775)</f>
        <v>Магнитогорск</v>
      </c>
      <c r="G775" s="8">
        <f>IFERROR(IF(ISNUMBER(FIND(".",Клиенты_исходные!G775)),DATE(RIGHT(Клиенты_исходные!G775,4),MID(Клиенты_исходные!G775,4,2),LEFT(Клиенты_исходные!G775,2)),DATE(LEFT(Клиенты_исходные!G775,4),MID(Клиенты_исходные!G775,6,2),RIGHT(Клиенты_исходные!G775,2))),Клиенты_исходные!G775)</f>
        <v>52392</v>
      </c>
      <c r="H775">
        <f t="shared" ca="1" si="82"/>
        <v>43</v>
      </c>
      <c r="I775" t="str">
        <f t="shared" si="83"/>
        <v>OK</v>
      </c>
      <c r="J775" t="str">
        <f t="shared" si="84"/>
        <v>OK</v>
      </c>
    </row>
    <row r="776">
      <c r="A776" t="str">
        <f>Клиенты_исходные!A776</f>
        <v>C0775</v>
      </c>
      <c r="B776" t="str">
        <f>PROPER(TRIM(Клиенты_исходные!B776))</f>
        <v xml:space="preserve">Симонова Мария Павловна</v>
      </c>
      <c r="C776" s="8">
        <f>IFERROR(IF(ISNUMBER(FIND(".",Клиенты_исходные!C776)),DATE(RIGHT(Клиенты_исходные!C776,4),MID(Клиенты_исходные!C776,4,2),LEFT(Клиенты_исходные!C776,2)),DATE(LEFT(Клиенты_исходные!C776,4),MID(Клиенты_исходные!C776,6,2),RIGHT(Клиенты_исходные!C776,2))),Клиенты_исходные!C776)</f>
        <v>25901</v>
      </c>
      <c r="D776" t="str">
        <f>IF(ISBLANK(Клиенты_исходные!D776),"",IF(LEN(SUBSTITUTE(SUBSTITUTE(SUBSTITUTE(SUBSTITUTE(SUBSTITUTE(Клиенты_исходные!D776," ",""),"-",""),"+",""),"(",""),")",""))=11,"+7 ("&amp;MID(IF(LEFT(SUBSTITUTE(SUBSTITUTE(SUBSTITUTE(SUBSTITUTE(SUBSTITUTE(Клиенты_исходные!D776," ",""),"-",""),"+",""),"(",""),")",""))="8","7"&amp;MID(SUBSTITUTE(SUBSTITUTE(SUBSTITUTE(SUBSTITUTE(SUBSTITUTE(Клиенты_исходные!D776," ",""),"-",""),"+",""),"(",""),")",""),2,10),SUBSTITUTE(SUBSTITUTE(SUBSTITUTE(SUBSTITUTE(SUBSTITUTE(Клиенты_исходные!D776," ",""),"-",""),"+",""),"(",""),")","")),2,3)&amp;") "&amp;MID(IF(LEFT(SUBSTITUTE(SUBSTITUTE(SUBSTITUTE(SUBSTITUTE(SUBSTITUTE(Клиенты_исходные!D776," ",""),"-",""),"+",""),"(",""),")",""))="8","7"&amp;MID(SUBSTITUTE(SUBSTITUTE(SUBSTITUTE(SUBSTITUTE(SUBSTITUTE(Клиенты_исходные!D776," ",""),"-",""),"+",""),"(",""),")",""),2,10),SUBSTITUTE(SUBSTITUTE(SUBSTITUTE(SUBSTITUTE(SUBSTITUTE(Клиенты_исходные!D776," ",""),"-",""),"+",""),"(",""),")","")),5,3)&amp;"-"&amp;MID(IF(LEFT(SUBSTITUTE(SUBSTITUTE(SUBSTITUTE(SUBSTITUTE(SUBSTITUTE(Клиенты_исходные!D776," ",""),"-",""),"+",""),"(",""),")",""))="8","7"&amp;MID(SUBSTITUTE(SUBSTITUTE(SUBSTITUTE(SUBSTITUTE(SUBSTITUTE(Клиенты_исходные!D776," ",""),"-",""),"+",""),"(",""),")",""),2,10),SUBSTITUTE(SUBSTITUTE(SUBSTITUTE(SUBSTITUTE(SUBSTITUTE(Клиенты_исходные!D776," ",""),"-",""),"+",""),"(",""),")","")),8,2)&amp;"-"&amp;MID(IF(LEFT(SUBSTITUTE(SUBSTITUTE(SUBSTITUTE(SUBSTITUTE(SUBSTITUTE(Клиенты_исходные!D776," ",""),"-",""),"+",""),"(",""),")",""))="8","7"&amp;MID(SUBSTITUTE(SUBSTITUTE(SUBSTITUTE(SUBSTITUTE(SUBSTITUTE(Клиенты_исходные!D776," ",""),"-",""),"+",""),"(",""),")",""),2,10),SUBSTITUTE(SUBSTITUTE(SUBSTITUTE(SUBSTITUTE(SUBSTITUTE(Клиенты_исходные!D776," ",""),"-",""),"+",""),"(",""),")","")),10,2),IF(LEN(SUBSTITUTE(SUBSTITUTE(SUBSTITUTE(SUBSTITUTE(SUBSTITUTE(Клиенты_исходные!D776," ",""),"-",""),"+",""),"(",""),")",""))=10,"+7 ("&amp;MID(SUBSTITUTE(SUBSTITUTE(SUBSTITUTE(SUBSTITUTE(SUBSTITUTE(Клиенты_исходные!D776," ",""),"-",""),"+",""),"(",""),")",""),1,3)&amp;") "&amp;MID(SUBSTITUTE(SUBSTITUTE(SUBSTITUTE(SUBSTITUTE(SUBSTITUTE(Клиенты_исходные!D776," ",""),"-",""),"+",""),"(",""),")",""),4,3)&amp;"-"&amp;MID(SUBSTITUTE(SUBSTITUTE(SUBSTITUTE(SUBSTITUTE(SUBSTITUTE(Клиенты_исходные!D776," ",""),"-",""),"+",""),"(",""),")",""),6,2)&amp;"-"&amp;MID(SUBSTITUTE(SUBSTITUTE(SUBSTITUTE(SUBSTITUTE(SUBSTITUTE(Клиенты_исходные!D776," ",""),"-",""),"+",""),"(",""),")",""),8,2),Клиенты_исходные!D776)))</f>
        <v xml:space="preserve">+7 (903) 456-78-90</v>
      </c>
      <c r="E776" t="str">
        <f>IF(ISBLANK(Клиенты_исходные!E776),"",IF(ISNUMBER(FIND(".",MID(Клиенты_исходные!E776,FIND("@",Клиенты_исходные!E776)+1,255))),Клиенты_исходные!E776,IF(ISNUMBER(FIND("gmail",Клиенты_исходные!E776)),Клиенты_исходные!E776&amp;".com",Клиенты_исходные!E776&amp;".ru")))</f>
        <v>simonova@mail.ru</v>
      </c>
      <c r="F776" t="str">
        <f>IFERROR(VLOOKUP(Клиенты_исходные!F776,Справочники!$J$2:$K$50,2,FALSE),Клиенты_исходные!F776)</f>
        <v>Якутск</v>
      </c>
      <c r="G776" s="8">
        <f>IFERROR(IF(ISNUMBER(FIND(".",Клиенты_исходные!G776)),DATE(RIGHT(Клиенты_исходные!G776,4),MID(Клиенты_исходные!G776,4,2),LEFT(Клиенты_исходные!G776,2)),DATE(LEFT(Клиенты_исходные!G776,4),MID(Клиенты_исходные!G776,6,2),RIGHT(Клиенты_исходные!G776,2))),Клиенты_исходные!G776)</f>
        <v>52413</v>
      </c>
      <c r="H776">
        <f t="shared" ca="1" si="82"/>
        <v>55</v>
      </c>
      <c r="I776" t="str">
        <f t="shared" si="83"/>
        <v>OK</v>
      </c>
      <c r="J776" t="str">
        <f t="shared" si="84"/>
        <v>OK</v>
      </c>
    </row>
    <row r="777">
      <c r="A777" t="str">
        <f>Клиенты_исходные!A777</f>
        <v>C0776</v>
      </c>
      <c r="B777" t="str">
        <f>PROPER(TRIM(Клиенты_исходные!B777))</f>
        <v xml:space="preserve">Царев Денис Викторович</v>
      </c>
      <c r="C777" s="8">
        <f>IFERROR(IF(ISNUMBER(FIND(".",Клиенты_исходные!C777)),DATE(RIGHT(Клиенты_исходные!C777,4),MID(Клиенты_исходные!C777,4,2),LEFT(Клиенты_исходные!C777,2)),DATE(LEFT(Клиенты_исходные!C777,4),MID(Клиенты_исходные!C777,6,2),RIGHT(Клиенты_исходные!C777,2))),Клиенты_исходные!C777)</f>
        <v>32302</v>
      </c>
      <c r="D777" t="str">
        <f>IF(ISBLANK(Клиенты_исходные!D777),"",IF(LEN(SUBSTITUTE(SUBSTITUTE(SUBSTITUTE(SUBSTITUTE(SUBSTITUTE(Клиенты_исходные!D777," ",""),"-",""),"+",""),"(",""),")",""))=11,"+7 ("&amp;MID(IF(LEFT(SUBSTITUTE(SUBSTITUTE(SUBSTITUTE(SUBSTITUTE(SUBSTITUTE(Клиенты_исходные!D777," ",""),"-",""),"+",""),"(",""),")",""))="8","7"&amp;MID(SUBSTITUTE(SUBSTITUTE(SUBSTITUTE(SUBSTITUTE(SUBSTITUTE(Клиенты_исходные!D777," ",""),"-",""),"+",""),"(",""),")",""),2,10),SUBSTITUTE(SUBSTITUTE(SUBSTITUTE(SUBSTITUTE(SUBSTITUTE(Клиенты_исходные!D777," ",""),"-",""),"+",""),"(",""),")","")),2,3)&amp;") "&amp;MID(IF(LEFT(SUBSTITUTE(SUBSTITUTE(SUBSTITUTE(SUBSTITUTE(SUBSTITUTE(Клиенты_исходные!D777," ",""),"-",""),"+",""),"(",""),")",""))="8","7"&amp;MID(SUBSTITUTE(SUBSTITUTE(SUBSTITUTE(SUBSTITUTE(SUBSTITUTE(Клиенты_исходные!D777," ",""),"-",""),"+",""),"(",""),")",""),2,10),SUBSTITUTE(SUBSTITUTE(SUBSTITUTE(SUBSTITUTE(SUBSTITUTE(Клиенты_исходные!D777," ",""),"-",""),"+",""),"(",""),")","")),5,3)&amp;"-"&amp;MID(IF(LEFT(SUBSTITUTE(SUBSTITUTE(SUBSTITUTE(SUBSTITUTE(SUBSTITUTE(Клиенты_исходные!D777," ",""),"-",""),"+",""),"(",""),")",""))="8","7"&amp;MID(SUBSTITUTE(SUBSTITUTE(SUBSTITUTE(SUBSTITUTE(SUBSTITUTE(Клиенты_исходные!D777," ",""),"-",""),"+",""),"(",""),")",""),2,10),SUBSTITUTE(SUBSTITUTE(SUBSTITUTE(SUBSTITUTE(SUBSTITUTE(Клиенты_исходные!D777," ",""),"-",""),"+",""),"(",""),")","")),8,2)&amp;"-"&amp;MID(IF(LEFT(SUBSTITUTE(SUBSTITUTE(SUBSTITUTE(SUBSTITUTE(SUBSTITUTE(Клиенты_исходные!D777," ",""),"-",""),"+",""),"(",""),")",""))="8","7"&amp;MID(SUBSTITUTE(SUBSTITUTE(SUBSTITUTE(SUBSTITUTE(SUBSTITUTE(Клиенты_исходные!D777," ",""),"-",""),"+",""),"(",""),")",""),2,10),SUBSTITUTE(SUBSTITUTE(SUBSTITUTE(SUBSTITUTE(SUBSTITUTE(Клиенты_исходные!D777," ",""),"-",""),"+",""),"(",""),")","")),10,2),IF(LEN(SUBSTITUTE(SUBSTITUTE(SUBSTITUTE(SUBSTITUTE(SUBSTITUTE(Клиенты_исходные!D777," ",""),"-",""),"+",""),"(",""),")",""))=10,"+7 ("&amp;MID(SUBSTITUTE(SUBSTITUTE(SUBSTITUTE(SUBSTITUTE(SUBSTITUTE(Клиенты_исходные!D777," ",""),"-",""),"+",""),"(",""),")",""),1,3)&amp;") "&amp;MID(SUBSTITUTE(SUBSTITUTE(SUBSTITUTE(SUBSTITUTE(SUBSTITUTE(Клиенты_исходные!D777," ",""),"-",""),"+",""),"(",""),")",""),4,3)&amp;"-"&amp;MID(SUBSTITUTE(SUBSTITUTE(SUBSTITUTE(SUBSTITUTE(SUBSTITUTE(Клиенты_исходные!D777," ",""),"-",""),"+",""),"(",""),")",""),6,2)&amp;"-"&amp;MID(SUBSTITUTE(SUBSTITUTE(SUBSTITUTE(SUBSTITUTE(SUBSTITUTE(Клиенты_исходные!D777," ",""),"-",""),"+",""),"(",""),")",""),8,2),Клиенты_исходные!D777)))</f>
        <v xml:space="preserve">+7 (903) 456-78-90</v>
      </c>
      <c r="E777" t="str">
        <f>IF(ISBLANK(Клиенты_исходные!E777),"",IF(ISNUMBER(FIND(".",MID(Клиенты_исходные!E777,FIND("@",Клиенты_исходные!E777)+1,255))),Клиенты_исходные!E777,IF(ISNUMBER(FIND("gmail",Клиенты_исходные!E777)),Клиенты_исходные!E777&amp;".com",Клиенты_исходные!E777&amp;".ru")))</f>
        <v>tsarev@yandex.ru</v>
      </c>
      <c r="F777" t="str">
        <f>IFERROR(VLOOKUP(Клиенты_исходные!F777,Справочники!$J$2:$K$50,2,FALSE),Клиенты_исходные!F777)</f>
        <v>Чебоксары</v>
      </c>
      <c r="G777" s="8">
        <f>IFERROR(IF(ISNUMBER(FIND(".",Клиенты_исходные!G777)),DATE(RIGHT(Клиенты_исходные!G777,4),MID(Клиенты_исходные!G777,4,2),LEFT(Клиенты_исходные!G777,2)),DATE(LEFT(Клиенты_исходные!G777,4),MID(Клиенты_исходные!G777,6,2),RIGHT(Клиенты_исходные!G777,2))),Клиенты_исходные!G777)</f>
        <v>52427</v>
      </c>
      <c r="H777">
        <f t="shared" ca="1" si="82"/>
        <v>38</v>
      </c>
      <c r="I777" t="str">
        <f t="shared" si="83"/>
        <v>OK</v>
      </c>
      <c r="J777" t="str">
        <f t="shared" si="84"/>
        <v>OK</v>
      </c>
    </row>
    <row r="778">
      <c r="A778" t="str">
        <f>Клиенты_исходные!A778</f>
        <v>C0777</v>
      </c>
      <c r="B778" t="str">
        <f>PROPER(TRIM(Клиенты_исходные!B778))</f>
        <v xml:space="preserve">Крупина Ольга Сергеевна</v>
      </c>
      <c r="C778" s="8">
        <f>IFERROR(IF(ISNUMBER(FIND(".",Клиенты_исходные!C778)),DATE(RIGHT(Клиенты_исходные!C778,4),MID(Клиенты_исходные!C778,4,2),LEFT(Клиенты_исходные!C778,2)),DATE(LEFT(Клиенты_исходные!C778,4),MID(Клиенты_исходные!C778,6,2),RIGHT(Клиенты_исходные!C778,2))),Клиенты_исходные!C778)</f>
        <v>28705</v>
      </c>
      <c r="D778" t="str">
        <f>IF(ISBLANK(Клиенты_исходные!D778),"",IF(LEN(SUBSTITUTE(SUBSTITUTE(SUBSTITUTE(SUBSTITUTE(SUBSTITUTE(Клиенты_исходные!D778," ",""),"-",""),"+",""),"(",""),")",""))=11,"+7 ("&amp;MID(IF(LEFT(SUBSTITUTE(SUBSTITUTE(SUBSTITUTE(SUBSTITUTE(SUBSTITUTE(Клиенты_исходные!D778," ",""),"-",""),"+",""),"(",""),")",""))="8","7"&amp;MID(SUBSTITUTE(SUBSTITUTE(SUBSTITUTE(SUBSTITUTE(SUBSTITUTE(Клиенты_исходные!D778," ",""),"-",""),"+",""),"(",""),")",""),2,10),SUBSTITUTE(SUBSTITUTE(SUBSTITUTE(SUBSTITUTE(SUBSTITUTE(Клиенты_исходные!D778," ",""),"-",""),"+",""),"(",""),")","")),2,3)&amp;") "&amp;MID(IF(LEFT(SUBSTITUTE(SUBSTITUTE(SUBSTITUTE(SUBSTITUTE(SUBSTITUTE(Клиенты_исходные!D778," ",""),"-",""),"+",""),"(",""),")",""))="8","7"&amp;MID(SUBSTITUTE(SUBSTITUTE(SUBSTITUTE(SUBSTITUTE(SUBSTITUTE(Клиенты_исходные!D778," ",""),"-",""),"+",""),"(",""),")",""),2,10),SUBSTITUTE(SUBSTITUTE(SUBSTITUTE(SUBSTITUTE(SUBSTITUTE(Клиенты_исходные!D778," ",""),"-",""),"+",""),"(",""),")","")),5,3)&amp;"-"&amp;MID(IF(LEFT(SUBSTITUTE(SUBSTITUTE(SUBSTITUTE(SUBSTITUTE(SUBSTITUTE(Клиенты_исходные!D778," ",""),"-",""),"+",""),"(",""),")",""))="8","7"&amp;MID(SUBSTITUTE(SUBSTITUTE(SUBSTITUTE(SUBSTITUTE(SUBSTITUTE(Клиенты_исходные!D778," ",""),"-",""),"+",""),"(",""),")",""),2,10),SUBSTITUTE(SUBSTITUTE(SUBSTITUTE(SUBSTITUTE(SUBSTITUTE(Клиенты_исходные!D778," ",""),"-",""),"+",""),"(",""),")","")),8,2)&amp;"-"&amp;MID(IF(LEFT(SUBSTITUTE(SUBSTITUTE(SUBSTITUTE(SUBSTITUTE(SUBSTITUTE(Клиенты_исходные!D778," ",""),"-",""),"+",""),"(",""),")",""))="8","7"&amp;MID(SUBSTITUTE(SUBSTITUTE(SUBSTITUTE(SUBSTITUTE(SUBSTITUTE(Клиенты_исходные!D778," ",""),"-",""),"+",""),"(",""),")",""),2,10),SUBSTITUTE(SUBSTITUTE(SUBSTITUTE(SUBSTITUTE(SUBSTITUTE(Клиенты_исходные!D778," ",""),"-",""),"+",""),"(",""),")","")),10,2),IF(LEN(SUBSTITUTE(SUBSTITUTE(SUBSTITUTE(SUBSTITUTE(SUBSTITUTE(Клиенты_исходные!D778," ",""),"-",""),"+",""),"(",""),")",""))=10,"+7 ("&amp;MID(SUBSTITUTE(SUBSTITUTE(SUBSTITUTE(SUBSTITUTE(SUBSTITUTE(Клиенты_исходные!D778," ",""),"-",""),"+",""),"(",""),")",""),1,3)&amp;") "&amp;MID(SUBSTITUTE(SUBSTITUTE(SUBSTITUTE(SUBSTITUTE(SUBSTITUTE(Клиенты_исходные!D778," ",""),"-",""),"+",""),"(",""),")",""),4,3)&amp;"-"&amp;MID(SUBSTITUTE(SUBSTITUTE(SUBSTITUTE(SUBSTITUTE(SUBSTITUTE(Клиенты_исходные!D778," ",""),"-",""),"+",""),"(",""),")",""),6,2)&amp;"-"&amp;MID(SUBSTITUTE(SUBSTITUTE(SUBSTITUTE(SUBSTITUTE(SUBSTITUTE(Клиенты_исходные!D778," ",""),"-",""),"+",""),"(",""),")",""),8,2),Клиенты_исходные!D778)))</f>
        <v xml:space="preserve">+7 (903) 567-89-01</v>
      </c>
      <c r="E778" t="str">
        <f>IF(ISBLANK(Клиенты_исходные!E778),"",IF(ISNUMBER(FIND(".",MID(Клиенты_исходные!E778,FIND("@",Клиенты_исходные!E778)+1,255))),Клиенты_исходные!E778,IF(ISNUMBER(FIND("gmail",Клиенты_исходные!E778)),Клиенты_исходные!E778&amp;".com",Клиенты_исходные!E778&amp;".ru")))</f>
        <v>krupina@gmail.com</v>
      </c>
      <c r="F778" t="str">
        <f>IFERROR(VLOOKUP(Клиенты_исходные!F778,Справочники!$J$2:$K$50,2,FALSE),Клиенты_исходные!F778)</f>
        <v>Мурманск</v>
      </c>
      <c r="G778" s="8">
        <f>IFERROR(IF(ISNUMBER(FIND(".",Клиенты_исходные!G778)),DATE(RIGHT(Клиенты_исходные!G778,4),MID(Клиенты_исходные!G778,4,2),LEFT(Клиенты_исходные!G778,2)),DATE(LEFT(Клиенты_исходные!G778,4),MID(Клиенты_исходные!G778,6,2),RIGHT(Клиенты_исходные!G778,2))),Клиенты_исходные!G778)</f>
        <v>52427</v>
      </c>
      <c r="H778">
        <f t="shared" ca="1" si="82"/>
        <v>48</v>
      </c>
      <c r="I778" t="str">
        <f t="shared" si="83"/>
        <v>OK</v>
      </c>
      <c r="J778" t="str">
        <f t="shared" si="84"/>
        <v>OK</v>
      </c>
    </row>
    <row r="779">
      <c r="A779" t="str">
        <f>Клиенты_исходные!A779</f>
        <v>C0778</v>
      </c>
      <c r="B779" t="str">
        <f>PROPER(TRIM(Клиенты_исходные!B779))</f>
        <v xml:space="preserve">Бурцев Илья Александрович</v>
      </c>
      <c r="C779" s="8">
        <f>IFERROR(IF(ISNUMBER(FIND(".",Клиенты_исходные!C779)),DATE(RIGHT(Клиенты_исходные!C779,4),MID(Клиенты_исходные!C779,4,2),LEFT(Клиенты_исходные!C779,2)),DATE(LEFT(Клиенты_исходные!C779,4),MID(Клиенты_исходные!C779,6,2),RIGHT(Клиенты_исходные!C779,2))),Клиенты_исходные!C779)</f>
        <v>30971</v>
      </c>
      <c r="D779" t="str">
        <f>IF(ISBLANK(Клиенты_исходные!D779),"",IF(LEN(SUBSTITUTE(SUBSTITUTE(SUBSTITUTE(SUBSTITUTE(SUBSTITUTE(Клиенты_исходные!D779," ",""),"-",""),"+",""),"(",""),")",""))=11,"+7 ("&amp;MID(IF(LEFT(SUBSTITUTE(SUBSTITUTE(SUBSTITUTE(SUBSTITUTE(SUBSTITUTE(Клиенты_исходные!D779," ",""),"-",""),"+",""),"(",""),")",""))="8","7"&amp;MID(SUBSTITUTE(SUBSTITUTE(SUBSTITUTE(SUBSTITUTE(SUBSTITUTE(Клиенты_исходные!D779," ",""),"-",""),"+",""),"(",""),")",""),2,10),SUBSTITUTE(SUBSTITUTE(SUBSTITUTE(SUBSTITUTE(SUBSTITUTE(Клиенты_исходные!D779," ",""),"-",""),"+",""),"(",""),")","")),2,3)&amp;") "&amp;MID(IF(LEFT(SUBSTITUTE(SUBSTITUTE(SUBSTITUTE(SUBSTITUTE(SUBSTITUTE(Клиенты_исходные!D779," ",""),"-",""),"+",""),"(",""),")",""))="8","7"&amp;MID(SUBSTITUTE(SUBSTITUTE(SUBSTITUTE(SUBSTITUTE(SUBSTITUTE(Клиенты_исходные!D779," ",""),"-",""),"+",""),"(",""),")",""),2,10),SUBSTITUTE(SUBSTITUTE(SUBSTITUTE(SUBSTITUTE(SUBSTITUTE(Клиенты_исходные!D779," ",""),"-",""),"+",""),"(",""),")","")),5,3)&amp;"-"&amp;MID(IF(LEFT(SUBSTITUTE(SUBSTITUTE(SUBSTITUTE(SUBSTITUTE(SUBSTITUTE(Клиенты_исходные!D779," ",""),"-",""),"+",""),"(",""),")",""))="8","7"&amp;MID(SUBSTITUTE(SUBSTITUTE(SUBSTITUTE(SUBSTITUTE(SUBSTITUTE(Клиенты_исходные!D779," ",""),"-",""),"+",""),"(",""),")",""),2,10),SUBSTITUTE(SUBSTITUTE(SUBSTITUTE(SUBSTITUTE(SUBSTITUTE(Клиенты_исходные!D779," ",""),"-",""),"+",""),"(",""),")","")),8,2)&amp;"-"&amp;MID(IF(LEFT(SUBSTITUTE(SUBSTITUTE(SUBSTITUTE(SUBSTITUTE(SUBSTITUTE(Клиенты_исходные!D779," ",""),"-",""),"+",""),"(",""),")",""))="8","7"&amp;MID(SUBSTITUTE(SUBSTITUTE(SUBSTITUTE(SUBSTITUTE(SUBSTITUTE(Клиенты_исходные!D779," ",""),"-",""),"+",""),"(",""),")",""),2,10),SUBSTITUTE(SUBSTITUTE(SUBSTITUTE(SUBSTITUTE(SUBSTITUTE(Клиенты_исходные!D779," ",""),"-",""),"+",""),"(",""),")","")),10,2),IF(LEN(SUBSTITUTE(SUBSTITUTE(SUBSTITUTE(SUBSTITUTE(SUBSTITUTE(Клиенты_исходные!D779," ",""),"-",""),"+",""),"(",""),")",""))=10,"+7 ("&amp;MID(SUBSTITUTE(SUBSTITUTE(SUBSTITUTE(SUBSTITUTE(SUBSTITUTE(Клиенты_исходные!D779," ",""),"-",""),"+",""),"(",""),")",""),1,3)&amp;") "&amp;MID(SUBSTITUTE(SUBSTITUTE(SUBSTITUTE(SUBSTITUTE(SUBSTITUTE(Клиенты_исходные!D779," ",""),"-",""),"+",""),"(",""),")",""),4,3)&amp;"-"&amp;MID(SUBSTITUTE(SUBSTITUTE(SUBSTITUTE(SUBSTITUTE(SUBSTITUTE(Клиенты_исходные!D779," ",""),"-",""),"+",""),"(",""),")",""),6,2)&amp;"-"&amp;MID(SUBSTITUTE(SUBSTITUTE(SUBSTITUTE(SUBSTITUTE(SUBSTITUTE(Клиенты_исходные!D779," ",""),"-",""),"+",""),"(",""),")",""),8,2),Клиенты_исходные!D779)))</f>
        <v xml:space="preserve">+7 (903) 567-89-01</v>
      </c>
      <c r="E779" t="str">
        <f>IF(ISBLANK(Клиенты_исходные!E779),"",IF(ISNUMBER(FIND(".",MID(Клиенты_исходные!E779,FIND("@",Клиенты_исходные!E779)+1,255))),Клиенты_исходные!E779,IF(ISNUMBER(FIND("gmail",Клиенты_исходные!E779)),Клиенты_исходные!E779&amp;".com",Клиенты_исходные!E779&amp;".ru")))</f>
        <v>burtsev@mail.ru</v>
      </c>
      <c r="F779" t="str">
        <f>IFERROR(VLOOKUP(Клиенты_исходные!F779,Справочники!$J$2:$K$50,2,FALSE),Клиенты_исходные!F779)</f>
        <v>Смоленск</v>
      </c>
      <c r="G779" s="8">
        <f>IFERROR(IF(ISNUMBER(FIND(".",Клиенты_исходные!G779)),DATE(RIGHT(Клиенты_исходные!G779,4),MID(Клиенты_исходные!G779,4,2),LEFT(Клиенты_исходные!G779,2)),DATE(LEFT(Клиенты_исходные!G779,4),MID(Клиенты_исходные!G779,6,2),RIGHT(Клиенты_исходные!G779,2))),Клиенты_исходные!G779)</f>
        <v>52444</v>
      </c>
      <c r="H779">
        <f t="shared" ca="1" si="82"/>
        <v>41</v>
      </c>
      <c r="I779" t="str">
        <f t="shared" si="83"/>
        <v>OK</v>
      </c>
      <c r="J779" t="str">
        <f t="shared" si="84"/>
        <v>OK</v>
      </c>
    </row>
    <row r="780">
      <c r="A780" t="str">
        <f>Клиенты_исходные!A780</f>
        <v>C0779</v>
      </c>
      <c r="B780" t="str">
        <f>PROPER(TRIM(Клиенты_исходные!B780))</f>
        <v xml:space="preserve">Илюхина Екатерина Владимировна</v>
      </c>
      <c r="C780" s="8">
        <f>IFERROR(IF(ISNUMBER(FIND(".",Клиенты_исходные!C780)),DATE(RIGHT(Клиенты_исходные!C780,4),MID(Клиенты_исходные!C780,4,2),LEFT(Клиенты_исходные!C780,2)),DATE(LEFT(Клиенты_исходные!C780,4),MID(Клиенты_исходные!C780,6,2),RIGHT(Клиенты_исходные!C780,2))),Клиенты_исходные!C780)</f>
        <v>33257</v>
      </c>
      <c r="D780" t="str">
        <f>IF(ISBLANK(Клиенты_исходные!D780),"",IF(LEN(SUBSTITUTE(SUBSTITUTE(SUBSTITUTE(SUBSTITUTE(SUBSTITUTE(Клиенты_исходные!D780," ",""),"-",""),"+",""),"(",""),")",""))=11,"+7 ("&amp;MID(IF(LEFT(SUBSTITUTE(SUBSTITUTE(SUBSTITUTE(SUBSTITUTE(SUBSTITUTE(Клиенты_исходные!D780," ",""),"-",""),"+",""),"(",""),")",""))="8","7"&amp;MID(SUBSTITUTE(SUBSTITUTE(SUBSTITUTE(SUBSTITUTE(SUBSTITUTE(Клиенты_исходные!D780," ",""),"-",""),"+",""),"(",""),")",""),2,10),SUBSTITUTE(SUBSTITUTE(SUBSTITUTE(SUBSTITUTE(SUBSTITUTE(Клиенты_исходные!D780," ",""),"-",""),"+",""),"(",""),")","")),2,3)&amp;") "&amp;MID(IF(LEFT(SUBSTITUTE(SUBSTITUTE(SUBSTITUTE(SUBSTITUTE(SUBSTITUTE(Клиенты_исходные!D780," ",""),"-",""),"+",""),"(",""),")",""))="8","7"&amp;MID(SUBSTITUTE(SUBSTITUTE(SUBSTITUTE(SUBSTITUTE(SUBSTITUTE(Клиенты_исходные!D780," ",""),"-",""),"+",""),"(",""),")",""),2,10),SUBSTITUTE(SUBSTITUTE(SUBSTITUTE(SUBSTITUTE(SUBSTITUTE(Клиенты_исходные!D780," ",""),"-",""),"+",""),"(",""),")","")),5,3)&amp;"-"&amp;MID(IF(LEFT(SUBSTITUTE(SUBSTITUTE(SUBSTITUTE(SUBSTITUTE(SUBSTITUTE(Клиенты_исходные!D780," ",""),"-",""),"+",""),"(",""),")",""))="8","7"&amp;MID(SUBSTITUTE(SUBSTITUTE(SUBSTITUTE(SUBSTITUTE(SUBSTITUTE(Клиенты_исходные!D780," ",""),"-",""),"+",""),"(",""),")",""),2,10),SUBSTITUTE(SUBSTITUTE(SUBSTITUTE(SUBSTITUTE(SUBSTITUTE(Клиенты_исходные!D780," ",""),"-",""),"+",""),"(",""),")","")),8,2)&amp;"-"&amp;MID(IF(LEFT(SUBSTITUTE(SUBSTITUTE(SUBSTITUTE(SUBSTITUTE(SUBSTITUTE(Клиенты_исходные!D780," ",""),"-",""),"+",""),"(",""),")",""))="8","7"&amp;MID(SUBSTITUTE(SUBSTITUTE(SUBSTITUTE(SUBSTITUTE(SUBSTITUTE(Клиенты_исходные!D780," ",""),"-",""),"+",""),"(",""),")",""),2,10),SUBSTITUTE(SUBSTITUTE(SUBSTITUTE(SUBSTITUTE(SUBSTITUTE(Клиенты_исходные!D780," ",""),"-",""),"+",""),"(",""),")","")),10,2),IF(LEN(SUBSTITUTE(SUBSTITUTE(SUBSTITUTE(SUBSTITUTE(SUBSTITUTE(Клиенты_исходные!D780," ",""),"-",""),"+",""),"(",""),")",""))=10,"+7 ("&amp;MID(SUBSTITUTE(SUBSTITUTE(SUBSTITUTE(SUBSTITUTE(SUBSTITUTE(Клиенты_исходные!D780," ",""),"-",""),"+",""),"(",""),")",""),1,3)&amp;") "&amp;MID(SUBSTITUTE(SUBSTITUTE(SUBSTITUTE(SUBSTITUTE(SUBSTITUTE(Клиенты_исходные!D780," ",""),"-",""),"+",""),"(",""),")",""),4,3)&amp;"-"&amp;MID(SUBSTITUTE(SUBSTITUTE(SUBSTITUTE(SUBSTITUTE(SUBSTITUTE(Клиенты_исходные!D780," ",""),"-",""),"+",""),"(",""),")",""),6,2)&amp;"-"&amp;MID(SUBSTITUTE(SUBSTITUTE(SUBSTITUTE(SUBSTITUTE(SUBSTITUTE(Клиенты_исходные!D780," ",""),"-",""),"+",""),"(",""),")",""),8,2),Клиенты_исходные!D780)))</f>
        <v xml:space="preserve">+7 (903) 567-89-01</v>
      </c>
      <c r="E780" t="str">
        <f>IF(ISBLANK(Клиенты_исходные!E780),"",IF(ISNUMBER(FIND(".",MID(Клиенты_исходные!E780,FIND("@",Клиенты_исходные!E780)+1,255))),Клиенты_исходные!E780,IF(ISNUMBER(FIND("gmail",Клиенты_исходные!E780)),Клиенты_исходные!E780&amp;".com",Клиенты_исходные!E780&amp;".ru")))</f>
        <v>ilyuhina@yandex.ru</v>
      </c>
      <c r="F780" t="str">
        <f>IFERROR(VLOOKUP(Клиенты_исходные!F780,Справочники!$J$2:$K$50,2,FALSE),Клиенты_исходные!F780)</f>
        <v>Тула</v>
      </c>
      <c r="G780" s="8">
        <f>IFERROR(IF(ISNUMBER(FIND(".",Клиенты_исходные!G780)),DATE(RIGHT(Клиенты_исходные!G780,4),MID(Клиенты_исходные!G780,4,2),LEFT(Клиенты_исходные!G780,2)),DATE(LEFT(Клиенты_исходные!G780,4),MID(Клиенты_исходные!G780,6,2),RIGHT(Клиенты_исходные!G780,2))),Клиенты_исходные!G780)</f>
        <v>52453</v>
      </c>
      <c r="H780">
        <f t="shared" ca="1" si="82"/>
        <v>35</v>
      </c>
      <c r="I780" t="str">
        <f t="shared" si="83"/>
        <v>OK</v>
      </c>
      <c r="J780" t="str">
        <f t="shared" si="84"/>
        <v>OK</v>
      </c>
    </row>
    <row r="781">
      <c r="A781" t="str">
        <f>Клиенты_исходные!A781</f>
        <v>C0780</v>
      </c>
      <c r="B781" t="str">
        <f>PROPER(TRIM(Клиенты_исходные!B781))</f>
        <v xml:space="preserve">Груздев Андрей Олегович</v>
      </c>
      <c r="C781" s="8">
        <f>IFERROR(IF(ISNUMBER(FIND(".",Клиенты_исходные!C781)),DATE(RIGHT(Клиенты_исходные!C781,4),MID(Клиенты_исходные!C781,4,2),LEFT(Клиенты_исходные!C781,2)),DATE(LEFT(Клиенты_исходные!C781,4),MID(Клиенты_исходные!C781,6,2),RIGHT(Клиенты_исходные!C781,2))),Клиенты_исходные!C781)</f>
        <v>26809</v>
      </c>
      <c r="D781" t="str">
        <f>IF(ISBLANK(Клиенты_исходные!D781),"",IF(LEN(SUBSTITUTE(SUBSTITUTE(SUBSTITUTE(SUBSTITUTE(SUBSTITUTE(Клиенты_исходные!D781," ",""),"-",""),"+",""),"(",""),")",""))=11,"+7 ("&amp;MID(IF(LEFT(SUBSTITUTE(SUBSTITUTE(SUBSTITUTE(SUBSTITUTE(SUBSTITUTE(Клиенты_исходные!D781," ",""),"-",""),"+",""),"(",""),")",""))="8","7"&amp;MID(SUBSTITUTE(SUBSTITUTE(SUBSTITUTE(SUBSTITUTE(SUBSTITUTE(Клиенты_исходные!D781," ",""),"-",""),"+",""),"(",""),")",""),2,10),SUBSTITUTE(SUBSTITUTE(SUBSTITUTE(SUBSTITUTE(SUBSTITUTE(Клиенты_исходные!D781," ",""),"-",""),"+",""),"(",""),")","")),2,3)&amp;") "&amp;MID(IF(LEFT(SUBSTITUTE(SUBSTITUTE(SUBSTITUTE(SUBSTITUTE(SUBSTITUTE(Клиенты_исходные!D781," ",""),"-",""),"+",""),"(",""),")",""))="8","7"&amp;MID(SUBSTITUTE(SUBSTITUTE(SUBSTITUTE(SUBSTITUTE(SUBSTITUTE(Клиенты_исходные!D781," ",""),"-",""),"+",""),"(",""),")",""),2,10),SUBSTITUTE(SUBSTITUTE(SUBSTITUTE(SUBSTITUTE(SUBSTITUTE(Клиенты_исходные!D781," ",""),"-",""),"+",""),"(",""),")","")),5,3)&amp;"-"&amp;MID(IF(LEFT(SUBSTITUTE(SUBSTITUTE(SUBSTITUTE(SUBSTITUTE(SUBSTITUTE(Клиенты_исходные!D781," ",""),"-",""),"+",""),"(",""),")",""))="8","7"&amp;MID(SUBSTITUTE(SUBSTITUTE(SUBSTITUTE(SUBSTITUTE(SUBSTITUTE(Клиенты_исходные!D781," ",""),"-",""),"+",""),"(",""),")",""),2,10),SUBSTITUTE(SUBSTITUTE(SUBSTITUTE(SUBSTITUTE(SUBSTITUTE(Клиенты_исходные!D781," ",""),"-",""),"+",""),"(",""),")","")),8,2)&amp;"-"&amp;MID(IF(LEFT(SUBSTITUTE(SUBSTITUTE(SUBSTITUTE(SUBSTITUTE(SUBSTITUTE(Клиенты_исходные!D781," ",""),"-",""),"+",""),"(",""),")",""))="8","7"&amp;MID(SUBSTITUTE(SUBSTITUTE(SUBSTITUTE(SUBSTITUTE(SUBSTITUTE(Клиенты_исходные!D781," ",""),"-",""),"+",""),"(",""),")",""),2,10),SUBSTITUTE(SUBSTITUTE(SUBSTITUTE(SUBSTITUTE(SUBSTITUTE(Клиенты_исходные!D781," ",""),"-",""),"+",""),"(",""),")","")),10,2),IF(LEN(SUBSTITUTE(SUBSTITUTE(SUBSTITUTE(SUBSTITUTE(SUBSTITUTE(Клиенты_исходные!D781," ",""),"-",""),"+",""),"(",""),")",""))=10,"+7 ("&amp;MID(SUBSTITUTE(SUBSTITUTE(SUBSTITUTE(SUBSTITUTE(SUBSTITUTE(Клиенты_исходные!D781," ",""),"-",""),"+",""),"(",""),")",""),1,3)&amp;") "&amp;MID(SUBSTITUTE(SUBSTITUTE(SUBSTITUTE(SUBSTITUTE(SUBSTITUTE(Клиенты_исходные!D781," ",""),"-",""),"+",""),"(",""),")",""),4,3)&amp;"-"&amp;MID(SUBSTITUTE(SUBSTITUTE(SUBSTITUTE(SUBSTITUTE(SUBSTITUTE(Клиенты_исходные!D781," ",""),"-",""),"+",""),"(",""),")",""),6,2)&amp;"-"&amp;MID(SUBSTITUTE(SUBSTITUTE(SUBSTITUTE(SUBSTITUTE(SUBSTITUTE(Клиенты_исходные!D781," ",""),"-",""),"+",""),"(",""),")",""),8,2),Клиенты_исходные!D781)))</f>
        <v xml:space="preserve">+7 (903) 678-90-12</v>
      </c>
      <c r="E781" t="str">
        <f>IF(ISBLANK(Клиенты_исходные!E781),"",IF(ISNUMBER(FIND(".",MID(Клиенты_исходные!E781,FIND("@",Клиенты_исходные!E781)+1,255))),Клиенты_исходные!E781,IF(ISNUMBER(FIND("gmail",Клиенты_исходные!E781)),Клиенты_исходные!E781&amp;".com",Клиенты_исходные!E781&amp;".ru")))</f>
        <v>gruzdev@gmail.com</v>
      </c>
      <c r="F781" t="str">
        <f>IFERROR(VLOOKUP(Клиенты_исходные!F781,Справочники!$J$2:$K$50,2,FALSE),Клиенты_исходные!F781)</f>
        <v>Калуга</v>
      </c>
      <c r="G781" s="8">
        <f>IFERROR(IF(ISNUMBER(FIND(".",Клиенты_исходные!G781)),DATE(RIGHT(Клиенты_исходные!G781,4),MID(Клиенты_исходные!G781,4,2),LEFT(Клиенты_исходные!G781,2)),DATE(LEFT(Клиенты_исходные!G781,4),MID(Клиенты_исходные!G781,6,2),RIGHT(Клиенты_исходные!G781,2))),Клиенты_исходные!G781)</f>
        <v>52453</v>
      </c>
      <c r="H781">
        <f t="shared" ca="1" si="82"/>
        <v>53</v>
      </c>
      <c r="I781" t="str">
        <f t="shared" si="83"/>
        <v>OK</v>
      </c>
      <c r="J781" t="str">
        <f t="shared" si="84"/>
        <v>OK</v>
      </c>
    </row>
    <row r="782">
      <c r="A782" t="str">
        <f>Клиенты_исходные!A782</f>
        <v>C0781</v>
      </c>
      <c r="B782" t="str">
        <f>PROPER(TRIM(Клиенты_исходные!B782))</f>
        <v xml:space="preserve">Новикова Мария Павловна</v>
      </c>
      <c r="C782" s="8">
        <f>IFERROR(IF(ISNUMBER(FIND(".",Клиенты_исходные!C782)),DATE(RIGHT(Клиенты_исходные!C782,4),MID(Клиенты_исходные!C782,4,2),LEFT(Клиенты_исходные!C782,2)),DATE(LEFT(Клиенты_исходные!C782,4),MID(Клиенты_исходные!C782,6,2),RIGHT(Клиенты_исходные!C782,2))),Клиенты_исходные!C782)</f>
        <v>30143</v>
      </c>
      <c r="D782" t="str">
        <f>IF(ISBLANK(Клиенты_исходные!D782),"",IF(LEN(SUBSTITUTE(SUBSTITUTE(SUBSTITUTE(SUBSTITUTE(SUBSTITUTE(Клиенты_исходные!D782," ",""),"-",""),"+",""),"(",""),")",""))=11,"+7 ("&amp;MID(IF(LEFT(SUBSTITUTE(SUBSTITUTE(SUBSTITUTE(SUBSTITUTE(SUBSTITUTE(Клиенты_исходные!D782," ",""),"-",""),"+",""),"(",""),")",""))="8","7"&amp;MID(SUBSTITUTE(SUBSTITUTE(SUBSTITUTE(SUBSTITUTE(SUBSTITUTE(Клиенты_исходные!D782," ",""),"-",""),"+",""),"(",""),")",""),2,10),SUBSTITUTE(SUBSTITUTE(SUBSTITUTE(SUBSTITUTE(SUBSTITUTE(Клиенты_исходные!D782," ",""),"-",""),"+",""),"(",""),")","")),2,3)&amp;") "&amp;MID(IF(LEFT(SUBSTITUTE(SUBSTITUTE(SUBSTITUTE(SUBSTITUTE(SUBSTITUTE(Клиенты_исходные!D782," ",""),"-",""),"+",""),"(",""),")",""))="8","7"&amp;MID(SUBSTITUTE(SUBSTITUTE(SUBSTITUTE(SUBSTITUTE(SUBSTITUTE(Клиенты_исходные!D782," ",""),"-",""),"+",""),"(",""),")",""),2,10),SUBSTITUTE(SUBSTITUTE(SUBSTITUTE(SUBSTITUTE(SUBSTITUTE(Клиенты_исходные!D782," ",""),"-",""),"+",""),"(",""),")","")),5,3)&amp;"-"&amp;MID(IF(LEFT(SUBSTITUTE(SUBSTITUTE(SUBSTITUTE(SUBSTITUTE(SUBSTITUTE(Клиенты_исходные!D782," ",""),"-",""),"+",""),"(",""),")",""))="8","7"&amp;MID(SUBSTITUTE(SUBSTITUTE(SUBSTITUTE(SUBSTITUTE(SUBSTITUTE(Клиенты_исходные!D782," ",""),"-",""),"+",""),"(",""),")",""),2,10),SUBSTITUTE(SUBSTITUTE(SUBSTITUTE(SUBSTITUTE(SUBSTITUTE(Клиенты_исходные!D782," ",""),"-",""),"+",""),"(",""),")","")),8,2)&amp;"-"&amp;MID(IF(LEFT(SUBSTITUTE(SUBSTITUTE(SUBSTITUTE(SUBSTITUTE(SUBSTITUTE(Клиенты_исходные!D782," ",""),"-",""),"+",""),"(",""),")",""))="8","7"&amp;MID(SUBSTITUTE(SUBSTITUTE(SUBSTITUTE(SUBSTITUTE(SUBSTITUTE(Клиенты_исходные!D782," ",""),"-",""),"+",""),"(",""),")",""),2,10),SUBSTITUTE(SUBSTITUTE(SUBSTITUTE(SUBSTITUTE(SUBSTITUTE(Клиенты_исходные!D782," ",""),"-",""),"+",""),"(",""),")","")),10,2),IF(LEN(SUBSTITUTE(SUBSTITUTE(SUBSTITUTE(SUBSTITUTE(SUBSTITUTE(Клиенты_исходные!D782," ",""),"-",""),"+",""),"(",""),")",""))=10,"+7 ("&amp;MID(SUBSTITUTE(SUBSTITUTE(SUBSTITUTE(SUBSTITUTE(SUBSTITUTE(Клиенты_исходные!D782," ",""),"-",""),"+",""),"(",""),")",""),1,3)&amp;") "&amp;MID(SUBSTITUTE(SUBSTITUTE(SUBSTITUTE(SUBSTITUTE(SUBSTITUTE(Клиенты_исходные!D782," ",""),"-",""),"+",""),"(",""),")",""),4,3)&amp;"-"&amp;MID(SUBSTITUTE(SUBSTITUTE(SUBSTITUTE(SUBSTITUTE(SUBSTITUTE(Клиенты_исходные!D782," ",""),"-",""),"+",""),"(",""),")",""),6,2)&amp;"-"&amp;MID(SUBSTITUTE(SUBSTITUTE(SUBSTITUTE(SUBSTITUTE(SUBSTITUTE(Клиенты_исходные!D782," ",""),"-",""),"+",""),"(",""),")",""),8,2),Клиенты_исходные!D782)))</f>
        <v xml:space="preserve">+7 (903) 678-90-12</v>
      </c>
      <c r="E782" t="str">
        <f>IF(ISBLANK(Клиенты_исходные!E782),"",IF(ISNUMBER(FIND(".",MID(Клиенты_исходные!E782,FIND("@",Клиенты_исходные!E782)+1,255))),Клиенты_исходные!E782,IF(ISNUMBER(FIND("gmail",Клиенты_исходные!E782)),Клиенты_исходные!E782&amp;".com",Клиенты_исходные!E782&amp;".ru")))</f>
        <v>novikova@mail.ru</v>
      </c>
      <c r="F782" t="str">
        <f>IFERROR(VLOOKUP(Клиенты_исходные!F782,Справочники!$J$2:$K$50,2,FALSE),Клиенты_исходные!F782)</f>
        <v>Владикавказ</v>
      </c>
      <c r="G782" s="8">
        <f>IFERROR(IF(ISNUMBER(FIND(".",Клиенты_исходные!G782)),DATE(RIGHT(Клиенты_исходные!G782,4),MID(Клиенты_исходные!G782,4,2),LEFT(Клиенты_исходные!G782,2)),DATE(LEFT(Клиенты_исходные!G782,4),MID(Клиенты_исходные!G782,6,2),RIGHT(Клиенты_исходные!G782,2))),Клиенты_исходные!G782)</f>
        <v>52475</v>
      </c>
      <c r="H782">
        <f t="shared" ca="1" si="82"/>
        <v>44</v>
      </c>
      <c r="I782" t="str">
        <f t="shared" si="83"/>
        <v>OK</v>
      </c>
      <c r="J782" t="str">
        <f t="shared" si="84"/>
        <v>OK</v>
      </c>
    </row>
    <row r="783">
      <c r="A783" t="str">
        <f>Клиенты_исходные!A783</f>
        <v>C0782</v>
      </c>
      <c r="B783" t="str">
        <f>PROPER(TRIM(Клиенты_исходные!B783))</f>
        <v xml:space="preserve">Куликов Денис Сергеевич</v>
      </c>
      <c r="C783" s="8">
        <f>IFERROR(IF(ISNUMBER(FIND(".",Клиенты_исходные!C783)),DATE(RIGHT(Клиенты_исходные!C783,4),MID(Клиенты_исходные!C783,4,2),LEFT(Клиенты_исходные!C783,2)),DATE(LEFT(Клиенты_исходные!C783,4),MID(Клиенты_исходные!C783,6,2),RIGHT(Клиенты_исходные!C783,2))),Клиенты_исходные!C783)</f>
        <v>32845</v>
      </c>
      <c r="D783" t="str">
        <f>IF(ISBLANK(Клиенты_исходные!D783),"",IF(LEN(SUBSTITUTE(SUBSTITUTE(SUBSTITUTE(SUBSTITUTE(SUBSTITUTE(Клиенты_исходные!D783," ",""),"-",""),"+",""),"(",""),")",""))=11,"+7 ("&amp;MID(IF(LEFT(SUBSTITUTE(SUBSTITUTE(SUBSTITUTE(SUBSTITUTE(SUBSTITUTE(Клиенты_исходные!D783," ",""),"-",""),"+",""),"(",""),")",""))="8","7"&amp;MID(SUBSTITUTE(SUBSTITUTE(SUBSTITUTE(SUBSTITUTE(SUBSTITUTE(Клиенты_исходные!D783," ",""),"-",""),"+",""),"(",""),")",""),2,10),SUBSTITUTE(SUBSTITUTE(SUBSTITUTE(SUBSTITUTE(SUBSTITUTE(Клиенты_исходные!D783," ",""),"-",""),"+",""),"(",""),")","")),2,3)&amp;") "&amp;MID(IF(LEFT(SUBSTITUTE(SUBSTITUTE(SUBSTITUTE(SUBSTITUTE(SUBSTITUTE(Клиенты_исходные!D783," ",""),"-",""),"+",""),"(",""),")",""))="8","7"&amp;MID(SUBSTITUTE(SUBSTITUTE(SUBSTITUTE(SUBSTITUTE(SUBSTITUTE(Клиенты_исходные!D783," ",""),"-",""),"+",""),"(",""),")",""),2,10),SUBSTITUTE(SUBSTITUTE(SUBSTITUTE(SUBSTITUTE(SUBSTITUTE(Клиенты_исходные!D783," ",""),"-",""),"+",""),"(",""),")","")),5,3)&amp;"-"&amp;MID(IF(LEFT(SUBSTITUTE(SUBSTITUTE(SUBSTITUTE(SUBSTITUTE(SUBSTITUTE(Клиенты_исходные!D783," ",""),"-",""),"+",""),"(",""),")",""))="8","7"&amp;MID(SUBSTITUTE(SUBSTITUTE(SUBSTITUTE(SUBSTITUTE(SUBSTITUTE(Клиенты_исходные!D783," ",""),"-",""),"+",""),"(",""),")",""),2,10),SUBSTITUTE(SUBSTITUTE(SUBSTITUTE(SUBSTITUTE(SUBSTITUTE(Клиенты_исходные!D783," ",""),"-",""),"+",""),"(",""),")","")),8,2)&amp;"-"&amp;MID(IF(LEFT(SUBSTITUTE(SUBSTITUTE(SUBSTITUTE(SUBSTITUTE(SUBSTITUTE(Клиенты_исходные!D783," ",""),"-",""),"+",""),"(",""),")",""))="8","7"&amp;MID(SUBSTITUTE(SUBSTITUTE(SUBSTITUTE(SUBSTITUTE(SUBSTITUTE(Клиенты_исходные!D783," ",""),"-",""),"+",""),"(",""),")",""),2,10),SUBSTITUTE(SUBSTITUTE(SUBSTITUTE(SUBSTITUTE(SUBSTITUTE(Клиенты_исходные!D783," ",""),"-",""),"+",""),"(",""),")","")),10,2),IF(LEN(SUBSTITUTE(SUBSTITUTE(SUBSTITUTE(SUBSTITUTE(SUBSTITUTE(Клиенты_исходные!D783," ",""),"-",""),"+",""),"(",""),")",""))=10,"+7 ("&amp;MID(SUBSTITUTE(SUBSTITUTE(SUBSTITUTE(SUBSTITUTE(SUBSTITUTE(Клиенты_исходные!D783," ",""),"-",""),"+",""),"(",""),")",""),1,3)&amp;") "&amp;MID(SUBSTITUTE(SUBSTITUTE(SUBSTITUTE(SUBSTITUTE(SUBSTITUTE(Клиенты_исходные!D783," ",""),"-",""),"+",""),"(",""),")",""),4,3)&amp;"-"&amp;MID(SUBSTITUTE(SUBSTITUTE(SUBSTITUTE(SUBSTITUTE(SUBSTITUTE(Клиенты_исходные!D783," ",""),"-",""),"+",""),"(",""),")",""),6,2)&amp;"-"&amp;MID(SUBSTITUTE(SUBSTITUTE(SUBSTITUTE(SUBSTITUTE(SUBSTITUTE(Клиенты_исходные!D783," ",""),"-",""),"+",""),"(",""),")",""),8,2),Клиенты_исходные!D783)))</f>
        <v xml:space="preserve">+7 (903) 678-90-12</v>
      </c>
      <c r="E783" t="str">
        <f>IF(ISBLANK(Клиенты_исходные!E783),"",IF(ISNUMBER(FIND(".",MID(Клиенты_исходные!E783,FIND("@",Клиенты_исходные!E783)+1,255))),Клиенты_исходные!E783,IF(ISNUMBER(FIND("gmail",Клиенты_исходные!E783)),Клиенты_исходные!E783&amp;".com",Клиенты_исходные!E783&amp;".ru")))</f>
        <v>kulikov@yandex.ru</v>
      </c>
      <c r="F783" t="str">
        <f>IFERROR(VLOOKUP(Клиенты_исходные!F783,Справочники!$J$2:$K$50,2,FALSE),Клиенты_исходные!F783)</f>
        <v>Смоленск</v>
      </c>
      <c r="G783" s="8">
        <f>IFERROR(IF(ISNUMBER(FIND(".",Клиенты_исходные!G783)),DATE(RIGHT(Клиенты_исходные!G783,4),MID(Клиенты_исходные!G783,4,2),LEFT(Клиенты_исходные!G783,2)),DATE(LEFT(Клиенты_исходные!G783,4),MID(Клиенты_исходные!G783,6,2),RIGHT(Клиенты_исходные!G783,2))),Клиенты_исходные!G783)</f>
        <v>52489</v>
      </c>
      <c r="H783">
        <f t="shared" ca="1" si="82"/>
        <v>36</v>
      </c>
      <c r="I783" t="str">
        <f t="shared" si="83"/>
        <v>OK</v>
      </c>
      <c r="J783" t="str">
        <f t="shared" si="84"/>
        <v>OK</v>
      </c>
    </row>
    <row r="784">
      <c r="A784" t="str">
        <f>Клиенты_исходные!A784</f>
        <v>C0783</v>
      </c>
      <c r="B784" t="str">
        <f>PROPER(TRIM(Клиенты_исходные!B784))</f>
        <v xml:space="preserve">Быкова Ольга Владимировна</v>
      </c>
      <c r="C784" s="8">
        <f>IFERROR(IF(ISNUMBER(FIND(".",Клиенты_исходные!C784)),DATE(RIGHT(Клиенты_исходные!C784,4),MID(Клиенты_исходные!C784,4,2),LEFT(Клиенты_исходные!C784,2)),DATE(LEFT(Клиенты_исходные!C784,4),MID(Клиенты_исходные!C784,6,2),RIGHT(Клиенты_исходные!C784,2))),Клиенты_исходные!C784)</f>
        <v>28375</v>
      </c>
      <c r="D784" t="str">
        <f>IF(ISBLANK(Клиенты_исходные!D784),"",IF(LEN(SUBSTITUTE(SUBSTITUTE(SUBSTITUTE(SUBSTITUTE(SUBSTITUTE(Клиенты_исходные!D784," ",""),"-",""),"+",""),"(",""),")",""))=11,"+7 ("&amp;MID(IF(LEFT(SUBSTITUTE(SUBSTITUTE(SUBSTITUTE(SUBSTITUTE(SUBSTITUTE(Клиенты_исходные!D784," ",""),"-",""),"+",""),"(",""),")",""))="8","7"&amp;MID(SUBSTITUTE(SUBSTITUTE(SUBSTITUTE(SUBSTITUTE(SUBSTITUTE(Клиенты_исходные!D784," ",""),"-",""),"+",""),"(",""),")",""),2,10),SUBSTITUTE(SUBSTITUTE(SUBSTITUTE(SUBSTITUTE(SUBSTITUTE(Клиенты_исходные!D784," ",""),"-",""),"+",""),"(",""),")","")),2,3)&amp;") "&amp;MID(IF(LEFT(SUBSTITUTE(SUBSTITUTE(SUBSTITUTE(SUBSTITUTE(SUBSTITUTE(Клиенты_исходные!D784," ",""),"-",""),"+",""),"(",""),")",""))="8","7"&amp;MID(SUBSTITUTE(SUBSTITUTE(SUBSTITUTE(SUBSTITUTE(SUBSTITUTE(Клиенты_исходные!D784," ",""),"-",""),"+",""),"(",""),")",""),2,10),SUBSTITUTE(SUBSTITUTE(SUBSTITUTE(SUBSTITUTE(SUBSTITUTE(Клиенты_исходные!D784," ",""),"-",""),"+",""),"(",""),")","")),5,3)&amp;"-"&amp;MID(IF(LEFT(SUBSTITUTE(SUBSTITUTE(SUBSTITUTE(SUBSTITUTE(SUBSTITUTE(Клиенты_исходные!D784," ",""),"-",""),"+",""),"(",""),")",""))="8","7"&amp;MID(SUBSTITUTE(SUBSTITUTE(SUBSTITUTE(SUBSTITUTE(SUBSTITUTE(Клиенты_исходные!D784," ",""),"-",""),"+",""),"(",""),")",""),2,10),SUBSTITUTE(SUBSTITUTE(SUBSTITUTE(SUBSTITUTE(SUBSTITUTE(Клиенты_исходные!D784," ",""),"-",""),"+",""),"(",""),")","")),8,2)&amp;"-"&amp;MID(IF(LEFT(SUBSTITUTE(SUBSTITUTE(SUBSTITUTE(SUBSTITUTE(SUBSTITUTE(Клиенты_исходные!D784," ",""),"-",""),"+",""),"(",""),")",""))="8","7"&amp;MID(SUBSTITUTE(SUBSTITUTE(SUBSTITUTE(SUBSTITUTE(SUBSTITUTE(Клиенты_исходные!D784," ",""),"-",""),"+",""),"(",""),")",""),2,10),SUBSTITUTE(SUBSTITUTE(SUBSTITUTE(SUBSTITUTE(SUBSTITUTE(Клиенты_исходные!D784," ",""),"-",""),"+",""),"(",""),")","")),10,2),IF(LEN(SUBSTITUTE(SUBSTITUTE(SUBSTITUTE(SUBSTITUTE(SUBSTITUTE(Клиенты_исходные!D784," ",""),"-",""),"+",""),"(",""),")",""))=10,"+7 ("&amp;MID(SUBSTITUTE(SUBSTITUTE(SUBSTITUTE(SUBSTITUTE(SUBSTITUTE(Клиенты_исходные!D784," ",""),"-",""),"+",""),"(",""),")",""),1,3)&amp;") "&amp;MID(SUBSTITUTE(SUBSTITUTE(SUBSTITUTE(SUBSTITUTE(SUBSTITUTE(Клиенты_исходные!D784," ",""),"-",""),"+",""),"(",""),")",""),4,3)&amp;"-"&amp;MID(SUBSTITUTE(SUBSTITUTE(SUBSTITUTE(SUBSTITUTE(SUBSTITUTE(Клиенты_исходные!D784," ",""),"-",""),"+",""),"(",""),")",""),6,2)&amp;"-"&amp;MID(SUBSTITUTE(SUBSTITUTE(SUBSTITUTE(SUBSTITUTE(SUBSTITUTE(Клиенты_исходные!D784," ",""),"-",""),"+",""),"(",""),")",""),8,2),Клиенты_исходные!D784)))</f>
        <v xml:space="preserve">+7 (903) 789-01-23</v>
      </c>
      <c r="E784" t="str">
        <f>IF(ISBLANK(Клиенты_исходные!E784),"",IF(ISNUMBER(FIND(".",MID(Клиенты_исходные!E784,FIND("@",Клиенты_исходные!E784)+1,255))),Клиенты_исходные!E784,IF(ISNUMBER(FIND("gmail",Клиенты_исходные!E784)),Клиенты_исходные!E784&amp;".com",Клиенты_исходные!E784&amp;".ru")))</f>
        <v>bykova@gmail.com</v>
      </c>
      <c r="F784" t="str">
        <f>IFERROR(VLOOKUP(Клиенты_исходные!F784,Справочники!$J$2:$K$50,2,FALSE),Клиенты_исходные!F784)</f>
        <v>Белгород</v>
      </c>
      <c r="G784" s="8">
        <f>IFERROR(IF(ISNUMBER(FIND(".",Клиенты_исходные!G784)),DATE(RIGHT(Клиенты_исходные!G784,4),MID(Клиенты_исходные!G784,4,2),LEFT(Клиенты_исходные!G784,2)),DATE(LEFT(Клиенты_исходные!G784,4),MID(Клиенты_исходные!G784,6,2),RIGHT(Клиенты_исходные!G784,2))),Клиенты_исходные!G784)</f>
        <v>52489</v>
      </c>
      <c r="H784">
        <f t="shared" ca="1" si="82"/>
        <v>49</v>
      </c>
      <c r="I784" t="str">
        <f t="shared" si="83"/>
        <v>OK</v>
      </c>
      <c r="J784" t="str">
        <f t="shared" si="84"/>
        <v>OK</v>
      </c>
    </row>
    <row r="785">
      <c r="A785" t="str">
        <f>Клиенты_исходные!A785</f>
        <v>C0784</v>
      </c>
      <c r="B785" t="str">
        <f>PROPER(TRIM(Клиенты_исходные!B785))</f>
        <v xml:space="preserve">Щеглов Илья Алексеевич</v>
      </c>
      <c r="C785" s="8">
        <f>IFERROR(IF(ISNUMBER(FIND(".",Клиенты_исходные!C785)),DATE(RIGHT(Клиенты_исходные!C785,4),MID(Клиенты_исходные!C785,4,2),LEFT(Клиенты_исходные!C785,2)),DATE(LEFT(Клиенты_исходные!C785,4),MID(Клиенты_исходные!C785,6,2),RIGHT(Клиенты_исходные!C785,2))),Клиенты_исходные!C785)</f>
        <v>31069</v>
      </c>
      <c r="D785" t="str">
        <f>IF(ISBLANK(Клиенты_исходные!D785),"",IF(LEN(SUBSTITUTE(SUBSTITUTE(SUBSTITUTE(SUBSTITUTE(SUBSTITUTE(Клиенты_исходные!D785," ",""),"-",""),"+",""),"(",""),")",""))=11,"+7 ("&amp;MID(IF(LEFT(SUBSTITUTE(SUBSTITUTE(SUBSTITUTE(SUBSTITUTE(SUBSTITUTE(Клиенты_исходные!D785," ",""),"-",""),"+",""),"(",""),")",""))="8","7"&amp;MID(SUBSTITUTE(SUBSTITUTE(SUBSTITUTE(SUBSTITUTE(SUBSTITUTE(Клиенты_исходные!D785," ",""),"-",""),"+",""),"(",""),")",""),2,10),SUBSTITUTE(SUBSTITUTE(SUBSTITUTE(SUBSTITUTE(SUBSTITUTE(Клиенты_исходные!D785," ",""),"-",""),"+",""),"(",""),")","")),2,3)&amp;") "&amp;MID(IF(LEFT(SUBSTITUTE(SUBSTITUTE(SUBSTITUTE(SUBSTITUTE(SUBSTITUTE(Клиенты_исходные!D785," ",""),"-",""),"+",""),"(",""),")",""))="8","7"&amp;MID(SUBSTITUTE(SUBSTITUTE(SUBSTITUTE(SUBSTITUTE(SUBSTITUTE(Клиенты_исходные!D785," ",""),"-",""),"+",""),"(",""),")",""),2,10),SUBSTITUTE(SUBSTITUTE(SUBSTITUTE(SUBSTITUTE(SUBSTITUTE(Клиенты_исходные!D785," ",""),"-",""),"+",""),"(",""),")","")),5,3)&amp;"-"&amp;MID(IF(LEFT(SUBSTITUTE(SUBSTITUTE(SUBSTITUTE(SUBSTITUTE(SUBSTITUTE(Клиенты_исходные!D785," ",""),"-",""),"+",""),"(",""),")",""))="8","7"&amp;MID(SUBSTITUTE(SUBSTITUTE(SUBSTITUTE(SUBSTITUTE(SUBSTITUTE(Клиенты_исходные!D785," ",""),"-",""),"+",""),"(",""),")",""),2,10),SUBSTITUTE(SUBSTITUTE(SUBSTITUTE(SUBSTITUTE(SUBSTITUTE(Клиенты_исходные!D785," ",""),"-",""),"+",""),"(",""),")","")),8,2)&amp;"-"&amp;MID(IF(LEFT(SUBSTITUTE(SUBSTITUTE(SUBSTITUTE(SUBSTITUTE(SUBSTITUTE(Клиенты_исходные!D785," ",""),"-",""),"+",""),"(",""),")",""))="8","7"&amp;MID(SUBSTITUTE(SUBSTITUTE(SUBSTITUTE(SUBSTITUTE(SUBSTITUTE(Клиенты_исходные!D785," ",""),"-",""),"+",""),"(",""),")",""),2,10),SUBSTITUTE(SUBSTITUTE(SUBSTITUTE(SUBSTITUTE(SUBSTITUTE(Клиенты_исходные!D785," ",""),"-",""),"+",""),"(",""),")","")),10,2),IF(LEN(SUBSTITUTE(SUBSTITUTE(SUBSTITUTE(SUBSTITUTE(SUBSTITUTE(Клиенты_исходные!D785," ",""),"-",""),"+",""),"(",""),")",""))=10,"+7 ("&amp;MID(SUBSTITUTE(SUBSTITUTE(SUBSTITUTE(SUBSTITUTE(SUBSTITUTE(Клиенты_исходные!D785," ",""),"-",""),"+",""),"(",""),")",""),1,3)&amp;") "&amp;MID(SUBSTITUTE(SUBSTITUTE(SUBSTITUTE(SUBSTITUTE(SUBSTITUTE(Клиенты_исходные!D785," ",""),"-",""),"+",""),"(",""),")",""),4,3)&amp;"-"&amp;MID(SUBSTITUTE(SUBSTITUTE(SUBSTITUTE(SUBSTITUTE(SUBSTITUTE(Клиенты_исходные!D785," ",""),"-",""),"+",""),"(",""),")",""),6,2)&amp;"-"&amp;MID(SUBSTITUTE(SUBSTITUTE(SUBSTITUTE(SUBSTITUTE(SUBSTITUTE(Клиенты_исходные!D785," ",""),"-",""),"+",""),"(",""),")",""),8,2),Клиенты_исходные!D785)))</f>
        <v xml:space="preserve">+7 (903) 789-01-23</v>
      </c>
      <c r="E785" t="str">
        <f>IF(ISBLANK(Клиенты_исходные!E785),"",IF(ISNUMBER(FIND(".",MID(Клиенты_исходные!E785,FIND("@",Клиенты_исходные!E785)+1,255))),Клиенты_исходные!E785,IF(ISNUMBER(FIND("gmail",Клиенты_исходные!E785)),Клиенты_исходные!E785&amp;".com",Клиенты_исходные!E785&amp;".ru")))</f>
        <v>scheglov@mail.ru</v>
      </c>
      <c r="F785" t="str">
        <f>IFERROR(VLOOKUP(Клиенты_исходные!F785,Справочники!$J$2:$K$50,2,FALSE),Клиенты_исходные!F785)</f>
        <v>Мурманск</v>
      </c>
      <c r="G785" s="8">
        <f>IFERROR(IF(ISNUMBER(FIND(".",Клиенты_исходные!G785)),DATE(RIGHT(Клиенты_исходные!G785,4),MID(Клиенты_исходные!G785,4,2),LEFT(Клиенты_исходные!G785,2)),DATE(LEFT(Клиенты_исходные!G785,4),MID(Клиенты_исходные!G785,6,2),RIGHT(Клиенты_исходные!G785,2))),Клиенты_исходные!G785)</f>
        <v>52505</v>
      </c>
      <c r="H785">
        <f t="shared" ca="1" si="82"/>
        <v>41</v>
      </c>
      <c r="I785" t="str">
        <f t="shared" si="83"/>
        <v>OK</v>
      </c>
      <c r="J785" t="str">
        <f t="shared" si="84"/>
        <v>OK</v>
      </c>
    </row>
    <row r="786">
      <c r="A786" t="str">
        <f>Клиенты_исходные!A786</f>
        <v>C0785</v>
      </c>
      <c r="B786" t="str">
        <f>PROPER(TRIM(Клиенты_исходные!B786))</f>
        <v xml:space="preserve">Коровина Екатерина Сергеевна</v>
      </c>
      <c r="C786" s="8">
        <f>IFERROR(IF(ISNUMBER(FIND(".",Клиенты_исходные!C786)),DATE(RIGHT(Клиенты_исходные!C786,4),MID(Клиенты_исходные!C786,4,2),LEFT(Клиенты_исходные!C786,2)),DATE(LEFT(Клиенты_исходные!C786,4),MID(Клиенты_исходные!C786,6,2),RIGHT(Клиенты_исходные!C786,2))),Клиенты_исходные!C786)</f>
        <v>33932</v>
      </c>
      <c r="D786" t="str">
        <f>IF(ISBLANK(Клиенты_исходные!D786),"",IF(LEN(SUBSTITUTE(SUBSTITUTE(SUBSTITUTE(SUBSTITUTE(SUBSTITUTE(Клиенты_исходные!D786," ",""),"-",""),"+",""),"(",""),")",""))=11,"+7 ("&amp;MID(IF(LEFT(SUBSTITUTE(SUBSTITUTE(SUBSTITUTE(SUBSTITUTE(SUBSTITUTE(Клиенты_исходные!D786," ",""),"-",""),"+",""),"(",""),")",""))="8","7"&amp;MID(SUBSTITUTE(SUBSTITUTE(SUBSTITUTE(SUBSTITUTE(SUBSTITUTE(Клиенты_исходные!D786," ",""),"-",""),"+",""),"(",""),")",""),2,10),SUBSTITUTE(SUBSTITUTE(SUBSTITUTE(SUBSTITUTE(SUBSTITUTE(Клиенты_исходные!D786," ",""),"-",""),"+",""),"(",""),")","")),2,3)&amp;") "&amp;MID(IF(LEFT(SUBSTITUTE(SUBSTITUTE(SUBSTITUTE(SUBSTITUTE(SUBSTITUTE(Клиенты_исходные!D786," ",""),"-",""),"+",""),"(",""),")",""))="8","7"&amp;MID(SUBSTITUTE(SUBSTITUTE(SUBSTITUTE(SUBSTITUTE(SUBSTITUTE(Клиенты_исходные!D786," ",""),"-",""),"+",""),"(",""),")",""),2,10),SUBSTITUTE(SUBSTITUTE(SUBSTITUTE(SUBSTITUTE(SUBSTITUTE(Клиенты_исходные!D786," ",""),"-",""),"+",""),"(",""),")","")),5,3)&amp;"-"&amp;MID(IF(LEFT(SUBSTITUTE(SUBSTITUTE(SUBSTITUTE(SUBSTITUTE(SUBSTITUTE(Клиенты_исходные!D786," ",""),"-",""),"+",""),"(",""),")",""))="8","7"&amp;MID(SUBSTITUTE(SUBSTITUTE(SUBSTITUTE(SUBSTITUTE(SUBSTITUTE(Клиенты_исходные!D786," ",""),"-",""),"+",""),"(",""),")",""),2,10),SUBSTITUTE(SUBSTITUTE(SUBSTITUTE(SUBSTITUTE(SUBSTITUTE(Клиенты_исходные!D786," ",""),"-",""),"+",""),"(",""),")","")),8,2)&amp;"-"&amp;MID(IF(LEFT(SUBSTITUTE(SUBSTITUTE(SUBSTITUTE(SUBSTITUTE(SUBSTITUTE(Клиенты_исходные!D786," ",""),"-",""),"+",""),"(",""),")",""))="8","7"&amp;MID(SUBSTITUTE(SUBSTITUTE(SUBSTITUTE(SUBSTITUTE(SUBSTITUTE(Клиенты_исходные!D786," ",""),"-",""),"+",""),"(",""),")",""),2,10),SUBSTITUTE(SUBSTITUTE(SUBSTITUTE(SUBSTITUTE(SUBSTITUTE(Клиенты_исходные!D786," ",""),"-",""),"+",""),"(",""),")","")),10,2),IF(LEN(SUBSTITUTE(SUBSTITUTE(SUBSTITUTE(SUBSTITUTE(SUBSTITUTE(Клиенты_исходные!D786," ",""),"-",""),"+",""),"(",""),")",""))=10,"+7 ("&amp;MID(SUBSTITUTE(SUBSTITUTE(SUBSTITUTE(SUBSTITUTE(SUBSTITUTE(Клиенты_исходные!D786," ",""),"-",""),"+",""),"(",""),")",""),1,3)&amp;") "&amp;MID(SUBSTITUTE(SUBSTITUTE(SUBSTITUTE(SUBSTITUTE(SUBSTITUTE(Клиенты_исходные!D786," ",""),"-",""),"+",""),"(",""),")",""),4,3)&amp;"-"&amp;MID(SUBSTITUTE(SUBSTITUTE(SUBSTITUTE(SUBSTITUTE(SUBSTITUTE(Клиенты_исходные!D786," ",""),"-",""),"+",""),"(",""),")",""),6,2)&amp;"-"&amp;MID(SUBSTITUTE(SUBSTITUTE(SUBSTITUTE(SUBSTITUTE(SUBSTITUTE(Клиенты_исходные!D786," ",""),"-",""),"+",""),"(",""),")",""),8,2),Клиенты_исходные!D786)))</f>
        <v xml:space="preserve">+7 (903) 789-01-23</v>
      </c>
      <c r="E786" t="str">
        <f>IF(ISBLANK(Клиенты_исходные!E786),"",IF(ISNUMBER(FIND(".",MID(Клиенты_исходные!E786,FIND("@",Клиенты_исходные!E786)+1,255))),Клиенты_исходные!E786,IF(ISNUMBER(FIND("gmail",Клиенты_исходные!E786)),Клиенты_исходные!E786&amp;".com",Клиенты_исходные!E786&amp;".ru")))</f>
        <v>korovina@yandex.ru</v>
      </c>
      <c r="F786" t="str">
        <f>IFERROR(VLOOKUP(Клиенты_исходные!F786,Справочники!$J$2:$K$50,2,FALSE),Клиенты_исходные!F786)</f>
        <v>Ставрополь</v>
      </c>
      <c r="G786" s="8">
        <f>IFERROR(IF(ISNUMBER(FIND(".",Клиенты_исходные!G786)),DATE(RIGHT(Клиенты_исходные!G786,4),MID(Клиенты_исходные!G786,4,2),LEFT(Клиенты_исходные!G786,2)),DATE(LEFT(Клиенты_исходные!G786,4),MID(Клиенты_исходные!G786,6,2),RIGHT(Клиенты_исходные!G786,2))),Клиенты_исходные!G786)</f>
        <v>52514</v>
      </c>
      <c r="H786">
        <f t="shared" ca="1" si="82"/>
        <v>33</v>
      </c>
      <c r="I786" t="str">
        <f t="shared" si="83"/>
        <v>OK</v>
      </c>
      <c r="J786" t="str">
        <f t="shared" si="84"/>
        <v>OK</v>
      </c>
    </row>
    <row r="787">
      <c r="A787" t="str">
        <f>Клиенты_исходные!A787</f>
        <v>C0786</v>
      </c>
      <c r="B787" t="str">
        <f>PROPER(TRIM(Клиенты_исходные!B787))</f>
        <v xml:space="preserve">Денисов Андрей Олегович</v>
      </c>
      <c r="C787" s="8">
        <f>IFERROR(IF(ISNUMBER(FIND(".",Клиенты_исходные!C787)),DATE(RIGHT(Клиенты_исходные!C787,4),MID(Клиенты_исходные!C787,4,2),LEFT(Клиенты_исходные!C787,2)),DATE(LEFT(Клиенты_исходные!C787,4),MID(Клиенты_исходные!C787,6,2),RIGHT(Клиенты_исходные!C787,2))),Клиенты_исходные!C787)</f>
        <v>27913</v>
      </c>
      <c r="D787" t="str">
        <f>IF(ISBLANK(Клиенты_исходные!D787),"",IF(LEN(SUBSTITUTE(SUBSTITUTE(SUBSTITUTE(SUBSTITUTE(SUBSTITUTE(Клиенты_исходные!D787," ",""),"-",""),"+",""),"(",""),")",""))=11,"+7 ("&amp;MID(IF(LEFT(SUBSTITUTE(SUBSTITUTE(SUBSTITUTE(SUBSTITUTE(SUBSTITUTE(Клиенты_исходные!D787," ",""),"-",""),"+",""),"(",""),")",""))="8","7"&amp;MID(SUBSTITUTE(SUBSTITUTE(SUBSTITUTE(SUBSTITUTE(SUBSTITUTE(Клиенты_исходные!D787," ",""),"-",""),"+",""),"(",""),")",""),2,10),SUBSTITUTE(SUBSTITUTE(SUBSTITUTE(SUBSTITUTE(SUBSTITUTE(Клиенты_исходные!D787," ",""),"-",""),"+",""),"(",""),")","")),2,3)&amp;") "&amp;MID(IF(LEFT(SUBSTITUTE(SUBSTITUTE(SUBSTITUTE(SUBSTITUTE(SUBSTITUTE(Клиенты_исходные!D787," ",""),"-",""),"+",""),"(",""),")",""))="8","7"&amp;MID(SUBSTITUTE(SUBSTITUTE(SUBSTITUTE(SUBSTITUTE(SUBSTITUTE(Клиенты_исходные!D787," ",""),"-",""),"+",""),"(",""),")",""),2,10),SUBSTITUTE(SUBSTITUTE(SUBSTITUTE(SUBSTITUTE(SUBSTITUTE(Клиенты_исходные!D787," ",""),"-",""),"+",""),"(",""),")","")),5,3)&amp;"-"&amp;MID(IF(LEFT(SUBSTITUTE(SUBSTITUTE(SUBSTITUTE(SUBSTITUTE(SUBSTITUTE(Клиенты_исходные!D787," ",""),"-",""),"+",""),"(",""),")",""))="8","7"&amp;MID(SUBSTITUTE(SUBSTITUTE(SUBSTITUTE(SUBSTITUTE(SUBSTITUTE(Клиенты_исходные!D787," ",""),"-",""),"+",""),"(",""),")",""),2,10),SUBSTITUTE(SUBSTITUTE(SUBSTITUTE(SUBSTITUTE(SUBSTITUTE(Клиенты_исходные!D787," ",""),"-",""),"+",""),"(",""),")","")),8,2)&amp;"-"&amp;MID(IF(LEFT(SUBSTITUTE(SUBSTITUTE(SUBSTITUTE(SUBSTITUTE(SUBSTITUTE(Клиенты_исходные!D787," ",""),"-",""),"+",""),"(",""),")",""))="8","7"&amp;MID(SUBSTITUTE(SUBSTITUTE(SUBSTITUTE(SUBSTITUTE(SUBSTITUTE(Клиенты_исходные!D787," ",""),"-",""),"+",""),"(",""),")",""),2,10),SUBSTITUTE(SUBSTITUTE(SUBSTITUTE(SUBSTITUTE(SUBSTITUTE(Клиенты_исходные!D787," ",""),"-",""),"+",""),"(",""),")","")),10,2),IF(LEN(SUBSTITUTE(SUBSTITUTE(SUBSTITUTE(SUBSTITUTE(SUBSTITUTE(Клиенты_исходные!D787," ",""),"-",""),"+",""),"(",""),")",""))=10,"+7 ("&amp;MID(SUBSTITUTE(SUBSTITUTE(SUBSTITUTE(SUBSTITUTE(SUBSTITUTE(Клиенты_исходные!D787," ",""),"-",""),"+",""),"(",""),")",""),1,3)&amp;") "&amp;MID(SUBSTITUTE(SUBSTITUTE(SUBSTITUTE(SUBSTITUTE(SUBSTITUTE(Клиенты_исходные!D787," ",""),"-",""),"+",""),"(",""),")",""),4,3)&amp;"-"&amp;MID(SUBSTITUTE(SUBSTITUTE(SUBSTITUTE(SUBSTITUTE(SUBSTITUTE(Клиенты_исходные!D787," ",""),"-",""),"+",""),"(",""),")",""),6,2)&amp;"-"&amp;MID(SUBSTITUTE(SUBSTITUTE(SUBSTITUTE(SUBSTITUTE(SUBSTITUTE(Клиенты_исходные!D787," ",""),"-",""),"+",""),"(",""),")",""),8,2),Клиенты_исходные!D787)))</f>
        <v xml:space="preserve">+7 (903) 890-12-34</v>
      </c>
      <c r="E787" t="str">
        <f>IF(ISBLANK(Клиенты_исходные!E787),"",IF(ISNUMBER(FIND(".",MID(Клиенты_исходные!E787,FIND("@",Клиенты_исходные!E787)+1,255))),Клиенты_исходные!E787,IF(ISNUMBER(FIND("gmail",Клиенты_исходные!E787)),Клиенты_исходные!E787&amp;".com",Клиенты_исходные!E787&amp;".ru")))</f>
        <v>denisov@gmail.com</v>
      </c>
      <c r="F787" t="str">
        <f>IFERROR(VLOOKUP(Клиенты_исходные!F787,Справочники!$J$2:$K$50,2,FALSE),Клиенты_исходные!F787)</f>
        <v>Севастополь</v>
      </c>
      <c r="G787" s="8">
        <f>IFERROR(IF(ISNUMBER(FIND(".",Клиенты_исходные!G787)),DATE(RIGHT(Клиенты_исходные!G787,4),MID(Клиенты_исходные!G787,4,2),LEFT(Клиенты_исходные!G787,2)),DATE(LEFT(Клиенты_исходные!G787,4),MID(Клиенты_исходные!G787,6,2),RIGHT(Клиенты_исходные!G787,2))),Клиенты_исходные!G787)</f>
        <v>52514</v>
      </c>
      <c r="H787">
        <f t="shared" ca="1" si="82"/>
        <v>50</v>
      </c>
      <c r="I787" t="str">
        <f t="shared" si="83"/>
        <v>OK</v>
      </c>
      <c r="J787" t="str">
        <f t="shared" si="84"/>
        <v>OK</v>
      </c>
    </row>
    <row r="788">
      <c r="A788" t="str">
        <f>Клиенты_исходные!A788</f>
        <v>C0787</v>
      </c>
      <c r="B788" t="str">
        <f>PROPER(TRIM(Клиенты_исходные!B788))</f>
        <v xml:space="preserve">Ковалева Мария Павловна</v>
      </c>
      <c r="C788" s="8">
        <f>IFERROR(IF(ISNUMBER(FIND(".",Клиенты_исходные!C788)),DATE(RIGHT(Клиенты_исходные!C788,4),MID(Клиенты_исходные!C788,4,2),LEFT(Клиенты_исходные!C788,2)),DATE(LEFT(Клиенты_исходные!C788,4),MID(Клиенты_исходные!C788,6,2),RIGHT(Клиенты_исходные!C788,2))),Клиенты_исходные!C788)</f>
        <v>30607</v>
      </c>
      <c r="D788" t="str">
        <f>IF(ISBLANK(Клиенты_исходные!D788),"",IF(LEN(SUBSTITUTE(SUBSTITUTE(SUBSTITUTE(SUBSTITUTE(SUBSTITUTE(Клиенты_исходные!D788," ",""),"-",""),"+",""),"(",""),")",""))=11,"+7 ("&amp;MID(IF(LEFT(SUBSTITUTE(SUBSTITUTE(SUBSTITUTE(SUBSTITUTE(SUBSTITUTE(Клиенты_исходные!D788," ",""),"-",""),"+",""),"(",""),")",""))="8","7"&amp;MID(SUBSTITUTE(SUBSTITUTE(SUBSTITUTE(SUBSTITUTE(SUBSTITUTE(Клиенты_исходные!D788," ",""),"-",""),"+",""),"(",""),")",""),2,10),SUBSTITUTE(SUBSTITUTE(SUBSTITUTE(SUBSTITUTE(SUBSTITUTE(Клиенты_исходные!D788," ",""),"-",""),"+",""),"(",""),")","")),2,3)&amp;") "&amp;MID(IF(LEFT(SUBSTITUTE(SUBSTITUTE(SUBSTITUTE(SUBSTITUTE(SUBSTITUTE(Клиенты_исходные!D788," ",""),"-",""),"+",""),"(",""),")",""))="8","7"&amp;MID(SUBSTITUTE(SUBSTITUTE(SUBSTITUTE(SUBSTITUTE(SUBSTITUTE(Клиенты_исходные!D788," ",""),"-",""),"+",""),"(",""),")",""),2,10),SUBSTITUTE(SUBSTITUTE(SUBSTITUTE(SUBSTITUTE(SUBSTITUTE(Клиенты_исходные!D788," ",""),"-",""),"+",""),"(",""),")","")),5,3)&amp;"-"&amp;MID(IF(LEFT(SUBSTITUTE(SUBSTITUTE(SUBSTITUTE(SUBSTITUTE(SUBSTITUTE(Клиенты_исходные!D788," ",""),"-",""),"+",""),"(",""),")",""))="8","7"&amp;MID(SUBSTITUTE(SUBSTITUTE(SUBSTITUTE(SUBSTITUTE(SUBSTITUTE(Клиенты_исходные!D788," ",""),"-",""),"+",""),"(",""),")",""),2,10),SUBSTITUTE(SUBSTITUTE(SUBSTITUTE(SUBSTITUTE(SUBSTITUTE(Клиенты_исходные!D788," ",""),"-",""),"+",""),"(",""),")","")),8,2)&amp;"-"&amp;MID(IF(LEFT(SUBSTITUTE(SUBSTITUTE(SUBSTITUTE(SUBSTITUTE(SUBSTITUTE(Клиенты_исходные!D788," ",""),"-",""),"+",""),"(",""),")",""))="8","7"&amp;MID(SUBSTITUTE(SUBSTITUTE(SUBSTITUTE(SUBSTITUTE(SUBSTITUTE(Клиенты_исходные!D788," ",""),"-",""),"+",""),"(",""),")",""),2,10),SUBSTITUTE(SUBSTITUTE(SUBSTITUTE(SUBSTITUTE(SUBSTITUTE(Клиенты_исходные!D788," ",""),"-",""),"+",""),"(",""),")","")),10,2),IF(LEN(SUBSTITUTE(SUBSTITUTE(SUBSTITUTE(SUBSTITUTE(SUBSTITUTE(Клиенты_исходные!D788," ",""),"-",""),"+",""),"(",""),")",""))=10,"+7 ("&amp;MID(SUBSTITUTE(SUBSTITUTE(SUBSTITUTE(SUBSTITUTE(SUBSTITUTE(Клиенты_исходные!D788," ",""),"-",""),"+",""),"(",""),")",""),1,3)&amp;") "&amp;MID(SUBSTITUTE(SUBSTITUTE(SUBSTITUTE(SUBSTITUTE(SUBSTITUTE(Клиенты_исходные!D788," ",""),"-",""),"+",""),"(",""),")",""),4,3)&amp;"-"&amp;MID(SUBSTITUTE(SUBSTITUTE(SUBSTITUTE(SUBSTITUTE(SUBSTITUTE(Клиенты_исходные!D788," ",""),"-",""),"+",""),"(",""),")",""),6,2)&amp;"-"&amp;MID(SUBSTITUTE(SUBSTITUTE(SUBSTITUTE(SUBSTITUTE(SUBSTITUTE(Клиенты_исходные!D788," ",""),"-",""),"+",""),"(",""),")",""),8,2),Клиенты_исходные!D788)))</f>
        <v xml:space="preserve">+7 (903) 890-12-34</v>
      </c>
      <c r="E788" t="str">
        <f>IF(ISBLANK(Клиенты_исходные!E788),"",IF(ISNUMBER(FIND(".",MID(Клиенты_исходные!E788,FIND("@",Клиенты_исходные!E788)+1,255))),Клиенты_исходные!E788,IF(ISNUMBER(FIND("gmail",Клиенты_исходные!E788)),Клиенты_исходные!E788&amp;".com",Клиенты_исходные!E788&amp;".ru")))</f>
        <v>kovaleva@mail.ru</v>
      </c>
      <c r="F788" t="str">
        <f>IFERROR(VLOOKUP(Клиенты_исходные!F788,Справочники!$J$2:$K$50,2,FALSE),Клиенты_исходные!F788)</f>
        <v>Сочи</v>
      </c>
      <c r="G788" s="8">
        <f>IFERROR(IF(ISNUMBER(FIND(".",Клиенты_исходные!G788)),DATE(RIGHT(Клиенты_исходные!G788,4),MID(Клиенты_исходные!G788,4,2),LEFT(Клиенты_исходные!G788,2)),DATE(LEFT(Клиенты_исходные!G788,4),MID(Клиенты_исходные!G788,6,2),RIGHT(Клиенты_исходные!G788,2))),Клиенты_исходные!G788)</f>
        <v>52536</v>
      </c>
      <c r="H788">
        <f t="shared" ca="1" si="82"/>
        <v>42</v>
      </c>
      <c r="I788" t="str">
        <f t="shared" si="83"/>
        <v>OK</v>
      </c>
      <c r="J788" t="str">
        <f t="shared" si="84"/>
        <v>OK</v>
      </c>
    </row>
    <row r="789">
      <c r="A789" t="str">
        <f>Клиенты_исходные!A789</f>
        <v>C0788</v>
      </c>
      <c r="B789" t="str">
        <f>PROPER(TRIM(Клиенты_исходные!B789))</f>
        <v xml:space="preserve">Сердюков Денис Викторович</v>
      </c>
      <c r="C789" s="8">
        <f>IFERROR(IF(ISNUMBER(FIND(".",Клиенты_исходные!C789)),DATE(RIGHT(Клиенты_исходные!C789,4),MID(Клиенты_исходные!C789,4,2),LEFT(Клиенты_исходные!C789,2)),DATE(LEFT(Клиенты_исходные!C789,4),MID(Клиенты_исходные!C789,6,2),RIGHT(Клиенты_исходные!C789,2))),Клиенты_исходные!C789)</f>
        <v>32941</v>
      </c>
      <c r="D789" t="str">
        <f>IF(ISBLANK(Клиенты_исходные!D789),"",IF(LEN(SUBSTITUTE(SUBSTITUTE(SUBSTITUTE(SUBSTITUTE(SUBSTITUTE(Клиенты_исходные!D789," ",""),"-",""),"+",""),"(",""),")",""))=11,"+7 ("&amp;MID(IF(LEFT(SUBSTITUTE(SUBSTITUTE(SUBSTITUTE(SUBSTITUTE(SUBSTITUTE(Клиенты_исходные!D789," ",""),"-",""),"+",""),"(",""),")",""))="8","7"&amp;MID(SUBSTITUTE(SUBSTITUTE(SUBSTITUTE(SUBSTITUTE(SUBSTITUTE(Клиенты_исходные!D789," ",""),"-",""),"+",""),"(",""),")",""),2,10),SUBSTITUTE(SUBSTITUTE(SUBSTITUTE(SUBSTITUTE(SUBSTITUTE(Клиенты_исходные!D789," ",""),"-",""),"+",""),"(",""),")","")),2,3)&amp;") "&amp;MID(IF(LEFT(SUBSTITUTE(SUBSTITUTE(SUBSTITUTE(SUBSTITUTE(SUBSTITUTE(Клиенты_исходные!D789," ",""),"-",""),"+",""),"(",""),")",""))="8","7"&amp;MID(SUBSTITUTE(SUBSTITUTE(SUBSTITUTE(SUBSTITUTE(SUBSTITUTE(Клиенты_исходные!D789," ",""),"-",""),"+",""),"(",""),")",""),2,10),SUBSTITUTE(SUBSTITUTE(SUBSTITUTE(SUBSTITUTE(SUBSTITUTE(Клиенты_исходные!D789," ",""),"-",""),"+",""),"(",""),")","")),5,3)&amp;"-"&amp;MID(IF(LEFT(SUBSTITUTE(SUBSTITUTE(SUBSTITUTE(SUBSTITUTE(SUBSTITUTE(Клиенты_исходные!D789," ",""),"-",""),"+",""),"(",""),")",""))="8","7"&amp;MID(SUBSTITUTE(SUBSTITUTE(SUBSTITUTE(SUBSTITUTE(SUBSTITUTE(Клиенты_исходные!D789," ",""),"-",""),"+",""),"(",""),")",""),2,10),SUBSTITUTE(SUBSTITUTE(SUBSTITUTE(SUBSTITUTE(SUBSTITUTE(Клиенты_исходные!D789," ",""),"-",""),"+",""),"(",""),")","")),8,2)&amp;"-"&amp;MID(IF(LEFT(SUBSTITUTE(SUBSTITUTE(SUBSTITUTE(SUBSTITUTE(SUBSTITUTE(Клиенты_исходные!D789," ",""),"-",""),"+",""),"(",""),")",""))="8","7"&amp;MID(SUBSTITUTE(SUBSTITUTE(SUBSTITUTE(SUBSTITUTE(SUBSTITUTE(Клиенты_исходные!D789," ",""),"-",""),"+",""),"(",""),")",""),2,10),SUBSTITUTE(SUBSTITUTE(SUBSTITUTE(SUBSTITUTE(SUBSTITUTE(Клиенты_исходные!D789," ",""),"-",""),"+",""),"(",""),")","")),10,2),IF(LEN(SUBSTITUTE(SUBSTITUTE(SUBSTITUTE(SUBSTITUTE(SUBSTITUTE(Клиенты_исходные!D789," ",""),"-",""),"+",""),"(",""),")",""))=10,"+7 ("&amp;MID(SUBSTITUTE(SUBSTITUTE(SUBSTITUTE(SUBSTITUTE(SUBSTITUTE(Клиенты_исходные!D789," ",""),"-",""),"+",""),"(",""),")",""),1,3)&amp;") "&amp;MID(SUBSTITUTE(SUBSTITUTE(SUBSTITUTE(SUBSTITUTE(SUBSTITUTE(Клиенты_исходные!D789," ",""),"-",""),"+",""),"(",""),")",""),4,3)&amp;"-"&amp;MID(SUBSTITUTE(SUBSTITUTE(SUBSTITUTE(SUBSTITUTE(SUBSTITUTE(Клиенты_исходные!D789," ",""),"-",""),"+",""),"(",""),")",""),6,2)&amp;"-"&amp;MID(SUBSTITUTE(SUBSTITUTE(SUBSTITUTE(SUBSTITUTE(SUBSTITUTE(Клиенты_исходные!D789," ",""),"-",""),"+",""),"(",""),")",""),8,2),Клиенты_исходные!D789)))</f>
        <v xml:space="preserve">+7 (903) 890-12-34</v>
      </c>
      <c r="E789" t="str">
        <f>IF(ISBLANK(Клиенты_исходные!E789),"",IF(ISNUMBER(FIND(".",MID(Клиенты_исходные!E789,FIND("@",Клиенты_исходные!E789)+1,255))),Клиенты_исходные!E789,IF(ISNUMBER(FIND("gmail",Клиенты_исходные!E789)),Клиенты_исходные!E789&amp;".com",Клиенты_исходные!E789&amp;".ru")))</f>
        <v>serdyukov@yandex.ru</v>
      </c>
      <c r="F789" t="str">
        <f>IFERROR(VLOOKUP(Клиенты_исходные!F789,Справочники!$J$2:$K$50,2,FALSE),Клиенты_исходные!F789)</f>
        <v>Симферополь</v>
      </c>
      <c r="G789" s="8">
        <f>IFERROR(IF(ISNUMBER(FIND(".",Клиенты_исходные!G789)),DATE(RIGHT(Клиенты_исходные!G789,4),MID(Клиенты_исходные!G789,4,2),LEFT(Клиенты_исходные!G789,2)),DATE(LEFT(Клиенты_исходные!G789,4),MID(Клиенты_исходные!G789,6,2),RIGHT(Клиенты_исходные!G789,2))),Клиенты_исходные!G789)</f>
        <v>52550</v>
      </c>
      <c r="H789">
        <f t="shared" ca="1" si="82"/>
        <v>36</v>
      </c>
      <c r="I789" t="str">
        <f t="shared" si="83"/>
        <v>OK</v>
      </c>
      <c r="J789" t="str">
        <f t="shared" si="84"/>
        <v>OK</v>
      </c>
    </row>
    <row r="790">
      <c r="A790" t="str">
        <f>Клиенты_исходные!A790</f>
        <v>C0789</v>
      </c>
      <c r="B790" t="str">
        <f>PROPER(TRIM(Клиенты_исходные!B790))</f>
        <v xml:space="preserve">Долгова Ольга Сергеевна</v>
      </c>
      <c r="C790" s="8">
        <f>IFERROR(IF(ISNUMBER(FIND(".",Клиенты_исходные!C790)),DATE(RIGHT(Клиенты_исходные!C790,4),MID(Клиенты_исходные!C790,4,2),LEFT(Клиенты_исходные!C790,2)),DATE(LEFT(Клиенты_исходные!C790,4),MID(Клиенты_исходные!C790,6,2),RIGHT(Клиенты_исходные!C790,2))),Клиенты_исходные!C790)</f>
        <v>29203</v>
      </c>
      <c r="D790" t="str">
        <f>IF(ISBLANK(Клиенты_исходные!D790),"",IF(LEN(SUBSTITUTE(SUBSTITUTE(SUBSTITUTE(SUBSTITUTE(SUBSTITUTE(Клиенты_исходные!D790," ",""),"-",""),"+",""),"(",""),")",""))=11,"+7 ("&amp;MID(IF(LEFT(SUBSTITUTE(SUBSTITUTE(SUBSTITUTE(SUBSTITUTE(SUBSTITUTE(Клиенты_исходные!D790," ",""),"-",""),"+",""),"(",""),")",""))="8","7"&amp;MID(SUBSTITUTE(SUBSTITUTE(SUBSTITUTE(SUBSTITUTE(SUBSTITUTE(Клиенты_исходные!D790," ",""),"-",""),"+",""),"(",""),")",""),2,10),SUBSTITUTE(SUBSTITUTE(SUBSTITUTE(SUBSTITUTE(SUBSTITUTE(Клиенты_исходные!D790," ",""),"-",""),"+",""),"(",""),")","")),2,3)&amp;") "&amp;MID(IF(LEFT(SUBSTITUTE(SUBSTITUTE(SUBSTITUTE(SUBSTITUTE(SUBSTITUTE(Клиенты_исходные!D790," ",""),"-",""),"+",""),"(",""),")",""))="8","7"&amp;MID(SUBSTITUTE(SUBSTITUTE(SUBSTITUTE(SUBSTITUTE(SUBSTITUTE(Клиенты_исходные!D790," ",""),"-",""),"+",""),"(",""),")",""),2,10),SUBSTITUTE(SUBSTITUTE(SUBSTITUTE(SUBSTITUTE(SUBSTITUTE(Клиенты_исходные!D790," ",""),"-",""),"+",""),"(",""),")","")),5,3)&amp;"-"&amp;MID(IF(LEFT(SUBSTITUTE(SUBSTITUTE(SUBSTITUTE(SUBSTITUTE(SUBSTITUTE(Клиенты_исходные!D790," ",""),"-",""),"+",""),"(",""),")",""))="8","7"&amp;MID(SUBSTITUTE(SUBSTITUTE(SUBSTITUTE(SUBSTITUTE(SUBSTITUTE(Клиенты_исходные!D790," ",""),"-",""),"+",""),"(",""),")",""),2,10),SUBSTITUTE(SUBSTITUTE(SUBSTITUTE(SUBSTITUTE(SUBSTITUTE(Клиенты_исходные!D790," ",""),"-",""),"+",""),"(",""),")","")),8,2)&amp;"-"&amp;MID(IF(LEFT(SUBSTITUTE(SUBSTITUTE(SUBSTITUTE(SUBSTITUTE(SUBSTITUTE(Клиенты_исходные!D790," ",""),"-",""),"+",""),"(",""),")",""))="8","7"&amp;MID(SUBSTITUTE(SUBSTITUTE(SUBSTITUTE(SUBSTITUTE(SUBSTITUTE(Клиенты_исходные!D790," ",""),"-",""),"+",""),"(",""),")",""),2,10),SUBSTITUTE(SUBSTITUTE(SUBSTITUTE(SUBSTITUTE(SUBSTITUTE(Клиенты_исходные!D790," ",""),"-",""),"+",""),"(",""),")","")),10,2),IF(LEN(SUBSTITUTE(SUBSTITUTE(SUBSTITUTE(SUBSTITUTE(SUBSTITUTE(Клиенты_исходные!D790," ",""),"-",""),"+",""),"(",""),")",""))=10,"+7 ("&amp;MID(SUBSTITUTE(SUBSTITUTE(SUBSTITUTE(SUBSTITUTE(SUBSTITUTE(Клиенты_исходные!D790," ",""),"-",""),"+",""),"(",""),")",""),1,3)&amp;") "&amp;MID(SUBSTITUTE(SUBSTITUTE(SUBSTITUTE(SUBSTITUTE(SUBSTITUTE(Клиенты_исходные!D790," ",""),"-",""),"+",""),"(",""),")",""),4,3)&amp;"-"&amp;MID(SUBSTITUTE(SUBSTITUTE(SUBSTITUTE(SUBSTITUTE(SUBSTITUTE(Клиенты_исходные!D790," ",""),"-",""),"+",""),"(",""),")",""),6,2)&amp;"-"&amp;MID(SUBSTITUTE(SUBSTITUTE(SUBSTITUTE(SUBSTITUTE(SUBSTITUTE(Клиенты_исходные!D790," ",""),"-",""),"+",""),"(",""),")",""),8,2),Клиенты_исходные!D790)))</f>
        <v xml:space="preserve">+7 (903) 901-23-45</v>
      </c>
      <c r="E790" t="str">
        <f>IF(ISBLANK(Клиенты_исходные!E790),"",IF(ISNUMBER(FIND(".",MID(Клиенты_исходные!E790,FIND("@",Клиенты_исходные!E790)+1,255))),Клиенты_исходные!E790,IF(ISNUMBER(FIND("gmail",Клиенты_исходные!E790)),Клиенты_исходные!E790&amp;".com",Клиенты_исходные!E790&amp;".ru")))</f>
        <v>dolgova@gmail.com</v>
      </c>
      <c r="F790" t="str">
        <f>IFERROR(VLOOKUP(Клиенты_исходные!F790,Справочники!$J$2:$K$50,2,FALSE),Клиенты_исходные!F790)</f>
        <v>Брянск</v>
      </c>
      <c r="G790" s="8">
        <f>IFERROR(IF(ISNUMBER(FIND(".",Клиенты_исходные!G790)),DATE(RIGHT(Клиенты_исходные!G790,4),MID(Клиенты_исходные!G790,4,2),LEFT(Клиенты_исходные!G790,2)),DATE(LEFT(Клиенты_исходные!G790,4),MID(Клиенты_исходные!G790,6,2),RIGHT(Клиенты_исходные!G790,2))),Клиенты_исходные!G790)</f>
        <v>52550</v>
      </c>
      <c r="H790">
        <f t="shared" ca="1" si="82"/>
        <v>46</v>
      </c>
      <c r="I790" t="str">
        <f t="shared" si="83"/>
        <v>OK</v>
      </c>
      <c r="J790" t="str">
        <f t="shared" si="84"/>
        <v>OK</v>
      </c>
    </row>
    <row r="791">
      <c r="A791" t="str">
        <f>Клиенты_исходные!A791</f>
        <v>C0790</v>
      </c>
      <c r="B791" t="str">
        <f>PROPER(TRIM(Клиенты_исходные!B791))</f>
        <v xml:space="preserve">Пирогов Илья Александрович</v>
      </c>
      <c r="C791" s="8">
        <f>IFERROR(IF(ISNUMBER(FIND(".",Клиенты_исходные!C791)),DATE(RIGHT(Клиенты_исходные!C791,4),MID(Клиенты_исходные!C791,4,2),LEFT(Клиенты_исходные!C791,2)),DATE(LEFT(Клиенты_исходные!C791,4),MID(Клиенты_исходные!C791,6,2),RIGHT(Клиенты_исходные!C791,2))),Клиенты_исходные!C791)</f>
        <v>31894</v>
      </c>
      <c r="D791" t="str">
        <f>IF(ISBLANK(Клиенты_исходные!D791),"",IF(LEN(SUBSTITUTE(SUBSTITUTE(SUBSTITUTE(SUBSTITUTE(SUBSTITUTE(Клиенты_исходные!D791," ",""),"-",""),"+",""),"(",""),")",""))=11,"+7 ("&amp;MID(IF(LEFT(SUBSTITUTE(SUBSTITUTE(SUBSTITUTE(SUBSTITUTE(SUBSTITUTE(Клиенты_исходные!D791," ",""),"-",""),"+",""),"(",""),")",""))="8","7"&amp;MID(SUBSTITUTE(SUBSTITUTE(SUBSTITUTE(SUBSTITUTE(SUBSTITUTE(Клиенты_исходные!D791," ",""),"-",""),"+",""),"(",""),")",""),2,10),SUBSTITUTE(SUBSTITUTE(SUBSTITUTE(SUBSTITUTE(SUBSTITUTE(Клиенты_исходные!D791," ",""),"-",""),"+",""),"(",""),")","")),2,3)&amp;") "&amp;MID(IF(LEFT(SUBSTITUTE(SUBSTITUTE(SUBSTITUTE(SUBSTITUTE(SUBSTITUTE(Клиенты_исходные!D791," ",""),"-",""),"+",""),"(",""),")",""))="8","7"&amp;MID(SUBSTITUTE(SUBSTITUTE(SUBSTITUTE(SUBSTITUTE(SUBSTITUTE(Клиенты_исходные!D791," ",""),"-",""),"+",""),"(",""),")",""),2,10),SUBSTITUTE(SUBSTITUTE(SUBSTITUTE(SUBSTITUTE(SUBSTITUTE(Клиенты_исходные!D791," ",""),"-",""),"+",""),"(",""),")","")),5,3)&amp;"-"&amp;MID(IF(LEFT(SUBSTITUTE(SUBSTITUTE(SUBSTITUTE(SUBSTITUTE(SUBSTITUTE(Клиенты_исходные!D791," ",""),"-",""),"+",""),"(",""),")",""))="8","7"&amp;MID(SUBSTITUTE(SUBSTITUTE(SUBSTITUTE(SUBSTITUTE(SUBSTITUTE(Клиенты_исходные!D791," ",""),"-",""),"+",""),"(",""),")",""),2,10),SUBSTITUTE(SUBSTITUTE(SUBSTITUTE(SUBSTITUTE(SUBSTITUTE(Клиенты_исходные!D791," ",""),"-",""),"+",""),"(",""),")","")),8,2)&amp;"-"&amp;MID(IF(LEFT(SUBSTITUTE(SUBSTITUTE(SUBSTITUTE(SUBSTITUTE(SUBSTITUTE(Клиенты_исходные!D791," ",""),"-",""),"+",""),"(",""),")",""))="8","7"&amp;MID(SUBSTITUTE(SUBSTITUTE(SUBSTITUTE(SUBSTITUTE(SUBSTITUTE(Клиенты_исходные!D791," ",""),"-",""),"+",""),"(",""),")",""),2,10),SUBSTITUTE(SUBSTITUTE(SUBSTITUTE(SUBSTITUTE(SUBSTITUTE(Клиенты_исходные!D791," ",""),"-",""),"+",""),"(",""),")","")),10,2),IF(LEN(SUBSTITUTE(SUBSTITUTE(SUBSTITUTE(SUBSTITUTE(SUBSTITUTE(Клиенты_исходные!D791," ",""),"-",""),"+",""),"(",""),")",""))=10,"+7 ("&amp;MID(SUBSTITUTE(SUBSTITUTE(SUBSTITUTE(SUBSTITUTE(SUBSTITUTE(Клиенты_исходные!D791," ",""),"-",""),"+",""),"(",""),")",""),1,3)&amp;") "&amp;MID(SUBSTITUTE(SUBSTITUTE(SUBSTITUTE(SUBSTITUTE(SUBSTITUTE(Клиенты_исходные!D791," ",""),"-",""),"+",""),"(",""),")",""),4,3)&amp;"-"&amp;MID(SUBSTITUTE(SUBSTITUTE(SUBSTITUTE(SUBSTITUTE(SUBSTITUTE(Клиенты_исходные!D791," ",""),"-",""),"+",""),"(",""),")",""),6,2)&amp;"-"&amp;MID(SUBSTITUTE(SUBSTITUTE(SUBSTITUTE(SUBSTITUTE(SUBSTITUTE(Клиенты_исходные!D791," ",""),"-",""),"+",""),"(",""),")",""),8,2),Клиенты_исходные!D791)))</f>
        <v xml:space="preserve">+7 (903) 901-23-45</v>
      </c>
      <c r="E791" t="str">
        <f>IF(ISBLANK(Клиенты_исходные!E791),"",IF(ISNUMBER(FIND(".",MID(Клиенты_исходные!E791,FIND("@",Клиенты_исходные!E791)+1,255))),Клиенты_исходные!E791,IF(ISNUMBER(FIND("gmail",Клиенты_исходные!E791)),Клиенты_исходные!E791&amp;".com",Клиенты_исходные!E791&amp;".ru")))</f>
        <v>pirogov@mail.ru</v>
      </c>
      <c r="F791" t="str">
        <f>IFERROR(VLOOKUP(Клиенты_исходные!F791,Справочники!$J$2:$K$50,2,FALSE),Клиенты_исходные!F791)</f>
        <v>Абакан</v>
      </c>
      <c r="G791" s="8">
        <f>IFERROR(IF(ISNUMBER(FIND(".",Клиенты_исходные!G791)),DATE(RIGHT(Клиенты_исходные!G791,4),MID(Клиенты_исходные!G791,4,2),LEFT(Клиенты_исходные!G791,2)),DATE(LEFT(Клиенты_исходные!G791,4),MID(Клиенты_исходные!G791,6,2),RIGHT(Клиенты_исходные!G791,2))),Клиенты_исходные!G791)</f>
        <v>52566</v>
      </c>
      <c r="H791">
        <f t="shared" ca="1" si="82"/>
        <v>39</v>
      </c>
      <c r="I791" t="str">
        <f t="shared" si="83"/>
        <v>OK</v>
      </c>
      <c r="J791" t="str">
        <f t="shared" si="84"/>
        <v>OK</v>
      </c>
    </row>
    <row r="792">
      <c r="A792" t="str">
        <f>Клиенты_исходные!A792</f>
        <v>C0791</v>
      </c>
      <c r="B792" t="str">
        <f>PROPER(TRIM(Клиенты_исходные!B792))</f>
        <v xml:space="preserve">Зубкова Екатерина Владимировна</v>
      </c>
      <c r="C792" s="8">
        <f>IFERROR(IF(ISNUMBER(FIND(".",Клиенты_исходные!C792)),DATE(RIGHT(Клиенты_исходные!C792,4),MID(Клиенты_исходные!C792,4,2),LEFT(Клиенты_исходные!C792,2)),DATE(LEFT(Клиенты_исходные!C792,4),MID(Клиенты_исходные!C792,6,2),RIGHT(Клиенты_исходные!C792,2))),Клиенты_исходные!C792)</f>
        <v>29828</v>
      </c>
      <c r="D792" t="str">
        <f>IF(ISBLANK(Клиенты_исходные!D792),"",IF(LEN(SUBSTITUTE(SUBSTITUTE(SUBSTITUTE(SUBSTITUTE(SUBSTITUTE(Клиенты_исходные!D792," ",""),"-",""),"+",""),"(",""),")",""))=11,"+7 ("&amp;MID(IF(LEFT(SUBSTITUTE(SUBSTITUTE(SUBSTITUTE(SUBSTITUTE(SUBSTITUTE(Клиенты_исходные!D792," ",""),"-",""),"+",""),"(",""),")",""))="8","7"&amp;MID(SUBSTITUTE(SUBSTITUTE(SUBSTITUTE(SUBSTITUTE(SUBSTITUTE(Клиенты_исходные!D792," ",""),"-",""),"+",""),"(",""),")",""),2,10),SUBSTITUTE(SUBSTITUTE(SUBSTITUTE(SUBSTITUTE(SUBSTITUTE(Клиенты_исходные!D792," ",""),"-",""),"+",""),"(",""),")","")),2,3)&amp;") "&amp;MID(IF(LEFT(SUBSTITUTE(SUBSTITUTE(SUBSTITUTE(SUBSTITUTE(SUBSTITUTE(Клиенты_исходные!D792," ",""),"-",""),"+",""),"(",""),")",""))="8","7"&amp;MID(SUBSTITUTE(SUBSTITUTE(SUBSTITUTE(SUBSTITUTE(SUBSTITUTE(Клиенты_исходные!D792," ",""),"-",""),"+",""),"(",""),")",""),2,10),SUBSTITUTE(SUBSTITUTE(SUBSTITUTE(SUBSTITUTE(SUBSTITUTE(Клиенты_исходные!D792," ",""),"-",""),"+",""),"(",""),")","")),5,3)&amp;"-"&amp;MID(IF(LEFT(SUBSTITUTE(SUBSTITUTE(SUBSTITUTE(SUBSTITUTE(SUBSTITUTE(Клиенты_исходные!D792," ",""),"-",""),"+",""),"(",""),")",""))="8","7"&amp;MID(SUBSTITUTE(SUBSTITUTE(SUBSTITUTE(SUBSTITUTE(SUBSTITUTE(Клиенты_исходные!D792," ",""),"-",""),"+",""),"(",""),")",""),2,10),SUBSTITUTE(SUBSTITUTE(SUBSTITUTE(SUBSTITUTE(SUBSTITUTE(Клиенты_исходные!D792," ",""),"-",""),"+",""),"(",""),")","")),8,2)&amp;"-"&amp;MID(IF(LEFT(SUBSTITUTE(SUBSTITUTE(SUBSTITUTE(SUBSTITUTE(SUBSTITUTE(Клиенты_исходные!D792," ",""),"-",""),"+",""),"(",""),")",""))="8","7"&amp;MID(SUBSTITUTE(SUBSTITUTE(SUBSTITUTE(SUBSTITUTE(SUBSTITUTE(Клиенты_исходные!D792," ",""),"-",""),"+",""),"(",""),")",""),2,10),SUBSTITUTE(SUBSTITUTE(SUBSTITUTE(SUBSTITUTE(SUBSTITUTE(Клиенты_исходные!D792," ",""),"-",""),"+",""),"(",""),")","")),10,2),IF(LEN(SUBSTITUTE(SUBSTITUTE(SUBSTITUTE(SUBSTITUTE(SUBSTITUTE(Клиенты_исходные!D792," ",""),"-",""),"+",""),"(",""),")",""))=10,"+7 ("&amp;MID(SUBSTITUTE(SUBSTITUTE(SUBSTITUTE(SUBSTITUTE(SUBSTITUTE(Клиенты_исходные!D792," ",""),"-",""),"+",""),"(",""),")",""),1,3)&amp;") "&amp;MID(SUBSTITUTE(SUBSTITUTE(SUBSTITUTE(SUBSTITUTE(SUBSTITUTE(Клиенты_исходные!D792," ",""),"-",""),"+",""),"(",""),")",""),4,3)&amp;"-"&amp;MID(SUBSTITUTE(SUBSTITUTE(SUBSTITUTE(SUBSTITUTE(SUBSTITUTE(Клиенты_исходные!D792," ",""),"-",""),"+",""),"(",""),")",""),6,2)&amp;"-"&amp;MID(SUBSTITUTE(SUBSTITUTE(SUBSTITUTE(SUBSTITUTE(SUBSTITUTE(Клиенты_исходные!D792," ",""),"-",""),"+",""),"(",""),")",""),8,2),Клиенты_исходные!D792)))</f>
        <v xml:space="preserve">+7 (903) 901-23-45</v>
      </c>
      <c r="E792" t="str">
        <f>IF(ISBLANK(Клиенты_исходные!E792),"",IF(ISNUMBER(FIND(".",MID(Клиенты_исходные!E792,FIND("@",Клиенты_исходные!E792)+1,255))),Клиенты_исходные!E792,IF(ISNUMBER(FIND("gmail",Клиенты_исходные!E792)),Клиенты_исходные!E792&amp;".com",Клиенты_исходные!E792&amp;".ru")))</f>
        <v>zubkova@yandex.ru</v>
      </c>
      <c r="F792" t="str">
        <f>IFERROR(VLOOKUP(Клиенты_исходные!F792,Справочники!$J$2:$K$50,2,FALSE),Клиенты_исходные!F792)</f>
        <v>Грозный</v>
      </c>
      <c r="G792" s="8">
        <f>IFERROR(IF(ISNUMBER(FIND(".",Клиенты_исходные!G792)),DATE(RIGHT(Клиенты_исходные!G792,4),MID(Клиенты_исходные!G792,4,2),LEFT(Клиенты_исходные!G792,2)),DATE(LEFT(Клиенты_исходные!G792,4),MID(Клиенты_исходные!G792,6,2),RIGHT(Клиенты_исходные!G792,2))),Клиенты_исходные!G792)</f>
        <v>52575</v>
      </c>
      <c r="H792">
        <f t="shared" ca="1" si="82"/>
        <v>45</v>
      </c>
      <c r="I792" t="str">
        <f t="shared" si="83"/>
        <v>OK</v>
      </c>
      <c r="J792" t="str">
        <f t="shared" si="84"/>
        <v>OK</v>
      </c>
    </row>
    <row r="793">
      <c r="A793" t="str">
        <f>Клиенты_исходные!A793</f>
        <v>C0792</v>
      </c>
      <c r="B793" t="str">
        <f>PROPER(TRIM(Клиенты_исходные!B793))</f>
        <v xml:space="preserve">Суслов Андрей Олегович</v>
      </c>
      <c r="C793" s="8">
        <f>IFERROR(IF(ISNUMBER(FIND(".",Клиенты_исходные!C793)),DATE(RIGHT(Клиенты_исходные!C793,4),MID(Клиенты_исходные!C793,4,2),LEFT(Клиенты_исходные!C793,2)),DATE(LEFT(Клиенты_исходные!C793,4),MID(Клиенты_исходные!C793,6,2),RIGHT(Клиенты_исходные!C793,2))),Клиенты_исходные!C793)</f>
        <v>26608</v>
      </c>
      <c r="D793" t="str">
        <f>IF(ISBLANK(Клиенты_исходные!D793),"",IF(LEN(SUBSTITUTE(SUBSTITUTE(SUBSTITUTE(SUBSTITUTE(SUBSTITUTE(Клиенты_исходные!D793," ",""),"-",""),"+",""),"(",""),")",""))=11,"+7 ("&amp;MID(IF(LEFT(SUBSTITUTE(SUBSTITUTE(SUBSTITUTE(SUBSTITUTE(SUBSTITUTE(Клиенты_исходные!D793," ",""),"-",""),"+",""),"(",""),")",""))="8","7"&amp;MID(SUBSTITUTE(SUBSTITUTE(SUBSTITUTE(SUBSTITUTE(SUBSTITUTE(Клиенты_исходные!D793," ",""),"-",""),"+",""),"(",""),")",""),2,10),SUBSTITUTE(SUBSTITUTE(SUBSTITUTE(SUBSTITUTE(SUBSTITUTE(Клиенты_исходные!D793," ",""),"-",""),"+",""),"(",""),")","")),2,3)&amp;") "&amp;MID(IF(LEFT(SUBSTITUTE(SUBSTITUTE(SUBSTITUTE(SUBSTITUTE(SUBSTITUTE(Клиенты_исходные!D793," ",""),"-",""),"+",""),"(",""),")",""))="8","7"&amp;MID(SUBSTITUTE(SUBSTITUTE(SUBSTITUTE(SUBSTITUTE(SUBSTITUTE(Клиенты_исходные!D793," ",""),"-",""),"+",""),"(",""),")",""),2,10),SUBSTITUTE(SUBSTITUTE(SUBSTITUTE(SUBSTITUTE(SUBSTITUTE(Клиенты_исходные!D793," ",""),"-",""),"+",""),"(",""),")","")),5,3)&amp;"-"&amp;MID(IF(LEFT(SUBSTITUTE(SUBSTITUTE(SUBSTITUTE(SUBSTITUTE(SUBSTITUTE(Клиенты_исходные!D793," ",""),"-",""),"+",""),"(",""),")",""))="8","7"&amp;MID(SUBSTITUTE(SUBSTITUTE(SUBSTITUTE(SUBSTITUTE(SUBSTITUTE(Клиенты_исходные!D793," ",""),"-",""),"+",""),"(",""),")",""),2,10),SUBSTITUTE(SUBSTITUTE(SUBSTITUTE(SUBSTITUTE(SUBSTITUTE(Клиенты_исходные!D793," ",""),"-",""),"+",""),"(",""),")","")),8,2)&amp;"-"&amp;MID(IF(LEFT(SUBSTITUTE(SUBSTITUTE(SUBSTITUTE(SUBSTITUTE(SUBSTITUTE(Клиенты_исходные!D793," ",""),"-",""),"+",""),"(",""),")",""))="8","7"&amp;MID(SUBSTITUTE(SUBSTITUTE(SUBSTITUTE(SUBSTITUTE(SUBSTITUTE(Клиенты_исходные!D793," ",""),"-",""),"+",""),"(",""),")",""),2,10),SUBSTITUTE(SUBSTITUTE(SUBSTITUTE(SUBSTITUTE(SUBSTITUTE(Клиенты_исходные!D793," ",""),"-",""),"+",""),"(",""),")","")),10,2),IF(LEN(SUBSTITUTE(SUBSTITUTE(SUBSTITUTE(SUBSTITUTE(SUBSTITUTE(Клиенты_исходные!D793," ",""),"-",""),"+",""),"(",""),")",""))=10,"+7 ("&amp;MID(SUBSTITUTE(SUBSTITUTE(SUBSTITUTE(SUBSTITUTE(SUBSTITUTE(Клиенты_исходные!D793," ",""),"-",""),"+",""),"(",""),")",""),1,3)&amp;") "&amp;MID(SUBSTITUTE(SUBSTITUTE(SUBSTITUTE(SUBSTITUTE(SUBSTITUTE(Клиенты_исходные!D793," ",""),"-",""),"+",""),"(",""),")",""),4,3)&amp;"-"&amp;MID(SUBSTITUTE(SUBSTITUTE(SUBSTITUTE(SUBSTITUTE(SUBSTITUTE(Клиенты_исходные!D793," ",""),"-",""),"+",""),"(",""),")",""),6,2)&amp;"-"&amp;MID(SUBSTITUTE(SUBSTITUTE(SUBSTITUTE(SUBSTITUTE(SUBSTITUTE(Клиенты_исходные!D793," ",""),"-",""),"+",""),"(",""),")",""),8,2),Клиенты_исходные!D793)))</f>
        <v xml:space="preserve">+7 (903) 012-34-56</v>
      </c>
      <c r="E793" t="str">
        <f>IF(ISBLANK(Клиенты_исходные!E793),"",IF(ISNUMBER(FIND(".",MID(Клиенты_исходные!E793,FIND("@",Клиенты_исходные!E793)+1,255))),Клиенты_исходные!E793,IF(ISNUMBER(FIND("gmail",Клиенты_исходные!E793)),Клиенты_исходные!E793&amp;".com",Клиенты_исходные!E793&amp;".ru")))</f>
        <v>suslov@gmail.com</v>
      </c>
      <c r="F793" t="str">
        <f>IFERROR(VLOOKUP(Клиенты_исходные!F793,Справочники!$J$2:$K$50,2,FALSE),Клиенты_исходные!F793)</f>
        <v>Бийск</v>
      </c>
      <c r="G793" s="8">
        <f>IFERROR(IF(ISNUMBER(FIND(".",Клиенты_исходные!G793)),DATE(RIGHT(Клиенты_исходные!G793,4),MID(Клиенты_исходные!G793,4,2),LEFT(Клиенты_исходные!G793,2)),DATE(LEFT(Клиенты_исходные!G793,4),MID(Клиенты_исходные!G793,6,2),RIGHT(Клиенты_исходные!G793,2))),Клиенты_исходные!G793)</f>
        <v>52575</v>
      </c>
      <c r="H793">
        <f t="shared" ca="1" si="82"/>
        <v>53</v>
      </c>
      <c r="I793" t="str">
        <f t="shared" si="83"/>
        <v>OK</v>
      </c>
      <c r="J793" t="str">
        <f t="shared" si="84"/>
        <v>OK</v>
      </c>
    </row>
    <row r="794">
      <c r="A794" t="str">
        <f>Клиенты_исходные!A794</f>
        <v>C0793</v>
      </c>
      <c r="B794" t="str">
        <f>PROPER(TRIM(Клиенты_исходные!B794))</f>
        <v xml:space="preserve">Куракина Мария Олеговна</v>
      </c>
      <c r="C794" s="8">
        <f>IFERROR(IF(ISNUMBER(FIND(".",Клиенты_исходные!C794)),DATE(RIGHT(Клиенты_исходные!C794,4),MID(Клиенты_исходные!C794,4,2),LEFT(Клиенты_исходные!C794,2)),DATE(LEFT(Клиенты_исходные!C794,4),MID(Клиенты_исходные!C794,6,2),RIGHT(Клиенты_исходные!C794,2))),Клиенты_исходные!C794)</f>
        <v>31244</v>
      </c>
      <c r="D794" t="str">
        <f>IF(ISBLANK(Клиенты_исходные!D794),"",IF(LEN(SUBSTITUTE(SUBSTITUTE(SUBSTITUTE(SUBSTITUTE(SUBSTITUTE(Клиенты_исходные!D794," ",""),"-",""),"+",""),"(",""),")",""))=11,"+7 ("&amp;MID(IF(LEFT(SUBSTITUTE(SUBSTITUTE(SUBSTITUTE(SUBSTITUTE(SUBSTITUTE(Клиенты_исходные!D794," ",""),"-",""),"+",""),"(",""),")",""))="8","7"&amp;MID(SUBSTITUTE(SUBSTITUTE(SUBSTITUTE(SUBSTITUTE(SUBSTITUTE(Клиенты_исходные!D794," ",""),"-",""),"+",""),"(",""),")",""),2,10),SUBSTITUTE(SUBSTITUTE(SUBSTITUTE(SUBSTITUTE(SUBSTITUTE(Клиенты_исходные!D794," ",""),"-",""),"+",""),"(",""),")","")),2,3)&amp;") "&amp;MID(IF(LEFT(SUBSTITUTE(SUBSTITUTE(SUBSTITUTE(SUBSTITUTE(SUBSTITUTE(Клиенты_исходные!D794," ",""),"-",""),"+",""),"(",""),")",""))="8","7"&amp;MID(SUBSTITUTE(SUBSTITUTE(SUBSTITUTE(SUBSTITUTE(SUBSTITUTE(Клиенты_исходные!D794," ",""),"-",""),"+",""),"(",""),")",""),2,10),SUBSTITUTE(SUBSTITUTE(SUBSTITUTE(SUBSTITUTE(SUBSTITUTE(Клиенты_исходные!D794," ",""),"-",""),"+",""),"(",""),")","")),5,3)&amp;"-"&amp;MID(IF(LEFT(SUBSTITUTE(SUBSTITUTE(SUBSTITUTE(SUBSTITUTE(SUBSTITUTE(Клиенты_исходные!D794," ",""),"-",""),"+",""),"(",""),")",""))="8","7"&amp;MID(SUBSTITUTE(SUBSTITUTE(SUBSTITUTE(SUBSTITUTE(SUBSTITUTE(Клиенты_исходные!D794," ",""),"-",""),"+",""),"(",""),")",""),2,10),SUBSTITUTE(SUBSTITUTE(SUBSTITUTE(SUBSTITUTE(SUBSTITUTE(Клиенты_исходные!D794," ",""),"-",""),"+",""),"(",""),")","")),8,2)&amp;"-"&amp;MID(IF(LEFT(SUBSTITUTE(SUBSTITUTE(SUBSTITUTE(SUBSTITUTE(SUBSTITUTE(Клиенты_исходные!D794," ",""),"-",""),"+",""),"(",""),")",""))="8","7"&amp;MID(SUBSTITUTE(SUBSTITUTE(SUBSTITUTE(SUBSTITUTE(SUBSTITUTE(Клиенты_исходные!D794," ",""),"-",""),"+",""),"(",""),")",""),2,10),SUBSTITUTE(SUBSTITUTE(SUBSTITUTE(SUBSTITUTE(SUBSTITUTE(Клиенты_исходные!D794," ",""),"-",""),"+",""),"(",""),")","")),10,2),IF(LEN(SUBSTITUTE(SUBSTITUTE(SUBSTITUTE(SUBSTITUTE(SUBSTITUTE(Клиенты_исходные!D794," ",""),"-",""),"+",""),"(",""),")",""))=10,"+7 ("&amp;MID(SUBSTITUTE(SUBSTITUTE(SUBSTITUTE(SUBSTITUTE(SUBSTITUTE(Клиенты_исходные!D794," ",""),"-",""),"+",""),"(",""),")",""),1,3)&amp;") "&amp;MID(SUBSTITUTE(SUBSTITUTE(SUBSTITUTE(SUBSTITUTE(SUBSTITUTE(Клиенты_исходные!D794," ",""),"-",""),"+",""),"(",""),")",""),4,3)&amp;"-"&amp;MID(SUBSTITUTE(SUBSTITUTE(SUBSTITUTE(SUBSTITUTE(SUBSTITUTE(Клиенты_исходные!D794," ",""),"-",""),"+",""),"(",""),")",""),6,2)&amp;"-"&amp;MID(SUBSTITUTE(SUBSTITUTE(SUBSTITUTE(SUBSTITUTE(SUBSTITUTE(Клиенты_исходные!D794," ",""),"-",""),"+",""),"(",""),")",""),8,2),Клиенты_исходные!D794)))</f>
        <v xml:space="preserve">+7 (903) 012-34-56</v>
      </c>
      <c r="E794" t="str">
        <f>IF(ISBLANK(Клиенты_исходные!E794),"",IF(ISNUMBER(FIND(".",MID(Клиенты_исходные!E794,FIND("@",Клиенты_исходные!E794)+1,255))),Клиенты_исходные!E794,IF(ISNUMBER(FIND("gmail",Клиенты_исходные!E794)),Клиенты_исходные!E794&amp;".com",Клиенты_исходные!E794&amp;".ru")))</f>
        <v>kurakina@mail.ru</v>
      </c>
      <c r="F794" t="str">
        <f>IFERROR(VLOOKUP(Клиенты_исходные!F794,Справочники!$J$2:$K$50,2,FALSE),Клиенты_исходные!F794)</f>
        <v>Йошкар-Ола</v>
      </c>
      <c r="G794" s="8">
        <f>IFERROR(IF(ISNUMBER(FIND(".",Клиенты_исходные!G794)),DATE(RIGHT(Клиенты_исходные!G794,4),MID(Клиенты_исходные!G794,4,2),LEFT(Клиенты_исходные!G794,2)),DATE(LEFT(Клиенты_исходные!G794,4),MID(Клиенты_исходные!G794,6,2),RIGHT(Клиенты_исходные!G794,2))),Клиенты_исходные!G794)</f>
        <v>52597</v>
      </c>
      <c r="H794">
        <f t="shared" ca="1" si="82"/>
        <v>41</v>
      </c>
      <c r="I794" t="str">
        <f t="shared" si="83"/>
        <v>OK</v>
      </c>
      <c r="J794" t="str">
        <f t="shared" si="84"/>
        <v>OK</v>
      </c>
    </row>
    <row r="795">
      <c r="A795" t="str">
        <f>Клиенты_исходные!A795</f>
        <v>C0794</v>
      </c>
      <c r="B795" t="str">
        <f>PROPER(TRIM(Клиенты_исходные!B795))</f>
        <v xml:space="preserve">Калашников Денис Павлович</v>
      </c>
      <c r="C795" s="8">
        <f>IFERROR(IF(ISNUMBER(FIND(".",Клиенты_исходные!C795)),DATE(RIGHT(Клиенты_исходные!C795,4),MID(Клиенты_исходные!C795,4,2),LEFT(Клиенты_исходные!C795,2)),DATE(LEFT(Клиенты_исходные!C795,4),MID(Клиенты_исходные!C795,6,2),RIGHT(Клиенты_исходные!C795,2))),Клиенты_исходные!C795)</f>
        <v>32270</v>
      </c>
      <c r="D795" t="str">
        <f>IF(ISBLANK(Клиенты_исходные!D795),"",IF(LEN(SUBSTITUTE(SUBSTITUTE(SUBSTITUTE(SUBSTITUTE(SUBSTITUTE(Клиенты_исходные!D795," ",""),"-",""),"+",""),"(",""),")",""))=11,"+7 ("&amp;MID(IF(LEFT(SUBSTITUTE(SUBSTITUTE(SUBSTITUTE(SUBSTITUTE(SUBSTITUTE(Клиенты_исходные!D795," ",""),"-",""),"+",""),"(",""),")",""))="8","7"&amp;MID(SUBSTITUTE(SUBSTITUTE(SUBSTITUTE(SUBSTITUTE(SUBSTITUTE(Клиенты_исходные!D795," ",""),"-",""),"+",""),"(",""),")",""),2,10),SUBSTITUTE(SUBSTITUTE(SUBSTITUTE(SUBSTITUTE(SUBSTITUTE(Клиенты_исходные!D795," ",""),"-",""),"+",""),"(",""),")","")),2,3)&amp;") "&amp;MID(IF(LEFT(SUBSTITUTE(SUBSTITUTE(SUBSTITUTE(SUBSTITUTE(SUBSTITUTE(Клиенты_исходные!D795," ",""),"-",""),"+",""),"(",""),")",""))="8","7"&amp;MID(SUBSTITUTE(SUBSTITUTE(SUBSTITUTE(SUBSTITUTE(SUBSTITUTE(Клиенты_исходные!D795," ",""),"-",""),"+",""),"(",""),")",""),2,10),SUBSTITUTE(SUBSTITUTE(SUBSTITUTE(SUBSTITUTE(SUBSTITUTE(Клиенты_исходные!D795," ",""),"-",""),"+",""),"(",""),")","")),5,3)&amp;"-"&amp;MID(IF(LEFT(SUBSTITUTE(SUBSTITUTE(SUBSTITUTE(SUBSTITUTE(SUBSTITUTE(Клиенты_исходные!D795," ",""),"-",""),"+",""),"(",""),")",""))="8","7"&amp;MID(SUBSTITUTE(SUBSTITUTE(SUBSTITUTE(SUBSTITUTE(SUBSTITUTE(Клиенты_исходные!D795," ",""),"-",""),"+",""),"(",""),")",""),2,10),SUBSTITUTE(SUBSTITUTE(SUBSTITUTE(SUBSTITUTE(SUBSTITUTE(Клиенты_исходные!D795," ",""),"-",""),"+",""),"(",""),")","")),8,2)&amp;"-"&amp;MID(IF(LEFT(SUBSTITUTE(SUBSTITUTE(SUBSTITUTE(SUBSTITUTE(SUBSTITUTE(Клиенты_исходные!D795," ",""),"-",""),"+",""),"(",""),")",""))="8","7"&amp;MID(SUBSTITUTE(SUBSTITUTE(SUBSTITUTE(SUBSTITUTE(SUBSTITUTE(Клиенты_исходные!D795," ",""),"-",""),"+",""),"(",""),")",""),2,10),SUBSTITUTE(SUBSTITUTE(SUBSTITUTE(SUBSTITUTE(SUBSTITUTE(Клиенты_исходные!D795," ",""),"-",""),"+",""),"(",""),")","")),10,2),IF(LEN(SUBSTITUTE(SUBSTITUTE(SUBSTITUTE(SUBSTITUTE(SUBSTITUTE(Клиенты_исходные!D795," ",""),"-",""),"+",""),"(",""),")",""))=10,"+7 ("&amp;MID(SUBSTITUTE(SUBSTITUTE(SUBSTITUTE(SUBSTITUTE(SUBSTITUTE(Клиенты_исходные!D795," ",""),"-",""),"+",""),"(",""),")",""),1,3)&amp;") "&amp;MID(SUBSTITUTE(SUBSTITUTE(SUBSTITUTE(SUBSTITUTE(SUBSTITUTE(Клиенты_исходные!D795," ",""),"-",""),"+",""),"(",""),")",""),4,3)&amp;"-"&amp;MID(SUBSTITUTE(SUBSTITUTE(SUBSTITUTE(SUBSTITUTE(SUBSTITUTE(Клиенты_исходные!D795," ",""),"-",""),"+",""),"(",""),")",""),6,2)&amp;"-"&amp;MID(SUBSTITUTE(SUBSTITUTE(SUBSTITUTE(SUBSTITUTE(SUBSTITUTE(Клиенты_исходные!D795," ",""),"-",""),"+",""),"(",""),")",""),8,2),Клиенты_исходные!D795)))</f>
        <v xml:space="preserve">+7 (903) 012-34-56</v>
      </c>
      <c r="E795" t="str">
        <f>IF(ISBLANK(Клиенты_исходные!E795),"",IF(ISNUMBER(FIND(".",MID(Клиенты_исходные!E795,FIND("@",Клиенты_исходные!E795)+1,255))),Клиенты_исходные!E795,IF(ISNUMBER(FIND("gmail",Клиенты_исходные!E795)),Клиенты_исходные!E795&amp;".com",Клиенты_исходные!E795&amp;".ru")))</f>
        <v>kalashnikov@yandex.ru</v>
      </c>
      <c r="F795" t="str">
        <f>IFERROR(VLOOKUP(Клиенты_исходные!F795,Справочники!$J$2:$K$50,2,FALSE),Клиенты_исходные!F795)</f>
        <v>Курган</v>
      </c>
      <c r="G795" s="8">
        <f>IFERROR(IF(ISNUMBER(FIND(".",Клиенты_исходные!G795)),DATE(RIGHT(Клиенты_исходные!G795,4),MID(Клиенты_исходные!G795,4,2),LEFT(Клиенты_исходные!G795,2)),DATE(LEFT(Клиенты_исходные!G795,4),MID(Клиенты_исходные!G795,6,2),RIGHT(Клиенты_исходные!G795,2))),Клиенты_исходные!G795)</f>
        <v>52611</v>
      </c>
      <c r="H795">
        <f t="shared" ca="1" si="82"/>
        <v>38</v>
      </c>
      <c r="I795" t="str">
        <f t="shared" si="83"/>
        <v>OK</v>
      </c>
      <c r="J795" t="str">
        <f t="shared" si="84"/>
        <v>OK</v>
      </c>
    </row>
    <row r="796">
      <c r="A796" t="str">
        <f>Клиенты_исходные!A796</f>
        <v>C0795</v>
      </c>
      <c r="B796" t="str">
        <f>PROPER(TRIM(Клиенты_исходные!B796))</f>
        <v xml:space="preserve">Гриднева Ольга Сергеевна</v>
      </c>
      <c r="C796" s="8">
        <f>IFERROR(IF(ISNUMBER(FIND(".",Клиенты_исходные!C796)),DATE(RIGHT(Клиенты_исходные!C796,4),MID(Клиенты_исходные!C796,4,2),LEFT(Клиенты_исходные!C796,2)),DATE(LEFT(Клиенты_исходные!C796,4),MID(Клиенты_исходные!C796,6,2),RIGHT(Клиенты_исходные!C796,2))),Клиенты_исходные!C796)</f>
        <v>27274</v>
      </c>
      <c r="D796" t="str">
        <f>IF(ISBLANK(Клиенты_исходные!D796),"",IF(LEN(SUBSTITUTE(SUBSTITUTE(SUBSTITUTE(SUBSTITUTE(SUBSTITUTE(Клиенты_исходные!D796," ",""),"-",""),"+",""),"(",""),")",""))=11,"+7 ("&amp;MID(IF(LEFT(SUBSTITUTE(SUBSTITUTE(SUBSTITUTE(SUBSTITUTE(SUBSTITUTE(Клиенты_исходные!D796," ",""),"-",""),"+",""),"(",""),")",""))="8","7"&amp;MID(SUBSTITUTE(SUBSTITUTE(SUBSTITUTE(SUBSTITUTE(SUBSTITUTE(Клиенты_исходные!D796," ",""),"-",""),"+",""),"(",""),")",""),2,10),SUBSTITUTE(SUBSTITUTE(SUBSTITUTE(SUBSTITUTE(SUBSTITUTE(Клиенты_исходные!D796," ",""),"-",""),"+",""),"(",""),")","")),2,3)&amp;") "&amp;MID(IF(LEFT(SUBSTITUTE(SUBSTITUTE(SUBSTITUTE(SUBSTITUTE(SUBSTITUTE(Клиенты_исходные!D796," ",""),"-",""),"+",""),"(",""),")",""))="8","7"&amp;MID(SUBSTITUTE(SUBSTITUTE(SUBSTITUTE(SUBSTITUTE(SUBSTITUTE(Клиенты_исходные!D796," ",""),"-",""),"+",""),"(",""),")",""),2,10),SUBSTITUTE(SUBSTITUTE(SUBSTITUTE(SUBSTITUTE(SUBSTITUTE(Клиенты_исходные!D796," ",""),"-",""),"+",""),"(",""),")","")),5,3)&amp;"-"&amp;MID(IF(LEFT(SUBSTITUTE(SUBSTITUTE(SUBSTITUTE(SUBSTITUTE(SUBSTITUTE(Клиенты_исходные!D796," ",""),"-",""),"+",""),"(",""),")",""))="8","7"&amp;MID(SUBSTITUTE(SUBSTITUTE(SUBSTITUTE(SUBSTITUTE(SUBSTITUTE(Клиенты_исходные!D796," ",""),"-",""),"+",""),"(",""),")",""),2,10),SUBSTITUTE(SUBSTITUTE(SUBSTITUTE(SUBSTITUTE(SUBSTITUTE(Клиенты_исходные!D796," ",""),"-",""),"+",""),"(",""),")","")),8,2)&amp;"-"&amp;MID(IF(LEFT(SUBSTITUTE(SUBSTITUTE(SUBSTITUTE(SUBSTITUTE(SUBSTITUTE(Клиенты_исходные!D796," ",""),"-",""),"+",""),"(",""),")",""))="8","7"&amp;MID(SUBSTITUTE(SUBSTITUTE(SUBSTITUTE(SUBSTITUTE(SUBSTITUTE(Клиенты_исходные!D796," ",""),"-",""),"+",""),"(",""),")",""),2,10),SUBSTITUTE(SUBSTITUTE(SUBSTITUTE(SUBSTITUTE(SUBSTITUTE(Клиенты_исходные!D796," ",""),"-",""),"+",""),"(",""),")","")),10,2),IF(LEN(SUBSTITUTE(SUBSTITUTE(SUBSTITUTE(SUBSTITUTE(SUBSTITUTE(Клиенты_исходные!D796," ",""),"-",""),"+",""),"(",""),")",""))=10,"+7 ("&amp;MID(SUBSTITUTE(SUBSTITUTE(SUBSTITUTE(SUBSTITUTE(SUBSTITUTE(Клиенты_исходные!D796," ",""),"-",""),"+",""),"(",""),")",""),1,3)&amp;") "&amp;MID(SUBSTITUTE(SUBSTITUTE(SUBSTITUTE(SUBSTITUTE(SUBSTITUTE(Клиенты_исходные!D796," ",""),"-",""),"+",""),"(",""),")",""),4,3)&amp;"-"&amp;MID(SUBSTITUTE(SUBSTITUTE(SUBSTITUTE(SUBSTITUTE(SUBSTITUTE(Клиенты_исходные!D796," ",""),"-",""),"+",""),"(",""),")",""),6,2)&amp;"-"&amp;MID(SUBSTITUTE(SUBSTITUTE(SUBSTITUTE(SUBSTITUTE(SUBSTITUTE(Клиенты_исходные!D796," ",""),"-",""),"+",""),"(",""),")",""),8,2),Клиенты_исходные!D796)))</f>
        <v xml:space="preserve">+7 (903) 123-45-67</v>
      </c>
      <c r="E796" t="str">
        <f>IF(ISBLANK(Клиенты_исходные!E796),"",IF(ISNUMBER(FIND(".",MID(Клиенты_исходные!E796,FIND("@",Клиенты_исходные!E796)+1,255))),Клиенты_исходные!E796,IF(ISNUMBER(FIND("gmail",Клиенты_исходные!E796)),Клиенты_исходные!E796&amp;".com",Клиенты_исходные!E796&amp;".ru")))</f>
        <v>gridneva@gmail.com</v>
      </c>
      <c r="F796" t="str">
        <f>IFERROR(VLOOKUP(Клиенты_исходные!F796,Справочники!$J$2:$K$50,2,FALSE),Клиенты_исходные!F796)</f>
        <v>Архангельск</v>
      </c>
      <c r="G796" s="8">
        <f>IFERROR(IF(ISNUMBER(FIND(".",Клиенты_исходные!G796)),DATE(RIGHT(Клиенты_исходные!G796,4),MID(Клиенты_исходные!G796,4,2),LEFT(Клиенты_исходные!G796,2)),DATE(LEFT(Клиенты_исходные!G796,4),MID(Клиенты_исходные!G796,6,2),RIGHT(Клиенты_исходные!G796,2))),Клиенты_исходные!G796)</f>
        <v>52611</v>
      </c>
      <c r="H796">
        <f t="shared" ca="1" si="82"/>
        <v>52</v>
      </c>
      <c r="I796" t="str">
        <f t="shared" si="83"/>
        <v>OK</v>
      </c>
      <c r="J796" t="str">
        <f t="shared" si="84"/>
        <v>OK</v>
      </c>
    </row>
    <row r="797">
      <c r="A797" t="str">
        <f>Клиенты_исходные!A797</f>
        <v>C0796</v>
      </c>
      <c r="B797" t="str">
        <f>PROPER(TRIM(Клиенты_исходные!B797))</f>
        <v xml:space="preserve">Маслов Илья Александрович</v>
      </c>
      <c r="C797" s="8">
        <f>IFERROR(IF(ISNUMBER(FIND(".",Клиенты_исходные!C797)),DATE(RIGHT(Клиенты_исходные!C797,4),MID(Клиенты_исходные!C797,4,2),LEFT(Клиенты_исходные!C797,2)),DATE(LEFT(Клиенты_исходные!C797,4),MID(Клиенты_исходные!C797,6,2),RIGHT(Клиенты_исходные!C797,2))),Клиенты_исходные!C797)</f>
        <v>30398</v>
      </c>
      <c r="D797" t="str">
        <f>IF(ISBLANK(Клиенты_исходные!D797),"",IF(LEN(SUBSTITUTE(SUBSTITUTE(SUBSTITUTE(SUBSTITUTE(SUBSTITUTE(Клиенты_исходные!D797," ",""),"-",""),"+",""),"(",""),")",""))=11,"+7 ("&amp;MID(IF(LEFT(SUBSTITUTE(SUBSTITUTE(SUBSTITUTE(SUBSTITUTE(SUBSTITUTE(Клиенты_исходные!D797," ",""),"-",""),"+",""),"(",""),")",""))="8","7"&amp;MID(SUBSTITUTE(SUBSTITUTE(SUBSTITUTE(SUBSTITUTE(SUBSTITUTE(Клиенты_исходные!D797," ",""),"-",""),"+",""),"(",""),")",""),2,10),SUBSTITUTE(SUBSTITUTE(SUBSTITUTE(SUBSTITUTE(SUBSTITUTE(Клиенты_исходные!D797," ",""),"-",""),"+",""),"(",""),")","")),2,3)&amp;") "&amp;MID(IF(LEFT(SUBSTITUTE(SUBSTITUTE(SUBSTITUTE(SUBSTITUTE(SUBSTITUTE(Клиенты_исходные!D797," ",""),"-",""),"+",""),"(",""),")",""))="8","7"&amp;MID(SUBSTITUTE(SUBSTITUTE(SUBSTITUTE(SUBSTITUTE(SUBSTITUTE(Клиенты_исходные!D797," ",""),"-",""),"+",""),"(",""),")",""),2,10),SUBSTITUTE(SUBSTITUTE(SUBSTITUTE(SUBSTITUTE(SUBSTITUTE(Клиенты_исходные!D797," ",""),"-",""),"+",""),"(",""),")","")),5,3)&amp;"-"&amp;MID(IF(LEFT(SUBSTITUTE(SUBSTITUTE(SUBSTITUTE(SUBSTITUTE(SUBSTITUTE(Клиенты_исходные!D797," ",""),"-",""),"+",""),"(",""),")",""))="8","7"&amp;MID(SUBSTITUTE(SUBSTITUTE(SUBSTITUTE(SUBSTITUTE(SUBSTITUTE(Клиенты_исходные!D797," ",""),"-",""),"+",""),"(",""),")",""),2,10),SUBSTITUTE(SUBSTITUTE(SUBSTITUTE(SUBSTITUTE(SUBSTITUTE(Клиенты_исходные!D797," ",""),"-",""),"+",""),"(",""),")","")),8,2)&amp;"-"&amp;MID(IF(LEFT(SUBSTITUTE(SUBSTITUTE(SUBSTITUTE(SUBSTITUTE(SUBSTITUTE(Клиенты_исходные!D797," ",""),"-",""),"+",""),"(",""),")",""))="8","7"&amp;MID(SUBSTITUTE(SUBSTITUTE(SUBSTITUTE(SUBSTITUTE(SUBSTITUTE(Клиенты_исходные!D797," ",""),"-",""),"+",""),"(",""),")",""),2,10),SUBSTITUTE(SUBSTITUTE(SUBSTITUTE(SUBSTITUTE(SUBSTITUTE(Клиенты_исходные!D797," ",""),"-",""),"+",""),"(",""),")","")),10,2),IF(LEN(SUBSTITUTE(SUBSTITUTE(SUBSTITUTE(SUBSTITUTE(SUBSTITUTE(Клиенты_исходные!D797," ",""),"-",""),"+",""),"(",""),")",""))=10,"+7 ("&amp;MID(SUBSTITUTE(SUBSTITUTE(SUBSTITUTE(SUBSTITUTE(SUBSTITUTE(Клиенты_исходные!D797," ",""),"-",""),"+",""),"(",""),")",""),1,3)&amp;") "&amp;MID(SUBSTITUTE(SUBSTITUTE(SUBSTITUTE(SUBSTITUTE(SUBSTITUTE(Клиенты_исходные!D797," ",""),"-",""),"+",""),"(",""),")",""),4,3)&amp;"-"&amp;MID(SUBSTITUTE(SUBSTITUTE(SUBSTITUTE(SUBSTITUTE(SUBSTITUTE(Клиенты_исходные!D797," ",""),"-",""),"+",""),"(",""),")",""),6,2)&amp;"-"&amp;MID(SUBSTITUTE(SUBSTITUTE(SUBSTITUTE(SUBSTITUTE(SUBSTITUTE(Клиенты_исходные!D797," ",""),"-",""),"+",""),"(",""),")",""),8,2),Клиенты_исходные!D797)))</f>
        <v xml:space="preserve">+7 (903) 123-45-67</v>
      </c>
      <c r="E797" t="str">
        <f>IF(ISBLANK(Клиенты_исходные!E797),"",IF(ISNUMBER(FIND(".",MID(Клиенты_исходные!E797,FIND("@",Клиенты_исходные!E797)+1,255))),Клиенты_исходные!E797,IF(ISNUMBER(FIND("gmail",Клиенты_исходные!E797)),Клиенты_исходные!E797&amp;".com",Клиенты_исходные!E797&amp;".ru")))</f>
        <v>maslov@mail.ru</v>
      </c>
      <c r="F797" t="str">
        <f>IFERROR(VLOOKUP(Клиенты_исходные!F797,Справочники!$J$2:$K$50,2,FALSE),Клиенты_исходные!F797)</f>
        <v>Благовещенск</v>
      </c>
      <c r="G797" s="8">
        <f>IFERROR(IF(ISNUMBER(FIND(".",Клиенты_исходные!G797)),DATE(RIGHT(Клиенты_исходные!G797,4),MID(Клиенты_исходные!G797,4,2),LEFT(Клиенты_исходные!G797,2)),DATE(LEFT(Клиенты_исходные!G797,4),MID(Клиенты_исходные!G797,6,2),RIGHT(Клиенты_исходные!G797,2))),Клиенты_исходные!G797)</f>
        <v>52628</v>
      </c>
      <c r="H797">
        <f t="shared" ca="1" si="82"/>
        <v>43</v>
      </c>
      <c r="I797" t="str">
        <f t="shared" si="83"/>
        <v>OK</v>
      </c>
      <c r="J797" t="str">
        <f t="shared" si="84"/>
        <v>OK</v>
      </c>
    </row>
    <row r="798">
      <c r="A798" t="str">
        <f>Клиенты_исходные!A798</f>
        <v>C0797</v>
      </c>
      <c r="B798" t="str">
        <f>PROPER(TRIM(Клиенты_исходные!B798))</f>
        <v xml:space="preserve">Александрова Екатерина Сергеевна</v>
      </c>
      <c r="C798" s="8">
        <f>IFERROR(IF(ISNUMBER(FIND(".",Клиенты_исходные!C798)),DATE(RIGHT(Клиенты_исходные!C798,4),MID(Клиенты_исходные!C798,4,2),LEFT(Клиенты_исходные!C798,2)),DATE(LEFT(Клиенты_исходные!C798,4),MID(Клиенты_исходные!C798,6,2),RIGHT(Клиенты_исходные!C798,2))),Клиенты_исходные!C798)</f>
        <v>33582</v>
      </c>
      <c r="D798" t="str">
        <f>IF(ISBLANK(Клиенты_исходные!D798),"",IF(LEN(SUBSTITUTE(SUBSTITUTE(SUBSTITUTE(SUBSTITUTE(SUBSTITUTE(Клиенты_исходные!D798," ",""),"-",""),"+",""),"(",""),")",""))=11,"+7 ("&amp;MID(IF(LEFT(SUBSTITUTE(SUBSTITUTE(SUBSTITUTE(SUBSTITUTE(SUBSTITUTE(Клиенты_исходные!D798," ",""),"-",""),"+",""),"(",""),")",""))="8","7"&amp;MID(SUBSTITUTE(SUBSTITUTE(SUBSTITUTE(SUBSTITUTE(SUBSTITUTE(Клиенты_исходные!D798," ",""),"-",""),"+",""),"(",""),")",""),2,10),SUBSTITUTE(SUBSTITUTE(SUBSTITUTE(SUBSTITUTE(SUBSTITUTE(Клиенты_исходные!D798," ",""),"-",""),"+",""),"(",""),")","")),2,3)&amp;") "&amp;MID(IF(LEFT(SUBSTITUTE(SUBSTITUTE(SUBSTITUTE(SUBSTITUTE(SUBSTITUTE(Клиенты_исходные!D798," ",""),"-",""),"+",""),"(",""),")",""))="8","7"&amp;MID(SUBSTITUTE(SUBSTITUTE(SUBSTITUTE(SUBSTITUTE(SUBSTITUTE(Клиенты_исходные!D798," ",""),"-",""),"+",""),"(",""),")",""),2,10),SUBSTITUTE(SUBSTITUTE(SUBSTITUTE(SUBSTITUTE(SUBSTITUTE(Клиенты_исходные!D798," ",""),"-",""),"+",""),"(",""),")","")),5,3)&amp;"-"&amp;MID(IF(LEFT(SUBSTITUTE(SUBSTITUTE(SUBSTITUTE(SUBSTITUTE(SUBSTITUTE(Клиенты_исходные!D798," ",""),"-",""),"+",""),"(",""),")",""))="8","7"&amp;MID(SUBSTITUTE(SUBSTITUTE(SUBSTITUTE(SUBSTITUTE(SUBSTITUTE(Клиенты_исходные!D798," ",""),"-",""),"+",""),"(",""),")",""),2,10),SUBSTITUTE(SUBSTITUTE(SUBSTITUTE(SUBSTITUTE(SUBSTITUTE(Клиенты_исходные!D798," ",""),"-",""),"+",""),"(",""),")","")),8,2)&amp;"-"&amp;MID(IF(LEFT(SUBSTITUTE(SUBSTITUTE(SUBSTITUTE(SUBSTITUTE(SUBSTITUTE(Клиенты_исходные!D798," ",""),"-",""),"+",""),"(",""),")",""))="8","7"&amp;MID(SUBSTITUTE(SUBSTITUTE(SUBSTITUTE(SUBSTITUTE(SUBSTITUTE(Клиенты_исходные!D798," ",""),"-",""),"+",""),"(",""),")",""),2,10),SUBSTITUTE(SUBSTITUTE(SUBSTITUTE(SUBSTITUTE(SUBSTITUTE(Клиенты_исходные!D798," ",""),"-",""),"+",""),"(",""),")","")),10,2),IF(LEN(SUBSTITUTE(SUBSTITUTE(SUBSTITUTE(SUBSTITUTE(SUBSTITUTE(Клиенты_исходные!D798," ",""),"-",""),"+",""),"(",""),")",""))=10,"+7 ("&amp;MID(SUBSTITUTE(SUBSTITUTE(SUBSTITUTE(SUBSTITUTE(SUBSTITUTE(Клиенты_исходные!D798," ",""),"-",""),"+",""),"(",""),")",""),1,3)&amp;") "&amp;MID(SUBSTITUTE(SUBSTITUTE(SUBSTITUTE(SUBSTITUTE(SUBSTITUTE(Клиенты_исходные!D798," ",""),"-",""),"+",""),"(",""),")",""),4,3)&amp;"-"&amp;MID(SUBSTITUTE(SUBSTITUTE(SUBSTITUTE(SUBSTITUTE(SUBSTITUTE(Клиенты_исходные!D798," ",""),"-",""),"+",""),"(",""),")",""),6,2)&amp;"-"&amp;MID(SUBSTITUTE(SUBSTITUTE(SUBSTITUTE(SUBSTITUTE(SUBSTITUTE(Клиенты_исходные!D798," ",""),"-",""),"+",""),"(",""),")",""),8,2),Клиенты_исходные!D798)))</f>
        <v xml:space="preserve">+7 (903) 123-45-67</v>
      </c>
      <c r="E798" t="str">
        <f>IF(ISBLANK(Клиенты_исходные!E798),"",IF(ISNUMBER(FIND(".",MID(Клиенты_исходные!E798,FIND("@",Клиенты_исходные!E798)+1,255))),Клиенты_исходные!E798,IF(ISNUMBER(FIND("gmail",Клиенты_исходные!E798)),Клиенты_исходные!E798&amp;".com",Клиенты_исходные!E798&amp;".ru")))</f>
        <v>aleksandrova@yandex.ru</v>
      </c>
      <c r="F798" t="str">
        <f>IFERROR(VLOOKUP(Клиенты_исходные!F798,Справочники!$J$2:$K$50,2,FALSE),Клиенты_исходные!F798)</f>
        <v>Майкоп</v>
      </c>
      <c r="G798" s="8">
        <f>IFERROR(IF(ISNUMBER(FIND(".",Клиенты_исходные!G798)),DATE(RIGHT(Клиенты_исходные!G798,4),MID(Клиенты_исходные!G798,4,2),LEFT(Клиенты_исходные!G798,2)),DATE(LEFT(Клиенты_исходные!G798,4),MID(Клиенты_исходные!G798,6,2),RIGHT(Клиенты_исходные!G798,2))),Клиенты_исходные!G798)</f>
        <v>52637</v>
      </c>
      <c r="H798">
        <f t="shared" ca="1" si="82"/>
        <v>34</v>
      </c>
      <c r="I798" t="str">
        <f t="shared" si="83"/>
        <v>OK</v>
      </c>
      <c r="J798" t="str">
        <f t="shared" si="84"/>
        <v>OK</v>
      </c>
    </row>
    <row r="799">
      <c r="A799" t="str">
        <f>Клиенты_исходные!A799</f>
        <v>C0798</v>
      </c>
      <c r="B799" t="str">
        <f>PROPER(TRIM(Клиенты_исходные!B799))</f>
        <v xml:space="preserve">Косогоров Андрей Олегович</v>
      </c>
      <c r="C799" s="8">
        <f>IFERROR(IF(ISNUMBER(FIND(".",Клиенты_исходные!C799)),DATE(RIGHT(Клиенты_исходные!C799,4),MID(Клиенты_исходные!C799,4,2),LEFT(Клиенты_исходные!C799,2)),DATE(LEFT(Клиенты_исходные!C799,4),MID(Клиенты_исходные!C799,6,2),RIGHT(Клиенты_исходные!C799,2))),Клиенты_исходные!C799)</f>
        <v>28352</v>
      </c>
      <c r="D799" t="str">
        <f>IF(ISBLANK(Клиенты_исходные!D799),"",IF(LEN(SUBSTITUTE(SUBSTITUTE(SUBSTITUTE(SUBSTITUTE(SUBSTITUTE(Клиенты_исходные!D799," ",""),"-",""),"+",""),"(",""),")",""))=11,"+7 ("&amp;MID(IF(LEFT(SUBSTITUTE(SUBSTITUTE(SUBSTITUTE(SUBSTITUTE(SUBSTITUTE(Клиенты_исходные!D799," ",""),"-",""),"+",""),"(",""),")",""))="8","7"&amp;MID(SUBSTITUTE(SUBSTITUTE(SUBSTITUTE(SUBSTITUTE(SUBSTITUTE(Клиенты_исходные!D799," ",""),"-",""),"+",""),"(",""),")",""),2,10),SUBSTITUTE(SUBSTITUTE(SUBSTITUTE(SUBSTITUTE(SUBSTITUTE(Клиенты_исходные!D799," ",""),"-",""),"+",""),"(",""),")","")),2,3)&amp;") "&amp;MID(IF(LEFT(SUBSTITUTE(SUBSTITUTE(SUBSTITUTE(SUBSTITUTE(SUBSTITUTE(Клиенты_исходные!D799," ",""),"-",""),"+",""),"(",""),")",""))="8","7"&amp;MID(SUBSTITUTE(SUBSTITUTE(SUBSTITUTE(SUBSTITUTE(SUBSTITUTE(Клиенты_исходные!D799," ",""),"-",""),"+",""),"(",""),")",""),2,10),SUBSTITUTE(SUBSTITUTE(SUBSTITUTE(SUBSTITUTE(SUBSTITUTE(Клиенты_исходные!D799," ",""),"-",""),"+",""),"(",""),")","")),5,3)&amp;"-"&amp;MID(IF(LEFT(SUBSTITUTE(SUBSTITUTE(SUBSTITUTE(SUBSTITUTE(SUBSTITUTE(Клиенты_исходные!D799," ",""),"-",""),"+",""),"(",""),")",""))="8","7"&amp;MID(SUBSTITUTE(SUBSTITUTE(SUBSTITUTE(SUBSTITUTE(SUBSTITUTE(Клиенты_исходные!D799," ",""),"-",""),"+",""),"(",""),")",""),2,10),SUBSTITUTE(SUBSTITUTE(SUBSTITUTE(SUBSTITUTE(SUBSTITUTE(Клиенты_исходные!D799," ",""),"-",""),"+",""),"(",""),")","")),8,2)&amp;"-"&amp;MID(IF(LEFT(SUBSTITUTE(SUBSTITUTE(SUBSTITUTE(SUBSTITUTE(SUBSTITUTE(Клиенты_исходные!D799," ",""),"-",""),"+",""),"(",""),")",""))="8","7"&amp;MID(SUBSTITUTE(SUBSTITUTE(SUBSTITUTE(SUBSTITUTE(SUBSTITUTE(Клиенты_исходные!D799," ",""),"-",""),"+",""),"(",""),")",""),2,10),SUBSTITUTE(SUBSTITUTE(SUBSTITUTE(SUBSTITUTE(SUBSTITUTE(Клиенты_исходные!D799," ",""),"-",""),"+",""),"(",""),")","")),10,2),IF(LEN(SUBSTITUTE(SUBSTITUTE(SUBSTITUTE(SUBSTITUTE(SUBSTITUTE(Клиенты_исходные!D799," ",""),"-",""),"+",""),"(",""),")",""))=10,"+7 ("&amp;MID(SUBSTITUTE(SUBSTITUTE(SUBSTITUTE(SUBSTITUTE(SUBSTITUTE(Клиенты_исходные!D799," ",""),"-",""),"+",""),"(",""),")",""),1,3)&amp;") "&amp;MID(SUBSTITUTE(SUBSTITUTE(SUBSTITUTE(SUBSTITUTE(SUBSTITUTE(Клиенты_исходные!D799," ",""),"-",""),"+",""),"(",""),")",""),4,3)&amp;"-"&amp;MID(SUBSTITUTE(SUBSTITUTE(SUBSTITUTE(SUBSTITUTE(SUBSTITUTE(Клиенты_исходные!D799," ",""),"-",""),"+",""),"(",""),")",""),6,2)&amp;"-"&amp;MID(SUBSTITUTE(SUBSTITUTE(SUBSTITUTE(SUBSTITUTE(SUBSTITUTE(Клиенты_исходные!D799," ",""),"-",""),"+",""),"(",""),")",""),8,2),Клиенты_исходные!D799)))</f>
        <v xml:space="preserve">+7 (903) 234-56-78</v>
      </c>
      <c r="E799" t="str">
        <f>IF(ISBLANK(Клиенты_исходные!E799),"",IF(ISNUMBER(FIND(".",MID(Клиенты_исходные!E799,FIND("@",Клиенты_исходные!E799)+1,255))),Клиенты_исходные!E799,IF(ISNUMBER(FIND("gmail",Клиенты_исходные!E799)),Клиенты_исходные!E799&amp;".com",Клиенты_исходные!E799&amp;".ru")))</f>
        <v>kosogorov@gmail.com</v>
      </c>
      <c r="F799" t="str">
        <f>IFERROR(VLOOKUP(Клиенты_исходные!F799,Справочники!$J$2:$K$50,2,FALSE),Клиенты_исходные!F799)</f>
        <v>Уссурийск</v>
      </c>
      <c r="G799" s="8">
        <f>IFERROR(IF(ISNUMBER(FIND(".",Клиенты_исходные!G799)),DATE(RIGHT(Клиенты_исходные!G799,4),MID(Клиенты_исходные!G799,4,2),LEFT(Клиенты_исходные!G799,2)),DATE(LEFT(Клиенты_исходные!G799,4),MID(Клиенты_исходные!G799,6,2),RIGHT(Клиенты_исходные!G799,2))),Клиенты_исходные!G799)</f>
        <v>52637</v>
      </c>
      <c r="H799">
        <f t="shared" ca="1" si="82"/>
        <v>49</v>
      </c>
      <c r="I799" t="str">
        <f t="shared" si="83"/>
        <v>OK</v>
      </c>
      <c r="J799" t="str">
        <f t="shared" si="84"/>
        <v>OK</v>
      </c>
    </row>
    <row r="800">
      <c r="A800" t="str">
        <f>Клиенты_исходные!A800</f>
        <v>C0799</v>
      </c>
      <c r="B800" t="str">
        <f>PROPER(TRIM(Клиенты_исходные!B800))</f>
        <v xml:space="preserve">Свиридова Мария Павловна</v>
      </c>
      <c r="C800" s="8">
        <f>IFERROR(IF(ISNUMBER(FIND(".",Клиенты_исходные!C800)),DATE(RIGHT(Клиенты_исходные!C800,4),MID(Клиенты_исходные!C800,4,2),LEFT(Клиенты_исходные!C800,2)),DATE(LEFT(Клиенты_исходные!C800,4),MID(Клиенты_исходные!C800,6,2),RIGHT(Клиенты_исходные!C800,2))),Клиенты_исходные!C800)</f>
        <v>30984</v>
      </c>
      <c r="D800" t="str">
        <f>IF(ISBLANK(Клиенты_исходные!D800),"",IF(LEN(SUBSTITUTE(SUBSTITUTE(SUBSTITUTE(SUBSTITUTE(SUBSTITUTE(Клиенты_исходные!D800," ",""),"-",""),"+",""),"(",""),")",""))=11,"+7 ("&amp;MID(IF(LEFT(SUBSTITUTE(SUBSTITUTE(SUBSTITUTE(SUBSTITUTE(SUBSTITUTE(Клиенты_исходные!D800," ",""),"-",""),"+",""),"(",""),")",""))="8","7"&amp;MID(SUBSTITUTE(SUBSTITUTE(SUBSTITUTE(SUBSTITUTE(SUBSTITUTE(Клиенты_исходные!D800," ",""),"-",""),"+",""),"(",""),")",""),2,10),SUBSTITUTE(SUBSTITUTE(SUBSTITUTE(SUBSTITUTE(SUBSTITUTE(Клиенты_исходные!D800," ",""),"-",""),"+",""),"(",""),")","")),2,3)&amp;") "&amp;MID(IF(LEFT(SUBSTITUTE(SUBSTITUTE(SUBSTITUTE(SUBSTITUTE(SUBSTITUTE(Клиенты_исходные!D800," ",""),"-",""),"+",""),"(",""),")",""))="8","7"&amp;MID(SUBSTITUTE(SUBSTITUTE(SUBSTITUTE(SUBSTITUTE(SUBSTITUTE(Клиенты_исходные!D800," ",""),"-",""),"+",""),"(",""),")",""),2,10),SUBSTITUTE(SUBSTITUTE(SUBSTITUTE(SUBSTITUTE(SUBSTITUTE(Клиенты_исходные!D800," ",""),"-",""),"+",""),"(",""),")","")),5,3)&amp;"-"&amp;MID(IF(LEFT(SUBSTITUTE(SUBSTITUTE(SUBSTITUTE(SUBSTITUTE(SUBSTITUTE(Клиенты_исходные!D800," ",""),"-",""),"+",""),"(",""),")",""))="8","7"&amp;MID(SUBSTITUTE(SUBSTITUTE(SUBSTITUTE(SUBSTITUTE(SUBSTITUTE(Клиенты_исходные!D800," ",""),"-",""),"+",""),"(",""),")",""),2,10),SUBSTITUTE(SUBSTITUTE(SUBSTITUTE(SUBSTITUTE(SUBSTITUTE(Клиенты_исходные!D800," ",""),"-",""),"+",""),"(",""),")","")),8,2)&amp;"-"&amp;MID(IF(LEFT(SUBSTITUTE(SUBSTITUTE(SUBSTITUTE(SUBSTITUTE(SUBSTITUTE(Клиенты_исходные!D800," ",""),"-",""),"+",""),"(",""),")",""))="8","7"&amp;MID(SUBSTITUTE(SUBSTITUTE(SUBSTITUTE(SUBSTITUTE(SUBSTITUTE(Клиенты_исходные!D800," ",""),"-",""),"+",""),"(",""),")",""),2,10),SUBSTITUTE(SUBSTITUTE(SUBSTITUTE(SUBSTITUTE(SUBSTITUTE(Клиенты_исходные!D800," ",""),"-",""),"+",""),"(",""),")","")),10,2),IF(LEN(SUBSTITUTE(SUBSTITUTE(SUBSTITUTE(SUBSTITUTE(SUBSTITUTE(Клиенты_исходные!D800," ",""),"-",""),"+",""),"(",""),")",""))=10,"+7 ("&amp;MID(SUBSTITUTE(SUBSTITUTE(SUBSTITUTE(SUBSTITUTE(SUBSTITUTE(Клиенты_исходные!D800," ",""),"-",""),"+",""),"(",""),")",""),1,3)&amp;") "&amp;MID(SUBSTITUTE(SUBSTITUTE(SUBSTITUTE(SUBSTITUTE(SUBSTITUTE(Клиенты_исходные!D800," ",""),"-",""),"+",""),"(",""),")",""),4,3)&amp;"-"&amp;MID(SUBSTITUTE(SUBSTITUTE(SUBSTITUTE(SUBSTITUTE(SUBSTITUTE(Клиенты_исходные!D800," ",""),"-",""),"+",""),"(",""),")",""),6,2)&amp;"-"&amp;MID(SUBSTITUTE(SUBSTITUTE(SUBSTITUTE(SUBSTITUTE(SUBSTITUTE(Клиенты_исходные!D800," ",""),"-",""),"+",""),"(",""),")",""),8,2),Клиенты_исходные!D800)))</f>
        <v xml:space="preserve">+7 (903) 234-56-78</v>
      </c>
      <c r="E800" t="str">
        <f>IF(ISBLANK(Клиенты_исходные!E800),"",IF(ISNUMBER(FIND(".",MID(Клиенты_исходные!E800,FIND("@",Клиенты_исходные!E800)+1,255))),Клиенты_исходные!E800,IF(ISNUMBER(FIND("gmail",Клиенты_исходные!E800)),Клиенты_исходные!E800&amp;".com",Клиенты_исходные!E800&amp;".ru")))</f>
        <v>sviridova@mail.ru</v>
      </c>
      <c r="F800" t="str">
        <f>IFERROR(VLOOKUP(Клиенты_исходные!F800,Справочники!$J$2:$K$50,2,FALSE),Клиенты_исходные!F800)</f>
        <v>Миасс</v>
      </c>
      <c r="G800" s="8">
        <f>IFERROR(IF(ISNUMBER(FIND(".",Клиенты_исходные!G800)),DATE(RIGHT(Клиенты_исходные!G800,4),MID(Клиенты_исходные!G800,4,2),LEFT(Клиенты_исходные!G800,2)),DATE(LEFT(Клиенты_исходные!G800,4),MID(Клиенты_исходные!G800,6,2),RIGHT(Клиенты_исходные!G800,2))),Клиенты_исходные!G800)</f>
        <v>52657</v>
      </c>
      <c r="H800">
        <f t="shared" ca="1" si="82"/>
        <v>41</v>
      </c>
      <c r="I800" t="str">
        <f t="shared" si="83"/>
        <v>OK</v>
      </c>
      <c r="J800" t="str">
        <f t="shared" si="84"/>
        <v>OK</v>
      </c>
    </row>
    <row r="801">
      <c r="A801" t="str">
        <f>Клиенты_исходные!A801</f>
        <v>C0800</v>
      </c>
      <c r="B801" t="str">
        <f>PROPER(TRIM(Клиенты_исходные!B801))</f>
        <v xml:space="preserve">Бондарь Денис Викторович</v>
      </c>
      <c r="C801" s="8">
        <f>IFERROR(IF(ISNUMBER(FIND(".",Клиенты_исходные!C801)),DATE(RIGHT(Клиенты_исходные!C801,4),MID(Клиенты_исходные!C801,4,2),LEFT(Клиенты_исходные!C801,2)),DATE(LEFT(Клиенты_исходные!C801,4),MID(Клиенты_исходные!C801,6,2),RIGHT(Клиенты_исходные!C801,2))),Клиенты_исходные!C801)</f>
        <v>33031</v>
      </c>
      <c r="D801" t="str">
        <f>IF(ISBLANK(Клиенты_исходные!D801),"",IF(LEN(SUBSTITUTE(SUBSTITUTE(SUBSTITUTE(SUBSTITUTE(SUBSTITUTE(Клиенты_исходные!D801," ",""),"-",""),"+",""),"(",""),")",""))=11,"+7 ("&amp;MID(IF(LEFT(SUBSTITUTE(SUBSTITUTE(SUBSTITUTE(SUBSTITUTE(SUBSTITUTE(Клиенты_исходные!D801," ",""),"-",""),"+",""),"(",""),")",""))="8","7"&amp;MID(SUBSTITUTE(SUBSTITUTE(SUBSTITUTE(SUBSTITUTE(SUBSTITUTE(Клиенты_исходные!D801," ",""),"-",""),"+",""),"(",""),")",""),2,10),SUBSTITUTE(SUBSTITUTE(SUBSTITUTE(SUBSTITUTE(SUBSTITUTE(Клиенты_исходные!D801," ",""),"-",""),"+",""),"(",""),")","")),2,3)&amp;") "&amp;MID(IF(LEFT(SUBSTITUTE(SUBSTITUTE(SUBSTITUTE(SUBSTITUTE(SUBSTITUTE(Клиенты_исходные!D801," ",""),"-",""),"+",""),"(",""),")",""))="8","7"&amp;MID(SUBSTITUTE(SUBSTITUTE(SUBSTITUTE(SUBSTITUTE(SUBSTITUTE(Клиенты_исходные!D801," ",""),"-",""),"+",""),"(",""),")",""),2,10),SUBSTITUTE(SUBSTITUTE(SUBSTITUTE(SUBSTITUTE(SUBSTITUTE(Клиенты_исходные!D801," ",""),"-",""),"+",""),"(",""),")","")),5,3)&amp;"-"&amp;MID(IF(LEFT(SUBSTITUTE(SUBSTITUTE(SUBSTITUTE(SUBSTITUTE(SUBSTITUTE(Клиенты_исходные!D801," ",""),"-",""),"+",""),"(",""),")",""))="8","7"&amp;MID(SUBSTITUTE(SUBSTITUTE(SUBSTITUTE(SUBSTITUTE(SUBSTITUTE(Клиенты_исходные!D801," ",""),"-",""),"+",""),"(",""),")",""),2,10),SUBSTITUTE(SUBSTITUTE(SUBSTITUTE(SUBSTITUTE(SUBSTITUTE(Клиенты_исходные!D801," ",""),"-",""),"+",""),"(",""),")","")),8,2)&amp;"-"&amp;MID(IF(LEFT(SUBSTITUTE(SUBSTITUTE(SUBSTITUTE(SUBSTITUTE(SUBSTITUTE(Клиенты_исходные!D801," ",""),"-",""),"+",""),"(",""),")",""))="8","7"&amp;MID(SUBSTITUTE(SUBSTITUTE(SUBSTITUTE(SUBSTITUTE(SUBSTITUTE(Клиенты_исходные!D801," ",""),"-",""),"+",""),"(",""),")",""),2,10),SUBSTITUTE(SUBSTITUTE(SUBSTITUTE(SUBSTITUTE(SUBSTITUTE(Клиенты_исходные!D801," ",""),"-",""),"+",""),"(",""),")","")),10,2),IF(LEN(SUBSTITUTE(SUBSTITUTE(SUBSTITUTE(SUBSTITUTE(SUBSTITUTE(Клиенты_исходные!D801," ",""),"-",""),"+",""),"(",""),")",""))=10,"+7 ("&amp;MID(SUBSTITUTE(SUBSTITUTE(SUBSTITUTE(SUBSTITUTE(SUBSTITUTE(Клиенты_исходные!D801," ",""),"-",""),"+",""),"(",""),")",""),1,3)&amp;") "&amp;MID(SUBSTITUTE(SUBSTITUTE(SUBSTITUTE(SUBSTITUTE(SUBSTITUTE(Клиенты_исходные!D801," ",""),"-",""),"+",""),"(",""),")",""),4,3)&amp;"-"&amp;MID(SUBSTITUTE(SUBSTITUTE(SUBSTITUTE(SUBSTITUTE(SUBSTITUTE(Клиенты_исходные!D801," ",""),"-",""),"+",""),"(",""),")",""),6,2)&amp;"-"&amp;MID(SUBSTITUTE(SUBSTITUTE(SUBSTITUTE(SUBSTITUTE(SUBSTITUTE(Клиенты_исходные!D801," ",""),"-",""),"+",""),"(",""),")",""),8,2),Клиенты_исходные!D801)))</f>
        <v xml:space="preserve">+7 (903) 234-56-78</v>
      </c>
      <c r="E801" t="str">
        <f>IF(ISBLANK(Клиенты_исходные!E801),"",IF(ISNUMBER(FIND(".",MID(Клиенты_исходные!E801,FIND("@",Клиенты_исходные!E801)+1,255))),Клиенты_исходные!E801,IF(ISNUMBER(FIND("gmail",Клиенты_исходные!E801)),Клиенты_исходные!E801&amp;".com",Клиенты_исходные!E801&amp;".ru")))</f>
        <v>bondar@yandex.ru</v>
      </c>
      <c r="F801" t="str">
        <f>IFERROR(VLOOKUP(Клиенты_исходные!F801,Справочники!$J$2:$K$50,2,FALSE),Клиенты_исходные!F801)</f>
        <v>Кызыл</v>
      </c>
      <c r="G801" s="8">
        <f>IFERROR(IF(ISNUMBER(FIND(".",Клиенты_исходные!G801)),DATE(RIGHT(Клиенты_исходные!G801,4),MID(Клиенты_исходные!G801,4,2),LEFT(Клиенты_исходные!G801,2)),DATE(LEFT(Клиенты_исходные!G801,4),MID(Клиенты_исходные!G801,6,2),RIGHT(Клиенты_исходные!G801,2))),Клиенты_исходные!G801)</f>
        <v>52671</v>
      </c>
      <c r="H801">
        <f t="shared" ca="1" si="82"/>
        <v>36</v>
      </c>
      <c r="I801" t="str">
        <f t="shared" si="83"/>
        <v>OK</v>
      </c>
      <c r="J801" t="str">
        <f t="shared" si="84"/>
        <v>OK</v>
      </c>
    </row>
    <row r="802">
      <c r="A802" t="str">
        <f>Клиенты_исходные!A802</f>
        <v>C0801</v>
      </c>
      <c r="B802" t="str">
        <f>PROPER(TRIM(Клиенты_исходные!B802))</f>
        <v xml:space="preserve">Кузьмина Ольга Сергеевна</v>
      </c>
      <c r="C802" s="8">
        <f>IFERROR(IF(ISNUMBER(FIND(".",Клиенты_исходные!C802)),DATE(RIGHT(Клиенты_исходные!C802,4),MID(Клиенты_исходные!C802,4,2),LEFT(Клиенты_исходные!C802,2)),DATE(LEFT(Клиенты_исходные!C802,4),MID(Клиенты_исходные!C802,6,2),RIGHT(Клиенты_исходные!C802,2))),Клиенты_исходные!C802)</f>
        <v>27778</v>
      </c>
      <c r="D802" t="str">
        <f>IF(ISBLANK(Клиенты_исходные!D802),"",IF(LEN(SUBSTITUTE(SUBSTITUTE(SUBSTITUTE(SUBSTITUTE(SUBSTITUTE(Клиенты_исходные!D802," ",""),"-",""),"+",""),"(",""),")",""))=11,"+7 ("&amp;MID(IF(LEFT(SUBSTITUTE(SUBSTITUTE(SUBSTITUTE(SUBSTITUTE(SUBSTITUTE(Клиенты_исходные!D802," ",""),"-",""),"+",""),"(",""),")",""))="8","7"&amp;MID(SUBSTITUTE(SUBSTITUTE(SUBSTITUTE(SUBSTITUTE(SUBSTITUTE(Клиенты_исходные!D802," ",""),"-",""),"+",""),"(",""),")",""),2,10),SUBSTITUTE(SUBSTITUTE(SUBSTITUTE(SUBSTITUTE(SUBSTITUTE(Клиенты_исходные!D802," ",""),"-",""),"+",""),"(",""),")","")),2,3)&amp;") "&amp;MID(IF(LEFT(SUBSTITUTE(SUBSTITUTE(SUBSTITUTE(SUBSTITUTE(SUBSTITUTE(Клиенты_исходные!D802," ",""),"-",""),"+",""),"(",""),")",""))="8","7"&amp;MID(SUBSTITUTE(SUBSTITUTE(SUBSTITUTE(SUBSTITUTE(SUBSTITUTE(Клиенты_исходные!D802," ",""),"-",""),"+",""),"(",""),")",""),2,10),SUBSTITUTE(SUBSTITUTE(SUBSTITUTE(SUBSTITUTE(SUBSTITUTE(Клиенты_исходные!D802," ",""),"-",""),"+",""),"(",""),")","")),5,3)&amp;"-"&amp;MID(IF(LEFT(SUBSTITUTE(SUBSTITUTE(SUBSTITUTE(SUBSTITUTE(SUBSTITUTE(Клиенты_исходные!D802," ",""),"-",""),"+",""),"(",""),")",""))="8","7"&amp;MID(SUBSTITUTE(SUBSTITUTE(SUBSTITUTE(SUBSTITUTE(SUBSTITUTE(Клиенты_исходные!D802," ",""),"-",""),"+",""),"(",""),")",""),2,10),SUBSTITUTE(SUBSTITUTE(SUBSTITUTE(SUBSTITUTE(SUBSTITUTE(Клиенты_исходные!D802," ",""),"-",""),"+",""),"(",""),")","")),8,2)&amp;"-"&amp;MID(IF(LEFT(SUBSTITUTE(SUBSTITUTE(SUBSTITUTE(SUBSTITUTE(SUBSTITUTE(Клиенты_исходные!D802," ",""),"-",""),"+",""),"(",""),")",""))="8","7"&amp;MID(SUBSTITUTE(SUBSTITUTE(SUBSTITUTE(SUBSTITUTE(SUBSTITUTE(Клиенты_исходные!D802," ",""),"-",""),"+",""),"(",""),")",""),2,10),SUBSTITUTE(SUBSTITUTE(SUBSTITUTE(SUBSTITUTE(SUBSTITUTE(Клиенты_исходные!D802," ",""),"-",""),"+",""),"(",""),")","")),10,2),IF(LEN(SUBSTITUTE(SUBSTITUTE(SUBSTITUTE(SUBSTITUTE(SUBSTITUTE(Клиенты_исходные!D802," ",""),"-",""),"+",""),"(",""),")",""))=10,"+7 ("&amp;MID(SUBSTITUTE(SUBSTITUTE(SUBSTITUTE(SUBSTITUTE(SUBSTITUTE(Клиенты_исходные!D802," ",""),"-",""),"+",""),"(",""),")",""),1,3)&amp;") "&amp;MID(SUBSTITUTE(SUBSTITUTE(SUBSTITUTE(SUBSTITUTE(SUBSTITUTE(Клиенты_исходные!D802," ",""),"-",""),"+",""),"(",""),")",""),4,3)&amp;"-"&amp;MID(SUBSTITUTE(SUBSTITUTE(SUBSTITUTE(SUBSTITUTE(SUBSTITUTE(Клиенты_исходные!D802," ",""),"-",""),"+",""),"(",""),")",""),6,2)&amp;"-"&amp;MID(SUBSTITUTE(SUBSTITUTE(SUBSTITUTE(SUBSTITUTE(SUBSTITUTE(Клиенты_исходные!D802," ",""),"-",""),"+",""),"(",""),")",""),8,2),Клиенты_исходные!D802)))</f>
        <v xml:space="preserve">+7 (903) 345-67-89</v>
      </c>
      <c r="E802" t="str">
        <f>IF(ISBLANK(Клиенты_исходные!E802),"",IF(ISNUMBER(FIND(".",MID(Клиенты_исходные!E802,FIND("@",Клиенты_исходные!E802)+1,255))),Клиенты_исходные!E802,IF(ISNUMBER(FIND("gmail",Клиенты_исходные!E802)),Клиенты_исходные!E802&amp;".com",Клиенты_исходные!E802&amp;".ru")))</f>
        <v>kuzmina@gmail.com</v>
      </c>
      <c r="F802" t="str">
        <f>IFERROR(VLOOKUP(Клиенты_исходные!F802,Справочники!$J$2:$K$50,2,FALSE),Клиенты_исходные!F802)</f>
        <v>Калининград</v>
      </c>
      <c r="G802" s="8">
        <f>IFERROR(IF(ISNUMBER(FIND(".",Клиенты_исходные!G802)),DATE(RIGHT(Клиенты_исходные!G802,4),MID(Клиенты_исходные!G802,4,2),LEFT(Клиенты_исходные!G802,2)),DATE(LEFT(Клиенты_исходные!G802,4),MID(Клиенты_исходные!G802,6,2),RIGHT(Клиенты_исходные!G802,2))),Клиенты_исходные!G802)</f>
        <v>52671</v>
      </c>
      <c r="H802">
        <f t="shared" ca="1" si="82"/>
        <v>50</v>
      </c>
      <c r="I802" t="str">
        <f t="shared" si="83"/>
        <v>OK</v>
      </c>
      <c r="J802" t="str">
        <f t="shared" si="84"/>
        <v>OK</v>
      </c>
    </row>
    <row r="803">
      <c r="A803" t="str">
        <f>Клиенты_исходные!A803</f>
        <v>C0802</v>
      </c>
      <c r="B803" t="str">
        <f>PROPER(TRIM(Клиенты_исходные!B803))</f>
        <v xml:space="preserve">Федосов Илья Алексеевич</v>
      </c>
      <c r="C803" s="8">
        <f>IFERROR(IF(ISNUMBER(FIND(".",Клиенты_исходные!C803)),DATE(RIGHT(Клиенты_исходные!C803,4),MID(Клиенты_исходные!C803,4,2),LEFT(Клиенты_исходные!C803,2)),DATE(LEFT(Клиенты_исходные!C803,4),MID(Клиенты_исходные!C803,6,2),RIGHT(Клиенты_исходные!C803,2))),Клиенты_исходные!C803)</f>
        <v>30225</v>
      </c>
      <c r="D803" t="str">
        <f>IF(ISBLANK(Клиенты_исходные!D803),"",IF(LEN(SUBSTITUTE(SUBSTITUTE(SUBSTITUTE(SUBSTITUTE(SUBSTITUTE(Клиенты_исходные!D803," ",""),"-",""),"+",""),"(",""),")",""))=11,"+7 ("&amp;MID(IF(LEFT(SUBSTITUTE(SUBSTITUTE(SUBSTITUTE(SUBSTITUTE(SUBSTITUTE(Клиенты_исходные!D803," ",""),"-",""),"+",""),"(",""),")",""))="8","7"&amp;MID(SUBSTITUTE(SUBSTITUTE(SUBSTITUTE(SUBSTITUTE(SUBSTITUTE(Клиенты_исходные!D803," ",""),"-",""),"+",""),"(",""),")",""),2,10),SUBSTITUTE(SUBSTITUTE(SUBSTITUTE(SUBSTITUTE(SUBSTITUTE(Клиенты_исходные!D803," ",""),"-",""),"+",""),"(",""),")","")),2,3)&amp;") "&amp;MID(IF(LEFT(SUBSTITUTE(SUBSTITUTE(SUBSTITUTE(SUBSTITUTE(SUBSTITUTE(Клиенты_исходные!D803," ",""),"-",""),"+",""),"(",""),")",""))="8","7"&amp;MID(SUBSTITUTE(SUBSTITUTE(SUBSTITUTE(SUBSTITUTE(SUBSTITUTE(Клиенты_исходные!D803," ",""),"-",""),"+",""),"(",""),")",""),2,10),SUBSTITUTE(SUBSTITUTE(SUBSTITUTE(SUBSTITUTE(SUBSTITUTE(Клиенты_исходные!D803," ",""),"-",""),"+",""),"(",""),")","")),5,3)&amp;"-"&amp;MID(IF(LEFT(SUBSTITUTE(SUBSTITUTE(SUBSTITUTE(SUBSTITUTE(SUBSTITUTE(Клиенты_исходные!D803," ",""),"-",""),"+",""),"(",""),")",""))="8","7"&amp;MID(SUBSTITUTE(SUBSTITUTE(SUBSTITUTE(SUBSTITUTE(SUBSTITUTE(Клиенты_исходные!D803," ",""),"-",""),"+",""),"(",""),")",""),2,10),SUBSTITUTE(SUBSTITUTE(SUBSTITUTE(SUBSTITUTE(SUBSTITUTE(Клиенты_исходные!D803," ",""),"-",""),"+",""),"(",""),")","")),8,2)&amp;"-"&amp;MID(IF(LEFT(SUBSTITUTE(SUBSTITUTE(SUBSTITUTE(SUBSTITUTE(SUBSTITUTE(Клиенты_исходные!D803," ",""),"-",""),"+",""),"(",""),")",""))="8","7"&amp;MID(SUBSTITUTE(SUBSTITUTE(SUBSTITUTE(SUBSTITUTE(SUBSTITUTE(Клиенты_исходные!D803," ",""),"-",""),"+",""),"(",""),")",""),2,10),SUBSTITUTE(SUBSTITUTE(SUBSTITUTE(SUBSTITUTE(SUBSTITUTE(Клиенты_исходные!D803," ",""),"-",""),"+",""),"(",""),")","")),10,2),IF(LEN(SUBSTITUTE(SUBSTITUTE(SUBSTITUTE(SUBSTITUTE(SUBSTITUTE(Клиенты_исходные!D803," ",""),"-",""),"+",""),"(",""),")",""))=10,"+7 ("&amp;MID(SUBSTITUTE(SUBSTITUTE(SUBSTITUTE(SUBSTITUTE(SUBSTITUTE(Клиенты_исходные!D803," ",""),"-",""),"+",""),"(",""),")",""),1,3)&amp;") "&amp;MID(SUBSTITUTE(SUBSTITUTE(SUBSTITUTE(SUBSTITUTE(SUBSTITUTE(Клиенты_исходные!D803," ",""),"-",""),"+",""),"(",""),")",""),4,3)&amp;"-"&amp;MID(SUBSTITUTE(SUBSTITUTE(SUBSTITUTE(SUBSTITUTE(SUBSTITUTE(Клиенты_исходные!D803," ",""),"-",""),"+",""),"(",""),")",""),6,2)&amp;"-"&amp;MID(SUBSTITUTE(SUBSTITUTE(SUBSTITUTE(SUBSTITUTE(SUBSTITUTE(Клиенты_исходные!D803," ",""),"-",""),"+",""),"(",""),")",""),8,2),Клиенты_исходные!D803)))</f>
        <v xml:space="preserve">+7 (903) 345-67-89</v>
      </c>
      <c r="E803" t="str">
        <f>IF(ISBLANK(Клиенты_исходные!E803),"",IF(ISNUMBER(FIND(".",MID(Клиенты_исходные!E803,FIND("@",Клиенты_исходные!E803)+1,255))),Клиенты_исходные!E803,IF(ISNUMBER(FIND("gmail",Клиенты_исходные!E803)),Клиенты_исходные!E803&amp;".com",Клиенты_исходные!E803&amp;".ru")))</f>
        <v>fedosov@mail.ru</v>
      </c>
      <c r="F803" t="str">
        <f>IFERROR(VLOOKUP(Клиенты_исходные!F803,Справочники!$J$2:$K$50,2,FALSE),Клиенты_исходные!F803)</f>
        <v>Петрозаводск</v>
      </c>
      <c r="G803" s="8">
        <f>IFERROR(IF(ISNUMBER(FIND(".",Клиенты_исходные!G803)),DATE(RIGHT(Клиенты_исходные!G803,4),MID(Клиенты_исходные!G803,4,2),LEFT(Клиенты_исходные!G803,2)),DATE(LEFT(Клиенты_исходные!G803,4),MID(Клиенты_исходные!G803,6,2),RIGHT(Клиенты_исходные!G803,2))),Клиенты_исходные!G803)</f>
        <v>52688</v>
      </c>
      <c r="H803">
        <f t="shared" ca="1" si="82"/>
        <v>44</v>
      </c>
      <c r="I803" t="str">
        <f t="shared" si="83"/>
        <v>OK</v>
      </c>
      <c r="J803" t="str">
        <f t="shared" si="84"/>
        <v>OK</v>
      </c>
    </row>
    <row r="804">
      <c r="A804" t="str">
        <f>Клиенты_исходные!A804</f>
        <v>C0803</v>
      </c>
      <c r="B804" t="str">
        <f>PROPER(TRIM(Клиенты_исходные!B804))</f>
        <v xml:space="preserve">Иващенко Екатерина Владимировна</v>
      </c>
      <c r="C804" s="8">
        <f>IFERROR(IF(ISNUMBER(FIND(".",Клиенты_исходные!C804)),DATE(RIGHT(Клиенты_исходные!C804,4),MID(Клиенты_исходные!C804,4,2),LEFT(Клиенты_исходные!C804,2)),DATE(LEFT(Клиенты_исходные!C804,4),MID(Клиенты_исходные!C804,6,2),RIGHT(Клиенты_исходные!C804,2))),Клиенты_исходные!C804)</f>
        <v>32461</v>
      </c>
      <c r="D804" t="str">
        <f>IF(ISBLANK(Клиенты_исходные!D804),"",IF(LEN(SUBSTITUTE(SUBSTITUTE(SUBSTITUTE(SUBSTITUTE(SUBSTITUTE(Клиенты_исходные!D804," ",""),"-",""),"+",""),"(",""),")",""))=11,"+7 ("&amp;MID(IF(LEFT(SUBSTITUTE(SUBSTITUTE(SUBSTITUTE(SUBSTITUTE(SUBSTITUTE(Клиенты_исходные!D804," ",""),"-",""),"+",""),"(",""),")",""))="8","7"&amp;MID(SUBSTITUTE(SUBSTITUTE(SUBSTITUTE(SUBSTITUTE(SUBSTITUTE(Клиенты_исходные!D804," ",""),"-",""),"+",""),"(",""),")",""),2,10),SUBSTITUTE(SUBSTITUTE(SUBSTITUTE(SUBSTITUTE(SUBSTITUTE(Клиенты_исходные!D804," ",""),"-",""),"+",""),"(",""),")","")),2,3)&amp;") "&amp;MID(IF(LEFT(SUBSTITUTE(SUBSTITUTE(SUBSTITUTE(SUBSTITUTE(SUBSTITUTE(Клиенты_исходные!D804," ",""),"-",""),"+",""),"(",""),")",""))="8","7"&amp;MID(SUBSTITUTE(SUBSTITUTE(SUBSTITUTE(SUBSTITUTE(SUBSTITUTE(Клиенты_исходные!D804," ",""),"-",""),"+",""),"(",""),")",""),2,10),SUBSTITUTE(SUBSTITUTE(SUBSTITUTE(SUBSTITUTE(SUBSTITUTE(Клиенты_исходные!D804," ",""),"-",""),"+",""),"(",""),")","")),5,3)&amp;"-"&amp;MID(IF(LEFT(SUBSTITUTE(SUBSTITUTE(SUBSTITUTE(SUBSTITUTE(SUBSTITUTE(Клиенты_исходные!D804," ",""),"-",""),"+",""),"(",""),")",""))="8","7"&amp;MID(SUBSTITUTE(SUBSTITUTE(SUBSTITUTE(SUBSTITUTE(SUBSTITUTE(Клиенты_исходные!D804," ",""),"-",""),"+",""),"(",""),")",""),2,10),SUBSTITUTE(SUBSTITUTE(SUBSTITUTE(SUBSTITUTE(SUBSTITUTE(Клиенты_исходные!D804," ",""),"-",""),"+",""),"(",""),")","")),8,2)&amp;"-"&amp;MID(IF(LEFT(SUBSTITUTE(SUBSTITUTE(SUBSTITUTE(SUBSTITUTE(SUBSTITUTE(Клиенты_исходные!D804," ",""),"-",""),"+",""),"(",""),")",""))="8","7"&amp;MID(SUBSTITUTE(SUBSTITUTE(SUBSTITUTE(SUBSTITUTE(SUBSTITUTE(Клиенты_исходные!D804," ",""),"-",""),"+",""),"(",""),")",""),2,10),SUBSTITUTE(SUBSTITUTE(SUBSTITUTE(SUBSTITUTE(SUBSTITUTE(Клиенты_исходные!D804," ",""),"-",""),"+",""),"(",""),")","")),10,2),IF(LEN(SUBSTITUTE(SUBSTITUTE(SUBSTITUTE(SUBSTITUTE(SUBSTITUTE(Клиенты_исходные!D804," ",""),"-",""),"+",""),"(",""),")",""))=10,"+7 ("&amp;MID(SUBSTITUTE(SUBSTITUTE(SUBSTITUTE(SUBSTITUTE(SUBSTITUTE(Клиенты_исходные!D804," ",""),"-",""),"+",""),"(",""),")",""),1,3)&amp;") "&amp;MID(SUBSTITUTE(SUBSTITUTE(SUBSTITUTE(SUBSTITUTE(SUBSTITUTE(Клиенты_исходные!D804," ",""),"-",""),"+",""),"(",""),")",""),4,3)&amp;"-"&amp;MID(SUBSTITUTE(SUBSTITUTE(SUBSTITUTE(SUBSTITUTE(SUBSTITUTE(Клиенты_исходные!D804," ",""),"-",""),"+",""),"(",""),")",""),6,2)&amp;"-"&amp;MID(SUBSTITUTE(SUBSTITUTE(SUBSTITUTE(SUBSTITUTE(SUBSTITUTE(Клиенты_исходные!D804," ",""),"-",""),"+",""),"(",""),")",""),8,2),Клиенты_исходные!D804)))</f>
        <v xml:space="preserve">+7 (903) 345-67-89</v>
      </c>
      <c r="E804" t="str">
        <f>IF(ISBLANK(Клиенты_исходные!E804),"",IF(ISNUMBER(FIND(".",MID(Клиенты_исходные!E804,FIND("@",Клиенты_исходные!E804)+1,255))),Клиенты_исходные!E804,IF(ISNUMBER(FIND("gmail",Клиенты_исходные!E804)),Клиенты_исходные!E804&amp;".com",Клиенты_исходные!E804&amp;".ru")))</f>
        <v>ivaschenko@yandex.ru</v>
      </c>
      <c r="F804" t="str">
        <f>IFERROR(VLOOKUP(Клиенты_исходные!F804,Справочники!$J$2:$K$50,2,FALSE),Клиенты_исходные!F804)</f>
        <v>Рубцовск</v>
      </c>
      <c r="G804" s="8">
        <f>IFERROR(IF(ISNUMBER(FIND(".",Клиенты_исходные!G804)),DATE(RIGHT(Клиенты_исходные!G804,4),MID(Клиенты_исходные!G804,4,2),LEFT(Клиенты_исходные!G804,2)),DATE(LEFT(Клиенты_исходные!G804,4),MID(Клиенты_исходные!G804,6,2),RIGHT(Клиенты_исходные!G804,2))),Клиенты_исходные!G804)</f>
        <v>52697</v>
      </c>
      <c r="H804">
        <f t="shared" ref="H804:H867" ca="1" si="85">DATEDIF(C804,TODAY(),"Y")</f>
        <v>37</v>
      </c>
      <c r="I804" t="str">
        <f t="shared" ref="I804:I867" si="86">IF(OR(H804&lt;18,H804&gt;80),"Ошибка даты рождения","OK")</f>
        <v>OK</v>
      </c>
      <c r="J804" t="str">
        <f t="shared" ref="J804:J867" si="87">IF(AND(ISNUMBER(FIND("@",E804)),ISNUMBER(FIND(".",MID(E804,FIND("@",E804)+1,255)))),"OK","Ошибка Email")</f>
        <v>OK</v>
      </c>
    </row>
    <row r="805">
      <c r="A805" t="str">
        <f>Клиенты_исходные!A805</f>
        <v>C0804</v>
      </c>
      <c r="B805" t="str">
        <f>PROPER(TRIM(Клиенты_исходные!B805))</f>
        <v xml:space="preserve">Поляков Андрей Олегович</v>
      </c>
      <c r="C805" s="8">
        <f>IFERROR(IF(ISNUMBER(FIND(".",Клиенты_исходные!C805)),DATE(RIGHT(Клиенты_исходные!C805,4),MID(Клиенты_исходные!C805,4,2),LEFT(Клиенты_исходные!C805,2)),DATE(LEFT(Клиенты_исходные!C805,4),MID(Клиенты_исходные!C805,6,2),RIGHT(Клиенты_исходные!C805,2))),Клиенты_исходные!C805)</f>
        <v>27578</v>
      </c>
      <c r="D805" t="str">
        <f>IF(ISBLANK(Клиенты_исходные!D805),"",IF(LEN(SUBSTITUTE(SUBSTITUTE(SUBSTITUTE(SUBSTITUTE(SUBSTITUTE(Клиенты_исходные!D805," ",""),"-",""),"+",""),"(",""),")",""))=11,"+7 ("&amp;MID(IF(LEFT(SUBSTITUTE(SUBSTITUTE(SUBSTITUTE(SUBSTITUTE(SUBSTITUTE(Клиенты_исходные!D805," ",""),"-",""),"+",""),"(",""),")",""))="8","7"&amp;MID(SUBSTITUTE(SUBSTITUTE(SUBSTITUTE(SUBSTITUTE(SUBSTITUTE(Клиенты_исходные!D805," ",""),"-",""),"+",""),"(",""),")",""),2,10),SUBSTITUTE(SUBSTITUTE(SUBSTITUTE(SUBSTITUTE(SUBSTITUTE(Клиенты_исходные!D805," ",""),"-",""),"+",""),"(",""),")","")),2,3)&amp;") "&amp;MID(IF(LEFT(SUBSTITUTE(SUBSTITUTE(SUBSTITUTE(SUBSTITUTE(SUBSTITUTE(Клиенты_исходные!D805," ",""),"-",""),"+",""),"(",""),")",""))="8","7"&amp;MID(SUBSTITUTE(SUBSTITUTE(SUBSTITUTE(SUBSTITUTE(SUBSTITUTE(Клиенты_исходные!D805," ",""),"-",""),"+",""),"(",""),")",""),2,10),SUBSTITUTE(SUBSTITUTE(SUBSTITUTE(SUBSTITUTE(SUBSTITUTE(Клиенты_исходные!D805," ",""),"-",""),"+",""),"(",""),")","")),5,3)&amp;"-"&amp;MID(IF(LEFT(SUBSTITUTE(SUBSTITUTE(SUBSTITUTE(SUBSTITUTE(SUBSTITUTE(Клиенты_исходные!D805," ",""),"-",""),"+",""),"(",""),")",""))="8","7"&amp;MID(SUBSTITUTE(SUBSTITUTE(SUBSTITUTE(SUBSTITUTE(SUBSTITUTE(Клиенты_исходные!D805," ",""),"-",""),"+",""),"(",""),")",""),2,10),SUBSTITUTE(SUBSTITUTE(SUBSTITUTE(SUBSTITUTE(SUBSTITUTE(Клиенты_исходные!D805," ",""),"-",""),"+",""),"(",""),")","")),8,2)&amp;"-"&amp;MID(IF(LEFT(SUBSTITUTE(SUBSTITUTE(SUBSTITUTE(SUBSTITUTE(SUBSTITUTE(Клиенты_исходные!D805," ",""),"-",""),"+",""),"(",""),")",""))="8","7"&amp;MID(SUBSTITUTE(SUBSTITUTE(SUBSTITUTE(SUBSTITUTE(SUBSTITUTE(Клиенты_исходные!D805," ",""),"-",""),"+",""),"(",""),")",""),2,10),SUBSTITUTE(SUBSTITUTE(SUBSTITUTE(SUBSTITUTE(SUBSTITUTE(Клиенты_исходные!D805," ",""),"-",""),"+",""),"(",""),")","")),10,2),IF(LEN(SUBSTITUTE(SUBSTITUTE(SUBSTITUTE(SUBSTITUTE(SUBSTITUTE(Клиенты_исходные!D805," ",""),"-",""),"+",""),"(",""),")",""))=10,"+7 ("&amp;MID(SUBSTITUTE(SUBSTITUTE(SUBSTITUTE(SUBSTITUTE(SUBSTITUTE(Клиенты_исходные!D805," ",""),"-",""),"+",""),"(",""),")",""),1,3)&amp;") "&amp;MID(SUBSTITUTE(SUBSTITUTE(SUBSTITUTE(SUBSTITUTE(SUBSTITUTE(Клиенты_исходные!D805," ",""),"-",""),"+",""),"(",""),")",""),4,3)&amp;"-"&amp;MID(SUBSTITUTE(SUBSTITUTE(SUBSTITUTE(SUBSTITUTE(SUBSTITUTE(Клиенты_исходные!D805," ",""),"-",""),"+",""),"(",""),")",""),6,2)&amp;"-"&amp;MID(SUBSTITUTE(SUBSTITUTE(SUBSTITUTE(SUBSTITUTE(SUBSTITUTE(Клиенты_исходные!D805," ",""),"-",""),"+",""),"(",""),")",""),8,2),Клиенты_исходные!D805)))</f>
        <v xml:space="preserve">+7 (903) 456-78-90</v>
      </c>
      <c r="E805" t="str">
        <f>IF(ISBLANK(Клиенты_исходные!E805),"",IF(ISNUMBER(FIND(".",MID(Клиенты_исходные!E805,FIND("@",Клиенты_исходные!E805)+1,255))),Клиенты_исходные!E805,IF(ISNUMBER(FIND("gmail",Клиенты_исходные!E805)),Клиенты_исходные!E805&amp;".com",Клиенты_исходные!E805&amp;".ru")))</f>
        <v>polyakov@gmail.com</v>
      </c>
      <c r="F805" t="str">
        <f>IFERROR(VLOOKUP(Клиенты_исходные!F805,Справочники!$J$2:$K$50,2,FALSE),Клиенты_исходные!F805)</f>
        <v>Элиста</v>
      </c>
      <c r="G805" s="8">
        <f>IFERROR(IF(ISNUMBER(FIND(".",Клиенты_исходные!G805)),DATE(RIGHT(Клиенты_исходные!G805,4),MID(Клиенты_исходные!G805,4,2),LEFT(Клиенты_исходные!G805,2)),DATE(LEFT(Клиенты_исходные!G805,4),MID(Клиенты_исходные!G805,6,2),RIGHT(Клиенты_исходные!G805,2))),Клиенты_исходные!G805)</f>
        <v>52697</v>
      </c>
      <c r="H805">
        <f t="shared" ca="1" si="85"/>
        <v>51</v>
      </c>
      <c r="I805" t="str">
        <f t="shared" si="86"/>
        <v>OK</v>
      </c>
      <c r="J805" t="str">
        <f t="shared" si="87"/>
        <v>OK</v>
      </c>
    </row>
    <row r="806">
      <c r="A806" t="str">
        <f>Клиенты_исходные!A806</f>
        <v>C0805</v>
      </c>
      <c r="B806" t="str">
        <f>PROPER(TRIM(Клиенты_исходные!B806))</f>
        <v xml:space="preserve">Павлова Мария Павловна</v>
      </c>
      <c r="C806" s="8">
        <f>IFERROR(IF(ISNUMBER(FIND(".",Клиенты_исходные!C806)),DATE(RIGHT(Клиенты_исходные!C806,4),MID(Клиенты_исходные!C806,4,2),LEFT(Клиенты_исходные!C806,2)),DATE(LEFT(Клиенты_исходные!C806,4),MID(Клиенты_исходные!C806,6,2),RIGHT(Клиенты_исходные!C806,2))),Клиенты_исходные!C806)</f>
        <v>29638</v>
      </c>
      <c r="D806" t="str">
        <f>IF(ISBLANK(Клиенты_исходные!D806),"",IF(LEN(SUBSTITUTE(SUBSTITUTE(SUBSTITUTE(SUBSTITUTE(SUBSTITUTE(Клиенты_исходные!D806," ",""),"-",""),"+",""),"(",""),")",""))=11,"+7 ("&amp;MID(IF(LEFT(SUBSTITUTE(SUBSTITUTE(SUBSTITUTE(SUBSTITUTE(SUBSTITUTE(Клиенты_исходные!D806," ",""),"-",""),"+",""),"(",""),")",""))="8","7"&amp;MID(SUBSTITUTE(SUBSTITUTE(SUBSTITUTE(SUBSTITUTE(SUBSTITUTE(Клиенты_исходные!D806," ",""),"-",""),"+",""),"(",""),")",""),2,10),SUBSTITUTE(SUBSTITUTE(SUBSTITUTE(SUBSTITUTE(SUBSTITUTE(Клиенты_исходные!D806," ",""),"-",""),"+",""),"(",""),")","")),2,3)&amp;") "&amp;MID(IF(LEFT(SUBSTITUTE(SUBSTITUTE(SUBSTITUTE(SUBSTITUTE(SUBSTITUTE(Клиенты_исходные!D806," ",""),"-",""),"+",""),"(",""),")",""))="8","7"&amp;MID(SUBSTITUTE(SUBSTITUTE(SUBSTITUTE(SUBSTITUTE(SUBSTITUTE(Клиенты_исходные!D806," ",""),"-",""),"+",""),"(",""),")",""),2,10),SUBSTITUTE(SUBSTITUTE(SUBSTITUTE(SUBSTITUTE(SUBSTITUTE(Клиенты_исходные!D806," ",""),"-",""),"+",""),"(",""),")","")),5,3)&amp;"-"&amp;MID(IF(LEFT(SUBSTITUTE(SUBSTITUTE(SUBSTITUTE(SUBSTITUTE(SUBSTITUTE(Клиенты_исходные!D806," ",""),"-",""),"+",""),"(",""),")",""))="8","7"&amp;MID(SUBSTITUTE(SUBSTITUTE(SUBSTITUTE(SUBSTITUTE(SUBSTITUTE(Клиенты_исходные!D806," ",""),"-",""),"+",""),"(",""),")",""),2,10),SUBSTITUTE(SUBSTITUTE(SUBSTITUTE(SUBSTITUTE(SUBSTITUTE(Клиенты_исходные!D806," ",""),"-",""),"+",""),"(",""),")","")),8,2)&amp;"-"&amp;MID(IF(LEFT(SUBSTITUTE(SUBSTITUTE(SUBSTITUTE(SUBSTITUTE(SUBSTITUTE(Клиенты_исходные!D806," ",""),"-",""),"+",""),"(",""),")",""))="8","7"&amp;MID(SUBSTITUTE(SUBSTITUTE(SUBSTITUTE(SUBSTITUTE(SUBSTITUTE(Клиенты_исходные!D806," ",""),"-",""),"+",""),"(",""),")",""),2,10),SUBSTITUTE(SUBSTITUTE(SUBSTITUTE(SUBSTITUTE(SUBSTITUTE(Клиенты_исходные!D806," ",""),"-",""),"+",""),"(",""),")","")),10,2),IF(LEN(SUBSTITUTE(SUBSTITUTE(SUBSTITUTE(SUBSTITUTE(SUBSTITUTE(Клиенты_исходные!D806," ",""),"-",""),"+",""),"(",""),")",""))=10,"+7 ("&amp;MID(SUBSTITUTE(SUBSTITUTE(SUBSTITUTE(SUBSTITUTE(SUBSTITUTE(Клиенты_исходные!D806," ",""),"-",""),"+",""),"(",""),")",""),1,3)&amp;") "&amp;MID(SUBSTITUTE(SUBSTITUTE(SUBSTITUTE(SUBSTITUTE(SUBSTITUTE(Клиенты_исходные!D806," ",""),"-",""),"+",""),"(",""),")",""),4,3)&amp;"-"&amp;MID(SUBSTITUTE(SUBSTITUTE(SUBSTITUTE(SUBSTITUTE(SUBSTITUTE(Клиенты_исходные!D806," ",""),"-",""),"+",""),"(",""),")",""),6,2)&amp;"-"&amp;MID(SUBSTITUTE(SUBSTITUTE(SUBSTITUTE(SUBSTITUTE(SUBSTITUTE(Клиенты_исходные!D806," ",""),"-",""),"+",""),"(",""),")",""),8,2),Клиенты_исходные!D806)))</f>
        <v xml:space="preserve">+7 (903) 456-78-90</v>
      </c>
      <c r="E806" t="str">
        <f>IF(ISBLANK(Клиенты_исходные!E806),"",IF(ISNUMBER(FIND(".",MID(Клиенты_исходные!E806,FIND("@",Клиенты_исходные!E806)+1,255))),Клиенты_исходные!E806,IF(ISNUMBER(FIND("gmail",Клиенты_исходные!E806)),Клиенты_исходные!E806&amp;".com",Клиенты_исходные!E806&amp;".ru")))</f>
        <v>pavlova@mail.ru</v>
      </c>
      <c r="F806" t="str">
        <f>IFERROR(VLOOKUP(Клиенты_исходные!F806,Справочники!$J$2:$K$50,2,FALSE),Клиенты_исходные!F806)</f>
        <v>Орск</v>
      </c>
      <c r="G806" s="8">
        <f>IFERROR(IF(ISNUMBER(FIND(".",Клиенты_исходные!G806)),DATE(RIGHT(Клиенты_исходные!G806,4),MID(Клиенты_исходные!G806,4,2),LEFT(Клиенты_исходные!G806,2)),DATE(LEFT(Клиенты_исходные!G806,4),MID(Клиенты_исходные!G806,6,2),RIGHT(Клиенты_исходные!G806,2))),Клиенты_исходные!G806)</f>
        <v>52718</v>
      </c>
      <c r="H806">
        <f t="shared" ca="1" si="85"/>
        <v>45</v>
      </c>
      <c r="I806" t="str">
        <f t="shared" si="86"/>
        <v>OK</v>
      </c>
      <c r="J806" t="str">
        <f t="shared" si="87"/>
        <v>OK</v>
      </c>
    </row>
    <row r="807">
      <c r="A807" t="str">
        <f>Клиенты_исходные!A807</f>
        <v>C0806</v>
      </c>
      <c r="B807" t="str">
        <f>PROPER(TRIM(Клиенты_исходные!B807))</f>
        <v xml:space="preserve">Трунов Денис Сергеевич</v>
      </c>
      <c r="C807" s="8">
        <f>IFERROR(IF(ISNUMBER(FIND(".",Клиенты_исходные!C807)),DATE(RIGHT(Клиенты_исходные!C807,4),MID(Клиенты_исходные!C807,4,2),LEFT(Клиенты_исходные!C807,2)),DATE(LEFT(Клиенты_исходные!C807,4),MID(Клиенты_исходные!C807,6,2),RIGHT(Клиенты_исходные!C807,2))),Клиенты_исходные!C807)</f>
        <v>31770</v>
      </c>
      <c r="D807" t="str">
        <f>IF(ISBLANK(Клиенты_исходные!D807),"",IF(LEN(SUBSTITUTE(SUBSTITUTE(SUBSTITUTE(SUBSTITUTE(SUBSTITUTE(Клиенты_исходные!D807," ",""),"-",""),"+",""),"(",""),")",""))=11,"+7 ("&amp;MID(IF(LEFT(SUBSTITUTE(SUBSTITUTE(SUBSTITUTE(SUBSTITUTE(SUBSTITUTE(Клиенты_исходные!D807," ",""),"-",""),"+",""),"(",""),")",""))="8","7"&amp;MID(SUBSTITUTE(SUBSTITUTE(SUBSTITUTE(SUBSTITUTE(SUBSTITUTE(Клиенты_исходные!D807," ",""),"-",""),"+",""),"(",""),")",""),2,10),SUBSTITUTE(SUBSTITUTE(SUBSTITUTE(SUBSTITUTE(SUBSTITUTE(Клиенты_исходные!D807," ",""),"-",""),"+",""),"(",""),")","")),2,3)&amp;") "&amp;MID(IF(LEFT(SUBSTITUTE(SUBSTITUTE(SUBSTITUTE(SUBSTITUTE(SUBSTITUTE(Клиенты_исходные!D807," ",""),"-",""),"+",""),"(",""),")",""))="8","7"&amp;MID(SUBSTITUTE(SUBSTITUTE(SUBSTITUTE(SUBSTITUTE(SUBSTITUTE(Клиенты_исходные!D807," ",""),"-",""),"+",""),"(",""),")",""),2,10),SUBSTITUTE(SUBSTITUTE(SUBSTITUTE(SUBSTITUTE(SUBSTITUTE(Клиенты_исходные!D807," ",""),"-",""),"+",""),"(",""),")","")),5,3)&amp;"-"&amp;MID(IF(LEFT(SUBSTITUTE(SUBSTITUTE(SUBSTITUTE(SUBSTITUTE(SUBSTITUTE(Клиенты_исходные!D807," ",""),"-",""),"+",""),"(",""),")",""))="8","7"&amp;MID(SUBSTITUTE(SUBSTITUTE(SUBSTITUTE(SUBSTITUTE(SUBSTITUTE(Клиенты_исходные!D807," ",""),"-",""),"+",""),"(",""),")",""),2,10),SUBSTITUTE(SUBSTITUTE(SUBSTITUTE(SUBSTITUTE(SUBSTITUTE(Клиенты_исходные!D807," ",""),"-",""),"+",""),"(",""),")","")),8,2)&amp;"-"&amp;MID(IF(LEFT(SUBSTITUTE(SUBSTITUTE(SUBSTITUTE(SUBSTITUTE(SUBSTITUTE(Клиенты_исходные!D807," ",""),"-",""),"+",""),"(",""),")",""))="8","7"&amp;MID(SUBSTITUTE(SUBSTITUTE(SUBSTITUTE(SUBSTITUTE(SUBSTITUTE(Клиенты_исходные!D807," ",""),"-",""),"+",""),"(",""),")",""),2,10),SUBSTITUTE(SUBSTITUTE(SUBSTITUTE(SUBSTITUTE(SUBSTITUTE(Клиенты_исходные!D807," ",""),"-",""),"+",""),"(",""),")","")),10,2),IF(LEN(SUBSTITUTE(SUBSTITUTE(SUBSTITUTE(SUBSTITUTE(SUBSTITUTE(Клиенты_исходные!D807," ",""),"-",""),"+",""),"(",""),")",""))=10,"+7 ("&amp;MID(SUBSTITUTE(SUBSTITUTE(SUBSTITUTE(SUBSTITUTE(SUBSTITUTE(Клиенты_исходные!D807," ",""),"-",""),"+",""),"(",""),")",""),1,3)&amp;") "&amp;MID(SUBSTITUTE(SUBSTITUTE(SUBSTITUTE(SUBSTITUTE(SUBSTITUTE(Клиенты_исходные!D807," ",""),"-",""),"+",""),"(",""),")",""),4,3)&amp;"-"&amp;MID(SUBSTITUTE(SUBSTITUTE(SUBSTITUTE(SUBSTITUTE(SUBSTITUTE(Клиенты_исходные!D807," ",""),"-",""),"+",""),"(",""),")",""),6,2)&amp;"-"&amp;MID(SUBSTITUTE(SUBSTITUTE(SUBSTITUTE(SUBSTITUTE(SUBSTITUTE(Клиенты_исходные!D807," ",""),"-",""),"+",""),"(",""),")",""),8,2),Клиенты_исходные!D807)))</f>
        <v xml:space="preserve">+7 (903) 456-78-90</v>
      </c>
      <c r="E807" t="str">
        <f>IF(ISBLANK(Клиенты_исходные!E807),"",IF(ISNUMBER(FIND(".",MID(Клиенты_исходные!E807,FIND("@",Клиенты_исходные!E807)+1,255))),Клиенты_исходные!E807,IF(ISNUMBER(FIND("gmail",Клиенты_исходные!E807)),Клиенты_исходные!E807&amp;".com",Клиенты_исходные!E807&amp;".ru")))</f>
        <v>trunov@yandex.ru</v>
      </c>
      <c r="F807" t="str">
        <f>IFERROR(VLOOKUP(Клиенты_исходные!F807,Справочники!$J$2:$K$50,2,FALSE),Клиенты_исходные!F807)</f>
        <v>Нижневартовск</v>
      </c>
      <c r="G807" s="8">
        <f>IFERROR(IF(ISNUMBER(FIND(".",Клиенты_исходные!G807)),DATE(RIGHT(Клиенты_исходные!G807,4),MID(Клиенты_исходные!G807,4,2),LEFT(Клиенты_исходные!G807,2)),DATE(LEFT(Клиенты_исходные!G807,4),MID(Клиенты_исходные!G807,6,2),RIGHT(Клиенты_исходные!G807,2))),Клиенты_исходные!G807)</f>
        <v>52732</v>
      </c>
      <c r="H807">
        <f t="shared" ca="1" si="85"/>
        <v>39</v>
      </c>
      <c r="I807" t="str">
        <f t="shared" si="86"/>
        <v>OK</v>
      </c>
      <c r="J807" t="str">
        <f t="shared" si="87"/>
        <v>OK</v>
      </c>
    </row>
    <row r="808">
      <c r="A808" t="str">
        <f>Клиенты_исходные!A808</f>
        <v>C0807</v>
      </c>
      <c r="B808" t="str">
        <f>PROPER(TRIM(Клиенты_исходные!B808))</f>
        <v xml:space="preserve">Байкова Ольга Владимировна</v>
      </c>
      <c r="C808" s="8">
        <f>IFERROR(IF(ISNUMBER(FIND(".",Клиенты_исходные!C808)),DATE(RIGHT(Клиенты_исходные!C808,4),MID(Клиенты_исходные!C808,4,2),LEFT(Клиенты_исходные!C808,2)),DATE(LEFT(Клиенты_исходные!C808,4),MID(Клиенты_исходные!C808,6,2),RIGHT(Клиенты_исходные!C808,2))),Клиенты_исходные!C808)</f>
        <v>26762</v>
      </c>
      <c r="D808" t="str">
        <f>IF(ISBLANK(Клиенты_исходные!D808),"",IF(LEN(SUBSTITUTE(SUBSTITUTE(SUBSTITUTE(SUBSTITUTE(SUBSTITUTE(Клиенты_исходные!D808," ",""),"-",""),"+",""),"(",""),")",""))=11,"+7 ("&amp;MID(IF(LEFT(SUBSTITUTE(SUBSTITUTE(SUBSTITUTE(SUBSTITUTE(SUBSTITUTE(Клиенты_исходные!D808," ",""),"-",""),"+",""),"(",""),")",""))="8","7"&amp;MID(SUBSTITUTE(SUBSTITUTE(SUBSTITUTE(SUBSTITUTE(SUBSTITUTE(Клиенты_исходные!D808," ",""),"-",""),"+",""),"(",""),")",""),2,10),SUBSTITUTE(SUBSTITUTE(SUBSTITUTE(SUBSTITUTE(SUBSTITUTE(Клиенты_исходные!D808," ",""),"-",""),"+",""),"(",""),")","")),2,3)&amp;") "&amp;MID(IF(LEFT(SUBSTITUTE(SUBSTITUTE(SUBSTITUTE(SUBSTITUTE(SUBSTITUTE(Клиенты_исходные!D808," ",""),"-",""),"+",""),"(",""),")",""))="8","7"&amp;MID(SUBSTITUTE(SUBSTITUTE(SUBSTITUTE(SUBSTITUTE(SUBSTITUTE(Клиенты_исходные!D808," ",""),"-",""),"+",""),"(",""),")",""),2,10),SUBSTITUTE(SUBSTITUTE(SUBSTITUTE(SUBSTITUTE(SUBSTITUTE(Клиенты_исходные!D808," ",""),"-",""),"+",""),"(",""),")","")),5,3)&amp;"-"&amp;MID(IF(LEFT(SUBSTITUTE(SUBSTITUTE(SUBSTITUTE(SUBSTITUTE(SUBSTITUTE(Клиенты_исходные!D808," ",""),"-",""),"+",""),"(",""),")",""))="8","7"&amp;MID(SUBSTITUTE(SUBSTITUTE(SUBSTITUTE(SUBSTITUTE(SUBSTITUTE(Клиенты_исходные!D808," ",""),"-",""),"+",""),"(",""),")",""),2,10),SUBSTITUTE(SUBSTITUTE(SUBSTITUTE(SUBSTITUTE(SUBSTITUTE(Клиенты_исходные!D808," ",""),"-",""),"+",""),"(",""),")","")),8,2)&amp;"-"&amp;MID(IF(LEFT(SUBSTITUTE(SUBSTITUTE(SUBSTITUTE(SUBSTITUTE(SUBSTITUTE(Клиенты_исходные!D808," ",""),"-",""),"+",""),"(",""),")",""))="8","7"&amp;MID(SUBSTITUTE(SUBSTITUTE(SUBSTITUTE(SUBSTITUTE(SUBSTITUTE(Клиенты_исходные!D808," ",""),"-",""),"+",""),"(",""),")",""),2,10),SUBSTITUTE(SUBSTITUTE(SUBSTITUTE(SUBSTITUTE(SUBSTITUTE(Клиенты_исходные!D808," ",""),"-",""),"+",""),"(",""),")","")),10,2),IF(LEN(SUBSTITUTE(SUBSTITUTE(SUBSTITUTE(SUBSTITUTE(SUBSTITUTE(Клиенты_исходные!D808," ",""),"-",""),"+",""),"(",""),")",""))=10,"+7 ("&amp;MID(SUBSTITUTE(SUBSTITUTE(SUBSTITUTE(SUBSTITUTE(SUBSTITUTE(Клиенты_исходные!D808," ",""),"-",""),"+",""),"(",""),")",""),1,3)&amp;") "&amp;MID(SUBSTITUTE(SUBSTITUTE(SUBSTITUTE(SUBSTITUTE(SUBSTITUTE(Клиенты_исходные!D808," ",""),"-",""),"+",""),"(",""),")",""),4,3)&amp;"-"&amp;MID(SUBSTITUTE(SUBSTITUTE(SUBSTITUTE(SUBSTITUTE(SUBSTITUTE(Клиенты_исходные!D808," ",""),"-",""),"+",""),"(",""),")",""),6,2)&amp;"-"&amp;MID(SUBSTITUTE(SUBSTITUTE(SUBSTITUTE(SUBSTITUTE(SUBSTITUTE(Клиенты_исходные!D808," ",""),"-",""),"+",""),"(",""),")",""),8,2),Клиенты_исходные!D808)))</f>
        <v xml:space="preserve">+7 (903) 567-89-01</v>
      </c>
      <c r="E808" t="str">
        <f>IF(ISBLANK(Клиенты_исходные!E808),"",IF(ISNUMBER(FIND(".",MID(Клиенты_исходные!E808,FIND("@",Клиенты_исходные!E808)+1,255))),Клиенты_исходные!E808,IF(ISNUMBER(FIND("gmail",Клиенты_исходные!E808)),Клиенты_исходные!E808&amp;".com",Клиенты_исходные!E808&amp;".ru")))</f>
        <v>baykova@gmail.com</v>
      </c>
      <c r="F808" t="str">
        <f>IFERROR(VLOOKUP(Клиенты_исходные!F808,Справочники!$J$2:$K$50,2,FALSE),Клиенты_исходные!F808)</f>
        <v>Новороссийск</v>
      </c>
      <c r="G808" s="8">
        <f>IFERROR(IF(ISNUMBER(FIND(".",Клиенты_исходные!G808)),DATE(RIGHT(Клиенты_исходные!G808,4),MID(Клиенты_исходные!G808,4,2),LEFT(Клиенты_исходные!G808,2)),DATE(LEFT(Клиенты_исходные!G808,4),MID(Клиенты_исходные!G808,6,2),RIGHT(Клиенты_исходные!G808,2))),Клиенты_исходные!G808)</f>
        <v>52732</v>
      </c>
      <c r="H808">
        <f t="shared" ca="1" si="85"/>
        <v>53</v>
      </c>
      <c r="I808" t="str">
        <f t="shared" si="86"/>
        <v>OK</v>
      </c>
      <c r="J808" t="str">
        <f t="shared" si="87"/>
        <v>OK</v>
      </c>
    </row>
    <row r="809">
      <c r="A809" t="str">
        <f>Клиенты_исходные!A809</f>
        <v>C0808</v>
      </c>
      <c r="B809" t="str">
        <f>PROPER(TRIM(Клиенты_исходные!B809))</f>
        <v xml:space="preserve">Клишин Илья Александрович</v>
      </c>
      <c r="C809" s="8">
        <f>IFERROR(IF(ISNUMBER(FIND(".",Клиенты_исходные!C809)),DATE(RIGHT(Клиенты_исходные!C809,4),MID(Клиенты_исходные!C809,4,2),LEFT(Клиенты_исходные!C809,2)),DATE(LEFT(Клиенты_исходные!C809,4),MID(Клиенты_исходные!C809,6,2),RIGHT(Клиенты_исходные!C809,2))),Клиенты_исходные!C809)</f>
        <v>31303</v>
      </c>
      <c r="D809" t="str">
        <f>IF(ISBLANK(Клиенты_исходные!D809),"",IF(LEN(SUBSTITUTE(SUBSTITUTE(SUBSTITUTE(SUBSTITUTE(SUBSTITUTE(Клиенты_исходные!D809," ",""),"-",""),"+",""),"(",""),")",""))=11,"+7 ("&amp;MID(IF(LEFT(SUBSTITUTE(SUBSTITUTE(SUBSTITUTE(SUBSTITUTE(SUBSTITUTE(Клиенты_исходные!D809," ",""),"-",""),"+",""),"(",""),")",""))="8","7"&amp;MID(SUBSTITUTE(SUBSTITUTE(SUBSTITUTE(SUBSTITUTE(SUBSTITUTE(Клиенты_исходные!D809," ",""),"-",""),"+",""),"(",""),")",""),2,10),SUBSTITUTE(SUBSTITUTE(SUBSTITUTE(SUBSTITUTE(SUBSTITUTE(Клиенты_исходные!D809," ",""),"-",""),"+",""),"(",""),")","")),2,3)&amp;") "&amp;MID(IF(LEFT(SUBSTITUTE(SUBSTITUTE(SUBSTITUTE(SUBSTITUTE(SUBSTITUTE(Клиенты_исходные!D809," ",""),"-",""),"+",""),"(",""),")",""))="8","7"&amp;MID(SUBSTITUTE(SUBSTITUTE(SUBSTITUTE(SUBSTITUTE(SUBSTITUTE(Клиенты_исходные!D809," ",""),"-",""),"+",""),"(",""),")",""),2,10),SUBSTITUTE(SUBSTITUTE(SUBSTITUTE(SUBSTITUTE(SUBSTITUTE(Клиенты_исходные!D809," ",""),"-",""),"+",""),"(",""),")","")),5,3)&amp;"-"&amp;MID(IF(LEFT(SUBSTITUTE(SUBSTITUTE(SUBSTITUTE(SUBSTITUTE(SUBSTITUTE(Клиенты_исходные!D809," ",""),"-",""),"+",""),"(",""),")",""))="8","7"&amp;MID(SUBSTITUTE(SUBSTITUTE(SUBSTITUTE(SUBSTITUTE(SUBSTITUTE(Клиенты_исходные!D809," ",""),"-",""),"+",""),"(",""),")",""),2,10),SUBSTITUTE(SUBSTITUTE(SUBSTITUTE(SUBSTITUTE(SUBSTITUTE(Клиенты_исходные!D809," ",""),"-",""),"+",""),"(",""),")","")),8,2)&amp;"-"&amp;MID(IF(LEFT(SUBSTITUTE(SUBSTITUTE(SUBSTITUTE(SUBSTITUTE(SUBSTITUTE(Клиенты_исходные!D809," ",""),"-",""),"+",""),"(",""),")",""))="8","7"&amp;MID(SUBSTITUTE(SUBSTITUTE(SUBSTITUTE(SUBSTITUTE(SUBSTITUTE(Клиенты_исходные!D809," ",""),"-",""),"+",""),"(",""),")",""),2,10),SUBSTITUTE(SUBSTITUTE(SUBSTITUTE(SUBSTITUTE(SUBSTITUTE(Клиенты_исходные!D809," ",""),"-",""),"+",""),"(",""),")","")),10,2),IF(LEN(SUBSTITUTE(SUBSTITUTE(SUBSTITUTE(SUBSTITUTE(SUBSTITUTE(Клиенты_исходные!D809," ",""),"-",""),"+",""),"(",""),")",""))=10,"+7 ("&amp;MID(SUBSTITUTE(SUBSTITUTE(SUBSTITUTE(SUBSTITUTE(SUBSTITUTE(Клиенты_исходные!D809," ",""),"-",""),"+",""),"(",""),")",""),1,3)&amp;") "&amp;MID(SUBSTITUTE(SUBSTITUTE(SUBSTITUTE(SUBSTITUTE(SUBSTITUTE(Клиенты_исходные!D809," ",""),"-",""),"+",""),"(",""),")",""),4,3)&amp;"-"&amp;MID(SUBSTITUTE(SUBSTITUTE(SUBSTITUTE(SUBSTITUTE(SUBSTITUTE(Клиенты_исходные!D809," ",""),"-",""),"+",""),"(",""),")",""),6,2)&amp;"-"&amp;MID(SUBSTITUTE(SUBSTITUTE(SUBSTITUTE(SUBSTITUTE(SUBSTITUTE(Клиенты_исходные!D809," ",""),"-",""),"+",""),"(",""),")",""),8,2),Клиенты_исходные!D809)))</f>
        <v xml:space="preserve">+7 (903) 567-89-01</v>
      </c>
      <c r="E809" t="str">
        <f>IF(ISBLANK(Клиенты_исходные!E809),"",IF(ISNUMBER(FIND(".",MID(Клиенты_исходные!E809,FIND("@",Клиенты_исходные!E809)+1,255))),Клиенты_исходные!E809,IF(ISNUMBER(FIND("gmail",Клиенты_исходные!E809)),Клиенты_исходные!E809&amp;".com",Клиенты_исходные!E809&amp;".ru")))</f>
        <v>klishin@mail.ru</v>
      </c>
      <c r="F809" t="str">
        <f>IFERROR(VLOOKUP(Клиенты_исходные!F809,Справочники!$J$2:$K$50,2,FALSE),Клиенты_исходные!F809)</f>
        <v>Химки</v>
      </c>
      <c r="G809" s="8">
        <f>IFERROR(IF(ISNUMBER(FIND(".",Клиенты_исходные!G809)),DATE(RIGHT(Клиенты_исходные!G809,4),MID(Клиенты_исходные!G809,4,2),LEFT(Клиенты_исходные!G809,2)),DATE(LEFT(Клиенты_исходные!G809,4),MID(Клиенты_исходные!G809,6,2),RIGHT(Клиенты_исходные!G809,2))),Клиенты_исходные!G809)</f>
        <v>52749</v>
      </c>
      <c r="H809">
        <f t="shared" ca="1" si="85"/>
        <v>41</v>
      </c>
      <c r="I809" t="str">
        <f t="shared" si="86"/>
        <v>OK</v>
      </c>
      <c r="J809" t="str">
        <f t="shared" si="87"/>
        <v>OK</v>
      </c>
    </row>
    <row r="810">
      <c r="A810" t="str">
        <f>Клиенты_исходные!A810</f>
        <v>C0809</v>
      </c>
      <c r="B810" t="str">
        <f>PROPER(TRIM(Клиенты_исходные!B810))</f>
        <v xml:space="preserve">Ярцева Екатерина Сергеевна</v>
      </c>
      <c r="C810" s="8">
        <f>IFERROR(IF(ISNUMBER(FIND(".",Клиенты_исходные!C810)),DATE(RIGHT(Клиенты_исходные!C810,4),MID(Клиенты_исходные!C810,4,2),LEFT(Клиенты_исходные!C810,2)),DATE(LEFT(Клиенты_исходные!C810,4),MID(Клиенты_исходные!C810,6,2),RIGHT(Клиенты_исходные!C810,2))),Клиенты_исходные!C810)</f>
        <v>33755</v>
      </c>
      <c r="D810" t="str">
        <f>IF(ISBLANK(Клиенты_исходные!D810),"",IF(LEN(SUBSTITUTE(SUBSTITUTE(SUBSTITUTE(SUBSTITUTE(SUBSTITUTE(Клиенты_исходные!D810," ",""),"-",""),"+",""),"(",""),")",""))=11,"+7 ("&amp;MID(IF(LEFT(SUBSTITUTE(SUBSTITUTE(SUBSTITUTE(SUBSTITUTE(SUBSTITUTE(Клиенты_исходные!D810," ",""),"-",""),"+",""),"(",""),")",""))="8","7"&amp;MID(SUBSTITUTE(SUBSTITUTE(SUBSTITUTE(SUBSTITUTE(SUBSTITUTE(Клиенты_исходные!D810," ",""),"-",""),"+",""),"(",""),")",""),2,10),SUBSTITUTE(SUBSTITUTE(SUBSTITUTE(SUBSTITUTE(SUBSTITUTE(Клиенты_исходные!D810," ",""),"-",""),"+",""),"(",""),")","")),2,3)&amp;") "&amp;MID(IF(LEFT(SUBSTITUTE(SUBSTITUTE(SUBSTITUTE(SUBSTITUTE(SUBSTITUTE(Клиенты_исходные!D810," ",""),"-",""),"+",""),"(",""),")",""))="8","7"&amp;MID(SUBSTITUTE(SUBSTITUTE(SUBSTITUTE(SUBSTITUTE(SUBSTITUTE(Клиенты_исходные!D810," ",""),"-",""),"+",""),"(",""),")",""),2,10),SUBSTITUTE(SUBSTITUTE(SUBSTITUTE(SUBSTITUTE(SUBSTITUTE(Клиенты_исходные!D810," ",""),"-",""),"+",""),"(",""),")","")),5,3)&amp;"-"&amp;MID(IF(LEFT(SUBSTITUTE(SUBSTITUTE(SUBSTITUTE(SUBSTITUTE(SUBSTITUTE(Клиенты_исходные!D810," ",""),"-",""),"+",""),"(",""),")",""))="8","7"&amp;MID(SUBSTITUTE(SUBSTITUTE(SUBSTITUTE(SUBSTITUTE(SUBSTITUTE(Клиенты_исходные!D810," ",""),"-",""),"+",""),"(",""),")",""),2,10),SUBSTITUTE(SUBSTITUTE(SUBSTITUTE(SUBSTITUTE(SUBSTITUTE(Клиенты_исходные!D810," ",""),"-",""),"+",""),"(",""),")","")),8,2)&amp;"-"&amp;MID(IF(LEFT(SUBSTITUTE(SUBSTITUTE(SUBSTITUTE(SUBSTITUTE(SUBSTITUTE(Клиенты_исходные!D810," ",""),"-",""),"+",""),"(",""),")",""))="8","7"&amp;MID(SUBSTITUTE(SUBSTITUTE(SUBSTITUTE(SUBSTITUTE(SUBSTITUTE(Клиенты_исходные!D810," ",""),"-",""),"+",""),"(",""),")",""),2,10),SUBSTITUTE(SUBSTITUTE(SUBSTITUTE(SUBSTITUTE(SUBSTITUTE(Клиенты_исходные!D810," ",""),"-",""),"+",""),"(",""),")","")),10,2),IF(LEN(SUBSTITUTE(SUBSTITUTE(SUBSTITUTE(SUBSTITUTE(SUBSTITUTE(Клиенты_исходные!D810," ",""),"-",""),"+",""),"(",""),")",""))=10,"+7 ("&amp;MID(SUBSTITUTE(SUBSTITUTE(SUBSTITUTE(SUBSTITUTE(SUBSTITUTE(Клиенты_исходные!D810," ",""),"-",""),"+",""),"(",""),")",""),1,3)&amp;") "&amp;MID(SUBSTITUTE(SUBSTITUTE(SUBSTITUTE(SUBSTITUTE(SUBSTITUTE(Клиенты_исходные!D810," ",""),"-",""),"+",""),"(",""),")",""),4,3)&amp;"-"&amp;MID(SUBSTITUTE(SUBSTITUTE(SUBSTITUTE(SUBSTITUTE(SUBSTITUTE(Клиенты_исходные!D810," ",""),"-",""),"+",""),"(",""),")",""),6,2)&amp;"-"&amp;MID(SUBSTITUTE(SUBSTITUTE(SUBSTITUTE(SUBSTITUTE(SUBSTITUTE(Клиенты_исходные!D810," ",""),"-",""),"+",""),"(",""),")",""),8,2),Клиенты_исходные!D810)))</f>
        <v xml:space="preserve">+7 (903) 567-89-01</v>
      </c>
      <c r="E810" t="str">
        <f>IF(ISBLANK(Клиенты_исходные!E810),"",IF(ISNUMBER(FIND(".",MID(Клиенты_исходные!E810,FIND("@",Клиенты_исходные!E810)+1,255))),Клиенты_исходные!E810,IF(ISNUMBER(FIND("gmail",Клиенты_исходные!E810)),Клиенты_исходные!E810&amp;".com",Клиенты_исходные!E810&amp;".ru")))</f>
        <v>yartseva@yandex.ru</v>
      </c>
      <c r="F810" t="str">
        <f>IFERROR(VLOOKUP(Клиенты_исходные!F810,Справочники!$J$2:$K$50,2,FALSE),Клиенты_исходные!F810)</f>
        <v>Подольск</v>
      </c>
      <c r="G810" s="8">
        <f>IFERROR(IF(ISNUMBER(FIND(".",Клиенты_исходные!G810)),DATE(RIGHT(Клиенты_исходные!G810,4),MID(Клиенты_исходные!G810,4,2),LEFT(Клиенты_исходные!G810,2)),DATE(LEFT(Клиенты_исходные!G810,4),MID(Клиенты_исходные!G810,6,2),RIGHT(Клиенты_исходные!G810,2))),Клиенты_исходные!G810)</f>
        <v>52758</v>
      </c>
      <c r="H810">
        <f t="shared" ca="1" si="85"/>
        <v>34</v>
      </c>
      <c r="I810" t="str">
        <f t="shared" si="86"/>
        <v>OK</v>
      </c>
      <c r="J810" t="str">
        <f t="shared" si="87"/>
        <v>OK</v>
      </c>
    </row>
    <row r="811">
      <c r="A811" t="str">
        <f>Клиенты_исходные!A811</f>
        <v>C0810</v>
      </c>
      <c r="B811" t="str">
        <f>PROPER(TRIM(Клиенты_исходные!B811))</f>
        <v xml:space="preserve">Касаткин Андрей Павлович</v>
      </c>
      <c r="C811" s="8">
        <f>IFERROR(IF(ISNUMBER(FIND(".",Клиенты_исходные!C811)),DATE(RIGHT(Клиенты_исходные!C811,4),MID(Клиенты_исходные!C811,4,2),LEFT(Клиенты_исходные!C811,2)),DATE(LEFT(Клиенты_исходные!C811,4),MID(Клиенты_исходные!C811,6,2),RIGHT(Клиенты_исходные!C811,2))),Клиенты_исходные!C811)</f>
        <v>28704</v>
      </c>
      <c r="D811" t="str">
        <f>IF(ISBLANK(Клиенты_исходные!D811),"",IF(LEN(SUBSTITUTE(SUBSTITUTE(SUBSTITUTE(SUBSTITUTE(SUBSTITUTE(Клиенты_исходные!D811," ",""),"-",""),"+",""),"(",""),")",""))=11,"+7 ("&amp;MID(IF(LEFT(SUBSTITUTE(SUBSTITUTE(SUBSTITUTE(SUBSTITUTE(SUBSTITUTE(Клиенты_исходные!D811," ",""),"-",""),"+",""),"(",""),")",""))="8","7"&amp;MID(SUBSTITUTE(SUBSTITUTE(SUBSTITUTE(SUBSTITUTE(SUBSTITUTE(Клиенты_исходные!D811," ",""),"-",""),"+",""),"(",""),")",""),2,10),SUBSTITUTE(SUBSTITUTE(SUBSTITUTE(SUBSTITUTE(SUBSTITUTE(Клиенты_исходные!D811," ",""),"-",""),"+",""),"(",""),")","")),2,3)&amp;") "&amp;MID(IF(LEFT(SUBSTITUTE(SUBSTITUTE(SUBSTITUTE(SUBSTITUTE(SUBSTITUTE(Клиенты_исходные!D811," ",""),"-",""),"+",""),"(",""),")",""))="8","7"&amp;MID(SUBSTITUTE(SUBSTITUTE(SUBSTITUTE(SUBSTITUTE(SUBSTITUTE(Клиенты_исходные!D811," ",""),"-",""),"+",""),"(",""),")",""),2,10),SUBSTITUTE(SUBSTITUTE(SUBSTITUTE(SUBSTITUTE(SUBSTITUTE(Клиенты_исходные!D811," ",""),"-",""),"+",""),"(",""),")","")),5,3)&amp;"-"&amp;MID(IF(LEFT(SUBSTITUTE(SUBSTITUTE(SUBSTITUTE(SUBSTITUTE(SUBSTITUTE(Клиенты_исходные!D811," ",""),"-",""),"+",""),"(",""),")",""))="8","7"&amp;MID(SUBSTITUTE(SUBSTITUTE(SUBSTITUTE(SUBSTITUTE(SUBSTITUTE(Клиенты_исходные!D811," ",""),"-",""),"+",""),"(",""),")",""),2,10),SUBSTITUTE(SUBSTITUTE(SUBSTITUTE(SUBSTITUTE(SUBSTITUTE(Клиенты_исходные!D811," ",""),"-",""),"+",""),"(",""),")","")),8,2)&amp;"-"&amp;MID(IF(LEFT(SUBSTITUTE(SUBSTITUTE(SUBSTITUTE(SUBSTITUTE(SUBSTITUTE(Клиенты_исходные!D811," ",""),"-",""),"+",""),"(",""),")",""))="8","7"&amp;MID(SUBSTITUTE(SUBSTITUTE(SUBSTITUTE(SUBSTITUTE(SUBSTITUTE(Клиенты_исходные!D811," ",""),"-",""),"+",""),"(",""),")",""),2,10),SUBSTITUTE(SUBSTITUTE(SUBSTITUTE(SUBSTITUTE(SUBSTITUTE(Клиенты_исходные!D811," ",""),"-",""),"+",""),"(",""),")","")),10,2),IF(LEN(SUBSTITUTE(SUBSTITUTE(SUBSTITUTE(SUBSTITUTE(SUBSTITUTE(Клиенты_исходные!D811," ",""),"-",""),"+",""),"(",""),")",""))=10,"+7 ("&amp;MID(SUBSTITUTE(SUBSTITUTE(SUBSTITUTE(SUBSTITUTE(SUBSTITUTE(Клиенты_исходные!D811," ",""),"-",""),"+",""),"(",""),")",""),1,3)&amp;") "&amp;MID(SUBSTITUTE(SUBSTITUTE(SUBSTITUTE(SUBSTITUTE(SUBSTITUTE(Клиенты_исходные!D811," ",""),"-",""),"+",""),"(",""),")",""),4,3)&amp;"-"&amp;MID(SUBSTITUTE(SUBSTITUTE(SUBSTITUTE(SUBSTITUTE(SUBSTITUTE(Клиенты_исходные!D811," ",""),"-",""),"+",""),"(",""),")",""),6,2)&amp;"-"&amp;MID(SUBSTITUTE(SUBSTITUTE(SUBSTITUTE(SUBSTITUTE(SUBSTITUTE(Клиенты_исходные!D811," ",""),"-",""),"+",""),"(",""),")",""),8,2),Клиенты_исходные!D811)))</f>
        <v xml:space="preserve">+7 (903) 678-90-12</v>
      </c>
      <c r="E811" t="str">
        <f>IF(ISBLANK(Клиенты_исходные!E811),"",IF(ISNUMBER(FIND(".",MID(Клиенты_исходные!E811,FIND("@",Клиенты_исходные!E811)+1,255))),Клиенты_исходные!E811,IF(ISNUMBER(FIND("gmail",Клиенты_исходные!E811)),Клиенты_исходные!E811&amp;".com",Клиенты_исходные!E811&amp;".ru")))</f>
        <v>kasatkin@gmail.com</v>
      </c>
      <c r="F811" t="str">
        <f>IFERROR(VLOOKUP(Клиенты_исходные!F811,Справочники!$J$2:$K$50,2,FALSE),Клиенты_исходные!F811)</f>
        <v>Балашиха</v>
      </c>
      <c r="G811" s="8">
        <f>IFERROR(IF(ISNUMBER(FIND(".",Клиенты_исходные!G811)),DATE(RIGHT(Клиенты_исходные!G811,4),MID(Клиенты_исходные!G811,4,2),LEFT(Клиенты_исходные!G811,2)),DATE(LEFT(Клиенты_исходные!G811,4),MID(Клиенты_исходные!G811,6,2),RIGHT(Клиенты_исходные!G811,2))),Клиенты_исходные!G811)</f>
        <v>52758</v>
      </c>
      <c r="H811">
        <f t="shared" ca="1" si="85"/>
        <v>48</v>
      </c>
      <c r="I811" t="str">
        <f t="shared" si="86"/>
        <v>OK</v>
      </c>
      <c r="J811" t="str">
        <f t="shared" si="87"/>
        <v>OK</v>
      </c>
    </row>
    <row r="812">
      <c r="A812" t="str">
        <f>Клиенты_исходные!A812</f>
        <v>C0811</v>
      </c>
      <c r="B812" t="str">
        <f>PROPER(TRIM(Клиенты_исходные!B812))</f>
        <v xml:space="preserve">Мещерякова Мария Олеговна</v>
      </c>
      <c r="C812" s="8">
        <f>IFERROR(IF(ISNUMBER(FIND(".",Клиенты_исходные!C812)),DATE(RIGHT(Клиенты_исходные!C812,4),MID(Клиенты_исходные!C812,4,2),LEFT(Клиенты_исходные!C812,2)),DATE(LEFT(Клиенты_исходные!C812,4),MID(Клиенты_исходные!C812,6,2),RIGHT(Клиенты_исходные!C812,2))),Клиенты_исходные!C812)</f>
        <v>30996</v>
      </c>
      <c r="D812" t="str">
        <f>IF(ISBLANK(Клиенты_исходные!D812),"",IF(LEN(SUBSTITUTE(SUBSTITUTE(SUBSTITUTE(SUBSTITUTE(SUBSTITUTE(Клиенты_исходные!D812," ",""),"-",""),"+",""),"(",""),")",""))=11,"+7 ("&amp;MID(IF(LEFT(SUBSTITUTE(SUBSTITUTE(SUBSTITUTE(SUBSTITUTE(SUBSTITUTE(Клиенты_исходные!D812," ",""),"-",""),"+",""),"(",""),")",""))="8","7"&amp;MID(SUBSTITUTE(SUBSTITUTE(SUBSTITUTE(SUBSTITUTE(SUBSTITUTE(Клиенты_исходные!D812," ",""),"-",""),"+",""),"(",""),")",""),2,10),SUBSTITUTE(SUBSTITUTE(SUBSTITUTE(SUBSTITUTE(SUBSTITUTE(Клиенты_исходные!D812," ",""),"-",""),"+",""),"(",""),")","")),2,3)&amp;") "&amp;MID(IF(LEFT(SUBSTITUTE(SUBSTITUTE(SUBSTITUTE(SUBSTITUTE(SUBSTITUTE(Клиенты_исходные!D812," ",""),"-",""),"+",""),"(",""),")",""))="8","7"&amp;MID(SUBSTITUTE(SUBSTITUTE(SUBSTITUTE(SUBSTITUTE(SUBSTITUTE(Клиенты_исходные!D812," ",""),"-",""),"+",""),"(",""),")",""),2,10),SUBSTITUTE(SUBSTITUTE(SUBSTITUTE(SUBSTITUTE(SUBSTITUTE(Клиенты_исходные!D812," ",""),"-",""),"+",""),"(",""),")","")),5,3)&amp;"-"&amp;MID(IF(LEFT(SUBSTITUTE(SUBSTITUTE(SUBSTITUTE(SUBSTITUTE(SUBSTITUTE(Клиенты_исходные!D812," ",""),"-",""),"+",""),"(",""),")",""))="8","7"&amp;MID(SUBSTITUTE(SUBSTITUTE(SUBSTITUTE(SUBSTITUTE(SUBSTITUTE(Клиенты_исходные!D812," ",""),"-",""),"+",""),"(",""),")",""),2,10),SUBSTITUTE(SUBSTITUTE(SUBSTITUTE(SUBSTITUTE(SUBSTITUTE(Клиенты_исходные!D812," ",""),"-",""),"+",""),"(",""),")","")),8,2)&amp;"-"&amp;MID(IF(LEFT(SUBSTITUTE(SUBSTITUTE(SUBSTITUTE(SUBSTITUTE(SUBSTITUTE(Клиенты_исходные!D812," ",""),"-",""),"+",""),"(",""),")",""))="8","7"&amp;MID(SUBSTITUTE(SUBSTITUTE(SUBSTITUTE(SUBSTITUTE(SUBSTITUTE(Клиенты_исходные!D812," ",""),"-",""),"+",""),"(",""),")",""),2,10),SUBSTITUTE(SUBSTITUTE(SUBSTITUTE(SUBSTITUTE(SUBSTITUTE(Клиенты_исходные!D812," ",""),"-",""),"+",""),"(",""),")","")),10,2),IF(LEN(SUBSTITUTE(SUBSTITUTE(SUBSTITUTE(SUBSTITUTE(SUBSTITUTE(Клиенты_исходные!D812," ",""),"-",""),"+",""),"(",""),")",""))=10,"+7 ("&amp;MID(SUBSTITUTE(SUBSTITUTE(SUBSTITUTE(SUBSTITUTE(SUBSTITUTE(Клиенты_исходные!D812," ",""),"-",""),"+",""),"(",""),")",""),1,3)&amp;") "&amp;MID(SUBSTITUTE(SUBSTITUTE(SUBSTITUTE(SUBSTITUTE(SUBSTITUTE(Клиенты_исходные!D812," ",""),"-",""),"+",""),"(",""),")",""),4,3)&amp;"-"&amp;MID(SUBSTITUTE(SUBSTITUTE(SUBSTITUTE(SUBSTITUTE(SUBSTITUTE(Клиенты_исходные!D812," ",""),"-",""),"+",""),"(",""),")",""),6,2)&amp;"-"&amp;MID(SUBSTITUTE(SUBSTITUTE(SUBSTITUTE(SUBSTITUTE(SUBSTITUTE(Клиенты_исходные!D812," ",""),"-",""),"+",""),"(",""),")",""),8,2),Клиенты_исходные!D812)))</f>
        <v xml:space="preserve">+7 (903) 678-90-12</v>
      </c>
      <c r="E812" t="str">
        <f>IF(ISBLANK(Клиенты_исходные!E812),"",IF(ISNUMBER(FIND(".",MID(Клиенты_исходные!E812,FIND("@",Клиенты_исходные!E812)+1,255))),Клиенты_исходные!E812,IF(ISNUMBER(FIND("gmail",Клиенты_исходные!E812)),Клиенты_исходные!E812&amp;".com",Клиенты_исходные!E812&amp;".ru")))</f>
        <v>mescheryakovа@mail.ru</v>
      </c>
      <c r="F812" t="str">
        <f>IFERROR(VLOOKUP(Клиенты_исходные!F812,Справочники!$J$2:$K$50,2,FALSE),Клиенты_исходные!F812)</f>
        <v>Сургут</v>
      </c>
      <c r="G812" s="8">
        <f>IFERROR(IF(ISNUMBER(FIND(".",Клиенты_исходные!G812)),DATE(RIGHT(Клиенты_исходные!G812,4),MID(Клиенты_исходные!G812,4,2),LEFT(Клиенты_исходные!G812,2)),DATE(LEFT(Клиенты_исходные!G812,4),MID(Клиенты_исходные!G812,6,2),RIGHT(Клиенты_исходные!G812,2))),Клиенты_исходные!G812)</f>
        <v>52779</v>
      </c>
      <c r="H812">
        <f t="shared" ca="1" si="85"/>
        <v>41</v>
      </c>
      <c r="I812" t="str">
        <f t="shared" si="86"/>
        <v>OK</v>
      </c>
      <c r="J812" t="str">
        <f t="shared" si="87"/>
        <v>OK</v>
      </c>
    </row>
    <row r="813">
      <c r="A813" t="str">
        <f>Клиенты_исходные!A813</f>
        <v>C0812</v>
      </c>
      <c r="B813" t="str">
        <f>PROPER(TRIM(Клиенты_исходные!B813))</f>
        <v xml:space="preserve">Жданов Денис Викторович</v>
      </c>
      <c r="C813" s="8">
        <f>IFERROR(IF(ISNUMBER(FIND(".",Клиенты_исходные!C813)),DATE(RIGHT(Клиенты_исходные!C813,4),MID(Клиенты_исходные!C813,4,2),LEFT(Клиенты_исходные!C813,2)),DATE(LEFT(Клиенты_исходные!C813,4),MID(Клиенты_исходные!C813,6,2),RIGHT(Клиенты_исходные!C813,2))),Клиенты_исходные!C813)</f>
        <v>32949</v>
      </c>
      <c r="D813" t="str">
        <f>IF(ISBLANK(Клиенты_исходные!D813),"",IF(LEN(SUBSTITUTE(SUBSTITUTE(SUBSTITUTE(SUBSTITUTE(SUBSTITUTE(Клиенты_исходные!D813," ",""),"-",""),"+",""),"(",""),")",""))=11,"+7 ("&amp;MID(IF(LEFT(SUBSTITUTE(SUBSTITUTE(SUBSTITUTE(SUBSTITUTE(SUBSTITUTE(Клиенты_исходные!D813," ",""),"-",""),"+",""),"(",""),")",""))="8","7"&amp;MID(SUBSTITUTE(SUBSTITUTE(SUBSTITUTE(SUBSTITUTE(SUBSTITUTE(Клиенты_исходные!D813," ",""),"-",""),"+",""),"(",""),")",""),2,10),SUBSTITUTE(SUBSTITUTE(SUBSTITUTE(SUBSTITUTE(SUBSTITUTE(Клиенты_исходные!D813," ",""),"-",""),"+",""),"(",""),")","")),2,3)&amp;") "&amp;MID(IF(LEFT(SUBSTITUTE(SUBSTITUTE(SUBSTITUTE(SUBSTITUTE(SUBSTITUTE(Клиенты_исходные!D813," ",""),"-",""),"+",""),"(",""),")",""))="8","7"&amp;MID(SUBSTITUTE(SUBSTITUTE(SUBSTITUTE(SUBSTITUTE(SUBSTITUTE(Клиенты_исходные!D813," ",""),"-",""),"+",""),"(",""),")",""),2,10),SUBSTITUTE(SUBSTITUTE(SUBSTITUTE(SUBSTITUTE(SUBSTITUTE(Клиенты_исходные!D813," ",""),"-",""),"+",""),"(",""),")","")),5,3)&amp;"-"&amp;MID(IF(LEFT(SUBSTITUTE(SUBSTITUTE(SUBSTITUTE(SUBSTITUTE(SUBSTITUTE(Клиенты_исходные!D813," ",""),"-",""),"+",""),"(",""),")",""))="8","7"&amp;MID(SUBSTITUTE(SUBSTITUTE(SUBSTITUTE(SUBSTITUTE(SUBSTITUTE(Клиенты_исходные!D813," ",""),"-",""),"+",""),"(",""),")",""),2,10),SUBSTITUTE(SUBSTITUTE(SUBSTITUTE(SUBSTITUTE(SUBSTITUTE(Клиенты_исходные!D813," ",""),"-",""),"+",""),"(",""),")","")),8,2)&amp;"-"&amp;MID(IF(LEFT(SUBSTITUTE(SUBSTITUTE(SUBSTITUTE(SUBSTITUTE(SUBSTITUTE(Клиенты_исходные!D813," ",""),"-",""),"+",""),"(",""),")",""))="8","7"&amp;MID(SUBSTITUTE(SUBSTITUTE(SUBSTITUTE(SUBSTITUTE(SUBSTITUTE(Клиенты_исходные!D813," ",""),"-",""),"+",""),"(",""),")",""),2,10),SUBSTITUTE(SUBSTITUTE(SUBSTITUTE(SUBSTITUTE(SUBSTITUTE(Клиенты_исходные!D813," ",""),"-",""),"+",""),"(",""),")","")),10,2),IF(LEN(SUBSTITUTE(SUBSTITUTE(SUBSTITUTE(SUBSTITUTE(SUBSTITUTE(Клиенты_исходные!D813," ",""),"-",""),"+",""),"(",""),")",""))=10,"+7 ("&amp;MID(SUBSTITUTE(SUBSTITUTE(SUBSTITUTE(SUBSTITUTE(SUBSTITUTE(Клиенты_исходные!D813," ",""),"-",""),"+",""),"(",""),")",""),1,3)&amp;") "&amp;MID(SUBSTITUTE(SUBSTITUTE(SUBSTITUTE(SUBSTITUTE(SUBSTITUTE(Клиенты_исходные!D813," ",""),"-",""),"+",""),"(",""),")",""),4,3)&amp;"-"&amp;MID(SUBSTITUTE(SUBSTITUTE(SUBSTITUTE(SUBSTITUTE(SUBSTITUTE(Клиенты_исходные!D813," ",""),"-",""),"+",""),"(",""),")",""),6,2)&amp;"-"&amp;MID(SUBSTITUTE(SUBSTITUTE(SUBSTITUTE(SUBSTITUTE(SUBSTITUTE(Клиенты_исходные!D813," ",""),"-",""),"+",""),"(",""),")",""),8,2),Клиенты_исходные!D813)))</f>
        <v xml:space="preserve">+7 (903) 678-90-12</v>
      </c>
      <c r="E813" t="str">
        <f>IF(ISBLANK(Клиенты_исходные!E813),"",IF(ISNUMBER(FIND(".",MID(Клиенты_исходные!E813,FIND("@",Клиенты_исходные!E813)+1,255))),Клиенты_исходные!E813,IF(ISNUMBER(FIND("gmail",Клиенты_исходные!E813)),Клиенты_исходные!E813&amp;".com",Клиенты_исходные!E813&amp;".ru")))</f>
        <v>zhdanov@yandex.ru</v>
      </c>
      <c r="F813" t="str">
        <f>IFERROR(VLOOKUP(Клиенты_исходные!F813,Справочники!$J$2:$K$50,2,FALSE),Клиенты_исходные!F813)</f>
        <v>Армавир</v>
      </c>
      <c r="G813" s="8">
        <f>IFERROR(IF(ISNUMBER(FIND(".",Клиенты_исходные!G813)),DATE(RIGHT(Клиенты_исходные!G813,4),MID(Клиенты_исходные!G813,4,2),LEFT(Клиенты_исходные!G813,2)),DATE(LEFT(Клиенты_исходные!G813,4),MID(Клиенты_исходные!G813,6,2),RIGHT(Клиенты_исходные!G813,2))),Клиенты_исходные!G813)</f>
        <v>52793</v>
      </c>
      <c r="H813">
        <f t="shared" ca="1" si="85"/>
        <v>36</v>
      </c>
      <c r="I813" t="str">
        <f t="shared" si="86"/>
        <v>OK</v>
      </c>
      <c r="J813" t="str">
        <f t="shared" si="87"/>
        <v>OK</v>
      </c>
    </row>
    <row r="814">
      <c r="A814" t="str">
        <f>Клиенты_исходные!A814</f>
        <v>C0813</v>
      </c>
      <c r="B814" t="str">
        <f>PROPER(TRIM(Клиенты_исходные!B814))</f>
        <v xml:space="preserve">Куликова Ольга Павловна</v>
      </c>
      <c r="C814" s="8">
        <f>IFERROR(IF(ISNUMBER(FIND(".",Клиенты_исходные!C814)),DATE(RIGHT(Клиенты_исходные!C814,4),MID(Клиенты_исходные!C814,4,2),LEFT(Клиенты_исходные!C814,2)),DATE(LEFT(Клиенты_исходные!C814,4),MID(Клиенты_исходные!C814,6,2),RIGHT(Клиенты_исходные!C814,2))),Клиенты_исходные!C814)</f>
        <v>29041</v>
      </c>
      <c r="D814" t="str">
        <f>IF(ISBLANK(Клиенты_исходные!D814),"",IF(LEN(SUBSTITUTE(SUBSTITUTE(SUBSTITUTE(SUBSTITUTE(SUBSTITUTE(Клиенты_исходные!D814," ",""),"-",""),"+",""),"(",""),")",""))=11,"+7 ("&amp;MID(IF(LEFT(SUBSTITUTE(SUBSTITUTE(SUBSTITUTE(SUBSTITUTE(SUBSTITUTE(Клиенты_исходные!D814," ",""),"-",""),"+",""),"(",""),")",""))="8","7"&amp;MID(SUBSTITUTE(SUBSTITUTE(SUBSTITUTE(SUBSTITUTE(SUBSTITUTE(Клиенты_исходные!D814," ",""),"-",""),"+",""),"(",""),")",""),2,10),SUBSTITUTE(SUBSTITUTE(SUBSTITUTE(SUBSTITUTE(SUBSTITUTE(Клиенты_исходные!D814," ",""),"-",""),"+",""),"(",""),")","")),2,3)&amp;") "&amp;MID(IF(LEFT(SUBSTITUTE(SUBSTITUTE(SUBSTITUTE(SUBSTITUTE(SUBSTITUTE(Клиенты_исходные!D814," ",""),"-",""),"+",""),"(",""),")",""))="8","7"&amp;MID(SUBSTITUTE(SUBSTITUTE(SUBSTITUTE(SUBSTITUTE(SUBSTITUTE(Клиенты_исходные!D814," ",""),"-",""),"+",""),"(",""),")",""),2,10),SUBSTITUTE(SUBSTITUTE(SUBSTITUTE(SUBSTITUTE(SUBSTITUTE(Клиенты_исходные!D814," ",""),"-",""),"+",""),"(",""),")","")),5,3)&amp;"-"&amp;MID(IF(LEFT(SUBSTITUTE(SUBSTITUTE(SUBSTITUTE(SUBSTITUTE(SUBSTITUTE(Клиенты_исходные!D814," ",""),"-",""),"+",""),"(",""),")",""))="8","7"&amp;MID(SUBSTITUTE(SUBSTITUTE(SUBSTITUTE(SUBSTITUTE(SUBSTITUTE(Клиенты_исходные!D814," ",""),"-",""),"+",""),"(",""),")",""),2,10),SUBSTITUTE(SUBSTITUTE(SUBSTITUTE(SUBSTITUTE(SUBSTITUTE(Клиенты_исходные!D814," ",""),"-",""),"+",""),"(",""),")","")),8,2)&amp;"-"&amp;MID(IF(LEFT(SUBSTITUTE(SUBSTITUTE(SUBSTITUTE(SUBSTITUTE(SUBSTITUTE(Клиенты_исходные!D814," ",""),"-",""),"+",""),"(",""),")",""))="8","7"&amp;MID(SUBSTITUTE(SUBSTITUTE(SUBSTITUTE(SUBSTITUTE(SUBSTITUTE(Клиенты_исходные!D814," ",""),"-",""),"+",""),"(",""),")",""),2,10),SUBSTITUTE(SUBSTITUTE(SUBSTITUTE(SUBSTITUTE(SUBSTITUTE(Клиенты_исходные!D814," ",""),"-",""),"+",""),"(",""),")","")),10,2),IF(LEN(SUBSTITUTE(SUBSTITUTE(SUBSTITUTE(SUBSTITUTE(SUBSTITUTE(Клиенты_исходные!D814," ",""),"-",""),"+",""),"(",""),")",""))=10,"+7 ("&amp;MID(SUBSTITUTE(SUBSTITUTE(SUBSTITUTE(SUBSTITUTE(SUBSTITUTE(Клиенты_исходные!D814," ",""),"-",""),"+",""),"(",""),")",""),1,3)&amp;") "&amp;MID(SUBSTITUTE(SUBSTITUTE(SUBSTITUTE(SUBSTITUTE(SUBSTITUTE(Клиенты_исходные!D814," ",""),"-",""),"+",""),"(",""),")",""),4,3)&amp;"-"&amp;MID(SUBSTITUTE(SUBSTITUTE(SUBSTITUTE(SUBSTITUTE(SUBSTITUTE(Клиенты_исходные!D814," ",""),"-",""),"+",""),"(",""),")",""),6,2)&amp;"-"&amp;MID(SUBSTITUTE(SUBSTITUTE(SUBSTITUTE(SUBSTITUTE(SUBSTITUTE(Клиенты_исходные!D814," ",""),"-",""),"+",""),"(",""),")",""),8,2),Клиенты_исходные!D814)))</f>
        <v xml:space="preserve">+7 (903) 789-01-23</v>
      </c>
      <c r="E814" t="str">
        <f>IF(ISBLANK(Клиенты_исходные!E814),"",IF(ISNUMBER(FIND(".",MID(Клиенты_исходные!E814,FIND("@",Клиенты_исходные!E814)+1,255))),Клиенты_исходные!E814,IF(ISNUMBER(FIND("gmail",Клиенты_исходные!E814)),Клиенты_исходные!E814&amp;".com",Клиенты_исходные!E814&amp;".ru")))</f>
        <v>kulikova@gmail.com</v>
      </c>
      <c r="F814" t="str">
        <f>IFERROR(VLOOKUP(Клиенты_исходные!F814,Справочники!$J$2:$K$50,2,FALSE),Клиенты_исходные!F814)</f>
        <v>Волжский</v>
      </c>
      <c r="G814" s="8">
        <f>IFERROR(IF(ISNUMBER(FIND(".",Клиенты_исходные!G814)),DATE(RIGHT(Клиенты_исходные!G814,4),MID(Клиенты_исходные!G814,4,2),LEFT(Клиенты_исходные!G814,2)),DATE(LEFT(Клиенты_исходные!G814,4),MID(Клиенты_исходные!G814,6,2),RIGHT(Клиенты_исходные!G814,2))),Клиенты_исходные!G814)</f>
        <v>52793</v>
      </c>
      <c r="H814">
        <f t="shared" ca="1" si="85"/>
        <v>47</v>
      </c>
      <c r="I814" t="str">
        <f t="shared" si="86"/>
        <v>OK</v>
      </c>
      <c r="J814" t="str">
        <f t="shared" si="87"/>
        <v>OK</v>
      </c>
    </row>
    <row r="815">
      <c r="A815" t="str">
        <f>Клиенты_исходные!A815</f>
        <v>C0814</v>
      </c>
      <c r="B815" t="str">
        <f>PROPER(TRIM(Клиенты_исходные!B815))</f>
        <v xml:space="preserve">Леднев Илья Алексеевич</v>
      </c>
      <c r="C815" s="8">
        <f>IFERROR(IF(ISNUMBER(FIND(".",Клиенты_исходные!C815)),DATE(RIGHT(Клиенты_исходные!C815,4),MID(Клиенты_исходные!C815,4,2),LEFT(Клиенты_исходные!C815,2)),DATE(LEFT(Клиенты_исходные!C815,4),MID(Клиенты_исходные!C815,6,2),RIGHT(Клиенты_исходные!C815,2))),Клиенты_исходные!C815)</f>
        <v>30678</v>
      </c>
      <c r="D815" t="str">
        <f>IF(ISBLANK(Клиенты_исходные!D815),"",IF(LEN(SUBSTITUTE(SUBSTITUTE(SUBSTITUTE(SUBSTITUTE(SUBSTITUTE(Клиенты_исходные!D815," ",""),"-",""),"+",""),"(",""),")",""))=11,"+7 ("&amp;MID(IF(LEFT(SUBSTITUTE(SUBSTITUTE(SUBSTITUTE(SUBSTITUTE(SUBSTITUTE(Клиенты_исходные!D815," ",""),"-",""),"+",""),"(",""),")",""))="8","7"&amp;MID(SUBSTITUTE(SUBSTITUTE(SUBSTITUTE(SUBSTITUTE(SUBSTITUTE(Клиенты_исходные!D815," ",""),"-",""),"+",""),"(",""),")",""),2,10),SUBSTITUTE(SUBSTITUTE(SUBSTITUTE(SUBSTITUTE(SUBSTITUTE(Клиенты_исходные!D815," ",""),"-",""),"+",""),"(",""),")","")),2,3)&amp;") "&amp;MID(IF(LEFT(SUBSTITUTE(SUBSTITUTE(SUBSTITUTE(SUBSTITUTE(SUBSTITUTE(Клиенты_исходные!D815," ",""),"-",""),"+",""),"(",""),")",""))="8","7"&amp;MID(SUBSTITUTE(SUBSTITUTE(SUBSTITUTE(SUBSTITUTE(SUBSTITUTE(Клиенты_исходные!D815," ",""),"-",""),"+",""),"(",""),")",""),2,10),SUBSTITUTE(SUBSTITUTE(SUBSTITUTE(SUBSTITUTE(SUBSTITUTE(Клиенты_исходные!D815," ",""),"-",""),"+",""),"(",""),")","")),5,3)&amp;"-"&amp;MID(IF(LEFT(SUBSTITUTE(SUBSTITUTE(SUBSTITUTE(SUBSTITUTE(SUBSTITUTE(Клиенты_исходные!D815," ",""),"-",""),"+",""),"(",""),")",""))="8","7"&amp;MID(SUBSTITUTE(SUBSTITUTE(SUBSTITUTE(SUBSTITUTE(SUBSTITUTE(Клиенты_исходные!D815," ",""),"-",""),"+",""),"(",""),")",""),2,10),SUBSTITUTE(SUBSTITUTE(SUBSTITUTE(SUBSTITUTE(SUBSTITUTE(Клиенты_исходные!D815," ",""),"-",""),"+",""),"(",""),")","")),8,2)&amp;"-"&amp;MID(IF(LEFT(SUBSTITUTE(SUBSTITUTE(SUBSTITUTE(SUBSTITUTE(SUBSTITUTE(Клиенты_исходные!D815," ",""),"-",""),"+",""),"(",""),")",""))="8","7"&amp;MID(SUBSTITUTE(SUBSTITUTE(SUBSTITUTE(SUBSTITUTE(SUBSTITUTE(Клиенты_исходные!D815," ",""),"-",""),"+",""),"(",""),")",""),2,10),SUBSTITUTE(SUBSTITUTE(SUBSTITUTE(SUBSTITUTE(SUBSTITUTE(Клиенты_исходные!D815," ",""),"-",""),"+",""),"(",""),")","")),10,2),IF(LEN(SUBSTITUTE(SUBSTITUTE(SUBSTITUTE(SUBSTITUTE(SUBSTITUTE(Клиенты_исходные!D815," ",""),"-",""),"+",""),"(",""),")",""))=10,"+7 ("&amp;MID(SUBSTITUTE(SUBSTITUTE(SUBSTITUTE(SUBSTITUTE(SUBSTITUTE(Клиенты_исходные!D815," ",""),"-",""),"+",""),"(",""),")",""),1,3)&amp;") "&amp;MID(SUBSTITUTE(SUBSTITUTE(SUBSTITUTE(SUBSTITUTE(SUBSTITUTE(Клиенты_исходные!D815," ",""),"-",""),"+",""),"(",""),")",""),4,3)&amp;"-"&amp;MID(SUBSTITUTE(SUBSTITUTE(SUBSTITUTE(SUBSTITUTE(SUBSTITUTE(Клиенты_исходные!D815," ",""),"-",""),"+",""),"(",""),")",""),6,2)&amp;"-"&amp;MID(SUBSTITUTE(SUBSTITUTE(SUBSTITUTE(SUBSTITUTE(SUBSTITUTE(Клиенты_исходные!D815," ",""),"-",""),"+",""),"(",""),")",""),8,2),Клиенты_исходные!D815)))</f>
        <v xml:space="preserve">+7 (903) 789-01-23</v>
      </c>
      <c r="E815" t="str">
        <f>IF(ISBLANK(Клиенты_исходные!E815),"",IF(ISNUMBER(FIND(".",MID(Клиенты_исходные!E815,FIND("@",Клиенты_исходные!E815)+1,255))),Клиенты_исходные!E815,IF(ISNUMBER(FIND("gmail",Клиенты_исходные!E815)),Клиенты_исходные!E815&amp;".com",Клиенты_исходные!E815&amp;".ru")))</f>
        <v>lednev@mail.ru</v>
      </c>
      <c r="F815" t="str">
        <f>IFERROR(VLOOKUP(Клиенты_исходные!F815,Справочники!$J$2:$K$50,2,FALSE),Клиенты_исходные!F815)</f>
        <v>Шахты</v>
      </c>
      <c r="G815" s="8">
        <f>IFERROR(IF(ISNUMBER(FIND(".",Клиенты_исходные!G815)),DATE(RIGHT(Клиенты_исходные!G815,4),MID(Клиенты_исходные!G815,4,2),LEFT(Клиенты_исходные!G815,2)),DATE(LEFT(Клиенты_исходные!G815,4),MID(Клиенты_исходные!G815,6,2),RIGHT(Клиенты_исходные!G815,2))),Клиенты_исходные!G815)</f>
        <v>52810</v>
      </c>
      <c r="H815">
        <f t="shared" ca="1" si="85"/>
        <v>42</v>
      </c>
      <c r="I815" t="str">
        <f t="shared" si="86"/>
        <v>OK</v>
      </c>
      <c r="J815" t="str">
        <f t="shared" si="87"/>
        <v>OK</v>
      </c>
    </row>
    <row r="816">
      <c r="A816" t="str">
        <f>Клиенты_исходные!A816</f>
        <v>C0815</v>
      </c>
      <c r="B816" t="str">
        <f>PROPER(TRIM(Клиенты_исходные!B816))</f>
        <v xml:space="preserve">Соколовская Екатерина Сергеевна</v>
      </c>
      <c r="C816" s="8">
        <f>IFERROR(IF(ISNUMBER(FIND(".",Клиенты_исходные!C816)),DATE(RIGHT(Клиенты_исходные!C816,4),MID(Клиенты_исходные!C816,4,2),LEFT(Клиенты_исходные!C816,2)),DATE(LEFT(Клиенты_исходные!C816,4),MID(Клиенты_исходные!C816,6,2),RIGHT(Клиенты_исходные!C816,2))),Клиенты_исходные!C816)</f>
        <v>31943</v>
      </c>
      <c r="D816" t="str">
        <f>IF(ISBLANK(Клиенты_исходные!D816),"",IF(LEN(SUBSTITUTE(SUBSTITUTE(SUBSTITUTE(SUBSTITUTE(SUBSTITUTE(Клиенты_исходные!D816," ",""),"-",""),"+",""),"(",""),")",""))=11,"+7 ("&amp;MID(IF(LEFT(SUBSTITUTE(SUBSTITUTE(SUBSTITUTE(SUBSTITUTE(SUBSTITUTE(Клиенты_исходные!D816," ",""),"-",""),"+",""),"(",""),")",""))="8","7"&amp;MID(SUBSTITUTE(SUBSTITUTE(SUBSTITUTE(SUBSTITUTE(SUBSTITUTE(Клиенты_исходные!D816," ",""),"-",""),"+",""),"(",""),")",""),2,10),SUBSTITUTE(SUBSTITUTE(SUBSTITUTE(SUBSTITUTE(SUBSTITUTE(Клиенты_исходные!D816," ",""),"-",""),"+",""),"(",""),")","")),2,3)&amp;") "&amp;MID(IF(LEFT(SUBSTITUTE(SUBSTITUTE(SUBSTITUTE(SUBSTITUTE(SUBSTITUTE(Клиенты_исходные!D816," ",""),"-",""),"+",""),"(",""),")",""))="8","7"&amp;MID(SUBSTITUTE(SUBSTITUTE(SUBSTITUTE(SUBSTITUTE(SUBSTITUTE(Клиенты_исходные!D816," ",""),"-",""),"+",""),"(",""),")",""),2,10),SUBSTITUTE(SUBSTITUTE(SUBSTITUTE(SUBSTITUTE(SUBSTITUTE(Клиенты_исходные!D816," ",""),"-",""),"+",""),"(",""),")","")),5,3)&amp;"-"&amp;MID(IF(LEFT(SUBSTITUTE(SUBSTITUTE(SUBSTITUTE(SUBSTITUTE(SUBSTITUTE(Клиенты_исходные!D816," ",""),"-",""),"+",""),"(",""),")",""))="8","7"&amp;MID(SUBSTITUTE(SUBSTITUTE(SUBSTITUTE(SUBSTITUTE(SUBSTITUTE(Клиенты_исходные!D816," ",""),"-",""),"+",""),"(",""),")",""),2,10),SUBSTITUTE(SUBSTITUTE(SUBSTITUTE(SUBSTITUTE(SUBSTITUTE(Клиенты_исходные!D816," ",""),"-",""),"+",""),"(",""),")","")),8,2)&amp;"-"&amp;MID(IF(LEFT(SUBSTITUTE(SUBSTITUTE(SUBSTITUTE(SUBSTITUTE(SUBSTITUTE(Клиенты_исходные!D816," ",""),"-",""),"+",""),"(",""),")",""))="8","7"&amp;MID(SUBSTITUTE(SUBSTITUTE(SUBSTITUTE(SUBSTITUTE(SUBSTITUTE(Клиенты_исходные!D816," ",""),"-",""),"+",""),"(",""),")",""),2,10),SUBSTITUTE(SUBSTITUTE(SUBSTITUTE(SUBSTITUTE(SUBSTITUTE(Клиенты_исходные!D816," ",""),"-",""),"+",""),"(",""),")","")),10,2),IF(LEN(SUBSTITUTE(SUBSTITUTE(SUBSTITUTE(SUBSTITUTE(SUBSTITUTE(Клиенты_исходные!D816," ",""),"-",""),"+",""),"(",""),")",""))=10,"+7 ("&amp;MID(SUBSTITUTE(SUBSTITUTE(SUBSTITUTE(SUBSTITUTE(SUBSTITUTE(Клиенты_исходные!D816," ",""),"-",""),"+",""),"(",""),")",""),1,3)&amp;") "&amp;MID(SUBSTITUTE(SUBSTITUTE(SUBSTITUTE(SUBSTITUTE(SUBSTITUTE(Клиенты_исходные!D816," ",""),"-",""),"+",""),"(",""),")",""),4,3)&amp;"-"&amp;MID(SUBSTITUTE(SUBSTITUTE(SUBSTITUTE(SUBSTITUTE(SUBSTITUTE(Клиенты_исходные!D816," ",""),"-",""),"+",""),"(",""),")",""),6,2)&amp;"-"&amp;MID(SUBSTITUTE(SUBSTITUTE(SUBSTITUTE(SUBSTITUTE(SUBSTITUTE(Клиенты_исходные!D816," ",""),"-",""),"+",""),"(",""),")",""),8,2),Клиенты_исходные!D816)))</f>
        <v xml:space="preserve">+7 (903) 789-01-23</v>
      </c>
      <c r="E816" t="str">
        <f>IF(ISBLANK(Клиенты_исходные!E816),"",IF(ISNUMBER(FIND(".",MID(Клиенты_исходные!E816,FIND("@",Клиенты_исходные!E816)+1,255))),Клиенты_исходные!E816,IF(ISNUMBER(FIND("gmail",Клиенты_исходные!E816)),Клиенты_исходные!E816&amp;".com",Клиенты_исходные!E816&amp;".ru")))</f>
        <v>sokolovskaya@yandex.ru</v>
      </c>
      <c r="F816" t="str">
        <f>IFERROR(VLOOKUP(Клиенты_исходные!F816,Справочники!$J$2:$K$50,2,FALSE),Клиенты_исходные!F816)</f>
        <v>Златоуст</v>
      </c>
      <c r="G816" s="8">
        <f>IFERROR(IF(ISNUMBER(FIND(".",Клиенты_исходные!G816)),DATE(RIGHT(Клиенты_исходные!G816,4),MID(Клиенты_исходные!G816,4,2),LEFT(Клиенты_исходные!G816,2)),DATE(LEFT(Клиенты_исходные!G816,4),MID(Клиенты_исходные!G816,6,2),RIGHT(Клиенты_исходные!G816,2))),Клиенты_исходные!G816)</f>
        <v>52819</v>
      </c>
      <c r="H816">
        <f t="shared" ca="1" si="85"/>
        <v>39</v>
      </c>
      <c r="I816" t="str">
        <f t="shared" si="86"/>
        <v>OK</v>
      </c>
      <c r="J816" t="str">
        <f t="shared" si="87"/>
        <v>OK</v>
      </c>
    </row>
    <row r="817">
      <c r="A817" t="str">
        <f>Клиенты_исходные!A817</f>
        <v>C0816</v>
      </c>
      <c r="B817" t="str">
        <f>PROPER(TRIM(Клиенты_исходные!B817))</f>
        <v xml:space="preserve">Синельников Андрей Олегович</v>
      </c>
      <c r="C817" s="8">
        <f>IFERROR(IF(ISNUMBER(FIND(".",Клиенты_исходные!C817)),DATE(RIGHT(Клиенты_исходные!C817,4),MID(Клиенты_исходные!C817,4,2),LEFT(Клиенты_исходные!C817,2)),DATE(LEFT(Клиенты_исходные!C817,4),MID(Клиенты_исходные!C817,6,2),RIGHT(Клиенты_исходные!C817,2))),Клиенты_исходные!C817)</f>
        <v>27810</v>
      </c>
      <c r="D817" t="str">
        <f>IF(ISBLANK(Клиенты_исходные!D817),"",IF(LEN(SUBSTITUTE(SUBSTITUTE(SUBSTITUTE(SUBSTITUTE(SUBSTITUTE(Клиенты_исходные!D817," ",""),"-",""),"+",""),"(",""),")",""))=11,"+7 ("&amp;MID(IF(LEFT(SUBSTITUTE(SUBSTITUTE(SUBSTITUTE(SUBSTITUTE(SUBSTITUTE(Клиенты_исходные!D817," ",""),"-",""),"+",""),"(",""),")",""))="8","7"&amp;MID(SUBSTITUTE(SUBSTITUTE(SUBSTITUTE(SUBSTITUTE(SUBSTITUTE(Клиенты_исходные!D817," ",""),"-",""),"+",""),"(",""),")",""),2,10),SUBSTITUTE(SUBSTITUTE(SUBSTITUTE(SUBSTITUTE(SUBSTITUTE(Клиенты_исходные!D817," ",""),"-",""),"+",""),"(",""),")","")),2,3)&amp;") "&amp;MID(IF(LEFT(SUBSTITUTE(SUBSTITUTE(SUBSTITUTE(SUBSTITUTE(SUBSTITUTE(Клиенты_исходные!D817," ",""),"-",""),"+",""),"(",""),")",""))="8","7"&amp;MID(SUBSTITUTE(SUBSTITUTE(SUBSTITUTE(SUBSTITUTE(SUBSTITUTE(Клиенты_исходные!D817," ",""),"-",""),"+",""),"(",""),")",""),2,10),SUBSTITUTE(SUBSTITUTE(SUBSTITUTE(SUBSTITUTE(SUBSTITUTE(Клиенты_исходные!D817," ",""),"-",""),"+",""),"(",""),")","")),5,3)&amp;"-"&amp;MID(IF(LEFT(SUBSTITUTE(SUBSTITUTE(SUBSTITUTE(SUBSTITUTE(SUBSTITUTE(Клиенты_исходные!D817," ",""),"-",""),"+",""),"(",""),")",""))="8","7"&amp;MID(SUBSTITUTE(SUBSTITUTE(SUBSTITUTE(SUBSTITUTE(SUBSTITUTE(Клиенты_исходные!D817," ",""),"-",""),"+",""),"(",""),")",""),2,10),SUBSTITUTE(SUBSTITUTE(SUBSTITUTE(SUBSTITUTE(SUBSTITUTE(Клиенты_исходные!D817," ",""),"-",""),"+",""),"(",""),")","")),8,2)&amp;"-"&amp;MID(IF(LEFT(SUBSTITUTE(SUBSTITUTE(SUBSTITUTE(SUBSTITUTE(SUBSTITUTE(Клиенты_исходные!D817," ",""),"-",""),"+",""),"(",""),")",""))="8","7"&amp;MID(SUBSTITUTE(SUBSTITUTE(SUBSTITUTE(SUBSTITUTE(SUBSTITUTE(Клиенты_исходные!D817," ",""),"-",""),"+",""),"(",""),")",""),2,10),SUBSTITUTE(SUBSTITUTE(SUBSTITUTE(SUBSTITUTE(SUBSTITUTE(Клиенты_исходные!D817," ",""),"-",""),"+",""),"(",""),")","")),10,2),IF(LEN(SUBSTITUTE(SUBSTITUTE(SUBSTITUTE(SUBSTITUTE(SUBSTITUTE(Клиенты_исходные!D817," ",""),"-",""),"+",""),"(",""),")",""))=10,"+7 ("&amp;MID(SUBSTITUTE(SUBSTITUTE(SUBSTITUTE(SUBSTITUTE(SUBSTITUTE(Клиенты_исходные!D817," ",""),"-",""),"+",""),"(",""),")",""),1,3)&amp;") "&amp;MID(SUBSTITUTE(SUBSTITUTE(SUBSTITUTE(SUBSTITUTE(SUBSTITUTE(Клиенты_исходные!D817," ",""),"-",""),"+",""),"(",""),")",""),4,3)&amp;"-"&amp;MID(SUBSTITUTE(SUBSTITUTE(SUBSTITUTE(SUBSTITUTE(SUBSTITUTE(Клиенты_исходные!D817," ",""),"-",""),"+",""),"(",""),")",""),6,2)&amp;"-"&amp;MID(SUBSTITUTE(SUBSTITUTE(SUBSTITUTE(SUBSTITUTE(SUBSTITUTE(Клиенты_исходные!D817," ",""),"-",""),"+",""),"(",""),")",""),8,2),Клиенты_исходные!D817)))</f>
        <v xml:space="preserve">+7 (903) 890-12-34</v>
      </c>
      <c r="E817" t="str">
        <f>IF(ISBLANK(Клиенты_исходные!E817),"",IF(ISNUMBER(FIND(".",MID(Клиенты_исходные!E817,FIND("@",Клиенты_исходные!E817)+1,255))),Клиенты_исходные!E817,IF(ISNUMBER(FIND("gmail",Клиенты_исходные!E817)),Клиенты_исходные!E817&amp;".com",Клиенты_исходные!E817&amp;".ru")))</f>
        <v>sinelnikov@gmail.com</v>
      </c>
      <c r="F817" t="str">
        <f>IFERROR(VLOOKUP(Клиенты_исходные!F817,Справочники!$J$2:$K$50,2,FALSE),Клиенты_исходные!F817)</f>
        <v>Ангарск</v>
      </c>
      <c r="G817" s="8">
        <f>IFERROR(IF(ISNUMBER(FIND(".",Клиенты_исходные!G817)),DATE(RIGHT(Клиенты_исходные!G817,4),MID(Клиенты_исходные!G817,4,2),LEFT(Клиенты_исходные!G817,2)),DATE(LEFT(Клиенты_исходные!G817,4),MID(Клиенты_исходные!G817,6,2),RIGHT(Клиенты_исходные!G817,2))),Клиенты_исходные!G817)</f>
        <v>52819</v>
      </c>
      <c r="H817">
        <f t="shared" ca="1" si="85"/>
        <v>50</v>
      </c>
      <c r="I817" t="str">
        <f t="shared" si="86"/>
        <v>OK</v>
      </c>
      <c r="J817" t="str">
        <f t="shared" si="87"/>
        <v>OK</v>
      </c>
    </row>
    <row r="818">
      <c r="A818" t="str">
        <f>Клиенты_исходные!A818</f>
        <v>C0817</v>
      </c>
      <c r="B818" t="str">
        <f>PROPER(TRIM(Клиенты_исходные!B818))</f>
        <v xml:space="preserve">Калинкина Мария Владимировна</v>
      </c>
      <c r="C818" s="8">
        <f>IFERROR(IF(ISNUMBER(FIND(".",Клиенты_исходные!C818)),DATE(RIGHT(Клиенты_исходные!C818,4),MID(Клиенты_исходные!C818,4,2),LEFT(Клиенты_исходные!C818,2)),DATE(LEFT(Клиенты_исходные!C818,4),MID(Клиенты_исходные!C818,6,2),RIGHT(Клиенты_исходные!C818,2))),Клиенты_исходные!C818)</f>
        <v>30228</v>
      </c>
      <c r="D818" t="str">
        <f>IF(ISBLANK(Клиенты_исходные!D818),"",IF(LEN(SUBSTITUTE(SUBSTITUTE(SUBSTITUTE(SUBSTITUTE(SUBSTITUTE(Клиенты_исходные!D818," ",""),"-",""),"+",""),"(",""),")",""))=11,"+7 ("&amp;MID(IF(LEFT(SUBSTITUTE(SUBSTITUTE(SUBSTITUTE(SUBSTITUTE(SUBSTITUTE(Клиенты_исходные!D818," ",""),"-",""),"+",""),"(",""),")",""))="8","7"&amp;MID(SUBSTITUTE(SUBSTITUTE(SUBSTITUTE(SUBSTITUTE(SUBSTITUTE(Клиенты_исходные!D818," ",""),"-",""),"+",""),"(",""),")",""),2,10),SUBSTITUTE(SUBSTITUTE(SUBSTITUTE(SUBSTITUTE(SUBSTITUTE(Клиенты_исходные!D818," ",""),"-",""),"+",""),"(",""),")","")),2,3)&amp;") "&amp;MID(IF(LEFT(SUBSTITUTE(SUBSTITUTE(SUBSTITUTE(SUBSTITUTE(SUBSTITUTE(Клиенты_исходные!D818," ",""),"-",""),"+",""),"(",""),")",""))="8","7"&amp;MID(SUBSTITUTE(SUBSTITUTE(SUBSTITUTE(SUBSTITUTE(SUBSTITUTE(Клиенты_исходные!D818," ",""),"-",""),"+",""),"(",""),")",""),2,10),SUBSTITUTE(SUBSTITUTE(SUBSTITUTE(SUBSTITUTE(SUBSTITUTE(Клиенты_исходные!D818," ",""),"-",""),"+",""),"(",""),")","")),5,3)&amp;"-"&amp;MID(IF(LEFT(SUBSTITUTE(SUBSTITUTE(SUBSTITUTE(SUBSTITUTE(SUBSTITUTE(Клиенты_исходные!D818," ",""),"-",""),"+",""),"(",""),")",""))="8","7"&amp;MID(SUBSTITUTE(SUBSTITUTE(SUBSTITUTE(SUBSTITUTE(SUBSTITUTE(Клиенты_исходные!D818," ",""),"-",""),"+",""),"(",""),")",""),2,10),SUBSTITUTE(SUBSTITUTE(SUBSTITUTE(SUBSTITUTE(SUBSTITUTE(Клиенты_исходные!D818," ",""),"-",""),"+",""),"(",""),")","")),8,2)&amp;"-"&amp;MID(IF(LEFT(SUBSTITUTE(SUBSTITUTE(SUBSTITUTE(SUBSTITUTE(SUBSTITUTE(Клиенты_исходные!D818," ",""),"-",""),"+",""),"(",""),")",""))="8","7"&amp;MID(SUBSTITUTE(SUBSTITUTE(SUBSTITUTE(SUBSTITUTE(SUBSTITUTE(Клиенты_исходные!D818," ",""),"-",""),"+",""),"(",""),")",""),2,10),SUBSTITUTE(SUBSTITUTE(SUBSTITUTE(SUBSTITUTE(SUBSTITUTE(Клиенты_исходные!D818," ",""),"-",""),"+",""),"(",""),")","")),10,2),IF(LEN(SUBSTITUTE(SUBSTITUTE(SUBSTITUTE(SUBSTITUTE(SUBSTITUTE(Клиенты_исходные!D818," ",""),"-",""),"+",""),"(",""),")",""))=10,"+7 ("&amp;MID(SUBSTITUTE(SUBSTITUTE(SUBSTITUTE(SUBSTITUTE(SUBSTITUTE(Клиенты_исходные!D818," ",""),"-",""),"+",""),"(",""),")",""),1,3)&amp;") "&amp;MID(SUBSTITUTE(SUBSTITUTE(SUBSTITUTE(SUBSTITUTE(SUBSTITUTE(Клиенты_исходные!D818," ",""),"-",""),"+",""),"(",""),")",""),4,3)&amp;"-"&amp;MID(SUBSTITUTE(SUBSTITUTE(SUBSTITUTE(SUBSTITUTE(SUBSTITUTE(Клиенты_исходные!D818," ",""),"-",""),"+",""),"(",""),")",""),6,2)&amp;"-"&amp;MID(SUBSTITUTE(SUBSTITUTE(SUBSTITUTE(SUBSTITUTE(SUBSTITUTE(Клиенты_исходные!D818," ",""),"-",""),"+",""),"(",""),")",""),8,2),Клиенты_исходные!D818)))</f>
        <v xml:space="preserve">+7 (903) 890-12-34</v>
      </c>
      <c r="E818" t="str">
        <f>IF(ISBLANK(Клиенты_исходные!E818),"",IF(ISNUMBER(FIND(".",MID(Клиенты_исходные!E818,FIND("@",Клиенты_исходные!E818)+1,255))),Клиенты_исходные!E818,IF(ISNUMBER(FIND("gmail",Клиенты_исходные!E818)),Клиенты_исходные!E818&amp;".com",Клиенты_исходные!E818&amp;".ru")))</f>
        <v>kalinkina@mail.ru</v>
      </c>
      <c r="F818" t="str">
        <f>IFERROR(VLOOKUP(Клиенты_исходные!F818,Справочники!$J$2:$K$50,2,FALSE),Клиенты_исходные!F818)</f>
        <v>Озёрск</v>
      </c>
      <c r="G818" s="8">
        <f>IFERROR(IF(ISNUMBER(FIND(".",Клиенты_исходные!G818)),DATE(RIGHT(Клиенты_исходные!G818,4),MID(Клиенты_исходные!G818,4,2),LEFT(Клиенты_исходные!G818,2)),DATE(LEFT(Клиенты_исходные!G818,4),MID(Клиенты_исходные!G818,6,2),RIGHT(Клиенты_исходные!G818,2))),Клиенты_исходные!G818)</f>
        <v>52841</v>
      </c>
      <c r="H818">
        <f t="shared" ca="1" si="85"/>
        <v>43</v>
      </c>
      <c r="I818" t="str">
        <f t="shared" si="86"/>
        <v>OK</v>
      </c>
      <c r="J818" t="str">
        <f t="shared" si="87"/>
        <v>OK</v>
      </c>
    </row>
    <row r="819">
      <c r="A819" t="str">
        <f>Клиенты_исходные!A819</f>
        <v>C0818</v>
      </c>
      <c r="B819" t="str">
        <f>PROPER(TRIM(Клиенты_исходные!B819))</f>
        <v xml:space="preserve">Загороднев Денис Павлович</v>
      </c>
      <c r="C819" s="8">
        <f>IFERROR(IF(ISNUMBER(FIND(".",Клиенты_исходные!C819)),DATE(RIGHT(Клиенты_исходные!C819,4),MID(Клиенты_исходные!C819,4,2),LEFT(Клиенты_исходные!C819,2)),DATE(LEFT(Клиенты_исходные!C819,4),MID(Клиенты_исходные!C819,6,2),RIGHT(Клиенты_исходные!C819,2))),Клиенты_исходные!C819)</f>
        <v>33374</v>
      </c>
      <c r="D819" t="str">
        <f>IF(ISBLANK(Клиенты_исходные!D819),"",IF(LEN(SUBSTITUTE(SUBSTITUTE(SUBSTITUTE(SUBSTITUTE(SUBSTITUTE(Клиенты_исходные!D819," ",""),"-",""),"+",""),"(",""),")",""))=11,"+7 ("&amp;MID(IF(LEFT(SUBSTITUTE(SUBSTITUTE(SUBSTITUTE(SUBSTITUTE(SUBSTITUTE(Клиенты_исходные!D819," ",""),"-",""),"+",""),"(",""),")",""))="8","7"&amp;MID(SUBSTITUTE(SUBSTITUTE(SUBSTITUTE(SUBSTITUTE(SUBSTITUTE(Клиенты_исходные!D819," ",""),"-",""),"+",""),"(",""),")",""),2,10),SUBSTITUTE(SUBSTITUTE(SUBSTITUTE(SUBSTITUTE(SUBSTITUTE(Клиенты_исходные!D819," ",""),"-",""),"+",""),"(",""),")","")),2,3)&amp;") "&amp;MID(IF(LEFT(SUBSTITUTE(SUBSTITUTE(SUBSTITUTE(SUBSTITUTE(SUBSTITUTE(Клиенты_исходные!D819," ",""),"-",""),"+",""),"(",""),")",""))="8","7"&amp;MID(SUBSTITUTE(SUBSTITUTE(SUBSTITUTE(SUBSTITUTE(SUBSTITUTE(Клиенты_исходные!D819," ",""),"-",""),"+",""),"(",""),")",""),2,10),SUBSTITUTE(SUBSTITUTE(SUBSTITUTE(SUBSTITUTE(SUBSTITUTE(Клиенты_исходные!D819," ",""),"-",""),"+",""),"(",""),")","")),5,3)&amp;"-"&amp;MID(IF(LEFT(SUBSTITUTE(SUBSTITUTE(SUBSTITUTE(SUBSTITUTE(SUBSTITUTE(Клиенты_исходные!D819," ",""),"-",""),"+",""),"(",""),")",""))="8","7"&amp;MID(SUBSTITUTE(SUBSTITUTE(SUBSTITUTE(SUBSTITUTE(SUBSTITUTE(Клиенты_исходные!D819," ",""),"-",""),"+",""),"(",""),")",""),2,10),SUBSTITUTE(SUBSTITUTE(SUBSTITUTE(SUBSTITUTE(SUBSTITUTE(Клиенты_исходные!D819," ",""),"-",""),"+",""),"(",""),")","")),8,2)&amp;"-"&amp;MID(IF(LEFT(SUBSTITUTE(SUBSTITUTE(SUBSTITUTE(SUBSTITUTE(SUBSTITUTE(Клиенты_исходные!D819," ",""),"-",""),"+",""),"(",""),")",""))="8","7"&amp;MID(SUBSTITUTE(SUBSTITUTE(SUBSTITUTE(SUBSTITUTE(SUBSTITUTE(Клиенты_исходные!D819," ",""),"-",""),"+",""),"(",""),")",""),2,10),SUBSTITUTE(SUBSTITUTE(SUBSTITUTE(SUBSTITUTE(SUBSTITUTE(Клиенты_исходные!D819," ",""),"-",""),"+",""),"(",""),")","")),10,2),IF(LEN(SUBSTITUTE(SUBSTITUTE(SUBSTITUTE(SUBSTITUTE(SUBSTITUTE(Клиенты_исходные!D819," ",""),"-",""),"+",""),"(",""),")",""))=10,"+7 ("&amp;MID(SUBSTITUTE(SUBSTITUTE(SUBSTITUTE(SUBSTITUTE(SUBSTITUTE(Клиенты_исходные!D819," ",""),"-",""),"+",""),"(",""),")",""),1,3)&amp;") "&amp;MID(SUBSTITUTE(SUBSTITUTE(SUBSTITUTE(SUBSTITUTE(SUBSTITUTE(Клиенты_исходные!D819," ",""),"-",""),"+",""),"(",""),")",""),4,3)&amp;"-"&amp;MID(SUBSTITUTE(SUBSTITUTE(SUBSTITUTE(SUBSTITUTE(SUBSTITUTE(Клиенты_исходные!D819," ",""),"-",""),"+",""),"(",""),")",""),6,2)&amp;"-"&amp;MID(SUBSTITUTE(SUBSTITUTE(SUBSTITUTE(SUBSTITUTE(SUBSTITUTE(Клиенты_исходные!D819," ",""),"-",""),"+",""),"(",""),")",""),8,2),Клиенты_исходные!D819)))</f>
        <v xml:space="preserve">+7 (903) 890-12-34</v>
      </c>
      <c r="E819" t="str">
        <f>IF(ISBLANK(Клиенты_исходные!E819),"",IF(ISNUMBER(FIND(".",MID(Клиенты_исходные!E819,FIND("@",Клиенты_исходные!E819)+1,255))),Клиенты_исходные!E819,IF(ISNUMBER(FIND("gmail",Клиенты_исходные!E819)),Клиенты_исходные!E819&amp;".com",Клиенты_исходные!E819&amp;".ru")))</f>
        <v>zagorodnev@yandex.ru</v>
      </c>
      <c r="F819" t="str">
        <f>IFERROR(VLOOKUP(Клиенты_исходные!F819,Справочники!$J$2:$K$50,2,FALSE),Клиенты_исходные!F819)</f>
        <v>Орел</v>
      </c>
      <c r="G819" s="8">
        <f>IFERROR(IF(ISNUMBER(FIND(".",Клиенты_исходные!G819)),DATE(RIGHT(Клиенты_исходные!G819,4),MID(Клиенты_исходные!G819,4,2),LEFT(Клиенты_исходные!G819,2)),DATE(LEFT(Клиенты_исходные!G819,4),MID(Клиенты_исходные!G819,6,2),RIGHT(Клиенты_исходные!G819,2))),Клиенты_исходные!G819)</f>
        <v>52855</v>
      </c>
      <c r="H819">
        <f t="shared" ca="1" si="85"/>
        <v>35</v>
      </c>
      <c r="I819" t="str">
        <f t="shared" si="86"/>
        <v>OK</v>
      </c>
      <c r="J819" t="str">
        <f t="shared" si="87"/>
        <v>OK</v>
      </c>
    </row>
    <row r="820">
      <c r="A820" t="str">
        <f>Клиенты_исходные!A820</f>
        <v>C0819</v>
      </c>
      <c r="B820" t="str">
        <f>PROPER(TRIM(Клиенты_исходные!B820))</f>
        <v xml:space="preserve">Басова Ольга Сергеевна</v>
      </c>
      <c r="C820" s="8">
        <f>IFERROR(IF(ISNUMBER(FIND(".",Клиенты_исходные!C820)),DATE(RIGHT(Клиенты_исходные!C820,4),MID(Клиенты_исходные!C820,4,2),LEFT(Клиенты_исходные!C820,2)),DATE(LEFT(Клиенты_исходные!C820,4),MID(Клиенты_исходные!C820,6,2),RIGHT(Клиенты_исходные!C820,2))),Клиенты_исходные!C820)</f>
        <v>27294</v>
      </c>
      <c r="D820" t="str">
        <f>IF(ISBLANK(Клиенты_исходные!D820),"",IF(LEN(SUBSTITUTE(SUBSTITUTE(SUBSTITUTE(SUBSTITUTE(SUBSTITUTE(Клиенты_исходные!D820," ",""),"-",""),"+",""),"(",""),")",""))=11,"+7 ("&amp;MID(IF(LEFT(SUBSTITUTE(SUBSTITUTE(SUBSTITUTE(SUBSTITUTE(SUBSTITUTE(Клиенты_исходные!D820," ",""),"-",""),"+",""),"(",""),")",""))="8","7"&amp;MID(SUBSTITUTE(SUBSTITUTE(SUBSTITUTE(SUBSTITUTE(SUBSTITUTE(Клиенты_исходные!D820," ",""),"-",""),"+",""),"(",""),")",""),2,10),SUBSTITUTE(SUBSTITUTE(SUBSTITUTE(SUBSTITUTE(SUBSTITUTE(Клиенты_исходные!D820," ",""),"-",""),"+",""),"(",""),")","")),2,3)&amp;") "&amp;MID(IF(LEFT(SUBSTITUTE(SUBSTITUTE(SUBSTITUTE(SUBSTITUTE(SUBSTITUTE(Клиенты_исходные!D820," ",""),"-",""),"+",""),"(",""),")",""))="8","7"&amp;MID(SUBSTITUTE(SUBSTITUTE(SUBSTITUTE(SUBSTITUTE(SUBSTITUTE(Клиенты_исходные!D820," ",""),"-",""),"+",""),"(",""),")",""),2,10),SUBSTITUTE(SUBSTITUTE(SUBSTITUTE(SUBSTITUTE(SUBSTITUTE(Клиенты_исходные!D820," ",""),"-",""),"+",""),"(",""),")","")),5,3)&amp;"-"&amp;MID(IF(LEFT(SUBSTITUTE(SUBSTITUTE(SUBSTITUTE(SUBSTITUTE(SUBSTITUTE(Клиенты_исходные!D820," ",""),"-",""),"+",""),"(",""),")",""))="8","7"&amp;MID(SUBSTITUTE(SUBSTITUTE(SUBSTITUTE(SUBSTITUTE(SUBSTITUTE(Клиенты_исходные!D820," ",""),"-",""),"+",""),"(",""),")",""),2,10),SUBSTITUTE(SUBSTITUTE(SUBSTITUTE(SUBSTITUTE(SUBSTITUTE(Клиенты_исходные!D820," ",""),"-",""),"+",""),"(",""),")","")),8,2)&amp;"-"&amp;MID(IF(LEFT(SUBSTITUTE(SUBSTITUTE(SUBSTITUTE(SUBSTITUTE(SUBSTITUTE(Клиенты_исходные!D820," ",""),"-",""),"+",""),"(",""),")",""))="8","7"&amp;MID(SUBSTITUTE(SUBSTITUTE(SUBSTITUTE(SUBSTITUTE(SUBSTITUTE(Клиенты_исходные!D820," ",""),"-",""),"+",""),"(",""),")",""),2,10),SUBSTITUTE(SUBSTITUTE(SUBSTITUTE(SUBSTITUTE(SUBSTITUTE(Клиенты_исходные!D820," ",""),"-",""),"+",""),"(",""),")","")),10,2),IF(LEN(SUBSTITUTE(SUBSTITUTE(SUBSTITUTE(SUBSTITUTE(SUBSTITUTE(Клиенты_исходные!D820," ",""),"-",""),"+",""),"(",""),")",""))=10,"+7 ("&amp;MID(SUBSTITUTE(SUBSTITUTE(SUBSTITUTE(SUBSTITUTE(SUBSTITUTE(Клиенты_исходные!D820," ",""),"-",""),"+",""),"(",""),")",""),1,3)&amp;") "&amp;MID(SUBSTITUTE(SUBSTITUTE(SUBSTITUTE(SUBSTITUTE(SUBSTITUTE(Клиенты_исходные!D820," ",""),"-",""),"+",""),"(",""),")",""),4,3)&amp;"-"&amp;MID(SUBSTITUTE(SUBSTITUTE(SUBSTITUTE(SUBSTITUTE(SUBSTITUTE(Клиенты_исходные!D820," ",""),"-",""),"+",""),"(",""),")",""),6,2)&amp;"-"&amp;MID(SUBSTITUTE(SUBSTITUTE(SUBSTITUTE(SUBSTITUTE(SUBSTITUTE(Клиенты_исходные!D820," ",""),"-",""),"+",""),"(",""),")",""),8,2),Клиенты_исходные!D820)))</f>
        <v xml:space="preserve">+7 (903) 901-23-45</v>
      </c>
      <c r="E820" t="str">
        <f>IF(ISBLANK(Клиенты_исходные!E820),"",IF(ISNUMBER(FIND(".",MID(Клиенты_исходные!E820,FIND("@",Клиенты_исходные!E820)+1,255))),Клиенты_исходные!E820,IF(ISNUMBER(FIND("gmail",Клиенты_исходные!E820)),Клиенты_исходные!E820&amp;".com",Клиенты_исходные!E820&amp;".ru")))</f>
        <v>basova@gmail.com</v>
      </c>
      <c r="F820" t="str">
        <f>IFERROR(VLOOKUP(Клиенты_исходные!F820,Справочники!$J$2:$K$50,2,FALSE),Клиенты_исходные!F820)</f>
        <v>Магнитогорск</v>
      </c>
      <c r="G820" s="8">
        <f>IFERROR(IF(ISNUMBER(FIND(".",Клиенты_исходные!G820)),DATE(RIGHT(Клиенты_исходные!G820,4),MID(Клиенты_исходные!G820,4,2),LEFT(Клиенты_исходные!G820,2)),DATE(LEFT(Клиенты_исходные!G820,4),MID(Клиенты_исходные!G820,6,2),RIGHT(Клиенты_исходные!G820,2))),Клиенты_исходные!G820)</f>
        <v>52855</v>
      </c>
      <c r="H820">
        <f t="shared" ca="1" si="85"/>
        <v>52</v>
      </c>
      <c r="I820" t="str">
        <f t="shared" si="86"/>
        <v>OK</v>
      </c>
      <c r="J820" t="str">
        <f t="shared" si="87"/>
        <v>OK</v>
      </c>
    </row>
    <row r="821">
      <c r="A821" t="str">
        <f>Клиенты_исходные!A821</f>
        <v>C0820</v>
      </c>
      <c r="B821" t="str">
        <f>PROPER(TRIM(Клиенты_исходные!B821))</f>
        <v xml:space="preserve">Михайлов Илья Александрович</v>
      </c>
      <c r="C821" s="8">
        <f>IFERROR(IF(ISNUMBER(FIND(".",Клиенты_исходные!C821)),DATE(RIGHT(Клиенты_исходные!C821,4),MID(Клиенты_исходные!C821,4,2),LEFT(Клиенты_исходные!C821,2)),DATE(LEFT(Клиенты_исходные!C821,4),MID(Клиенты_исходные!C821,6,2),RIGHT(Клиенты_исходные!C821,2))),Клиенты_исходные!C821)</f>
        <v>31446</v>
      </c>
      <c r="D821" t="str">
        <f>IF(ISBLANK(Клиенты_исходные!D821),"",IF(LEN(SUBSTITUTE(SUBSTITUTE(SUBSTITUTE(SUBSTITUTE(SUBSTITUTE(Клиенты_исходные!D821," ",""),"-",""),"+",""),"(",""),")",""))=11,"+7 ("&amp;MID(IF(LEFT(SUBSTITUTE(SUBSTITUTE(SUBSTITUTE(SUBSTITUTE(SUBSTITUTE(Клиенты_исходные!D821," ",""),"-",""),"+",""),"(",""),")",""))="8","7"&amp;MID(SUBSTITUTE(SUBSTITUTE(SUBSTITUTE(SUBSTITUTE(SUBSTITUTE(Клиенты_исходные!D821," ",""),"-",""),"+",""),"(",""),")",""),2,10),SUBSTITUTE(SUBSTITUTE(SUBSTITUTE(SUBSTITUTE(SUBSTITUTE(Клиенты_исходные!D821," ",""),"-",""),"+",""),"(",""),")","")),2,3)&amp;") "&amp;MID(IF(LEFT(SUBSTITUTE(SUBSTITUTE(SUBSTITUTE(SUBSTITUTE(SUBSTITUTE(Клиенты_исходные!D821," ",""),"-",""),"+",""),"(",""),")",""))="8","7"&amp;MID(SUBSTITUTE(SUBSTITUTE(SUBSTITUTE(SUBSTITUTE(SUBSTITUTE(Клиенты_исходные!D821," ",""),"-",""),"+",""),"(",""),")",""),2,10),SUBSTITUTE(SUBSTITUTE(SUBSTITUTE(SUBSTITUTE(SUBSTITUTE(Клиенты_исходные!D821," ",""),"-",""),"+",""),"(",""),")","")),5,3)&amp;"-"&amp;MID(IF(LEFT(SUBSTITUTE(SUBSTITUTE(SUBSTITUTE(SUBSTITUTE(SUBSTITUTE(Клиенты_исходные!D821," ",""),"-",""),"+",""),"(",""),")",""))="8","7"&amp;MID(SUBSTITUTE(SUBSTITUTE(SUBSTITUTE(SUBSTITUTE(SUBSTITUTE(Клиенты_исходные!D821," ",""),"-",""),"+",""),"(",""),")",""),2,10),SUBSTITUTE(SUBSTITUTE(SUBSTITUTE(SUBSTITUTE(SUBSTITUTE(Клиенты_исходные!D821," ",""),"-",""),"+",""),"(",""),")","")),8,2)&amp;"-"&amp;MID(IF(LEFT(SUBSTITUTE(SUBSTITUTE(SUBSTITUTE(SUBSTITUTE(SUBSTITUTE(Клиенты_исходные!D821," ",""),"-",""),"+",""),"(",""),")",""))="8","7"&amp;MID(SUBSTITUTE(SUBSTITUTE(SUBSTITUTE(SUBSTITUTE(SUBSTITUTE(Клиенты_исходные!D821," ",""),"-",""),"+",""),"(",""),")",""),2,10),SUBSTITUTE(SUBSTITUTE(SUBSTITUTE(SUBSTITUTE(SUBSTITUTE(Клиенты_исходные!D821," ",""),"-",""),"+",""),"(",""),")","")),10,2),IF(LEN(SUBSTITUTE(SUBSTITUTE(SUBSTITUTE(SUBSTITUTE(SUBSTITUTE(Клиенты_исходные!D821," ",""),"-",""),"+",""),"(",""),")",""))=10,"+7 ("&amp;MID(SUBSTITUTE(SUBSTITUTE(SUBSTITUTE(SUBSTITUTE(SUBSTITUTE(Клиенты_исходные!D821," ",""),"-",""),"+",""),"(",""),")",""),1,3)&amp;") "&amp;MID(SUBSTITUTE(SUBSTITUTE(SUBSTITUTE(SUBSTITUTE(SUBSTITUTE(Клиенты_исходные!D821," ",""),"-",""),"+",""),"(",""),")",""),4,3)&amp;"-"&amp;MID(SUBSTITUTE(SUBSTITUTE(SUBSTITUTE(SUBSTITUTE(SUBSTITUTE(Клиенты_исходные!D821," ",""),"-",""),"+",""),"(",""),")",""),6,2)&amp;"-"&amp;MID(SUBSTITUTE(SUBSTITUTE(SUBSTITUTE(SUBSTITUTE(SUBSTITUTE(Клиенты_исходные!D821," ",""),"-",""),"+",""),"(",""),")",""),8,2),Клиенты_исходные!D821)))</f>
        <v xml:space="preserve">+7 (903) 901-23-45</v>
      </c>
      <c r="E821" t="str">
        <f>IF(ISBLANK(Клиенты_исходные!E821),"",IF(ISNUMBER(FIND(".",MID(Клиенты_исходные!E821,FIND("@",Клиенты_исходные!E821)+1,255))),Клиенты_исходные!E821,IF(ISNUMBER(FIND("gmail",Клиенты_исходные!E821)),Клиенты_исходные!E821&amp;".com",Клиенты_исходные!E821&amp;".ru")))</f>
        <v>mihaylov@mail.ru</v>
      </c>
      <c r="F821" t="str">
        <f>IFERROR(VLOOKUP(Клиенты_исходные!F821,Справочники!$J$2:$K$50,2,FALSE),Клиенты_исходные!F821)</f>
        <v>Якутск</v>
      </c>
      <c r="G821" s="8">
        <f>IFERROR(IF(ISNUMBER(FIND(".",Клиенты_исходные!G821)),DATE(RIGHT(Клиенты_исходные!G821,4),MID(Клиенты_исходные!G821,4,2),LEFT(Клиенты_исходные!G821,2)),DATE(LEFT(Клиенты_исходные!G821,4),MID(Клиенты_исходные!G821,6,2),RIGHT(Клиенты_исходные!G821,2))),Клиенты_исходные!G821)</f>
        <v>52871</v>
      </c>
      <c r="H821">
        <f t="shared" ca="1" si="85"/>
        <v>40</v>
      </c>
      <c r="I821" t="str">
        <f t="shared" si="86"/>
        <v>OK</v>
      </c>
      <c r="J821" t="str">
        <f t="shared" si="87"/>
        <v>OK</v>
      </c>
    </row>
    <row r="822">
      <c r="A822" t="str">
        <f>Клиенты_исходные!A822</f>
        <v>C0821</v>
      </c>
      <c r="B822" t="str">
        <f>PROPER(TRIM(Клиенты_исходные!B822))</f>
        <v xml:space="preserve">Тарасюк Екатерина Владимировна</v>
      </c>
      <c r="C822" s="8">
        <f>IFERROR(IF(ISNUMBER(FIND(".",Клиенты_исходные!C822)),DATE(RIGHT(Клиенты_исходные!C822,4),MID(Клиенты_исходные!C822,4,2),LEFT(Клиенты_исходные!C822,2)),DATE(LEFT(Клиенты_исходные!C822,4),MID(Клиенты_исходные!C822,6,2),RIGHT(Клиенты_исходные!C822,2))),Клиенты_исходные!C822)</f>
        <v>33891</v>
      </c>
      <c r="D822" t="str">
        <f>IF(ISBLANK(Клиенты_исходные!D822),"",IF(LEN(SUBSTITUTE(SUBSTITUTE(SUBSTITUTE(SUBSTITUTE(SUBSTITUTE(Клиенты_исходные!D822," ",""),"-",""),"+",""),"(",""),")",""))=11,"+7 ("&amp;MID(IF(LEFT(SUBSTITUTE(SUBSTITUTE(SUBSTITUTE(SUBSTITUTE(SUBSTITUTE(Клиенты_исходные!D822," ",""),"-",""),"+",""),"(",""),")",""))="8","7"&amp;MID(SUBSTITUTE(SUBSTITUTE(SUBSTITUTE(SUBSTITUTE(SUBSTITUTE(Клиенты_исходные!D822," ",""),"-",""),"+",""),"(",""),")",""),2,10),SUBSTITUTE(SUBSTITUTE(SUBSTITUTE(SUBSTITUTE(SUBSTITUTE(Клиенты_исходные!D822," ",""),"-",""),"+",""),"(",""),")","")),2,3)&amp;") "&amp;MID(IF(LEFT(SUBSTITUTE(SUBSTITUTE(SUBSTITUTE(SUBSTITUTE(SUBSTITUTE(Клиенты_исходные!D822," ",""),"-",""),"+",""),"(",""),")",""))="8","7"&amp;MID(SUBSTITUTE(SUBSTITUTE(SUBSTITUTE(SUBSTITUTE(SUBSTITUTE(Клиенты_исходные!D822," ",""),"-",""),"+",""),"(",""),")",""),2,10),SUBSTITUTE(SUBSTITUTE(SUBSTITUTE(SUBSTITUTE(SUBSTITUTE(Клиенты_исходные!D822," ",""),"-",""),"+",""),"(",""),")","")),5,3)&amp;"-"&amp;MID(IF(LEFT(SUBSTITUTE(SUBSTITUTE(SUBSTITUTE(SUBSTITUTE(SUBSTITUTE(Клиенты_исходные!D822," ",""),"-",""),"+",""),"(",""),")",""))="8","7"&amp;MID(SUBSTITUTE(SUBSTITUTE(SUBSTITUTE(SUBSTITUTE(SUBSTITUTE(Клиенты_исходные!D822," ",""),"-",""),"+",""),"(",""),")",""),2,10),SUBSTITUTE(SUBSTITUTE(SUBSTITUTE(SUBSTITUTE(SUBSTITUTE(Клиенты_исходные!D822," ",""),"-",""),"+",""),"(",""),")","")),8,2)&amp;"-"&amp;MID(IF(LEFT(SUBSTITUTE(SUBSTITUTE(SUBSTITUTE(SUBSTITUTE(SUBSTITUTE(Клиенты_исходные!D822," ",""),"-",""),"+",""),"(",""),")",""))="8","7"&amp;MID(SUBSTITUTE(SUBSTITUTE(SUBSTITUTE(SUBSTITUTE(SUBSTITUTE(Клиенты_исходные!D822," ",""),"-",""),"+",""),"(",""),")",""),2,10),SUBSTITUTE(SUBSTITUTE(SUBSTITUTE(SUBSTITUTE(SUBSTITUTE(Клиенты_исходные!D822," ",""),"-",""),"+",""),"(",""),")","")),10,2),IF(LEN(SUBSTITUTE(SUBSTITUTE(SUBSTITUTE(SUBSTITUTE(SUBSTITUTE(Клиенты_исходные!D822," ",""),"-",""),"+",""),"(",""),")",""))=10,"+7 ("&amp;MID(SUBSTITUTE(SUBSTITUTE(SUBSTITUTE(SUBSTITUTE(SUBSTITUTE(Клиенты_исходные!D822," ",""),"-",""),"+",""),"(",""),")",""),1,3)&amp;") "&amp;MID(SUBSTITUTE(SUBSTITUTE(SUBSTITUTE(SUBSTITUTE(SUBSTITUTE(Клиенты_исходные!D822," ",""),"-",""),"+",""),"(",""),")",""),4,3)&amp;"-"&amp;MID(SUBSTITUTE(SUBSTITUTE(SUBSTITUTE(SUBSTITUTE(SUBSTITUTE(Клиенты_исходные!D822," ",""),"-",""),"+",""),"(",""),")",""),6,2)&amp;"-"&amp;MID(SUBSTITUTE(SUBSTITUTE(SUBSTITUTE(SUBSTITUTE(SUBSTITUTE(Клиенты_исходные!D822," ",""),"-",""),"+",""),"(",""),")",""),8,2),Клиенты_исходные!D822)))</f>
        <v xml:space="preserve">+7 (903) 901-23-45</v>
      </c>
      <c r="E822" t="str">
        <f>IF(ISBLANK(Клиенты_исходные!E822),"",IF(ISNUMBER(FIND(".",MID(Клиенты_исходные!E822,FIND("@",Клиенты_исходные!E822)+1,255))),Клиенты_исходные!E822,IF(ISNUMBER(FIND("gmail",Клиенты_исходные!E822)),Клиенты_исходные!E822&amp;".com",Клиенты_исходные!E822&amp;".ru")))</f>
        <v>tarasyuk@yandex.ru</v>
      </c>
      <c r="F822" t="str">
        <f>IFERROR(VLOOKUP(Клиенты_исходные!F822,Справочники!$J$2:$K$50,2,FALSE),Клиенты_исходные!F822)</f>
        <v>Чебоксары</v>
      </c>
      <c r="G822" s="8">
        <f>IFERROR(IF(ISNUMBER(FIND(".",Клиенты_исходные!G822)),DATE(RIGHT(Клиенты_исходные!G822,4),MID(Клиенты_исходные!G822,4,2),LEFT(Клиенты_исходные!G822,2)),DATE(LEFT(Клиенты_исходные!G822,4),MID(Клиенты_исходные!G822,6,2),RIGHT(Клиенты_исходные!G822,2))),Клиенты_исходные!G822)</f>
        <v>52880</v>
      </c>
      <c r="H822">
        <f t="shared" ca="1" si="85"/>
        <v>33</v>
      </c>
      <c r="I822" t="str">
        <f t="shared" si="86"/>
        <v>OK</v>
      </c>
      <c r="J822" t="str">
        <f t="shared" si="87"/>
        <v>OK</v>
      </c>
    </row>
    <row r="823">
      <c r="A823" t="str">
        <f>Клиенты_исходные!A823</f>
        <v>C0822</v>
      </c>
      <c r="B823" t="str">
        <f>PROPER(TRIM(Клиенты_исходные!B823))</f>
        <v xml:space="preserve">Ожегов Андрей Олегович</v>
      </c>
      <c r="C823" s="8">
        <f>IFERROR(IF(ISNUMBER(FIND(".",Клиенты_исходные!C823)),DATE(RIGHT(Клиенты_исходные!C823,4),MID(Клиенты_исходные!C823,4,2),LEFT(Клиенты_исходные!C823,2)),DATE(LEFT(Клиенты_исходные!C823,4),MID(Клиенты_исходные!C823,6,2),RIGHT(Клиенты_исходные!C823,2))),Клиенты_исходные!C823)</f>
        <v>28467</v>
      </c>
      <c r="D823" t="str">
        <f>IF(ISBLANK(Клиенты_исходные!D823),"",IF(LEN(SUBSTITUTE(SUBSTITUTE(SUBSTITUTE(SUBSTITUTE(SUBSTITUTE(Клиенты_исходные!D823," ",""),"-",""),"+",""),"(",""),")",""))=11,"+7 ("&amp;MID(IF(LEFT(SUBSTITUTE(SUBSTITUTE(SUBSTITUTE(SUBSTITUTE(SUBSTITUTE(Клиенты_исходные!D823," ",""),"-",""),"+",""),"(",""),")",""))="8","7"&amp;MID(SUBSTITUTE(SUBSTITUTE(SUBSTITUTE(SUBSTITUTE(SUBSTITUTE(Клиенты_исходные!D823," ",""),"-",""),"+",""),"(",""),")",""),2,10),SUBSTITUTE(SUBSTITUTE(SUBSTITUTE(SUBSTITUTE(SUBSTITUTE(Клиенты_исходные!D823," ",""),"-",""),"+",""),"(",""),")","")),2,3)&amp;") "&amp;MID(IF(LEFT(SUBSTITUTE(SUBSTITUTE(SUBSTITUTE(SUBSTITUTE(SUBSTITUTE(Клиенты_исходные!D823," ",""),"-",""),"+",""),"(",""),")",""))="8","7"&amp;MID(SUBSTITUTE(SUBSTITUTE(SUBSTITUTE(SUBSTITUTE(SUBSTITUTE(Клиенты_исходные!D823," ",""),"-",""),"+",""),"(",""),")",""),2,10),SUBSTITUTE(SUBSTITUTE(SUBSTITUTE(SUBSTITUTE(SUBSTITUTE(Клиенты_исходные!D823," ",""),"-",""),"+",""),"(",""),")","")),5,3)&amp;"-"&amp;MID(IF(LEFT(SUBSTITUTE(SUBSTITUTE(SUBSTITUTE(SUBSTITUTE(SUBSTITUTE(Клиенты_исходные!D823," ",""),"-",""),"+",""),"(",""),")",""))="8","7"&amp;MID(SUBSTITUTE(SUBSTITUTE(SUBSTITUTE(SUBSTITUTE(SUBSTITUTE(Клиенты_исходные!D823," ",""),"-",""),"+",""),"(",""),")",""),2,10),SUBSTITUTE(SUBSTITUTE(SUBSTITUTE(SUBSTITUTE(SUBSTITUTE(Клиенты_исходные!D823," ",""),"-",""),"+",""),"(",""),")","")),8,2)&amp;"-"&amp;MID(IF(LEFT(SUBSTITUTE(SUBSTITUTE(SUBSTITUTE(SUBSTITUTE(SUBSTITUTE(Клиенты_исходные!D823," ",""),"-",""),"+",""),"(",""),")",""))="8","7"&amp;MID(SUBSTITUTE(SUBSTITUTE(SUBSTITUTE(SUBSTITUTE(SUBSTITUTE(Клиенты_исходные!D823," ",""),"-",""),"+",""),"(",""),")",""),2,10),SUBSTITUTE(SUBSTITUTE(SUBSTITUTE(SUBSTITUTE(SUBSTITUTE(Клиенты_исходные!D823," ",""),"-",""),"+",""),"(",""),")","")),10,2),IF(LEN(SUBSTITUTE(SUBSTITUTE(SUBSTITUTE(SUBSTITUTE(SUBSTITUTE(Клиенты_исходные!D823," ",""),"-",""),"+",""),"(",""),")",""))=10,"+7 ("&amp;MID(SUBSTITUTE(SUBSTITUTE(SUBSTITUTE(SUBSTITUTE(SUBSTITUTE(Клиенты_исходные!D823," ",""),"-",""),"+",""),"(",""),")",""),1,3)&amp;") "&amp;MID(SUBSTITUTE(SUBSTITUTE(SUBSTITUTE(SUBSTITUTE(SUBSTITUTE(Клиенты_исходные!D823," ",""),"-",""),"+",""),"(",""),")",""),4,3)&amp;"-"&amp;MID(SUBSTITUTE(SUBSTITUTE(SUBSTITUTE(SUBSTITUTE(SUBSTITUTE(Клиенты_исходные!D823," ",""),"-",""),"+",""),"(",""),")",""),6,2)&amp;"-"&amp;MID(SUBSTITUTE(SUBSTITUTE(SUBSTITUTE(SUBSTITUTE(SUBSTITUTE(Клиенты_исходные!D823," ",""),"-",""),"+",""),"(",""),")",""),8,2),Клиенты_исходные!D823)))</f>
        <v xml:space="preserve">+7 (903) 012-34-56</v>
      </c>
      <c r="E823" t="str">
        <f>IF(ISBLANK(Клиенты_исходные!E823),"",IF(ISNUMBER(FIND(".",MID(Клиенты_исходные!E823,FIND("@",Клиенты_исходные!E823)+1,255))),Клиенты_исходные!E823,IF(ISNUMBER(FIND("gmail",Клиенты_исходные!E823)),Клиенты_исходные!E823&amp;".com",Клиенты_исходные!E823&amp;".ru")))</f>
        <v>ozhegov@gmail.com</v>
      </c>
      <c r="F823" t="str">
        <f>IFERROR(VLOOKUP(Клиенты_исходные!F823,Справочники!$J$2:$K$50,2,FALSE),Клиенты_исходные!F823)</f>
        <v>Мурманск</v>
      </c>
      <c r="G823" s="8">
        <f>IFERROR(IF(ISNUMBER(FIND(".",Клиенты_исходные!G823)),DATE(RIGHT(Клиенты_исходные!G823,4),MID(Клиенты_исходные!G823,4,2),LEFT(Клиенты_исходные!G823,2)),DATE(LEFT(Клиенты_исходные!G823,4),MID(Клиенты_исходные!G823,6,2),RIGHT(Клиенты_исходные!G823,2))),Клиенты_исходные!G823)</f>
        <v>52880</v>
      </c>
      <c r="H823">
        <f t="shared" ca="1" si="85"/>
        <v>48</v>
      </c>
      <c r="I823" t="str">
        <f t="shared" si="86"/>
        <v>OK</v>
      </c>
      <c r="J823" t="str">
        <f t="shared" si="87"/>
        <v>OK</v>
      </c>
    </row>
    <row r="824">
      <c r="A824" t="str">
        <f>Клиенты_исходные!A824</f>
        <v>C0823</v>
      </c>
      <c r="B824" t="str">
        <f>PROPER(TRIM(Клиенты_исходные!B824))</f>
        <v xml:space="preserve">Сидоренко Мария Павловна</v>
      </c>
      <c r="C824" s="8">
        <f>IFERROR(IF(ISNUMBER(FIND(".",Клиенты_исходные!C824)),DATE(RIGHT(Клиенты_исходные!C824,4),MID(Клиенты_исходные!C824,4,2),LEFT(Клиенты_исходные!C824,2)),DATE(LEFT(Клиенты_исходные!C824,4),MID(Клиенты_исходные!C824,6,2),RIGHT(Клиенты_исходные!C824,2))),Клиенты_исходные!C824)</f>
        <v>31253</v>
      </c>
      <c r="D824" t="str">
        <f>IF(ISBLANK(Клиенты_исходные!D824),"",IF(LEN(SUBSTITUTE(SUBSTITUTE(SUBSTITUTE(SUBSTITUTE(SUBSTITUTE(Клиенты_исходные!D824," ",""),"-",""),"+",""),"(",""),")",""))=11,"+7 ("&amp;MID(IF(LEFT(SUBSTITUTE(SUBSTITUTE(SUBSTITUTE(SUBSTITUTE(SUBSTITUTE(Клиенты_исходные!D824," ",""),"-",""),"+",""),"(",""),")",""))="8","7"&amp;MID(SUBSTITUTE(SUBSTITUTE(SUBSTITUTE(SUBSTITUTE(SUBSTITUTE(Клиенты_исходные!D824," ",""),"-",""),"+",""),"(",""),")",""),2,10),SUBSTITUTE(SUBSTITUTE(SUBSTITUTE(SUBSTITUTE(SUBSTITUTE(Клиенты_исходные!D824," ",""),"-",""),"+",""),"(",""),")","")),2,3)&amp;") "&amp;MID(IF(LEFT(SUBSTITUTE(SUBSTITUTE(SUBSTITUTE(SUBSTITUTE(SUBSTITUTE(Клиенты_исходные!D824," ",""),"-",""),"+",""),"(",""),")",""))="8","7"&amp;MID(SUBSTITUTE(SUBSTITUTE(SUBSTITUTE(SUBSTITUTE(SUBSTITUTE(Клиенты_исходные!D824," ",""),"-",""),"+",""),"(",""),")",""),2,10),SUBSTITUTE(SUBSTITUTE(SUBSTITUTE(SUBSTITUTE(SUBSTITUTE(Клиенты_исходные!D824," ",""),"-",""),"+",""),"(",""),")","")),5,3)&amp;"-"&amp;MID(IF(LEFT(SUBSTITUTE(SUBSTITUTE(SUBSTITUTE(SUBSTITUTE(SUBSTITUTE(Клиенты_исходные!D824," ",""),"-",""),"+",""),"(",""),")",""))="8","7"&amp;MID(SUBSTITUTE(SUBSTITUTE(SUBSTITUTE(SUBSTITUTE(SUBSTITUTE(Клиенты_исходные!D824," ",""),"-",""),"+",""),"(",""),")",""),2,10),SUBSTITUTE(SUBSTITUTE(SUBSTITUTE(SUBSTITUTE(SUBSTITUTE(Клиенты_исходные!D824," ",""),"-",""),"+",""),"(",""),")","")),8,2)&amp;"-"&amp;MID(IF(LEFT(SUBSTITUTE(SUBSTITUTE(SUBSTITUTE(SUBSTITUTE(SUBSTITUTE(Клиенты_исходные!D824," ",""),"-",""),"+",""),"(",""),")",""))="8","7"&amp;MID(SUBSTITUTE(SUBSTITUTE(SUBSTITUTE(SUBSTITUTE(SUBSTITUTE(Клиенты_исходные!D824," ",""),"-",""),"+",""),"(",""),")",""),2,10),SUBSTITUTE(SUBSTITUTE(SUBSTITUTE(SUBSTITUTE(SUBSTITUTE(Клиенты_исходные!D824," ",""),"-",""),"+",""),"(",""),")","")),10,2),IF(LEN(SUBSTITUTE(SUBSTITUTE(SUBSTITUTE(SUBSTITUTE(SUBSTITUTE(Клиенты_исходные!D824," ",""),"-",""),"+",""),"(",""),")",""))=10,"+7 ("&amp;MID(SUBSTITUTE(SUBSTITUTE(SUBSTITUTE(SUBSTITUTE(SUBSTITUTE(Клиенты_исходные!D824," ",""),"-",""),"+",""),"(",""),")",""),1,3)&amp;") "&amp;MID(SUBSTITUTE(SUBSTITUTE(SUBSTITUTE(SUBSTITUTE(SUBSTITUTE(Клиенты_исходные!D824," ",""),"-",""),"+",""),"(",""),")",""),4,3)&amp;"-"&amp;MID(SUBSTITUTE(SUBSTITUTE(SUBSTITUTE(SUBSTITUTE(SUBSTITUTE(Клиенты_исходные!D824," ",""),"-",""),"+",""),"(",""),")",""),6,2)&amp;"-"&amp;MID(SUBSTITUTE(SUBSTITUTE(SUBSTITUTE(SUBSTITUTE(SUBSTITUTE(Клиенты_исходные!D824," ",""),"-",""),"+",""),"(",""),")",""),8,2),Клиенты_исходные!D824)))</f>
        <v xml:space="preserve">+7 (903) 012-34-56</v>
      </c>
      <c r="E824" t="str">
        <f>IF(ISBLANK(Клиенты_исходные!E824),"",IF(ISNUMBER(FIND(".",MID(Клиенты_исходные!E824,FIND("@",Клиенты_исходные!E824)+1,255))),Клиенты_исходные!E824,IF(ISNUMBER(FIND("gmail",Клиенты_исходные!E824)),Клиенты_исходные!E824&amp;".com",Клиенты_исходные!E824&amp;".ru")))</f>
        <v>sidorenko@mail.ru</v>
      </c>
      <c r="F824" t="str">
        <f>IFERROR(VLOOKUP(Клиенты_исходные!F824,Справочники!$J$2:$K$50,2,FALSE),Клиенты_исходные!F824)</f>
        <v>Смоленск</v>
      </c>
      <c r="G824" s="8">
        <f>IFERROR(IF(ISNUMBER(FIND(".",Клиенты_исходные!G824)),DATE(RIGHT(Клиенты_исходные!G824,4),MID(Клиенты_исходные!G824,4,2),LEFT(Клиенты_исходные!G824,2)),DATE(LEFT(Клиенты_исходные!G824,4),MID(Клиенты_исходные!G824,6,2),RIGHT(Клиенты_исходные!G824,2))),Клиенты_исходные!G824)</f>
        <v>52902</v>
      </c>
      <c r="H824">
        <f t="shared" ca="1" si="85"/>
        <v>41</v>
      </c>
      <c r="I824" t="str">
        <f t="shared" si="86"/>
        <v>OK</v>
      </c>
      <c r="J824" t="str">
        <f t="shared" si="87"/>
        <v>OK</v>
      </c>
    </row>
    <row r="825">
      <c r="A825" t="str">
        <f>Клиенты_исходные!A825</f>
        <v>C0824</v>
      </c>
      <c r="B825" t="str">
        <f>PROPER(TRIM(Клиенты_исходные!B825))</f>
        <v xml:space="preserve">Черных Денис Сергеевич</v>
      </c>
      <c r="C825" s="8">
        <f>IFERROR(IF(ISNUMBER(FIND(".",Клиенты_исходные!C825)),DATE(RIGHT(Клиенты_исходные!C825,4),MID(Клиенты_исходные!C825,4,2),LEFT(Клиенты_исходные!C825,2)),DATE(LEFT(Клиенты_исходные!C825,4),MID(Клиенты_исходные!C825,6,2),RIGHT(Клиенты_исходные!C825,2))),Клиенты_исходные!C825)</f>
        <v>29538</v>
      </c>
      <c r="D825" t="str">
        <f>IF(ISBLANK(Клиенты_исходные!D825),"",IF(LEN(SUBSTITUTE(SUBSTITUTE(SUBSTITUTE(SUBSTITUTE(SUBSTITUTE(Клиенты_исходные!D825," ",""),"-",""),"+",""),"(",""),")",""))=11,"+7 ("&amp;MID(IF(LEFT(SUBSTITUTE(SUBSTITUTE(SUBSTITUTE(SUBSTITUTE(SUBSTITUTE(Клиенты_исходные!D825," ",""),"-",""),"+",""),"(",""),")",""))="8","7"&amp;MID(SUBSTITUTE(SUBSTITUTE(SUBSTITUTE(SUBSTITUTE(SUBSTITUTE(Клиенты_исходные!D825," ",""),"-",""),"+",""),"(",""),")",""),2,10),SUBSTITUTE(SUBSTITUTE(SUBSTITUTE(SUBSTITUTE(SUBSTITUTE(Клиенты_исходные!D825," ",""),"-",""),"+",""),"(",""),")","")),2,3)&amp;") "&amp;MID(IF(LEFT(SUBSTITUTE(SUBSTITUTE(SUBSTITUTE(SUBSTITUTE(SUBSTITUTE(Клиенты_исходные!D825," ",""),"-",""),"+",""),"(",""),")",""))="8","7"&amp;MID(SUBSTITUTE(SUBSTITUTE(SUBSTITUTE(SUBSTITUTE(SUBSTITUTE(Клиенты_исходные!D825," ",""),"-",""),"+",""),"(",""),")",""),2,10),SUBSTITUTE(SUBSTITUTE(SUBSTITUTE(SUBSTITUTE(SUBSTITUTE(Клиенты_исходные!D825," ",""),"-",""),"+",""),"(",""),")","")),5,3)&amp;"-"&amp;MID(IF(LEFT(SUBSTITUTE(SUBSTITUTE(SUBSTITUTE(SUBSTITUTE(SUBSTITUTE(Клиенты_исходные!D825," ",""),"-",""),"+",""),"(",""),")",""))="8","7"&amp;MID(SUBSTITUTE(SUBSTITUTE(SUBSTITUTE(SUBSTITUTE(SUBSTITUTE(Клиенты_исходные!D825," ",""),"-",""),"+",""),"(",""),")",""),2,10),SUBSTITUTE(SUBSTITUTE(SUBSTITUTE(SUBSTITUTE(SUBSTITUTE(Клиенты_исходные!D825," ",""),"-",""),"+",""),"(",""),")","")),8,2)&amp;"-"&amp;MID(IF(LEFT(SUBSTITUTE(SUBSTITUTE(SUBSTITUTE(SUBSTITUTE(SUBSTITUTE(Клиенты_исходные!D825," ",""),"-",""),"+",""),"(",""),")",""))="8","7"&amp;MID(SUBSTITUTE(SUBSTITUTE(SUBSTITUTE(SUBSTITUTE(SUBSTITUTE(Клиенты_исходные!D825," ",""),"-",""),"+",""),"(",""),")",""),2,10),SUBSTITUTE(SUBSTITUTE(SUBSTITUTE(SUBSTITUTE(SUBSTITUTE(Клиенты_исходные!D825," ",""),"-",""),"+",""),"(",""),")","")),10,2),IF(LEN(SUBSTITUTE(SUBSTITUTE(SUBSTITUTE(SUBSTITUTE(SUBSTITUTE(Клиенты_исходные!D825," ",""),"-",""),"+",""),"(",""),")",""))=10,"+7 ("&amp;MID(SUBSTITUTE(SUBSTITUTE(SUBSTITUTE(SUBSTITUTE(SUBSTITUTE(Клиенты_исходные!D825," ",""),"-",""),"+",""),"(",""),")",""),1,3)&amp;") "&amp;MID(SUBSTITUTE(SUBSTITUTE(SUBSTITUTE(SUBSTITUTE(SUBSTITUTE(Клиенты_исходные!D825," ",""),"-",""),"+",""),"(",""),")",""),4,3)&amp;"-"&amp;MID(SUBSTITUTE(SUBSTITUTE(SUBSTITUTE(SUBSTITUTE(SUBSTITUTE(Клиенты_исходные!D825," ",""),"-",""),"+",""),"(",""),")",""),6,2)&amp;"-"&amp;MID(SUBSTITUTE(SUBSTITUTE(SUBSTITUTE(SUBSTITUTE(SUBSTITUTE(Клиенты_исходные!D825," ",""),"-",""),"+",""),"(",""),")",""),8,2),Клиенты_исходные!D825)))</f>
        <v xml:space="preserve">+7 (903) 012-34-56</v>
      </c>
      <c r="E825" t="str">
        <f>IF(ISBLANK(Клиенты_исходные!E825),"",IF(ISNUMBER(FIND(".",MID(Клиенты_исходные!E825,FIND("@",Клиенты_исходные!E825)+1,255))),Клиенты_исходные!E825,IF(ISNUMBER(FIND("gmail",Клиенты_исходные!E825)),Клиенты_исходные!E825&amp;".com",Клиенты_исходные!E825&amp;".ru")))</f>
        <v>chernyh@yandex.ru</v>
      </c>
      <c r="F825" t="str">
        <f>IFERROR(VLOOKUP(Клиенты_исходные!F825,Справочники!$J$2:$K$50,2,FALSE),Клиенты_исходные!F825)</f>
        <v>Тула</v>
      </c>
      <c r="G825" s="8">
        <f>IFERROR(IF(ISNUMBER(FIND(".",Клиенты_исходные!G825)),DATE(RIGHT(Клиенты_исходные!G825,4),MID(Клиенты_исходные!G825,4,2),LEFT(Клиенты_исходные!G825,2)),DATE(LEFT(Клиенты_исходные!G825,4),MID(Клиенты_исходные!G825,6,2),RIGHT(Клиенты_исходные!G825,2))),Клиенты_исходные!G825)</f>
        <v>52916</v>
      </c>
      <c r="H825">
        <f t="shared" ca="1" si="85"/>
        <v>45</v>
      </c>
      <c r="I825" t="str">
        <f t="shared" si="86"/>
        <v>OK</v>
      </c>
      <c r="J825" t="str">
        <f t="shared" si="87"/>
        <v>OK</v>
      </c>
    </row>
    <row r="826">
      <c r="A826" t="str">
        <f>Клиенты_исходные!A826</f>
        <v>C0825</v>
      </c>
      <c r="B826" t="str">
        <f>PROPER(TRIM(Клиенты_исходные!B826))</f>
        <v xml:space="preserve">Зорина Ольга Владимировна</v>
      </c>
      <c r="C826" s="8">
        <f>IFERROR(IF(ISNUMBER(FIND(".",Клиенты_исходные!C826)),DATE(RIGHT(Клиенты_исходные!C826,4),MID(Клиенты_исходные!C826,4,2),LEFT(Клиенты_исходные!C826,2)),DATE(LEFT(Клиенты_исходные!C826,4),MID(Клиенты_исходные!C826,6,2),RIGHT(Клиенты_исходные!C826,2))),Клиенты_исходные!C826)</f>
        <v>27503</v>
      </c>
      <c r="D826" t="str">
        <f>IF(ISBLANK(Клиенты_исходные!D826),"",IF(LEN(SUBSTITUTE(SUBSTITUTE(SUBSTITUTE(SUBSTITUTE(SUBSTITUTE(Клиенты_исходные!D826," ",""),"-",""),"+",""),"(",""),")",""))=11,"+7 ("&amp;MID(IF(LEFT(SUBSTITUTE(SUBSTITUTE(SUBSTITUTE(SUBSTITUTE(SUBSTITUTE(Клиенты_исходные!D826," ",""),"-",""),"+",""),"(",""),")",""))="8","7"&amp;MID(SUBSTITUTE(SUBSTITUTE(SUBSTITUTE(SUBSTITUTE(SUBSTITUTE(Клиенты_исходные!D826," ",""),"-",""),"+",""),"(",""),")",""),2,10),SUBSTITUTE(SUBSTITUTE(SUBSTITUTE(SUBSTITUTE(SUBSTITUTE(Клиенты_исходные!D826," ",""),"-",""),"+",""),"(",""),")","")),2,3)&amp;") "&amp;MID(IF(LEFT(SUBSTITUTE(SUBSTITUTE(SUBSTITUTE(SUBSTITUTE(SUBSTITUTE(Клиенты_исходные!D826," ",""),"-",""),"+",""),"(",""),")",""))="8","7"&amp;MID(SUBSTITUTE(SUBSTITUTE(SUBSTITUTE(SUBSTITUTE(SUBSTITUTE(Клиенты_исходные!D826," ",""),"-",""),"+",""),"(",""),")",""),2,10),SUBSTITUTE(SUBSTITUTE(SUBSTITUTE(SUBSTITUTE(SUBSTITUTE(Клиенты_исходные!D826," ",""),"-",""),"+",""),"(",""),")","")),5,3)&amp;"-"&amp;MID(IF(LEFT(SUBSTITUTE(SUBSTITUTE(SUBSTITUTE(SUBSTITUTE(SUBSTITUTE(Клиенты_исходные!D826," ",""),"-",""),"+",""),"(",""),")",""))="8","7"&amp;MID(SUBSTITUTE(SUBSTITUTE(SUBSTITUTE(SUBSTITUTE(SUBSTITUTE(Клиенты_исходные!D826," ",""),"-",""),"+",""),"(",""),")",""),2,10),SUBSTITUTE(SUBSTITUTE(SUBSTITUTE(SUBSTITUTE(SUBSTITUTE(Клиенты_исходные!D826," ",""),"-",""),"+",""),"(",""),")","")),8,2)&amp;"-"&amp;MID(IF(LEFT(SUBSTITUTE(SUBSTITUTE(SUBSTITUTE(SUBSTITUTE(SUBSTITUTE(Клиенты_исходные!D826," ",""),"-",""),"+",""),"(",""),")",""))="8","7"&amp;MID(SUBSTITUTE(SUBSTITUTE(SUBSTITUTE(SUBSTITUTE(SUBSTITUTE(Клиенты_исходные!D826," ",""),"-",""),"+",""),"(",""),")",""),2,10),SUBSTITUTE(SUBSTITUTE(SUBSTITUTE(SUBSTITUTE(SUBSTITUTE(Клиенты_исходные!D826," ",""),"-",""),"+",""),"(",""),")","")),10,2),IF(LEN(SUBSTITUTE(SUBSTITUTE(SUBSTITUTE(SUBSTITUTE(SUBSTITUTE(Клиенты_исходные!D826," ",""),"-",""),"+",""),"(",""),")",""))=10,"+7 ("&amp;MID(SUBSTITUTE(SUBSTITUTE(SUBSTITUTE(SUBSTITUTE(SUBSTITUTE(Клиенты_исходные!D826," ",""),"-",""),"+",""),"(",""),")",""),1,3)&amp;") "&amp;MID(SUBSTITUTE(SUBSTITUTE(SUBSTITUTE(SUBSTITUTE(SUBSTITUTE(Клиенты_исходные!D826," ",""),"-",""),"+",""),"(",""),")",""),4,3)&amp;"-"&amp;MID(SUBSTITUTE(SUBSTITUTE(SUBSTITUTE(SUBSTITUTE(SUBSTITUTE(Клиенты_исходные!D826," ",""),"-",""),"+",""),"(",""),")",""),6,2)&amp;"-"&amp;MID(SUBSTITUTE(SUBSTITUTE(SUBSTITUTE(SUBSTITUTE(SUBSTITUTE(Клиенты_исходные!D826," ",""),"-",""),"+",""),"(",""),")",""),8,2),Клиенты_исходные!D826)))</f>
        <v xml:space="preserve">+7 (903) 123-45-67</v>
      </c>
      <c r="E826" t="str">
        <f>IF(ISBLANK(Клиенты_исходные!E826),"",IF(ISNUMBER(FIND(".",MID(Клиенты_исходные!E826,FIND("@",Клиенты_исходные!E826)+1,255))),Клиенты_исходные!E826,IF(ISNUMBER(FIND("gmail",Клиенты_исходные!E826)),Клиенты_исходные!E826&amp;".com",Клиенты_исходные!E826&amp;".ru")))</f>
        <v>zorina@gmail.com</v>
      </c>
      <c r="F826" t="str">
        <f>IFERROR(VLOOKUP(Клиенты_исходные!F826,Справочники!$J$2:$K$50,2,FALSE),Клиенты_исходные!F826)</f>
        <v>Калуга</v>
      </c>
      <c r="G826" s="8">
        <f>IFERROR(IF(ISNUMBER(FIND(".",Клиенты_исходные!G826)),DATE(RIGHT(Клиенты_исходные!G826,4),MID(Клиенты_исходные!G826,4,2),LEFT(Клиенты_исходные!G826,2)),DATE(LEFT(Клиенты_исходные!G826,4),MID(Клиенты_исходные!G826,6,2),RIGHT(Клиенты_исходные!G826,2))),Клиенты_исходные!G826)</f>
        <v>52916</v>
      </c>
      <c r="H826">
        <f t="shared" ca="1" si="85"/>
        <v>51</v>
      </c>
      <c r="I826" t="str">
        <f t="shared" si="86"/>
        <v>OK</v>
      </c>
      <c r="J826" t="str">
        <f t="shared" si="87"/>
        <v>OK</v>
      </c>
    </row>
    <row r="827">
      <c r="A827" t="str">
        <f>Клиенты_исходные!A827</f>
        <v>C0826</v>
      </c>
      <c r="B827" t="str">
        <f>PROPER(TRIM(Клиенты_исходные!B827))</f>
        <v xml:space="preserve">Трошин Илья Александрович</v>
      </c>
      <c r="C827" s="8">
        <f>IFERROR(IF(ISNUMBER(FIND(".",Клиенты_исходные!C827)),DATE(RIGHT(Клиенты_исходные!C827,4),MID(Клиенты_исходные!C827,4,2),LEFT(Клиенты_исходные!C827,2)),DATE(LEFT(Клиенты_исходные!C827,4),MID(Клиенты_исходные!C827,6,2),RIGHT(Клиенты_исходные!C827,2))),Клиенты_исходные!C827)</f>
        <v>31949</v>
      </c>
      <c r="D827" t="str">
        <f>IF(ISBLANK(Клиенты_исходные!D827),"",IF(LEN(SUBSTITUTE(SUBSTITUTE(SUBSTITUTE(SUBSTITUTE(SUBSTITUTE(Клиенты_исходные!D827," ",""),"-",""),"+",""),"(",""),")",""))=11,"+7 ("&amp;MID(IF(LEFT(SUBSTITUTE(SUBSTITUTE(SUBSTITUTE(SUBSTITUTE(SUBSTITUTE(Клиенты_исходные!D827," ",""),"-",""),"+",""),"(",""),")",""))="8","7"&amp;MID(SUBSTITUTE(SUBSTITUTE(SUBSTITUTE(SUBSTITUTE(SUBSTITUTE(Клиенты_исходные!D827," ",""),"-",""),"+",""),"(",""),")",""),2,10),SUBSTITUTE(SUBSTITUTE(SUBSTITUTE(SUBSTITUTE(SUBSTITUTE(Клиенты_исходные!D827," ",""),"-",""),"+",""),"(",""),")","")),2,3)&amp;") "&amp;MID(IF(LEFT(SUBSTITUTE(SUBSTITUTE(SUBSTITUTE(SUBSTITUTE(SUBSTITUTE(Клиенты_исходные!D827," ",""),"-",""),"+",""),"(",""),")",""))="8","7"&amp;MID(SUBSTITUTE(SUBSTITUTE(SUBSTITUTE(SUBSTITUTE(SUBSTITUTE(Клиенты_исходные!D827," ",""),"-",""),"+",""),"(",""),")",""),2,10),SUBSTITUTE(SUBSTITUTE(SUBSTITUTE(SUBSTITUTE(SUBSTITUTE(Клиенты_исходные!D827," ",""),"-",""),"+",""),"(",""),")","")),5,3)&amp;"-"&amp;MID(IF(LEFT(SUBSTITUTE(SUBSTITUTE(SUBSTITUTE(SUBSTITUTE(SUBSTITUTE(Клиенты_исходные!D827," ",""),"-",""),"+",""),"(",""),")",""))="8","7"&amp;MID(SUBSTITUTE(SUBSTITUTE(SUBSTITUTE(SUBSTITUTE(SUBSTITUTE(Клиенты_исходные!D827," ",""),"-",""),"+",""),"(",""),")",""),2,10),SUBSTITUTE(SUBSTITUTE(SUBSTITUTE(SUBSTITUTE(SUBSTITUTE(Клиенты_исходные!D827," ",""),"-",""),"+",""),"(",""),")","")),8,2)&amp;"-"&amp;MID(IF(LEFT(SUBSTITUTE(SUBSTITUTE(SUBSTITUTE(SUBSTITUTE(SUBSTITUTE(Клиенты_исходные!D827," ",""),"-",""),"+",""),"(",""),")",""))="8","7"&amp;MID(SUBSTITUTE(SUBSTITUTE(SUBSTITUTE(SUBSTITUTE(SUBSTITUTE(Клиенты_исходные!D827," ",""),"-",""),"+",""),"(",""),")",""),2,10),SUBSTITUTE(SUBSTITUTE(SUBSTITUTE(SUBSTITUTE(SUBSTITUTE(Клиенты_исходные!D827," ",""),"-",""),"+",""),"(",""),")","")),10,2),IF(LEN(SUBSTITUTE(SUBSTITUTE(SUBSTITUTE(SUBSTITUTE(SUBSTITUTE(Клиенты_исходные!D827," ",""),"-",""),"+",""),"(",""),")",""))=10,"+7 ("&amp;MID(SUBSTITUTE(SUBSTITUTE(SUBSTITUTE(SUBSTITUTE(SUBSTITUTE(Клиенты_исходные!D827," ",""),"-",""),"+",""),"(",""),")",""),1,3)&amp;") "&amp;MID(SUBSTITUTE(SUBSTITUTE(SUBSTITUTE(SUBSTITUTE(SUBSTITUTE(Клиенты_исходные!D827," ",""),"-",""),"+",""),"(",""),")",""),4,3)&amp;"-"&amp;MID(SUBSTITUTE(SUBSTITUTE(SUBSTITUTE(SUBSTITUTE(SUBSTITUTE(Клиенты_исходные!D827," ",""),"-",""),"+",""),"(",""),")",""),6,2)&amp;"-"&amp;MID(SUBSTITUTE(SUBSTITUTE(SUBSTITUTE(SUBSTITUTE(SUBSTITUTE(Клиенты_исходные!D827," ",""),"-",""),"+",""),"(",""),")",""),8,2),Клиенты_исходные!D827)))</f>
        <v xml:space="preserve">+7 (903) 123-45-67</v>
      </c>
      <c r="E827" t="str">
        <f>IF(ISBLANK(Клиенты_исходные!E827),"",IF(ISNUMBER(FIND(".",MID(Клиенты_исходные!E827,FIND("@",Клиенты_исходные!E827)+1,255))),Клиенты_исходные!E827,IF(ISNUMBER(FIND("gmail",Клиенты_исходные!E827)),Клиенты_исходные!E827&amp;".com",Клиенты_исходные!E827&amp;".ru")))</f>
        <v>troshin@mail.ru</v>
      </c>
      <c r="F827" t="str">
        <f>IFERROR(VLOOKUP(Клиенты_исходные!F827,Справочники!$J$2:$K$50,2,FALSE),Клиенты_исходные!F827)</f>
        <v>Владикавказ</v>
      </c>
      <c r="G827" s="8">
        <f>IFERROR(IF(ISNUMBER(FIND(".",Клиенты_исходные!G827)),DATE(RIGHT(Клиенты_исходные!G827,4),MID(Клиенты_исходные!G827,4,2),LEFT(Клиенты_исходные!G827,2)),DATE(LEFT(Клиенты_исходные!G827,4),MID(Клиенты_исходные!G827,6,2),RIGHT(Клиенты_исходные!G827,2))),Клиенты_исходные!G827)</f>
        <v>52932</v>
      </c>
      <c r="H827">
        <f t="shared" ca="1" si="85"/>
        <v>39</v>
      </c>
      <c r="I827" t="str">
        <f t="shared" si="86"/>
        <v>OK</v>
      </c>
      <c r="J827" t="str">
        <f t="shared" si="87"/>
        <v>OK</v>
      </c>
    </row>
    <row r="828">
      <c r="A828" t="str">
        <f>Клиенты_исходные!A828</f>
        <v>C0827</v>
      </c>
      <c r="B828" t="str">
        <f>PROPER(TRIM(Клиенты_исходные!B828))</f>
        <v xml:space="preserve">Леонова Екатерина Сергеевна</v>
      </c>
      <c r="C828" s="8">
        <f>IFERROR(IF(ISNUMBER(FIND(".",Клиенты_исходные!C828)),DATE(RIGHT(Клиенты_исходные!C828,4),MID(Клиенты_исходные!C828,4,2),LEFT(Клиенты_исходные!C828,2)),DATE(LEFT(Клиенты_исходные!C828,4),MID(Клиенты_исходные!C828,6,2),RIGHT(Клиенты_исходные!C828,2))),Клиенты_исходные!C828)</f>
        <v>33581</v>
      </c>
      <c r="D828" t="str">
        <f>IF(ISBLANK(Клиенты_исходные!D828),"",IF(LEN(SUBSTITUTE(SUBSTITUTE(SUBSTITUTE(SUBSTITUTE(SUBSTITUTE(Клиенты_исходные!D828," ",""),"-",""),"+",""),"(",""),")",""))=11,"+7 ("&amp;MID(IF(LEFT(SUBSTITUTE(SUBSTITUTE(SUBSTITUTE(SUBSTITUTE(SUBSTITUTE(Клиенты_исходные!D828," ",""),"-",""),"+",""),"(",""),")",""))="8","7"&amp;MID(SUBSTITUTE(SUBSTITUTE(SUBSTITUTE(SUBSTITUTE(SUBSTITUTE(Клиенты_исходные!D828," ",""),"-",""),"+",""),"(",""),")",""),2,10),SUBSTITUTE(SUBSTITUTE(SUBSTITUTE(SUBSTITUTE(SUBSTITUTE(Клиенты_исходные!D828," ",""),"-",""),"+",""),"(",""),")","")),2,3)&amp;") "&amp;MID(IF(LEFT(SUBSTITUTE(SUBSTITUTE(SUBSTITUTE(SUBSTITUTE(SUBSTITUTE(Клиенты_исходные!D828," ",""),"-",""),"+",""),"(",""),")",""))="8","7"&amp;MID(SUBSTITUTE(SUBSTITUTE(SUBSTITUTE(SUBSTITUTE(SUBSTITUTE(Клиенты_исходные!D828," ",""),"-",""),"+",""),"(",""),")",""),2,10),SUBSTITUTE(SUBSTITUTE(SUBSTITUTE(SUBSTITUTE(SUBSTITUTE(Клиенты_исходные!D828," ",""),"-",""),"+",""),"(",""),")","")),5,3)&amp;"-"&amp;MID(IF(LEFT(SUBSTITUTE(SUBSTITUTE(SUBSTITUTE(SUBSTITUTE(SUBSTITUTE(Клиенты_исходные!D828," ",""),"-",""),"+",""),"(",""),")",""))="8","7"&amp;MID(SUBSTITUTE(SUBSTITUTE(SUBSTITUTE(SUBSTITUTE(SUBSTITUTE(Клиенты_исходные!D828," ",""),"-",""),"+",""),"(",""),")",""),2,10),SUBSTITUTE(SUBSTITUTE(SUBSTITUTE(SUBSTITUTE(SUBSTITUTE(Клиенты_исходные!D828," ",""),"-",""),"+",""),"(",""),")","")),8,2)&amp;"-"&amp;MID(IF(LEFT(SUBSTITUTE(SUBSTITUTE(SUBSTITUTE(SUBSTITUTE(SUBSTITUTE(Клиенты_исходные!D828," ",""),"-",""),"+",""),"(",""),")",""))="8","7"&amp;MID(SUBSTITUTE(SUBSTITUTE(SUBSTITUTE(SUBSTITUTE(SUBSTITUTE(Клиенты_исходные!D828," ",""),"-",""),"+",""),"(",""),")",""),2,10),SUBSTITUTE(SUBSTITUTE(SUBSTITUTE(SUBSTITUTE(SUBSTITUTE(Клиенты_исходные!D828," ",""),"-",""),"+",""),"(",""),")","")),10,2),IF(LEN(SUBSTITUTE(SUBSTITUTE(SUBSTITUTE(SUBSTITUTE(SUBSTITUTE(Клиенты_исходные!D828," ",""),"-",""),"+",""),"(",""),")",""))=10,"+7 ("&amp;MID(SUBSTITUTE(SUBSTITUTE(SUBSTITUTE(SUBSTITUTE(SUBSTITUTE(Клиенты_исходные!D828," ",""),"-",""),"+",""),"(",""),")",""),1,3)&amp;") "&amp;MID(SUBSTITUTE(SUBSTITUTE(SUBSTITUTE(SUBSTITUTE(SUBSTITUTE(Клиенты_исходные!D828," ",""),"-",""),"+",""),"(",""),")",""),4,3)&amp;"-"&amp;MID(SUBSTITUTE(SUBSTITUTE(SUBSTITUTE(SUBSTITUTE(SUBSTITUTE(Клиенты_исходные!D828," ",""),"-",""),"+",""),"(",""),")",""),6,2)&amp;"-"&amp;MID(SUBSTITUTE(SUBSTITUTE(SUBSTITUTE(SUBSTITUTE(SUBSTITUTE(Клиенты_исходные!D828," ",""),"-",""),"+",""),"(",""),")",""),8,2),Клиенты_исходные!D828)))</f>
        <v xml:space="preserve">+7 (903) 123-45-67</v>
      </c>
      <c r="E828" t="str">
        <f>IF(ISBLANK(Клиенты_исходные!E828),"",IF(ISNUMBER(FIND(".",MID(Клиенты_исходные!E828,FIND("@",Клиенты_исходные!E828)+1,255))),Клиенты_исходные!E828,IF(ISNUMBER(FIND("gmail",Клиенты_исходные!E828)),Клиенты_исходные!E828&amp;".com",Клиенты_исходные!E828&amp;".ru")))</f>
        <v>leonova@yandex.ru</v>
      </c>
      <c r="F828" t="str">
        <f>IFERROR(VLOOKUP(Клиенты_исходные!F828,Справочники!$J$2:$K$50,2,FALSE),Клиенты_исходные!F828)</f>
        <v>Смоленск</v>
      </c>
      <c r="G828" s="8">
        <f>IFERROR(IF(ISNUMBER(FIND(".",Клиенты_исходные!G828)),DATE(RIGHT(Клиенты_исходные!G828,4),MID(Клиенты_исходные!G828,4,2),LEFT(Клиенты_исходные!G828,2)),DATE(LEFT(Клиенты_исходные!G828,4),MID(Клиенты_исходные!G828,6,2),RIGHT(Клиенты_исходные!G828,2))),Клиенты_исходные!G828)</f>
        <v>52941</v>
      </c>
      <c r="H828">
        <f t="shared" ca="1" si="85"/>
        <v>34</v>
      </c>
      <c r="I828" t="str">
        <f t="shared" si="86"/>
        <v>OK</v>
      </c>
      <c r="J828" t="str">
        <f t="shared" si="87"/>
        <v>OK</v>
      </c>
    </row>
    <row r="829">
      <c r="A829" t="str">
        <f>Клиенты_исходные!A829</f>
        <v>C0828</v>
      </c>
      <c r="B829" t="str">
        <f>PROPER(TRIM(Клиенты_исходные!B829))</f>
        <v xml:space="preserve">Зубков Андрей Олегович</v>
      </c>
      <c r="C829" s="8">
        <f>IFERROR(IF(ISNUMBER(FIND(".",Клиенты_исходные!C829)),DATE(RIGHT(Клиенты_исходные!C829,4),MID(Клиенты_исходные!C829,4,2),LEFT(Клиенты_исходные!C829,2)),DATE(LEFT(Клиенты_исходные!C829,4),MID(Клиенты_исходные!C829,6,2),RIGHT(Клиенты_исходные!C829,2))),Клиенты_исходные!C829)</f>
        <v>27999</v>
      </c>
      <c r="D829" t="str">
        <f>IF(ISBLANK(Клиенты_исходные!D829),"",IF(LEN(SUBSTITUTE(SUBSTITUTE(SUBSTITUTE(SUBSTITUTE(SUBSTITUTE(Клиенты_исходные!D829," ",""),"-",""),"+",""),"(",""),")",""))=11,"+7 ("&amp;MID(IF(LEFT(SUBSTITUTE(SUBSTITUTE(SUBSTITUTE(SUBSTITUTE(SUBSTITUTE(Клиенты_исходные!D829," ",""),"-",""),"+",""),"(",""),")",""))="8","7"&amp;MID(SUBSTITUTE(SUBSTITUTE(SUBSTITUTE(SUBSTITUTE(SUBSTITUTE(Клиенты_исходные!D829," ",""),"-",""),"+",""),"(",""),")",""),2,10),SUBSTITUTE(SUBSTITUTE(SUBSTITUTE(SUBSTITUTE(SUBSTITUTE(Клиенты_исходные!D829," ",""),"-",""),"+",""),"(",""),")","")),2,3)&amp;") "&amp;MID(IF(LEFT(SUBSTITUTE(SUBSTITUTE(SUBSTITUTE(SUBSTITUTE(SUBSTITUTE(Клиенты_исходные!D829," ",""),"-",""),"+",""),"(",""),")",""))="8","7"&amp;MID(SUBSTITUTE(SUBSTITUTE(SUBSTITUTE(SUBSTITUTE(SUBSTITUTE(Клиенты_исходные!D829," ",""),"-",""),"+",""),"(",""),")",""),2,10),SUBSTITUTE(SUBSTITUTE(SUBSTITUTE(SUBSTITUTE(SUBSTITUTE(Клиенты_исходные!D829," ",""),"-",""),"+",""),"(",""),")","")),5,3)&amp;"-"&amp;MID(IF(LEFT(SUBSTITUTE(SUBSTITUTE(SUBSTITUTE(SUBSTITUTE(SUBSTITUTE(Клиенты_исходные!D829," ",""),"-",""),"+",""),"(",""),")",""))="8","7"&amp;MID(SUBSTITUTE(SUBSTITUTE(SUBSTITUTE(SUBSTITUTE(SUBSTITUTE(Клиенты_исходные!D829," ",""),"-",""),"+",""),"(",""),")",""),2,10),SUBSTITUTE(SUBSTITUTE(SUBSTITUTE(SUBSTITUTE(SUBSTITUTE(Клиенты_исходные!D829," ",""),"-",""),"+",""),"(",""),")","")),8,2)&amp;"-"&amp;MID(IF(LEFT(SUBSTITUTE(SUBSTITUTE(SUBSTITUTE(SUBSTITUTE(SUBSTITUTE(Клиенты_исходные!D829," ",""),"-",""),"+",""),"(",""),")",""))="8","7"&amp;MID(SUBSTITUTE(SUBSTITUTE(SUBSTITUTE(SUBSTITUTE(SUBSTITUTE(Клиенты_исходные!D829," ",""),"-",""),"+",""),"(",""),")",""),2,10),SUBSTITUTE(SUBSTITUTE(SUBSTITUTE(SUBSTITUTE(SUBSTITUTE(Клиенты_исходные!D829," ",""),"-",""),"+",""),"(",""),")","")),10,2),IF(LEN(SUBSTITUTE(SUBSTITUTE(SUBSTITUTE(SUBSTITUTE(SUBSTITUTE(Клиенты_исходные!D829," ",""),"-",""),"+",""),"(",""),")",""))=10,"+7 ("&amp;MID(SUBSTITUTE(SUBSTITUTE(SUBSTITUTE(SUBSTITUTE(SUBSTITUTE(Клиенты_исходные!D829," ",""),"-",""),"+",""),"(",""),")",""),1,3)&amp;") "&amp;MID(SUBSTITUTE(SUBSTITUTE(SUBSTITUTE(SUBSTITUTE(SUBSTITUTE(Клиенты_исходные!D829," ",""),"-",""),"+",""),"(",""),")",""),4,3)&amp;"-"&amp;MID(SUBSTITUTE(SUBSTITUTE(SUBSTITUTE(SUBSTITUTE(SUBSTITUTE(Клиенты_исходные!D829," ",""),"-",""),"+",""),"(",""),")",""),6,2)&amp;"-"&amp;MID(SUBSTITUTE(SUBSTITUTE(SUBSTITUTE(SUBSTITUTE(SUBSTITUTE(Клиенты_исходные!D829," ",""),"-",""),"+",""),"(",""),")",""),8,2),Клиенты_исходные!D829)))</f>
        <v xml:space="preserve">+7 (903) 234-56-78</v>
      </c>
      <c r="E829" t="str">
        <f>IF(ISBLANK(Клиенты_исходные!E829),"",IF(ISNUMBER(FIND(".",MID(Клиенты_исходные!E829,FIND("@",Клиенты_исходные!E829)+1,255))),Клиенты_исходные!E829,IF(ISNUMBER(FIND("gmail",Клиенты_исходные!E829)),Клиенты_исходные!E829&amp;".com",Клиенты_исходные!E829&amp;".ru")))</f>
        <v>zubkov@gmail.com</v>
      </c>
      <c r="F829" t="str">
        <f>IFERROR(VLOOKUP(Клиенты_исходные!F829,Справочники!$J$2:$K$50,2,FALSE),Клиенты_исходные!F829)</f>
        <v>Белгород</v>
      </c>
      <c r="G829" s="8">
        <f>IFERROR(IF(ISNUMBER(FIND(".",Клиенты_исходные!G829)),DATE(RIGHT(Клиенты_исходные!G829,4),MID(Клиенты_исходные!G829,4,2),LEFT(Клиенты_исходные!G829,2)),DATE(LEFT(Клиенты_исходные!G829,4),MID(Клиенты_исходные!G829,6,2),RIGHT(Клиенты_исходные!G829,2))),Клиенты_исходные!G829)</f>
        <v>52941</v>
      </c>
      <c r="H829">
        <f t="shared" ca="1" si="85"/>
        <v>50</v>
      </c>
      <c r="I829" t="str">
        <f t="shared" si="86"/>
        <v>OK</v>
      </c>
      <c r="J829" t="str">
        <f t="shared" si="87"/>
        <v>OK</v>
      </c>
    </row>
    <row r="830">
      <c r="A830" t="str">
        <f>Клиенты_исходные!A830</f>
        <v>C0829</v>
      </c>
      <c r="B830" t="str">
        <f>PROPER(TRIM(Клиенты_исходные!B830))</f>
        <v xml:space="preserve">Красикова Мария Павловна</v>
      </c>
      <c r="C830" s="8">
        <f>IFERROR(IF(ISNUMBER(FIND(".",Клиенты_исходные!C830)),DATE(RIGHT(Клиенты_исходные!C830,4),MID(Клиенты_исходные!C830,4,2),LEFT(Клиенты_исходные!C830,2)),DATE(LEFT(Клиенты_исходные!C830,4),MID(Клиенты_исходные!C830,6,2),RIGHT(Клиенты_исходные!C830,2))),Клиенты_исходные!C830)</f>
        <v>30334</v>
      </c>
      <c r="D830" t="str">
        <f>IF(ISBLANK(Клиенты_исходные!D830),"",IF(LEN(SUBSTITUTE(SUBSTITUTE(SUBSTITUTE(SUBSTITUTE(SUBSTITUTE(Клиенты_исходные!D830," ",""),"-",""),"+",""),"(",""),")",""))=11,"+7 ("&amp;MID(IF(LEFT(SUBSTITUTE(SUBSTITUTE(SUBSTITUTE(SUBSTITUTE(SUBSTITUTE(Клиенты_исходные!D830," ",""),"-",""),"+",""),"(",""),")",""))="8","7"&amp;MID(SUBSTITUTE(SUBSTITUTE(SUBSTITUTE(SUBSTITUTE(SUBSTITUTE(Клиенты_исходные!D830," ",""),"-",""),"+",""),"(",""),")",""),2,10),SUBSTITUTE(SUBSTITUTE(SUBSTITUTE(SUBSTITUTE(SUBSTITUTE(Клиенты_исходные!D830," ",""),"-",""),"+",""),"(",""),")","")),2,3)&amp;") "&amp;MID(IF(LEFT(SUBSTITUTE(SUBSTITUTE(SUBSTITUTE(SUBSTITUTE(SUBSTITUTE(Клиенты_исходные!D830," ",""),"-",""),"+",""),"(",""),")",""))="8","7"&amp;MID(SUBSTITUTE(SUBSTITUTE(SUBSTITUTE(SUBSTITUTE(SUBSTITUTE(Клиенты_исходные!D830," ",""),"-",""),"+",""),"(",""),")",""),2,10),SUBSTITUTE(SUBSTITUTE(SUBSTITUTE(SUBSTITUTE(SUBSTITUTE(Клиенты_исходные!D830," ",""),"-",""),"+",""),"(",""),")","")),5,3)&amp;"-"&amp;MID(IF(LEFT(SUBSTITUTE(SUBSTITUTE(SUBSTITUTE(SUBSTITUTE(SUBSTITUTE(Клиенты_исходные!D830," ",""),"-",""),"+",""),"(",""),")",""))="8","7"&amp;MID(SUBSTITUTE(SUBSTITUTE(SUBSTITUTE(SUBSTITUTE(SUBSTITUTE(Клиенты_исходные!D830," ",""),"-",""),"+",""),"(",""),")",""),2,10),SUBSTITUTE(SUBSTITUTE(SUBSTITUTE(SUBSTITUTE(SUBSTITUTE(Клиенты_исходные!D830," ",""),"-",""),"+",""),"(",""),")","")),8,2)&amp;"-"&amp;MID(IF(LEFT(SUBSTITUTE(SUBSTITUTE(SUBSTITUTE(SUBSTITUTE(SUBSTITUTE(Клиенты_исходные!D830," ",""),"-",""),"+",""),"(",""),")",""))="8","7"&amp;MID(SUBSTITUTE(SUBSTITUTE(SUBSTITUTE(SUBSTITUTE(SUBSTITUTE(Клиенты_исходные!D830," ",""),"-",""),"+",""),"(",""),")",""),2,10),SUBSTITUTE(SUBSTITUTE(SUBSTITUTE(SUBSTITUTE(SUBSTITUTE(Клиенты_исходные!D830," ",""),"-",""),"+",""),"(",""),")","")),10,2),IF(LEN(SUBSTITUTE(SUBSTITUTE(SUBSTITUTE(SUBSTITUTE(SUBSTITUTE(Клиенты_исходные!D830," ",""),"-",""),"+",""),"(",""),")",""))=10,"+7 ("&amp;MID(SUBSTITUTE(SUBSTITUTE(SUBSTITUTE(SUBSTITUTE(SUBSTITUTE(Клиенты_исходные!D830," ",""),"-",""),"+",""),"(",""),")",""),1,3)&amp;") "&amp;MID(SUBSTITUTE(SUBSTITUTE(SUBSTITUTE(SUBSTITUTE(SUBSTITUTE(Клиенты_исходные!D830," ",""),"-",""),"+",""),"(",""),")",""),4,3)&amp;"-"&amp;MID(SUBSTITUTE(SUBSTITUTE(SUBSTITUTE(SUBSTITUTE(SUBSTITUTE(Клиенты_исходные!D830," ",""),"-",""),"+",""),"(",""),")",""),6,2)&amp;"-"&amp;MID(SUBSTITUTE(SUBSTITUTE(SUBSTITUTE(SUBSTITUTE(SUBSTITUTE(Клиенты_исходные!D830," ",""),"-",""),"+",""),"(",""),")",""),8,2),Клиенты_исходные!D830)))</f>
        <v xml:space="preserve">+7 (903) 234-56-78</v>
      </c>
      <c r="E830" t="str">
        <f>IF(ISBLANK(Клиенты_исходные!E830),"",IF(ISNUMBER(FIND(".",MID(Клиенты_исходные!E830,FIND("@",Клиенты_исходные!E830)+1,255))),Клиенты_исходные!E830,IF(ISNUMBER(FIND("gmail",Клиенты_исходные!E830)),Клиенты_исходные!E830&amp;".com",Клиенты_исходные!E830&amp;".ru")))</f>
        <v>krasikova@mail.ru</v>
      </c>
      <c r="F830" t="str">
        <f>IFERROR(VLOOKUP(Клиенты_исходные!F830,Справочники!$J$2:$K$50,2,FALSE),Клиенты_исходные!F830)</f>
        <v>Мурманск</v>
      </c>
      <c r="G830" s="8">
        <f>IFERROR(IF(ISNUMBER(FIND(".",Клиенты_исходные!G830)),DATE(RIGHT(Клиенты_исходные!G830,4),MID(Клиенты_исходные!G830,4,2),LEFT(Клиенты_исходные!G830,2)),DATE(LEFT(Клиенты_исходные!G830,4),MID(Клиенты_исходные!G830,6,2),RIGHT(Клиенты_исходные!G830,2))),Клиенты_исходные!G830)</f>
        <v>52963</v>
      </c>
      <c r="H830">
        <f t="shared" ca="1" si="85"/>
        <v>43</v>
      </c>
      <c r="I830" t="str">
        <f t="shared" si="86"/>
        <v>OK</v>
      </c>
      <c r="J830" t="str">
        <f t="shared" si="87"/>
        <v>OK</v>
      </c>
    </row>
    <row r="831">
      <c r="A831" t="str">
        <f>Клиенты_исходные!A831</f>
        <v>C0830</v>
      </c>
      <c r="B831" t="str">
        <f>PROPER(TRIM(Клиенты_исходные!B831))</f>
        <v xml:space="preserve">Мусин Денис Викторович</v>
      </c>
      <c r="C831" s="8">
        <f>IFERROR(IF(ISNUMBER(FIND(".",Клиенты_исходные!C831)),DATE(RIGHT(Клиенты_исходные!C831,4),MID(Клиенты_исходные!C831,4,2),LEFT(Клиенты_исходные!C831,2)),DATE(LEFT(Клиенты_исходные!C831,4),MID(Клиенты_исходные!C831,6,2),RIGHT(Клиенты_исходные!C831,2))),Клиенты_исходные!C831)</f>
        <v>32788</v>
      </c>
      <c r="D831" t="str">
        <f>IF(ISBLANK(Клиенты_исходные!D831),"",IF(LEN(SUBSTITUTE(SUBSTITUTE(SUBSTITUTE(SUBSTITUTE(SUBSTITUTE(Клиенты_исходные!D831," ",""),"-",""),"+",""),"(",""),")",""))=11,"+7 ("&amp;MID(IF(LEFT(SUBSTITUTE(SUBSTITUTE(SUBSTITUTE(SUBSTITUTE(SUBSTITUTE(Клиенты_исходные!D831," ",""),"-",""),"+",""),"(",""),")",""))="8","7"&amp;MID(SUBSTITUTE(SUBSTITUTE(SUBSTITUTE(SUBSTITUTE(SUBSTITUTE(Клиенты_исходные!D831," ",""),"-",""),"+",""),"(",""),")",""),2,10),SUBSTITUTE(SUBSTITUTE(SUBSTITUTE(SUBSTITUTE(SUBSTITUTE(Клиенты_исходные!D831," ",""),"-",""),"+",""),"(",""),")","")),2,3)&amp;") "&amp;MID(IF(LEFT(SUBSTITUTE(SUBSTITUTE(SUBSTITUTE(SUBSTITUTE(SUBSTITUTE(Клиенты_исходные!D831," ",""),"-",""),"+",""),"(",""),")",""))="8","7"&amp;MID(SUBSTITUTE(SUBSTITUTE(SUBSTITUTE(SUBSTITUTE(SUBSTITUTE(Клиенты_исходные!D831," ",""),"-",""),"+",""),"(",""),")",""),2,10),SUBSTITUTE(SUBSTITUTE(SUBSTITUTE(SUBSTITUTE(SUBSTITUTE(Клиенты_исходные!D831," ",""),"-",""),"+",""),"(",""),")","")),5,3)&amp;"-"&amp;MID(IF(LEFT(SUBSTITUTE(SUBSTITUTE(SUBSTITUTE(SUBSTITUTE(SUBSTITUTE(Клиенты_исходные!D831," ",""),"-",""),"+",""),"(",""),")",""))="8","7"&amp;MID(SUBSTITUTE(SUBSTITUTE(SUBSTITUTE(SUBSTITUTE(SUBSTITUTE(Клиенты_исходные!D831," ",""),"-",""),"+",""),"(",""),")",""),2,10),SUBSTITUTE(SUBSTITUTE(SUBSTITUTE(SUBSTITUTE(SUBSTITUTE(Клиенты_исходные!D831," ",""),"-",""),"+",""),"(",""),")","")),8,2)&amp;"-"&amp;MID(IF(LEFT(SUBSTITUTE(SUBSTITUTE(SUBSTITUTE(SUBSTITUTE(SUBSTITUTE(Клиенты_исходные!D831," ",""),"-",""),"+",""),"(",""),")",""))="8","7"&amp;MID(SUBSTITUTE(SUBSTITUTE(SUBSTITUTE(SUBSTITUTE(SUBSTITUTE(Клиенты_исходные!D831," ",""),"-",""),"+",""),"(",""),")",""),2,10),SUBSTITUTE(SUBSTITUTE(SUBSTITUTE(SUBSTITUTE(SUBSTITUTE(Клиенты_исходные!D831," ",""),"-",""),"+",""),"(",""),")","")),10,2),IF(LEN(SUBSTITUTE(SUBSTITUTE(SUBSTITUTE(SUBSTITUTE(SUBSTITUTE(Клиенты_исходные!D831," ",""),"-",""),"+",""),"(",""),")",""))=10,"+7 ("&amp;MID(SUBSTITUTE(SUBSTITUTE(SUBSTITUTE(SUBSTITUTE(SUBSTITUTE(Клиенты_исходные!D831," ",""),"-",""),"+",""),"(",""),")",""),1,3)&amp;") "&amp;MID(SUBSTITUTE(SUBSTITUTE(SUBSTITUTE(SUBSTITUTE(SUBSTITUTE(Клиенты_исходные!D831," ",""),"-",""),"+",""),"(",""),")",""),4,3)&amp;"-"&amp;MID(SUBSTITUTE(SUBSTITUTE(SUBSTITUTE(SUBSTITUTE(SUBSTITUTE(Клиенты_исходные!D831," ",""),"-",""),"+",""),"(",""),")",""),6,2)&amp;"-"&amp;MID(SUBSTITUTE(SUBSTITUTE(SUBSTITUTE(SUBSTITUTE(SUBSTITUTE(Клиенты_исходные!D831," ",""),"-",""),"+",""),"(",""),")",""),8,2),Клиенты_исходные!D831)))</f>
        <v xml:space="preserve">+7 (903) 234-56-78</v>
      </c>
      <c r="E831" t="str">
        <f>IF(ISBLANK(Клиенты_исходные!E831),"",IF(ISNUMBER(FIND(".",MID(Клиенты_исходные!E831,FIND("@",Клиенты_исходные!E831)+1,255))),Клиенты_исходные!E831,IF(ISNUMBER(FIND("gmail",Клиенты_исходные!E831)),Клиенты_исходные!E831&amp;".com",Клиенты_исходные!E831&amp;".ru")))</f>
        <v>musin@yandex.ru</v>
      </c>
      <c r="F831" t="str">
        <f>IFERROR(VLOOKUP(Клиенты_исходные!F831,Справочники!$J$2:$K$50,2,FALSE),Клиенты_исходные!F831)</f>
        <v>Ставрополь</v>
      </c>
      <c r="G831" s="8">
        <f>IFERROR(IF(ISNUMBER(FIND(".",Клиенты_исходные!G831)),DATE(RIGHT(Клиенты_исходные!G831,4),MID(Клиенты_исходные!G831,4,2),LEFT(Клиенты_исходные!G831,2)),DATE(LEFT(Клиенты_исходные!G831,4),MID(Клиенты_исходные!G831,6,2),RIGHT(Клиенты_исходные!G831,2))),Клиенты_исходные!G831)</f>
        <v>52977</v>
      </c>
      <c r="H831">
        <f t="shared" ca="1" si="85"/>
        <v>36</v>
      </c>
      <c r="I831" t="str">
        <f t="shared" si="86"/>
        <v>OK</v>
      </c>
      <c r="J831" t="str">
        <f t="shared" si="87"/>
        <v>OK</v>
      </c>
    </row>
    <row r="832">
      <c r="A832" t="str">
        <f>Клиенты_исходные!A832</f>
        <v>C0831</v>
      </c>
      <c r="B832" t="str">
        <f>PROPER(TRIM(Клиенты_исходные!B832))</f>
        <v xml:space="preserve">Руднева Ольга Сергеевна</v>
      </c>
      <c r="C832" s="8">
        <f>IFERROR(IF(ISNUMBER(FIND(".",Клиенты_исходные!C832)),DATE(RIGHT(Клиенты_исходные!C832,4),MID(Клиенты_исходные!C832,4,2),LEFT(Клиенты_исходные!C832,2)),DATE(LEFT(Клиенты_исходные!C832,4),MID(Клиенты_исходные!C832,6,2),RIGHT(Клиенты_исходные!C832,2))),Клиенты_исходные!C832)</f>
        <v>28756</v>
      </c>
      <c r="D832" t="str">
        <f>IF(ISBLANK(Клиенты_исходные!D832),"",IF(LEN(SUBSTITUTE(SUBSTITUTE(SUBSTITUTE(SUBSTITUTE(SUBSTITUTE(Клиенты_исходные!D832," ",""),"-",""),"+",""),"(",""),")",""))=11,"+7 ("&amp;MID(IF(LEFT(SUBSTITUTE(SUBSTITUTE(SUBSTITUTE(SUBSTITUTE(SUBSTITUTE(Клиенты_исходные!D832," ",""),"-",""),"+",""),"(",""),")",""))="8","7"&amp;MID(SUBSTITUTE(SUBSTITUTE(SUBSTITUTE(SUBSTITUTE(SUBSTITUTE(Клиенты_исходные!D832," ",""),"-",""),"+",""),"(",""),")",""),2,10),SUBSTITUTE(SUBSTITUTE(SUBSTITUTE(SUBSTITUTE(SUBSTITUTE(Клиенты_исходные!D832," ",""),"-",""),"+",""),"(",""),")","")),2,3)&amp;") "&amp;MID(IF(LEFT(SUBSTITUTE(SUBSTITUTE(SUBSTITUTE(SUBSTITUTE(SUBSTITUTE(Клиенты_исходные!D832," ",""),"-",""),"+",""),"(",""),")",""))="8","7"&amp;MID(SUBSTITUTE(SUBSTITUTE(SUBSTITUTE(SUBSTITUTE(SUBSTITUTE(Клиенты_исходные!D832," ",""),"-",""),"+",""),"(",""),")",""),2,10),SUBSTITUTE(SUBSTITUTE(SUBSTITUTE(SUBSTITUTE(SUBSTITUTE(Клиенты_исходные!D832," ",""),"-",""),"+",""),"(",""),")","")),5,3)&amp;"-"&amp;MID(IF(LEFT(SUBSTITUTE(SUBSTITUTE(SUBSTITUTE(SUBSTITUTE(SUBSTITUTE(Клиенты_исходные!D832," ",""),"-",""),"+",""),"(",""),")",""))="8","7"&amp;MID(SUBSTITUTE(SUBSTITUTE(SUBSTITUTE(SUBSTITUTE(SUBSTITUTE(Клиенты_исходные!D832," ",""),"-",""),"+",""),"(",""),")",""),2,10),SUBSTITUTE(SUBSTITUTE(SUBSTITUTE(SUBSTITUTE(SUBSTITUTE(Клиенты_исходные!D832," ",""),"-",""),"+",""),"(",""),")","")),8,2)&amp;"-"&amp;MID(IF(LEFT(SUBSTITUTE(SUBSTITUTE(SUBSTITUTE(SUBSTITUTE(SUBSTITUTE(Клиенты_исходные!D832," ",""),"-",""),"+",""),"(",""),")",""))="8","7"&amp;MID(SUBSTITUTE(SUBSTITUTE(SUBSTITUTE(SUBSTITUTE(SUBSTITUTE(Клиенты_исходные!D832," ",""),"-",""),"+",""),"(",""),")",""),2,10),SUBSTITUTE(SUBSTITUTE(SUBSTITUTE(SUBSTITUTE(SUBSTITUTE(Клиенты_исходные!D832," ",""),"-",""),"+",""),"(",""),")","")),10,2),IF(LEN(SUBSTITUTE(SUBSTITUTE(SUBSTITUTE(SUBSTITUTE(SUBSTITUTE(Клиенты_исходные!D832," ",""),"-",""),"+",""),"(",""),")",""))=10,"+7 ("&amp;MID(SUBSTITUTE(SUBSTITUTE(SUBSTITUTE(SUBSTITUTE(SUBSTITUTE(Клиенты_исходные!D832," ",""),"-",""),"+",""),"(",""),")",""),1,3)&amp;") "&amp;MID(SUBSTITUTE(SUBSTITUTE(SUBSTITUTE(SUBSTITUTE(SUBSTITUTE(Клиенты_исходные!D832," ",""),"-",""),"+",""),"(",""),")",""),4,3)&amp;"-"&amp;MID(SUBSTITUTE(SUBSTITUTE(SUBSTITUTE(SUBSTITUTE(SUBSTITUTE(Клиенты_исходные!D832," ",""),"-",""),"+",""),"(",""),")",""),6,2)&amp;"-"&amp;MID(SUBSTITUTE(SUBSTITUTE(SUBSTITUTE(SUBSTITUTE(SUBSTITUTE(Клиенты_исходные!D832," ",""),"-",""),"+",""),"(",""),")",""),8,2),Клиенты_исходные!D832)))</f>
        <v xml:space="preserve">+7 (903) 345-67-89</v>
      </c>
      <c r="E832" t="str">
        <f>IF(ISBLANK(Клиенты_исходные!E832),"",IF(ISNUMBER(FIND(".",MID(Клиенты_исходные!E832,FIND("@",Клиенты_исходные!E832)+1,255))),Клиенты_исходные!E832,IF(ISNUMBER(FIND("gmail",Клиенты_исходные!E832)),Клиенты_исходные!E832&amp;".com",Клиенты_исходные!E832&amp;".ru")))</f>
        <v>rudneva@gmail.com</v>
      </c>
      <c r="F832" t="str">
        <f>IFERROR(VLOOKUP(Клиенты_исходные!F832,Справочники!$J$2:$K$50,2,FALSE),Клиенты_исходные!F832)</f>
        <v>Севастополь</v>
      </c>
      <c r="G832" s="8">
        <f>IFERROR(IF(ISNUMBER(FIND(".",Клиенты_исходные!G832)),DATE(RIGHT(Клиенты_исходные!G832,4),MID(Клиенты_исходные!G832,4,2),LEFT(Клиенты_исходные!G832,2)),DATE(LEFT(Клиенты_исходные!G832,4),MID(Клиенты_исходные!G832,6,2),RIGHT(Клиенты_исходные!G832,2))),Клиенты_исходные!G832)</f>
        <v>52977</v>
      </c>
      <c r="H832">
        <f t="shared" ca="1" si="85"/>
        <v>48</v>
      </c>
      <c r="I832" t="str">
        <f t="shared" si="86"/>
        <v>OK</v>
      </c>
      <c r="J832" t="str">
        <f t="shared" si="87"/>
        <v>OK</v>
      </c>
    </row>
    <row r="833">
      <c r="A833" t="str">
        <f>Клиенты_исходные!A833</f>
        <v>C0832</v>
      </c>
      <c r="B833" t="str">
        <f>PROPER(TRIM(Клиенты_исходные!B833))</f>
        <v xml:space="preserve">Кузьмин Илья Алексеевич</v>
      </c>
      <c r="C833" s="8">
        <f>IFERROR(IF(ISNUMBER(FIND(".",Клиенты_исходные!C833)),DATE(RIGHT(Клиенты_исходные!C833,4),MID(Клиенты_исходные!C833,4,2),LEFT(Клиенты_исходные!C833,2)),DATE(LEFT(Клиенты_исходные!C833,4),MID(Клиенты_исходные!C833,6,2),RIGHT(Клиенты_исходные!C833,2))),Клиенты_исходные!C833)</f>
        <v>31182</v>
      </c>
      <c r="D833" t="str">
        <f>IF(ISBLANK(Клиенты_исходные!D833),"",IF(LEN(SUBSTITUTE(SUBSTITUTE(SUBSTITUTE(SUBSTITUTE(SUBSTITUTE(Клиенты_исходные!D833," ",""),"-",""),"+",""),"(",""),")",""))=11,"+7 ("&amp;MID(IF(LEFT(SUBSTITUTE(SUBSTITUTE(SUBSTITUTE(SUBSTITUTE(SUBSTITUTE(Клиенты_исходные!D833," ",""),"-",""),"+",""),"(",""),")",""))="8","7"&amp;MID(SUBSTITUTE(SUBSTITUTE(SUBSTITUTE(SUBSTITUTE(SUBSTITUTE(Клиенты_исходные!D833," ",""),"-",""),"+",""),"(",""),")",""),2,10),SUBSTITUTE(SUBSTITUTE(SUBSTITUTE(SUBSTITUTE(SUBSTITUTE(Клиенты_исходные!D833," ",""),"-",""),"+",""),"(",""),")","")),2,3)&amp;") "&amp;MID(IF(LEFT(SUBSTITUTE(SUBSTITUTE(SUBSTITUTE(SUBSTITUTE(SUBSTITUTE(Клиенты_исходные!D833," ",""),"-",""),"+",""),"(",""),")",""))="8","7"&amp;MID(SUBSTITUTE(SUBSTITUTE(SUBSTITUTE(SUBSTITUTE(SUBSTITUTE(Клиенты_исходные!D833," ",""),"-",""),"+",""),"(",""),")",""),2,10),SUBSTITUTE(SUBSTITUTE(SUBSTITUTE(SUBSTITUTE(SUBSTITUTE(Клиенты_исходные!D833," ",""),"-",""),"+",""),"(",""),")","")),5,3)&amp;"-"&amp;MID(IF(LEFT(SUBSTITUTE(SUBSTITUTE(SUBSTITUTE(SUBSTITUTE(SUBSTITUTE(Клиенты_исходные!D833," ",""),"-",""),"+",""),"(",""),")",""))="8","7"&amp;MID(SUBSTITUTE(SUBSTITUTE(SUBSTITUTE(SUBSTITUTE(SUBSTITUTE(Клиенты_исходные!D833," ",""),"-",""),"+",""),"(",""),")",""),2,10),SUBSTITUTE(SUBSTITUTE(SUBSTITUTE(SUBSTITUTE(SUBSTITUTE(Клиенты_исходные!D833," ",""),"-",""),"+",""),"(",""),")","")),8,2)&amp;"-"&amp;MID(IF(LEFT(SUBSTITUTE(SUBSTITUTE(SUBSTITUTE(SUBSTITUTE(SUBSTITUTE(Клиенты_исходные!D833," ",""),"-",""),"+",""),"(",""),")",""))="8","7"&amp;MID(SUBSTITUTE(SUBSTITUTE(SUBSTITUTE(SUBSTITUTE(SUBSTITUTE(Клиенты_исходные!D833," ",""),"-",""),"+",""),"(",""),")",""),2,10),SUBSTITUTE(SUBSTITUTE(SUBSTITUTE(SUBSTITUTE(SUBSTITUTE(Клиенты_исходные!D833," ",""),"-",""),"+",""),"(",""),")","")),10,2),IF(LEN(SUBSTITUTE(SUBSTITUTE(SUBSTITUTE(SUBSTITUTE(SUBSTITUTE(Клиенты_исходные!D833," ",""),"-",""),"+",""),"(",""),")",""))=10,"+7 ("&amp;MID(SUBSTITUTE(SUBSTITUTE(SUBSTITUTE(SUBSTITUTE(SUBSTITUTE(Клиенты_исходные!D833," ",""),"-",""),"+",""),"(",""),")",""),1,3)&amp;") "&amp;MID(SUBSTITUTE(SUBSTITUTE(SUBSTITUTE(SUBSTITUTE(SUBSTITUTE(Клиенты_исходные!D833," ",""),"-",""),"+",""),"(",""),")",""),4,3)&amp;"-"&amp;MID(SUBSTITUTE(SUBSTITUTE(SUBSTITUTE(SUBSTITUTE(SUBSTITUTE(Клиенты_исходные!D833," ",""),"-",""),"+",""),"(",""),")",""),6,2)&amp;"-"&amp;MID(SUBSTITUTE(SUBSTITUTE(SUBSTITUTE(SUBSTITUTE(SUBSTITUTE(Клиенты_исходные!D833," ",""),"-",""),"+",""),"(",""),")",""),8,2),Клиенты_исходные!D833)))</f>
        <v xml:space="preserve">+7 (903) 345-67-89</v>
      </c>
      <c r="E833" t="str">
        <f>IF(ISBLANK(Клиенты_исходные!E833),"",IF(ISNUMBER(FIND(".",MID(Клиенты_исходные!E833,FIND("@",Клиенты_исходные!E833)+1,255))),Клиенты_исходные!E833,IF(ISNUMBER(FIND("gmail",Клиенты_исходные!E833)),Клиенты_исходные!E833&amp;".com",Клиенты_исходные!E833&amp;".ru")))</f>
        <v>kuzmin@mail.ru</v>
      </c>
      <c r="F833" t="str">
        <f>IFERROR(VLOOKUP(Клиенты_исходные!F833,Справочники!$J$2:$K$50,2,FALSE),Клиенты_исходные!F833)</f>
        <v>Сочи</v>
      </c>
      <c r="G833" s="8">
        <f>IFERROR(IF(ISNUMBER(FIND(".",Клиенты_исходные!G833)),DATE(RIGHT(Клиенты_исходные!G833,4),MID(Клиенты_исходные!G833,4,2),LEFT(Клиенты_исходные!G833,2)),DATE(LEFT(Клиенты_исходные!G833,4),MID(Клиенты_исходные!G833,6,2),RIGHT(Клиенты_исходные!G833,2))),Клиенты_исходные!G833)</f>
        <v>52994</v>
      </c>
      <c r="H833">
        <f t="shared" ca="1" si="85"/>
        <v>41</v>
      </c>
      <c r="I833" t="str">
        <f t="shared" si="86"/>
        <v>OK</v>
      </c>
      <c r="J833" t="str">
        <f t="shared" si="87"/>
        <v>OK</v>
      </c>
    </row>
    <row r="834">
      <c r="A834" t="str">
        <f>Клиенты_исходные!A834</f>
        <v>C0833</v>
      </c>
      <c r="B834" t="str">
        <f>PROPER(TRIM(Клиенты_исходные!B834))</f>
        <v xml:space="preserve">Шатилова Екатерина Владимировна</v>
      </c>
      <c r="C834" s="8">
        <f>IFERROR(IF(ISNUMBER(FIND(".",Клиенты_исходные!C834)),DATE(RIGHT(Клиенты_исходные!C834,4),MID(Клиенты_исходные!C834,4,2),LEFT(Клиенты_исходные!C834,2)),DATE(LEFT(Клиенты_исходные!C834,4),MID(Клиенты_исходные!C834,6,2),RIGHT(Клиенты_исходные!C834,2))),Клиенты_исходные!C834)</f>
        <v>33912</v>
      </c>
      <c r="D834" t="str">
        <f>IF(ISBLANK(Клиенты_исходные!D834),"",IF(LEN(SUBSTITUTE(SUBSTITUTE(SUBSTITUTE(SUBSTITUTE(SUBSTITUTE(Клиенты_исходные!D834," ",""),"-",""),"+",""),"(",""),")",""))=11,"+7 ("&amp;MID(IF(LEFT(SUBSTITUTE(SUBSTITUTE(SUBSTITUTE(SUBSTITUTE(SUBSTITUTE(Клиенты_исходные!D834," ",""),"-",""),"+",""),"(",""),")",""))="8","7"&amp;MID(SUBSTITUTE(SUBSTITUTE(SUBSTITUTE(SUBSTITUTE(SUBSTITUTE(Клиенты_исходные!D834," ",""),"-",""),"+",""),"(",""),")",""),2,10),SUBSTITUTE(SUBSTITUTE(SUBSTITUTE(SUBSTITUTE(SUBSTITUTE(Клиенты_исходные!D834," ",""),"-",""),"+",""),"(",""),")","")),2,3)&amp;") "&amp;MID(IF(LEFT(SUBSTITUTE(SUBSTITUTE(SUBSTITUTE(SUBSTITUTE(SUBSTITUTE(Клиенты_исходные!D834," ",""),"-",""),"+",""),"(",""),")",""))="8","7"&amp;MID(SUBSTITUTE(SUBSTITUTE(SUBSTITUTE(SUBSTITUTE(SUBSTITUTE(Клиенты_исходные!D834," ",""),"-",""),"+",""),"(",""),")",""),2,10),SUBSTITUTE(SUBSTITUTE(SUBSTITUTE(SUBSTITUTE(SUBSTITUTE(Клиенты_исходные!D834," ",""),"-",""),"+",""),"(",""),")","")),5,3)&amp;"-"&amp;MID(IF(LEFT(SUBSTITUTE(SUBSTITUTE(SUBSTITUTE(SUBSTITUTE(SUBSTITUTE(Клиенты_исходные!D834," ",""),"-",""),"+",""),"(",""),")",""))="8","7"&amp;MID(SUBSTITUTE(SUBSTITUTE(SUBSTITUTE(SUBSTITUTE(SUBSTITUTE(Клиенты_исходные!D834," ",""),"-",""),"+",""),"(",""),")",""),2,10),SUBSTITUTE(SUBSTITUTE(SUBSTITUTE(SUBSTITUTE(SUBSTITUTE(Клиенты_исходные!D834," ",""),"-",""),"+",""),"(",""),")","")),8,2)&amp;"-"&amp;MID(IF(LEFT(SUBSTITUTE(SUBSTITUTE(SUBSTITUTE(SUBSTITUTE(SUBSTITUTE(Клиенты_исходные!D834," ",""),"-",""),"+",""),"(",""),")",""))="8","7"&amp;MID(SUBSTITUTE(SUBSTITUTE(SUBSTITUTE(SUBSTITUTE(SUBSTITUTE(Клиенты_исходные!D834," ",""),"-",""),"+",""),"(",""),")",""),2,10),SUBSTITUTE(SUBSTITUTE(SUBSTITUTE(SUBSTITUTE(SUBSTITUTE(Клиенты_исходные!D834," ",""),"-",""),"+",""),"(",""),")","")),10,2),IF(LEN(SUBSTITUTE(SUBSTITUTE(SUBSTITUTE(SUBSTITUTE(SUBSTITUTE(Клиенты_исходные!D834," ",""),"-",""),"+",""),"(",""),")",""))=10,"+7 ("&amp;MID(SUBSTITUTE(SUBSTITUTE(SUBSTITUTE(SUBSTITUTE(SUBSTITUTE(Клиенты_исходные!D834," ",""),"-",""),"+",""),"(",""),")",""),1,3)&amp;") "&amp;MID(SUBSTITUTE(SUBSTITUTE(SUBSTITUTE(SUBSTITUTE(SUBSTITUTE(Клиенты_исходные!D834," ",""),"-",""),"+",""),"(",""),")",""),4,3)&amp;"-"&amp;MID(SUBSTITUTE(SUBSTITUTE(SUBSTITUTE(SUBSTITUTE(SUBSTITUTE(Клиенты_исходные!D834," ",""),"-",""),"+",""),"(",""),")",""),6,2)&amp;"-"&amp;MID(SUBSTITUTE(SUBSTITUTE(SUBSTITUTE(SUBSTITUTE(SUBSTITUTE(Клиенты_исходные!D834," ",""),"-",""),"+",""),"(",""),")",""),8,2),Клиенты_исходные!D834)))</f>
        <v xml:space="preserve">+7 (903) 345-67-89</v>
      </c>
      <c r="E834" t="str">
        <f>IF(ISBLANK(Клиенты_исходные!E834),"",IF(ISNUMBER(FIND(".",MID(Клиенты_исходные!E834,FIND("@",Клиенты_исходные!E834)+1,255))),Клиенты_исходные!E834,IF(ISNUMBER(FIND("gmail",Клиенты_исходные!E834)),Клиенты_исходные!E834&amp;".com",Клиенты_исходные!E834&amp;".ru")))</f>
        <v>shatilova@yandex.ru</v>
      </c>
      <c r="F834" t="str">
        <f>IFERROR(VLOOKUP(Клиенты_исходные!F834,Справочники!$J$2:$K$50,2,FALSE),Клиенты_исходные!F834)</f>
        <v>Симферополь</v>
      </c>
      <c r="G834" s="8">
        <f>IFERROR(IF(ISNUMBER(FIND(".",Клиенты_исходные!G834)),DATE(RIGHT(Клиенты_исходные!G834,4),MID(Клиенты_исходные!G834,4,2),LEFT(Клиенты_исходные!G834,2)),DATE(LEFT(Клиенты_исходные!G834,4),MID(Клиенты_исходные!G834,6,2),RIGHT(Клиенты_исходные!G834,2))),Клиенты_исходные!G834)</f>
        <v>53003</v>
      </c>
      <c r="H834">
        <f t="shared" ca="1" si="85"/>
        <v>33</v>
      </c>
      <c r="I834" t="str">
        <f t="shared" si="86"/>
        <v>OK</v>
      </c>
      <c r="J834" t="str">
        <f t="shared" si="87"/>
        <v>OK</v>
      </c>
    </row>
    <row r="835">
      <c r="A835" t="str">
        <f>Клиенты_исходные!A835</f>
        <v>C0834</v>
      </c>
      <c r="B835" t="str">
        <f>PROPER(TRIM(Клиенты_исходные!B835))</f>
        <v xml:space="preserve">Петрухин Андрей Олегович</v>
      </c>
      <c r="C835" s="8">
        <f>IFERROR(IF(ISNUMBER(FIND(".",Клиенты_исходные!C835)),DATE(RIGHT(Клиенты_исходные!C835,4),MID(Клиенты_исходные!C835,4,2),LEFT(Клиенты_исходные!C835,2)),DATE(LEFT(Клиенты_исходные!C835,4),MID(Клиенты_исходные!C835,6,2),RIGHT(Клиенты_исходные!C835,2))),Клиенты_исходные!C835)</f>
        <v>26847</v>
      </c>
      <c r="D835" t="str">
        <f>IF(ISBLANK(Клиенты_исходные!D835),"",IF(LEN(SUBSTITUTE(SUBSTITUTE(SUBSTITUTE(SUBSTITUTE(SUBSTITUTE(Клиенты_исходные!D835," ",""),"-",""),"+",""),"(",""),")",""))=11,"+7 ("&amp;MID(IF(LEFT(SUBSTITUTE(SUBSTITUTE(SUBSTITUTE(SUBSTITUTE(SUBSTITUTE(Клиенты_исходные!D835," ",""),"-",""),"+",""),"(",""),")",""))="8","7"&amp;MID(SUBSTITUTE(SUBSTITUTE(SUBSTITUTE(SUBSTITUTE(SUBSTITUTE(Клиенты_исходные!D835," ",""),"-",""),"+",""),"(",""),")",""),2,10),SUBSTITUTE(SUBSTITUTE(SUBSTITUTE(SUBSTITUTE(SUBSTITUTE(Клиенты_исходные!D835," ",""),"-",""),"+",""),"(",""),")","")),2,3)&amp;") "&amp;MID(IF(LEFT(SUBSTITUTE(SUBSTITUTE(SUBSTITUTE(SUBSTITUTE(SUBSTITUTE(Клиенты_исходные!D835," ",""),"-",""),"+",""),"(",""),")",""))="8","7"&amp;MID(SUBSTITUTE(SUBSTITUTE(SUBSTITUTE(SUBSTITUTE(SUBSTITUTE(Клиенты_исходные!D835," ",""),"-",""),"+",""),"(",""),")",""),2,10),SUBSTITUTE(SUBSTITUTE(SUBSTITUTE(SUBSTITUTE(SUBSTITUTE(Клиенты_исходные!D835," ",""),"-",""),"+",""),"(",""),")","")),5,3)&amp;"-"&amp;MID(IF(LEFT(SUBSTITUTE(SUBSTITUTE(SUBSTITUTE(SUBSTITUTE(SUBSTITUTE(Клиенты_исходные!D835," ",""),"-",""),"+",""),"(",""),")",""))="8","7"&amp;MID(SUBSTITUTE(SUBSTITUTE(SUBSTITUTE(SUBSTITUTE(SUBSTITUTE(Клиенты_исходные!D835," ",""),"-",""),"+",""),"(",""),")",""),2,10),SUBSTITUTE(SUBSTITUTE(SUBSTITUTE(SUBSTITUTE(SUBSTITUTE(Клиенты_исходные!D835," ",""),"-",""),"+",""),"(",""),")","")),8,2)&amp;"-"&amp;MID(IF(LEFT(SUBSTITUTE(SUBSTITUTE(SUBSTITUTE(SUBSTITUTE(SUBSTITUTE(Клиенты_исходные!D835," ",""),"-",""),"+",""),"(",""),")",""))="8","7"&amp;MID(SUBSTITUTE(SUBSTITUTE(SUBSTITUTE(SUBSTITUTE(SUBSTITUTE(Клиенты_исходные!D835," ",""),"-",""),"+",""),"(",""),")",""),2,10),SUBSTITUTE(SUBSTITUTE(SUBSTITUTE(SUBSTITUTE(SUBSTITUTE(Клиенты_исходные!D835," ",""),"-",""),"+",""),"(",""),")","")),10,2),IF(LEN(SUBSTITUTE(SUBSTITUTE(SUBSTITUTE(SUBSTITUTE(SUBSTITUTE(Клиенты_исходные!D835," ",""),"-",""),"+",""),"(",""),")",""))=10,"+7 ("&amp;MID(SUBSTITUTE(SUBSTITUTE(SUBSTITUTE(SUBSTITUTE(SUBSTITUTE(Клиенты_исходные!D835," ",""),"-",""),"+",""),"(",""),")",""),1,3)&amp;") "&amp;MID(SUBSTITUTE(SUBSTITUTE(SUBSTITUTE(SUBSTITUTE(SUBSTITUTE(Клиенты_исходные!D835," ",""),"-",""),"+",""),"(",""),")",""),4,3)&amp;"-"&amp;MID(SUBSTITUTE(SUBSTITUTE(SUBSTITUTE(SUBSTITUTE(SUBSTITUTE(Клиенты_исходные!D835," ",""),"-",""),"+",""),"(",""),")",""),6,2)&amp;"-"&amp;MID(SUBSTITUTE(SUBSTITUTE(SUBSTITUTE(SUBSTITUTE(SUBSTITUTE(Клиенты_исходные!D835," ",""),"-",""),"+",""),"(",""),")",""),8,2),Клиенты_исходные!D835)))</f>
        <v xml:space="preserve">+7 (903) 456-78-90</v>
      </c>
      <c r="E835" t="str">
        <f>IF(ISBLANK(Клиенты_исходные!E835),"",IF(ISNUMBER(FIND(".",MID(Клиенты_исходные!E835,FIND("@",Клиенты_исходные!E835)+1,255))),Клиенты_исходные!E835,IF(ISNUMBER(FIND("gmail",Клиенты_исходные!E835)),Клиенты_исходные!E835&amp;".com",Клиенты_исходные!E835&amp;".ru")))</f>
        <v>petruhin@gmail.com</v>
      </c>
      <c r="F835" t="str">
        <f>IFERROR(VLOOKUP(Клиенты_исходные!F835,Справочники!$J$2:$K$50,2,FALSE),Клиенты_исходные!F835)</f>
        <v>Брянск</v>
      </c>
      <c r="G835" s="8">
        <f>IFERROR(IF(ISNUMBER(FIND(".",Клиенты_исходные!G835)),DATE(RIGHT(Клиенты_исходные!G835,4),MID(Клиенты_исходные!G835,4,2),LEFT(Клиенты_исходные!G835,2)),DATE(LEFT(Клиенты_исходные!G835,4),MID(Клиенты_исходные!G835,6,2),RIGHT(Клиенты_исходные!G835,2))),Клиенты_исходные!G835)</f>
        <v>53003</v>
      </c>
      <c r="H835">
        <f t="shared" ca="1" si="85"/>
        <v>53</v>
      </c>
      <c r="I835" t="str">
        <f t="shared" si="86"/>
        <v>OK</v>
      </c>
      <c r="J835" t="str">
        <f t="shared" si="87"/>
        <v>OK</v>
      </c>
    </row>
    <row r="836">
      <c r="A836" t="str">
        <f>Клиенты_исходные!A836</f>
        <v>C0835</v>
      </c>
      <c r="B836" t="str">
        <f>PROPER(TRIM(Клиенты_исходные!B836))</f>
        <v xml:space="preserve">Стрекалова Мария Павловна</v>
      </c>
      <c r="C836" s="8">
        <f>IFERROR(IF(ISNUMBER(FIND(".",Клиенты_исходные!C836)),DATE(RIGHT(Клиенты_исходные!C836,4),MID(Клиенты_исходные!C836,4,2),LEFT(Клиенты_исходные!C836,2)),DATE(LEFT(Клиенты_исходные!C836,4),MID(Клиенты_исходные!C836,6,2),RIGHT(Клиенты_исходные!C836,2))),Клиенты_исходные!C836)</f>
        <v>29949</v>
      </c>
      <c r="D836" t="str">
        <f>IF(ISBLANK(Клиенты_исходные!D836),"",IF(LEN(SUBSTITUTE(SUBSTITUTE(SUBSTITUTE(SUBSTITUTE(SUBSTITUTE(Клиенты_исходные!D836," ",""),"-",""),"+",""),"(",""),")",""))=11,"+7 ("&amp;MID(IF(LEFT(SUBSTITUTE(SUBSTITUTE(SUBSTITUTE(SUBSTITUTE(SUBSTITUTE(Клиенты_исходные!D836," ",""),"-",""),"+",""),"(",""),")",""))="8","7"&amp;MID(SUBSTITUTE(SUBSTITUTE(SUBSTITUTE(SUBSTITUTE(SUBSTITUTE(Клиенты_исходные!D836," ",""),"-",""),"+",""),"(",""),")",""),2,10),SUBSTITUTE(SUBSTITUTE(SUBSTITUTE(SUBSTITUTE(SUBSTITUTE(Клиенты_исходные!D836," ",""),"-",""),"+",""),"(",""),")","")),2,3)&amp;") "&amp;MID(IF(LEFT(SUBSTITUTE(SUBSTITUTE(SUBSTITUTE(SUBSTITUTE(SUBSTITUTE(Клиенты_исходные!D836," ",""),"-",""),"+",""),"(",""),")",""))="8","7"&amp;MID(SUBSTITUTE(SUBSTITUTE(SUBSTITUTE(SUBSTITUTE(SUBSTITUTE(Клиенты_исходные!D836," ",""),"-",""),"+",""),"(",""),")",""),2,10),SUBSTITUTE(SUBSTITUTE(SUBSTITUTE(SUBSTITUTE(SUBSTITUTE(Клиенты_исходные!D836," ",""),"-",""),"+",""),"(",""),")","")),5,3)&amp;"-"&amp;MID(IF(LEFT(SUBSTITUTE(SUBSTITUTE(SUBSTITUTE(SUBSTITUTE(SUBSTITUTE(Клиенты_исходные!D836," ",""),"-",""),"+",""),"(",""),")",""))="8","7"&amp;MID(SUBSTITUTE(SUBSTITUTE(SUBSTITUTE(SUBSTITUTE(SUBSTITUTE(Клиенты_исходные!D836," ",""),"-",""),"+",""),"(",""),")",""),2,10),SUBSTITUTE(SUBSTITUTE(SUBSTITUTE(SUBSTITUTE(SUBSTITUTE(Клиенты_исходные!D836," ",""),"-",""),"+",""),"(",""),")","")),8,2)&amp;"-"&amp;MID(IF(LEFT(SUBSTITUTE(SUBSTITUTE(SUBSTITUTE(SUBSTITUTE(SUBSTITUTE(Клиенты_исходные!D836," ",""),"-",""),"+",""),"(",""),")",""))="8","7"&amp;MID(SUBSTITUTE(SUBSTITUTE(SUBSTITUTE(SUBSTITUTE(SUBSTITUTE(Клиенты_исходные!D836," ",""),"-",""),"+",""),"(",""),")",""),2,10),SUBSTITUTE(SUBSTITUTE(SUBSTITUTE(SUBSTITUTE(SUBSTITUTE(Клиенты_исходные!D836," ",""),"-",""),"+",""),"(",""),")","")),10,2),IF(LEN(SUBSTITUTE(SUBSTITUTE(SUBSTITUTE(SUBSTITUTE(SUBSTITUTE(Клиенты_исходные!D836," ",""),"-",""),"+",""),"(",""),")",""))=10,"+7 ("&amp;MID(SUBSTITUTE(SUBSTITUTE(SUBSTITUTE(SUBSTITUTE(SUBSTITUTE(Клиенты_исходные!D836," ",""),"-",""),"+",""),"(",""),")",""),1,3)&amp;") "&amp;MID(SUBSTITUTE(SUBSTITUTE(SUBSTITUTE(SUBSTITUTE(SUBSTITUTE(Клиенты_исходные!D836," ",""),"-",""),"+",""),"(",""),")",""),4,3)&amp;"-"&amp;MID(SUBSTITUTE(SUBSTITUTE(SUBSTITUTE(SUBSTITUTE(SUBSTITUTE(Клиенты_исходные!D836," ",""),"-",""),"+",""),"(",""),")",""),6,2)&amp;"-"&amp;MID(SUBSTITUTE(SUBSTITUTE(SUBSTITUTE(SUBSTITUTE(SUBSTITUTE(Клиенты_исходные!D836," ",""),"-",""),"+",""),"(",""),")",""),8,2),Клиенты_исходные!D836)))</f>
        <v xml:space="preserve">+7 (903) 456-78-90</v>
      </c>
      <c r="E836" t="str">
        <f>IF(ISBLANK(Клиенты_исходные!E836),"",IF(ISNUMBER(FIND(".",MID(Клиенты_исходные!E836,FIND("@",Клиенты_исходные!E836)+1,255))),Клиенты_исходные!E836,IF(ISNUMBER(FIND("gmail",Клиенты_исходные!E836)),Клиенты_исходные!E836&amp;".com",Клиенты_исходные!E836&amp;".ru")))</f>
        <v>strekalova@mail.ru</v>
      </c>
      <c r="F836" t="str">
        <f>IFERROR(VLOOKUP(Клиенты_исходные!F836,Справочники!$J$2:$K$50,2,FALSE),Клиенты_исходные!F836)</f>
        <v>Абакан</v>
      </c>
      <c r="G836" s="8">
        <f>IFERROR(IF(ISNUMBER(FIND(".",Клиенты_исходные!G836)),DATE(RIGHT(Клиенты_исходные!G836,4),MID(Клиенты_исходные!G836,4,2),LEFT(Клиенты_исходные!G836,2)),DATE(LEFT(Клиенты_исходные!G836,4),MID(Клиенты_исходные!G836,6,2),RIGHT(Клиенты_исходные!G836,2))),Клиенты_исходные!G836)</f>
        <v>53022</v>
      </c>
      <c r="H836">
        <f t="shared" ca="1" si="85"/>
        <v>44</v>
      </c>
      <c r="I836" t="str">
        <f t="shared" si="86"/>
        <v>OK</v>
      </c>
      <c r="J836" t="str">
        <f t="shared" si="87"/>
        <v>OK</v>
      </c>
    </row>
    <row r="837">
      <c r="A837" t="str">
        <f>Клиенты_исходные!A837</f>
        <v>C0836</v>
      </c>
      <c r="B837" t="str">
        <f>PROPER(TRIM(Клиенты_исходные!B837))</f>
        <v xml:space="preserve">Назаров Денис Сергеевич</v>
      </c>
      <c r="C837" s="8">
        <f>IFERROR(IF(ISNUMBER(FIND(".",Клиенты_исходные!C837)),DATE(RIGHT(Клиенты_исходные!C837,4),MID(Клиенты_исходные!C837,4,2),LEFT(Клиенты_исходные!C837,2)),DATE(LEFT(Клиенты_исходные!C837,4),MID(Клиенты_исходные!C837,6,2),RIGHT(Клиенты_исходные!C837,2))),Клиенты_исходные!C837)</f>
        <v>31489</v>
      </c>
      <c r="D837" t="str">
        <f>IF(ISBLANK(Клиенты_исходные!D837),"",IF(LEN(SUBSTITUTE(SUBSTITUTE(SUBSTITUTE(SUBSTITUTE(SUBSTITUTE(Клиенты_исходные!D837," ",""),"-",""),"+",""),"(",""),")",""))=11,"+7 ("&amp;MID(IF(LEFT(SUBSTITUTE(SUBSTITUTE(SUBSTITUTE(SUBSTITUTE(SUBSTITUTE(Клиенты_исходные!D837," ",""),"-",""),"+",""),"(",""),")",""))="8","7"&amp;MID(SUBSTITUTE(SUBSTITUTE(SUBSTITUTE(SUBSTITUTE(SUBSTITUTE(Клиенты_исходные!D837," ",""),"-",""),"+",""),"(",""),")",""),2,10),SUBSTITUTE(SUBSTITUTE(SUBSTITUTE(SUBSTITUTE(SUBSTITUTE(Клиенты_исходные!D837," ",""),"-",""),"+",""),"(",""),")","")),2,3)&amp;") "&amp;MID(IF(LEFT(SUBSTITUTE(SUBSTITUTE(SUBSTITUTE(SUBSTITUTE(SUBSTITUTE(Клиенты_исходные!D837," ",""),"-",""),"+",""),"(",""),")",""))="8","7"&amp;MID(SUBSTITUTE(SUBSTITUTE(SUBSTITUTE(SUBSTITUTE(SUBSTITUTE(Клиенты_исходные!D837," ",""),"-",""),"+",""),"(",""),")",""),2,10),SUBSTITUTE(SUBSTITUTE(SUBSTITUTE(SUBSTITUTE(SUBSTITUTE(Клиенты_исходные!D837," ",""),"-",""),"+",""),"(",""),")","")),5,3)&amp;"-"&amp;MID(IF(LEFT(SUBSTITUTE(SUBSTITUTE(SUBSTITUTE(SUBSTITUTE(SUBSTITUTE(Клиенты_исходные!D837," ",""),"-",""),"+",""),"(",""),")",""))="8","7"&amp;MID(SUBSTITUTE(SUBSTITUTE(SUBSTITUTE(SUBSTITUTE(SUBSTITUTE(Клиенты_исходные!D837," ",""),"-",""),"+",""),"(",""),")",""),2,10),SUBSTITUTE(SUBSTITUTE(SUBSTITUTE(SUBSTITUTE(SUBSTITUTE(Клиенты_исходные!D837," ",""),"-",""),"+",""),"(",""),")","")),8,2)&amp;"-"&amp;MID(IF(LEFT(SUBSTITUTE(SUBSTITUTE(SUBSTITUTE(SUBSTITUTE(SUBSTITUTE(Клиенты_исходные!D837," ",""),"-",""),"+",""),"(",""),")",""))="8","7"&amp;MID(SUBSTITUTE(SUBSTITUTE(SUBSTITUTE(SUBSTITUTE(SUBSTITUTE(Клиенты_исходные!D837," ",""),"-",""),"+",""),"(",""),")",""),2,10),SUBSTITUTE(SUBSTITUTE(SUBSTITUTE(SUBSTITUTE(SUBSTITUTE(Клиенты_исходные!D837," ",""),"-",""),"+",""),"(",""),")","")),10,2),IF(LEN(SUBSTITUTE(SUBSTITUTE(SUBSTITUTE(SUBSTITUTE(SUBSTITUTE(Клиенты_исходные!D837," ",""),"-",""),"+",""),"(",""),")",""))=10,"+7 ("&amp;MID(SUBSTITUTE(SUBSTITUTE(SUBSTITUTE(SUBSTITUTE(SUBSTITUTE(Клиенты_исходные!D837," ",""),"-",""),"+",""),"(",""),")",""),1,3)&amp;") "&amp;MID(SUBSTITUTE(SUBSTITUTE(SUBSTITUTE(SUBSTITUTE(SUBSTITUTE(Клиенты_исходные!D837," ",""),"-",""),"+",""),"(",""),")",""),4,3)&amp;"-"&amp;MID(SUBSTITUTE(SUBSTITUTE(SUBSTITUTE(SUBSTITUTE(SUBSTITUTE(Клиенты_исходные!D837," ",""),"-",""),"+",""),"(",""),")",""),6,2)&amp;"-"&amp;MID(SUBSTITUTE(SUBSTITUTE(SUBSTITUTE(SUBSTITUTE(SUBSTITUTE(Клиенты_исходные!D837," ",""),"-",""),"+",""),"(",""),")",""),8,2),Клиенты_исходные!D837)))</f>
        <v xml:space="preserve">+7 (903) 456-78-90</v>
      </c>
      <c r="E837" t="str">
        <f>IF(ISBLANK(Клиенты_исходные!E837),"",IF(ISNUMBER(FIND(".",MID(Клиенты_исходные!E837,FIND("@",Клиенты_исходные!E837)+1,255))),Клиенты_исходные!E837,IF(ISNUMBER(FIND("gmail",Клиенты_исходные!E837)),Клиенты_исходные!E837&amp;".com",Клиенты_исходные!E837&amp;".ru")))</f>
        <v>nazarov@yandex.ru</v>
      </c>
      <c r="F837" t="str">
        <f>IFERROR(VLOOKUP(Клиенты_исходные!F837,Справочники!$J$2:$K$50,2,FALSE),Клиенты_исходные!F837)</f>
        <v>Грозный</v>
      </c>
      <c r="G837" s="8">
        <f>IFERROR(IF(ISNUMBER(FIND(".",Клиенты_исходные!G837)),DATE(RIGHT(Клиенты_исходные!G837,4),MID(Клиенты_исходные!G837,4,2),LEFT(Клиенты_исходные!G837,2)),DATE(LEFT(Клиенты_исходные!G837,4),MID(Клиенты_исходные!G837,6,2),RIGHT(Клиенты_исходные!G837,2))),Клиенты_исходные!G837)</f>
        <v>53036</v>
      </c>
      <c r="H837">
        <f t="shared" ca="1" si="85"/>
        <v>40</v>
      </c>
      <c r="I837" t="str">
        <f t="shared" si="86"/>
        <v>OK</v>
      </c>
      <c r="J837" t="str">
        <f t="shared" si="87"/>
        <v>OK</v>
      </c>
    </row>
    <row r="838">
      <c r="A838" t="str">
        <f>Клиенты_исходные!A838</f>
        <v>C0837</v>
      </c>
      <c r="B838" t="str">
        <f>PROPER(TRIM(Клиенты_исходные!B838))</f>
        <v xml:space="preserve">Иванищева Ольга Владимировна</v>
      </c>
      <c r="C838" s="8">
        <f>IFERROR(IF(ISNUMBER(FIND(".",Клиенты_исходные!C838)),DATE(RIGHT(Клиенты_исходные!C838,4),MID(Клиенты_исходные!C838,4,2),LEFT(Клиенты_исходные!C838,2)),DATE(LEFT(Клиенты_исходные!C838,4),MID(Клиенты_исходные!C838,6,2),RIGHT(Клиенты_исходные!C838,2))),Клиенты_исходные!C838)</f>
        <v>27251</v>
      </c>
      <c r="D838" t="str">
        <f>IF(ISBLANK(Клиенты_исходные!D838),"",IF(LEN(SUBSTITUTE(SUBSTITUTE(SUBSTITUTE(SUBSTITUTE(SUBSTITUTE(Клиенты_исходные!D838," ",""),"-",""),"+",""),"(",""),")",""))=11,"+7 ("&amp;MID(IF(LEFT(SUBSTITUTE(SUBSTITUTE(SUBSTITUTE(SUBSTITUTE(SUBSTITUTE(Клиенты_исходные!D838," ",""),"-",""),"+",""),"(",""),")",""))="8","7"&amp;MID(SUBSTITUTE(SUBSTITUTE(SUBSTITUTE(SUBSTITUTE(SUBSTITUTE(Клиенты_исходные!D838," ",""),"-",""),"+",""),"(",""),")",""),2,10),SUBSTITUTE(SUBSTITUTE(SUBSTITUTE(SUBSTITUTE(SUBSTITUTE(Клиенты_исходные!D838," ",""),"-",""),"+",""),"(",""),")","")),2,3)&amp;") "&amp;MID(IF(LEFT(SUBSTITUTE(SUBSTITUTE(SUBSTITUTE(SUBSTITUTE(SUBSTITUTE(Клиенты_исходные!D838," ",""),"-",""),"+",""),"(",""),")",""))="8","7"&amp;MID(SUBSTITUTE(SUBSTITUTE(SUBSTITUTE(SUBSTITUTE(SUBSTITUTE(Клиенты_исходные!D838," ",""),"-",""),"+",""),"(",""),")",""),2,10),SUBSTITUTE(SUBSTITUTE(SUBSTITUTE(SUBSTITUTE(SUBSTITUTE(Клиенты_исходные!D838," ",""),"-",""),"+",""),"(",""),")","")),5,3)&amp;"-"&amp;MID(IF(LEFT(SUBSTITUTE(SUBSTITUTE(SUBSTITUTE(SUBSTITUTE(SUBSTITUTE(Клиенты_исходные!D838," ",""),"-",""),"+",""),"(",""),")",""))="8","7"&amp;MID(SUBSTITUTE(SUBSTITUTE(SUBSTITUTE(SUBSTITUTE(SUBSTITUTE(Клиенты_исходные!D838," ",""),"-",""),"+",""),"(",""),")",""),2,10),SUBSTITUTE(SUBSTITUTE(SUBSTITUTE(SUBSTITUTE(SUBSTITUTE(Клиенты_исходные!D838," ",""),"-",""),"+",""),"(",""),")","")),8,2)&amp;"-"&amp;MID(IF(LEFT(SUBSTITUTE(SUBSTITUTE(SUBSTITUTE(SUBSTITUTE(SUBSTITUTE(Клиенты_исходные!D838," ",""),"-",""),"+",""),"(",""),")",""))="8","7"&amp;MID(SUBSTITUTE(SUBSTITUTE(SUBSTITUTE(SUBSTITUTE(SUBSTITUTE(Клиенты_исходные!D838," ",""),"-",""),"+",""),"(",""),")",""),2,10),SUBSTITUTE(SUBSTITUTE(SUBSTITUTE(SUBSTITUTE(SUBSTITUTE(Клиенты_исходные!D838," ",""),"-",""),"+",""),"(",""),")","")),10,2),IF(LEN(SUBSTITUTE(SUBSTITUTE(SUBSTITUTE(SUBSTITUTE(SUBSTITUTE(Клиенты_исходные!D838," ",""),"-",""),"+",""),"(",""),")",""))=10,"+7 ("&amp;MID(SUBSTITUTE(SUBSTITUTE(SUBSTITUTE(SUBSTITUTE(SUBSTITUTE(Клиенты_исходные!D838," ",""),"-",""),"+",""),"(",""),")",""),1,3)&amp;") "&amp;MID(SUBSTITUTE(SUBSTITUTE(SUBSTITUTE(SUBSTITUTE(SUBSTITUTE(Клиенты_исходные!D838," ",""),"-",""),"+",""),"(",""),")",""),4,3)&amp;"-"&amp;MID(SUBSTITUTE(SUBSTITUTE(SUBSTITUTE(SUBSTITUTE(SUBSTITUTE(Клиенты_исходные!D838," ",""),"-",""),"+",""),"(",""),")",""),6,2)&amp;"-"&amp;MID(SUBSTITUTE(SUBSTITUTE(SUBSTITUTE(SUBSTITUTE(SUBSTITUTE(Клиенты_исходные!D838," ",""),"-",""),"+",""),"(",""),")",""),8,2),Клиенты_исходные!D838)))</f>
        <v xml:space="preserve">+7 (903) 567-89-01</v>
      </c>
      <c r="E838" t="str">
        <f>IF(ISBLANK(Клиенты_исходные!E838),"",IF(ISNUMBER(FIND(".",MID(Клиенты_исходные!E838,FIND("@",Клиенты_исходные!E838)+1,255))),Клиенты_исходные!E838,IF(ISNUMBER(FIND("gmail",Клиенты_исходные!E838)),Клиенты_исходные!E838&amp;".com",Клиенты_исходные!E838&amp;".ru")))</f>
        <v>ivanischeva@gmail.com</v>
      </c>
      <c r="F838" t="str">
        <f>IFERROR(VLOOKUP(Клиенты_исходные!F838,Справочники!$J$2:$K$50,2,FALSE),Клиенты_исходные!F838)</f>
        <v>Бийск</v>
      </c>
      <c r="G838" s="8">
        <f>IFERROR(IF(ISNUMBER(FIND(".",Клиенты_исходные!G838)),DATE(RIGHT(Клиенты_исходные!G838,4),MID(Клиенты_исходные!G838,4,2),LEFT(Клиенты_исходные!G838,2)),DATE(LEFT(Клиенты_исходные!G838,4),MID(Клиенты_исходные!G838,6,2),RIGHT(Клиенты_исходные!G838,2))),Клиенты_исходные!G838)</f>
        <v>53036</v>
      </c>
      <c r="H838">
        <f t="shared" ca="1" si="85"/>
        <v>52</v>
      </c>
      <c r="I838" t="str">
        <f t="shared" si="86"/>
        <v>OK</v>
      </c>
      <c r="J838" t="str">
        <f t="shared" si="87"/>
        <v>OK</v>
      </c>
    </row>
    <row r="839">
      <c r="A839" t="str">
        <f>Клиенты_исходные!A839</f>
        <v>C0838</v>
      </c>
      <c r="B839" t="str">
        <f>PROPER(TRIM(Клиенты_исходные!B839))</f>
        <v xml:space="preserve">Спирин Илья Александрович</v>
      </c>
      <c r="C839" s="8">
        <f>IFERROR(IF(ISNUMBER(FIND(".",Клиенты_исходные!C839)),DATE(RIGHT(Клиенты_исходные!C839,4),MID(Клиенты_исходные!C839,4,2),LEFT(Клиенты_исходные!C839,2)),DATE(LEFT(Клиенты_исходные!C839,4),MID(Клиенты_исходные!C839,6,2),RIGHT(Клиенты_исходные!C839,2))),Клиенты_исходные!C839)</f>
        <v>30682</v>
      </c>
      <c r="D839" t="str">
        <f>IF(ISBLANK(Клиенты_исходные!D839),"",IF(LEN(SUBSTITUTE(SUBSTITUTE(SUBSTITUTE(SUBSTITUTE(SUBSTITUTE(Клиенты_исходные!D839," ",""),"-",""),"+",""),"(",""),")",""))=11,"+7 ("&amp;MID(IF(LEFT(SUBSTITUTE(SUBSTITUTE(SUBSTITUTE(SUBSTITUTE(SUBSTITUTE(Клиенты_исходные!D839," ",""),"-",""),"+",""),"(",""),")",""))="8","7"&amp;MID(SUBSTITUTE(SUBSTITUTE(SUBSTITUTE(SUBSTITUTE(SUBSTITUTE(Клиенты_исходные!D839," ",""),"-",""),"+",""),"(",""),")",""),2,10),SUBSTITUTE(SUBSTITUTE(SUBSTITUTE(SUBSTITUTE(SUBSTITUTE(Клиенты_исходные!D839," ",""),"-",""),"+",""),"(",""),")","")),2,3)&amp;") "&amp;MID(IF(LEFT(SUBSTITUTE(SUBSTITUTE(SUBSTITUTE(SUBSTITUTE(SUBSTITUTE(Клиенты_исходные!D839," ",""),"-",""),"+",""),"(",""),")",""))="8","7"&amp;MID(SUBSTITUTE(SUBSTITUTE(SUBSTITUTE(SUBSTITUTE(SUBSTITUTE(Клиенты_исходные!D839," ",""),"-",""),"+",""),"(",""),")",""),2,10),SUBSTITUTE(SUBSTITUTE(SUBSTITUTE(SUBSTITUTE(SUBSTITUTE(Клиенты_исходные!D839," ",""),"-",""),"+",""),"(",""),")","")),5,3)&amp;"-"&amp;MID(IF(LEFT(SUBSTITUTE(SUBSTITUTE(SUBSTITUTE(SUBSTITUTE(SUBSTITUTE(Клиенты_исходные!D839," ",""),"-",""),"+",""),"(",""),")",""))="8","7"&amp;MID(SUBSTITUTE(SUBSTITUTE(SUBSTITUTE(SUBSTITUTE(SUBSTITUTE(Клиенты_исходные!D839," ",""),"-",""),"+",""),"(",""),")",""),2,10),SUBSTITUTE(SUBSTITUTE(SUBSTITUTE(SUBSTITUTE(SUBSTITUTE(Клиенты_исходные!D839," ",""),"-",""),"+",""),"(",""),")","")),8,2)&amp;"-"&amp;MID(IF(LEFT(SUBSTITUTE(SUBSTITUTE(SUBSTITUTE(SUBSTITUTE(SUBSTITUTE(Клиенты_исходные!D839," ",""),"-",""),"+",""),"(",""),")",""))="8","7"&amp;MID(SUBSTITUTE(SUBSTITUTE(SUBSTITUTE(SUBSTITUTE(SUBSTITUTE(Клиенты_исходные!D839," ",""),"-",""),"+",""),"(",""),")",""),2,10),SUBSTITUTE(SUBSTITUTE(SUBSTITUTE(SUBSTITUTE(SUBSTITUTE(Клиенты_исходные!D839," ",""),"-",""),"+",""),"(",""),")","")),10,2),IF(LEN(SUBSTITUTE(SUBSTITUTE(SUBSTITUTE(SUBSTITUTE(SUBSTITUTE(Клиенты_исходные!D839," ",""),"-",""),"+",""),"(",""),")",""))=10,"+7 ("&amp;MID(SUBSTITUTE(SUBSTITUTE(SUBSTITUTE(SUBSTITUTE(SUBSTITUTE(Клиенты_исходные!D839," ",""),"-",""),"+",""),"(",""),")",""),1,3)&amp;") "&amp;MID(SUBSTITUTE(SUBSTITUTE(SUBSTITUTE(SUBSTITUTE(SUBSTITUTE(Клиенты_исходные!D839," ",""),"-",""),"+",""),"(",""),")",""),4,3)&amp;"-"&amp;MID(SUBSTITUTE(SUBSTITUTE(SUBSTITUTE(SUBSTITUTE(SUBSTITUTE(Клиенты_исходные!D839," ",""),"-",""),"+",""),"(",""),")",""),6,2)&amp;"-"&amp;MID(SUBSTITUTE(SUBSTITUTE(SUBSTITUTE(SUBSTITUTE(SUBSTITUTE(Клиенты_исходные!D839," ",""),"-",""),"+",""),"(",""),")",""),8,2),Клиенты_исходные!D839)))</f>
        <v xml:space="preserve">+7 (903) 567-89-01</v>
      </c>
      <c r="E839" t="str">
        <f>IF(ISBLANK(Клиенты_исходные!E839),"",IF(ISNUMBER(FIND(".",MID(Клиенты_исходные!E839,FIND("@",Клиенты_исходные!E839)+1,255))),Клиенты_исходные!E839,IF(ISNUMBER(FIND("gmail",Клиенты_исходные!E839)),Клиенты_исходные!E839&amp;".com",Клиенты_исходные!E839&amp;".ru")))</f>
        <v>spirin@mail.ru</v>
      </c>
      <c r="F839" t="str">
        <f>IFERROR(VLOOKUP(Клиенты_исходные!F839,Справочники!$J$2:$K$50,2,FALSE),Клиенты_исходные!F839)</f>
        <v>Йошкар-Ола</v>
      </c>
      <c r="G839" s="8">
        <f>IFERROR(IF(ISNUMBER(FIND(".",Клиенты_исходные!G839)),DATE(RIGHT(Клиенты_исходные!G839,4),MID(Клиенты_исходные!G839,4,2),LEFT(Клиенты_исходные!G839,2)),DATE(LEFT(Клиенты_исходные!G839,4),MID(Клиенты_исходные!G839,6,2),RIGHT(Клиенты_исходные!G839,2))),Клиенты_исходные!G839)</f>
        <v>53053</v>
      </c>
      <c r="H839">
        <f t="shared" ca="1" si="85"/>
        <v>42</v>
      </c>
      <c r="I839" t="str">
        <f t="shared" si="86"/>
        <v>OK</v>
      </c>
      <c r="J839" t="str">
        <f t="shared" si="87"/>
        <v>OK</v>
      </c>
    </row>
    <row r="840">
      <c r="A840" t="str">
        <f>Клиенты_исходные!A840</f>
        <v>C0839</v>
      </c>
      <c r="B840" t="str">
        <f>PROPER(TRIM(Клиенты_исходные!B840))</f>
        <v xml:space="preserve">Гурьева Екатерина Сергеевна</v>
      </c>
      <c r="C840" s="8">
        <f>IFERROR(IF(ISNUMBER(FIND(".",Клиенты_исходные!C840)),DATE(RIGHT(Клиенты_исходные!C840,4),MID(Клиенты_исходные!C840,4,2),LEFT(Клиенты_исходные!C840,2)),DATE(LEFT(Клиенты_исходные!C840,4),MID(Клиенты_исходные!C840,6,2),RIGHT(Клиенты_исходные!C840,2))),Клиенты_исходные!C840)</f>
        <v>33352</v>
      </c>
      <c r="D840" t="str">
        <f>IF(ISBLANK(Клиенты_исходные!D840),"",IF(LEN(SUBSTITUTE(SUBSTITUTE(SUBSTITUTE(SUBSTITUTE(SUBSTITUTE(Клиенты_исходные!D840," ",""),"-",""),"+",""),"(",""),")",""))=11,"+7 ("&amp;MID(IF(LEFT(SUBSTITUTE(SUBSTITUTE(SUBSTITUTE(SUBSTITUTE(SUBSTITUTE(Клиенты_исходные!D840," ",""),"-",""),"+",""),"(",""),")",""))="8","7"&amp;MID(SUBSTITUTE(SUBSTITUTE(SUBSTITUTE(SUBSTITUTE(SUBSTITUTE(Клиенты_исходные!D840," ",""),"-",""),"+",""),"(",""),")",""),2,10),SUBSTITUTE(SUBSTITUTE(SUBSTITUTE(SUBSTITUTE(SUBSTITUTE(Клиенты_исходные!D840," ",""),"-",""),"+",""),"(",""),")","")),2,3)&amp;") "&amp;MID(IF(LEFT(SUBSTITUTE(SUBSTITUTE(SUBSTITUTE(SUBSTITUTE(SUBSTITUTE(Клиенты_исходные!D840," ",""),"-",""),"+",""),"(",""),")",""))="8","7"&amp;MID(SUBSTITUTE(SUBSTITUTE(SUBSTITUTE(SUBSTITUTE(SUBSTITUTE(Клиенты_исходные!D840," ",""),"-",""),"+",""),"(",""),")",""),2,10),SUBSTITUTE(SUBSTITUTE(SUBSTITUTE(SUBSTITUTE(SUBSTITUTE(Клиенты_исходные!D840," ",""),"-",""),"+",""),"(",""),")","")),5,3)&amp;"-"&amp;MID(IF(LEFT(SUBSTITUTE(SUBSTITUTE(SUBSTITUTE(SUBSTITUTE(SUBSTITUTE(Клиенты_исходные!D840," ",""),"-",""),"+",""),"(",""),")",""))="8","7"&amp;MID(SUBSTITUTE(SUBSTITUTE(SUBSTITUTE(SUBSTITUTE(SUBSTITUTE(Клиенты_исходные!D840," ",""),"-",""),"+",""),"(",""),")",""),2,10),SUBSTITUTE(SUBSTITUTE(SUBSTITUTE(SUBSTITUTE(SUBSTITUTE(Клиенты_исходные!D840," ",""),"-",""),"+",""),"(",""),")","")),8,2)&amp;"-"&amp;MID(IF(LEFT(SUBSTITUTE(SUBSTITUTE(SUBSTITUTE(SUBSTITUTE(SUBSTITUTE(Клиенты_исходные!D840," ",""),"-",""),"+",""),"(",""),")",""))="8","7"&amp;MID(SUBSTITUTE(SUBSTITUTE(SUBSTITUTE(SUBSTITUTE(SUBSTITUTE(Клиенты_исходные!D840," ",""),"-",""),"+",""),"(",""),")",""),2,10),SUBSTITUTE(SUBSTITUTE(SUBSTITUTE(SUBSTITUTE(SUBSTITUTE(Клиенты_исходные!D840," ",""),"-",""),"+",""),"(",""),")","")),10,2),IF(LEN(SUBSTITUTE(SUBSTITUTE(SUBSTITUTE(SUBSTITUTE(SUBSTITUTE(Клиенты_исходные!D840," ",""),"-",""),"+",""),"(",""),")",""))=10,"+7 ("&amp;MID(SUBSTITUTE(SUBSTITUTE(SUBSTITUTE(SUBSTITUTE(SUBSTITUTE(Клиенты_исходные!D840," ",""),"-",""),"+",""),"(",""),")",""),1,3)&amp;") "&amp;MID(SUBSTITUTE(SUBSTITUTE(SUBSTITUTE(SUBSTITUTE(SUBSTITUTE(Клиенты_исходные!D840," ",""),"-",""),"+",""),"(",""),")",""),4,3)&amp;"-"&amp;MID(SUBSTITUTE(SUBSTITUTE(SUBSTITUTE(SUBSTITUTE(SUBSTITUTE(Клиенты_исходные!D840," ",""),"-",""),"+",""),"(",""),")",""),6,2)&amp;"-"&amp;MID(SUBSTITUTE(SUBSTITUTE(SUBSTITUTE(SUBSTITUTE(SUBSTITUTE(Клиенты_исходные!D840," ",""),"-",""),"+",""),"(",""),")",""),8,2),Клиенты_исходные!D840)))</f>
        <v xml:space="preserve">+7 (903) 567-89-01</v>
      </c>
      <c r="E840" t="str">
        <f>IF(ISBLANK(Клиенты_исходные!E840),"",IF(ISNUMBER(FIND(".",MID(Клиенты_исходные!E840,FIND("@",Клиенты_исходные!E840)+1,255))),Клиенты_исходные!E840,IF(ISNUMBER(FIND("gmail",Клиенты_исходные!E840)),Клиенты_исходные!E840&amp;".com",Клиенты_исходные!E840&amp;".ru")))</f>
        <v>gurieva@yandex.ru</v>
      </c>
      <c r="F840" t="str">
        <f>IFERROR(VLOOKUP(Клиенты_исходные!F840,Справочники!$J$2:$K$50,2,FALSE),Клиенты_исходные!F840)</f>
        <v>Курган</v>
      </c>
      <c r="G840" s="8">
        <f>IFERROR(IF(ISNUMBER(FIND(".",Клиенты_исходные!G840)),DATE(RIGHT(Клиенты_исходные!G840,4),MID(Клиенты_исходные!G840,4,2),LEFT(Клиенты_исходные!G840,2)),DATE(LEFT(Клиенты_исходные!G840,4),MID(Клиенты_исходные!G840,6,2),RIGHT(Клиенты_исходные!G840,2))),Клиенты_исходные!G840)</f>
        <v>53062</v>
      </c>
      <c r="H840">
        <f t="shared" ca="1" si="85"/>
        <v>35</v>
      </c>
      <c r="I840" t="str">
        <f t="shared" si="86"/>
        <v>OK</v>
      </c>
      <c r="J840" t="str">
        <f t="shared" si="87"/>
        <v>OK</v>
      </c>
    </row>
    <row r="841">
      <c r="A841" t="str">
        <f>Клиенты_исходные!A841</f>
        <v>C0840</v>
      </c>
      <c r="B841" t="str">
        <f>PROPER(TRIM(Клиенты_исходные!B841))</f>
        <v xml:space="preserve">Митрохин Андрей Олегович</v>
      </c>
      <c r="C841" s="8">
        <f>IFERROR(IF(ISNUMBER(FIND(".",Клиенты_исходные!C841)),DATE(RIGHT(Клиенты_исходные!C841,4),MID(Клиенты_исходные!C841,4,2),LEFT(Клиенты_исходные!C841,2)),DATE(LEFT(Клиенты_исходные!C841,4),MID(Клиенты_исходные!C841,6,2),RIGHT(Клиенты_исходные!C841,2))),Клиенты_исходные!C841)</f>
        <v>29023</v>
      </c>
      <c r="D841" t="str">
        <f>IF(ISBLANK(Клиенты_исходные!D841),"",IF(LEN(SUBSTITUTE(SUBSTITUTE(SUBSTITUTE(SUBSTITUTE(SUBSTITUTE(Клиенты_исходные!D841," ",""),"-",""),"+",""),"(",""),")",""))=11,"+7 ("&amp;MID(IF(LEFT(SUBSTITUTE(SUBSTITUTE(SUBSTITUTE(SUBSTITUTE(SUBSTITUTE(Клиенты_исходные!D841," ",""),"-",""),"+",""),"(",""),")",""))="8","7"&amp;MID(SUBSTITUTE(SUBSTITUTE(SUBSTITUTE(SUBSTITUTE(SUBSTITUTE(Клиенты_исходные!D841," ",""),"-",""),"+",""),"(",""),")",""),2,10),SUBSTITUTE(SUBSTITUTE(SUBSTITUTE(SUBSTITUTE(SUBSTITUTE(Клиенты_исходные!D841," ",""),"-",""),"+",""),"(",""),")","")),2,3)&amp;") "&amp;MID(IF(LEFT(SUBSTITUTE(SUBSTITUTE(SUBSTITUTE(SUBSTITUTE(SUBSTITUTE(Клиенты_исходные!D841," ",""),"-",""),"+",""),"(",""),")",""))="8","7"&amp;MID(SUBSTITUTE(SUBSTITUTE(SUBSTITUTE(SUBSTITUTE(SUBSTITUTE(Клиенты_исходные!D841," ",""),"-",""),"+",""),"(",""),")",""),2,10),SUBSTITUTE(SUBSTITUTE(SUBSTITUTE(SUBSTITUTE(SUBSTITUTE(Клиенты_исходные!D841," ",""),"-",""),"+",""),"(",""),")","")),5,3)&amp;"-"&amp;MID(IF(LEFT(SUBSTITUTE(SUBSTITUTE(SUBSTITUTE(SUBSTITUTE(SUBSTITUTE(Клиенты_исходные!D841," ",""),"-",""),"+",""),"(",""),")",""))="8","7"&amp;MID(SUBSTITUTE(SUBSTITUTE(SUBSTITUTE(SUBSTITUTE(SUBSTITUTE(Клиенты_исходные!D841," ",""),"-",""),"+",""),"(",""),")",""),2,10),SUBSTITUTE(SUBSTITUTE(SUBSTITUTE(SUBSTITUTE(SUBSTITUTE(Клиенты_исходные!D841," ",""),"-",""),"+",""),"(",""),")","")),8,2)&amp;"-"&amp;MID(IF(LEFT(SUBSTITUTE(SUBSTITUTE(SUBSTITUTE(SUBSTITUTE(SUBSTITUTE(Клиенты_исходные!D841," ",""),"-",""),"+",""),"(",""),")",""))="8","7"&amp;MID(SUBSTITUTE(SUBSTITUTE(SUBSTITUTE(SUBSTITUTE(SUBSTITUTE(Клиенты_исходные!D841," ",""),"-",""),"+",""),"(",""),")",""),2,10),SUBSTITUTE(SUBSTITUTE(SUBSTITUTE(SUBSTITUTE(SUBSTITUTE(Клиенты_исходные!D841," ",""),"-",""),"+",""),"(",""),")","")),10,2),IF(LEN(SUBSTITUTE(SUBSTITUTE(SUBSTITUTE(SUBSTITUTE(SUBSTITUTE(Клиенты_исходные!D841," ",""),"-",""),"+",""),"(",""),")",""))=10,"+7 ("&amp;MID(SUBSTITUTE(SUBSTITUTE(SUBSTITUTE(SUBSTITUTE(SUBSTITUTE(Клиенты_исходные!D841," ",""),"-",""),"+",""),"(",""),")",""),1,3)&amp;") "&amp;MID(SUBSTITUTE(SUBSTITUTE(SUBSTITUTE(SUBSTITUTE(SUBSTITUTE(Клиенты_исходные!D841," ",""),"-",""),"+",""),"(",""),")",""),4,3)&amp;"-"&amp;MID(SUBSTITUTE(SUBSTITUTE(SUBSTITUTE(SUBSTITUTE(SUBSTITUTE(Клиенты_исходные!D841," ",""),"-",""),"+",""),"(",""),")",""),6,2)&amp;"-"&amp;MID(SUBSTITUTE(SUBSTITUTE(SUBSTITUTE(SUBSTITUTE(SUBSTITUTE(Клиенты_исходные!D841," ",""),"-",""),"+",""),"(",""),")",""),8,2),Клиенты_исходные!D841)))</f>
        <v xml:space="preserve">+7 (903) 678-90-12</v>
      </c>
      <c r="E841" t="str">
        <f>IF(ISBLANK(Клиенты_исходные!E841),"",IF(ISNUMBER(FIND(".",MID(Клиенты_исходные!E841,FIND("@",Клиенты_исходные!E841)+1,255))),Клиенты_исходные!E841,IF(ISNUMBER(FIND("gmail",Клиенты_исходные!E841)),Клиенты_исходные!E841&amp;".com",Клиенты_исходные!E841&amp;".ru")))</f>
        <v>mitrohin@gmail.com</v>
      </c>
      <c r="F841" t="str">
        <f>IFERROR(VLOOKUP(Клиенты_исходные!F841,Справочники!$J$2:$K$50,2,FALSE),Клиенты_исходные!F841)</f>
        <v>Архангельск</v>
      </c>
      <c r="G841" s="8">
        <f>IFERROR(IF(ISNUMBER(FIND(".",Клиенты_исходные!G841)),DATE(RIGHT(Клиенты_исходные!G841,4),MID(Клиенты_исходные!G841,4,2),LEFT(Клиенты_исходные!G841,2)),DATE(LEFT(Клиенты_исходные!G841,4),MID(Клиенты_исходные!G841,6,2),RIGHT(Клиенты_исходные!G841,2))),Клиенты_исходные!G841)</f>
        <v>53062</v>
      </c>
      <c r="H841">
        <f t="shared" ca="1" si="85"/>
        <v>47</v>
      </c>
      <c r="I841" t="str">
        <f t="shared" si="86"/>
        <v>OK</v>
      </c>
      <c r="J841" t="str">
        <f t="shared" si="87"/>
        <v>OK</v>
      </c>
    </row>
    <row r="842">
      <c r="A842" t="str">
        <f>Клиенты_исходные!A842</f>
        <v>C0841</v>
      </c>
      <c r="B842" t="str">
        <f>PROPER(TRIM(Клиенты_исходные!B842))</f>
        <v xml:space="preserve">Скоробогатова Мария Павловна</v>
      </c>
      <c r="C842" s="8">
        <f>IFERROR(IF(ISNUMBER(FIND(".",Клиенты_исходные!C842)),DATE(RIGHT(Клиенты_исходные!C842,4),MID(Клиенты_исходные!C842,4,2),LEFT(Клиенты_исходные!C842,2)),DATE(LEFT(Клиенты_исходные!C842,4),MID(Клиенты_исходные!C842,6,2),RIGHT(Клиенты_исходные!C842,2))),Клиенты_исходные!C842)</f>
        <v>32453</v>
      </c>
      <c r="D842" t="str">
        <f>IF(ISBLANK(Клиенты_исходные!D842),"",IF(LEN(SUBSTITUTE(SUBSTITUTE(SUBSTITUTE(SUBSTITUTE(SUBSTITUTE(Клиенты_исходные!D842," ",""),"-",""),"+",""),"(",""),")",""))=11,"+7 ("&amp;MID(IF(LEFT(SUBSTITUTE(SUBSTITUTE(SUBSTITUTE(SUBSTITUTE(SUBSTITUTE(Клиенты_исходные!D842," ",""),"-",""),"+",""),"(",""),")",""))="8","7"&amp;MID(SUBSTITUTE(SUBSTITUTE(SUBSTITUTE(SUBSTITUTE(SUBSTITUTE(Клиенты_исходные!D842," ",""),"-",""),"+",""),"(",""),")",""),2,10),SUBSTITUTE(SUBSTITUTE(SUBSTITUTE(SUBSTITUTE(SUBSTITUTE(Клиенты_исходные!D842," ",""),"-",""),"+",""),"(",""),")","")),2,3)&amp;") "&amp;MID(IF(LEFT(SUBSTITUTE(SUBSTITUTE(SUBSTITUTE(SUBSTITUTE(SUBSTITUTE(Клиенты_исходные!D842," ",""),"-",""),"+",""),"(",""),")",""))="8","7"&amp;MID(SUBSTITUTE(SUBSTITUTE(SUBSTITUTE(SUBSTITUTE(SUBSTITUTE(Клиенты_исходные!D842," ",""),"-",""),"+",""),"(",""),")",""),2,10),SUBSTITUTE(SUBSTITUTE(SUBSTITUTE(SUBSTITUTE(SUBSTITUTE(Клиенты_исходные!D842," ",""),"-",""),"+",""),"(",""),")","")),5,3)&amp;"-"&amp;MID(IF(LEFT(SUBSTITUTE(SUBSTITUTE(SUBSTITUTE(SUBSTITUTE(SUBSTITUTE(Клиенты_исходные!D842," ",""),"-",""),"+",""),"(",""),")",""))="8","7"&amp;MID(SUBSTITUTE(SUBSTITUTE(SUBSTITUTE(SUBSTITUTE(SUBSTITUTE(Клиенты_исходные!D842," ",""),"-",""),"+",""),"(",""),")",""),2,10),SUBSTITUTE(SUBSTITUTE(SUBSTITUTE(SUBSTITUTE(SUBSTITUTE(Клиенты_исходные!D842," ",""),"-",""),"+",""),"(",""),")","")),8,2)&amp;"-"&amp;MID(IF(LEFT(SUBSTITUTE(SUBSTITUTE(SUBSTITUTE(SUBSTITUTE(SUBSTITUTE(Клиенты_исходные!D842," ",""),"-",""),"+",""),"(",""),")",""))="8","7"&amp;MID(SUBSTITUTE(SUBSTITUTE(SUBSTITUTE(SUBSTITUTE(SUBSTITUTE(Клиенты_исходные!D842," ",""),"-",""),"+",""),"(",""),")",""),2,10),SUBSTITUTE(SUBSTITUTE(SUBSTITUTE(SUBSTITUTE(SUBSTITUTE(Клиенты_исходные!D842," ",""),"-",""),"+",""),"(",""),")","")),10,2),IF(LEN(SUBSTITUTE(SUBSTITUTE(SUBSTITUTE(SUBSTITUTE(SUBSTITUTE(Клиенты_исходные!D842," ",""),"-",""),"+",""),"(",""),")",""))=10,"+7 ("&amp;MID(SUBSTITUTE(SUBSTITUTE(SUBSTITUTE(SUBSTITUTE(SUBSTITUTE(Клиенты_исходные!D842," ",""),"-",""),"+",""),"(",""),")",""),1,3)&amp;") "&amp;MID(SUBSTITUTE(SUBSTITUTE(SUBSTITUTE(SUBSTITUTE(SUBSTITUTE(Клиенты_исходные!D842," ",""),"-",""),"+",""),"(",""),")",""),4,3)&amp;"-"&amp;MID(SUBSTITUTE(SUBSTITUTE(SUBSTITUTE(SUBSTITUTE(SUBSTITUTE(Клиенты_исходные!D842," ",""),"-",""),"+",""),"(",""),")",""),6,2)&amp;"-"&amp;MID(SUBSTITUTE(SUBSTITUTE(SUBSTITUTE(SUBSTITUTE(SUBSTITUTE(Клиенты_исходные!D842," ",""),"-",""),"+",""),"(",""),")",""),8,2),Клиенты_исходные!D842)))</f>
        <v xml:space="preserve">+7 (903) 678-90-12</v>
      </c>
      <c r="E842" t="str">
        <f>IF(ISBLANK(Клиенты_исходные!E842),"",IF(ISNUMBER(FIND(".",MID(Клиенты_исходные!E842,FIND("@",Клиенты_исходные!E842)+1,255))),Клиенты_исходные!E842,IF(ISNUMBER(FIND("gmail",Клиенты_исходные!E842)),Клиенты_исходные!E842&amp;".com",Клиенты_исходные!E842&amp;".ru")))</f>
        <v>skorobogatova@mail.ru</v>
      </c>
      <c r="F842" t="str">
        <f>IFERROR(VLOOKUP(Клиенты_исходные!F842,Справочники!$J$2:$K$50,2,FALSE),Клиенты_исходные!F842)</f>
        <v>Благовещенск</v>
      </c>
      <c r="G842" s="8">
        <f>IFERROR(IF(ISNUMBER(FIND(".",Клиенты_исходные!G842)),DATE(RIGHT(Клиенты_исходные!G842,4),MID(Клиенты_исходные!G842,4,2),LEFT(Клиенты_исходные!G842,2)),DATE(LEFT(Клиенты_исходные!G842,4),MID(Клиенты_исходные!G842,6,2),RIGHT(Клиенты_исходные!G842,2))),Клиенты_исходные!G842)</f>
        <v>53083</v>
      </c>
      <c r="H842">
        <f t="shared" ca="1" si="85"/>
        <v>37</v>
      </c>
      <c r="I842" t="str">
        <f t="shared" si="86"/>
        <v>OK</v>
      </c>
      <c r="J842" t="str">
        <f t="shared" si="87"/>
        <v>OK</v>
      </c>
    </row>
    <row r="843">
      <c r="A843" t="str">
        <f>Клиенты_исходные!A843</f>
        <v>C0842</v>
      </c>
      <c r="B843" t="str">
        <f>PROPER(TRIM(Клиенты_исходные!B843))</f>
        <v xml:space="preserve">Чижов Денис Викторович</v>
      </c>
      <c r="C843" s="8">
        <f>IFERROR(IF(ISNUMBER(FIND(".",Клиенты_исходные!C843)),DATE(RIGHT(Клиенты_исходные!C843,4),MID(Клиенты_исходные!C843,4,2),LEFT(Клиенты_исходные!C843,2)),DATE(LEFT(Клиенты_исходные!C843,4),MID(Клиенты_исходные!C843,6,2),RIGHT(Клиенты_исходные!C843,2))),Клиенты_исходные!C843)</f>
        <v>30527</v>
      </c>
      <c r="D843" t="str">
        <f>IF(ISBLANK(Клиенты_исходные!D843),"",IF(LEN(SUBSTITUTE(SUBSTITUTE(SUBSTITUTE(SUBSTITUTE(SUBSTITUTE(Клиенты_исходные!D843," ",""),"-",""),"+",""),"(",""),")",""))=11,"+7 ("&amp;MID(IF(LEFT(SUBSTITUTE(SUBSTITUTE(SUBSTITUTE(SUBSTITUTE(SUBSTITUTE(Клиенты_исходные!D843," ",""),"-",""),"+",""),"(",""),")",""))="8","7"&amp;MID(SUBSTITUTE(SUBSTITUTE(SUBSTITUTE(SUBSTITUTE(SUBSTITUTE(Клиенты_исходные!D843," ",""),"-",""),"+",""),"(",""),")",""),2,10),SUBSTITUTE(SUBSTITUTE(SUBSTITUTE(SUBSTITUTE(SUBSTITUTE(Клиенты_исходные!D843," ",""),"-",""),"+",""),"(",""),")","")),2,3)&amp;") "&amp;MID(IF(LEFT(SUBSTITUTE(SUBSTITUTE(SUBSTITUTE(SUBSTITUTE(SUBSTITUTE(Клиенты_исходные!D843," ",""),"-",""),"+",""),"(",""),")",""))="8","7"&amp;MID(SUBSTITUTE(SUBSTITUTE(SUBSTITUTE(SUBSTITUTE(SUBSTITUTE(Клиенты_исходные!D843," ",""),"-",""),"+",""),"(",""),")",""),2,10),SUBSTITUTE(SUBSTITUTE(SUBSTITUTE(SUBSTITUTE(SUBSTITUTE(Клиенты_исходные!D843," ",""),"-",""),"+",""),"(",""),")","")),5,3)&amp;"-"&amp;MID(IF(LEFT(SUBSTITUTE(SUBSTITUTE(SUBSTITUTE(SUBSTITUTE(SUBSTITUTE(Клиенты_исходные!D843," ",""),"-",""),"+",""),"(",""),")",""))="8","7"&amp;MID(SUBSTITUTE(SUBSTITUTE(SUBSTITUTE(SUBSTITUTE(SUBSTITUTE(Клиенты_исходные!D843," ",""),"-",""),"+",""),"(",""),")",""),2,10),SUBSTITUTE(SUBSTITUTE(SUBSTITUTE(SUBSTITUTE(SUBSTITUTE(Клиенты_исходные!D843," ",""),"-",""),"+",""),"(",""),")","")),8,2)&amp;"-"&amp;MID(IF(LEFT(SUBSTITUTE(SUBSTITUTE(SUBSTITUTE(SUBSTITUTE(SUBSTITUTE(Клиенты_исходные!D843," ",""),"-",""),"+",""),"(",""),")",""))="8","7"&amp;MID(SUBSTITUTE(SUBSTITUTE(SUBSTITUTE(SUBSTITUTE(SUBSTITUTE(Клиенты_исходные!D843," ",""),"-",""),"+",""),"(",""),")",""),2,10),SUBSTITUTE(SUBSTITUTE(SUBSTITUTE(SUBSTITUTE(SUBSTITUTE(Клиенты_исходные!D843," ",""),"-",""),"+",""),"(",""),")","")),10,2),IF(LEN(SUBSTITUTE(SUBSTITUTE(SUBSTITUTE(SUBSTITUTE(SUBSTITUTE(Клиенты_исходные!D843," ",""),"-",""),"+",""),"(",""),")",""))=10,"+7 ("&amp;MID(SUBSTITUTE(SUBSTITUTE(SUBSTITUTE(SUBSTITUTE(SUBSTITUTE(Клиенты_исходные!D843," ",""),"-",""),"+",""),"(",""),")",""),1,3)&amp;") "&amp;MID(SUBSTITUTE(SUBSTITUTE(SUBSTITUTE(SUBSTITUTE(SUBSTITUTE(Клиенты_исходные!D843," ",""),"-",""),"+",""),"(",""),")",""),4,3)&amp;"-"&amp;MID(SUBSTITUTE(SUBSTITUTE(SUBSTITUTE(SUBSTITUTE(SUBSTITUTE(Клиенты_исходные!D843," ",""),"-",""),"+",""),"(",""),")",""),6,2)&amp;"-"&amp;MID(SUBSTITUTE(SUBSTITUTE(SUBSTITUTE(SUBSTITUTE(SUBSTITUTE(Клиенты_исходные!D843," ",""),"-",""),"+",""),"(",""),")",""),8,2),Клиенты_исходные!D843)))</f>
        <v xml:space="preserve">+7 (903) 678-90-12</v>
      </c>
      <c r="E843" t="str">
        <f>IF(ISBLANK(Клиенты_исходные!E843),"",IF(ISNUMBER(FIND(".",MID(Клиенты_исходные!E843,FIND("@",Клиенты_исходные!E843)+1,255))),Клиенты_исходные!E843,IF(ISNUMBER(FIND("gmail",Клиенты_исходные!E843)),Клиенты_исходные!E843&amp;".com",Клиенты_исходные!E843&amp;".ru")))</f>
        <v>chizhov@yandex.ru</v>
      </c>
      <c r="F843" t="str">
        <f>IFERROR(VLOOKUP(Клиенты_исходные!F843,Справочники!$J$2:$K$50,2,FALSE),Клиенты_исходные!F843)</f>
        <v>Майкоп</v>
      </c>
      <c r="G843" s="8">
        <f>IFERROR(IF(ISNUMBER(FIND(".",Клиенты_исходные!G843)),DATE(RIGHT(Клиенты_исходные!G843,4),MID(Клиенты_исходные!G843,4,2),LEFT(Клиенты_исходные!G843,2)),DATE(LEFT(Клиенты_исходные!G843,4),MID(Клиенты_исходные!G843,6,2),RIGHT(Клиенты_исходные!G843,2))),Клиенты_исходные!G843)</f>
        <v>53097</v>
      </c>
      <c r="H843">
        <f t="shared" ca="1" si="85"/>
        <v>43</v>
      </c>
      <c r="I843" t="str">
        <f t="shared" si="86"/>
        <v>OK</v>
      </c>
      <c r="J843" t="str">
        <f t="shared" si="87"/>
        <v>OK</v>
      </c>
    </row>
    <row r="844">
      <c r="A844" t="str">
        <f>Клиенты_исходные!A844</f>
        <v>C0843</v>
      </c>
      <c r="B844" t="str">
        <f>PROPER(TRIM(Клиенты_исходные!B844))</f>
        <v xml:space="preserve">Лукина Ольга Сергеевна</v>
      </c>
      <c r="C844" s="8">
        <f>IFERROR(IF(ISNUMBER(FIND(".",Клиенты_исходные!C844)),DATE(RIGHT(Клиенты_исходные!C844,4),MID(Клиенты_исходные!C844,4,2),LEFT(Клиенты_исходные!C844,2)),DATE(LEFT(Клиенты_исходные!C844,4),MID(Клиенты_исходные!C844,6,2),RIGHT(Клиенты_исходные!C844,2))),Клиенты_исходные!C844)</f>
        <v>27688</v>
      </c>
      <c r="D844" t="str">
        <f>IF(ISBLANK(Клиенты_исходные!D844),"",IF(LEN(SUBSTITUTE(SUBSTITUTE(SUBSTITUTE(SUBSTITUTE(SUBSTITUTE(Клиенты_исходные!D844," ",""),"-",""),"+",""),"(",""),")",""))=11,"+7 ("&amp;MID(IF(LEFT(SUBSTITUTE(SUBSTITUTE(SUBSTITUTE(SUBSTITUTE(SUBSTITUTE(Клиенты_исходные!D844," ",""),"-",""),"+",""),"(",""),")",""))="8","7"&amp;MID(SUBSTITUTE(SUBSTITUTE(SUBSTITUTE(SUBSTITUTE(SUBSTITUTE(Клиенты_исходные!D844," ",""),"-",""),"+",""),"(",""),")",""),2,10),SUBSTITUTE(SUBSTITUTE(SUBSTITUTE(SUBSTITUTE(SUBSTITUTE(Клиенты_исходные!D844," ",""),"-",""),"+",""),"(",""),")","")),2,3)&amp;") "&amp;MID(IF(LEFT(SUBSTITUTE(SUBSTITUTE(SUBSTITUTE(SUBSTITUTE(SUBSTITUTE(Клиенты_исходные!D844," ",""),"-",""),"+",""),"(",""),")",""))="8","7"&amp;MID(SUBSTITUTE(SUBSTITUTE(SUBSTITUTE(SUBSTITUTE(SUBSTITUTE(Клиенты_исходные!D844," ",""),"-",""),"+",""),"(",""),")",""),2,10),SUBSTITUTE(SUBSTITUTE(SUBSTITUTE(SUBSTITUTE(SUBSTITUTE(Клиенты_исходные!D844," ",""),"-",""),"+",""),"(",""),")","")),5,3)&amp;"-"&amp;MID(IF(LEFT(SUBSTITUTE(SUBSTITUTE(SUBSTITUTE(SUBSTITUTE(SUBSTITUTE(Клиенты_исходные!D844," ",""),"-",""),"+",""),"(",""),")",""))="8","7"&amp;MID(SUBSTITUTE(SUBSTITUTE(SUBSTITUTE(SUBSTITUTE(SUBSTITUTE(Клиенты_исходные!D844," ",""),"-",""),"+",""),"(",""),")",""),2,10),SUBSTITUTE(SUBSTITUTE(SUBSTITUTE(SUBSTITUTE(SUBSTITUTE(Клиенты_исходные!D844," ",""),"-",""),"+",""),"(",""),")","")),8,2)&amp;"-"&amp;MID(IF(LEFT(SUBSTITUTE(SUBSTITUTE(SUBSTITUTE(SUBSTITUTE(SUBSTITUTE(Клиенты_исходные!D844," ",""),"-",""),"+",""),"(",""),")",""))="8","7"&amp;MID(SUBSTITUTE(SUBSTITUTE(SUBSTITUTE(SUBSTITUTE(SUBSTITUTE(Клиенты_исходные!D844," ",""),"-",""),"+",""),"(",""),")",""),2,10),SUBSTITUTE(SUBSTITUTE(SUBSTITUTE(SUBSTITUTE(SUBSTITUTE(Клиенты_исходные!D844," ",""),"-",""),"+",""),"(",""),")","")),10,2),IF(LEN(SUBSTITUTE(SUBSTITUTE(SUBSTITUTE(SUBSTITUTE(SUBSTITUTE(Клиенты_исходные!D844," ",""),"-",""),"+",""),"(",""),")",""))=10,"+7 ("&amp;MID(SUBSTITUTE(SUBSTITUTE(SUBSTITUTE(SUBSTITUTE(SUBSTITUTE(Клиенты_исходные!D844," ",""),"-",""),"+",""),"(",""),")",""),1,3)&amp;") "&amp;MID(SUBSTITUTE(SUBSTITUTE(SUBSTITUTE(SUBSTITUTE(SUBSTITUTE(Клиенты_исходные!D844," ",""),"-",""),"+",""),"(",""),")",""),4,3)&amp;"-"&amp;MID(SUBSTITUTE(SUBSTITUTE(SUBSTITUTE(SUBSTITUTE(SUBSTITUTE(Клиенты_исходные!D844," ",""),"-",""),"+",""),"(",""),")",""),6,2)&amp;"-"&amp;MID(SUBSTITUTE(SUBSTITUTE(SUBSTITUTE(SUBSTITUTE(SUBSTITUTE(Клиенты_исходные!D844," ",""),"-",""),"+",""),"(",""),")",""),8,2),Клиенты_исходные!D844)))</f>
        <v xml:space="preserve">+7 (903) 789-01-23</v>
      </c>
      <c r="E844" t="str">
        <f>IF(ISBLANK(Клиенты_исходные!E844),"",IF(ISNUMBER(FIND(".",MID(Клиенты_исходные!E844,FIND("@",Клиенты_исходные!E844)+1,255))),Клиенты_исходные!E844,IF(ISNUMBER(FIND("gmail",Клиенты_исходные!E844)),Клиенты_исходные!E844&amp;".com",Клиенты_исходные!E844&amp;".ru")))</f>
        <v>lukina@gmail.com</v>
      </c>
      <c r="F844" t="str">
        <f>IFERROR(VLOOKUP(Клиенты_исходные!F844,Справочники!$J$2:$K$50,2,FALSE),Клиенты_исходные!F844)</f>
        <v>Уссурийск</v>
      </c>
      <c r="G844" s="8">
        <f>IFERROR(IF(ISNUMBER(FIND(".",Клиенты_исходные!G844)),DATE(RIGHT(Клиенты_исходные!G844,4),MID(Клиенты_исходные!G844,4,2),LEFT(Клиенты_исходные!G844,2)),DATE(LEFT(Клиенты_исходные!G844,4),MID(Клиенты_исходные!G844,6,2),RIGHT(Клиенты_исходные!G844,2))),Клиенты_исходные!G844)</f>
        <v>53097</v>
      </c>
      <c r="H844">
        <f t="shared" ca="1" si="85"/>
        <v>50</v>
      </c>
      <c r="I844" t="str">
        <f t="shared" si="86"/>
        <v>OK</v>
      </c>
      <c r="J844" t="str">
        <f t="shared" si="87"/>
        <v>OK</v>
      </c>
    </row>
    <row r="845">
      <c r="A845" t="str">
        <f>Клиенты_исходные!A845</f>
        <v>C0844</v>
      </c>
      <c r="B845" t="str">
        <f>PROPER(TRIM(Клиенты_исходные!B845))</f>
        <v xml:space="preserve">Белоус Илья Алексеевич</v>
      </c>
      <c r="C845" s="8">
        <f>IFERROR(IF(ISNUMBER(FIND(".",Клиенты_исходные!C845)),DATE(RIGHT(Клиенты_исходные!C845,4),MID(Клиенты_исходные!C845,4,2),LEFT(Клиенты_исходные!C845,2)),DATE(LEFT(Клиенты_исходные!C845,4),MID(Клиенты_исходные!C845,6,2),RIGHT(Клиенты_исходные!C845,2))),Клиенты_исходные!C845)</f>
        <v>29574</v>
      </c>
      <c r="D845" t="str">
        <f>IF(ISBLANK(Клиенты_исходные!D845),"",IF(LEN(SUBSTITUTE(SUBSTITUTE(SUBSTITUTE(SUBSTITUTE(SUBSTITUTE(Клиенты_исходные!D845," ",""),"-",""),"+",""),"(",""),")",""))=11,"+7 ("&amp;MID(IF(LEFT(SUBSTITUTE(SUBSTITUTE(SUBSTITUTE(SUBSTITUTE(SUBSTITUTE(Клиенты_исходные!D845," ",""),"-",""),"+",""),"(",""),")",""))="8","7"&amp;MID(SUBSTITUTE(SUBSTITUTE(SUBSTITUTE(SUBSTITUTE(SUBSTITUTE(Клиенты_исходные!D845," ",""),"-",""),"+",""),"(",""),")",""),2,10),SUBSTITUTE(SUBSTITUTE(SUBSTITUTE(SUBSTITUTE(SUBSTITUTE(Клиенты_исходные!D845," ",""),"-",""),"+",""),"(",""),")","")),2,3)&amp;") "&amp;MID(IF(LEFT(SUBSTITUTE(SUBSTITUTE(SUBSTITUTE(SUBSTITUTE(SUBSTITUTE(Клиенты_исходные!D845," ",""),"-",""),"+",""),"(",""),")",""))="8","7"&amp;MID(SUBSTITUTE(SUBSTITUTE(SUBSTITUTE(SUBSTITUTE(SUBSTITUTE(Клиенты_исходные!D845," ",""),"-",""),"+",""),"(",""),")",""),2,10),SUBSTITUTE(SUBSTITUTE(SUBSTITUTE(SUBSTITUTE(SUBSTITUTE(Клиенты_исходные!D845," ",""),"-",""),"+",""),"(",""),")","")),5,3)&amp;"-"&amp;MID(IF(LEFT(SUBSTITUTE(SUBSTITUTE(SUBSTITUTE(SUBSTITUTE(SUBSTITUTE(Клиенты_исходные!D845," ",""),"-",""),"+",""),"(",""),")",""))="8","7"&amp;MID(SUBSTITUTE(SUBSTITUTE(SUBSTITUTE(SUBSTITUTE(SUBSTITUTE(Клиенты_исходные!D845," ",""),"-",""),"+",""),"(",""),")",""),2,10),SUBSTITUTE(SUBSTITUTE(SUBSTITUTE(SUBSTITUTE(SUBSTITUTE(Клиенты_исходные!D845," ",""),"-",""),"+",""),"(",""),")","")),8,2)&amp;"-"&amp;MID(IF(LEFT(SUBSTITUTE(SUBSTITUTE(SUBSTITUTE(SUBSTITUTE(SUBSTITUTE(Клиенты_исходные!D845," ",""),"-",""),"+",""),"(",""),")",""))="8","7"&amp;MID(SUBSTITUTE(SUBSTITUTE(SUBSTITUTE(SUBSTITUTE(SUBSTITUTE(Клиенты_исходные!D845," ",""),"-",""),"+",""),"(",""),")",""),2,10),SUBSTITUTE(SUBSTITUTE(SUBSTITUTE(SUBSTITUTE(SUBSTITUTE(Клиенты_исходные!D845," ",""),"-",""),"+",""),"(",""),")","")),10,2),IF(LEN(SUBSTITUTE(SUBSTITUTE(SUBSTITUTE(SUBSTITUTE(SUBSTITUTE(Клиенты_исходные!D845," ",""),"-",""),"+",""),"(",""),")",""))=10,"+7 ("&amp;MID(SUBSTITUTE(SUBSTITUTE(SUBSTITUTE(SUBSTITUTE(SUBSTITUTE(Клиенты_исходные!D845," ",""),"-",""),"+",""),"(",""),")",""),1,3)&amp;") "&amp;MID(SUBSTITUTE(SUBSTITUTE(SUBSTITUTE(SUBSTITUTE(SUBSTITUTE(Клиенты_исходные!D845," ",""),"-",""),"+",""),"(",""),")",""),4,3)&amp;"-"&amp;MID(SUBSTITUTE(SUBSTITUTE(SUBSTITUTE(SUBSTITUTE(SUBSTITUTE(Клиенты_исходные!D845," ",""),"-",""),"+",""),"(",""),")",""),6,2)&amp;"-"&amp;MID(SUBSTITUTE(SUBSTITUTE(SUBSTITUTE(SUBSTITUTE(SUBSTITUTE(Клиенты_исходные!D845," ",""),"-",""),"+",""),"(",""),")",""),8,2),Клиенты_исходные!D845)))</f>
        <v xml:space="preserve">+7 (903) 789-01-23</v>
      </c>
      <c r="E845" t="str">
        <f>IF(ISBLANK(Клиенты_исходные!E845),"",IF(ISNUMBER(FIND(".",MID(Клиенты_исходные!E845,FIND("@",Клиенты_исходные!E845)+1,255))),Клиенты_исходные!E845,IF(ISNUMBER(FIND("gmail",Клиенты_исходные!E845)),Клиенты_исходные!E845&amp;".com",Клиенты_исходные!E845&amp;".ru")))</f>
        <v>belous@mail.ru</v>
      </c>
      <c r="F845" t="str">
        <f>IFERROR(VLOOKUP(Клиенты_исходные!F845,Справочники!$J$2:$K$50,2,FALSE),Клиенты_исходные!F845)</f>
        <v>Миасс</v>
      </c>
      <c r="G845" s="8">
        <f>IFERROR(IF(ISNUMBER(FIND(".",Клиенты_исходные!G845)),DATE(RIGHT(Клиенты_исходные!G845,4),MID(Клиенты_исходные!G845,4,2),LEFT(Клиенты_исходные!G845,2)),DATE(LEFT(Клиенты_исходные!G845,4),MID(Клиенты_исходные!G845,6,2),RIGHT(Клиенты_исходные!G845,2))),Клиенты_исходные!G845)</f>
        <v>53114</v>
      </c>
      <c r="H845">
        <f t="shared" ca="1" si="85"/>
        <v>45</v>
      </c>
      <c r="I845" t="str">
        <f t="shared" si="86"/>
        <v>OK</v>
      </c>
      <c r="J845" t="str">
        <f t="shared" si="87"/>
        <v>OK</v>
      </c>
    </row>
    <row r="846">
      <c r="A846" t="str">
        <f>Клиенты_исходные!A846</f>
        <v>C0845</v>
      </c>
      <c r="B846" t="str">
        <f>PROPER(TRIM(Клиенты_исходные!B846))</f>
        <v xml:space="preserve">Алексеева Екатерина Владимировна</v>
      </c>
      <c r="C846" s="8">
        <f>IFERROR(IF(ISNUMBER(FIND(".",Клиенты_исходные!C846)),DATE(RIGHT(Клиенты_исходные!C846,4),MID(Клиенты_исходные!C846,4,2),LEFT(Клиенты_исходные!C846,2)),DATE(LEFT(Клиенты_исходные!C846,4),MID(Клиенты_исходные!C846,6,2),RIGHT(Клиенты_исходные!C846,2))),Клиенты_исходные!C846)</f>
        <v>31816</v>
      </c>
      <c r="D846" t="str">
        <f>IF(ISBLANK(Клиенты_исходные!D846),"",IF(LEN(SUBSTITUTE(SUBSTITUTE(SUBSTITUTE(SUBSTITUTE(SUBSTITUTE(Клиенты_исходные!D846," ",""),"-",""),"+",""),"(",""),")",""))=11,"+7 ("&amp;MID(IF(LEFT(SUBSTITUTE(SUBSTITUTE(SUBSTITUTE(SUBSTITUTE(SUBSTITUTE(Клиенты_исходные!D846," ",""),"-",""),"+",""),"(",""),")",""))="8","7"&amp;MID(SUBSTITUTE(SUBSTITUTE(SUBSTITUTE(SUBSTITUTE(SUBSTITUTE(Клиенты_исходные!D846," ",""),"-",""),"+",""),"(",""),")",""),2,10),SUBSTITUTE(SUBSTITUTE(SUBSTITUTE(SUBSTITUTE(SUBSTITUTE(Клиенты_исходные!D846," ",""),"-",""),"+",""),"(",""),")","")),2,3)&amp;") "&amp;MID(IF(LEFT(SUBSTITUTE(SUBSTITUTE(SUBSTITUTE(SUBSTITUTE(SUBSTITUTE(Клиенты_исходные!D846," ",""),"-",""),"+",""),"(",""),")",""))="8","7"&amp;MID(SUBSTITUTE(SUBSTITUTE(SUBSTITUTE(SUBSTITUTE(SUBSTITUTE(Клиенты_исходные!D846," ",""),"-",""),"+",""),"(",""),")",""),2,10),SUBSTITUTE(SUBSTITUTE(SUBSTITUTE(SUBSTITUTE(SUBSTITUTE(Клиенты_исходные!D846," ",""),"-",""),"+",""),"(",""),")","")),5,3)&amp;"-"&amp;MID(IF(LEFT(SUBSTITUTE(SUBSTITUTE(SUBSTITUTE(SUBSTITUTE(SUBSTITUTE(Клиенты_исходные!D846," ",""),"-",""),"+",""),"(",""),")",""))="8","7"&amp;MID(SUBSTITUTE(SUBSTITUTE(SUBSTITUTE(SUBSTITUTE(SUBSTITUTE(Клиенты_исходные!D846," ",""),"-",""),"+",""),"(",""),")",""),2,10),SUBSTITUTE(SUBSTITUTE(SUBSTITUTE(SUBSTITUTE(SUBSTITUTE(Клиенты_исходные!D846," ",""),"-",""),"+",""),"(",""),")","")),8,2)&amp;"-"&amp;MID(IF(LEFT(SUBSTITUTE(SUBSTITUTE(SUBSTITUTE(SUBSTITUTE(SUBSTITUTE(Клиенты_исходные!D846," ",""),"-",""),"+",""),"(",""),")",""))="8","7"&amp;MID(SUBSTITUTE(SUBSTITUTE(SUBSTITUTE(SUBSTITUTE(SUBSTITUTE(Клиенты_исходные!D846," ",""),"-",""),"+",""),"(",""),")",""),2,10),SUBSTITUTE(SUBSTITUTE(SUBSTITUTE(SUBSTITUTE(SUBSTITUTE(Клиенты_исходные!D846," ",""),"-",""),"+",""),"(",""),")","")),10,2),IF(LEN(SUBSTITUTE(SUBSTITUTE(SUBSTITUTE(SUBSTITUTE(SUBSTITUTE(Клиенты_исходные!D846," ",""),"-",""),"+",""),"(",""),")",""))=10,"+7 ("&amp;MID(SUBSTITUTE(SUBSTITUTE(SUBSTITUTE(SUBSTITUTE(SUBSTITUTE(Клиенты_исходные!D846," ",""),"-",""),"+",""),"(",""),")",""),1,3)&amp;") "&amp;MID(SUBSTITUTE(SUBSTITUTE(SUBSTITUTE(SUBSTITUTE(SUBSTITUTE(Клиенты_исходные!D846," ",""),"-",""),"+",""),"(",""),")",""),4,3)&amp;"-"&amp;MID(SUBSTITUTE(SUBSTITUTE(SUBSTITUTE(SUBSTITUTE(SUBSTITUTE(Клиенты_исходные!D846," ",""),"-",""),"+",""),"(",""),")",""),6,2)&amp;"-"&amp;MID(SUBSTITUTE(SUBSTITUTE(SUBSTITUTE(SUBSTITUTE(SUBSTITUTE(Клиенты_исходные!D846," ",""),"-",""),"+",""),"(",""),")",""),8,2),Клиенты_исходные!D846)))</f>
        <v xml:space="preserve">+7 (903) 789-01-23</v>
      </c>
      <c r="E846" t="str">
        <f>IF(ISBLANK(Клиенты_исходные!E846),"",IF(ISNUMBER(FIND(".",MID(Клиенты_исходные!E846,FIND("@",Клиенты_исходные!E846)+1,255))),Клиенты_исходные!E846,IF(ISNUMBER(FIND("gmail",Клиенты_исходные!E846)),Клиенты_исходные!E846&amp;".com",Клиенты_исходные!E846&amp;".ru")))</f>
        <v>alekseeva@yandex.ru</v>
      </c>
      <c r="F846" t="str">
        <f>IFERROR(VLOOKUP(Клиенты_исходные!F846,Справочники!$J$2:$K$50,2,FALSE),Клиенты_исходные!F846)</f>
        <v>Кызыл</v>
      </c>
      <c r="G846" s="8">
        <f>IFERROR(IF(ISNUMBER(FIND(".",Клиенты_исходные!G846)),DATE(RIGHT(Клиенты_исходные!G846,4),MID(Клиенты_исходные!G846,4,2),LEFT(Клиенты_исходные!G846,2)),DATE(LEFT(Клиенты_исходные!G846,4),MID(Клиенты_исходные!G846,6,2),RIGHT(Клиенты_исходные!G846,2))),Клиенты_исходные!G846)</f>
        <v>53123</v>
      </c>
      <c r="H846">
        <f t="shared" ca="1" si="85"/>
        <v>39</v>
      </c>
      <c r="I846" t="str">
        <f t="shared" si="86"/>
        <v>OK</v>
      </c>
      <c r="J846" t="str">
        <f t="shared" si="87"/>
        <v>OK</v>
      </c>
    </row>
    <row r="847">
      <c r="A847" t="str">
        <f>Клиенты_исходные!A847</f>
        <v>C0846</v>
      </c>
      <c r="B847" t="str">
        <f>PROPER(TRIM(Клиенты_исходные!B847))</f>
        <v xml:space="preserve">Постников Андрей Олегович</v>
      </c>
      <c r="C847" s="8">
        <f>IFERROR(IF(ISNUMBER(FIND(".",Клиенты_исходные!C847)),DATE(RIGHT(Клиенты_исходные!C847,4),MID(Клиенты_исходные!C847,4,2),LEFT(Клиенты_исходные!C847,2)),DATE(LEFT(Клиенты_исходные!C847,4),MID(Клиенты_исходные!C847,6,2),RIGHT(Клиенты_исходные!C847,2))),Клиенты_исходные!C847)</f>
        <v>33869</v>
      </c>
      <c r="D847" t="str">
        <f>IF(ISBLANK(Клиенты_исходные!D847),"",IF(LEN(SUBSTITUTE(SUBSTITUTE(SUBSTITUTE(SUBSTITUTE(SUBSTITUTE(Клиенты_исходные!D847," ",""),"-",""),"+",""),"(",""),")",""))=11,"+7 ("&amp;MID(IF(LEFT(SUBSTITUTE(SUBSTITUTE(SUBSTITUTE(SUBSTITUTE(SUBSTITUTE(Клиенты_исходные!D847," ",""),"-",""),"+",""),"(",""),")",""))="8","7"&amp;MID(SUBSTITUTE(SUBSTITUTE(SUBSTITUTE(SUBSTITUTE(SUBSTITUTE(Клиенты_исходные!D847," ",""),"-",""),"+",""),"(",""),")",""),2,10),SUBSTITUTE(SUBSTITUTE(SUBSTITUTE(SUBSTITUTE(SUBSTITUTE(Клиенты_исходные!D847," ",""),"-",""),"+",""),"(",""),")","")),2,3)&amp;") "&amp;MID(IF(LEFT(SUBSTITUTE(SUBSTITUTE(SUBSTITUTE(SUBSTITUTE(SUBSTITUTE(Клиенты_исходные!D847," ",""),"-",""),"+",""),"(",""),")",""))="8","7"&amp;MID(SUBSTITUTE(SUBSTITUTE(SUBSTITUTE(SUBSTITUTE(SUBSTITUTE(Клиенты_исходные!D847," ",""),"-",""),"+",""),"(",""),")",""),2,10),SUBSTITUTE(SUBSTITUTE(SUBSTITUTE(SUBSTITUTE(SUBSTITUTE(Клиенты_исходные!D847," ",""),"-",""),"+",""),"(",""),")","")),5,3)&amp;"-"&amp;MID(IF(LEFT(SUBSTITUTE(SUBSTITUTE(SUBSTITUTE(SUBSTITUTE(SUBSTITUTE(Клиенты_исходные!D847," ",""),"-",""),"+",""),"(",""),")",""))="8","7"&amp;MID(SUBSTITUTE(SUBSTITUTE(SUBSTITUTE(SUBSTITUTE(SUBSTITUTE(Клиенты_исходные!D847," ",""),"-",""),"+",""),"(",""),")",""),2,10),SUBSTITUTE(SUBSTITUTE(SUBSTITUTE(SUBSTITUTE(SUBSTITUTE(Клиенты_исходные!D847," ",""),"-",""),"+",""),"(",""),")","")),8,2)&amp;"-"&amp;MID(IF(LEFT(SUBSTITUTE(SUBSTITUTE(SUBSTITUTE(SUBSTITUTE(SUBSTITUTE(Клиенты_исходные!D847," ",""),"-",""),"+",""),"(",""),")",""))="8","7"&amp;MID(SUBSTITUTE(SUBSTITUTE(SUBSTITUTE(SUBSTITUTE(SUBSTITUTE(Клиенты_исходные!D847," ",""),"-",""),"+",""),"(",""),")",""),2,10),SUBSTITUTE(SUBSTITUTE(SUBSTITUTE(SUBSTITUTE(SUBSTITUTE(Клиенты_исходные!D847," ",""),"-",""),"+",""),"(",""),")","")),10,2),IF(LEN(SUBSTITUTE(SUBSTITUTE(SUBSTITUTE(SUBSTITUTE(SUBSTITUTE(Клиенты_исходные!D847," ",""),"-",""),"+",""),"(",""),")",""))=10,"+7 ("&amp;MID(SUBSTITUTE(SUBSTITUTE(SUBSTITUTE(SUBSTITUTE(SUBSTITUTE(Клиенты_исходные!D847," ",""),"-",""),"+",""),"(",""),")",""),1,3)&amp;") "&amp;MID(SUBSTITUTE(SUBSTITUTE(SUBSTITUTE(SUBSTITUTE(SUBSTITUTE(Клиенты_исходные!D847," ",""),"-",""),"+",""),"(",""),")",""),4,3)&amp;"-"&amp;MID(SUBSTITUTE(SUBSTITUTE(SUBSTITUTE(SUBSTITUTE(SUBSTITUTE(Клиенты_исходные!D847," ",""),"-",""),"+",""),"(",""),")",""),6,2)&amp;"-"&amp;MID(SUBSTITUTE(SUBSTITUTE(SUBSTITUTE(SUBSTITUTE(SUBSTITUTE(Клиенты_исходные!D847," ",""),"-",""),"+",""),"(",""),")",""),8,2),Клиенты_исходные!D847)))</f>
        <v xml:space="preserve">+7 (903) 890-12-34</v>
      </c>
      <c r="E847" t="str">
        <f>IF(ISBLANK(Клиенты_исходные!E847),"",IF(ISNUMBER(FIND(".",MID(Клиенты_исходные!E847,FIND("@",Клиенты_исходные!E847)+1,255))),Клиенты_исходные!E847,IF(ISNUMBER(FIND("gmail",Клиенты_исходные!E847)),Клиенты_исходные!E847&amp;".com",Клиенты_исходные!E847&amp;".ru")))</f>
        <v>postnikov@gmail.com</v>
      </c>
      <c r="F847" t="str">
        <f>IFERROR(VLOOKUP(Клиенты_исходные!F847,Справочники!$J$2:$K$50,2,FALSE),Клиенты_исходные!F847)</f>
        <v>Калининград</v>
      </c>
      <c r="G847" s="8">
        <f>IFERROR(IF(ISNUMBER(FIND(".",Клиенты_исходные!G847)),DATE(RIGHT(Клиенты_исходные!G847,4),MID(Клиенты_исходные!G847,4,2),LEFT(Клиенты_исходные!G847,2)),DATE(LEFT(Клиенты_исходные!G847,4),MID(Клиенты_исходные!G847,6,2),RIGHT(Клиенты_исходные!G847,2))),Клиенты_исходные!G847)</f>
        <v>53123</v>
      </c>
      <c r="H847">
        <f t="shared" ca="1" si="85"/>
        <v>34</v>
      </c>
      <c r="I847" t="str">
        <f t="shared" si="86"/>
        <v>OK</v>
      </c>
      <c r="J847" t="str">
        <f t="shared" si="87"/>
        <v>OK</v>
      </c>
    </row>
    <row r="848">
      <c r="A848" t="str">
        <f>Клиенты_исходные!A848</f>
        <v>C0847</v>
      </c>
      <c r="B848" t="str">
        <f>PROPER(TRIM(Клиенты_исходные!B848))</f>
        <v xml:space="preserve">Кравец Мария Павловна</v>
      </c>
      <c r="C848" s="8">
        <f>IFERROR(IF(ISNUMBER(FIND(".",Клиенты_исходные!C848)),DATE(RIGHT(Клиенты_исходные!C848,4),MID(Клиенты_исходные!C848,4,2),LEFT(Клиенты_исходные!C848,2)),DATE(LEFT(Клиенты_исходные!C848,4),MID(Клиенты_исходные!C848,6,2),RIGHT(Клиенты_исходные!C848,2))),Клиенты_исходные!C848)</f>
        <v>27883</v>
      </c>
      <c r="D848" t="str">
        <f>IF(ISBLANK(Клиенты_исходные!D848),"",IF(LEN(SUBSTITUTE(SUBSTITUTE(SUBSTITUTE(SUBSTITUTE(SUBSTITUTE(Клиенты_исходные!D848," ",""),"-",""),"+",""),"(",""),")",""))=11,"+7 ("&amp;MID(IF(LEFT(SUBSTITUTE(SUBSTITUTE(SUBSTITUTE(SUBSTITUTE(SUBSTITUTE(Клиенты_исходные!D848," ",""),"-",""),"+",""),"(",""),")",""))="8","7"&amp;MID(SUBSTITUTE(SUBSTITUTE(SUBSTITUTE(SUBSTITUTE(SUBSTITUTE(Клиенты_исходные!D848," ",""),"-",""),"+",""),"(",""),")",""),2,10),SUBSTITUTE(SUBSTITUTE(SUBSTITUTE(SUBSTITUTE(SUBSTITUTE(Клиенты_исходные!D848," ",""),"-",""),"+",""),"(",""),")","")),2,3)&amp;") "&amp;MID(IF(LEFT(SUBSTITUTE(SUBSTITUTE(SUBSTITUTE(SUBSTITUTE(SUBSTITUTE(Клиенты_исходные!D848," ",""),"-",""),"+",""),"(",""),")",""))="8","7"&amp;MID(SUBSTITUTE(SUBSTITUTE(SUBSTITUTE(SUBSTITUTE(SUBSTITUTE(Клиенты_исходные!D848," ",""),"-",""),"+",""),"(",""),")",""),2,10),SUBSTITUTE(SUBSTITUTE(SUBSTITUTE(SUBSTITUTE(SUBSTITUTE(Клиенты_исходные!D848," ",""),"-",""),"+",""),"(",""),")","")),5,3)&amp;"-"&amp;MID(IF(LEFT(SUBSTITUTE(SUBSTITUTE(SUBSTITUTE(SUBSTITUTE(SUBSTITUTE(Клиенты_исходные!D848," ",""),"-",""),"+",""),"(",""),")",""))="8","7"&amp;MID(SUBSTITUTE(SUBSTITUTE(SUBSTITUTE(SUBSTITUTE(SUBSTITUTE(Клиенты_исходные!D848," ",""),"-",""),"+",""),"(",""),")",""),2,10),SUBSTITUTE(SUBSTITUTE(SUBSTITUTE(SUBSTITUTE(SUBSTITUTE(Клиенты_исходные!D848," ",""),"-",""),"+",""),"(",""),")","")),8,2)&amp;"-"&amp;MID(IF(LEFT(SUBSTITUTE(SUBSTITUTE(SUBSTITUTE(SUBSTITUTE(SUBSTITUTE(Клиенты_исходные!D848," ",""),"-",""),"+",""),"(",""),")",""))="8","7"&amp;MID(SUBSTITUTE(SUBSTITUTE(SUBSTITUTE(SUBSTITUTE(SUBSTITUTE(Клиенты_исходные!D848," ",""),"-",""),"+",""),"(",""),")",""),2,10),SUBSTITUTE(SUBSTITUTE(SUBSTITUTE(SUBSTITUTE(SUBSTITUTE(Клиенты_исходные!D848," ",""),"-",""),"+",""),"(",""),")","")),10,2),IF(LEN(SUBSTITUTE(SUBSTITUTE(SUBSTITUTE(SUBSTITUTE(SUBSTITUTE(Клиенты_исходные!D848," ",""),"-",""),"+",""),"(",""),")",""))=10,"+7 ("&amp;MID(SUBSTITUTE(SUBSTITUTE(SUBSTITUTE(SUBSTITUTE(SUBSTITUTE(Клиенты_исходные!D848," ",""),"-",""),"+",""),"(",""),")",""),1,3)&amp;") "&amp;MID(SUBSTITUTE(SUBSTITUTE(SUBSTITUTE(SUBSTITUTE(SUBSTITUTE(Клиенты_исходные!D848," ",""),"-",""),"+",""),"(",""),")",""),4,3)&amp;"-"&amp;MID(SUBSTITUTE(SUBSTITUTE(SUBSTITUTE(SUBSTITUTE(SUBSTITUTE(Клиенты_исходные!D848," ",""),"-",""),"+",""),"(",""),")",""),6,2)&amp;"-"&amp;MID(SUBSTITUTE(SUBSTITUTE(SUBSTITUTE(SUBSTITUTE(SUBSTITUTE(Клиенты_исходные!D848," ",""),"-",""),"+",""),"(",""),")",""),8,2),Клиенты_исходные!D848)))</f>
        <v xml:space="preserve">+7 (903) 890-12-34</v>
      </c>
      <c r="E848" t="str">
        <f>IF(ISBLANK(Клиенты_исходные!E848),"",IF(ISNUMBER(FIND(".",MID(Клиенты_исходные!E848,FIND("@",Клиенты_исходные!E848)+1,255))),Клиенты_исходные!E848,IF(ISNUMBER(FIND("gmail",Клиенты_исходные!E848)),Клиенты_исходные!E848&amp;".com",Клиенты_исходные!E848&amp;".ru")))</f>
        <v>kravets@mail.ru</v>
      </c>
      <c r="F848" t="str">
        <f>IFERROR(VLOOKUP(Клиенты_исходные!F848,Справочники!$J$2:$K$50,2,FALSE),Клиенты_исходные!F848)</f>
        <v>Петрозаводск</v>
      </c>
      <c r="G848" s="8">
        <f>IFERROR(IF(ISNUMBER(FIND(".",Клиенты_исходные!G848)),DATE(RIGHT(Клиенты_исходные!G848,4),MID(Клиенты_исходные!G848,4,2),LEFT(Клиенты_исходные!G848,2)),DATE(LEFT(Клиенты_исходные!G848,4),MID(Клиенты_исходные!G848,6,2),RIGHT(Клиенты_исходные!G848,2))),Клиенты_исходные!G848)</f>
        <v>53144</v>
      </c>
      <c r="H848">
        <f t="shared" ca="1" si="85"/>
        <v>50</v>
      </c>
      <c r="I848" t="str">
        <f t="shared" si="86"/>
        <v>OK</v>
      </c>
      <c r="J848" t="str">
        <f t="shared" si="87"/>
        <v>OK</v>
      </c>
    </row>
    <row r="849">
      <c r="A849" t="str">
        <f>Клиенты_исходные!A849</f>
        <v>C0848</v>
      </c>
      <c r="B849" t="str">
        <f>PROPER(TRIM(Клиенты_исходные!B849))</f>
        <v xml:space="preserve">Кураев Денис Сергеевич</v>
      </c>
      <c r="C849" s="8">
        <f>IFERROR(IF(ISNUMBER(FIND(".",Клиенты_исходные!C849)),DATE(RIGHT(Клиенты_исходные!C849,4),MID(Клиенты_исходные!C849,4,2),LEFT(Клиенты_исходные!C849,2)),DATE(LEFT(Клиенты_исходные!C849,4),MID(Клиенты_исходные!C849,6,2),RIGHT(Клиенты_исходные!C849,2))),Клиенты_исходные!C849)</f>
        <v>31273</v>
      </c>
      <c r="D849" t="str">
        <f>IF(ISBLANK(Клиенты_исходные!D849),"",IF(LEN(SUBSTITUTE(SUBSTITUTE(SUBSTITUTE(SUBSTITUTE(SUBSTITUTE(Клиенты_исходные!D849," ",""),"-",""),"+",""),"(",""),")",""))=11,"+7 ("&amp;MID(IF(LEFT(SUBSTITUTE(SUBSTITUTE(SUBSTITUTE(SUBSTITUTE(SUBSTITUTE(Клиенты_исходные!D849," ",""),"-",""),"+",""),"(",""),")",""))="8","7"&amp;MID(SUBSTITUTE(SUBSTITUTE(SUBSTITUTE(SUBSTITUTE(SUBSTITUTE(Клиенты_исходные!D849," ",""),"-",""),"+",""),"(",""),")",""),2,10),SUBSTITUTE(SUBSTITUTE(SUBSTITUTE(SUBSTITUTE(SUBSTITUTE(Клиенты_исходные!D849," ",""),"-",""),"+",""),"(",""),")","")),2,3)&amp;") "&amp;MID(IF(LEFT(SUBSTITUTE(SUBSTITUTE(SUBSTITUTE(SUBSTITUTE(SUBSTITUTE(Клиенты_исходные!D849," ",""),"-",""),"+",""),"(",""),")",""))="8","7"&amp;MID(SUBSTITUTE(SUBSTITUTE(SUBSTITUTE(SUBSTITUTE(SUBSTITUTE(Клиенты_исходные!D849," ",""),"-",""),"+",""),"(",""),")",""),2,10),SUBSTITUTE(SUBSTITUTE(SUBSTITUTE(SUBSTITUTE(SUBSTITUTE(Клиенты_исходные!D849," ",""),"-",""),"+",""),"(",""),")","")),5,3)&amp;"-"&amp;MID(IF(LEFT(SUBSTITUTE(SUBSTITUTE(SUBSTITUTE(SUBSTITUTE(SUBSTITUTE(Клиенты_исходные!D849," ",""),"-",""),"+",""),"(",""),")",""))="8","7"&amp;MID(SUBSTITUTE(SUBSTITUTE(SUBSTITUTE(SUBSTITUTE(SUBSTITUTE(Клиенты_исходные!D849," ",""),"-",""),"+",""),"(",""),")",""),2,10),SUBSTITUTE(SUBSTITUTE(SUBSTITUTE(SUBSTITUTE(SUBSTITUTE(Клиенты_исходные!D849," ",""),"-",""),"+",""),"(",""),")","")),8,2)&amp;"-"&amp;MID(IF(LEFT(SUBSTITUTE(SUBSTITUTE(SUBSTITUTE(SUBSTITUTE(SUBSTITUTE(Клиенты_исходные!D849," ",""),"-",""),"+",""),"(",""),")",""))="8","7"&amp;MID(SUBSTITUTE(SUBSTITUTE(SUBSTITUTE(SUBSTITUTE(SUBSTITUTE(Клиенты_исходные!D849," ",""),"-",""),"+",""),"(",""),")",""),2,10),SUBSTITUTE(SUBSTITUTE(SUBSTITUTE(SUBSTITUTE(SUBSTITUTE(Клиенты_исходные!D849," ",""),"-",""),"+",""),"(",""),")","")),10,2),IF(LEN(SUBSTITUTE(SUBSTITUTE(SUBSTITUTE(SUBSTITUTE(SUBSTITUTE(Клиенты_исходные!D849," ",""),"-",""),"+",""),"(",""),")",""))=10,"+7 ("&amp;MID(SUBSTITUTE(SUBSTITUTE(SUBSTITUTE(SUBSTITUTE(SUBSTITUTE(Клиенты_исходные!D849," ",""),"-",""),"+",""),"(",""),")",""),1,3)&amp;") "&amp;MID(SUBSTITUTE(SUBSTITUTE(SUBSTITUTE(SUBSTITUTE(SUBSTITUTE(Клиенты_исходные!D849," ",""),"-",""),"+",""),"(",""),")",""),4,3)&amp;"-"&amp;MID(SUBSTITUTE(SUBSTITUTE(SUBSTITUTE(SUBSTITUTE(SUBSTITUTE(Клиенты_исходные!D849," ",""),"-",""),"+",""),"(",""),")",""),6,2)&amp;"-"&amp;MID(SUBSTITUTE(SUBSTITUTE(SUBSTITUTE(SUBSTITUTE(SUBSTITUTE(Клиенты_исходные!D849," ",""),"-",""),"+",""),"(",""),")",""),8,2),Клиенты_исходные!D849)))</f>
        <v xml:space="preserve">+7 (903) 890-12-34</v>
      </c>
      <c r="E849" t="str">
        <f>IF(ISBLANK(Клиенты_исходные!E849),"",IF(ISNUMBER(FIND(".",MID(Клиенты_исходные!E849,FIND("@",Клиенты_исходные!E849)+1,255))),Клиенты_исходные!E849,IF(ISNUMBER(FIND("gmail",Клиенты_исходные!E849)),Клиенты_исходные!E849&amp;".com",Клиенты_исходные!E849&amp;".ru")))</f>
        <v>kuraev@yandex.ru</v>
      </c>
      <c r="F849" t="str">
        <f>IFERROR(VLOOKUP(Клиенты_исходные!F849,Справочники!$J$2:$K$50,2,FALSE),Клиенты_исходные!F849)</f>
        <v>Рубцовск</v>
      </c>
      <c r="G849" s="8">
        <f>IFERROR(IF(ISNUMBER(FIND(".",Клиенты_исходные!G849)),DATE(RIGHT(Клиенты_исходные!G849,4),MID(Клиенты_исходные!G849,4,2),LEFT(Клиенты_исходные!G849,2)),DATE(LEFT(Клиенты_исходные!G849,4),MID(Клиенты_исходные!G849,6,2),RIGHT(Клиенты_исходные!G849,2))),Клиенты_исходные!G849)</f>
        <v>53158</v>
      </c>
      <c r="H849">
        <f t="shared" ca="1" si="85"/>
        <v>41</v>
      </c>
      <c r="I849" t="str">
        <f t="shared" si="86"/>
        <v>OK</v>
      </c>
      <c r="J849" t="str">
        <f t="shared" si="87"/>
        <v>OK</v>
      </c>
    </row>
    <row r="850">
      <c r="A850" t="str">
        <f>Клиенты_исходные!A850</f>
        <v>C0849</v>
      </c>
      <c r="B850" t="str">
        <f>PROPER(TRIM(Клиенты_исходные!B850))</f>
        <v xml:space="preserve">Абрамова Ольга Владимировна</v>
      </c>
      <c r="C850" s="8">
        <f>IFERROR(IF(ISNUMBER(FIND(".",Клиенты_исходные!C850)),DATE(RIGHT(Клиенты_исходные!C850,4),MID(Клиенты_исходные!C850,4,2),LEFT(Клиенты_исходные!C850,2)),DATE(LEFT(Клиенты_исходные!C850,4),MID(Клиенты_исходные!C850,6,2),RIGHT(Клиенты_исходные!C850,2))),Клиенты_исходные!C850)</f>
        <v>33568</v>
      </c>
      <c r="D850" t="str">
        <f>IF(ISBLANK(Клиенты_исходные!D850),"",IF(LEN(SUBSTITUTE(SUBSTITUTE(SUBSTITUTE(SUBSTITUTE(SUBSTITUTE(Клиенты_исходные!D850," ",""),"-",""),"+",""),"(",""),")",""))=11,"+7 ("&amp;MID(IF(LEFT(SUBSTITUTE(SUBSTITUTE(SUBSTITUTE(SUBSTITUTE(SUBSTITUTE(Клиенты_исходные!D850," ",""),"-",""),"+",""),"(",""),")",""))="8","7"&amp;MID(SUBSTITUTE(SUBSTITUTE(SUBSTITUTE(SUBSTITUTE(SUBSTITUTE(Клиенты_исходные!D850," ",""),"-",""),"+",""),"(",""),")",""),2,10),SUBSTITUTE(SUBSTITUTE(SUBSTITUTE(SUBSTITUTE(SUBSTITUTE(Клиенты_исходные!D850," ",""),"-",""),"+",""),"(",""),")","")),2,3)&amp;") "&amp;MID(IF(LEFT(SUBSTITUTE(SUBSTITUTE(SUBSTITUTE(SUBSTITUTE(SUBSTITUTE(Клиенты_исходные!D850," ",""),"-",""),"+",""),"(",""),")",""))="8","7"&amp;MID(SUBSTITUTE(SUBSTITUTE(SUBSTITUTE(SUBSTITUTE(SUBSTITUTE(Клиенты_исходные!D850," ",""),"-",""),"+",""),"(",""),")",""),2,10),SUBSTITUTE(SUBSTITUTE(SUBSTITUTE(SUBSTITUTE(SUBSTITUTE(Клиенты_исходные!D850," ",""),"-",""),"+",""),"(",""),")","")),5,3)&amp;"-"&amp;MID(IF(LEFT(SUBSTITUTE(SUBSTITUTE(SUBSTITUTE(SUBSTITUTE(SUBSTITUTE(Клиенты_исходные!D850," ",""),"-",""),"+",""),"(",""),")",""))="8","7"&amp;MID(SUBSTITUTE(SUBSTITUTE(SUBSTITUTE(SUBSTITUTE(SUBSTITUTE(Клиенты_исходные!D850," ",""),"-",""),"+",""),"(",""),")",""),2,10),SUBSTITUTE(SUBSTITUTE(SUBSTITUTE(SUBSTITUTE(SUBSTITUTE(Клиенты_исходные!D850," ",""),"-",""),"+",""),"(",""),")","")),8,2)&amp;"-"&amp;MID(IF(LEFT(SUBSTITUTE(SUBSTITUTE(SUBSTITUTE(SUBSTITUTE(SUBSTITUTE(Клиенты_исходные!D850," ",""),"-",""),"+",""),"(",""),")",""))="8","7"&amp;MID(SUBSTITUTE(SUBSTITUTE(SUBSTITUTE(SUBSTITUTE(SUBSTITUTE(Клиенты_исходные!D850," ",""),"-",""),"+",""),"(",""),")",""),2,10),SUBSTITUTE(SUBSTITUTE(SUBSTITUTE(SUBSTITUTE(SUBSTITUTE(Клиенты_исходные!D850," ",""),"-",""),"+",""),"(",""),")","")),10,2),IF(LEN(SUBSTITUTE(SUBSTITUTE(SUBSTITUTE(SUBSTITUTE(SUBSTITUTE(Клиенты_исходные!D850," ",""),"-",""),"+",""),"(",""),")",""))=10,"+7 ("&amp;MID(SUBSTITUTE(SUBSTITUTE(SUBSTITUTE(SUBSTITUTE(SUBSTITUTE(Клиенты_исходные!D850," ",""),"-",""),"+",""),"(",""),")",""),1,3)&amp;") "&amp;MID(SUBSTITUTE(SUBSTITUTE(SUBSTITUTE(SUBSTITUTE(SUBSTITUTE(Клиенты_исходные!D850," ",""),"-",""),"+",""),"(",""),")",""),4,3)&amp;"-"&amp;MID(SUBSTITUTE(SUBSTITUTE(SUBSTITUTE(SUBSTITUTE(SUBSTITUTE(Клиенты_исходные!D850," ",""),"-",""),"+",""),"(",""),")",""),6,2)&amp;"-"&amp;MID(SUBSTITUTE(SUBSTITUTE(SUBSTITUTE(SUBSTITUTE(SUBSTITUTE(Клиенты_исходные!D850," ",""),"-",""),"+",""),"(",""),")",""),8,2),Клиенты_исходные!D850)))</f>
        <v xml:space="preserve">+7 (903) 901-23-45</v>
      </c>
      <c r="E850" t="str">
        <f>IF(ISBLANK(Клиенты_исходные!E850),"",IF(ISNUMBER(FIND(".",MID(Клиенты_исходные!E850,FIND("@",Клиенты_исходные!E850)+1,255))),Клиенты_исходные!E850,IF(ISNUMBER(FIND("gmail",Клиенты_исходные!E850)),Клиенты_исходные!E850&amp;".com",Клиенты_исходные!E850&amp;".ru")))</f>
        <v>abramova@gmail.com</v>
      </c>
      <c r="F850" t="str">
        <f>IFERROR(VLOOKUP(Клиенты_исходные!F850,Справочники!$J$2:$K$50,2,FALSE),Клиенты_исходные!F850)</f>
        <v>Элиста</v>
      </c>
      <c r="G850" s="8">
        <f>IFERROR(IF(ISNUMBER(FIND(".",Клиенты_исходные!G850)),DATE(RIGHT(Клиенты_исходные!G850,4),MID(Клиенты_исходные!G850,4,2),LEFT(Клиенты_исходные!G850,2)),DATE(LEFT(Клиенты_исходные!G850,4),MID(Клиенты_исходные!G850,6,2),RIGHT(Клиенты_исходные!G850,2))),Клиенты_исходные!G850)</f>
        <v>53158</v>
      </c>
      <c r="H850">
        <f t="shared" ca="1" si="85"/>
        <v>34</v>
      </c>
      <c r="I850" t="str">
        <f t="shared" si="86"/>
        <v>OK</v>
      </c>
      <c r="J850" t="str">
        <f t="shared" si="87"/>
        <v>OK</v>
      </c>
    </row>
    <row r="851">
      <c r="A851" t="str">
        <f>Клиенты_исходные!A851</f>
        <v>C0850</v>
      </c>
      <c r="B851" t="str">
        <f>PROPER(TRIM(Клиенты_исходные!B851))</f>
        <v xml:space="preserve">Зайцев Илья Александрович</v>
      </c>
      <c r="C851" s="8">
        <f>IFERROR(IF(ISNUMBER(FIND(".",Клиенты_исходные!C851)),DATE(RIGHT(Клиенты_исходные!C851,4),MID(Клиенты_исходные!C851,4,2),LEFT(Клиенты_исходные!C851,2)),DATE(LEFT(Клиенты_исходные!C851,4),MID(Клиенты_исходные!C851,6,2),RIGHT(Клиенты_исходные!C851,2))),Клиенты_исходные!C851)</f>
        <v>27038</v>
      </c>
      <c r="D851" t="str">
        <f>IF(ISBLANK(Клиенты_исходные!D851),"",IF(LEN(SUBSTITUTE(SUBSTITUTE(SUBSTITUTE(SUBSTITUTE(SUBSTITUTE(Клиенты_исходные!D851," ",""),"-",""),"+",""),"(",""),")",""))=11,"+7 ("&amp;MID(IF(LEFT(SUBSTITUTE(SUBSTITUTE(SUBSTITUTE(SUBSTITUTE(SUBSTITUTE(Клиенты_исходные!D851," ",""),"-",""),"+",""),"(",""),")",""))="8","7"&amp;MID(SUBSTITUTE(SUBSTITUTE(SUBSTITUTE(SUBSTITUTE(SUBSTITUTE(Клиенты_исходные!D851," ",""),"-",""),"+",""),"(",""),")",""),2,10),SUBSTITUTE(SUBSTITUTE(SUBSTITUTE(SUBSTITUTE(SUBSTITUTE(Клиенты_исходные!D851," ",""),"-",""),"+",""),"(",""),")","")),2,3)&amp;") "&amp;MID(IF(LEFT(SUBSTITUTE(SUBSTITUTE(SUBSTITUTE(SUBSTITUTE(SUBSTITUTE(Клиенты_исходные!D851," ",""),"-",""),"+",""),"(",""),")",""))="8","7"&amp;MID(SUBSTITUTE(SUBSTITUTE(SUBSTITUTE(SUBSTITUTE(SUBSTITUTE(Клиенты_исходные!D851," ",""),"-",""),"+",""),"(",""),")",""),2,10),SUBSTITUTE(SUBSTITUTE(SUBSTITUTE(SUBSTITUTE(SUBSTITUTE(Клиенты_исходные!D851," ",""),"-",""),"+",""),"(",""),")","")),5,3)&amp;"-"&amp;MID(IF(LEFT(SUBSTITUTE(SUBSTITUTE(SUBSTITUTE(SUBSTITUTE(SUBSTITUTE(Клиенты_исходные!D851," ",""),"-",""),"+",""),"(",""),")",""))="8","7"&amp;MID(SUBSTITUTE(SUBSTITUTE(SUBSTITUTE(SUBSTITUTE(SUBSTITUTE(Клиенты_исходные!D851," ",""),"-",""),"+",""),"(",""),")",""),2,10),SUBSTITUTE(SUBSTITUTE(SUBSTITUTE(SUBSTITUTE(SUBSTITUTE(Клиенты_исходные!D851," ",""),"-",""),"+",""),"(",""),")","")),8,2)&amp;"-"&amp;MID(IF(LEFT(SUBSTITUTE(SUBSTITUTE(SUBSTITUTE(SUBSTITUTE(SUBSTITUTE(Клиенты_исходные!D851," ",""),"-",""),"+",""),"(",""),")",""))="8","7"&amp;MID(SUBSTITUTE(SUBSTITUTE(SUBSTITUTE(SUBSTITUTE(SUBSTITUTE(Клиенты_исходные!D851," ",""),"-",""),"+",""),"(",""),")",""),2,10),SUBSTITUTE(SUBSTITUTE(SUBSTITUTE(SUBSTITUTE(SUBSTITUTE(Клиенты_исходные!D851," ",""),"-",""),"+",""),"(",""),")","")),10,2),IF(LEN(SUBSTITUTE(SUBSTITUTE(SUBSTITUTE(SUBSTITUTE(SUBSTITUTE(Клиенты_исходные!D851," ",""),"-",""),"+",""),"(",""),")",""))=10,"+7 ("&amp;MID(SUBSTITUTE(SUBSTITUTE(SUBSTITUTE(SUBSTITUTE(SUBSTITUTE(Клиенты_исходные!D851," ",""),"-",""),"+",""),"(",""),")",""),1,3)&amp;") "&amp;MID(SUBSTITUTE(SUBSTITUTE(SUBSTITUTE(SUBSTITUTE(SUBSTITUTE(Клиенты_исходные!D851," ",""),"-",""),"+",""),"(",""),")",""),4,3)&amp;"-"&amp;MID(SUBSTITUTE(SUBSTITUTE(SUBSTITUTE(SUBSTITUTE(SUBSTITUTE(Клиенты_исходные!D851," ",""),"-",""),"+",""),"(",""),")",""),6,2)&amp;"-"&amp;MID(SUBSTITUTE(SUBSTITUTE(SUBSTITUTE(SUBSTITUTE(SUBSTITUTE(Клиенты_исходные!D851," ",""),"-",""),"+",""),"(",""),")",""),8,2),Клиенты_исходные!D851)))</f>
        <v xml:space="preserve">+7 (903) 901-23-45</v>
      </c>
      <c r="E851" t="str">
        <f>IF(ISBLANK(Клиенты_исходные!E851),"",IF(ISNUMBER(FIND(".",MID(Клиенты_исходные!E851,FIND("@",Клиенты_исходные!E851)+1,255))),Клиенты_исходные!E851,IF(ISNUMBER(FIND("gmail",Клиенты_исходные!E851)),Клиенты_исходные!E851&amp;".com",Клиенты_исходные!E851&amp;".ru")))</f>
        <v>zaytsev@mail.ru</v>
      </c>
      <c r="F851" t="str">
        <f>IFERROR(VLOOKUP(Клиенты_исходные!F851,Справочники!$J$2:$K$50,2,FALSE),Клиенты_исходные!F851)</f>
        <v>Орск</v>
      </c>
      <c r="G851" s="8">
        <f>IFERROR(IF(ISNUMBER(FIND(".",Клиенты_исходные!G851)),DATE(RIGHT(Клиенты_исходные!G851,4),MID(Клиенты_исходные!G851,4,2),LEFT(Клиенты_исходные!G851,2)),DATE(LEFT(Клиенты_исходные!G851,4),MID(Клиенты_исходные!G851,6,2),RIGHT(Клиенты_исходные!G851,2))),Клиенты_исходные!G851)</f>
        <v>53175</v>
      </c>
      <c r="H851">
        <f t="shared" ca="1" si="85"/>
        <v>52</v>
      </c>
      <c r="I851" t="str">
        <f t="shared" si="86"/>
        <v>OK</v>
      </c>
      <c r="J851" t="str">
        <f t="shared" si="87"/>
        <v>OK</v>
      </c>
    </row>
    <row r="852">
      <c r="A852" t="str">
        <f>Клиенты_исходные!A852</f>
        <v>C0851</v>
      </c>
      <c r="B852" t="str">
        <f>PROPER(TRIM(Клиенты_исходные!B852))</f>
        <v xml:space="preserve">Горюнова Екатерина Сергеевна</v>
      </c>
      <c r="C852" s="8">
        <f>IFERROR(IF(ISNUMBER(FIND(".",Клиенты_исходные!C852)),DATE(RIGHT(Клиенты_исходные!C852,4),MID(Клиенты_исходные!C852,4,2),LEFT(Клиенты_исходные!C852,2)),DATE(LEFT(Клиенты_исходные!C852,4),MID(Клиенты_исходные!C852,6,2),RIGHT(Клиенты_исходные!C852,2))),Клиенты_исходные!C852)</f>
        <v>30143</v>
      </c>
      <c r="D852" t="str">
        <f>IF(ISBLANK(Клиенты_исходные!D852),"",IF(LEN(SUBSTITUTE(SUBSTITUTE(SUBSTITUTE(SUBSTITUTE(SUBSTITUTE(Клиенты_исходные!D852," ",""),"-",""),"+",""),"(",""),")",""))=11,"+7 ("&amp;MID(IF(LEFT(SUBSTITUTE(SUBSTITUTE(SUBSTITUTE(SUBSTITUTE(SUBSTITUTE(Клиенты_исходные!D852," ",""),"-",""),"+",""),"(",""),")",""))="8","7"&amp;MID(SUBSTITUTE(SUBSTITUTE(SUBSTITUTE(SUBSTITUTE(SUBSTITUTE(Клиенты_исходные!D852," ",""),"-",""),"+",""),"(",""),")",""),2,10),SUBSTITUTE(SUBSTITUTE(SUBSTITUTE(SUBSTITUTE(SUBSTITUTE(Клиенты_исходные!D852," ",""),"-",""),"+",""),"(",""),")","")),2,3)&amp;") "&amp;MID(IF(LEFT(SUBSTITUTE(SUBSTITUTE(SUBSTITUTE(SUBSTITUTE(SUBSTITUTE(Клиенты_исходные!D852," ",""),"-",""),"+",""),"(",""),")",""))="8","7"&amp;MID(SUBSTITUTE(SUBSTITUTE(SUBSTITUTE(SUBSTITUTE(SUBSTITUTE(Клиенты_исходные!D852," ",""),"-",""),"+",""),"(",""),")",""),2,10),SUBSTITUTE(SUBSTITUTE(SUBSTITUTE(SUBSTITUTE(SUBSTITUTE(Клиенты_исходные!D852," ",""),"-",""),"+",""),"(",""),")","")),5,3)&amp;"-"&amp;MID(IF(LEFT(SUBSTITUTE(SUBSTITUTE(SUBSTITUTE(SUBSTITUTE(SUBSTITUTE(Клиенты_исходные!D852," ",""),"-",""),"+",""),"(",""),")",""))="8","7"&amp;MID(SUBSTITUTE(SUBSTITUTE(SUBSTITUTE(SUBSTITUTE(SUBSTITUTE(Клиенты_исходные!D852," ",""),"-",""),"+",""),"(",""),")",""),2,10),SUBSTITUTE(SUBSTITUTE(SUBSTITUTE(SUBSTITUTE(SUBSTITUTE(Клиенты_исходные!D852," ",""),"-",""),"+",""),"(",""),")","")),8,2)&amp;"-"&amp;MID(IF(LEFT(SUBSTITUTE(SUBSTITUTE(SUBSTITUTE(SUBSTITUTE(SUBSTITUTE(Клиенты_исходные!D852," ",""),"-",""),"+",""),"(",""),")",""))="8","7"&amp;MID(SUBSTITUTE(SUBSTITUTE(SUBSTITUTE(SUBSTITUTE(SUBSTITUTE(Клиенты_исходные!D852," ",""),"-",""),"+",""),"(",""),")",""),2,10),SUBSTITUTE(SUBSTITUTE(SUBSTITUTE(SUBSTITUTE(SUBSTITUTE(Клиенты_исходные!D852," ",""),"-",""),"+",""),"(",""),")","")),10,2),IF(LEN(SUBSTITUTE(SUBSTITUTE(SUBSTITUTE(SUBSTITUTE(SUBSTITUTE(Клиенты_исходные!D852," ",""),"-",""),"+",""),"(",""),")",""))=10,"+7 ("&amp;MID(SUBSTITUTE(SUBSTITUTE(SUBSTITUTE(SUBSTITUTE(SUBSTITUTE(Клиенты_исходные!D852," ",""),"-",""),"+",""),"(",""),")",""),1,3)&amp;") "&amp;MID(SUBSTITUTE(SUBSTITUTE(SUBSTITUTE(SUBSTITUTE(SUBSTITUTE(Клиенты_исходные!D852," ",""),"-",""),"+",""),"(",""),")",""),4,3)&amp;"-"&amp;MID(SUBSTITUTE(SUBSTITUTE(SUBSTITUTE(SUBSTITUTE(SUBSTITUTE(Клиенты_исходные!D852," ",""),"-",""),"+",""),"(",""),")",""),6,2)&amp;"-"&amp;MID(SUBSTITUTE(SUBSTITUTE(SUBSTITUTE(SUBSTITUTE(SUBSTITUTE(Клиенты_исходные!D852," ",""),"-",""),"+",""),"(",""),")",""),8,2),Клиенты_исходные!D852)))</f>
        <v xml:space="preserve">+7 (903) 901-23-45</v>
      </c>
      <c r="E852" t="str">
        <f>IF(ISBLANK(Клиенты_исходные!E852),"",IF(ISNUMBER(FIND(".",MID(Клиенты_исходные!E852,FIND("@",Клиенты_исходные!E852)+1,255))),Клиенты_исходные!E852,IF(ISNUMBER(FIND("gmail",Клиенты_исходные!E852)),Клиенты_исходные!E852&amp;".com",Клиенты_исходные!E852&amp;".ru")))</f>
        <v>goryunova@yandex.ru</v>
      </c>
      <c r="F852" t="str">
        <f>IFERROR(VLOOKUP(Клиенты_исходные!F852,Справочники!$J$2:$K$50,2,FALSE),Клиенты_исходные!F852)</f>
        <v>Нижневартовск</v>
      </c>
      <c r="G852" s="8">
        <f>IFERROR(IF(ISNUMBER(FIND(".",Клиенты_исходные!G852)),DATE(RIGHT(Клиенты_исходные!G852,4),MID(Клиенты_исходные!G852,4,2),LEFT(Клиенты_исходные!G852,2)),DATE(LEFT(Клиенты_исходные!G852,4),MID(Клиенты_исходные!G852,6,2),RIGHT(Клиенты_исходные!G852,2))),Клиенты_исходные!G852)</f>
        <v>53184</v>
      </c>
      <c r="H852">
        <f t="shared" ca="1" si="85"/>
        <v>44</v>
      </c>
      <c r="I852" t="str">
        <f t="shared" si="86"/>
        <v>OK</v>
      </c>
      <c r="J852" t="str">
        <f t="shared" si="87"/>
        <v>OK</v>
      </c>
    </row>
    <row r="853">
      <c r="A853" t="str">
        <f>Клиенты_исходные!A853</f>
        <v>C0852</v>
      </c>
      <c r="B853" t="str">
        <f>PROPER(TRIM(Клиенты_исходные!B853))</f>
        <v xml:space="preserve">Пичугин Андрей Олегович</v>
      </c>
      <c r="C853" s="8">
        <f>IFERROR(IF(ISNUMBER(FIND(".",Клиенты_исходные!C853)),DATE(RIGHT(Клиенты_исходные!C853,4),MID(Клиенты_исходные!C853,4,2),LEFT(Клиенты_исходные!C853,2)),DATE(LEFT(Клиенты_исходные!C853,4),MID(Клиенты_исходные!C853,6,2),RIGHT(Клиенты_исходные!C853,2))),Клиенты_исходные!C853)</f>
        <v>32847</v>
      </c>
      <c r="D853" t="str">
        <f>IF(ISBLANK(Клиенты_исходные!D853),"",IF(LEN(SUBSTITUTE(SUBSTITUTE(SUBSTITUTE(SUBSTITUTE(SUBSTITUTE(Клиенты_исходные!D853," ",""),"-",""),"+",""),"(",""),")",""))=11,"+7 ("&amp;MID(IF(LEFT(SUBSTITUTE(SUBSTITUTE(SUBSTITUTE(SUBSTITUTE(SUBSTITUTE(Клиенты_исходные!D853," ",""),"-",""),"+",""),"(",""),")",""))="8","7"&amp;MID(SUBSTITUTE(SUBSTITUTE(SUBSTITUTE(SUBSTITUTE(SUBSTITUTE(Клиенты_исходные!D853," ",""),"-",""),"+",""),"(",""),")",""),2,10),SUBSTITUTE(SUBSTITUTE(SUBSTITUTE(SUBSTITUTE(SUBSTITUTE(Клиенты_исходные!D853," ",""),"-",""),"+",""),"(",""),")","")),2,3)&amp;") "&amp;MID(IF(LEFT(SUBSTITUTE(SUBSTITUTE(SUBSTITUTE(SUBSTITUTE(SUBSTITUTE(Клиенты_исходные!D853," ",""),"-",""),"+",""),"(",""),")",""))="8","7"&amp;MID(SUBSTITUTE(SUBSTITUTE(SUBSTITUTE(SUBSTITUTE(SUBSTITUTE(Клиенты_исходные!D853," ",""),"-",""),"+",""),"(",""),")",""),2,10),SUBSTITUTE(SUBSTITUTE(SUBSTITUTE(SUBSTITUTE(SUBSTITUTE(Клиенты_исходные!D853," ",""),"-",""),"+",""),"(",""),")","")),5,3)&amp;"-"&amp;MID(IF(LEFT(SUBSTITUTE(SUBSTITUTE(SUBSTITUTE(SUBSTITUTE(SUBSTITUTE(Клиенты_исходные!D853," ",""),"-",""),"+",""),"(",""),")",""))="8","7"&amp;MID(SUBSTITUTE(SUBSTITUTE(SUBSTITUTE(SUBSTITUTE(SUBSTITUTE(Клиенты_исходные!D853," ",""),"-",""),"+",""),"(",""),")",""),2,10),SUBSTITUTE(SUBSTITUTE(SUBSTITUTE(SUBSTITUTE(SUBSTITUTE(Клиенты_исходные!D853," ",""),"-",""),"+",""),"(",""),")","")),8,2)&amp;"-"&amp;MID(IF(LEFT(SUBSTITUTE(SUBSTITUTE(SUBSTITUTE(SUBSTITUTE(SUBSTITUTE(Клиенты_исходные!D853," ",""),"-",""),"+",""),"(",""),")",""))="8","7"&amp;MID(SUBSTITUTE(SUBSTITUTE(SUBSTITUTE(SUBSTITUTE(SUBSTITUTE(Клиенты_исходные!D853," ",""),"-",""),"+",""),"(",""),")",""),2,10),SUBSTITUTE(SUBSTITUTE(SUBSTITUTE(SUBSTITUTE(SUBSTITUTE(Клиенты_исходные!D853," ",""),"-",""),"+",""),"(",""),")","")),10,2),IF(LEN(SUBSTITUTE(SUBSTITUTE(SUBSTITUTE(SUBSTITUTE(SUBSTITUTE(Клиенты_исходные!D853," ",""),"-",""),"+",""),"(",""),")",""))=10,"+7 ("&amp;MID(SUBSTITUTE(SUBSTITUTE(SUBSTITUTE(SUBSTITUTE(SUBSTITUTE(Клиенты_исходные!D853," ",""),"-",""),"+",""),"(",""),")",""),1,3)&amp;") "&amp;MID(SUBSTITUTE(SUBSTITUTE(SUBSTITUTE(SUBSTITUTE(SUBSTITUTE(Клиенты_исходные!D853," ",""),"-",""),"+",""),"(",""),")",""),4,3)&amp;"-"&amp;MID(SUBSTITUTE(SUBSTITUTE(SUBSTITUTE(SUBSTITUTE(SUBSTITUTE(Клиенты_исходные!D853," ",""),"-",""),"+",""),"(",""),")",""),6,2)&amp;"-"&amp;MID(SUBSTITUTE(SUBSTITUTE(SUBSTITUTE(SUBSTITUTE(SUBSTITUTE(Клиенты_исходные!D853," ",""),"-",""),"+",""),"(",""),")",""),8,2),Клиенты_исходные!D853)))</f>
        <v xml:space="preserve">+7 (903) 012-34-56</v>
      </c>
      <c r="E853" t="str">
        <f>IF(ISBLANK(Клиенты_исходные!E853),"",IF(ISNUMBER(FIND(".",MID(Клиенты_исходные!E853,FIND("@",Клиенты_исходные!E853)+1,255))),Клиенты_исходные!E853,IF(ISNUMBER(FIND("gmail",Клиенты_исходные!E853)),Клиенты_исходные!E853&amp;".com",Клиенты_исходные!E853&amp;".ru")))</f>
        <v>pichugin@gmail.com</v>
      </c>
      <c r="F853" t="str">
        <f>IFERROR(VLOOKUP(Клиенты_исходные!F853,Справочники!$J$2:$K$50,2,FALSE),Клиенты_исходные!F853)</f>
        <v>Новороссийск</v>
      </c>
      <c r="G853" s="8">
        <f>IFERROR(IF(ISNUMBER(FIND(".",Клиенты_исходные!G853)),DATE(RIGHT(Клиенты_исходные!G853,4),MID(Клиенты_исходные!G853,4,2),LEFT(Клиенты_исходные!G853,2)),DATE(LEFT(Клиенты_исходные!G853,4),MID(Клиенты_исходные!G853,6,2),RIGHT(Клиенты_исходные!G853,2))),Клиенты_исходные!G853)</f>
        <v>53184</v>
      </c>
      <c r="H853">
        <f t="shared" ca="1" si="85"/>
        <v>36</v>
      </c>
      <c r="I853" t="str">
        <f t="shared" si="86"/>
        <v>OK</v>
      </c>
      <c r="J853" t="str">
        <f t="shared" si="87"/>
        <v>OK</v>
      </c>
    </row>
    <row r="854">
      <c r="A854" t="str">
        <f>Клиенты_исходные!A854</f>
        <v>C0853</v>
      </c>
      <c r="B854" t="str">
        <f>PROPER(TRIM(Клиенты_исходные!B854))</f>
        <v xml:space="preserve">Воронова Мария Павловна</v>
      </c>
      <c r="C854" s="8">
        <f>IFERROR(IF(ISNUMBER(FIND(".",Клиенты_исходные!C854)),DATE(RIGHT(Клиенты_исходные!C854,4),MID(Клиенты_исходные!C854,4,2),LEFT(Клиенты_исходные!C854,2)),DATE(LEFT(Клиенты_исходные!C854,4),MID(Клиенты_исходные!C854,6,2),RIGHT(Клиенты_исходные!C854,2))),Клиенты_исходные!C854)</f>
        <v>28238</v>
      </c>
      <c r="D854" t="str">
        <f>IF(ISBLANK(Клиенты_исходные!D854),"",IF(LEN(SUBSTITUTE(SUBSTITUTE(SUBSTITUTE(SUBSTITUTE(SUBSTITUTE(Клиенты_исходные!D854," ",""),"-",""),"+",""),"(",""),")",""))=11,"+7 ("&amp;MID(IF(LEFT(SUBSTITUTE(SUBSTITUTE(SUBSTITUTE(SUBSTITUTE(SUBSTITUTE(Клиенты_исходные!D854," ",""),"-",""),"+",""),"(",""),")",""))="8","7"&amp;MID(SUBSTITUTE(SUBSTITUTE(SUBSTITUTE(SUBSTITUTE(SUBSTITUTE(Клиенты_исходные!D854," ",""),"-",""),"+",""),"(",""),")",""),2,10),SUBSTITUTE(SUBSTITUTE(SUBSTITUTE(SUBSTITUTE(SUBSTITUTE(Клиенты_исходные!D854," ",""),"-",""),"+",""),"(",""),")","")),2,3)&amp;") "&amp;MID(IF(LEFT(SUBSTITUTE(SUBSTITUTE(SUBSTITUTE(SUBSTITUTE(SUBSTITUTE(Клиенты_исходные!D854," ",""),"-",""),"+",""),"(",""),")",""))="8","7"&amp;MID(SUBSTITUTE(SUBSTITUTE(SUBSTITUTE(SUBSTITUTE(SUBSTITUTE(Клиенты_исходные!D854," ",""),"-",""),"+",""),"(",""),")",""),2,10),SUBSTITUTE(SUBSTITUTE(SUBSTITUTE(SUBSTITUTE(SUBSTITUTE(Клиенты_исходные!D854," ",""),"-",""),"+",""),"(",""),")","")),5,3)&amp;"-"&amp;MID(IF(LEFT(SUBSTITUTE(SUBSTITUTE(SUBSTITUTE(SUBSTITUTE(SUBSTITUTE(Клиенты_исходные!D854," ",""),"-",""),"+",""),"(",""),")",""))="8","7"&amp;MID(SUBSTITUTE(SUBSTITUTE(SUBSTITUTE(SUBSTITUTE(SUBSTITUTE(Клиенты_исходные!D854," ",""),"-",""),"+",""),"(",""),")",""),2,10),SUBSTITUTE(SUBSTITUTE(SUBSTITUTE(SUBSTITUTE(SUBSTITUTE(Клиенты_исходные!D854," ",""),"-",""),"+",""),"(",""),")","")),8,2)&amp;"-"&amp;MID(IF(LEFT(SUBSTITUTE(SUBSTITUTE(SUBSTITUTE(SUBSTITUTE(SUBSTITUTE(Клиенты_исходные!D854," ",""),"-",""),"+",""),"(",""),")",""))="8","7"&amp;MID(SUBSTITUTE(SUBSTITUTE(SUBSTITUTE(SUBSTITUTE(SUBSTITUTE(Клиенты_исходные!D854," ",""),"-",""),"+",""),"(",""),")",""),2,10),SUBSTITUTE(SUBSTITUTE(SUBSTITUTE(SUBSTITUTE(SUBSTITUTE(Клиенты_исходные!D854," ",""),"-",""),"+",""),"(",""),")","")),10,2),IF(LEN(SUBSTITUTE(SUBSTITUTE(SUBSTITUTE(SUBSTITUTE(SUBSTITUTE(Клиенты_исходные!D854," ",""),"-",""),"+",""),"(",""),")",""))=10,"+7 ("&amp;MID(SUBSTITUTE(SUBSTITUTE(SUBSTITUTE(SUBSTITUTE(SUBSTITUTE(Клиенты_исходные!D854," ",""),"-",""),"+",""),"(",""),")",""),1,3)&amp;") "&amp;MID(SUBSTITUTE(SUBSTITUTE(SUBSTITUTE(SUBSTITUTE(SUBSTITUTE(Клиенты_исходные!D854," ",""),"-",""),"+",""),"(",""),")",""),4,3)&amp;"-"&amp;MID(SUBSTITUTE(SUBSTITUTE(SUBSTITUTE(SUBSTITUTE(SUBSTITUTE(Клиенты_исходные!D854," ",""),"-",""),"+",""),"(",""),")",""),6,2)&amp;"-"&amp;MID(SUBSTITUTE(SUBSTITUTE(SUBSTITUTE(SUBSTITUTE(SUBSTITUTE(Клиенты_исходные!D854," ",""),"-",""),"+",""),"(",""),")",""),8,2),Клиенты_исходные!D854)))</f>
        <v xml:space="preserve">+7 (903) 012-34-56</v>
      </c>
      <c r="E854" t="str">
        <f>IF(ISBLANK(Клиенты_исходные!E854),"",IF(ISNUMBER(FIND(".",MID(Клиенты_исходные!E854,FIND("@",Клиенты_исходные!E854)+1,255))),Клиенты_исходные!E854,IF(ISNUMBER(FIND("gmail",Клиенты_исходные!E854)),Клиенты_исходные!E854&amp;".com",Клиенты_исходные!E854&amp;".ru")))</f>
        <v>voronova@mail.ru</v>
      </c>
      <c r="F854" t="str">
        <f>IFERROR(VLOOKUP(Клиенты_исходные!F854,Справочники!$J$2:$K$50,2,FALSE),Клиенты_исходные!F854)</f>
        <v>Химки</v>
      </c>
      <c r="G854" s="8">
        <f>IFERROR(IF(ISNUMBER(FIND(".",Клиенты_исходные!G854)),DATE(RIGHT(Клиенты_исходные!G854,4),MID(Клиенты_исходные!G854,4,2),LEFT(Клиенты_исходные!G854,2)),DATE(LEFT(Клиенты_исходные!G854,4),MID(Клиенты_исходные!G854,6,2),RIGHT(Клиенты_исходные!G854,2))),Клиенты_исходные!G854)</f>
        <v>53206</v>
      </c>
      <c r="H854">
        <f t="shared" ca="1" si="85"/>
        <v>49</v>
      </c>
      <c r="I854" t="str">
        <f t="shared" si="86"/>
        <v>OK</v>
      </c>
      <c r="J854" t="str">
        <f t="shared" si="87"/>
        <v>OK</v>
      </c>
    </row>
    <row r="855">
      <c r="A855" t="str">
        <f>Клиенты_исходные!A855</f>
        <v>C0854</v>
      </c>
      <c r="B855" t="str">
        <f>PROPER(TRIM(Клиенты_исходные!B855))</f>
        <v xml:space="preserve">Балабанов Денис Викторович</v>
      </c>
      <c r="C855" s="8">
        <f>IFERROR(IF(ISNUMBER(FIND(".",Клиенты_исходные!C855)),DATE(RIGHT(Клиенты_исходные!C855,4),MID(Клиенты_исходные!C855,4,2),LEFT(Клиенты_исходные!C855,2)),DATE(LEFT(Клиенты_исходные!C855,4),MID(Клиенты_исходные!C855,6,2),RIGHT(Клиенты_исходные!C855,2))),Клиенты_исходные!C855)</f>
        <v>30940</v>
      </c>
      <c r="D855" t="str">
        <f>IF(ISBLANK(Клиенты_исходные!D855),"",IF(LEN(SUBSTITUTE(SUBSTITUTE(SUBSTITUTE(SUBSTITUTE(SUBSTITUTE(Клиенты_исходные!D855," ",""),"-",""),"+",""),"(",""),")",""))=11,"+7 ("&amp;MID(IF(LEFT(SUBSTITUTE(SUBSTITUTE(SUBSTITUTE(SUBSTITUTE(SUBSTITUTE(Клиенты_исходные!D855," ",""),"-",""),"+",""),"(",""),")",""))="8","7"&amp;MID(SUBSTITUTE(SUBSTITUTE(SUBSTITUTE(SUBSTITUTE(SUBSTITUTE(Клиенты_исходные!D855," ",""),"-",""),"+",""),"(",""),")",""),2,10),SUBSTITUTE(SUBSTITUTE(SUBSTITUTE(SUBSTITUTE(SUBSTITUTE(Клиенты_исходные!D855," ",""),"-",""),"+",""),"(",""),")","")),2,3)&amp;") "&amp;MID(IF(LEFT(SUBSTITUTE(SUBSTITUTE(SUBSTITUTE(SUBSTITUTE(SUBSTITUTE(Клиенты_исходные!D855," ",""),"-",""),"+",""),"(",""),")",""))="8","7"&amp;MID(SUBSTITUTE(SUBSTITUTE(SUBSTITUTE(SUBSTITUTE(SUBSTITUTE(Клиенты_исходные!D855," ",""),"-",""),"+",""),"(",""),")",""),2,10),SUBSTITUTE(SUBSTITUTE(SUBSTITUTE(SUBSTITUTE(SUBSTITUTE(Клиенты_исходные!D855," ",""),"-",""),"+",""),"(",""),")","")),5,3)&amp;"-"&amp;MID(IF(LEFT(SUBSTITUTE(SUBSTITUTE(SUBSTITUTE(SUBSTITUTE(SUBSTITUTE(Клиенты_исходные!D855," ",""),"-",""),"+",""),"(",""),")",""))="8","7"&amp;MID(SUBSTITUTE(SUBSTITUTE(SUBSTITUTE(SUBSTITUTE(SUBSTITUTE(Клиенты_исходные!D855," ",""),"-",""),"+",""),"(",""),")",""),2,10),SUBSTITUTE(SUBSTITUTE(SUBSTITUTE(SUBSTITUTE(SUBSTITUTE(Клиенты_исходные!D855," ",""),"-",""),"+",""),"(",""),")","")),8,2)&amp;"-"&amp;MID(IF(LEFT(SUBSTITUTE(SUBSTITUTE(SUBSTITUTE(SUBSTITUTE(SUBSTITUTE(Клиенты_исходные!D855," ",""),"-",""),"+",""),"(",""),")",""))="8","7"&amp;MID(SUBSTITUTE(SUBSTITUTE(SUBSTITUTE(SUBSTITUTE(SUBSTITUTE(Клиенты_исходные!D855," ",""),"-",""),"+",""),"(",""),")",""),2,10),SUBSTITUTE(SUBSTITUTE(SUBSTITUTE(SUBSTITUTE(SUBSTITUTE(Клиенты_исходные!D855," ",""),"-",""),"+",""),"(",""),")","")),10,2),IF(LEN(SUBSTITUTE(SUBSTITUTE(SUBSTITUTE(SUBSTITUTE(SUBSTITUTE(Клиенты_исходные!D855," ",""),"-",""),"+",""),"(",""),")",""))=10,"+7 ("&amp;MID(SUBSTITUTE(SUBSTITUTE(SUBSTITUTE(SUBSTITUTE(SUBSTITUTE(Клиенты_исходные!D855," ",""),"-",""),"+",""),"(",""),")",""),1,3)&amp;") "&amp;MID(SUBSTITUTE(SUBSTITUTE(SUBSTITUTE(SUBSTITUTE(SUBSTITUTE(Клиенты_исходные!D855," ",""),"-",""),"+",""),"(",""),")",""),4,3)&amp;"-"&amp;MID(SUBSTITUTE(SUBSTITUTE(SUBSTITUTE(SUBSTITUTE(SUBSTITUTE(Клиенты_исходные!D855," ",""),"-",""),"+",""),"(",""),")",""),6,2)&amp;"-"&amp;MID(SUBSTITUTE(SUBSTITUTE(SUBSTITUTE(SUBSTITUTE(SUBSTITUTE(Клиенты_исходные!D855," ",""),"-",""),"+",""),"(",""),")",""),8,2),Клиенты_исходные!D855)))</f>
        <v xml:space="preserve">+7 (903) 012-34-56</v>
      </c>
      <c r="E855" t="str">
        <f>IF(ISBLANK(Клиенты_исходные!E855),"",IF(ISNUMBER(FIND(".",MID(Клиенты_исходные!E855,FIND("@",Клиенты_исходные!E855)+1,255))),Клиенты_исходные!E855,IF(ISNUMBER(FIND("gmail",Клиенты_исходные!E855)),Клиенты_исходные!E855&amp;".com",Клиенты_исходные!E855&amp;".ru")))</f>
        <v>balabanov@yandex.ru</v>
      </c>
      <c r="F855" t="str">
        <f>IFERROR(VLOOKUP(Клиенты_исходные!F855,Справочники!$J$2:$K$50,2,FALSE),Клиенты_исходные!F855)</f>
        <v>Подольск</v>
      </c>
      <c r="G855" s="8">
        <f>IFERROR(IF(ISNUMBER(FIND(".",Клиенты_исходные!G855)),DATE(RIGHT(Клиенты_исходные!G855,4),MID(Клиенты_исходные!G855,4,2),LEFT(Клиенты_исходные!G855,2)),DATE(LEFT(Клиенты_исходные!G855,4),MID(Клиенты_исходные!G855,6,2),RIGHT(Клиенты_исходные!G855,2))),Клиенты_исходные!G855)</f>
        <v>53220</v>
      </c>
      <c r="H855">
        <f t="shared" ca="1" si="85"/>
        <v>42</v>
      </c>
      <c r="I855" t="str">
        <f t="shared" si="86"/>
        <v>OK</v>
      </c>
      <c r="J855" t="str">
        <f t="shared" si="87"/>
        <v>OK</v>
      </c>
    </row>
    <row r="856">
      <c r="A856" t="str">
        <f>Клиенты_исходные!A856</f>
        <v>C0855</v>
      </c>
      <c r="B856" t="str">
        <f>PROPER(TRIM(Клиенты_исходные!B856))</f>
        <v xml:space="preserve">Скачкова Ольга Сергеевна</v>
      </c>
      <c r="C856" s="8">
        <f>IFERROR(IF(ISNUMBER(FIND(".",Клиенты_исходные!C856)),DATE(RIGHT(Клиенты_исходные!C856,4),MID(Клиенты_исходные!C856,4,2),LEFT(Клиенты_исходные!C856,2)),DATE(LEFT(Клиенты_исходные!C856,4),MID(Клиенты_исходные!C856,6,2),RIGHT(Клиенты_исходные!C856,2))),Клиенты_исходные!C856)</f>
        <v>33174</v>
      </c>
      <c r="D856" t="str">
        <f>IF(ISBLANK(Клиенты_исходные!D856),"",IF(LEN(SUBSTITUTE(SUBSTITUTE(SUBSTITUTE(SUBSTITUTE(SUBSTITUTE(Клиенты_исходные!D856," ",""),"-",""),"+",""),"(",""),")",""))=11,"+7 ("&amp;MID(IF(LEFT(SUBSTITUTE(SUBSTITUTE(SUBSTITUTE(SUBSTITUTE(SUBSTITUTE(Клиенты_исходные!D856," ",""),"-",""),"+",""),"(",""),")",""))="8","7"&amp;MID(SUBSTITUTE(SUBSTITUTE(SUBSTITUTE(SUBSTITUTE(SUBSTITUTE(Клиенты_исходные!D856," ",""),"-",""),"+",""),"(",""),")",""),2,10),SUBSTITUTE(SUBSTITUTE(SUBSTITUTE(SUBSTITUTE(SUBSTITUTE(Клиенты_исходные!D856," ",""),"-",""),"+",""),"(",""),")","")),2,3)&amp;") "&amp;MID(IF(LEFT(SUBSTITUTE(SUBSTITUTE(SUBSTITUTE(SUBSTITUTE(SUBSTITUTE(Клиенты_исходные!D856," ",""),"-",""),"+",""),"(",""),")",""))="8","7"&amp;MID(SUBSTITUTE(SUBSTITUTE(SUBSTITUTE(SUBSTITUTE(SUBSTITUTE(Клиенты_исходные!D856," ",""),"-",""),"+",""),"(",""),")",""),2,10),SUBSTITUTE(SUBSTITUTE(SUBSTITUTE(SUBSTITUTE(SUBSTITUTE(Клиенты_исходные!D856," ",""),"-",""),"+",""),"(",""),")","")),5,3)&amp;"-"&amp;MID(IF(LEFT(SUBSTITUTE(SUBSTITUTE(SUBSTITUTE(SUBSTITUTE(SUBSTITUTE(Клиенты_исходные!D856," ",""),"-",""),"+",""),"(",""),")",""))="8","7"&amp;MID(SUBSTITUTE(SUBSTITUTE(SUBSTITUTE(SUBSTITUTE(SUBSTITUTE(Клиенты_исходные!D856," ",""),"-",""),"+",""),"(",""),")",""),2,10),SUBSTITUTE(SUBSTITUTE(SUBSTITUTE(SUBSTITUTE(SUBSTITUTE(Клиенты_исходные!D856," ",""),"-",""),"+",""),"(",""),")","")),8,2)&amp;"-"&amp;MID(IF(LEFT(SUBSTITUTE(SUBSTITUTE(SUBSTITUTE(SUBSTITUTE(SUBSTITUTE(Клиенты_исходные!D856," ",""),"-",""),"+",""),"(",""),")",""))="8","7"&amp;MID(SUBSTITUTE(SUBSTITUTE(SUBSTITUTE(SUBSTITUTE(SUBSTITUTE(Клиенты_исходные!D856," ",""),"-",""),"+",""),"(",""),")",""),2,10),SUBSTITUTE(SUBSTITUTE(SUBSTITUTE(SUBSTITUTE(SUBSTITUTE(Клиенты_исходные!D856," ",""),"-",""),"+",""),"(",""),")","")),10,2),IF(LEN(SUBSTITUTE(SUBSTITUTE(SUBSTITUTE(SUBSTITUTE(SUBSTITUTE(Клиенты_исходные!D856," ",""),"-",""),"+",""),"(",""),")",""))=10,"+7 ("&amp;MID(SUBSTITUTE(SUBSTITUTE(SUBSTITUTE(SUBSTITUTE(SUBSTITUTE(Клиенты_исходные!D856," ",""),"-",""),"+",""),"(",""),")",""),1,3)&amp;") "&amp;MID(SUBSTITUTE(SUBSTITUTE(SUBSTITUTE(SUBSTITUTE(SUBSTITUTE(Клиенты_исходные!D856," ",""),"-",""),"+",""),"(",""),")",""),4,3)&amp;"-"&amp;MID(SUBSTITUTE(SUBSTITUTE(SUBSTITUTE(SUBSTITUTE(SUBSTITUTE(Клиенты_исходные!D856," ",""),"-",""),"+",""),"(",""),")",""),6,2)&amp;"-"&amp;MID(SUBSTITUTE(SUBSTITUTE(SUBSTITUTE(SUBSTITUTE(SUBSTITUTE(Клиенты_исходные!D856," ",""),"-",""),"+",""),"(",""),")",""),8,2),Клиенты_исходные!D856)))</f>
        <v xml:space="preserve">+7 (903) 123-45-67</v>
      </c>
      <c r="E856" t="str">
        <f>IF(ISBLANK(Клиенты_исходные!E856),"",IF(ISNUMBER(FIND(".",MID(Клиенты_исходные!E856,FIND("@",Клиенты_исходные!E856)+1,255))),Клиенты_исходные!E856,IF(ISNUMBER(FIND("gmail",Клиенты_исходные!E856)),Клиенты_исходные!E856&amp;".com",Клиенты_исходные!E856&amp;".ru")))</f>
        <v>skachkova@gmail.com</v>
      </c>
      <c r="F856" t="str">
        <f>IFERROR(VLOOKUP(Клиенты_исходные!F856,Справочники!$J$2:$K$50,2,FALSE),Клиенты_исходные!F856)</f>
        <v>Балашиха</v>
      </c>
      <c r="G856" s="8">
        <f>IFERROR(IF(ISNUMBER(FIND(".",Клиенты_исходные!G856)),DATE(RIGHT(Клиенты_исходные!G856,4),MID(Клиенты_исходные!G856,4,2),LEFT(Клиенты_исходные!G856,2)),DATE(LEFT(Клиенты_исходные!G856,4),MID(Клиенты_исходные!G856,6,2),RIGHT(Клиенты_исходные!G856,2))),Клиенты_исходные!G856)</f>
        <v>53220</v>
      </c>
      <c r="H856">
        <f t="shared" ca="1" si="85"/>
        <v>35</v>
      </c>
      <c r="I856" t="str">
        <f t="shared" si="86"/>
        <v>OK</v>
      </c>
      <c r="J856" t="str">
        <f t="shared" si="87"/>
        <v>OK</v>
      </c>
    </row>
    <row r="857">
      <c r="A857" t="str">
        <f>Клиенты_исходные!A857</f>
        <v>C0856</v>
      </c>
      <c r="B857" t="str">
        <f>PROPER(TRIM(Клиенты_исходные!B857))</f>
        <v xml:space="preserve">Лобанов Илья Александрович</v>
      </c>
      <c r="C857" s="8">
        <f>IFERROR(IF(ISNUMBER(FIND(".",Клиенты_исходные!C857)),DATE(RIGHT(Клиенты_исходные!C857,4),MID(Клиенты_исходные!C857,4,2),LEFT(Клиенты_исходные!C857,2)),DATE(LEFT(Клиенты_исходные!C857,4),MID(Клиенты_исходные!C857,6,2),RIGHT(Клиенты_исходные!C857,2))),Клиенты_исходные!C857)</f>
        <v>26714</v>
      </c>
      <c r="D857" t="str">
        <f>IF(ISBLANK(Клиенты_исходные!D857),"",IF(LEN(SUBSTITUTE(SUBSTITUTE(SUBSTITUTE(SUBSTITUTE(SUBSTITUTE(Клиенты_исходные!D857," ",""),"-",""),"+",""),"(",""),")",""))=11,"+7 ("&amp;MID(IF(LEFT(SUBSTITUTE(SUBSTITUTE(SUBSTITUTE(SUBSTITUTE(SUBSTITUTE(Клиенты_исходные!D857," ",""),"-",""),"+",""),"(",""),")",""))="8","7"&amp;MID(SUBSTITUTE(SUBSTITUTE(SUBSTITUTE(SUBSTITUTE(SUBSTITUTE(Клиенты_исходные!D857," ",""),"-",""),"+",""),"(",""),")",""),2,10),SUBSTITUTE(SUBSTITUTE(SUBSTITUTE(SUBSTITUTE(SUBSTITUTE(Клиенты_исходные!D857," ",""),"-",""),"+",""),"(",""),")","")),2,3)&amp;") "&amp;MID(IF(LEFT(SUBSTITUTE(SUBSTITUTE(SUBSTITUTE(SUBSTITUTE(SUBSTITUTE(Клиенты_исходные!D857," ",""),"-",""),"+",""),"(",""),")",""))="8","7"&amp;MID(SUBSTITUTE(SUBSTITUTE(SUBSTITUTE(SUBSTITUTE(SUBSTITUTE(Клиенты_исходные!D857," ",""),"-",""),"+",""),"(",""),")",""),2,10),SUBSTITUTE(SUBSTITUTE(SUBSTITUTE(SUBSTITUTE(SUBSTITUTE(Клиенты_исходные!D857," ",""),"-",""),"+",""),"(",""),")","")),5,3)&amp;"-"&amp;MID(IF(LEFT(SUBSTITUTE(SUBSTITUTE(SUBSTITUTE(SUBSTITUTE(SUBSTITUTE(Клиенты_исходные!D857," ",""),"-",""),"+",""),"(",""),")",""))="8","7"&amp;MID(SUBSTITUTE(SUBSTITUTE(SUBSTITUTE(SUBSTITUTE(SUBSTITUTE(Клиенты_исходные!D857," ",""),"-",""),"+",""),"(",""),")",""),2,10),SUBSTITUTE(SUBSTITUTE(SUBSTITUTE(SUBSTITUTE(SUBSTITUTE(Клиенты_исходные!D857," ",""),"-",""),"+",""),"(",""),")","")),8,2)&amp;"-"&amp;MID(IF(LEFT(SUBSTITUTE(SUBSTITUTE(SUBSTITUTE(SUBSTITUTE(SUBSTITUTE(Клиенты_исходные!D857," ",""),"-",""),"+",""),"(",""),")",""))="8","7"&amp;MID(SUBSTITUTE(SUBSTITUTE(SUBSTITUTE(SUBSTITUTE(SUBSTITUTE(Клиенты_исходные!D857," ",""),"-",""),"+",""),"(",""),")",""),2,10),SUBSTITUTE(SUBSTITUTE(SUBSTITUTE(SUBSTITUTE(SUBSTITUTE(Клиенты_исходные!D857," ",""),"-",""),"+",""),"(",""),")","")),10,2),IF(LEN(SUBSTITUTE(SUBSTITUTE(SUBSTITUTE(SUBSTITUTE(SUBSTITUTE(Клиенты_исходные!D857," ",""),"-",""),"+",""),"(",""),")",""))=10,"+7 ("&amp;MID(SUBSTITUTE(SUBSTITUTE(SUBSTITUTE(SUBSTITUTE(SUBSTITUTE(Клиенты_исходные!D857," ",""),"-",""),"+",""),"(",""),")",""),1,3)&amp;") "&amp;MID(SUBSTITUTE(SUBSTITUTE(SUBSTITUTE(SUBSTITUTE(SUBSTITUTE(Клиенты_исходные!D857," ",""),"-",""),"+",""),"(",""),")",""),4,3)&amp;"-"&amp;MID(SUBSTITUTE(SUBSTITUTE(SUBSTITUTE(SUBSTITUTE(SUBSTITUTE(Клиенты_исходные!D857," ",""),"-",""),"+",""),"(",""),")",""),6,2)&amp;"-"&amp;MID(SUBSTITUTE(SUBSTITUTE(SUBSTITUTE(SUBSTITUTE(SUBSTITUTE(Клиенты_исходные!D857," ",""),"-",""),"+",""),"(",""),")",""),8,2),Клиенты_исходные!D857)))</f>
        <v xml:space="preserve">+7 (903) 123-45-67</v>
      </c>
      <c r="E857" t="str">
        <f>IF(ISBLANK(Клиенты_исходные!E857),"",IF(ISNUMBER(FIND(".",MID(Клиенты_исходные!E857,FIND("@",Клиенты_исходные!E857)+1,255))),Клиенты_исходные!E857,IF(ISNUMBER(FIND("gmail",Клиенты_исходные!E857)),Клиенты_исходные!E857&amp;".com",Клиенты_исходные!E857&amp;".ru")))</f>
        <v>lobanov@mail.ru</v>
      </c>
      <c r="F857" t="str">
        <f>IFERROR(VLOOKUP(Клиенты_исходные!F857,Справочники!$J$2:$K$50,2,FALSE),Клиенты_исходные!F857)</f>
        <v>Сургут</v>
      </c>
      <c r="G857" s="8">
        <f>IFERROR(IF(ISNUMBER(FIND(".",Клиенты_исходные!G857)),DATE(RIGHT(Клиенты_исходные!G857,4),MID(Клиенты_исходные!G857,4,2),LEFT(Клиенты_исходные!G857,2)),DATE(LEFT(Клиенты_исходные!G857,4),MID(Клиенты_исходные!G857,6,2),RIGHT(Клиенты_исходные!G857,2))),Клиенты_исходные!G857)</f>
        <v>53236</v>
      </c>
      <c r="H857">
        <f t="shared" ca="1" si="85"/>
        <v>53</v>
      </c>
      <c r="I857" t="str">
        <f t="shared" si="86"/>
        <v>OK</v>
      </c>
      <c r="J857" t="str">
        <f t="shared" si="87"/>
        <v>OK</v>
      </c>
    </row>
    <row r="858">
      <c r="A858" t="str">
        <f>Клиенты_исходные!A858</f>
        <v>C0857</v>
      </c>
      <c r="B858" t="str">
        <f>PROPER(TRIM(Клиенты_исходные!B858))</f>
        <v xml:space="preserve">Хомякова Екатерина Владимировна</v>
      </c>
      <c r="C858" s="8">
        <f>IFERROR(IF(ISNUMBER(FIND(".",Клиенты_исходные!C858)),DATE(RIGHT(Клиенты_исходные!C858,4),MID(Клиенты_исходные!C858,4,2),LEFT(Клиенты_исходные!C858,2)),DATE(LEFT(Клиенты_исходные!C858,4),MID(Клиенты_исходные!C858,6,2),RIGHT(Клиенты_исходные!C858,2))),Клиенты_исходные!C858)</f>
        <v>31569</v>
      </c>
      <c r="D858" t="str">
        <f>IF(ISBLANK(Клиенты_исходные!D858),"",IF(LEN(SUBSTITUTE(SUBSTITUTE(SUBSTITUTE(SUBSTITUTE(SUBSTITUTE(Клиенты_исходные!D858," ",""),"-",""),"+",""),"(",""),")",""))=11,"+7 ("&amp;MID(IF(LEFT(SUBSTITUTE(SUBSTITUTE(SUBSTITUTE(SUBSTITUTE(SUBSTITUTE(Клиенты_исходные!D858," ",""),"-",""),"+",""),"(",""),")",""))="8","7"&amp;MID(SUBSTITUTE(SUBSTITUTE(SUBSTITUTE(SUBSTITUTE(SUBSTITUTE(Клиенты_исходные!D858," ",""),"-",""),"+",""),"(",""),")",""),2,10),SUBSTITUTE(SUBSTITUTE(SUBSTITUTE(SUBSTITUTE(SUBSTITUTE(Клиенты_исходные!D858," ",""),"-",""),"+",""),"(",""),")","")),2,3)&amp;") "&amp;MID(IF(LEFT(SUBSTITUTE(SUBSTITUTE(SUBSTITUTE(SUBSTITUTE(SUBSTITUTE(Клиенты_исходные!D858," ",""),"-",""),"+",""),"(",""),")",""))="8","7"&amp;MID(SUBSTITUTE(SUBSTITUTE(SUBSTITUTE(SUBSTITUTE(SUBSTITUTE(Клиенты_исходные!D858," ",""),"-",""),"+",""),"(",""),")",""),2,10),SUBSTITUTE(SUBSTITUTE(SUBSTITUTE(SUBSTITUTE(SUBSTITUTE(Клиенты_исходные!D858," ",""),"-",""),"+",""),"(",""),")","")),5,3)&amp;"-"&amp;MID(IF(LEFT(SUBSTITUTE(SUBSTITUTE(SUBSTITUTE(SUBSTITUTE(SUBSTITUTE(Клиенты_исходные!D858," ",""),"-",""),"+",""),"(",""),")",""))="8","7"&amp;MID(SUBSTITUTE(SUBSTITUTE(SUBSTITUTE(SUBSTITUTE(SUBSTITUTE(Клиенты_исходные!D858," ",""),"-",""),"+",""),"(",""),")",""),2,10),SUBSTITUTE(SUBSTITUTE(SUBSTITUTE(SUBSTITUTE(SUBSTITUTE(Клиенты_исходные!D858," ",""),"-",""),"+",""),"(",""),")","")),8,2)&amp;"-"&amp;MID(IF(LEFT(SUBSTITUTE(SUBSTITUTE(SUBSTITUTE(SUBSTITUTE(SUBSTITUTE(Клиенты_исходные!D858," ",""),"-",""),"+",""),"(",""),")",""))="8","7"&amp;MID(SUBSTITUTE(SUBSTITUTE(SUBSTITUTE(SUBSTITUTE(SUBSTITUTE(Клиенты_исходные!D858," ",""),"-",""),"+",""),"(",""),")",""),2,10),SUBSTITUTE(SUBSTITUTE(SUBSTITUTE(SUBSTITUTE(SUBSTITUTE(Клиенты_исходные!D858," ",""),"-",""),"+",""),"(",""),")","")),10,2),IF(LEN(SUBSTITUTE(SUBSTITUTE(SUBSTITUTE(SUBSTITUTE(SUBSTITUTE(Клиенты_исходные!D858," ",""),"-",""),"+",""),"(",""),")",""))=10,"+7 ("&amp;MID(SUBSTITUTE(SUBSTITUTE(SUBSTITUTE(SUBSTITUTE(SUBSTITUTE(Клиенты_исходные!D858," ",""),"-",""),"+",""),"(",""),")",""),1,3)&amp;") "&amp;MID(SUBSTITUTE(SUBSTITUTE(SUBSTITUTE(SUBSTITUTE(SUBSTITUTE(Клиенты_исходные!D858," ",""),"-",""),"+",""),"(",""),")",""),4,3)&amp;"-"&amp;MID(SUBSTITUTE(SUBSTITUTE(SUBSTITUTE(SUBSTITUTE(SUBSTITUTE(Клиенты_исходные!D858," ",""),"-",""),"+",""),"(",""),")",""),6,2)&amp;"-"&amp;MID(SUBSTITUTE(SUBSTITUTE(SUBSTITUTE(SUBSTITUTE(SUBSTITUTE(Клиенты_исходные!D858," ",""),"-",""),"+",""),"(",""),")",""),8,2),Клиенты_исходные!D858)))</f>
        <v xml:space="preserve">+7 (903) 123-45-67</v>
      </c>
      <c r="E858" t="str">
        <f>IF(ISBLANK(Клиенты_исходные!E858),"",IF(ISNUMBER(FIND(".",MID(Клиенты_исходные!E858,FIND("@",Клиенты_исходные!E858)+1,255))),Клиенты_исходные!E858,IF(ISNUMBER(FIND("gmail",Клиенты_исходные!E858)),Клиенты_исходные!E858&amp;".com",Клиенты_исходные!E858&amp;".ru")))</f>
        <v>homyakova@yandex.ru</v>
      </c>
      <c r="F858" t="str">
        <f>IFERROR(VLOOKUP(Клиенты_исходные!F858,Справочники!$J$2:$K$50,2,FALSE),Клиенты_исходные!F858)</f>
        <v>Армавир</v>
      </c>
      <c r="G858" s="8">
        <f>IFERROR(IF(ISNUMBER(FIND(".",Клиенты_исходные!G858)),DATE(RIGHT(Клиенты_исходные!G858,4),MID(Клиенты_исходные!G858,4,2),LEFT(Клиенты_исходные!G858,2)),DATE(LEFT(Клиенты_исходные!G858,4),MID(Клиенты_исходные!G858,6,2),RIGHT(Клиенты_исходные!G858,2))),Клиенты_исходные!G858)</f>
        <v>53245</v>
      </c>
      <c r="H858">
        <f t="shared" ca="1" si="85"/>
        <v>40</v>
      </c>
      <c r="I858" t="str">
        <f t="shared" si="86"/>
        <v>OK</v>
      </c>
      <c r="J858" t="str">
        <f t="shared" si="87"/>
        <v>OK</v>
      </c>
    </row>
    <row r="859">
      <c r="A859" t="str">
        <f>Клиенты_исходные!A859</f>
        <v>C0858</v>
      </c>
      <c r="B859" t="str">
        <f>PROPER(TRIM(Клиенты_исходные!B859))</f>
        <v xml:space="preserve">Стукалов Андрей Олегович</v>
      </c>
      <c r="C859" s="8">
        <f>IFERROR(IF(ISNUMBER(FIND(".",Клиенты_исходные!C859)),DATE(RIGHT(Клиенты_исходные!C859,4),MID(Клиенты_исходные!C859,4,2),LEFT(Клиенты_исходные!C859,2)),DATE(LEFT(Клиенты_исходные!C859,4),MID(Клиенты_исходные!C859,6,2),RIGHT(Клиенты_исходные!C859,2))),Клиенты_исходные!C859)</f>
        <v>29945</v>
      </c>
      <c r="D859" t="str">
        <f>IF(ISBLANK(Клиенты_исходные!D859),"",IF(LEN(SUBSTITUTE(SUBSTITUTE(SUBSTITUTE(SUBSTITUTE(SUBSTITUTE(Клиенты_исходные!D859," ",""),"-",""),"+",""),"(",""),")",""))=11,"+7 ("&amp;MID(IF(LEFT(SUBSTITUTE(SUBSTITUTE(SUBSTITUTE(SUBSTITUTE(SUBSTITUTE(Клиенты_исходные!D859," ",""),"-",""),"+",""),"(",""),")",""))="8","7"&amp;MID(SUBSTITUTE(SUBSTITUTE(SUBSTITUTE(SUBSTITUTE(SUBSTITUTE(Клиенты_исходные!D859," ",""),"-",""),"+",""),"(",""),")",""),2,10),SUBSTITUTE(SUBSTITUTE(SUBSTITUTE(SUBSTITUTE(SUBSTITUTE(Клиенты_исходные!D859," ",""),"-",""),"+",""),"(",""),")","")),2,3)&amp;") "&amp;MID(IF(LEFT(SUBSTITUTE(SUBSTITUTE(SUBSTITUTE(SUBSTITUTE(SUBSTITUTE(Клиенты_исходные!D859," ",""),"-",""),"+",""),"(",""),")",""))="8","7"&amp;MID(SUBSTITUTE(SUBSTITUTE(SUBSTITUTE(SUBSTITUTE(SUBSTITUTE(Клиенты_исходные!D859," ",""),"-",""),"+",""),"(",""),")",""),2,10),SUBSTITUTE(SUBSTITUTE(SUBSTITUTE(SUBSTITUTE(SUBSTITUTE(Клиенты_исходные!D859," ",""),"-",""),"+",""),"(",""),")","")),5,3)&amp;"-"&amp;MID(IF(LEFT(SUBSTITUTE(SUBSTITUTE(SUBSTITUTE(SUBSTITUTE(SUBSTITUTE(Клиенты_исходные!D859," ",""),"-",""),"+",""),"(",""),")",""))="8","7"&amp;MID(SUBSTITUTE(SUBSTITUTE(SUBSTITUTE(SUBSTITUTE(SUBSTITUTE(Клиенты_исходные!D859," ",""),"-",""),"+",""),"(",""),")",""),2,10),SUBSTITUTE(SUBSTITUTE(SUBSTITUTE(SUBSTITUTE(SUBSTITUTE(Клиенты_исходные!D859," ",""),"-",""),"+",""),"(",""),")","")),8,2)&amp;"-"&amp;MID(IF(LEFT(SUBSTITUTE(SUBSTITUTE(SUBSTITUTE(SUBSTITUTE(SUBSTITUTE(Клиенты_исходные!D859," ",""),"-",""),"+",""),"(",""),")",""))="8","7"&amp;MID(SUBSTITUTE(SUBSTITUTE(SUBSTITUTE(SUBSTITUTE(SUBSTITUTE(Клиенты_исходные!D859," ",""),"-",""),"+",""),"(",""),")",""),2,10),SUBSTITUTE(SUBSTITUTE(SUBSTITUTE(SUBSTITUTE(SUBSTITUTE(Клиенты_исходные!D859," ",""),"-",""),"+",""),"(",""),")","")),10,2),IF(LEN(SUBSTITUTE(SUBSTITUTE(SUBSTITUTE(SUBSTITUTE(SUBSTITUTE(Клиенты_исходные!D859," ",""),"-",""),"+",""),"(",""),")",""))=10,"+7 ("&amp;MID(SUBSTITUTE(SUBSTITUTE(SUBSTITUTE(SUBSTITUTE(SUBSTITUTE(Клиенты_исходные!D859," ",""),"-",""),"+",""),"(",""),")",""),1,3)&amp;") "&amp;MID(SUBSTITUTE(SUBSTITUTE(SUBSTITUTE(SUBSTITUTE(SUBSTITUTE(Клиенты_исходные!D859," ",""),"-",""),"+",""),"(",""),")",""),4,3)&amp;"-"&amp;MID(SUBSTITUTE(SUBSTITUTE(SUBSTITUTE(SUBSTITUTE(SUBSTITUTE(Клиенты_исходные!D859," ",""),"-",""),"+",""),"(",""),")",""),6,2)&amp;"-"&amp;MID(SUBSTITUTE(SUBSTITUTE(SUBSTITUTE(SUBSTITUTE(SUBSTITUTE(Клиенты_исходные!D859," ",""),"-",""),"+",""),"(",""),")",""),8,2),Клиенты_исходные!D859)))</f>
        <v xml:space="preserve">+7 (903) 234-56-78</v>
      </c>
      <c r="E859" t="str">
        <f>IF(ISBLANK(Клиенты_исходные!E859),"",IF(ISNUMBER(FIND(".",MID(Клиенты_исходные!E859,FIND("@",Клиенты_исходные!E859)+1,255))),Клиенты_исходные!E859,IF(ISNUMBER(FIND("gmail",Клиенты_исходные!E859)),Клиенты_исходные!E859&amp;".com",Клиенты_исходные!E859&amp;".ru")))</f>
        <v>stukalov@gmail.com</v>
      </c>
      <c r="F859" t="str">
        <f>IFERROR(VLOOKUP(Клиенты_исходные!F859,Справочники!$J$2:$K$50,2,FALSE),Клиенты_исходные!F859)</f>
        <v>Волжский</v>
      </c>
      <c r="G859" s="8">
        <f>IFERROR(IF(ISNUMBER(FIND(".",Клиенты_исходные!G859)),DATE(RIGHT(Клиенты_исходные!G859,4),MID(Клиенты_исходные!G859,4,2),LEFT(Клиенты_исходные!G859,2)),DATE(LEFT(Клиенты_исходные!G859,4),MID(Клиенты_исходные!G859,6,2),RIGHT(Клиенты_исходные!G859,2))),Клиенты_исходные!G859)</f>
        <v>53245</v>
      </c>
      <c r="H859">
        <f t="shared" ca="1" si="85"/>
        <v>44</v>
      </c>
      <c r="I859" t="str">
        <f t="shared" si="86"/>
        <v>OK</v>
      </c>
      <c r="J859" t="str">
        <f t="shared" si="87"/>
        <v>OK</v>
      </c>
    </row>
    <row r="860">
      <c r="A860" t="str">
        <f>Клиенты_исходные!A860</f>
        <v>C0859</v>
      </c>
      <c r="B860" t="str">
        <f>PROPER(TRIM(Клиенты_исходные!B860))</f>
        <v xml:space="preserve">Морозова Мария Павловна</v>
      </c>
      <c r="C860" s="8">
        <f>IFERROR(IF(ISNUMBER(FIND(".",Клиенты_исходные!C860)),DATE(RIGHT(Клиенты_исходные!C860,4),MID(Клиенты_исходные!C860,4,2),LEFT(Клиенты_исходные!C860,2)),DATE(LEFT(Клиенты_исходные!C860,4),MID(Клиенты_исходные!C860,6,2),RIGHT(Клиенты_исходные!C860,2))),Клиенты_исходные!C860)</f>
        <v>27622</v>
      </c>
      <c r="D860" t="str">
        <f>IF(ISBLANK(Клиенты_исходные!D860),"",IF(LEN(SUBSTITUTE(SUBSTITUTE(SUBSTITUTE(SUBSTITUTE(SUBSTITUTE(Клиенты_исходные!D860," ",""),"-",""),"+",""),"(",""),")",""))=11,"+7 ("&amp;MID(IF(LEFT(SUBSTITUTE(SUBSTITUTE(SUBSTITUTE(SUBSTITUTE(SUBSTITUTE(Клиенты_исходные!D860," ",""),"-",""),"+",""),"(",""),")",""))="8","7"&amp;MID(SUBSTITUTE(SUBSTITUTE(SUBSTITUTE(SUBSTITUTE(SUBSTITUTE(Клиенты_исходные!D860," ",""),"-",""),"+",""),"(",""),")",""),2,10),SUBSTITUTE(SUBSTITUTE(SUBSTITUTE(SUBSTITUTE(SUBSTITUTE(Клиенты_исходные!D860," ",""),"-",""),"+",""),"(",""),")","")),2,3)&amp;") "&amp;MID(IF(LEFT(SUBSTITUTE(SUBSTITUTE(SUBSTITUTE(SUBSTITUTE(SUBSTITUTE(Клиенты_исходные!D860," ",""),"-",""),"+",""),"(",""),")",""))="8","7"&amp;MID(SUBSTITUTE(SUBSTITUTE(SUBSTITUTE(SUBSTITUTE(SUBSTITUTE(Клиенты_исходные!D860," ",""),"-",""),"+",""),"(",""),")",""),2,10),SUBSTITUTE(SUBSTITUTE(SUBSTITUTE(SUBSTITUTE(SUBSTITUTE(Клиенты_исходные!D860," ",""),"-",""),"+",""),"(",""),")","")),5,3)&amp;"-"&amp;MID(IF(LEFT(SUBSTITUTE(SUBSTITUTE(SUBSTITUTE(SUBSTITUTE(SUBSTITUTE(Клиенты_исходные!D860," ",""),"-",""),"+",""),"(",""),")",""))="8","7"&amp;MID(SUBSTITUTE(SUBSTITUTE(SUBSTITUTE(SUBSTITUTE(SUBSTITUTE(Клиенты_исходные!D860," ",""),"-",""),"+",""),"(",""),")",""),2,10),SUBSTITUTE(SUBSTITUTE(SUBSTITUTE(SUBSTITUTE(SUBSTITUTE(Клиенты_исходные!D860," ",""),"-",""),"+",""),"(",""),")","")),8,2)&amp;"-"&amp;MID(IF(LEFT(SUBSTITUTE(SUBSTITUTE(SUBSTITUTE(SUBSTITUTE(SUBSTITUTE(Клиенты_исходные!D860," ",""),"-",""),"+",""),"(",""),")",""))="8","7"&amp;MID(SUBSTITUTE(SUBSTITUTE(SUBSTITUTE(SUBSTITUTE(SUBSTITUTE(Клиенты_исходные!D860," ",""),"-",""),"+",""),"(",""),")",""),2,10),SUBSTITUTE(SUBSTITUTE(SUBSTITUTE(SUBSTITUTE(SUBSTITUTE(Клиенты_исходные!D860," ",""),"-",""),"+",""),"(",""),")","")),10,2),IF(LEN(SUBSTITUTE(SUBSTITUTE(SUBSTITUTE(SUBSTITUTE(SUBSTITUTE(Клиенты_исходные!D860," ",""),"-",""),"+",""),"(",""),")",""))=10,"+7 ("&amp;MID(SUBSTITUTE(SUBSTITUTE(SUBSTITUTE(SUBSTITUTE(SUBSTITUTE(Клиенты_исходные!D860," ",""),"-",""),"+",""),"(",""),")",""),1,3)&amp;") "&amp;MID(SUBSTITUTE(SUBSTITUTE(SUBSTITUTE(SUBSTITUTE(SUBSTITUTE(Клиенты_исходные!D860," ",""),"-",""),"+",""),"(",""),")",""),4,3)&amp;"-"&amp;MID(SUBSTITUTE(SUBSTITUTE(SUBSTITUTE(SUBSTITUTE(SUBSTITUTE(Клиенты_исходные!D860," ",""),"-",""),"+",""),"(",""),")",""),6,2)&amp;"-"&amp;MID(SUBSTITUTE(SUBSTITUTE(SUBSTITUTE(SUBSTITUTE(SUBSTITUTE(Клиенты_исходные!D860," ",""),"-",""),"+",""),"(",""),")",""),8,2),Клиенты_исходные!D860)))</f>
        <v xml:space="preserve">+7 (903) 234-56-78</v>
      </c>
      <c r="E860" t="str">
        <f>IF(ISBLANK(Клиенты_исходные!E860),"",IF(ISNUMBER(FIND(".",MID(Клиенты_исходные!E860,FIND("@",Клиенты_исходные!E860)+1,255))),Клиенты_исходные!E860,IF(ISNUMBER(FIND("gmail",Клиенты_исходные!E860)),Клиенты_исходные!E860&amp;".com",Клиенты_исходные!E860&amp;".ru")))</f>
        <v>morozova@mail.ru</v>
      </c>
      <c r="F860" t="str">
        <f>IFERROR(VLOOKUP(Клиенты_исходные!F860,Справочники!$J$2:$K$50,2,FALSE),Клиенты_исходные!F860)</f>
        <v>Шахты</v>
      </c>
      <c r="G860" s="8">
        <f>IFERROR(IF(ISNUMBER(FIND(".",Клиенты_исходные!G860)),DATE(RIGHT(Клиенты_исходные!G860,4),MID(Клиенты_исходные!G860,4,2),LEFT(Клиенты_исходные!G860,2)),DATE(LEFT(Клиенты_исходные!G860,4),MID(Клиенты_исходные!G860,6,2),RIGHT(Клиенты_исходные!G860,2))),Клиенты_исходные!G860)</f>
        <v>53267</v>
      </c>
      <c r="H860">
        <f t="shared" ca="1" si="85"/>
        <v>51</v>
      </c>
      <c r="I860" t="str">
        <f t="shared" si="86"/>
        <v>OK</v>
      </c>
      <c r="J860" t="str">
        <f t="shared" si="87"/>
        <v>OK</v>
      </c>
    </row>
    <row r="861">
      <c r="A861" t="str">
        <f>Клиенты_исходные!A861</f>
        <v>C0860</v>
      </c>
      <c r="B861" t="str">
        <f>PROPER(TRIM(Клиенты_исходные!B861))</f>
        <v xml:space="preserve">Кутузов Денис Сергеевич</v>
      </c>
      <c r="C861" s="8">
        <f>IFERROR(IF(ISNUMBER(FIND(".",Клиенты_исходные!C861)),DATE(RIGHT(Клиенты_исходные!C861,4),MID(Клиенты_исходные!C861,4,2),LEFT(Клиенты_исходные!C861,2)),DATE(LEFT(Клиенты_исходные!C861,4),MID(Клиенты_исходные!C861,6,2),RIGHT(Клиенты_исходные!C861,2))),Клиенты_исходные!C861)</f>
        <v>33670</v>
      </c>
      <c r="D861" t="str">
        <f>IF(ISBLANK(Клиенты_исходные!D861),"",IF(LEN(SUBSTITUTE(SUBSTITUTE(SUBSTITUTE(SUBSTITUTE(SUBSTITUTE(Клиенты_исходные!D861," ",""),"-",""),"+",""),"(",""),")",""))=11,"+7 ("&amp;MID(IF(LEFT(SUBSTITUTE(SUBSTITUTE(SUBSTITUTE(SUBSTITUTE(SUBSTITUTE(Клиенты_исходные!D861," ",""),"-",""),"+",""),"(",""),")",""))="8","7"&amp;MID(SUBSTITUTE(SUBSTITUTE(SUBSTITUTE(SUBSTITUTE(SUBSTITUTE(Клиенты_исходные!D861," ",""),"-",""),"+",""),"(",""),")",""),2,10),SUBSTITUTE(SUBSTITUTE(SUBSTITUTE(SUBSTITUTE(SUBSTITUTE(Клиенты_исходные!D861," ",""),"-",""),"+",""),"(",""),")","")),2,3)&amp;") "&amp;MID(IF(LEFT(SUBSTITUTE(SUBSTITUTE(SUBSTITUTE(SUBSTITUTE(SUBSTITUTE(Клиенты_исходные!D861," ",""),"-",""),"+",""),"(",""),")",""))="8","7"&amp;MID(SUBSTITUTE(SUBSTITUTE(SUBSTITUTE(SUBSTITUTE(SUBSTITUTE(Клиенты_исходные!D861," ",""),"-",""),"+",""),"(",""),")",""),2,10),SUBSTITUTE(SUBSTITUTE(SUBSTITUTE(SUBSTITUTE(SUBSTITUTE(Клиенты_исходные!D861," ",""),"-",""),"+",""),"(",""),")","")),5,3)&amp;"-"&amp;MID(IF(LEFT(SUBSTITUTE(SUBSTITUTE(SUBSTITUTE(SUBSTITUTE(SUBSTITUTE(Клиенты_исходные!D861," ",""),"-",""),"+",""),"(",""),")",""))="8","7"&amp;MID(SUBSTITUTE(SUBSTITUTE(SUBSTITUTE(SUBSTITUTE(SUBSTITUTE(Клиенты_исходные!D861," ",""),"-",""),"+",""),"(",""),")",""),2,10),SUBSTITUTE(SUBSTITUTE(SUBSTITUTE(SUBSTITUTE(SUBSTITUTE(Клиенты_исходные!D861," ",""),"-",""),"+",""),"(",""),")","")),8,2)&amp;"-"&amp;MID(IF(LEFT(SUBSTITUTE(SUBSTITUTE(SUBSTITUTE(SUBSTITUTE(SUBSTITUTE(Клиенты_исходные!D861," ",""),"-",""),"+",""),"(",""),")",""))="8","7"&amp;MID(SUBSTITUTE(SUBSTITUTE(SUBSTITUTE(SUBSTITUTE(SUBSTITUTE(Клиенты_исходные!D861," ",""),"-",""),"+",""),"(",""),")",""),2,10),SUBSTITUTE(SUBSTITUTE(SUBSTITUTE(SUBSTITUTE(SUBSTITUTE(Клиенты_исходные!D861," ",""),"-",""),"+",""),"(",""),")","")),10,2),IF(LEN(SUBSTITUTE(SUBSTITUTE(SUBSTITUTE(SUBSTITUTE(SUBSTITUTE(Клиенты_исходные!D861," ",""),"-",""),"+",""),"(",""),")",""))=10,"+7 ("&amp;MID(SUBSTITUTE(SUBSTITUTE(SUBSTITUTE(SUBSTITUTE(SUBSTITUTE(Клиенты_исходные!D861," ",""),"-",""),"+",""),"(",""),")",""),1,3)&amp;") "&amp;MID(SUBSTITUTE(SUBSTITUTE(SUBSTITUTE(SUBSTITUTE(SUBSTITUTE(Клиенты_исходные!D861," ",""),"-",""),"+",""),"(",""),")",""),4,3)&amp;"-"&amp;MID(SUBSTITUTE(SUBSTITUTE(SUBSTITUTE(SUBSTITUTE(SUBSTITUTE(Клиенты_исходные!D861," ",""),"-",""),"+",""),"(",""),")",""),6,2)&amp;"-"&amp;MID(SUBSTITUTE(SUBSTITUTE(SUBSTITUTE(SUBSTITUTE(SUBSTITUTE(Клиенты_исходные!D861," ",""),"-",""),"+",""),"(",""),")",""),8,2),Клиенты_исходные!D861)))</f>
        <v xml:space="preserve">+7 (903) 234-56-78</v>
      </c>
      <c r="E861" t="str">
        <f>IF(ISBLANK(Клиенты_исходные!E861),"",IF(ISNUMBER(FIND(".",MID(Клиенты_исходные!E861,FIND("@",Клиенты_исходные!E861)+1,255))),Клиенты_исходные!E861,IF(ISNUMBER(FIND("gmail",Клиенты_исходные!E861)),Клиенты_исходные!E861&amp;".com",Клиенты_исходные!E861&amp;".ru")))</f>
        <v>kutuzov@yandex.ru</v>
      </c>
      <c r="F861" t="str">
        <f>IFERROR(VLOOKUP(Клиенты_исходные!F861,Справочники!$J$2:$K$50,2,FALSE),Клиенты_исходные!F861)</f>
        <v>Златоуст</v>
      </c>
      <c r="G861" s="8">
        <f>IFERROR(IF(ISNUMBER(FIND(".",Клиенты_исходные!G861)),DATE(RIGHT(Клиенты_исходные!G861,4),MID(Клиенты_исходные!G861,4,2),LEFT(Клиенты_исходные!G861,2)),DATE(LEFT(Клиенты_исходные!G861,4),MID(Клиенты_исходные!G861,6,2),RIGHT(Клиенты_исходные!G861,2))),Клиенты_исходные!G861)</f>
        <v>53281</v>
      </c>
      <c r="H861">
        <f t="shared" ca="1" si="85"/>
        <v>34</v>
      </c>
      <c r="I861" t="str">
        <f t="shared" si="86"/>
        <v>OK</v>
      </c>
      <c r="J861" t="str">
        <f t="shared" si="87"/>
        <v>OK</v>
      </c>
    </row>
    <row r="862">
      <c r="A862" t="str">
        <f>Клиенты_исходные!A862</f>
        <v>C0861</v>
      </c>
      <c r="B862" t="str">
        <f>PROPER(TRIM(Клиенты_исходные!B862))</f>
        <v xml:space="preserve">Федотова Ольга Владимировна</v>
      </c>
      <c r="C862" s="8">
        <f>IFERROR(IF(ISNUMBER(FIND(".",Клиенты_исходные!C862)),DATE(RIGHT(Клиенты_исходные!C862,4),MID(Клиенты_исходные!C862,4,2),LEFT(Клиенты_исходные!C862,2)),DATE(LEFT(Клиенты_исходные!C862,4),MID(Клиенты_исходные!C862,6,2),RIGHT(Клиенты_исходные!C862,2))),Клиенты_исходные!C862)</f>
        <v>30608</v>
      </c>
      <c r="D862" t="str">
        <f>IF(ISBLANK(Клиенты_исходные!D862),"",IF(LEN(SUBSTITUTE(SUBSTITUTE(SUBSTITUTE(SUBSTITUTE(SUBSTITUTE(Клиенты_исходные!D862," ",""),"-",""),"+",""),"(",""),")",""))=11,"+7 ("&amp;MID(IF(LEFT(SUBSTITUTE(SUBSTITUTE(SUBSTITUTE(SUBSTITUTE(SUBSTITUTE(Клиенты_исходные!D862," ",""),"-",""),"+",""),"(",""),")",""))="8","7"&amp;MID(SUBSTITUTE(SUBSTITUTE(SUBSTITUTE(SUBSTITUTE(SUBSTITUTE(Клиенты_исходные!D862," ",""),"-",""),"+",""),"(",""),")",""),2,10),SUBSTITUTE(SUBSTITUTE(SUBSTITUTE(SUBSTITUTE(SUBSTITUTE(Клиенты_исходные!D862," ",""),"-",""),"+",""),"(",""),")","")),2,3)&amp;") "&amp;MID(IF(LEFT(SUBSTITUTE(SUBSTITUTE(SUBSTITUTE(SUBSTITUTE(SUBSTITUTE(Клиенты_исходные!D862," ",""),"-",""),"+",""),"(",""),")",""))="8","7"&amp;MID(SUBSTITUTE(SUBSTITUTE(SUBSTITUTE(SUBSTITUTE(SUBSTITUTE(Клиенты_исходные!D862," ",""),"-",""),"+",""),"(",""),")",""),2,10),SUBSTITUTE(SUBSTITUTE(SUBSTITUTE(SUBSTITUTE(SUBSTITUTE(Клиенты_исходные!D862," ",""),"-",""),"+",""),"(",""),")","")),5,3)&amp;"-"&amp;MID(IF(LEFT(SUBSTITUTE(SUBSTITUTE(SUBSTITUTE(SUBSTITUTE(SUBSTITUTE(Клиенты_исходные!D862," ",""),"-",""),"+",""),"(",""),")",""))="8","7"&amp;MID(SUBSTITUTE(SUBSTITUTE(SUBSTITUTE(SUBSTITUTE(SUBSTITUTE(Клиенты_исходные!D862," ",""),"-",""),"+",""),"(",""),")",""),2,10),SUBSTITUTE(SUBSTITUTE(SUBSTITUTE(SUBSTITUTE(SUBSTITUTE(Клиенты_исходные!D862," ",""),"-",""),"+",""),"(",""),")","")),8,2)&amp;"-"&amp;MID(IF(LEFT(SUBSTITUTE(SUBSTITUTE(SUBSTITUTE(SUBSTITUTE(SUBSTITUTE(Клиенты_исходные!D862," ",""),"-",""),"+",""),"(",""),")",""))="8","7"&amp;MID(SUBSTITUTE(SUBSTITUTE(SUBSTITUTE(SUBSTITUTE(SUBSTITUTE(Клиенты_исходные!D862," ",""),"-",""),"+",""),"(",""),")",""),2,10),SUBSTITUTE(SUBSTITUTE(SUBSTITUTE(SUBSTITUTE(SUBSTITUTE(Клиенты_исходные!D862," ",""),"-",""),"+",""),"(",""),")","")),10,2),IF(LEN(SUBSTITUTE(SUBSTITUTE(SUBSTITUTE(SUBSTITUTE(SUBSTITUTE(Клиенты_исходные!D862," ",""),"-",""),"+",""),"(",""),")",""))=10,"+7 ("&amp;MID(SUBSTITUTE(SUBSTITUTE(SUBSTITUTE(SUBSTITUTE(SUBSTITUTE(Клиенты_исходные!D862," ",""),"-",""),"+",""),"(",""),")",""),1,3)&amp;") "&amp;MID(SUBSTITUTE(SUBSTITUTE(SUBSTITUTE(SUBSTITUTE(SUBSTITUTE(Клиенты_исходные!D862," ",""),"-",""),"+",""),"(",""),")",""),4,3)&amp;"-"&amp;MID(SUBSTITUTE(SUBSTITUTE(SUBSTITUTE(SUBSTITUTE(SUBSTITUTE(Клиенты_исходные!D862," ",""),"-",""),"+",""),"(",""),")",""),6,2)&amp;"-"&amp;MID(SUBSTITUTE(SUBSTITUTE(SUBSTITUTE(SUBSTITUTE(SUBSTITUTE(Клиенты_исходные!D862," ",""),"-",""),"+",""),"(",""),")",""),8,2),Клиенты_исходные!D862)))</f>
        <v xml:space="preserve">+7 (903) 345-67-89</v>
      </c>
      <c r="E862" t="str">
        <f>IF(ISBLANK(Клиенты_исходные!E862),"",IF(ISNUMBER(FIND(".",MID(Клиенты_исходные!E862,FIND("@",Клиенты_исходные!E862)+1,255))),Клиенты_исходные!E862,IF(ISNUMBER(FIND("gmail",Клиенты_исходные!E862)),Клиенты_исходные!E862&amp;".com",Клиенты_исходные!E862&amp;".ru")))</f>
        <v>fedotova@gmail.com</v>
      </c>
      <c r="F862" t="str">
        <f>IFERROR(VLOOKUP(Клиенты_исходные!F862,Справочники!$J$2:$K$50,2,FALSE),Клиенты_исходные!F862)</f>
        <v>Ангарск</v>
      </c>
      <c r="G862" s="8">
        <f>IFERROR(IF(ISNUMBER(FIND(".",Клиенты_исходные!G862)),DATE(RIGHT(Клиенты_исходные!G862,4),MID(Клиенты_исходные!G862,4,2),LEFT(Клиенты_исходные!G862,2)),DATE(LEFT(Клиенты_исходные!G862,4),MID(Клиенты_исходные!G862,6,2),RIGHT(Клиенты_исходные!G862,2))),Клиенты_исходные!G862)</f>
        <v>53281</v>
      </c>
      <c r="H862">
        <f t="shared" ca="1" si="85"/>
        <v>42</v>
      </c>
      <c r="I862" t="str">
        <f t="shared" si="86"/>
        <v>OK</v>
      </c>
      <c r="J862" t="str">
        <f t="shared" si="87"/>
        <v>OK</v>
      </c>
    </row>
    <row r="863">
      <c r="A863" t="str">
        <f>Клиенты_исходные!A863</f>
        <v>C0862</v>
      </c>
      <c r="B863" t="str">
        <f>PROPER(TRIM(Клиенты_исходные!B863))</f>
        <v xml:space="preserve">Воробьев Илья Александрович</v>
      </c>
      <c r="C863" s="8">
        <f>IFERROR(IF(ISNUMBER(FIND(".",Клиенты_исходные!C863)),DATE(RIGHT(Клиенты_исходные!C863,4),MID(Клиенты_исходные!C863,4,2),LEFT(Клиенты_исходные!C863,2)),DATE(LEFT(Клиенты_исходные!C863,4),MID(Клиенты_исходные!C863,6,2),RIGHT(Клиенты_исходные!C863,2))),Клиенты_исходные!C863)</f>
        <v>28693</v>
      </c>
      <c r="D863" t="str">
        <f>IF(ISBLANK(Клиенты_исходные!D863),"",IF(LEN(SUBSTITUTE(SUBSTITUTE(SUBSTITUTE(SUBSTITUTE(SUBSTITUTE(Клиенты_исходные!D863," ",""),"-",""),"+",""),"(",""),")",""))=11,"+7 ("&amp;MID(IF(LEFT(SUBSTITUTE(SUBSTITUTE(SUBSTITUTE(SUBSTITUTE(SUBSTITUTE(Клиенты_исходные!D863," ",""),"-",""),"+",""),"(",""),")",""))="8","7"&amp;MID(SUBSTITUTE(SUBSTITUTE(SUBSTITUTE(SUBSTITUTE(SUBSTITUTE(Клиенты_исходные!D863," ",""),"-",""),"+",""),"(",""),")",""),2,10),SUBSTITUTE(SUBSTITUTE(SUBSTITUTE(SUBSTITUTE(SUBSTITUTE(Клиенты_исходные!D863," ",""),"-",""),"+",""),"(",""),")","")),2,3)&amp;") "&amp;MID(IF(LEFT(SUBSTITUTE(SUBSTITUTE(SUBSTITUTE(SUBSTITUTE(SUBSTITUTE(Клиенты_исходные!D863," ",""),"-",""),"+",""),"(",""),")",""))="8","7"&amp;MID(SUBSTITUTE(SUBSTITUTE(SUBSTITUTE(SUBSTITUTE(SUBSTITUTE(Клиенты_исходные!D863," ",""),"-",""),"+",""),"(",""),")",""),2,10),SUBSTITUTE(SUBSTITUTE(SUBSTITUTE(SUBSTITUTE(SUBSTITUTE(Клиенты_исходные!D863," ",""),"-",""),"+",""),"(",""),")","")),5,3)&amp;"-"&amp;MID(IF(LEFT(SUBSTITUTE(SUBSTITUTE(SUBSTITUTE(SUBSTITUTE(SUBSTITUTE(Клиенты_исходные!D863," ",""),"-",""),"+",""),"(",""),")",""))="8","7"&amp;MID(SUBSTITUTE(SUBSTITUTE(SUBSTITUTE(SUBSTITUTE(SUBSTITUTE(Клиенты_исходные!D863," ",""),"-",""),"+",""),"(",""),")",""),2,10),SUBSTITUTE(SUBSTITUTE(SUBSTITUTE(SUBSTITUTE(SUBSTITUTE(Клиенты_исходные!D863," ",""),"-",""),"+",""),"(",""),")","")),8,2)&amp;"-"&amp;MID(IF(LEFT(SUBSTITUTE(SUBSTITUTE(SUBSTITUTE(SUBSTITUTE(SUBSTITUTE(Клиенты_исходные!D863," ",""),"-",""),"+",""),"(",""),")",""))="8","7"&amp;MID(SUBSTITUTE(SUBSTITUTE(SUBSTITUTE(SUBSTITUTE(SUBSTITUTE(Клиенты_исходные!D863," ",""),"-",""),"+",""),"(",""),")",""),2,10),SUBSTITUTE(SUBSTITUTE(SUBSTITUTE(SUBSTITUTE(SUBSTITUTE(Клиенты_исходные!D863," ",""),"-",""),"+",""),"(",""),")","")),10,2),IF(LEN(SUBSTITUTE(SUBSTITUTE(SUBSTITUTE(SUBSTITUTE(SUBSTITUTE(Клиенты_исходные!D863," ",""),"-",""),"+",""),"(",""),")",""))=10,"+7 ("&amp;MID(SUBSTITUTE(SUBSTITUTE(SUBSTITUTE(SUBSTITUTE(SUBSTITUTE(Клиенты_исходные!D863," ",""),"-",""),"+",""),"(",""),")",""),1,3)&amp;") "&amp;MID(SUBSTITUTE(SUBSTITUTE(SUBSTITUTE(SUBSTITUTE(SUBSTITUTE(Клиенты_исходные!D863," ",""),"-",""),"+",""),"(",""),")",""),4,3)&amp;"-"&amp;MID(SUBSTITUTE(SUBSTITUTE(SUBSTITUTE(SUBSTITUTE(SUBSTITUTE(Клиенты_исходные!D863," ",""),"-",""),"+",""),"(",""),")",""),6,2)&amp;"-"&amp;MID(SUBSTITUTE(SUBSTITUTE(SUBSTITUTE(SUBSTITUTE(SUBSTITUTE(Клиенты_исходные!D863," ",""),"-",""),"+",""),"(",""),")",""),8,2),Клиенты_исходные!D863)))</f>
        <v xml:space="preserve">+7 (903) 345-67-89</v>
      </c>
      <c r="E863" t="str">
        <f>IF(ISBLANK(Клиенты_исходные!E863),"",IF(ISNUMBER(FIND(".",MID(Клиенты_исходные!E863,FIND("@",Клиенты_исходные!E863)+1,255))),Клиенты_исходные!E863,IF(ISNUMBER(FIND("gmail",Клиенты_исходные!E863)),Клиенты_исходные!E863&amp;".com",Клиенты_исходные!E863&amp;".ru")))</f>
        <v>vorobyev@mail.ru</v>
      </c>
      <c r="F863" t="str">
        <f>IFERROR(VLOOKUP(Клиенты_исходные!F863,Справочники!$J$2:$K$50,2,FALSE),Клиенты_исходные!F863)</f>
        <v>Озёрск</v>
      </c>
      <c r="G863" s="8">
        <f>IFERROR(IF(ISNUMBER(FIND(".",Клиенты_исходные!G863)),DATE(RIGHT(Клиенты_исходные!G863,4),MID(Клиенты_исходные!G863,4,2),LEFT(Клиенты_исходные!G863,2)),DATE(LEFT(Клиенты_исходные!G863,4),MID(Клиенты_исходные!G863,6,2),RIGHT(Клиенты_исходные!G863,2))),Клиенты_исходные!G863)</f>
        <v>53297</v>
      </c>
      <c r="H863">
        <f t="shared" ca="1" si="85"/>
        <v>48</v>
      </c>
      <c r="I863" t="str">
        <f t="shared" si="86"/>
        <v>OK</v>
      </c>
      <c r="J863" t="str">
        <f t="shared" si="87"/>
        <v>OK</v>
      </c>
    </row>
    <row r="864">
      <c r="A864" t="str">
        <f>Клиенты_исходные!A864</f>
        <v>C0863</v>
      </c>
      <c r="B864" t="str">
        <f>PROPER(TRIM(Клиенты_исходные!B864))</f>
        <v xml:space="preserve">Селиванова Екатерина Сергеевна</v>
      </c>
      <c r="C864" s="8">
        <f>IFERROR(IF(ISNUMBER(FIND(".",Клиенты_исходные!C864)),DATE(RIGHT(Клиенты_исходные!C864,4),MID(Клиенты_исходные!C864,4,2),LEFT(Клиенты_исходные!C864,2)),DATE(LEFT(Клиенты_исходные!C864,4),MID(Клиенты_исходные!C864,6,2),RIGHT(Клиенты_исходные!C864,2))),Клиенты_исходные!C864)</f>
        <v>32397</v>
      </c>
      <c r="D864" t="str">
        <f>IF(ISBLANK(Клиенты_исходные!D864),"",IF(LEN(SUBSTITUTE(SUBSTITUTE(SUBSTITUTE(SUBSTITUTE(SUBSTITUTE(Клиенты_исходные!D864," ",""),"-",""),"+",""),"(",""),")",""))=11,"+7 ("&amp;MID(IF(LEFT(SUBSTITUTE(SUBSTITUTE(SUBSTITUTE(SUBSTITUTE(SUBSTITUTE(Клиенты_исходные!D864," ",""),"-",""),"+",""),"(",""),")",""))="8","7"&amp;MID(SUBSTITUTE(SUBSTITUTE(SUBSTITUTE(SUBSTITUTE(SUBSTITUTE(Клиенты_исходные!D864," ",""),"-",""),"+",""),"(",""),")",""),2,10),SUBSTITUTE(SUBSTITUTE(SUBSTITUTE(SUBSTITUTE(SUBSTITUTE(Клиенты_исходные!D864," ",""),"-",""),"+",""),"(",""),")","")),2,3)&amp;") "&amp;MID(IF(LEFT(SUBSTITUTE(SUBSTITUTE(SUBSTITUTE(SUBSTITUTE(SUBSTITUTE(Клиенты_исходные!D864," ",""),"-",""),"+",""),"(",""),")",""))="8","7"&amp;MID(SUBSTITUTE(SUBSTITUTE(SUBSTITUTE(SUBSTITUTE(SUBSTITUTE(Клиенты_исходные!D864," ",""),"-",""),"+",""),"(",""),")",""),2,10),SUBSTITUTE(SUBSTITUTE(SUBSTITUTE(SUBSTITUTE(SUBSTITUTE(Клиенты_исходные!D864," ",""),"-",""),"+",""),"(",""),")","")),5,3)&amp;"-"&amp;MID(IF(LEFT(SUBSTITUTE(SUBSTITUTE(SUBSTITUTE(SUBSTITUTE(SUBSTITUTE(Клиенты_исходные!D864," ",""),"-",""),"+",""),"(",""),")",""))="8","7"&amp;MID(SUBSTITUTE(SUBSTITUTE(SUBSTITUTE(SUBSTITUTE(SUBSTITUTE(Клиенты_исходные!D864," ",""),"-",""),"+",""),"(",""),")",""),2,10),SUBSTITUTE(SUBSTITUTE(SUBSTITUTE(SUBSTITUTE(SUBSTITUTE(Клиенты_исходные!D864," ",""),"-",""),"+",""),"(",""),")","")),8,2)&amp;"-"&amp;MID(IF(LEFT(SUBSTITUTE(SUBSTITUTE(SUBSTITUTE(SUBSTITUTE(SUBSTITUTE(Клиенты_исходные!D864," ",""),"-",""),"+",""),"(",""),")",""))="8","7"&amp;MID(SUBSTITUTE(SUBSTITUTE(SUBSTITUTE(SUBSTITUTE(SUBSTITUTE(Клиенты_исходные!D864," ",""),"-",""),"+",""),"(",""),")",""),2,10),SUBSTITUTE(SUBSTITUTE(SUBSTITUTE(SUBSTITUTE(SUBSTITUTE(Клиенты_исходные!D864," ",""),"-",""),"+",""),"(",""),")","")),10,2),IF(LEN(SUBSTITUTE(SUBSTITUTE(SUBSTITUTE(SUBSTITUTE(SUBSTITUTE(Клиенты_исходные!D864," ",""),"-",""),"+",""),"(",""),")",""))=10,"+7 ("&amp;MID(SUBSTITUTE(SUBSTITUTE(SUBSTITUTE(SUBSTITUTE(SUBSTITUTE(Клиенты_исходные!D864," ",""),"-",""),"+",""),"(",""),")",""),1,3)&amp;") "&amp;MID(SUBSTITUTE(SUBSTITUTE(SUBSTITUTE(SUBSTITUTE(SUBSTITUTE(Клиенты_исходные!D864," ",""),"-",""),"+",""),"(",""),")",""),4,3)&amp;"-"&amp;MID(SUBSTITUTE(SUBSTITUTE(SUBSTITUTE(SUBSTITUTE(SUBSTITUTE(Клиенты_исходные!D864," ",""),"-",""),"+",""),"(",""),")",""),6,2)&amp;"-"&amp;MID(SUBSTITUTE(SUBSTITUTE(SUBSTITUTE(SUBSTITUTE(SUBSTITUTE(Клиенты_исходные!D864," ",""),"-",""),"+",""),"(",""),")",""),8,2),Клиенты_исходные!D864)))</f>
        <v xml:space="preserve">+7 (903) 345-67-89</v>
      </c>
      <c r="E864" t="str">
        <f>IF(ISBLANK(Клиенты_исходные!E864),"",IF(ISNUMBER(FIND(".",MID(Клиенты_исходные!E864,FIND("@",Клиенты_исходные!E864)+1,255))),Клиенты_исходные!E864,IF(ISNUMBER(FIND("gmail",Клиенты_исходные!E864)),Клиенты_исходные!E864&amp;".com",Клиенты_исходные!E864&amp;".ru")))</f>
        <v>selivanova@yandex.ru</v>
      </c>
      <c r="F864" t="str">
        <f>IFERROR(VLOOKUP(Клиенты_исходные!F864,Справочники!$J$2:$K$50,2,FALSE),Клиенты_исходные!F864)</f>
        <v>Орел</v>
      </c>
      <c r="G864" s="8">
        <f>IFERROR(IF(ISNUMBER(FIND(".",Клиенты_исходные!G864)),DATE(RIGHT(Клиенты_исходные!G864,4),MID(Клиенты_исходные!G864,4,2),LEFT(Клиенты_исходные!G864,2)),DATE(LEFT(Клиенты_исходные!G864,4),MID(Клиенты_исходные!G864,6,2),RIGHT(Клиенты_исходные!G864,2))),Клиенты_исходные!G864)</f>
        <v>53306</v>
      </c>
      <c r="H864">
        <f t="shared" ca="1" si="85"/>
        <v>38</v>
      </c>
      <c r="I864" t="str">
        <f t="shared" si="86"/>
        <v>OK</v>
      </c>
      <c r="J864" t="str">
        <f t="shared" si="87"/>
        <v>OK</v>
      </c>
    </row>
    <row r="865">
      <c r="A865" t="str">
        <f>Клиенты_исходные!A865</f>
        <v>C0864</v>
      </c>
      <c r="B865" t="str">
        <f>PROPER(TRIM(Клиенты_исходные!B865))</f>
        <v xml:space="preserve">Третьяков Андрей Олегович</v>
      </c>
      <c r="C865" s="8">
        <f>IFERROR(IF(ISNUMBER(FIND(".",Клиенты_исходные!C865)),DATE(RIGHT(Клиенты_исходные!C865,4),MID(Клиенты_исходные!C865,4,2),LEFT(Клиенты_исходные!C865,2)),DATE(LEFT(Клиенты_исходные!C865,4),MID(Клиенты_исходные!C865,6,2),RIGHT(Клиенты_исходные!C865,2))),Клиенты_исходные!C865)</f>
        <v>26067</v>
      </c>
      <c r="D865" t="str">
        <f>IF(ISBLANK(Клиенты_исходные!D865),"",IF(LEN(SUBSTITUTE(SUBSTITUTE(SUBSTITUTE(SUBSTITUTE(SUBSTITUTE(Клиенты_исходные!D865," ",""),"-",""),"+",""),"(",""),")",""))=11,"+7 ("&amp;MID(IF(LEFT(SUBSTITUTE(SUBSTITUTE(SUBSTITUTE(SUBSTITUTE(SUBSTITUTE(Клиенты_исходные!D865," ",""),"-",""),"+",""),"(",""),")",""))="8","7"&amp;MID(SUBSTITUTE(SUBSTITUTE(SUBSTITUTE(SUBSTITUTE(SUBSTITUTE(Клиенты_исходные!D865," ",""),"-",""),"+",""),"(",""),")",""),2,10),SUBSTITUTE(SUBSTITUTE(SUBSTITUTE(SUBSTITUTE(SUBSTITUTE(Клиенты_исходные!D865," ",""),"-",""),"+",""),"(",""),")","")),2,3)&amp;") "&amp;MID(IF(LEFT(SUBSTITUTE(SUBSTITUTE(SUBSTITUTE(SUBSTITUTE(SUBSTITUTE(Клиенты_исходные!D865," ",""),"-",""),"+",""),"(",""),")",""))="8","7"&amp;MID(SUBSTITUTE(SUBSTITUTE(SUBSTITUTE(SUBSTITUTE(SUBSTITUTE(Клиенты_исходные!D865," ",""),"-",""),"+",""),"(",""),")",""),2,10),SUBSTITUTE(SUBSTITUTE(SUBSTITUTE(SUBSTITUTE(SUBSTITUTE(Клиенты_исходные!D865," ",""),"-",""),"+",""),"(",""),")","")),5,3)&amp;"-"&amp;MID(IF(LEFT(SUBSTITUTE(SUBSTITUTE(SUBSTITUTE(SUBSTITUTE(SUBSTITUTE(Клиенты_исходные!D865," ",""),"-",""),"+",""),"(",""),")",""))="8","7"&amp;MID(SUBSTITUTE(SUBSTITUTE(SUBSTITUTE(SUBSTITUTE(SUBSTITUTE(Клиенты_исходные!D865," ",""),"-",""),"+",""),"(",""),")",""),2,10),SUBSTITUTE(SUBSTITUTE(SUBSTITUTE(SUBSTITUTE(SUBSTITUTE(Клиенты_исходные!D865," ",""),"-",""),"+",""),"(",""),")","")),8,2)&amp;"-"&amp;MID(IF(LEFT(SUBSTITUTE(SUBSTITUTE(SUBSTITUTE(SUBSTITUTE(SUBSTITUTE(Клиенты_исходные!D865," ",""),"-",""),"+",""),"(",""),")",""))="8","7"&amp;MID(SUBSTITUTE(SUBSTITUTE(SUBSTITUTE(SUBSTITUTE(SUBSTITUTE(Клиенты_исходные!D865," ",""),"-",""),"+",""),"(",""),")",""),2,10),SUBSTITUTE(SUBSTITUTE(SUBSTITUTE(SUBSTITUTE(SUBSTITUTE(Клиенты_исходные!D865," ",""),"-",""),"+",""),"(",""),")","")),10,2),IF(LEN(SUBSTITUTE(SUBSTITUTE(SUBSTITUTE(SUBSTITUTE(SUBSTITUTE(Клиенты_исходные!D865," ",""),"-",""),"+",""),"(",""),")",""))=10,"+7 ("&amp;MID(SUBSTITUTE(SUBSTITUTE(SUBSTITUTE(SUBSTITUTE(SUBSTITUTE(Клиенты_исходные!D865," ",""),"-",""),"+",""),"(",""),")",""),1,3)&amp;") "&amp;MID(SUBSTITUTE(SUBSTITUTE(SUBSTITUTE(SUBSTITUTE(SUBSTITUTE(Клиенты_исходные!D865," ",""),"-",""),"+",""),"(",""),")",""),4,3)&amp;"-"&amp;MID(SUBSTITUTE(SUBSTITUTE(SUBSTITUTE(SUBSTITUTE(SUBSTITUTE(Клиенты_исходные!D865," ",""),"-",""),"+",""),"(",""),")",""),6,2)&amp;"-"&amp;MID(SUBSTITUTE(SUBSTITUTE(SUBSTITUTE(SUBSTITUTE(SUBSTITUTE(Клиенты_исходные!D865," ",""),"-",""),"+",""),"(",""),")",""),8,2),Клиенты_исходные!D865)))</f>
        <v xml:space="preserve">+7 (903) 456-78-90</v>
      </c>
      <c r="E865" t="str">
        <f>IF(ISBLANK(Клиенты_исходные!E865),"",IF(ISNUMBER(FIND(".",MID(Клиенты_исходные!E865,FIND("@",Клиенты_исходные!E865)+1,255))),Клиенты_исходные!E865,IF(ISNUMBER(FIND("gmail",Клиенты_исходные!E865)),Клиенты_исходные!E865&amp;".com",Клиенты_исходные!E865&amp;".ru")))</f>
        <v>tretyakov@gmail.com</v>
      </c>
      <c r="F865" t="str">
        <f>IFERROR(VLOOKUP(Клиенты_исходные!F865,Справочники!$J$2:$K$50,2,FALSE),Клиенты_исходные!F865)</f>
        <v>Магнитогорск</v>
      </c>
      <c r="G865" s="8">
        <f>IFERROR(IF(ISNUMBER(FIND(".",Клиенты_исходные!G865)),DATE(RIGHT(Клиенты_исходные!G865,4),MID(Клиенты_исходные!G865,4,2),LEFT(Клиенты_исходные!G865,2)),DATE(LEFT(Клиенты_исходные!G865,4),MID(Клиенты_исходные!G865,6,2),RIGHT(Клиенты_исходные!G865,2))),Клиенты_исходные!G865)</f>
        <v>53306</v>
      </c>
      <c r="H865">
        <f t="shared" ca="1" si="85"/>
        <v>55</v>
      </c>
      <c r="I865" t="str">
        <f t="shared" si="86"/>
        <v>OK</v>
      </c>
      <c r="J865" t="str">
        <f t="shared" si="87"/>
        <v>OK</v>
      </c>
    </row>
    <row r="866">
      <c r="A866" t="str">
        <f>Клиенты_исходные!A866</f>
        <v>C0865</v>
      </c>
      <c r="B866" t="str">
        <f>PROPER(TRIM(Клиенты_исходные!B866))</f>
        <v xml:space="preserve">Решетникова Мария Павловна</v>
      </c>
      <c r="C866" s="8">
        <f>IFERROR(IF(ISNUMBER(FIND(".",Клиенты_исходные!C866)),DATE(RIGHT(Клиенты_исходные!C866,4),MID(Клиенты_исходные!C866,4,2),LEFT(Клиенты_исходные!C866,2)),DATE(LEFT(Клиенты_исходные!C866,4),MID(Клиенты_исходные!C866,6,2),RIGHT(Клиенты_исходные!C866,2))),Клиенты_исходные!C866)</f>
        <v>31139</v>
      </c>
      <c r="D866" t="str">
        <f>IF(ISBLANK(Клиенты_исходные!D866),"",IF(LEN(SUBSTITUTE(SUBSTITUTE(SUBSTITUTE(SUBSTITUTE(SUBSTITUTE(Клиенты_исходные!D866," ",""),"-",""),"+",""),"(",""),")",""))=11,"+7 ("&amp;MID(IF(LEFT(SUBSTITUTE(SUBSTITUTE(SUBSTITUTE(SUBSTITUTE(SUBSTITUTE(Клиенты_исходные!D866," ",""),"-",""),"+",""),"(",""),")",""))="8","7"&amp;MID(SUBSTITUTE(SUBSTITUTE(SUBSTITUTE(SUBSTITUTE(SUBSTITUTE(Клиенты_исходные!D866," ",""),"-",""),"+",""),"(",""),")",""),2,10),SUBSTITUTE(SUBSTITUTE(SUBSTITUTE(SUBSTITUTE(SUBSTITUTE(Клиенты_исходные!D866," ",""),"-",""),"+",""),"(",""),")","")),2,3)&amp;") "&amp;MID(IF(LEFT(SUBSTITUTE(SUBSTITUTE(SUBSTITUTE(SUBSTITUTE(SUBSTITUTE(Клиенты_исходные!D866," ",""),"-",""),"+",""),"(",""),")",""))="8","7"&amp;MID(SUBSTITUTE(SUBSTITUTE(SUBSTITUTE(SUBSTITUTE(SUBSTITUTE(Клиенты_исходные!D866," ",""),"-",""),"+",""),"(",""),")",""),2,10),SUBSTITUTE(SUBSTITUTE(SUBSTITUTE(SUBSTITUTE(SUBSTITUTE(Клиенты_исходные!D866," ",""),"-",""),"+",""),"(",""),")","")),5,3)&amp;"-"&amp;MID(IF(LEFT(SUBSTITUTE(SUBSTITUTE(SUBSTITUTE(SUBSTITUTE(SUBSTITUTE(Клиенты_исходные!D866," ",""),"-",""),"+",""),"(",""),")",""))="8","7"&amp;MID(SUBSTITUTE(SUBSTITUTE(SUBSTITUTE(SUBSTITUTE(SUBSTITUTE(Клиенты_исходные!D866," ",""),"-",""),"+",""),"(",""),")",""),2,10),SUBSTITUTE(SUBSTITUTE(SUBSTITUTE(SUBSTITUTE(SUBSTITUTE(Клиенты_исходные!D866," ",""),"-",""),"+",""),"(",""),")","")),8,2)&amp;"-"&amp;MID(IF(LEFT(SUBSTITUTE(SUBSTITUTE(SUBSTITUTE(SUBSTITUTE(SUBSTITUTE(Клиенты_исходные!D866," ",""),"-",""),"+",""),"(",""),")",""))="8","7"&amp;MID(SUBSTITUTE(SUBSTITUTE(SUBSTITUTE(SUBSTITUTE(SUBSTITUTE(Клиенты_исходные!D866," ",""),"-",""),"+",""),"(",""),")",""),2,10),SUBSTITUTE(SUBSTITUTE(SUBSTITUTE(SUBSTITUTE(SUBSTITUTE(Клиенты_исходные!D866," ",""),"-",""),"+",""),"(",""),")","")),10,2),IF(LEN(SUBSTITUTE(SUBSTITUTE(SUBSTITUTE(SUBSTITUTE(SUBSTITUTE(Клиенты_исходные!D866," ",""),"-",""),"+",""),"(",""),")",""))=10,"+7 ("&amp;MID(SUBSTITUTE(SUBSTITUTE(SUBSTITUTE(SUBSTITUTE(SUBSTITUTE(Клиенты_исходные!D866," ",""),"-",""),"+",""),"(",""),")",""),1,3)&amp;") "&amp;MID(SUBSTITUTE(SUBSTITUTE(SUBSTITUTE(SUBSTITUTE(SUBSTITUTE(Клиенты_исходные!D866," ",""),"-",""),"+",""),"(",""),")",""),4,3)&amp;"-"&amp;MID(SUBSTITUTE(SUBSTITUTE(SUBSTITUTE(SUBSTITUTE(SUBSTITUTE(Клиенты_исходные!D866," ",""),"-",""),"+",""),"(",""),")",""),6,2)&amp;"-"&amp;MID(SUBSTITUTE(SUBSTITUTE(SUBSTITUTE(SUBSTITUTE(SUBSTITUTE(Клиенты_исходные!D866," ",""),"-",""),"+",""),"(",""),")",""),8,2),Клиенты_исходные!D866)))</f>
        <v xml:space="preserve">+7 (903) 456-78-90</v>
      </c>
      <c r="E866" t="str">
        <f>IF(ISBLANK(Клиенты_исходные!E866),"",IF(ISNUMBER(FIND(".",MID(Клиенты_исходные!E866,FIND("@",Клиенты_исходные!E866)+1,255))),Клиенты_исходные!E866,IF(ISNUMBER(FIND("gmail",Клиенты_исходные!E866)),Клиенты_исходные!E866&amp;".com",Клиенты_исходные!E866&amp;".ru")))</f>
        <v>reshetnikova@mail.ru</v>
      </c>
      <c r="F866" t="str">
        <f>IFERROR(VLOOKUP(Клиенты_исходные!F866,Справочники!$J$2:$K$50,2,FALSE),Клиенты_исходные!F866)</f>
        <v>Якутск</v>
      </c>
      <c r="G866" s="8">
        <f>IFERROR(IF(ISNUMBER(FIND(".",Клиенты_исходные!G866)),DATE(RIGHT(Клиенты_исходные!G866,4),MID(Клиенты_исходные!G866,4,2),LEFT(Клиенты_исходные!G866,2)),DATE(LEFT(Клиенты_исходные!G866,4),MID(Клиенты_исходные!G866,6,2),RIGHT(Клиенты_исходные!G866,2))),Клиенты_исходные!G866)</f>
        <v>53328</v>
      </c>
      <c r="H866">
        <f t="shared" ca="1" si="85"/>
        <v>41</v>
      </c>
      <c r="I866" t="str">
        <f t="shared" si="86"/>
        <v>OK</v>
      </c>
      <c r="J866" t="str">
        <f t="shared" si="87"/>
        <v>OK</v>
      </c>
    </row>
    <row r="867">
      <c r="A867" t="str">
        <f>Клиенты_исходные!A867</f>
        <v>C0866</v>
      </c>
      <c r="B867" t="str">
        <f>PROPER(TRIM(Клиенты_исходные!B867))</f>
        <v xml:space="preserve">Попков Денис Викторович</v>
      </c>
      <c r="C867" s="8">
        <f>IFERROR(IF(ISNUMBER(FIND(".",Клиенты_исходные!C867)),DATE(RIGHT(Клиенты_исходные!C867,4),MID(Клиенты_исходные!C867,4,2),LEFT(Клиенты_исходные!C867,2)),DATE(LEFT(Клиенты_исходные!C867,4),MID(Клиенты_исходные!C867,6,2),RIGHT(Клиенты_исходные!C867,2))),Клиенты_исходные!C867)</f>
        <v>33042</v>
      </c>
      <c r="D867" t="str">
        <f>IF(ISBLANK(Клиенты_исходные!D867),"",IF(LEN(SUBSTITUTE(SUBSTITUTE(SUBSTITUTE(SUBSTITUTE(SUBSTITUTE(Клиенты_исходные!D867," ",""),"-",""),"+",""),"(",""),")",""))=11,"+7 ("&amp;MID(IF(LEFT(SUBSTITUTE(SUBSTITUTE(SUBSTITUTE(SUBSTITUTE(SUBSTITUTE(Клиенты_исходные!D867," ",""),"-",""),"+",""),"(",""),")",""))="8","7"&amp;MID(SUBSTITUTE(SUBSTITUTE(SUBSTITUTE(SUBSTITUTE(SUBSTITUTE(Клиенты_исходные!D867," ",""),"-",""),"+",""),"(",""),")",""),2,10),SUBSTITUTE(SUBSTITUTE(SUBSTITUTE(SUBSTITUTE(SUBSTITUTE(Клиенты_исходные!D867," ",""),"-",""),"+",""),"(",""),")","")),2,3)&amp;") "&amp;MID(IF(LEFT(SUBSTITUTE(SUBSTITUTE(SUBSTITUTE(SUBSTITUTE(SUBSTITUTE(Клиенты_исходные!D867," ",""),"-",""),"+",""),"(",""),")",""))="8","7"&amp;MID(SUBSTITUTE(SUBSTITUTE(SUBSTITUTE(SUBSTITUTE(SUBSTITUTE(Клиенты_исходные!D867," ",""),"-",""),"+",""),"(",""),")",""),2,10),SUBSTITUTE(SUBSTITUTE(SUBSTITUTE(SUBSTITUTE(SUBSTITUTE(Клиенты_исходные!D867," ",""),"-",""),"+",""),"(",""),")","")),5,3)&amp;"-"&amp;MID(IF(LEFT(SUBSTITUTE(SUBSTITUTE(SUBSTITUTE(SUBSTITUTE(SUBSTITUTE(Клиенты_исходные!D867," ",""),"-",""),"+",""),"(",""),")",""))="8","7"&amp;MID(SUBSTITUTE(SUBSTITUTE(SUBSTITUTE(SUBSTITUTE(SUBSTITUTE(Клиенты_исходные!D867," ",""),"-",""),"+",""),"(",""),")",""),2,10),SUBSTITUTE(SUBSTITUTE(SUBSTITUTE(SUBSTITUTE(SUBSTITUTE(Клиенты_исходные!D867," ",""),"-",""),"+",""),"(",""),")","")),8,2)&amp;"-"&amp;MID(IF(LEFT(SUBSTITUTE(SUBSTITUTE(SUBSTITUTE(SUBSTITUTE(SUBSTITUTE(Клиенты_исходные!D867," ",""),"-",""),"+",""),"(",""),")",""))="8","7"&amp;MID(SUBSTITUTE(SUBSTITUTE(SUBSTITUTE(SUBSTITUTE(SUBSTITUTE(Клиенты_исходные!D867," ",""),"-",""),"+",""),"(",""),")",""),2,10),SUBSTITUTE(SUBSTITUTE(SUBSTITUTE(SUBSTITUTE(SUBSTITUTE(Клиенты_исходные!D867," ",""),"-",""),"+",""),"(",""),")","")),10,2),IF(LEN(SUBSTITUTE(SUBSTITUTE(SUBSTITUTE(SUBSTITUTE(SUBSTITUTE(Клиенты_исходные!D867," ",""),"-",""),"+",""),"(",""),")",""))=10,"+7 ("&amp;MID(SUBSTITUTE(SUBSTITUTE(SUBSTITUTE(SUBSTITUTE(SUBSTITUTE(Клиенты_исходные!D867," ",""),"-",""),"+",""),"(",""),")",""),1,3)&amp;") "&amp;MID(SUBSTITUTE(SUBSTITUTE(SUBSTITUTE(SUBSTITUTE(SUBSTITUTE(Клиенты_исходные!D867," ",""),"-",""),"+",""),"(",""),")",""),4,3)&amp;"-"&amp;MID(SUBSTITUTE(SUBSTITUTE(SUBSTITUTE(SUBSTITUTE(SUBSTITUTE(Клиенты_исходные!D867," ",""),"-",""),"+",""),"(",""),")",""),6,2)&amp;"-"&amp;MID(SUBSTITUTE(SUBSTITUTE(SUBSTITUTE(SUBSTITUTE(SUBSTITUTE(Клиенты_исходные!D867," ",""),"-",""),"+",""),"(",""),")",""),8,2),Клиенты_исходные!D867)))</f>
        <v xml:space="preserve">+7 (903) 456-78-90</v>
      </c>
      <c r="E867" t="str">
        <f>IF(ISBLANK(Клиенты_исходные!E867),"",IF(ISNUMBER(FIND(".",MID(Клиенты_исходные!E867,FIND("@",Клиенты_исходные!E867)+1,255))),Клиенты_исходные!E867,IF(ISNUMBER(FIND("gmail",Клиенты_исходные!E867)),Клиенты_исходные!E867&amp;".com",Клиенты_исходные!E867&amp;".ru")))</f>
        <v>popkov@yandex.ru</v>
      </c>
      <c r="F867" t="str">
        <f>IFERROR(VLOOKUP(Клиенты_исходные!F867,Справочники!$J$2:$K$50,2,FALSE),Клиенты_исходные!F867)</f>
        <v>Чебоксары</v>
      </c>
      <c r="G867" s="8">
        <f>IFERROR(IF(ISNUMBER(FIND(".",Клиенты_исходные!G867)),DATE(RIGHT(Клиенты_исходные!G867,4),MID(Клиенты_исходные!G867,4,2),LEFT(Клиенты_исходные!G867,2)),DATE(LEFT(Клиенты_исходные!G867,4),MID(Клиенты_исходные!G867,6,2),RIGHT(Клиенты_исходные!G867,2))),Клиенты_исходные!G867)</f>
        <v>53342</v>
      </c>
      <c r="H867">
        <f t="shared" ca="1" si="85"/>
        <v>36</v>
      </c>
      <c r="I867" t="str">
        <f t="shared" si="86"/>
        <v>OK</v>
      </c>
      <c r="J867" t="str">
        <f t="shared" si="87"/>
        <v>OK</v>
      </c>
    </row>
    <row r="868">
      <c r="A868" t="str">
        <f>Клиенты_исходные!A868</f>
        <v>C0867</v>
      </c>
      <c r="B868" t="str">
        <f>PROPER(TRIM(Клиенты_исходные!B868))</f>
        <v xml:space="preserve">Шевцова Ольга Сергеевна</v>
      </c>
      <c r="C868" s="8">
        <f>IFERROR(IF(ISNUMBER(FIND(".",Клиенты_исходные!C868)),DATE(RIGHT(Клиенты_исходные!C868,4),MID(Клиенты_исходные!C868,4,2),LEFT(Клиенты_исходные!C868,2)),DATE(LEFT(Клиенты_исходные!C868,4),MID(Клиенты_исходные!C868,6,2),RIGHT(Клиенты_исходные!C868,2))),Клиенты_исходные!C868)</f>
        <v>28361</v>
      </c>
      <c r="D868" t="str">
        <f>IF(ISBLANK(Клиенты_исходные!D868),"",IF(LEN(SUBSTITUTE(SUBSTITUTE(SUBSTITUTE(SUBSTITUTE(SUBSTITUTE(Клиенты_исходные!D868," ",""),"-",""),"+",""),"(",""),")",""))=11,"+7 ("&amp;MID(IF(LEFT(SUBSTITUTE(SUBSTITUTE(SUBSTITUTE(SUBSTITUTE(SUBSTITUTE(Клиенты_исходные!D868," ",""),"-",""),"+",""),"(",""),")",""))="8","7"&amp;MID(SUBSTITUTE(SUBSTITUTE(SUBSTITUTE(SUBSTITUTE(SUBSTITUTE(Клиенты_исходные!D868," ",""),"-",""),"+",""),"(",""),")",""),2,10),SUBSTITUTE(SUBSTITUTE(SUBSTITUTE(SUBSTITUTE(SUBSTITUTE(Клиенты_исходные!D868," ",""),"-",""),"+",""),"(",""),")","")),2,3)&amp;") "&amp;MID(IF(LEFT(SUBSTITUTE(SUBSTITUTE(SUBSTITUTE(SUBSTITUTE(SUBSTITUTE(Клиенты_исходные!D868," ",""),"-",""),"+",""),"(",""),")",""))="8","7"&amp;MID(SUBSTITUTE(SUBSTITUTE(SUBSTITUTE(SUBSTITUTE(SUBSTITUTE(Клиенты_исходные!D868," ",""),"-",""),"+",""),"(",""),")",""),2,10),SUBSTITUTE(SUBSTITUTE(SUBSTITUTE(SUBSTITUTE(SUBSTITUTE(Клиенты_исходные!D868," ",""),"-",""),"+",""),"(",""),")","")),5,3)&amp;"-"&amp;MID(IF(LEFT(SUBSTITUTE(SUBSTITUTE(SUBSTITUTE(SUBSTITUTE(SUBSTITUTE(Клиенты_исходные!D868," ",""),"-",""),"+",""),"(",""),")",""))="8","7"&amp;MID(SUBSTITUTE(SUBSTITUTE(SUBSTITUTE(SUBSTITUTE(SUBSTITUTE(Клиенты_исходные!D868," ",""),"-",""),"+",""),"(",""),")",""),2,10),SUBSTITUTE(SUBSTITUTE(SUBSTITUTE(SUBSTITUTE(SUBSTITUTE(Клиенты_исходные!D868," ",""),"-",""),"+",""),"(",""),")","")),8,2)&amp;"-"&amp;MID(IF(LEFT(SUBSTITUTE(SUBSTITUTE(SUBSTITUTE(SUBSTITUTE(SUBSTITUTE(Клиенты_исходные!D868," ",""),"-",""),"+",""),"(",""),")",""))="8","7"&amp;MID(SUBSTITUTE(SUBSTITUTE(SUBSTITUTE(SUBSTITUTE(SUBSTITUTE(Клиенты_исходные!D868," ",""),"-",""),"+",""),"(",""),")",""),2,10),SUBSTITUTE(SUBSTITUTE(SUBSTITUTE(SUBSTITUTE(SUBSTITUTE(Клиенты_исходные!D868," ",""),"-",""),"+",""),"(",""),")","")),10,2),IF(LEN(SUBSTITUTE(SUBSTITUTE(SUBSTITUTE(SUBSTITUTE(SUBSTITUTE(Клиенты_исходные!D868," ",""),"-",""),"+",""),"(",""),")",""))=10,"+7 ("&amp;MID(SUBSTITUTE(SUBSTITUTE(SUBSTITUTE(SUBSTITUTE(SUBSTITUTE(Клиенты_исходные!D868," ",""),"-",""),"+",""),"(",""),")",""),1,3)&amp;") "&amp;MID(SUBSTITUTE(SUBSTITUTE(SUBSTITUTE(SUBSTITUTE(SUBSTITUTE(Клиенты_исходные!D868," ",""),"-",""),"+",""),"(",""),")",""),4,3)&amp;"-"&amp;MID(SUBSTITUTE(SUBSTITUTE(SUBSTITUTE(SUBSTITUTE(SUBSTITUTE(Клиенты_исходные!D868," ",""),"-",""),"+",""),"(",""),")",""),6,2)&amp;"-"&amp;MID(SUBSTITUTE(SUBSTITUTE(SUBSTITUTE(SUBSTITUTE(SUBSTITUTE(Клиенты_исходные!D868," ",""),"-",""),"+",""),"(",""),")",""),8,2),Клиенты_исходные!D868)))</f>
        <v xml:space="preserve">+7 (903) 567-89-01</v>
      </c>
      <c r="E868" t="str">
        <f>IF(ISBLANK(Клиенты_исходные!E868),"",IF(ISNUMBER(FIND(".",MID(Клиенты_исходные!E868,FIND("@",Клиенты_исходные!E868)+1,255))),Клиенты_исходные!E868,IF(ISNUMBER(FIND("gmail",Клиенты_исходные!E868)),Клиенты_исходные!E868&amp;".com",Клиенты_исходные!E868&amp;".ru")))</f>
        <v>shevtsova@gmail.com</v>
      </c>
      <c r="F868" t="str">
        <f>IFERROR(VLOOKUP(Клиенты_исходные!F868,Справочники!$J$2:$K$50,2,FALSE),Клиенты_исходные!F868)</f>
        <v>Мурманск</v>
      </c>
      <c r="G868" s="8">
        <f>IFERROR(IF(ISNUMBER(FIND(".",Клиенты_исходные!G868)),DATE(RIGHT(Клиенты_исходные!G868,4),MID(Клиенты_исходные!G868,4,2),LEFT(Клиенты_исходные!G868,2)),DATE(LEFT(Клиенты_исходные!G868,4),MID(Клиенты_исходные!G868,6,2),RIGHT(Клиенты_исходные!G868,2))),Клиенты_исходные!G868)</f>
        <v>53342</v>
      </c>
      <c r="H868">
        <f t="shared" ref="H868:H931" ca="1" si="88">DATEDIF(C868,TODAY(),"Y")</f>
        <v>49</v>
      </c>
      <c r="I868" t="str">
        <f t="shared" ref="I868:I931" si="89">IF(OR(H868&lt;18,H868&gt;80),"Ошибка даты рождения","OK")</f>
        <v>OK</v>
      </c>
      <c r="J868" t="str">
        <f t="shared" ref="J868:J931" si="90">IF(AND(ISNUMBER(FIND("@",E868)),ISNUMBER(FIND(".",MID(E868,FIND("@",E868)+1,255)))),"OK","Ошибка Email")</f>
        <v>OK</v>
      </c>
    </row>
    <row r="869">
      <c r="A869" t="str">
        <f>Клиенты_исходные!A869</f>
        <v>C0868</v>
      </c>
      <c r="B869" t="str">
        <f>PROPER(TRIM(Клиенты_исходные!B869))</f>
        <v xml:space="preserve">Казаков Илья Александрович</v>
      </c>
      <c r="C869" s="8">
        <f>IFERROR(IF(ISNUMBER(FIND(".",Клиенты_исходные!C869)),DATE(RIGHT(Клиенты_исходные!C869,4),MID(Клиенты_исходные!C869,4,2),LEFT(Клиенты_исходные!C869,2)),DATE(LEFT(Клиенты_исходные!C869,4),MID(Клиенты_исходные!C869,6,2),RIGHT(Клиенты_исходные!C869,2))),Клиенты_исходные!C869)</f>
        <v>30325</v>
      </c>
      <c r="D869" t="str">
        <f>IF(ISBLANK(Клиенты_исходные!D869),"",IF(LEN(SUBSTITUTE(SUBSTITUTE(SUBSTITUTE(SUBSTITUTE(SUBSTITUTE(Клиенты_исходные!D869," ",""),"-",""),"+",""),"(",""),")",""))=11,"+7 ("&amp;MID(IF(LEFT(SUBSTITUTE(SUBSTITUTE(SUBSTITUTE(SUBSTITUTE(SUBSTITUTE(Клиенты_исходные!D869," ",""),"-",""),"+",""),"(",""),")",""))="8","7"&amp;MID(SUBSTITUTE(SUBSTITUTE(SUBSTITUTE(SUBSTITUTE(SUBSTITUTE(Клиенты_исходные!D869," ",""),"-",""),"+",""),"(",""),")",""),2,10),SUBSTITUTE(SUBSTITUTE(SUBSTITUTE(SUBSTITUTE(SUBSTITUTE(Клиенты_исходные!D869," ",""),"-",""),"+",""),"(",""),")","")),2,3)&amp;") "&amp;MID(IF(LEFT(SUBSTITUTE(SUBSTITUTE(SUBSTITUTE(SUBSTITUTE(SUBSTITUTE(Клиенты_исходные!D869," ",""),"-",""),"+",""),"(",""),")",""))="8","7"&amp;MID(SUBSTITUTE(SUBSTITUTE(SUBSTITUTE(SUBSTITUTE(SUBSTITUTE(Клиенты_исходные!D869," ",""),"-",""),"+",""),"(",""),")",""),2,10),SUBSTITUTE(SUBSTITUTE(SUBSTITUTE(SUBSTITUTE(SUBSTITUTE(Клиенты_исходные!D869," ",""),"-",""),"+",""),"(",""),")","")),5,3)&amp;"-"&amp;MID(IF(LEFT(SUBSTITUTE(SUBSTITUTE(SUBSTITUTE(SUBSTITUTE(SUBSTITUTE(Клиенты_исходные!D869," ",""),"-",""),"+",""),"(",""),")",""))="8","7"&amp;MID(SUBSTITUTE(SUBSTITUTE(SUBSTITUTE(SUBSTITUTE(SUBSTITUTE(Клиенты_исходные!D869," ",""),"-",""),"+",""),"(",""),")",""),2,10),SUBSTITUTE(SUBSTITUTE(SUBSTITUTE(SUBSTITUTE(SUBSTITUTE(Клиенты_исходные!D869," ",""),"-",""),"+",""),"(",""),")","")),8,2)&amp;"-"&amp;MID(IF(LEFT(SUBSTITUTE(SUBSTITUTE(SUBSTITUTE(SUBSTITUTE(SUBSTITUTE(Клиенты_исходные!D869," ",""),"-",""),"+",""),"(",""),")",""))="8","7"&amp;MID(SUBSTITUTE(SUBSTITUTE(SUBSTITUTE(SUBSTITUTE(SUBSTITUTE(Клиенты_исходные!D869," ",""),"-",""),"+",""),"(",""),")",""),2,10),SUBSTITUTE(SUBSTITUTE(SUBSTITUTE(SUBSTITUTE(SUBSTITUTE(Клиенты_исходные!D869," ",""),"-",""),"+",""),"(",""),")","")),10,2),IF(LEN(SUBSTITUTE(SUBSTITUTE(SUBSTITUTE(SUBSTITUTE(SUBSTITUTE(Клиенты_исходные!D869," ",""),"-",""),"+",""),"(",""),")",""))=10,"+7 ("&amp;MID(SUBSTITUTE(SUBSTITUTE(SUBSTITUTE(SUBSTITUTE(SUBSTITUTE(Клиенты_исходные!D869," ",""),"-",""),"+",""),"(",""),")",""),1,3)&amp;") "&amp;MID(SUBSTITUTE(SUBSTITUTE(SUBSTITUTE(SUBSTITUTE(SUBSTITUTE(Клиенты_исходные!D869," ",""),"-",""),"+",""),"(",""),")",""),4,3)&amp;"-"&amp;MID(SUBSTITUTE(SUBSTITUTE(SUBSTITUTE(SUBSTITUTE(SUBSTITUTE(Клиенты_исходные!D869," ",""),"-",""),"+",""),"(",""),")",""),6,2)&amp;"-"&amp;MID(SUBSTITUTE(SUBSTITUTE(SUBSTITUTE(SUBSTITUTE(SUBSTITUTE(Клиенты_исходные!D869," ",""),"-",""),"+",""),"(",""),")",""),8,2),Клиенты_исходные!D869)))</f>
        <v xml:space="preserve">+7 (903) 567-89-01</v>
      </c>
      <c r="E869" t="str">
        <f>IF(ISBLANK(Клиенты_исходные!E869),"",IF(ISNUMBER(FIND(".",MID(Клиенты_исходные!E869,FIND("@",Клиенты_исходные!E869)+1,255))),Клиенты_исходные!E869,IF(ISNUMBER(FIND("gmail",Клиенты_исходные!E869)),Клиенты_исходные!E869&amp;".com",Клиенты_исходные!E869&amp;".ru")))</f>
        <v>kazakov@mail.ru</v>
      </c>
      <c r="F869" t="str">
        <f>IFERROR(VLOOKUP(Клиенты_исходные!F869,Справочники!$J$2:$K$50,2,FALSE),Клиенты_исходные!F869)</f>
        <v>Смоленск</v>
      </c>
      <c r="G869" s="8">
        <f>IFERROR(IF(ISNUMBER(FIND(".",Клиенты_исходные!G869)),DATE(RIGHT(Клиенты_исходные!G869,4),MID(Клиенты_исходные!G869,4,2),LEFT(Клиенты_исходные!G869,2)),DATE(LEFT(Клиенты_исходные!G869,4),MID(Клиенты_исходные!G869,6,2),RIGHT(Клиенты_исходные!G869,2))),Клиенты_исходные!G869)</f>
        <v>53359</v>
      </c>
      <c r="H869">
        <f t="shared" ca="1" si="88"/>
        <v>43</v>
      </c>
      <c r="I869" t="str">
        <f t="shared" si="89"/>
        <v>OK</v>
      </c>
      <c r="J869" t="str">
        <f t="shared" si="90"/>
        <v>OK</v>
      </c>
    </row>
    <row r="870">
      <c r="A870" t="str">
        <f>Клиенты_исходные!A870</f>
        <v>C0869</v>
      </c>
      <c r="B870" t="str">
        <f>PROPER(TRIM(Клиенты_исходные!B870))</f>
        <v xml:space="preserve">Кречетова Екатерина Владимировна</v>
      </c>
      <c r="C870" s="8">
        <f>IFERROR(IF(ISNUMBER(FIND(".",Клиенты_исходные!C870)),DATE(RIGHT(Клиенты_исходные!C870,4),MID(Клиенты_исходные!C870,4,2),LEFT(Клиенты_исходные!C870,2)),DATE(LEFT(Клиенты_исходные!C870,4),MID(Клиенты_исходные!C870,6,2),RIGHT(Клиенты_исходные!C870,2))),Клиенты_исходные!C870)</f>
        <v>33558</v>
      </c>
      <c r="D870" t="str">
        <f>IF(ISBLANK(Клиенты_исходные!D870),"",IF(LEN(SUBSTITUTE(SUBSTITUTE(SUBSTITUTE(SUBSTITUTE(SUBSTITUTE(Клиенты_исходные!D870," ",""),"-",""),"+",""),"(",""),")",""))=11,"+7 ("&amp;MID(IF(LEFT(SUBSTITUTE(SUBSTITUTE(SUBSTITUTE(SUBSTITUTE(SUBSTITUTE(Клиенты_исходные!D870," ",""),"-",""),"+",""),"(",""),")",""))="8","7"&amp;MID(SUBSTITUTE(SUBSTITUTE(SUBSTITUTE(SUBSTITUTE(SUBSTITUTE(Клиенты_исходные!D870," ",""),"-",""),"+",""),"(",""),")",""),2,10),SUBSTITUTE(SUBSTITUTE(SUBSTITUTE(SUBSTITUTE(SUBSTITUTE(Клиенты_исходные!D870," ",""),"-",""),"+",""),"(",""),")","")),2,3)&amp;") "&amp;MID(IF(LEFT(SUBSTITUTE(SUBSTITUTE(SUBSTITUTE(SUBSTITUTE(SUBSTITUTE(Клиенты_исходные!D870," ",""),"-",""),"+",""),"(",""),")",""))="8","7"&amp;MID(SUBSTITUTE(SUBSTITUTE(SUBSTITUTE(SUBSTITUTE(SUBSTITUTE(Клиенты_исходные!D870," ",""),"-",""),"+",""),"(",""),")",""),2,10),SUBSTITUTE(SUBSTITUTE(SUBSTITUTE(SUBSTITUTE(SUBSTITUTE(Клиенты_исходные!D870," ",""),"-",""),"+",""),"(",""),")","")),5,3)&amp;"-"&amp;MID(IF(LEFT(SUBSTITUTE(SUBSTITUTE(SUBSTITUTE(SUBSTITUTE(SUBSTITUTE(Клиенты_исходные!D870," ",""),"-",""),"+",""),"(",""),")",""))="8","7"&amp;MID(SUBSTITUTE(SUBSTITUTE(SUBSTITUTE(SUBSTITUTE(SUBSTITUTE(Клиенты_исходные!D870," ",""),"-",""),"+",""),"(",""),")",""),2,10),SUBSTITUTE(SUBSTITUTE(SUBSTITUTE(SUBSTITUTE(SUBSTITUTE(Клиенты_исходные!D870," ",""),"-",""),"+",""),"(",""),")","")),8,2)&amp;"-"&amp;MID(IF(LEFT(SUBSTITUTE(SUBSTITUTE(SUBSTITUTE(SUBSTITUTE(SUBSTITUTE(Клиенты_исходные!D870," ",""),"-",""),"+",""),"(",""),")",""))="8","7"&amp;MID(SUBSTITUTE(SUBSTITUTE(SUBSTITUTE(SUBSTITUTE(SUBSTITUTE(Клиенты_исходные!D870," ",""),"-",""),"+",""),"(",""),")",""),2,10),SUBSTITUTE(SUBSTITUTE(SUBSTITUTE(SUBSTITUTE(SUBSTITUTE(Клиенты_исходные!D870," ",""),"-",""),"+",""),"(",""),")","")),10,2),IF(LEN(SUBSTITUTE(SUBSTITUTE(SUBSTITUTE(SUBSTITUTE(SUBSTITUTE(Клиенты_исходные!D870," ",""),"-",""),"+",""),"(",""),")",""))=10,"+7 ("&amp;MID(SUBSTITUTE(SUBSTITUTE(SUBSTITUTE(SUBSTITUTE(SUBSTITUTE(Клиенты_исходные!D870," ",""),"-",""),"+",""),"(",""),")",""),1,3)&amp;") "&amp;MID(SUBSTITUTE(SUBSTITUTE(SUBSTITUTE(SUBSTITUTE(SUBSTITUTE(Клиенты_исходные!D870," ",""),"-",""),"+",""),"(",""),")",""),4,3)&amp;"-"&amp;MID(SUBSTITUTE(SUBSTITUTE(SUBSTITUTE(SUBSTITUTE(SUBSTITUTE(Клиенты_исходные!D870," ",""),"-",""),"+",""),"(",""),")",""),6,2)&amp;"-"&amp;MID(SUBSTITUTE(SUBSTITUTE(SUBSTITUTE(SUBSTITUTE(SUBSTITUTE(Клиенты_исходные!D870," ",""),"-",""),"+",""),"(",""),")",""),8,2),Клиенты_исходные!D870)))</f>
        <v xml:space="preserve">+7 (903) 567-89-01</v>
      </c>
      <c r="E870" t="str">
        <f>IF(ISBLANK(Клиенты_исходные!E870),"",IF(ISNUMBER(FIND(".",MID(Клиенты_исходные!E870,FIND("@",Клиенты_исходные!E870)+1,255))),Клиенты_исходные!E870,IF(ISNUMBER(FIND("gmail",Клиенты_исходные!E870)),Клиенты_исходные!E870&amp;".com",Клиенты_исходные!E870&amp;".ru")))</f>
        <v>krechetova@yandex.ru</v>
      </c>
      <c r="F870" t="str">
        <f>IFERROR(VLOOKUP(Клиенты_исходные!F870,Справочники!$J$2:$K$50,2,FALSE),Клиенты_исходные!F870)</f>
        <v>Тула</v>
      </c>
      <c r="G870" s="8">
        <f>IFERROR(IF(ISNUMBER(FIND(".",Клиенты_исходные!G870)),DATE(RIGHT(Клиенты_исходные!G870,4),MID(Клиенты_исходные!G870,4,2),LEFT(Клиенты_исходные!G870,2)),DATE(LEFT(Клиенты_исходные!G870,4),MID(Клиенты_исходные!G870,6,2),RIGHT(Клиенты_исходные!G870,2))),Клиенты_исходные!G870)</f>
        <v>53368</v>
      </c>
      <c r="H870">
        <f t="shared" ca="1" si="88"/>
        <v>34</v>
      </c>
      <c r="I870" t="str">
        <f t="shared" si="89"/>
        <v>OK</v>
      </c>
      <c r="J870" t="str">
        <f t="shared" si="90"/>
        <v>OK</v>
      </c>
    </row>
    <row r="871">
      <c r="A871" t="str">
        <f>Клиенты_исходные!A871</f>
        <v>C0870</v>
      </c>
      <c r="B871" t="str">
        <f>PROPER(TRIM(Клиенты_исходные!B871))</f>
        <v xml:space="preserve">Алёшин Андрей Олегович</v>
      </c>
      <c r="C871" s="8">
        <f>IFERROR(IF(ISNUMBER(FIND(".",Клиенты_исходные!C871)),DATE(RIGHT(Клиенты_исходные!C871,4),MID(Клиенты_исходные!C871,4,2),LEFT(Клиенты_исходные!C871,2)),DATE(LEFT(Клиенты_исходные!C871,4),MID(Клиенты_исходные!C871,6,2),RIGHT(Клиенты_исходные!C871,2))),Клиенты_исходные!C871)</f>
        <v>26636</v>
      </c>
      <c r="D871" t="str">
        <f>IF(ISBLANK(Клиенты_исходные!D871),"",IF(LEN(SUBSTITUTE(SUBSTITUTE(SUBSTITUTE(SUBSTITUTE(SUBSTITUTE(Клиенты_исходные!D871," ",""),"-",""),"+",""),"(",""),")",""))=11,"+7 ("&amp;MID(IF(LEFT(SUBSTITUTE(SUBSTITUTE(SUBSTITUTE(SUBSTITUTE(SUBSTITUTE(Клиенты_исходные!D871," ",""),"-",""),"+",""),"(",""),")",""))="8","7"&amp;MID(SUBSTITUTE(SUBSTITUTE(SUBSTITUTE(SUBSTITUTE(SUBSTITUTE(Клиенты_исходные!D871," ",""),"-",""),"+",""),"(",""),")",""),2,10),SUBSTITUTE(SUBSTITUTE(SUBSTITUTE(SUBSTITUTE(SUBSTITUTE(Клиенты_исходные!D871," ",""),"-",""),"+",""),"(",""),")","")),2,3)&amp;") "&amp;MID(IF(LEFT(SUBSTITUTE(SUBSTITUTE(SUBSTITUTE(SUBSTITUTE(SUBSTITUTE(Клиенты_исходные!D871," ",""),"-",""),"+",""),"(",""),")",""))="8","7"&amp;MID(SUBSTITUTE(SUBSTITUTE(SUBSTITUTE(SUBSTITUTE(SUBSTITUTE(Клиенты_исходные!D871," ",""),"-",""),"+",""),"(",""),")",""),2,10),SUBSTITUTE(SUBSTITUTE(SUBSTITUTE(SUBSTITUTE(SUBSTITUTE(Клиенты_исходные!D871," ",""),"-",""),"+",""),"(",""),")","")),5,3)&amp;"-"&amp;MID(IF(LEFT(SUBSTITUTE(SUBSTITUTE(SUBSTITUTE(SUBSTITUTE(SUBSTITUTE(Клиенты_исходные!D871," ",""),"-",""),"+",""),"(",""),")",""))="8","7"&amp;MID(SUBSTITUTE(SUBSTITUTE(SUBSTITUTE(SUBSTITUTE(SUBSTITUTE(Клиенты_исходные!D871," ",""),"-",""),"+",""),"(",""),")",""),2,10),SUBSTITUTE(SUBSTITUTE(SUBSTITUTE(SUBSTITUTE(SUBSTITUTE(Клиенты_исходные!D871," ",""),"-",""),"+",""),"(",""),")","")),8,2)&amp;"-"&amp;MID(IF(LEFT(SUBSTITUTE(SUBSTITUTE(SUBSTITUTE(SUBSTITUTE(SUBSTITUTE(Клиенты_исходные!D871," ",""),"-",""),"+",""),"(",""),")",""))="8","7"&amp;MID(SUBSTITUTE(SUBSTITUTE(SUBSTITUTE(SUBSTITUTE(SUBSTITUTE(Клиенты_исходные!D871," ",""),"-",""),"+",""),"(",""),")",""),2,10),SUBSTITUTE(SUBSTITUTE(SUBSTITUTE(SUBSTITUTE(SUBSTITUTE(Клиенты_исходные!D871," ",""),"-",""),"+",""),"(",""),")","")),10,2),IF(LEN(SUBSTITUTE(SUBSTITUTE(SUBSTITUTE(SUBSTITUTE(SUBSTITUTE(Клиенты_исходные!D871," ",""),"-",""),"+",""),"(",""),")",""))=10,"+7 ("&amp;MID(SUBSTITUTE(SUBSTITUTE(SUBSTITUTE(SUBSTITUTE(SUBSTITUTE(Клиенты_исходные!D871," ",""),"-",""),"+",""),"(",""),")",""),1,3)&amp;") "&amp;MID(SUBSTITUTE(SUBSTITUTE(SUBSTITUTE(SUBSTITUTE(SUBSTITUTE(Клиенты_исходные!D871," ",""),"-",""),"+",""),"(",""),")",""),4,3)&amp;"-"&amp;MID(SUBSTITUTE(SUBSTITUTE(SUBSTITUTE(SUBSTITUTE(SUBSTITUTE(Клиенты_исходные!D871," ",""),"-",""),"+",""),"(",""),")",""),6,2)&amp;"-"&amp;MID(SUBSTITUTE(SUBSTITUTE(SUBSTITUTE(SUBSTITUTE(SUBSTITUTE(Клиенты_исходные!D871," ",""),"-",""),"+",""),"(",""),")",""),8,2),Клиенты_исходные!D871)))</f>
        <v xml:space="preserve">+7 (903) 678-90-12</v>
      </c>
      <c r="E871" t="str">
        <f>IF(ISBLANK(Клиенты_исходные!E871),"",IF(ISNUMBER(FIND(".",MID(Клиенты_исходные!E871,FIND("@",Клиенты_исходные!E871)+1,255))),Клиенты_исходные!E871,IF(ISNUMBER(FIND("gmail",Клиенты_исходные!E871)),Клиенты_исходные!E871&amp;".com",Клиенты_исходные!E871&amp;".ru")))</f>
        <v>aleshin@gmail.com</v>
      </c>
      <c r="F871" t="str">
        <f>IFERROR(VLOOKUP(Клиенты_исходные!F871,Справочники!$J$2:$K$50,2,FALSE),Клиенты_исходные!F871)</f>
        <v>Калуга</v>
      </c>
      <c r="G871" s="8">
        <f>IFERROR(IF(ISNUMBER(FIND(".",Клиенты_исходные!G871)),DATE(RIGHT(Клиенты_исходные!G871,4),MID(Клиенты_исходные!G871,4,2),LEFT(Клиенты_исходные!G871,2)),DATE(LEFT(Клиенты_исходные!G871,4),MID(Клиенты_исходные!G871,6,2),RIGHT(Клиенты_исходные!G871,2))),Клиенты_исходные!G871)</f>
        <v>53368</v>
      </c>
      <c r="H871">
        <f t="shared" ca="1" si="88"/>
        <v>53</v>
      </c>
      <c r="I871" t="str">
        <f t="shared" si="89"/>
        <v>OK</v>
      </c>
      <c r="J871" t="str">
        <f t="shared" si="90"/>
        <v>OK</v>
      </c>
    </row>
    <row r="872">
      <c r="A872" t="str">
        <f>Клиенты_исходные!A872</f>
        <v>C0871</v>
      </c>
      <c r="B872" t="str">
        <f>PROPER(TRIM(Клиенты_исходные!B872))</f>
        <v xml:space="preserve">Парфёнова Мария Павловна</v>
      </c>
      <c r="C872" s="8">
        <f>IFERROR(IF(ISNUMBER(FIND(".",Клиенты_исходные!C872)),DATE(RIGHT(Клиенты_исходные!C872,4),MID(Клиенты_исходные!C872,4,2),LEFT(Клиенты_исходные!C872,2)),DATE(LEFT(Клиенты_исходные!C872,4),MID(Клиенты_исходные!C872,6,2),RIGHT(Клиенты_исходные!C872,2))),Клиенты_исходные!C872)</f>
        <v>31620</v>
      </c>
      <c r="D872" t="str">
        <f>IF(ISBLANK(Клиенты_исходные!D872),"",IF(LEN(SUBSTITUTE(SUBSTITUTE(SUBSTITUTE(SUBSTITUTE(SUBSTITUTE(Клиенты_исходные!D872," ",""),"-",""),"+",""),"(",""),")",""))=11,"+7 ("&amp;MID(IF(LEFT(SUBSTITUTE(SUBSTITUTE(SUBSTITUTE(SUBSTITUTE(SUBSTITUTE(Клиенты_исходные!D872," ",""),"-",""),"+",""),"(",""),")",""))="8","7"&amp;MID(SUBSTITUTE(SUBSTITUTE(SUBSTITUTE(SUBSTITUTE(SUBSTITUTE(Клиенты_исходные!D872," ",""),"-",""),"+",""),"(",""),")",""),2,10),SUBSTITUTE(SUBSTITUTE(SUBSTITUTE(SUBSTITUTE(SUBSTITUTE(Клиенты_исходные!D872," ",""),"-",""),"+",""),"(",""),")","")),2,3)&amp;") "&amp;MID(IF(LEFT(SUBSTITUTE(SUBSTITUTE(SUBSTITUTE(SUBSTITUTE(SUBSTITUTE(Клиенты_исходные!D872," ",""),"-",""),"+",""),"(",""),")",""))="8","7"&amp;MID(SUBSTITUTE(SUBSTITUTE(SUBSTITUTE(SUBSTITUTE(SUBSTITUTE(Клиенты_исходные!D872," ",""),"-",""),"+",""),"(",""),")",""),2,10),SUBSTITUTE(SUBSTITUTE(SUBSTITUTE(SUBSTITUTE(SUBSTITUTE(Клиенты_исходные!D872," ",""),"-",""),"+",""),"(",""),")","")),5,3)&amp;"-"&amp;MID(IF(LEFT(SUBSTITUTE(SUBSTITUTE(SUBSTITUTE(SUBSTITUTE(SUBSTITUTE(Клиенты_исходные!D872," ",""),"-",""),"+",""),"(",""),")",""))="8","7"&amp;MID(SUBSTITUTE(SUBSTITUTE(SUBSTITUTE(SUBSTITUTE(SUBSTITUTE(Клиенты_исходные!D872," ",""),"-",""),"+",""),"(",""),")",""),2,10),SUBSTITUTE(SUBSTITUTE(SUBSTITUTE(SUBSTITUTE(SUBSTITUTE(Клиенты_исходные!D872," ",""),"-",""),"+",""),"(",""),")","")),8,2)&amp;"-"&amp;MID(IF(LEFT(SUBSTITUTE(SUBSTITUTE(SUBSTITUTE(SUBSTITUTE(SUBSTITUTE(Клиенты_исходные!D872," ",""),"-",""),"+",""),"(",""),")",""))="8","7"&amp;MID(SUBSTITUTE(SUBSTITUTE(SUBSTITUTE(SUBSTITUTE(SUBSTITUTE(Клиенты_исходные!D872," ",""),"-",""),"+",""),"(",""),")",""),2,10),SUBSTITUTE(SUBSTITUTE(SUBSTITUTE(SUBSTITUTE(SUBSTITUTE(Клиенты_исходные!D872," ",""),"-",""),"+",""),"(",""),")","")),10,2),IF(LEN(SUBSTITUTE(SUBSTITUTE(SUBSTITUTE(SUBSTITUTE(SUBSTITUTE(Клиенты_исходные!D872," ",""),"-",""),"+",""),"(",""),")",""))=10,"+7 ("&amp;MID(SUBSTITUTE(SUBSTITUTE(SUBSTITUTE(SUBSTITUTE(SUBSTITUTE(Клиенты_исходные!D872," ",""),"-",""),"+",""),"(",""),")",""),1,3)&amp;") "&amp;MID(SUBSTITUTE(SUBSTITUTE(SUBSTITUTE(SUBSTITUTE(SUBSTITUTE(Клиенты_исходные!D872," ",""),"-",""),"+",""),"(",""),")",""),4,3)&amp;"-"&amp;MID(SUBSTITUTE(SUBSTITUTE(SUBSTITUTE(SUBSTITUTE(SUBSTITUTE(Клиенты_исходные!D872," ",""),"-",""),"+",""),"(",""),")",""),6,2)&amp;"-"&amp;MID(SUBSTITUTE(SUBSTITUTE(SUBSTITUTE(SUBSTITUTE(SUBSTITUTE(Клиенты_исходные!D872," ",""),"-",""),"+",""),"(",""),")",""),8,2),Клиенты_исходные!D872)))</f>
        <v xml:space="preserve">+7 (903) 678-90-12</v>
      </c>
      <c r="E872" t="str">
        <f>IF(ISBLANK(Клиенты_исходные!E872),"",IF(ISNUMBER(FIND(".",MID(Клиенты_исходные!E872,FIND("@",Клиенты_исходные!E872)+1,255))),Клиенты_исходные!E872,IF(ISNUMBER(FIND("gmail",Клиенты_исходные!E872)),Клиенты_исходные!E872&amp;".com",Клиенты_исходные!E872&amp;".ru")))</f>
        <v>parfyonova@mail.ru</v>
      </c>
      <c r="F872" t="str">
        <f>IFERROR(VLOOKUP(Клиенты_исходные!F872,Справочники!$J$2:$K$50,2,FALSE),Клиенты_исходные!F872)</f>
        <v>Владикавказ</v>
      </c>
      <c r="G872" s="8">
        <f>IFERROR(IF(ISNUMBER(FIND(".",Клиенты_исходные!G872)),DATE(RIGHT(Клиенты_исходные!G872,4),MID(Клиенты_исходные!G872,4,2),LEFT(Клиенты_исходные!G872,2)),DATE(LEFT(Клиенты_исходные!G872,4),MID(Клиенты_исходные!G872,6,2),RIGHT(Клиенты_исходные!G872,2))),Клиенты_исходные!G872)</f>
        <v>53387</v>
      </c>
      <c r="H872">
        <f t="shared" ca="1" si="88"/>
        <v>40</v>
      </c>
      <c r="I872" t="str">
        <f t="shared" si="89"/>
        <v>OK</v>
      </c>
      <c r="J872" t="str">
        <f t="shared" si="90"/>
        <v>OK</v>
      </c>
    </row>
    <row r="873">
      <c r="A873" t="str">
        <f>Клиенты_исходные!A873</f>
        <v>C0872</v>
      </c>
      <c r="B873" t="str">
        <f>PROPER(TRIM(Клиенты_исходные!B873))</f>
        <v xml:space="preserve">Гаврилов Денис Сергеевич</v>
      </c>
      <c r="C873" s="8">
        <f>IFERROR(IF(ISNUMBER(FIND(".",Клиенты_исходные!C873)),DATE(RIGHT(Клиенты_исходные!C873,4),MID(Клиенты_исходные!C873,4,2),LEFT(Клиенты_исходные!C873,2)),DATE(LEFT(Клиенты_исходные!C873,4),MID(Клиенты_исходные!C873,6,2),RIGHT(Клиенты_исходные!C873,2))),Клиенты_исходные!C873)</f>
        <v>28896</v>
      </c>
      <c r="D873" t="str">
        <f>IF(ISBLANK(Клиенты_исходные!D873),"",IF(LEN(SUBSTITUTE(SUBSTITUTE(SUBSTITUTE(SUBSTITUTE(SUBSTITUTE(Клиенты_исходные!D873," ",""),"-",""),"+",""),"(",""),")",""))=11,"+7 ("&amp;MID(IF(LEFT(SUBSTITUTE(SUBSTITUTE(SUBSTITUTE(SUBSTITUTE(SUBSTITUTE(Клиенты_исходные!D873," ",""),"-",""),"+",""),"(",""),")",""))="8","7"&amp;MID(SUBSTITUTE(SUBSTITUTE(SUBSTITUTE(SUBSTITUTE(SUBSTITUTE(Клиенты_исходные!D873," ",""),"-",""),"+",""),"(",""),")",""),2,10),SUBSTITUTE(SUBSTITUTE(SUBSTITUTE(SUBSTITUTE(SUBSTITUTE(Клиенты_исходные!D873," ",""),"-",""),"+",""),"(",""),")","")),2,3)&amp;") "&amp;MID(IF(LEFT(SUBSTITUTE(SUBSTITUTE(SUBSTITUTE(SUBSTITUTE(SUBSTITUTE(Клиенты_исходные!D873," ",""),"-",""),"+",""),"(",""),")",""))="8","7"&amp;MID(SUBSTITUTE(SUBSTITUTE(SUBSTITUTE(SUBSTITUTE(SUBSTITUTE(Клиенты_исходные!D873," ",""),"-",""),"+",""),"(",""),")",""),2,10),SUBSTITUTE(SUBSTITUTE(SUBSTITUTE(SUBSTITUTE(SUBSTITUTE(Клиенты_исходные!D873," ",""),"-",""),"+",""),"(",""),")","")),5,3)&amp;"-"&amp;MID(IF(LEFT(SUBSTITUTE(SUBSTITUTE(SUBSTITUTE(SUBSTITUTE(SUBSTITUTE(Клиенты_исходные!D873," ",""),"-",""),"+",""),"(",""),")",""))="8","7"&amp;MID(SUBSTITUTE(SUBSTITUTE(SUBSTITUTE(SUBSTITUTE(SUBSTITUTE(Клиенты_исходные!D873," ",""),"-",""),"+",""),"(",""),")",""),2,10),SUBSTITUTE(SUBSTITUTE(SUBSTITUTE(SUBSTITUTE(SUBSTITUTE(Клиенты_исходные!D873," ",""),"-",""),"+",""),"(",""),")","")),8,2)&amp;"-"&amp;MID(IF(LEFT(SUBSTITUTE(SUBSTITUTE(SUBSTITUTE(SUBSTITUTE(SUBSTITUTE(Клиенты_исходные!D873," ",""),"-",""),"+",""),"(",""),")",""))="8","7"&amp;MID(SUBSTITUTE(SUBSTITUTE(SUBSTITUTE(SUBSTITUTE(SUBSTITUTE(Клиенты_исходные!D873," ",""),"-",""),"+",""),"(",""),")",""),2,10),SUBSTITUTE(SUBSTITUTE(SUBSTITUTE(SUBSTITUTE(SUBSTITUTE(Клиенты_исходные!D873," ",""),"-",""),"+",""),"(",""),")","")),10,2),IF(LEN(SUBSTITUTE(SUBSTITUTE(SUBSTITUTE(SUBSTITUTE(SUBSTITUTE(Клиенты_исходные!D873," ",""),"-",""),"+",""),"(",""),")",""))=10,"+7 ("&amp;MID(SUBSTITUTE(SUBSTITUTE(SUBSTITUTE(SUBSTITUTE(SUBSTITUTE(Клиенты_исходные!D873," ",""),"-",""),"+",""),"(",""),")",""),1,3)&amp;") "&amp;MID(SUBSTITUTE(SUBSTITUTE(SUBSTITUTE(SUBSTITUTE(SUBSTITUTE(Клиенты_исходные!D873," ",""),"-",""),"+",""),"(",""),")",""),4,3)&amp;"-"&amp;MID(SUBSTITUTE(SUBSTITUTE(SUBSTITUTE(SUBSTITUTE(SUBSTITUTE(Клиенты_исходные!D873," ",""),"-",""),"+",""),"(",""),")",""),6,2)&amp;"-"&amp;MID(SUBSTITUTE(SUBSTITUTE(SUBSTITUTE(SUBSTITUTE(SUBSTITUTE(Клиенты_исходные!D873," ",""),"-",""),"+",""),"(",""),")",""),8,2),Клиенты_исходные!D873)))</f>
        <v xml:space="preserve">+7 (903) 678-90-12</v>
      </c>
      <c r="E873" t="str">
        <f>IF(ISBLANK(Клиенты_исходные!E873),"",IF(ISNUMBER(FIND(".",MID(Клиенты_исходные!E873,FIND("@",Клиенты_исходные!E873)+1,255))),Клиенты_исходные!E873,IF(ISNUMBER(FIND("gmail",Клиенты_исходные!E873)),Клиенты_исходные!E873&amp;".com",Клиенты_исходные!E873&amp;".ru")))</f>
        <v>gavrilov@yandex.ru</v>
      </c>
      <c r="F873" t="str">
        <f>IFERROR(VLOOKUP(Клиенты_исходные!F873,Справочники!$J$2:$K$50,2,FALSE),Клиенты_исходные!F873)</f>
        <v>Смоленск</v>
      </c>
      <c r="G873" s="8">
        <f>IFERROR(IF(ISNUMBER(FIND(".",Клиенты_исходные!G873)),DATE(RIGHT(Клиенты_исходные!G873,4),MID(Клиенты_исходные!G873,4,2),LEFT(Клиенты_исходные!G873,2)),DATE(LEFT(Клиенты_исходные!G873,4),MID(Клиенты_исходные!G873,6,2),RIGHT(Клиенты_исходные!G873,2))),Клиенты_исходные!G873)</f>
        <v>53401</v>
      </c>
      <c r="H873">
        <f t="shared" ca="1" si="88"/>
        <v>47</v>
      </c>
      <c r="I873" t="str">
        <f t="shared" si="89"/>
        <v>OK</v>
      </c>
      <c r="J873" t="str">
        <f t="shared" si="90"/>
        <v>OK</v>
      </c>
    </row>
    <row r="874">
      <c r="A874" t="str">
        <f>Клиенты_исходные!A874</f>
        <v>C0873</v>
      </c>
      <c r="B874" t="str">
        <f>PROPER(TRIM(Клиенты_исходные!B874))</f>
        <v xml:space="preserve">Корчагина Ольга Владимировна</v>
      </c>
      <c r="C874" s="8">
        <f>IFERROR(IF(ISNUMBER(FIND(".",Клиенты_исходные!C874)),DATE(RIGHT(Клиенты_исходные!C874,4),MID(Клиенты_исходные!C874,4,2),LEFT(Клиенты_исходные!C874,2)),DATE(LEFT(Клиенты_исходные!C874,4),MID(Клиенты_исходные!C874,6,2),RIGHT(Клиенты_исходные!C874,2))),Клиенты_исходные!C874)</f>
        <v>30968</v>
      </c>
      <c r="D874" t="str">
        <f>IF(ISBLANK(Клиенты_исходные!D874),"",IF(LEN(SUBSTITUTE(SUBSTITUTE(SUBSTITUTE(SUBSTITUTE(SUBSTITUTE(Клиенты_исходные!D874," ",""),"-",""),"+",""),"(",""),")",""))=11,"+7 ("&amp;MID(IF(LEFT(SUBSTITUTE(SUBSTITUTE(SUBSTITUTE(SUBSTITUTE(SUBSTITUTE(Клиенты_исходные!D874," ",""),"-",""),"+",""),"(",""),")",""))="8","7"&amp;MID(SUBSTITUTE(SUBSTITUTE(SUBSTITUTE(SUBSTITUTE(SUBSTITUTE(Клиенты_исходные!D874," ",""),"-",""),"+",""),"(",""),")",""),2,10),SUBSTITUTE(SUBSTITUTE(SUBSTITUTE(SUBSTITUTE(SUBSTITUTE(Клиенты_исходные!D874," ",""),"-",""),"+",""),"(",""),")","")),2,3)&amp;") "&amp;MID(IF(LEFT(SUBSTITUTE(SUBSTITUTE(SUBSTITUTE(SUBSTITUTE(SUBSTITUTE(Клиенты_исходные!D874," ",""),"-",""),"+",""),"(",""),")",""))="8","7"&amp;MID(SUBSTITUTE(SUBSTITUTE(SUBSTITUTE(SUBSTITUTE(SUBSTITUTE(Клиенты_исходные!D874," ",""),"-",""),"+",""),"(",""),")",""),2,10),SUBSTITUTE(SUBSTITUTE(SUBSTITUTE(SUBSTITUTE(SUBSTITUTE(Клиенты_исходные!D874," ",""),"-",""),"+",""),"(",""),")","")),5,3)&amp;"-"&amp;MID(IF(LEFT(SUBSTITUTE(SUBSTITUTE(SUBSTITUTE(SUBSTITUTE(SUBSTITUTE(Клиенты_исходные!D874," ",""),"-",""),"+",""),"(",""),")",""))="8","7"&amp;MID(SUBSTITUTE(SUBSTITUTE(SUBSTITUTE(SUBSTITUTE(SUBSTITUTE(Клиенты_исходные!D874," ",""),"-",""),"+",""),"(",""),")",""),2,10),SUBSTITUTE(SUBSTITUTE(SUBSTITUTE(SUBSTITUTE(SUBSTITUTE(Клиенты_исходные!D874," ",""),"-",""),"+",""),"(",""),")","")),8,2)&amp;"-"&amp;MID(IF(LEFT(SUBSTITUTE(SUBSTITUTE(SUBSTITUTE(SUBSTITUTE(SUBSTITUTE(Клиенты_исходные!D874," ",""),"-",""),"+",""),"(",""),")",""))="8","7"&amp;MID(SUBSTITUTE(SUBSTITUTE(SUBSTITUTE(SUBSTITUTE(SUBSTITUTE(Клиенты_исходные!D874," ",""),"-",""),"+",""),"(",""),")",""),2,10),SUBSTITUTE(SUBSTITUTE(SUBSTITUTE(SUBSTITUTE(SUBSTITUTE(Клиенты_исходные!D874," ",""),"-",""),"+",""),"(",""),")","")),10,2),IF(LEN(SUBSTITUTE(SUBSTITUTE(SUBSTITUTE(SUBSTITUTE(SUBSTITUTE(Клиенты_исходные!D874," ",""),"-",""),"+",""),"(",""),")",""))=10,"+7 ("&amp;MID(SUBSTITUTE(SUBSTITUTE(SUBSTITUTE(SUBSTITUTE(SUBSTITUTE(Клиенты_исходные!D874," ",""),"-",""),"+",""),"(",""),")",""),1,3)&amp;") "&amp;MID(SUBSTITUTE(SUBSTITUTE(SUBSTITUTE(SUBSTITUTE(SUBSTITUTE(Клиенты_исходные!D874," ",""),"-",""),"+",""),"(",""),")",""),4,3)&amp;"-"&amp;MID(SUBSTITUTE(SUBSTITUTE(SUBSTITUTE(SUBSTITUTE(SUBSTITUTE(Клиенты_исходные!D874," ",""),"-",""),"+",""),"(",""),")",""),6,2)&amp;"-"&amp;MID(SUBSTITUTE(SUBSTITUTE(SUBSTITUTE(SUBSTITUTE(SUBSTITUTE(Клиенты_исходные!D874," ",""),"-",""),"+",""),"(",""),")",""),8,2),Клиенты_исходные!D874)))</f>
        <v xml:space="preserve">+7 (903) 789-01-23</v>
      </c>
      <c r="E874" t="str">
        <f>IF(ISBLANK(Клиенты_исходные!E874),"",IF(ISNUMBER(FIND(".",MID(Клиенты_исходные!E874,FIND("@",Клиенты_исходные!E874)+1,255))),Клиенты_исходные!E874,IF(ISNUMBER(FIND("gmail",Клиенты_исходные!E874)),Клиенты_исходные!E874&amp;".com",Клиенты_исходные!E874&amp;".ru")))</f>
        <v>korchagina@gmail.com</v>
      </c>
      <c r="F874" t="str">
        <f>IFERROR(VLOOKUP(Клиенты_исходные!F874,Справочники!$J$2:$K$50,2,FALSE),Клиенты_исходные!F874)</f>
        <v>Белгород</v>
      </c>
      <c r="G874" s="8">
        <f>IFERROR(IF(ISNUMBER(FIND(".",Клиенты_исходные!G874)),DATE(RIGHT(Клиенты_исходные!G874,4),MID(Клиенты_исходные!G874,4,2),LEFT(Клиенты_исходные!G874,2)),DATE(LEFT(Клиенты_исходные!G874,4),MID(Клиенты_исходные!G874,6,2),RIGHT(Клиенты_исходные!G874,2))),Клиенты_исходные!G874)</f>
        <v>53401</v>
      </c>
      <c r="H874">
        <f t="shared" ca="1" si="88"/>
        <v>41</v>
      </c>
      <c r="I874" t="str">
        <f t="shared" si="89"/>
        <v>OK</v>
      </c>
      <c r="J874" t="str">
        <f t="shared" si="90"/>
        <v>OK</v>
      </c>
    </row>
    <row r="875">
      <c r="A875" t="str">
        <f>Клиенты_исходные!A875</f>
        <v>C0874</v>
      </c>
      <c r="B875" t="str">
        <f>PROPER(TRIM(Клиенты_исходные!B875))</f>
        <v xml:space="preserve">Гуляева Екатерина Александровна</v>
      </c>
      <c r="C875" s="8">
        <f>IFERROR(IF(ISNUMBER(FIND(".",Клиенты_исходные!C875)),DATE(RIGHT(Клиенты_исходные!C875,4),MID(Клиенты_исходные!C875,4,2),LEFT(Клиенты_исходные!C875,2)),DATE(LEFT(Клиенты_исходные!C875,4),MID(Клиенты_исходные!C875,6,2),RIGHT(Клиенты_исходные!C875,2))),Клиенты_исходные!C875)</f>
        <v>27170</v>
      </c>
      <c r="D875" t="str">
        <f>IF(ISBLANK(Клиенты_исходные!D875),"",IF(LEN(SUBSTITUTE(SUBSTITUTE(SUBSTITUTE(SUBSTITUTE(SUBSTITUTE(Клиенты_исходные!D875," ",""),"-",""),"+",""),"(",""),")",""))=11,"+7 ("&amp;MID(IF(LEFT(SUBSTITUTE(SUBSTITUTE(SUBSTITUTE(SUBSTITUTE(SUBSTITUTE(Клиенты_исходные!D875," ",""),"-",""),"+",""),"(",""),")",""))="8","7"&amp;MID(SUBSTITUTE(SUBSTITUTE(SUBSTITUTE(SUBSTITUTE(SUBSTITUTE(Клиенты_исходные!D875," ",""),"-",""),"+",""),"(",""),")",""),2,10),SUBSTITUTE(SUBSTITUTE(SUBSTITUTE(SUBSTITUTE(SUBSTITUTE(Клиенты_исходные!D875," ",""),"-",""),"+",""),"(",""),")","")),2,3)&amp;") "&amp;MID(IF(LEFT(SUBSTITUTE(SUBSTITUTE(SUBSTITUTE(SUBSTITUTE(SUBSTITUTE(Клиенты_исходные!D875," ",""),"-",""),"+",""),"(",""),")",""))="8","7"&amp;MID(SUBSTITUTE(SUBSTITUTE(SUBSTITUTE(SUBSTITUTE(SUBSTITUTE(Клиенты_исходные!D875," ",""),"-",""),"+",""),"(",""),")",""),2,10),SUBSTITUTE(SUBSTITUTE(SUBSTITUTE(SUBSTITUTE(SUBSTITUTE(Клиенты_исходные!D875," ",""),"-",""),"+",""),"(",""),")","")),5,3)&amp;"-"&amp;MID(IF(LEFT(SUBSTITUTE(SUBSTITUTE(SUBSTITUTE(SUBSTITUTE(SUBSTITUTE(Клиенты_исходные!D875," ",""),"-",""),"+",""),"(",""),")",""))="8","7"&amp;MID(SUBSTITUTE(SUBSTITUTE(SUBSTITUTE(SUBSTITUTE(SUBSTITUTE(Клиенты_исходные!D875," ",""),"-",""),"+",""),"(",""),")",""),2,10),SUBSTITUTE(SUBSTITUTE(SUBSTITUTE(SUBSTITUTE(SUBSTITUTE(Клиенты_исходные!D875," ",""),"-",""),"+",""),"(",""),")","")),8,2)&amp;"-"&amp;MID(IF(LEFT(SUBSTITUTE(SUBSTITUTE(SUBSTITUTE(SUBSTITUTE(SUBSTITUTE(Клиенты_исходные!D875," ",""),"-",""),"+",""),"(",""),")",""))="8","7"&amp;MID(SUBSTITUTE(SUBSTITUTE(SUBSTITUTE(SUBSTITUTE(SUBSTITUTE(Клиенты_исходные!D875," ",""),"-",""),"+",""),"(",""),")",""),2,10),SUBSTITUTE(SUBSTITUTE(SUBSTITUTE(SUBSTITUTE(SUBSTITUTE(Клиенты_исходные!D875," ",""),"-",""),"+",""),"(",""),")","")),10,2),IF(LEN(SUBSTITUTE(SUBSTITUTE(SUBSTITUTE(SUBSTITUTE(SUBSTITUTE(Клиенты_исходные!D875," ",""),"-",""),"+",""),"(",""),")",""))=10,"+7 ("&amp;MID(SUBSTITUTE(SUBSTITUTE(SUBSTITUTE(SUBSTITUTE(SUBSTITUTE(Клиенты_исходные!D875," ",""),"-",""),"+",""),"(",""),")",""),1,3)&amp;") "&amp;MID(SUBSTITUTE(SUBSTITUTE(SUBSTITUTE(SUBSTITUTE(SUBSTITUTE(Клиенты_исходные!D875," ",""),"-",""),"+",""),"(",""),")",""),4,3)&amp;"-"&amp;MID(SUBSTITUTE(SUBSTITUTE(SUBSTITUTE(SUBSTITUTE(SUBSTITUTE(Клиенты_исходные!D875," ",""),"-",""),"+",""),"(",""),")",""),6,2)&amp;"-"&amp;MID(SUBSTITUTE(SUBSTITUTE(SUBSTITUTE(SUBSTITUTE(SUBSTITUTE(Клиенты_исходные!D875," ",""),"-",""),"+",""),"(",""),")",""),8,2),Клиенты_исходные!D875)))</f>
        <v xml:space="preserve">+7 (903) 789-01-23</v>
      </c>
      <c r="E875" t="str">
        <f>IF(ISBLANK(Клиенты_исходные!E875),"",IF(ISNUMBER(FIND(".",MID(Клиенты_исходные!E875,FIND("@",Клиенты_исходные!E875)+1,255))),Клиенты_исходные!E875,IF(ISNUMBER(FIND("gmail",Клиенты_исходные!E875)),Клиенты_исходные!E875&amp;".com",Клиенты_исходные!E875&amp;".ru")))</f>
        <v>gulyaeva@mail.ru</v>
      </c>
      <c r="F875" t="str">
        <f>IFERROR(VLOOKUP(Клиенты_исходные!F875,Справочники!$J$2:$K$50,2,FALSE),Клиенты_исходные!F875)</f>
        <v>Мурманск</v>
      </c>
      <c r="G875" s="8">
        <f>IFERROR(IF(ISNUMBER(FIND(".",Клиенты_исходные!G875)),DATE(RIGHT(Клиенты_исходные!G875,4),MID(Клиенты_исходные!G875,4,2),LEFT(Клиенты_исходные!G875,2)),DATE(LEFT(Клиенты_исходные!G875,4),MID(Клиенты_исходные!G875,6,2),RIGHT(Клиенты_исходные!G875,2))),Клиенты_исходные!G875)</f>
        <v>53418</v>
      </c>
      <c r="H875">
        <f t="shared" ca="1" si="88"/>
        <v>52</v>
      </c>
      <c r="I875" t="str">
        <f t="shared" si="89"/>
        <v>OK</v>
      </c>
      <c r="J875" t="str">
        <f t="shared" si="90"/>
        <v>OK</v>
      </c>
    </row>
    <row r="876">
      <c r="A876" t="str">
        <f>Клиенты_исходные!A876</f>
        <v>C0875</v>
      </c>
      <c r="B876" t="str">
        <f>PROPER(TRIM(Клиенты_исходные!B876))</f>
        <v xml:space="preserve">Бережной Илья Викторович</v>
      </c>
      <c r="C876" s="8">
        <f>IFERROR(IF(ISNUMBER(FIND(".",Клиенты_исходные!C876)),DATE(RIGHT(Клиенты_исходные!C876,4),MID(Клиенты_исходные!C876,4,2),LEFT(Клиенты_исходные!C876,2)),DATE(LEFT(Клиенты_исходные!C876,4),MID(Клиенты_исходные!C876,6,2),RIGHT(Клиенты_исходные!C876,2))),Клиенты_исходные!C876)</f>
        <v>30171</v>
      </c>
      <c r="D876" t="str">
        <f>IF(ISBLANK(Клиенты_исходные!D876),"",IF(LEN(SUBSTITUTE(SUBSTITUTE(SUBSTITUTE(SUBSTITUTE(SUBSTITUTE(Клиенты_исходные!D876," ",""),"-",""),"+",""),"(",""),")",""))=11,"+7 ("&amp;MID(IF(LEFT(SUBSTITUTE(SUBSTITUTE(SUBSTITUTE(SUBSTITUTE(SUBSTITUTE(Клиенты_исходные!D876," ",""),"-",""),"+",""),"(",""),")",""))="8","7"&amp;MID(SUBSTITUTE(SUBSTITUTE(SUBSTITUTE(SUBSTITUTE(SUBSTITUTE(Клиенты_исходные!D876," ",""),"-",""),"+",""),"(",""),")",""),2,10),SUBSTITUTE(SUBSTITUTE(SUBSTITUTE(SUBSTITUTE(SUBSTITUTE(Клиенты_исходные!D876," ",""),"-",""),"+",""),"(",""),")","")),2,3)&amp;") "&amp;MID(IF(LEFT(SUBSTITUTE(SUBSTITUTE(SUBSTITUTE(SUBSTITUTE(SUBSTITUTE(Клиенты_исходные!D876," ",""),"-",""),"+",""),"(",""),")",""))="8","7"&amp;MID(SUBSTITUTE(SUBSTITUTE(SUBSTITUTE(SUBSTITUTE(SUBSTITUTE(Клиенты_исходные!D876," ",""),"-",""),"+",""),"(",""),")",""),2,10),SUBSTITUTE(SUBSTITUTE(SUBSTITUTE(SUBSTITUTE(SUBSTITUTE(Клиенты_исходные!D876," ",""),"-",""),"+",""),"(",""),")","")),5,3)&amp;"-"&amp;MID(IF(LEFT(SUBSTITUTE(SUBSTITUTE(SUBSTITUTE(SUBSTITUTE(SUBSTITUTE(Клиенты_исходные!D876," ",""),"-",""),"+",""),"(",""),")",""))="8","7"&amp;MID(SUBSTITUTE(SUBSTITUTE(SUBSTITUTE(SUBSTITUTE(SUBSTITUTE(Клиенты_исходные!D876," ",""),"-",""),"+",""),"(",""),")",""),2,10),SUBSTITUTE(SUBSTITUTE(SUBSTITUTE(SUBSTITUTE(SUBSTITUTE(Клиенты_исходные!D876," ",""),"-",""),"+",""),"(",""),")","")),8,2)&amp;"-"&amp;MID(IF(LEFT(SUBSTITUTE(SUBSTITUTE(SUBSTITUTE(SUBSTITUTE(SUBSTITUTE(Клиенты_исходные!D876," ",""),"-",""),"+",""),"(",""),")",""))="8","7"&amp;MID(SUBSTITUTE(SUBSTITUTE(SUBSTITUTE(SUBSTITUTE(SUBSTITUTE(Клиенты_исходные!D876," ",""),"-",""),"+",""),"(",""),")",""),2,10),SUBSTITUTE(SUBSTITUTE(SUBSTITUTE(SUBSTITUTE(SUBSTITUTE(Клиенты_исходные!D876," ",""),"-",""),"+",""),"(",""),")","")),10,2),IF(LEN(SUBSTITUTE(SUBSTITUTE(SUBSTITUTE(SUBSTITUTE(SUBSTITUTE(Клиенты_исходные!D876," ",""),"-",""),"+",""),"(",""),")",""))=10,"+7 ("&amp;MID(SUBSTITUTE(SUBSTITUTE(SUBSTITUTE(SUBSTITUTE(SUBSTITUTE(Клиенты_исходные!D876," ",""),"-",""),"+",""),"(",""),")",""),1,3)&amp;") "&amp;MID(SUBSTITUTE(SUBSTITUTE(SUBSTITUTE(SUBSTITUTE(SUBSTITUTE(Клиенты_исходные!D876," ",""),"-",""),"+",""),"(",""),")",""),4,3)&amp;"-"&amp;MID(SUBSTITUTE(SUBSTITUTE(SUBSTITUTE(SUBSTITUTE(SUBSTITUTE(Клиенты_исходные!D876," ",""),"-",""),"+",""),"(",""),")",""),6,2)&amp;"-"&amp;MID(SUBSTITUTE(SUBSTITUTE(SUBSTITUTE(SUBSTITUTE(SUBSTITUTE(Клиенты_исходные!D876," ",""),"-",""),"+",""),"(",""),")",""),8,2),Клиенты_исходные!D876)))</f>
        <v xml:space="preserve">+7 (903) 789-01-23</v>
      </c>
      <c r="E876" t="str">
        <f>IF(ISBLANK(Клиенты_исходные!E876),"",IF(ISNUMBER(FIND(".",MID(Клиенты_исходные!E876,FIND("@",Клиенты_исходные!E876)+1,255))),Клиенты_исходные!E876,IF(ISNUMBER(FIND("gmail",Клиенты_исходные!E876)),Клиенты_исходные!E876&amp;".com",Клиенты_исходные!E876&amp;".ru")))</f>
        <v>berezhnoy@yandex.ru</v>
      </c>
      <c r="F876" t="str">
        <f>IFERROR(VLOOKUP(Клиенты_исходные!F876,Справочники!$J$2:$K$50,2,FALSE),Клиенты_исходные!F876)</f>
        <v>Ставрополь</v>
      </c>
      <c r="G876" s="8">
        <f>IFERROR(IF(ISNUMBER(FIND(".",Клиенты_исходные!G876)),DATE(RIGHT(Клиенты_исходные!G876,4),MID(Клиенты_исходные!G876,4,2),LEFT(Клиенты_исходные!G876,2)),DATE(LEFT(Клиенты_исходные!G876,4),MID(Клиенты_исходные!G876,6,2),RIGHT(Клиенты_исходные!G876,2))),Клиенты_исходные!G876)</f>
        <v>53427</v>
      </c>
      <c r="H876">
        <f t="shared" ca="1" si="88"/>
        <v>44</v>
      </c>
      <c r="I876" t="str">
        <f t="shared" si="89"/>
        <v>OK</v>
      </c>
      <c r="J876" t="str">
        <f t="shared" si="90"/>
        <v>OK</v>
      </c>
    </row>
    <row r="877">
      <c r="A877" t="str">
        <f>Клиенты_исходные!A877</f>
        <v>C0876</v>
      </c>
      <c r="B877" t="str">
        <f>PROPER(TRIM(Клиенты_исходные!B877))</f>
        <v xml:space="preserve">Булатова Мария Олеговна</v>
      </c>
      <c r="C877" s="8">
        <f>IFERROR(IF(ISNUMBER(FIND(".",Клиенты_исходные!C877)),DATE(RIGHT(Клиенты_исходные!C877,4),MID(Клиенты_исходные!C877,4,2),LEFT(Клиенты_исходные!C877,2)),DATE(LEFT(Клиенты_исходные!C877,4),MID(Клиенты_исходные!C877,6,2),RIGHT(Клиенты_исходные!C877,2))),Клиенты_исходные!C877)</f>
        <v>33183</v>
      </c>
      <c r="D877" t="str">
        <f>IF(ISBLANK(Клиенты_исходные!D877),"",IF(LEN(SUBSTITUTE(SUBSTITUTE(SUBSTITUTE(SUBSTITUTE(SUBSTITUTE(Клиенты_исходные!D877," ",""),"-",""),"+",""),"(",""),")",""))=11,"+7 ("&amp;MID(IF(LEFT(SUBSTITUTE(SUBSTITUTE(SUBSTITUTE(SUBSTITUTE(SUBSTITUTE(Клиенты_исходные!D877," ",""),"-",""),"+",""),"(",""),")",""))="8","7"&amp;MID(SUBSTITUTE(SUBSTITUTE(SUBSTITUTE(SUBSTITUTE(SUBSTITUTE(Клиенты_исходные!D877," ",""),"-",""),"+",""),"(",""),")",""),2,10),SUBSTITUTE(SUBSTITUTE(SUBSTITUTE(SUBSTITUTE(SUBSTITUTE(Клиенты_исходные!D877," ",""),"-",""),"+",""),"(",""),")","")),2,3)&amp;") "&amp;MID(IF(LEFT(SUBSTITUTE(SUBSTITUTE(SUBSTITUTE(SUBSTITUTE(SUBSTITUTE(Клиенты_исходные!D877," ",""),"-",""),"+",""),"(",""),")",""))="8","7"&amp;MID(SUBSTITUTE(SUBSTITUTE(SUBSTITUTE(SUBSTITUTE(SUBSTITUTE(Клиенты_исходные!D877," ",""),"-",""),"+",""),"(",""),")",""),2,10),SUBSTITUTE(SUBSTITUTE(SUBSTITUTE(SUBSTITUTE(SUBSTITUTE(Клиенты_исходные!D877," ",""),"-",""),"+",""),"(",""),")","")),5,3)&amp;"-"&amp;MID(IF(LEFT(SUBSTITUTE(SUBSTITUTE(SUBSTITUTE(SUBSTITUTE(SUBSTITUTE(Клиенты_исходные!D877," ",""),"-",""),"+",""),"(",""),")",""))="8","7"&amp;MID(SUBSTITUTE(SUBSTITUTE(SUBSTITUTE(SUBSTITUTE(SUBSTITUTE(Клиенты_исходные!D877," ",""),"-",""),"+",""),"(",""),")",""),2,10),SUBSTITUTE(SUBSTITUTE(SUBSTITUTE(SUBSTITUTE(SUBSTITUTE(Клиенты_исходные!D877," ",""),"-",""),"+",""),"(",""),")","")),8,2)&amp;"-"&amp;MID(IF(LEFT(SUBSTITUTE(SUBSTITUTE(SUBSTITUTE(SUBSTITUTE(SUBSTITUTE(Клиенты_исходные!D877," ",""),"-",""),"+",""),"(",""),")",""))="8","7"&amp;MID(SUBSTITUTE(SUBSTITUTE(SUBSTITUTE(SUBSTITUTE(SUBSTITUTE(Клиенты_исходные!D877," ",""),"-",""),"+",""),"(",""),")",""),2,10),SUBSTITUTE(SUBSTITUTE(SUBSTITUTE(SUBSTITUTE(SUBSTITUTE(Клиенты_исходные!D877," ",""),"-",""),"+",""),"(",""),")","")),10,2),IF(LEN(SUBSTITUTE(SUBSTITUTE(SUBSTITUTE(SUBSTITUTE(SUBSTITUTE(Клиенты_исходные!D877," ",""),"-",""),"+",""),"(",""),")",""))=10,"+7 ("&amp;MID(SUBSTITUTE(SUBSTITUTE(SUBSTITUTE(SUBSTITUTE(SUBSTITUTE(Клиенты_исходные!D877," ",""),"-",""),"+",""),"(",""),")",""),1,3)&amp;") "&amp;MID(SUBSTITUTE(SUBSTITUTE(SUBSTITUTE(SUBSTITUTE(SUBSTITUTE(Клиенты_исходные!D877," ",""),"-",""),"+",""),"(",""),")",""),4,3)&amp;"-"&amp;MID(SUBSTITUTE(SUBSTITUTE(SUBSTITUTE(SUBSTITUTE(SUBSTITUTE(Клиенты_исходные!D877," ",""),"-",""),"+",""),"(",""),")",""),6,2)&amp;"-"&amp;MID(SUBSTITUTE(SUBSTITUTE(SUBSTITUTE(SUBSTITUTE(SUBSTITUTE(Клиенты_исходные!D877," ",""),"-",""),"+",""),"(",""),")",""),8,2),Клиенты_исходные!D877)))</f>
        <v xml:space="preserve">+7 (903) 890-12-34</v>
      </c>
      <c r="E877" t="str">
        <f>IF(ISBLANK(Клиенты_исходные!E877),"",IF(ISNUMBER(FIND(".",MID(Клиенты_исходные!E877,FIND("@",Клиенты_исходные!E877)+1,255))),Клиенты_исходные!E877,IF(ISNUMBER(FIND("gmail",Клиенты_исходные!E877)),Клиенты_исходные!E877&amp;".com",Клиенты_исходные!E877&amp;".ru")))</f>
        <v>bulatova@gmail.com</v>
      </c>
      <c r="F877" t="str">
        <f>IFERROR(VLOOKUP(Клиенты_исходные!F877,Справочники!$J$2:$K$50,2,FALSE),Клиенты_исходные!F877)</f>
        <v>Севастополь</v>
      </c>
      <c r="G877" s="8">
        <f>IFERROR(IF(ISNUMBER(FIND(".",Клиенты_исходные!G877)),DATE(RIGHT(Клиенты_исходные!G877,4),MID(Клиенты_исходные!G877,4,2),LEFT(Клиенты_исходные!G877,2)),DATE(LEFT(Клиенты_исходные!G877,4),MID(Клиенты_исходные!G877,6,2),RIGHT(Клиенты_исходные!G877,2))),Клиенты_исходные!G877)</f>
        <v>53427</v>
      </c>
      <c r="H877">
        <f t="shared" ca="1" si="88"/>
        <v>35</v>
      </c>
      <c r="I877" t="str">
        <f t="shared" si="89"/>
        <v>OK</v>
      </c>
      <c r="J877" t="str">
        <f t="shared" si="90"/>
        <v>OK</v>
      </c>
    </row>
    <row r="878">
      <c r="A878" t="str">
        <f>Клиенты_исходные!A878</f>
        <v>C0877</v>
      </c>
      <c r="B878" t="str">
        <f>PROPER(TRIM(Клиенты_исходные!B878))</f>
        <v xml:space="preserve">Капустин Андрей Павлович</v>
      </c>
      <c r="C878" s="8">
        <f>IFERROR(IF(ISNUMBER(FIND(".",Клиенты_исходные!C878)),DATE(RIGHT(Клиенты_исходные!C878,4),MID(Клиенты_исходные!C878,4,2),LEFT(Клиенты_исходные!C878,2)),DATE(LEFT(Клиенты_исходные!C878,4),MID(Клиенты_исходные!C878,6,2),RIGHT(Клиенты_исходные!C878,2))),Клиенты_исходные!C878)</f>
        <v>27666</v>
      </c>
      <c r="D878" t="str">
        <f>IF(ISBLANK(Клиенты_исходные!D878),"",IF(LEN(SUBSTITUTE(SUBSTITUTE(SUBSTITUTE(SUBSTITUTE(SUBSTITUTE(Клиенты_исходные!D878," ",""),"-",""),"+",""),"(",""),")",""))=11,"+7 ("&amp;MID(IF(LEFT(SUBSTITUTE(SUBSTITUTE(SUBSTITUTE(SUBSTITUTE(SUBSTITUTE(Клиенты_исходные!D878," ",""),"-",""),"+",""),"(",""),")",""))="8","7"&amp;MID(SUBSTITUTE(SUBSTITUTE(SUBSTITUTE(SUBSTITUTE(SUBSTITUTE(Клиенты_исходные!D878," ",""),"-",""),"+",""),"(",""),")",""),2,10),SUBSTITUTE(SUBSTITUTE(SUBSTITUTE(SUBSTITUTE(SUBSTITUTE(Клиенты_исходные!D878," ",""),"-",""),"+",""),"(",""),")","")),2,3)&amp;") "&amp;MID(IF(LEFT(SUBSTITUTE(SUBSTITUTE(SUBSTITUTE(SUBSTITUTE(SUBSTITUTE(Клиенты_исходные!D878," ",""),"-",""),"+",""),"(",""),")",""))="8","7"&amp;MID(SUBSTITUTE(SUBSTITUTE(SUBSTITUTE(SUBSTITUTE(SUBSTITUTE(Клиенты_исходные!D878," ",""),"-",""),"+",""),"(",""),")",""),2,10),SUBSTITUTE(SUBSTITUTE(SUBSTITUTE(SUBSTITUTE(SUBSTITUTE(Клиенты_исходные!D878," ",""),"-",""),"+",""),"(",""),")","")),5,3)&amp;"-"&amp;MID(IF(LEFT(SUBSTITUTE(SUBSTITUTE(SUBSTITUTE(SUBSTITUTE(SUBSTITUTE(Клиенты_исходные!D878," ",""),"-",""),"+",""),"(",""),")",""))="8","7"&amp;MID(SUBSTITUTE(SUBSTITUTE(SUBSTITUTE(SUBSTITUTE(SUBSTITUTE(Клиенты_исходные!D878," ",""),"-",""),"+",""),"(",""),")",""),2,10),SUBSTITUTE(SUBSTITUTE(SUBSTITUTE(SUBSTITUTE(SUBSTITUTE(Клиенты_исходные!D878," ",""),"-",""),"+",""),"(",""),")","")),8,2)&amp;"-"&amp;MID(IF(LEFT(SUBSTITUTE(SUBSTITUTE(SUBSTITUTE(SUBSTITUTE(SUBSTITUTE(Клиенты_исходные!D878," ",""),"-",""),"+",""),"(",""),")",""))="8","7"&amp;MID(SUBSTITUTE(SUBSTITUTE(SUBSTITUTE(SUBSTITUTE(SUBSTITUTE(Клиенты_исходные!D878," ",""),"-",""),"+",""),"(",""),")",""),2,10),SUBSTITUTE(SUBSTITUTE(SUBSTITUTE(SUBSTITUTE(SUBSTITUTE(Клиенты_исходные!D878," ",""),"-",""),"+",""),"(",""),")","")),10,2),IF(LEN(SUBSTITUTE(SUBSTITUTE(SUBSTITUTE(SUBSTITUTE(SUBSTITUTE(Клиенты_исходные!D878," ",""),"-",""),"+",""),"(",""),")",""))=10,"+7 ("&amp;MID(SUBSTITUTE(SUBSTITUTE(SUBSTITUTE(SUBSTITUTE(SUBSTITUTE(Клиенты_исходные!D878," ",""),"-",""),"+",""),"(",""),")",""),1,3)&amp;") "&amp;MID(SUBSTITUTE(SUBSTITUTE(SUBSTITUTE(SUBSTITUTE(SUBSTITUTE(Клиенты_исходные!D878," ",""),"-",""),"+",""),"(",""),")",""),4,3)&amp;"-"&amp;MID(SUBSTITUTE(SUBSTITUTE(SUBSTITUTE(SUBSTITUTE(SUBSTITUTE(Клиенты_исходные!D878," ",""),"-",""),"+",""),"(",""),")",""),6,2)&amp;"-"&amp;MID(SUBSTITUTE(SUBSTITUTE(SUBSTITUTE(SUBSTITUTE(SUBSTITUTE(Клиенты_исходные!D878," ",""),"-",""),"+",""),"(",""),")",""),8,2),Клиенты_исходные!D878)))</f>
        <v xml:space="preserve">+7 (903) 890-12-34</v>
      </c>
      <c r="E878" t="str">
        <f>IF(ISBLANK(Клиенты_исходные!E878),"",IF(ISNUMBER(FIND(".",MID(Клиенты_исходные!E878,FIND("@",Клиенты_исходные!E878)+1,255))),Клиенты_исходные!E878,IF(ISNUMBER(FIND("gmail",Клиенты_исходные!E878)),Клиенты_исходные!E878&amp;".com",Клиенты_исходные!E878&amp;".ru")))</f>
        <v>kapustin@mail.ru</v>
      </c>
      <c r="F878" t="str">
        <f>IFERROR(VLOOKUP(Клиенты_исходные!F878,Справочники!$J$2:$K$50,2,FALSE),Клиенты_исходные!F878)</f>
        <v>Сочи</v>
      </c>
      <c r="G878" s="8">
        <f>IFERROR(IF(ISNUMBER(FIND(".",Клиенты_исходные!G878)),DATE(RIGHT(Клиенты_исходные!G878,4),MID(Клиенты_исходные!G878,4,2),LEFT(Клиенты_исходные!G878,2)),DATE(LEFT(Клиенты_исходные!G878,4),MID(Клиенты_исходные!G878,6,2),RIGHT(Клиенты_исходные!G878,2))),Клиенты_исходные!G878)</f>
        <v>53448</v>
      </c>
      <c r="H878">
        <f t="shared" ca="1" si="88"/>
        <v>51</v>
      </c>
      <c r="I878" t="str">
        <f t="shared" si="89"/>
        <v>OK</v>
      </c>
      <c r="J878" t="str">
        <f t="shared" si="90"/>
        <v>OK</v>
      </c>
    </row>
    <row r="879">
      <c r="A879" t="str">
        <f>Клиенты_исходные!A879</f>
        <v>C0878</v>
      </c>
      <c r="B879" t="str">
        <f>PROPER(TRIM(Клиенты_исходные!B879))</f>
        <v xml:space="preserve">Бирюкова Ольга Сергеевна</v>
      </c>
      <c r="C879" s="8">
        <f>IFERROR(IF(ISNUMBER(FIND(".",Клиенты_исходные!C879)),DATE(RIGHT(Клиенты_исходные!C879,4),MID(Клиенты_исходные!C879,4,2),LEFT(Клиенты_исходные!C879,2)),DATE(LEFT(Клиенты_исходные!C879,4),MID(Клиенты_исходные!C879,6,2),RIGHT(Клиенты_исходные!C879,2))),Клиенты_исходные!C879)</f>
        <v>29923</v>
      </c>
      <c r="D879" t="str">
        <f>IF(ISBLANK(Клиенты_исходные!D879),"",IF(LEN(SUBSTITUTE(SUBSTITUTE(SUBSTITUTE(SUBSTITUTE(SUBSTITUTE(Клиенты_исходные!D879," ",""),"-",""),"+",""),"(",""),")",""))=11,"+7 ("&amp;MID(IF(LEFT(SUBSTITUTE(SUBSTITUTE(SUBSTITUTE(SUBSTITUTE(SUBSTITUTE(Клиенты_исходные!D879," ",""),"-",""),"+",""),"(",""),")",""))="8","7"&amp;MID(SUBSTITUTE(SUBSTITUTE(SUBSTITUTE(SUBSTITUTE(SUBSTITUTE(Клиенты_исходные!D879," ",""),"-",""),"+",""),"(",""),")",""),2,10),SUBSTITUTE(SUBSTITUTE(SUBSTITUTE(SUBSTITUTE(SUBSTITUTE(Клиенты_исходные!D879," ",""),"-",""),"+",""),"(",""),")","")),2,3)&amp;") "&amp;MID(IF(LEFT(SUBSTITUTE(SUBSTITUTE(SUBSTITUTE(SUBSTITUTE(SUBSTITUTE(Клиенты_исходные!D879," ",""),"-",""),"+",""),"(",""),")",""))="8","7"&amp;MID(SUBSTITUTE(SUBSTITUTE(SUBSTITUTE(SUBSTITUTE(SUBSTITUTE(Клиенты_исходные!D879," ",""),"-",""),"+",""),"(",""),")",""),2,10),SUBSTITUTE(SUBSTITUTE(SUBSTITUTE(SUBSTITUTE(SUBSTITUTE(Клиенты_исходные!D879," ",""),"-",""),"+",""),"(",""),")","")),5,3)&amp;"-"&amp;MID(IF(LEFT(SUBSTITUTE(SUBSTITUTE(SUBSTITUTE(SUBSTITUTE(SUBSTITUTE(Клиенты_исходные!D879," ",""),"-",""),"+",""),"(",""),")",""))="8","7"&amp;MID(SUBSTITUTE(SUBSTITUTE(SUBSTITUTE(SUBSTITUTE(SUBSTITUTE(Клиенты_исходные!D879," ",""),"-",""),"+",""),"(",""),")",""),2,10),SUBSTITUTE(SUBSTITUTE(SUBSTITUTE(SUBSTITUTE(SUBSTITUTE(Клиенты_исходные!D879," ",""),"-",""),"+",""),"(",""),")","")),8,2)&amp;"-"&amp;MID(IF(LEFT(SUBSTITUTE(SUBSTITUTE(SUBSTITUTE(SUBSTITUTE(SUBSTITUTE(Клиенты_исходные!D879," ",""),"-",""),"+",""),"(",""),")",""))="8","7"&amp;MID(SUBSTITUTE(SUBSTITUTE(SUBSTITUTE(SUBSTITUTE(SUBSTITUTE(Клиенты_исходные!D879," ",""),"-",""),"+",""),"(",""),")",""),2,10),SUBSTITUTE(SUBSTITUTE(SUBSTITUTE(SUBSTITUTE(SUBSTITUTE(Клиенты_исходные!D879," ",""),"-",""),"+",""),"(",""),")","")),10,2),IF(LEN(SUBSTITUTE(SUBSTITUTE(SUBSTITUTE(SUBSTITUTE(SUBSTITUTE(Клиенты_исходные!D879," ",""),"-",""),"+",""),"(",""),")",""))=10,"+7 ("&amp;MID(SUBSTITUTE(SUBSTITUTE(SUBSTITUTE(SUBSTITUTE(SUBSTITUTE(Клиенты_исходные!D879," ",""),"-",""),"+",""),"(",""),")",""),1,3)&amp;") "&amp;MID(SUBSTITUTE(SUBSTITUTE(SUBSTITUTE(SUBSTITUTE(SUBSTITUTE(Клиенты_исходные!D879," ",""),"-",""),"+",""),"(",""),")",""),4,3)&amp;"-"&amp;MID(SUBSTITUTE(SUBSTITUTE(SUBSTITUTE(SUBSTITUTE(SUBSTITUTE(Клиенты_исходные!D879," ",""),"-",""),"+",""),"(",""),")",""),6,2)&amp;"-"&amp;MID(SUBSTITUTE(SUBSTITUTE(SUBSTITUTE(SUBSTITUTE(SUBSTITUTE(Клиенты_исходные!D879," ",""),"-",""),"+",""),"(",""),")",""),8,2),Клиенты_исходные!D879)))</f>
        <v xml:space="preserve">+7 (903) 890-12-34</v>
      </c>
      <c r="E879" t="str">
        <f>IF(ISBLANK(Клиенты_исходные!E879),"",IF(ISNUMBER(FIND(".",MID(Клиенты_исходные!E879,FIND("@",Клиенты_исходные!E879)+1,255))),Клиенты_исходные!E879,IF(ISNUMBER(FIND("gmail",Клиенты_исходные!E879)),Клиенты_исходные!E879&amp;".com",Клиенты_исходные!E879&amp;".ru")))</f>
        <v>biryukova@yandex.ru</v>
      </c>
      <c r="F879" t="str">
        <f>IFERROR(VLOOKUP(Клиенты_исходные!F879,Справочники!$J$2:$K$50,2,FALSE),Клиенты_исходные!F879)</f>
        <v>Симферополь</v>
      </c>
      <c r="G879" s="8">
        <f>IFERROR(IF(ISNUMBER(FIND(".",Клиенты_исходные!G879)),DATE(RIGHT(Клиенты_исходные!G879,4),MID(Клиенты_исходные!G879,4,2),LEFT(Клиенты_исходные!G879,2)),DATE(LEFT(Клиенты_исходные!G879,4),MID(Клиенты_исходные!G879,6,2),RIGHT(Клиенты_исходные!G879,2))),Клиенты_исходные!G879)</f>
        <v>53462</v>
      </c>
      <c r="H879">
        <f t="shared" ca="1" si="88"/>
        <v>44</v>
      </c>
      <c r="I879" t="str">
        <f t="shared" si="89"/>
        <v>OK</v>
      </c>
      <c r="J879" t="str">
        <f t="shared" si="90"/>
        <v>OK</v>
      </c>
    </row>
    <row r="880">
      <c r="A880" t="str">
        <f>Клиенты_исходные!A880</f>
        <v>C0879</v>
      </c>
      <c r="B880" t="str">
        <f>PROPER(TRIM(Клиенты_исходные!B880))</f>
        <v xml:space="preserve">Барсуков Денис Викторович</v>
      </c>
      <c r="C880" s="8">
        <f>IFERROR(IF(ISNUMBER(FIND(".",Клиенты_исходные!C880)),DATE(RIGHT(Клиенты_исходные!C880,4),MID(Клиенты_исходные!C880,4,2),LEFT(Клиенты_исходные!C880,2)),DATE(LEFT(Клиенты_исходные!C880,4),MID(Клиенты_исходные!C880,6,2),RIGHT(Клиенты_исходные!C880,2))),Клиенты_исходные!C880)</f>
        <v>31796</v>
      </c>
      <c r="D880" t="str">
        <f>IF(ISBLANK(Клиенты_исходные!D880),"",IF(LEN(SUBSTITUTE(SUBSTITUTE(SUBSTITUTE(SUBSTITUTE(SUBSTITUTE(Клиенты_исходные!D880," ",""),"-",""),"+",""),"(",""),")",""))=11,"+7 ("&amp;MID(IF(LEFT(SUBSTITUTE(SUBSTITUTE(SUBSTITUTE(SUBSTITUTE(SUBSTITUTE(Клиенты_исходные!D880," ",""),"-",""),"+",""),"(",""),")",""))="8","7"&amp;MID(SUBSTITUTE(SUBSTITUTE(SUBSTITUTE(SUBSTITUTE(SUBSTITUTE(Клиенты_исходные!D880," ",""),"-",""),"+",""),"(",""),")",""),2,10),SUBSTITUTE(SUBSTITUTE(SUBSTITUTE(SUBSTITUTE(SUBSTITUTE(Клиенты_исходные!D880," ",""),"-",""),"+",""),"(",""),")","")),2,3)&amp;") "&amp;MID(IF(LEFT(SUBSTITUTE(SUBSTITUTE(SUBSTITUTE(SUBSTITUTE(SUBSTITUTE(Клиенты_исходные!D880," ",""),"-",""),"+",""),"(",""),")",""))="8","7"&amp;MID(SUBSTITUTE(SUBSTITUTE(SUBSTITUTE(SUBSTITUTE(SUBSTITUTE(Клиенты_исходные!D880," ",""),"-",""),"+",""),"(",""),")",""),2,10),SUBSTITUTE(SUBSTITUTE(SUBSTITUTE(SUBSTITUTE(SUBSTITUTE(Клиенты_исходные!D880," ",""),"-",""),"+",""),"(",""),")","")),5,3)&amp;"-"&amp;MID(IF(LEFT(SUBSTITUTE(SUBSTITUTE(SUBSTITUTE(SUBSTITUTE(SUBSTITUTE(Клиенты_исходные!D880," ",""),"-",""),"+",""),"(",""),")",""))="8","7"&amp;MID(SUBSTITUTE(SUBSTITUTE(SUBSTITUTE(SUBSTITUTE(SUBSTITUTE(Клиенты_исходные!D880," ",""),"-",""),"+",""),"(",""),")",""),2,10),SUBSTITUTE(SUBSTITUTE(SUBSTITUTE(SUBSTITUTE(SUBSTITUTE(Клиенты_исходные!D880," ",""),"-",""),"+",""),"(",""),")","")),8,2)&amp;"-"&amp;MID(IF(LEFT(SUBSTITUTE(SUBSTITUTE(SUBSTITUTE(SUBSTITUTE(SUBSTITUTE(Клиенты_исходные!D880," ",""),"-",""),"+",""),"(",""),")",""))="8","7"&amp;MID(SUBSTITUTE(SUBSTITUTE(SUBSTITUTE(SUBSTITUTE(SUBSTITUTE(Клиенты_исходные!D880," ",""),"-",""),"+",""),"(",""),")",""),2,10),SUBSTITUTE(SUBSTITUTE(SUBSTITUTE(SUBSTITUTE(SUBSTITUTE(Клиенты_исходные!D880," ",""),"-",""),"+",""),"(",""),")","")),10,2),IF(LEN(SUBSTITUTE(SUBSTITUTE(SUBSTITUTE(SUBSTITUTE(SUBSTITUTE(Клиенты_исходные!D880," ",""),"-",""),"+",""),"(",""),")",""))=10,"+7 ("&amp;MID(SUBSTITUTE(SUBSTITUTE(SUBSTITUTE(SUBSTITUTE(SUBSTITUTE(Клиенты_исходные!D880," ",""),"-",""),"+",""),"(",""),")",""),1,3)&amp;") "&amp;MID(SUBSTITUTE(SUBSTITUTE(SUBSTITUTE(SUBSTITUTE(SUBSTITUTE(Клиенты_исходные!D880," ",""),"-",""),"+",""),"(",""),")",""),4,3)&amp;"-"&amp;MID(SUBSTITUTE(SUBSTITUTE(SUBSTITUTE(SUBSTITUTE(SUBSTITUTE(Клиенты_исходные!D880," ",""),"-",""),"+",""),"(",""),")",""),6,2)&amp;"-"&amp;MID(SUBSTITUTE(SUBSTITUTE(SUBSTITUTE(SUBSTITUTE(SUBSTITUTE(Клиенты_исходные!D880," ",""),"-",""),"+",""),"(",""),")",""),8,2),Клиенты_исходные!D880)))</f>
        <v xml:space="preserve">+7 (903) 901-23-45</v>
      </c>
      <c r="E880" t="str">
        <f>IF(ISBLANK(Клиенты_исходные!E880),"",IF(ISNUMBER(FIND(".",MID(Клиенты_исходные!E880,FIND("@",Клиенты_исходные!E880)+1,255))),Клиенты_исходные!E880,IF(ISNUMBER(FIND("gmail",Клиенты_исходные!E880)),Клиенты_исходные!E880&amp;".com",Клиенты_исходные!E880&amp;".ru")))</f>
        <v>barsukov@gmail.com</v>
      </c>
      <c r="F880" t="str">
        <f>IFERROR(VLOOKUP(Клиенты_исходные!F880,Справочники!$J$2:$K$50,2,FALSE),Клиенты_исходные!F880)</f>
        <v>Брянск</v>
      </c>
      <c r="G880" s="8">
        <f>IFERROR(IF(ISNUMBER(FIND(".",Клиенты_исходные!G880)),DATE(RIGHT(Клиенты_исходные!G880,4),MID(Клиенты_исходные!G880,4,2),LEFT(Клиенты_исходные!G880,2)),DATE(LEFT(Клиенты_исходные!G880,4),MID(Клиенты_исходные!G880,6,2),RIGHT(Клиенты_исходные!G880,2))),Клиенты_исходные!G880)</f>
        <v>53462</v>
      </c>
      <c r="H880">
        <f t="shared" ca="1" si="88"/>
        <v>39</v>
      </c>
      <c r="I880" t="str">
        <f t="shared" si="89"/>
        <v>OK</v>
      </c>
      <c r="J880" t="str">
        <f t="shared" si="90"/>
        <v>OK</v>
      </c>
    </row>
    <row r="881">
      <c r="A881" t="str">
        <f>Клиенты_исходные!A881</f>
        <v>C0880</v>
      </c>
      <c r="B881" t="str">
        <f>PROPER(TRIM(Клиенты_исходные!B881))</f>
        <v xml:space="preserve">Мосина Екатерина Владимировна</v>
      </c>
      <c r="C881" s="8">
        <f>IFERROR(IF(ISNUMBER(FIND(".",Клиенты_исходные!C881)),DATE(RIGHT(Клиенты_исходные!C881,4),MID(Клиенты_исходные!C881,4,2),LEFT(Клиенты_исходные!C881,2)),DATE(LEFT(Клиенты_исходные!C881,4),MID(Клиенты_исходные!C881,6,2),RIGHT(Клиенты_исходные!C881,2))),Клиенты_исходные!C881)</f>
        <v>33817</v>
      </c>
      <c r="D881" t="str">
        <f>IF(ISBLANK(Клиенты_исходные!D881),"",IF(LEN(SUBSTITUTE(SUBSTITUTE(SUBSTITUTE(SUBSTITUTE(SUBSTITUTE(Клиенты_исходные!D881," ",""),"-",""),"+",""),"(",""),")",""))=11,"+7 ("&amp;MID(IF(LEFT(SUBSTITUTE(SUBSTITUTE(SUBSTITUTE(SUBSTITUTE(SUBSTITUTE(Клиенты_исходные!D881," ",""),"-",""),"+",""),"(",""),")",""))="8","7"&amp;MID(SUBSTITUTE(SUBSTITUTE(SUBSTITUTE(SUBSTITUTE(SUBSTITUTE(Клиенты_исходные!D881," ",""),"-",""),"+",""),"(",""),")",""),2,10),SUBSTITUTE(SUBSTITUTE(SUBSTITUTE(SUBSTITUTE(SUBSTITUTE(Клиенты_исходные!D881," ",""),"-",""),"+",""),"(",""),")","")),2,3)&amp;") "&amp;MID(IF(LEFT(SUBSTITUTE(SUBSTITUTE(SUBSTITUTE(SUBSTITUTE(SUBSTITUTE(Клиенты_исходные!D881," ",""),"-",""),"+",""),"(",""),")",""))="8","7"&amp;MID(SUBSTITUTE(SUBSTITUTE(SUBSTITUTE(SUBSTITUTE(SUBSTITUTE(Клиенты_исходные!D881," ",""),"-",""),"+",""),"(",""),")",""),2,10),SUBSTITUTE(SUBSTITUTE(SUBSTITUTE(SUBSTITUTE(SUBSTITUTE(Клиенты_исходные!D881," ",""),"-",""),"+",""),"(",""),")","")),5,3)&amp;"-"&amp;MID(IF(LEFT(SUBSTITUTE(SUBSTITUTE(SUBSTITUTE(SUBSTITUTE(SUBSTITUTE(Клиенты_исходные!D881," ",""),"-",""),"+",""),"(",""),")",""))="8","7"&amp;MID(SUBSTITUTE(SUBSTITUTE(SUBSTITUTE(SUBSTITUTE(SUBSTITUTE(Клиенты_исходные!D881," ",""),"-",""),"+",""),"(",""),")",""),2,10),SUBSTITUTE(SUBSTITUTE(SUBSTITUTE(SUBSTITUTE(SUBSTITUTE(Клиенты_исходные!D881," ",""),"-",""),"+",""),"(",""),")","")),8,2)&amp;"-"&amp;MID(IF(LEFT(SUBSTITUTE(SUBSTITUTE(SUBSTITUTE(SUBSTITUTE(SUBSTITUTE(Клиенты_исходные!D881," ",""),"-",""),"+",""),"(",""),")",""))="8","7"&amp;MID(SUBSTITUTE(SUBSTITUTE(SUBSTITUTE(SUBSTITUTE(SUBSTITUTE(Клиенты_исходные!D881," ",""),"-",""),"+",""),"(",""),")",""),2,10),SUBSTITUTE(SUBSTITUTE(SUBSTITUTE(SUBSTITUTE(SUBSTITUTE(Клиенты_исходные!D881," ",""),"-",""),"+",""),"(",""),")","")),10,2),IF(LEN(SUBSTITUTE(SUBSTITUTE(SUBSTITUTE(SUBSTITUTE(SUBSTITUTE(Клиенты_исходные!D881," ",""),"-",""),"+",""),"(",""),")",""))=10,"+7 ("&amp;MID(SUBSTITUTE(SUBSTITUTE(SUBSTITUTE(SUBSTITUTE(SUBSTITUTE(Клиенты_исходные!D881," ",""),"-",""),"+",""),"(",""),")",""),1,3)&amp;") "&amp;MID(SUBSTITUTE(SUBSTITUTE(SUBSTITUTE(SUBSTITUTE(SUBSTITUTE(Клиенты_исходные!D881," ",""),"-",""),"+",""),"(",""),")",""),4,3)&amp;"-"&amp;MID(SUBSTITUTE(SUBSTITUTE(SUBSTITUTE(SUBSTITUTE(SUBSTITUTE(Клиенты_исходные!D881," ",""),"-",""),"+",""),"(",""),")",""),6,2)&amp;"-"&amp;MID(SUBSTITUTE(SUBSTITUTE(SUBSTITUTE(SUBSTITUTE(SUBSTITUTE(Клиенты_исходные!D881," ",""),"-",""),"+",""),"(",""),")",""),8,2),Клиенты_исходные!D881)))</f>
        <v xml:space="preserve">+7 (903) 901-23-45</v>
      </c>
      <c r="E881" t="str">
        <f>IF(ISBLANK(Клиенты_исходные!E881),"",IF(ISNUMBER(FIND(".",MID(Клиенты_исходные!E881,FIND("@",Клиенты_исходные!E881)+1,255))),Клиенты_исходные!E881,IF(ISNUMBER(FIND("gmail",Клиенты_исходные!E881)),Клиенты_исходные!E881&amp;".com",Клиенты_исходные!E881&amp;".ru")))</f>
        <v>mosina@mail.ru</v>
      </c>
      <c r="F881" t="str">
        <f>IFERROR(VLOOKUP(Клиенты_исходные!F881,Справочники!$J$2:$K$50,2,FALSE),Клиенты_исходные!F881)</f>
        <v>Абакан</v>
      </c>
      <c r="G881" s="8">
        <f>IFERROR(IF(ISNUMBER(FIND(".",Клиенты_исходные!G881)),DATE(RIGHT(Клиенты_исходные!G881,4),MID(Клиенты_исходные!G881,4,2),LEFT(Клиенты_исходные!G881,2)),DATE(LEFT(Клиенты_исходные!G881,4),MID(Клиенты_исходные!G881,6,2),RIGHT(Клиенты_исходные!G881,2))),Клиенты_исходные!G881)</f>
        <v>53479</v>
      </c>
      <c r="H881">
        <f t="shared" ca="1" si="88"/>
        <v>34</v>
      </c>
      <c r="I881" t="str">
        <f t="shared" si="89"/>
        <v>OK</v>
      </c>
      <c r="J881" t="str">
        <f t="shared" si="90"/>
        <v>OK</v>
      </c>
    </row>
    <row r="882">
      <c r="A882" t="str">
        <f>Клиенты_исходные!A882</f>
        <v>C0881</v>
      </c>
      <c r="B882" t="str">
        <f>PROPER(TRIM(Клиенты_исходные!B882))</f>
        <v xml:space="preserve">Вершинин Илья Александрович</v>
      </c>
      <c r="C882" s="8">
        <f>IFERROR(IF(ISNUMBER(FIND(".",Клиенты_исходные!C882)),DATE(RIGHT(Клиенты_исходные!C882,4),MID(Клиенты_исходные!C882,4,2),LEFT(Клиенты_исходные!C882,2)),DATE(LEFT(Клиенты_исходные!C882,4),MID(Клиенты_исходные!C882,6,2),RIGHT(Клиенты_исходные!C882,2))),Клиенты_исходные!C882)</f>
        <v>28665</v>
      </c>
      <c r="D882" t="str">
        <f>IF(ISBLANK(Клиенты_исходные!D882),"",IF(LEN(SUBSTITUTE(SUBSTITUTE(SUBSTITUTE(SUBSTITUTE(SUBSTITUTE(Клиенты_исходные!D882," ",""),"-",""),"+",""),"(",""),")",""))=11,"+7 ("&amp;MID(IF(LEFT(SUBSTITUTE(SUBSTITUTE(SUBSTITUTE(SUBSTITUTE(SUBSTITUTE(Клиенты_исходные!D882," ",""),"-",""),"+",""),"(",""),")",""))="8","7"&amp;MID(SUBSTITUTE(SUBSTITUTE(SUBSTITUTE(SUBSTITUTE(SUBSTITUTE(Клиенты_исходные!D882," ",""),"-",""),"+",""),"(",""),")",""),2,10),SUBSTITUTE(SUBSTITUTE(SUBSTITUTE(SUBSTITUTE(SUBSTITUTE(Клиенты_исходные!D882," ",""),"-",""),"+",""),"(",""),")","")),2,3)&amp;") "&amp;MID(IF(LEFT(SUBSTITUTE(SUBSTITUTE(SUBSTITUTE(SUBSTITUTE(SUBSTITUTE(Клиенты_исходные!D882," ",""),"-",""),"+",""),"(",""),")",""))="8","7"&amp;MID(SUBSTITUTE(SUBSTITUTE(SUBSTITUTE(SUBSTITUTE(SUBSTITUTE(Клиенты_исходные!D882," ",""),"-",""),"+",""),"(",""),")",""),2,10),SUBSTITUTE(SUBSTITUTE(SUBSTITUTE(SUBSTITUTE(SUBSTITUTE(Клиенты_исходные!D882," ",""),"-",""),"+",""),"(",""),")","")),5,3)&amp;"-"&amp;MID(IF(LEFT(SUBSTITUTE(SUBSTITUTE(SUBSTITUTE(SUBSTITUTE(SUBSTITUTE(Клиенты_исходные!D882," ",""),"-",""),"+",""),"(",""),")",""))="8","7"&amp;MID(SUBSTITUTE(SUBSTITUTE(SUBSTITUTE(SUBSTITUTE(SUBSTITUTE(Клиенты_исходные!D882," ",""),"-",""),"+",""),"(",""),")",""),2,10),SUBSTITUTE(SUBSTITUTE(SUBSTITUTE(SUBSTITUTE(SUBSTITUTE(Клиенты_исходные!D882," ",""),"-",""),"+",""),"(",""),")","")),8,2)&amp;"-"&amp;MID(IF(LEFT(SUBSTITUTE(SUBSTITUTE(SUBSTITUTE(SUBSTITUTE(SUBSTITUTE(Клиенты_исходные!D882," ",""),"-",""),"+",""),"(",""),")",""))="8","7"&amp;MID(SUBSTITUTE(SUBSTITUTE(SUBSTITUTE(SUBSTITUTE(SUBSTITUTE(Клиенты_исходные!D882," ",""),"-",""),"+",""),"(",""),")",""),2,10),SUBSTITUTE(SUBSTITUTE(SUBSTITUTE(SUBSTITUTE(SUBSTITUTE(Клиенты_исходные!D882," ",""),"-",""),"+",""),"(",""),")","")),10,2),IF(LEN(SUBSTITUTE(SUBSTITUTE(SUBSTITUTE(SUBSTITUTE(SUBSTITUTE(Клиенты_исходные!D882," ",""),"-",""),"+",""),"(",""),")",""))=10,"+7 ("&amp;MID(SUBSTITUTE(SUBSTITUTE(SUBSTITUTE(SUBSTITUTE(SUBSTITUTE(Клиенты_исходные!D882," ",""),"-",""),"+",""),"(",""),")",""),1,3)&amp;") "&amp;MID(SUBSTITUTE(SUBSTITUTE(SUBSTITUTE(SUBSTITUTE(SUBSTITUTE(Клиенты_исходные!D882," ",""),"-",""),"+",""),"(",""),")",""),4,3)&amp;"-"&amp;MID(SUBSTITUTE(SUBSTITUTE(SUBSTITUTE(SUBSTITUTE(SUBSTITUTE(Клиенты_исходные!D882," ",""),"-",""),"+",""),"(",""),")",""),6,2)&amp;"-"&amp;MID(SUBSTITUTE(SUBSTITUTE(SUBSTITUTE(SUBSTITUTE(SUBSTITUTE(Клиенты_исходные!D882," ",""),"-",""),"+",""),"(",""),")",""),8,2),Клиенты_исходные!D882)))</f>
        <v xml:space="preserve">+7 (903) 901-23-45</v>
      </c>
      <c r="E882" t="str">
        <f>IF(ISBLANK(Клиенты_исходные!E882),"",IF(ISNUMBER(FIND(".",MID(Клиенты_исходные!E882,FIND("@",Клиенты_исходные!E882)+1,255))),Клиенты_исходные!E882,IF(ISNUMBER(FIND("gmail",Клиенты_исходные!E882)),Клиенты_исходные!E882&amp;".com",Клиенты_исходные!E882&amp;".ru")))</f>
        <v>vershinin@yandex.ru</v>
      </c>
      <c r="F882" t="str">
        <f>IFERROR(VLOOKUP(Клиенты_исходные!F882,Справочники!$J$2:$K$50,2,FALSE),Клиенты_исходные!F882)</f>
        <v>Грозный</v>
      </c>
      <c r="G882" s="8">
        <f>IFERROR(IF(ISNUMBER(FIND(".",Клиенты_исходные!G882)),DATE(RIGHT(Клиенты_исходные!G882,4),MID(Клиенты_исходные!G882,4,2),LEFT(Клиенты_исходные!G882,2)),DATE(LEFT(Клиенты_исходные!G882,4),MID(Клиенты_исходные!G882,6,2),RIGHT(Клиенты_исходные!G882,2))),Клиенты_исходные!G882)</f>
        <v>53488</v>
      </c>
      <c r="H882">
        <f t="shared" ca="1" si="88"/>
        <v>48</v>
      </c>
      <c r="I882" t="str">
        <f t="shared" si="89"/>
        <v>OK</v>
      </c>
      <c r="J882" t="str">
        <f t="shared" si="90"/>
        <v>OK</v>
      </c>
    </row>
    <row r="883">
      <c r="A883" t="str">
        <f>Клиенты_исходные!A883</f>
        <v>C0882</v>
      </c>
      <c r="B883" t="str">
        <f>PROPER(TRIM(Клиенты_исходные!B883))</f>
        <v xml:space="preserve">Волова Мария Павловна</v>
      </c>
      <c r="C883" s="8">
        <f>IFERROR(IF(ISNUMBER(FIND(".",Клиенты_исходные!C883)),DATE(RIGHT(Клиенты_исходные!C883,4),MID(Клиенты_исходные!C883,4,2),LEFT(Клиенты_исходные!C883,2)),DATE(LEFT(Клиенты_исходные!C883,4),MID(Клиенты_исходные!C883,6,2),RIGHT(Клиенты_исходные!C883,2))),Клиенты_исходные!C883)</f>
        <v>30787</v>
      </c>
      <c r="D883" t="str">
        <f>IF(ISBLANK(Клиенты_исходные!D883),"",IF(LEN(SUBSTITUTE(SUBSTITUTE(SUBSTITUTE(SUBSTITUTE(SUBSTITUTE(Клиенты_исходные!D883," ",""),"-",""),"+",""),"(",""),")",""))=11,"+7 ("&amp;MID(IF(LEFT(SUBSTITUTE(SUBSTITUTE(SUBSTITUTE(SUBSTITUTE(SUBSTITUTE(Клиенты_исходные!D883," ",""),"-",""),"+",""),"(",""),")",""))="8","7"&amp;MID(SUBSTITUTE(SUBSTITUTE(SUBSTITUTE(SUBSTITUTE(SUBSTITUTE(Клиенты_исходные!D883," ",""),"-",""),"+",""),"(",""),")",""),2,10),SUBSTITUTE(SUBSTITUTE(SUBSTITUTE(SUBSTITUTE(SUBSTITUTE(Клиенты_исходные!D883," ",""),"-",""),"+",""),"(",""),")","")),2,3)&amp;") "&amp;MID(IF(LEFT(SUBSTITUTE(SUBSTITUTE(SUBSTITUTE(SUBSTITUTE(SUBSTITUTE(Клиенты_исходные!D883," ",""),"-",""),"+",""),"(",""),")",""))="8","7"&amp;MID(SUBSTITUTE(SUBSTITUTE(SUBSTITUTE(SUBSTITUTE(SUBSTITUTE(Клиенты_исходные!D883," ",""),"-",""),"+",""),"(",""),")",""),2,10),SUBSTITUTE(SUBSTITUTE(SUBSTITUTE(SUBSTITUTE(SUBSTITUTE(Клиенты_исходные!D883," ",""),"-",""),"+",""),"(",""),")","")),5,3)&amp;"-"&amp;MID(IF(LEFT(SUBSTITUTE(SUBSTITUTE(SUBSTITUTE(SUBSTITUTE(SUBSTITUTE(Клиенты_исходные!D883," ",""),"-",""),"+",""),"(",""),")",""))="8","7"&amp;MID(SUBSTITUTE(SUBSTITUTE(SUBSTITUTE(SUBSTITUTE(SUBSTITUTE(Клиенты_исходные!D883," ",""),"-",""),"+",""),"(",""),")",""),2,10),SUBSTITUTE(SUBSTITUTE(SUBSTITUTE(SUBSTITUTE(SUBSTITUTE(Клиенты_исходные!D883," ",""),"-",""),"+",""),"(",""),")","")),8,2)&amp;"-"&amp;MID(IF(LEFT(SUBSTITUTE(SUBSTITUTE(SUBSTITUTE(SUBSTITUTE(SUBSTITUTE(Клиенты_исходные!D883," ",""),"-",""),"+",""),"(",""),")",""))="8","7"&amp;MID(SUBSTITUTE(SUBSTITUTE(SUBSTITUTE(SUBSTITUTE(SUBSTITUTE(Клиенты_исходные!D883," ",""),"-",""),"+",""),"(",""),")",""),2,10),SUBSTITUTE(SUBSTITUTE(SUBSTITUTE(SUBSTITUTE(SUBSTITUTE(Клиенты_исходные!D883," ",""),"-",""),"+",""),"(",""),")","")),10,2),IF(LEN(SUBSTITUTE(SUBSTITUTE(SUBSTITUTE(SUBSTITUTE(SUBSTITUTE(Клиенты_исходные!D883," ",""),"-",""),"+",""),"(",""),")",""))=10,"+7 ("&amp;MID(SUBSTITUTE(SUBSTITUTE(SUBSTITUTE(SUBSTITUTE(SUBSTITUTE(Клиенты_исходные!D883," ",""),"-",""),"+",""),"(",""),")",""),1,3)&amp;") "&amp;MID(SUBSTITUTE(SUBSTITUTE(SUBSTITUTE(SUBSTITUTE(SUBSTITUTE(Клиенты_исходные!D883," ",""),"-",""),"+",""),"(",""),")",""),4,3)&amp;"-"&amp;MID(SUBSTITUTE(SUBSTITUTE(SUBSTITUTE(SUBSTITUTE(SUBSTITUTE(Клиенты_исходные!D883," ",""),"-",""),"+",""),"(",""),")",""),6,2)&amp;"-"&amp;MID(SUBSTITUTE(SUBSTITUTE(SUBSTITUTE(SUBSTITUTE(SUBSTITUTE(Клиенты_исходные!D883," ",""),"-",""),"+",""),"(",""),")",""),8,2),Клиенты_исходные!D883)))</f>
        <v xml:space="preserve">+7 (903) 012-34-56</v>
      </c>
      <c r="E883" t="str">
        <f>IF(ISBLANK(Клиенты_исходные!E883),"",IF(ISNUMBER(FIND(".",MID(Клиенты_исходные!E883,FIND("@",Клиенты_исходные!E883)+1,255))),Клиенты_исходные!E883,IF(ISNUMBER(FIND("gmail",Клиенты_исходные!E883)),Клиенты_исходные!E883&amp;".com",Клиенты_исходные!E883&amp;".ru")))</f>
        <v>volova@gmail.com</v>
      </c>
      <c r="F883" t="str">
        <f>IFERROR(VLOOKUP(Клиенты_исходные!F883,Справочники!$J$2:$K$50,2,FALSE),Клиенты_исходные!F883)</f>
        <v>Бийск</v>
      </c>
      <c r="G883" s="8">
        <f>IFERROR(IF(ISNUMBER(FIND(".",Клиенты_исходные!G883)),DATE(RIGHT(Клиенты_исходные!G883,4),MID(Клиенты_исходные!G883,4,2),LEFT(Клиенты_исходные!G883,2)),DATE(LEFT(Клиенты_исходные!G883,4),MID(Клиенты_исходные!G883,6,2),RIGHT(Клиенты_исходные!G883,2))),Клиенты_исходные!G883)</f>
        <v>53488</v>
      </c>
      <c r="H883">
        <f t="shared" ca="1" si="88"/>
        <v>42</v>
      </c>
      <c r="I883" t="str">
        <f t="shared" si="89"/>
        <v>OK</v>
      </c>
      <c r="J883" t="str">
        <f t="shared" si="90"/>
        <v>OK</v>
      </c>
    </row>
    <row r="884">
      <c r="A884" t="str">
        <f>Клиенты_исходные!A884</f>
        <v>C0883</v>
      </c>
      <c r="B884" t="str">
        <f>PROPER(TRIM(Клиенты_исходные!B884))</f>
        <v xml:space="preserve">Мезенцев Андрей Олегович</v>
      </c>
      <c r="C884" s="8">
        <f>IFERROR(IF(ISNUMBER(FIND(".",Клиенты_исходные!C884)),DATE(RIGHT(Клиенты_исходные!C884,4),MID(Клиенты_исходные!C884,4,2),LEFT(Клиенты_исходные!C884,2)),DATE(LEFT(Клиенты_исходные!C884,4),MID(Клиенты_исходные!C884,6,2),RIGHT(Клиенты_исходные!C884,2))),Клиенты_исходные!C884)</f>
        <v>32762</v>
      </c>
      <c r="D884" t="str">
        <f>IF(ISBLANK(Клиенты_исходные!D884),"",IF(LEN(SUBSTITUTE(SUBSTITUTE(SUBSTITUTE(SUBSTITUTE(SUBSTITUTE(Клиенты_исходные!D884," ",""),"-",""),"+",""),"(",""),")",""))=11,"+7 ("&amp;MID(IF(LEFT(SUBSTITUTE(SUBSTITUTE(SUBSTITUTE(SUBSTITUTE(SUBSTITUTE(Клиенты_исходные!D884," ",""),"-",""),"+",""),"(",""),")",""))="8","7"&amp;MID(SUBSTITUTE(SUBSTITUTE(SUBSTITUTE(SUBSTITUTE(SUBSTITUTE(Клиенты_исходные!D884," ",""),"-",""),"+",""),"(",""),")",""),2,10),SUBSTITUTE(SUBSTITUTE(SUBSTITUTE(SUBSTITUTE(SUBSTITUTE(Клиенты_исходные!D884," ",""),"-",""),"+",""),"(",""),")","")),2,3)&amp;") "&amp;MID(IF(LEFT(SUBSTITUTE(SUBSTITUTE(SUBSTITUTE(SUBSTITUTE(SUBSTITUTE(Клиенты_исходные!D884," ",""),"-",""),"+",""),"(",""),")",""))="8","7"&amp;MID(SUBSTITUTE(SUBSTITUTE(SUBSTITUTE(SUBSTITUTE(SUBSTITUTE(Клиенты_исходные!D884," ",""),"-",""),"+",""),"(",""),")",""),2,10),SUBSTITUTE(SUBSTITUTE(SUBSTITUTE(SUBSTITUTE(SUBSTITUTE(Клиенты_исходные!D884," ",""),"-",""),"+",""),"(",""),")","")),5,3)&amp;"-"&amp;MID(IF(LEFT(SUBSTITUTE(SUBSTITUTE(SUBSTITUTE(SUBSTITUTE(SUBSTITUTE(Клиенты_исходные!D884," ",""),"-",""),"+",""),"(",""),")",""))="8","7"&amp;MID(SUBSTITUTE(SUBSTITUTE(SUBSTITUTE(SUBSTITUTE(SUBSTITUTE(Клиенты_исходные!D884," ",""),"-",""),"+",""),"(",""),")",""),2,10),SUBSTITUTE(SUBSTITUTE(SUBSTITUTE(SUBSTITUTE(SUBSTITUTE(Клиенты_исходные!D884," ",""),"-",""),"+",""),"(",""),")","")),8,2)&amp;"-"&amp;MID(IF(LEFT(SUBSTITUTE(SUBSTITUTE(SUBSTITUTE(SUBSTITUTE(SUBSTITUTE(Клиенты_исходные!D884," ",""),"-",""),"+",""),"(",""),")",""))="8","7"&amp;MID(SUBSTITUTE(SUBSTITUTE(SUBSTITUTE(SUBSTITUTE(SUBSTITUTE(Клиенты_исходные!D884," ",""),"-",""),"+",""),"(",""),")",""),2,10),SUBSTITUTE(SUBSTITUTE(SUBSTITUTE(SUBSTITUTE(SUBSTITUTE(Клиенты_исходные!D884," ",""),"-",""),"+",""),"(",""),")","")),10,2),IF(LEN(SUBSTITUTE(SUBSTITUTE(SUBSTITUTE(SUBSTITUTE(SUBSTITUTE(Клиенты_исходные!D884," ",""),"-",""),"+",""),"(",""),")",""))=10,"+7 ("&amp;MID(SUBSTITUTE(SUBSTITUTE(SUBSTITUTE(SUBSTITUTE(SUBSTITUTE(Клиенты_исходные!D884," ",""),"-",""),"+",""),"(",""),")",""),1,3)&amp;") "&amp;MID(SUBSTITUTE(SUBSTITUTE(SUBSTITUTE(SUBSTITUTE(SUBSTITUTE(Клиенты_исходные!D884," ",""),"-",""),"+",""),"(",""),")",""),4,3)&amp;"-"&amp;MID(SUBSTITUTE(SUBSTITUTE(SUBSTITUTE(SUBSTITUTE(SUBSTITUTE(Клиенты_исходные!D884," ",""),"-",""),"+",""),"(",""),")",""),6,2)&amp;"-"&amp;MID(SUBSTITUTE(SUBSTITUTE(SUBSTITUTE(SUBSTITUTE(SUBSTITUTE(Клиенты_исходные!D884," ",""),"-",""),"+",""),"(",""),")",""),8,2),Клиенты_исходные!D884)))</f>
        <v xml:space="preserve">+7 (903) 012-34-56</v>
      </c>
      <c r="E884" t="str">
        <f>IF(ISBLANK(Клиенты_исходные!E884),"",IF(ISNUMBER(FIND(".",MID(Клиенты_исходные!E884,FIND("@",Клиенты_исходные!E884)+1,255))),Клиенты_исходные!E884,IF(ISNUMBER(FIND("gmail",Клиенты_исходные!E884)),Клиенты_исходные!E884&amp;".com",Клиенты_исходные!E884&amp;".ru")))</f>
        <v>mezencev@mail.ru</v>
      </c>
      <c r="F884" t="str">
        <f>IFERROR(VLOOKUP(Клиенты_исходные!F884,Справочники!$J$2:$K$50,2,FALSE),Клиенты_исходные!F884)</f>
        <v>Йошкар-Ола</v>
      </c>
      <c r="G884" s="8">
        <f>IFERROR(IF(ISNUMBER(FIND(".",Клиенты_исходные!G884)),DATE(RIGHT(Клиенты_исходные!G884,4),MID(Клиенты_исходные!G884,4,2),LEFT(Клиенты_исходные!G884,2)),DATE(LEFT(Клиенты_исходные!G884,4),MID(Клиенты_исходные!G884,6,2),RIGHT(Клиенты_исходные!G884,2))),Клиенты_исходные!G884)</f>
        <v>53509</v>
      </c>
      <c r="H884">
        <f t="shared" ca="1" si="88"/>
        <v>37</v>
      </c>
      <c r="I884" t="str">
        <f t="shared" si="89"/>
        <v>OK</v>
      </c>
      <c r="J884" t="str">
        <f t="shared" si="90"/>
        <v>OK</v>
      </c>
    </row>
    <row r="885">
      <c r="A885" t="str">
        <f>Клиенты_исходные!A885</f>
        <v>C0884</v>
      </c>
      <c r="B885" t="str">
        <f>PROPER(TRIM(Клиенты_исходные!B885))</f>
        <v xml:space="preserve">Аксенова Ольга Сергеевна</v>
      </c>
      <c r="C885" s="8">
        <f>IFERROR(IF(ISNUMBER(FIND(".",Клиенты_исходные!C885)),DATE(RIGHT(Клиенты_исходные!C885,4),MID(Клиенты_исходные!C885,4,2),LEFT(Клиенты_исходные!C885,2)),DATE(LEFT(Клиенты_исходные!C885,4),MID(Клиенты_исходные!C885,6,2),RIGHT(Клиенты_исходные!C885,2))),Клиенты_исходные!C885)</f>
        <v>27005</v>
      </c>
      <c r="D885" t="str">
        <f>IF(ISBLANK(Клиенты_исходные!D885),"",IF(LEN(SUBSTITUTE(SUBSTITUTE(SUBSTITUTE(SUBSTITUTE(SUBSTITUTE(Клиенты_исходные!D885," ",""),"-",""),"+",""),"(",""),")",""))=11,"+7 ("&amp;MID(IF(LEFT(SUBSTITUTE(SUBSTITUTE(SUBSTITUTE(SUBSTITUTE(SUBSTITUTE(Клиенты_исходные!D885," ",""),"-",""),"+",""),"(",""),")",""))="8","7"&amp;MID(SUBSTITUTE(SUBSTITUTE(SUBSTITUTE(SUBSTITUTE(SUBSTITUTE(Клиенты_исходные!D885," ",""),"-",""),"+",""),"(",""),")",""),2,10),SUBSTITUTE(SUBSTITUTE(SUBSTITUTE(SUBSTITUTE(SUBSTITUTE(Клиенты_исходные!D885," ",""),"-",""),"+",""),"(",""),")","")),2,3)&amp;") "&amp;MID(IF(LEFT(SUBSTITUTE(SUBSTITUTE(SUBSTITUTE(SUBSTITUTE(SUBSTITUTE(Клиенты_исходные!D885," ",""),"-",""),"+",""),"(",""),")",""))="8","7"&amp;MID(SUBSTITUTE(SUBSTITUTE(SUBSTITUTE(SUBSTITUTE(SUBSTITUTE(Клиенты_исходные!D885," ",""),"-",""),"+",""),"(",""),")",""),2,10),SUBSTITUTE(SUBSTITUTE(SUBSTITUTE(SUBSTITUTE(SUBSTITUTE(Клиенты_исходные!D885," ",""),"-",""),"+",""),"(",""),")","")),5,3)&amp;"-"&amp;MID(IF(LEFT(SUBSTITUTE(SUBSTITUTE(SUBSTITUTE(SUBSTITUTE(SUBSTITUTE(Клиенты_исходные!D885," ",""),"-",""),"+",""),"(",""),")",""))="8","7"&amp;MID(SUBSTITUTE(SUBSTITUTE(SUBSTITUTE(SUBSTITUTE(SUBSTITUTE(Клиенты_исходные!D885," ",""),"-",""),"+",""),"(",""),")",""),2,10),SUBSTITUTE(SUBSTITUTE(SUBSTITUTE(SUBSTITUTE(SUBSTITUTE(Клиенты_исходные!D885," ",""),"-",""),"+",""),"(",""),")","")),8,2)&amp;"-"&amp;MID(IF(LEFT(SUBSTITUTE(SUBSTITUTE(SUBSTITUTE(SUBSTITUTE(SUBSTITUTE(Клиенты_исходные!D885," ",""),"-",""),"+",""),"(",""),")",""))="8","7"&amp;MID(SUBSTITUTE(SUBSTITUTE(SUBSTITUTE(SUBSTITUTE(SUBSTITUTE(Клиенты_исходные!D885," ",""),"-",""),"+",""),"(",""),")",""),2,10),SUBSTITUTE(SUBSTITUTE(SUBSTITUTE(SUBSTITUTE(SUBSTITUTE(Клиенты_исходные!D885," ",""),"-",""),"+",""),"(",""),")","")),10,2),IF(LEN(SUBSTITUTE(SUBSTITUTE(SUBSTITUTE(SUBSTITUTE(SUBSTITUTE(Клиенты_исходные!D885," ",""),"-",""),"+",""),"(",""),")",""))=10,"+7 ("&amp;MID(SUBSTITUTE(SUBSTITUTE(SUBSTITUTE(SUBSTITUTE(SUBSTITUTE(Клиенты_исходные!D885," ",""),"-",""),"+",""),"(",""),")",""),1,3)&amp;") "&amp;MID(SUBSTITUTE(SUBSTITUTE(SUBSTITUTE(SUBSTITUTE(SUBSTITUTE(Клиенты_исходные!D885," ",""),"-",""),"+",""),"(",""),")",""),4,3)&amp;"-"&amp;MID(SUBSTITUTE(SUBSTITUTE(SUBSTITUTE(SUBSTITUTE(SUBSTITUTE(Клиенты_исходные!D885," ",""),"-",""),"+",""),"(",""),")",""),6,2)&amp;"-"&amp;MID(SUBSTITUTE(SUBSTITUTE(SUBSTITUTE(SUBSTITUTE(SUBSTITUTE(Клиенты_исходные!D885," ",""),"-",""),"+",""),"(",""),")",""),8,2),Клиенты_исходные!D885)))</f>
        <v xml:space="preserve">+7 (903) 012-34-56</v>
      </c>
      <c r="E885" t="str">
        <f>IF(ISBLANK(Клиенты_исходные!E885),"",IF(ISNUMBER(FIND(".",MID(Клиенты_исходные!E885,FIND("@",Клиенты_исходные!E885)+1,255))),Клиенты_исходные!E885,IF(ISNUMBER(FIND("gmail",Клиенты_исходные!E885)),Клиенты_исходные!E885&amp;".com",Клиенты_исходные!E885&amp;".ru")))</f>
        <v>aksenova@yandex.ru</v>
      </c>
      <c r="F885" t="str">
        <f>IFERROR(VLOOKUP(Клиенты_исходные!F885,Справочники!$J$2:$K$50,2,FALSE),Клиенты_исходные!F885)</f>
        <v>Курган</v>
      </c>
      <c r="G885" s="8">
        <f>IFERROR(IF(ISNUMBER(FIND(".",Клиенты_исходные!G885)),DATE(RIGHT(Клиенты_исходные!G885,4),MID(Клиенты_исходные!G885,4,2),LEFT(Клиенты_исходные!G885,2)),DATE(LEFT(Клиенты_исходные!G885,4),MID(Клиенты_исходные!G885,6,2),RIGHT(Клиенты_исходные!G885,2))),Клиенты_исходные!G885)</f>
        <v>53523</v>
      </c>
      <c r="H885">
        <f t="shared" ca="1" si="88"/>
        <v>52</v>
      </c>
      <c r="I885" t="str">
        <f t="shared" si="89"/>
        <v>OK</v>
      </c>
      <c r="J885" t="str">
        <f t="shared" si="90"/>
        <v>OK</v>
      </c>
    </row>
    <row r="886">
      <c r="A886" t="str">
        <f>Клиенты_исходные!A886</f>
        <v>C0885</v>
      </c>
      <c r="B886" t="str">
        <f>PROPER(TRIM(Клиенты_исходные!B886))</f>
        <v xml:space="preserve">Смолин Денис Павлович</v>
      </c>
      <c r="C886" s="8">
        <f>IFERROR(IF(ISNUMBER(FIND(".",Клиенты_исходные!C886)),DATE(RIGHT(Клиенты_исходные!C886,4),MID(Клиенты_исходные!C886,4,2),LEFT(Клиенты_исходные!C886,2)),DATE(LEFT(Клиенты_исходные!C886,4),MID(Клиенты_исходные!C886,6,2),RIGHT(Клиенты_исходные!C886,2))),Клиенты_исходные!C886)</f>
        <v>31551</v>
      </c>
      <c r="D886" t="str">
        <f>IF(ISBLANK(Клиенты_исходные!D886),"",IF(LEN(SUBSTITUTE(SUBSTITUTE(SUBSTITUTE(SUBSTITUTE(SUBSTITUTE(Клиенты_исходные!D886," ",""),"-",""),"+",""),"(",""),")",""))=11,"+7 ("&amp;MID(IF(LEFT(SUBSTITUTE(SUBSTITUTE(SUBSTITUTE(SUBSTITUTE(SUBSTITUTE(Клиенты_исходные!D886," ",""),"-",""),"+",""),"(",""),")",""))="8","7"&amp;MID(SUBSTITUTE(SUBSTITUTE(SUBSTITUTE(SUBSTITUTE(SUBSTITUTE(Клиенты_исходные!D886," ",""),"-",""),"+",""),"(",""),")",""),2,10),SUBSTITUTE(SUBSTITUTE(SUBSTITUTE(SUBSTITUTE(SUBSTITUTE(Клиенты_исходные!D886," ",""),"-",""),"+",""),"(",""),")","")),2,3)&amp;") "&amp;MID(IF(LEFT(SUBSTITUTE(SUBSTITUTE(SUBSTITUTE(SUBSTITUTE(SUBSTITUTE(Клиенты_исходные!D886," ",""),"-",""),"+",""),"(",""),")",""))="8","7"&amp;MID(SUBSTITUTE(SUBSTITUTE(SUBSTITUTE(SUBSTITUTE(SUBSTITUTE(Клиенты_исходные!D886," ",""),"-",""),"+",""),"(",""),")",""),2,10),SUBSTITUTE(SUBSTITUTE(SUBSTITUTE(SUBSTITUTE(SUBSTITUTE(Клиенты_исходные!D886," ",""),"-",""),"+",""),"(",""),")","")),5,3)&amp;"-"&amp;MID(IF(LEFT(SUBSTITUTE(SUBSTITUTE(SUBSTITUTE(SUBSTITUTE(SUBSTITUTE(Клиенты_исходные!D886," ",""),"-",""),"+",""),"(",""),")",""))="8","7"&amp;MID(SUBSTITUTE(SUBSTITUTE(SUBSTITUTE(SUBSTITUTE(SUBSTITUTE(Клиенты_исходные!D886," ",""),"-",""),"+",""),"(",""),")",""),2,10),SUBSTITUTE(SUBSTITUTE(SUBSTITUTE(SUBSTITUTE(SUBSTITUTE(Клиенты_исходные!D886," ",""),"-",""),"+",""),"(",""),")","")),8,2)&amp;"-"&amp;MID(IF(LEFT(SUBSTITUTE(SUBSTITUTE(SUBSTITUTE(SUBSTITUTE(SUBSTITUTE(Клиенты_исходные!D886," ",""),"-",""),"+",""),"(",""),")",""))="8","7"&amp;MID(SUBSTITUTE(SUBSTITUTE(SUBSTITUTE(SUBSTITUTE(SUBSTITUTE(Клиенты_исходные!D886," ",""),"-",""),"+",""),"(",""),")",""),2,10),SUBSTITUTE(SUBSTITUTE(SUBSTITUTE(SUBSTITUTE(SUBSTITUTE(Клиенты_исходные!D886," ",""),"-",""),"+",""),"(",""),")","")),10,2),IF(LEN(SUBSTITUTE(SUBSTITUTE(SUBSTITUTE(SUBSTITUTE(SUBSTITUTE(Клиенты_исходные!D886," ",""),"-",""),"+",""),"(",""),")",""))=10,"+7 ("&amp;MID(SUBSTITUTE(SUBSTITUTE(SUBSTITUTE(SUBSTITUTE(SUBSTITUTE(Клиенты_исходные!D886," ",""),"-",""),"+",""),"(",""),")",""),1,3)&amp;") "&amp;MID(SUBSTITUTE(SUBSTITUTE(SUBSTITUTE(SUBSTITUTE(SUBSTITUTE(Клиенты_исходные!D886," ",""),"-",""),"+",""),"(",""),")",""),4,3)&amp;"-"&amp;MID(SUBSTITUTE(SUBSTITUTE(SUBSTITUTE(SUBSTITUTE(SUBSTITUTE(Клиенты_исходные!D886," ",""),"-",""),"+",""),"(",""),")",""),6,2)&amp;"-"&amp;MID(SUBSTITUTE(SUBSTITUTE(SUBSTITUTE(SUBSTITUTE(SUBSTITUTE(Клиенты_исходные!D886," ",""),"-",""),"+",""),"(",""),")",""),8,2),Клиенты_исходные!D886)))</f>
        <v xml:space="preserve">+7 (903) 123-45-67</v>
      </c>
      <c r="E886" t="str">
        <f>IF(ISBLANK(Клиенты_исходные!E886),"",IF(ISNUMBER(FIND(".",MID(Клиенты_исходные!E886,FIND("@",Клиенты_исходные!E886)+1,255))),Клиенты_исходные!E886,IF(ISNUMBER(FIND("gmail",Клиенты_исходные!E886)),Клиенты_исходные!E886&amp;".com",Клиенты_исходные!E886&amp;".ru")))</f>
        <v>smolin@gmail.com</v>
      </c>
      <c r="F886" t="str">
        <f>IFERROR(VLOOKUP(Клиенты_исходные!F886,Справочники!$J$2:$K$50,2,FALSE),Клиенты_исходные!F886)</f>
        <v>Архангельск</v>
      </c>
      <c r="G886" s="8">
        <f>IFERROR(IF(ISNUMBER(FIND(".",Клиенты_исходные!G886)),DATE(RIGHT(Клиенты_исходные!G886,4),MID(Клиенты_исходные!G886,4,2),LEFT(Клиенты_исходные!G886,2)),DATE(LEFT(Клиенты_исходные!G886,4),MID(Клиенты_исходные!G886,6,2),RIGHT(Клиенты_исходные!G886,2))),Клиенты_исходные!G886)</f>
        <v>53523</v>
      </c>
      <c r="H886">
        <f t="shared" ca="1" si="88"/>
        <v>40</v>
      </c>
      <c r="I886" t="str">
        <f t="shared" si="89"/>
        <v>OK</v>
      </c>
      <c r="J886" t="str">
        <f t="shared" si="90"/>
        <v>OK</v>
      </c>
    </row>
    <row r="887">
      <c r="A887" t="str">
        <f>Клиенты_исходные!A887</f>
        <v>C0886</v>
      </c>
      <c r="B887" t="str">
        <f>PROPER(TRIM(Клиенты_исходные!B887))</f>
        <v xml:space="preserve">Сергиенко Екатерина Владимировна</v>
      </c>
      <c r="C887" s="8">
        <f>IFERROR(IF(ISNUMBER(FIND(".",Клиенты_исходные!C887)),DATE(RIGHT(Клиенты_исходные!C887,4),MID(Клиенты_исходные!C887,4,2),LEFT(Клиенты_исходные!C887,2)),DATE(LEFT(Клиенты_исходные!C887,4),MID(Клиенты_исходные!C887,6,2),RIGHT(Клиенты_исходные!C887,2))),Клиенты_исходные!C887)</f>
        <v>33181</v>
      </c>
      <c r="D887" t="str">
        <f>IF(ISBLANK(Клиенты_исходные!D887),"",IF(LEN(SUBSTITUTE(SUBSTITUTE(SUBSTITUTE(SUBSTITUTE(SUBSTITUTE(Клиенты_исходные!D887," ",""),"-",""),"+",""),"(",""),")",""))=11,"+7 ("&amp;MID(IF(LEFT(SUBSTITUTE(SUBSTITUTE(SUBSTITUTE(SUBSTITUTE(SUBSTITUTE(Клиенты_исходные!D887," ",""),"-",""),"+",""),"(",""),")",""))="8","7"&amp;MID(SUBSTITUTE(SUBSTITUTE(SUBSTITUTE(SUBSTITUTE(SUBSTITUTE(Клиенты_исходные!D887," ",""),"-",""),"+",""),"(",""),")",""),2,10),SUBSTITUTE(SUBSTITUTE(SUBSTITUTE(SUBSTITUTE(SUBSTITUTE(Клиенты_исходные!D887," ",""),"-",""),"+",""),"(",""),")","")),2,3)&amp;") "&amp;MID(IF(LEFT(SUBSTITUTE(SUBSTITUTE(SUBSTITUTE(SUBSTITUTE(SUBSTITUTE(Клиенты_исходные!D887," ",""),"-",""),"+",""),"(",""),")",""))="8","7"&amp;MID(SUBSTITUTE(SUBSTITUTE(SUBSTITUTE(SUBSTITUTE(SUBSTITUTE(Клиенты_исходные!D887," ",""),"-",""),"+",""),"(",""),")",""),2,10),SUBSTITUTE(SUBSTITUTE(SUBSTITUTE(SUBSTITUTE(SUBSTITUTE(Клиенты_исходные!D887," ",""),"-",""),"+",""),"(",""),")","")),5,3)&amp;"-"&amp;MID(IF(LEFT(SUBSTITUTE(SUBSTITUTE(SUBSTITUTE(SUBSTITUTE(SUBSTITUTE(Клиенты_исходные!D887," ",""),"-",""),"+",""),"(",""),")",""))="8","7"&amp;MID(SUBSTITUTE(SUBSTITUTE(SUBSTITUTE(SUBSTITUTE(SUBSTITUTE(Клиенты_исходные!D887," ",""),"-",""),"+",""),"(",""),")",""),2,10),SUBSTITUTE(SUBSTITUTE(SUBSTITUTE(SUBSTITUTE(SUBSTITUTE(Клиенты_исходные!D887," ",""),"-",""),"+",""),"(",""),")","")),8,2)&amp;"-"&amp;MID(IF(LEFT(SUBSTITUTE(SUBSTITUTE(SUBSTITUTE(SUBSTITUTE(SUBSTITUTE(Клиенты_исходные!D887," ",""),"-",""),"+",""),"(",""),")",""))="8","7"&amp;MID(SUBSTITUTE(SUBSTITUTE(SUBSTITUTE(SUBSTITUTE(SUBSTITUTE(Клиенты_исходные!D887," ",""),"-",""),"+",""),"(",""),")",""),2,10),SUBSTITUTE(SUBSTITUTE(SUBSTITUTE(SUBSTITUTE(SUBSTITUTE(Клиенты_исходные!D887," ",""),"-",""),"+",""),"(",""),")","")),10,2),IF(LEN(SUBSTITUTE(SUBSTITUTE(SUBSTITUTE(SUBSTITUTE(SUBSTITUTE(Клиенты_исходные!D887," ",""),"-",""),"+",""),"(",""),")",""))=10,"+7 ("&amp;MID(SUBSTITUTE(SUBSTITUTE(SUBSTITUTE(SUBSTITUTE(SUBSTITUTE(Клиенты_исходные!D887," ",""),"-",""),"+",""),"(",""),")",""),1,3)&amp;") "&amp;MID(SUBSTITUTE(SUBSTITUTE(SUBSTITUTE(SUBSTITUTE(SUBSTITUTE(Клиенты_исходные!D887," ",""),"-",""),"+",""),"(",""),")",""),4,3)&amp;"-"&amp;MID(SUBSTITUTE(SUBSTITUTE(SUBSTITUTE(SUBSTITUTE(SUBSTITUTE(Клиенты_исходные!D887," ",""),"-",""),"+",""),"(",""),")",""),6,2)&amp;"-"&amp;MID(SUBSTITUTE(SUBSTITUTE(SUBSTITUTE(SUBSTITUTE(SUBSTITUTE(Клиенты_исходные!D887," ",""),"-",""),"+",""),"(",""),")",""),8,2),Клиенты_исходные!D887)))</f>
        <v xml:space="preserve">+7 (903) 123-45-67</v>
      </c>
      <c r="E887" t="str">
        <f>IF(ISBLANK(Клиенты_исходные!E887),"",IF(ISNUMBER(FIND(".",MID(Клиенты_исходные!E887,FIND("@",Клиенты_исходные!E887)+1,255))),Клиенты_исходные!E887,IF(ISNUMBER(FIND("gmail",Клиенты_исходные!E887)),Клиенты_исходные!E887&amp;".com",Клиенты_исходные!E887&amp;".ru")))</f>
        <v>sergienko@mail.ru</v>
      </c>
      <c r="F887" t="str">
        <f>IFERROR(VLOOKUP(Клиенты_исходные!F887,Справочники!$J$2:$K$50,2,FALSE),Клиенты_исходные!F887)</f>
        <v>Благовещенск</v>
      </c>
      <c r="G887" s="8">
        <f>IFERROR(IF(ISNUMBER(FIND(".",Клиенты_исходные!G887)),DATE(RIGHT(Клиенты_исходные!G887,4),MID(Клиенты_исходные!G887,4,2),LEFT(Клиенты_исходные!G887,2)),DATE(LEFT(Клиенты_исходные!G887,4),MID(Клиенты_исходные!G887,6,2),RIGHT(Клиенты_исходные!G887,2))),Клиенты_исходные!G887)</f>
        <v>53540</v>
      </c>
      <c r="H887">
        <f t="shared" ca="1" si="88"/>
        <v>35</v>
      </c>
      <c r="I887" t="str">
        <f t="shared" si="89"/>
        <v>OK</v>
      </c>
      <c r="J887" t="str">
        <f t="shared" si="90"/>
        <v>OK</v>
      </c>
    </row>
    <row r="888">
      <c r="A888" t="str">
        <f>Клиенты_исходные!A888</f>
        <v>C0887</v>
      </c>
      <c r="B888" t="str">
        <f>PROPER(TRIM(Клиенты_исходные!B888))</f>
        <v xml:space="preserve">Брусницын Илья Александрович</v>
      </c>
      <c r="C888" s="8">
        <f>IFERROR(IF(ISNUMBER(FIND(".",Клиенты_исходные!C888)),DATE(RIGHT(Клиенты_исходные!C888,4),MID(Клиенты_исходные!C888,4,2),LEFT(Клиенты_исходные!C888,2)),DATE(LEFT(Клиенты_исходные!C888,4),MID(Клиенты_исходные!C888,6,2),RIGHT(Клиенты_исходные!C888,2))),Клиенты_исходные!C888)</f>
        <v>29867</v>
      </c>
      <c r="D888" t="str">
        <f>IF(ISBLANK(Клиенты_исходные!D888),"",IF(LEN(SUBSTITUTE(SUBSTITUTE(SUBSTITUTE(SUBSTITUTE(SUBSTITUTE(Клиенты_исходные!D888," ",""),"-",""),"+",""),"(",""),")",""))=11,"+7 ("&amp;MID(IF(LEFT(SUBSTITUTE(SUBSTITUTE(SUBSTITUTE(SUBSTITUTE(SUBSTITUTE(Клиенты_исходные!D888," ",""),"-",""),"+",""),"(",""),")",""))="8","7"&amp;MID(SUBSTITUTE(SUBSTITUTE(SUBSTITUTE(SUBSTITUTE(SUBSTITUTE(Клиенты_исходные!D888," ",""),"-",""),"+",""),"(",""),")",""),2,10),SUBSTITUTE(SUBSTITUTE(SUBSTITUTE(SUBSTITUTE(SUBSTITUTE(Клиенты_исходные!D888," ",""),"-",""),"+",""),"(",""),")","")),2,3)&amp;") "&amp;MID(IF(LEFT(SUBSTITUTE(SUBSTITUTE(SUBSTITUTE(SUBSTITUTE(SUBSTITUTE(Клиенты_исходные!D888," ",""),"-",""),"+",""),"(",""),")",""))="8","7"&amp;MID(SUBSTITUTE(SUBSTITUTE(SUBSTITUTE(SUBSTITUTE(SUBSTITUTE(Клиенты_исходные!D888," ",""),"-",""),"+",""),"(",""),")",""),2,10),SUBSTITUTE(SUBSTITUTE(SUBSTITUTE(SUBSTITUTE(SUBSTITUTE(Клиенты_исходные!D888," ",""),"-",""),"+",""),"(",""),")","")),5,3)&amp;"-"&amp;MID(IF(LEFT(SUBSTITUTE(SUBSTITUTE(SUBSTITUTE(SUBSTITUTE(SUBSTITUTE(Клиенты_исходные!D888," ",""),"-",""),"+",""),"(",""),")",""))="8","7"&amp;MID(SUBSTITUTE(SUBSTITUTE(SUBSTITUTE(SUBSTITUTE(SUBSTITUTE(Клиенты_исходные!D888," ",""),"-",""),"+",""),"(",""),")",""),2,10),SUBSTITUTE(SUBSTITUTE(SUBSTITUTE(SUBSTITUTE(SUBSTITUTE(Клиенты_исходные!D888," ",""),"-",""),"+",""),"(",""),")","")),8,2)&amp;"-"&amp;MID(IF(LEFT(SUBSTITUTE(SUBSTITUTE(SUBSTITUTE(SUBSTITUTE(SUBSTITUTE(Клиенты_исходные!D888," ",""),"-",""),"+",""),"(",""),")",""))="8","7"&amp;MID(SUBSTITUTE(SUBSTITUTE(SUBSTITUTE(SUBSTITUTE(SUBSTITUTE(Клиенты_исходные!D888," ",""),"-",""),"+",""),"(",""),")",""),2,10),SUBSTITUTE(SUBSTITUTE(SUBSTITUTE(SUBSTITUTE(SUBSTITUTE(Клиенты_исходные!D888," ",""),"-",""),"+",""),"(",""),")","")),10,2),IF(LEN(SUBSTITUTE(SUBSTITUTE(SUBSTITUTE(SUBSTITUTE(SUBSTITUTE(Клиенты_исходные!D888," ",""),"-",""),"+",""),"(",""),")",""))=10,"+7 ("&amp;MID(SUBSTITUTE(SUBSTITUTE(SUBSTITUTE(SUBSTITUTE(SUBSTITUTE(Клиенты_исходные!D888," ",""),"-",""),"+",""),"(",""),")",""),1,3)&amp;") "&amp;MID(SUBSTITUTE(SUBSTITUTE(SUBSTITUTE(SUBSTITUTE(SUBSTITUTE(Клиенты_исходные!D888," ",""),"-",""),"+",""),"(",""),")",""),4,3)&amp;"-"&amp;MID(SUBSTITUTE(SUBSTITUTE(SUBSTITUTE(SUBSTITUTE(SUBSTITUTE(Клиенты_исходные!D888," ",""),"-",""),"+",""),"(",""),")",""),6,2)&amp;"-"&amp;MID(SUBSTITUTE(SUBSTITUTE(SUBSTITUTE(SUBSTITUTE(SUBSTITUTE(Клиенты_исходные!D888," ",""),"-",""),"+",""),"(",""),")",""),8,2),Клиенты_исходные!D888)))</f>
        <v xml:space="preserve">+7 (903) 123-45-67</v>
      </c>
      <c r="E888" t="str">
        <f>IF(ISBLANK(Клиенты_исходные!E888),"",IF(ISNUMBER(FIND(".",MID(Клиенты_исходные!E888,FIND("@",Клиенты_исходные!E888)+1,255))),Клиенты_исходные!E888,IF(ISNUMBER(FIND("gmail",Клиенты_исходные!E888)),Клиенты_исходные!E888&amp;".com",Клиенты_исходные!E888&amp;".ru")))</f>
        <v>brusnitsyn@yandex.ru</v>
      </c>
      <c r="F888" t="str">
        <f>IFERROR(VLOOKUP(Клиенты_исходные!F888,Справочники!$J$2:$K$50,2,FALSE),Клиенты_исходные!F888)</f>
        <v>Майкоп</v>
      </c>
      <c r="G888" s="8">
        <f>IFERROR(IF(ISNUMBER(FIND(".",Клиенты_исходные!G888)),DATE(RIGHT(Клиенты_исходные!G888,4),MID(Клиенты_исходные!G888,4,2),LEFT(Клиенты_исходные!G888,2)),DATE(LEFT(Клиенты_исходные!G888,4),MID(Клиенты_исходные!G888,6,2),RIGHT(Клиенты_исходные!G888,2))),Клиенты_исходные!G888)</f>
        <v>53549</v>
      </c>
      <c r="H888">
        <f t="shared" ca="1" si="88"/>
        <v>44</v>
      </c>
      <c r="I888" t="str">
        <f t="shared" si="89"/>
        <v>OK</v>
      </c>
      <c r="J888" t="str">
        <f t="shared" si="90"/>
        <v>OK</v>
      </c>
    </row>
    <row r="889">
      <c r="A889" t="str">
        <f>Клиенты_исходные!A889</f>
        <v>C0888</v>
      </c>
      <c r="B889" t="str">
        <f>PROPER(TRIM(Клиенты_исходные!B889))</f>
        <v xml:space="preserve">Виноградова Мария Павловна</v>
      </c>
      <c r="C889" s="8">
        <f>IFERROR(IF(ISNUMBER(FIND(".",Клиенты_исходные!C889)),DATE(RIGHT(Клиенты_исходные!C889,4),MID(Клиенты_исходные!C889,4,2),LEFT(Клиенты_исходные!C889,2)),DATE(LEFT(Клиенты_исходные!C889,4),MID(Клиенты_исходные!C889,6,2),RIGHT(Клиенты_исходные!C889,2))),Клиенты_исходные!C889)</f>
        <v>27470</v>
      </c>
      <c r="D889" t="str">
        <f>IF(ISBLANK(Клиенты_исходные!D889),"",IF(LEN(SUBSTITUTE(SUBSTITUTE(SUBSTITUTE(SUBSTITUTE(SUBSTITUTE(Клиенты_исходные!D889," ",""),"-",""),"+",""),"(",""),")",""))=11,"+7 ("&amp;MID(IF(LEFT(SUBSTITUTE(SUBSTITUTE(SUBSTITUTE(SUBSTITUTE(SUBSTITUTE(Клиенты_исходные!D889," ",""),"-",""),"+",""),"(",""),")",""))="8","7"&amp;MID(SUBSTITUTE(SUBSTITUTE(SUBSTITUTE(SUBSTITUTE(SUBSTITUTE(Клиенты_исходные!D889," ",""),"-",""),"+",""),"(",""),")",""),2,10),SUBSTITUTE(SUBSTITUTE(SUBSTITUTE(SUBSTITUTE(SUBSTITUTE(Клиенты_исходные!D889," ",""),"-",""),"+",""),"(",""),")","")),2,3)&amp;") "&amp;MID(IF(LEFT(SUBSTITUTE(SUBSTITUTE(SUBSTITUTE(SUBSTITUTE(SUBSTITUTE(Клиенты_исходные!D889," ",""),"-",""),"+",""),"(",""),")",""))="8","7"&amp;MID(SUBSTITUTE(SUBSTITUTE(SUBSTITUTE(SUBSTITUTE(SUBSTITUTE(Клиенты_исходные!D889," ",""),"-",""),"+",""),"(",""),")",""),2,10),SUBSTITUTE(SUBSTITUTE(SUBSTITUTE(SUBSTITUTE(SUBSTITUTE(Клиенты_исходные!D889," ",""),"-",""),"+",""),"(",""),")","")),5,3)&amp;"-"&amp;MID(IF(LEFT(SUBSTITUTE(SUBSTITUTE(SUBSTITUTE(SUBSTITUTE(SUBSTITUTE(Клиенты_исходные!D889," ",""),"-",""),"+",""),"(",""),")",""))="8","7"&amp;MID(SUBSTITUTE(SUBSTITUTE(SUBSTITUTE(SUBSTITUTE(SUBSTITUTE(Клиенты_исходные!D889," ",""),"-",""),"+",""),"(",""),")",""),2,10),SUBSTITUTE(SUBSTITUTE(SUBSTITUTE(SUBSTITUTE(SUBSTITUTE(Клиенты_исходные!D889," ",""),"-",""),"+",""),"(",""),")","")),8,2)&amp;"-"&amp;MID(IF(LEFT(SUBSTITUTE(SUBSTITUTE(SUBSTITUTE(SUBSTITUTE(SUBSTITUTE(Клиенты_исходные!D889," ",""),"-",""),"+",""),"(",""),")",""))="8","7"&amp;MID(SUBSTITUTE(SUBSTITUTE(SUBSTITUTE(SUBSTITUTE(SUBSTITUTE(Клиенты_исходные!D889," ",""),"-",""),"+",""),"(",""),")",""),2,10),SUBSTITUTE(SUBSTITUTE(SUBSTITUTE(SUBSTITUTE(SUBSTITUTE(Клиенты_исходные!D889," ",""),"-",""),"+",""),"(",""),")","")),10,2),IF(LEN(SUBSTITUTE(SUBSTITUTE(SUBSTITUTE(SUBSTITUTE(SUBSTITUTE(Клиенты_исходные!D889," ",""),"-",""),"+",""),"(",""),")",""))=10,"+7 ("&amp;MID(SUBSTITUTE(SUBSTITUTE(SUBSTITUTE(SUBSTITUTE(SUBSTITUTE(Клиенты_исходные!D889," ",""),"-",""),"+",""),"(",""),")",""),1,3)&amp;") "&amp;MID(SUBSTITUTE(SUBSTITUTE(SUBSTITUTE(SUBSTITUTE(SUBSTITUTE(Клиенты_исходные!D889," ",""),"-",""),"+",""),"(",""),")",""),4,3)&amp;"-"&amp;MID(SUBSTITUTE(SUBSTITUTE(SUBSTITUTE(SUBSTITUTE(SUBSTITUTE(Клиенты_исходные!D889," ",""),"-",""),"+",""),"(",""),")",""),6,2)&amp;"-"&amp;MID(SUBSTITUTE(SUBSTITUTE(SUBSTITUTE(SUBSTITUTE(SUBSTITUTE(Клиенты_исходные!D889," ",""),"-",""),"+",""),"(",""),")",""),8,2),Клиенты_исходные!D889)))</f>
        <v xml:space="preserve">+7 (903) 234-56-78</v>
      </c>
      <c r="E889" t="str">
        <f>IF(ISBLANK(Клиенты_исходные!E889),"",IF(ISNUMBER(FIND(".",MID(Клиенты_исходные!E889,FIND("@",Клиенты_исходные!E889)+1,255))),Клиенты_исходные!E889,IF(ISNUMBER(FIND("gmail",Клиенты_исходные!E889)),Клиенты_исходные!E889&amp;".com",Клиенты_исходные!E889&amp;".ru")))</f>
        <v>vinogradova@gmail.com</v>
      </c>
      <c r="F889" t="str">
        <f>IFERROR(VLOOKUP(Клиенты_исходные!F889,Справочники!$J$2:$K$50,2,FALSE),Клиенты_исходные!F889)</f>
        <v>Уссурийск</v>
      </c>
      <c r="G889" s="8">
        <f>IFERROR(IF(ISNUMBER(FIND(".",Клиенты_исходные!G889)),DATE(RIGHT(Клиенты_исходные!G889,4),MID(Клиенты_исходные!G889,4,2),LEFT(Клиенты_исходные!G889,2)),DATE(LEFT(Клиенты_исходные!G889,4),MID(Клиенты_исходные!G889,6,2),RIGHT(Клиенты_исходные!G889,2))),Клиенты_исходные!G889)</f>
        <v>53549</v>
      </c>
      <c r="H889">
        <f t="shared" ca="1" si="88"/>
        <v>51</v>
      </c>
      <c r="I889" t="str">
        <f t="shared" si="89"/>
        <v>OK</v>
      </c>
      <c r="J889" t="str">
        <f t="shared" si="90"/>
        <v>OK</v>
      </c>
    </row>
    <row r="890">
      <c r="A890" t="str">
        <f>Клиенты_исходные!A890</f>
        <v>C0889</v>
      </c>
      <c r="B890" t="str">
        <f>PROPER(TRIM(Клиенты_исходные!B890))</f>
        <v xml:space="preserve">Грачев Андрей Олегович</v>
      </c>
      <c r="C890" s="8">
        <f>IFERROR(IF(ISNUMBER(FIND(".",Клиенты_исходные!C890)),DATE(RIGHT(Клиенты_исходные!C890,4),MID(Клиенты_исходные!C890,4,2),LEFT(Клиенты_исходные!C890,2)),DATE(LEFT(Клиенты_исходные!C890,4),MID(Клиенты_исходные!C890,6,2),RIGHT(Клиенты_исходные!C890,2))),Клиенты_исходные!C890)</f>
        <v>32347</v>
      </c>
      <c r="D890" t="str">
        <f>IF(ISBLANK(Клиенты_исходные!D890),"",IF(LEN(SUBSTITUTE(SUBSTITUTE(SUBSTITUTE(SUBSTITUTE(SUBSTITUTE(Клиенты_исходные!D890," ",""),"-",""),"+",""),"(",""),")",""))=11,"+7 ("&amp;MID(IF(LEFT(SUBSTITUTE(SUBSTITUTE(SUBSTITUTE(SUBSTITUTE(SUBSTITUTE(Клиенты_исходные!D890," ",""),"-",""),"+",""),"(",""),")",""))="8","7"&amp;MID(SUBSTITUTE(SUBSTITUTE(SUBSTITUTE(SUBSTITUTE(SUBSTITUTE(Клиенты_исходные!D890," ",""),"-",""),"+",""),"(",""),")",""),2,10),SUBSTITUTE(SUBSTITUTE(SUBSTITUTE(SUBSTITUTE(SUBSTITUTE(Клиенты_исходные!D890," ",""),"-",""),"+",""),"(",""),")","")),2,3)&amp;") "&amp;MID(IF(LEFT(SUBSTITUTE(SUBSTITUTE(SUBSTITUTE(SUBSTITUTE(SUBSTITUTE(Клиенты_исходные!D890," ",""),"-",""),"+",""),"(",""),")",""))="8","7"&amp;MID(SUBSTITUTE(SUBSTITUTE(SUBSTITUTE(SUBSTITUTE(SUBSTITUTE(Клиенты_исходные!D890," ",""),"-",""),"+",""),"(",""),")",""),2,10),SUBSTITUTE(SUBSTITUTE(SUBSTITUTE(SUBSTITUTE(SUBSTITUTE(Клиенты_исходные!D890," ",""),"-",""),"+",""),"(",""),")","")),5,3)&amp;"-"&amp;MID(IF(LEFT(SUBSTITUTE(SUBSTITUTE(SUBSTITUTE(SUBSTITUTE(SUBSTITUTE(Клиенты_исходные!D890," ",""),"-",""),"+",""),"(",""),")",""))="8","7"&amp;MID(SUBSTITUTE(SUBSTITUTE(SUBSTITUTE(SUBSTITUTE(SUBSTITUTE(Клиенты_исходные!D890," ",""),"-",""),"+",""),"(",""),")",""),2,10),SUBSTITUTE(SUBSTITUTE(SUBSTITUTE(SUBSTITUTE(SUBSTITUTE(Клиенты_исходные!D890," ",""),"-",""),"+",""),"(",""),")","")),8,2)&amp;"-"&amp;MID(IF(LEFT(SUBSTITUTE(SUBSTITUTE(SUBSTITUTE(SUBSTITUTE(SUBSTITUTE(Клиенты_исходные!D890," ",""),"-",""),"+",""),"(",""),")",""))="8","7"&amp;MID(SUBSTITUTE(SUBSTITUTE(SUBSTITUTE(SUBSTITUTE(SUBSTITUTE(Клиенты_исходные!D890," ",""),"-",""),"+",""),"(",""),")",""),2,10),SUBSTITUTE(SUBSTITUTE(SUBSTITUTE(SUBSTITUTE(SUBSTITUTE(Клиенты_исходные!D890," ",""),"-",""),"+",""),"(",""),")","")),10,2),IF(LEN(SUBSTITUTE(SUBSTITUTE(SUBSTITUTE(SUBSTITUTE(SUBSTITUTE(Клиенты_исходные!D890," ",""),"-",""),"+",""),"(",""),")",""))=10,"+7 ("&amp;MID(SUBSTITUTE(SUBSTITUTE(SUBSTITUTE(SUBSTITUTE(SUBSTITUTE(Клиенты_исходные!D890," ",""),"-",""),"+",""),"(",""),")",""),1,3)&amp;") "&amp;MID(SUBSTITUTE(SUBSTITUTE(SUBSTITUTE(SUBSTITUTE(SUBSTITUTE(Клиенты_исходные!D890," ",""),"-",""),"+",""),"(",""),")",""),4,3)&amp;"-"&amp;MID(SUBSTITUTE(SUBSTITUTE(SUBSTITUTE(SUBSTITUTE(SUBSTITUTE(Клиенты_исходные!D890," ",""),"-",""),"+",""),"(",""),")",""),6,2)&amp;"-"&amp;MID(SUBSTITUTE(SUBSTITUTE(SUBSTITUTE(SUBSTITUTE(SUBSTITUTE(Клиенты_исходные!D890," ",""),"-",""),"+",""),"(",""),")",""),8,2),Клиенты_исходные!D890)))</f>
        <v xml:space="preserve">+7 (903) 234-56-78</v>
      </c>
      <c r="E890" t="str">
        <f>IF(ISBLANK(Клиенты_исходные!E890),"",IF(ISNUMBER(FIND(".",MID(Клиенты_исходные!E890,FIND("@",Клиенты_исходные!E890)+1,255))),Клиенты_исходные!E890,IF(ISNUMBER(FIND("gmail",Клиенты_исходные!E890)),Клиенты_исходные!E890&amp;".com",Клиенты_исходные!E890&amp;".ru")))</f>
        <v>grachev@mail.ru</v>
      </c>
      <c r="F890" t="str">
        <f>IFERROR(VLOOKUP(Клиенты_исходные!F890,Справочники!$J$2:$K$50,2,FALSE),Клиенты_исходные!F890)</f>
        <v>Миасс</v>
      </c>
      <c r="G890" s="8">
        <f>IFERROR(IF(ISNUMBER(FIND(".",Клиенты_исходные!G890)),DATE(RIGHT(Клиенты_исходные!G890,4),MID(Клиенты_исходные!G890,4,2),LEFT(Клиенты_исходные!G890,2)),DATE(LEFT(Клиенты_исходные!G890,4),MID(Клиенты_исходные!G890,6,2),RIGHT(Клиенты_исходные!G890,2))),Клиенты_исходные!G890)</f>
        <v>53571</v>
      </c>
      <c r="H890">
        <f t="shared" ca="1" si="88"/>
        <v>38</v>
      </c>
      <c r="I890" t="str">
        <f t="shared" si="89"/>
        <v>OK</v>
      </c>
      <c r="J890" t="str">
        <f t="shared" si="90"/>
        <v>OK</v>
      </c>
    </row>
    <row r="891">
      <c r="A891" t="str">
        <f>Клиенты_исходные!A891</f>
        <v>C0890</v>
      </c>
      <c r="B891" t="str">
        <f>PROPER(TRIM(Клиенты_исходные!B891))</f>
        <v xml:space="preserve">Тимофеева Ольга Сергеевна</v>
      </c>
      <c r="C891" s="8">
        <f>IFERROR(IF(ISNUMBER(FIND(".",Клиенты_исходные!C891)),DATE(RIGHT(Клиенты_исходные!C891,4),MID(Клиенты_исходные!C891,4,2),LEFT(Клиенты_исходные!C891,2)),DATE(LEFT(Клиенты_исходные!C891,4),MID(Клиенты_исходные!C891,6,2),RIGHT(Клиенты_исходные!C891,2))),Клиенты_исходные!C891)</f>
        <v>30337</v>
      </c>
      <c r="D891" t="str">
        <f>IF(ISBLANK(Клиенты_исходные!D891),"",IF(LEN(SUBSTITUTE(SUBSTITUTE(SUBSTITUTE(SUBSTITUTE(SUBSTITUTE(Клиенты_исходные!D891," ",""),"-",""),"+",""),"(",""),")",""))=11,"+7 ("&amp;MID(IF(LEFT(SUBSTITUTE(SUBSTITUTE(SUBSTITUTE(SUBSTITUTE(SUBSTITUTE(Клиенты_исходные!D891," ",""),"-",""),"+",""),"(",""),")",""))="8","7"&amp;MID(SUBSTITUTE(SUBSTITUTE(SUBSTITUTE(SUBSTITUTE(SUBSTITUTE(Клиенты_исходные!D891," ",""),"-",""),"+",""),"(",""),")",""),2,10),SUBSTITUTE(SUBSTITUTE(SUBSTITUTE(SUBSTITUTE(SUBSTITUTE(Клиенты_исходные!D891," ",""),"-",""),"+",""),"(",""),")","")),2,3)&amp;") "&amp;MID(IF(LEFT(SUBSTITUTE(SUBSTITUTE(SUBSTITUTE(SUBSTITUTE(SUBSTITUTE(Клиенты_исходные!D891," ",""),"-",""),"+",""),"(",""),")",""))="8","7"&amp;MID(SUBSTITUTE(SUBSTITUTE(SUBSTITUTE(SUBSTITUTE(SUBSTITUTE(Клиенты_исходные!D891," ",""),"-",""),"+",""),"(",""),")",""),2,10),SUBSTITUTE(SUBSTITUTE(SUBSTITUTE(SUBSTITUTE(SUBSTITUTE(Клиенты_исходные!D891," ",""),"-",""),"+",""),"(",""),")","")),5,3)&amp;"-"&amp;MID(IF(LEFT(SUBSTITUTE(SUBSTITUTE(SUBSTITUTE(SUBSTITUTE(SUBSTITUTE(Клиенты_исходные!D891," ",""),"-",""),"+",""),"(",""),")",""))="8","7"&amp;MID(SUBSTITUTE(SUBSTITUTE(SUBSTITUTE(SUBSTITUTE(SUBSTITUTE(Клиенты_исходные!D891," ",""),"-",""),"+",""),"(",""),")",""),2,10),SUBSTITUTE(SUBSTITUTE(SUBSTITUTE(SUBSTITUTE(SUBSTITUTE(Клиенты_исходные!D891," ",""),"-",""),"+",""),"(",""),")","")),8,2)&amp;"-"&amp;MID(IF(LEFT(SUBSTITUTE(SUBSTITUTE(SUBSTITUTE(SUBSTITUTE(SUBSTITUTE(Клиенты_исходные!D891," ",""),"-",""),"+",""),"(",""),")",""))="8","7"&amp;MID(SUBSTITUTE(SUBSTITUTE(SUBSTITUTE(SUBSTITUTE(SUBSTITUTE(Клиенты_исходные!D891," ",""),"-",""),"+",""),"(",""),")",""),2,10),SUBSTITUTE(SUBSTITUTE(SUBSTITUTE(SUBSTITUTE(SUBSTITUTE(Клиенты_исходные!D891," ",""),"-",""),"+",""),"(",""),")","")),10,2),IF(LEN(SUBSTITUTE(SUBSTITUTE(SUBSTITUTE(SUBSTITUTE(SUBSTITUTE(Клиенты_исходные!D891," ",""),"-",""),"+",""),"(",""),")",""))=10,"+7 ("&amp;MID(SUBSTITUTE(SUBSTITUTE(SUBSTITUTE(SUBSTITUTE(SUBSTITUTE(Клиенты_исходные!D891," ",""),"-",""),"+",""),"(",""),")",""),1,3)&amp;") "&amp;MID(SUBSTITUTE(SUBSTITUTE(SUBSTITUTE(SUBSTITUTE(SUBSTITUTE(Клиенты_исходные!D891," ",""),"-",""),"+",""),"(",""),")",""),4,3)&amp;"-"&amp;MID(SUBSTITUTE(SUBSTITUTE(SUBSTITUTE(SUBSTITUTE(SUBSTITUTE(Клиенты_исходные!D891," ",""),"-",""),"+",""),"(",""),")",""),6,2)&amp;"-"&amp;MID(SUBSTITUTE(SUBSTITUTE(SUBSTITUTE(SUBSTITUTE(SUBSTITUTE(Клиенты_исходные!D891," ",""),"-",""),"+",""),"(",""),")",""),8,2),Клиенты_исходные!D891)))</f>
        <v xml:space="preserve">+7 (903) 234-56-78</v>
      </c>
      <c r="E891" t="str">
        <f>IF(ISBLANK(Клиенты_исходные!E891),"",IF(ISNUMBER(FIND(".",MID(Клиенты_исходные!E891,FIND("@",Клиенты_исходные!E891)+1,255))),Клиенты_исходные!E891,IF(ISNUMBER(FIND("gmail",Клиенты_исходные!E891)),Клиенты_исходные!E891&amp;".com",Клиенты_исходные!E891&amp;".ru")))</f>
        <v>timofeeva@yandex.ru</v>
      </c>
      <c r="F891" t="str">
        <f>IFERROR(VLOOKUP(Клиенты_исходные!F891,Справочники!$J$2:$K$50,2,FALSE),Клиенты_исходные!F891)</f>
        <v>Кызыл</v>
      </c>
      <c r="G891" s="8">
        <f>IFERROR(IF(ISNUMBER(FIND(".",Клиенты_исходные!G891)),DATE(RIGHT(Клиенты_исходные!G891,4),MID(Клиенты_исходные!G891,4,2),LEFT(Клиенты_исходные!G891,2)),DATE(LEFT(Клиенты_исходные!G891,4),MID(Клиенты_исходные!G891,6,2),RIGHT(Клиенты_исходные!G891,2))),Клиенты_исходные!G891)</f>
        <v>53585</v>
      </c>
      <c r="H891">
        <f t="shared" ca="1" si="88"/>
        <v>43</v>
      </c>
      <c r="I891" t="str">
        <f t="shared" si="89"/>
        <v>OK</v>
      </c>
      <c r="J891" t="str">
        <f t="shared" si="90"/>
        <v>OK</v>
      </c>
    </row>
    <row r="892">
      <c r="A892" t="str">
        <f>Клиенты_исходные!A892</f>
        <v>C0891</v>
      </c>
      <c r="B892" t="str">
        <f>PROPER(TRIM(Клиенты_исходные!B892))</f>
        <v xml:space="preserve">Смирнов Денис Викторович</v>
      </c>
      <c r="C892" s="8">
        <f>IFERROR(IF(ISNUMBER(FIND(".",Клиенты_исходные!C892)),DATE(RIGHT(Клиенты_исходные!C892,4),MID(Клиенты_исходные!C892,4,2),LEFT(Клиенты_исходные!C892,2)),DATE(LEFT(Клиенты_исходные!C892,4),MID(Клиенты_исходные!C892,6,2),RIGHT(Клиенты_исходные!C892,2))),Клиенты_исходные!C892)</f>
        <v>28108</v>
      </c>
      <c r="D892" t="str">
        <f>IF(ISBLANK(Клиенты_исходные!D892),"",IF(LEN(SUBSTITUTE(SUBSTITUTE(SUBSTITUTE(SUBSTITUTE(SUBSTITUTE(Клиенты_исходные!D892," ",""),"-",""),"+",""),"(",""),")",""))=11,"+7 ("&amp;MID(IF(LEFT(SUBSTITUTE(SUBSTITUTE(SUBSTITUTE(SUBSTITUTE(SUBSTITUTE(Клиенты_исходные!D892," ",""),"-",""),"+",""),"(",""),")",""))="8","7"&amp;MID(SUBSTITUTE(SUBSTITUTE(SUBSTITUTE(SUBSTITUTE(SUBSTITUTE(Клиенты_исходные!D892," ",""),"-",""),"+",""),"(",""),")",""),2,10),SUBSTITUTE(SUBSTITUTE(SUBSTITUTE(SUBSTITUTE(SUBSTITUTE(Клиенты_исходные!D892," ",""),"-",""),"+",""),"(",""),")","")),2,3)&amp;") "&amp;MID(IF(LEFT(SUBSTITUTE(SUBSTITUTE(SUBSTITUTE(SUBSTITUTE(SUBSTITUTE(Клиенты_исходные!D892," ",""),"-",""),"+",""),"(",""),")",""))="8","7"&amp;MID(SUBSTITUTE(SUBSTITUTE(SUBSTITUTE(SUBSTITUTE(SUBSTITUTE(Клиенты_исходные!D892," ",""),"-",""),"+",""),"(",""),")",""),2,10),SUBSTITUTE(SUBSTITUTE(SUBSTITUTE(SUBSTITUTE(SUBSTITUTE(Клиенты_исходные!D892," ",""),"-",""),"+",""),"(",""),")","")),5,3)&amp;"-"&amp;MID(IF(LEFT(SUBSTITUTE(SUBSTITUTE(SUBSTITUTE(SUBSTITUTE(SUBSTITUTE(Клиенты_исходные!D892," ",""),"-",""),"+",""),"(",""),")",""))="8","7"&amp;MID(SUBSTITUTE(SUBSTITUTE(SUBSTITUTE(SUBSTITUTE(SUBSTITUTE(Клиенты_исходные!D892," ",""),"-",""),"+",""),"(",""),")",""),2,10),SUBSTITUTE(SUBSTITUTE(SUBSTITUTE(SUBSTITUTE(SUBSTITUTE(Клиенты_исходные!D892," ",""),"-",""),"+",""),"(",""),")","")),8,2)&amp;"-"&amp;MID(IF(LEFT(SUBSTITUTE(SUBSTITUTE(SUBSTITUTE(SUBSTITUTE(SUBSTITUTE(Клиенты_исходные!D892," ",""),"-",""),"+",""),"(",""),")",""))="8","7"&amp;MID(SUBSTITUTE(SUBSTITUTE(SUBSTITUTE(SUBSTITUTE(SUBSTITUTE(Клиенты_исходные!D892," ",""),"-",""),"+",""),"(",""),")",""),2,10),SUBSTITUTE(SUBSTITUTE(SUBSTITUTE(SUBSTITUTE(SUBSTITUTE(Клиенты_исходные!D892," ",""),"-",""),"+",""),"(",""),")","")),10,2),IF(LEN(SUBSTITUTE(SUBSTITUTE(SUBSTITUTE(SUBSTITUTE(SUBSTITUTE(Клиенты_исходные!D892," ",""),"-",""),"+",""),"(",""),")",""))=10,"+7 ("&amp;MID(SUBSTITUTE(SUBSTITUTE(SUBSTITUTE(SUBSTITUTE(SUBSTITUTE(Клиенты_исходные!D892," ",""),"-",""),"+",""),"(",""),")",""),1,3)&amp;") "&amp;MID(SUBSTITUTE(SUBSTITUTE(SUBSTITUTE(SUBSTITUTE(SUBSTITUTE(Клиенты_исходные!D892," ",""),"-",""),"+",""),"(",""),")",""),4,3)&amp;"-"&amp;MID(SUBSTITUTE(SUBSTITUTE(SUBSTITUTE(SUBSTITUTE(SUBSTITUTE(Клиенты_исходные!D892," ",""),"-",""),"+",""),"(",""),")",""),6,2)&amp;"-"&amp;MID(SUBSTITUTE(SUBSTITUTE(SUBSTITUTE(SUBSTITUTE(SUBSTITUTE(Клиенты_исходные!D892," ",""),"-",""),"+",""),"(",""),")",""),8,2),Клиенты_исходные!D892)))</f>
        <v xml:space="preserve">+7 (903) 345-67-89</v>
      </c>
      <c r="E892" t="str">
        <f>IF(ISBLANK(Клиенты_исходные!E892),"",IF(ISNUMBER(FIND(".",MID(Клиенты_исходные!E892,FIND("@",Клиенты_исходные!E892)+1,255))),Клиенты_исходные!E892,IF(ISNUMBER(FIND("gmail",Клиенты_исходные!E892)),Клиенты_исходные!E892&amp;".com",Клиенты_исходные!E892&amp;".ru")))</f>
        <v>smirnov@gmail.com</v>
      </c>
      <c r="F892" t="str">
        <f>IFERROR(VLOOKUP(Клиенты_исходные!F892,Справочники!$J$2:$K$50,2,FALSE),Клиенты_исходные!F892)</f>
        <v>Калининград</v>
      </c>
      <c r="G892" s="8">
        <f>IFERROR(IF(ISNUMBER(FIND(".",Клиенты_исходные!G892)),DATE(RIGHT(Клиенты_исходные!G892,4),MID(Клиенты_исходные!G892,4,2),LEFT(Клиенты_исходные!G892,2)),DATE(LEFT(Клиенты_исходные!G892,4),MID(Клиенты_исходные!G892,6,2),RIGHT(Клиенты_исходные!G892,2))),Клиенты_исходные!G892)</f>
        <v>53585</v>
      </c>
      <c r="H892">
        <f t="shared" ca="1" si="88"/>
        <v>49</v>
      </c>
      <c r="I892" t="str">
        <f t="shared" si="89"/>
        <v>OK</v>
      </c>
      <c r="J892" t="str">
        <f t="shared" si="90"/>
        <v>OK</v>
      </c>
    </row>
    <row r="893">
      <c r="A893" t="str">
        <f>Клиенты_исходные!A893</f>
        <v>C0892</v>
      </c>
      <c r="B893" t="str">
        <f>PROPER(TRIM(Клиенты_исходные!B893))</f>
        <v xml:space="preserve">Ерохина Екатерина Владимировна</v>
      </c>
      <c r="C893" s="8">
        <f>IFERROR(IF(ISNUMBER(FIND(".",Клиенты_исходные!C893)),DATE(RIGHT(Клиенты_исходные!C893,4),MID(Клиенты_исходные!C893,4,2),LEFT(Клиенты_исходные!C893,2)),DATE(LEFT(Клиенты_исходные!C893,4),MID(Клиенты_исходные!C893,6,2),RIGHT(Клиенты_исходные!C893,2))),Клиенты_исходные!C893)</f>
        <v>30775</v>
      </c>
      <c r="D893" t="str">
        <f>IF(ISBLANK(Клиенты_исходные!D893),"",IF(LEN(SUBSTITUTE(SUBSTITUTE(SUBSTITUTE(SUBSTITUTE(SUBSTITUTE(Клиенты_исходные!D893," ",""),"-",""),"+",""),"(",""),")",""))=11,"+7 ("&amp;MID(IF(LEFT(SUBSTITUTE(SUBSTITUTE(SUBSTITUTE(SUBSTITUTE(SUBSTITUTE(Клиенты_исходные!D893," ",""),"-",""),"+",""),"(",""),")",""))="8","7"&amp;MID(SUBSTITUTE(SUBSTITUTE(SUBSTITUTE(SUBSTITUTE(SUBSTITUTE(Клиенты_исходные!D893," ",""),"-",""),"+",""),"(",""),")",""),2,10),SUBSTITUTE(SUBSTITUTE(SUBSTITUTE(SUBSTITUTE(SUBSTITUTE(Клиенты_исходные!D893," ",""),"-",""),"+",""),"(",""),")","")),2,3)&amp;") "&amp;MID(IF(LEFT(SUBSTITUTE(SUBSTITUTE(SUBSTITUTE(SUBSTITUTE(SUBSTITUTE(Клиенты_исходные!D893," ",""),"-",""),"+",""),"(",""),")",""))="8","7"&amp;MID(SUBSTITUTE(SUBSTITUTE(SUBSTITUTE(SUBSTITUTE(SUBSTITUTE(Клиенты_исходные!D893," ",""),"-",""),"+",""),"(",""),")",""),2,10),SUBSTITUTE(SUBSTITUTE(SUBSTITUTE(SUBSTITUTE(SUBSTITUTE(Клиенты_исходные!D893," ",""),"-",""),"+",""),"(",""),")","")),5,3)&amp;"-"&amp;MID(IF(LEFT(SUBSTITUTE(SUBSTITUTE(SUBSTITUTE(SUBSTITUTE(SUBSTITUTE(Клиенты_исходные!D893," ",""),"-",""),"+",""),"(",""),")",""))="8","7"&amp;MID(SUBSTITUTE(SUBSTITUTE(SUBSTITUTE(SUBSTITUTE(SUBSTITUTE(Клиенты_исходные!D893," ",""),"-",""),"+",""),"(",""),")",""),2,10),SUBSTITUTE(SUBSTITUTE(SUBSTITUTE(SUBSTITUTE(SUBSTITUTE(Клиенты_исходные!D893," ",""),"-",""),"+",""),"(",""),")","")),8,2)&amp;"-"&amp;MID(IF(LEFT(SUBSTITUTE(SUBSTITUTE(SUBSTITUTE(SUBSTITUTE(SUBSTITUTE(Клиенты_исходные!D893," ",""),"-",""),"+",""),"(",""),")",""))="8","7"&amp;MID(SUBSTITUTE(SUBSTITUTE(SUBSTITUTE(SUBSTITUTE(SUBSTITUTE(Клиенты_исходные!D893," ",""),"-",""),"+",""),"(",""),")",""),2,10),SUBSTITUTE(SUBSTITUTE(SUBSTITUTE(SUBSTITUTE(SUBSTITUTE(Клиенты_исходные!D893," ",""),"-",""),"+",""),"(",""),")","")),10,2),IF(LEN(SUBSTITUTE(SUBSTITUTE(SUBSTITUTE(SUBSTITUTE(SUBSTITUTE(Клиенты_исходные!D893," ",""),"-",""),"+",""),"(",""),")",""))=10,"+7 ("&amp;MID(SUBSTITUTE(SUBSTITUTE(SUBSTITUTE(SUBSTITUTE(SUBSTITUTE(Клиенты_исходные!D893," ",""),"-",""),"+",""),"(",""),")",""),1,3)&amp;") "&amp;MID(SUBSTITUTE(SUBSTITUTE(SUBSTITUTE(SUBSTITUTE(SUBSTITUTE(Клиенты_исходные!D893," ",""),"-",""),"+",""),"(",""),")",""),4,3)&amp;"-"&amp;MID(SUBSTITUTE(SUBSTITUTE(SUBSTITUTE(SUBSTITUTE(SUBSTITUTE(Клиенты_исходные!D893," ",""),"-",""),"+",""),"(",""),")",""),6,2)&amp;"-"&amp;MID(SUBSTITUTE(SUBSTITUTE(SUBSTITUTE(SUBSTITUTE(SUBSTITUTE(Клиенты_исходные!D893," ",""),"-",""),"+",""),"(",""),")",""),8,2),Клиенты_исходные!D893)))</f>
        <v xml:space="preserve">+7 (903) 345-67-89</v>
      </c>
      <c r="E893" t="str">
        <f>IF(ISBLANK(Клиенты_исходные!E893),"",IF(ISNUMBER(FIND(".",MID(Клиенты_исходные!E893,FIND("@",Клиенты_исходные!E893)+1,255))),Клиенты_исходные!E893,IF(ISNUMBER(FIND("gmail",Клиенты_исходные!E893)),Клиенты_исходные!E893&amp;".com",Клиенты_исходные!E893&amp;".ru")))</f>
        <v>erohina@mail.ru</v>
      </c>
      <c r="F893" t="str">
        <f>IFERROR(VLOOKUP(Клиенты_исходные!F893,Справочники!$J$2:$K$50,2,FALSE),Клиенты_исходные!F893)</f>
        <v>Петрозаводск</v>
      </c>
      <c r="G893" s="8">
        <f>IFERROR(IF(ISNUMBER(FIND(".",Клиенты_исходные!G893)),DATE(RIGHT(Клиенты_исходные!G893,4),MID(Клиенты_исходные!G893,4,2),LEFT(Клиенты_исходные!G893,2)),DATE(LEFT(Клиенты_исходные!G893,4),MID(Клиенты_исходные!G893,6,2),RIGHT(Клиенты_исходные!G893,2))),Клиенты_исходные!G893)</f>
        <v>53601</v>
      </c>
      <c r="H893">
        <f t="shared" ca="1" si="88"/>
        <v>42</v>
      </c>
      <c r="I893" t="str">
        <f t="shared" si="89"/>
        <v>OK</v>
      </c>
      <c r="J893" t="str">
        <f t="shared" si="90"/>
        <v>OK</v>
      </c>
    </row>
    <row r="894">
      <c r="A894" t="str">
        <f>Клиенты_исходные!A894</f>
        <v>C0893</v>
      </c>
      <c r="B894" t="str">
        <f>PROPER(TRIM(Клиенты_исходные!B894))</f>
        <v xml:space="preserve">Пелевин Илья Александрович</v>
      </c>
      <c r="C894" s="8">
        <f>IFERROR(IF(ISNUMBER(FIND(".",Клиенты_исходные!C894)),DATE(RIGHT(Клиенты_исходные!C894,4),MID(Клиенты_исходные!C894,4,2),LEFT(Клиенты_исходные!C894,2)),DATE(LEFT(Клиенты_исходные!C894,4),MID(Клиенты_исходные!C894,6,2),RIGHT(Клиенты_исходные!C894,2))),Клиенты_исходные!C894)</f>
        <v>33456</v>
      </c>
      <c r="D894" t="str">
        <f>IF(ISBLANK(Клиенты_исходные!D894),"",IF(LEN(SUBSTITUTE(SUBSTITUTE(SUBSTITUTE(SUBSTITUTE(SUBSTITUTE(Клиенты_исходные!D894," ",""),"-",""),"+",""),"(",""),")",""))=11,"+7 ("&amp;MID(IF(LEFT(SUBSTITUTE(SUBSTITUTE(SUBSTITUTE(SUBSTITUTE(SUBSTITUTE(Клиенты_исходные!D894," ",""),"-",""),"+",""),"(",""),")",""))="8","7"&amp;MID(SUBSTITUTE(SUBSTITUTE(SUBSTITUTE(SUBSTITUTE(SUBSTITUTE(Клиенты_исходные!D894," ",""),"-",""),"+",""),"(",""),")",""),2,10),SUBSTITUTE(SUBSTITUTE(SUBSTITUTE(SUBSTITUTE(SUBSTITUTE(Клиенты_исходные!D894," ",""),"-",""),"+",""),"(",""),")","")),2,3)&amp;") "&amp;MID(IF(LEFT(SUBSTITUTE(SUBSTITUTE(SUBSTITUTE(SUBSTITUTE(SUBSTITUTE(Клиенты_исходные!D894," ",""),"-",""),"+",""),"(",""),")",""))="8","7"&amp;MID(SUBSTITUTE(SUBSTITUTE(SUBSTITUTE(SUBSTITUTE(SUBSTITUTE(Клиенты_исходные!D894," ",""),"-",""),"+",""),"(",""),")",""),2,10),SUBSTITUTE(SUBSTITUTE(SUBSTITUTE(SUBSTITUTE(SUBSTITUTE(Клиенты_исходные!D894," ",""),"-",""),"+",""),"(",""),")","")),5,3)&amp;"-"&amp;MID(IF(LEFT(SUBSTITUTE(SUBSTITUTE(SUBSTITUTE(SUBSTITUTE(SUBSTITUTE(Клиенты_исходные!D894," ",""),"-",""),"+",""),"(",""),")",""))="8","7"&amp;MID(SUBSTITUTE(SUBSTITUTE(SUBSTITUTE(SUBSTITUTE(SUBSTITUTE(Клиенты_исходные!D894," ",""),"-",""),"+",""),"(",""),")",""),2,10),SUBSTITUTE(SUBSTITUTE(SUBSTITUTE(SUBSTITUTE(SUBSTITUTE(Клиенты_исходные!D894," ",""),"-",""),"+",""),"(",""),")","")),8,2)&amp;"-"&amp;MID(IF(LEFT(SUBSTITUTE(SUBSTITUTE(SUBSTITUTE(SUBSTITUTE(SUBSTITUTE(Клиенты_исходные!D894," ",""),"-",""),"+",""),"(",""),")",""))="8","7"&amp;MID(SUBSTITUTE(SUBSTITUTE(SUBSTITUTE(SUBSTITUTE(SUBSTITUTE(Клиенты_исходные!D894," ",""),"-",""),"+",""),"(",""),")",""),2,10),SUBSTITUTE(SUBSTITUTE(SUBSTITUTE(SUBSTITUTE(SUBSTITUTE(Клиенты_исходные!D894," ",""),"-",""),"+",""),"(",""),")","")),10,2),IF(LEN(SUBSTITUTE(SUBSTITUTE(SUBSTITUTE(SUBSTITUTE(SUBSTITUTE(Клиенты_исходные!D894," ",""),"-",""),"+",""),"(",""),")",""))=10,"+7 ("&amp;MID(SUBSTITUTE(SUBSTITUTE(SUBSTITUTE(SUBSTITUTE(SUBSTITUTE(Клиенты_исходные!D894," ",""),"-",""),"+",""),"(",""),")",""),1,3)&amp;") "&amp;MID(SUBSTITUTE(SUBSTITUTE(SUBSTITUTE(SUBSTITUTE(SUBSTITUTE(Клиенты_исходные!D894," ",""),"-",""),"+",""),"(",""),")",""),4,3)&amp;"-"&amp;MID(SUBSTITUTE(SUBSTITUTE(SUBSTITUTE(SUBSTITUTE(SUBSTITUTE(Клиенты_исходные!D894," ",""),"-",""),"+",""),"(",""),")",""),6,2)&amp;"-"&amp;MID(SUBSTITUTE(SUBSTITUTE(SUBSTITUTE(SUBSTITUTE(SUBSTITUTE(Клиенты_исходные!D894," ",""),"-",""),"+",""),"(",""),")",""),8,2),Клиенты_исходные!D894)))</f>
        <v xml:space="preserve">+7 (903) 345-67-89</v>
      </c>
      <c r="E894" t="str">
        <f>IF(ISBLANK(Клиенты_исходные!E894),"",IF(ISNUMBER(FIND(".",MID(Клиенты_исходные!E894,FIND("@",Клиенты_исходные!E894)+1,255))),Клиенты_исходные!E894,IF(ISNUMBER(FIND("gmail",Клиенты_исходные!E894)),Клиенты_исходные!E894&amp;".com",Клиенты_исходные!E894&amp;".ru")))</f>
        <v>pelevin@yandex.ru</v>
      </c>
      <c r="F894" t="str">
        <f>IFERROR(VLOOKUP(Клиенты_исходные!F894,Справочники!$J$2:$K$50,2,FALSE),Клиенты_исходные!F894)</f>
        <v>Рубцовск</v>
      </c>
      <c r="G894" s="8">
        <f>IFERROR(IF(ISNUMBER(FIND(".",Клиенты_исходные!G894)),DATE(RIGHT(Клиенты_исходные!G894,4),MID(Клиенты_исходные!G894,4,2),LEFT(Клиенты_исходные!G894,2)),DATE(LEFT(Клиенты_исходные!G894,4),MID(Клиенты_исходные!G894,6,2),RIGHT(Клиенты_исходные!G894,2))),Клиенты_исходные!G894)</f>
        <v>53610</v>
      </c>
      <c r="H894">
        <f t="shared" ca="1" si="88"/>
        <v>35</v>
      </c>
      <c r="I894" t="str">
        <f t="shared" si="89"/>
        <v>OK</v>
      </c>
      <c r="J894" t="str">
        <f t="shared" si="90"/>
        <v>OK</v>
      </c>
    </row>
    <row r="895">
      <c r="A895" t="str">
        <f>Клиенты_исходные!A895</f>
        <v>C0894</v>
      </c>
      <c r="B895" t="str">
        <f>PROPER(TRIM(Клиенты_исходные!B895))</f>
        <v xml:space="preserve">Кирсанова Мария Павловна</v>
      </c>
      <c r="C895" s="8">
        <f>IFERROR(IF(ISNUMBER(FIND(".",Клиенты_исходные!C895)),DATE(RIGHT(Клиенты_исходные!C895,4),MID(Клиенты_исходные!C895,4,2),LEFT(Клиенты_исходные!C895,2)),DATE(LEFT(Клиенты_исходные!C895,4),MID(Клиенты_исходные!C895,6,2),RIGHT(Клиенты_исходные!C895,2))),Клиенты_исходные!C895)</f>
        <v>26468</v>
      </c>
      <c r="D895" t="str">
        <f>IF(ISBLANK(Клиенты_исходные!D895),"",IF(LEN(SUBSTITUTE(SUBSTITUTE(SUBSTITUTE(SUBSTITUTE(SUBSTITUTE(Клиенты_исходные!D895," ",""),"-",""),"+",""),"(",""),")",""))=11,"+7 ("&amp;MID(IF(LEFT(SUBSTITUTE(SUBSTITUTE(SUBSTITUTE(SUBSTITUTE(SUBSTITUTE(Клиенты_исходные!D895," ",""),"-",""),"+",""),"(",""),")",""))="8","7"&amp;MID(SUBSTITUTE(SUBSTITUTE(SUBSTITUTE(SUBSTITUTE(SUBSTITUTE(Клиенты_исходные!D895," ",""),"-",""),"+",""),"(",""),")",""),2,10),SUBSTITUTE(SUBSTITUTE(SUBSTITUTE(SUBSTITUTE(SUBSTITUTE(Клиенты_исходные!D895," ",""),"-",""),"+",""),"(",""),")","")),2,3)&amp;") "&amp;MID(IF(LEFT(SUBSTITUTE(SUBSTITUTE(SUBSTITUTE(SUBSTITUTE(SUBSTITUTE(Клиенты_исходные!D895," ",""),"-",""),"+",""),"(",""),")",""))="8","7"&amp;MID(SUBSTITUTE(SUBSTITUTE(SUBSTITUTE(SUBSTITUTE(SUBSTITUTE(Клиенты_исходные!D895," ",""),"-",""),"+",""),"(",""),")",""),2,10),SUBSTITUTE(SUBSTITUTE(SUBSTITUTE(SUBSTITUTE(SUBSTITUTE(Клиенты_исходные!D895," ",""),"-",""),"+",""),"(",""),")","")),5,3)&amp;"-"&amp;MID(IF(LEFT(SUBSTITUTE(SUBSTITUTE(SUBSTITUTE(SUBSTITUTE(SUBSTITUTE(Клиенты_исходные!D895," ",""),"-",""),"+",""),"(",""),")",""))="8","7"&amp;MID(SUBSTITUTE(SUBSTITUTE(SUBSTITUTE(SUBSTITUTE(SUBSTITUTE(Клиенты_исходные!D895," ",""),"-",""),"+",""),"(",""),")",""),2,10),SUBSTITUTE(SUBSTITUTE(SUBSTITUTE(SUBSTITUTE(SUBSTITUTE(Клиенты_исходные!D895," ",""),"-",""),"+",""),"(",""),")","")),8,2)&amp;"-"&amp;MID(IF(LEFT(SUBSTITUTE(SUBSTITUTE(SUBSTITUTE(SUBSTITUTE(SUBSTITUTE(Клиенты_исходные!D895," ",""),"-",""),"+",""),"(",""),")",""))="8","7"&amp;MID(SUBSTITUTE(SUBSTITUTE(SUBSTITUTE(SUBSTITUTE(SUBSTITUTE(Клиенты_исходные!D895," ",""),"-",""),"+",""),"(",""),")",""),2,10),SUBSTITUTE(SUBSTITUTE(SUBSTITUTE(SUBSTITUTE(SUBSTITUTE(Клиенты_исходные!D895," ",""),"-",""),"+",""),"(",""),")","")),10,2),IF(LEN(SUBSTITUTE(SUBSTITUTE(SUBSTITUTE(SUBSTITUTE(SUBSTITUTE(Клиенты_исходные!D895," ",""),"-",""),"+",""),"(",""),")",""))=10,"+7 ("&amp;MID(SUBSTITUTE(SUBSTITUTE(SUBSTITUTE(SUBSTITUTE(SUBSTITUTE(Клиенты_исходные!D895," ",""),"-",""),"+",""),"(",""),")",""),1,3)&amp;") "&amp;MID(SUBSTITUTE(SUBSTITUTE(SUBSTITUTE(SUBSTITUTE(SUBSTITUTE(Клиенты_исходные!D895," ",""),"-",""),"+",""),"(",""),")",""),4,3)&amp;"-"&amp;MID(SUBSTITUTE(SUBSTITUTE(SUBSTITUTE(SUBSTITUTE(SUBSTITUTE(Клиенты_исходные!D895," ",""),"-",""),"+",""),"(",""),")",""),6,2)&amp;"-"&amp;MID(SUBSTITUTE(SUBSTITUTE(SUBSTITUTE(SUBSTITUTE(SUBSTITUTE(Клиенты_исходные!D895," ",""),"-",""),"+",""),"(",""),")",""),8,2),Клиенты_исходные!D895)))</f>
        <v xml:space="preserve">+7 (903) 456-78-90</v>
      </c>
      <c r="E895" t="str">
        <f>IF(ISBLANK(Клиенты_исходные!E895),"",IF(ISNUMBER(FIND(".",MID(Клиенты_исходные!E895,FIND("@",Клиенты_исходные!E895)+1,255))),Клиенты_исходные!E895,IF(ISNUMBER(FIND("gmail",Клиенты_исходные!E895)),Клиенты_исходные!E895&amp;".com",Клиенты_исходные!E895&amp;".ru")))</f>
        <v>kirsanova@gmail.com</v>
      </c>
      <c r="F895" t="str">
        <f>IFERROR(VLOOKUP(Клиенты_исходные!F895,Справочники!$J$2:$K$50,2,FALSE),Клиенты_исходные!F895)</f>
        <v>Элиста</v>
      </c>
      <c r="G895" s="8">
        <f>IFERROR(IF(ISNUMBER(FIND(".",Клиенты_исходные!G895)),DATE(RIGHT(Клиенты_исходные!G895,4),MID(Клиенты_исходные!G895,4,2),LEFT(Клиенты_исходные!G895,2)),DATE(LEFT(Клиенты_исходные!G895,4),MID(Клиенты_исходные!G895,6,2),RIGHT(Клиенты_исходные!G895,2))),Клиенты_исходные!G895)</f>
        <v>53610</v>
      </c>
      <c r="H895">
        <f t="shared" ca="1" si="88"/>
        <v>54</v>
      </c>
      <c r="I895" t="str">
        <f t="shared" si="89"/>
        <v>OK</v>
      </c>
      <c r="J895" t="str">
        <f t="shared" si="90"/>
        <v>OK</v>
      </c>
    </row>
    <row r="896">
      <c r="A896" t="str">
        <f>Клиенты_исходные!A896</f>
        <v>C0895</v>
      </c>
      <c r="B896" t="str">
        <f>PROPER(TRIM(Клиенты_исходные!B896))</f>
        <v xml:space="preserve">Белозеров Андрей Олегович</v>
      </c>
      <c r="C896" s="8">
        <f>IFERROR(IF(ISNUMBER(FIND(".",Клиенты_исходные!C896)),DATE(RIGHT(Клиенты_исходные!C896,4),MID(Клиенты_исходные!C896,4,2),LEFT(Клиенты_исходные!C896,2)),DATE(LEFT(Клиенты_исходные!C896,4),MID(Клиенты_исходные!C896,6,2),RIGHT(Клиенты_исходные!C896,2))),Клиенты_исходные!C896)</f>
        <v>31671</v>
      </c>
      <c r="D896" t="str">
        <f>IF(ISBLANK(Клиенты_исходные!D896),"",IF(LEN(SUBSTITUTE(SUBSTITUTE(SUBSTITUTE(SUBSTITUTE(SUBSTITUTE(Клиенты_исходные!D896," ",""),"-",""),"+",""),"(",""),")",""))=11,"+7 ("&amp;MID(IF(LEFT(SUBSTITUTE(SUBSTITUTE(SUBSTITUTE(SUBSTITUTE(SUBSTITUTE(Клиенты_исходные!D896," ",""),"-",""),"+",""),"(",""),")",""))="8","7"&amp;MID(SUBSTITUTE(SUBSTITUTE(SUBSTITUTE(SUBSTITUTE(SUBSTITUTE(Клиенты_исходные!D896," ",""),"-",""),"+",""),"(",""),")",""),2,10),SUBSTITUTE(SUBSTITUTE(SUBSTITUTE(SUBSTITUTE(SUBSTITUTE(Клиенты_исходные!D896," ",""),"-",""),"+",""),"(",""),")","")),2,3)&amp;") "&amp;MID(IF(LEFT(SUBSTITUTE(SUBSTITUTE(SUBSTITUTE(SUBSTITUTE(SUBSTITUTE(Клиенты_исходные!D896," ",""),"-",""),"+",""),"(",""),")",""))="8","7"&amp;MID(SUBSTITUTE(SUBSTITUTE(SUBSTITUTE(SUBSTITUTE(SUBSTITUTE(Клиенты_исходные!D896," ",""),"-",""),"+",""),"(",""),")",""),2,10),SUBSTITUTE(SUBSTITUTE(SUBSTITUTE(SUBSTITUTE(SUBSTITUTE(Клиенты_исходные!D896," ",""),"-",""),"+",""),"(",""),")","")),5,3)&amp;"-"&amp;MID(IF(LEFT(SUBSTITUTE(SUBSTITUTE(SUBSTITUTE(SUBSTITUTE(SUBSTITUTE(Клиенты_исходные!D896," ",""),"-",""),"+",""),"(",""),")",""))="8","7"&amp;MID(SUBSTITUTE(SUBSTITUTE(SUBSTITUTE(SUBSTITUTE(SUBSTITUTE(Клиенты_исходные!D896," ",""),"-",""),"+",""),"(",""),")",""),2,10),SUBSTITUTE(SUBSTITUTE(SUBSTITUTE(SUBSTITUTE(SUBSTITUTE(Клиенты_исходные!D896," ",""),"-",""),"+",""),"(",""),")","")),8,2)&amp;"-"&amp;MID(IF(LEFT(SUBSTITUTE(SUBSTITUTE(SUBSTITUTE(SUBSTITUTE(SUBSTITUTE(Клиенты_исходные!D896," ",""),"-",""),"+",""),"(",""),")",""))="8","7"&amp;MID(SUBSTITUTE(SUBSTITUTE(SUBSTITUTE(SUBSTITUTE(SUBSTITUTE(Клиенты_исходные!D896," ",""),"-",""),"+",""),"(",""),")",""),2,10),SUBSTITUTE(SUBSTITUTE(SUBSTITUTE(SUBSTITUTE(SUBSTITUTE(Клиенты_исходные!D896," ",""),"-",""),"+",""),"(",""),")","")),10,2),IF(LEN(SUBSTITUTE(SUBSTITUTE(SUBSTITUTE(SUBSTITUTE(SUBSTITUTE(Клиенты_исходные!D896," ",""),"-",""),"+",""),"(",""),")",""))=10,"+7 ("&amp;MID(SUBSTITUTE(SUBSTITUTE(SUBSTITUTE(SUBSTITUTE(SUBSTITUTE(Клиенты_исходные!D896," ",""),"-",""),"+",""),"(",""),")",""),1,3)&amp;") "&amp;MID(SUBSTITUTE(SUBSTITUTE(SUBSTITUTE(SUBSTITUTE(SUBSTITUTE(Клиенты_исходные!D896," ",""),"-",""),"+",""),"(",""),")",""),4,3)&amp;"-"&amp;MID(SUBSTITUTE(SUBSTITUTE(SUBSTITUTE(SUBSTITUTE(SUBSTITUTE(Клиенты_исходные!D896," ",""),"-",""),"+",""),"(",""),")",""),6,2)&amp;"-"&amp;MID(SUBSTITUTE(SUBSTITUTE(SUBSTITUTE(SUBSTITUTE(SUBSTITUTE(Клиенты_исходные!D896," ",""),"-",""),"+",""),"(",""),")",""),8,2),Клиенты_исходные!D896)))</f>
        <v xml:space="preserve">+7 (903) 456-78-90</v>
      </c>
      <c r="E896" t="str">
        <f>IF(ISBLANK(Клиенты_исходные!E896),"",IF(ISNUMBER(FIND(".",MID(Клиенты_исходные!E896,FIND("@",Клиенты_исходные!E896)+1,255))),Клиенты_исходные!E896,IF(ISNUMBER(FIND("gmail",Клиенты_исходные!E896)),Клиенты_исходные!E896&amp;".com",Клиенты_исходные!E896&amp;".ru")))</f>
        <v>belozerov@mail.ru</v>
      </c>
      <c r="F896" t="str">
        <f>IFERROR(VLOOKUP(Клиенты_исходные!F896,Справочники!$J$2:$K$50,2,FALSE),Клиенты_исходные!F896)</f>
        <v>Орск</v>
      </c>
      <c r="G896" s="8">
        <f>IFERROR(IF(ISNUMBER(FIND(".",Клиенты_исходные!G896)),DATE(RIGHT(Клиенты_исходные!G896,4),MID(Клиенты_исходные!G896,4,2),LEFT(Клиенты_исходные!G896,2)),DATE(LEFT(Клиенты_исходные!G896,4),MID(Клиенты_исходные!G896,6,2),RIGHT(Клиенты_исходные!G896,2))),Клиенты_исходные!G896)</f>
        <v>53632</v>
      </c>
      <c r="H896">
        <f t="shared" ca="1" si="88"/>
        <v>40</v>
      </c>
      <c r="I896" t="str">
        <f t="shared" si="89"/>
        <v>OK</v>
      </c>
      <c r="J896" t="str">
        <f t="shared" si="90"/>
        <v>OK</v>
      </c>
    </row>
    <row r="897">
      <c r="A897" t="str">
        <f>Клиенты_исходные!A897</f>
        <v>C0896</v>
      </c>
      <c r="B897" t="str">
        <f>PROPER(TRIM(Клиенты_исходные!B897))</f>
        <v xml:space="preserve">Пучкова Ольга Сергеевна</v>
      </c>
      <c r="C897" s="8">
        <f>IFERROR(IF(ISNUMBER(FIND(".",Клиенты_исходные!C897)),DATE(RIGHT(Клиенты_исходные!C897,4),MID(Клиенты_исходные!C897,4,2),LEFT(Клиенты_исходные!C897,2)),DATE(LEFT(Клиенты_исходные!C897,4),MID(Клиенты_исходные!C897,6,2),RIGHT(Клиенты_исходные!C897,2))),Клиенты_исходные!C897)</f>
        <v>33937</v>
      </c>
      <c r="D897" t="str">
        <f>IF(ISBLANK(Клиенты_исходные!D897),"",IF(LEN(SUBSTITUTE(SUBSTITUTE(SUBSTITUTE(SUBSTITUTE(SUBSTITUTE(Клиенты_исходные!D897," ",""),"-",""),"+",""),"(",""),")",""))=11,"+7 ("&amp;MID(IF(LEFT(SUBSTITUTE(SUBSTITUTE(SUBSTITUTE(SUBSTITUTE(SUBSTITUTE(Клиенты_исходные!D897," ",""),"-",""),"+",""),"(",""),")",""))="8","7"&amp;MID(SUBSTITUTE(SUBSTITUTE(SUBSTITUTE(SUBSTITUTE(SUBSTITUTE(Клиенты_исходные!D897," ",""),"-",""),"+",""),"(",""),")",""),2,10),SUBSTITUTE(SUBSTITUTE(SUBSTITUTE(SUBSTITUTE(SUBSTITUTE(Клиенты_исходные!D897," ",""),"-",""),"+",""),"(",""),")","")),2,3)&amp;") "&amp;MID(IF(LEFT(SUBSTITUTE(SUBSTITUTE(SUBSTITUTE(SUBSTITUTE(SUBSTITUTE(Клиенты_исходные!D897," ",""),"-",""),"+",""),"(",""),")",""))="8","7"&amp;MID(SUBSTITUTE(SUBSTITUTE(SUBSTITUTE(SUBSTITUTE(SUBSTITUTE(Клиенты_исходные!D897," ",""),"-",""),"+",""),"(",""),")",""),2,10),SUBSTITUTE(SUBSTITUTE(SUBSTITUTE(SUBSTITUTE(SUBSTITUTE(Клиенты_исходные!D897," ",""),"-",""),"+",""),"(",""),")","")),5,3)&amp;"-"&amp;MID(IF(LEFT(SUBSTITUTE(SUBSTITUTE(SUBSTITUTE(SUBSTITUTE(SUBSTITUTE(Клиенты_исходные!D897," ",""),"-",""),"+",""),"(",""),")",""))="8","7"&amp;MID(SUBSTITUTE(SUBSTITUTE(SUBSTITUTE(SUBSTITUTE(SUBSTITUTE(Клиенты_исходные!D897," ",""),"-",""),"+",""),"(",""),")",""),2,10),SUBSTITUTE(SUBSTITUTE(SUBSTITUTE(SUBSTITUTE(SUBSTITUTE(Клиенты_исходные!D897," ",""),"-",""),"+",""),"(",""),")","")),8,2)&amp;"-"&amp;MID(IF(LEFT(SUBSTITUTE(SUBSTITUTE(SUBSTITUTE(SUBSTITUTE(SUBSTITUTE(Клиенты_исходные!D897," ",""),"-",""),"+",""),"(",""),")",""))="8","7"&amp;MID(SUBSTITUTE(SUBSTITUTE(SUBSTITUTE(SUBSTITUTE(SUBSTITUTE(Клиенты_исходные!D897," ",""),"-",""),"+",""),"(",""),")",""),2,10),SUBSTITUTE(SUBSTITUTE(SUBSTITUTE(SUBSTITUTE(SUBSTITUTE(Клиенты_исходные!D897," ",""),"-",""),"+",""),"(",""),")","")),10,2),IF(LEN(SUBSTITUTE(SUBSTITUTE(SUBSTITUTE(SUBSTITUTE(SUBSTITUTE(Клиенты_исходные!D897," ",""),"-",""),"+",""),"(",""),")",""))=10,"+7 ("&amp;MID(SUBSTITUTE(SUBSTITUTE(SUBSTITUTE(SUBSTITUTE(SUBSTITUTE(Клиенты_исходные!D897," ",""),"-",""),"+",""),"(",""),")",""),1,3)&amp;") "&amp;MID(SUBSTITUTE(SUBSTITUTE(SUBSTITUTE(SUBSTITUTE(SUBSTITUTE(Клиенты_исходные!D897," ",""),"-",""),"+",""),"(",""),")",""),4,3)&amp;"-"&amp;MID(SUBSTITUTE(SUBSTITUTE(SUBSTITUTE(SUBSTITUTE(SUBSTITUTE(Клиенты_исходные!D897," ",""),"-",""),"+",""),"(",""),")",""),6,2)&amp;"-"&amp;MID(SUBSTITUTE(SUBSTITUTE(SUBSTITUTE(SUBSTITUTE(SUBSTITUTE(Клиенты_исходные!D897," ",""),"-",""),"+",""),"(",""),")",""),8,2),Клиенты_исходные!D897)))</f>
        <v xml:space="preserve">+7 (903) 456-78-90</v>
      </c>
      <c r="E897" t="str">
        <f>IF(ISBLANK(Клиенты_исходные!E897),"",IF(ISNUMBER(FIND(".",MID(Клиенты_исходные!E897,FIND("@",Клиенты_исходные!E897)+1,255))),Клиенты_исходные!E897,IF(ISNUMBER(FIND("gmail",Клиенты_исходные!E897)),Клиенты_исходные!E897&amp;".com",Клиенты_исходные!E897&amp;".ru")))</f>
        <v>puchkova@yandex.ru</v>
      </c>
      <c r="F897" t="str">
        <f>IFERROR(VLOOKUP(Клиенты_исходные!F897,Справочники!$J$2:$K$50,2,FALSE),Клиенты_исходные!F897)</f>
        <v>Нижневартовск</v>
      </c>
      <c r="G897" s="8">
        <f>IFERROR(IF(ISNUMBER(FIND(".",Клиенты_исходные!G897)),DATE(RIGHT(Клиенты_исходные!G897,4),MID(Клиенты_исходные!G897,4,2),LEFT(Клиенты_исходные!G897,2)),DATE(LEFT(Клиенты_исходные!G897,4),MID(Клиенты_исходные!G897,6,2),RIGHT(Клиенты_исходные!G897,2))),Клиенты_исходные!G897)</f>
        <v>53646</v>
      </c>
      <c r="H897">
        <f t="shared" ca="1" si="88"/>
        <v>33</v>
      </c>
      <c r="I897" t="str">
        <f t="shared" si="89"/>
        <v>OK</v>
      </c>
      <c r="J897" t="str">
        <f t="shared" si="90"/>
        <v>OK</v>
      </c>
    </row>
    <row r="898">
      <c r="A898" t="str">
        <f>Клиенты_исходные!A898</f>
        <v>C0897</v>
      </c>
      <c r="B898" t="str">
        <f>PROPER(TRIM(Клиенты_исходные!B898))</f>
        <v xml:space="preserve">Костин Денис Павлович</v>
      </c>
      <c r="C898" s="8">
        <f>IFERROR(IF(ISNUMBER(FIND(".",Клиенты_исходные!C898)),DATE(RIGHT(Клиенты_исходные!C898,4),MID(Клиенты_исходные!C898,4,2),LEFT(Клиенты_исходные!C898,2)),DATE(LEFT(Клиенты_исходные!C898,4),MID(Клиенты_исходные!C898,6,2),RIGHT(Клиенты_исходные!C898,2))),Клиенты_исходные!C898)</f>
        <v>28775</v>
      </c>
      <c r="D898" t="str">
        <f>IF(ISBLANK(Клиенты_исходные!D898),"",IF(LEN(SUBSTITUTE(SUBSTITUTE(SUBSTITUTE(SUBSTITUTE(SUBSTITUTE(Клиенты_исходные!D898," ",""),"-",""),"+",""),"(",""),")",""))=11,"+7 ("&amp;MID(IF(LEFT(SUBSTITUTE(SUBSTITUTE(SUBSTITUTE(SUBSTITUTE(SUBSTITUTE(Клиенты_исходные!D898," ",""),"-",""),"+",""),"(",""),")",""))="8","7"&amp;MID(SUBSTITUTE(SUBSTITUTE(SUBSTITUTE(SUBSTITUTE(SUBSTITUTE(Клиенты_исходные!D898," ",""),"-",""),"+",""),"(",""),")",""),2,10),SUBSTITUTE(SUBSTITUTE(SUBSTITUTE(SUBSTITUTE(SUBSTITUTE(Клиенты_исходные!D898," ",""),"-",""),"+",""),"(",""),")","")),2,3)&amp;") "&amp;MID(IF(LEFT(SUBSTITUTE(SUBSTITUTE(SUBSTITUTE(SUBSTITUTE(SUBSTITUTE(Клиенты_исходные!D898," ",""),"-",""),"+",""),"(",""),")",""))="8","7"&amp;MID(SUBSTITUTE(SUBSTITUTE(SUBSTITUTE(SUBSTITUTE(SUBSTITUTE(Клиенты_исходные!D898," ",""),"-",""),"+",""),"(",""),")",""),2,10),SUBSTITUTE(SUBSTITUTE(SUBSTITUTE(SUBSTITUTE(SUBSTITUTE(Клиенты_исходные!D898," ",""),"-",""),"+",""),"(",""),")","")),5,3)&amp;"-"&amp;MID(IF(LEFT(SUBSTITUTE(SUBSTITUTE(SUBSTITUTE(SUBSTITUTE(SUBSTITUTE(Клиенты_исходные!D898," ",""),"-",""),"+",""),"(",""),")",""))="8","7"&amp;MID(SUBSTITUTE(SUBSTITUTE(SUBSTITUTE(SUBSTITUTE(SUBSTITUTE(Клиенты_исходные!D898," ",""),"-",""),"+",""),"(",""),")",""),2,10),SUBSTITUTE(SUBSTITUTE(SUBSTITUTE(SUBSTITUTE(SUBSTITUTE(Клиенты_исходные!D898," ",""),"-",""),"+",""),"(",""),")","")),8,2)&amp;"-"&amp;MID(IF(LEFT(SUBSTITUTE(SUBSTITUTE(SUBSTITUTE(SUBSTITUTE(SUBSTITUTE(Клиенты_исходные!D898," ",""),"-",""),"+",""),"(",""),")",""))="8","7"&amp;MID(SUBSTITUTE(SUBSTITUTE(SUBSTITUTE(SUBSTITUTE(SUBSTITUTE(Клиенты_исходные!D898," ",""),"-",""),"+",""),"(",""),")",""),2,10),SUBSTITUTE(SUBSTITUTE(SUBSTITUTE(SUBSTITUTE(SUBSTITUTE(Клиенты_исходные!D898," ",""),"-",""),"+",""),"(",""),")","")),10,2),IF(LEN(SUBSTITUTE(SUBSTITUTE(SUBSTITUTE(SUBSTITUTE(SUBSTITUTE(Клиенты_исходные!D898," ",""),"-",""),"+",""),"(",""),")",""))=10,"+7 ("&amp;MID(SUBSTITUTE(SUBSTITUTE(SUBSTITUTE(SUBSTITUTE(SUBSTITUTE(Клиенты_исходные!D898," ",""),"-",""),"+",""),"(",""),")",""),1,3)&amp;") "&amp;MID(SUBSTITUTE(SUBSTITUTE(SUBSTITUTE(SUBSTITUTE(SUBSTITUTE(Клиенты_исходные!D898," ",""),"-",""),"+",""),"(",""),")",""),4,3)&amp;"-"&amp;MID(SUBSTITUTE(SUBSTITUTE(SUBSTITUTE(SUBSTITUTE(SUBSTITUTE(Клиенты_исходные!D898," ",""),"-",""),"+",""),"(",""),")",""),6,2)&amp;"-"&amp;MID(SUBSTITUTE(SUBSTITUTE(SUBSTITUTE(SUBSTITUTE(SUBSTITUTE(Клиенты_исходные!D898," ",""),"-",""),"+",""),"(",""),")",""),8,2),Клиенты_исходные!D898)))</f>
        <v xml:space="preserve">+7 (903) 567-89-01</v>
      </c>
      <c r="E898" t="str">
        <f>IF(ISBLANK(Клиенты_исходные!E898),"",IF(ISNUMBER(FIND(".",MID(Клиенты_исходные!E898,FIND("@",Клиенты_исходные!E898)+1,255))),Клиенты_исходные!E898,IF(ISNUMBER(FIND("gmail",Клиенты_исходные!E898)),Клиенты_исходные!E898&amp;".com",Клиенты_исходные!E898&amp;".ru")))</f>
        <v>kostin@gmail.com</v>
      </c>
      <c r="F898" t="str">
        <f>IFERROR(VLOOKUP(Клиенты_исходные!F898,Справочники!$J$2:$K$50,2,FALSE),Клиенты_исходные!F898)</f>
        <v>Новороссийск</v>
      </c>
      <c r="G898" s="8">
        <f>IFERROR(IF(ISNUMBER(FIND(".",Клиенты_исходные!G898)),DATE(RIGHT(Клиенты_исходные!G898,4),MID(Клиенты_исходные!G898,4,2),LEFT(Клиенты_исходные!G898,2)),DATE(LEFT(Клиенты_исходные!G898,4),MID(Клиенты_исходные!G898,6,2),RIGHT(Клиенты_исходные!G898,2))),Клиенты_исходные!G898)</f>
        <v>53646</v>
      </c>
      <c r="H898">
        <f t="shared" ca="1" si="88"/>
        <v>47</v>
      </c>
      <c r="I898" t="str">
        <f t="shared" si="89"/>
        <v>OK</v>
      </c>
      <c r="J898" t="str">
        <f t="shared" si="90"/>
        <v>OK</v>
      </c>
    </row>
    <row r="899">
      <c r="A899" t="str">
        <f>Клиенты_исходные!A899</f>
        <v>C0898</v>
      </c>
      <c r="B899" t="str">
        <f>PROPER(TRIM(Клиенты_исходные!B899))</f>
        <v xml:space="preserve">Попова Екатерина Владимировна</v>
      </c>
      <c r="C899" s="8">
        <f>IFERROR(IF(ISNUMBER(FIND(".",Клиенты_исходные!C899)),DATE(RIGHT(Клиенты_исходные!C899,4),MID(Клиенты_исходные!C899,4,2),LEFT(Клиенты_исходные!C899,2)),DATE(LEFT(Клиенты_исходные!C899,4),MID(Клиенты_исходные!C899,6,2),RIGHT(Клиенты_исходные!C899,2))),Клиенты_исходные!C899)</f>
        <v>30187</v>
      </c>
      <c r="D899" t="str">
        <f>IF(ISBLANK(Клиенты_исходные!D899),"",IF(LEN(SUBSTITUTE(SUBSTITUTE(SUBSTITUTE(SUBSTITUTE(SUBSTITUTE(Клиенты_исходные!D899," ",""),"-",""),"+",""),"(",""),")",""))=11,"+7 ("&amp;MID(IF(LEFT(SUBSTITUTE(SUBSTITUTE(SUBSTITUTE(SUBSTITUTE(SUBSTITUTE(Клиенты_исходные!D899," ",""),"-",""),"+",""),"(",""),")",""))="8","7"&amp;MID(SUBSTITUTE(SUBSTITUTE(SUBSTITUTE(SUBSTITUTE(SUBSTITUTE(Клиенты_исходные!D899," ",""),"-",""),"+",""),"(",""),")",""),2,10),SUBSTITUTE(SUBSTITUTE(SUBSTITUTE(SUBSTITUTE(SUBSTITUTE(Клиенты_исходные!D899," ",""),"-",""),"+",""),"(",""),")","")),2,3)&amp;") "&amp;MID(IF(LEFT(SUBSTITUTE(SUBSTITUTE(SUBSTITUTE(SUBSTITUTE(SUBSTITUTE(Клиенты_исходные!D899," ",""),"-",""),"+",""),"(",""),")",""))="8","7"&amp;MID(SUBSTITUTE(SUBSTITUTE(SUBSTITUTE(SUBSTITUTE(SUBSTITUTE(Клиенты_исходные!D899," ",""),"-",""),"+",""),"(",""),")",""),2,10),SUBSTITUTE(SUBSTITUTE(SUBSTITUTE(SUBSTITUTE(SUBSTITUTE(Клиенты_исходные!D899," ",""),"-",""),"+",""),"(",""),")","")),5,3)&amp;"-"&amp;MID(IF(LEFT(SUBSTITUTE(SUBSTITUTE(SUBSTITUTE(SUBSTITUTE(SUBSTITUTE(Клиенты_исходные!D899," ",""),"-",""),"+",""),"(",""),")",""))="8","7"&amp;MID(SUBSTITUTE(SUBSTITUTE(SUBSTITUTE(SUBSTITUTE(SUBSTITUTE(Клиенты_исходные!D899," ",""),"-",""),"+",""),"(",""),")",""),2,10),SUBSTITUTE(SUBSTITUTE(SUBSTITUTE(SUBSTITUTE(SUBSTITUTE(Клиенты_исходные!D899," ",""),"-",""),"+",""),"(",""),")","")),8,2)&amp;"-"&amp;MID(IF(LEFT(SUBSTITUTE(SUBSTITUTE(SUBSTITUTE(SUBSTITUTE(SUBSTITUTE(Клиенты_исходные!D899," ",""),"-",""),"+",""),"(",""),")",""))="8","7"&amp;MID(SUBSTITUTE(SUBSTITUTE(SUBSTITUTE(SUBSTITUTE(SUBSTITUTE(Клиенты_исходные!D899," ",""),"-",""),"+",""),"(",""),")",""),2,10),SUBSTITUTE(SUBSTITUTE(SUBSTITUTE(SUBSTITUTE(SUBSTITUTE(Клиенты_исходные!D899," ",""),"-",""),"+",""),"(",""),")","")),10,2),IF(LEN(SUBSTITUTE(SUBSTITUTE(SUBSTITUTE(SUBSTITUTE(SUBSTITUTE(Клиенты_исходные!D899," ",""),"-",""),"+",""),"(",""),")",""))=10,"+7 ("&amp;MID(SUBSTITUTE(SUBSTITUTE(SUBSTITUTE(SUBSTITUTE(SUBSTITUTE(Клиенты_исходные!D899," ",""),"-",""),"+",""),"(",""),")",""),1,3)&amp;") "&amp;MID(SUBSTITUTE(SUBSTITUTE(SUBSTITUTE(SUBSTITUTE(SUBSTITUTE(Клиенты_исходные!D899," ",""),"-",""),"+",""),"(",""),")",""),4,3)&amp;"-"&amp;MID(SUBSTITUTE(SUBSTITUTE(SUBSTITUTE(SUBSTITUTE(SUBSTITUTE(Клиенты_исходные!D899," ",""),"-",""),"+",""),"(",""),")",""),6,2)&amp;"-"&amp;MID(SUBSTITUTE(SUBSTITUTE(SUBSTITUTE(SUBSTITUTE(SUBSTITUTE(Клиенты_исходные!D899," ",""),"-",""),"+",""),"(",""),")",""),8,2),Клиенты_исходные!D899)))</f>
        <v xml:space="preserve">+7 (903) 567-89-01</v>
      </c>
      <c r="E899" t="str">
        <f>IF(ISBLANK(Клиенты_исходные!E899),"",IF(ISNUMBER(FIND(".",MID(Клиенты_исходные!E899,FIND("@",Клиенты_исходные!E899)+1,255))),Клиенты_исходные!E899,IF(ISNUMBER(FIND("gmail",Клиенты_исходные!E899)),Клиенты_исходные!E899&amp;".com",Клиенты_исходные!E899&amp;".ru")))</f>
        <v>popova@mail.ru</v>
      </c>
      <c r="F899" t="str">
        <f>IFERROR(VLOOKUP(Клиенты_исходные!F899,Справочники!$J$2:$K$50,2,FALSE),Клиенты_исходные!F899)</f>
        <v>Химки</v>
      </c>
      <c r="G899" s="8">
        <f>IFERROR(IF(ISNUMBER(FIND(".",Клиенты_исходные!G899)),DATE(RIGHT(Клиенты_исходные!G899,4),MID(Клиенты_исходные!G899,4,2),LEFT(Клиенты_исходные!G899,2)),DATE(LEFT(Клиенты_исходные!G899,4),MID(Клиенты_исходные!G899,6,2),RIGHT(Клиенты_исходные!G899,2))),Клиенты_исходные!G899)</f>
        <v>53662</v>
      </c>
      <c r="H899">
        <f t="shared" ca="1" si="88"/>
        <v>44</v>
      </c>
      <c r="I899" t="str">
        <f t="shared" si="89"/>
        <v>OK</v>
      </c>
      <c r="J899" t="str">
        <f t="shared" si="90"/>
        <v>OK</v>
      </c>
    </row>
    <row r="900">
      <c r="A900" t="str">
        <f>Клиенты_исходные!A900</f>
        <v>C0899</v>
      </c>
      <c r="B900" t="str">
        <f>PROPER(TRIM(Клиенты_исходные!B900))</f>
        <v xml:space="preserve">Сазонов Илья Александрович</v>
      </c>
      <c r="C900" s="8">
        <f>IFERROR(IF(ISNUMBER(FIND(".",Клиенты_исходные!C900)),DATE(RIGHT(Клиенты_исходные!C900,4),MID(Клиенты_исходные!C900,4,2),LEFT(Клиенты_исходные!C900,2)),DATE(LEFT(Клиенты_исходные!C900,4),MID(Клиенты_исходные!C900,6,2),RIGHT(Клиенты_исходные!C900,2))),Клиенты_исходные!C900)</f>
        <v>32849</v>
      </c>
      <c r="D900" t="str">
        <f>IF(ISBLANK(Клиенты_исходные!D900),"",IF(LEN(SUBSTITUTE(SUBSTITUTE(SUBSTITUTE(SUBSTITUTE(SUBSTITUTE(Клиенты_исходные!D900," ",""),"-",""),"+",""),"(",""),")",""))=11,"+7 ("&amp;MID(IF(LEFT(SUBSTITUTE(SUBSTITUTE(SUBSTITUTE(SUBSTITUTE(SUBSTITUTE(Клиенты_исходные!D900," ",""),"-",""),"+",""),"(",""),")",""))="8","7"&amp;MID(SUBSTITUTE(SUBSTITUTE(SUBSTITUTE(SUBSTITUTE(SUBSTITUTE(Клиенты_исходные!D900," ",""),"-",""),"+",""),"(",""),")",""),2,10),SUBSTITUTE(SUBSTITUTE(SUBSTITUTE(SUBSTITUTE(SUBSTITUTE(Клиенты_исходные!D900," ",""),"-",""),"+",""),"(",""),")","")),2,3)&amp;") "&amp;MID(IF(LEFT(SUBSTITUTE(SUBSTITUTE(SUBSTITUTE(SUBSTITUTE(SUBSTITUTE(Клиенты_исходные!D900," ",""),"-",""),"+",""),"(",""),")",""))="8","7"&amp;MID(SUBSTITUTE(SUBSTITUTE(SUBSTITUTE(SUBSTITUTE(SUBSTITUTE(Клиенты_исходные!D900," ",""),"-",""),"+",""),"(",""),")",""),2,10),SUBSTITUTE(SUBSTITUTE(SUBSTITUTE(SUBSTITUTE(SUBSTITUTE(Клиенты_исходные!D900," ",""),"-",""),"+",""),"(",""),")","")),5,3)&amp;"-"&amp;MID(IF(LEFT(SUBSTITUTE(SUBSTITUTE(SUBSTITUTE(SUBSTITUTE(SUBSTITUTE(Клиенты_исходные!D900," ",""),"-",""),"+",""),"(",""),")",""))="8","7"&amp;MID(SUBSTITUTE(SUBSTITUTE(SUBSTITUTE(SUBSTITUTE(SUBSTITUTE(Клиенты_исходные!D900," ",""),"-",""),"+",""),"(",""),")",""),2,10),SUBSTITUTE(SUBSTITUTE(SUBSTITUTE(SUBSTITUTE(SUBSTITUTE(Клиенты_исходные!D900," ",""),"-",""),"+",""),"(",""),")","")),8,2)&amp;"-"&amp;MID(IF(LEFT(SUBSTITUTE(SUBSTITUTE(SUBSTITUTE(SUBSTITUTE(SUBSTITUTE(Клиенты_исходные!D900," ",""),"-",""),"+",""),"(",""),")",""))="8","7"&amp;MID(SUBSTITUTE(SUBSTITUTE(SUBSTITUTE(SUBSTITUTE(SUBSTITUTE(Клиенты_исходные!D900," ",""),"-",""),"+",""),"(",""),")",""),2,10),SUBSTITUTE(SUBSTITUTE(SUBSTITUTE(SUBSTITUTE(SUBSTITUTE(Клиенты_исходные!D900," ",""),"-",""),"+",""),"(",""),")","")),10,2),IF(LEN(SUBSTITUTE(SUBSTITUTE(SUBSTITUTE(SUBSTITUTE(SUBSTITUTE(Клиенты_исходные!D900," ",""),"-",""),"+",""),"(",""),")",""))=10,"+7 ("&amp;MID(SUBSTITUTE(SUBSTITUTE(SUBSTITUTE(SUBSTITUTE(SUBSTITUTE(Клиенты_исходные!D900," ",""),"-",""),"+",""),"(",""),")",""),1,3)&amp;") "&amp;MID(SUBSTITUTE(SUBSTITUTE(SUBSTITUTE(SUBSTITUTE(SUBSTITUTE(Клиенты_исходные!D900," ",""),"-",""),"+",""),"(",""),")",""),4,3)&amp;"-"&amp;MID(SUBSTITUTE(SUBSTITUTE(SUBSTITUTE(SUBSTITUTE(SUBSTITUTE(Клиенты_исходные!D900," ",""),"-",""),"+",""),"(",""),")",""),6,2)&amp;"-"&amp;MID(SUBSTITUTE(SUBSTITUTE(SUBSTITUTE(SUBSTITUTE(SUBSTITUTE(Клиенты_исходные!D900," ",""),"-",""),"+",""),"(",""),")",""),8,2),Клиенты_исходные!D900)))</f>
        <v xml:space="preserve">+7 (903) 567-89-01</v>
      </c>
      <c r="E900" t="str">
        <f>IF(ISBLANK(Клиенты_исходные!E900),"",IF(ISNUMBER(FIND(".",MID(Клиенты_исходные!E900,FIND("@",Клиенты_исходные!E900)+1,255))),Клиенты_исходные!E900,IF(ISNUMBER(FIND("gmail",Клиенты_исходные!E900)),Клиенты_исходные!E900&amp;".com",Клиенты_исходные!E900&amp;".ru")))</f>
        <v>sazonov@yandex.ru</v>
      </c>
      <c r="F900" t="str">
        <f>IFERROR(VLOOKUP(Клиенты_исходные!F900,Справочники!$J$2:$K$50,2,FALSE),Клиенты_исходные!F900)</f>
        <v>Подольск</v>
      </c>
      <c r="G900" s="8">
        <f>IFERROR(IF(ISNUMBER(FIND(".",Клиенты_исходные!G900)),DATE(RIGHT(Клиенты_исходные!G900,4),MID(Клиенты_исходные!G900,4,2),LEFT(Клиенты_исходные!G900,2)),DATE(LEFT(Клиенты_исходные!G900,4),MID(Клиенты_исходные!G900,6,2),RIGHT(Клиенты_исходные!G900,2))),Клиенты_исходные!G900)</f>
        <v>53671</v>
      </c>
      <c r="H900">
        <f t="shared" ca="1" si="88"/>
        <v>36</v>
      </c>
      <c r="I900" t="str">
        <f t="shared" si="89"/>
        <v>OK</v>
      </c>
      <c r="J900" t="str">
        <f t="shared" si="90"/>
        <v>OK</v>
      </c>
    </row>
    <row r="901">
      <c r="A901" t="str">
        <f>Клиенты_исходные!A901</f>
        <v>C0900</v>
      </c>
      <c r="B901" t="str">
        <f>PROPER(TRIM(Клиенты_исходные!B901))</f>
        <v xml:space="preserve">Кузьменко Андрей Олегович</v>
      </c>
      <c r="C901" s="8">
        <f>IFERROR(IF(ISNUMBER(FIND(".",Клиенты_исходные!C901)),DATE(RIGHT(Клиенты_исходные!C901,4),MID(Клиенты_исходные!C901,4,2),LEFT(Клиенты_исходные!C901,2)),DATE(LEFT(Клиенты_исходные!C901,4),MID(Клиенты_исходные!C901,6,2),RIGHT(Клиенты_исходные!C901,2))),Клиенты_исходные!C901)</f>
        <v>28250</v>
      </c>
      <c r="D901" t="str">
        <f>IF(ISBLANK(Клиенты_исходные!D901),"",IF(LEN(SUBSTITUTE(SUBSTITUTE(SUBSTITUTE(SUBSTITUTE(SUBSTITUTE(Клиенты_исходные!D901," ",""),"-",""),"+",""),"(",""),")",""))=11,"+7 ("&amp;MID(IF(LEFT(SUBSTITUTE(SUBSTITUTE(SUBSTITUTE(SUBSTITUTE(SUBSTITUTE(Клиенты_исходные!D901," ",""),"-",""),"+",""),"(",""),")",""))="8","7"&amp;MID(SUBSTITUTE(SUBSTITUTE(SUBSTITUTE(SUBSTITUTE(SUBSTITUTE(Клиенты_исходные!D901," ",""),"-",""),"+",""),"(",""),")",""),2,10),SUBSTITUTE(SUBSTITUTE(SUBSTITUTE(SUBSTITUTE(SUBSTITUTE(Клиенты_исходные!D901," ",""),"-",""),"+",""),"(",""),")","")),2,3)&amp;") "&amp;MID(IF(LEFT(SUBSTITUTE(SUBSTITUTE(SUBSTITUTE(SUBSTITUTE(SUBSTITUTE(Клиенты_исходные!D901," ",""),"-",""),"+",""),"(",""),")",""))="8","7"&amp;MID(SUBSTITUTE(SUBSTITUTE(SUBSTITUTE(SUBSTITUTE(SUBSTITUTE(Клиенты_исходные!D901," ",""),"-",""),"+",""),"(",""),")",""),2,10),SUBSTITUTE(SUBSTITUTE(SUBSTITUTE(SUBSTITUTE(SUBSTITUTE(Клиенты_исходные!D901," ",""),"-",""),"+",""),"(",""),")","")),5,3)&amp;"-"&amp;MID(IF(LEFT(SUBSTITUTE(SUBSTITUTE(SUBSTITUTE(SUBSTITUTE(SUBSTITUTE(Клиенты_исходные!D901," ",""),"-",""),"+",""),"(",""),")",""))="8","7"&amp;MID(SUBSTITUTE(SUBSTITUTE(SUBSTITUTE(SUBSTITUTE(SUBSTITUTE(Клиенты_исходные!D901," ",""),"-",""),"+",""),"(",""),")",""),2,10),SUBSTITUTE(SUBSTITUTE(SUBSTITUTE(SUBSTITUTE(SUBSTITUTE(Клиенты_исходные!D901," ",""),"-",""),"+",""),"(",""),")","")),8,2)&amp;"-"&amp;MID(IF(LEFT(SUBSTITUTE(SUBSTITUTE(SUBSTITUTE(SUBSTITUTE(SUBSTITUTE(Клиенты_исходные!D901," ",""),"-",""),"+",""),"(",""),")",""))="8","7"&amp;MID(SUBSTITUTE(SUBSTITUTE(SUBSTITUTE(SUBSTITUTE(SUBSTITUTE(Клиенты_исходные!D901," ",""),"-",""),"+",""),"(",""),")",""),2,10),SUBSTITUTE(SUBSTITUTE(SUBSTITUTE(SUBSTITUTE(SUBSTITUTE(Клиенты_исходные!D901," ",""),"-",""),"+",""),"(",""),")","")),10,2),IF(LEN(SUBSTITUTE(SUBSTITUTE(SUBSTITUTE(SUBSTITUTE(SUBSTITUTE(Клиенты_исходные!D901," ",""),"-",""),"+",""),"(",""),")",""))=10,"+7 ("&amp;MID(SUBSTITUTE(SUBSTITUTE(SUBSTITUTE(SUBSTITUTE(SUBSTITUTE(Клиенты_исходные!D901," ",""),"-",""),"+",""),"(",""),")",""),1,3)&amp;") "&amp;MID(SUBSTITUTE(SUBSTITUTE(SUBSTITUTE(SUBSTITUTE(SUBSTITUTE(Клиенты_исходные!D901," ",""),"-",""),"+",""),"(",""),")",""),4,3)&amp;"-"&amp;MID(SUBSTITUTE(SUBSTITUTE(SUBSTITUTE(SUBSTITUTE(SUBSTITUTE(Клиенты_исходные!D901," ",""),"-",""),"+",""),"(",""),")",""),6,2)&amp;"-"&amp;MID(SUBSTITUTE(SUBSTITUTE(SUBSTITUTE(SUBSTITUTE(SUBSTITUTE(Клиенты_исходные!D901," ",""),"-",""),"+",""),"(",""),")",""),8,2),Клиенты_исходные!D901)))</f>
        <v xml:space="preserve">+7 (903) 678-90-12</v>
      </c>
      <c r="E901" t="str">
        <f>IF(ISBLANK(Клиенты_исходные!E901),"",IF(ISNUMBER(FIND(".",MID(Клиенты_исходные!E901,FIND("@",Клиенты_исходные!E901)+1,255))),Клиенты_исходные!E901,IF(ISNUMBER(FIND("gmail",Клиенты_исходные!E901)),Клиенты_исходные!E901&amp;".com",Клиенты_исходные!E901&amp;".ru")))</f>
        <v>kuzmenko@gmail.com</v>
      </c>
      <c r="F901" t="str">
        <f>IFERROR(VLOOKUP(Клиенты_исходные!F901,Справочники!$J$2:$K$50,2,FALSE),Клиенты_исходные!F901)</f>
        <v>Балашиха</v>
      </c>
      <c r="G901" s="8">
        <f>IFERROR(IF(ISNUMBER(FIND(".",Клиенты_исходные!G901)),DATE(RIGHT(Клиенты_исходные!G901,4),MID(Клиенты_исходные!G901,4,2),LEFT(Клиенты_исходные!G901,2)),DATE(LEFT(Клиенты_исходные!G901,4),MID(Клиенты_исходные!G901,6,2),RIGHT(Клиенты_исходные!G901,2))),Клиенты_исходные!G901)</f>
        <v>53671</v>
      </c>
      <c r="H901">
        <f t="shared" ca="1" si="88"/>
        <v>49</v>
      </c>
      <c r="I901" t="str">
        <f t="shared" si="89"/>
        <v>OK</v>
      </c>
      <c r="J901" t="str">
        <f t="shared" si="90"/>
        <v>OK</v>
      </c>
    </row>
    <row r="902">
      <c r="A902" t="str">
        <f>Клиенты_исходные!A902</f>
        <v>C0901</v>
      </c>
      <c r="B902" t="str">
        <f>PROPER(TRIM(Клиенты_исходные!B902))</f>
        <v xml:space="preserve">Герасимов Денис Викторович</v>
      </c>
      <c r="C902" s="8">
        <f>IFERROR(IF(ISNUMBER(FIND(".",Клиенты_исходные!C902)),DATE(RIGHT(Клиенты_исходные!C902,4),MID(Клиенты_исходные!C902,4,2),LEFT(Клиенты_исходные!C902,2)),DATE(LEFT(Клиенты_исходные!C902,4),MID(Клиенты_исходные!C902,6,2),RIGHT(Клиенты_исходные!C902,2))),Клиенты_исходные!C902)</f>
        <v>31243</v>
      </c>
      <c r="D902" t="str">
        <f>IF(ISBLANK(Клиенты_исходные!D902),"",IF(LEN(SUBSTITUTE(SUBSTITUTE(SUBSTITUTE(SUBSTITUTE(SUBSTITUTE(Клиенты_исходные!D902," ",""),"-",""),"+",""),"(",""),")",""))=11,"+7 ("&amp;MID(IF(LEFT(SUBSTITUTE(SUBSTITUTE(SUBSTITUTE(SUBSTITUTE(SUBSTITUTE(Клиенты_исходные!D902," ",""),"-",""),"+",""),"(",""),")",""))="8","7"&amp;MID(SUBSTITUTE(SUBSTITUTE(SUBSTITUTE(SUBSTITUTE(SUBSTITUTE(Клиенты_исходные!D902," ",""),"-",""),"+",""),"(",""),")",""),2,10),SUBSTITUTE(SUBSTITUTE(SUBSTITUTE(SUBSTITUTE(SUBSTITUTE(Клиенты_исходные!D902," ",""),"-",""),"+",""),"(",""),")","")),2,3)&amp;") "&amp;MID(IF(LEFT(SUBSTITUTE(SUBSTITUTE(SUBSTITUTE(SUBSTITUTE(SUBSTITUTE(Клиенты_исходные!D902," ",""),"-",""),"+",""),"(",""),")",""))="8","7"&amp;MID(SUBSTITUTE(SUBSTITUTE(SUBSTITUTE(SUBSTITUTE(SUBSTITUTE(Клиенты_исходные!D902," ",""),"-",""),"+",""),"(",""),")",""),2,10),SUBSTITUTE(SUBSTITUTE(SUBSTITUTE(SUBSTITUTE(SUBSTITUTE(Клиенты_исходные!D902," ",""),"-",""),"+",""),"(",""),")","")),5,3)&amp;"-"&amp;MID(IF(LEFT(SUBSTITUTE(SUBSTITUTE(SUBSTITUTE(SUBSTITUTE(SUBSTITUTE(Клиенты_исходные!D902," ",""),"-",""),"+",""),"(",""),")",""))="8","7"&amp;MID(SUBSTITUTE(SUBSTITUTE(SUBSTITUTE(SUBSTITUTE(SUBSTITUTE(Клиенты_исходные!D902," ",""),"-",""),"+",""),"(",""),")",""),2,10),SUBSTITUTE(SUBSTITUTE(SUBSTITUTE(SUBSTITUTE(SUBSTITUTE(Клиенты_исходные!D902," ",""),"-",""),"+",""),"(",""),")","")),8,2)&amp;"-"&amp;MID(IF(LEFT(SUBSTITUTE(SUBSTITUTE(SUBSTITUTE(SUBSTITUTE(SUBSTITUTE(Клиенты_исходные!D902," ",""),"-",""),"+",""),"(",""),")",""))="8","7"&amp;MID(SUBSTITUTE(SUBSTITUTE(SUBSTITUTE(SUBSTITUTE(SUBSTITUTE(Клиенты_исходные!D902," ",""),"-",""),"+",""),"(",""),")",""),2,10),SUBSTITUTE(SUBSTITUTE(SUBSTITUTE(SUBSTITUTE(SUBSTITUTE(Клиенты_исходные!D902," ",""),"-",""),"+",""),"(",""),")","")),10,2),IF(LEN(SUBSTITUTE(SUBSTITUTE(SUBSTITUTE(SUBSTITUTE(SUBSTITUTE(Клиенты_исходные!D902," ",""),"-",""),"+",""),"(",""),")",""))=10,"+7 ("&amp;MID(SUBSTITUTE(SUBSTITUTE(SUBSTITUTE(SUBSTITUTE(SUBSTITUTE(Клиенты_исходные!D902," ",""),"-",""),"+",""),"(",""),")",""),1,3)&amp;") "&amp;MID(SUBSTITUTE(SUBSTITUTE(SUBSTITUTE(SUBSTITUTE(SUBSTITUTE(Клиенты_исходные!D902," ",""),"-",""),"+",""),"(",""),")",""),4,3)&amp;"-"&amp;MID(SUBSTITUTE(SUBSTITUTE(SUBSTITUTE(SUBSTITUTE(SUBSTITUTE(Клиенты_исходные!D902," ",""),"-",""),"+",""),"(",""),")",""),6,2)&amp;"-"&amp;MID(SUBSTITUTE(SUBSTITUTE(SUBSTITUTE(SUBSTITUTE(SUBSTITUTE(Клиенты_исходные!D902," ",""),"-",""),"+",""),"(",""),")",""),8,2),Клиенты_исходные!D902)))</f>
        <v xml:space="preserve">+7 (903) 678-90-12</v>
      </c>
      <c r="E902" t="str">
        <f>IF(ISBLANK(Клиенты_исходные!E902),"",IF(ISNUMBER(FIND(".",MID(Клиенты_исходные!E902,FIND("@",Клиенты_исходные!E902)+1,255))),Клиенты_исходные!E902,IF(ISNUMBER(FIND("gmail",Клиенты_исходные!E902)),Клиенты_исходные!E902&amp;".com",Клиенты_исходные!E902&amp;".ru")))</f>
        <v>gerasimov@mail.ru</v>
      </c>
      <c r="F902" t="str">
        <f>IFERROR(VLOOKUP(Клиенты_исходные!F902,Справочники!$J$2:$K$50,2,FALSE),Клиенты_исходные!F902)</f>
        <v>Сургут</v>
      </c>
      <c r="G902" s="8">
        <f>IFERROR(IF(ISNUMBER(FIND(".",Клиенты_исходные!G902)),DATE(RIGHT(Клиенты_исходные!G902,4),MID(Клиенты_исходные!G902,4,2),LEFT(Клиенты_исходные!G902,2)),DATE(LEFT(Клиенты_исходные!G902,4),MID(Клиенты_исходные!G902,6,2),RIGHT(Клиенты_исходные!G902,2))),Клиенты_исходные!G902)</f>
        <v>53693</v>
      </c>
      <c r="H902">
        <f t="shared" ca="1" si="88"/>
        <v>41</v>
      </c>
      <c r="I902" t="str">
        <f t="shared" si="89"/>
        <v>OK</v>
      </c>
      <c r="J902" t="str">
        <f t="shared" si="90"/>
        <v>OK</v>
      </c>
    </row>
    <row r="903">
      <c r="A903" t="str">
        <f>Клиенты_исходные!A903</f>
        <v>C0902</v>
      </c>
      <c r="B903" t="str">
        <f>PROPER(TRIM(Клиенты_исходные!B903))</f>
        <v xml:space="preserve">Михайлова Ольга Сергеевна</v>
      </c>
      <c r="C903" s="8">
        <f>IFERROR(IF(ISNUMBER(FIND(".",Клиенты_исходные!C903)),DATE(RIGHT(Клиенты_исходные!C903,4),MID(Клиенты_исходные!C903,4,2),LEFT(Клиенты_исходные!C903,2)),DATE(LEFT(Клиенты_исходные!C903,4),MID(Клиенты_исходные!C903,6,2),RIGHT(Клиенты_исходные!C903,2))),Клиенты_исходные!C903)</f>
        <v>32959</v>
      </c>
      <c r="D903" t="str">
        <f>IF(ISBLANK(Клиенты_исходные!D903),"",IF(LEN(SUBSTITUTE(SUBSTITUTE(SUBSTITUTE(SUBSTITUTE(SUBSTITUTE(Клиенты_исходные!D903," ",""),"-",""),"+",""),"(",""),")",""))=11,"+7 ("&amp;MID(IF(LEFT(SUBSTITUTE(SUBSTITUTE(SUBSTITUTE(SUBSTITUTE(SUBSTITUTE(Клиенты_исходные!D903," ",""),"-",""),"+",""),"(",""),")",""))="8","7"&amp;MID(SUBSTITUTE(SUBSTITUTE(SUBSTITUTE(SUBSTITUTE(SUBSTITUTE(Клиенты_исходные!D903," ",""),"-",""),"+",""),"(",""),")",""),2,10),SUBSTITUTE(SUBSTITUTE(SUBSTITUTE(SUBSTITUTE(SUBSTITUTE(Клиенты_исходные!D903," ",""),"-",""),"+",""),"(",""),")","")),2,3)&amp;") "&amp;MID(IF(LEFT(SUBSTITUTE(SUBSTITUTE(SUBSTITUTE(SUBSTITUTE(SUBSTITUTE(Клиенты_исходные!D903," ",""),"-",""),"+",""),"(",""),")",""))="8","7"&amp;MID(SUBSTITUTE(SUBSTITUTE(SUBSTITUTE(SUBSTITUTE(SUBSTITUTE(Клиенты_исходные!D903," ",""),"-",""),"+",""),"(",""),")",""),2,10),SUBSTITUTE(SUBSTITUTE(SUBSTITUTE(SUBSTITUTE(SUBSTITUTE(Клиенты_исходные!D903," ",""),"-",""),"+",""),"(",""),")","")),5,3)&amp;"-"&amp;MID(IF(LEFT(SUBSTITUTE(SUBSTITUTE(SUBSTITUTE(SUBSTITUTE(SUBSTITUTE(Клиенты_исходные!D903," ",""),"-",""),"+",""),"(",""),")",""))="8","7"&amp;MID(SUBSTITUTE(SUBSTITUTE(SUBSTITUTE(SUBSTITUTE(SUBSTITUTE(Клиенты_исходные!D903," ",""),"-",""),"+",""),"(",""),")",""),2,10),SUBSTITUTE(SUBSTITUTE(SUBSTITUTE(SUBSTITUTE(SUBSTITUTE(Клиенты_исходные!D903," ",""),"-",""),"+",""),"(",""),")","")),8,2)&amp;"-"&amp;MID(IF(LEFT(SUBSTITUTE(SUBSTITUTE(SUBSTITUTE(SUBSTITUTE(SUBSTITUTE(Клиенты_исходные!D903," ",""),"-",""),"+",""),"(",""),")",""))="8","7"&amp;MID(SUBSTITUTE(SUBSTITUTE(SUBSTITUTE(SUBSTITUTE(SUBSTITUTE(Клиенты_исходные!D903," ",""),"-",""),"+",""),"(",""),")",""),2,10),SUBSTITUTE(SUBSTITUTE(SUBSTITUTE(SUBSTITUTE(SUBSTITUTE(Клиенты_исходные!D903," ",""),"-",""),"+",""),"(",""),")","")),10,2),IF(LEN(SUBSTITUTE(SUBSTITUTE(SUBSTITUTE(SUBSTITUTE(SUBSTITUTE(Клиенты_исходные!D903," ",""),"-",""),"+",""),"(",""),")",""))=10,"+7 ("&amp;MID(SUBSTITUTE(SUBSTITUTE(SUBSTITUTE(SUBSTITUTE(SUBSTITUTE(Клиенты_исходные!D903," ",""),"-",""),"+",""),"(",""),")",""),1,3)&amp;") "&amp;MID(SUBSTITUTE(SUBSTITUTE(SUBSTITUTE(SUBSTITUTE(SUBSTITUTE(Клиенты_исходные!D903," ",""),"-",""),"+",""),"(",""),")",""),4,3)&amp;"-"&amp;MID(SUBSTITUTE(SUBSTITUTE(SUBSTITUTE(SUBSTITUTE(SUBSTITUTE(Клиенты_исходные!D903," ",""),"-",""),"+",""),"(",""),")",""),6,2)&amp;"-"&amp;MID(SUBSTITUTE(SUBSTITUTE(SUBSTITUTE(SUBSTITUTE(SUBSTITUTE(Клиенты_исходные!D903," ",""),"-",""),"+",""),"(",""),")",""),8,2),Клиенты_исходные!D903)))</f>
        <v xml:space="preserve">+7 (903) 678-90-12</v>
      </c>
      <c r="E903" t="str">
        <f>IF(ISBLANK(Клиенты_исходные!E903),"",IF(ISNUMBER(FIND(".",MID(Клиенты_исходные!E903,FIND("@",Клиенты_исходные!E903)+1,255))),Клиенты_исходные!E903,IF(ISNUMBER(FIND("gmail",Клиенты_исходные!E903)),Клиенты_исходные!E903&amp;".com",Клиенты_исходные!E903&amp;".ru")))</f>
        <v>mihaylova@yandex.ru</v>
      </c>
      <c r="F903" t="str">
        <f>IFERROR(VLOOKUP(Клиенты_исходные!F903,Справочники!$J$2:$K$50,2,FALSE),Клиенты_исходные!F903)</f>
        <v>Армавир</v>
      </c>
      <c r="G903" s="8">
        <f>IFERROR(IF(ISNUMBER(FIND(".",Клиенты_исходные!G903)),DATE(RIGHT(Клиенты_исходные!G903,4),MID(Клиенты_исходные!G903,4,2),LEFT(Клиенты_исходные!G903,2)),DATE(LEFT(Клиенты_исходные!G903,4),MID(Клиенты_исходные!G903,6,2),RIGHT(Клиенты_исходные!G903,2))),Клиенты_исходные!G903)</f>
        <v>53707</v>
      </c>
      <c r="H903">
        <f t="shared" ca="1" si="88"/>
        <v>36</v>
      </c>
      <c r="I903" t="str">
        <f t="shared" si="89"/>
        <v>OK</v>
      </c>
      <c r="J903" t="str">
        <f t="shared" si="90"/>
        <v>OK</v>
      </c>
    </row>
    <row r="904">
      <c r="A904" t="str">
        <f>Клиенты_исходные!A904</f>
        <v>C0903</v>
      </c>
      <c r="B904" t="str">
        <f>PROPER(TRIM(Клиенты_исходные!B904))</f>
        <v xml:space="preserve">Чеботарева Мария Павловна</v>
      </c>
      <c r="C904" s="8">
        <f>IFERROR(IF(ISNUMBER(FIND(".",Клиенты_исходные!C904)),DATE(RIGHT(Клиенты_исходные!C904,4),MID(Клиенты_исходные!C904,4,2),LEFT(Клиенты_исходные!C904,2)),DATE(LEFT(Клиенты_исходные!C904,4),MID(Клиенты_исходные!C904,6,2),RIGHT(Клиенты_исходные!C904,2))),Клиенты_исходные!C904)</f>
        <v>27244</v>
      </c>
      <c r="D904" t="str">
        <f>IF(ISBLANK(Клиенты_исходные!D904),"",IF(LEN(SUBSTITUTE(SUBSTITUTE(SUBSTITUTE(SUBSTITUTE(SUBSTITUTE(Клиенты_исходные!D904," ",""),"-",""),"+",""),"(",""),")",""))=11,"+7 ("&amp;MID(IF(LEFT(SUBSTITUTE(SUBSTITUTE(SUBSTITUTE(SUBSTITUTE(SUBSTITUTE(Клиенты_исходные!D904," ",""),"-",""),"+",""),"(",""),")",""))="8","7"&amp;MID(SUBSTITUTE(SUBSTITUTE(SUBSTITUTE(SUBSTITUTE(SUBSTITUTE(Клиенты_исходные!D904," ",""),"-",""),"+",""),"(",""),")",""),2,10),SUBSTITUTE(SUBSTITUTE(SUBSTITUTE(SUBSTITUTE(SUBSTITUTE(Клиенты_исходные!D904," ",""),"-",""),"+",""),"(",""),")","")),2,3)&amp;") "&amp;MID(IF(LEFT(SUBSTITUTE(SUBSTITUTE(SUBSTITUTE(SUBSTITUTE(SUBSTITUTE(Клиенты_исходные!D904," ",""),"-",""),"+",""),"(",""),")",""))="8","7"&amp;MID(SUBSTITUTE(SUBSTITUTE(SUBSTITUTE(SUBSTITUTE(SUBSTITUTE(Клиенты_исходные!D904," ",""),"-",""),"+",""),"(",""),")",""),2,10),SUBSTITUTE(SUBSTITUTE(SUBSTITUTE(SUBSTITUTE(SUBSTITUTE(Клиенты_исходные!D904," ",""),"-",""),"+",""),"(",""),")","")),5,3)&amp;"-"&amp;MID(IF(LEFT(SUBSTITUTE(SUBSTITUTE(SUBSTITUTE(SUBSTITUTE(SUBSTITUTE(Клиенты_исходные!D904," ",""),"-",""),"+",""),"(",""),")",""))="8","7"&amp;MID(SUBSTITUTE(SUBSTITUTE(SUBSTITUTE(SUBSTITUTE(SUBSTITUTE(Клиенты_исходные!D904," ",""),"-",""),"+",""),"(",""),")",""),2,10),SUBSTITUTE(SUBSTITUTE(SUBSTITUTE(SUBSTITUTE(SUBSTITUTE(Клиенты_исходные!D904," ",""),"-",""),"+",""),"(",""),")","")),8,2)&amp;"-"&amp;MID(IF(LEFT(SUBSTITUTE(SUBSTITUTE(SUBSTITUTE(SUBSTITUTE(SUBSTITUTE(Клиенты_исходные!D904," ",""),"-",""),"+",""),"(",""),")",""))="8","7"&amp;MID(SUBSTITUTE(SUBSTITUTE(SUBSTITUTE(SUBSTITUTE(SUBSTITUTE(Клиенты_исходные!D904," ",""),"-",""),"+",""),"(",""),")",""),2,10),SUBSTITUTE(SUBSTITUTE(SUBSTITUTE(SUBSTITUTE(SUBSTITUTE(Клиенты_исходные!D904," ",""),"-",""),"+",""),"(",""),")","")),10,2),IF(LEN(SUBSTITUTE(SUBSTITUTE(SUBSTITUTE(SUBSTITUTE(SUBSTITUTE(Клиенты_исходные!D904," ",""),"-",""),"+",""),"(",""),")",""))=10,"+7 ("&amp;MID(SUBSTITUTE(SUBSTITUTE(SUBSTITUTE(SUBSTITUTE(SUBSTITUTE(Клиенты_исходные!D904," ",""),"-",""),"+",""),"(",""),")",""),1,3)&amp;") "&amp;MID(SUBSTITUTE(SUBSTITUTE(SUBSTITUTE(SUBSTITUTE(SUBSTITUTE(Клиенты_исходные!D904," ",""),"-",""),"+",""),"(",""),")",""),4,3)&amp;"-"&amp;MID(SUBSTITUTE(SUBSTITUTE(SUBSTITUTE(SUBSTITUTE(SUBSTITUTE(Клиенты_исходные!D904," ",""),"-",""),"+",""),"(",""),")",""),6,2)&amp;"-"&amp;MID(SUBSTITUTE(SUBSTITUTE(SUBSTITUTE(SUBSTITUTE(SUBSTITUTE(Клиенты_исходные!D904," ",""),"-",""),"+",""),"(",""),")",""),8,2),Клиенты_исходные!D904)))</f>
        <v xml:space="preserve">+7 (903) 789-01-23</v>
      </c>
      <c r="E904" t="str">
        <f>IF(ISBLANK(Клиенты_исходные!E904),"",IF(ISNUMBER(FIND(".",MID(Клиенты_исходные!E904,FIND("@",Клиенты_исходные!E904)+1,255))),Клиенты_исходные!E904,IF(ISNUMBER(FIND("gmail",Клиенты_исходные!E904)),Клиенты_исходные!E904&amp;".com",Клиенты_исходные!E904&amp;".ru")))</f>
        <v>chebotareva@gmail.com</v>
      </c>
      <c r="F904" t="str">
        <f>IFERROR(VLOOKUP(Клиенты_исходные!F904,Справочники!$J$2:$K$50,2,FALSE),Клиенты_исходные!F904)</f>
        <v>Волжский</v>
      </c>
      <c r="G904" s="8">
        <f>IFERROR(IF(ISNUMBER(FIND(".",Клиенты_исходные!G904)),DATE(RIGHT(Клиенты_исходные!G904,4),MID(Клиенты_исходные!G904,4,2),LEFT(Клиенты_исходные!G904,2)),DATE(LEFT(Клиенты_исходные!G904,4),MID(Клиенты_исходные!G904,6,2),RIGHT(Клиенты_исходные!G904,2))),Клиенты_исходные!G904)</f>
        <v>53707</v>
      </c>
      <c r="H904">
        <f t="shared" ca="1" si="88"/>
        <v>52</v>
      </c>
      <c r="I904" t="str">
        <f t="shared" si="89"/>
        <v>OK</v>
      </c>
      <c r="J904" t="str">
        <f t="shared" si="90"/>
        <v>OK</v>
      </c>
    </row>
    <row r="905">
      <c r="A905" t="str">
        <f>Клиенты_исходные!A905</f>
        <v>C0904</v>
      </c>
      <c r="B905" t="str">
        <f>PROPER(TRIM(Клиенты_исходные!B905))</f>
        <v xml:space="preserve">Стрелков Андрей Олегович</v>
      </c>
      <c r="C905" s="8">
        <f>IFERROR(IF(ISNUMBER(FIND(".",Клиенты_исходные!C905)),DATE(RIGHT(Клиенты_исходные!C905,4),MID(Клиенты_исходные!C905,4,2),LEFT(Клиенты_исходные!C905,2)),DATE(LEFT(Клиенты_исходные!C905,4),MID(Клиенты_исходные!C905,6,2),RIGHT(Клиенты_исходные!C905,2))),Клиенты_исходные!C905)</f>
        <v>30479</v>
      </c>
      <c r="D905" t="str">
        <f>IF(ISBLANK(Клиенты_исходные!D905),"",IF(LEN(SUBSTITUTE(SUBSTITUTE(SUBSTITUTE(SUBSTITUTE(SUBSTITUTE(Клиенты_исходные!D905," ",""),"-",""),"+",""),"(",""),")",""))=11,"+7 ("&amp;MID(IF(LEFT(SUBSTITUTE(SUBSTITUTE(SUBSTITUTE(SUBSTITUTE(SUBSTITUTE(Клиенты_исходные!D905," ",""),"-",""),"+",""),"(",""),")",""))="8","7"&amp;MID(SUBSTITUTE(SUBSTITUTE(SUBSTITUTE(SUBSTITUTE(SUBSTITUTE(Клиенты_исходные!D905," ",""),"-",""),"+",""),"(",""),")",""),2,10),SUBSTITUTE(SUBSTITUTE(SUBSTITUTE(SUBSTITUTE(SUBSTITUTE(Клиенты_исходные!D905," ",""),"-",""),"+",""),"(",""),")","")),2,3)&amp;") "&amp;MID(IF(LEFT(SUBSTITUTE(SUBSTITUTE(SUBSTITUTE(SUBSTITUTE(SUBSTITUTE(Клиенты_исходные!D905," ",""),"-",""),"+",""),"(",""),")",""))="8","7"&amp;MID(SUBSTITUTE(SUBSTITUTE(SUBSTITUTE(SUBSTITUTE(SUBSTITUTE(Клиенты_исходные!D905," ",""),"-",""),"+",""),"(",""),")",""),2,10),SUBSTITUTE(SUBSTITUTE(SUBSTITUTE(SUBSTITUTE(SUBSTITUTE(Клиенты_исходные!D905," ",""),"-",""),"+",""),"(",""),")","")),5,3)&amp;"-"&amp;MID(IF(LEFT(SUBSTITUTE(SUBSTITUTE(SUBSTITUTE(SUBSTITUTE(SUBSTITUTE(Клиенты_исходные!D905," ",""),"-",""),"+",""),"(",""),")",""))="8","7"&amp;MID(SUBSTITUTE(SUBSTITUTE(SUBSTITUTE(SUBSTITUTE(SUBSTITUTE(Клиенты_исходные!D905," ",""),"-",""),"+",""),"(",""),")",""),2,10),SUBSTITUTE(SUBSTITUTE(SUBSTITUTE(SUBSTITUTE(SUBSTITUTE(Клиенты_исходные!D905," ",""),"-",""),"+",""),"(",""),")","")),8,2)&amp;"-"&amp;MID(IF(LEFT(SUBSTITUTE(SUBSTITUTE(SUBSTITUTE(SUBSTITUTE(SUBSTITUTE(Клиенты_исходные!D905," ",""),"-",""),"+",""),"(",""),")",""))="8","7"&amp;MID(SUBSTITUTE(SUBSTITUTE(SUBSTITUTE(SUBSTITUTE(SUBSTITUTE(Клиенты_исходные!D905," ",""),"-",""),"+",""),"(",""),")",""),2,10),SUBSTITUTE(SUBSTITUTE(SUBSTITUTE(SUBSTITUTE(SUBSTITUTE(Клиенты_исходные!D905," ",""),"-",""),"+",""),"(",""),")","")),10,2),IF(LEN(SUBSTITUTE(SUBSTITUTE(SUBSTITUTE(SUBSTITUTE(SUBSTITUTE(Клиенты_исходные!D905," ",""),"-",""),"+",""),"(",""),")",""))=10,"+7 ("&amp;MID(SUBSTITUTE(SUBSTITUTE(SUBSTITUTE(SUBSTITUTE(SUBSTITUTE(Клиенты_исходные!D905," ",""),"-",""),"+",""),"(",""),")",""),1,3)&amp;") "&amp;MID(SUBSTITUTE(SUBSTITUTE(SUBSTITUTE(SUBSTITUTE(SUBSTITUTE(Клиенты_исходные!D905," ",""),"-",""),"+",""),"(",""),")",""),4,3)&amp;"-"&amp;MID(SUBSTITUTE(SUBSTITUTE(SUBSTITUTE(SUBSTITUTE(SUBSTITUTE(Клиенты_исходные!D905," ",""),"-",""),"+",""),"(",""),")",""),6,2)&amp;"-"&amp;MID(SUBSTITUTE(SUBSTITUTE(SUBSTITUTE(SUBSTITUTE(SUBSTITUTE(Клиенты_исходные!D905," ",""),"-",""),"+",""),"(",""),")",""),8,2),Клиенты_исходные!D905)))</f>
        <v xml:space="preserve">+7 (903) 789-01-23</v>
      </c>
      <c r="E905" t="str">
        <f>IF(ISBLANK(Клиенты_исходные!E905),"",IF(ISNUMBER(FIND(".",MID(Клиенты_исходные!E905,FIND("@",Клиенты_исходные!E905)+1,255))),Клиенты_исходные!E905,IF(ISNUMBER(FIND("gmail",Клиенты_исходные!E905)),Клиенты_исходные!E905&amp;".com",Клиенты_исходные!E905&amp;".ru")))</f>
        <v>strelkov@mail.ru</v>
      </c>
      <c r="F905" t="str">
        <f>IFERROR(VLOOKUP(Клиенты_исходные!F905,Справочники!$J$2:$K$50,2,FALSE),Клиенты_исходные!F905)</f>
        <v>Шахты</v>
      </c>
      <c r="G905" s="8">
        <f>IFERROR(IF(ISNUMBER(FIND(".",Клиенты_исходные!G905)),DATE(RIGHT(Клиенты_исходные!G905,4),MID(Клиенты_исходные!G905,4,2),LEFT(Клиенты_исходные!G905,2)),DATE(LEFT(Клиенты_исходные!G905,4),MID(Клиенты_исходные!G905,6,2),RIGHT(Клиенты_исходные!G905,2))),Клиенты_исходные!G905)</f>
        <v>53724</v>
      </c>
      <c r="H905">
        <f t="shared" ca="1" si="88"/>
        <v>43</v>
      </c>
      <c r="I905" t="str">
        <f t="shared" si="89"/>
        <v>OK</v>
      </c>
      <c r="J905" t="str">
        <f t="shared" si="90"/>
        <v>OK</v>
      </c>
    </row>
    <row r="906">
      <c r="A906" t="str">
        <f>Клиенты_исходные!A906</f>
        <v>C0905</v>
      </c>
      <c r="B906" t="str">
        <f>PROPER(TRIM(Клиенты_исходные!B906))</f>
        <v xml:space="preserve">Доброва Екатерина Владимировна</v>
      </c>
      <c r="C906" s="8">
        <f>IFERROR(IF(ISNUMBER(FIND(".",Клиенты_исходные!C906)),DATE(RIGHT(Клиенты_исходные!C906,4),MID(Клиенты_исходные!C906,4,2),LEFT(Клиенты_исходные!C906,2)),DATE(LEFT(Клиенты_исходные!C906,4),MID(Клиенты_исходные!C906,6,2),RIGHT(Клиенты_исходные!C906,2))),Клиенты_исходные!C906)</f>
        <v>32435</v>
      </c>
      <c r="D906" t="str">
        <f>IF(ISBLANK(Клиенты_исходные!D906),"",IF(LEN(SUBSTITUTE(SUBSTITUTE(SUBSTITUTE(SUBSTITUTE(SUBSTITUTE(Клиенты_исходные!D906," ",""),"-",""),"+",""),"(",""),")",""))=11,"+7 ("&amp;MID(IF(LEFT(SUBSTITUTE(SUBSTITUTE(SUBSTITUTE(SUBSTITUTE(SUBSTITUTE(Клиенты_исходные!D906," ",""),"-",""),"+",""),"(",""),")",""))="8","7"&amp;MID(SUBSTITUTE(SUBSTITUTE(SUBSTITUTE(SUBSTITUTE(SUBSTITUTE(Клиенты_исходные!D906," ",""),"-",""),"+",""),"(",""),")",""),2,10),SUBSTITUTE(SUBSTITUTE(SUBSTITUTE(SUBSTITUTE(SUBSTITUTE(Клиенты_исходные!D906," ",""),"-",""),"+",""),"(",""),")","")),2,3)&amp;") "&amp;MID(IF(LEFT(SUBSTITUTE(SUBSTITUTE(SUBSTITUTE(SUBSTITUTE(SUBSTITUTE(Клиенты_исходные!D906," ",""),"-",""),"+",""),"(",""),")",""))="8","7"&amp;MID(SUBSTITUTE(SUBSTITUTE(SUBSTITUTE(SUBSTITUTE(SUBSTITUTE(Клиенты_исходные!D906," ",""),"-",""),"+",""),"(",""),")",""),2,10),SUBSTITUTE(SUBSTITUTE(SUBSTITUTE(SUBSTITUTE(SUBSTITUTE(Клиенты_исходные!D906," ",""),"-",""),"+",""),"(",""),")","")),5,3)&amp;"-"&amp;MID(IF(LEFT(SUBSTITUTE(SUBSTITUTE(SUBSTITUTE(SUBSTITUTE(SUBSTITUTE(Клиенты_исходные!D906," ",""),"-",""),"+",""),"(",""),")",""))="8","7"&amp;MID(SUBSTITUTE(SUBSTITUTE(SUBSTITUTE(SUBSTITUTE(SUBSTITUTE(Клиенты_исходные!D906," ",""),"-",""),"+",""),"(",""),")",""),2,10),SUBSTITUTE(SUBSTITUTE(SUBSTITUTE(SUBSTITUTE(SUBSTITUTE(Клиенты_исходные!D906," ",""),"-",""),"+",""),"(",""),")","")),8,2)&amp;"-"&amp;MID(IF(LEFT(SUBSTITUTE(SUBSTITUTE(SUBSTITUTE(SUBSTITUTE(SUBSTITUTE(Клиенты_исходные!D906," ",""),"-",""),"+",""),"(",""),")",""))="8","7"&amp;MID(SUBSTITUTE(SUBSTITUTE(SUBSTITUTE(SUBSTITUTE(SUBSTITUTE(Клиенты_исходные!D906," ",""),"-",""),"+",""),"(",""),")",""),2,10),SUBSTITUTE(SUBSTITUTE(SUBSTITUTE(SUBSTITUTE(SUBSTITUTE(Клиенты_исходные!D906," ",""),"-",""),"+",""),"(",""),")","")),10,2),IF(LEN(SUBSTITUTE(SUBSTITUTE(SUBSTITUTE(SUBSTITUTE(SUBSTITUTE(Клиенты_исходные!D906," ",""),"-",""),"+",""),"(",""),")",""))=10,"+7 ("&amp;MID(SUBSTITUTE(SUBSTITUTE(SUBSTITUTE(SUBSTITUTE(SUBSTITUTE(Клиенты_исходные!D906," ",""),"-",""),"+",""),"(",""),")",""),1,3)&amp;") "&amp;MID(SUBSTITUTE(SUBSTITUTE(SUBSTITUTE(SUBSTITUTE(SUBSTITUTE(Клиенты_исходные!D906," ",""),"-",""),"+",""),"(",""),")",""),4,3)&amp;"-"&amp;MID(SUBSTITUTE(SUBSTITUTE(SUBSTITUTE(SUBSTITUTE(SUBSTITUTE(Клиенты_исходные!D906," ",""),"-",""),"+",""),"(",""),")",""),6,2)&amp;"-"&amp;MID(SUBSTITUTE(SUBSTITUTE(SUBSTITUTE(SUBSTITUTE(SUBSTITUTE(Клиенты_исходные!D906," ",""),"-",""),"+",""),"(",""),")",""),8,2),Клиенты_исходные!D906)))</f>
        <v xml:space="preserve">+7 (903) 789-01-23</v>
      </c>
      <c r="E906" t="str">
        <f>IF(ISBLANK(Клиенты_исходные!E906),"",IF(ISNUMBER(FIND(".",MID(Клиенты_исходные!E906,FIND("@",Клиенты_исходные!E906)+1,255))),Клиенты_исходные!E906,IF(ISNUMBER(FIND("gmail",Клиенты_исходные!E906)),Клиенты_исходные!E906&amp;".com",Клиенты_исходные!E906&amp;".ru")))</f>
        <v>dobrova@yandex.ru</v>
      </c>
      <c r="F906" t="str">
        <f>IFERROR(VLOOKUP(Клиенты_исходные!F906,Справочники!$J$2:$K$50,2,FALSE),Клиенты_исходные!F906)</f>
        <v>Златоуст</v>
      </c>
      <c r="G906" s="8">
        <f>IFERROR(IF(ISNUMBER(FIND(".",Клиенты_исходные!G906)),DATE(RIGHT(Клиенты_исходные!G906,4),MID(Клиенты_исходные!G906,4,2),LEFT(Клиенты_исходные!G906,2)),DATE(LEFT(Клиенты_исходные!G906,4),MID(Клиенты_исходные!G906,6,2),RIGHT(Клиенты_исходные!G906,2))),Клиенты_исходные!G906)</f>
        <v>53733</v>
      </c>
      <c r="H906">
        <f t="shared" ca="1" si="88"/>
        <v>37</v>
      </c>
      <c r="I906" t="str">
        <f t="shared" si="89"/>
        <v>OK</v>
      </c>
      <c r="J906" t="str">
        <f t="shared" si="90"/>
        <v>OK</v>
      </c>
    </row>
    <row r="907">
      <c r="A907" t="str">
        <f>Клиенты_исходные!A907</f>
        <v>C0906</v>
      </c>
      <c r="B907" t="str">
        <f>PROPER(TRIM(Клиенты_исходные!B907))</f>
        <v xml:space="preserve">Калачев Илья Александрович</v>
      </c>
      <c r="C907" s="8">
        <f>IFERROR(IF(ISNUMBER(FIND(".",Клиенты_исходные!C907)),DATE(RIGHT(Клиенты_исходные!C907,4),MID(Клиенты_исходные!C907,4,2),LEFT(Клиенты_исходные!C907,2)),DATE(LEFT(Клиенты_исходные!C907,4),MID(Клиенты_исходные!C907,6,2),RIGHT(Клиенты_исходные!C907,2))),Клиенты_исходные!C907)</f>
        <v>26849</v>
      </c>
      <c r="D907" t="str">
        <f>IF(ISBLANK(Клиенты_исходные!D907),"",IF(LEN(SUBSTITUTE(SUBSTITUTE(SUBSTITUTE(SUBSTITUTE(SUBSTITUTE(Клиенты_исходные!D907," ",""),"-",""),"+",""),"(",""),")",""))=11,"+7 ("&amp;MID(IF(LEFT(SUBSTITUTE(SUBSTITUTE(SUBSTITUTE(SUBSTITUTE(SUBSTITUTE(Клиенты_исходные!D907," ",""),"-",""),"+",""),"(",""),")",""))="8","7"&amp;MID(SUBSTITUTE(SUBSTITUTE(SUBSTITUTE(SUBSTITUTE(SUBSTITUTE(Клиенты_исходные!D907," ",""),"-",""),"+",""),"(",""),")",""),2,10),SUBSTITUTE(SUBSTITUTE(SUBSTITUTE(SUBSTITUTE(SUBSTITUTE(Клиенты_исходные!D907," ",""),"-",""),"+",""),"(",""),")","")),2,3)&amp;") "&amp;MID(IF(LEFT(SUBSTITUTE(SUBSTITUTE(SUBSTITUTE(SUBSTITUTE(SUBSTITUTE(Клиенты_исходные!D907," ",""),"-",""),"+",""),"(",""),")",""))="8","7"&amp;MID(SUBSTITUTE(SUBSTITUTE(SUBSTITUTE(SUBSTITUTE(SUBSTITUTE(Клиенты_исходные!D907," ",""),"-",""),"+",""),"(",""),")",""),2,10),SUBSTITUTE(SUBSTITUTE(SUBSTITUTE(SUBSTITUTE(SUBSTITUTE(Клиенты_исходные!D907," ",""),"-",""),"+",""),"(",""),")","")),5,3)&amp;"-"&amp;MID(IF(LEFT(SUBSTITUTE(SUBSTITUTE(SUBSTITUTE(SUBSTITUTE(SUBSTITUTE(Клиенты_исходные!D907," ",""),"-",""),"+",""),"(",""),")",""))="8","7"&amp;MID(SUBSTITUTE(SUBSTITUTE(SUBSTITUTE(SUBSTITUTE(SUBSTITUTE(Клиенты_исходные!D907," ",""),"-",""),"+",""),"(",""),")",""),2,10),SUBSTITUTE(SUBSTITUTE(SUBSTITUTE(SUBSTITUTE(SUBSTITUTE(Клиенты_исходные!D907," ",""),"-",""),"+",""),"(",""),")","")),8,2)&amp;"-"&amp;MID(IF(LEFT(SUBSTITUTE(SUBSTITUTE(SUBSTITUTE(SUBSTITUTE(SUBSTITUTE(Клиенты_исходные!D907," ",""),"-",""),"+",""),"(",""),")",""))="8","7"&amp;MID(SUBSTITUTE(SUBSTITUTE(SUBSTITUTE(SUBSTITUTE(SUBSTITUTE(Клиенты_исходные!D907," ",""),"-",""),"+",""),"(",""),")",""),2,10),SUBSTITUTE(SUBSTITUTE(SUBSTITUTE(SUBSTITUTE(SUBSTITUTE(Клиенты_исходные!D907," ",""),"-",""),"+",""),"(",""),")","")),10,2),IF(LEN(SUBSTITUTE(SUBSTITUTE(SUBSTITUTE(SUBSTITUTE(SUBSTITUTE(Клиенты_исходные!D907," ",""),"-",""),"+",""),"(",""),")",""))=10,"+7 ("&amp;MID(SUBSTITUTE(SUBSTITUTE(SUBSTITUTE(SUBSTITUTE(SUBSTITUTE(Клиенты_исходные!D907," ",""),"-",""),"+",""),"(",""),")",""),1,3)&amp;") "&amp;MID(SUBSTITUTE(SUBSTITUTE(SUBSTITUTE(SUBSTITUTE(SUBSTITUTE(Клиенты_исходные!D907," ",""),"-",""),"+",""),"(",""),")",""),4,3)&amp;"-"&amp;MID(SUBSTITUTE(SUBSTITUTE(SUBSTITUTE(SUBSTITUTE(SUBSTITUTE(Клиенты_исходные!D907," ",""),"-",""),"+",""),"(",""),")",""),6,2)&amp;"-"&amp;MID(SUBSTITUTE(SUBSTITUTE(SUBSTITUTE(SUBSTITUTE(SUBSTITUTE(Клиенты_исходные!D907," ",""),"-",""),"+",""),"(",""),")",""),8,2),Клиенты_исходные!D907)))</f>
        <v xml:space="preserve">+7 (903) 890-12-34</v>
      </c>
      <c r="E907" t="str">
        <f>IF(ISBLANK(Клиенты_исходные!E907),"",IF(ISNUMBER(FIND(".",MID(Клиенты_исходные!E907,FIND("@",Клиенты_исходные!E907)+1,255))),Клиенты_исходные!E907,IF(ISNUMBER(FIND("gmail",Клиенты_исходные!E907)),Клиенты_исходные!E907&amp;".com",Клиенты_исходные!E907&amp;".ru")))</f>
        <v>kalachev@gmail.com</v>
      </c>
      <c r="F907" t="str">
        <f>IFERROR(VLOOKUP(Клиенты_исходные!F907,Справочники!$J$2:$K$50,2,FALSE),Клиенты_исходные!F907)</f>
        <v>Ангарск</v>
      </c>
      <c r="G907" s="8">
        <f>IFERROR(IF(ISNUMBER(FIND(".",Клиенты_исходные!G907)),DATE(RIGHT(Клиенты_исходные!G907,4),MID(Клиенты_исходные!G907,4,2),LEFT(Клиенты_исходные!G907,2)),DATE(LEFT(Клиенты_исходные!G907,4),MID(Клиенты_исходные!G907,6,2),RIGHT(Клиенты_исходные!G907,2))),Клиенты_исходные!G907)</f>
        <v>53733</v>
      </c>
      <c r="H907">
        <f t="shared" ca="1" si="88"/>
        <v>53</v>
      </c>
      <c r="I907" t="str">
        <f t="shared" si="89"/>
        <v>OK</v>
      </c>
      <c r="J907" t="str">
        <f t="shared" si="90"/>
        <v>OK</v>
      </c>
    </row>
    <row r="908">
      <c r="A908" t="str">
        <f>Клиенты_исходные!A908</f>
        <v>C0907</v>
      </c>
      <c r="B908" t="str">
        <f>PROPER(TRIM(Клиенты_исходные!B908))</f>
        <v xml:space="preserve">Пахомова Мария Павловна</v>
      </c>
      <c r="C908" s="8">
        <f>IFERROR(IF(ISNUMBER(FIND(".",Клиенты_исходные!C908)),DATE(RIGHT(Клиенты_исходные!C908,4),MID(Клиенты_исходные!C908,4,2),LEFT(Клиенты_исходные!C908,2)),DATE(LEFT(Клиенты_исходные!C908,4),MID(Клиенты_исходные!C908,6,2),RIGHT(Клиенты_исходные!C908,2))),Клиенты_исходные!C908)</f>
        <v>29578</v>
      </c>
      <c r="D908" t="str">
        <f>IF(ISBLANK(Клиенты_исходные!D908),"",IF(LEN(SUBSTITUTE(SUBSTITUTE(SUBSTITUTE(SUBSTITUTE(SUBSTITUTE(Клиенты_исходные!D908," ",""),"-",""),"+",""),"(",""),")",""))=11,"+7 ("&amp;MID(IF(LEFT(SUBSTITUTE(SUBSTITUTE(SUBSTITUTE(SUBSTITUTE(SUBSTITUTE(Клиенты_исходные!D908," ",""),"-",""),"+",""),"(",""),")",""))="8","7"&amp;MID(SUBSTITUTE(SUBSTITUTE(SUBSTITUTE(SUBSTITUTE(SUBSTITUTE(Клиенты_исходные!D908," ",""),"-",""),"+",""),"(",""),")",""),2,10),SUBSTITUTE(SUBSTITUTE(SUBSTITUTE(SUBSTITUTE(SUBSTITUTE(Клиенты_исходные!D908," ",""),"-",""),"+",""),"(",""),")","")),2,3)&amp;") "&amp;MID(IF(LEFT(SUBSTITUTE(SUBSTITUTE(SUBSTITUTE(SUBSTITUTE(SUBSTITUTE(Клиенты_исходные!D908," ",""),"-",""),"+",""),"(",""),")",""))="8","7"&amp;MID(SUBSTITUTE(SUBSTITUTE(SUBSTITUTE(SUBSTITUTE(SUBSTITUTE(Клиенты_исходные!D908," ",""),"-",""),"+",""),"(",""),")",""),2,10),SUBSTITUTE(SUBSTITUTE(SUBSTITUTE(SUBSTITUTE(SUBSTITUTE(Клиенты_исходные!D908," ",""),"-",""),"+",""),"(",""),")","")),5,3)&amp;"-"&amp;MID(IF(LEFT(SUBSTITUTE(SUBSTITUTE(SUBSTITUTE(SUBSTITUTE(SUBSTITUTE(Клиенты_исходные!D908," ",""),"-",""),"+",""),"(",""),")",""))="8","7"&amp;MID(SUBSTITUTE(SUBSTITUTE(SUBSTITUTE(SUBSTITUTE(SUBSTITUTE(Клиенты_исходные!D908," ",""),"-",""),"+",""),"(",""),")",""),2,10),SUBSTITUTE(SUBSTITUTE(SUBSTITUTE(SUBSTITUTE(SUBSTITUTE(Клиенты_исходные!D908," ",""),"-",""),"+",""),"(",""),")","")),8,2)&amp;"-"&amp;MID(IF(LEFT(SUBSTITUTE(SUBSTITUTE(SUBSTITUTE(SUBSTITUTE(SUBSTITUTE(Клиенты_исходные!D908," ",""),"-",""),"+",""),"(",""),")",""))="8","7"&amp;MID(SUBSTITUTE(SUBSTITUTE(SUBSTITUTE(SUBSTITUTE(SUBSTITUTE(Клиенты_исходные!D908," ",""),"-",""),"+",""),"(",""),")",""),2,10),SUBSTITUTE(SUBSTITUTE(SUBSTITUTE(SUBSTITUTE(SUBSTITUTE(Клиенты_исходные!D908," ",""),"-",""),"+",""),"(",""),")","")),10,2),IF(LEN(SUBSTITUTE(SUBSTITUTE(SUBSTITUTE(SUBSTITUTE(SUBSTITUTE(Клиенты_исходные!D908," ",""),"-",""),"+",""),"(",""),")",""))=10,"+7 ("&amp;MID(SUBSTITUTE(SUBSTITUTE(SUBSTITUTE(SUBSTITUTE(SUBSTITUTE(Клиенты_исходные!D908," ",""),"-",""),"+",""),"(",""),")",""),1,3)&amp;") "&amp;MID(SUBSTITUTE(SUBSTITUTE(SUBSTITUTE(SUBSTITUTE(SUBSTITUTE(Клиенты_исходные!D908," ",""),"-",""),"+",""),"(",""),")",""),4,3)&amp;"-"&amp;MID(SUBSTITUTE(SUBSTITUTE(SUBSTITUTE(SUBSTITUTE(SUBSTITUTE(Клиенты_исходные!D908," ",""),"-",""),"+",""),"(",""),")",""),6,2)&amp;"-"&amp;MID(SUBSTITUTE(SUBSTITUTE(SUBSTITUTE(SUBSTITUTE(SUBSTITUTE(Клиенты_исходные!D908," ",""),"-",""),"+",""),"(",""),")",""),8,2),Клиенты_исходные!D908)))</f>
        <v xml:space="preserve">+7 (903) 890-12-34</v>
      </c>
      <c r="E908" t="str">
        <f>IF(ISBLANK(Клиенты_исходные!E908),"",IF(ISNUMBER(FIND(".",MID(Клиенты_исходные!E908,FIND("@",Клиенты_исходные!E908)+1,255))),Клиенты_исходные!E908,IF(ISNUMBER(FIND("gmail",Клиенты_исходные!E908)),Клиенты_исходные!E908&amp;".com",Клиенты_исходные!E908&amp;".ru")))</f>
        <v>pahomova@mail.ru</v>
      </c>
      <c r="F908" t="str">
        <f>IFERROR(VLOOKUP(Клиенты_исходные!F908,Справочники!$J$2:$K$50,2,FALSE),Клиенты_исходные!F908)</f>
        <v>Озёрск</v>
      </c>
      <c r="G908" s="8">
        <f>IFERROR(IF(ISNUMBER(FIND(".",Клиенты_исходные!G908)),DATE(RIGHT(Клиенты_исходные!G908,4),MID(Клиенты_исходные!G908,4,2),LEFT(Клиенты_исходные!G908,2)),DATE(LEFT(Клиенты_исходные!G908,4),MID(Клиенты_исходные!G908,6,2),RIGHT(Клиенты_исходные!G908,2))),Клиенты_исходные!G908)</f>
        <v>53752</v>
      </c>
      <c r="H908">
        <f t="shared" ca="1" si="88"/>
        <v>45</v>
      </c>
      <c r="I908" t="str">
        <f t="shared" si="89"/>
        <v>OK</v>
      </c>
      <c r="J908" t="str">
        <f t="shared" si="90"/>
        <v>OK</v>
      </c>
    </row>
    <row r="909">
      <c r="A909" t="str">
        <f>Клиенты_исходные!A909</f>
        <v>C0908</v>
      </c>
      <c r="B909" t="str">
        <f>PROPER(TRIM(Клиенты_исходные!B909))</f>
        <v xml:space="preserve">Усков Денис Сергеевич</v>
      </c>
      <c r="C909" s="8">
        <f>IFERROR(IF(ISNUMBER(FIND(".",Клиенты_исходные!C909)),DATE(RIGHT(Клиенты_исходные!C909,4),MID(Клиенты_исходные!C909,4,2),LEFT(Клиенты_исходные!C909,2)),DATE(LEFT(Клиенты_исходные!C909,4),MID(Клиенты_исходные!C909,6,2),RIGHT(Клиенты_исходные!C909,2))),Клиенты_исходные!C909)</f>
        <v>31541</v>
      </c>
      <c r="D909" t="str">
        <f>IF(ISBLANK(Клиенты_исходные!D909),"",IF(LEN(SUBSTITUTE(SUBSTITUTE(SUBSTITUTE(SUBSTITUTE(SUBSTITUTE(Клиенты_исходные!D909," ",""),"-",""),"+",""),"(",""),")",""))=11,"+7 ("&amp;MID(IF(LEFT(SUBSTITUTE(SUBSTITUTE(SUBSTITUTE(SUBSTITUTE(SUBSTITUTE(Клиенты_исходные!D909," ",""),"-",""),"+",""),"(",""),")",""))="8","7"&amp;MID(SUBSTITUTE(SUBSTITUTE(SUBSTITUTE(SUBSTITUTE(SUBSTITUTE(Клиенты_исходные!D909," ",""),"-",""),"+",""),"(",""),")",""),2,10),SUBSTITUTE(SUBSTITUTE(SUBSTITUTE(SUBSTITUTE(SUBSTITUTE(Клиенты_исходные!D909," ",""),"-",""),"+",""),"(",""),")","")),2,3)&amp;") "&amp;MID(IF(LEFT(SUBSTITUTE(SUBSTITUTE(SUBSTITUTE(SUBSTITUTE(SUBSTITUTE(Клиенты_исходные!D909," ",""),"-",""),"+",""),"(",""),")",""))="8","7"&amp;MID(SUBSTITUTE(SUBSTITUTE(SUBSTITUTE(SUBSTITUTE(SUBSTITUTE(Клиенты_исходные!D909," ",""),"-",""),"+",""),"(",""),")",""),2,10),SUBSTITUTE(SUBSTITUTE(SUBSTITUTE(SUBSTITUTE(SUBSTITUTE(Клиенты_исходные!D909," ",""),"-",""),"+",""),"(",""),")","")),5,3)&amp;"-"&amp;MID(IF(LEFT(SUBSTITUTE(SUBSTITUTE(SUBSTITUTE(SUBSTITUTE(SUBSTITUTE(Клиенты_исходные!D909," ",""),"-",""),"+",""),"(",""),")",""))="8","7"&amp;MID(SUBSTITUTE(SUBSTITUTE(SUBSTITUTE(SUBSTITUTE(SUBSTITUTE(Клиенты_исходные!D909," ",""),"-",""),"+",""),"(",""),")",""),2,10),SUBSTITUTE(SUBSTITUTE(SUBSTITUTE(SUBSTITUTE(SUBSTITUTE(Клиенты_исходные!D909," ",""),"-",""),"+",""),"(",""),")","")),8,2)&amp;"-"&amp;MID(IF(LEFT(SUBSTITUTE(SUBSTITUTE(SUBSTITUTE(SUBSTITUTE(SUBSTITUTE(Клиенты_исходные!D909," ",""),"-",""),"+",""),"(",""),")",""))="8","7"&amp;MID(SUBSTITUTE(SUBSTITUTE(SUBSTITUTE(SUBSTITUTE(SUBSTITUTE(Клиенты_исходные!D909," ",""),"-",""),"+",""),"(",""),")",""),2,10),SUBSTITUTE(SUBSTITUTE(SUBSTITUTE(SUBSTITUTE(SUBSTITUTE(Клиенты_исходные!D909," ",""),"-",""),"+",""),"(",""),")","")),10,2),IF(LEN(SUBSTITUTE(SUBSTITUTE(SUBSTITUTE(SUBSTITUTE(SUBSTITUTE(Клиенты_исходные!D909," ",""),"-",""),"+",""),"(",""),")",""))=10,"+7 ("&amp;MID(SUBSTITUTE(SUBSTITUTE(SUBSTITUTE(SUBSTITUTE(SUBSTITUTE(Клиенты_исходные!D909," ",""),"-",""),"+",""),"(",""),")",""),1,3)&amp;") "&amp;MID(SUBSTITUTE(SUBSTITUTE(SUBSTITUTE(SUBSTITUTE(SUBSTITUTE(Клиенты_исходные!D909," ",""),"-",""),"+",""),"(",""),")",""),4,3)&amp;"-"&amp;MID(SUBSTITUTE(SUBSTITUTE(SUBSTITUTE(SUBSTITUTE(SUBSTITUTE(Клиенты_исходные!D909," ",""),"-",""),"+",""),"(",""),")",""),6,2)&amp;"-"&amp;MID(SUBSTITUTE(SUBSTITUTE(SUBSTITUTE(SUBSTITUTE(SUBSTITUTE(Клиенты_исходные!D909," ",""),"-",""),"+",""),"(",""),")",""),8,2),Клиенты_исходные!D909)))</f>
        <v xml:space="preserve">+7 (903) 890-12-34</v>
      </c>
      <c r="E909" t="str">
        <f>IF(ISBLANK(Клиенты_исходные!E909),"",IF(ISNUMBER(FIND(".",MID(Клиенты_исходные!E909,FIND("@",Клиенты_исходные!E909)+1,255))),Клиенты_исходные!E909,IF(ISNUMBER(FIND("gmail",Клиенты_исходные!E909)),Клиенты_исходные!E909&amp;".com",Клиенты_исходные!E909&amp;".ru")))</f>
        <v>uskov@yandex.ru</v>
      </c>
      <c r="F909" t="str">
        <f>IFERROR(VLOOKUP(Клиенты_исходные!F909,Справочники!$J$2:$K$50,2,FALSE),Клиенты_исходные!F909)</f>
        <v>Орел</v>
      </c>
      <c r="G909" s="8">
        <f>IFERROR(IF(ISNUMBER(FIND(".",Клиенты_исходные!G909)),DATE(RIGHT(Клиенты_исходные!G909,4),MID(Клиенты_исходные!G909,4,2),LEFT(Клиенты_исходные!G909,2)),DATE(LEFT(Клиенты_исходные!G909,4),MID(Клиенты_исходные!G909,6,2),RIGHT(Клиенты_исходные!G909,2))),Клиенты_исходные!G909)</f>
        <v>53766</v>
      </c>
      <c r="H909">
        <f t="shared" ca="1" si="88"/>
        <v>40</v>
      </c>
      <c r="I909" t="str">
        <f t="shared" si="89"/>
        <v>OK</v>
      </c>
      <c r="J909" t="str">
        <f t="shared" si="90"/>
        <v>OK</v>
      </c>
    </row>
    <row r="910">
      <c r="A910" t="str">
        <f>Клиенты_исходные!A910</f>
        <v>C0909</v>
      </c>
      <c r="B910" t="str">
        <f>PROPER(TRIM(Клиенты_исходные!B910))</f>
        <v xml:space="preserve">Кудрявцева Ольга Владимировна</v>
      </c>
      <c r="C910" s="8">
        <f>IFERROR(IF(ISNUMBER(FIND(".",Клиенты_исходные!C910)),DATE(RIGHT(Клиенты_исходные!C910,4),MID(Клиенты_исходные!C910,4,2),LEFT(Клиенты_исходные!C910,2)),DATE(LEFT(Клиенты_исходные!C910,4),MID(Клиенты_исходные!C910,6,2),RIGHT(Клиенты_исходные!C910,2))),Клиенты_исходные!C910)</f>
        <v>33492</v>
      </c>
      <c r="D910" t="str">
        <f>IF(ISBLANK(Клиенты_исходные!D910),"",IF(LEN(SUBSTITUTE(SUBSTITUTE(SUBSTITUTE(SUBSTITUTE(SUBSTITUTE(Клиенты_исходные!D910," ",""),"-",""),"+",""),"(",""),")",""))=11,"+7 ("&amp;MID(IF(LEFT(SUBSTITUTE(SUBSTITUTE(SUBSTITUTE(SUBSTITUTE(SUBSTITUTE(Клиенты_исходные!D910," ",""),"-",""),"+",""),"(",""),")",""))="8","7"&amp;MID(SUBSTITUTE(SUBSTITUTE(SUBSTITUTE(SUBSTITUTE(SUBSTITUTE(Клиенты_исходные!D910," ",""),"-",""),"+",""),"(",""),")",""),2,10),SUBSTITUTE(SUBSTITUTE(SUBSTITUTE(SUBSTITUTE(SUBSTITUTE(Клиенты_исходные!D910," ",""),"-",""),"+",""),"(",""),")","")),2,3)&amp;") "&amp;MID(IF(LEFT(SUBSTITUTE(SUBSTITUTE(SUBSTITUTE(SUBSTITUTE(SUBSTITUTE(Клиенты_исходные!D910," ",""),"-",""),"+",""),"(",""),")",""))="8","7"&amp;MID(SUBSTITUTE(SUBSTITUTE(SUBSTITUTE(SUBSTITUTE(SUBSTITUTE(Клиенты_исходные!D910," ",""),"-",""),"+",""),"(",""),")",""),2,10),SUBSTITUTE(SUBSTITUTE(SUBSTITUTE(SUBSTITUTE(SUBSTITUTE(Клиенты_исходные!D910," ",""),"-",""),"+",""),"(",""),")","")),5,3)&amp;"-"&amp;MID(IF(LEFT(SUBSTITUTE(SUBSTITUTE(SUBSTITUTE(SUBSTITUTE(SUBSTITUTE(Клиенты_исходные!D910," ",""),"-",""),"+",""),"(",""),")",""))="8","7"&amp;MID(SUBSTITUTE(SUBSTITUTE(SUBSTITUTE(SUBSTITUTE(SUBSTITUTE(Клиенты_исходные!D910," ",""),"-",""),"+",""),"(",""),")",""),2,10),SUBSTITUTE(SUBSTITUTE(SUBSTITUTE(SUBSTITUTE(SUBSTITUTE(Клиенты_исходные!D910," ",""),"-",""),"+",""),"(",""),")","")),8,2)&amp;"-"&amp;MID(IF(LEFT(SUBSTITUTE(SUBSTITUTE(SUBSTITUTE(SUBSTITUTE(SUBSTITUTE(Клиенты_исходные!D910," ",""),"-",""),"+",""),"(",""),")",""))="8","7"&amp;MID(SUBSTITUTE(SUBSTITUTE(SUBSTITUTE(SUBSTITUTE(SUBSTITUTE(Клиенты_исходные!D910," ",""),"-",""),"+",""),"(",""),")",""),2,10),SUBSTITUTE(SUBSTITUTE(SUBSTITUTE(SUBSTITUTE(SUBSTITUTE(Клиенты_исходные!D910," ",""),"-",""),"+",""),"(",""),")","")),10,2),IF(LEN(SUBSTITUTE(SUBSTITUTE(SUBSTITUTE(SUBSTITUTE(SUBSTITUTE(Клиенты_исходные!D910," ",""),"-",""),"+",""),"(",""),")",""))=10,"+7 ("&amp;MID(SUBSTITUTE(SUBSTITUTE(SUBSTITUTE(SUBSTITUTE(SUBSTITUTE(Клиенты_исходные!D910," ",""),"-",""),"+",""),"(",""),")",""),1,3)&amp;") "&amp;MID(SUBSTITUTE(SUBSTITUTE(SUBSTITUTE(SUBSTITUTE(SUBSTITUTE(Клиенты_исходные!D910," ",""),"-",""),"+",""),"(",""),")",""),4,3)&amp;"-"&amp;MID(SUBSTITUTE(SUBSTITUTE(SUBSTITUTE(SUBSTITUTE(SUBSTITUTE(Клиенты_исходные!D910," ",""),"-",""),"+",""),"(",""),")",""),6,2)&amp;"-"&amp;MID(SUBSTITUTE(SUBSTITUTE(SUBSTITUTE(SUBSTITUTE(SUBSTITUTE(Клиенты_исходные!D910," ",""),"-",""),"+",""),"(",""),")",""),8,2),Клиенты_исходные!D910)))</f>
        <v xml:space="preserve">+7 (903) 901-23-45</v>
      </c>
      <c r="E910" t="str">
        <f>IF(ISBLANK(Клиенты_исходные!E910),"",IF(ISNUMBER(FIND(".",MID(Клиенты_исходные!E910,FIND("@",Клиенты_исходные!E910)+1,255))),Клиенты_исходные!E910,IF(ISNUMBER(FIND("gmail",Клиенты_исходные!E910)),Клиенты_исходные!E910&amp;".com",Клиенты_исходные!E910&amp;".ru")))</f>
        <v>kudryavtseva@gmail.com</v>
      </c>
      <c r="F910" t="str">
        <f>IFERROR(VLOOKUP(Клиенты_исходные!F910,Справочники!$J$2:$K$50,2,FALSE),Клиенты_исходные!F910)</f>
        <v>Магнитогорск</v>
      </c>
      <c r="G910" s="8">
        <f>IFERROR(IF(ISNUMBER(FIND(".",Клиенты_исходные!G910)),DATE(RIGHT(Клиенты_исходные!G910,4),MID(Клиенты_исходные!G910,4,2),LEFT(Клиенты_исходные!G910,2)),DATE(LEFT(Клиенты_исходные!G910,4),MID(Клиенты_исходные!G910,6,2),RIGHT(Клиенты_исходные!G910,2))),Клиенты_исходные!G910)</f>
        <v>53766</v>
      </c>
      <c r="H910">
        <f t="shared" ca="1" si="88"/>
        <v>35</v>
      </c>
      <c r="I910" t="str">
        <f t="shared" si="89"/>
        <v>OK</v>
      </c>
      <c r="J910" t="str">
        <f t="shared" si="90"/>
        <v>OK</v>
      </c>
    </row>
    <row r="911">
      <c r="A911" t="str">
        <f>Клиенты_исходные!A911</f>
        <v>C0910</v>
      </c>
      <c r="B911" t="str">
        <f>PROPER(TRIM(Клиенты_исходные!B911))</f>
        <v xml:space="preserve">Миллер Андрей Олегович</v>
      </c>
      <c r="C911" s="8">
        <f>IFERROR(IF(ISNUMBER(FIND(".",Клиенты_исходные!C911)),DATE(RIGHT(Клиенты_исходные!C911,4),MID(Клиенты_исходные!C911,4,2),LEFT(Клиенты_исходные!C911,2)),DATE(LEFT(Клиенты_исходные!C911,4),MID(Клиенты_исходные!C911,6,2),RIGHT(Клиенты_исходные!C911,2))),Клиенты_исходные!C911)</f>
        <v>27777</v>
      </c>
      <c r="D911" t="str">
        <f>IF(ISBLANK(Клиенты_исходные!D911),"",IF(LEN(SUBSTITUTE(SUBSTITUTE(SUBSTITUTE(SUBSTITUTE(SUBSTITUTE(Клиенты_исходные!D911," ",""),"-",""),"+",""),"(",""),")",""))=11,"+7 ("&amp;MID(IF(LEFT(SUBSTITUTE(SUBSTITUTE(SUBSTITUTE(SUBSTITUTE(SUBSTITUTE(Клиенты_исходные!D911," ",""),"-",""),"+",""),"(",""),")",""))="8","7"&amp;MID(SUBSTITUTE(SUBSTITUTE(SUBSTITUTE(SUBSTITUTE(SUBSTITUTE(Клиенты_исходные!D911," ",""),"-",""),"+",""),"(",""),")",""),2,10),SUBSTITUTE(SUBSTITUTE(SUBSTITUTE(SUBSTITUTE(SUBSTITUTE(Клиенты_исходные!D911," ",""),"-",""),"+",""),"(",""),")","")),2,3)&amp;") "&amp;MID(IF(LEFT(SUBSTITUTE(SUBSTITUTE(SUBSTITUTE(SUBSTITUTE(SUBSTITUTE(Клиенты_исходные!D911," ",""),"-",""),"+",""),"(",""),")",""))="8","7"&amp;MID(SUBSTITUTE(SUBSTITUTE(SUBSTITUTE(SUBSTITUTE(SUBSTITUTE(Клиенты_исходные!D911," ",""),"-",""),"+",""),"(",""),")",""),2,10),SUBSTITUTE(SUBSTITUTE(SUBSTITUTE(SUBSTITUTE(SUBSTITUTE(Клиенты_исходные!D911," ",""),"-",""),"+",""),"(",""),")","")),5,3)&amp;"-"&amp;MID(IF(LEFT(SUBSTITUTE(SUBSTITUTE(SUBSTITUTE(SUBSTITUTE(SUBSTITUTE(Клиенты_исходные!D911," ",""),"-",""),"+",""),"(",""),")",""))="8","7"&amp;MID(SUBSTITUTE(SUBSTITUTE(SUBSTITUTE(SUBSTITUTE(SUBSTITUTE(Клиенты_исходные!D911," ",""),"-",""),"+",""),"(",""),")",""),2,10),SUBSTITUTE(SUBSTITUTE(SUBSTITUTE(SUBSTITUTE(SUBSTITUTE(Клиенты_исходные!D911," ",""),"-",""),"+",""),"(",""),")","")),8,2)&amp;"-"&amp;MID(IF(LEFT(SUBSTITUTE(SUBSTITUTE(SUBSTITUTE(SUBSTITUTE(SUBSTITUTE(Клиенты_исходные!D911," ",""),"-",""),"+",""),"(",""),")",""))="8","7"&amp;MID(SUBSTITUTE(SUBSTITUTE(SUBSTITUTE(SUBSTITUTE(SUBSTITUTE(Клиенты_исходные!D911," ",""),"-",""),"+",""),"(",""),")",""),2,10),SUBSTITUTE(SUBSTITUTE(SUBSTITUTE(SUBSTITUTE(SUBSTITUTE(Клиенты_исходные!D911," ",""),"-",""),"+",""),"(",""),")","")),10,2),IF(LEN(SUBSTITUTE(SUBSTITUTE(SUBSTITUTE(SUBSTITUTE(SUBSTITUTE(Клиенты_исходные!D911," ",""),"-",""),"+",""),"(",""),")",""))=10,"+7 ("&amp;MID(SUBSTITUTE(SUBSTITUTE(SUBSTITUTE(SUBSTITUTE(SUBSTITUTE(Клиенты_исходные!D911," ",""),"-",""),"+",""),"(",""),")",""),1,3)&amp;") "&amp;MID(SUBSTITUTE(SUBSTITUTE(SUBSTITUTE(SUBSTITUTE(SUBSTITUTE(Клиенты_исходные!D911," ",""),"-",""),"+",""),"(",""),")",""),4,3)&amp;"-"&amp;MID(SUBSTITUTE(SUBSTITUTE(SUBSTITUTE(SUBSTITUTE(SUBSTITUTE(Клиенты_исходные!D911," ",""),"-",""),"+",""),"(",""),")",""),6,2)&amp;"-"&amp;MID(SUBSTITUTE(SUBSTITUTE(SUBSTITUTE(SUBSTITUTE(SUBSTITUTE(Клиенты_исходные!D911," ",""),"-",""),"+",""),"(",""),")",""),8,2),Клиенты_исходные!D911)))</f>
        <v xml:space="preserve">+7 (903) 901-23-45</v>
      </c>
      <c r="E911" t="str">
        <f>IF(ISBLANK(Клиенты_исходные!E911),"",IF(ISNUMBER(FIND(".",MID(Клиенты_исходные!E911,FIND("@",Клиенты_исходные!E911)+1,255))),Клиенты_исходные!E911,IF(ISNUMBER(FIND("gmail",Клиенты_исходные!E911)),Клиенты_исходные!E911&amp;".com",Клиенты_исходные!E911&amp;".ru")))</f>
        <v>miller@mail.ru</v>
      </c>
      <c r="F911" t="str">
        <f>IFERROR(VLOOKUP(Клиенты_исходные!F911,Справочники!$J$2:$K$50,2,FALSE),Клиенты_исходные!F911)</f>
        <v>Якутск</v>
      </c>
      <c r="G911" s="8">
        <f>IFERROR(IF(ISNUMBER(FIND(".",Клиенты_исходные!G911)),DATE(RIGHT(Клиенты_исходные!G911,4),MID(Клиенты_исходные!G911,4,2),LEFT(Клиенты_исходные!G911,2)),DATE(LEFT(Клиенты_исходные!G911,4),MID(Клиенты_исходные!G911,6,2),RIGHT(Клиенты_исходные!G911,2))),Клиенты_исходные!G911)</f>
        <v>53783</v>
      </c>
      <c r="H911">
        <f t="shared" ca="1" si="88"/>
        <v>50</v>
      </c>
      <c r="I911" t="str">
        <f t="shared" si="89"/>
        <v>OK</v>
      </c>
      <c r="J911" t="str">
        <f t="shared" si="90"/>
        <v>OK</v>
      </c>
    </row>
    <row r="912">
      <c r="A912" t="str">
        <f>Клиенты_исходные!A912</f>
        <v>C0911</v>
      </c>
      <c r="B912" t="str">
        <f>PROPER(TRIM(Клиенты_исходные!B912))</f>
        <v xml:space="preserve">Степанова Екатерина Сергеевна</v>
      </c>
      <c r="C912" s="8">
        <f>IFERROR(IF(ISNUMBER(FIND(".",Клиенты_исходные!C912)),DATE(RIGHT(Клиенты_исходные!C912,4),MID(Клиенты_исходные!C912,4,2),LEFT(Клиенты_исходные!C912,2)),DATE(LEFT(Клиенты_исходные!C912,4),MID(Клиенты_исходные!C912,6,2),RIGHT(Клиенты_исходные!C912,2))),Клиенты_исходные!C912)</f>
        <v>30869</v>
      </c>
      <c r="D912" t="str">
        <f>IF(ISBLANK(Клиенты_исходные!D912),"",IF(LEN(SUBSTITUTE(SUBSTITUTE(SUBSTITUTE(SUBSTITUTE(SUBSTITUTE(Клиенты_исходные!D912," ",""),"-",""),"+",""),"(",""),")",""))=11,"+7 ("&amp;MID(IF(LEFT(SUBSTITUTE(SUBSTITUTE(SUBSTITUTE(SUBSTITUTE(SUBSTITUTE(Клиенты_исходные!D912," ",""),"-",""),"+",""),"(",""),")",""))="8","7"&amp;MID(SUBSTITUTE(SUBSTITUTE(SUBSTITUTE(SUBSTITUTE(SUBSTITUTE(Клиенты_исходные!D912," ",""),"-",""),"+",""),"(",""),")",""),2,10),SUBSTITUTE(SUBSTITUTE(SUBSTITUTE(SUBSTITUTE(SUBSTITUTE(Клиенты_исходные!D912," ",""),"-",""),"+",""),"(",""),")","")),2,3)&amp;") "&amp;MID(IF(LEFT(SUBSTITUTE(SUBSTITUTE(SUBSTITUTE(SUBSTITUTE(SUBSTITUTE(Клиенты_исходные!D912," ",""),"-",""),"+",""),"(",""),")",""))="8","7"&amp;MID(SUBSTITUTE(SUBSTITUTE(SUBSTITUTE(SUBSTITUTE(SUBSTITUTE(Клиенты_исходные!D912," ",""),"-",""),"+",""),"(",""),")",""),2,10),SUBSTITUTE(SUBSTITUTE(SUBSTITUTE(SUBSTITUTE(SUBSTITUTE(Клиенты_исходные!D912," ",""),"-",""),"+",""),"(",""),")","")),5,3)&amp;"-"&amp;MID(IF(LEFT(SUBSTITUTE(SUBSTITUTE(SUBSTITUTE(SUBSTITUTE(SUBSTITUTE(Клиенты_исходные!D912," ",""),"-",""),"+",""),"(",""),")",""))="8","7"&amp;MID(SUBSTITUTE(SUBSTITUTE(SUBSTITUTE(SUBSTITUTE(SUBSTITUTE(Клиенты_исходные!D912," ",""),"-",""),"+",""),"(",""),")",""),2,10),SUBSTITUTE(SUBSTITUTE(SUBSTITUTE(SUBSTITUTE(SUBSTITUTE(Клиенты_исходные!D912," ",""),"-",""),"+",""),"(",""),")","")),8,2)&amp;"-"&amp;MID(IF(LEFT(SUBSTITUTE(SUBSTITUTE(SUBSTITUTE(SUBSTITUTE(SUBSTITUTE(Клиенты_исходные!D912," ",""),"-",""),"+",""),"(",""),")",""))="8","7"&amp;MID(SUBSTITUTE(SUBSTITUTE(SUBSTITUTE(SUBSTITUTE(SUBSTITUTE(Клиенты_исходные!D912," ",""),"-",""),"+",""),"(",""),")",""),2,10),SUBSTITUTE(SUBSTITUTE(SUBSTITUTE(SUBSTITUTE(SUBSTITUTE(Клиенты_исходные!D912," ",""),"-",""),"+",""),"(",""),")","")),10,2),IF(LEN(SUBSTITUTE(SUBSTITUTE(SUBSTITUTE(SUBSTITUTE(SUBSTITUTE(Клиенты_исходные!D912," ",""),"-",""),"+",""),"(",""),")",""))=10,"+7 ("&amp;MID(SUBSTITUTE(SUBSTITUTE(SUBSTITUTE(SUBSTITUTE(SUBSTITUTE(Клиенты_исходные!D912," ",""),"-",""),"+",""),"(",""),")",""),1,3)&amp;") "&amp;MID(SUBSTITUTE(SUBSTITUTE(SUBSTITUTE(SUBSTITUTE(SUBSTITUTE(Клиенты_исходные!D912," ",""),"-",""),"+",""),"(",""),")",""),4,3)&amp;"-"&amp;MID(SUBSTITUTE(SUBSTITUTE(SUBSTITUTE(SUBSTITUTE(SUBSTITUTE(Клиенты_исходные!D912," ",""),"-",""),"+",""),"(",""),")",""),6,2)&amp;"-"&amp;MID(SUBSTITUTE(SUBSTITUTE(SUBSTITUTE(SUBSTITUTE(SUBSTITUTE(Клиенты_исходные!D912," ",""),"-",""),"+",""),"(",""),")",""),8,2),Клиенты_исходные!D912)))</f>
        <v xml:space="preserve">+7 (903) 901-23-45</v>
      </c>
      <c r="E912" t="str">
        <f>IF(ISBLANK(Клиенты_исходные!E912),"",IF(ISNUMBER(FIND(".",MID(Клиенты_исходные!E912,FIND("@",Клиенты_исходные!E912)+1,255))),Клиенты_исходные!E912,IF(ISNUMBER(FIND("gmail",Клиенты_исходные!E912)),Клиенты_исходные!E912&amp;".com",Клиенты_исходные!E912&amp;".ru")))</f>
        <v>stepanova@yandex.ru</v>
      </c>
      <c r="F912" t="str">
        <f>IFERROR(VLOOKUP(Клиенты_исходные!F912,Справочники!$J$2:$K$50,2,FALSE),Клиенты_исходные!F912)</f>
        <v>Чебоксары</v>
      </c>
      <c r="G912" s="8">
        <f>IFERROR(IF(ISNUMBER(FIND(".",Клиенты_исходные!G912)),DATE(RIGHT(Клиенты_исходные!G912,4),MID(Клиенты_исходные!G912,4,2),LEFT(Клиенты_исходные!G912,2)),DATE(LEFT(Клиенты_исходные!G912,4),MID(Клиенты_исходные!G912,6,2),RIGHT(Клиенты_исходные!G912,2))),Клиенты_исходные!G912)</f>
        <v>53792</v>
      </c>
      <c r="H912">
        <f t="shared" ca="1" si="88"/>
        <v>42</v>
      </c>
      <c r="I912" t="str">
        <f t="shared" si="89"/>
        <v>OK</v>
      </c>
      <c r="J912" t="str">
        <f t="shared" si="90"/>
        <v>OK</v>
      </c>
    </row>
    <row r="913">
      <c r="A913" t="str">
        <f>Клиенты_исходные!A913</f>
        <v>C0912</v>
      </c>
      <c r="B913" t="str">
        <f>PROPER(TRIM(Клиенты_исходные!B913))</f>
        <v xml:space="preserve">Прокопьев Илья Александрович</v>
      </c>
      <c r="C913" s="8">
        <f>IFERROR(IF(ISNUMBER(FIND(".",Клиенты_исходные!C913)),DATE(RIGHT(Клиенты_исходные!C913,4),MID(Клиенты_исходные!C913,4,2),LEFT(Клиенты_исходные!C913,2)),DATE(LEFT(Клиенты_исходные!C913,4),MID(Клиенты_исходные!C913,6,2),RIGHT(Клиенты_исходные!C913,2))),Клиенты_исходные!C913)</f>
        <v>30011</v>
      </c>
      <c r="D913" t="str">
        <f>IF(ISBLANK(Клиенты_исходные!D913),"",IF(LEN(SUBSTITUTE(SUBSTITUTE(SUBSTITUTE(SUBSTITUTE(SUBSTITUTE(Клиенты_исходные!D913," ",""),"-",""),"+",""),"(",""),")",""))=11,"+7 ("&amp;MID(IF(LEFT(SUBSTITUTE(SUBSTITUTE(SUBSTITUTE(SUBSTITUTE(SUBSTITUTE(Клиенты_исходные!D913," ",""),"-",""),"+",""),"(",""),")",""))="8","7"&amp;MID(SUBSTITUTE(SUBSTITUTE(SUBSTITUTE(SUBSTITUTE(SUBSTITUTE(Клиенты_исходные!D913," ",""),"-",""),"+",""),"(",""),")",""),2,10),SUBSTITUTE(SUBSTITUTE(SUBSTITUTE(SUBSTITUTE(SUBSTITUTE(Клиенты_исходные!D913," ",""),"-",""),"+",""),"(",""),")","")),2,3)&amp;") "&amp;MID(IF(LEFT(SUBSTITUTE(SUBSTITUTE(SUBSTITUTE(SUBSTITUTE(SUBSTITUTE(Клиенты_исходные!D913," ",""),"-",""),"+",""),"(",""),")",""))="8","7"&amp;MID(SUBSTITUTE(SUBSTITUTE(SUBSTITUTE(SUBSTITUTE(SUBSTITUTE(Клиенты_исходные!D913," ",""),"-",""),"+",""),"(",""),")",""),2,10),SUBSTITUTE(SUBSTITUTE(SUBSTITUTE(SUBSTITUTE(SUBSTITUTE(Клиенты_исходные!D913," ",""),"-",""),"+",""),"(",""),")","")),5,3)&amp;"-"&amp;MID(IF(LEFT(SUBSTITUTE(SUBSTITUTE(SUBSTITUTE(SUBSTITUTE(SUBSTITUTE(Клиенты_исходные!D913," ",""),"-",""),"+",""),"(",""),")",""))="8","7"&amp;MID(SUBSTITUTE(SUBSTITUTE(SUBSTITUTE(SUBSTITUTE(SUBSTITUTE(Клиенты_исходные!D913," ",""),"-",""),"+",""),"(",""),")",""),2,10),SUBSTITUTE(SUBSTITUTE(SUBSTITUTE(SUBSTITUTE(SUBSTITUTE(Клиенты_исходные!D913," ",""),"-",""),"+",""),"(",""),")","")),8,2)&amp;"-"&amp;MID(IF(LEFT(SUBSTITUTE(SUBSTITUTE(SUBSTITUTE(SUBSTITUTE(SUBSTITUTE(Клиенты_исходные!D913," ",""),"-",""),"+",""),"(",""),")",""))="8","7"&amp;MID(SUBSTITUTE(SUBSTITUTE(SUBSTITUTE(SUBSTITUTE(SUBSTITUTE(Клиенты_исходные!D913," ",""),"-",""),"+",""),"(",""),")",""),2,10),SUBSTITUTE(SUBSTITUTE(SUBSTITUTE(SUBSTITUTE(SUBSTITUTE(Клиенты_исходные!D913," ",""),"-",""),"+",""),"(",""),")","")),10,2),IF(LEN(SUBSTITUTE(SUBSTITUTE(SUBSTITUTE(SUBSTITUTE(SUBSTITUTE(Клиенты_исходные!D913," ",""),"-",""),"+",""),"(",""),")",""))=10,"+7 ("&amp;MID(SUBSTITUTE(SUBSTITUTE(SUBSTITUTE(SUBSTITUTE(SUBSTITUTE(Клиенты_исходные!D913," ",""),"-",""),"+",""),"(",""),")",""),1,3)&amp;") "&amp;MID(SUBSTITUTE(SUBSTITUTE(SUBSTITUTE(SUBSTITUTE(SUBSTITUTE(Клиенты_исходные!D913," ",""),"-",""),"+",""),"(",""),")",""),4,3)&amp;"-"&amp;MID(SUBSTITUTE(SUBSTITUTE(SUBSTITUTE(SUBSTITUTE(SUBSTITUTE(Клиенты_исходные!D913," ",""),"-",""),"+",""),"(",""),")",""),6,2)&amp;"-"&amp;MID(SUBSTITUTE(SUBSTITUTE(SUBSTITUTE(SUBSTITUTE(SUBSTITUTE(Клиенты_исходные!D913," ",""),"-",""),"+",""),"(",""),")",""),8,2),Клиенты_исходные!D913)))</f>
        <v xml:space="preserve">+7 (903) 012-34-56</v>
      </c>
      <c r="E913" t="str">
        <f>IF(ISBLANK(Клиенты_исходные!E913),"",IF(ISNUMBER(FIND(".",MID(Клиенты_исходные!E913,FIND("@",Клиенты_исходные!E913)+1,255))),Клиенты_исходные!E913,IF(ISNUMBER(FIND("gmail",Клиенты_исходные!E913)),Клиенты_исходные!E913&amp;".com",Клиенты_исходные!E913&amp;".ru")))</f>
        <v>prokopyev@gmail.com</v>
      </c>
      <c r="F913" t="str">
        <f>IFERROR(VLOOKUP(Клиенты_исходные!F913,Справочники!$J$2:$K$50,2,FALSE),Клиенты_исходные!F913)</f>
        <v>Мурманск</v>
      </c>
      <c r="G913" s="8">
        <f>IFERROR(IF(ISNUMBER(FIND(".",Клиенты_исходные!G913)),DATE(RIGHT(Клиенты_исходные!G913,4),MID(Клиенты_исходные!G913,4,2),LEFT(Клиенты_исходные!G913,2)),DATE(LEFT(Клиенты_исходные!G913,4),MID(Клиенты_исходные!G913,6,2),RIGHT(Клиенты_исходные!G913,2))),Клиенты_исходные!G913)</f>
        <v>53792</v>
      </c>
      <c r="H913">
        <f t="shared" ca="1" si="88"/>
        <v>44</v>
      </c>
      <c r="I913" t="str">
        <f t="shared" si="89"/>
        <v>OK</v>
      </c>
      <c r="J913" t="str">
        <f t="shared" si="90"/>
        <v>OK</v>
      </c>
    </row>
    <row r="914">
      <c r="A914" t="str">
        <f>Клиенты_исходные!A914</f>
        <v>C0913</v>
      </c>
      <c r="B914" t="str">
        <f>PROPER(TRIM(Клиенты_исходные!B914))</f>
        <v xml:space="preserve">Игнатьева Мария Павловна</v>
      </c>
      <c r="C914" s="8">
        <f>IFERROR(IF(ISNUMBER(FIND(".",Клиенты_исходные!C914)),DATE(RIGHT(Клиенты_исходные!C914,4),MID(Клиенты_исходные!C914,4,2),LEFT(Клиенты_исходные!C914,2)),DATE(LEFT(Клиенты_исходные!C914,4),MID(Клиенты_исходные!C914,6,2),RIGHT(Клиенты_исходные!C914,2))),Клиенты_исходные!C914)</f>
        <v>28726</v>
      </c>
      <c r="D914" t="str">
        <f>IF(ISBLANK(Клиенты_исходные!D914),"",IF(LEN(SUBSTITUTE(SUBSTITUTE(SUBSTITUTE(SUBSTITUTE(SUBSTITUTE(Клиенты_исходные!D914," ",""),"-",""),"+",""),"(",""),")",""))=11,"+7 ("&amp;MID(IF(LEFT(SUBSTITUTE(SUBSTITUTE(SUBSTITUTE(SUBSTITUTE(SUBSTITUTE(Клиенты_исходные!D914," ",""),"-",""),"+",""),"(",""),")",""))="8","7"&amp;MID(SUBSTITUTE(SUBSTITUTE(SUBSTITUTE(SUBSTITUTE(SUBSTITUTE(Клиенты_исходные!D914," ",""),"-",""),"+",""),"(",""),")",""),2,10),SUBSTITUTE(SUBSTITUTE(SUBSTITUTE(SUBSTITUTE(SUBSTITUTE(Клиенты_исходные!D914," ",""),"-",""),"+",""),"(",""),")","")),2,3)&amp;") "&amp;MID(IF(LEFT(SUBSTITUTE(SUBSTITUTE(SUBSTITUTE(SUBSTITUTE(SUBSTITUTE(Клиенты_исходные!D914," ",""),"-",""),"+",""),"(",""),")",""))="8","7"&amp;MID(SUBSTITUTE(SUBSTITUTE(SUBSTITUTE(SUBSTITUTE(SUBSTITUTE(Клиенты_исходные!D914," ",""),"-",""),"+",""),"(",""),")",""),2,10),SUBSTITUTE(SUBSTITUTE(SUBSTITUTE(SUBSTITUTE(SUBSTITUTE(Клиенты_исходные!D914," ",""),"-",""),"+",""),"(",""),")","")),5,3)&amp;"-"&amp;MID(IF(LEFT(SUBSTITUTE(SUBSTITUTE(SUBSTITUTE(SUBSTITUTE(SUBSTITUTE(Клиенты_исходные!D914," ",""),"-",""),"+",""),"(",""),")",""))="8","7"&amp;MID(SUBSTITUTE(SUBSTITUTE(SUBSTITUTE(SUBSTITUTE(SUBSTITUTE(Клиенты_исходные!D914," ",""),"-",""),"+",""),"(",""),")",""),2,10),SUBSTITUTE(SUBSTITUTE(SUBSTITUTE(SUBSTITUTE(SUBSTITUTE(Клиенты_исходные!D914," ",""),"-",""),"+",""),"(",""),")","")),8,2)&amp;"-"&amp;MID(IF(LEFT(SUBSTITUTE(SUBSTITUTE(SUBSTITUTE(SUBSTITUTE(SUBSTITUTE(Клиенты_исходные!D914," ",""),"-",""),"+",""),"(",""),")",""))="8","7"&amp;MID(SUBSTITUTE(SUBSTITUTE(SUBSTITUTE(SUBSTITUTE(SUBSTITUTE(Клиенты_исходные!D914," ",""),"-",""),"+",""),"(",""),")",""),2,10),SUBSTITUTE(SUBSTITUTE(SUBSTITUTE(SUBSTITUTE(SUBSTITUTE(Клиенты_исходные!D914," ",""),"-",""),"+",""),"(",""),")","")),10,2),IF(LEN(SUBSTITUTE(SUBSTITUTE(SUBSTITUTE(SUBSTITUTE(SUBSTITUTE(Клиенты_исходные!D914," ",""),"-",""),"+",""),"(",""),")",""))=10,"+7 ("&amp;MID(SUBSTITUTE(SUBSTITUTE(SUBSTITUTE(SUBSTITUTE(SUBSTITUTE(Клиенты_исходные!D914," ",""),"-",""),"+",""),"(",""),")",""),1,3)&amp;") "&amp;MID(SUBSTITUTE(SUBSTITUTE(SUBSTITUTE(SUBSTITUTE(SUBSTITUTE(Клиенты_исходные!D914," ",""),"-",""),"+",""),"(",""),")",""),4,3)&amp;"-"&amp;MID(SUBSTITUTE(SUBSTITUTE(SUBSTITUTE(SUBSTITUTE(SUBSTITUTE(Клиенты_исходные!D914," ",""),"-",""),"+",""),"(",""),")",""),6,2)&amp;"-"&amp;MID(SUBSTITUTE(SUBSTITUTE(SUBSTITUTE(SUBSTITUTE(SUBSTITUTE(Клиенты_исходные!D914," ",""),"-",""),"+",""),"(",""),")",""),8,2),Клиенты_исходные!D914)))</f>
        <v xml:space="preserve">+7 (903) 012-34-56</v>
      </c>
      <c r="E914" t="str">
        <f>IF(ISBLANK(Клиенты_исходные!E914),"",IF(ISNUMBER(FIND(".",MID(Клиенты_исходные!E914,FIND("@",Клиенты_исходные!E914)+1,255))),Клиенты_исходные!E914,IF(ISNUMBER(FIND("gmail",Клиенты_исходные!E914)),Клиенты_исходные!E914&amp;".com",Клиенты_исходные!E914&amp;".ru")))</f>
        <v>ignatieva@mail.ru</v>
      </c>
      <c r="F914" t="str">
        <f>IFERROR(VLOOKUP(Клиенты_исходные!F914,Справочники!$J$2:$K$50,2,FALSE),Клиенты_исходные!F914)</f>
        <v>Смоленск</v>
      </c>
      <c r="G914" s="8">
        <f>IFERROR(IF(ISNUMBER(FIND(".",Клиенты_исходные!G914)),DATE(RIGHT(Клиенты_исходные!G914,4),MID(Клиенты_исходные!G914,4,2),LEFT(Клиенты_исходные!G914,2)),DATE(LEFT(Клиенты_исходные!G914,4),MID(Клиенты_исходные!G914,6,2),RIGHT(Клиенты_исходные!G914,2))),Клиенты_исходные!G914)</f>
        <v>53813</v>
      </c>
      <c r="H914">
        <f t="shared" ca="1" si="88"/>
        <v>48</v>
      </c>
      <c r="I914" t="str">
        <f t="shared" si="89"/>
        <v>OK</v>
      </c>
      <c r="J914" t="str">
        <f t="shared" si="90"/>
        <v>OK</v>
      </c>
    </row>
    <row r="915">
      <c r="A915" t="str">
        <f>Клиенты_исходные!A915</f>
        <v>C0914</v>
      </c>
      <c r="B915" t="str">
        <f>PROPER(TRIM(Клиенты_исходные!B915))</f>
        <v xml:space="preserve">Сидоров Денис Викторович</v>
      </c>
      <c r="C915" s="8">
        <f>IFERROR(IF(ISNUMBER(FIND(".",Клиенты_исходные!C915)),DATE(RIGHT(Клиенты_исходные!C915,4),MID(Клиенты_исходные!C915,4,2),LEFT(Клиенты_исходные!C915,2)),DATE(LEFT(Клиенты_исходные!C915,4),MID(Клиенты_исходные!C915,6,2),RIGHT(Клиенты_исходные!C915,2))),Клиенты_исходные!C915)</f>
        <v>32128</v>
      </c>
      <c r="D915" t="str">
        <f>IF(ISBLANK(Клиенты_исходные!D915),"",IF(LEN(SUBSTITUTE(SUBSTITUTE(SUBSTITUTE(SUBSTITUTE(SUBSTITUTE(Клиенты_исходные!D915," ",""),"-",""),"+",""),"(",""),")",""))=11,"+7 ("&amp;MID(IF(LEFT(SUBSTITUTE(SUBSTITUTE(SUBSTITUTE(SUBSTITUTE(SUBSTITUTE(Клиенты_исходные!D915," ",""),"-",""),"+",""),"(",""),")",""))="8","7"&amp;MID(SUBSTITUTE(SUBSTITUTE(SUBSTITUTE(SUBSTITUTE(SUBSTITUTE(Клиенты_исходные!D915," ",""),"-",""),"+",""),"(",""),")",""),2,10),SUBSTITUTE(SUBSTITUTE(SUBSTITUTE(SUBSTITUTE(SUBSTITUTE(Клиенты_исходные!D915," ",""),"-",""),"+",""),"(",""),")","")),2,3)&amp;") "&amp;MID(IF(LEFT(SUBSTITUTE(SUBSTITUTE(SUBSTITUTE(SUBSTITUTE(SUBSTITUTE(Клиенты_исходные!D915," ",""),"-",""),"+",""),"(",""),")",""))="8","7"&amp;MID(SUBSTITUTE(SUBSTITUTE(SUBSTITUTE(SUBSTITUTE(SUBSTITUTE(Клиенты_исходные!D915," ",""),"-",""),"+",""),"(",""),")",""),2,10),SUBSTITUTE(SUBSTITUTE(SUBSTITUTE(SUBSTITUTE(SUBSTITUTE(Клиенты_исходные!D915," ",""),"-",""),"+",""),"(",""),")","")),5,3)&amp;"-"&amp;MID(IF(LEFT(SUBSTITUTE(SUBSTITUTE(SUBSTITUTE(SUBSTITUTE(SUBSTITUTE(Клиенты_исходные!D915," ",""),"-",""),"+",""),"(",""),")",""))="8","7"&amp;MID(SUBSTITUTE(SUBSTITUTE(SUBSTITUTE(SUBSTITUTE(SUBSTITUTE(Клиенты_исходные!D915," ",""),"-",""),"+",""),"(",""),")",""),2,10),SUBSTITUTE(SUBSTITUTE(SUBSTITUTE(SUBSTITUTE(SUBSTITUTE(Клиенты_исходные!D915," ",""),"-",""),"+",""),"(",""),")","")),8,2)&amp;"-"&amp;MID(IF(LEFT(SUBSTITUTE(SUBSTITUTE(SUBSTITUTE(SUBSTITUTE(SUBSTITUTE(Клиенты_исходные!D915," ",""),"-",""),"+",""),"(",""),")",""))="8","7"&amp;MID(SUBSTITUTE(SUBSTITUTE(SUBSTITUTE(SUBSTITUTE(SUBSTITUTE(Клиенты_исходные!D915," ",""),"-",""),"+",""),"(",""),")",""),2,10),SUBSTITUTE(SUBSTITUTE(SUBSTITUTE(SUBSTITUTE(SUBSTITUTE(Клиенты_исходные!D915," ",""),"-",""),"+",""),"(",""),")","")),10,2),IF(LEN(SUBSTITUTE(SUBSTITUTE(SUBSTITUTE(SUBSTITUTE(SUBSTITUTE(Клиенты_исходные!D915," ",""),"-",""),"+",""),"(",""),")",""))=10,"+7 ("&amp;MID(SUBSTITUTE(SUBSTITUTE(SUBSTITUTE(SUBSTITUTE(SUBSTITUTE(Клиенты_исходные!D915," ",""),"-",""),"+",""),"(",""),")",""),1,3)&amp;") "&amp;MID(SUBSTITUTE(SUBSTITUTE(SUBSTITUTE(SUBSTITUTE(SUBSTITUTE(Клиенты_исходные!D915," ",""),"-",""),"+",""),"(",""),")",""),4,3)&amp;"-"&amp;MID(SUBSTITUTE(SUBSTITUTE(SUBSTITUTE(SUBSTITUTE(SUBSTITUTE(Клиенты_исходные!D915," ",""),"-",""),"+",""),"(",""),")",""),6,2)&amp;"-"&amp;MID(SUBSTITUTE(SUBSTITUTE(SUBSTITUTE(SUBSTITUTE(SUBSTITUTE(Клиенты_исходные!D915," ",""),"-",""),"+",""),"(",""),")",""),8,2),Клиенты_исходные!D915)))</f>
        <v xml:space="preserve">+7 (903) 012-34-56</v>
      </c>
      <c r="E915" t="str">
        <f>IF(ISBLANK(Клиенты_исходные!E915),"",IF(ISNUMBER(FIND(".",MID(Клиенты_исходные!E915,FIND("@",Клиенты_исходные!E915)+1,255))),Клиенты_исходные!E915,IF(ISNUMBER(FIND("gmail",Клиенты_исходные!E915)),Клиенты_исходные!E915&amp;".com",Клиенты_исходные!E915&amp;".ru")))</f>
        <v>sidorov@yandex.ru</v>
      </c>
      <c r="F915" t="str">
        <f>IFERROR(VLOOKUP(Клиенты_исходные!F915,Справочники!$J$2:$K$50,2,FALSE),Клиенты_исходные!F915)</f>
        <v>Тула</v>
      </c>
      <c r="G915" s="8">
        <f>IFERROR(IF(ISNUMBER(FIND(".",Клиенты_исходные!G915)),DATE(RIGHT(Клиенты_исходные!G915,4),MID(Клиенты_исходные!G915,4,2),LEFT(Клиенты_исходные!G915,2)),DATE(LEFT(Клиенты_исходные!G915,4),MID(Клиенты_исходные!G915,6,2),RIGHT(Клиенты_исходные!G915,2))),Клиенты_исходные!G915)</f>
        <v>53827</v>
      </c>
      <c r="H915">
        <f t="shared" ca="1" si="88"/>
        <v>38</v>
      </c>
      <c r="I915" t="str">
        <f t="shared" si="89"/>
        <v>OK</v>
      </c>
      <c r="J915" t="str">
        <f t="shared" si="90"/>
        <v>OK</v>
      </c>
    </row>
    <row r="916">
      <c r="A916" t="str">
        <f>Клиенты_исходные!A916</f>
        <v>C0915</v>
      </c>
      <c r="B916" t="str">
        <f>PROPER(TRIM(Клиенты_исходные!B916))</f>
        <v xml:space="preserve">Петрова Ольга Сергеевна</v>
      </c>
      <c r="C916" s="8">
        <f>IFERROR(IF(ISNUMBER(FIND(".",Клиенты_исходные!C916)),DATE(RIGHT(Клиенты_исходные!C916,4),MID(Клиенты_исходные!C916,4,2),LEFT(Клиенты_исходные!C916,2)),DATE(LEFT(Клиенты_исходные!C916,4),MID(Клиенты_исходные!C916,6,2),RIGHT(Клиенты_исходные!C916,2))),Клиенты_исходные!C916)</f>
        <v>26631</v>
      </c>
      <c r="D916" t="str">
        <f>IF(ISBLANK(Клиенты_исходные!D916),"",IF(LEN(SUBSTITUTE(SUBSTITUTE(SUBSTITUTE(SUBSTITUTE(SUBSTITUTE(Клиенты_исходные!D916," ",""),"-",""),"+",""),"(",""),")",""))=11,"+7 ("&amp;MID(IF(LEFT(SUBSTITUTE(SUBSTITUTE(SUBSTITUTE(SUBSTITUTE(SUBSTITUTE(Клиенты_исходные!D916," ",""),"-",""),"+",""),"(",""),")",""))="8","7"&amp;MID(SUBSTITUTE(SUBSTITUTE(SUBSTITUTE(SUBSTITUTE(SUBSTITUTE(Клиенты_исходные!D916," ",""),"-",""),"+",""),"(",""),")",""),2,10),SUBSTITUTE(SUBSTITUTE(SUBSTITUTE(SUBSTITUTE(SUBSTITUTE(Клиенты_исходные!D916," ",""),"-",""),"+",""),"(",""),")","")),2,3)&amp;") "&amp;MID(IF(LEFT(SUBSTITUTE(SUBSTITUTE(SUBSTITUTE(SUBSTITUTE(SUBSTITUTE(Клиенты_исходные!D916," ",""),"-",""),"+",""),"(",""),")",""))="8","7"&amp;MID(SUBSTITUTE(SUBSTITUTE(SUBSTITUTE(SUBSTITUTE(SUBSTITUTE(Клиенты_исходные!D916," ",""),"-",""),"+",""),"(",""),")",""),2,10),SUBSTITUTE(SUBSTITUTE(SUBSTITUTE(SUBSTITUTE(SUBSTITUTE(Клиенты_исходные!D916," ",""),"-",""),"+",""),"(",""),")","")),5,3)&amp;"-"&amp;MID(IF(LEFT(SUBSTITUTE(SUBSTITUTE(SUBSTITUTE(SUBSTITUTE(SUBSTITUTE(Клиенты_исходные!D916," ",""),"-",""),"+",""),"(",""),")",""))="8","7"&amp;MID(SUBSTITUTE(SUBSTITUTE(SUBSTITUTE(SUBSTITUTE(SUBSTITUTE(Клиенты_исходные!D916," ",""),"-",""),"+",""),"(",""),")",""),2,10),SUBSTITUTE(SUBSTITUTE(SUBSTITUTE(SUBSTITUTE(SUBSTITUTE(Клиенты_исходные!D916," ",""),"-",""),"+",""),"(",""),")","")),8,2)&amp;"-"&amp;MID(IF(LEFT(SUBSTITUTE(SUBSTITUTE(SUBSTITUTE(SUBSTITUTE(SUBSTITUTE(Клиенты_исходные!D916," ",""),"-",""),"+",""),"(",""),")",""))="8","7"&amp;MID(SUBSTITUTE(SUBSTITUTE(SUBSTITUTE(SUBSTITUTE(SUBSTITUTE(Клиенты_исходные!D916," ",""),"-",""),"+",""),"(",""),")",""),2,10),SUBSTITUTE(SUBSTITUTE(SUBSTITUTE(SUBSTITUTE(SUBSTITUTE(Клиенты_исходные!D916," ",""),"-",""),"+",""),"(",""),")","")),10,2),IF(LEN(SUBSTITUTE(SUBSTITUTE(SUBSTITUTE(SUBSTITUTE(SUBSTITUTE(Клиенты_исходные!D916," ",""),"-",""),"+",""),"(",""),")",""))=10,"+7 ("&amp;MID(SUBSTITUTE(SUBSTITUTE(SUBSTITUTE(SUBSTITUTE(SUBSTITUTE(Клиенты_исходные!D916," ",""),"-",""),"+",""),"(",""),")",""),1,3)&amp;") "&amp;MID(SUBSTITUTE(SUBSTITUTE(SUBSTITUTE(SUBSTITUTE(SUBSTITUTE(Клиенты_исходные!D916," ",""),"-",""),"+",""),"(",""),")",""),4,3)&amp;"-"&amp;MID(SUBSTITUTE(SUBSTITUTE(SUBSTITUTE(SUBSTITUTE(SUBSTITUTE(Клиенты_исходные!D916," ",""),"-",""),"+",""),"(",""),")",""),6,2)&amp;"-"&amp;MID(SUBSTITUTE(SUBSTITUTE(SUBSTITUTE(SUBSTITUTE(SUBSTITUTE(Клиенты_исходные!D916," ",""),"-",""),"+",""),"(",""),")",""),8,2),Клиенты_исходные!D916)))</f>
        <v xml:space="preserve">+7 (903) 123-45-67</v>
      </c>
      <c r="E916" t="str">
        <f>IF(ISBLANK(Клиенты_исходные!E916),"",IF(ISNUMBER(FIND(".",MID(Клиенты_исходные!E916,FIND("@",Клиенты_исходные!E916)+1,255))),Клиенты_исходные!E916,IF(ISNUMBER(FIND("gmail",Клиенты_исходные!E916)),Клиенты_исходные!E916&amp;".com",Клиенты_исходные!E916&amp;".ru")))</f>
        <v>petrova@gmail.com</v>
      </c>
      <c r="F916" t="str">
        <f>IFERROR(VLOOKUP(Клиенты_исходные!F916,Справочники!$J$2:$K$50,2,FALSE),Клиенты_исходные!F916)</f>
        <v>Калуга</v>
      </c>
      <c r="G916" s="8">
        <f>IFERROR(IF(ISNUMBER(FIND(".",Клиенты_исходные!G916)),DATE(RIGHT(Клиенты_исходные!G916,4),MID(Клиенты_исходные!G916,4,2),LEFT(Клиенты_исходные!G916,2)),DATE(LEFT(Клиенты_исходные!G916,4),MID(Клиенты_исходные!G916,6,2),RIGHT(Клиенты_исходные!G916,2))),Клиенты_исходные!G916)</f>
        <v>53827</v>
      </c>
      <c r="H916">
        <f t="shared" ca="1" si="88"/>
        <v>53</v>
      </c>
      <c r="I916" t="str">
        <f t="shared" si="89"/>
        <v>OK</v>
      </c>
      <c r="J916" t="str">
        <f t="shared" si="90"/>
        <v>OK</v>
      </c>
    </row>
    <row r="917">
      <c r="A917" t="str">
        <f>Клиенты_исходные!A917</f>
        <v>C0916</v>
      </c>
      <c r="B917" t="str">
        <f>PROPER(TRIM(Клиенты_исходные!B917))</f>
        <v xml:space="preserve">Ларионов Андрей Олегович</v>
      </c>
      <c r="C917" s="8">
        <f>IFERROR(IF(ISNUMBER(FIND(".",Клиенты_исходные!C917)),DATE(RIGHT(Клиенты_исходные!C917,4),MID(Клиенты_исходные!C917,4,2),LEFT(Клиенты_исходные!C917,2)),DATE(LEFT(Клиенты_исходные!C917,4),MID(Клиенты_исходные!C917,6,2),RIGHT(Клиенты_исходные!C917,2))),Клиенты_исходные!C917)</f>
        <v>30458</v>
      </c>
      <c r="D917" t="str">
        <f>IF(ISBLANK(Клиенты_исходные!D917),"",IF(LEN(SUBSTITUTE(SUBSTITUTE(SUBSTITUTE(SUBSTITUTE(SUBSTITUTE(Клиенты_исходные!D917," ",""),"-",""),"+",""),"(",""),")",""))=11,"+7 ("&amp;MID(IF(LEFT(SUBSTITUTE(SUBSTITUTE(SUBSTITUTE(SUBSTITUTE(SUBSTITUTE(Клиенты_исходные!D917," ",""),"-",""),"+",""),"(",""),")",""))="8","7"&amp;MID(SUBSTITUTE(SUBSTITUTE(SUBSTITUTE(SUBSTITUTE(SUBSTITUTE(Клиенты_исходные!D917," ",""),"-",""),"+",""),"(",""),")",""),2,10),SUBSTITUTE(SUBSTITUTE(SUBSTITUTE(SUBSTITUTE(SUBSTITUTE(Клиенты_исходные!D917," ",""),"-",""),"+",""),"(",""),")","")),2,3)&amp;") "&amp;MID(IF(LEFT(SUBSTITUTE(SUBSTITUTE(SUBSTITUTE(SUBSTITUTE(SUBSTITUTE(Клиенты_исходные!D917," ",""),"-",""),"+",""),"(",""),")",""))="8","7"&amp;MID(SUBSTITUTE(SUBSTITUTE(SUBSTITUTE(SUBSTITUTE(SUBSTITUTE(Клиенты_исходные!D917," ",""),"-",""),"+",""),"(",""),")",""),2,10),SUBSTITUTE(SUBSTITUTE(SUBSTITUTE(SUBSTITUTE(SUBSTITUTE(Клиенты_исходные!D917," ",""),"-",""),"+",""),"(",""),")","")),5,3)&amp;"-"&amp;MID(IF(LEFT(SUBSTITUTE(SUBSTITUTE(SUBSTITUTE(SUBSTITUTE(SUBSTITUTE(Клиенты_исходные!D917," ",""),"-",""),"+",""),"(",""),")",""))="8","7"&amp;MID(SUBSTITUTE(SUBSTITUTE(SUBSTITUTE(SUBSTITUTE(SUBSTITUTE(Клиенты_исходные!D917," ",""),"-",""),"+",""),"(",""),")",""),2,10),SUBSTITUTE(SUBSTITUTE(SUBSTITUTE(SUBSTITUTE(SUBSTITUTE(Клиенты_исходные!D917," ",""),"-",""),"+",""),"(",""),")","")),8,2)&amp;"-"&amp;MID(IF(LEFT(SUBSTITUTE(SUBSTITUTE(SUBSTITUTE(SUBSTITUTE(SUBSTITUTE(Клиенты_исходные!D917," ",""),"-",""),"+",""),"(",""),")",""))="8","7"&amp;MID(SUBSTITUTE(SUBSTITUTE(SUBSTITUTE(SUBSTITUTE(SUBSTITUTE(Клиенты_исходные!D917," ",""),"-",""),"+",""),"(",""),")",""),2,10),SUBSTITUTE(SUBSTITUTE(SUBSTITUTE(SUBSTITUTE(SUBSTITUTE(Клиенты_исходные!D917," ",""),"-",""),"+",""),"(",""),")","")),10,2),IF(LEN(SUBSTITUTE(SUBSTITUTE(SUBSTITUTE(SUBSTITUTE(SUBSTITUTE(Клиенты_исходные!D917," ",""),"-",""),"+",""),"(",""),")",""))=10,"+7 ("&amp;MID(SUBSTITUTE(SUBSTITUTE(SUBSTITUTE(SUBSTITUTE(SUBSTITUTE(Клиенты_исходные!D917," ",""),"-",""),"+",""),"(",""),")",""),1,3)&amp;") "&amp;MID(SUBSTITUTE(SUBSTITUTE(SUBSTITUTE(SUBSTITUTE(SUBSTITUTE(Клиенты_исходные!D917," ",""),"-",""),"+",""),"(",""),")",""),4,3)&amp;"-"&amp;MID(SUBSTITUTE(SUBSTITUTE(SUBSTITUTE(SUBSTITUTE(SUBSTITUTE(Клиенты_исходные!D917," ",""),"-",""),"+",""),"(",""),")",""),6,2)&amp;"-"&amp;MID(SUBSTITUTE(SUBSTITUTE(SUBSTITUTE(SUBSTITUTE(SUBSTITUTE(Клиенты_исходные!D917," ",""),"-",""),"+",""),"(",""),")",""),8,2),Клиенты_исходные!D917)))</f>
        <v xml:space="preserve">+7 (903) 123-45-67</v>
      </c>
      <c r="E917" t="str">
        <f>IF(ISBLANK(Клиенты_исходные!E917),"",IF(ISNUMBER(FIND(".",MID(Клиенты_исходные!E917,FIND("@",Клиенты_исходные!E917)+1,255))),Клиенты_исходные!E917,IF(ISNUMBER(FIND("gmail",Клиенты_исходные!E917)),Клиенты_исходные!E917&amp;".com",Клиенты_исходные!E917&amp;".ru")))</f>
        <v>larionov@mail.ru</v>
      </c>
      <c r="F917" t="str">
        <f>IFERROR(VLOOKUP(Клиенты_исходные!F917,Справочники!$J$2:$K$50,2,FALSE),Клиенты_исходные!F917)</f>
        <v>Владикавказ</v>
      </c>
      <c r="G917" s="8">
        <f>IFERROR(IF(ISNUMBER(FIND(".",Клиенты_исходные!G917)),DATE(RIGHT(Клиенты_исходные!G917,4),MID(Клиенты_исходные!G917,4,2),LEFT(Клиенты_исходные!G917,2)),DATE(LEFT(Клиенты_исходные!G917,4),MID(Клиенты_исходные!G917,6,2),RIGHT(Клиенты_исходные!G917,2))),Клиенты_исходные!G917)</f>
        <v>53844</v>
      </c>
      <c r="H917">
        <f t="shared" ca="1" si="88"/>
        <v>43</v>
      </c>
      <c r="I917" t="str">
        <f t="shared" si="89"/>
        <v>OK</v>
      </c>
      <c r="J917" t="str">
        <f t="shared" si="90"/>
        <v>OK</v>
      </c>
    </row>
    <row r="918">
      <c r="A918" t="str">
        <f>Клиенты_исходные!A918</f>
        <v>C0917</v>
      </c>
      <c r="B918" t="str">
        <f>PROPER(TRIM(Клиенты_исходные!B918))</f>
        <v xml:space="preserve">Зубова Екатерина Владимировна</v>
      </c>
      <c r="C918" s="8">
        <f>IFERROR(IF(ISNUMBER(FIND(".",Клиенты_исходные!C918)),DATE(RIGHT(Клиенты_исходные!C918,4),MID(Клиенты_исходные!C918,4,2),LEFT(Клиенты_исходные!C918,2)),DATE(LEFT(Клиенты_исходные!C918,4),MID(Клиенты_исходные!C918,6,2),RIGHT(Клиенты_исходные!C918,2))),Клиенты_исходные!C918)</f>
        <v>33068</v>
      </c>
      <c r="D918" t="str">
        <f>IF(ISBLANK(Клиенты_исходные!D918),"",IF(LEN(SUBSTITUTE(SUBSTITUTE(SUBSTITUTE(SUBSTITUTE(SUBSTITUTE(Клиенты_исходные!D918," ",""),"-",""),"+",""),"(",""),")",""))=11,"+7 ("&amp;MID(IF(LEFT(SUBSTITUTE(SUBSTITUTE(SUBSTITUTE(SUBSTITUTE(SUBSTITUTE(Клиенты_исходные!D918," ",""),"-",""),"+",""),"(",""),")",""))="8","7"&amp;MID(SUBSTITUTE(SUBSTITUTE(SUBSTITUTE(SUBSTITUTE(SUBSTITUTE(Клиенты_исходные!D918," ",""),"-",""),"+",""),"(",""),")",""),2,10),SUBSTITUTE(SUBSTITUTE(SUBSTITUTE(SUBSTITUTE(SUBSTITUTE(Клиенты_исходные!D918," ",""),"-",""),"+",""),"(",""),")","")),2,3)&amp;") "&amp;MID(IF(LEFT(SUBSTITUTE(SUBSTITUTE(SUBSTITUTE(SUBSTITUTE(SUBSTITUTE(Клиенты_исходные!D918," ",""),"-",""),"+",""),"(",""),")",""))="8","7"&amp;MID(SUBSTITUTE(SUBSTITUTE(SUBSTITUTE(SUBSTITUTE(SUBSTITUTE(Клиенты_исходные!D918," ",""),"-",""),"+",""),"(",""),")",""),2,10),SUBSTITUTE(SUBSTITUTE(SUBSTITUTE(SUBSTITUTE(SUBSTITUTE(Клиенты_исходные!D918," ",""),"-",""),"+",""),"(",""),")","")),5,3)&amp;"-"&amp;MID(IF(LEFT(SUBSTITUTE(SUBSTITUTE(SUBSTITUTE(SUBSTITUTE(SUBSTITUTE(Клиенты_исходные!D918," ",""),"-",""),"+",""),"(",""),")",""))="8","7"&amp;MID(SUBSTITUTE(SUBSTITUTE(SUBSTITUTE(SUBSTITUTE(SUBSTITUTE(Клиенты_исходные!D918," ",""),"-",""),"+",""),"(",""),")",""),2,10),SUBSTITUTE(SUBSTITUTE(SUBSTITUTE(SUBSTITUTE(SUBSTITUTE(Клиенты_исходные!D918," ",""),"-",""),"+",""),"(",""),")","")),8,2)&amp;"-"&amp;MID(IF(LEFT(SUBSTITUTE(SUBSTITUTE(SUBSTITUTE(SUBSTITUTE(SUBSTITUTE(Клиенты_исходные!D918," ",""),"-",""),"+",""),"(",""),")",""))="8","7"&amp;MID(SUBSTITUTE(SUBSTITUTE(SUBSTITUTE(SUBSTITUTE(SUBSTITUTE(Клиенты_исходные!D918," ",""),"-",""),"+",""),"(",""),")",""),2,10),SUBSTITUTE(SUBSTITUTE(SUBSTITUTE(SUBSTITUTE(SUBSTITUTE(Клиенты_исходные!D918," ",""),"-",""),"+",""),"(",""),")","")),10,2),IF(LEN(SUBSTITUTE(SUBSTITUTE(SUBSTITUTE(SUBSTITUTE(SUBSTITUTE(Клиенты_исходные!D918," ",""),"-",""),"+",""),"(",""),")",""))=10,"+7 ("&amp;MID(SUBSTITUTE(SUBSTITUTE(SUBSTITUTE(SUBSTITUTE(SUBSTITUTE(Клиенты_исходные!D918," ",""),"-",""),"+",""),"(",""),")",""),1,3)&amp;") "&amp;MID(SUBSTITUTE(SUBSTITUTE(SUBSTITUTE(SUBSTITUTE(SUBSTITUTE(Клиенты_исходные!D918," ",""),"-",""),"+",""),"(",""),")",""),4,3)&amp;"-"&amp;MID(SUBSTITUTE(SUBSTITUTE(SUBSTITUTE(SUBSTITUTE(SUBSTITUTE(Клиенты_исходные!D918," ",""),"-",""),"+",""),"(",""),")",""),6,2)&amp;"-"&amp;MID(SUBSTITUTE(SUBSTITUTE(SUBSTITUTE(SUBSTITUTE(SUBSTITUTE(Клиенты_исходные!D918," ",""),"-",""),"+",""),"(",""),")",""),8,2),Клиенты_исходные!D918)))</f>
        <v xml:space="preserve">+7 (903) 123-45-67</v>
      </c>
      <c r="E918" t="str">
        <f>IF(ISBLANK(Клиенты_исходные!E918),"",IF(ISNUMBER(FIND(".",MID(Клиенты_исходные!E918,FIND("@",Клиенты_исходные!E918)+1,255))),Клиенты_исходные!E918,IF(ISNUMBER(FIND("gmail",Клиенты_исходные!E918)),Клиенты_исходные!E918&amp;".com",Клиенты_исходные!E918&amp;".ru")))</f>
        <v>zubova@yandex.ru</v>
      </c>
      <c r="F918" t="str">
        <f>IFERROR(VLOOKUP(Клиенты_исходные!F918,Справочники!$J$2:$K$50,2,FALSE),Клиенты_исходные!F918)</f>
        <v>Смоленск</v>
      </c>
      <c r="G918" s="8">
        <f>IFERROR(IF(ISNUMBER(FIND(".",Клиенты_исходные!G918)),DATE(RIGHT(Клиенты_исходные!G918,4),MID(Клиенты_исходные!G918,4,2),LEFT(Клиенты_исходные!G918,2)),DATE(LEFT(Клиенты_исходные!G918,4),MID(Клиенты_исходные!G918,6,2),RIGHT(Клиенты_исходные!G918,2))),Клиенты_исходные!G918)</f>
        <v>53853</v>
      </c>
      <c r="H918">
        <f t="shared" ca="1" si="88"/>
        <v>36</v>
      </c>
      <c r="I918" t="str">
        <f t="shared" si="89"/>
        <v>OK</v>
      </c>
      <c r="J918" t="str">
        <f t="shared" si="90"/>
        <v>OK</v>
      </c>
    </row>
    <row r="919">
      <c r="A919" t="str">
        <f>Клиенты_исходные!A919</f>
        <v>C0918</v>
      </c>
      <c r="B919" t="str">
        <f>PROPER(TRIM(Клиенты_исходные!B919))</f>
        <v xml:space="preserve">Киреев Денис Сергеевич</v>
      </c>
      <c r="C919" s="8">
        <f>IFERROR(IF(ISNUMBER(FIND(".",Клиенты_исходные!C919)),DATE(RIGHT(Клиенты_исходные!C919,4),MID(Клиенты_исходные!C919,4,2),LEFT(Клиенты_исходные!C919,2)),DATE(LEFT(Клиенты_исходные!C919,4),MID(Клиенты_исходные!C919,6,2),RIGHT(Клиенты_исходные!C919,2))),Клиенты_исходные!C919)</f>
        <v>27645</v>
      </c>
      <c r="D919" t="str">
        <f>IF(ISBLANK(Клиенты_исходные!D919),"",IF(LEN(SUBSTITUTE(SUBSTITUTE(SUBSTITUTE(SUBSTITUTE(SUBSTITUTE(Клиенты_исходные!D919," ",""),"-",""),"+",""),"(",""),")",""))=11,"+7 ("&amp;MID(IF(LEFT(SUBSTITUTE(SUBSTITUTE(SUBSTITUTE(SUBSTITUTE(SUBSTITUTE(Клиенты_исходные!D919," ",""),"-",""),"+",""),"(",""),")",""))="8","7"&amp;MID(SUBSTITUTE(SUBSTITUTE(SUBSTITUTE(SUBSTITUTE(SUBSTITUTE(Клиенты_исходные!D919," ",""),"-",""),"+",""),"(",""),")",""),2,10),SUBSTITUTE(SUBSTITUTE(SUBSTITUTE(SUBSTITUTE(SUBSTITUTE(Клиенты_исходные!D919," ",""),"-",""),"+",""),"(",""),")","")),2,3)&amp;") "&amp;MID(IF(LEFT(SUBSTITUTE(SUBSTITUTE(SUBSTITUTE(SUBSTITUTE(SUBSTITUTE(Клиенты_исходные!D919," ",""),"-",""),"+",""),"(",""),")",""))="8","7"&amp;MID(SUBSTITUTE(SUBSTITUTE(SUBSTITUTE(SUBSTITUTE(SUBSTITUTE(Клиенты_исходные!D919," ",""),"-",""),"+",""),"(",""),")",""),2,10),SUBSTITUTE(SUBSTITUTE(SUBSTITUTE(SUBSTITUTE(SUBSTITUTE(Клиенты_исходные!D919," ",""),"-",""),"+",""),"(",""),")","")),5,3)&amp;"-"&amp;MID(IF(LEFT(SUBSTITUTE(SUBSTITUTE(SUBSTITUTE(SUBSTITUTE(SUBSTITUTE(Клиенты_исходные!D919," ",""),"-",""),"+",""),"(",""),")",""))="8","7"&amp;MID(SUBSTITUTE(SUBSTITUTE(SUBSTITUTE(SUBSTITUTE(SUBSTITUTE(Клиенты_исходные!D919," ",""),"-",""),"+",""),"(",""),")",""),2,10),SUBSTITUTE(SUBSTITUTE(SUBSTITUTE(SUBSTITUTE(SUBSTITUTE(Клиенты_исходные!D919," ",""),"-",""),"+",""),"(",""),")","")),8,2)&amp;"-"&amp;MID(IF(LEFT(SUBSTITUTE(SUBSTITUTE(SUBSTITUTE(SUBSTITUTE(SUBSTITUTE(Клиенты_исходные!D919," ",""),"-",""),"+",""),"(",""),")",""))="8","7"&amp;MID(SUBSTITUTE(SUBSTITUTE(SUBSTITUTE(SUBSTITUTE(SUBSTITUTE(Клиенты_исходные!D919," ",""),"-",""),"+",""),"(",""),")",""),2,10),SUBSTITUTE(SUBSTITUTE(SUBSTITUTE(SUBSTITUTE(SUBSTITUTE(Клиенты_исходные!D919," ",""),"-",""),"+",""),"(",""),")","")),10,2),IF(LEN(SUBSTITUTE(SUBSTITUTE(SUBSTITUTE(SUBSTITUTE(SUBSTITUTE(Клиенты_исходные!D919," ",""),"-",""),"+",""),"(",""),")",""))=10,"+7 ("&amp;MID(SUBSTITUTE(SUBSTITUTE(SUBSTITUTE(SUBSTITUTE(SUBSTITUTE(Клиенты_исходные!D919," ",""),"-",""),"+",""),"(",""),")",""),1,3)&amp;") "&amp;MID(SUBSTITUTE(SUBSTITUTE(SUBSTITUTE(SUBSTITUTE(SUBSTITUTE(Клиенты_исходные!D919," ",""),"-",""),"+",""),"(",""),")",""),4,3)&amp;"-"&amp;MID(SUBSTITUTE(SUBSTITUTE(SUBSTITUTE(SUBSTITUTE(SUBSTITUTE(Клиенты_исходные!D919," ",""),"-",""),"+",""),"(",""),")",""),6,2)&amp;"-"&amp;MID(SUBSTITUTE(SUBSTITUTE(SUBSTITUTE(SUBSTITUTE(SUBSTITUTE(Клиенты_исходные!D919," ",""),"-",""),"+",""),"(",""),")",""),8,2),Клиенты_исходные!D919)))</f>
        <v xml:space="preserve">+7 (903) 234-56-78</v>
      </c>
      <c r="E919" t="str">
        <f>IF(ISBLANK(Клиенты_исходные!E919),"",IF(ISNUMBER(FIND(".",MID(Клиенты_исходные!E919,FIND("@",Клиенты_исходные!E919)+1,255))),Клиенты_исходные!E919,IF(ISNUMBER(FIND("gmail",Клиенты_исходные!E919)),Клиенты_исходные!E919&amp;".com",Клиенты_исходные!E919&amp;".ru")))</f>
        <v>kireev@gmail.com</v>
      </c>
      <c r="F919" t="str">
        <f>IFERROR(VLOOKUP(Клиенты_исходные!F919,Справочники!$J$2:$K$50,2,FALSE),Клиенты_исходные!F919)</f>
        <v>Белгород</v>
      </c>
      <c r="G919" s="8">
        <f>IFERROR(IF(ISNUMBER(FIND(".",Клиенты_исходные!G919)),DATE(RIGHT(Клиенты_исходные!G919,4),MID(Клиенты_исходные!G919,4,2),LEFT(Клиенты_исходные!G919,2)),DATE(LEFT(Клиенты_исходные!G919,4),MID(Клиенты_исходные!G919,6,2),RIGHT(Клиенты_исходные!G919,2))),Клиенты_исходные!G919)</f>
        <v>53853</v>
      </c>
      <c r="H919">
        <f t="shared" ca="1" si="88"/>
        <v>51</v>
      </c>
      <c r="I919" t="str">
        <f t="shared" si="89"/>
        <v>OK</v>
      </c>
      <c r="J919" t="str">
        <f t="shared" si="90"/>
        <v>OK</v>
      </c>
    </row>
    <row r="920">
      <c r="A920" t="str">
        <f>Клиенты_исходные!A920</f>
        <v>C0919</v>
      </c>
      <c r="B920" t="str">
        <f>PROPER(TRIM(Клиенты_исходные!B920))</f>
        <v xml:space="preserve">Крупнова Мария Павловна</v>
      </c>
      <c r="C920" s="8">
        <f>IFERROR(IF(ISNUMBER(FIND(".",Клиенты_исходные!C920)),DATE(RIGHT(Клиенты_исходные!C920,4),MID(Клиенты_исходные!C920,4,2),LEFT(Клиенты_исходные!C920,2)),DATE(LEFT(Клиенты_исходные!C920,4),MID(Клиенты_исходные!C920,6,2),RIGHT(Клиенты_исходные!C920,2))),Клиенты_исходные!C920)</f>
        <v>29671</v>
      </c>
      <c r="D920" t="str">
        <f>IF(ISBLANK(Клиенты_исходные!D920),"",IF(LEN(SUBSTITUTE(SUBSTITUTE(SUBSTITUTE(SUBSTITUTE(SUBSTITUTE(Клиенты_исходные!D920," ",""),"-",""),"+",""),"(",""),")",""))=11,"+7 ("&amp;MID(IF(LEFT(SUBSTITUTE(SUBSTITUTE(SUBSTITUTE(SUBSTITUTE(SUBSTITUTE(Клиенты_исходные!D920," ",""),"-",""),"+",""),"(",""),")",""))="8","7"&amp;MID(SUBSTITUTE(SUBSTITUTE(SUBSTITUTE(SUBSTITUTE(SUBSTITUTE(Клиенты_исходные!D920," ",""),"-",""),"+",""),"(",""),")",""),2,10),SUBSTITUTE(SUBSTITUTE(SUBSTITUTE(SUBSTITUTE(SUBSTITUTE(Клиенты_исходные!D920," ",""),"-",""),"+",""),"(",""),")","")),2,3)&amp;") "&amp;MID(IF(LEFT(SUBSTITUTE(SUBSTITUTE(SUBSTITUTE(SUBSTITUTE(SUBSTITUTE(Клиенты_исходные!D920," ",""),"-",""),"+",""),"(",""),")",""))="8","7"&amp;MID(SUBSTITUTE(SUBSTITUTE(SUBSTITUTE(SUBSTITUTE(SUBSTITUTE(Клиенты_исходные!D920," ",""),"-",""),"+",""),"(",""),")",""),2,10),SUBSTITUTE(SUBSTITUTE(SUBSTITUTE(SUBSTITUTE(SUBSTITUTE(Клиенты_исходные!D920," ",""),"-",""),"+",""),"(",""),")","")),5,3)&amp;"-"&amp;MID(IF(LEFT(SUBSTITUTE(SUBSTITUTE(SUBSTITUTE(SUBSTITUTE(SUBSTITUTE(Клиенты_исходные!D920," ",""),"-",""),"+",""),"(",""),")",""))="8","7"&amp;MID(SUBSTITUTE(SUBSTITUTE(SUBSTITUTE(SUBSTITUTE(SUBSTITUTE(Клиенты_исходные!D920," ",""),"-",""),"+",""),"(",""),")",""),2,10),SUBSTITUTE(SUBSTITUTE(SUBSTITUTE(SUBSTITUTE(SUBSTITUTE(Клиенты_исходные!D920," ",""),"-",""),"+",""),"(",""),")","")),8,2)&amp;"-"&amp;MID(IF(LEFT(SUBSTITUTE(SUBSTITUTE(SUBSTITUTE(SUBSTITUTE(SUBSTITUTE(Клиенты_исходные!D920," ",""),"-",""),"+",""),"(",""),")",""))="8","7"&amp;MID(SUBSTITUTE(SUBSTITUTE(SUBSTITUTE(SUBSTITUTE(SUBSTITUTE(Клиенты_исходные!D920," ",""),"-",""),"+",""),"(",""),")",""),2,10),SUBSTITUTE(SUBSTITUTE(SUBSTITUTE(SUBSTITUTE(SUBSTITUTE(Клиенты_исходные!D920," ",""),"-",""),"+",""),"(",""),")","")),10,2),IF(LEN(SUBSTITUTE(SUBSTITUTE(SUBSTITUTE(SUBSTITUTE(SUBSTITUTE(Клиенты_исходные!D920," ",""),"-",""),"+",""),"(",""),")",""))=10,"+7 ("&amp;MID(SUBSTITUTE(SUBSTITUTE(SUBSTITUTE(SUBSTITUTE(SUBSTITUTE(Клиенты_исходные!D920," ",""),"-",""),"+",""),"(",""),")",""),1,3)&amp;") "&amp;MID(SUBSTITUTE(SUBSTITUTE(SUBSTITUTE(SUBSTITUTE(SUBSTITUTE(Клиенты_исходные!D920," ",""),"-",""),"+",""),"(",""),")",""),4,3)&amp;"-"&amp;MID(SUBSTITUTE(SUBSTITUTE(SUBSTITUTE(SUBSTITUTE(SUBSTITUTE(Клиенты_исходные!D920," ",""),"-",""),"+",""),"(",""),")",""),6,2)&amp;"-"&amp;MID(SUBSTITUTE(SUBSTITUTE(SUBSTITUTE(SUBSTITUTE(SUBSTITUTE(Клиенты_исходные!D920," ",""),"-",""),"+",""),"(",""),")",""),8,2),Клиенты_исходные!D920)))</f>
        <v xml:space="preserve">+7 (903) 234-56-78</v>
      </c>
      <c r="E920" t="str">
        <f>IF(ISBLANK(Клиенты_исходные!E920),"",IF(ISNUMBER(FIND(".",MID(Клиенты_исходные!E920,FIND("@",Клиенты_исходные!E920)+1,255))),Клиенты_исходные!E920,IF(ISNUMBER(FIND("gmail",Клиенты_исходные!E920)),Клиенты_исходные!E920&amp;".com",Клиенты_исходные!E920&amp;".ru")))</f>
        <v>krupnova@mail.ru</v>
      </c>
      <c r="F920" t="str">
        <f>IFERROR(VLOOKUP(Клиенты_исходные!F920,Справочники!$J$2:$K$50,2,FALSE),Клиенты_исходные!F920)</f>
        <v>Мурманск</v>
      </c>
      <c r="G920" s="8">
        <f>IFERROR(IF(ISNUMBER(FIND(".",Клиенты_исходные!G920)),DATE(RIGHT(Клиенты_исходные!G920,4),MID(Клиенты_исходные!G920,4,2),LEFT(Клиенты_исходные!G920,2)),DATE(LEFT(Клиенты_исходные!G920,4),MID(Клиенты_исходные!G920,6,2),RIGHT(Клиенты_исходные!G920,2))),Клиенты_исходные!G920)</f>
        <v>53874</v>
      </c>
      <c r="H920">
        <f t="shared" ca="1" si="88"/>
        <v>45</v>
      </c>
      <c r="I920" t="str">
        <f t="shared" si="89"/>
        <v>OK</v>
      </c>
      <c r="J920" t="str">
        <f t="shared" si="90"/>
        <v>OK</v>
      </c>
    </row>
    <row r="921">
      <c r="A921" t="str">
        <f>Клиенты_исходные!A921</f>
        <v>C0920</v>
      </c>
      <c r="B921" t="str">
        <f>PROPER(TRIM(Клиенты_исходные!B921))</f>
        <v xml:space="preserve">Масленников Илья Александрович</v>
      </c>
      <c r="C921" s="8">
        <f>IFERROR(IF(ISNUMBER(FIND(".",Клиенты_исходные!C921)),DATE(RIGHT(Клиенты_исходные!C921,4),MID(Клиенты_исходные!C921,4,2),LEFT(Клиенты_исходные!C921,2)),DATE(LEFT(Клиенты_исходные!C921,4),MID(Клиенты_исходные!C921,6,2),RIGHT(Клиенты_исходные!C921,2))),Клиенты_исходные!C921)</f>
        <v>31715</v>
      </c>
      <c r="D921" t="str">
        <f>IF(ISBLANK(Клиенты_исходные!D921),"",IF(LEN(SUBSTITUTE(SUBSTITUTE(SUBSTITUTE(SUBSTITUTE(SUBSTITUTE(Клиенты_исходные!D921," ",""),"-",""),"+",""),"(",""),")",""))=11,"+7 ("&amp;MID(IF(LEFT(SUBSTITUTE(SUBSTITUTE(SUBSTITUTE(SUBSTITUTE(SUBSTITUTE(Клиенты_исходные!D921," ",""),"-",""),"+",""),"(",""),")",""))="8","7"&amp;MID(SUBSTITUTE(SUBSTITUTE(SUBSTITUTE(SUBSTITUTE(SUBSTITUTE(Клиенты_исходные!D921," ",""),"-",""),"+",""),"(",""),")",""),2,10),SUBSTITUTE(SUBSTITUTE(SUBSTITUTE(SUBSTITUTE(SUBSTITUTE(Клиенты_исходные!D921," ",""),"-",""),"+",""),"(",""),")","")),2,3)&amp;") "&amp;MID(IF(LEFT(SUBSTITUTE(SUBSTITUTE(SUBSTITUTE(SUBSTITUTE(SUBSTITUTE(Клиенты_исходные!D921," ",""),"-",""),"+",""),"(",""),")",""))="8","7"&amp;MID(SUBSTITUTE(SUBSTITUTE(SUBSTITUTE(SUBSTITUTE(SUBSTITUTE(Клиенты_исходные!D921," ",""),"-",""),"+",""),"(",""),")",""),2,10),SUBSTITUTE(SUBSTITUTE(SUBSTITUTE(SUBSTITUTE(SUBSTITUTE(Клиенты_исходные!D921," ",""),"-",""),"+",""),"(",""),")","")),5,3)&amp;"-"&amp;MID(IF(LEFT(SUBSTITUTE(SUBSTITUTE(SUBSTITUTE(SUBSTITUTE(SUBSTITUTE(Клиенты_исходные!D921," ",""),"-",""),"+",""),"(",""),")",""))="8","7"&amp;MID(SUBSTITUTE(SUBSTITUTE(SUBSTITUTE(SUBSTITUTE(SUBSTITUTE(Клиенты_исходные!D921," ",""),"-",""),"+",""),"(",""),")",""),2,10),SUBSTITUTE(SUBSTITUTE(SUBSTITUTE(SUBSTITUTE(SUBSTITUTE(Клиенты_исходные!D921," ",""),"-",""),"+",""),"(",""),")","")),8,2)&amp;"-"&amp;MID(IF(LEFT(SUBSTITUTE(SUBSTITUTE(SUBSTITUTE(SUBSTITUTE(SUBSTITUTE(Клиенты_исходные!D921," ",""),"-",""),"+",""),"(",""),")",""))="8","7"&amp;MID(SUBSTITUTE(SUBSTITUTE(SUBSTITUTE(SUBSTITUTE(SUBSTITUTE(Клиенты_исходные!D921," ",""),"-",""),"+",""),"(",""),")",""),2,10),SUBSTITUTE(SUBSTITUTE(SUBSTITUTE(SUBSTITUTE(SUBSTITUTE(Клиенты_исходные!D921," ",""),"-",""),"+",""),"(",""),")","")),10,2),IF(LEN(SUBSTITUTE(SUBSTITUTE(SUBSTITUTE(SUBSTITUTE(SUBSTITUTE(Клиенты_исходные!D921," ",""),"-",""),"+",""),"(",""),")",""))=10,"+7 ("&amp;MID(SUBSTITUTE(SUBSTITUTE(SUBSTITUTE(SUBSTITUTE(SUBSTITUTE(Клиенты_исходные!D921," ",""),"-",""),"+",""),"(",""),")",""),1,3)&amp;") "&amp;MID(SUBSTITUTE(SUBSTITUTE(SUBSTITUTE(SUBSTITUTE(SUBSTITUTE(Клиенты_исходные!D921," ",""),"-",""),"+",""),"(",""),")",""),4,3)&amp;"-"&amp;MID(SUBSTITUTE(SUBSTITUTE(SUBSTITUTE(SUBSTITUTE(SUBSTITUTE(Клиенты_исходные!D921," ",""),"-",""),"+",""),"(",""),")",""),6,2)&amp;"-"&amp;MID(SUBSTITUTE(SUBSTITUTE(SUBSTITUTE(SUBSTITUTE(SUBSTITUTE(Клиенты_исходные!D921," ",""),"-",""),"+",""),"(",""),")",""),8,2),Клиенты_исходные!D921)))</f>
        <v xml:space="preserve">+7 (903) 234-56-78</v>
      </c>
      <c r="E921" t="str">
        <f>IF(ISBLANK(Клиенты_исходные!E921),"",IF(ISNUMBER(FIND(".",MID(Клиенты_исходные!E921,FIND("@",Клиенты_исходные!E921)+1,255))),Клиенты_исходные!E921,IF(ISNUMBER(FIND("gmail",Клиенты_исходные!E921)),Клиенты_исходные!E921&amp;".com",Клиенты_исходные!E921&amp;".ru")))</f>
        <v>maslennikov@yandex.ru</v>
      </c>
      <c r="F921" t="str">
        <f>IFERROR(VLOOKUP(Клиенты_исходные!F921,Справочники!$J$2:$K$50,2,FALSE),Клиенты_исходные!F921)</f>
        <v>Ставрополь</v>
      </c>
      <c r="G921" s="8">
        <f>IFERROR(IF(ISNUMBER(FIND(".",Клиенты_исходные!G921)),DATE(RIGHT(Клиенты_исходные!G921,4),MID(Клиенты_исходные!G921,4,2),LEFT(Клиенты_исходные!G921,2)),DATE(LEFT(Клиенты_исходные!G921,4),MID(Клиенты_исходные!G921,6,2),RIGHT(Клиенты_исходные!G921,2))),Клиенты_исходные!G921)</f>
        <v>53888</v>
      </c>
      <c r="H921">
        <f t="shared" ca="1" si="88"/>
        <v>39</v>
      </c>
      <c r="I921" t="str">
        <f t="shared" si="89"/>
        <v>OK</v>
      </c>
      <c r="J921" t="str">
        <f t="shared" si="90"/>
        <v>OK</v>
      </c>
    </row>
    <row r="922">
      <c r="A922" t="str">
        <f>Клиенты_исходные!A922</f>
        <v>C0921</v>
      </c>
      <c r="B922" t="str">
        <f>PROPER(TRIM(Клиенты_исходные!B922))</f>
        <v xml:space="preserve">Широкова Ольга Сергеевна</v>
      </c>
      <c r="C922" s="8">
        <f>IFERROR(IF(ISNUMBER(FIND(".",Клиенты_исходные!C922)),DATE(RIGHT(Клиенты_исходные!C922,4),MID(Клиенты_исходные!C922,4,2),LEFT(Клиенты_исходные!C922,2)),DATE(LEFT(Клиенты_исходные!C922,4),MID(Клиенты_исходные!C922,6,2),RIGHT(Клиенты_исходные!C922,2))),Клиенты_исходные!C922)</f>
        <v>33589</v>
      </c>
      <c r="D922" t="str">
        <f>IF(ISBLANK(Клиенты_исходные!D922),"",IF(LEN(SUBSTITUTE(SUBSTITUTE(SUBSTITUTE(SUBSTITUTE(SUBSTITUTE(Клиенты_исходные!D922," ",""),"-",""),"+",""),"(",""),")",""))=11,"+7 ("&amp;MID(IF(LEFT(SUBSTITUTE(SUBSTITUTE(SUBSTITUTE(SUBSTITUTE(SUBSTITUTE(Клиенты_исходные!D922," ",""),"-",""),"+",""),"(",""),")",""))="8","7"&amp;MID(SUBSTITUTE(SUBSTITUTE(SUBSTITUTE(SUBSTITUTE(SUBSTITUTE(Клиенты_исходные!D922," ",""),"-",""),"+",""),"(",""),")",""),2,10),SUBSTITUTE(SUBSTITUTE(SUBSTITUTE(SUBSTITUTE(SUBSTITUTE(Клиенты_исходные!D922," ",""),"-",""),"+",""),"(",""),")","")),2,3)&amp;") "&amp;MID(IF(LEFT(SUBSTITUTE(SUBSTITUTE(SUBSTITUTE(SUBSTITUTE(SUBSTITUTE(Клиенты_исходные!D922," ",""),"-",""),"+",""),"(",""),")",""))="8","7"&amp;MID(SUBSTITUTE(SUBSTITUTE(SUBSTITUTE(SUBSTITUTE(SUBSTITUTE(Клиенты_исходные!D922," ",""),"-",""),"+",""),"(",""),")",""),2,10),SUBSTITUTE(SUBSTITUTE(SUBSTITUTE(SUBSTITUTE(SUBSTITUTE(Клиенты_исходные!D922," ",""),"-",""),"+",""),"(",""),")","")),5,3)&amp;"-"&amp;MID(IF(LEFT(SUBSTITUTE(SUBSTITUTE(SUBSTITUTE(SUBSTITUTE(SUBSTITUTE(Клиенты_исходные!D922," ",""),"-",""),"+",""),"(",""),")",""))="8","7"&amp;MID(SUBSTITUTE(SUBSTITUTE(SUBSTITUTE(SUBSTITUTE(SUBSTITUTE(Клиенты_исходные!D922," ",""),"-",""),"+",""),"(",""),")",""),2,10),SUBSTITUTE(SUBSTITUTE(SUBSTITUTE(SUBSTITUTE(SUBSTITUTE(Клиенты_исходные!D922," ",""),"-",""),"+",""),"(",""),")","")),8,2)&amp;"-"&amp;MID(IF(LEFT(SUBSTITUTE(SUBSTITUTE(SUBSTITUTE(SUBSTITUTE(SUBSTITUTE(Клиенты_исходные!D922," ",""),"-",""),"+",""),"(",""),")",""))="8","7"&amp;MID(SUBSTITUTE(SUBSTITUTE(SUBSTITUTE(SUBSTITUTE(SUBSTITUTE(Клиенты_исходные!D922," ",""),"-",""),"+",""),"(",""),")",""),2,10),SUBSTITUTE(SUBSTITUTE(SUBSTITUTE(SUBSTITUTE(SUBSTITUTE(Клиенты_исходные!D922," ",""),"-",""),"+",""),"(",""),")","")),10,2),IF(LEN(SUBSTITUTE(SUBSTITUTE(SUBSTITUTE(SUBSTITUTE(SUBSTITUTE(Клиенты_исходные!D922," ",""),"-",""),"+",""),"(",""),")",""))=10,"+7 ("&amp;MID(SUBSTITUTE(SUBSTITUTE(SUBSTITUTE(SUBSTITUTE(SUBSTITUTE(Клиенты_исходные!D922," ",""),"-",""),"+",""),"(",""),")",""),1,3)&amp;") "&amp;MID(SUBSTITUTE(SUBSTITUTE(SUBSTITUTE(SUBSTITUTE(SUBSTITUTE(Клиенты_исходные!D922," ",""),"-",""),"+",""),"(",""),")",""),4,3)&amp;"-"&amp;MID(SUBSTITUTE(SUBSTITUTE(SUBSTITUTE(SUBSTITUTE(SUBSTITUTE(Клиенты_исходные!D922," ",""),"-",""),"+",""),"(",""),")",""),6,2)&amp;"-"&amp;MID(SUBSTITUTE(SUBSTITUTE(SUBSTITUTE(SUBSTITUTE(SUBSTITUTE(Клиенты_исходные!D922," ",""),"-",""),"+",""),"(",""),")",""),8,2),Клиенты_исходные!D922)))</f>
        <v xml:space="preserve">+7 (903) 345-67-89</v>
      </c>
      <c r="E922" t="str">
        <f>IF(ISBLANK(Клиенты_исходные!E922),"",IF(ISNUMBER(FIND(".",MID(Клиенты_исходные!E922,FIND("@",Клиенты_исходные!E922)+1,255))),Клиенты_исходные!E922,IF(ISNUMBER(FIND("gmail",Клиенты_исходные!E922)),Клиенты_исходные!E922&amp;".com",Клиенты_исходные!E922&amp;".ru")))</f>
        <v>shirokova@gmail.com</v>
      </c>
      <c r="F922" t="str">
        <f>IFERROR(VLOOKUP(Клиенты_исходные!F922,Справочники!$J$2:$K$50,2,FALSE),Клиенты_исходные!F922)</f>
        <v>Севастополь</v>
      </c>
      <c r="G922" s="8">
        <f>IFERROR(IF(ISNUMBER(FIND(".",Клиенты_исходные!G922)),DATE(RIGHT(Клиенты_исходные!G922,4),MID(Клиенты_исходные!G922,4,2),LEFT(Клиенты_исходные!G922,2)),DATE(LEFT(Клиенты_исходные!G922,4),MID(Клиенты_исходные!G922,6,2),RIGHT(Клиенты_исходные!G922,2))),Клиенты_исходные!G922)</f>
        <v>53888</v>
      </c>
      <c r="H922">
        <f t="shared" ca="1" si="88"/>
        <v>34</v>
      </c>
      <c r="I922" t="str">
        <f t="shared" si="89"/>
        <v>OK</v>
      </c>
      <c r="J922" t="str">
        <f t="shared" si="90"/>
        <v>OK</v>
      </c>
    </row>
    <row r="923">
      <c r="A923" t="str">
        <f>Клиенты_исходные!A923</f>
        <v>C0922</v>
      </c>
      <c r="B923" t="str">
        <f>PROPER(TRIM(Клиенты_исходные!B923))</f>
        <v xml:space="preserve">Рубцов Андрей Олегович</v>
      </c>
      <c r="C923" s="8">
        <f>IFERROR(IF(ISNUMBER(FIND(".",Клиенты_исходные!C923)),DATE(RIGHT(Клиенты_исходные!C923,4),MID(Клиенты_исходные!C923,4,2),LEFT(Клиенты_исходные!C923,2)),DATE(LEFT(Клиенты_исходные!C923,4),MID(Клиенты_исходные!C923,6,2),RIGHT(Клиенты_исходные!C923,2))),Клиенты_исходные!C923)</f>
        <v>27983</v>
      </c>
      <c r="D923" t="str">
        <f>IF(ISBLANK(Клиенты_исходные!D923),"",IF(LEN(SUBSTITUTE(SUBSTITUTE(SUBSTITUTE(SUBSTITUTE(SUBSTITUTE(Клиенты_исходные!D923," ",""),"-",""),"+",""),"(",""),")",""))=11,"+7 ("&amp;MID(IF(LEFT(SUBSTITUTE(SUBSTITUTE(SUBSTITUTE(SUBSTITUTE(SUBSTITUTE(Клиенты_исходные!D923," ",""),"-",""),"+",""),"(",""),")",""))="8","7"&amp;MID(SUBSTITUTE(SUBSTITUTE(SUBSTITUTE(SUBSTITUTE(SUBSTITUTE(Клиенты_исходные!D923," ",""),"-",""),"+",""),"(",""),")",""),2,10),SUBSTITUTE(SUBSTITUTE(SUBSTITUTE(SUBSTITUTE(SUBSTITUTE(Клиенты_исходные!D923," ",""),"-",""),"+",""),"(",""),")","")),2,3)&amp;") "&amp;MID(IF(LEFT(SUBSTITUTE(SUBSTITUTE(SUBSTITUTE(SUBSTITUTE(SUBSTITUTE(Клиенты_исходные!D923," ",""),"-",""),"+",""),"(",""),")",""))="8","7"&amp;MID(SUBSTITUTE(SUBSTITUTE(SUBSTITUTE(SUBSTITUTE(SUBSTITUTE(Клиенты_исходные!D923," ",""),"-",""),"+",""),"(",""),")",""),2,10),SUBSTITUTE(SUBSTITUTE(SUBSTITUTE(SUBSTITUTE(SUBSTITUTE(Клиенты_исходные!D923," ",""),"-",""),"+",""),"(",""),")","")),5,3)&amp;"-"&amp;MID(IF(LEFT(SUBSTITUTE(SUBSTITUTE(SUBSTITUTE(SUBSTITUTE(SUBSTITUTE(Клиенты_исходные!D923," ",""),"-",""),"+",""),"(",""),")",""))="8","7"&amp;MID(SUBSTITUTE(SUBSTITUTE(SUBSTITUTE(SUBSTITUTE(SUBSTITUTE(Клиенты_исходные!D923," ",""),"-",""),"+",""),"(",""),")",""),2,10),SUBSTITUTE(SUBSTITUTE(SUBSTITUTE(SUBSTITUTE(SUBSTITUTE(Клиенты_исходные!D923," ",""),"-",""),"+",""),"(",""),")","")),8,2)&amp;"-"&amp;MID(IF(LEFT(SUBSTITUTE(SUBSTITUTE(SUBSTITUTE(SUBSTITUTE(SUBSTITUTE(Клиенты_исходные!D923," ",""),"-",""),"+",""),"(",""),")",""))="8","7"&amp;MID(SUBSTITUTE(SUBSTITUTE(SUBSTITUTE(SUBSTITUTE(SUBSTITUTE(Клиенты_исходные!D923," ",""),"-",""),"+",""),"(",""),")",""),2,10),SUBSTITUTE(SUBSTITUTE(SUBSTITUTE(SUBSTITUTE(SUBSTITUTE(Клиенты_исходные!D923," ",""),"-",""),"+",""),"(",""),")","")),10,2),IF(LEN(SUBSTITUTE(SUBSTITUTE(SUBSTITUTE(SUBSTITUTE(SUBSTITUTE(Клиенты_исходные!D923," ",""),"-",""),"+",""),"(",""),")",""))=10,"+7 ("&amp;MID(SUBSTITUTE(SUBSTITUTE(SUBSTITUTE(SUBSTITUTE(SUBSTITUTE(Клиенты_исходные!D923," ",""),"-",""),"+",""),"(",""),")",""),1,3)&amp;") "&amp;MID(SUBSTITUTE(SUBSTITUTE(SUBSTITUTE(SUBSTITUTE(SUBSTITUTE(Клиенты_исходные!D923," ",""),"-",""),"+",""),"(",""),")",""),4,3)&amp;"-"&amp;MID(SUBSTITUTE(SUBSTITUTE(SUBSTITUTE(SUBSTITUTE(SUBSTITUTE(Клиенты_исходные!D923," ",""),"-",""),"+",""),"(",""),")",""),6,2)&amp;"-"&amp;MID(SUBSTITUTE(SUBSTITUTE(SUBSTITUTE(SUBSTITUTE(SUBSTITUTE(Клиенты_исходные!D923," ",""),"-",""),"+",""),"(",""),")",""),8,2),Клиенты_исходные!D923)))</f>
        <v xml:space="preserve">+7 (903) 345-67-89</v>
      </c>
      <c r="E923" t="str">
        <f>IF(ISBLANK(Клиенты_исходные!E923),"",IF(ISNUMBER(FIND(".",MID(Клиенты_исходные!E923,FIND("@",Клиенты_исходные!E923)+1,255))),Клиенты_исходные!E923,IF(ISNUMBER(FIND("gmail",Клиенты_исходные!E923)),Клиенты_исходные!E923&amp;".com",Клиенты_исходные!E923&amp;".ru")))</f>
        <v>rubtsov@mail.ru</v>
      </c>
      <c r="F923" t="str">
        <f>IFERROR(VLOOKUP(Клиенты_исходные!F923,Справочники!$J$2:$K$50,2,FALSE),Клиенты_исходные!F923)</f>
        <v>Сочи</v>
      </c>
      <c r="G923" s="8">
        <f>IFERROR(IF(ISNUMBER(FIND(".",Клиенты_исходные!G923)),DATE(RIGHT(Клиенты_исходные!G923,4),MID(Клиенты_исходные!G923,4,2),LEFT(Клиенты_исходные!G923,2)),DATE(LEFT(Клиенты_исходные!G923,4),MID(Клиенты_исходные!G923,6,2),RIGHT(Клиенты_исходные!G923,2))),Клиенты_исходные!G923)</f>
        <v>53905</v>
      </c>
      <c r="H923">
        <f t="shared" ca="1" si="88"/>
        <v>50</v>
      </c>
      <c r="I923" t="str">
        <f t="shared" si="89"/>
        <v>OK</v>
      </c>
      <c r="J923" t="str">
        <f t="shared" si="90"/>
        <v>OK</v>
      </c>
    </row>
    <row r="924">
      <c r="A924" t="str">
        <f>Клиенты_исходные!A924</f>
        <v>C0923</v>
      </c>
      <c r="B924" t="str">
        <f>PROPER(TRIM(Клиенты_исходные!B924))</f>
        <v xml:space="preserve">Ковалева Екатерина Владимировна</v>
      </c>
      <c r="C924" s="8">
        <f>IFERROR(IF(ISNUMBER(FIND(".",Клиенты_исходные!C924)),DATE(RIGHT(Клиенты_исходные!C924,4),MID(Клиенты_исходные!C924,4,2),LEFT(Клиенты_исходные!C924,2)),DATE(LEFT(Клиенты_исходные!C924,4),MID(Клиенты_исходные!C924,6,2),RIGHT(Клиенты_исходные!C924,2))),Клиенты_исходные!C924)</f>
        <v>30835</v>
      </c>
      <c r="D924" t="str">
        <f>IF(ISBLANK(Клиенты_исходные!D924),"",IF(LEN(SUBSTITUTE(SUBSTITUTE(SUBSTITUTE(SUBSTITUTE(SUBSTITUTE(Клиенты_исходные!D924," ",""),"-",""),"+",""),"(",""),")",""))=11,"+7 ("&amp;MID(IF(LEFT(SUBSTITUTE(SUBSTITUTE(SUBSTITUTE(SUBSTITUTE(SUBSTITUTE(Клиенты_исходные!D924," ",""),"-",""),"+",""),"(",""),")",""))="8","7"&amp;MID(SUBSTITUTE(SUBSTITUTE(SUBSTITUTE(SUBSTITUTE(SUBSTITUTE(Клиенты_исходные!D924," ",""),"-",""),"+",""),"(",""),")",""),2,10),SUBSTITUTE(SUBSTITUTE(SUBSTITUTE(SUBSTITUTE(SUBSTITUTE(Клиенты_исходные!D924," ",""),"-",""),"+",""),"(",""),")","")),2,3)&amp;") "&amp;MID(IF(LEFT(SUBSTITUTE(SUBSTITUTE(SUBSTITUTE(SUBSTITUTE(SUBSTITUTE(Клиенты_исходные!D924," ",""),"-",""),"+",""),"(",""),")",""))="8","7"&amp;MID(SUBSTITUTE(SUBSTITUTE(SUBSTITUTE(SUBSTITUTE(SUBSTITUTE(Клиенты_исходные!D924," ",""),"-",""),"+",""),"(",""),")",""),2,10),SUBSTITUTE(SUBSTITUTE(SUBSTITUTE(SUBSTITUTE(SUBSTITUTE(Клиенты_исходные!D924," ",""),"-",""),"+",""),"(",""),")","")),5,3)&amp;"-"&amp;MID(IF(LEFT(SUBSTITUTE(SUBSTITUTE(SUBSTITUTE(SUBSTITUTE(SUBSTITUTE(Клиенты_исходные!D924," ",""),"-",""),"+",""),"(",""),")",""))="8","7"&amp;MID(SUBSTITUTE(SUBSTITUTE(SUBSTITUTE(SUBSTITUTE(SUBSTITUTE(Клиенты_исходные!D924," ",""),"-",""),"+",""),"(",""),")",""),2,10),SUBSTITUTE(SUBSTITUTE(SUBSTITUTE(SUBSTITUTE(SUBSTITUTE(Клиенты_исходные!D924," ",""),"-",""),"+",""),"(",""),")","")),8,2)&amp;"-"&amp;MID(IF(LEFT(SUBSTITUTE(SUBSTITUTE(SUBSTITUTE(SUBSTITUTE(SUBSTITUTE(Клиенты_исходные!D924," ",""),"-",""),"+",""),"(",""),")",""))="8","7"&amp;MID(SUBSTITUTE(SUBSTITUTE(SUBSTITUTE(SUBSTITUTE(SUBSTITUTE(Клиенты_исходные!D924," ",""),"-",""),"+",""),"(",""),")",""),2,10),SUBSTITUTE(SUBSTITUTE(SUBSTITUTE(SUBSTITUTE(SUBSTITUTE(Клиенты_исходные!D924," ",""),"-",""),"+",""),"(",""),")","")),10,2),IF(LEN(SUBSTITUTE(SUBSTITUTE(SUBSTITUTE(SUBSTITUTE(SUBSTITUTE(Клиенты_исходные!D924," ",""),"-",""),"+",""),"(",""),")",""))=10,"+7 ("&amp;MID(SUBSTITUTE(SUBSTITUTE(SUBSTITUTE(SUBSTITUTE(SUBSTITUTE(Клиенты_исходные!D924," ",""),"-",""),"+",""),"(",""),")",""),1,3)&amp;") "&amp;MID(SUBSTITUTE(SUBSTITUTE(SUBSTITUTE(SUBSTITUTE(SUBSTITUTE(Клиенты_исходные!D924," ",""),"-",""),"+",""),"(",""),")",""),4,3)&amp;"-"&amp;MID(SUBSTITUTE(SUBSTITUTE(SUBSTITUTE(SUBSTITUTE(SUBSTITUTE(Клиенты_исходные!D924," ",""),"-",""),"+",""),"(",""),")",""),6,2)&amp;"-"&amp;MID(SUBSTITUTE(SUBSTITUTE(SUBSTITUTE(SUBSTITUTE(SUBSTITUTE(Клиенты_исходные!D924," ",""),"-",""),"+",""),"(",""),")",""),8,2),Клиенты_исходные!D924)))</f>
        <v xml:space="preserve">+7 (903) 345-67-89</v>
      </c>
      <c r="E924" t="str">
        <f>IF(ISBLANK(Клиенты_исходные!E924),"",IF(ISNUMBER(FIND(".",MID(Клиенты_исходные!E924,FIND("@",Клиенты_исходные!E924)+1,255))),Клиенты_исходные!E924,IF(ISNUMBER(FIND("gmail",Клиенты_исходные!E924)),Клиенты_исходные!E924&amp;".com",Клиенты_исходные!E924&amp;".ru")))</f>
        <v>kovaleva@yandex.ru</v>
      </c>
      <c r="F924" t="str">
        <f>IFERROR(VLOOKUP(Клиенты_исходные!F924,Справочники!$J$2:$K$50,2,FALSE),Клиенты_исходные!F924)</f>
        <v>Симферополь</v>
      </c>
      <c r="G924" s="8">
        <f>IFERROR(IF(ISNUMBER(FIND(".",Клиенты_исходные!G924)),DATE(RIGHT(Клиенты_исходные!G924,4),MID(Клиенты_исходные!G924,4,2),LEFT(Клиенты_исходные!G924,2)),DATE(LEFT(Клиенты_исходные!G924,4),MID(Клиенты_исходные!G924,6,2),RIGHT(Клиенты_исходные!G924,2))),Клиенты_исходные!G924)</f>
        <v>53914</v>
      </c>
      <c r="H924">
        <f t="shared" ca="1" si="88"/>
        <v>42</v>
      </c>
      <c r="I924" t="str">
        <f t="shared" si="89"/>
        <v>OK</v>
      </c>
      <c r="J924" t="str">
        <f t="shared" si="90"/>
        <v>OK</v>
      </c>
    </row>
    <row r="925">
      <c r="A925" t="str">
        <f>Клиенты_исходные!A925</f>
        <v>C0924</v>
      </c>
      <c r="B925" t="str">
        <f>PROPER(TRIM(Клиенты_исходные!B925))</f>
        <v xml:space="preserve">Чижиков Илья Александрович</v>
      </c>
      <c r="C925" s="8">
        <f>IFERROR(IF(ISNUMBER(FIND(".",Клиенты_исходные!C925)),DATE(RIGHT(Клиенты_исходные!C925,4),MID(Клиенты_исходные!C925,4,2),LEFT(Клиенты_исходные!C925,2)),DATE(LEFT(Клиенты_исходные!C925,4),MID(Клиенты_исходные!C925,6,2),RIGHT(Клиенты_исходные!C925,2))),Клиенты_исходные!C925)</f>
        <v>32466</v>
      </c>
      <c r="D925" t="str">
        <f>IF(ISBLANK(Клиенты_исходные!D925),"",IF(LEN(SUBSTITUTE(SUBSTITUTE(SUBSTITUTE(SUBSTITUTE(SUBSTITUTE(Клиенты_исходные!D925," ",""),"-",""),"+",""),"(",""),")",""))=11,"+7 ("&amp;MID(IF(LEFT(SUBSTITUTE(SUBSTITUTE(SUBSTITUTE(SUBSTITUTE(SUBSTITUTE(Клиенты_исходные!D925," ",""),"-",""),"+",""),"(",""),")",""))="8","7"&amp;MID(SUBSTITUTE(SUBSTITUTE(SUBSTITUTE(SUBSTITUTE(SUBSTITUTE(Клиенты_исходные!D925," ",""),"-",""),"+",""),"(",""),")",""),2,10),SUBSTITUTE(SUBSTITUTE(SUBSTITUTE(SUBSTITUTE(SUBSTITUTE(Клиенты_исходные!D925," ",""),"-",""),"+",""),"(",""),")","")),2,3)&amp;") "&amp;MID(IF(LEFT(SUBSTITUTE(SUBSTITUTE(SUBSTITUTE(SUBSTITUTE(SUBSTITUTE(Клиенты_исходные!D925," ",""),"-",""),"+",""),"(",""),")",""))="8","7"&amp;MID(SUBSTITUTE(SUBSTITUTE(SUBSTITUTE(SUBSTITUTE(SUBSTITUTE(Клиенты_исходные!D925," ",""),"-",""),"+",""),"(",""),")",""),2,10),SUBSTITUTE(SUBSTITUTE(SUBSTITUTE(SUBSTITUTE(SUBSTITUTE(Клиенты_исходные!D925," ",""),"-",""),"+",""),"(",""),")","")),5,3)&amp;"-"&amp;MID(IF(LEFT(SUBSTITUTE(SUBSTITUTE(SUBSTITUTE(SUBSTITUTE(SUBSTITUTE(Клиенты_исходные!D925," ",""),"-",""),"+",""),"(",""),")",""))="8","7"&amp;MID(SUBSTITUTE(SUBSTITUTE(SUBSTITUTE(SUBSTITUTE(SUBSTITUTE(Клиенты_исходные!D925," ",""),"-",""),"+",""),"(",""),")",""),2,10),SUBSTITUTE(SUBSTITUTE(SUBSTITUTE(SUBSTITUTE(SUBSTITUTE(Клиенты_исходные!D925," ",""),"-",""),"+",""),"(",""),")","")),8,2)&amp;"-"&amp;MID(IF(LEFT(SUBSTITUTE(SUBSTITUTE(SUBSTITUTE(SUBSTITUTE(SUBSTITUTE(Клиенты_исходные!D925," ",""),"-",""),"+",""),"(",""),")",""))="8","7"&amp;MID(SUBSTITUTE(SUBSTITUTE(SUBSTITUTE(SUBSTITUTE(SUBSTITUTE(Клиенты_исходные!D925," ",""),"-",""),"+",""),"(",""),")",""),2,10),SUBSTITUTE(SUBSTITUTE(SUBSTITUTE(SUBSTITUTE(SUBSTITUTE(Клиенты_исходные!D925," ",""),"-",""),"+",""),"(",""),")","")),10,2),IF(LEN(SUBSTITUTE(SUBSTITUTE(SUBSTITUTE(SUBSTITUTE(SUBSTITUTE(Клиенты_исходные!D925," ",""),"-",""),"+",""),"(",""),")",""))=10,"+7 ("&amp;MID(SUBSTITUTE(SUBSTITUTE(SUBSTITUTE(SUBSTITUTE(SUBSTITUTE(Клиенты_исходные!D925," ",""),"-",""),"+",""),"(",""),")",""),1,3)&amp;") "&amp;MID(SUBSTITUTE(SUBSTITUTE(SUBSTITUTE(SUBSTITUTE(SUBSTITUTE(Клиенты_исходные!D925," ",""),"-",""),"+",""),"(",""),")",""),4,3)&amp;"-"&amp;MID(SUBSTITUTE(SUBSTITUTE(SUBSTITUTE(SUBSTITUTE(SUBSTITUTE(Клиенты_исходные!D925," ",""),"-",""),"+",""),"(",""),")",""),6,2)&amp;"-"&amp;MID(SUBSTITUTE(SUBSTITUTE(SUBSTITUTE(SUBSTITUTE(SUBSTITUTE(Клиенты_исходные!D925," ",""),"-",""),"+",""),"(",""),")",""),8,2),Клиенты_исходные!D925)))</f>
        <v xml:space="preserve">+7 (903) 456-78-90</v>
      </c>
      <c r="E925" t="str">
        <f>IF(ISBLANK(Клиенты_исходные!E925),"",IF(ISNUMBER(FIND(".",MID(Клиенты_исходные!E925,FIND("@",Клиенты_исходные!E925)+1,255))),Клиенты_исходные!E925,IF(ISNUMBER(FIND("gmail",Клиенты_исходные!E925)),Клиенты_исходные!E925&amp;".com",Клиенты_исходные!E925&amp;".ru")))</f>
        <v>chizhikov@gmail.com</v>
      </c>
      <c r="F925" t="str">
        <f>IFERROR(VLOOKUP(Клиенты_исходные!F925,Справочники!$J$2:$K$50,2,FALSE),Клиенты_исходные!F925)</f>
        <v>Брянск</v>
      </c>
      <c r="G925" s="8">
        <f>IFERROR(IF(ISNUMBER(FIND(".",Клиенты_исходные!G925)),DATE(RIGHT(Клиенты_исходные!G925,4),MID(Клиенты_исходные!G925,4,2),LEFT(Клиенты_исходные!G925,2)),DATE(LEFT(Клиенты_исходные!G925,4),MID(Клиенты_исходные!G925,6,2),RIGHT(Клиенты_исходные!G925,2))),Клиенты_исходные!G925)</f>
        <v>53914</v>
      </c>
      <c r="H925">
        <f t="shared" ca="1" si="88"/>
        <v>37</v>
      </c>
      <c r="I925" t="str">
        <f t="shared" si="89"/>
        <v>OK</v>
      </c>
      <c r="J925" t="str">
        <f t="shared" si="90"/>
        <v>OK</v>
      </c>
    </row>
    <row r="926">
      <c r="A926" t="str">
        <f>Клиенты_исходные!A926</f>
        <v>C0925</v>
      </c>
      <c r="B926" t="str">
        <f>PROPER(TRIM(Клиенты_исходные!B926))</f>
        <v xml:space="preserve">Борзова Мария Павловна</v>
      </c>
      <c r="C926" s="8">
        <f>IFERROR(IF(ISNUMBER(FIND(".",Клиенты_исходные!C926)),DATE(RIGHT(Клиенты_исходные!C926,4),MID(Клиенты_исходные!C926,4,2),LEFT(Клиенты_исходные!C926,2)),DATE(LEFT(Клиенты_исходные!C926,4),MID(Клиенты_исходные!C926,6,2),RIGHT(Клиенты_исходные!C926,2))),Клиенты_исходные!C926)</f>
        <v>27315</v>
      </c>
      <c r="D926" t="str">
        <f>IF(ISBLANK(Клиенты_исходные!D926),"",IF(LEN(SUBSTITUTE(SUBSTITUTE(SUBSTITUTE(SUBSTITUTE(SUBSTITUTE(Клиенты_исходные!D926," ",""),"-",""),"+",""),"(",""),")",""))=11,"+7 ("&amp;MID(IF(LEFT(SUBSTITUTE(SUBSTITUTE(SUBSTITUTE(SUBSTITUTE(SUBSTITUTE(Клиенты_исходные!D926," ",""),"-",""),"+",""),"(",""),")",""))="8","7"&amp;MID(SUBSTITUTE(SUBSTITUTE(SUBSTITUTE(SUBSTITUTE(SUBSTITUTE(Клиенты_исходные!D926," ",""),"-",""),"+",""),"(",""),")",""),2,10),SUBSTITUTE(SUBSTITUTE(SUBSTITUTE(SUBSTITUTE(SUBSTITUTE(Клиенты_исходные!D926," ",""),"-",""),"+",""),"(",""),")","")),2,3)&amp;") "&amp;MID(IF(LEFT(SUBSTITUTE(SUBSTITUTE(SUBSTITUTE(SUBSTITUTE(SUBSTITUTE(Клиенты_исходные!D926," ",""),"-",""),"+",""),"(",""),")",""))="8","7"&amp;MID(SUBSTITUTE(SUBSTITUTE(SUBSTITUTE(SUBSTITUTE(SUBSTITUTE(Клиенты_исходные!D926," ",""),"-",""),"+",""),"(",""),")",""),2,10),SUBSTITUTE(SUBSTITUTE(SUBSTITUTE(SUBSTITUTE(SUBSTITUTE(Клиенты_исходные!D926," ",""),"-",""),"+",""),"(",""),")","")),5,3)&amp;"-"&amp;MID(IF(LEFT(SUBSTITUTE(SUBSTITUTE(SUBSTITUTE(SUBSTITUTE(SUBSTITUTE(Клиенты_исходные!D926," ",""),"-",""),"+",""),"(",""),")",""))="8","7"&amp;MID(SUBSTITUTE(SUBSTITUTE(SUBSTITUTE(SUBSTITUTE(SUBSTITUTE(Клиенты_исходные!D926," ",""),"-",""),"+",""),"(",""),")",""),2,10),SUBSTITUTE(SUBSTITUTE(SUBSTITUTE(SUBSTITUTE(SUBSTITUTE(Клиенты_исходные!D926," ",""),"-",""),"+",""),"(",""),")","")),8,2)&amp;"-"&amp;MID(IF(LEFT(SUBSTITUTE(SUBSTITUTE(SUBSTITUTE(SUBSTITUTE(SUBSTITUTE(Клиенты_исходные!D926," ",""),"-",""),"+",""),"(",""),")",""))="8","7"&amp;MID(SUBSTITUTE(SUBSTITUTE(SUBSTITUTE(SUBSTITUTE(SUBSTITUTE(Клиенты_исходные!D926," ",""),"-",""),"+",""),"(",""),")",""),2,10),SUBSTITUTE(SUBSTITUTE(SUBSTITUTE(SUBSTITUTE(SUBSTITUTE(Клиенты_исходные!D926," ",""),"-",""),"+",""),"(",""),")","")),10,2),IF(LEN(SUBSTITUTE(SUBSTITUTE(SUBSTITUTE(SUBSTITUTE(SUBSTITUTE(Клиенты_исходные!D926," ",""),"-",""),"+",""),"(",""),")",""))=10,"+7 ("&amp;MID(SUBSTITUTE(SUBSTITUTE(SUBSTITUTE(SUBSTITUTE(SUBSTITUTE(Клиенты_исходные!D926," ",""),"-",""),"+",""),"(",""),")",""),1,3)&amp;") "&amp;MID(SUBSTITUTE(SUBSTITUTE(SUBSTITUTE(SUBSTITUTE(SUBSTITUTE(Клиенты_исходные!D926," ",""),"-",""),"+",""),"(",""),")",""),4,3)&amp;"-"&amp;MID(SUBSTITUTE(SUBSTITUTE(SUBSTITUTE(SUBSTITUTE(SUBSTITUTE(Клиенты_исходные!D926," ",""),"-",""),"+",""),"(",""),")",""),6,2)&amp;"-"&amp;MID(SUBSTITUTE(SUBSTITUTE(SUBSTITUTE(SUBSTITUTE(SUBSTITUTE(Клиенты_исходные!D926," ",""),"-",""),"+",""),"(",""),")",""),8,2),Клиенты_исходные!D926)))</f>
        <v xml:space="preserve">+7 (903) 456-78-90</v>
      </c>
      <c r="E926" t="str">
        <f>IF(ISBLANK(Клиенты_исходные!E926),"",IF(ISNUMBER(FIND(".",MID(Клиенты_исходные!E926,FIND("@",Клиенты_исходные!E926)+1,255))),Клиенты_исходные!E926,IF(ISNUMBER(FIND("gmail",Клиенты_исходные!E926)),Клиенты_исходные!E926&amp;".com",Клиенты_исходные!E926&amp;".ru")))</f>
        <v>borzova@mail.ru</v>
      </c>
      <c r="F926" t="str">
        <f>IFERROR(VLOOKUP(Клиенты_исходные!F926,Справочники!$J$2:$K$50,2,FALSE),Клиенты_исходные!F926)</f>
        <v>Абакан</v>
      </c>
      <c r="G926" s="8">
        <f>IFERROR(IF(ISNUMBER(FIND(".",Клиенты_исходные!G926)),DATE(RIGHT(Клиенты_исходные!G926,4),MID(Клиенты_исходные!G926,4,2),LEFT(Клиенты_исходные!G926,2)),DATE(LEFT(Клиенты_исходные!G926,4),MID(Клиенты_исходные!G926,6,2),RIGHT(Клиенты_исходные!G926,2))),Клиенты_исходные!G926)</f>
        <v>53936</v>
      </c>
      <c r="H926">
        <f t="shared" ca="1" si="88"/>
        <v>51</v>
      </c>
      <c r="I926" t="str">
        <f t="shared" si="89"/>
        <v>OK</v>
      </c>
      <c r="J926" t="str">
        <f t="shared" si="90"/>
        <v>OK</v>
      </c>
    </row>
    <row r="927">
      <c r="A927" t="str">
        <f>Клиенты_исходные!A927</f>
        <v>C0926</v>
      </c>
      <c r="B927" t="str">
        <f>PROPER(TRIM(Клиенты_исходные!B927))</f>
        <v xml:space="preserve">Трофимов Денис Викторович</v>
      </c>
      <c r="C927" s="8">
        <f>IFERROR(IF(ISNUMBER(FIND(".",Клиенты_исходные!C927)),DATE(RIGHT(Клиенты_исходные!C927,4),MID(Клиенты_исходные!C927,4,2),LEFT(Клиенты_исходные!C927,2)),DATE(LEFT(Клиенты_исходные!C927,4),MID(Клиенты_исходные!C927,6,2),RIGHT(Клиенты_исходные!C927,2))),Клиенты_исходные!C927)</f>
        <v>31133</v>
      </c>
      <c r="D927" t="str">
        <f>IF(ISBLANK(Клиенты_исходные!D927),"",IF(LEN(SUBSTITUTE(SUBSTITUTE(SUBSTITUTE(SUBSTITUTE(SUBSTITUTE(Клиенты_исходные!D927," ",""),"-",""),"+",""),"(",""),")",""))=11,"+7 ("&amp;MID(IF(LEFT(SUBSTITUTE(SUBSTITUTE(SUBSTITUTE(SUBSTITUTE(SUBSTITUTE(Клиенты_исходные!D927," ",""),"-",""),"+",""),"(",""),")",""))="8","7"&amp;MID(SUBSTITUTE(SUBSTITUTE(SUBSTITUTE(SUBSTITUTE(SUBSTITUTE(Клиенты_исходные!D927," ",""),"-",""),"+",""),"(",""),")",""),2,10),SUBSTITUTE(SUBSTITUTE(SUBSTITUTE(SUBSTITUTE(SUBSTITUTE(Клиенты_исходные!D927," ",""),"-",""),"+",""),"(",""),")","")),2,3)&amp;") "&amp;MID(IF(LEFT(SUBSTITUTE(SUBSTITUTE(SUBSTITUTE(SUBSTITUTE(SUBSTITUTE(Клиенты_исходные!D927," ",""),"-",""),"+",""),"(",""),")",""))="8","7"&amp;MID(SUBSTITUTE(SUBSTITUTE(SUBSTITUTE(SUBSTITUTE(SUBSTITUTE(Клиенты_исходные!D927," ",""),"-",""),"+",""),"(",""),")",""),2,10),SUBSTITUTE(SUBSTITUTE(SUBSTITUTE(SUBSTITUTE(SUBSTITUTE(Клиенты_исходные!D927," ",""),"-",""),"+",""),"(",""),")","")),5,3)&amp;"-"&amp;MID(IF(LEFT(SUBSTITUTE(SUBSTITUTE(SUBSTITUTE(SUBSTITUTE(SUBSTITUTE(Клиенты_исходные!D927," ",""),"-",""),"+",""),"(",""),")",""))="8","7"&amp;MID(SUBSTITUTE(SUBSTITUTE(SUBSTITUTE(SUBSTITUTE(SUBSTITUTE(Клиенты_исходные!D927," ",""),"-",""),"+",""),"(",""),")",""),2,10),SUBSTITUTE(SUBSTITUTE(SUBSTITUTE(SUBSTITUTE(SUBSTITUTE(Клиенты_исходные!D927," ",""),"-",""),"+",""),"(",""),")","")),8,2)&amp;"-"&amp;MID(IF(LEFT(SUBSTITUTE(SUBSTITUTE(SUBSTITUTE(SUBSTITUTE(SUBSTITUTE(Клиенты_исходные!D927," ",""),"-",""),"+",""),"(",""),")",""))="8","7"&amp;MID(SUBSTITUTE(SUBSTITUTE(SUBSTITUTE(SUBSTITUTE(SUBSTITUTE(Клиенты_исходные!D927," ",""),"-",""),"+",""),"(",""),")",""),2,10),SUBSTITUTE(SUBSTITUTE(SUBSTITUTE(SUBSTITUTE(SUBSTITUTE(Клиенты_исходные!D927," ",""),"-",""),"+",""),"(",""),")","")),10,2),IF(LEN(SUBSTITUTE(SUBSTITUTE(SUBSTITUTE(SUBSTITUTE(SUBSTITUTE(Клиенты_исходные!D927," ",""),"-",""),"+",""),"(",""),")",""))=10,"+7 ("&amp;MID(SUBSTITUTE(SUBSTITUTE(SUBSTITUTE(SUBSTITUTE(SUBSTITUTE(Клиенты_исходные!D927," ",""),"-",""),"+",""),"(",""),")",""),1,3)&amp;") "&amp;MID(SUBSTITUTE(SUBSTITUTE(SUBSTITUTE(SUBSTITUTE(SUBSTITUTE(Клиенты_исходные!D927," ",""),"-",""),"+",""),"(",""),")",""),4,3)&amp;"-"&amp;MID(SUBSTITUTE(SUBSTITUTE(SUBSTITUTE(SUBSTITUTE(SUBSTITUTE(Клиенты_исходные!D927," ",""),"-",""),"+",""),"(",""),")",""),6,2)&amp;"-"&amp;MID(SUBSTITUTE(SUBSTITUTE(SUBSTITUTE(SUBSTITUTE(SUBSTITUTE(Клиенты_исходные!D927," ",""),"-",""),"+",""),"(",""),")",""),8,2),Клиенты_исходные!D927)))</f>
        <v xml:space="preserve">+7 (903) 456-78-90</v>
      </c>
      <c r="E927" t="str">
        <f>IF(ISBLANK(Клиенты_исходные!E927),"",IF(ISNUMBER(FIND(".",MID(Клиенты_исходные!E927,FIND("@",Клиенты_исходные!E927)+1,255))),Клиенты_исходные!E927,IF(ISNUMBER(FIND("gmail",Клиенты_исходные!E927)),Клиенты_исходные!E927&amp;".com",Клиенты_исходные!E927&amp;".ru")))</f>
        <v>trofimov@yandex.ru</v>
      </c>
      <c r="F927" t="str">
        <f>IFERROR(VLOOKUP(Клиенты_исходные!F927,Справочники!$J$2:$K$50,2,FALSE),Клиенты_исходные!F927)</f>
        <v>Грозный</v>
      </c>
      <c r="G927" s="8">
        <f>IFERROR(IF(ISNUMBER(FIND(".",Клиенты_исходные!G927)),DATE(RIGHT(Клиенты_исходные!G927,4),MID(Клиенты_исходные!G927,4,2),LEFT(Клиенты_исходные!G927,2)),DATE(LEFT(Клиенты_исходные!G927,4),MID(Клиенты_исходные!G927,6,2),RIGHT(Клиенты_исходные!G927,2))),Клиенты_исходные!G927)</f>
        <v>53950</v>
      </c>
      <c r="H927">
        <f t="shared" ca="1" si="88"/>
        <v>41</v>
      </c>
      <c r="I927" t="str">
        <f t="shared" si="89"/>
        <v>OK</v>
      </c>
      <c r="J927" t="str">
        <f t="shared" si="90"/>
        <v>OK</v>
      </c>
    </row>
    <row r="928">
      <c r="A928" t="str">
        <f>Клиенты_исходные!A928</f>
        <v>C0927</v>
      </c>
      <c r="B928" t="str">
        <f>PROPER(TRIM(Клиенты_исходные!B928))</f>
        <v xml:space="preserve">Кузьмичева Ольга Сергеевна</v>
      </c>
      <c r="C928" s="8">
        <f>IFERROR(IF(ISNUMBER(FIND(".",Клиенты_исходные!C928)),DATE(RIGHT(Клиенты_исходные!C928,4),MID(Клиенты_исходные!C928,4,2),LEFT(Клиенты_исходные!C928,2)),DATE(LEFT(Клиенты_исходные!C928,4),MID(Клиенты_исходные!C928,6,2),RIGHT(Клиенты_исходные!C928,2))),Клиенты_исходные!C928)</f>
        <v>33790</v>
      </c>
      <c r="D928" t="str">
        <f>IF(ISBLANK(Клиенты_исходные!D928),"",IF(LEN(SUBSTITUTE(SUBSTITUTE(SUBSTITUTE(SUBSTITUTE(SUBSTITUTE(Клиенты_исходные!D928," ",""),"-",""),"+",""),"(",""),")",""))=11,"+7 ("&amp;MID(IF(LEFT(SUBSTITUTE(SUBSTITUTE(SUBSTITUTE(SUBSTITUTE(SUBSTITUTE(Клиенты_исходные!D928," ",""),"-",""),"+",""),"(",""),")",""))="8","7"&amp;MID(SUBSTITUTE(SUBSTITUTE(SUBSTITUTE(SUBSTITUTE(SUBSTITUTE(Клиенты_исходные!D928," ",""),"-",""),"+",""),"(",""),")",""),2,10),SUBSTITUTE(SUBSTITUTE(SUBSTITUTE(SUBSTITUTE(SUBSTITUTE(Клиенты_исходные!D928," ",""),"-",""),"+",""),"(",""),")","")),2,3)&amp;") "&amp;MID(IF(LEFT(SUBSTITUTE(SUBSTITUTE(SUBSTITUTE(SUBSTITUTE(SUBSTITUTE(Клиенты_исходные!D928," ",""),"-",""),"+",""),"(",""),")",""))="8","7"&amp;MID(SUBSTITUTE(SUBSTITUTE(SUBSTITUTE(SUBSTITUTE(SUBSTITUTE(Клиенты_исходные!D928," ",""),"-",""),"+",""),"(",""),")",""),2,10),SUBSTITUTE(SUBSTITUTE(SUBSTITUTE(SUBSTITUTE(SUBSTITUTE(Клиенты_исходные!D928," ",""),"-",""),"+",""),"(",""),")","")),5,3)&amp;"-"&amp;MID(IF(LEFT(SUBSTITUTE(SUBSTITUTE(SUBSTITUTE(SUBSTITUTE(SUBSTITUTE(Клиенты_исходные!D928," ",""),"-",""),"+",""),"(",""),")",""))="8","7"&amp;MID(SUBSTITUTE(SUBSTITUTE(SUBSTITUTE(SUBSTITUTE(SUBSTITUTE(Клиенты_исходные!D928," ",""),"-",""),"+",""),"(",""),")",""),2,10),SUBSTITUTE(SUBSTITUTE(SUBSTITUTE(SUBSTITUTE(SUBSTITUTE(Клиенты_исходные!D928," ",""),"-",""),"+",""),"(",""),")","")),8,2)&amp;"-"&amp;MID(IF(LEFT(SUBSTITUTE(SUBSTITUTE(SUBSTITUTE(SUBSTITUTE(SUBSTITUTE(Клиенты_исходные!D928," ",""),"-",""),"+",""),"(",""),")",""))="8","7"&amp;MID(SUBSTITUTE(SUBSTITUTE(SUBSTITUTE(SUBSTITUTE(SUBSTITUTE(Клиенты_исходные!D928," ",""),"-",""),"+",""),"(",""),")",""),2,10),SUBSTITUTE(SUBSTITUTE(SUBSTITUTE(SUBSTITUTE(SUBSTITUTE(Клиенты_исходные!D928," ",""),"-",""),"+",""),"(",""),")","")),10,2),IF(LEN(SUBSTITUTE(SUBSTITUTE(SUBSTITUTE(SUBSTITUTE(SUBSTITUTE(Клиенты_исходные!D928," ",""),"-",""),"+",""),"(",""),")",""))=10,"+7 ("&amp;MID(SUBSTITUTE(SUBSTITUTE(SUBSTITUTE(SUBSTITUTE(SUBSTITUTE(Клиенты_исходные!D928," ",""),"-",""),"+",""),"(",""),")",""),1,3)&amp;") "&amp;MID(SUBSTITUTE(SUBSTITUTE(SUBSTITUTE(SUBSTITUTE(SUBSTITUTE(Клиенты_исходные!D928," ",""),"-",""),"+",""),"(",""),")",""),4,3)&amp;"-"&amp;MID(SUBSTITUTE(SUBSTITUTE(SUBSTITUTE(SUBSTITUTE(SUBSTITUTE(Клиенты_исходные!D928," ",""),"-",""),"+",""),"(",""),")",""),6,2)&amp;"-"&amp;MID(SUBSTITUTE(SUBSTITUTE(SUBSTITUTE(SUBSTITUTE(SUBSTITUTE(Клиенты_исходные!D928," ",""),"-",""),"+",""),"(",""),")",""),8,2),Клиенты_исходные!D928)))</f>
        <v xml:space="preserve">+7 (903) 567-89-01</v>
      </c>
      <c r="E928" t="str">
        <f>IF(ISBLANK(Клиенты_исходные!E928),"",IF(ISNUMBER(FIND(".",MID(Клиенты_исходные!E928,FIND("@",Клиенты_исходные!E928)+1,255))),Клиенты_исходные!E928,IF(ISNUMBER(FIND("gmail",Клиенты_исходные!E928)),Клиенты_исходные!E928&amp;".com",Клиенты_исходные!E928&amp;".ru")))</f>
        <v>kuzmicheva@gmail.com</v>
      </c>
      <c r="F928" t="str">
        <f>IFERROR(VLOOKUP(Клиенты_исходные!F928,Справочники!$J$2:$K$50,2,FALSE),Клиенты_исходные!F928)</f>
        <v>Бийск</v>
      </c>
      <c r="G928" s="8">
        <f>IFERROR(IF(ISNUMBER(FIND(".",Клиенты_исходные!G928)),DATE(RIGHT(Клиенты_исходные!G928,4),MID(Клиенты_исходные!G928,4,2),LEFT(Клиенты_исходные!G928,2)),DATE(LEFT(Клиенты_исходные!G928,4),MID(Клиенты_исходные!G928,6,2),RIGHT(Клиенты_исходные!G928,2))),Клиенты_исходные!G928)</f>
        <v>53950</v>
      </c>
      <c r="H928">
        <f t="shared" ca="1" si="88"/>
        <v>34</v>
      </c>
      <c r="I928" t="str">
        <f t="shared" si="89"/>
        <v>OK</v>
      </c>
      <c r="J928" t="str">
        <f t="shared" si="90"/>
        <v>OK</v>
      </c>
    </row>
    <row r="929">
      <c r="A929" t="str">
        <f>Клиенты_исходные!A929</f>
        <v>C0928</v>
      </c>
      <c r="B929" t="str">
        <f>PROPER(TRIM(Клиенты_исходные!B929))</f>
        <v xml:space="preserve">Голованов Андрей Олегович</v>
      </c>
      <c r="C929" s="8">
        <f>IFERROR(IF(ISNUMBER(FIND(".",Клиенты_исходные!C929)),DATE(RIGHT(Клиенты_исходные!C929,4),MID(Клиенты_исходные!C929,4,2),LEFT(Клиенты_исходные!C929,2)),DATE(LEFT(Клиенты_исходные!C929,4),MID(Клиенты_исходные!C929,6,2),RIGHT(Клиенты_исходные!C929,2))),Клиенты_исходные!C929)</f>
        <v>26719</v>
      </c>
      <c r="D929" t="str">
        <f>IF(ISBLANK(Клиенты_исходные!D929),"",IF(LEN(SUBSTITUTE(SUBSTITUTE(SUBSTITUTE(SUBSTITUTE(SUBSTITUTE(Клиенты_исходные!D929," ",""),"-",""),"+",""),"(",""),")",""))=11,"+7 ("&amp;MID(IF(LEFT(SUBSTITUTE(SUBSTITUTE(SUBSTITUTE(SUBSTITUTE(SUBSTITUTE(Клиенты_исходные!D929," ",""),"-",""),"+",""),"(",""),")",""))="8","7"&amp;MID(SUBSTITUTE(SUBSTITUTE(SUBSTITUTE(SUBSTITUTE(SUBSTITUTE(Клиенты_исходные!D929," ",""),"-",""),"+",""),"(",""),")",""),2,10),SUBSTITUTE(SUBSTITUTE(SUBSTITUTE(SUBSTITUTE(SUBSTITUTE(Клиенты_исходные!D929," ",""),"-",""),"+",""),"(",""),")","")),2,3)&amp;") "&amp;MID(IF(LEFT(SUBSTITUTE(SUBSTITUTE(SUBSTITUTE(SUBSTITUTE(SUBSTITUTE(Клиенты_исходные!D929," ",""),"-",""),"+",""),"(",""),")",""))="8","7"&amp;MID(SUBSTITUTE(SUBSTITUTE(SUBSTITUTE(SUBSTITUTE(SUBSTITUTE(Клиенты_исходные!D929," ",""),"-",""),"+",""),"(",""),")",""),2,10),SUBSTITUTE(SUBSTITUTE(SUBSTITUTE(SUBSTITUTE(SUBSTITUTE(Клиенты_исходные!D929," ",""),"-",""),"+",""),"(",""),")","")),5,3)&amp;"-"&amp;MID(IF(LEFT(SUBSTITUTE(SUBSTITUTE(SUBSTITUTE(SUBSTITUTE(SUBSTITUTE(Клиенты_исходные!D929," ",""),"-",""),"+",""),"(",""),")",""))="8","7"&amp;MID(SUBSTITUTE(SUBSTITUTE(SUBSTITUTE(SUBSTITUTE(SUBSTITUTE(Клиенты_исходные!D929," ",""),"-",""),"+",""),"(",""),")",""),2,10),SUBSTITUTE(SUBSTITUTE(SUBSTITUTE(SUBSTITUTE(SUBSTITUTE(Клиенты_исходные!D929," ",""),"-",""),"+",""),"(",""),")","")),8,2)&amp;"-"&amp;MID(IF(LEFT(SUBSTITUTE(SUBSTITUTE(SUBSTITUTE(SUBSTITUTE(SUBSTITUTE(Клиенты_исходные!D929," ",""),"-",""),"+",""),"(",""),")",""))="8","7"&amp;MID(SUBSTITUTE(SUBSTITUTE(SUBSTITUTE(SUBSTITUTE(SUBSTITUTE(Клиенты_исходные!D929," ",""),"-",""),"+",""),"(",""),")",""),2,10),SUBSTITUTE(SUBSTITUTE(SUBSTITUTE(SUBSTITUTE(SUBSTITUTE(Клиенты_исходные!D929," ",""),"-",""),"+",""),"(",""),")","")),10,2),IF(LEN(SUBSTITUTE(SUBSTITUTE(SUBSTITUTE(SUBSTITUTE(SUBSTITUTE(Клиенты_исходные!D929," ",""),"-",""),"+",""),"(",""),")",""))=10,"+7 ("&amp;MID(SUBSTITUTE(SUBSTITUTE(SUBSTITUTE(SUBSTITUTE(SUBSTITUTE(Клиенты_исходные!D929," ",""),"-",""),"+",""),"(",""),")",""),1,3)&amp;") "&amp;MID(SUBSTITUTE(SUBSTITUTE(SUBSTITUTE(SUBSTITUTE(SUBSTITUTE(Клиенты_исходные!D929," ",""),"-",""),"+",""),"(",""),")",""),4,3)&amp;"-"&amp;MID(SUBSTITUTE(SUBSTITUTE(SUBSTITUTE(SUBSTITUTE(SUBSTITUTE(Клиенты_исходные!D929," ",""),"-",""),"+",""),"(",""),")",""),6,2)&amp;"-"&amp;MID(SUBSTITUTE(SUBSTITUTE(SUBSTITUTE(SUBSTITUTE(SUBSTITUTE(Клиенты_исходные!D929," ",""),"-",""),"+",""),"(",""),")",""),8,2),Клиенты_исходные!D929)))</f>
        <v xml:space="preserve">+7 (903) 567-89-01</v>
      </c>
      <c r="E929" t="str">
        <f>IF(ISBLANK(Клиенты_исходные!E929),"",IF(ISNUMBER(FIND(".",MID(Клиенты_исходные!E929,FIND("@",Клиенты_исходные!E929)+1,255))),Клиенты_исходные!E929,IF(ISNUMBER(FIND("gmail",Клиенты_исходные!E929)),Клиенты_исходные!E929&amp;".com",Клиенты_исходные!E929&amp;".ru")))</f>
        <v>golovanov@mail.ru</v>
      </c>
      <c r="F929" t="str">
        <f>IFERROR(VLOOKUP(Клиенты_исходные!F929,Справочники!$J$2:$K$50,2,FALSE),Клиенты_исходные!F929)</f>
        <v>Йошкар-Ола</v>
      </c>
      <c r="G929" s="8">
        <f>IFERROR(IF(ISNUMBER(FIND(".",Клиенты_исходные!G929)),DATE(RIGHT(Клиенты_исходные!G929,4),MID(Клиенты_исходные!G929,4,2),LEFT(Клиенты_исходные!G929,2)),DATE(LEFT(Клиенты_исходные!G929,4),MID(Клиенты_исходные!G929,6,2),RIGHT(Клиенты_исходные!G929,2))),Клиенты_исходные!G929)</f>
        <v>53966</v>
      </c>
      <c r="H929">
        <f t="shared" ca="1" si="88"/>
        <v>53</v>
      </c>
      <c r="I929" t="str">
        <f t="shared" si="89"/>
        <v>OK</v>
      </c>
      <c r="J929" t="str">
        <f t="shared" si="90"/>
        <v>OK</v>
      </c>
    </row>
    <row r="930">
      <c r="A930" t="str">
        <f>Клиенты_исходные!A930</f>
        <v>C0929</v>
      </c>
      <c r="B930" t="str">
        <f>PROPER(TRIM(Клиенты_исходные!B930))</f>
        <v xml:space="preserve">Гущин Илья Александрович</v>
      </c>
      <c r="C930" s="8">
        <f>IFERROR(IF(ISNUMBER(FIND(".",Клиенты_исходные!C930)),DATE(RIGHT(Клиенты_исходные!C930,4),MID(Клиенты_исходные!C930,4,2),LEFT(Клиенты_исходные!C930,2)),DATE(LEFT(Клиенты_исходные!C930,4),MID(Клиенты_исходные!C930,6,2),RIGHT(Клиенты_исходные!C930,2))),Клиенты_исходные!C930)</f>
        <v>29935</v>
      </c>
      <c r="D930" t="str">
        <f>IF(ISBLANK(Клиенты_исходные!D930),"",IF(LEN(SUBSTITUTE(SUBSTITUTE(SUBSTITUTE(SUBSTITUTE(SUBSTITUTE(Клиенты_исходные!D930," ",""),"-",""),"+",""),"(",""),")",""))=11,"+7 ("&amp;MID(IF(LEFT(SUBSTITUTE(SUBSTITUTE(SUBSTITUTE(SUBSTITUTE(SUBSTITUTE(Клиенты_исходные!D930," ",""),"-",""),"+",""),"(",""),")",""))="8","7"&amp;MID(SUBSTITUTE(SUBSTITUTE(SUBSTITUTE(SUBSTITUTE(SUBSTITUTE(Клиенты_исходные!D930," ",""),"-",""),"+",""),"(",""),")",""),2,10),SUBSTITUTE(SUBSTITUTE(SUBSTITUTE(SUBSTITUTE(SUBSTITUTE(Клиенты_исходные!D930," ",""),"-",""),"+",""),"(",""),")","")),2,3)&amp;") "&amp;MID(IF(LEFT(SUBSTITUTE(SUBSTITUTE(SUBSTITUTE(SUBSTITUTE(SUBSTITUTE(Клиенты_исходные!D930," ",""),"-",""),"+",""),"(",""),")",""))="8","7"&amp;MID(SUBSTITUTE(SUBSTITUTE(SUBSTITUTE(SUBSTITUTE(SUBSTITUTE(Клиенты_исходные!D930," ",""),"-",""),"+",""),"(",""),")",""),2,10),SUBSTITUTE(SUBSTITUTE(SUBSTITUTE(SUBSTITUTE(SUBSTITUTE(Клиенты_исходные!D930," ",""),"-",""),"+",""),"(",""),")","")),5,3)&amp;"-"&amp;MID(IF(LEFT(SUBSTITUTE(SUBSTITUTE(SUBSTITUTE(SUBSTITUTE(SUBSTITUTE(Клиенты_исходные!D930," ",""),"-",""),"+",""),"(",""),")",""))="8","7"&amp;MID(SUBSTITUTE(SUBSTITUTE(SUBSTITUTE(SUBSTITUTE(SUBSTITUTE(Клиенты_исходные!D930," ",""),"-",""),"+",""),"(",""),")",""),2,10),SUBSTITUTE(SUBSTITUTE(SUBSTITUTE(SUBSTITUTE(SUBSTITUTE(Клиенты_исходные!D930," ",""),"-",""),"+",""),"(",""),")","")),8,2)&amp;"-"&amp;MID(IF(LEFT(SUBSTITUTE(SUBSTITUTE(SUBSTITUTE(SUBSTITUTE(SUBSTITUTE(Клиенты_исходные!D930," ",""),"-",""),"+",""),"(",""),")",""))="8","7"&amp;MID(SUBSTITUTE(SUBSTITUTE(SUBSTITUTE(SUBSTITUTE(SUBSTITUTE(Клиенты_исходные!D930," ",""),"-",""),"+",""),"(",""),")",""),2,10),SUBSTITUTE(SUBSTITUTE(SUBSTITUTE(SUBSTITUTE(SUBSTITUTE(Клиенты_исходные!D930," ",""),"-",""),"+",""),"(",""),")","")),10,2),IF(LEN(SUBSTITUTE(SUBSTITUTE(SUBSTITUTE(SUBSTITUTE(SUBSTITUTE(Клиенты_исходные!D930," ",""),"-",""),"+",""),"(",""),")",""))=10,"+7 ("&amp;MID(SUBSTITUTE(SUBSTITUTE(SUBSTITUTE(SUBSTITUTE(SUBSTITUTE(Клиенты_исходные!D930," ",""),"-",""),"+",""),"(",""),")",""),1,3)&amp;") "&amp;MID(SUBSTITUTE(SUBSTITUTE(SUBSTITUTE(SUBSTITUTE(SUBSTITUTE(Клиенты_исходные!D930," ",""),"-",""),"+",""),"(",""),")",""),4,3)&amp;"-"&amp;MID(SUBSTITUTE(SUBSTITUTE(SUBSTITUTE(SUBSTITUTE(SUBSTITUTE(Клиенты_исходные!D930," ",""),"-",""),"+",""),"(",""),")",""),6,2)&amp;"-"&amp;MID(SUBSTITUTE(SUBSTITUTE(SUBSTITUTE(SUBSTITUTE(SUBSTITUTE(Клиенты_исходные!D930," ",""),"-",""),"+",""),"(",""),")",""),8,2),Клиенты_исходные!D930)))</f>
        <v xml:space="preserve">+7 (903) 567-89-01</v>
      </c>
      <c r="E930" t="str">
        <f>IF(ISBLANK(Клиенты_исходные!E930),"",IF(ISNUMBER(FIND(".",MID(Клиенты_исходные!E930,FIND("@",Клиенты_исходные!E930)+1,255))),Клиенты_исходные!E930,IF(ISNUMBER(FIND("gmail",Клиенты_исходные!E930)),Клиенты_исходные!E930&amp;".com",Клиенты_исходные!E930&amp;".ru")))</f>
        <v>guschin@yandex.ru</v>
      </c>
      <c r="F930" t="str">
        <f>IFERROR(VLOOKUP(Клиенты_исходные!F930,Справочники!$J$2:$K$50,2,FALSE),Клиенты_исходные!F930)</f>
        <v>Курган</v>
      </c>
      <c r="G930" s="8">
        <f>IFERROR(IF(ISNUMBER(FIND(".",Клиенты_исходные!G930)),DATE(RIGHT(Клиенты_исходные!G930,4),MID(Клиенты_исходные!G930,4,2),LEFT(Клиенты_исходные!G930,2)),DATE(LEFT(Клиенты_исходные!G930,4),MID(Клиенты_исходные!G930,6,2),RIGHT(Клиенты_исходные!G930,2))),Клиенты_исходные!G930)</f>
        <v>53975</v>
      </c>
      <c r="H930">
        <f t="shared" ca="1" si="88"/>
        <v>44</v>
      </c>
      <c r="I930" t="str">
        <f t="shared" si="89"/>
        <v>OK</v>
      </c>
      <c r="J930" t="str">
        <f t="shared" si="90"/>
        <v>OK</v>
      </c>
    </row>
    <row r="931">
      <c r="A931" t="str">
        <f>Клиенты_исходные!A931</f>
        <v>C0930</v>
      </c>
      <c r="B931" t="str">
        <f>PROPER(TRIM(Клиенты_исходные!B931))</f>
        <v xml:space="preserve">Кашкаева Екатерина Владимировна</v>
      </c>
      <c r="C931" s="8">
        <f>IFERROR(IF(ISNUMBER(FIND(".",Клиенты_исходные!C931)),DATE(RIGHT(Клиенты_исходные!C931,4),MID(Клиенты_исходные!C931,4,2),LEFT(Клиенты_исходные!C931,2)),DATE(LEFT(Клиенты_исходные!C931,4),MID(Клиенты_исходные!C931,6,2),RIGHT(Клиенты_исходные!C931,2))),Клиенты_исходные!C931)</f>
        <v>32010</v>
      </c>
      <c r="D931" t="str">
        <f>IF(ISBLANK(Клиенты_исходные!D931),"",IF(LEN(SUBSTITUTE(SUBSTITUTE(SUBSTITUTE(SUBSTITUTE(SUBSTITUTE(Клиенты_исходные!D931," ",""),"-",""),"+",""),"(",""),")",""))=11,"+7 ("&amp;MID(IF(LEFT(SUBSTITUTE(SUBSTITUTE(SUBSTITUTE(SUBSTITUTE(SUBSTITUTE(Клиенты_исходные!D931," ",""),"-",""),"+",""),"(",""),")",""))="8","7"&amp;MID(SUBSTITUTE(SUBSTITUTE(SUBSTITUTE(SUBSTITUTE(SUBSTITUTE(Клиенты_исходные!D931," ",""),"-",""),"+",""),"(",""),")",""),2,10),SUBSTITUTE(SUBSTITUTE(SUBSTITUTE(SUBSTITUTE(SUBSTITUTE(Клиенты_исходные!D931," ",""),"-",""),"+",""),"(",""),")","")),2,3)&amp;") "&amp;MID(IF(LEFT(SUBSTITUTE(SUBSTITUTE(SUBSTITUTE(SUBSTITUTE(SUBSTITUTE(Клиенты_исходные!D931," ",""),"-",""),"+",""),"(",""),")",""))="8","7"&amp;MID(SUBSTITUTE(SUBSTITUTE(SUBSTITUTE(SUBSTITUTE(SUBSTITUTE(Клиенты_исходные!D931," ",""),"-",""),"+",""),"(",""),")",""),2,10),SUBSTITUTE(SUBSTITUTE(SUBSTITUTE(SUBSTITUTE(SUBSTITUTE(Клиенты_исходные!D931," ",""),"-",""),"+",""),"(",""),")","")),5,3)&amp;"-"&amp;MID(IF(LEFT(SUBSTITUTE(SUBSTITUTE(SUBSTITUTE(SUBSTITUTE(SUBSTITUTE(Клиенты_исходные!D931," ",""),"-",""),"+",""),"(",""),")",""))="8","7"&amp;MID(SUBSTITUTE(SUBSTITUTE(SUBSTITUTE(SUBSTITUTE(SUBSTITUTE(Клиенты_исходные!D931," ",""),"-",""),"+",""),"(",""),")",""),2,10),SUBSTITUTE(SUBSTITUTE(SUBSTITUTE(SUBSTITUTE(SUBSTITUTE(Клиенты_исходные!D931," ",""),"-",""),"+",""),"(",""),")","")),8,2)&amp;"-"&amp;MID(IF(LEFT(SUBSTITUTE(SUBSTITUTE(SUBSTITUTE(SUBSTITUTE(SUBSTITUTE(Клиенты_исходные!D931," ",""),"-",""),"+",""),"(",""),")",""))="8","7"&amp;MID(SUBSTITUTE(SUBSTITUTE(SUBSTITUTE(SUBSTITUTE(SUBSTITUTE(Клиенты_исходные!D931," ",""),"-",""),"+",""),"(",""),")",""),2,10),SUBSTITUTE(SUBSTITUTE(SUBSTITUTE(SUBSTITUTE(SUBSTITUTE(Клиенты_исходные!D931," ",""),"-",""),"+",""),"(",""),")","")),10,2),IF(LEN(SUBSTITUTE(SUBSTITUTE(SUBSTITUTE(SUBSTITUTE(SUBSTITUTE(Клиенты_исходные!D931," ",""),"-",""),"+",""),"(",""),")",""))=10,"+7 ("&amp;MID(SUBSTITUTE(SUBSTITUTE(SUBSTITUTE(SUBSTITUTE(SUBSTITUTE(Клиенты_исходные!D931," ",""),"-",""),"+",""),"(",""),")",""),1,3)&amp;") "&amp;MID(SUBSTITUTE(SUBSTITUTE(SUBSTITUTE(SUBSTITUTE(SUBSTITUTE(Клиенты_исходные!D931," ",""),"-",""),"+",""),"(",""),")",""),4,3)&amp;"-"&amp;MID(SUBSTITUTE(SUBSTITUTE(SUBSTITUTE(SUBSTITUTE(SUBSTITUTE(Клиенты_исходные!D931," ",""),"-",""),"+",""),"(",""),")",""),6,2)&amp;"-"&amp;MID(SUBSTITUTE(SUBSTITUTE(SUBSTITUTE(SUBSTITUTE(SUBSTITUTE(Клиенты_исходные!D931," ",""),"-",""),"+",""),"(",""),")",""),8,2),Клиенты_исходные!D931)))</f>
        <v xml:space="preserve">+7 (903) 678-90-12</v>
      </c>
      <c r="E931" t="str">
        <f>IF(ISBLANK(Клиенты_исходные!E931),"",IF(ISNUMBER(FIND(".",MID(Клиенты_исходные!E931,FIND("@",Клиенты_исходные!E931)+1,255))),Клиенты_исходные!E931,IF(ISNUMBER(FIND("gmail",Клиенты_исходные!E931)),Клиенты_исходные!E931&amp;".com",Клиенты_исходные!E931&amp;".ru")))</f>
        <v>kashkaeva@gmail.com</v>
      </c>
      <c r="F931" t="str">
        <f>IFERROR(VLOOKUP(Клиенты_исходные!F931,Справочники!$J$2:$K$50,2,FALSE),Клиенты_исходные!F931)</f>
        <v>Архангельск</v>
      </c>
      <c r="G931" s="8">
        <f>IFERROR(IF(ISNUMBER(FIND(".",Клиенты_исходные!G931)),DATE(RIGHT(Клиенты_исходные!G931,4),MID(Клиенты_исходные!G931,4,2),LEFT(Клиенты_исходные!G931,2)),DATE(LEFT(Клиенты_исходные!G931,4),MID(Клиенты_исходные!G931,6,2),RIGHT(Клиенты_исходные!G931,2))),Клиенты_исходные!G931)</f>
        <v>53975</v>
      </c>
      <c r="H931">
        <f t="shared" ca="1" si="88"/>
        <v>39</v>
      </c>
      <c r="I931" t="str">
        <f t="shared" si="89"/>
        <v>OK</v>
      </c>
      <c r="J931" t="str">
        <f t="shared" si="90"/>
        <v>OK</v>
      </c>
    </row>
    <row r="932">
      <c r="A932" t="str">
        <f>Клиенты_исходные!A932</f>
        <v>C0931</v>
      </c>
      <c r="B932" t="str">
        <f>PROPER(TRIM(Клиенты_исходные!B932))</f>
        <v xml:space="preserve">Лобачева Мария Павловна</v>
      </c>
      <c r="C932" s="8">
        <f>IFERROR(IF(ISNUMBER(FIND(".",Клиенты_исходные!C932)),DATE(RIGHT(Клиенты_исходные!C932,4),MID(Клиенты_исходные!C932,4,2),LEFT(Клиенты_исходные!C932,2)),DATE(LEFT(Клиенты_исходные!C932,4),MID(Клиенты_исходные!C932,6,2),RIGHT(Клиенты_исходные!C932,2))),Клиенты_исходные!C932)</f>
        <v>28405</v>
      </c>
      <c r="D932" t="str">
        <f>IF(ISBLANK(Клиенты_исходные!D932),"",IF(LEN(SUBSTITUTE(SUBSTITUTE(SUBSTITUTE(SUBSTITUTE(SUBSTITUTE(Клиенты_исходные!D932," ",""),"-",""),"+",""),"(",""),")",""))=11,"+7 ("&amp;MID(IF(LEFT(SUBSTITUTE(SUBSTITUTE(SUBSTITUTE(SUBSTITUTE(SUBSTITUTE(Клиенты_исходные!D932," ",""),"-",""),"+",""),"(",""),")",""))="8","7"&amp;MID(SUBSTITUTE(SUBSTITUTE(SUBSTITUTE(SUBSTITUTE(SUBSTITUTE(Клиенты_исходные!D932," ",""),"-",""),"+",""),"(",""),")",""),2,10),SUBSTITUTE(SUBSTITUTE(SUBSTITUTE(SUBSTITUTE(SUBSTITUTE(Клиенты_исходные!D932," ",""),"-",""),"+",""),"(",""),")","")),2,3)&amp;") "&amp;MID(IF(LEFT(SUBSTITUTE(SUBSTITUTE(SUBSTITUTE(SUBSTITUTE(SUBSTITUTE(Клиенты_исходные!D932," ",""),"-",""),"+",""),"(",""),")",""))="8","7"&amp;MID(SUBSTITUTE(SUBSTITUTE(SUBSTITUTE(SUBSTITUTE(SUBSTITUTE(Клиенты_исходные!D932," ",""),"-",""),"+",""),"(",""),")",""),2,10),SUBSTITUTE(SUBSTITUTE(SUBSTITUTE(SUBSTITUTE(SUBSTITUTE(Клиенты_исходные!D932," ",""),"-",""),"+",""),"(",""),")","")),5,3)&amp;"-"&amp;MID(IF(LEFT(SUBSTITUTE(SUBSTITUTE(SUBSTITUTE(SUBSTITUTE(SUBSTITUTE(Клиенты_исходные!D932," ",""),"-",""),"+",""),"(",""),")",""))="8","7"&amp;MID(SUBSTITUTE(SUBSTITUTE(SUBSTITUTE(SUBSTITUTE(SUBSTITUTE(Клиенты_исходные!D932," ",""),"-",""),"+",""),"(",""),")",""),2,10),SUBSTITUTE(SUBSTITUTE(SUBSTITUTE(SUBSTITUTE(SUBSTITUTE(Клиенты_исходные!D932," ",""),"-",""),"+",""),"(",""),")","")),8,2)&amp;"-"&amp;MID(IF(LEFT(SUBSTITUTE(SUBSTITUTE(SUBSTITUTE(SUBSTITUTE(SUBSTITUTE(Клиенты_исходные!D932," ",""),"-",""),"+",""),"(",""),")",""))="8","7"&amp;MID(SUBSTITUTE(SUBSTITUTE(SUBSTITUTE(SUBSTITUTE(SUBSTITUTE(Клиенты_исходные!D932," ",""),"-",""),"+",""),"(",""),")",""),2,10),SUBSTITUTE(SUBSTITUTE(SUBSTITUTE(SUBSTITUTE(SUBSTITUTE(Клиенты_исходные!D932," ",""),"-",""),"+",""),"(",""),")","")),10,2),IF(LEN(SUBSTITUTE(SUBSTITUTE(SUBSTITUTE(SUBSTITUTE(SUBSTITUTE(Клиенты_исходные!D932," ",""),"-",""),"+",""),"(",""),")",""))=10,"+7 ("&amp;MID(SUBSTITUTE(SUBSTITUTE(SUBSTITUTE(SUBSTITUTE(SUBSTITUTE(Клиенты_исходные!D932," ",""),"-",""),"+",""),"(",""),")",""),1,3)&amp;") "&amp;MID(SUBSTITUTE(SUBSTITUTE(SUBSTITUTE(SUBSTITUTE(SUBSTITUTE(Клиенты_исходные!D932," ",""),"-",""),"+",""),"(",""),")",""),4,3)&amp;"-"&amp;MID(SUBSTITUTE(SUBSTITUTE(SUBSTITUTE(SUBSTITUTE(SUBSTITUTE(Клиенты_исходные!D932," ",""),"-",""),"+",""),"(",""),")",""),6,2)&amp;"-"&amp;MID(SUBSTITUTE(SUBSTITUTE(SUBSTITUTE(SUBSTITUTE(SUBSTITUTE(Клиенты_исходные!D932," ",""),"-",""),"+",""),"(",""),")",""),8,2),Клиенты_исходные!D932)))</f>
        <v xml:space="preserve">+7 (903) 678-90-12</v>
      </c>
      <c r="E932" t="str">
        <f>IF(ISBLANK(Клиенты_исходные!E932),"",IF(ISNUMBER(FIND(".",MID(Клиенты_исходные!E932,FIND("@",Клиенты_исходные!E932)+1,255))),Клиенты_исходные!E932,IF(ISNUMBER(FIND("gmail",Клиенты_исходные!E932)),Клиенты_исходные!E932&amp;".com",Клиенты_исходные!E932&amp;".ru")))</f>
        <v>lobacheva@mail.ru</v>
      </c>
      <c r="F932" t="str">
        <f>IFERROR(VLOOKUP(Клиенты_исходные!F932,Справочники!$J$2:$K$50,2,FALSE),Клиенты_исходные!F932)</f>
        <v>Благовещенск</v>
      </c>
      <c r="G932" s="8">
        <f>IFERROR(IF(ISNUMBER(FIND(".",Клиенты_исходные!G932)),DATE(RIGHT(Клиенты_исходные!G932,4),MID(Клиенты_исходные!G932,4,2),LEFT(Клиенты_исходные!G932,2)),DATE(LEFT(Клиенты_исходные!G932,4),MID(Клиенты_исходные!G932,6,2),RIGHT(Клиенты_исходные!G932,2))),Клиенты_исходные!G932)</f>
        <v>53997</v>
      </c>
      <c r="H932">
        <f t="shared" ref="H932:H995" ca="1" si="91">DATEDIF(C932,TODAY(),"Y")</f>
        <v>48</v>
      </c>
      <c r="I932" t="str">
        <f t="shared" ref="I932:I995" si="92">IF(OR(H932&lt;18,H932&gt;80),"Ошибка даты рождения","OK")</f>
        <v>OK</v>
      </c>
      <c r="J932" t="str">
        <f t="shared" ref="J932:J995" si="93">IF(AND(ISNUMBER(FIND("@",E932)),ISNUMBER(FIND(".",MID(E932,FIND("@",E932)+1,255)))),"OK","Ошибка Email")</f>
        <v>OK</v>
      </c>
    </row>
    <row r="933">
      <c r="A933" t="str">
        <f>Клиенты_исходные!A933</f>
        <v>C0932</v>
      </c>
      <c r="B933" t="str">
        <f>PROPER(TRIM(Клиенты_исходные!B933))</f>
        <v xml:space="preserve">Ершов Денис Сергеевич</v>
      </c>
      <c r="C933" s="8">
        <f>IFERROR(IF(ISNUMBER(FIND(".",Клиенты_исходные!C933)),DATE(RIGHT(Клиенты_исходные!C933,4),MID(Клиенты_исходные!C933,4,2),LEFT(Клиенты_исходные!C933,2)),DATE(LEFT(Клиенты_исходные!C933,4),MID(Клиенты_исходные!C933,6,2),RIGHT(Клиенты_исходные!C933,2))),Клиенты_исходные!C933)</f>
        <v>33207</v>
      </c>
      <c r="D933" t="str">
        <f>IF(ISBLANK(Клиенты_исходные!D933),"",IF(LEN(SUBSTITUTE(SUBSTITUTE(SUBSTITUTE(SUBSTITUTE(SUBSTITUTE(Клиенты_исходные!D933," ",""),"-",""),"+",""),"(",""),")",""))=11,"+7 ("&amp;MID(IF(LEFT(SUBSTITUTE(SUBSTITUTE(SUBSTITUTE(SUBSTITUTE(SUBSTITUTE(Клиенты_исходные!D933," ",""),"-",""),"+",""),"(",""),")",""))="8","7"&amp;MID(SUBSTITUTE(SUBSTITUTE(SUBSTITUTE(SUBSTITUTE(SUBSTITUTE(Клиенты_исходные!D933," ",""),"-",""),"+",""),"(",""),")",""),2,10),SUBSTITUTE(SUBSTITUTE(SUBSTITUTE(SUBSTITUTE(SUBSTITUTE(Клиенты_исходные!D933," ",""),"-",""),"+",""),"(",""),")","")),2,3)&amp;") "&amp;MID(IF(LEFT(SUBSTITUTE(SUBSTITUTE(SUBSTITUTE(SUBSTITUTE(SUBSTITUTE(Клиенты_исходные!D933," ",""),"-",""),"+",""),"(",""),")",""))="8","7"&amp;MID(SUBSTITUTE(SUBSTITUTE(SUBSTITUTE(SUBSTITUTE(SUBSTITUTE(Клиенты_исходные!D933," ",""),"-",""),"+",""),"(",""),")",""),2,10),SUBSTITUTE(SUBSTITUTE(SUBSTITUTE(SUBSTITUTE(SUBSTITUTE(Клиенты_исходные!D933," ",""),"-",""),"+",""),"(",""),")","")),5,3)&amp;"-"&amp;MID(IF(LEFT(SUBSTITUTE(SUBSTITUTE(SUBSTITUTE(SUBSTITUTE(SUBSTITUTE(Клиенты_исходные!D933," ",""),"-",""),"+",""),"(",""),")",""))="8","7"&amp;MID(SUBSTITUTE(SUBSTITUTE(SUBSTITUTE(SUBSTITUTE(SUBSTITUTE(Клиенты_исходные!D933," ",""),"-",""),"+",""),"(",""),")",""),2,10),SUBSTITUTE(SUBSTITUTE(SUBSTITUTE(SUBSTITUTE(SUBSTITUTE(Клиенты_исходные!D933," ",""),"-",""),"+",""),"(",""),")","")),8,2)&amp;"-"&amp;MID(IF(LEFT(SUBSTITUTE(SUBSTITUTE(SUBSTITUTE(SUBSTITUTE(SUBSTITUTE(Клиенты_исходные!D933," ",""),"-",""),"+",""),"(",""),")",""))="8","7"&amp;MID(SUBSTITUTE(SUBSTITUTE(SUBSTITUTE(SUBSTITUTE(SUBSTITUTE(Клиенты_исходные!D933," ",""),"-",""),"+",""),"(",""),")",""),2,10),SUBSTITUTE(SUBSTITUTE(SUBSTITUTE(SUBSTITUTE(SUBSTITUTE(Клиенты_исходные!D933," ",""),"-",""),"+",""),"(",""),")","")),10,2),IF(LEN(SUBSTITUTE(SUBSTITUTE(SUBSTITUTE(SUBSTITUTE(SUBSTITUTE(Клиенты_исходные!D933," ",""),"-",""),"+",""),"(",""),")",""))=10,"+7 ("&amp;MID(SUBSTITUTE(SUBSTITUTE(SUBSTITUTE(SUBSTITUTE(SUBSTITUTE(Клиенты_исходные!D933," ",""),"-",""),"+",""),"(",""),")",""),1,3)&amp;") "&amp;MID(SUBSTITUTE(SUBSTITUTE(SUBSTITUTE(SUBSTITUTE(SUBSTITUTE(Клиенты_исходные!D933," ",""),"-",""),"+",""),"(",""),")",""),4,3)&amp;"-"&amp;MID(SUBSTITUTE(SUBSTITUTE(SUBSTITUTE(SUBSTITUTE(SUBSTITUTE(Клиенты_исходные!D933," ",""),"-",""),"+",""),"(",""),")",""),6,2)&amp;"-"&amp;MID(SUBSTITUTE(SUBSTITUTE(SUBSTITUTE(SUBSTITUTE(SUBSTITUTE(Клиенты_исходные!D933," ",""),"-",""),"+",""),"(",""),")",""),8,2),Клиенты_исходные!D933)))</f>
        <v xml:space="preserve">+7 (903) 678-90-12</v>
      </c>
      <c r="E933" t="str">
        <f>IF(ISBLANK(Клиенты_исходные!E933),"",IF(ISNUMBER(FIND(".",MID(Клиенты_исходные!E933,FIND("@",Клиенты_исходные!E933)+1,255))),Клиенты_исходные!E933,IF(ISNUMBER(FIND("gmail",Клиенты_исходные!E933)),Клиенты_исходные!E933&amp;".com",Клиенты_исходные!E933&amp;".ru")))</f>
        <v>ershov@yandex.ru</v>
      </c>
      <c r="F933" t="str">
        <f>IFERROR(VLOOKUP(Клиенты_исходные!F933,Справочники!$J$2:$K$50,2,FALSE),Клиенты_исходные!F933)</f>
        <v>Майкоп</v>
      </c>
      <c r="G933" s="8">
        <f>IFERROR(IF(ISNUMBER(FIND(".",Клиенты_исходные!G933)),DATE(RIGHT(Клиенты_исходные!G933,4),MID(Клиенты_исходные!G933,4,2),LEFT(Клиенты_исходные!G933,2)),DATE(LEFT(Клиенты_исходные!G933,4),MID(Клиенты_исходные!G933,6,2),RIGHT(Клиенты_исходные!G933,2))),Клиенты_исходные!G933)</f>
        <v>54011</v>
      </c>
      <c r="H933">
        <f t="shared" ca="1" si="91"/>
        <v>35</v>
      </c>
      <c r="I933" t="str">
        <f t="shared" si="92"/>
        <v>OK</v>
      </c>
      <c r="J933" t="str">
        <f t="shared" si="93"/>
        <v>OK</v>
      </c>
    </row>
    <row r="934">
      <c r="A934" t="str">
        <f>Клиенты_исходные!A934</f>
        <v>C0933</v>
      </c>
      <c r="B934" t="str">
        <f>PROPER(TRIM(Клиенты_исходные!B934))</f>
        <v xml:space="preserve">Петухова Ольга Сергеевна</v>
      </c>
      <c r="C934" s="8">
        <f>IFERROR(IF(ISNUMBER(FIND(".",Клиенты_исходные!C934)),DATE(RIGHT(Клиенты_исходные!C934,4),MID(Клиенты_исходные!C934,4,2),LEFT(Клиенты_исходные!C934,2)),DATE(LEFT(Клиенты_исходные!C934,4),MID(Клиенты_исходные!C934,6,2),RIGHT(Клиенты_исходные!C934,2))),Клиенты_исходные!C934)</f>
        <v>30452</v>
      </c>
      <c r="D934" t="str">
        <f>IF(ISBLANK(Клиенты_исходные!D934),"",IF(LEN(SUBSTITUTE(SUBSTITUTE(SUBSTITUTE(SUBSTITUTE(SUBSTITUTE(Клиенты_исходные!D934," ",""),"-",""),"+",""),"(",""),")",""))=11,"+7 ("&amp;MID(IF(LEFT(SUBSTITUTE(SUBSTITUTE(SUBSTITUTE(SUBSTITUTE(SUBSTITUTE(Клиенты_исходные!D934," ",""),"-",""),"+",""),"(",""),")",""))="8","7"&amp;MID(SUBSTITUTE(SUBSTITUTE(SUBSTITUTE(SUBSTITUTE(SUBSTITUTE(Клиенты_исходные!D934," ",""),"-",""),"+",""),"(",""),")",""),2,10),SUBSTITUTE(SUBSTITUTE(SUBSTITUTE(SUBSTITUTE(SUBSTITUTE(Клиенты_исходные!D934," ",""),"-",""),"+",""),"(",""),")","")),2,3)&amp;") "&amp;MID(IF(LEFT(SUBSTITUTE(SUBSTITUTE(SUBSTITUTE(SUBSTITUTE(SUBSTITUTE(Клиенты_исходные!D934," ",""),"-",""),"+",""),"(",""),")",""))="8","7"&amp;MID(SUBSTITUTE(SUBSTITUTE(SUBSTITUTE(SUBSTITUTE(SUBSTITUTE(Клиенты_исходные!D934," ",""),"-",""),"+",""),"(",""),")",""),2,10),SUBSTITUTE(SUBSTITUTE(SUBSTITUTE(SUBSTITUTE(SUBSTITUTE(Клиенты_исходные!D934," ",""),"-",""),"+",""),"(",""),")","")),5,3)&amp;"-"&amp;MID(IF(LEFT(SUBSTITUTE(SUBSTITUTE(SUBSTITUTE(SUBSTITUTE(SUBSTITUTE(Клиенты_исходные!D934," ",""),"-",""),"+",""),"(",""),")",""))="8","7"&amp;MID(SUBSTITUTE(SUBSTITUTE(SUBSTITUTE(SUBSTITUTE(SUBSTITUTE(Клиенты_исходные!D934," ",""),"-",""),"+",""),"(",""),")",""),2,10),SUBSTITUTE(SUBSTITUTE(SUBSTITUTE(SUBSTITUTE(SUBSTITUTE(Клиенты_исходные!D934," ",""),"-",""),"+",""),"(",""),")","")),8,2)&amp;"-"&amp;MID(IF(LEFT(SUBSTITUTE(SUBSTITUTE(SUBSTITUTE(SUBSTITUTE(SUBSTITUTE(Клиенты_исходные!D934," ",""),"-",""),"+",""),"(",""),")",""))="8","7"&amp;MID(SUBSTITUTE(SUBSTITUTE(SUBSTITUTE(SUBSTITUTE(SUBSTITUTE(Клиенты_исходные!D934," ",""),"-",""),"+",""),"(",""),")",""),2,10),SUBSTITUTE(SUBSTITUTE(SUBSTITUTE(SUBSTITUTE(SUBSTITUTE(Клиенты_исходные!D934," ",""),"-",""),"+",""),"(",""),")","")),10,2),IF(LEN(SUBSTITUTE(SUBSTITUTE(SUBSTITUTE(SUBSTITUTE(SUBSTITUTE(Клиенты_исходные!D934," ",""),"-",""),"+",""),"(",""),")",""))=10,"+7 ("&amp;MID(SUBSTITUTE(SUBSTITUTE(SUBSTITUTE(SUBSTITUTE(SUBSTITUTE(Клиенты_исходные!D934," ",""),"-",""),"+",""),"(",""),")",""),1,3)&amp;") "&amp;MID(SUBSTITUTE(SUBSTITUTE(SUBSTITUTE(SUBSTITUTE(SUBSTITUTE(Клиенты_исходные!D934," ",""),"-",""),"+",""),"(",""),")",""),4,3)&amp;"-"&amp;MID(SUBSTITUTE(SUBSTITUTE(SUBSTITUTE(SUBSTITUTE(SUBSTITUTE(Клиенты_исходные!D934," ",""),"-",""),"+",""),"(",""),")",""),6,2)&amp;"-"&amp;MID(SUBSTITUTE(SUBSTITUTE(SUBSTITUTE(SUBSTITUTE(SUBSTITUTE(Клиенты_исходные!D934," ",""),"-",""),"+",""),"(",""),")",""),8,2),Клиенты_исходные!D934)))</f>
        <v xml:space="preserve">+7 (903) 789-01-23</v>
      </c>
      <c r="E934" t="str">
        <f>IF(ISBLANK(Клиенты_исходные!E934),"",IF(ISNUMBER(FIND(".",MID(Клиенты_исходные!E934,FIND("@",Клиенты_исходные!E934)+1,255))),Клиенты_исходные!E934,IF(ISNUMBER(FIND("gmail",Клиенты_исходные!E934)),Клиенты_исходные!E934&amp;".com",Клиенты_исходные!E934&amp;".ru")))</f>
        <v>petuhova@gmail.com</v>
      </c>
      <c r="F934" t="str">
        <f>IFERROR(VLOOKUP(Клиенты_исходные!F934,Справочники!$J$2:$K$50,2,FALSE),Клиенты_исходные!F934)</f>
        <v>Уссурийск</v>
      </c>
      <c r="G934" s="8">
        <f>IFERROR(IF(ISNUMBER(FIND(".",Клиенты_исходные!G934)),DATE(RIGHT(Клиенты_исходные!G934,4),MID(Клиенты_исходные!G934,4,2),LEFT(Клиенты_исходные!G934,2)),DATE(LEFT(Клиенты_исходные!G934,4),MID(Клиенты_исходные!G934,6,2),RIGHT(Клиенты_исходные!G934,2))),Клиенты_исходные!G934)</f>
        <v>54011</v>
      </c>
      <c r="H934">
        <f t="shared" ca="1" si="91"/>
        <v>43</v>
      </c>
      <c r="I934" t="str">
        <f t="shared" si="92"/>
        <v>OK</v>
      </c>
      <c r="J934" t="str">
        <f t="shared" si="93"/>
        <v>OK</v>
      </c>
    </row>
    <row r="935">
      <c r="A935" t="str">
        <f>Клиенты_исходные!A935</f>
        <v>C0934</v>
      </c>
      <c r="B935" t="str">
        <f>PROPER(TRIM(Клиенты_исходные!B935))</f>
        <v xml:space="preserve">Козлов Андрей Олегович</v>
      </c>
      <c r="C935" s="8">
        <f>IFERROR(IF(ISNUMBER(FIND(".",Клиенты_исходные!C935)),DATE(RIGHT(Клиенты_исходные!C935,4),MID(Клиенты_исходные!C935,4,2),LEFT(Клиенты_исходные!C935,2)),DATE(LEFT(Клиенты_исходные!C935,4),MID(Клиенты_исходные!C935,6,2),RIGHT(Клиенты_исходные!C935,2))),Клиенты_исходные!C935)</f>
        <v>28499</v>
      </c>
      <c r="D935" t="str">
        <f>IF(ISBLANK(Клиенты_исходные!D935),"",IF(LEN(SUBSTITUTE(SUBSTITUTE(SUBSTITUTE(SUBSTITUTE(SUBSTITUTE(Клиенты_исходные!D935," ",""),"-",""),"+",""),"(",""),")",""))=11,"+7 ("&amp;MID(IF(LEFT(SUBSTITUTE(SUBSTITUTE(SUBSTITUTE(SUBSTITUTE(SUBSTITUTE(Клиенты_исходные!D935," ",""),"-",""),"+",""),"(",""),")",""))="8","7"&amp;MID(SUBSTITUTE(SUBSTITUTE(SUBSTITUTE(SUBSTITUTE(SUBSTITUTE(Клиенты_исходные!D935," ",""),"-",""),"+",""),"(",""),")",""),2,10),SUBSTITUTE(SUBSTITUTE(SUBSTITUTE(SUBSTITUTE(SUBSTITUTE(Клиенты_исходные!D935," ",""),"-",""),"+",""),"(",""),")","")),2,3)&amp;") "&amp;MID(IF(LEFT(SUBSTITUTE(SUBSTITUTE(SUBSTITUTE(SUBSTITUTE(SUBSTITUTE(Клиенты_исходные!D935," ",""),"-",""),"+",""),"(",""),")",""))="8","7"&amp;MID(SUBSTITUTE(SUBSTITUTE(SUBSTITUTE(SUBSTITUTE(SUBSTITUTE(Клиенты_исходные!D935," ",""),"-",""),"+",""),"(",""),")",""),2,10),SUBSTITUTE(SUBSTITUTE(SUBSTITUTE(SUBSTITUTE(SUBSTITUTE(Клиенты_исходные!D935," ",""),"-",""),"+",""),"(",""),")","")),5,3)&amp;"-"&amp;MID(IF(LEFT(SUBSTITUTE(SUBSTITUTE(SUBSTITUTE(SUBSTITUTE(SUBSTITUTE(Клиенты_исходные!D935," ",""),"-",""),"+",""),"(",""),")",""))="8","7"&amp;MID(SUBSTITUTE(SUBSTITUTE(SUBSTITUTE(SUBSTITUTE(SUBSTITUTE(Клиенты_исходные!D935," ",""),"-",""),"+",""),"(",""),")",""),2,10),SUBSTITUTE(SUBSTITUTE(SUBSTITUTE(SUBSTITUTE(SUBSTITUTE(Клиенты_исходные!D935," ",""),"-",""),"+",""),"(",""),")","")),8,2)&amp;"-"&amp;MID(IF(LEFT(SUBSTITUTE(SUBSTITUTE(SUBSTITUTE(SUBSTITUTE(SUBSTITUTE(Клиенты_исходные!D935," ",""),"-",""),"+",""),"(",""),")",""))="8","7"&amp;MID(SUBSTITUTE(SUBSTITUTE(SUBSTITUTE(SUBSTITUTE(SUBSTITUTE(Клиенты_исходные!D935," ",""),"-",""),"+",""),"(",""),")",""),2,10),SUBSTITUTE(SUBSTITUTE(SUBSTITUTE(SUBSTITUTE(SUBSTITUTE(Клиенты_исходные!D935," ",""),"-",""),"+",""),"(",""),")","")),10,2),IF(LEN(SUBSTITUTE(SUBSTITUTE(SUBSTITUTE(SUBSTITUTE(SUBSTITUTE(Клиенты_исходные!D935," ",""),"-",""),"+",""),"(",""),")",""))=10,"+7 ("&amp;MID(SUBSTITUTE(SUBSTITUTE(SUBSTITUTE(SUBSTITUTE(SUBSTITUTE(Клиенты_исходные!D935," ",""),"-",""),"+",""),"(",""),")",""),1,3)&amp;") "&amp;MID(SUBSTITUTE(SUBSTITUTE(SUBSTITUTE(SUBSTITUTE(SUBSTITUTE(Клиенты_исходные!D935," ",""),"-",""),"+",""),"(",""),")",""),4,3)&amp;"-"&amp;MID(SUBSTITUTE(SUBSTITUTE(SUBSTITUTE(SUBSTITUTE(SUBSTITUTE(Клиенты_исходные!D935," ",""),"-",""),"+",""),"(",""),")",""),6,2)&amp;"-"&amp;MID(SUBSTITUTE(SUBSTITUTE(SUBSTITUTE(SUBSTITUTE(SUBSTITUTE(Клиенты_исходные!D935," ",""),"-",""),"+",""),"(",""),")",""),8,2),Клиенты_исходные!D935)))</f>
        <v xml:space="preserve">+7 (903) 789-01-23</v>
      </c>
      <c r="E935" t="str">
        <f>IF(ISBLANK(Клиенты_исходные!E935),"",IF(ISNUMBER(FIND(".",MID(Клиенты_исходные!E935,FIND("@",Клиенты_исходные!E935)+1,255))),Клиенты_исходные!E935,IF(ISNUMBER(FIND("gmail",Клиенты_исходные!E935)),Клиенты_исходные!E935&amp;".com",Клиенты_исходные!E935&amp;".ru")))</f>
        <v>kozlov@mail.ru</v>
      </c>
      <c r="F935" t="str">
        <f>IFERROR(VLOOKUP(Клиенты_исходные!F935,Справочники!$J$2:$K$50,2,FALSE),Клиенты_исходные!F935)</f>
        <v>Миасс</v>
      </c>
      <c r="G935" s="8">
        <f>IFERROR(IF(ISNUMBER(FIND(".",Клиенты_исходные!G935)),DATE(RIGHT(Клиенты_исходные!G935,4),MID(Клиенты_исходные!G935,4,2),LEFT(Клиенты_исходные!G935,2)),DATE(LEFT(Клиенты_исходные!G935,4),MID(Клиенты_исходные!G935,6,2),RIGHT(Клиенты_исходные!G935,2))),Клиенты_исходные!G935)</f>
        <v>54027</v>
      </c>
      <c r="H935">
        <f t="shared" ca="1" si="91"/>
        <v>48</v>
      </c>
      <c r="I935" t="str">
        <f t="shared" si="92"/>
        <v>OK</v>
      </c>
      <c r="J935" t="str">
        <f t="shared" si="93"/>
        <v>OK</v>
      </c>
    </row>
    <row r="936">
      <c r="A936" t="str">
        <f>Клиенты_исходные!A936</f>
        <v>C0935</v>
      </c>
      <c r="B936" t="str">
        <f>PROPER(TRIM(Клиенты_исходные!B936))</f>
        <v xml:space="preserve">Волкова Екатерина Владимировна</v>
      </c>
      <c r="C936" s="8">
        <f>IFERROR(IF(ISNUMBER(FIND(".",Клиенты_исходные!C936)),DATE(RIGHT(Клиенты_исходные!C936,4),MID(Клиенты_исходные!C936,4,2),LEFT(Клиенты_исходные!C936,2)),DATE(LEFT(Клиенты_исходные!C936,4),MID(Клиенты_исходные!C936,6,2),RIGHT(Клиенты_исходные!C936,2))),Клиенты_исходные!C936)</f>
        <v>31252</v>
      </c>
      <c r="D936" t="str">
        <f>IF(ISBLANK(Клиенты_исходные!D936),"",IF(LEN(SUBSTITUTE(SUBSTITUTE(SUBSTITUTE(SUBSTITUTE(SUBSTITUTE(Клиенты_исходные!D936," ",""),"-",""),"+",""),"(",""),")",""))=11,"+7 ("&amp;MID(IF(LEFT(SUBSTITUTE(SUBSTITUTE(SUBSTITUTE(SUBSTITUTE(SUBSTITUTE(Клиенты_исходные!D936," ",""),"-",""),"+",""),"(",""),")",""))="8","7"&amp;MID(SUBSTITUTE(SUBSTITUTE(SUBSTITUTE(SUBSTITUTE(SUBSTITUTE(Клиенты_исходные!D936," ",""),"-",""),"+",""),"(",""),")",""),2,10),SUBSTITUTE(SUBSTITUTE(SUBSTITUTE(SUBSTITUTE(SUBSTITUTE(Клиенты_исходные!D936," ",""),"-",""),"+",""),"(",""),")","")),2,3)&amp;") "&amp;MID(IF(LEFT(SUBSTITUTE(SUBSTITUTE(SUBSTITUTE(SUBSTITUTE(SUBSTITUTE(Клиенты_исходные!D936," ",""),"-",""),"+",""),"(",""),")",""))="8","7"&amp;MID(SUBSTITUTE(SUBSTITUTE(SUBSTITUTE(SUBSTITUTE(SUBSTITUTE(Клиенты_исходные!D936," ",""),"-",""),"+",""),"(",""),")",""),2,10),SUBSTITUTE(SUBSTITUTE(SUBSTITUTE(SUBSTITUTE(SUBSTITUTE(Клиенты_исходные!D936," ",""),"-",""),"+",""),"(",""),")","")),5,3)&amp;"-"&amp;MID(IF(LEFT(SUBSTITUTE(SUBSTITUTE(SUBSTITUTE(SUBSTITUTE(SUBSTITUTE(Клиенты_исходные!D936," ",""),"-",""),"+",""),"(",""),")",""))="8","7"&amp;MID(SUBSTITUTE(SUBSTITUTE(SUBSTITUTE(SUBSTITUTE(SUBSTITUTE(Клиенты_исходные!D936," ",""),"-",""),"+",""),"(",""),")",""),2,10),SUBSTITUTE(SUBSTITUTE(SUBSTITUTE(SUBSTITUTE(SUBSTITUTE(Клиенты_исходные!D936," ",""),"-",""),"+",""),"(",""),")","")),8,2)&amp;"-"&amp;MID(IF(LEFT(SUBSTITUTE(SUBSTITUTE(SUBSTITUTE(SUBSTITUTE(SUBSTITUTE(Клиенты_исходные!D936," ",""),"-",""),"+",""),"(",""),")",""))="8","7"&amp;MID(SUBSTITUTE(SUBSTITUTE(SUBSTITUTE(SUBSTITUTE(SUBSTITUTE(Клиенты_исходные!D936," ",""),"-",""),"+",""),"(",""),")",""),2,10),SUBSTITUTE(SUBSTITUTE(SUBSTITUTE(SUBSTITUTE(SUBSTITUTE(Клиенты_исходные!D936," ",""),"-",""),"+",""),"(",""),")","")),10,2),IF(LEN(SUBSTITUTE(SUBSTITUTE(SUBSTITUTE(SUBSTITUTE(SUBSTITUTE(Клиенты_исходные!D936," ",""),"-",""),"+",""),"(",""),")",""))=10,"+7 ("&amp;MID(SUBSTITUTE(SUBSTITUTE(SUBSTITUTE(SUBSTITUTE(SUBSTITUTE(Клиенты_исходные!D936," ",""),"-",""),"+",""),"(",""),")",""),1,3)&amp;") "&amp;MID(SUBSTITUTE(SUBSTITUTE(SUBSTITUTE(SUBSTITUTE(SUBSTITUTE(Клиенты_исходные!D936," ",""),"-",""),"+",""),"(",""),")",""),4,3)&amp;"-"&amp;MID(SUBSTITUTE(SUBSTITUTE(SUBSTITUTE(SUBSTITUTE(SUBSTITUTE(Клиенты_исходные!D936," ",""),"-",""),"+",""),"(",""),")",""),6,2)&amp;"-"&amp;MID(SUBSTITUTE(SUBSTITUTE(SUBSTITUTE(SUBSTITUTE(SUBSTITUTE(Клиенты_исходные!D936," ",""),"-",""),"+",""),"(",""),")",""),8,2),Клиенты_исходные!D936)))</f>
        <v xml:space="preserve">+7 (903) 789-01-23</v>
      </c>
      <c r="E936" t="str">
        <f>IF(ISBLANK(Клиенты_исходные!E936),"",IF(ISNUMBER(FIND(".",MID(Клиенты_исходные!E936,FIND("@",Клиенты_исходные!E936)+1,255))),Клиенты_исходные!E936,IF(ISNUMBER(FIND("gmail",Клиенты_исходные!E936)),Клиенты_исходные!E936&amp;".com",Клиенты_исходные!E936&amp;".ru")))</f>
        <v>volkova@yandex.ru</v>
      </c>
      <c r="F936" t="str">
        <f>IFERROR(VLOOKUP(Клиенты_исходные!F936,Справочники!$J$2:$K$50,2,FALSE),Клиенты_исходные!F936)</f>
        <v>Кызыл</v>
      </c>
      <c r="G936" s="8">
        <f>IFERROR(IF(ISNUMBER(FIND(".",Клиенты_исходные!G936)),DATE(RIGHT(Клиенты_исходные!G936,4),MID(Клиенты_исходные!G936,4,2),LEFT(Клиенты_исходные!G936,2)),DATE(LEFT(Клиенты_исходные!G936,4),MID(Клиенты_исходные!G936,6,2),RIGHT(Клиенты_исходные!G936,2))),Клиенты_исходные!G936)</f>
        <v>54036</v>
      </c>
      <c r="H936">
        <f t="shared" ca="1" si="91"/>
        <v>41</v>
      </c>
      <c r="I936" t="str">
        <f t="shared" si="92"/>
        <v>OK</v>
      </c>
      <c r="J936" t="str">
        <f t="shared" si="93"/>
        <v>OK</v>
      </c>
    </row>
    <row r="937">
      <c r="A937" t="str">
        <f>Клиенты_исходные!A937</f>
        <v>C0936</v>
      </c>
      <c r="B937" t="str">
        <f>PROPER(TRIM(Клиенты_исходные!B937))</f>
        <v xml:space="preserve">Коробков Илья Александрович</v>
      </c>
      <c r="C937" s="8">
        <f>IFERROR(IF(ISNUMBER(FIND(".",Клиенты_исходные!C937)),DATE(RIGHT(Клиенты_исходные!C937,4),MID(Клиенты_исходные!C937,4,2),LEFT(Клиенты_исходные!C937,2)),DATE(LEFT(Клиенты_исходные!C937,4),MID(Клиенты_исходные!C937,6,2),RIGHT(Клиенты_исходные!C937,2))),Клиенты_исходные!C937)</f>
        <v>33859</v>
      </c>
      <c r="D937" t="str">
        <f>IF(ISBLANK(Клиенты_исходные!D937),"",IF(LEN(SUBSTITUTE(SUBSTITUTE(SUBSTITUTE(SUBSTITUTE(SUBSTITUTE(Клиенты_исходные!D937," ",""),"-",""),"+",""),"(",""),")",""))=11,"+7 ("&amp;MID(IF(LEFT(SUBSTITUTE(SUBSTITUTE(SUBSTITUTE(SUBSTITUTE(SUBSTITUTE(Клиенты_исходные!D937," ",""),"-",""),"+",""),"(",""),")",""))="8","7"&amp;MID(SUBSTITUTE(SUBSTITUTE(SUBSTITUTE(SUBSTITUTE(SUBSTITUTE(Клиенты_исходные!D937," ",""),"-",""),"+",""),"(",""),")",""),2,10),SUBSTITUTE(SUBSTITUTE(SUBSTITUTE(SUBSTITUTE(SUBSTITUTE(Клиенты_исходные!D937," ",""),"-",""),"+",""),"(",""),")","")),2,3)&amp;") "&amp;MID(IF(LEFT(SUBSTITUTE(SUBSTITUTE(SUBSTITUTE(SUBSTITUTE(SUBSTITUTE(Клиенты_исходные!D937," ",""),"-",""),"+",""),"(",""),")",""))="8","7"&amp;MID(SUBSTITUTE(SUBSTITUTE(SUBSTITUTE(SUBSTITUTE(SUBSTITUTE(Клиенты_исходные!D937," ",""),"-",""),"+",""),"(",""),")",""),2,10),SUBSTITUTE(SUBSTITUTE(SUBSTITUTE(SUBSTITUTE(SUBSTITUTE(Клиенты_исходные!D937," ",""),"-",""),"+",""),"(",""),")","")),5,3)&amp;"-"&amp;MID(IF(LEFT(SUBSTITUTE(SUBSTITUTE(SUBSTITUTE(SUBSTITUTE(SUBSTITUTE(Клиенты_исходные!D937," ",""),"-",""),"+",""),"(",""),")",""))="8","7"&amp;MID(SUBSTITUTE(SUBSTITUTE(SUBSTITUTE(SUBSTITUTE(SUBSTITUTE(Клиенты_исходные!D937," ",""),"-",""),"+",""),"(",""),")",""),2,10),SUBSTITUTE(SUBSTITUTE(SUBSTITUTE(SUBSTITUTE(SUBSTITUTE(Клиенты_исходные!D937," ",""),"-",""),"+",""),"(",""),")","")),8,2)&amp;"-"&amp;MID(IF(LEFT(SUBSTITUTE(SUBSTITUTE(SUBSTITUTE(SUBSTITUTE(SUBSTITUTE(Клиенты_исходные!D937," ",""),"-",""),"+",""),"(",""),")",""))="8","7"&amp;MID(SUBSTITUTE(SUBSTITUTE(SUBSTITUTE(SUBSTITUTE(SUBSTITUTE(Клиенты_исходные!D937," ",""),"-",""),"+",""),"(",""),")",""),2,10),SUBSTITUTE(SUBSTITUTE(SUBSTITUTE(SUBSTITUTE(SUBSTITUTE(Клиенты_исходные!D937," ",""),"-",""),"+",""),"(",""),")","")),10,2),IF(LEN(SUBSTITUTE(SUBSTITUTE(SUBSTITUTE(SUBSTITUTE(SUBSTITUTE(Клиенты_исходные!D937," ",""),"-",""),"+",""),"(",""),")",""))=10,"+7 ("&amp;MID(SUBSTITUTE(SUBSTITUTE(SUBSTITUTE(SUBSTITUTE(SUBSTITUTE(Клиенты_исходные!D937," ",""),"-",""),"+",""),"(",""),")",""),1,3)&amp;") "&amp;MID(SUBSTITUTE(SUBSTITUTE(SUBSTITUTE(SUBSTITUTE(SUBSTITUTE(Клиенты_исходные!D937," ",""),"-",""),"+",""),"(",""),")",""),4,3)&amp;"-"&amp;MID(SUBSTITUTE(SUBSTITUTE(SUBSTITUTE(SUBSTITUTE(SUBSTITUTE(Клиенты_исходные!D937," ",""),"-",""),"+",""),"(",""),")",""),6,2)&amp;"-"&amp;MID(SUBSTITUTE(SUBSTITUTE(SUBSTITUTE(SUBSTITUTE(SUBSTITUTE(Клиенты_исходные!D937," ",""),"-",""),"+",""),"(",""),")",""),8,2),Клиенты_исходные!D937)))</f>
        <v xml:space="preserve">+7 (903) 890-12-34</v>
      </c>
      <c r="E937" t="str">
        <f>IF(ISBLANK(Клиенты_исходные!E937),"",IF(ISNUMBER(FIND(".",MID(Клиенты_исходные!E937,FIND("@",Клиенты_исходные!E937)+1,255))),Клиенты_исходные!E937,IF(ISNUMBER(FIND("gmail",Клиенты_исходные!E937)),Клиенты_исходные!E937&amp;".com",Клиенты_исходные!E937&amp;".ru")))</f>
        <v>korobkov@gmail.com</v>
      </c>
      <c r="F937" t="str">
        <f>IFERROR(VLOOKUP(Клиенты_исходные!F937,Справочники!$J$2:$K$50,2,FALSE),Клиенты_исходные!F937)</f>
        <v>Калининград</v>
      </c>
      <c r="G937" s="8">
        <f>IFERROR(IF(ISNUMBER(FIND(".",Клиенты_исходные!G937)),DATE(RIGHT(Клиенты_исходные!G937,4),MID(Клиенты_исходные!G937,4,2),LEFT(Клиенты_исходные!G937,2)),DATE(LEFT(Клиенты_исходные!G937,4),MID(Клиенты_исходные!G937,6,2),RIGHT(Клиенты_исходные!G937,2))),Клиенты_исходные!G937)</f>
        <v>54036</v>
      </c>
      <c r="H937">
        <f t="shared" ca="1" si="91"/>
        <v>34</v>
      </c>
      <c r="I937" t="str">
        <f t="shared" si="92"/>
        <v>OK</v>
      </c>
      <c r="J937" t="str">
        <f t="shared" si="93"/>
        <v>OK</v>
      </c>
    </row>
    <row r="938">
      <c r="A938" t="str">
        <f>Клиенты_исходные!A938</f>
        <v>C0937</v>
      </c>
      <c r="B938" t="str">
        <f>PROPER(TRIM(Клиенты_исходные!B938))</f>
        <v xml:space="preserve">Родионова Мария Павловна</v>
      </c>
      <c r="C938" s="8">
        <f>IFERROR(IF(ISNUMBER(FIND(".",Клиенты_исходные!C938)),DATE(RIGHT(Клиенты_исходные!C938,4),MID(Клиенты_исходные!C938,4,2),LEFT(Клиенты_исходные!C938,2)),DATE(LEFT(Клиенты_исходные!C938,4),MID(Клиенты_исходные!C938,6,2),RIGHT(Клиенты_исходные!C938,2))),Клиенты_исходные!C938)</f>
        <v>28112</v>
      </c>
      <c r="D938" t="str">
        <f>IF(ISBLANK(Клиенты_исходные!D938),"",IF(LEN(SUBSTITUTE(SUBSTITUTE(SUBSTITUTE(SUBSTITUTE(SUBSTITUTE(Клиенты_исходные!D938," ",""),"-",""),"+",""),"(",""),")",""))=11,"+7 ("&amp;MID(IF(LEFT(SUBSTITUTE(SUBSTITUTE(SUBSTITUTE(SUBSTITUTE(SUBSTITUTE(Клиенты_исходные!D938," ",""),"-",""),"+",""),"(",""),")",""))="8","7"&amp;MID(SUBSTITUTE(SUBSTITUTE(SUBSTITUTE(SUBSTITUTE(SUBSTITUTE(Клиенты_исходные!D938," ",""),"-",""),"+",""),"(",""),")",""),2,10),SUBSTITUTE(SUBSTITUTE(SUBSTITUTE(SUBSTITUTE(SUBSTITUTE(Клиенты_исходные!D938," ",""),"-",""),"+",""),"(",""),")","")),2,3)&amp;") "&amp;MID(IF(LEFT(SUBSTITUTE(SUBSTITUTE(SUBSTITUTE(SUBSTITUTE(SUBSTITUTE(Клиенты_исходные!D938," ",""),"-",""),"+",""),"(",""),")",""))="8","7"&amp;MID(SUBSTITUTE(SUBSTITUTE(SUBSTITUTE(SUBSTITUTE(SUBSTITUTE(Клиенты_исходные!D938," ",""),"-",""),"+",""),"(",""),")",""),2,10),SUBSTITUTE(SUBSTITUTE(SUBSTITUTE(SUBSTITUTE(SUBSTITUTE(Клиенты_исходные!D938," ",""),"-",""),"+",""),"(",""),")","")),5,3)&amp;"-"&amp;MID(IF(LEFT(SUBSTITUTE(SUBSTITUTE(SUBSTITUTE(SUBSTITUTE(SUBSTITUTE(Клиенты_исходные!D938," ",""),"-",""),"+",""),"(",""),")",""))="8","7"&amp;MID(SUBSTITUTE(SUBSTITUTE(SUBSTITUTE(SUBSTITUTE(SUBSTITUTE(Клиенты_исходные!D938," ",""),"-",""),"+",""),"(",""),")",""),2,10),SUBSTITUTE(SUBSTITUTE(SUBSTITUTE(SUBSTITUTE(SUBSTITUTE(Клиенты_исходные!D938," ",""),"-",""),"+",""),"(",""),")","")),8,2)&amp;"-"&amp;MID(IF(LEFT(SUBSTITUTE(SUBSTITUTE(SUBSTITUTE(SUBSTITUTE(SUBSTITUTE(Клиенты_исходные!D938," ",""),"-",""),"+",""),"(",""),")",""))="8","7"&amp;MID(SUBSTITUTE(SUBSTITUTE(SUBSTITUTE(SUBSTITUTE(SUBSTITUTE(Клиенты_исходные!D938," ",""),"-",""),"+",""),"(",""),")",""),2,10),SUBSTITUTE(SUBSTITUTE(SUBSTITUTE(SUBSTITUTE(SUBSTITUTE(Клиенты_исходные!D938," ",""),"-",""),"+",""),"(",""),")","")),10,2),IF(LEN(SUBSTITUTE(SUBSTITUTE(SUBSTITUTE(SUBSTITUTE(SUBSTITUTE(Клиенты_исходные!D938," ",""),"-",""),"+",""),"(",""),")",""))=10,"+7 ("&amp;MID(SUBSTITUTE(SUBSTITUTE(SUBSTITUTE(SUBSTITUTE(SUBSTITUTE(Клиенты_исходные!D938," ",""),"-",""),"+",""),"(",""),")",""),1,3)&amp;") "&amp;MID(SUBSTITUTE(SUBSTITUTE(SUBSTITUTE(SUBSTITUTE(SUBSTITUTE(Клиенты_исходные!D938," ",""),"-",""),"+",""),"(",""),")",""),4,3)&amp;"-"&amp;MID(SUBSTITUTE(SUBSTITUTE(SUBSTITUTE(SUBSTITUTE(SUBSTITUTE(Клиенты_исходные!D938," ",""),"-",""),"+",""),"(",""),")",""),6,2)&amp;"-"&amp;MID(SUBSTITUTE(SUBSTITUTE(SUBSTITUTE(SUBSTITUTE(SUBSTITUTE(Клиенты_исходные!D938," ",""),"-",""),"+",""),"(",""),")",""),8,2),Клиенты_исходные!D938)))</f>
        <v xml:space="preserve">+7 (903) 890-12-34</v>
      </c>
      <c r="E938" t="str">
        <f>IF(ISBLANK(Клиенты_исходные!E938),"",IF(ISNUMBER(FIND(".",MID(Клиенты_исходные!E938,FIND("@",Клиенты_исходные!E938)+1,255))),Клиенты_исходные!E938,IF(ISNUMBER(FIND("gmail",Клиенты_исходные!E938)),Клиенты_исходные!E938&amp;".com",Клиенты_исходные!E938&amp;".ru")))</f>
        <v>rodionova@mail.ru</v>
      </c>
      <c r="F938" t="str">
        <f>IFERROR(VLOOKUP(Клиенты_исходные!F938,Справочники!$J$2:$K$50,2,FALSE),Клиенты_исходные!F938)</f>
        <v>Петрозаводск</v>
      </c>
      <c r="G938" s="8">
        <f>IFERROR(IF(ISNUMBER(FIND(".",Клиенты_исходные!G938)),DATE(RIGHT(Клиенты_исходные!G938,4),MID(Клиенты_исходные!G938,4,2),LEFT(Клиенты_исходные!G938,2)),DATE(LEFT(Клиенты_исходные!G938,4),MID(Клиенты_исходные!G938,6,2),RIGHT(Клиенты_исходные!G938,2))),Клиенты_исходные!G938)</f>
        <v>54058</v>
      </c>
      <c r="H938">
        <f t="shared" ca="1" si="91"/>
        <v>49</v>
      </c>
      <c r="I938" t="str">
        <f t="shared" si="92"/>
        <v>OK</v>
      </c>
      <c r="J938" t="str">
        <f t="shared" si="93"/>
        <v>OK</v>
      </c>
    </row>
    <row r="939">
      <c r="A939" t="str">
        <f>Клиенты_исходные!A939</f>
        <v>C0938</v>
      </c>
      <c r="B939" t="str">
        <f>PROPER(TRIM(Клиенты_исходные!B939))</f>
        <v xml:space="preserve">Кириллов Денис Викторович</v>
      </c>
      <c r="C939" s="8">
        <f>IFERROR(IF(ISNUMBER(FIND(".",Клиенты_исходные!C939)),DATE(RIGHT(Клиенты_исходные!C939,4),MID(Клиенты_исходные!C939,4,2),LEFT(Клиенты_исходные!C939,2)),DATE(LEFT(Клиенты_исходные!C939,4),MID(Клиенты_исходные!C939,6,2),RIGHT(Клиенты_исходные!C939,2))),Клиенты_исходные!C939)</f>
        <v>29893</v>
      </c>
      <c r="D939" t="str">
        <f>IF(ISBLANK(Клиенты_исходные!D939),"",IF(LEN(SUBSTITUTE(SUBSTITUTE(SUBSTITUTE(SUBSTITUTE(SUBSTITUTE(Клиенты_исходные!D939," ",""),"-",""),"+",""),"(",""),")",""))=11,"+7 ("&amp;MID(IF(LEFT(SUBSTITUTE(SUBSTITUTE(SUBSTITUTE(SUBSTITUTE(SUBSTITUTE(Клиенты_исходные!D939," ",""),"-",""),"+",""),"(",""),")",""))="8","7"&amp;MID(SUBSTITUTE(SUBSTITUTE(SUBSTITUTE(SUBSTITUTE(SUBSTITUTE(Клиенты_исходные!D939," ",""),"-",""),"+",""),"(",""),")",""),2,10),SUBSTITUTE(SUBSTITUTE(SUBSTITUTE(SUBSTITUTE(SUBSTITUTE(Клиенты_исходные!D939," ",""),"-",""),"+",""),"(",""),")","")),2,3)&amp;") "&amp;MID(IF(LEFT(SUBSTITUTE(SUBSTITUTE(SUBSTITUTE(SUBSTITUTE(SUBSTITUTE(Клиенты_исходные!D939," ",""),"-",""),"+",""),"(",""),")",""))="8","7"&amp;MID(SUBSTITUTE(SUBSTITUTE(SUBSTITUTE(SUBSTITUTE(SUBSTITUTE(Клиенты_исходные!D939," ",""),"-",""),"+",""),"(",""),")",""),2,10),SUBSTITUTE(SUBSTITUTE(SUBSTITUTE(SUBSTITUTE(SUBSTITUTE(Клиенты_исходные!D939," ",""),"-",""),"+",""),"(",""),")","")),5,3)&amp;"-"&amp;MID(IF(LEFT(SUBSTITUTE(SUBSTITUTE(SUBSTITUTE(SUBSTITUTE(SUBSTITUTE(Клиенты_исходные!D939," ",""),"-",""),"+",""),"(",""),")",""))="8","7"&amp;MID(SUBSTITUTE(SUBSTITUTE(SUBSTITUTE(SUBSTITUTE(SUBSTITUTE(Клиенты_исходные!D939," ",""),"-",""),"+",""),"(",""),")",""),2,10),SUBSTITUTE(SUBSTITUTE(SUBSTITUTE(SUBSTITUTE(SUBSTITUTE(Клиенты_исходные!D939," ",""),"-",""),"+",""),"(",""),")","")),8,2)&amp;"-"&amp;MID(IF(LEFT(SUBSTITUTE(SUBSTITUTE(SUBSTITUTE(SUBSTITUTE(SUBSTITUTE(Клиенты_исходные!D939," ",""),"-",""),"+",""),"(",""),")",""))="8","7"&amp;MID(SUBSTITUTE(SUBSTITUTE(SUBSTITUTE(SUBSTITUTE(SUBSTITUTE(Клиенты_исходные!D939," ",""),"-",""),"+",""),"(",""),")",""),2,10),SUBSTITUTE(SUBSTITUTE(SUBSTITUTE(SUBSTITUTE(SUBSTITUTE(Клиенты_исходные!D939," ",""),"-",""),"+",""),"(",""),")","")),10,2),IF(LEN(SUBSTITUTE(SUBSTITUTE(SUBSTITUTE(SUBSTITUTE(SUBSTITUTE(Клиенты_исходные!D939," ",""),"-",""),"+",""),"(",""),")",""))=10,"+7 ("&amp;MID(SUBSTITUTE(SUBSTITUTE(SUBSTITUTE(SUBSTITUTE(SUBSTITUTE(Клиенты_исходные!D939," ",""),"-",""),"+",""),"(",""),")",""),1,3)&amp;") "&amp;MID(SUBSTITUTE(SUBSTITUTE(SUBSTITUTE(SUBSTITUTE(SUBSTITUTE(Клиенты_исходные!D939," ",""),"-",""),"+",""),"(",""),")",""),4,3)&amp;"-"&amp;MID(SUBSTITUTE(SUBSTITUTE(SUBSTITUTE(SUBSTITUTE(SUBSTITUTE(Клиенты_исходные!D939," ",""),"-",""),"+",""),"(",""),")",""),6,2)&amp;"-"&amp;MID(SUBSTITUTE(SUBSTITUTE(SUBSTITUTE(SUBSTITUTE(SUBSTITUTE(Клиенты_исходные!D939," ",""),"-",""),"+",""),"(",""),")",""),8,2),Клиенты_исходные!D939)))</f>
        <v xml:space="preserve">+7 (903) 890-12-34</v>
      </c>
      <c r="E939" t="str">
        <f>IF(ISBLANK(Клиенты_исходные!E939),"",IF(ISNUMBER(FIND(".",MID(Клиенты_исходные!E939,FIND("@",Клиенты_исходные!E939)+1,255))),Клиенты_исходные!E939,IF(ISNUMBER(FIND("gmail",Клиенты_исходные!E939)),Клиенты_исходные!E939&amp;".com",Клиенты_исходные!E939&amp;".ru")))</f>
        <v>kirillov@yandex.ru</v>
      </c>
      <c r="F939" t="str">
        <f>IFERROR(VLOOKUP(Клиенты_исходные!F939,Справочники!$J$2:$K$50,2,FALSE),Клиенты_исходные!F939)</f>
        <v>Рубцовск</v>
      </c>
      <c r="G939" s="8">
        <f>IFERROR(IF(ISNUMBER(FIND(".",Клиенты_исходные!G939)),DATE(RIGHT(Клиенты_исходные!G939,4),MID(Клиенты_исходные!G939,4,2),LEFT(Клиенты_исходные!G939,2)),DATE(LEFT(Клиенты_исходные!G939,4),MID(Клиенты_исходные!G939,6,2),RIGHT(Клиенты_исходные!G939,2))),Клиенты_исходные!G939)</f>
        <v>54072</v>
      </c>
      <c r="H939">
        <f t="shared" ca="1" si="91"/>
        <v>44</v>
      </c>
      <c r="I939" t="str">
        <f t="shared" si="92"/>
        <v>OK</v>
      </c>
      <c r="J939" t="str">
        <f t="shared" si="93"/>
        <v>OK</v>
      </c>
    </row>
    <row r="940">
      <c r="A940" t="str">
        <f>Клиенты_исходные!A940</f>
        <v>C0939</v>
      </c>
      <c r="B940" t="str">
        <f>PROPER(TRIM(Клиенты_исходные!B940))</f>
        <v xml:space="preserve">Жукова Ольга Сергеевна</v>
      </c>
      <c r="C940" s="8">
        <f>IFERROR(IF(ISNUMBER(FIND(".",Клиенты_исходные!C940)),DATE(RIGHT(Клиенты_исходные!C940,4),MID(Клиенты_исходные!C940,4,2),LEFT(Клиенты_исходные!C940,2)),DATE(LEFT(Клиенты_исходные!C940,4),MID(Клиенты_исходные!C940,6,2),RIGHT(Клиенты_исходные!C940,2))),Клиенты_исходные!C940)</f>
        <v>32684</v>
      </c>
      <c r="D940" t="str">
        <f>IF(ISBLANK(Клиенты_исходные!D940),"",IF(LEN(SUBSTITUTE(SUBSTITUTE(SUBSTITUTE(SUBSTITUTE(SUBSTITUTE(Клиенты_исходные!D940," ",""),"-",""),"+",""),"(",""),")",""))=11,"+7 ("&amp;MID(IF(LEFT(SUBSTITUTE(SUBSTITUTE(SUBSTITUTE(SUBSTITUTE(SUBSTITUTE(Клиенты_исходные!D940," ",""),"-",""),"+",""),"(",""),")",""))="8","7"&amp;MID(SUBSTITUTE(SUBSTITUTE(SUBSTITUTE(SUBSTITUTE(SUBSTITUTE(Клиенты_исходные!D940," ",""),"-",""),"+",""),"(",""),")",""),2,10),SUBSTITUTE(SUBSTITUTE(SUBSTITUTE(SUBSTITUTE(SUBSTITUTE(Клиенты_исходные!D940," ",""),"-",""),"+",""),"(",""),")","")),2,3)&amp;") "&amp;MID(IF(LEFT(SUBSTITUTE(SUBSTITUTE(SUBSTITUTE(SUBSTITUTE(SUBSTITUTE(Клиенты_исходные!D940," ",""),"-",""),"+",""),"(",""),")",""))="8","7"&amp;MID(SUBSTITUTE(SUBSTITUTE(SUBSTITUTE(SUBSTITUTE(SUBSTITUTE(Клиенты_исходные!D940," ",""),"-",""),"+",""),"(",""),")",""),2,10),SUBSTITUTE(SUBSTITUTE(SUBSTITUTE(SUBSTITUTE(SUBSTITUTE(Клиенты_исходные!D940," ",""),"-",""),"+",""),"(",""),")","")),5,3)&amp;"-"&amp;MID(IF(LEFT(SUBSTITUTE(SUBSTITUTE(SUBSTITUTE(SUBSTITUTE(SUBSTITUTE(Клиенты_исходные!D940," ",""),"-",""),"+",""),"(",""),")",""))="8","7"&amp;MID(SUBSTITUTE(SUBSTITUTE(SUBSTITUTE(SUBSTITUTE(SUBSTITUTE(Клиенты_исходные!D940," ",""),"-",""),"+",""),"(",""),")",""),2,10),SUBSTITUTE(SUBSTITUTE(SUBSTITUTE(SUBSTITUTE(SUBSTITUTE(Клиенты_исходные!D940," ",""),"-",""),"+",""),"(",""),")","")),8,2)&amp;"-"&amp;MID(IF(LEFT(SUBSTITUTE(SUBSTITUTE(SUBSTITUTE(SUBSTITUTE(SUBSTITUTE(Клиенты_исходные!D940," ",""),"-",""),"+",""),"(",""),")",""))="8","7"&amp;MID(SUBSTITUTE(SUBSTITUTE(SUBSTITUTE(SUBSTITUTE(SUBSTITUTE(Клиенты_исходные!D940," ",""),"-",""),"+",""),"(",""),")",""),2,10),SUBSTITUTE(SUBSTITUTE(SUBSTITUTE(SUBSTITUTE(SUBSTITUTE(Клиенты_исходные!D940," ",""),"-",""),"+",""),"(",""),")","")),10,2),IF(LEN(SUBSTITUTE(SUBSTITUTE(SUBSTITUTE(SUBSTITUTE(SUBSTITUTE(Клиенты_исходные!D940," ",""),"-",""),"+",""),"(",""),")",""))=10,"+7 ("&amp;MID(SUBSTITUTE(SUBSTITUTE(SUBSTITUTE(SUBSTITUTE(SUBSTITUTE(Клиенты_исходные!D940," ",""),"-",""),"+",""),"(",""),")",""),1,3)&amp;") "&amp;MID(SUBSTITUTE(SUBSTITUTE(SUBSTITUTE(SUBSTITUTE(SUBSTITUTE(Клиенты_исходные!D940," ",""),"-",""),"+",""),"(",""),")",""),4,3)&amp;"-"&amp;MID(SUBSTITUTE(SUBSTITUTE(SUBSTITUTE(SUBSTITUTE(SUBSTITUTE(Клиенты_исходные!D940," ",""),"-",""),"+",""),"(",""),")",""),6,2)&amp;"-"&amp;MID(SUBSTITUTE(SUBSTITUTE(SUBSTITUTE(SUBSTITUTE(SUBSTITUTE(Клиенты_исходные!D940," ",""),"-",""),"+",""),"(",""),")",""),8,2),Клиенты_исходные!D940)))</f>
        <v xml:space="preserve">+7 (903) 901-23-45</v>
      </c>
      <c r="E940" t="str">
        <f>IF(ISBLANK(Клиенты_исходные!E940),"",IF(ISNUMBER(FIND(".",MID(Клиенты_исходные!E940,FIND("@",Клиенты_исходные!E940)+1,255))),Клиенты_исходные!E940,IF(ISNUMBER(FIND("gmail",Клиенты_исходные!E940)),Клиенты_исходные!E940&amp;".com",Клиенты_исходные!E940&amp;".ru")))</f>
        <v>zhukova@gmail.com</v>
      </c>
      <c r="F940" t="str">
        <f>IFERROR(VLOOKUP(Клиенты_исходные!F940,Справочники!$J$2:$K$50,2,FALSE),Клиенты_исходные!F940)</f>
        <v>Элиста</v>
      </c>
      <c r="G940" s="8">
        <f>IFERROR(IF(ISNUMBER(FIND(".",Клиенты_исходные!G940)),DATE(RIGHT(Клиенты_исходные!G940,4),MID(Клиенты_исходные!G940,4,2),LEFT(Клиенты_исходные!G940,2)),DATE(LEFT(Клиенты_исходные!G940,4),MID(Клиенты_исходные!G940,6,2),RIGHT(Клиенты_исходные!G940,2))),Клиенты_исходные!G940)</f>
        <v>54072</v>
      </c>
      <c r="H940">
        <f t="shared" ca="1" si="91"/>
        <v>37</v>
      </c>
      <c r="I940" t="str">
        <f t="shared" si="92"/>
        <v>OK</v>
      </c>
      <c r="J940" t="str">
        <f t="shared" si="93"/>
        <v>OK</v>
      </c>
    </row>
    <row r="941">
      <c r="A941" t="str">
        <f>Клиенты_исходные!A941</f>
        <v>C0940</v>
      </c>
      <c r="B941" t="str">
        <f>PROPER(TRIM(Клиенты_исходные!B941))</f>
        <v xml:space="preserve">Чесноков Андрей Олегович</v>
      </c>
      <c r="C941" s="8">
        <f>IFERROR(IF(ISNUMBER(FIND(".",Клиенты_исходные!C941)),DATE(RIGHT(Клиенты_исходные!C941,4),MID(Клиенты_исходные!C941,4,2),LEFT(Клиенты_исходные!C941,2)),DATE(LEFT(Клиенты_исходные!C941,4),MID(Клиенты_исходные!C941,6,2),RIGHT(Клиенты_исходные!C941,2))),Клиенты_исходные!C941)</f>
        <v>27468</v>
      </c>
      <c r="D941" t="str">
        <f>IF(ISBLANK(Клиенты_исходные!D941),"",IF(LEN(SUBSTITUTE(SUBSTITUTE(SUBSTITUTE(SUBSTITUTE(SUBSTITUTE(Клиенты_исходные!D941," ",""),"-",""),"+",""),"(",""),")",""))=11,"+7 ("&amp;MID(IF(LEFT(SUBSTITUTE(SUBSTITUTE(SUBSTITUTE(SUBSTITUTE(SUBSTITUTE(Клиенты_исходные!D941," ",""),"-",""),"+",""),"(",""),")",""))="8","7"&amp;MID(SUBSTITUTE(SUBSTITUTE(SUBSTITUTE(SUBSTITUTE(SUBSTITUTE(Клиенты_исходные!D941," ",""),"-",""),"+",""),"(",""),")",""),2,10),SUBSTITUTE(SUBSTITUTE(SUBSTITUTE(SUBSTITUTE(SUBSTITUTE(Клиенты_исходные!D941," ",""),"-",""),"+",""),"(",""),")","")),2,3)&amp;") "&amp;MID(IF(LEFT(SUBSTITUTE(SUBSTITUTE(SUBSTITUTE(SUBSTITUTE(SUBSTITUTE(Клиенты_исходные!D941," ",""),"-",""),"+",""),"(",""),")",""))="8","7"&amp;MID(SUBSTITUTE(SUBSTITUTE(SUBSTITUTE(SUBSTITUTE(SUBSTITUTE(Клиенты_исходные!D941," ",""),"-",""),"+",""),"(",""),")",""),2,10),SUBSTITUTE(SUBSTITUTE(SUBSTITUTE(SUBSTITUTE(SUBSTITUTE(Клиенты_исходные!D941," ",""),"-",""),"+",""),"(",""),")","")),5,3)&amp;"-"&amp;MID(IF(LEFT(SUBSTITUTE(SUBSTITUTE(SUBSTITUTE(SUBSTITUTE(SUBSTITUTE(Клиенты_исходные!D941," ",""),"-",""),"+",""),"(",""),")",""))="8","7"&amp;MID(SUBSTITUTE(SUBSTITUTE(SUBSTITUTE(SUBSTITUTE(SUBSTITUTE(Клиенты_исходные!D941," ",""),"-",""),"+",""),"(",""),")",""),2,10),SUBSTITUTE(SUBSTITUTE(SUBSTITUTE(SUBSTITUTE(SUBSTITUTE(Клиенты_исходные!D941," ",""),"-",""),"+",""),"(",""),")","")),8,2)&amp;"-"&amp;MID(IF(LEFT(SUBSTITUTE(SUBSTITUTE(SUBSTITUTE(SUBSTITUTE(SUBSTITUTE(Клиенты_исходные!D941," ",""),"-",""),"+",""),"(",""),")",""))="8","7"&amp;MID(SUBSTITUTE(SUBSTITUTE(SUBSTITUTE(SUBSTITUTE(SUBSTITUTE(Клиенты_исходные!D941," ",""),"-",""),"+",""),"(",""),")",""),2,10),SUBSTITUTE(SUBSTITUTE(SUBSTITUTE(SUBSTITUTE(SUBSTITUTE(Клиенты_исходные!D941," ",""),"-",""),"+",""),"(",""),")","")),10,2),IF(LEN(SUBSTITUTE(SUBSTITUTE(SUBSTITUTE(SUBSTITUTE(SUBSTITUTE(Клиенты_исходные!D941," ",""),"-",""),"+",""),"(",""),")",""))=10,"+7 ("&amp;MID(SUBSTITUTE(SUBSTITUTE(SUBSTITUTE(SUBSTITUTE(SUBSTITUTE(Клиенты_исходные!D941," ",""),"-",""),"+",""),"(",""),")",""),1,3)&amp;") "&amp;MID(SUBSTITUTE(SUBSTITUTE(SUBSTITUTE(SUBSTITUTE(SUBSTITUTE(Клиенты_исходные!D941," ",""),"-",""),"+",""),"(",""),")",""),4,3)&amp;"-"&amp;MID(SUBSTITUTE(SUBSTITUTE(SUBSTITUTE(SUBSTITUTE(SUBSTITUTE(Клиенты_исходные!D941," ",""),"-",""),"+",""),"(",""),")",""),6,2)&amp;"-"&amp;MID(SUBSTITUTE(SUBSTITUTE(SUBSTITUTE(SUBSTITUTE(SUBSTITUTE(Клиенты_исходные!D941," ",""),"-",""),"+",""),"(",""),")",""),8,2),Клиенты_исходные!D941)))</f>
        <v xml:space="preserve">+7 (903) 901-23-45</v>
      </c>
      <c r="E941" t="str">
        <f>IF(ISBLANK(Клиенты_исходные!E941),"",IF(ISNUMBER(FIND(".",MID(Клиенты_исходные!E941,FIND("@",Клиенты_исходные!E941)+1,255))),Клиенты_исходные!E941,IF(ISNUMBER(FIND("gmail",Клиенты_исходные!E941)),Клиенты_исходные!E941&amp;".com",Клиенты_исходные!E941&amp;".ru")))</f>
        <v>chesnokov@mail.ru</v>
      </c>
      <c r="F941" t="str">
        <f>IFERROR(VLOOKUP(Клиенты_исходные!F941,Справочники!$J$2:$K$50,2,FALSE),Клиенты_исходные!F941)</f>
        <v>Орск</v>
      </c>
      <c r="G941" s="8">
        <f>IFERROR(IF(ISNUMBER(FIND(".",Клиенты_исходные!G941)),DATE(RIGHT(Клиенты_исходные!G941,4),MID(Клиенты_исходные!G941,4,2),LEFT(Клиенты_исходные!G941,2)),DATE(LEFT(Клиенты_исходные!G941,4),MID(Клиенты_исходные!G941,6,2),RIGHT(Клиенты_исходные!G941,2))),Клиенты_исходные!G941)</f>
        <v>54089</v>
      </c>
      <c r="H941">
        <f t="shared" ca="1" si="91"/>
        <v>51</v>
      </c>
      <c r="I941" t="str">
        <f t="shared" si="92"/>
        <v>OK</v>
      </c>
      <c r="J941" t="str">
        <f t="shared" si="93"/>
        <v>OK</v>
      </c>
    </row>
    <row r="942">
      <c r="A942" t="str">
        <f>Клиенты_исходные!A942</f>
        <v>C0941</v>
      </c>
      <c r="B942" t="str">
        <f>PROPER(TRIM(Клиенты_исходные!B942))</f>
        <v xml:space="preserve">Дьякова Екатерина Владимировна</v>
      </c>
      <c r="C942" s="8">
        <f>IFERROR(IF(ISNUMBER(FIND(".",Клиенты_исходные!C942)),DATE(RIGHT(Клиенты_исходные!C942,4),MID(Клиенты_исходные!C942,4,2),LEFT(Клиенты_исходные!C942,2)),DATE(LEFT(Клиенты_исходные!C942,4),MID(Клиенты_исходные!C942,6,2),RIGHT(Клиенты_исходные!C942,2))),Клиенты_исходные!C942)</f>
        <v>30137</v>
      </c>
      <c r="D942" t="str">
        <f>IF(ISBLANK(Клиенты_исходные!D942),"",IF(LEN(SUBSTITUTE(SUBSTITUTE(SUBSTITUTE(SUBSTITUTE(SUBSTITUTE(Клиенты_исходные!D942," ",""),"-",""),"+",""),"(",""),")",""))=11,"+7 ("&amp;MID(IF(LEFT(SUBSTITUTE(SUBSTITUTE(SUBSTITUTE(SUBSTITUTE(SUBSTITUTE(Клиенты_исходные!D942," ",""),"-",""),"+",""),"(",""),")",""))="8","7"&amp;MID(SUBSTITUTE(SUBSTITUTE(SUBSTITUTE(SUBSTITUTE(SUBSTITUTE(Клиенты_исходные!D942," ",""),"-",""),"+",""),"(",""),")",""),2,10),SUBSTITUTE(SUBSTITUTE(SUBSTITUTE(SUBSTITUTE(SUBSTITUTE(Клиенты_исходные!D942," ",""),"-",""),"+",""),"(",""),")","")),2,3)&amp;") "&amp;MID(IF(LEFT(SUBSTITUTE(SUBSTITUTE(SUBSTITUTE(SUBSTITUTE(SUBSTITUTE(Клиенты_исходные!D942," ",""),"-",""),"+",""),"(",""),")",""))="8","7"&amp;MID(SUBSTITUTE(SUBSTITUTE(SUBSTITUTE(SUBSTITUTE(SUBSTITUTE(Клиенты_исходные!D942," ",""),"-",""),"+",""),"(",""),")",""),2,10),SUBSTITUTE(SUBSTITUTE(SUBSTITUTE(SUBSTITUTE(SUBSTITUTE(Клиенты_исходные!D942," ",""),"-",""),"+",""),"(",""),")","")),5,3)&amp;"-"&amp;MID(IF(LEFT(SUBSTITUTE(SUBSTITUTE(SUBSTITUTE(SUBSTITUTE(SUBSTITUTE(Клиенты_исходные!D942," ",""),"-",""),"+",""),"(",""),")",""))="8","7"&amp;MID(SUBSTITUTE(SUBSTITUTE(SUBSTITUTE(SUBSTITUTE(SUBSTITUTE(Клиенты_исходные!D942," ",""),"-",""),"+",""),"(",""),")",""),2,10),SUBSTITUTE(SUBSTITUTE(SUBSTITUTE(SUBSTITUTE(SUBSTITUTE(Клиенты_исходные!D942," ",""),"-",""),"+",""),"(",""),")","")),8,2)&amp;"-"&amp;MID(IF(LEFT(SUBSTITUTE(SUBSTITUTE(SUBSTITUTE(SUBSTITUTE(SUBSTITUTE(Клиенты_исходные!D942," ",""),"-",""),"+",""),"(",""),")",""))="8","7"&amp;MID(SUBSTITUTE(SUBSTITUTE(SUBSTITUTE(SUBSTITUTE(SUBSTITUTE(Клиенты_исходные!D942," ",""),"-",""),"+",""),"(",""),")",""),2,10),SUBSTITUTE(SUBSTITUTE(SUBSTITUTE(SUBSTITUTE(SUBSTITUTE(Клиенты_исходные!D942," ",""),"-",""),"+",""),"(",""),")","")),10,2),IF(LEN(SUBSTITUTE(SUBSTITUTE(SUBSTITUTE(SUBSTITUTE(SUBSTITUTE(Клиенты_исходные!D942," ",""),"-",""),"+",""),"(",""),")",""))=10,"+7 ("&amp;MID(SUBSTITUTE(SUBSTITUTE(SUBSTITUTE(SUBSTITUTE(SUBSTITUTE(Клиенты_исходные!D942," ",""),"-",""),"+",""),"(",""),")",""),1,3)&amp;") "&amp;MID(SUBSTITUTE(SUBSTITUTE(SUBSTITUTE(SUBSTITUTE(SUBSTITUTE(Клиенты_исходные!D942," ",""),"-",""),"+",""),"(",""),")",""),4,3)&amp;"-"&amp;MID(SUBSTITUTE(SUBSTITUTE(SUBSTITUTE(SUBSTITUTE(SUBSTITUTE(Клиенты_исходные!D942," ",""),"-",""),"+",""),"(",""),")",""),6,2)&amp;"-"&amp;MID(SUBSTITUTE(SUBSTITUTE(SUBSTITUTE(SUBSTITUTE(SUBSTITUTE(Клиенты_исходные!D942," ",""),"-",""),"+",""),"(",""),")",""),8,2),Клиенты_исходные!D942)))</f>
        <v xml:space="preserve">+7 (903) 901-23-45</v>
      </c>
      <c r="E942" t="str">
        <f>IF(ISBLANK(Клиенты_исходные!E942),"",IF(ISNUMBER(FIND(".",MID(Клиенты_исходные!E942,FIND("@",Клиенты_исходные!E942)+1,255))),Клиенты_исходные!E942,IF(ISNUMBER(FIND("gmail",Клиенты_исходные!E942)),Клиенты_исходные!E942&amp;".com",Клиенты_исходные!E942&amp;".ru")))</f>
        <v>dyakova@yandex.ru</v>
      </c>
      <c r="F942" t="str">
        <f>IFERROR(VLOOKUP(Клиенты_исходные!F942,Справочники!$J$2:$K$50,2,FALSE),Клиенты_исходные!F942)</f>
        <v>Нижневартовск</v>
      </c>
      <c r="G942" s="8">
        <f>IFERROR(IF(ISNUMBER(FIND(".",Клиенты_исходные!G942)),DATE(RIGHT(Клиенты_исходные!G942,4),MID(Клиенты_исходные!G942,4,2),LEFT(Клиенты_исходные!G942,2)),DATE(LEFT(Клиенты_исходные!G942,4),MID(Клиенты_исходные!G942,6,2),RIGHT(Клиенты_исходные!G942,2))),Клиенты_исходные!G942)</f>
        <v>54098</v>
      </c>
      <c r="H942">
        <f t="shared" ca="1" si="91"/>
        <v>44</v>
      </c>
      <c r="I942" t="str">
        <f t="shared" si="92"/>
        <v>OK</v>
      </c>
      <c r="J942" t="str">
        <f t="shared" si="93"/>
        <v>OK</v>
      </c>
    </row>
    <row r="943">
      <c r="A943" t="str">
        <f>Клиенты_исходные!A943</f>
        <v>C0942</v>
      </c>
      <c r="B943" t="str">
        <f>PROPER(TRIM(Клиенты_исходные!B943))</f>
        <v xml:space="preserve">Лесин Илья Александрович</v>
      </c>
      <c r="C943" s="8">
        <f>IFERROR(IF(ISNUMBER(FIND(".",Клиенты_исходные!C943)),DATE(RIGHT(Клиенты_исходные!C943,4),MID(Клиенты_исходные!C943,4,2),LEFT(Клиенты_исходные!C943,2)),DATE(LEFT(Клиенты_исходные!C943,4),MID(Клиенты_исходные!C943,6,2),RIGHT(Клиенты_исходные!C943,2))),Клиенты_исходные!C943)</f>
        <v>33173</v>
      </c>
      <c r="D943" t="str">
        <f>IF(ISBLANK(Клиенты_исходные!D943),"",IF(LEN(SUBSTITUTE(SUBSTITUTE(SUBSTITUTE(SUBSTITUTE(SUBSTITUTE(Клиенты_исходные!D943," ",""),"-",""),"+",""),"(",""),")",""))=11,"+7 ("&amp;MID(IF(LEFT(SUBSTITUTE(SUBSTITUTE(SUBSTITUTE(SUBSTITUTE(SUBSTITUTE(Клиенты_исходные!D943," ",""),"-",""),"+",""),"(",""),")",""))="8","7"&amp;MID(SUBSTITUTE(SUBSTITUTE(SUBSTITUTE(SUBSTITUTE(SUBSTITUTE(Клиенты_исходные!D943," ",""),"-",""),"+",""),"(",""),")",""),2,10),SUBSTITUTE(SUBSTITUTE(SUBSTITUTE(SUBSTITUTE(SUBSTITUTE(Клиенты_исходные!D943," ",""),"-",""),"+",""),"(",""),")","")),2,3)&amp;") "&amp;MID(IF(LEFT(SUBSTITUTE(SUBSTITUTE(SUBSTITUTE(SUBSTITUTE(SUBSTITUTE(Клиенты_исходные!D943," ",""),"-",""),"+",""),"(",""),")",""))="8","7"&amp;MID(SUBSTITUTE(SUBSTITUTE(SUBSTITUTE(SUBSTITUTE(SUBSTITUTE(Клиенты_исходные!D943," ",""),"-",""),"+",""),"(",""),")",""),2,10),SUBSTITUTE(SUBSTITUTE(SUBSTITUTE(SUBSTITUTE(SUBSTITUTE(Клиенты_исходные!D943," ",""),"-",""),"+",""),"(",""),")","")),5,3)&amp;"-"&amp;MID(IF(LEFT(SUBSTITUTE(SUBSTITUTE(SUBSTITUTE(SUBSTITUTE(SUBSTITUTE(Клиенты_исходные!D943," ",""),"-",""),"+",""),"(",""),")",""))="8","7"&amp;MID(SUBSTITUTE(SUBSTITUTE(SUBSTITUTE(SUBSTITUTE(SUBSTITUTE(Клиенты_исходные!D943," ",""),"-",""),"+",""),"(",""),")",""),2,10),SUBSTITUTE(SUBSTITUTE(SUBSTITUTE(SUBSTITUTE(SUBSTITUTE(Клиенты_исходные!D943," ",""),"-",""),"+",""),"(",""),")","")),8,2)&amp;"-"&amp;MID(IF(LEFT(SUBSTITUTE(SUBSTITUTE(SUBSTITUTE(SUBSTITUTE(SUBSTITUTE(Клиенты_исходные!D943," ",""),"-",""),"+",""),"(",""),")",""))="8","7"&amp;MID(SUBSTITUTE(SUBSTITUTE(SUBSTITUTE(SUBSTITUTE(SUBSTITUTE(Клиенты_исходные!D943," ",""),"-",""),"+",""),"(",""),")",""),2,10),SUBSTITUTE(SUBSTITUTE(SUBSTITUTE(SUBSTITUTE(SUBSTITUTE(Клиенты_исходные!D943," ",""),"-",""),"+",""),"(",""),")","")),10,2),IF(LEN(SUBSTITUTE(SUBSTITUTE(SUBSTITUTE(SUBSTITUTE(SUBSTITUTE(Клиенты_исходные!D943," ",""),"-",""),"+",""),"(",""),")",""))=10,"+7 ("&amp;MID(SUBSTITUTE(SUBSTITUTE(SUBSTITUTE(SUBSTITUTE(SUBSTITUTE(Клиенты_исходные!D943," ",""),"-",""),"+",""),"(",""),")",""),1,3)&amp;") "&amp;MID(SUBSTITUTE(SUBSTITUTE(SUBSTITUTE(SUBSTITUTE(SUBSTITUTE(Клиенты_исходные!D943," ",""),"-",""),"+",""),"(",""),")",""),4,3)&amp;"-"&amp;MID(SUBSTITUTE(SUBSTITUTE(SUBSTITUTE(SUBSTITUTE(SUBSTITUTE(Клиенты_исходные!D943," ",""),"-",""),"+",""),"(",""),")",""),6,2)&amp;"-"&amp;MID(SUBSTITUTE(SUBSTITUTE(SUBSTITUTE(SUBSTITUTE(SUBSTITUTE(Клиенты_исходные!D943," ",""),"-",""),"+",""),"(",""),")",""),8,2),Клиенты_исходные!D943)))</f>
        <v xml:space="preserve">+7 (903) 012-34-56</v>
      </c>
      <c r="E943" t="str">
        <f>IF(ISBLANK(Клиенты_исходные!E943),"",IF(ISNUMBER(FIND(".",MID(Клиенты_исходные!E943,FIND("@",Клиенты_исходные!E943)+1,255))),Клиенты_исходные!E943,IF(ISNUMBER(FIND("gmail",Клиенты_исходные!E943)),Клиенты_исходные!E943&amp;".com",Клиенты_исходные!E943&amp;".ru")))</f>
        <v>lesin@gmail.com</v>
      </c>
      <c r="F943" t="str">
        <f>IFERROR(VLOOKUP(Клиенты_исходные!F943,Справочники!$J$2:$K$50,2,FALSE),Клиенты_исходные!F943)</f>
        <v>Новороссийск</v>
      </c>
      <c r="G943" s="8">
        <f>IFERROR(IF(ISNUMBER(FIND(".",Клиенты_исходные!G943)),DATE(RIGHT(Клиенты_исходные!G943,4),MID(Клиенты_исходные!G943,4,2),LEFT(Клиенты_исходные!G943,2)),DATE(LEFT(Клиенты_исходные!G943,4),MID(Клиенты_исходные!G943,6,2),RIGHT(Клиенты_исходные!G943,2))),Клиенты_исходные!G943)</f>
        <v>54098</v>
      </c>
      <c r="H943">
        <f t="shared" ca="1" si="91"/>
        <v>35</v>
      </c>
      <c r="I943" t="str">
        <f t="shared" si="92"/>
        <v>OK</v>
      </c>
      <c r="J943" t="str">
        <f t="shared" si="93"/>
        <v>OK</v>
      </c>
    </row>
    <row r="944">
      <c r="A944" t="str">
        <f>Клиенты_исходные!A944</f>
        <v>C0943</v>
      </c>
      <c r="B944" t="str">
        <f>PROPER(TRIM(Клиенты_исходные!B944))</f>
        <v xml:space="preserve">Матвеева Мария Павловна</v>
      </c>
      <c r="C944" s="8">
        <f>IFERROR(IF(ISNUMBER(FIND(".",Клиенты_исходные!C944)),DATE(RIGHT(Клиенты_исходные!C944,4),MID(Клиенты_исходные!C944,4,2),LEFT(Клиенты_исходные!C944,2)),DATE(LEFT(Клиенты_исходные!C944,4),MID(Клиенты_исходные!C944,6,2),RIGHT(Клиенты_исходные!C944,2))),Клиенты_исходные!C944)</f>
        <v>31033</v>
      </c>
      <c r="D944" t="str">
        <f>IF(ISBLANK(Клиенты_исходные!D944),"",IF(LEN(SUBSTITUTE(SUBSTITUTE(SUBSTITUTE(SUBSTITUTE(SUBSTITUTE(Клиенты_исходные!D944," ",""),"-",""),"+",""),"(",""),")",""))=11,"+7 ("&amp;MID(IF(LEFT(SUBSTITUTE(SUBSTITUTE(SUBSTITUTE(SUBSTITUTE(SUBSTITUTE(Клиенты_исходные!D944," ",""),"-",""),"+",""),"(",""),")",""))="8","7"&amp;MID(SUBSTITUTE(SUBSTITUTE(SUBSTITUTE(SUBSTITUTE(SUBSTITUTE(Клиенты_исходные!D944," ",""),"-",""),"+",""),"(",""),")",""),2,10),SUBSTITUTE(SUBSTITUTE(SUBSTITUTE(SUBSTITUTE(SUBSTITUTE(Клиенты_исходные!D944," ",""),"-",""),"+",""),"(",""),")","")),2,3)&amp;") "&amp;MID(IF(LEFT(SUBSTITUTE(SUBSTITUTE(SUBSTITUTE(SUBSTITUTE(SUBSTITUTE(Клиенты_исходные!D944," ",""),"-",""),"+",""),"(",""),")",""))="8","7"&amp;MID(SUBSTITUTE(SUBSTITUTE(SUBSTITUTE(SUBSTITUTE(SUBSTITUTE(Клиенты_исходные!D944," ",""),"-",""),"+",""),"(",""),")",""),2,10),SUBSTITUTE(SUBSTITUTE(SUBSTITUTE(SUBSTITUTE(SUBSTITUTE(Клиенты_исходные!D944," ",""),"-",""),"+",""),"(",""),")","")),5,3)&amp;"-"&amp;MID(IF(LEFT(SUBSTITUTE(SUBSTITUTE(SUBSTITUTE(SUBSTITUTE(SUBSTITUTE(Клиенты_исходные!D944," ",""),"-",""),"+",""),"(",""),")",""))="8","7"&amp;MID(SUBSTITUTE(SUBSTITUTE(SUBSTITUTE(SUBSTITUTE(SUBSTITUTE(Клиенты_исходные!D944," ",""),"-",""),"+",""),"(",""),")",""),2,10),SUBSTITUTE(SUBSTITUTE(SUBSTITUTE(SUBSTITUTE(SUBSTITUTE(Клиенты_исходные!D944," ",""),"-",""),"+",""),"(",""),")","")),8,2)&amp;"-"&amp;MID(IF(LEFT(SUBSTITUTE(SUBSTITUTE(SUBSTITUTE(SUBSTITUTE(SUBSTITUTE(Клиенты_исходные!D944," ",""),"-",""),"+",""),"(",""),")",""))="8","7"&amp;MID(SUBSTITUTE(SUBSTITUTE(SUBSTITUTE(SUBSTITUTE(SUBSTITUTE(Клиенты_исходные!D944," ",""),"-",""),"+",""),"(",""),")",""),2,10),SUBSTITUTE(SUBSTITUTE(SUBSTITUTE(SUBSTITUTE(SUBSTITUTE(Клиенты_исходные!D944," ",""),"-",""),"+",""),"(",""),")","")),10,2),IF(LEN(SUBSTITUTE(SUBSTITUTE(SUBSTITUTE(SUBSTITUTE(SUBSTITUTE(Клиенты_исходные!D944," ",""),"-",""),"+",""),"(",""),")",""))=10,"+7 ("&amp;MID(SUBSTITUTE(SUBSTITUTE(SUBSTITUTE(SUBSTITUTE(SUBSTITUTE(Клиенты_исходные!D944," ",""),"-",""),"+",""),"(",""),")",""),1,3)&amp;") "&amp;MID(SUBSTITUTE(SUBSTITUTE(SUBSTITUTE(SUBSTITUTE(SUBSTITUTE(Клиенты_исходные!D944," ",""),"-",""),"+",""),"(",""),")",""),4,3)&amp;"-"&amp;MID(SUBSTITUTE(SUBSTITUTE(SUBSTITUTE(SUBSTITUTE(SUBSTITUTE(Клиенты_исходные!D944," ",""),"-",""),"+",""),"(",""),")",""),6,2)&amp;"-"&amp;MID(SUBSTITUTE(SUBSTITUTE(SUBSTITUTE(SUBSTITUTE(SUBSTITUTE(Клиенты_исходные!D944," ",""),"-",""),"+",""),"(",""),")",""),8,2),Клиенты_исходные!D944)))</f>
        <v xml:space="preserve">+7 (903) 012-34-56</v>
      </c>
      <c r="E944" t="str">
        <f>IF(ISBLANK(Клиенты_исходные!E944),"",IF(ISNUMBER(FIND(".",MID(Клиенты_исходные!E944,FIND("@",Клиенты_исходные!E944)+1,255))),Клиенты_исходные!E944,IF(ISNUMBER(FIND("gmail",Клиенты_исходные!E944)),Клиенты_исходные!E944&amp;".com",Клиенты_исходные!E944&amp;".ru")))</f>
        <v>matveeva@mail.ru</v>
      </c>
      <c r="F944" t="str">
        <f>IFERROR(VLOOKUP(Клиенты_исходные!F944,Справочники!$J$2:$K$50,2,FALSE),Клиенты_исходные!F944)</f>
        <v>Химки</v>
      </c>
      <c r="G944" s="8">
        <f>IFERROR(IF(ISNUMBER(FIND(".",Клиенты_исходные!G944)),DATE(RIGHT(Клиенты_исходные!G944,4),MID(Клиенты_исходные!G944,4,2),LEFT(Клиенты_исходные!G944,2)),DATE(LEFT(Клиенты_исходные!G944,4),MID(Клиенты_исходные!G944,6,2),RIGHT(Клиенты_исходные!G944,2))),Клиенты_исходные!G944)</f>
        <v>54118</v>
      </c>
      <c r="H944">
        <f t="shared" ca="1" si="91"/>
        <v>41</v>
      </c>
      <c r="I944" t="str">
        <f t="shared" si="92"/>
        <v>OK</v>
      </c>
      <c r="J944" t="str">
        <f t="shared" si="93"/>
        <v>OK</v>
      </c>
    </row>
    <row r="945">
      <c r="A945" t="str">
        <f>Клиенты_исходные!A945</f>
        <v>C0944</v>
      </c>
      <c r="B945" t="str">
        <f>PROPER(TRIM(Клиенты_исходные!B945))</f>
        <v xml:space="preserve">Смирнова Ольга Сергеевна</v>
      </c>
      <c r="C945" s="8">
        <f>IFERROR(IF(ISNUMBER(FIND(".",Клиенты_исходные!C945)),DATE(RIGHT(Клиенты_исходные!C945,4),MID(Клиенты_исходные!C945,4,2),LEFT(Клиенты_исходные!C945,2)),DATE(LEFT(Клиенты_исходные!C945,4),MID(Клиенты_исходные!C945,6,2),RIGHT(Клиенты_исходные!C945,2))),Клиенты_исходные!C945)</f>
        <v>26776</v>
      </c>
      <c r="D945" t="str">
        <f>IF(ISBLANK(Клиенты_исходные!D945),"",IF(LEN(SUBSTITUTE(SUBSTITUTE(SUBSTITUTE(SUBSTITUTE(SUBSTITUTE(Клиенты_исходные!D945," ",""),"-",""),"+",""),"(",""),")",""))=11,"+7 ("&amp;MID(IF(LEFT(SUBSTITUTE(SUBSTITUTE(SUBSTITUTE(SUBSTITUTE(SUBSTITUTE(Клиенты_исходные!D945," ",""),"-",""),"+",""),"(",""),")",""))="8","7"&amp;MID(SUBSTITUTE(SUBSTITUTE(SUBSTITUTE(SUBSTITUTE(SUBSTITUTE(Клиенты_исходные!D945," ",""),"-",""),"+",""),"(",""),")",""),2,10),SUBSTITUTE(SUBSTITUTE(SUBSTITUTE(SUBSTITUTE(SUBSTITUTE(Клиенты_исходные!D945," ",""),"-",""),"+",""),"(",""),")","")),2,3)&amp;") "&amp;MID(IF(LEFT(SUBSTITUTE(SUBSTITUTE(SUBSTITUTE(SUBSTITUTE(SUBSTITUTE(Клиенты_исходные!D945," ",""),"-",""),"+",""),"(",""),")",""))="8","7"&amp;MID(SUBSTITUTE(SUBSTITUTE(SUBSTITUTE(SUBSTITUTE(SUBSTITUTE(Клиенты_исходные!D945," ",""),"-",""),"+",""),"(",""),")",""),2,10),SUBSTITUTE(SUBSTITUTE(SUBSTITUTE(SUBSTITUTE(SUBSTITUTE(Клиенты_исходные!D945," ",""),"-",""),"+",""),"(",""),")","")),5,3)&amp;"-"&amp;MID(IF(LEFT(SUBSTITUTE(SUBSTITUTE(SUBSTITUTE(SUBSTITUTE(SUBSTITUTE(Клиенты_исходные!D945," ",""),"-",""),"+",""),"(",""),")",""))="8","7"&amp;MID(SUBSTITUTE(SUBSTITUTE(SUBSTITUTE(SUBSTITUTE(SUBSTITUTE(Клиенты_исходные!D945," ",""),"-",""),"+",""),"(",""),")",""),2,10),SUBSTITUTE(SUBSTITUTE(SUBSTITUTE(SUBSTITUTE(SUBSTITUTE(Клиенты_исходные!D945," ",""),"-",""),"+",""),"(",""),")","")),8,2)&amp;"-"&amp;MID(IF(LEFT(SUBSTITUTE(SUBSTITUTE(SUBSTITUTE(SUBSTITUTE(SUBSTITUTE(Клиенты_исходные!D945," ",""),"-",""),"+",""),"(",""),")",""))="8","7"&amp;MID(SUBSTITUTE(SUBSTITUTE(SUBSTITUTE(SUBSTITUTE(SUBSTITUTE(Клиенты_исходные!D945," ",""),"-",""),"+",""),"(",""),")",""),2,10),SUBSTITUTE(SUBSTITUTE(SUBSTITUTE(SUBSTITUTE(SUBSTITUTE(Клиенты_исходные!D945," ",""),"-",""),"+",""),"(",""),")","")),10,2),IF(LEN(SUBSTITUTE(SUBSTITUTE(SUBSTITUTE(SUBSTITUTE(SUBSTITUTE(Клиенты_исходные!D945," ",""),"-",""),"+",""),"(",""),")",""))=10,"+7 ("&amp;MID(SUBSTITUTE(SUBSTITUTE(SUBSTITUTE(SUBSTITUTE(SUBSTITUTE(Клиенты_исходные!D945," ",""),"-",""),"+",""),"(",""),")",""),1,3)&amp;") "&amp;MID(SUBSTITUTE(SUBSTITUTE(SUBSTITUTE(SUBSTITUTE(SUBSTITUTE(Клиенты_исходные!D945," ",""),"-",""),"+",""),"(",""),")",""),4,3)&amp;"-"&amp;MID(SUBSTITUTE(SUBSTITUTE(SUBSTITUTE(SUBSTITUTE(SUBSTITUTE(Клиенты_исходные!D945," ",""),"-",""),"+",""),"(",""),")",""),6,2)&amp;"-"&amp;MID(SUBSTITUTE(SUBSTITUTE(SUBSTITUTE(SUBSTITUTE(SUBSTITUTE(Клиенты_исходные!D945," ",""),"-",""),"+",""),"(",""),")",""),8,2),Клиенты_исходные!D945)))</f>
        <v xml:space="preserve">+7 (903) 012-34-56</v>
      </c>
      <c r="E945" t="str">
        <f>IF(ISBLANK(Клиенты_исходные!E945),"",IF(ISNUMBER(FIND(".",MID(Клиенты_исходные!E945,FIND("@",Клиенты_исходные!E945)+1,255))),Клиенты_исходные!E945,IF(ISNUMBER(FIND("gmail",Клиенты_исходные!E945)),Клиенты_исходные!E945&amp;".com",Клиенты_исходные!E945&amp;".ru")))</f>
        <v>smirnova@yandex.ru</v>
      </c>
      <c r="F945" t="str">
        <f>IFERROR(VLOOKUP(Клиенты_исходные!F945,Справочники!$J$2:$K$50,2,FALSE),Клиенты_исходные!F945)</f>
        <v>Подольск</v>
      </c>
      <c r="G945" s="8">
        <f>IFERROR(IF(ISNUMBER(FIND(".",Клиенты_исходные!G945)),DATE(RIGHT(Клиенты_исходные!G945,4),MID(Клиенты_исходные!G945,4,2),LEFT(Клиенты_исходные!G945,2)),DATE(LEFT(Клиенты_исходные!G945,4),MID(Клиенты_исходные!G945,6,2),RIGHT(Клиенты_исходные!G945,2))),Клиенты_исходные!G945)</f>
        <v>54132</v>
      </c>
      <c r="H945">
        <f t="shared" ca="1" si="91"/>
        <v>53</v>
      </c>
      <c r="I945" t="str">
        <f t="shared" si="92"/>
        <v>OK</v>
      </c>
      <c r="J945" t="str">
        <f t="shared" si="93"/>
        <v>OK</v>
      </c>
    </row>
    <row r="946">
      <c r="A946" t="str">
        <f>Клиенты_исходные!A946</f>
        <v>C0945</v>
      </c>
      <c r="B946" t="str">
        <f>PROPER(TRIM(Клиенты_исходные!B946))</f>
        <v xml:space="preserve">Букин Денис Викторович</v>
      </c>
      <c r="C946" s="8">
        <f>IFERROR(IF(ISNUMBER(FIND(".",Клиенты_исходные!C946)),DATE(RIGHT(Клиенты_исходные!C946,4),MID(Клиенты_исходные!C946,4,2),LEFT(Клиенты_исходные!C946,2)),DATE(LEFT(Клиенты_исходные!C946,4),MID(Клиенты_исходные!C946,6,2),RIGHT(Клиенты_исходные!C946,2))),Клиенты_исходные!C946)</f>
        <v>32400</v>
      </c>
      <c r="D946" t="str">
        <f>IF(ISBLANK(Клиенты_исходные!D946),"",IF(LEN(SUBSTITUTE(SUBSTITUTE(SUBSTITUTE(SUBSTITUTE(SUBSTITUTE(Клиенты_исходные!D946," ",""),"-",""),"+",""),"(",""),")",""))=11,"+7 ("&amp;MID(IF(LEFT(SUBSTITUTE(SUBSTITUTE(SUBSTITUTE(SUBSTITUTE(SUBSTITUTE(Клиенты_исходные!D946," ",""),"-",""),"+",""),"(",""),")",""))="8","7"&amp;MID(SUBSTITUTE(SUBSTITUTE(SUBSTITUTE(SUBSTITUTE(SUBSTITUTE(Клиенты_исходные!D946," ",""),"-",""),"+",""),"(",""),")",""),2,10),SUBSTITUTE(SUBSTITUTE(SUBSTITUTE(SUBSTITUTE(SUBSTITUTE(Клиенты_исходные!D946," ",""),"-",""),"+",""),"(",""),")","")),2,3)&amp;") "&amp;MID(IF(LEFT(SUBSTITUTE(SUBSTITUTE(SUBSTITUTE(SUBSTITUTE(SUBSTITUTE(Клиенты_исходные!D946," ",""),"-",""),"+",""),"(",""),")",""))="8","7"&amp;MID(SUBSTITUTE(SUBSTITUTE(SUBSTITUTE(SUBSTITUTE(SUBSTITUTE(Клиенты_исходные!D946," ",""),"-",""),"+",""),"(",""),")",""),2,10),SUBSTITUTE(SUBSTITUTE(SUBSTITUTE(SUBSTITUTE(SUBSTITUTE(Клиенты_исходные!D946," ",""),"-",""),"+",""),"(",""),")","")),5,3)&amp;"-"&amp;MID(IF(LEFT(SUBSTITUTE(SUBSTITUTE(SUBSTITUTE(SUBSTITUTE(SUBSTITUTE(Клиенты_исходные!D946," ",""),"-",""),"+",""),"(",""),")",""))="8","7"&amp;MID(SUBSTITUTE(SUBSTITUTE(SUBSTITUTE(SUBSTITUTE(SUBSTITUTE(Клиенты_исходные!D946," ",""),"-",""),"+",""),"(",""),")",""),2,10),SUBSTITUTE(SUBSTITUTE(SUBSTITUTE(SUBSTITUTE(SUBSTITUTE(Клиенты_исходные!D946," ",""),"-",""),"+",""),"(",""),")","")),8,2)&amp;"-"&amp;MID(IF(LEFT(SUBSTITUTE(SUBSTITUTE(SUBSTITUTE(SUBSTITUTE(SUBSTITUTE(Клиенты_исходные!D946," ",""),"-",""),"+",""),"(",""),")",""))="8","7"&amp;MID(SUBSTITUTE(SUBSTITUTE(SUBSTITUTE(SUBSTITUTE(SUBSTITUTE(Клиенты_исходные!D946," ",""),"-",""),"+",""),"(",""),")",""),2,10),SUBSTITUTE(SUBSTITUTE(SUBSTITUTE(SUBSTITUTE(SUBSTITUTE(Клиенты_исходные!D946," ",""),"-",""),"+",""),"(",""),")","")),10,2),IF(LEN(SUBSTITUTE(SUBSTITUTE(SUBSTITUTE(SUBSTITUTE(SUBSTITUTE(Клиенты_исходные!D946," ",""),"-",""),"+",""),"(",""),")",""))=10,"+7 ("&amp;MID(SUBSTITUTE(SUBSTITUTE(SUBSTITUTE(SUBSTITUTE(SUBSTITUTE(Клиенты_исходные!D946," ",""),"-",""),"+",""),"(",""),")",""),1,3)&amp;") "&amp;MID(SUBSTITUTE(SUBSTITUTE(SUBSTITUTE(SUBSTITUTE(SUBSTITUTE(Клиенты_исходные!D946," ",""),"-",""),"+",""),"(",""),")",""),4,3)&amp;"-"&amp;MID(SUBSTITUTE(SUBSTITUTE(SUBSTITUTE(SUBSTITUTE(SUBSTITUTE(Клиенты_исходные!D946," ",""),"-",""),"+",""),"(",""),")",""),6,2)&amp;"-"&amp;MID(SUBSTITUTE(SUBSTITUTE(SUBSTITUTE(SUBSTITUTE(SUBSTITUTE(Клиенты_исходные!D946," ",""),"-",""),"+",""),"(",""),")",""),8,2),Клиенты_исходные!D946)))</f>
        <v xml:space="preserve">+7 (903) 123-45-67</v>
      </c>
      <c r="E946" t="str">
        <f>IF(ISBLANK(Клиенты_исходные!E946),"",IF(ISNUMBER(FIND(".",MID(Клиенты_исходные!E946,FIND("@",Клиенты_исходные!E946)+1,255))),Клиенты_исходные!E946,IF(ISNUMBER(FIND("gmail",Клиенты_исходные!E946)),Клиенты_исходные!E946&amp;".com",Клиенты_исходные!E946&amp;".ru")))</f>
        <v>bukin@gmail.com</v>
      </c>
      <c r="F946" t="str">
        <f>IFERROR(VLOOKUP(Клиенты_исходные!F946,Справочники!$J$2:$K$50,2,FALSE),Клиенты_исходные!F946)</f>
        <v>Балашиха</v>
      </c>
      <c r="G946" s="8">
        <f>IFERROR(IF(ISNUMBER(FIND(".",Клиенты_исходные!G946)),DATE(RIGHT(Клиенты_исходные!G946,4),MID(Клиенты_исходные!G946,4,2),LEFT(Клиенты_исходные!G946,2)),DATE(LEFT(Клиенты_исходные!G946,4),MID(Клиенты_исходные!G946,6,2),RIGHT(Клиенты_исходные!G946,2))),Клиенты_исходные!G946)</f>
        <v>54132</v>
      </c>
      <c r="H946">
        <f t="shared" ca="1" si="91"/>
        <v>38</v>
      </c>
      <c r="I946" t="str">
        <f t="shared" si="92"/>
        <v>OK</v>
      </c>
      <c r="J946" t="str">
        <f t="shared" si="93"/>
        <v>OK</v>
      </c>
    </row>
    <row r="947">
      <c r="A947" t="str">
        <f>Клиенты_исходные!A947</f>
        <v>C0946</v>
      </c>
      <c r="B947" t="str">
        <f>PROPER(TRIM(Клиенты_исходные!B947))</f>
        <v xml:space="preserve">Стрельцова Екатерина Владимировна</v>
      </c>
      <c r="C947" s="8">
        <f>IFERROR(IF(ISNUMBER(FIND(".",Клиенты_исходные!C947)),DATE(RIGHT(Клиенты_исходные!C947,4),MID(Клиенты_исходные!C947,4,2),LEFT(Клиенты_исходные!C947,2)),DATE(LEFT(Клиенты_исходные!C947,4),MID(Клиенты_исходные!C947,6,2),RIGHT(Клиенты_исходные!C947,2))),Клиенты_исходные!C947)</f>
        <v>33271</v>
      </c>
      <c r="D947" t="str">
        <f>IF(ISBLANK(Клиенты_исходные!D947),"",IF(LEN(SUBSTITUTE(SUBSTITUTE(SUBSTITUTE(SUBSTITUTE(SUBSTITUTE(Клиенты_исходные!D947," ",""),"-",""),"+",""),"(",""),")",""))=11,"+7 ("&amp;MID(IF(LEFT(SUBSTITUTE(SUBSTITUTE(SUBSTITUTE(SUBSTITUTE(SUBSTITUTE(Клиенты_исходные!D947," ",""),"-",""),"+",""),"(",""),")",""))="8","7"&amp;MID(SUBSTITUTE(SUBSTITUTE(SUBSTITUTE(SUBSTITUTE(SUBSTITUTE(Клиенты_исходные!D947," ",""),"-",""),"+",""),"(",""),")",""),2,10),SUBSTITUTE(SUBSTITUTE(SUBSTITUTE(SUBSTITUTE(SUBSTITUTE(Клиенты_исходные!D947," ",""),"-",""),"+",""),"(",""),")","")),2,3)&amp;") "&amp;MID(IF(LEFT(SUBSTITUTE(SUBSTITUTE(SUBSTITUTE(SUBSTITUTE(SUBSTITUTE(Клиенты_исходные!D947," ",""),"-",""),"+",""),"(",""),")",""))="8","7"&amp;MID(SUBSTITUTE(SUBSTITUTE(SUBSTITUTE(SUBSTITUTE(SUBSTITUTE(Клиенты_исходные!D947," ",""),"-",""),"+",""),"(",""),")",""),2,10),SUBSTITUTE(SUBSTITUTE(SUBSTITUTE(SUBSTITUTE(SUBSTITUTE(Клиенты_исходные!D947," ",""),"-",""),"+",""),"(",""),")","")),5,3)&amp;"-"&amp;MID(IF(LEFT(SUBSTITUTE(SUBSTITUTE(SUBSTITUTE(SUBSTITUTE(SUBSTITUTE(Клиенты_исходные!D947," ",""),"-",""),"+",""),"(",""),")",""))="8","7"&amp;MID(SUBSTITUTE(SUBSTITUTE(SUBSTITUTE(SUBSTITUTE(SUBSTITUTE(Клиенты_исходные!D947," ",""),"-",""),"+",""),"(",""),")",""),2,10),SUBSTITUTE(SUBSTITUTE(SUBSTITUTE(SUBSTITUTE(SUBSTITUTE(Клиенты_исходные!D947," ",""),"-",""),"+",""),"(",""),")","")),8,2)&amp;"-"&amp;MID(IF(LEFT(SUBSTITUTE(SUBSTITUTE(SUBSTITUTE(SUBSTITUTE(SUBSTITUTE(Клиенты_исходные!D947," ",""),"-",""),"+",""),"(",""),")",""))="8","7"&amp;MID(SUBSTITUTE(SUBSTITUTE(SUBSTITUTE(SUBSTITUTE(SUBSTITUTE(Клиенты_исходные!D947," ",""),"-",""),"+",""),"(",""),")",""),2,10),SUBSTITUTE(SUBSTITUTE(SUBSTITUTE(SUBSTITUTE(SUBSTITUTE(Клиенты_исходные!D947," ",""),"-",""),"+",""),"(",""),")","")),10,2),IF(LEN(SUBSTITUTE(SUBSTITUTE(SUBSTITUTE(SUBSTITUTE(SUBSTITUTE(Клиенты_исходные!D947," ",""),"-",""),"+",""),"(",""),")",""))=10,"+7 ("&amp;MID(SUBSTITUTE(SUBSTITUTE(SUBSTITUTE(SUBSTITUTE(SUBSTITUTE(Клиенты_исходные!D947," ",""),"-",""),"+",""),"(",""),")",""),1,3)&amp;") "&amp;MID(SUBSTITUTE(SUBSTITUTE(SUBSTITUTE(SUBSTITUTE(SUBSTITUTE(Клиенты_исходные!D947," ",""),"-",""),"+",""),"(",""),")",""),4,3)&amp;"-"&amp;MID(SUBSTITUTE(SUBSTITUTE(SUBSTITUTE(SUBSTITUTE(SUBSTITUTE(Клиенты_исходные!D947," ",""),"-",""),"+",""),"(",""),")",""),6,2)&amp;"-"&amp;MID(SUBSTITUTE(SUBSTITUTE(SUBSTITUTE(SUBSTITUTE(SUBSTITUTE(Клиенты_исходные!D947," ",""),"-",""),"+",""),"(",""),")",""),8,2),Клиенты_исходные!D947)))</f>
        <v xml:space="preserve">+7 (903) 123-45-67</v>
      </c>
      <c r="E947" t="str">
        <f>IF(ISBLANK(Клиенты_исходные!E947),"",IF(ISNUMBER(FIND(".",MID(Клиенты_исходные!E947,FIND("@",Клиенты_исходные!E947)+1,255))),Клиенты_исходные!E947,IF(ISNUMBER(FIND("gmail",Клиенты_исходные!E947)),Клиенты_исходные!E947&amp;".com",Клиенты_исходные!E947&amp;".ru")))</f>
        <v>streltsova@mail.ru</v>
      </c>
      <c r="F947" t="str">
        <f>IFERROR(VLOOKUP(Клиенты_исходные!F947,Справочники!$J$2:$K$50,2,FALSE),Клиенты_исходные!F947)</f>
        <v>Сургут</v>
      </c>
      <c r="G947" s="8">
        <f>IFERROR(IF(ISNUMBER(FIND(".",Клиенты_исходные!G947)),DATE(RIGHT(Клиенты_исходные!G947,4),MID(Клиенты_исходные!G947,4,2),LEFT(Клиенты_исходные!G947,2)),DATE(LEFT(Клиенты_исходные!G947,4),MID(Клиенты_исходные!G947,6,2),RIGHT(Клиенты_исходные!G947,2))),Клиенты_исходные!G947)</f>
        <v>54149</v>
      </c>
      <c r="H947">
        <f t="shared" ca="1" si="91"/>
        <v>35</v>
      </c>
      <c r="I947" t="str">
        <f t="shared" si="92"/>
        <v>OK</v>
      </c>
      <c r="J947" t="str">
        <f t="shared" si="93"/>
        <v>OK</v>
      </c>
    </row>
    <row r="948">
      <c r="A948" t="str">
        <f>Клиенты_исходные!A948</f>
        <v>C0947</v>
      </c>
      <c r="B948" t="str">
        <f>PROPER(TRIM(Клиенты_исходные!B948))</f>
        <v xml:space="preserve">Марков Андрей Олегович</v>
      </c>
      <c r="C948" s="8">
        <f>IFERROR(IF(ISNUMBER(FIND(".",Клиенты_исходные!C948)),DATE(RIGHT(Клиенты_исходные!C948,4),MID(Клиенты_исходные!C948,4,2),LEFT(Клиенты_исходные!C948,2)),DATE(LEFT(Клиенты_исходные!C948,4),MID(Клиенты_исходные!C948,6,2),RIGHT(Клиенты_исходные!C948,2))),Клиенты_исходные!C948)</f>
        <v>31925</v>
      </c>
      <c r="D948" t="str">
        <f>IF(ISBLANK(Клиенты_исходные!D948),"",IF(LEN(SUBSTITUTE(SUBSTITUTE(SUBSTITUTE(SUBSTITUTE(SUBSTITUTE(Клиенты_исходные!D948," ",""),"-",""),"+",""),"(",""),")",""))=11,"+7 ("&amp;MID(IF(LEFT(SUBSTITUTE(SUBSTITUTE(SUBSTITUTE(SUBSTITUTE(SUBSTITUTE(Клиенты_исходные!D948," ",""),"-",""),"+",""),"(",""),")",""))="8","7"&amp;MID(SUBSTITUTE(SUBSTITUTE(SUBSTITUTE(SUBSTITUTE(SUBSTITUTE(Клиенты_исходные!D948," ",""),"-",""),"+",""),"(",""),")",""),2,10),SUBSTITUTE(SUBSTITUTE(SUBSTITUTE(SUBSTITUTE(SUBSTITUTE(Клиенты_исходные!D948," ",""),"-",""),"+",""),"(",""),")","")),2,3)&amp;") "&amp;MID(IF(LEFT(SUBSTITUTE(SUBSTITUTE(SUBSTITUTE(SUBSTITUTE(SUBSTITUTE(Клиенты_исходные!D948," ",""),"-",""),"+",""),"(",""),")",""))="8","7"&amp;MID(SUBSTITUTE(SUBSTITUTE(SUBSTITUTE(SUBSTITUTE(SUBSTITUTE(Клиенты_исходные!D948," ",""),"-",""),"+",""),"(",""),")",""),2,10),SUBSTITUTE(SUBSTITUTE(SUBSTITUTE(SUBSTITUTE(SUBSTITUTE(Клиенты_исходные!D948," ",""),"-",""),"+",""),"(",""),")","")),5,3)&amp;"-"&amp;MID(IF(LEFT(SUBSTITUTE(SUBSTITUTE(SUBSTITUTE(SUBSTITUTE(SUBSTITUTE(Клиенты_исходные!D948," ",""),"-",""),"+",""),"(",""),")",""))="8","7"&amp;MID(SUBSTITUTE(SUBSTITUTE(SUBSTITUTE(SUBSTITUTE(SUBSTITUTE(Клиенты_исходные!D948," ",""),"-",""),"+",""),"(",""),")",""),2,10),SUBSTITUTE(SUBSTITUTE(SUBSTITUTE(SUBSTITUTE(SUBSTITUTE(Клиенты_исходные!D948," ",""),"-",""),"+",""),"(",""),")","")),8,2)&amp;"-"&amp;MID(IF(LEFT(SUBSTITUTE(SUBSTITUTE(SUBSTITUTE(SUBSTITUTE(SUBSTITUTE(Клиенты_исходные!D948," ",""),"-",""),"+",""),"(",""),")",""))="8","7"&amp;MID(SUBSTITUTE(SUBSTITUTE(SUBSTITUTE(SUBSTITUTE(SUBSTITUTE(Клиенты_исходные!D948," ",""),"-",""),"+",""),"(",""),")",""),2,10),SUBSTITUTE(SUBSTITUTE(SUBSTITUTE(SUBSTITUTE(SUBSTITUTE(Клиенты_исходные!D948," ",""),"-",""),"+",""),"(",""),")","")),10,2),IF(LEN(SUBSTITUTE(SUBSTITUTE(SUBSTITUTE(SUBSTITUTE(SUBSTITUTE(Клиенты_исходные!D948," ",""),"-",""),"+",""),"(",""),")",""))=10,"+7 ("&amp;MID(SUBSTITUTE(SUBSTITUTE(SUBSTITUTE(SUBSTITUTE(SUBSTITUTE(Клиенты_исходные!D948," ",""),"-",""),"+",""),"(",""),")",""),1,3)&amp;") "&amp;MID(SUBSTITUTE(SUBSTITUTE(SUBSTITUTE(SUBSTITUTE(SUBSTITUTE(Клиенты_исходные!D948," ",""),"-",""),"+",""),"(",""),")",""),4,3)&amp;"-"&amp;MID(SUBSTITUTE(SUBSTITUTE(SUBSTITUTE(SUBSTITUTE(SUBSTITUTE(Клиенты_исходные!D948," ",""),"-",""),"+",""),"(",""),")",""),6,2)&amp;"-"&amp;MID(SUBSTITUTE(SUBSTITUTE(SUBSTITUTE(SUBSTITUTE(SUBSTITUTE(Клиенты_исходные!D948," ",""),"-",""),"+",""),"(",""),")",""),8,2),Клиенты_исходные!D948)))</f>
        <v xml:space="preserve">+7 (903) 123-45-67</v>
      </c>
      <c r="E948" t="str">
        <f>IF(ISBLANK(Клиенты_исходные!E948),"",IF(ISNUMBER(FIND(".",MID(Клиенты_исходные!E948,FIND("@",Клиенты_исходные!E948)+1,255))),Клиенты_исходные!E948,IF(ISNUMBER(FIND("gmail",Клиенты_исходные!E948)),Клиенты_исходные!E948&amp;".com",Клиенты_исходные!E948&amp;".ru")))</f>
        <v>markov@yandex.ru</v>
      </c>
      <c r="F948" t="str">
        <f>IFERROR(VLOOKUP(Клиенты_исходные!F948,Справочники!$J$2:$K$50,2,FALSE),Клиенты_исходные!F948)</f>
        <v>Армавир</v>
      </c>
      <c r="G948" s="8">
        <f>IFERROR(IF(ISNUMBER(FIND(".",Клиенты_исходные!G948)),DATE(RIGHT(Клиенты_исходные!G948,4),MID(Клиенты_исходные!G948,4,2),LEFT(Клиенты_исходные!G948,2)),DATE(LEFT(Клиенты_исходные!G948,4),MID(Клиенты_исходные!G948,6,2),RIGHT(Клиенты_исходные!G948,2))),Клиенты_исходные!G948)</f>
        <v>54158</v>
      </c>
      <c r="H948">
        <f t="shared" ca="1" si="91"/>
        <v>39</v>
      </c>
      <c r="I948" t="str">
        <f t="shared" si="92"/>
        <v>OK</v>
      </c>
      <c r="J948" t="str">
        <f t="shared" si="93"/>
        <v>OK</v>
      </c>
    </row>
    <row r="949">
      <c r="A949" t="str">
        <f>Клиенты_исходные!A949</f>
        <v>C0948</v>
      </c>
      <c r="B949" t="str">
        <f>PROPER(TRIM(Клиенты_исходные!B949))</f>
        <v xml:space="preserve">Позднякова Мария Павловна</v>
      </c>
      <c r="C949" s="8">
        <f>IFERROR(IF(ISNUMBER(FIND(".",Клиенты_исходные!C949)),DATE(RIGHT(Клиенты_исходные!C949,4),MID(Клиенты_исходные!C949,4,2),LEFT(Клиенты_исходные!C949,2)),DATE(LEFT(Клиенты_исходные!C949,4),MID(Клиенты_исходные!C949,6,2),RIGHT(Клиенты_исходные!C949,2))),Клиенты_исходные!C949)</f>
        <v>27564</v>
      </c>
      <c r="D949" t="str">
        <f>IF(ISBLANK(Клиенты_исходные!D949),"",IF(LEN(SUBSTITUTE(SUBSTITUTE(SUBSTITUTE(SUBSTITUTE(SUBSTITUTE(Клиенты_исходные!D949," ",""),"-",""),"+",""),"(",""),")",""))=11,"+7 ("&amp;MID(IF(LEFT(SUBSTITUTE(SUBSTITUTE(SUBSTITUTE(SUBSTITUTE(SUBSTITUTE(Клиенты_исходные!D949," ",""),"-",""),"+",""),"(",""),")",""))="8","7"&amp;MID(SUBSTITUTE(SUBSTITUTE(SUBSTITUTE(SUBSTITUTE(SUBSTITUTE(Клиенты_исходные!D949," ",""),"-",""),"+",""),"(",""),")",""),2,10),SUBSTITUTE(SUBSTITUTE(SUBSTITUTE(SUBSTITUTE(SUBSTITUTE(Клиенты_исходные!D949," ",""),"-",""),"+",""),"(",""),")","")),2,3)&amp;") "&amp;MID(IF(LEFT(SUBSTITUTE(SUBSTITUTE(SUBSTITUTE(SUBSTITUTE(SUBSTITUTE(Клиенты_исходные!D949," ",""),"-",""),"+",""),"(",""),")",""))="8","7"&amp;MID(SUBSTITUTE(SUBSTITUTE(SUBSTITUTE(SUBSTITUTE(SUBSTITUTE(Клиенты_исходные!D949," ",""),"-",""),"+",""),"(",""),")",""),2,10),SUBSTITUTE(SUBSTITUTE(SUBSTITUTE(SUBSTITUTE(SUBSTITUTE(Клиенты_исходные!D949," ",""),"-",""),"+",""),"(",""),")","")),5,3)&amp;"-"&amp;MID(IF(LEFT(SUBSTITUTE(SUBSTITUTE(SUBSTITUTE(SUBSTITUTE(SUBSTITUTE(Клиенты_исходные!D949," ",""),"-",""),"+",""),"(",""),")",""))="8","7"&amp;MID(SUBSTITUTE(SUBSTITUTE(SUBSTITUTE(SUBSTITUTE(SUBSTITUTE(Клиенты_исходные!D949," ",""),"-",""),"+",""),"(",""),")",""),2,10),SUBSTITUTE(SUBSTITUTE(SUBSTITUTE(SUBSTITUTE(SUBSTITUTE(Клиенты_исходные!D949," ",""),"-",""),"+",""),"(",""),")","")),8,2)&amp;"-"&amp;MID(IF(LEFT(SUBSTITUTE(SUBSTITUTE(SUBSTITUTE(SUBSTITUTE(SUBSTITUTE(Клиенты_исходные!D949," ",""),"-",""),"+",""),"(",""),")",""))="8","7"&amp;MID(SUBSTITUTE(SUBSTITUTE(SUBSTITUTE(SUBSTITUTE(SUBSTITUTE(Клиенты_исходные!D949," ",""),"-",""),"+",""),"(",""),")",""),2,10),SUBSTITUTE(SUBSTITUTE(SUBSTITUTE(SUBSTITUTE(SUBSTITUTE(Клиенты_исходные!D949," ",""),"-",""),"+",""),"(",""),")","")),10,2),IF(LEN(SUBSTITUTE(SUBSTITUTE(SUBSTITUTE(SUBSTITUTE(SUBSTITUTE(Клиенты_исходные!D949," ",""),"-",""),"+",""),"(",""),")",""))=10,"+7 ("&amp;MID(SUBSTITUTE(SUBSTITUTE(SUBSTITUTE(SUBSTITUTE(SUBSTITUTE(Клиенты_исходные!D949," ",""),"-",""),"+",""),"(",""),")",""),1,3)&amp;") "&amp;MID(SUBSTITUTE(SUBSTITUTE(SUBSTITUTE(SUBSTITUTE(SUBSTITUTE(Клиенты_исходные!D949," ",""),"-",""),"+",""),"(",""),")",""),4,3)&amp;"-"&amp;MID(SUBSTITUTE(SUBSTITUTE(SUBSTITUTE(SUBSTITUTE(SUBSTITUTE(Клиенты_исходные!D949," ",""),"-",""),"+",""),"(",""),")",""),6,2)&amp;"-"&amp;MID(SUBSTITUTE(SUBSTITUTE(SUBSTITUTE(SUBSTITUTE(SUBSTITUTE(Клиенты_исходные!D949," ",""),"-",""),"+",""),"(",""),")",""),8,2),Клиенты_исходные!D949)))</f>
        <v xml:space="preserve">+7 (903) 234-56-78</v>
      </c>
      <c r="E949" t="str">
        <f>IF(ISBLANK(Клиенты_исходные!E949),"",IF(ISNUMBER(FIND(".",MID(Клиенты_исходные!E949,FIND("@",Клиенты_исходные!E949)+1,255))),Клиенты_исходные!E949,IF(ISNUMBER(FIND("gmail",Клиенты_исходные!E949)),Клиенты_исходные!E949&amp;".com",Клиенты_исходные!E949&amp;".ru")))</f>
        <v>pozdnyakova@gmail.com</v>
      </c>
      <c r="F949" t="str">
        <f>IFERROR(VLOOKUP(Клиенты_исходные!F949,Справочники!$J$2:$K$50,2,FALSE),Клиенты_исходные!F949)</f>
        <v>Волжский</v>
      </c>
      <c r="G949" s="8">
        <f>IFERROR(IF(ISNUMBER(FIND(".",Клиенты_исходные!G949)),DATE(RIGHT(Клиенты_исходные!G949,4),MID(Клиенты_исходные!G949,4,2),LEFT(Клиенты_исходные!G949,2)),DATE(LEFT(Клиенты_исходные!G949,4),MID(Клиенты_исходные!G949,6,2),RIGHT(Клиенты_исходные!G949,2))),Клиенты_исходные!G949)</f>
        <v>54158</v>
      </c>
      <c r="H949">
        <f t="shared" ca="1" si="91"/>
        <v>51</v>
      </c>
      <c r="I949" t="str">
        <f t="shared" si="92"/>
        <v>OK</v>
      </c>
      <c r="J949" t="str">
        <f t="shared" si="93"/>
        <v>OK</v>
      </c>
    </row>
    <row r="950">
      <c r="A950" t="str">
        <f>Клиенты_исходные!A950</f>
        <v>C0949</v>
      </c>
      <c r="B950" t="str">
        <f>PROPER(TRIM(Клиенты_исходные!B950))</f>
        <v xml:space="preserve">Левченко Денис Сергеевич</v>
      </c>
      <c r="C950" s="8">
        <f>IFERROR(IF(ISNUMBER(FIND(".",Клиенты_исходные!C950)),DATE(RIGHT(Клиенты_исходные!C950,4),MID(Клиенты_исходные!C950,4,2),LEFT(Клиенты_исходные!C950,2)),DATE(LEFT(Клиенты_исходные!C950,4),MID(Клиенты_исходные!C950,6,2),RIGHT(Клиенты_исходные!C950,2))),Клиенты_исходные!C950)</f>
        <v>30170</v>
      </c>
      <c r="D950" t="str">
        <f>IF(ISBLANK(Клиенты_исходные!D950),"",IF(LEN(SUBSTITUTE(SUBSTITUTE(SUBSTITUTE(SUBSTITUTE(SUBSTITUTE(Клиенты_исходные!D950," ",""),"-",""),"+",""),"(",""),")",""))=11,"+7 ("&amp;MID(IF(LEFT(SUBSTITUTE(SUBSTITUTE(SUBSTITUTE(SUBSTITUTE(SUBSTITUTE(Клиенты_исходные!D950," ",""),"-",""),"+",""),"(",""),")",""))="8","7"&amp;MID(SUBSTITUTE(SUBSTITUTE(SUBSTITUTE(SUBSTITUTE(SUBSTITUTE(Клиенты_исходные!D950," ",""),"-",""),"+",""),"(",""),")",""),2,10),SUBSTITUTE(SUBSTITUTE(SUBSTITUTE(SUBSTITUTE(SUBSTITUTE(Клиенты_исходные!D950," ",""),"-",""),"+",""),"(",""),")","")),2,3)&amp;") "&amp;MID(IF(LEFT(SUBSTITUTE(SUBSTITUTE(SUBSTITUTE(SUBSTITUTE(SUBSTITUTE(Клиенты_исходные!D950," ",""),"-",""),"+",""),"(",""),")",""))="8","7"&amp;MID(SUBSTITUTE(SUBSTITUTE(SUBSTITUTE(SUBSTITUTE(SUBSTITUTE(Клиенты_исходные!D950," ",""),"-",""),"+",""),"(",""),")",""),2,10),SUBSTITUTE(SUBSTITUTE(SUBSTITUTE(SUBSTITUTE(SUBSTITUTE(Клиенты_исходные!D950," ",""),"-",""),"+",""),"(",""),")","")),5,3)&amp;"-"&amp;MID(IF(LEFT(SUBSTITUTE(SUBSTITUTE(SUBSTITUTE(SUBSTITUTE(SUBSTITUTE(Клиенты_исходные!D950," ",""),"-",""),"+",""),"(",""),")",""))="8","7"&amp;MID(SUBSTITUTE(SUBSTITUTE(SUBSTITUTE(SUBSTITUTE(SUBSTITUTE(Клиенты_исходные!D950," ",""),"-",""),"+",""),"(",""),")",""),2,10),SUBSTITUTE(SUBSTITUTE(SUBSTITUTE(SUBSTITUTE(SUBSTITUTE(Клиенты_исходные!D950," ",""),"-",""),"+",""),"(",""),")","")),8,2)&amp;"-"&amp;MID(IF(LEFT(SUBSTITUTE(SUBSTITUTE(SUBSTITUTE(SUBSTITUTE(SUBSTITUTE(Клиенты_исходные!D950," ",""),"-",""),"+",""),"(",""),")",""))="8","7"&amp;MID(SUBSTITUTE(SUBSTITUTE(SUBSTITUTE(SUBSTITUTE(SUBSTITUTE(Клиенты_исходные!D950," ",""),"-",""),"+",""),"(",""),")",""),2,10),SUBSTITUTE(SUBSTITUTE(SUBSTITUTE(SUBSTITUTE(SUBSTITUTE(Клиенты_исходные!D950," ",""),"-",""),"+",""),"(",""),")","")),10,2),IF(LEN(SUBSTITUTE(SUBSTITUTE(SUBSTITUTE(SUBSTITUTE(SUBSTITUTE(Клиенты_исходные!D950," ",""),"-",""),"+",""),"(",""),")",""))=10,"+7 ("&amp;MID(SUBSTITUTE(SUBSTITUTE(SUBSTITUTE(SUBSTITUTE(SUBSTITUTE(Клиенты_исходные!D950," ",""),"-",""),"+",""),"(",""),")",""),1,3)&amp;") "&amp;MID(SUBSTITUTE(SUBSTITUTE(SUBSTITUTE(SUBSTITUTE(SUBSTITUTE(Клиенты_исходные!D950," ",""),"-",""),"+",""),"(",""),")",""),4,3)&amp;"-"&amp;MID(SUBSTITUTE(SUBSTITUTE(SUBSTITUTE(SUBSTITUTE(SUBSTITUTE(Клиенты_исходные!D950," ",""),"-",""),"+",""),"(",""),")",""),6,2)&amp;"-"&amp;MID(SUBSTITUTE(SUBSTITUTE(SUBSTITUTE(SUBSTITUTE(SUBSTITUTE(Клиенты_исходные!D950," ",""),"-",""),"+",""),"(",""),")",""),8,2),Клиенты_исходные!D950)))</f>
        <v xml:space="preserve">+7 (903) 234-56-78</v>
      </c>
      <c r="E950" t="str">
        <f>IF(ISBLANK(Клиенты_исходные!E950),"",IF(ISNUMBER(FIND(".",MID(Клиенты_исходные!E950,FIND("@",Клиенты_исходные!E950)+1,255))),Клиенты_исходные!E950,IF(ISNUMBER(FIND("gmail",Клиенты_исходные!E950)),Клиенты_исходные!E950&amp;".com",Клиенты_исходные!E950&amp;".ru")))</f>
        <v>levchenko@mail.ru</v>
      </c>
      <c r="F950" t="str">
        <f>IFERROR(VLOOKUP(Клиенты_исходные!F950,Справочники!$J$2:$K$50,2,FALSE),Клиенты_исходные!F950)</f>
        <v>Шахты</v>
      </c>
      <c r="G950" s="8">
        <f>IFERROR(IF(ISNUMBER(FIND(".",Клиенты_исходные!G950)),DATE(RIGHT(Клиенты_исходные!G950,4),MID(Клиенты_исходные!G950,4,2),LEFT(Клиенты_исходные!G950,2)),DATE(LEFT(Клиенты_исходные!G950,4),MID(Клиенты_исходные!G950,6,2),RIGHT(Клиенты_исходные!G950,2))),Клиенты_исходные!G950)</f>
        <v>54179</v>
      </c>
      <c r="H950">
        <f t="shared" ca="1" si="91"/>
        <v>44</v>
      </c>
      <c r="I950" t="str">
        <f t="shared" si="92"/>
        <v>OK</v>
      </c>
      <c r="J950" t="str">
        <f t="shared" si="93"/>
        <v>OK</v>
      </c>
    </row>
    <row r="951">
      <c r="A951" t="str">
        <f>Клиенты_исходные!A951</f>
        <v>C0950</v>
      </c>
      <c r="B951" t="str">
        <f>PROPER(TRIM(Клиенты_исходные!B951))</f>
        <v xml:space="preserve">Андреева Ольга Владимировна</v>
      </c>
      <c r="C951" s="8">
        <f>IFERROR(IF(ISNUMBER(FIND(".",Клиенты_исходные!C951)),DATE(RIGHT(Клиенты_исходные!C951,4),MID(Клиенты_исходные!C951,4,2),LEFT(Клиенты_исходные!C951,2)),DATE(LEFT(Клиенты_исходные!C951,4),MID(Клиенты_исходные!C951,6,2),RIGHT(Клиенты_исходные!C951,2))),Клиенты_исходные!C951)</f>
        <v>32827</v>
      </c>
      <c r="D951" t="str">
        <f>IF(ISBLANK(Клиенты_исходные!D951),"",IF(LEN(SUBSTITUTE(SUBSTITUTE(SUBSTITUTE(SUBSTITUTE(SUBSTITUTE(Клиенты_исходные!D951," ",""),"-",""),"+",""),"(",""),")",""))=11,"+7 ("&amp;MID(IF(LEFT(SUBSTITUTE(SUBSTITUTE(SUBSTITUTE(SUBSTITUTE(SUBSTITUTE(Клиенты_исходные!D951," ",""),"-",""),"+",""),"(",""),")",""))="8","7"&amp;MID(SUBSTITUTE(SUBSTITUTE(SUBSTITUTE(SUBSTITUTE(SUBSTITUTE(Клиенты_исходные!D951," ",""),"-",""),"+",""),"(",""),")",""),2,10),SUBSTITUTE(SUBSTITUTE(SUBSTITUTE(SUBSTITUTE(SUBSTITUTE(Клиенты_исходные!D951," ",""),"-",""),"+",""),"(",""),")","")),2,3)&amp;") "&amp;MID(IF(LEFT(SUBSTITUTE(SUBSTITUTE(SUBSTITUTE(SUBSTITUTE(SUBSTITUTE(Клиенты_исходные!D951," ",""),"-",""),"+",""),"(",""),")",""))="8","7"&amp;MID(SUBSTITUTE(SUBSTITUTE(SUBSTITUTE(SUBSTITUTE(SUBSTITUTE(Клиенты_исходные!D951," ",""),"-",""),"+",""),"(",""),")",""),2,10),SUBSTITUTE(SUBSTITUTE(SUBSTITUTE(SUBSTITUTE(SUBSTITUTE(Клиенты_исходные!D951," ",""),"-",""),"+",""),"(",""),")","")),5,3)&amp;"-"&amp;MID(IF(LEFT(SUBSTITUTE(SUBSTITUTE(SUBSTITUTE(SUBSTITUTE(SUBSTITUTE(Клиенты_исходные!D951," ",""),"-",""),"+",""),"(",""),")",""))="8","7"&amp;MID(SUBSTITUTE(SUBSTITUTE(SUBSTITUTE(SUBSTITUTE(SUBSTITUTE(Клиенты_исходные!D951," ",""),"-",""),"+",""),"(",""),")",""),2,10),SUBSTITUTE(SUBSTITUTE(SUBSTITUTE(SUBSTITUTE(SUBSTITUTE(Клиенты_исходные!D951," ",""),"-",""),"+",""),"(",""),")","")),8,2)&amp;"-"&amp;MID(IF(LEFT(SUBSTITUTE(SUBSTITUTE(SUBSTITUTE(SUBSTITUTE(SUBSTITUTE(Клиенты_исходные!D951," ",""),"-",""),"+",""),"(",""),")",""))="8","7"&amp;MID(SUBSTITUTE(SUBSTITUTE(SUBSTITUTE(SUBSTITUTE(SUBSTITUTE(Клиенты_исходные!D951," ",""),"-",""),"+",""),"(",""),")",""),2,10),SUBSTITUTE(SUBSTITUTE(SUBSTITUTE(SUBSTITUTE(SUBSTITUTE(Клиенты_исходные!D951," ",""),"-",""),"+",""),"(",""),")","")),10,2),IF(LEN(SUBSTITUTE(SUBSTITUTE(SUBSTITUTE(SUBSTITUTE(SUBSTITUTE(Клиенты_исходные!D951," ",""),"-",""),"+",""),"(",""),")",""))=10,"+7 ("&amp;MID(SUBSTITUTE(SUBSTITUTE(SUBSTITUTE(SUBSTITUTE(SUBSTITUTE(Клиенты_исходные!D951," ",""),"-",""),"+",""),"(",""),")",""),1,3)&amp;") "&amp;MID(SUBSTITUTE(SUBSTITUTE(SUBSTITUTE(SUBSTITUTE(SUBSTITUTE(Клиенты_исходные!D951," ",""),"-",""),"+",""),"(",""),")",""),4,3)&amp;"-"&amp;MID(SUBSTITUTE(SUBSTITUTE(SUBSTITUTE(SUBSTITUTE(SUBSTITUTE(Клиенты_исходные!D951," ",""),"-",""),"+",""),"(",""),")",""),6,2)&amp;"-"&amp;MID(SUBSTITUTE(SUBSTITUTE(SUBSTITUTE(SUBSTITUTE(SUBSTITUTE(Клиенты_исходные!D951," ",""),"-",""),"+",""),"(",""),")",""),8,2),Клиенты_исходные!D951)))</f>
        <v xml:space="preserve">+7 (903) 234-56-78</v>
      </c>
      <c r="E951" t="str">
        <f>IF(ISBLANK(Клиенты_исходные!E951),"",IF(ISNUMBER(FIND(".",MID(Клиенты_исходные!E951,FIND("@",Клиенты_исходные!E951)+1,255))),Клиенты_исходные!E951,IF(ISNUMBER(FIND("gmail",Клиенты_исходные!E951)),Клиенты_исходные!E951&amp;".com",Клиенты_исходные!E951&amp;".ru")))</f>
        <v>andreeva@yandex.ru</v>
      </c>
      <c r="F951" t="str">
        <f>IFERROR(VLOOKUP(Клиенты_исходные!F951,Справочники!$J$2:$K$50,2,FALSE),Клиенты_исходные!F951)</f>
        <v>Златоуст</v>
      </c>
      <c r="G951" s="8">
        <f>IFERROR(IF(ISNUMBER(FIND(".",Клиенты_исходные!G951)),DATE(RIGHT(Клиенты_исходные!G951,4),MID(Клиенты_исходные!G951,4,2),LEFT(Клиенты_исходные!G951,2)),DATE(LEFT(Клиенты_исходные!G951,4),MID(Клиенты_исходные!G951,6,2),RIGHT(Клиенты_исходные!G951,2))),Клиенты_исходные!G951)</f>
        <v>54193</v>
      </c>
      <c r="H951">
        <f t="shared" ca="1" si="91"/>
        <v>36</v>
      </c>
      <c r="I951" t="str">
        <f t="shared" si="92"/>
        <v>OK</v>
      </c>
      <c r="J951" t="str">
        <f t="shared" si="93"/>
        <v>OK</v>
      </c>
    </row>
    <row r="952">
      <c r="A952" t="str">
        <f>Клиенты_исходные!A952</f>
        <v>C0951</v>
      </c>
      <c r="B952" t="str">
        <f>PROPER(TRIM(Клиенты_исходные!B952))</f>
        <v xml:space="preserve">Севастьянов Илья Александрович</v>
      </c>
      <c r="C952" s="8">
        <f>IFERROR(IF(ISNUMBER(FIND(".",Клиенты_исходные!C952)),DATE(RIGHT(Клиенты_исходные!C952,4),MID(Клиенты_исходные!C952,4,2),LEFT(Клиенты_исходные!C952,2)),DATE(LEFT(Клиенты_исходные!C952,4),MID(Клиенты_исходные!C952,6,2),RIGHT(Клиенты_исходные!C952,2))),Клиенты_исходные!C952)</f>
        <v>27841</v>
      </c>
      <c r="D952" t="str">
        <f>IF(ISBLANK(Клиенты_исходные!D952),"",IF(LEN(SUBSTITUTE(SUBSTITUTE(SUBSTITUTE(SUBSTITUTE(SUBSTITUTE(Клиенты_исходные!D952," ",""),"-",""),"+",""),"(",""),")",""))=11,"+7 ("&amp;MID(IF(LEFT(SUBSTITUTE(SUBSTITUTE(SUBSTITUTE(SUBSTITUTE(SUBSTITUTE(Клиенты_исходные!D952," ",""),"-",""),"+",""),"(",""),")",""))="8","7"&amp;MID(SUBSTITUTE(SUBSTITUTE(SUBSTITUTE(SUBSTITUTE(SUBSTITUTE(Клиенты_исходные!D952," ",""),"-",""),"+",""),"(",""),")",""),2,10),SUBSTITUTE(SUBSTITUTE(SUBSTITUTE(SUBSTITUTE(SUBSTITUTE(Клиенты_исходные!D952," ",""),"-",""),"+",""),"(",""),")","")),2,3)&amp;") "&amp;MID(IF(LEFT(SUBSTITUTE(SUBSTITUTE(SUBSTITUTE(SUBSTITUTE(SUBSTITUTE(Клиенты_исходные!D952," ",""),"-",""),"+",""),"(",""),")",""))="8","7"&amp;MID(SUBSTITUTE(SUBSTITUTE(SUBSTITUTE(SUBSTITUTE(SUBSTITUTE(Клиенты_исходные!D952," ",""),"-",""),"+",""),"(",""),")",""),2,10),SUBSTITUTE(SUBSTITUTE(SUBSTITUTE(SUBSTITUTE(SUBSTITUTE(Клиенты_исходные!D952," ",""),"-",""),"+",""),"(",""),")","")),5,3)&amp;"-"&amp;MID(IF(LEFT(SUBSTITUTE(SUBSTITUTE(SUBSTITUTE(SUBSTITUTE(SUBSTITUTE(Клиенты_исходные!D952," ",""),"-",""),"+",""),"(",""),")",""))="8","7"&amp;MID(SUBSTITUTE(SUBSTITUTE(SUBSTITUTE(SUBSTITUTE(SUBSTITUTE(Клиенты_исходные!D952," ",""),"-",""),"+",""),"(",""),")",""),2,10),SUBSTITUTE(SUBSTITUTE(SUBSTITUTE(SUBSTITUTE(SUBSTITUTE(Клиенты_исходные!D952," ",""),"-",""),"+",""),"(",""),")","")),8,2)&amp;"-"&amp;MID(IF(LEFT(SUBSTITUTE(SUBSTITUTE(SUBSTITUTE(SUBSTITUTE(SUBSTITUTE(Клиенты_исходные!D952," ",""),"-",""),"+",""),"(",""),")",""))="8","7"&amp;MID(SUBSTITUTE(SUBSTITUTE(SUBSTITUTE(SUBSTITUTE(SUBSTITUTE(Клиенты_исходные!D952," ",""),"-",""),"+",""),"(",""),")",""),2,10),SUBSTITUTE(SUBSTITUTE(SUBSTITUTE(SUBSTITUTE(SUBSTITUTE(Клиенты_исходные!D952," ",""),"-",""),"+",""),"(",""),")","")),10,2),IF(LEN(SUBSTITUTE(SUBSTITUTE(SUBSTITUTE(SUBSTITUTE(SUBSTITUTE(Клиенты_исходные!D952," ",""),"-",""),"+",""),"(",""),")",""))=10,"+7 ("&amp;MID(SUBSTITUTE(SUBSTITUTE(SUBSTITUTE(SUBSTITUTE(SUBSTITUTE(Клиенты_исходные!D952," ",""),"-",""),"+",""),"(",""),")",""),1,3)&amp;") "&amp;MID(SUBSTITUTE(SUBSTITUTE(SUBSTITUTE(SUBSTITUTE(SUBSTITUTE(Клиенты_исходные!D952," ",""),"-",""),"+",""),"(",""),")",""),4,3)&amp;"-"&amp;MID(SUBSTITUTE(SUBSTITUTE(SUBSTITUTE(SUBSTITUTE(SUBSTITUTE(Клиенты_исходные!D952," ",""),"-",""),"+",""),"(",""),")",""),6,2)&amp;"-"&amp;MID(SUBSTITUTE(SUBSTITUTE(SUBSTITUTE(SUBSTITUTE(SUBSTITUTE(Клиенты_исходные!D952," ",""),"-",""),"+",""),"(",""),")",""),8,2),Клиенты_исходные!D952)))</f>
        <v xml:space="preserve">+7 (903) 345-67-89</v>
      </c>
      <c r="E952" t="str">
        <f>IF(ISBLANK(Клиенты_исходные!E952),"",IF(ISNUMBER(FIND(".",MID(Клиенты_исходные!E952,FIND("@",Клиенты_исходные!E952)+1,255))),Клиенты_исходные!E952,IF(ISNUMBER(FIND("gmail",Клиенты_исходные!E952)),Клиенты_исходные!E952&amp;".com",Клиенты_исходные!E952&amp;".ru")))</f>
        <v>sevastyanov@gmail.com</v>
      </c>
      <c r="F952" t="str">
        <f>IFERROR(VLOOKUP(Клиенты_исходные!F952,Справочники!$J$2:$K$50,2,FALSE),Клиенты_исходные!F952)</f>
        <v>Ангарск</v>
      </c>
      <c r="G952" s="8">
        <f>IFERROR(IF(ISNUMBER(FIND(".",Клиенты_исходные!G952)),DATE(RIGHT(Клиенты_исходные!G952,4),MID(Клиенты_исходные!G952,4,2),LEFT(Клиенты_исходные!G952,2)),DATE(LEFT(Клиенты_исходные!G952,4),MID(Клиенты_исходные!G952,6,2),RIGHT(Клиенты_исходные!G952,2))),Клиенты_исходные!G952)</f>
        <v>54193</v>
      </c>
      <c r="H952">
        <f t="shared" ca="1" si="91"/>
        <v>50</v>
      </c>
      <c r="I952" t="str">
        <f t="shared" si="92"/>
        <v>OK</v>
      </c>
      <c r="J952" t="str">
        <f t="shared" si="93"/>
        <v>OK</v>
      </c>
    </row>
    <row r="953">
      <c r="A953" t="str">
        <f>Клиенты_исходные!A953</f>
        <v>C0952</v>
      </c>
      <c r="B953" t="str">
        <f>PROPER(TRIM(Клиенты_исходные!B953))</f>
        <v xml:space="preserve">Кузьмина Екатерина Сергеевна</v>
      </c>
      <c r="C953" s="8">
        <f>IFERROR(IF(ISNUMBER(FIND(".",Клиенты_исходные!C953)),DATE(RIGHT(Клиенты_исходные!C953,4),MID(Клиенты_исходные!C953,4,2),LEFT(Клиенты_исходные!C953,2)),DATE(LEFT(Клиенты_исходные!C953,4),MID(Клиенты_исходные!C953,6,2),RIGHT(Клиенты_исходные!C953,2))),Клиенты_исходные!C953)</f>
        <v>30937</v>
      </c>
      <c r="D953" t="str">
        <f>IF(ISBLANK(Клиенты_исходные!D953),"",IF(LEN(SUBSTITUTE(SUBSTITUTE(SUBSTITUTE(SUBSTITUTE(SUBSTITUTE(Клиенты_исходные!D953," ",""),"-",""),"+",""),"(",""),")",""))=11,"+7 ("&amp;MID(IF(LEFT(SUBSTITUTE(SUBSTITUTE(SUBSTITUTE(SUBSTITUTE(SUBSTITUTE(Клиенты_исходные!D953," ",""),"-",""),"+",""),"(",""),")",""))="8","7"&amp;MID(SUBSTITUTE(SUBSTITUTE(SUBSTITUTE(SUBSTITUTE(SUBSTITUTE(Клиенты_исходные!D953," ",""),"-",""),"+",""),"(",""),")",""),2,10),SUBSTITUTE(SUBSTITUTE(SUBSTITUTE(SUBSTITUTE(SUBSTITUTE(Клиенты_исходные!D953," ",""),"-",""),"+",""),"(",""),")","")),2,3)&amp;") "&amp;MID(IF(LEFT(SUBSTITUTE(SUBSTITUTE(SUBSTITUTE(SUBSTITUTE(SUBSTITUTE(Клиенты_исходные!D953," ",""),"-",""),"+",""),"(",""),")",""))="8","7"&amp;MID(SUBSTITUTE(SUBSTITUTE(SUBSTITUTE(SUBSTITUTE(SUBSTITUTE(Клиенты_исходные!D953," ",""),"-",""),"+",""),"(",""),")",""),2,10),SUBSTITUTE(SUBSTITUTE(SUBSTITUTE(SUBSTITUTE(SUBSTITUTE(Клиенты_исходные!D953," ",""),"-",""),"+",""),"(",""),")","")),5,3)&amp;"-"&amp;MID(IF(LEFT(SUBSTITUTE(SUBSTITUTE(SUBSTITUTE(SUBSTITUTE(SUBSTITUTE(Клиенты_исходные!D953," ",""),"-",""),"+",""),"(",""),")",""))="8","7"&amp;MID(SUBSTITUTE(SUBSTITUTE(SUBSTITUTE(SUBSTITUTE(SUBSTITUTE(Клиенты_исходные!D953," ",""),"-",""),"+",""),"(",""),")",""),2,10),SUBSTITUTE(SUBSTITUTE(SUBSTITUTE(SUBSTITUTE(SUBSTITUTE(Клиенты_исходные!D953," ",""),"-",""),"+",""),"(",""),")","")),8,2)&amp;"-"&amp;MID(IF(LEFT(SUBSTITUTE(SUBSTITUTE(SUBSTITUTE(SUBSTITUTE(SUBSTITUTE(Клиенты_исходные!D953," ",""),"-",""),"+",""),"(",""),")",""))="8","7"&amp;MID(SUBSTITUTE(SUBSTITUTE(SUBSTITUTE(SUBSTITUTE(SUBSTITUTE(Клиенты_исходные!D953," ",""),"-",""),"+",""),"(",""),")",""),2,10),SUBSTITUTE(SUBSTITUTE(SUBSTITUTE(SUBSTITUTE(SUBSTITUTE(Клиенты_исходные!D953," ",""),"-",""),"+",""),"(",""),")","")),10,2),IF(LEN(SUBSTITUTE(SUBSTITUTE(SUBSTITUTE(SUBSTITUTE(SUBSTITUTE(Клиенты_исходные!D953," ",""),"-",""),"+",""),"(",""),")",""))=10,"+7 ("&amp;MID(SUBSTITUTE(SUBSTITUTE(SUBSTITUTE(SUBSTITUTE(SUBSTITUTE(Клиенты_исходные!D953," ",""),"-",""),"+",""),"(",""),")",""),1,3)&amp;") "&amp;MID(SUBSTITUTE(SUBSTITUTE(SUBSTITUTE(SUBSTITUTE(SUBSTITUTE(Клиенты_исходные!D953," ",""),"-",""),"+",""),"(",""),")",""),4,3)&amp;"-"&amp;MID(SUBSTITUTE(SUBSTITUTE(SUBSTITUTE(SUBSTITUTE(SUBSTITUTE(Клиенты_исходные!D953," ",""),"-",""),"+",""),"(",""),")",""),6,2)&amp;"-"&amp;MID(SUBSTITUTE(SUBSTITUTE(SUBSTITUTE(SUBSTITUTE(SUBSTITUTE(Клиенты_исходные!D953," ",""),"-",""),"+",""),"(",""),")",""),8,2),Клиенты_исходные!D953)))</f>
        <v xml:space="preserve">+7 (903) 345-67-89</v>
      </c>
      <c r="E953" t="str">
        <f>IF(ISBLANK(Клиенты_исходные!E953),"",IF(ISNUMBER(FIND(".",MID(Клиенты_исходные!E953,FIND("@",Клиенты_исходные!E953)+1,255))),Клиенты_исходные!E953,IF(ISNUMBER(FIND("gmail",Клиенты_исходные!E953)),Клиенты_исходные!E953&amp;".com",Клиенты_исходные!E953&amp;".ru")))</f>
        <v>kuzmina@mail.ru</v>
      </c>
      <c r="F953" t="str">
        <f>IFERROR(VLOOKUP(Клиенты_исходные!F953,Справочники!$J$2:$K$50,2,FALSE),Клиенты_исходные!F953)</f>
        <v>Озёрск</v>
      </c>
      <c r="G953" s="8">
        <f>IFERROR(IF(ISNUMBER(FIND(".",Клиенты_исходные!G953)),DATE(RIGHT(Клиенты_исходные!G953,4),MID(Клиенты_исходные!G953,4,2),LEFT(Клиенты_исходные!G953,2)),DATE(LEFT(Клиенты_исходные!G953,4),MID(Клиенты_исходные!G953,6,2),RIGHT(Клиенты_исходные!G953,2))),Клиенты_исходные!G953)</f>
        <v>54210</v>
      </c>
      <c r="H953">
        <f t="shared" ca="1" si="91"/>
        <v>42</v>
      </c>
      <c r="I953" t="str">
        <f t="shared" si="92"/>
        <v>OK</v>
      </c>
      <c r="J953" t="str">
        <f t="shared" si="93"/>
        <v>OK</v>
      </c>
    </row>
    <row r="954">
      <c r="A954" t="str">
        <f>Клиенты_исходные!A954</f>
        <v>C0953</v>
      </c>
      <c r="B954" t="str">
        <f>PROPER(TRIM(Клиенты_исходные!B954))</f>
        <v xml:space="preserve">Матвеев Андрей Олегович</v>
      </c>
      <c r="C954" s="8">
        <f>IFERROR(IF(ISNUMBER(FIND(".",Клиенты_исходные!C954)),DATE(RIGHT(Клиенты_исходные!C954,4),MID(Клиенты_исходные!C954,4,2),LEFT(Клиенты_исходные!C954,2)),DATE(LEFT(Клиенты_исходные!C954,4),MID(Клиенты_исходные!C954,6,2),RIGHT(Клиенты_исходные!C954,2))),Клиенты_исходные!C954)</f>
        <v>33416</v>
      </c>
      <c r="D954" t="str">
        <f>IF(ISBLANK(Клиенты_исходные!D954),"",IF(LEN(SUBSTITUTE(SUBSTITUTE(SUBSTITUTE(SUBSTITUTE(SUBSTITUTE(Клиенты_исходные!D954," ",""),"-",""),"+",""),"(",""),")",""))=11,"+7 ("&amp;MID(IF(LEFT(SUBSTITUTE(SUBSTITUTE(SUBSTITUTE(SUBSTITUTE(SUBSTITUTE(Клиенты_исходные!D954," ",""),"-",""),"+",""),"(",""),")",""))="8","7"&amp;MID(SUBSTITUTE(SUBSTITUTE(SUBSTITUTE(SUBSTITUTE(SUBSTITUTE(Клиенты_исходные!D954," ",""),"-",""),"+",""),"(",""),")",""),2,10),SUBSTITUTE(SUBSTITUTE(SUBSTITUTE(SUBSTITUTE(SUBSTITUTE(Клиенты_исходные!D954," ",""),"-",""),"+",""),"(",""),")","")),2,3)&amp;") "&amp;MID(IF(LEFT(SUBSTITUTE(SUBSTITUTE(SUBSTITUTE(SUBSTITUTE(SUBSTITUTE(Клиенты_исходные!D954," ",""),"-",""),"+",""),"(",""),")",""))="8","7"&amp;MID(SUBSTITUTE(SUBSTITUTE(SUBSTITUTE(SUBSTITUTE(SUBSTITUTE(Клиенты_исходные!D954," ",""),"-",""),"+",""),"(",""),")",""),2,10),SUBSTITUTE(SUBSTITUTE(SUBSTITUTE(SUBSTITUTE(SUBSTITUTE(Клиенты_исходные!D954," ",""),"-",""),"+",""),"(",""),")","")),5,3)&amp;"-"&amp;MID(IF(LEFT(SUBSTITUTE(SUBSTITUTE(SUBSTITUTE(SUBSTITUTE(SUBSTITUTE(Клиенты_исходные!D954," ",""),"-",""),"+",""),"(",""),")",""))="8","7"&amp;MID(SUBSTITUTE(SUBSTITUTE(SUBSTITUTE(SUBSTITUTE(SUBSTITUTE(Клиенты_исходные!D954," ",""),"-",""),"+",""),"(",""),")",""),2,10),SUBSTITUTE(SUBSTITUTE(SUBSTITUTE(SUBSTITUTE(SUBSTITUTE(Клиенты_исходные!D954," ",""),"-",""),"+",""),"(",""),")","")),8,2)&amp;"-"&amp;MID(IF(LEFT(SUBSTITUTE(SUBSTITUTE(SUBSTITUTE(SUBSTITUTE(SUBSTITUTE(Клиенты_исходные!D954," ",""),"-",""),"+",""),"(",""),")",""))="8","7"&amp;MID(SUBSTITUTE(SUBSTITUTE(SUBSTITUTE(SUBSTITUTE(SUBSTITUTE(Клиенты_исходные!D954," ",""),"-",""),"+",""),"(",""),")",""),2,10),SUBSTITUTE(SUBSTITUTE(SUBSTITUTE(SUBSTITUTE(SUBSTITUTE(Клиенты_исходные!D954," ",""),"-",""),"+",""),"(",""),")","")),10,2),IF(LEN(SUBSTITUTE(SUBSTITUTE(SUBSTITUTE(SUBSTITUTE(SUBSTITUTE(Клиенты_исходные!D954," ",""),"-",""),"+",""),"(",""),")",""))=10,"+7 ("&amp;MID(SUBSTITUTE(SUBSTITUTE(SUBSTITUTE(SUBSTITUTE(SUBSTITUTE(Клиенты_исходные!D954," ",""),"-",""),"+",""),"(",""),")",""),1,3)&amp;") "&amp;MID(SUBSTITUTE(SUBSTITUTE(SUBSTITUTE(SUBSTITUTE(SUBSTITUTE(Клиенты_исходные!D954," ",""),"-",""),"+",""),"(",""),")",""),4,3)&amp;"-"&amp;MID(SUBSTITUTE(SUBSTITUTE(SUBSTITUTE(SUBSTITUTE(SUBSTITUTE(Клиенты_исходные!D954," ",""),"-",""),"+",""),"(",""),")",""),6,2)&amp;"-"&amp;MID(SUBSTITUTE(SUBSTITUTE(SUBSTITUTE(SUBSTITUTE(SUBSTITUTE(Клиенты_исходные!D954," ",""),"-",""),"+",""),"(",""),")",""),8,2),Клиенты_исходные!D954)))</f>
        <v xml:space="preserve">+7 (903) 345-67-89</v>
      </c>
      <c r="E954" t="str">
        <f>IF(ISBLANK(Клиенты_исходные!E954),"",IF(ISNUMBER(FIND(".",MID(Клиенты_исходные!E954,FIND("@",Клиенты_исходные!E954)+1,255))),Клиенты_исходные!E954,IF(ISNUMBER(FIND("gmail",Клиенты_исходные!E954)),Клиенты_исходные!E954&amp;".com",Клиенты_исходные!E954&amp;".ru")))</f>
        <v>matveev@yandex.ru</v>
      </c>
      <c r="F954" t="str">
        <f>IFERROR(VLOOKUP(Клиенты_исходные!F954,Справочники!$J$2:$K$50,2,FALSE),Клиенты_исходные!F954)</f>
        <v>Орел</v>
      </c>
      <c r="G954" s="8">
        <f>IFERROR(IF(ISNUMBER(FIND(".",Клиенты_исходные!G954)),DATE(RIGHT(Клиенты_исходные!G954,4),MID(Клиенты_исходные!G954,4,2),LEFT(Клиенты_исходные!G954,2)),DATE(LEFT(Клиенты_исходные!G954,4),MID(Клиенты_исходные!G954,6,2),RIGHT(Клиенты_исходные!G954,2))),Клиенты_исходные!G954)</f>
        <v>54219</v>
      </c>
      <c r="H954">
        <f t="shared" ca="1" si="91"/>
        <v>35</v>
      </c>
      <c r="I954" t="str">
        <f t="shared" si="92"/>
        <v>OK</v>
      </c>
      <c r="J954" t="str">
        <f t="shared" si="93"/>
        <v>OK</v>
      </c>
    </row>
    <row r="955">
      <c r="A955" t="str">
        <f>Клиенты_исходные!A955</f>
        <v>C0954</v>
      </c>
      <c r="B955" t="str">
        <f>PROPER(TRIM(Клиенты_исходные!B955))</f>
        <v xml:space="preserve">Удальцова Мария Павловна</v>
      </c>
      <c r="C955" s="8">
        <f>IFERROR(IF(ISNUMBER(FIND(".",Клиенты_исходные!C955)),DATE(RIGHT(Клиенты_исходные!C955,4),MID(Клиенты_исходные!C955,4,2),LEFT(Клиенты_исходные!C955,2)),DATE(LEFT(Клиенты_исходные!C955,4),MID(Клиенты_исходные!C955,6,2),RIGHT(Клиенты_исходные!C955,2))),Клиенты_исходные!C955)</f>
        <v>28145</v>
      </c>
      <c r="D955" t="str">
        <f>IF(ISBLANK(Клиенты_исходные!D955),"",IF(LEN(SUBSTITUTE(SUBSTITUTE(SUBSTITUTE(SUBSTITUTE(SUBSTITUTE(Клиенты_исходные!D955," ",""),"-",""),"+",""),"(",""),")",""))=11,"+7 ("&amp;MID(IF(LEFT(SUBSTITUTE(SUBSTITUTE(SUBSTITUTE(SUBSTITUTE(SUBSTITUTE(Клиенты_исходные!D955," ",""),"-",""),"+",""),"(",""),")",""))="8","7"&amp;MID(SUBSTITUTE(SUBSTITUTE(SUBSTITUTE(SUBSTITUTE(SUBSTITUTE(Клиенты_исходные!D955," ",""),"-",""),"+",""),"(",""),")",""),2,10),SUBSTITUTE(SUBSTITUTE(SUBSTITUTE(SUBSTITUTE(SUBSTITUTE(Клиенты_исходные!D955," ",""),"-",""),"+",""),"(",""),")","")),2,3)&amp;") "&amp;MID(IF(LEFT(SUBSTITUTE(SUBSTITUTE(SUBSTITUTE(SUBSTITUTE(SUBSTITUTE(Клиенты_исходные!D955," ",""),"-",""),"+",""),"(",""),")",""))="8","7"&amp;MID(SUBSTITUTE(SUBSTITUTE(SUBSTITUTE(SUBSTITUTE(SUBSTITUTE(Клиенты_исходные!D955," ",""),"-",""),"+",""),"(",""),")",""),2,10),SUBSTITUTE(SUBSTITUTE(SUBSTITUTE(SUBSTITUTE(SUBSTITUTE(Клиенты_исходные!D955," ",""),"-",""),"+",""),"(",""),")","")),5,3)&amp;"-"&amp;MID(IF(LEFT(SUBSTITUTE(SUBSTITUTE(SUBSTITUTE(SUBSTITUTE(SUBSTITUTE(Клиенты_исходные!D955," ",""),"-",""),"+",""),"(",""),")",""))="8","7"&amp;MID(SUBSTITUTE(SUBSTITUTE(SUBSTITUTE(SUBSTITUTE(SUBSTITUTE(Клиенты_исходные!D955," ",""),"-",""),"+",""),"(",""),")",""),2,10),SUBSTITUTE(SUBSTITUTE(SUBSTITUTE(SUBSTITUTE(SUBSTITUTE(Клиенты_исходные!D955," ",""),"-",""),"+",""),"(",""),")","")),8,2)&amp;"-"&amp;MID(IF(LEFT(SUBSTITUTE(SUBSTITUTE(SUBSTITUTE(SUBSTITUTE(SUBSTITUTE(Клиенты_исходные!D955," ",""),"-",""),"+",""),"(",""),")",""))="8","7"&amp;MID(SUBSTITUTE(SUBSTITUTE(SUBSTITUTE(SUBSTITUTE(SUBSTITUTE(Клиенты_исходные!D955," ",""),"-",""),"+",""),"(",""),")",""),2,10),SUBSTITUTE(SUBSTITUTE(SUBSTITUTE(SUBSTITUTE(SUBSTITUTE(Клиенты_исходные!D955," ",""),"-",""),"+",""),"(",""),")","")),10,2),IF(LEN(SUBSTITUTE(SUBSTITUTE(SUBSTITUTE(SUBSTITUTE(SUBSTITUTE(Клиенты_исходные!D955," ",""),"-",""),"+",""),"(",""),")",""))=10,"+7 ("&amp;MID(SUBSTITUTE(SUBSTITUTE(SUBSTITUTE(SUBSTITUTE(SUBSTITUTE(Клиенты_исходные!D955," ",""),"-",""),"+",""),"(",""),")",""),1,3)&amp;") "&amp;MID(SUBSTITUTE(SUBSTITUTE(SUBSTITUTE(SUBSTITUTE(SUBSTITUTE(Клиенты_исходные!D955," ",""),"-",""),"+",""),"(",""),")",""),4,3)&amp;"-"&amp;MID(SUBSTITUTE(SUBSTITUTE(SUBSTITUTE(SUBSTITUTE(SUBSTITUTE(Клиенты_исходные!D955," ",""),"-",""),"+",""),"(",""),")",""),6,2)&amp;"-"&amp;MID(SUBSTITUTE(SUBSTITUTE(SUBSTITUTE(SUBSTITUTE(SUBSTITUTE(Клиенты_исходные!D955," ",""),"-",""),"+",""),"(",""),")",""),8,2),Клиенты_исходные!D955)))</f>
        <v xml:space="preserve">+7 (903) 456-78-90</v>
      </c>
      <c r="E955" t="str">
        <f>IF(ISBLANK(Клиенты_исходные!E955),"",IF(ISNUMBER(FIND(".",MID(Клиенты_исходные!E955,FIND("@",Клиенты_исходные!E955)+1,255))),Клиенты_исходные!E955,IF(ISNUMBER(FIND("gmail",Клиенты_исходные!E955)),Клиенты_исходные!E955&amp;".com",Клиенты_исходные!E955&amp;".ru")))</f>
        <v>udaltsova@gmail.com</v>
      </c>
      <c r="F955" t="str">
        <f>IFERROR(VLOOKUP(Клиенты_исходные!F955,Справочники!$J$2:$K$50,2,FALSE),Клиенты_исходные!F955)</f>
        <v>Магнитогорск</v>
      </c>
      <c r="G955" s="8">
        <f>IFERROR(IF(ISNUMBER(FIND(".",Клиенты_исходные!G955)),DATE(RIGHT(Клиенты_исходные!G955,4),MID(Клиенты_исходные!G955,4,2),LEFT(Клиенты_исходные!G955,2)),DATE(LEFT(Клиенты_исходные!G955,4),MID(Клиенты_исходные!G955,6,2),RIGHT(Клиенты_исходные!G955,2))),Клиенты_исходные!G955)</f>
        <v>54219</v>
      </c>
      <c r="H955">
        <f t="shared" ca="1" si="91"/>
        <v>49</v>
      </c>
      <c r="I955" t="str">
        <f t="shared" si="92"/>
        <v>OK</v>
      </c>
      <c r="J955" t="str">
        <f t="shared" si="93"/>
        <v>OK</v>
      </c>
    </row>
    <row r="956">
      <c r="A956" t="str">
        <f>Клиенты_исходные!A956</f>
        <v>C0955</v>
      </c>
      <c r="B956" t="str">
        <f>PROPER(TRIM(Клиенты_исходные!B956))</f>
        <v xml:space="preserve">Хабаров Денис Викторович</v>
      </c>
      <c r="C956" s="8">
        <f>IFERROR(IF(ISNUMBER(FIND(".",Клиенты_исходные!C956)),DATE(RIGHT(Клиенты_исходные!C956,4),MID(Клиенты_исходные!C956,4,2),LEFT(Клиенты_исходные!C956,2)),DATE(LEFT(Клиенты_исходные!C956,4),MID(Клиенты_исходные!C956,6,2),RIGHT(Клиенты_исходные!C956,2))),Клиенты_исходные!C956)</f>
        <v>31397</v>
      </c>
      <c r="D956" t="str">
        <f>IF(ISBLANK(Клиенты_исходные!D956),"",IF(LEN(SUBSTITUTE(SUBSTITUTE(SUBSTITUTE(SUBSTITUTE(SUBSTITUTE(Клиенты_исходные!D956," ",""),"-",""),"+",""),"(",""),")",""))=11,"+7 ("&amp;MID(IF(LEFT(SUBSTITUTE(SUBSTITUTE(SUBSTITUTE(SUBSTITUTE(SUBSTITUTE(Клиенты_исходные!D956," ",""),"-",""),"+",""),"(",""),")",""))="8","7"&amp;MID(SUBSTITUTE(SUBSTITUTE(SUBSTITUTE(SUBSTITUTE(SUBSTITUTE(Клиенты_исходные!D956," ",""),"-",""),"+",""),"(",""),")",""),2,10),SUBSTITUTE(SUBSTITUTE(SUBSTITUTE(SUBSTITUTE(SUBSTITUTE(Клиенты_исходные!D956," ",""),"-",""),"+",""),"(",""),")","")),2,3)&amp;") "&amp;MID(IF(LEFT(SUBSTITUTE(SUBSTITUTE(SUBSTITUTE(SUBSTITUTE(SUBSTITUTE(Клиенты_исходные!D956," ",""),"-",""),"+",""),"(",""),")",""))="8","7"&amp;MID(SUBSTITUTE(SUBSTITUTE(SUBSTITUTE(SUBSTITUTE(SUBSTITUTE(Клиенты_исходные!D956," ",""),"-",""),"+",""),"(",""),")",""),2,10),SUBSTITUTE(SUBSTITUTE(SUBSTITUTE(SUBSTITUTE(SUBSTITUTE(Клиенты_исходные!D956," ",""),"-",""),"+",""),"(",""),")","")),5,3)&amp;"-"&amp;MID(IF(LEFT(SUBSTITUTE(SUBSTITUTE(SUBSTITUTE(SUBSTITUTE(SUBSTITUTE(Клиенты_исходные!D956," ",""),"-",""),"+",""),"(",""),")",""))="8","7"&amp;MID(SUBSTITUTE(SUBSTITUTE(SUBSTITUTE(SUBSTITUTE(SUBSTITUTE(Клиенты_исходные!D956," ",""),"-",""),"+",""),"(",""),")",""),2,10),SUBSTITUTE(SUBSTITUTE(SUBSTITUTE(SUBSTITUTE(SUBSTITUTE(Клиенты_исходные!D956," ",""),"-",""),"+",""),"(",""),")","")),8,2)&amp;"-"&amp;MID(IF(LEFT(SUBSTITUTE(SUBSTITUTE(SUBSTITUTE(SUBSTITUTE(SUBSTITUTE(Клиенты_исходные!D956," ",""),"-",""),"+",""),"(",""),")",""))="8","7"&amp;MID(SUBSTITUTE(SUBSTITUTE(SUBSTITUTE(SUBSTITUTE(SUBSTITUTE(Клиенты_исходные!D956," ",""),"-",""),"+",""),"(",""),")",""),2,10),SUBSTITUTE(SUBSTITUTE(SUBSTITUTE(SUBSTITUTE(SUBSTITUTE(Клиенты_исходные!D956," ",""),"-",""),"+",""),"(",""),")","")),10,2),IF(LEN(SUBSTITUTE(SUBSTITUTE(SUBSTITUTE(SUBSTITUTE(SUBSTITUTE(Клиенты_исходные!D956," ",""),"-",""),"+",""),"(",""),")",""))=10,"+7 ("&amp;MID(SUBSTITUTE(SUBSTITUTE(SUBSTITUTE(SUBSTITUTE(SUBSTITUTE(Клиенты_исходные!D956," ",""),"-",""),"+",""),"(",""),")",""),1,3)&amp;") "&amp;MID(SUBSTITUTE(SUBSTITUTE(SUBSTITUTE(SUBSTITUTE(SUBSTITUTE(Клиенты_исходные!D956," ",""),"-",""),"+",""),"(",""),")",""),4,3)&amp;"-"&amp;MID(SUBSTITUTE(SUBSTITUTE(SUBSTITUTE(SUBSTITUTE(SUBSTITUTE(Клиенты_исходные!D956," ",""),"-",""),"+",""),"(",""),")",""),6,2)&amp;"-"&amp;MID(SUBSTITUTE(SUBSTITUTE(SUBSTITUTE(SUBSTITUTE(SUBSTITUTE(Клиенты_исходные!D956," ",""),"-",""),"+",""),"(",""),")",""),8,2),Клиенты_исходные!D956)))</f>
        <v xml:space="preserve">+7 (903) 456-78-90</v>
      </c>
      <c r="E956" t="str">
        <f>IF(ISBLANK(Клиенты_исходные!E956),"",IF(ISNUMBER(FIND(".",MID(Клиенты_исходные!E956,FIND("@",Клиенты_исходные!E956)+1,255))),Клиенты_исходные!E956,IF(ISNUMBER(FIND("gmail",Клиенты_исходные!E956)),Клиенты_исходные!E956&amp;".com",Клиенты_исходные!E956&amp;".ru")))</f>
        <v>habarov@mail.ru</v>
      </c>
      <c r="F956" t="str">
        <f>IFERROR(VLOOKUP(Клиенты_исходные!F956,Справочники!$J$2:$K$50,2,FALSE),Клиенты_исходные!F956)</f>
        <v>Якутск</v>
      </c>
      <c r="G956" s="8">
        <f>IFERROR(IF(ISNUMBER(FIND(".",Клиенты_исходные!G956)),DATE(RIGHT(Клиенты_исходные!G956,4),MID(Клиенты_исходные!G956,4,2),LEFT(Клиенты_исходные!G956,2)),DATE(LEFT(Клиенты_исходные!G956,4),MID(Клиенты_исходные!G956,6,2),RIGHT(Клиенты_исходные!G956,2))),Клиенты_исходные!G956)</f>
        <v>54240</v>
      </c>
      <c r="H956">
        <f t="shared" ca="1" si="91"/>
        <v>40</v>
      </c>
      <c r="I956" t="str">
        <f t="shared" si="92"/>
        <v>OK</v>
      </c>
      <c r="J956" t="str">
        <f t="shared" si="93"/>
        <v>OK</v>
      </c>
    </row>
    <row r="957">
      <c r="A957" t="str">
        <f>Клиенты_исходные!A957</f>
        <v>C0956</v>
      </c>
      <c r="B957" t="str">
        <f>PROPER(TRIM(Клиенты_исходные!B957))</f>
        <v xml:space="preserve">Гуренкова Ольга Сергеевна</v>
      </c>
      <c r="C957" s="8">
        <f>IFERROR(IF(ISNUMBER(FIND(".",Клиенты_исходные!C957)),DATE(RIGHT(Клиенты_исходные!C957,4),MID(Клиенты_исходные!C957,4,2),LEFT(Клиенты_исходные!C957,2)),DATE(LEFT(Клиенты_исходные!C957,4),MID(Клиенты_исходные!C957,6,2),RIGHT(Клиенты_исходные!C957,2))),Клиенты_исходные!C957)</f>
        <v>29369</v>
      </c>
      <c r="D957" t="str">
        <f>IF(ISBLANK(Клиенты_исходные!D957),"",IF(LEN(SUBSTITUTE(SUBSTITUTE(SUBSTITUTE(SUBSTITUTE(SUBSTITUTE(Клиенты_исходные!D957," ",""),"-",""),"+",""),"(",""),")",""))=11,"+7 ("&amp;MID(IF(LEFT(SUBSTITUTE(SUBSTITUTE(SUBSTITUTE(SUBSTITUTE(SUBSTITUTE(Клиенты_исходные!D957," ",""),"-",""),"+",""),"(",""),")",""))="8","7"&amp;MID(SUBSTITUTE(SUBSTITUTE(SUBSTITUTE(SUBSTITUTE(SUBSTITUTE(Клиенты_исходные!D957," ",""),"-",""),"+",""),"(",""),")",""),2,10),SUBSTITUTE(SUBSTITUTE(SUBSTITUTE(SUBSTITUTE(SUBSTITUTE(Клиенты_исходные!D957," ",""),"-",""),"+",""),"(",""),")","")),2,3)&amp;") "&amp;MID(IF(LEFT(SUBSTITUTE(SUBSTITUTE(SUBSTITUTE(SUBSTITUTE(SUBSTITUTE(Клиенты_исходные!D957," ",""),"-",""),"+",""),"(",""),")",""))="8","7"&amp;MID(SUBSTITUTE(SUBSTITUTE(SUBSTITUTE(SUBSTITUTE(SUBSTITUTE(Клиенты_исходные!D957," ",""),"-",""),"+",""),"(",""),")",""),2,10),SUBSTITUTE(SUBSTITUTE(SUBSTITUTE(SUBSTITUTE(SUBSTITUTE(Клиенты_исходные!D957," ",""),"-",""),"+",""),"(",""),")","")),5,3)&amp;"-"&amp;MID(IF(LEFT(SUBSTITUTE(SUBSTITUTE(SUBSTITUTE(SUBSTITUTE(SUBSTITUTE(Клиенты_исходные!D957," ",""),"-",""),"+",""),"(",""),")",""))="8","7"&amp;MID(SUBSTITUTE(SUBSTITUTE(SUBSTITUTE(SUBSTITUTE(SUBSTITUTE(Клиенты_исходные!D957," ",""),"-",""),"+",""),"(",""),")",""),2,10),SUBSTITUTE(SUBSTITUTE(SUBSTITUTE(SUBSTITUTE(SUBSTITUTE(Клиенты_исходные!D957," ",""),"-",""),"+",""),"(",""),")","")),8,2)&amp;"-"&amp;MID(IF(LEFT(SUBSTITUTE(SUBSTITUTE(SUBSTITUTE(SUBSTITUTE(SUBSTITUTE(Клиенты_исходные!D957," ",""),"-",""),"+",""),"(",""),")",""))="8","7"&amp;MID(SUBSTITUTE(SUBSTITUTE(SUBSTITUTE(SUBSTITUTE(SUBSTITUTE(Клиенты_исходные!D957," ",""),"-",""),"+",""),"(",""),")",""),2,10),SUBSTITUTE(SUBSTITUTE(SUBSTITUTE(SUBSTITUTE(SUBSTITUTE(Клиенты_исходные!D957," ",""),"-",""),"+",""),"(",""),")","")),10,2),IF(LEN(SUBSTITUTE(SUBSTITUTE(SUBSTITUTE(SUBSTITUTE(SUBSTITUTE(Клиенты_исходные!D957," ",""),"-",""),"+",""),"(",""),")",""))=10,"+7 ("&amp;MID(SUBSTITUTE(SUBSTITUTE(SUBSTITUTE(SUBSTITUTE(SUBSTITUTE(Клиенты_исходные!D957," ",""),"-",""),"+",""),"(",""),")",""),1,3)&amp;") "&amp;MID(SUBSTITUTE(SUBSTITUTE(SUBSTITUTE(SUBSTITUTE(SUBSTITUTE(Клиенты_исходные!D957," ",""),"-",""),"+",""),"(",""),")",""),4,3)&amp;"-"&amp;MID(SUBSTITUTE(SUBSTITUTE(SUBSTITUTE(SUBSTITUTE(SUBSTITUTE(Клиенты_исходные!D957," ",""),"-",""),"+",""),"(",""),")",""),6,2)&amp;"-"&amp;MID(SUBSTITUTE(SUBSTITUTE(SUBSTITUTE(SUBSTITUTE(SUBSTITUTE(Клиенты_исходные!D957," ",""),"-",""),"+",""),"(",""),")",""),8,2),Клиенты_исходные!D957)))</f>
        <v xml:space="preserve">+7 (903) 456-78-90</v>
      </c>
      <c r="E957" t="str">
        <f>IF(ISBLANK(Клиенты_исходные!E957),"",IF(ISNUMBER(FIND(".",MID(Клиенты_исходные!E957,FIND("@",Клиенты_исходные!E957)+1,255))),Клиенты_исходные!E957,IF(ISNUMBER(FIND("gmail",Клиенты_исходные!E957)),Клиенты_исходные!E957&amp;".com",Клиенты_исходные!E957&amp;".ru")))</f>
        <v>gurenkova@yandex.ru</v>
      </c>
      <c r="F957" t="str">
        <f>IFERROR(VLOOKUP(Клиенты_исходные!F957,Справочники!$J$2:$K$50,2,FALSE),Клиенты_исходные!F957)</f>
        <v>Чебоксары</v>
      </c>
      <c r="G957" s="8">
        <f>IFERROR(IF(ISNUMBER(FIND(".",Клиенты_исходные!G957)),DATE(RIGHT(Клиенты_исходные!G957,4),MID(Клиенты_исходные!G957,4,2),LEFT(Клиенты_исходные!G957,2)),DATE(LEFT(Клиенты_исходные!G957,4),MID(Клиенты_исходные!G957,6,2),RIGHT(Клиенты_исходные!G957,2))),Клиенты_исходные!G957)</f>
        <v>54254</v>
      </c>
      <c r="H957">
        <f t="shared" ca="1" si="91"/>
        <v>46</v>
      </c>
      <c r="I957" t="str">
        <f t="shared" si="92"/>
        <v>OK</v>
      </c>
      <c r="J957" t="str">
        <f t="shared" si="93"/>
        <v>OK</v>
      </c>
    </row>
    <row r="958">
      <c r="A958" t="str">
        <f>Клиенты_исходные!A958</f>
        <v>C0957</v>
      </c>
      <c r="B958" t="str">
        <f>PROPER(TRIM(Клиенты_исходные!B958))</f>
        <v xml:space="preserve">Щепин Илья Александрович</v>
      </c>
      <c r="C958" s="8">
        <f>IFERROR(IF(ISNUMBER(FIND(".",Клиенты_исходные!C958)),DATE(RIGHT(Клиенты_исходные!C958,4),MID(Клиенты_исходные!C958,4,2),LEFT(Клиенты_исходные!C958,2)),DATE(LEFT(Клиенты_исходные!C958,4),MID(Клиенты_исходные!C958,6,2),RIGHT(Клиенты_исходные!C958,2))),Клиенты_исходные!C958)</f>
        <v>27304</v>
      </c>
      <c r="D958" t="str">
        <f>IF(ISBLANK(Клиенты_исходные!D958),"",IF(LEN(SUBSTITUTE(SUBSTITUTE(SUBSTITUTE(SUBSTITUTE(SUBSTITUTE(Клиенты_исходные!D958," ",""),"-",""),"+",""),"(",""),")",""))=11,"+7 ("&amp;MID(IF(LEFT(SUBSTITUTE(SUBSTITUTE(SUBSTITUTE(SUBSTITUTE(SUBSTITUTE(Клиенты_исходные!D958," ",""),"-",""),"+",""),"(",""),")",""))="8","7"&amp;MID(SUBSTITUTE(SUBSTITUTE(SUBSTITUTE(SUBSTITUTE(SUBSTITUTE(Клиенты_исходные!D958," ",""),"-",""),"+",""),"(",""),")",""),2,10),SUBSTITUTE(SUBSTITUTE(SUBSTITUTE(SUBSTITUTE(SUBSTITUTE(Клиенты_исходные!D958," ",""),"-",""),"+",""),"(",""),")","")),2,3)&amp;") "&amp;MID(IF(LEFT(SUBSTITUTE(SUBSTITUTE(SUBSTITUTE(SUBSTITUTE(SUBSTITUTE(Клиенты_исходные!D958," ",""),"-",""),"+",""),"(",""),")",""))="8","7"&amp;MID(SUBSTITUTE(SUBSTITUTE(SUBSTITUTE(SUBSTITUTE(SUBSTITUTE(Клиенты_исходные!D958," ",""),"-",""),"+",""),"(",""),")",""),2,10),SUBSTITUTE(SUBSTITUTE(SUBSTITUTE(SUBSTITUTE(SUBSTITUTE(Клиенты_исходные!D958," ",""),"-",""),"+",""),"(",""),")","")),5,3)&amp;"-"&amp;MID(IF(LEFT(SUBSTITUTE(SUBSTITUTE(SUBSTITUTE(SUBSTITUTE(SUBSTITUTE(Клиенты_исходные!D958," ",""),"-",""),"+",""),"(",""),")",""))="8","7"&amp;MID(SUBSTITUTE(SUBSTITUTE(SUBSTITUTE(SUBSTITUTE(SUBSTITUTE(Клиенты_исходные!D958," ",""),"-",""),"+",""),"(",""),")",""),2,10),SUBSTITUTE(SUBSTITUTE(SUBSTITUTE(SUBSTITUTE(SUBSTITUTE(Клиенты_исходные!D958," ",""),"-",""),"+",""),"(",""),")","")),8,2)&amp;"-"&amp;MID(IF(LEFT(SUBSTITUTE(SUBSTITUTE(SUBSTITUTE(SUBSTITUTE(SUBSTITUTE(Клиенты_исходные!D958," ",""),"-",""),"+",""),"(",""),")",""))="8","7"&amp;MID(SUBSTITUTE(SUBSTITUTE(SUBSTITUTE(SUBSTITUTE(SUBSTITUTE(Клиенты_исходные!D958," ",""),"-",""),"+",""),"(",""),")",""),2,10),SUBSTITUTE(SUBSTITUTE(SUBSTITUTE(SUBSTITUTE(SUBSTITUTE(Клиенты_исходные!D958," ",""),"-",""),"+",""),"(",""),")","")),10,2),IF(LEN(SUBSTITUTE(SUBSTITUTE(SUBSTITUTE(SUBSTITUTE(SUBSTITUTE(Клиенты_исходные!D958," ",""),"-",""),"+",""),"(",""),")",""))=10,"+7 ("&amp;MID(SUBSTITUTE(SUBSTITUTE(SUBSTITUTE(SUBSTITUTE(SUBSTITUTE(Клиенты_исходные!D958," ",""),"-",""),"+",""),"(",""),")",""),1,3)&amp;") "&amp;MID(SUBSTITUTE(SUBSTITUTE(SUBSTITUTE(SUBSTITUTE(SUBSTITUTE(Клиенты_исходные!D958," ",""),"-",""),"+",""),"(",""),")",""),4,3)&amp;"-"&amp;MID(SUBSTITUTE(SUBSTITUTE(SUBSTITUTE(SUBSTITUTE(SUBSTITUTE(Клиенты_исходные!D958," ",""),"-",""),"+",""),"(",""),")",""),6,2)&amp;"-"&amp;MID(SUBSTITUTE(SUBSTITUTE(SUBSTITUTE(SUBSTITUTE(SUBSTITUTE(Клиенты_исходные!D958," ",""),"-",""),"+",""),"(",""),")",""),8,2),Клиенты_исходные!D958)))</f>
        <v xml:space="preserve">+7 (903) 567-89-01</v>
      </c>
      <c r="E958" t="str">
        <f>IF(ISBLANK(Клиенты_исходные!E958),"",IF(ISNUMBER(FIND(".",MID(Клиенты_исходные!E958,FIND("@",Клиенты_исходные!E958)+1,255))),Клиенты_исходные!E958,IF(ISNUMBER(FIND("gmail",Клиенты_исходные!E958)),Клиенты_исходные!E958&amp;".com",Клиенты_исходные!E958&amp;".ru")))</f>
        <v>schepin@gmail.com</v>
      </c>
      <c r="F958" t="str">
        <f>IFERROR(VLOOKUP(Клиенты_исходные!F958,Справочники!$J$2:$K$50,2,FALSE),Клиенты_исходные!F958)</f>
        <v>Мурманск</v>
      </c>
      <c r="G958" s="8">
        <f>IFERROR(IF(ISNUMBER(FIND(".",Клиенты_исходные!G958)),DATE(RIGHT(Клиенты_исходные!G958,4),MID(Клиенты_исходные!G958,4,2),LEFT(Клиенты_исходные!G958,2)),DATE(LEFT(Клиенты_исходные!G958,4),MID(Клиенты_исходные!G958,6,2),RIGHT(Клиенты_исходные!G958,2))),Клиенты_исходные!G958)</f>
        <v>54254</v>
      </c>
      <c r="H958">
        <f t="shared" ca="1" si="91"/>
        <v>52</v>
      </c>
      <c r="I958" t="str">
        <f t="shared" si="92"/>
        <v>OK</v>
      </c>
      <c r="J958" t="str">
        <f t="shared" si="93"/>
        <v>OK</v>
      </c>
    </row>
    <row r="959">
      <c r="A959" t="str">
        <f>Клиенты_исходные!A959</f>
        <v>C0958</v>
      </c>
      <c r="B959" t="str">
        <f>PROPER(TRIM(Клиенты_исходные!B959))</f>
        <v xml:space="preserve">Ахметова Екатерина Владимировна</v>
      </c>
      <c r="C959" s="8">
        <f>IFERROR(IF(ISNUMBER(FIND(".",Клиенты_исходные!C959)),DATE(RIGHT(Клиенты_исходные!C959,4),MID(Клиенты_исходные!C959,4,2),LEFT(Клиенты_исходные!C959,2)),DATE(LEFT(Клиенты_исходные!C959,4),MID(Клиенты_исходные!C959,6,2),RIGHT(Клиенты_исходные!C959,2))),Клиенты_исходные!C959)</f>
        <v>31604</v>
      </c>
      <c r="D959" t="str">
        <f>IF(ISBLANK(Клиенты_исходные!D959),"",IF(LEN(SUBSTITUTE(SUBSTITUTE(SUBSTITUTE(SUBSTITUTE(SUBSTITUTE(Клиенты_исходные!D959," ",""),"-",""),"+",""),"(",""),")",""))=11,"+7 ("&amp;MID(IF(LEFT(SUBSTITUTE(SUBSTITUTE(SUBSTITUTE(SUBSTITUTE(SUBSTITUTE(Клиенты_исходные!D959," ",""),"-",""),"+",""),"(",""),")",""))="8","7"&amp;MID(SUBSTITUTE(SUBSTITUTE(SUBSTITUTE(SUBSTITUTE(SUBSTITUTE(Клиенты_исходные!D959," ",""),"-",""),"+",""),"(",""),")",""),2,10),SUBSTITUTE(SUBSTITUTE(SUBSTITUTE(SUBSTITUTE(SUBSTITUTE(Клиенты_исходные!D959," ",""),"-",""),"+",""),"(",""),")","")),2,3)&amp;") "&amp;MID(IF(LEFT(SUBSTITUTE(SUBSTITUTE(SUBSTITUTE(SUBSTITUTE(SUBSTITUTE(Клиенты_исходные!D959," ",""),"-",""),"+",""),"(",""),")",""))="8","7"&amp;MID(SUBSTITUTE(SUBSTITUTE(SUBSTITUTE(SUBSTITUTE(SUBSTITUTE(Клиенты_исходные!D959," ",""),"-",""),"+",""),"(",""),")",""),2,10),SUBSTITUTE(SUBSTITUTE(SUBSTITUTE(SUBSTITUTE(SUBSTITUTE(Клиенты_исходные!D959," ",""),"-",""),"+",""),"(",""),")","")),5,3)&amp;"-"&amp;MID(IF(LEFT(SUBSTITUTE(SUBSTITUTE(SUBSTITUTE(SUBSTITUTE(SUBSTITUTE(Клиенты_исходные!D959," ",""),"-",""),"+",""),"(",""),")",""))="8","7"&amp;MID(SUBSTITUTE(SUBSTITUTE(SUBSTITUTE(SUBSTITUTE(SUBSTITUTE(Клиенты_исходные!D959," ",""),"-",""),"+",""),"(",""),")",""),2,10),SUBSTITUTE(SUBSTITUTE(SUBSTITUTE(SUBSTITUTE(SUBSTITUTE(Клиенты_исходные!D959," ",""),"-",""),"+",""),"(",""),")","")),8,2)&amp;"-"&amp;MID(IF(LEFT(SUBSTITUTE(SUBSTITUTE(SUBSTITUTE(SUBSTITUTE(SUBSTITUTE(Клиенты_исходные!D959," ",""),"-",""),"+",""),"(",""),")",""))="8","7"&amp;MID(SUBSTITUTE(SUBSTITUTE(SUBSTITUTE(SUBSTITUTE(SUBSTITUTE(Клиенты_исходные!D959," ",""),"-",""),"+",""),"(",""),")",""),2,10),SUBSTITUTE(SUBSTITUTE(SUBSTITUTE(SUBSTITUTE(SUBSTITUTE(Клиенты_исходные!D959," ",""),"-",""),"+",""),"(",""),")","")),10,2),IF(LEN(SUBSTITUTE(SUBSTITUTE(SUBSTITUTE(SUBSTITUTE(SUBSTITUTE(Клиенты_исходные!D959," ",""),"-",""),"+",""),"(",""),")",""))=10,"+7 ("&amp;MID(SUBSTITUTE(SUBSTITUTE(SUBSTITUTE(SUBSTITUTE(SUBSTITUTE(Клиенты_исходные!D959," ",""),"-",""),"+",""),"(",""),")",""),1,3)&amp;") "&amp;MID(SUBSTITUTE(SUBSTITUTE(SUBSTITUTE(SUBSTITUTE(SUBSTITUTE(Клиенты_исходные!D959," ",""),"-",""),"+",""),"(",""),")",""),4,3)&amp;"-"&amp;MID(SUBSTITUTE(SUBSTITUTE(SUBSTITUTE(SUBSTITUTE(SUBSTITUTE(Клиенты_исходные!D959," ",""),"-",""),"+",""),"(",""),")",""),6,2)&amp;"-"&amp;MID(SUBSTITUTE(SUBSTITUTE(SUBSTITUTE(SUBSTITUTE(SUBSTITUTE(Клиенты_исходные!D959," ",""),"-",""),"+",""),"(",""),")",""),8,2),Клиенты_исходные!D959)))</f>
        <v xml:space="preserve">+7 (903) 567-89-01</v>
      </c>
      <c r="E959" t="str">
        <f>IF(ISBLANK(Клиенты_исходные!E959),"",IF(ISNUMBER(FIND(".",MID(Клиенты_исходные!E959,FIND("@",Клиенты_исходные!E959)+1,255))),Клиенты_исходные!E959,IF(ISNUMBER(FIND("gmail",Клиенты_исходные!E959)),Клиенты_исходные!E959&amp;".com",Клиенты_исходные!E959&amp;".ru")))</f>
        <v>ahmetova@mail.ru</v>
      </c>
      <c r="F959" t="str">
        <f>IFERROR(VLOOKUP(Клиенты_исходные!F959,Справочники!$J$2:$K$50,2,FALSE),Клиенты_исходные!F959)</f>
        <v>Смоленск</v>
      </c>
      <c r="G959" s="8">
        <f>IFERROR(IF(ISNUMBER(FIND(".",Клиенты_исходные!G959)),DATE(RIGHT(Клиенты_исходные!G959,4),MID(Клиенты_исходные!G959,4,2),LEFT(Клиенты_исходные!G959,2)),DATE(LEFT(Клиенты_исходные!G959,4),MID(Клиенты_исходные!G959,6,2),RIGHT(Клиенты_исходные!G959,2))),Клиенты_исходные!G959)</f>
        <v>54271</v>
      </c>
      <c r="H959">
        <f t="shared" ca="1" si="91"/>
        <v>40</v>
      </c>
      <c r="I959" t="str">
        <f t="shared" si="92"/>
        <v>OK</v>
      </c>
      <c r="J959" t="str">
        <f t="shared" si="93"/>
        <v>OK</v>
      </c>
    </row>
    <row r="960">
      <c r="A960" t="str">
        <f>Клиенты_исходные!A960</f>
        <v>C0959</v>
      </c>
      <c r="B960" t="str">
        <f>PROPER(TRIM(Клиенты_исходные!B960))</f>
        <v xml:space="preserve">Кузьмин Денис Павлович</v>
      </c>
      <c r="C960" s="8">
        <f>IFERROR(IF(ISNUMBER(FIND(".",Клиенты_исходные!C960)),DATE(RIGHT(Клиенты_исходные!C960,4),MID(Клиенты_исходные!C960,4,2),LEFT(Клиенты_исходные!C960,2)),DATE(LEFT(Клиенты_исходные!C960,4),MID(Клиенты_исходные!C960,6,2),RIGHT(Клиенты_исходные!C960,2))),Клиенты_исходные!C960)</f>
        <v>33834</v>
      </c>
      <c r="D960" t="str">
        <f>IF(ISBLANK(Клиенты_исходные!D960),"",IF(LEN(SUBSTITUTE(SUBSTITUTE(SUBSTITUTE(SUBSTITUTE(SUBSTITUTE(Клиенты_исходные!D960," ",""),"-",""),"+",""),"(",""),")",""))=11,"+7 ("&amp;MID(IF(LEFT(SUBSTITUTE(SUBSTITUTE(SUBSTITUTE(SUBSTITUTE(SUBSTITUTE(Клиенты_исходные!D960," ",""),"-",""),"+",""),"(",""),")",""))="8","7"&amp;MID(SUBSTITUTE(SUBSTITUTE(SUBSTITUTE(SUBSTITUTE(SUBSTITUTE(Клиенты_исходные!D960," ",""),"-",""),"+",""),"(",""),")",""),2,10),SUBSTITUTE(SUBSTITUTE(SUBSTITUTE(SUBSTITUTE(SUBSTITUTE(Клиенты_исходные!D960," ",""),"-",""),"+",""),"(",""),")","")),2,3)&amp;") "&amp;MID(IF(LEFT(SUBSTITUTE(SUBSTITUTE(SUBSTITUTE(SUBSTITUTE(SUBSTITUTE(Клиенты_исходные!D960," ",""),"-",""),"+",""),"(",""),")",""))="8","7"&amp;MID(SUBSTITUTE(SUBSTITUTE(SUBSTITUTE(SUBSTITUTE(SUBSTITUTE(Клиенты_исходные!D960," ",""),"-",""),"+",""),"(",""),")",""),2,10),SUBSTITUTE(SUBSTITUTE(SUBSTITUTE(SUBSTITUTE(SUBSTITUTE(Клиенты_исходные!D960," ",""),"-",""),"+",""),"(",""),")","")),5,3)&amp;"-"&amp;MID(IF(LEFT(SUBSTITUTE(SUBSTITUTE(SUBSTITUTE(SUBSTITUTE(SUBSTITUTE(Клиенты_исходные!D960," ",""),"-",""),"+",""),"(",""),")",""))="8","7"&amp;MID(SUBSTITUTE(SUBSTITUTE(SUBSTITUTE(SUBSTITUTE(SUBSTITUTE(Клиенты_исходные!D960," ",""),"-",""),"+",""),"(",""),")",""),2,10),SUBSTITUTE(SUBSTITUTE(SUBSTITUTE(SUBSTITUTE(SUBSTITUTE(Клиенты_исходные!D960," ",""),"-",""),"+",""),"(",""),")","")),8,2)&amp;"-"&amp;MID(IF(LEFT(SUBSTITUTE(SUBSTITUTE(SUBSTITUTE(SUBSTITUTE(SUBSTITUTE(Клиенты_исходные!D960," ",""),"-",""),"+",""),"(",""),")",""))="8","7"&amp;MID(SUBSTITUTE(SUBSTITUTE(SUBSTITUTE(SUBSTITUTE(SUBSTITUTE(Клиенты_исходные!D960," ",""),"-",""),"+",""),"(",""),")",""),2,10),SUBSTITUTE(SUBSTITUTE(SUBSTITUTE(SUBSTITUTE(SUBSTITUTE(Клиенты_исходные!D960," ",""),"-",""),"+",""),"(",""),")","")),10,2),IF(LEN(SUBSTITUTE(SUBSTITUTE(SUBSTITUTE(SUBSTITUTE(SUBSTITUTE(Клиенты_исходные!D960," ",""),"-",""),"+",""),"(",""),")",""))=10,"+7 ("&amp;MID(SUBSTITUTE(SUBSTITUTE(SUBSTITUTE(SUBSTITUTE(SUBSTITUTE(Клиенты_исходные!D960," ",""),"-",""),"+",""),"(",""),")",""),1,3)&amp;") "&amp;MID(SUBSTITUTE(SUBSTITUTE(SUBSTITUTE(SUBSTITUTE(SUBSTITUTE(Клиенты_исходные!D960," ",""),"-",""),"+",""),"(",""),")",""),4,3)&amp;"-"&amp;MID(SUBSTITUTE(SUBSTITUTE(SUBSTITUTE(SUBSTITUTE(SUBSTITUTE(Клиенты_исходные!D960," ",""),"-",""),"+",""),"(",""),")",""),6,2)&amp;"-"&amp;MID(SUBSTITUTE(SUBSTITUTE(SUBSTITUTE(SUBSTITUTE(SUBSTITUTE(Клиенты_исходные!D960," ",""),"-",""),"+",""),"(",""),")",""),8,2),Клиенты_исходные!D960)))</f>
        <v xml:space="preserve">+7 (903) 567-89-01</v>
      </c>
      <c r="E960" t="str">
        <f>IF(ISBLANK(Клиенты_исходные!E960),"",IF(ISNUMBER(FIND(".",MID(Клиенты_исходные!E960,FIND("@",Клиенты_исходные!E960)+1,255))),Клиенты_исходные!E960,IF(ISNUMBER(FIND("gmail",Клиенты_исходные!E960)),Клиенты_исходные!E960&amp;".com",Клиенты_исходные!E960&amp;".ru")))</f>
        <v>kuzmin@yandex.ru</v>
      </c>
      <c r="F960" t="str">
        <f>IFERROR(VLOOKUP(Клиенты_исходные!F960,Справочники!$J$2:$K$50,2,FALSE),Клиенты_исходные!F960)</f>
        <v>Тула</v>
      </c>
      <c r="G960" s="8">
        <f>IFERROR(IF(ISNUMBER(FIND(".",Клиенты_исходные!G960)),DATE(RIGHT(Клиенты_исходные!G960,4),MID(Клиенты_исходные!G960,4,2),LEFT(Клиенты_исходные!G960,2)),DATE(LEFT(Клиенты_исходные!G960,4),MID(Клиенты_исходные!G960,6,2),RIGHT(Клиенты_исходные!G960,2))),Клиенты_исходные!G960)</f>
        <v>54280</v>
      </c>
      <c r="H960">
        <f t="shared" ca="1" si="91"/>
        <v>34</v>
      </c>
      <c r="I960" t="str">
        <f t="shared" si="92"/>
        <v>OK</v>
      </c>
      <c r="J960" t="str">
        <f t="shared" si="93"/>
        <v>OK</v>
      </c>
    </row>
    <row r="961">
      <c r="A961" t="str">
        <f>Клиенты_исходные!A961</f>
        <v>C0960</v>
      </c>
      <c r="B961" t="str">
        <f>PROPER(TRIM(Клиенты_исходные!B961))</f>
        <v xml:space="preserve">Кирпичева Ольга Сергеевна</v>
      </c>
      <c r="C961" s="8">
        <f>IFERROR(IF(ISNUMBER(FIND(".",Клиенты_исходные!C961)),DATE(RIGHT(Клиенты_исходные!C961,4),MID(Клиенты_исходные!C961,4,2),LEFT(Клиенты_исходные!C961,2)),DATE(LEFT(Клиенты_исходные!C961,4),MID(Клиенты_исходные!C961,6,2),RIGHT(Клиенты_исходные!C961,2))),Клиенты_исходные!C961)</f>
        <v>28553</v>
      </c>
      <c r="D961" t="str">
        <f>IF(ISBLANK(Клиенты_исходные!D961),"",IF(LEN(SUBSTITUTE(SUBSTITUTE(SUBSTITUTE(SUBSTITUTE(SUBSTITUTE(Клиенты_исходные!D961," ",""),"-",""),"+",""),"(",""),")",""))=11,"+7 ("&amp;MID(IF(LEFT(SUBSTITUTE(SUBSTITUTE(SUBSTITUTE(SUBSTITUTE(SUBSTITUTE(Клиенты_исходные!D961," ",""),"-",""),"+",""),"(",""),")",""))="8","7"&amp;MID(SUBSTITUTE(SUBSTITUTE(SUBSTITUTE(SUBSTITUTE(SUBSTITUTE(Клиенты_исходные!D961," ",""),"-",""),"+",""),"(",""),")",""),2,10),SUBSTITUTE(SUBSTITUTE(SUBSTITUTE(SUBSTITUTE(SUBSTITUTE(Клиенты_исходные!D961," ",""),"-",""),"+",""),"(",""),")","")),2,3)&amp;") "&amp;MID(IF(LEFT(SUBSTITUTE(SUBSTITUTE(SUBSTITUTE(SUBSTITUTE(SUBSTITUTE(Клиенты_исходные!D961," ",""),"-",""),"+",""),"(",""),")",""))="8","7"&amp;MID(SUBSTITUTE(SUBSTITUTE(SUBSTITUTE(SUBSTITUTE(SUBSTITUTE(Клиенты_исходные!D961," ",""),"-",""),"+",""),"(",""),")",""),2,10),SUBSTITUTE(SUBSTITUTE(SUBSTITUTE(SUBSTITUTE(SUBSTITUTE(Клиенты_исходные!D961," ",""),"-",""),"+",""),"(",""),")","")),5,3)&amp;"-"&amp;MID(IF(LEFT(SUBSTITUTE(SUBSTITUTE(SUBSTITUTE(SUBSTITUTE(SUBSTITUTE(Клиенты_исходные!D961," ",""),"-",""),"+",""),"(",""),")",""))="8","7"&amp;MID(SUBSTITUTE(SUBSTITUTE(SUBSTITUTE(SUBSTITUTE(SUBSTITUTE(Клиенты_исходные!D961," ",""),"-",""),"+",""),"(",""),")",""),2,10),SUBSTITUTE(SUBSTITUTE(SUBSTITUTE(SUBSTITUTE(SUBSTITUTE(Клиенты_исходные!D961," ",""),"-",""),"+",""),"(",""),")","")),8,2)&amp;"-"&amp;MID(IF(LEFT(SUBSTITUTE(SUBSTITUTE(SUBSTITUTE(SUBSTITUTE(SUBSTITUTE(Клиенты_исходные!D961," ",""),"-",""),"+",""),"(",""),")",""))="8","7"&amp;MID(SUBSTITUTE(SUBSTITUTE(SUBSTITUTE(SUBSTITUTE(SUBSTITUTE(Клиенты_исходные!D961," ",""),"-",""),"+",""),"(",""),")",""),2,10),SUBSTITUTE(SUBSTITUTE(SUBSTITUTE(SUBSTITUTE(SUBSTITUTE(Клиенты_исходные!D961," ",""),"-",""),"+",""),"(",""),")","")),10,2),IF(LEN(SUBSTITUTE(SUBSTITUTE(SUBSTITUTE(SUBSTITUTE(SUBSTITUTE(Клиенты_исходные!D961," ",""),"-",""),"+",""),"(",""),")",""))=10,"+7 ("&amp;MID(SUBSTITUTE(SUBSTITUTE(SUBSTITUTE(SUBSTITUTE(SUBSTITUTE(Клиенты_исходные!D961," ",""),"-",""),"+",""),"(",""),")",""),1,3)&amp;") "&amp;MID(SUBSTITUTE(SUBSTITUTE(SUBSTITUTE(SUBSTITUTE(SUBSTITUTE(Клиенты_исходные!D961," ",""),"-",""),"+",""),"(",""),")",""),4,3)&amp;"-"&amp;MID(SUBSTITUTE(SUBSTITUTE(SUBSTITUTE(SUBSTITUTE(SUBSTITUTE(Клиенты_исходные!D961," ",""),"-",""),"+",""),"(",""),")",""),6,2)&amp;"-"&amp;MID(SUBSTITUTE(SUBSTITUTE(SUBSTITUTE(SUBSTITUTE(SUBSTITUTE(Клиенты_исходные!D961," ",""),"-",""),"+",""),"(",""),")",""),8,2),Клиенты_исходные!D961)))</f>
        <v xml:space="preserve">+7 (903) 678-90-12</v>
      </c>
      <c r="E961" t="str">
        <f>IF(ISBLANK(Клиенты_исходные!E961),"",IF(ISNUMBER(FIND(".",MID(Клиенты_исходные!E961,FIND("@",Клиенты_исходные!E961)+1,255))),Клиенты_исходные!E961,IF(ISNUMBER(FIND("gmail",Клиенты_исходные!E961)),Клиенты_исходные!E961&amp;".com",Клиенты_исходные!E961&amp;".ru")))</f>
        <v>kirpicheva@gmail.com</v>
      </c>
      <c r="F961" t="str">
        <f>IFERROR(VLOOKUP(Клиенты_исходные!F961,Справочники!$J$2:$K$50,2,FALSE),Клиенты_исходные!F961)</f>
        <v>Калуга</v>
      </c>
      <c r="G961" s="8">
        <f>IFERROR(IF(ISNUMBER(FIND(".",Клиенты_исходные!G961)),DATE(RIGHT(Клиенты_исходные!G961,4),MID(Клиенты_исходные!G961,4,2),LEFT(Клиенты_исходные!G961,2)),DATE(LEFT(Клиенты_исходные!G961,4),MID(Клиенты_исходные!G961,6,2),RIGHT(Клиенты_исходные!G961,2))),Клиенты_исходные!G961)</f>
        <v>54280</v>
      </c>
      <c r="H961">
        <f t="shared" ca="1" si="91"/>
        <v>48</v>
      </c>
      <c r="I961" t="str">
        <f t="shared" si="92"/>
        <v>OK</v>
      </c>
      <c r="J961" t="str">
        <f t="shared" si="93"/>
        <v>OK</v>
      </c>
    </row>
    <row r="962">
      <c r="A962" t="str">
        <f>Клиенты_исходные!A962</f>
        <v>C0961</v>
      </c>
      <c r="B962" t="str">
        <f>PROPER(TRIM(Клиенты_исходные!B962))</f>
        <v xml:space="preserve">Ефимов Андрей Олегович</v>
      </c>
      <c r="C962" s="8">
        <f>IFERROR(IF(ISNUMBER(FIND(".",Клиенты_исходные!C962)),DATE(RIGHT(Клиенты_исходные!C962,4),MID(Клиенты_исходные!C962,4,2),LEFT(Клиенты_исходные!C962,2)),DATE(LEFT(Клиенты_исходные!C962,4),MID(Клиенты_исходные!C962,6,2),RIGHT(Клиенты_исходные!C962,2))),Клиенты_исходные!C962)</f>
        <v>30644</v>
      </c>
      <c r="D962" t="str">
        <f>IF(ISBLANK(Клиенты_исходные!D962),"",IF(LEN(SUBSTITUTE(SUBSTITUTE(SUBSTITUTE(SUBSTITUTE(SUBSTITUTE(Клиенты_исходные!D962," ",""),"-",""),"+",""),"(",""),")",""))=11,"+7 ("&amp;MID(IF(LEFT(SUBSTITUTE(SUBSTITUTE(SUBSTITUTE(SUBSTITUTE(SUBSTITUTE(Клиенты_исходные!D962," ",""),"-",""),"+",""),"(",""),")",""))="8","7"&amp;MID(SUBSTITUTE(SUBSTITUTE(SUBSTITUTE(SUBSTITUTE(SUBSTITUTE(Клиенты_исходные!D962," ",""),"-",""),"+",""),"(",""),")",""),2,10),SUBSTITUTE(SUBSTITUTE(SUBSTITUTE(SUBSTITUTE(SUBSTITUTE(Клиенты_исходные!D962," ",""),"-",""),"+",""),"(",""),")","")),2,3)&amp;") "&amp;MID(IF(LEFT(SUBSTITUTE(SUBSTITUTE(SUBSTITUTE(SUBSTITUTE(SUBSTITUTE(Клиенты_исходные!D962," ",""),"-",""),"+",""),"(",""),")",""))="8","7"&amp;MID(SUBSTITUTE(SUBSTITUTE(SUBSTITUTE(SUBSTITUTE(SUBSTITUTE(Клиенты_исходные!D962," ",""),"-",""),"+",""),"(",""),")",""),2,10),SUBSTITUTE(SUBSTITUTE(SUBSTITUTE(SUBSTITUTE(SUBSTITUTE(Клиенты_исходные!D962," ",""),"-",""),"+",""),"(",""),")","")),5,3)&amp;"-"&amp;MID(IF(LEFT(SUBSTITUTE(SUBSTITUTE(SUBSTITUTE(SUBSTITUTE(SUBSTITUTE(Клиенты_исходные!D962," ",""),"-",""),"+",""),"(",""),")",""))="8","7"&amp;MID(SUBSTITUTE(SUBSTITUTE(SUBSTITUTE(SUBSTITUTE(SUBSTITUTE(Клиенты_исходные!D962," ",""),"-",""),"+",""),"(",""),")",""),2,10),SUBSTITUTE(SUBSTITUTE(SUBSTITUTE(SUBSTITUTE(SUBSTITUTE(Клиенты_исходные!D962," ",""),"-",""),"+",""),"(",""),")","")),8,2)&amp;"-"&amp;MID(IF(LEFT(SUBSTITUTE(SUBSTITUTE(SUBSTITUTE(SUBSTITUTE(SUBSTITUTE(Клиенты_исходные!D962," ",""),"-",""),"+",""),"(",""),")",""))="8","7"&amp;MID(SUBSTITUTE(SUBSTITUTE(SUBSTITUTE(SUBSTITUTE(SUBSTITUTE(Клиенты_исходные!D962," ",""),"-",""),"+",""),"(",""),")",""),2,10),SUBSTITUTE(SUBSTITUTE(SUBSTITUTE(SUBSTITUTE(SUBSTITUTE(Клиенты_исходные!D962," ",""),"-",""),"+",""),"(",""),")","")),10,2),IF(LEN(SUBSTITUTE(SUBSTITUTE(SUBSTITUTE(SUBSTITUTE(SUBSTITUTE(Клиенты_исходные!D962," ",""),"-",""),"+",""),"(",""),")",""))=10,"+7 ("&amp;MID(SUBSTITUTE(SUBSTITUTE(SUBSTITUTE(SUBSTITUTE(SUBSTITUTE(Клиенты_исходные!D962," ",""),"-",""),"+",""),"(",""),")",""),1,3)&amp;") "&amp;MID(SUBSTITUTE(SUBSTITUTE(SUBSTITUTE(SUBSTITUTE(SUBSTITUTE(Клиенты_исходные!D962," ",""),"-",""),"+",""),"(",""),")",""),4,3)&amp;"-"&amp;MID(SUBSTITUTE(SUBSTITUTE(SUBSTITUTE(SUBSTITUTE(SUBSTITUTE(Клиенты_исходные!D962," ",""),"-",""),"+",""),"(",""),")",""),6,2)&amp;"-"&amp;MID(SUBSTITUTE(SUBSTITUTE(SUBSTITUTE(SUBSTITUTE(SUBSTITUTE(Клиенты_исходные!D962," ",""),"-",""),"+",""),"(",""),")",""),8,2),Клиенты_исходные!D962)))</f>
        <v xml:space="preserve">+7 (903) 678-90-12</v>
      </c>
      <c r="E962" t="str">
        <f>IF(ISBLANK(Клиенты_исходные!E962),"",IF(ISNUMBER(FIND(".",MID(Клиенты_исходные!E962,FIND("@",Клиенты_исходные!E962)+1,255))),Клиенты_исходные!E962,IF(ISNUMBER(FIND("gmail",Клиенты_исходные!E962)),Клиенты_исходные!E962&amp;".com",Клиенты_исходные!E962&amp;".ru")))</f>
        <v>efimov@mail.ru</v>
      </c>
      <c r="F962" t="str">
        <f>IFERROR(VLOOKUP(Клиенты_исходные!F962,Справочники!$J$2:$K$50,2,FALSE),Клиенты_исходные!F962)</f>
        <v>Владикавказ</v>
      </c>
      <c r="G962" s="8">
        <f>IFERROR(IF(ISNUMBER(FIND(".",Клиенты_исходные!G962)),DATE(RIGHT(Клиенты_исходные!G962,4),MID(Клиенты_исходные!G962,4,2),LEFT(Клиенты_исходные!G962,2)),DATE(LEFT(Клиенты_исходные!G962,4),MID(Клиенты_исходные!G962,6,2),RIGHT(Клиенты_исходные!G962,2))),Клиенты_исходные!G962)</f>
        <v>54302</v>
      </c>
      <c r="H962">
        <f t="shared" ca="1" si="91"/>
        <v>42</v>
      </c>
      <c r="I962" t="str">
        <f t="shared" si="92"/>
        <v>OK</v>
      </c>
      <c r="J962" t="str">
        <f t="shared" si="93"/>
        <v>OK</v>
      </c>
    </row>
    <row r="963">
      <c r="A963" t="str">
        <f>Клиенты_исходные!A963</f>
        <v>C0962</v>
      </c>
      <c r="B963" t="str">
        <f>PROPER(TRIM(Клиенты_исходные!B963))</f>
        <v xml:space="preserve">Светлова Мария Павловна</v>
      </c>
      <c r="C963" s="8">
        <f>IFERROR(IF(ISNUMBER(FIND(".",Клиенты_исходные!C963)),DATE(RIGHT(Клиенты_исходные!C963,4),MID(Клиенты_исходные!C963,4,2),LEFT(Клиенты_исходные!C963,2)),DATE(LEFT(Клиенты_исходные!C963,4),MID(Клиенты_исходные!C963,6,2),RIGHT(Клиенты_исходные!C963,2))),Клиенты_исходные!C963)</f>
        <v>32850</v>
      </c>
      <c r="D963" t="str">
        <f>IF(ISBLANK(Клиенты_исходные!D963),"",IF(LEN(SUBSTITUTE(SUBSTITUTE(SUBSTITUTE(SUBSTITUTE(SUBSTITUTE(Клиенты_исходные!D963," ",""),"-",""),"+",""),"(",""),")",""))=11,"+7 ("&amp;MID(IF(LEFT(SUBSTITUTE(SUBSTITUTE(SUBSTITUTE(SUBSTITUTE(SUBSTITUTE(Клиенты_исходные!D963," ",""),"-",""),"+",""),"(",""),")",""))="8","7"&amp;MID(SUBSTITUTE(SUBSTITUTE(SUBSTITUTE(SUBSTITUTE(SUBSTITUTE(Клиенты_исходные!D963," ",""),"-",""),"+",""),"(",""),")",""),2,10),SUBSTITUTE(SUBSTITUTE(SUBSTITUTE(SUBSTITUTE(SUBSTITUTE(Клиенты_исходные!D963," ",""),"-",""),"+",""),"(",""),")","")),2,3)&amp;") "&amp;MID(IF(LEFT(SUBSTITUTE(SUBSTITUTE(SUBSTITUTE(SUBSTITUTE(SUBSTITUTE(Клиенты_исходные!D963," ",""),"-",""),"+",""),"(",""),")",""))="8","7"&amp;MID(SUBSTITUTE(SUBSTITUTE(SUBSTITUTE(SUBSTITUTE(SUBSTITUTE(Клиенты_исходные!D963," ",""),"-",""),"+",""),"(",""),")",""),2,10),SUBSTITUTE(SUBSTITUTE(SUBSTITUTE(SUBSTITUTE(SUBSTITUTE(Клиенты_исходные!D963," ",""),"-",""),"+",""),"(",""),")","")),5,3)&amp;"-"&amp;MID(IF(LEFT(SUBSTITUTE(SUBSTITUTE(SUBSTITUTE(SUBSTITUTE(SUBSTITUTE(Клиенты_исходные!D963," ",""),"-",""),"+",""),"(",""),")",""))="8","7"&amp;MID(SUBSTITUTE(SUBSTITUTE(SUBSTITUTE(SUBSTITUTE(SUBSTITUTE(Клиенты_исходные!D963," ",""),"-",""),"+",""),"(",""),")",""),2,10),SUBSTITUTE(SUBSTITUTE(SUBSTITUTE(SUBSTITUTE(SUBSTITUTE(Клиенты_исходные!D963," ",""),"-",""),"+",""),"(",""),")","")),8,2)&amp;"-"&amp;MID(IF(LEFT(SUBSTITUTE(SUBSTITUTE(SUBSTITUTE(SUBSTITUTE(SUBSTITUTE(Клиенты_исходные!D963," ",""),"-",""),"+",""),"(",""),")",""))="8","7"&amp;MID(SUBSTITUTE(SUBSTITUTE(SUBSTITUTE(SUBSTITUTE(SUBSTITUTE(Клиенты_исходные!D963," ",""),"-",""),"+",""),"(",""),")",""),2,10),SUBSTITUTE(SUBSTITUTE(SUBSTITUTE(SUBSTITUTE(SUBSTITUTE(Клиенты_исходные!D963," ",""),"-",""),"+",""),"(",""),")","")),10,2),IF(LEN(SUBSTITUTE(SUBSTITUTE(SUBSTITUTE(SUBSTITUTE(SUBSTITUTE(Клиенты_исходные!D963," ",""),"-",""),"+",""),"(",""),")",""))=10,"+7 ("&amp;MID(SUBSTITUTE(SUBSTITUTE(SUBSTITUTE(SUBSTITUTE(SUBSTITUTE(Клиенты_исходные!D963," ",""),"-",""),"+",""),"(",""),")",""),1,3)&amp;") "&amp;MID(SUBSTITUTE(SUBSTITUTE(SUBSTITUTE(SUBSTITUTE(SUBSTITUTE(Клиенты_исходные!D963," ",""),"-",""),"+",""),"(",""),")",""),4,3)&amp;"-"&amp;MID(SUBSTITUTE(SUBSTITUTE(SUBSTITUTE(SUBSTITUTE(SUBSTITUTE(Клиенты_исходные!D963," ",""),"-",""),"+",""),"(",""),")",""),6,2)&amp;"-"&amp;MID(SUBSTITUTE(SUBSTITUTE(SUBSTITUTE(SUBSTITUTE(SUBSTITUTE(Клиенты_исходные!D963," ",""),"-",""),"+",""),"(",""),")",""),8,2),Клиенты_исходные!D963)))</f>
        <v xml:space="preserve">+7 (903) 678-90-12</v>
      </c>
      <c r="E963" t="str">
        <f>IF(ISBLANK(Клиенты_исходные!E963),"",IF(ISNUMBER(FIND(".",MID(Клиенты_исходные!E963,FIND("@",Клиенты_исходные!E963)+1,255))),Клиенты_исходные!E963,IF(ISNUMBER(FIND("gmail",Клиенты_исходные!E963)),Клиенты_исходные!E963&amp;".com",Клиенты_исходные!E963&amp;".ru")))</f>
        <v>svetlova@yandex.ru</v>
      </c>
      <c r="F963" t="str">
        <f>IFERROR(VLOOKUP(Клиенты_исходные!F963,Справочники!$J$2:$K$50,2,FALSE),Клиенты_исходные!F963)</f>
        <v>Смоленск</v>
      </c>
      <c r="G963" s="8">
        <f>IFERROR(IF(ISNUMBER(FIND(".",Клиенты_исходные!G963)),DATE(RIGHT(Клиенты_исходные!G963,4),MID(Клиенты_исходные!G963,4,2),LEFT(Клиенты_исходные!G963,2)),DATE(LEFT(Клиенты_исходные!G963,4),MID(Клиенты_исходные!G963,6,2),RIGHT(Клиенты_исходные!G963,2))),Клиенты_исходные!G963)</f>
        <v>54316</v>
      </c>
      <c r="H963">
        <f t="shared" ca="1" si="91"/>
        <v>36</v>
      </c>
      <c r="I963" t="str">
        <f t="shared" si="92"/>
        <v>OK</v>
      </c>
      <c r="J963" t="str">
        <f t="shared" si="93"/>
        <v>OK</v>
      </c>
    </row>
    <row r="964">
      <c r="A964" t="str">
        <f>Клиенты_исходные!A964</f>
        <v>C0963</v>
      </c>
      <c r="B964" t="str">
        <f>PROPER(TRIM(Клиенты_исходные!B964))</f>
        <v xml:space="preserve">Тихомиров Денис Сергеевич</v>
      </c>
      <c r="C964" s="8">
        <f>IFERROR(IF(ISNUMBER(FIND(".",Клиенты_исходные!C964)),DATE(RIGHT(Клиенты_исходные!C964,4),MID(Клиенты_исходные!C964,4,2),LEFT(Клиенты_исходные!C964,2)),DATE(LEFT(Клиенты_исходные!C964,4),MID(Клиенты_исходные!C964,6,2),RIGHT(Клиенты_исходные!C964,2))),Клиенты_исходные!C964)</f>
        <v>27654</v>
      </c>
      <c r="D964" t="str">
        <f>IF(ISBLANK(Клиенты_исходные!D964),"",IF(LEN(SUBSTITUTE(SUBSTITUTE(SUBSTITUTE(SUBSTITUTE(SUBSTITUTE(Клиенты_исходные!D964," ",""),"-",""),"+",""),"(",""),")",""))=11,"+7 ("&amp;MID(IF(LEFT(SUBSTITUTE(SUBSTITUTE(SUBSTITUTE(SUBSTITUTE(SUBSTITUTE(Клиенты_исходные!D964," ",""),"-",""),"+",""),"(",""),")",""))="8","7"&amp;MID(SUBSTITUTE(SUBSTITUTE(SUBSTITUTE(SUBSTITUTE(SUBSTITUTE(Клиенты_исходные!D964," ",""),"-",""),"+",""),"(",""),")",""),2,10),SUBSTITUTE(SUBSTITUTE(SUBSTITUTE(SUBSTITUTE(SUBSTITUTE(Клиенты_исходные!D964," ",""),"-",""),"+",""),"(",""),")","")),2,3)&amp;") "&amp;MID(IF(LEFT(SUBSTITUTE(SUBSTITUTE(SUBSTITUTE(SUBSTITUTE(SUBSTITUTE(Клиенты_исходные!D964," ",""),"-",""),"+",""),"(",""),")",""))="8","7"&amp;MID(SUBSTITUTE(SUBSTITUTE(SUBSTITUTE(SUBSTITUTE(SUBSTITUTE(Клиенты_исходные!D964," ",""),"-",""),"+",""),"(",""),")",""),2,10),SUBSTITUTE(SUBSTITUTE(SUBSTITUTE(SUBSTITUTE(SUBSTITUTE(Клиенты_исходные!D964," ",""),"-",""),"+",""),"(",""),")","")),5,3)&amp;"-"&amp;MID(IF(LEFT(SUBSTITUTE(SUBSTITUTE(SUBSTITUTE(SUBSTITUTE(SUBSTITUTE(Клиенты_исходные!D964," ",""),"-",""),"+",""),"(",""),")",""))="8","7"&amp;MID(SUBSTITUTE(SUBSTITUTE(SUBSTITUTE(SUBSTITUTE(SUBSTITUTE(Клиенты_исходные!D964," ",""),"-",""),"+",""),"(",""),")",""),2,10),SUBSTITUTE(SUBSTITUTE(SUBSTITUTE(SUBSTITUTE(SUBSTITUTE(Клиенты_исходные!D964," ",""),"-",""),"+",""),"(",""),")","")),8,2)&amp;"-"&amp;MID(IF(LEFT(SUBSTITUTE(SUBSTITUTE(SUBSTITUTE(SUBSTITUTE(SUBSTITUTE(Клиенты_исходные!D964," ",""),"-",""),"+",""),"(",""),")",""))="8","7"&amp;MID(SUBSTITUTE(SUBSTITUTE(SUBSTITUTE(SUBSTITUTE(SUBSTITUTE(Клиенты_исходные!D964," ",""),"-",""),"+",""),"(",""),")",""),2,10),SUBSTITUTE(SUBSTITUTE(SUBSTITUTE(SUBSTITUTE(SUBSTITUTE(Клиенты_исходные!D964," ",""),"-",""),"+",""),"(",""),")","")),10,2),IF(LEN(SUBSTITUTE(SUBSTITUTE(SUBSTITUTE(SUBSTITUTE(SUBSTITUTE(Клиенты_исходные!D964," ",""),"-",""),"+",""),"(",""),")",""))=10,"+7 ("&amp;MID(SUBSTITUTE(SUBSTITUTE(SUBSTITUTE(SUBSTITUTE(SUBSTITUTE(Клиенты_исходные!D964," ",""),"-",""),"+",""),"(",""),")",""),1,3)&amp;") "&amp;MID(SUBSTITUTE(SUBSTITUTE(SUBSTITUTE(SUBSTITUTE(SUBSTITUTE(Клиенты_исходные!D964," ",""),"-",""),"+",""),"(",""),")",""),4,3)&amp;"-"&amp;MID(SUBSTITUTE(SUBSTITUTE(SUBSTITUTE(SUBSTITUTE(SUBSTITUTE(Клиенты_исходные!D964," ",""),"-",""),"+",""),"(",""),")",""),6,2)&amp;"-"&amp;MID(SUBSTITUTE(SUBSTITUTE(SUBSTITUTE(SUBSTITUTE(SUBSTITUTE(Клиенты_исходные!D964," ",""),"-",""),"+",""),"(",""),")",""),8,2),Клиенты_исходные!D964)))</f>
        <v xml:space="preserve">+7 (903) 789-01-23</v>
      </c>
      <c r="E964" t="str">
        <f>IF(ISBLANK(Клиенты_исходные!E964),"",IF(ISNUMBER(FIND(".",MID(Клиенты_исходные!E964,FIND("@",Клиенты_исходные!E964)+1,255))),Клиенты_исходные!E964,IF(ISNUMBER(FIND("gmail",Клиенты_исходные!E964)),Клиенты_исходные!E964&amp;".com",Клиенты_исходные!E964&amp;".ru")))</f>
        <v>tihomirov@gmail.com</v>
      </c>
      <c r="F964" t="str">
        <f>IFERROR(VLOOKUP(Клиенты_исходные!F964,Справочники!$J$2:$K$50,2,FALSE),Клиенты_исходные!F964)</f>
        <v>Белгород</v>
      </c>
      <c r="G964" s="8">
        <f>IFERROR(IF(ISNUMBER(FIND(".",Клиенты_исходные!G964)),DATE(RIGHT(Клиенты_исходные!G964,4),MID(Клиенты_исходные!G964,4,2),LEFT(Клиенты_исходные!G964,2)),DATE(LEFT(Клиенты_исходные!G964,4),MID(Клиенты_исходные!G964,6,2),RIGHT(Клиенты_исходные!G964,2))),Клиенты_исходные!G964)</f>
        <v>54316</v>
      </c>
      <c r="H964">
        <f t="shared" ca="1" si="91"/>
        <v>51</v>
      </c>
      <c r="I964" t="str">
        <f t="shared" si="92"/>
        <v>OK</v>
      </c>
      <c r="J964" t="str">
        <f t="shared" si="93"/>
        <v>OK</v>
      </c>
    </row>
    <row r="965">
      <c r="A965" t="str">
        <f>Клиенты_исходные!A965</f>
        <v>C0964</v>
      </c>
      <c r="B965" t="str">
        <f>PROPER(TRIM(Клиенты_исходные!B965))</f>
        <v xml:space="preserve">Козыренко Ольга Владимировна</v>
      </c>
      <c r="C965" s="8">
        <f>IFERROR(IF(ISNUMBER(FIND(".",Клиенты_исходные!C965)),DATE(RIGHT(Клиенты_исходные!C965,4),MID(Клиенты_исходные!C965,4,2),LEFT(Клиенты_исходные!C965,2)),DATE(LEFT(Клиенты_исходные!C965,4),MID(Клиенты_исходные!C965,6,2),RIGHT(Клиенты_исходные!C965,2))),Клиенты_исходные!C965)</f>
        <v>30800</v>
      </c>
      <c r="D965" t="str">
        <f>IF(ISBLANK(Клиенты_исходные!D965),"",IF(LEN(SUBSTITUTE(SUBSTITUTE(SUBSTITUTE(SUBSTITUTE(SUBSTITUTE(Клиенты_исходные!D965," ",""),"-",""),"+",""),"(",""),")",""))=11,"+7 ("&amp;MID(IF(LEFT(SUBSTITUTE(SUBSTITUTE(SUBSTITUTE(SUBSTITUTE(SUBSTITUTE(Клиенты_исходные!D965," ",""),"-",""),"+",""),"(",""),")",""))="8","7"&amp;MID(SUBSTITUTE(SUBSTITUTE(SUBSTITUTE(SUBSTITUTE(SUBSTITUTE(Клиенты_исходные!D965," ",""),"-",""),"+",""),"(",""),")",""),2,10),SUBSTITUTE(SUBSTITUTE(SUBSTITUTE(SUBSTITUTE(SUBSTITUTE(Клиенты_исходные!D965," ",""),"-",""),"+",""),"(",""),")","")),2,3)&amp;") "&amp;MID(IF(LEFT(SUBSTITUTE(SUBSTITUTE(SUBSTITUTE(SUBSTITUTE(SUBSTITUTE(Клиенты_исходные!D965," ",""),"-",""),"+",""),"(",""),")",""))="8","7"&amp;MID(SUBSTITUTE(SUBSTITUTE(SUBSTITUTE(SUBSTITUTE(SUBSTITUTE(Клиенты_исходные!D965," ",""),"-",""),"+",""),"(",""),")",""),2,10),SUBSTITUTE(SUBSTITUTE(SUBSTITUTE(SUBSTITUTE(SUBSTITUTE(Клиенты_исходные!D965," ",""),"-",""),"+",""),"(",""),")","")),5,3)&amp;"-"&amp;MID(IF(LEFT(SUBSTITUTE(SUBSTITUTE(SUBSTITUTE(SUBSTITUTE(SUBSTITUTE(Клиенты_исходные!D965," ",""),"-",""),"+",""),"(",""),")",""))="8","7"&amp;MID(SUBSTITUTE(SUBSTITUTE(SUBSTITUTE(SUBSTITUTE(SUBSTITUTE(Клиенты_исходные!D965," ",""),"-",""),"+",""),"(",""),")",""),2,10),SUBSTITUTE(SUBSTITUTE(SUBSTITUTE(SUBSTITUTE(SUBSTITUTE(Клиенты_исходные!D965," ",""),"-",""),"+",""),"(",""),")","")),8,2)&amp;"-"&amp;MID(IF(LEFT(SUBSTITUTE(SUBSTITUTE(SUBSTITUTE(SUBSTITUTE(SUBSTITUTE(Клиенты_исходные!D965," ",""),"-",""),"+",""),"(",""),")",""))="8","7"&amp;MID(SUBSTITUTE(SUBSTITUTE(SUBSTITUTE(SUBSTITUTE(SUBSTITUTE(Клиенты_исходные!D965," ",""),"-",""),"+",""),"(",""),")",""),2,10),SUBSTITUTE(SUBSTITUTE(SUBSTITUTE(SUBSTITUTE(SUBSTITUTE(Клиенты_исходные!D965," ",""),"-",""),"+",""),"(",""),")","")),10,2),IF(LEN(SUBSTITUTE(SUBSTITUTE(SUBSTITUTE(SUBSTITUTE(SUBSTITUTE(Клиенты_исходные!D965," ",""),"-",""),"+",""),"(",""),")",""))=10,"+7 ("&amp;MID(SUBSTITUTE(SUBSTITUTE(SUBSTITUTE(SUBSTITUTE(SUBSTITUTE(Клиенты_исходные!D965," ",""),"-",""),"+",""),"(",""),")",""),1,3)&amp;") "&amp;MID(SUBSTITUTE(SUBSTITUTE(SUBSTITUTE(SUBSTITUTE(SUBSTITUTE(Клиенты_исходные!D965," ",""),"-",""),"+",""),"(",""),")",""),4,3)&amp;"-"&amp;MID(SUBSTITUTE(SUBSTITUTE(SUBSTITUTE(SUBSTITUTE(SUBSTITUTE(Клиенты_исходные!D965," ",""),"-",""),"+",""),"(",""),")",""),6,2)&amp;"-"&amp;MID(SUBSTITUTE(SUBSTITUTE(SUBSTITUTE(SUBSTITUTE(SUBSTITUTE(Клиенты_исходные!D965," ",""),"-",""),"+",""),"(",""),")",""),8,2),Клиенты_исходные!D965)))</f>
        <v xml:space="preserve">+7 (903) 789-01-23</v>
      </c>
      <c r="E965" t="str">
        <f>IF(ISBLANK(Клиенты_исходные!E965),"",IF(ISNUMBER(FIND(".",MID(Клиенты_исходные!E965,FIND("@",Клиенты_исходные!E965)+1,255))),Клиенты_исходные!E965,IF(ISNUMBER(FIND("gmail",Клиенты_исходные!E965)),Клиенты_исходные!E965&amp;".com",Клиенты_исходные!E965&amp;".ru")))</f>
        <v>kozyrenko@mail.ru</v>
      </c>
      <c r="F965" t="str">
        <f>IFERROR(VLOOKUP(Клиенты_исходные!F965,Справочники!$J$2:$K$50,2,FALSE),Клиенты_исходные!F965)</f>
        <v>Мурманск</v>
      </c>
      <c r="G965" s="8">
        <f>IFERROR(IF(ISNUMBER(FIND(".",Клиенты_исходные!G965)),DATE(RIGHT(Клиенты_исходные!G965,4),MID(Клиенты_исходные!G965,4,2),LEFT(Клиенты_исходные!G965,2)),DATE(LEFT(Клиенты_исходные!G965,4),MID(Клиенты_исходные!G965,6,2),RIGHT(Клиенты_исходные!G965,2))),Клиенты_исходные!G965)</f>
        <v>54332</v>
      </c>
      <c r="H965">
        <f t="shared" ca="1" si="91"/>
        <v>42</v>
      </c>
      <c r="I965" t="str">
        <f t="shared" si="92"/>
        <v>OK</v>
      </c>
      <c r="J965" t="str">
        <f t="shared" si="93"/>
        <v>OK</v>
      </c>
    </row>
    <row r="966">
      <c r="A966" t="str">
        <f>Клиенты_исходные!A966</f>
        <v>C0965</v>
      </c>
      <c r="B966" t="str">
        <f>PROPER(TRIM(Клиенты_исходные!B966))</f>
        <v xml:space="preserve">Чистякова Екатерина Сергеевна</v>
      </c>
      <c r="C966" s="8">
        <f>IFERROR(IF(ISNUMBER(FIND(".",Клиенты_исходные!C966)),DATE(RIGHT(Клиенты_исходные!C966,4),MID(Клиенты_исходные!C966,4,2),LEFT(Клиенты_исходные!C966,2)),DATE(LEFT(Клиенты_исходные!C966,4),MID(Клиенты_исходные!C966,6,2),RIGHT(Клиенты_исходные!C966,2))),Клиенты_исходные!C966)</f>
        <v>33525</v>
      </c>
      <c r="D966" t="str">
        <f>IF(ISBLANK(Клиенты_исходные!D966),"",IF(LEN(SUBSTITUTE(SUBSTITUTE(SUBSTITUTE(SUBSTITUTE(SUBSTITUTE(Клиенты_исходные!D966," ",""),"-",""),"+",""),"(",""),")",""))=11,"+7 ("&amp;MID(IF(LEFT(SUBSTITUTE(SUBSTITUTE(SUBSTITUTE(SUBSTITUTE(SUBSTITUTE(Клиенты_исходные!D966," ",""),"-",""),"+",""),"(",""),")",""))="8","7"&amp;MID(SUBSTITUTE(SUBSTITUTE(SUBSTITUTE(SUBSTITUTE(SUBSTITUTE(Клиенты_исходные!D966," ",""),"-",""),"+",""),"(",""),")",""),2,10),SUBSTITUTE(SUBSTITUTE(SUBSTITUTE(SUBSTITUTE(SUBSTITUTE(Клиенты_исходные!D966," ",""),"-",""),"+",""),"(",""),")","")),2,3)&amp;") "&amp;MID(IF(LEFT(SUBSTITUTE(SUBSTITUTE(SUBSTITUTE(SUBSTITUTE(SUBSTITUTE(Клиенты_исходные!D966," ",""),"-",""),"+",""),"(",""),")",""))="8","7"&amp;MID(SUBSTITUTE(SUBSTITUTE(SUBSTITUTE(SUBSTITUTE(SUBSTITUTE(Клиенты_исходные!D966," ",""),"-",""),"+",""),"(",""),")",""),2,10),SUBSTITUTE(SUBSTITUTE(SUBSTITUTE(SUBSTITUTE(SUBSTITUTE(Клиенты_исходные!D966," ",""),"-",""),"+",""),"(",""),")","")),5,3)&amp;"-"&amp;MID(IF(LEFT(SUBSTITUTE(SUBSTITUTE(SUBSTITUTE(SUBSTITUTE(SUBSTITUTE(Клиенты_исходные!D966," ",""),"-",""),"+",""),"(",""),")",""))="8","7"&amp;MID(SUBSTITUTE(SUBSTITUTE(SUBSTITUTE(SUBSTITUTE(SUBSTITUTE(Клиенты_исходные!D966," ",""),"-",""),"+",""),"(",""),")",""),2,10),SUBSTITUTE(SUBSTITUTE(SUBSTITUTE(SUBSTITUTE(SUBSTITUTE(Клиенты_исходные!D966," ",""),"-",""),"+",""),"(",""),")","")),8,2)&amp;"-"&amp;MID(IF(LEFT(SUBSTITUTE(SUBSTITUTE(SUBSTITUTE(SUBSTITUTE(SUBSTITUTE(Клиенты_исходные!D966," ",""),"-",""),"+",""),"(",""),")",""))="8","7"&amp;MID(SUBSTITUTE(SUBSTITUTE(SUBSTITUTE(SUBSTITUTE(SUBSTITUTE(Клиенты_исходные!D966," ",""),"-",""),"+",""),"(",""),")",""),2,10),SUBSTITUTE(SUBSTITUTE(SUBSTITUTE(SUBSTITUTE(SUBSTITUTE(Клиенты_исходные!D966," ",""),"-",""),"+",""),"(",""),")","")),10,2),IF(LEN(SUBSTITUTE(SUBSTITUTE(SUBSTITUTE(SUBSTITUTE(SUBSTITUTE(Клиенты_исходные!D966," ",""),"-",""),"+",""),"(",""),")",""))=10,"+7 ("&amp;MID(SUBSTITUTE(SUBSTITUTE(SUBSTITUTE(SUBSTITUTE(SUBSTITUTE(Клиенты_исходные!D966," ",""),"-",""),"+",""),"(",""),")",""),1,3)&amp;") "&amp;MID(SUBSTITUTE(SUBSTITUTE(SUBSTITUTE(SUBSTITUTE(SUBSTITUTE(Клиенты_исходные!D966," ",""),"-",""),"+",""),"(",""),")",""),4,3)&amp;"-"&amp;MID(SUBSTITUTE(SUBSTITUTE(SUBSTITUTE(SUBSTITUTE(SUBSTITUTE(Клиенты_исходные!D966," ",""),"-",""),"+",""),"(",""),")",""),6,2)&amp;"-"&amp;MID(SUBSTITUTE(SUBSTITUTE(SUBSTITUTE(SUBSTITUTE(SUBSTITUTE(Клиенты_исходные!D966," ",""),"-",""),"+",""),"(",""),")",""),8,2),Клиенты_исходные!D966)))</f>
        <v xml:space="preserve">+7 (903) 789-01-23</v>
      </c>
      <c r="E966" t="str">
        <f>IF(ISBLANK(Клиенты_исходные!E966),"",IF(ISNUMBER(FIND(".",MID(Клиенты_исходные!E966,FIND("@",Клиенты_исходные!E966)+1,255))),Клиенты_исходные!E966,IF(ISNUMBER(FIND("gmail",Клиенты_исходные!E966)),Клиенты_исходные!E966&amp;".com",Клиенты_исходные!E966&amp;".ru")))</f>
        <v>chistyakova@yandex.ru</v>
      </c>
      <c r="F966" t="str">
        <f>IFERROR(VLOOKUP(Клиенты_исходные!F966,Справочники!$J$2:$K$50,2,FALSE),Клиенты_исходные!F966)</f>
        <v>Ставрополь</v>
      </c>
      <c r="G966" s="8">
        <f>IFERROR(IF(ISNUMBER(FIND(".",Клиенты_исходные!G966)),DATE(RIGHT(Клиенты_исходные!G966,4),MID(Клиенты_исходные!G966,4,2),LEFT(Клиенты_исходные!G966,2)),DATE(LEFT(Клиенты_исходные!G966,4),MID(Клиенты_исходные!G966,6,2),RIGHT(Клиенты_исходные!G966,2))),Клиенты_исходные!G966)</f>
        <v>54341</v>
      </c>
      <c r="H966">
        <f t="shared" ca="1" si="91"/>
        <v>34</v>
      </c>
      <c r="I966" t="str">
        <f t="shared" si="92"/>
        <v>OK</v>
      </c>
      <c r="J966" t="str">
        <f t="shared" si="93"/>
        <v>OK</v>
      </c>
    </row>
    <row r="967">
      <c r="A967" t="str">
        <f>Клиенты_исходные!A967</f>
        <v>C0966</v>
      </c>
      <c r="B967" t="str">
        <f>PROPER(TRIM(Клиенты_исходные!B967))</f>
        <v xml:space="preserve">Караваев Илья Александрович</v>
      </c>
      <c r="C967" s="8">
        <f>IFERROR(IF(ISNUMBER(FIND(".",Клиенты_исходные!C967)),DATE(RIGHT(Клиенты_исходные!C967,4),MID(Клиенты_исходные!C967,4,2),LEFT(Клиенты_исходные!C967,2)),DATE(LEFT(Клиенты_исходные!C967,4),MID(Клиенты_исходные!C967,6,2),RIGHT(Клиенты_исходные!C967,2))),Клиенты_исходные!C967)</f>
        <v>27793</v>
      </c>
      <c r="D967" t="str">
        <f>IF(ISBLANK(Клиенты_исходные!D967),"",IF(LEN(SUBSTITUTE(SUBSTITUTE(SUBSTITUTE(SUBSTITUTE(SUBSTITUTE(Клиенты_исходные!D967," ",""),"-",""),"+",""),"(",""),")",""))=11,"+7 ("&amp;MID(IF(LEFT(SUBSTITUTE(SUBSTITUTE(SUBSTITUTE(SUBSTITUTE(SUBSTITUTE(Клиенты_исходные!D967," ",""),"-",""),"+",""),"(",""),")",""))="8","7"&amp;MID(SUBSTITUTE(SUBSTITUTE(SUBSTITUTE(SUBSTITUTE(SUBSTITUTE(Клиенты_исходные!D967," ",""),"-",""),"+",""),"(",""),")",""),2,10),SUBSTITUTE(SUBSTITUTE(SUBSTITUTE(SUBSTITUTE(SUBSTITUTE(Клиенты_исходные!D967," ",""),"-",""),"+",""),"(",""),")","")),2,3)&amp;") "&amp;MID(IF(LEFT(SUBSTITUTE(SUBSTITUTE(SUBSTITUTE(SUBSTITUTE(SUBSTITUTE(Клиенты_исходные!D967," ",""),"-",""),"+",""),"(",""),")",""))="8","7"&amp;MID(SUBSTITUTE(SUBSTITUTE(SUBSTITUTE(SUBSTITUTE(SUBSTITUTE(Клиенты_исходные!D967," ",""),"-",""),"+",""),"(",""),")",""),2,10),SUBSTITUTE(SUBSTITUTE(SUBSTITUTE(SUBSTITUTE(SUBSTITUTE(Клиенты_исходные!D967," ",""),"-",""),"+",""),"(",""),")","")),5,3)&amp;"-"&amp;MID(IF(LEFT(SUBSTITUTE(SUBSTITUTE(SUBSTITUTE(SUBSTITUTE(SUBSTITUTE(Клиенты_исходные!D967," ",""),"-",""),"+",""),"(",""),")",""))="8","7"&amp;MID(SUBSTITUTE(SUBSTITUTE(SUBSTITUTE(SUBSTITUTE(SUBSTITUTE(Клиенты_исходные!D967," ",""),"-",""),"+",""),"(",""),")",""),2,10),SUBSTITUTE(SUBSTITUTE(SUBSTITUTE(SUBSTITUTE(SUBSTITUTE(Клиенты_исходные!D967," ",""),"-",""),"+",""),"(",""),")","")),8,2)&amp;"-"&amp;MID(IF(LEFT(SUBSTITUTE(SUBSTITUTE(SUBSTITUTE(SUBSTITUTE(SUBSTITUTE(Клиенты_исходные!D967," ",""),"-",""),"+",""),"(",""),")",""))="8","7"&amp;MID(SUBSTITUTE(SUBSTITUTE(SUBSTITUTE(SUBSTITUTE(SUBSTITUTE(Клиенты_исходные!D967," ",""),"-",""),"+",""),"(",""),")",""),2,10),SUBSTITUTE(SUBSTITUTE(SUBSTITUTE(SUBSTITUTE(SUBSTITUTE(Клиенты_исходные!D967," ",""),"-",""),"+",""),"(",""),")","")),10,2),IF(LEN(SUBSTITUTE(SUBSTITUTE(SUBSTITUTE(SUBSTITUTE(SUBSTITUTE(Клиенты_исходные!D967," ",""),"-",""),"+",""),"(",""),")",""))=10,"+7 ("&amp;MID(SUBSTITUTE(SUBSTITUTE(SUBSTITUTE(SUBSTITUTE(SUBSTITUTE(Клиенты_исходные!D967," ",""),"-",""),"+",""),"(",""),")",""),1,3)&amp;") "&amp;MID(SUBSTITUTE(SUBSTITUTE(SUBSTITUTE(SUBSTITUTE(SUBSTITUTE(Клиенты_исходные!D967," ",""),"-",""),"+",""),"(",""),")",""),4,3)&amp;"-"&amp;MID(SUBSTITUTE(SUBSTITUTE(SUBSTITUTE(SUBSTITUTE(SUBSTITUTE(Клиенты_исходные!D967," ",""),"-",""),"+",""),"(",""),")",""),6,2)&amp;"-"&amp;MID(SUBSTITUTE(SUBSTITUTE(SUBSTITUTE(SUBSTITUTE(SUBSTITUTE(Клиенты_исходные!D967," ",""),"-",""),"+",""),"(",""),")",""),8,2),Клиенты_исходные!D967)))</f>
        <v xml:space="preserve">+7 (903) 890-12-34</v>
      </c>
      <c r="E967" t="str">
        <f>IF(ISBLANK(Клиенты_исходные!E967),"",IF(ISNUMBER(FIND(".",MID(Клиенты_исходные!E967,FIND("@",Клиенты_исходные!E967)+1,255))),Клиенты_исходные!E967,IF(ISNUMBER(FIND("gmail",Клиенты_исходные!E967)),Клиенты_исходные!E967&amp;".com",Клиенты_исходные!E967&amp;".ru")))</f>
        <v>karavaev@gmail.com</v>
      </c>
      <c r="F967" t="str">
        <f>IFERROR(VLOOKUP(Клиенты_исходные!F967,Справочники!$J$2:$K$50,2,FALSE),Клиенты_исходные!F967)</f>
        <v>Севастополь</v>
      </c>
      <c r="G967" s="8">
        <f>IFERROR(IF(ISNUMBER(FIND(".",Клиенты_исходные!G967)),DATE(RIGHT(Клиенты_исходные!G967,4),MID(Клиенты_исходные!G967,4,2),LEFT(Клиенты_исходные!G967,2)),DATE(LEFT(Клиенты_исходные!G967,4),MID(Клиенты_исходные!G967,6,2),RIGHT(Клиенты_исходные!G967,2))),Клиенты_исходные!G967)</f>
        <v>54341</v>
      </c>
      <c r="H967">
        <f t="shared" ca="1" si="91"/>
        <v>50</v>
      </c>
      <c r="I967" t="str">
        <f t="shared" si="92"/>
        <v>OK</v>
      </c>
      <c r="J967" t="str">
        <f t="shared" si="93"/>
        <v>OK</v>
      </c>
    </row>
    <row r="968">
      <c r="A968" t="str">
        <f>Клиенты_исходные!A968</f>
        <v>C0967</v>
      </c>
      <c r="B968" t="str">
        <f>PROPER(TRIM(Клиенты_исходные!B968))</f>
        <v xml:space="preserve">Бородина Мария Павловна</v>
      </c>
      <c r="C968" s="8">
        <f>IFERROR(IF(ISNUMBER(FIND(".",Клиенты_исходные!C968)),DATE(RIGHT(Клиенты_исходные!C968,4),MID(Клиенты_исходные!C968,4,2),LEFT(Клиенты_исходные!C968,2)),DATE(LEFT(Клиенты_исходные!C968,4),MID(Клиенты_исходные!C968,6,2),RIGHT(Клиенты_исходные!C968,2))),Клиенты_исходные!C968)</f>
        <v>30157</v>
      </c>
      <c r="D968" t="str">
        <f>IF(ISBLANK(Клиенты_исходные!D968),"",IF(LEN(SUBSTITUTE(SUBSTITUTE(SUBSTITUTE(SUBSTITUTE(SUBSTITUTE(Клиенты_исходные!D968," ",""),"-",""),"+",""),"(",""),")",""))=11,"+7 ("&amp;MID(IF(LEFT(SUBSTITUTE(SUBSTITUTE(SUBSTITUTE(SUBSTITUTE(SUBSTITUTE(Клиенты_исходные!D968," ",""),"-",""),"+",""),"(",""),")",""))="8","7"&amp;MID(SUBSTITUTE(SUBSTITUTE(SUBSTITUTE(SUBSTITUTE(SUBSTITUTE(Клиенты_исходные!D968," ",""),"-",""),"+",""),"(",""),")",""),2,10),SUBSTITUTE(SUBSTITUTE(SUBSTITUTE(SUBSTITUTE(SUBSTITUTE(Клиенты_исходные!D968," ",""),"-",""),"+",""),"(",""),")","")),2,3)&amp;") "&amp;MID(IF(LEFT(SUBSTITUTE(SUBSTITUTE(SUBSTITUTE(SUBSTITUTE(SUBSTITUTE(Клиенты_исходные!D968," ",""),"-",""),"+",""),"(",""),")",""))="8","7"&amp;MID(SUBSTITUTE(SUBSTITUTE(SUBSTITUTE(SUBSTITUTE(SUBSTITUTE(Клиенты_исходные!D968," ",""),"-",""),"+",""),"(",""),")",""),2,10),SUBSTITUTE(SUBSTITUTE(SUBSTITUTE(SUBSTITUTE(SUBSTITUTE(Клиенты_исходные!D968," ",""),"-",""),"+",""),"(",""),")","")),5,3)&amp;"-"&amp;MID(IF(LEFT(SUBSTITUTE(SUBSTITUTE(SUBSTITUTE(SUBSTITUTE(SUBSTITUTE(Клиенты_исходные!D968," ",""),"-",""),"+",""),"(",""),")",""))="8","7"&amp;MID(SUBSTITUTE(SUBSTITUTE(SUBSTITUTE(SUBSTITUTE(SUBSTITUTE(Клиенты_исходные!D968," ",""),"-",""),"+",""),"(",""),")",""),2,10),SUBSTITUTE(SUBSTITUTE(SUBSTITUTE(SUBSTITUTE(SUBSTITUTE(Клиенты_исходные!D968," ",""),"-",""),"+",""),"(",""),")","")),8,2)&amp;"-"&amp;MID(IF(LEFT(SUBSTITUTE(SUBSTITUTE(SUBSTITUTE(SUBSTITUTE(SUBSTITUTE(Клиенты_исходные!D968," ",""),"-",""),"+",""),"(",""),")",""))="8","7"&amp;MID(SUBSTITUTE(SUBSTITUTE(SUBSTITUTE(SUBSTITUTE(SUBSTITUTE(Клиенты_исходные!D968," ",""),"-",""),"+",""),"(",""),")",""),2,10),SUBSTITUTE(SUBSTITUTE(SUBSTITUTE(SUBSTITUTE(SUBSTITUTE(Клиенты_исходные!D968," ",""),"-",""),"+",""),"(",""),")","")),10,2),IF(LEN(SUBSTITUTE(SUBSTITUTE(SUBSTITUTE(SUBSTITUTE(SUBSTITUTE(Клиенты_исходные!D968," ",""),"-",""),"+",""),"(",""),")",""))=10,"+7 ("&amp;MID(SUBSTITUTE(SUBSTITUTE(SUBSTITUTE(SUBSTITUTE(SUBSTITUTE(Клиенты_исходные!D968," ",""),"-",""),"+",""),"(",""),")",""),1,3)&amp;") "&amp;MID(SUBSTITUTE(SUBSTITUTE(SUBSTITUTE(SUBSTITUTE(SUBSTITUTE(Клиенты_исходные!D968," ",""),"-",""),"+",""),"(",""),")",""),4,3)&amp;"-"&amp;MID(SUBSTITUTE(SUBSTITUTE(SUBSTITUTE(SUBSTITUTE(SUBSTITUTE(Клиенты_исходные!D968," ",""),"-",""),"+",""),"(",""),")",""),6,2)&amp;"-"&amp;MID(SUBSTITUTE(SUBSTITUTE(SUBSTITUTE(SUBSTITUTE(SUBSTITUTE(Клиенты_исходные!D968," ",""),"-",""),"+",""),"(",""),")",""),8,2),Клиенты_исходные!D968)))</f>
        <v xml:space="preserve">+7 (903) 890-12-34</v>
      </c>
      <c r="E968" t="str">
        <f>IF(ISBLANK(Клиенты_исходные!E968),"",IF(ISNUMBER(FIND(".",MID(Клиенты_исходные!E968,FIND("@",Клиенты_исходные!E968)+1,255))),Клиенты_исходные!E968,IF(ISNUMBER(FIND("gmail",Клиенты_исходные!E968)),Клиенты_исходные!E968&amp;".com",Клиенты_исходные!E968&amp;".ru")))</f>
        <v>borodina@mail.ru</v>
      </c>
      <c r="F968" t="str">
        <f>IFERROR(VLOOKUP(Клиенты_исходные!F968,Справочники!$J$2:$K$50,2,FALSE),Клиенты_исходные!F968)</f>
        <v>Сочи</v>
      </c>
      <c r="G968" s="8">
        <f>IFERROR(IF(ISNUMBER(FIND(".",Клиенты_исходные!G968)),DATE(RIGHT(Клиенты_исходные!G968,4),MID(Клиенты_исходные!G968,4,2),LEFT(Клиенты_исходные!G968,2)),DATE(LEFT(Клиенты_исходные!G968,4),MID(Клиенты_исходные!G968,6,2),RIGHT(Клиенты_исходные!G968,2))),Клиенты_исходные!G968)</f>
        <v>54363</v>
      </c>
      <c r="H968">
        <f t="shared" ca="1" si="91"/>
        <v>44</v>
      </c>
      <c r="I968" t="str">
        <f t="shared" si="92"/>
        <v>OK</v>
      </c>
      <c r="J968" t="str">
        <f t="shared" si="93"/>
        <v>OK</v>
      </c>
    </row>
    <row r="969">
      <c r="A969" t="str">
        <f>Клиенты_исходные!A969</f>
        <v>C0968</v>
      </c>
      <c r="B969" t="str">
        <f>PROPER(TRIM(Клиенты_исходные!B969))</f>
        <v xml:space="preserve">Стрелков Денис Викторович</v>
      </c>
      <c r="C969" s="8">
        <f>IFERROR(IF(ISNUMBER(FIND(".",Клиенты_исходные!C969)),DATE(RIGHT(Клиенты_исходные!C969,4),MID(Клиенты_исходные!C969,4,2),LEFT(Клиенты_исходные!C969,2)),DATE(LEFT(Клиенты_исходные!C969,4),MID(Клиенты_исходные!C969,6,2),RIGHT(Клиенты_исходные!C969,2))),Клиенты_исходные!C969)</f>
        <v>31782</v>
      </c>
      <c r="D969" t="str">
        <f>IF(ISBLANK(Клиенты_исходные!D969),"",IF(LEN(SUBSTITUTE(SUBSTITUTE(SUBSTITUTE(SUBSTITUTE(SUBSTITUTE(Клиенты_исходные!D969," ",""),"-",""),"+",""),"(",""),")",""))=11,"+7 ("&amp;MID(IF(LEFT(SUBSTITUTE(SUBSTITUTE(SUBSTITUTE(SUBSTITUTE(SUBSTITUTE(Клиенты_исходные!D969," ",""),"-",""),"+",""),"(",""),")",""))="8","7"&amp;MID(SUBSTITUTE(SUBSTITUTE(SUBSTITUTE(SUBSTITUTE(SUBSTITUTE(Клиенты_исходные!D969," ",""),"-",""),"+",""),"(",""),")",""),2,10),SUBSTITUTE(SUBSTITUTE(SUBSTITUTE(SUBSTITUTE(SUBSTITUTE(Клиенты_исходные!D969," ",""),"-",""),"+",""),"(",""),")","")),2,3)&amp;") "&amp;MID(IF(LEFT(SUBSTITUTE(SUBSTITUTE(SUBSTITUTE(SUBSTITUTE(SUBSTITUTE(Клиенты_исходные!D969," ",""),"-",""),"+",""),"(",""),")",""))="8","7"&amp;MID(SUBSTITUTE(SUBSTITUTE(SUBSTITUTE(SUBSTITUTE(SUBSTITUTE(Клиенты_исходные!D969," ",""),"-",""),"+",""),"(",""),")",""),2,10),SUBSTITUTE(SUBSTITUTE(SUBSTITUTE(SUBSTITUTE(SUBSTITUTE(Клиенты_исходные!D969," ",""),"-",""),"+",""),"(",""),")","")),5,3)&amp;"-"&amp;MID(IF(LEFT(SUBSTITUTE(SUBSTITUTE(SUBSTITUTE(SUBSTITUTE(SUBSTITUTE(Клиенты_исходные!D969," ",""),"-",""),"+",""),"(",""),")",""))="8","7"&amp;MID(SUBSTITUTE(SUBSTITUTE(SUBSTITUTE(SUBSTITUTE(SUBSTITUTE(Клиенты_исходные!D969," ",""),"-",""),"+",""),"(",""),")",""),2,10),SUBSTITUTE(SUBSTITUTE(SUBSTITUTE(SUBSTITUTE(SUBSTITUTE(Клиенты_исходные!D969," ",""),"-",""),"+",""),"(",""),")","")),8,2)&amp;"-"&amp;MID(IF(LEFT(SUBSTITUTE(SUBSTITUTE(SUBSTITUTE(SUBSTITUTE(SUBSTITUTE(Клиенты_исходные!D969," ",""),"-",""),"+",""),"(",""),")",""))="8","7"&amp;MID(SUBSTITUTE(SUBSTITUTE(SUBSTITUTE(SUBSTITUTE(SUBSTITUTE(Клиенты_исходные!D969," ",""),"-",""),"+",""),"(",""),")",""),2,10),SUBSTITUTE(SUBSTITUTE(SUBSTITUTE(SUBSTITUTE(SUBSTITUTE(Клиенты_исходные!D969," ",""),"-",""),"+",""),"(",""),")","")),10,2),IF(LEN(SUBSTITUTE(SUBSTITUTE(SUBSTITUTE(SUBSTITUTE(SUBSTITUTE(Клиенты_исходные!D969," ",""),"-",""),"+",""),"(",""),")",""))=10,"+7 ("&amp;MID(SUBSTITUTE(SUBSTITUTE(SUBSTITUTE(SUBSTITUTE(SUBSTITUTE(Клиенты_исходные!D969," ",""),"-",""),"+",""),"(",""),")",""),1,3)&amp;") "&amp;MID(SUBSTITUTE(SUBSTITUTE(SUBSTITUTE(SUBSTITUTE(SUBSTITUTE(Клиенты_исходные!D969," ",""),"-",""),"+",""),"(",""),")",""),4,3)&amp;"-"&amp;MID(SUBSTITUTE(SUBSTITUTE(SUBSTITUTE(SUBSTITUTE(SUBSTITUTE(Клиенты_исходные!D969," ",""),"-",""),"+",""),"(",""),")",""),6,2)&amp;"-"&amp;MID(SUBSTITUTE(SUBSTITUTE(SUBSTITUTE(SUBSTITUTE(SUBSTITUTE(Клиенты_исходные!D969," ",""),"-",""),"+",""),"(",""),")",""),8,2),Клиенты_исходные!D969)))</f>
        <v xml:space="preserve">+7 (903) 890-12-34</v>
      </c>
      <c r="E969" t="str">
        <f>IF(ISBLANK(Клиенты_исходные!E969),"",IF(ISNUMBER(FIND(".",MID(Клиенты_исходные!E969,FIND("@",Клиенты_исходные!E969)+1,255))),Клиенты_исходные!E969,IF(ISNUMBER(FIND("gmail",Клиенты_исходные!E969)),Клиенты_исходные!E969&amp;".com",Клиенты_исходные!E969&amp;".ru")))</f>
        <v>strelkov@yandex.ru</v>
      </c>
      <c r="F969" t="str">
        <f>IFERROR(VLOOKUP(Клиенты_исходные!F969,Справочники!$J$2:$K$50,2,FALSE),Клиенты_исходные!F969)</f>
        <v>Симферополь</v>
      </c>
      <c r="G969" s="8">
        <f>IFERROR(IF(ISNUMBER(FIND(".",Клиенты_исходные!G969)),DATE(RIGHT(Клиенты_исходные!G969,4),MID(Клиенты_исходные!G969,4,2),LEFT(Клиенты_исходные!G969,2)),DATE(LEFT(Клиенты_исходные!G969,4),MID(Клиенты_исходные!G969,6,2),RIGHT(Клиенты_исходные!G969,2))),Клиенты_исходные!G969)</f>
        <v>54377</v>
      </c>
      <c r="H969">
        <f t="shared" ca="1" si="91"/>
        <v>39</v>
      </c>
      <c r="I969" t="str">
        <f t="shared" si="92"/>
        <v>OK</v>
      </c>
      <c r="J969" t="str">
        <f t="shared" si="93"/>
        <v>OK</v>
      </c>
    </row>
    <row r="970">
      <c r="A970" t="str">
        <f>Клиенты_исходные!A970</f>
        <v>C0969</v>
      </c>
      <c r="B970" t="str">
        <f>PROPER(TRIM(Клиенты_исходные!B970))</f>
        <v xml:space="preserve">Киселева Ольга Сергеевна</v>
      </c>
      <c r="C970" s="8">
        <f>IFERROR(IF(ISNUMBER(FIND(".",Клиенты_исходные!C970)),DATE(RIGHT(Клиенты_исходные!C970,4),MID(Клиенты_исходные!C970,4,2),LEFT(Клиенты_исходные!C970,2)),DATE(LEFT(Клиенты_исходные!C970,4),MID(Клиенты_исходные!C970,6,2),RIGHT(Клиенты_исходные!C970,2))),Клиенты_исходные!C970)</f>
        <v>26523</v>
      </c>
      <c r="D970" t="str">
        <f>IF(ISBLANK(Клиенты_исходные!D970),"",IF(LEN(SUBSTITUTE(SUBSTITUTE(SUBSTITUTE(SUBSTITUTE(SUBSTITUTE(Клиенты_исходные!D970," ",""),"-",""),"+",""),"(",""),")",""))=11,"+7 ("&amp;MID(IF(LEFT(SUBSTITUTE(SUBSTITUTE(SUBSTITUTE(SUBSTITUTE(SUBSTITUTE(Клиенты_исходные!D970," ",""),"-",""),"+",""),"(",""),")",""))="8","7"&amp;MID(SUBSTITUTE(SUBSTITUTE(SUBSTITUTE(SUBSTITUTE(SUBSTITUTE(Клиенты_исходные!D970," ",""),"-",""),"+",""),"(",""),")",""),2,10),SUBSTITUTE(SUBSTITUTE(SUBSTITUTE(SUBSTITUTE(SUBSTITUTE(Клиенты_исходные!D970," ",""),"-",""),"+",""),"(",""),")","")),2,3)&amp;") "&amp;MID(IF(LEFT(SUBSTITUTE(SUBSTITUTE(SUBSTITUTE(SUBSTITUTE(SUBSTITUTE(Клиенты_исходные!D970," ",""),"-",""),"+",""),"(",""),")",""))="8","7"&amp;MID(SUBSTITUTE(SUBSTITUTE(SUBSTITUTE(SUBSTITUTE(SUBSTITUTE(Клиенты_исходные!D970," ",""),"-",""),"+",""),"(",""),")",""),2,10),SUBSTITUTE(SUBSTITUTE(SUBSTITUTE(SUBSTITUTE(SUBSTITUTE(Клиенты_исходные!D970," ",""),"-",""),"+",""),"(",""),")","")),5,3)&amp;"-"&amp;MID(IF(LEFT(SUBSTITUTE(SUBSTITUTE(SUBSTITUTE(SUBSTITUTE(SUBSTITUTE(Клиенты_исходные!D970," ",""),"-",""),"+",""),"(",""),")",""))="8","7"&amp;MID(SUBSTITUTE(SUBSTITUTE(SUBSTITUTE(SUBSTITUTE(SUBSTITUTE(Клиенты_исходные!D970," ",""),"-",""),"+",""),"(",""),")",""),2,10),SUBSTITUTE(SUBSTITUTE(SUBSTITUTE(SUBSTITUTE(SUBSTITUTE(Клиенты_исходные!D970," ",""),"-",""),"+",""),"(",""),")","")),8,2)&amp;"-"&amp;MID(IF(LEFT(SUBSTITUTE(SUBSTITUTE(SUBSTITUTE(SUBSTITUTE(SUBSTITUTE(Клиенты_исходные!D970," ",""),"-",""),"+",""),"(",""),")",""))="8","7"&amp;MID(SUBSTITUTE(SUBSTITUTE(SUBSTITUTE(SUBSTITUTE(SUBSTITUTE(Клиенты_исходные!D970," ",""),"-",""),"+",""),"(",""),")",""),2,10),SUBSTITUTE(SUBSTITUTE(SUBSTITUTE(SUBSTITUTE(SUBSTITUTE(Клиенты_исходные!D970," ",""),"-",""),"+",""),"(",""),")","")),10,2),IF(LEN(SUBSTITUTE(SUBSTITUTE(SUBSTITUTE(SUBSTITUTE(SUBSTITUTE(Клиенты_исходные!D970," ",""),"-",""),"+",""),"(",""),")",""))=10,"+7 ("&amp;MID(SUBSTITUTE(SUBSTITUTE(SUBSTITUTE(SUBSTITUTE(SUBSTITUTE(Клиенты_исходные!D970," ",""),"-",""),"+",""),"(",""),")",""),1,3)&amp;") "&amp;MID(SUBSTITUTE(SUBSTITUTE(SUBSTITUTE(SUBSTITUTE(SUBSTITUTE(Клиенты_исходные!D970," ",""),"-",""),"+",""),"(",""),")",""),4,3)&amp;"-"&amp;MID(SUBSTITUTE(SUBSTITUTE(SUBSTITUTE(SUBSTITUTE(SUBSTITUTE(Клиенты_исходные!D970," ",""),"-",""),"+",""),"(",""),")",""),6,2)&amp;"-"&amp;MID(SUBSTITUTE(SUBSTITUTE(SUBSTITUTE(SUBSTITUTE(SUBSTITUTE(Клиенты_исходные!D970," ",""),"-",""),"+",""),"(",""),")",""),8,2),Клиенты_исходные!D970)))</f>
        <v xml:space="preserve">+7 (903) 901-23-45</v>
      </c>
      <c r="E970" t="str">
        <f>IF(ISBLANK(Клиенты_исходные!E970),"",IF(ISNUMBER(FIND(".",MID(Клиенты_исходные!E970,FIND("@",Клиенты_исходные!E970)+1,255))),Клиенты_исходные!E970,IF(ISNUMBER(FIND("gmail",Клиенты_исходные!E970)),Клиенты_исходные!E970&amp;".com",Клиенты_исходные!E970&amp;".ru")))</f>
        <v>kiseleva@gmail.com</v>
      </c>
      <c r="F970" t="str">
        <f>IFERROR(VLOOKUP(Клиенты_исходные!F970,Справочники!$J$2:$K$50,2,FALSE),Клиенты_исходные!F970)</f>
        <v>Брянск</v>
      </c>
      <c r="G970" s="8">
        <f>IFERROR(IF(ISNUMBER(FIND(".",Клиенты_исходные!G970)),DATE(RIGHT(Клиенты_исходные!G970,4),MID(Клиенты_исходные!G970,4,2),LEFT(Клиенты_исходные!G970,2)),DATE(LEFT(Клиенты_исходные!G970,4),MID(Клиенты_исходные!G970,6,2),RIGHT(Клиенты_исходные!G970,2))),Клиенты_исходные!G970)</f>
        <v>54377</v>
      </c>
      <c r="H970">
        <f t="shared" ca="1" si="91"/>
        <v>54</v>
      </c>
      <c r="I970" t="str">
        <f t="shared" si="92"/>
        <v>OK</v>
      </c>
      <c r="J970" t="str">
        <f t="shared" si="93"/>
        <v>OK</v>
      </c>
    </row>
    <row r="971">
      <c r="A971" t="str">
        <f>Клиенты_исходные!A971</f>
        <v>C0970</v>
      </c>
      <c r="B971" t="str">
        <f>PROPER(TRIM(Клиенты_исходные!B971))</f>
        <v xml:space="preserve">Гусев Андрей Олегович</v>
      </c>
      <c r="C971" s="8">
        <f>IFERROR(IF(ISNUMBER(FIND(".",Клиенты_исходные!C971)),DATE(RIGHT(Клиенты_исходные!C971,4),MID(Клиенты_исходные!C971,4,2),LEFT(Клиенты_исходные!C971,2)),DATE(LEFT(Клиенты_исходные!C971,4),MID(Клиенты_исходные!C971,6,2),RIGHT(Клиенты_исходные!C971,2))),Клиенты_исходные!C971)</f>
        <v>31390</v>
      </c>
      <c r="D971" t="str">
        <f>IF(ISBLANK(Клиенты_исходные!D971),"",IF(LEN(SUBSTITUTE(SUBSTITUTE(SUBSTITUTE(SUBSTITUTE(SUBSTITUTE(Клиенты_исходные!D971," ",""),"-",""),"+",""),"(",""),")",""))=11,"+7 ("&amp;MID(IF(LEFT(SUBSTITUTE(SUBSTITUTE(SUBSTITUTE(SUBSTITUTE(SUBSTITUTE(Клиенты_исходные!D971," ",""),"-",""),"+",""),"(",""),")",""))="8","7"&amp;MID(SUBSTITUTE(SUBSTITUTE(SUBSTITUTE(SUBSTITUTE(SUBSTITUTE(Клиенты_исходные!D971," ",""),"-",""),"+",""),"(",""),")",""),2,10),SUBSTITUTE(SUBSTITUTE(SUBSTITUTE(SUBSTITUTE(SUBSTITUTE(Клиенты_исходные!D971," ",""),"-",""),"+",""),"(",""),")","")),2,3)&amp;") "&amp;MID(IF(LEFT(SUBSTITUTE(SUBSTITUTE(SUBSTITUTE(SUBSTITUTE(SUBSTITUTE(Клиенты_исходные!D971," ",""),"-",""),"+",""),"(",""),")",""))="8","7"&amp;MID(SUBSTITUTE(SUBSTITUTE(SUBSTITUTE(SUBSTITUTE(SUBSTITUTE(Клиенты_исходные!D971," ",""),"-",""),"+",""),"(",""),")",""),2,10),SUBSTITUTE(SUBSTITUTE(SUBSTITUTE(SUBSTITUTE(SUBSTITUTE(Клиенты_исходные!D971," ",""),"-",""),"+",""),"(",""),")","")),5,3)&amp;"-"&amp;MID(IF(LEFT(SUBSTITUTE(SUBSTITUTE(SUBSTITUTE(SUBSTITUTE(SUBSTITUTE(Клиенты_исходные!D971," ",""),"-",""),"+",""),"(",""),")",""))="8","7"&amp;MID(SUBSTITUTE(SUBSTITUTE(SUBSTITUTE(SUBSTITUTE(SUBSTITUTE(Клиенты_исходные!D971," ",""),"-",""),"+",""),"(",""),")",""),2,10),SUBSTITUTE(SUBSTITUTE(SUBSTITUTE(SUBSTITUTE(SUBSTITUTE(Клиенты_исходные!D971," ",""),"-",""),"+",""),"(",""),")","")),8,2)&amp;"-"&amp;MID(IF(LEFT(SUBSTITUTE(SUBSTITUTE(SUBSTITUTE(SUBSTITUTE(SUBSTITUTE(Клиенты_исходные!D971," ",""),"-",""),"+",""),"(",""),")",""))="8","7"&amp;MID(SUBSTITUTE(SUBSTITUTE(SUBSTITUTE(SUBSTITUTE(SUBSTITUTE(Клиенты_исходные!D971," ",""),"-",""),"+",""),"(",""),")",""),2,10),SUBSTITUTE(SUBSTITUTE(SUBSTITUTE(SUBSTITUTE(SUBSTITUTE(Клиенты_исходные!D971," ",""),"-",""),"+",""),"(",""),")","")),10,2),IF(LEN(SUBSTITUTE(SUBSTITUTE(SUBSTITUTE(SUBSTITUTE(SUBSTITUTE(Клиенты_исходные!D971," ",""),"-",""),"+",""),"(",""),")",""))=10,"+7 ("&amp;MID(SUBSTITUTE(SUBSTITUTE(SUBSTITUTE(SUBSTITUTE(SUBSTITUTE(Клиенты_исходные!D971," ",""),"-",""),"+",""),"(",""),")",""),1,3)&amp;") "&amp;MID(SUBSTITUTE(SUBSTITUTE(SUBSTITUTE(SUBSTITUTE(SUBSTITUTE(Клиенты_исходные!D971," ",""),"-",""),"+",""),"(",""),")",""),4,3)&amp;"-"&amp;MID(SUBSTITUTE(SUBSTITUTE(SUBSTITUTE(SUBSTITUTE(SUBSTITUTE(Клиенты_исходные!D971," ",""),"-",""),"+",""),"(",""),")",""),6,2)&amp;"-"&amp;MID(SUBSTITUTE(SUBSTITUTE(SUBSTITUTE(SUBSTITUTE(SUBSTITUTE(Клиенты_исходные!D971," ",""),"-",""),"+",""),"(",""),")",""),8,2),Клиенты_исходные!D971)))</f>
        <v xml:space="preserve">+7 (903) 901-23-45</v>
      </c>
      <c r="E971" t="str">
        <f>IF(ISBLANK(Клиенты_исходные!E971),"",IF(ISNUMBER(FIND(".",MID(Клиенты_исходные!E971,FIND("@",Клиенты_исходные!E971)+1,255))),Клиенты_исходные!E971,IF(ISNUMBER(FIND("gmail",Клиенты_исходные!E971)),Клиенты_исходные!E971&amp;".com",Клиенты_исходные!E971&amp;".ru")))</f>
        <v>gusev@mail.ru</v>
      </c>
      <c r="F971" t="str">
        <f>IFERROR(VLOOKUP(Клиенты_исходные!F971,Справочники!$J$2:$K$50,2,FALSE),Клиенты_исходные!F971)</f>
        <v>Абакан</v>
      </c>
      <c r="G971" s="8">
        <f>IFERROR(IF(ISNUMBER(FIND(".",Клиенты_исходные!G971)),DATE(RIGHT(Клиенты_исходные!G971,4),MID(Клиенты_исходные!G971,4,2),LEFT(Клиенты_исходные!G971,2)),DATE(LEFT(Клиенты_исходные!G971,4),MID(Клиенты_исходные!G971,6,2),RIGHT(Клиенты_исходные!G971,2))),Клиенты_исходные!G971)</f>
        <v>54393</v>
      </c>
      <c r="H971">
        <f t="shared" ca="1" si="91"/>
        <v>40</v>
      </c>
      <c r="I971" t="str">
        <f t="shared" si="92"/>
        <v>OK</v>
      </c>
      <c r="J971" t="str">
        <f t="shared" si="93"/>
        <v>OK</v>
      </c>
    </row>
    <row r="972">
      <c r="A972" t="str">
        <f>Клиенты_исходные!A972</f>
        <v>C0971</v>
      </c>
      <c r="B972" t="str">
        <f>PROPER(TRIM(Клиенты_исходные!B972))</f>
        <v xml:space="preserve">Федосеева Екатерина Владимировна</v>
      </c>
      <c r="C972" s="8">
        <f>IFERROR(IF(ISNUMBER(FIND(".",Клиенты_исходные!C972)),DATE(RIGHT(Клиенты_исходные!C972,4),MID(Клиенты_исходные!C972,4,2),LEFT(Клиенты_исходные!C972,2)),DATE(LEFT(Клиенты_исходные!C972,4),MID(Клиенты_исходные!C972,6,2),RIGHT(Клиенты_исходные!C972,2))),Клиенты_исходные!C972)</f>
        <v>32979</v>
      </c>
      <c r="D972" t="str">
        <f>IF(ISBLANK(Клиенты_исходные!D972),"",IF(LEN(SUBSTITUTE(SUBSTITUTE(SUBSTITUTE(SUBSTITUTE(SUBSTITUTE(Клиенты_исходные!D972," ",""),"-",""),"+",""),"(",""),")",""))=11,"+7 ("&amp;MID(IF(LEFT(SUBSTITUTE(SUBSTITUTE(SUBSTITUTE(SUBSTITUTE(SUBSTITUTE(Клиенты_исходные!D972," ",""),"-",""),"+",""),"(",""),")",""))="8","7"&amp;MID(SUBSTITUTE(SUBSTITUTE(SUBSTITUTE(SUBSTITUTE(SUBSTITUTE(Клиенты_исходные!D972," ",""),"-",""),"+",""),"(",""),")",""),2,10),SUBSTITUTE(SUBSTITUTE(SUBSTITUTE(SUBSTITUTE(SUBSTITUTE(Клиенты_исходные!D972," ",""),"-",""),"+",""),"(",""),")","")),2,3)&amp;") "&amp;MID(IF(LEFT(SUBSTITUTE(SUBSTITUTE(SUBSTITUTE(SUBSTITUTE(SUBSTITUTE(Клиенты_исходные!D972," ",""),"-",""),"+",""),"(",""),")",""))="8","7"&amp;MID(SUBSTITUTE(SUBSTITUTE(SUBSTITUTE(SUBSTITUTE(SUBSTITUTE(Клиенты_исходные!D972," ",""),"-",""),"+",""),"(",""),")",""),2,10),SUBSTITUTE(SUBSTITUTE(SUBSTITUTE(SUBSTITUTE(SUBSTITUTE(Клиенты_исходные!D972," ",""),"-",""),"+",""),"(",""),")","")),5,3)&amp;"-"&amp;MID(IF(LEFT(SUBSTITUTE(SUBSTITUTE(SUBSTITUTE(SUBSTITUTE(SUBSTITUTE(Клиенты_исходные!D972," ",""),"-",""),"+",""),"(",""),")",""))="8","7"&amp;MID(SUBSTITUTE(SUBSTITUTE(SUBSTITUTE(SUBSTITUTE(SUBSTITUTE(Клиенты_исходные!D972," ",""),"-",""),"+",""),"(",""),")",""),2,10),SUBSTITUTE(SUBSTITUTE(SUBSTITUTE(SUBSTITUTE(SUBSTITUTE(Клиенты_исходные!D972," ",""),"-",""),"+",""),"(",""),")","")),8,2)&amp;"-"&amp;MID(IF(LEFT(SUBSTITUTE(SUBSTITUTE(SUBSTITUTE(SUBSTITUTE(SUBSTITUTE(Клиенты_исходные!D972," ",""),"-",""),"+",""),"(",""),")",""))="8","7"&amp;MID(SUBSTITUTE(SUBSTITUTE(SUBSTITUTE(SUBSTITUTE(SUBSTITUTE(Клиенты_исходные!D972," ",""),"-",""),"+",""),"(",""),")",""),2,10),SUBSTITUTE(SUBSTITUTE(SUBSTITUTE(SUBSTITUTE(SUBSTITUTE(Клиенты_исходные!D972," ",""),"-",""),"+",""),"(",""),")","")),10,2),IF(LEN(SUBSTITUTE(SUBSTITUTE(SUBSTITUTE(SUBSTITUTE(SUBSTITUTE(Клиенты_исходные!D972," ",""),"-",""),"+",""),"(",""),")",""))=10,"+7 ("&amp;MID(SUBSTITUTE(SUBSTITUTE(SUBSTITUTE(SUBSTITUTE(SUBSTITUTE(Клиенты_исходные!D972," ",""),"-",""),"+",""),"(",""),")",""),1,3)&amp;") "&amp;MID(SUBSTITUTE(SUBSTITUTE(SUBSTITUTE(SUBSTITUTE(SUBSTITUTE(Клиенты_исходные!D972," ",""),"-",""),"+",""),"(",""),")",""),4,3)&amp;"-"&amp;MID(SUBSTITUTE(SUBSTITUTE(SUBSTITUTE(SUBSTITUTE(SUBSTITUTE(Клиенты_исходные!D972," ",""),"-",""),"+",""),"(",""),")",""),6,2)&amp;"-"&amp;MID(SUBSTITUTE(SUBSTITUTE(SUBSTITUTE(SUBSTITUTE(SUBSTITUTE(Клиенты_исходные!D972," ",""),"-",""),"+",""),"(",""),")",""),8,2),Клиенты_исходные!D972)))</f>
        <v xml:space="preserve">+7 (903) 901-23-45</v>
      </c>
      <c r="E972" t="str">
        <f>IF(ISBLANK(Клиенты_исходные!E972),"",IF(ISNUMBER(FIND(".",MID(Клиенты_исходные!E972,FIND("@",Клиенты_исходные!E972)+1,255))),Клиенты_исходные!E972,IF(ISNUMBER(FIND("gmail",Клиенты_исходные!E972)),Клиенты_исходные!E972&amp;".com",Клиенты_исходные!E972&amp;".ru")))</f>
        <v>fedoseeva@yandex.ru</v>
      </c>
      <c r="F972" t="str">
        <f>IFERROR(VLOOKUP(Клиенты_исходные!F972,Справочники!$J$2:$K$50,2,FALSE),Клиенты_исходные!F972)</f>
        <v>Грозный</v>
      </c>
      <c r="G972" s="8">
        <f>IFERROR(IF(ISNUMBER(FIND(".",Клиенты_исходные!G972)),DATE(RIGHT(Клиенты_исходные!G972,4),MID(Клиенты_исходные!G972,4,2),LEFT(Клиенты_исходные!G972,2)),DATE(LEFT(Клиенты_исходные!G972,4),MID(Клиенты_исходные!G972,6,2),RIGHT(Клиенты_исходные!G972,2))),Клиенты_исходные!G972)</f>
        <v>54402</v>
      </c>
      <c r="H972">
        <f t="shared" ca="1" si="91"/>
        <v>36</v>
      </c>
      <c r="I972" t="str">
        <f t="shared" si="92"/>
        <v>OK</v>
      </c>
      <c r="J972" t="str">
        <f t="shared" si="93"/>
        <v>OK</v>
      </c>
    </row>
    <row r="973">
      <c r="A973" t="str">
        <f>Клиенты_исходные!A973</f>
        <v>C0972</v>
      </c>
      <c r="B973" t="str">
        <f>PROPER(TRIM(Клиенты_исходные!B973))</f>
        <v xml:space="preserve">Балашов Илья Александрович</v>
      </c>
      <c r="C973" s="8">
        <f>IFERROR(IF(ISNUMBER(FIND(".",Клиенты_исходные!C973)),DATE(RIGHT(Клиенты_исходные!C973,4),MID(Клиенты_исходные!C973,4,2),LEFT(Клиенты_исходные!C973,2)),DATE(LEFT(Клиенты_исходные!C973,4),MID(Клиенты_исходные!C973,6,2),RIGHT(Клиенты_исходные!C973,2))),Клиенты_исходные!C973)</f>
        <v>27186</v>
      </c>
      <c r="D973" t="str">
        <f>IF(ISBLANK(Клиенты_исходные!D973),"",IF(LEN(SUBSTITUTE(SUBSTITUTE(SUBSTITUTE(SUBSTITUTE(SUBSTITUTE(Клиенты_исходные!D973," ",""),"-",""),"+",""),"(",""),")",""))=11,"+7 ("&amp;MID(IF(LEFT(SUBSTITUTE(SUBSTITUTE(SUBSTITUTE(SUBSTITUTE(SUBSTITUTE(Клиенты_исходные!D973," ",""),"-",""),"+",""),"(",""),")",""))="8","7"&amp;MID(SUBSTITUTE(SUBSTITUTE(SUBSTITUTE(SUBSTITUTE(SUBSTITUTE(Клиенты_исходные!D973," ",""),"-",""),"+",""),"(",""),")",""),2,10),SUBSTITUTE(SUBSTITUTE(SUBSTITUTE(SUBSTITUTE(SUBSTITUTE(Клиенты_исходные!D973," ",""),"-",""),"+",""),"(",""),")","")),2,3)&amp;") "&amp;MID(IF(LEFT(SUBSTITUTE(SUBSTITUTE(SUBSTITUTE(SUBSTITUTE(SUBSTITUTE(Клиенты_исходные!D973," ",""),"-",""),"+",""),"(",""),")",""))="8","7"&amp;MID(SUBSTITUTE(SUBSTITUTE(SUBSTITUTE(SUBSTITUTE(SUBSTITUTE(Клиенты_исходные!D973," ",""),"-",""),"+",""),"(",""),")",""),2,10),SUBSTITUTE(SUBSTITUTE(SUBSTITUTE(SUBSTITUTE(SUBSTITUTE(Клиенты_исходные!D973," ",""),"-",""),"+",""),"(",""),")","")),5,3)&amp;"-"&amp;MID(IF(LEFT(SUBSTITUTE(SUBSTITUTE(SUBSTITUTE(SUBSTITUTE(SUBSTITUTE(Клиенты_исходные!D973," ",""),"-",""),"+",""),"(",""),")",""))="8","7"&amp;MID(SUBSTITUTE(SUBSTITUTE(SUBSTITUTE(SUBSTITUTE(SUBSTITUTE(Клиенты_исходные!D973," ",""),"-",""),"+",""),"(",""),")",""),2,10),SUBSTITUTE(SUBSTITUTE(SUBSTITUTE(SUBSTITUTE(SUBSTITUTE(Клиенты_исходные!D973," ",""),"-",""),"+",""),"(",""),")","")),8,2)&amp;"-"&amp;MID(IF(LEFT(SUBSTITUTE(SUBSTITUTE(SUBSTITUTE(SUBSTITUTE(SUBSTITUTE(Клиенты_исходные!D973," ",""),"-",""),"+",""),"(",""),")",""))="8","7"&amp;MID(SUBSTITUTE(SUBSTITUTE(SUBSTITUTE(SUBSTITUTE(SUBSTITUTE(Клиенты_исходные!D973," ",""),"-",""),"+",""),"(",""),")",""),2,10),SUBSTITUTE(SUBSTITUTE(SUBSTITUTE(SUBSTITUTE(SUBSTITUTE(Клиенты_исходные!D973," ",""),"-",""),"+",""),"(",""),")","")),10,2),IF(LEN(SUBSTITUTE(SUBSTITUTE(SUBSTITUTE(SUBSTITUTE(SUBSTITUTE(Клиенты_исходные!D973," ",""),"-",""),"+",""),"(",""),")",""))=10,"+7 ("&amp;MID(SUBSTITUTE(SUBSTITUTE(SUBSTITUTE(SUBSTITUTE(SUBSTITUTE(Клиенты_исходные!D973," ",""),"-",""),"+",""),"(",""),")",""),1,3)&amp;") "&amp;MID(SUBSTITUTE(SUBSTITUTE(SUBSTITUTE(SUBSTITUTE(SUBSTITUTE(Клиенты_исходные!D973," ",""),"-",""),"+",""),"(",""),")",""),4,3)&amp;"-"&amp;MID(SUBSTITUTE(SUBSTITUTE(SUBSTITUTE(SUBSTITUTE(SUBSTITUTE(Клиенты_исходные!D973," ",""),"-",""),"+",""),"(",""),")",""),6,2)&amp;"-"&amp;MID(SUBSTITUTE(SUBSTITUTE(SUBSTITUTE(SUBSTITUTE(SUBSTITUTE(Клиенты_исходные!D973," ",""),"-",""),"+",""),"(",""),")",""),8,2),Клиенты_исходные!D973)))</f>
        <v xml:space="preserve">+7 (903) 012-34-56</v>
      </c>
      <c r="E973" t="str">
        <f>IF(ISBLANK(Клиенты_исходные!E973),"",IF(ISNUMBER(FIND(".",MID(Клиенты_исходные!E973,FIND("@",Клиенты_исходные!E973)+1,255))),Клиенты_исходные!E973,IF(ISNUMBER(FIND("gmail",Клиенты_исходные!E973)),Клиенты_исходные!E973&amp;".com",Клиенты_исходные!E973&amp;".ru")))</f>
        <v>balashov@gmail.com</v>
      </c>
      <c r="F973" t="str">
        <f>IFERROR(VLOOKUP(Клиенты_исходные!F973,Справочники!$J$2:$K$50,2,FALSE),Клиенты_исходные!F973)</f>
        <v>Бийск</v>
      </c>
      <c r="G973" s="8">
        <f>IFERROR(IF(ISNUMBER(FIND(".",Клиенты_исходные!G973)),DATE(RIGHT(Клиенты_исходные!G973,4),MID(Клиенты_исходные!G973,4,2),LEFT(Клиенты_исходные!G973,2)),DATE(LEFT(Клиенты_исходные!G973,4),MID(Клиенты_исходные!G973,6,2),RIGHT(Клиенты_исходные!G973,2))),Клиенты_исходные!G973)</f>
        <v>54402</v>
      </c>
      <c r="H973">
        <f t="shared" ca="1" si="91"/>
        <v>52</v>
      </c>
      <c r="I973" t="str">
        <f t="shared" si="92"/>
        <v>OK</v>
      </c>
      <c r="J973" t="str">
        <f t="shared" si="93"/>
        <v>OK</v>
      </c>
    </row>
    <row r="974">
      <c r="A974" t="str">
        <f>Клиенты_исходные!A974</f>
        <v>C0973</v>
      </c>
      <c r="B974" t="str">
        <f>PROPER(TRIM(Клиенты_исходные!B974))</f>
        <v xml:space="preserve">Панова Мария Павловна</v>
      </c>
      <c r="C974" s="8">
        <f>IFERROR(IF(ISNUMBER(FIND(".",Клиенты_исходные!C974)),DATE(RIGHT(Клиенты_исходные!C974,4),MID(Клиенты_исходные!C974,4,2),LEFT(Клиенты_исходные!C974,2)),DATE(LEFT(Клиенты_исходные!C974,4),MID(Клиенты_исходные!C974,6,2),RIGHT(Клиенты_исходные!C974,2))),Клиенты_исходные!C974)</f>
        <v>29889</v>
      </c>
      <c r="D974" t="str">
        <f>IF(ISBLANK(Клиенты_исходные!D974),"",IF(LEN(SUBSTITUTE(SUBSTITUTE(SUBSTITUTE(SUBSTITUTE(SUBSTITUTE(Клиенты_исходные!D974," ",""),"-",""),"+",""),"(",""),")",""))=11,"+7 ("&amp;MID(IF(LEFT(SUBSTITUTE(SUBSTITUTE(SUBSTITUTE(SUBSTITUTE(SUBSTITUTE(Клиенты_исходные!D974," ",""),"-",""),"+",""),"(",""),")",""))="8","7"&amp;MID(SUBSTITUTE(SUBSTITUTE(SUBSTITUTE(SUBSTITUTE(SUBSTITUTE(Клиенты_исходные!D974," ",""),"-",""),"+",""),"(",""),")",""),2,10),SUBSTITUTE(SUBSTITUTE(SUBSTITUTE(SUBSTITUTE(SUBSTITUTE(Клиенты_исходные!D974," ",""),"-",""),"+",""),"(",""),")","")),2,3)&amp;") "&amp;MID(IF(LEFT(SUBSTITUTE(SUBSTITUTE(SUBSTITUTE(SUBSTITUTE(SUBSTITUTE(Клиенты_исходные!D974," ",""),"-",""),"+",""),"(",""),")",""))="8","7"&amp;MID(SUBSTITUTE(SUBSTITUTE(SUBSTITUTE(SUBSTITUTE(SUBSTITUTE(Клиенты_исходные!D974," ",""),"-",""),"+",""),"(",""),")",""),2,10),SUBSTITUTE(SUBSTITUTE(SUBSTITUTE(SUBSTITUTE(SUBSTITUTE(Клиенты_исходные!D974," ",""),"-",""),"+",""),"(",""),")","")),5,3)&amp;"-"&amp;MID(IF(LEFT(SUBSTITUTE(SUBSTITUTE(SUBSTITUTE(SUBSTITUTE(SUBSTITUTE(Клиенты_исходные!D974," ",""),"-",""),"+",""),"(",""),")",""))="8","7"&amp;MID(SUBSTITUTE(SUBSTITUTE(SUBSTITUTE(SUBSTITUTE(SUBSTITUTE(Клиенты_исходные!D974," ",""),"-",""),"+",""),"(",""),")",""),2,10),SUBSTITUTE(SUBSTITUTE(SUBSTITUTE(SUBSTITUTE(SUBSTITUTE(Клиенты_исходные!D974," ",""),"-",""),"+",""),"(",""),")","")),8,2)&amp;"-"&amp;MID(IF(LEFT(SUBSTITUTE(SUBSTITUTE(SUBSTITUTE(SUBSTITUTE(SUBSTITUTE(Клиенты_исходные!D974," ",""),"-",""),"+",""),"(",""),")",""))="8","7"&amp;MID(SUBSTITUTE(SUBSTITUTE(SUBSTITUTE(SUBSTITUTE(SUBSTITUTE(Клиенты_исходные!D974," ",""),"-",""),"+",""),"(",""),")",""),2,10),SUBSTITUTE(SUBSTITUTE(SUBSTITUTE(SUBSTITUTE(SUBSTITUTE(Клиенты_исходные!D974," ",""),"-",""),"+",""),"(",""),")","")),10,2),IF(LEN(SUBSTITUTE(SUBSTITUTE(SUBSTITUTE(SUBSTITUTE(SUBSTITUTE(Клиенты_исходные!D974," ",""),"-",""),"+",""),"(",""),")",""))=10,"+7 ("&amp;MID(SUBSTITUTE(SUBSTITUTE(SUBSTITUTE(SUBSTITUTE(SUBSTITUTE(Клиенты_исходные!D974," ",""),"-",""),"+",""),"(",""),")",""),1,3)&amp;") "&amp;MID(SUBSTITUTE(SUBSTITUTE(SUBSTITUTE(SUBSTITUTE(SUBSTITUTE(Клиенты_исходные!D974," ",""),"-",""),"+",""),"(",""),")",""),4,3)&amp;"-"&amp;MID(SUBSTITUTE(SUBSTITUTE(SUBSTITUTE(SUBSTITUTE(SUBSTITUTE(Клиенты_исходные!D974," ",""),"-",""),"+",""),"(",""),")",""),6,2)&amp;"-"&amp;MID(SUBSTITUTE(SUBSTITUTE(SUBSTITUTE(SUBSTITUTE(SUBSTITUTE(Клиенты_исходные!D974," ",""),"-",""),"+",""),"(",""),")",""),8,2),Клиенты_исходные!D974)))</f>
        <v xml:space="preserve">+7 (903) 012-34-56</v>
      </c>
      <c r="E974" t="str">
        <f>IF(ISBLANK(Клиенты_исходные!E974),"",IF(ISNUMBER(FIND(".",MID(Клиенты_исходные!E974,FIND("@",Клиенты_исходные!E974)+1,255))),Клиенты_исходные!E974,IF(ISNUMBER(FIND("gmail",Клиенты_исходные!E974)),Клиенты_исходные!E974&amp;".com",Клиенты_исходные!E974&amp;".ru")))</f>
        <v>panova@mail.ru</v>
      </c>
      <c r="F974" t="str">
        <f>IFERROR(VLOOKUP(Клиенты_исходные!F974,Справочники!$J$2:$K$50,2,FALSE),Клиенты_исходные!F974)</f>
        <v>Йошкар-Ола</v>
      </c>
      <c r="G974" s="8">
        <f>IFERROR(IF(ISNUMBER(FIND(".",Клиенты_исходные!G974)),DATE(RIGHT(Клиенты_исходные!G974,4),MID(Клиенты_исходные!G974,4,2),LEFT(Клиенты_исходные!G974,2)),DATE(LEFT(Клиенты_исходные!G974,4),MID(Клиенты_исходные!G974,6,2),RIGHT(Клиенты_исходные!G974,2))),Клиенты_исходные!G974)</f>
        <v>54424</v>
      </c>
      <c r="H974">
        <f t="shared" ca="1" si="91"/>
        <v>44</v>
      </c>
      <c r="I974" t="str">
        <f t="shared" si="92"/>
        <v>OK</v>
      </c>
      <c r="J974" t="str">
        <f t="shared" si="93"/>
        <v>OK</v>
      </c>
    </row>
    <row r="975">
      <c r="A975" t="str">
        <f>Клиенты_исходные!A975</f>
        <v>C0974</v>
      </c>
      <c r="B975" t="str">
        <f>PROPER(TRIM(Клиенты_исходные!B975))</f>
        <v xml:space="preserve">Сафонов Денис Сергеевич</v>
      </c>
      <c r="C975" s="8">
        <f>IFERROR(IF(ISNUMBER(FIND(".",Клиенты_исходные!C975)),DATE(RIGHT(Клиенты_исходные!C975,4),MID(Клиенты_исходные!C975,4,2),LEFT(Клиенты_исходные!C975,2)),DATE(LEFT(Клиенты_исходные!C975,4),MID(Клиенты_исходные!C975,6,2),RIGHT(Клиенты_исходные!C975,2))),Клиенты_исходные!C975)</f>
        <v>32407</v>
      </c>
      <c r="D975" t="str">
        <f>IF(ISBLANK(Клиенты_исходные!D975),"",IF(LEN(SUBSTITUTE(SUBSTITUTE(SUBSTITUTE(SUBSTITUTE(SUBSTITUTE(Клиенты_исходные!D975," ",""),"-",""),"+",""),"(",""),")",""))=11,"+7 ("&amp;MID(IF(LEFT(SUBSTITUTE(SUBSTITUTE(SUBSTITUTE(SUBSTITUTE(SUBSTITUTE(Клиенты_исходные!D975," ",""),"-",""),"+",""),"(",""),")",""))="8","7"&amp;MID(SUBSTITUTE(SUBSTITUTE(SUBSTITUTE(SUBSTITUTE(SUBSTITUTE(Клиенты_исходные!D975," ",""),"-",""),"+",""),"(",""),")",""),2,10),SUBSTITUTE(SUBSTITUTE(SUBSTITUTE(SUBSTITUTE(SUBSTITUTE(Клиенты_исходные!D975," ",""),"-",""),"+",""),"(",""),")","")),2,3)&amp;") "&amp;MID(IF(LEFT(SUBSTITUTE(SUBSTITUTE(SUBSTITUTE(SUBSTITUTE(SUBSTITUTE(Клиенты_исходные!D975," ",""),"-",""),"+",""),"(",""),")",""))="8","7"&amp;MID(SUBSTITUTE(SUBSTITUTE(SUBSTITUTE(SUBSTITUTE(SUBSTITUTE(Клиенты_исходные!D975," ",""),"-",""),"+",""),"(",""),")",""),2,10),SUBSTITUTE(SUBSTITUTE(SUBSTITUTE(SUBSTITUTE(SUBSTITUTE(Клиенты_исходные!D975," ",""),"-",""),"+",""),"(",""),")","")),5,3)&amp;"-"&amp;MID(IF(LEFT(SUBSTITUTE(SUBSTITUTE(SUBSTITUTE(SUBSTITUTE(SUBSTITUTE(Клиенты_исходные!D975," ",""),"-",""),"+",""),"(",""),")",""))="8","7"&amp;MID(SUBSTITUTE(SUBSTITUTE(SUBSTITUTE(SUBSTITUTE(SUBSTITUTE(Клиенты_исходные!D975," ",""),"-",""),"+",""),"(",""),")",""),2,10),SUBSTITUTE(SUBSTITUTE(SUBSTITUTE(SUBSTITUTE(SUBSTITUTE(Клиенты_исходные!D975," ",""),"-",""),"+",""),"(",""),")","")),8,2)&amp;"-"&amp;MID(IF(LEFT(SUBSTITUTE(SUBSTITUTE(SUBSTITUTE(SUBSTITUTE(SUBSTITUTE(Клиенты_исходные!D975," ",""),"-",""),"+",""),"(",""),")",""))="8","7"&amp;MID(SUBSTITUTE(SUBSTITUTE(SUBSTITUTE(SUBSTITUTE(SUBSTITUTE(Клиенты_исходные!D975," ",""),"-",""),"+",""),"(",""),")",""),2,10),SUBSTITUTE(SUBSTITUTE(SUBSTITUTE(SUBSTITUTE(SUBSTITUTE(Клиенты_исходные!D975," ",""),"-",""),"+",""),"(",""),")","")),10,2),IF(LEN(SUBSTITUTE(SUBSTITUTE(SUBSTITUTE(SUBSTITUTE(SUBSTITUTE(Клиенты_исходные!D975," ",""),"-",""),"+",""),"(",""),")",""))=10,"+7 ("&amp;MID(SUBSTITUTE(SUBSTITUTE(SUBSTITUTE(SUBSTITUTE(SUBSTITUTE(Клиенты_исходные!D975," ",""),"-",""),"+",""),"(",""),")",""),1,3)&amp;") "&amp;MID(SUBSTITUTE(SUBSTITUTE(SUBSTITUTE(SUBSTITUTE(SUBSTITUTE(Клиенты_исходные!D975," ",""),"-",""),"+",""),"(",""),")",""),4,3)&amp;"-"&amp;MID(SUBSTITUTE(SUBSTITUTE(SUBSTITUTE(SUBSTITUTE(SUBSTITUTE(Клиенты_исходные!D975," ",""),"-",""),"+",""),"(",""),")",""),6,2)&amp;"-"&amp;MID(SUBSTITUTE(SUBSTITUTE(SUBSTITUTE(SUBSTITUTE(SUBSTITUTE(Клиенты_исходные!D975," ",""),"-",""),"+",""),"(",""),")",""),8,2),Клиенты_исходные!D975)))</f>
        <v xml:space="preserve">+7 (903) 012-34-56</v>
      </c>
      <c r="E975" t="str">
        <f>IF(ISBLANK(Клиенты_исходные!E975),"",IF(ISNUMBER(FIND(".",MID(Клиенты_исходные!E975,FIND("@",Клиенты_исходные!E975)+1,255))),Клиенты_исходные!E975,IF(ISNUMBER(FIND("gmail",Клиенты_исходные!E975)),Клиенты_исходные!E975&amp;".com",Клиенты_исходные!E975&amp;".ru")))</f>
        <v>safonov@yandex.ru</v>
      </c>
      <c r="F975" t="str">
        <f>IFERROR(VLOOKUP(Клиенты_исходные!F975,Справочники!$J$2:$K$50,2,FALSE),Клиенты_исходные!F975)</f>
        <v>Курган</v>
      </c>
      <c r="G975" s="8">
        <f>IFERROR(IF(ISNUMBER(FIND(".",Клиенты_исходные!G975)),DATE(RIGHT(Клиенты_исходные!G975,4),MID(Клиенты_исходные!G975,4,2),LEFT(Клиенты_исходные!G975,2)),DATE(LEFT(Клиенты_исходные!G975,4),MID(Клиенты_исходные!G975,6,2),RIGHT(Клиенты_исходные!G975,2))),Клиенты_исходные!G975)</f>
        <v>54438</v>
      </c>
      <c r="H975">
        <f t="shared" ca="1" si="91"/>
        <v>38</v>
      </c>
      <c r="I975" t="str">
        <f t="shared" si="92"/>
        <v>OK</v>
      </c>
      <c r="J975" t="str">
        <f t="shared" si="93"/>
        <v>OK</v>
      </c>
    </row>
    <row r="976">
      <c r="A976" t="str">
        <f>Клиенты_исходные!A976</f>
        <v>C0975</v>
      </c>
      <c r="B976" t="str">
        <f>PROPER(TRIM(Клиенты_исходные!B976))</f>
        <v xml:space="preserve">Кузьмина Ольга Владимировна</v>
      </c>
      <c r="C976" s="8">
        <f>IFERROR(IF(ISNUMBER(FIND(".",Клиенты_исходные!C976)),DATE(RIGHT(Клиенты_исходные!C976,4),MID(Клиенты_исходные!C976,4,2),LEFT(Клиенты_исходные!C976,2)),DATE(LEFT(Клиенты_исходные!C976,4),MID(Клиенты_исходные!C976,6,2),RIGHT(Клиенты_исходные!C976,2))),Клиенты_исходные!C976)</f>
        <v>28320</v>
      </c>
      <c r="D976" t="str">
        <f>IF(ISBLANK(Клиенты_исходные!D976),"",IF(LEN(SUBSTITUTE(SUBSTITUTE(SUBSTITUTE(SUBSTITUTE(SUBSTITUTE(Клиенты_исходные!D976," ",""),"-",""),"+",""),"(",""),")",""))=11,"+7 ("&amp;MID(IF(LEFT(SUBSTITUTE(SUBSTITUTE(SUBSTITUTE(SUBSTITUTE(SUBSTITUTE(Клиенты_исходные!D976," ",""),"-",""),"+",""),"(",""),")",""))="8","7"&amp;MID(SUBSTITUTE(SUBSTITUTE(SUBSTITUTE(SUBSTITUTE(SUBSTITUTE(Клиенты_исходные!D976," ",""),"-",""),"+",""),"(",""),")",""),2,10),SUBSTITUTE(SUBSTITUTE(SUBSTITUTE(SUBSTITUTE(SUBSTITUTE(Клиенты_исходные!D976," ",""),"-",""),"+",""),"(",""),")","")),2,3)&amp;") "&amp;MID(IF(LEFT(SUBSTITUTE(SUBSTITUTE(SUBSTITUTE(SUBSTITUTE(SUBSTITUTE(Клиенты_исходные!D976," ",""),"-",""),"+",""),"(",""),")",""))="8","7"&amp;MID(SUBSTITUTE(SUBSTITUTE(SUBSTITUTE(SUBSTITUTE(SUBSTITUTE(Клиенты_исходные!D976," ",""),"-",""),"+",""),"(",""),")",""),2,10),SUBSTITUTE(SUBSTITUTE(SUBSTITUTE(SUBSTITUTE(SUBSTITUTE(Клиенты_исходные!D976," ",""),"-",""),"+",""),"(",""),")","")),5,3)&amp;"-"&amp;MID(IF(LEFT(SUBSTITUTE(SUBSTITUTE(SUBSTITUTE(SUBSTITUTE(SUBSTITUTE(Клиенты_исходные!D976," ",""),"-",""),"+",""),"(",""),")",""))="8","7"&amp;MID(SUBSTITUTE(SUBSTITUTE(SUBSTITUTE(SUBSTITUTE(SUBSTITUTE(Клиенты_исходные!D976," ",""),"-",""),"+",""),"(",""),")",""),2,10),SUBSTITUTE(SUBSTITUTE(SUBSTITUTE(SUBSTITUTE(SUBSTITUTE(Клиенты_исходные!D976," ",""),"-",""),"+",""),"(",""),")","")),8,2)&amp;"-"&amp;MID(IF(LEFT(SUBSTITUTE(SUBSTITUTE(SUBSTITUTE(SUBSTITUTE(SUBSTITUTE(Клиенты_исходные!D976," ",""),"-",""),"+",""),"(",""),")",""))="8","7"&amp;MID(SUBSTITUTE(SUBSTITUTE(SUBSTITUTE(SUBSTITUTE(SUBSTITUTE(Клиенты_исходные!D976," ",""),"-",""),"+",""),"(",""),")",""),2,10),SUBSTITUTE(SUBSTITUTE(SUBSTITUTE(SUBSTITUTE(SUBSTITUTE(Клиенты_исходные!D976," ",""),"-",""),"+",""),"(",""),")","")),10,2),IF(LEN(SUBSTITUTE(SUBSTITUTE(SUBSTITUTE(SUBSTITUTE(SUBSTITUTE(Клиенты_исходные!D976," ",""),"-",""),"+",""),"(",""),")",""))=10,"+7 ("&amp;MID(SUBSTITUTE(SUBSTITUTE(SUBSTITUTE(SUBSTITUTE(SUBSTITUTE(Клиенты_исходные!D976," ",""),"-",""),"+",""),"(",""),")",""),1,3)&amp;") "&amp;MID(SUBSTITUTE(SUBSTITUTE(SUBSTITUTE(SUBSTITUTE(SUBSTITUTE(Клиенты_исходные!D976," ",""),"-",""),"+",""),"(",""),")",""),4,3)&amp;"-"&amp;MID(SUBSTITUTE(SUBSTITUTE(SUBSTITUTE(SUBSTITUTE(SUBSTITUTE(Клиенты_исходные!D976," ",""),"-",""),"+",""),"(",""),")",""),6,2)&amp;"-"&amp;MID(SUBSTITUTE(SUBSTITUTE(SUBSTITUTE(SUBSTITUTE(SUBSTITUTE(Клиенты_исходные!D976," ",""),"-",""),"+",""),"(",""),")",""),8,2),Клиенты_исходные!D976)))</f>
        <v xml:space="preserve">+7 (903) 123-45-67</v>
      </c>
      <c r="E976" t="str">
        <f>IF(ISBLANK(Клиенты_исходные!E976),"",IF(ISNUMBER(FIND(".",MID(Клиенты_исходные!E976,FIND("@",Клиенты_исходные!E976)+1,255))),Клиенты_исходные!E976,IF(ISNUMBER(FIND("gmail",Клиенты_исходные!E976)),Клиенты_исходные!E976&amp;".com",Клиенты_исходные!E976&amp;".ru")))</f>
        <v>kuzmina@gmail.com</v>
      </c>
      <c r="F976" t="str">
        <f>IFERROR(VLOOKUP(Клиенты_исходные!F976,Справочники!$J$2:$K$50,2,FALSE),Клиенты_исходные!F976)</f>
        <v>Архангельск</v>
      </c>
      <c r="G976" s="8">
        <f>IFERROR(IF(ISNUMBER(FIND(".",Клиенты_исходные!G976)),DATE(RIGHT(Клиенты_исходные!G976,4),MID(Клиенты_исходные!G976,4,2),LEFT(Клиенты_исходные!G976,2)),DATE(LEFT(Клиенты_исходные!G976,4),MID(Клиенты_исходные!G976,6,2),RIGHT(Клиенты_исходные!G976,2))),Клиенты_исходные!G976)</f>
        <v>54438</v>
      </c>
      <c r="H976">
        <f t="shared" ca="1" si="91"/>
        <v>49</v>
      </c>
      <c r="I976" t="str">
        <f t="shared" si="92"/>
        <v>OK</v>
      </c>
      <c r="J976" t="str">
        <f t="shared" si="93"/>
        <v>OK</v>
      </c>
    </row>
    <row r="977">
      <c r="A977" t="str">
        <f>Клиенты_исходные!A977</f>
        <v>C0976</v>
      </c>
      <c r="B977" t="str">
        <f>PROPER(TRIM(Клиенты_исходные!B977))</f>
        <v xml:space="preserve">Мандрыка Андрей Олегович</v>
      </c>
      <c r="C977" s="8">
        <f>IFERROR(IF(ISNUMBER(FIND(".",Клиенты_исходные!C977)),DATE(RIGHT(Клиенты_исходные!C977,4),MID(Клиенты_исходные!C977,4,2),LEFT(Клиенты_исходные!C977,2)),DATE(LEFT(Клиенты_исходные!C977,4),MID(Клиенты_исходные!C977,6,2),RIGHT(Клиенты_исходные!C977,2))),Клиенты_исходные!C977)</f>
        <v>31087</v>
      </c>
      <c r="D977" t="str">
        <f>IF(ISBLANK(Клиенты_исходные!D977),"",IF(LEN(SUBSTITUTE(SUBSTITUTE(SUBSTITUTE(SUBSTITUTE(SUBSTITUTE(Клиенты_исходные!D977," ",""),"-",""),"+",""),"(",""),")",""))=11,"+7 ("&amp;MID(IF(LEFT(SUBSTITUTE(SUBSTITUTE(SUBSTITUTE(SUBSTITUTE(SUBSTITUTE(Клиенты_исходные!D977," ",""),"-",""),"+",""),"(",""),")",""))="8","7"&amp;MID(SUBSTITUTE(SUBSTITUTE(SUBSTITUTE(SUBSTITUTE(SUBSTITUTE(Клиенты_исходные!D977," ",""),"-",""),"+",""),"(",""),")",""),2,10),SUBSTITUTE(SUBSTITUTE(SUBSTITUTE(SUBSTITUTE(SUBSTITUTE(Клиенты_исходные!D977," ",""),"-",""),"+",""),"(",""),")","")),2,3)&amp;") "&amp;MID(IF(LEFT(SUBSTITUTE(SUBSTITUTE(SUBSTITUTE(SUBSTITUTE(SUBSTITUTE(Клиенты_исходные!D977," ",""),"-",""),"+",""),"(",""),")",""))="8","7"&amp;MID(SUBSTITUTE(SUBSTITUTE(SUBSTITUTE(SUBSTITUTE(SUBSTITUTE(Клиенты_исходные!D977," ",""),"-",""),"+",""),"(",""),")",""),2,10),SUBSTITUTE(SUBSTITUTE(SUBSTITUTE(SUBSTITUTE(SUBSTITUTE(Клиенты_исходные!D977," ",""),"-",""),"+",""),"(",""),")","")),5,3)&amp;"-"&amp;MID(IF(LEFT(SUBSTITUTE(SUBSTITUTE(SUBSTITUTE(SUBSTITUTE(SUBSTITUTE(Клиенты_исходные!D977," ",""),"-",""),"+",""),"(",""),")",""))="8","7"&amp;MID(SUBSTITUTE(SUBSTITUTE(SUBSTITUTE(SUBSTITUTE(SUBSTITUTE(Клиенты_исходные!D977," ",""),"-",""),"+",""),"(",""),")",""),2,10),SUBSTITUTE(SUBSTITUTE(SUBSTITUTE(SUBSTITUTE(SUBSTITUTE(Клиенты_исходные!D977," ",""),"-",""),"+",""),"(",""),")","")),8,2)&amp;"-"&amp;MID(IF(LEFT(SUBSTITUTE(SUBSTITUTE(SUBSTITUTE(SUBSTITUTE(SUBSTITUTE(Клиенты_исходные!D977," ",""),"-",""),"+",""),"(",""),")",""))="8","7"&amp;MID(SUBSTITUTE(SUBSTITUTE(SUBSTITUTE(SUBSTITUTE(SUBSTITUTE(Клиенты_исходные!D977," ",""),"-",""),"+",""),"(",""),")",""),2,10),SUBSTITUTE(SUBSTITUTE(SUBSTITUTE(SUBSTITUTE(SUBSTITUTE(Клиенты_исходные!D977," ",""),"-",""),"+",""),"(",""),")","")),10,2),IF(LEN(SUBSTITUTE(SUBSTITUTE(SUBSTITUTE(SUBSTITUTE(SUBSTITUTE(Клиенты_исходные!D977," ",""),"-",""),"+",""),"(",""),")",""))=10,"+7 ("&amp;MID(SUBSTITUTE(SUBSTITUTE(SUBSTITUTE(SUBSTITUTE(SUBSTITUTE(Клиенты_исходные!D977," ",""),"-",""),"+",""),"(",""),")",""),1,3)&amp;") "&amp;MID(SUBSTITUTE(SUBSTITUTE(SUBSTITUTE(SUBSTITUTE(SUBSTITUTE(Клиенты_исходные!D977," ",""),"-",""),"+",""),"(",""),")",""),4,3)&amp;"-"&amp;MID(SUBSTITUTE(SUBSTITUTE(SUBSTITUTE(SUBSTITUTE(SUBSTITUTE(Клиенты_исходные!D977," ",""),"-",""),"+",""),"(",""),")",""),6,2)&amp;"-"&amp;MID(SUBSTITUTE(SUBSTITUTE(SUBSTITUTE(SUBSTITUTE(SUBSTITUTE(Клиенты_исходные!D977," ",""),"-",""),"+",""),"(",""),")",""),8,2),Клиенты_исходные!D977)))</f>
        <v xml:space="preserve">+7 (903) 123-45-67</v>
      </c>
      <c r="E977" t="str">
        <f>IF(ISBLANK(Клиенты_исходные!E977),"",IF(ISNUMBER(FIND(".",MID(Клиенты_исходные!E977,FIND("@",Клиенты_исходные!E977)+1,255))),Клиенты_исходные!E977,IF(ISNUMBER(FIND("gmail",Клиенты_исходные!E977)),Клиенты_исходные!E977&amp;".com",Клиенты_исходные!E977&amp;".ru")))</f>
        <v>mandryka@mail.ru</v>
      </c>
      <c r="F977" t="str">
        <f>IFERROR(VLOOKUP(Клиенты_исходные!F977,Справочники!$J$2:$K$50,2,FALSE),Клиенты_исходные!F977)</f>
        <v>Благовещенск</v>
      </c>
      <c r="G977" s="8">
        <f>IFERROR(IF(ISNUMBER(FIND(".",Клиенты_исходные!G977)),DATE(RIGHT(Клиенты_исходные!G977,4),MID(Клиенты_исходные!G977,4,2),LEFT(Клиенты_исходные!G977,2)),DATE(LEFT(Клиенты_исходные!G977,4),MID(Клиенты_исходные!G977,6,2),RIGHT(Клиенты_исходные!G977,2))),Клиенты_исходные!G977)</f>
        <v>54455</v>
      </c>
      <c r="H977">
        <f t="shared" ca="1" si="91"/>
        <v>41</v>
      </c>
      <c r="I977" t="str">
        <f t="shared" si="92"/>
        <v>OK</v>
      </c>
      <c r="J977" t="str">
        <f t="shared" si="93"/>
        <v>OK</v>
      </c>
    </row>
    <row r="978">
      <c r="A978" t="str">
        <f>Клиенты_исходные!A978</f>
        <v>C0977</v>
      </c>
      <c r="B978" t="str">
        <f>PROPER(TRIM(Клиенты_исходные!B978))</f>
        <v xml:space="preserve">Варламова Екатерина Сергеевна</v>
      </c>
      <c r="C978" s="8">
        <f>IFERROR(IF(ISNUMBER(FIND(".",Клиенты_исходные!C978)),DATE(RIGHT(Клиенты_исходные!C978,4),MID(Клиенты_исходные!C978,4,2),LEFT(Клиенты_исходные!C978,2)),DATE(LEFT(Клиенты_исходные!C978,4),MID(Клиенты_исходные!C978,6,2),RIGHT(Клиенты_исходные!C978,2))),Клиенты_исходные!C978)</f>
        <v>33725</v>
      </c>
      <c r="D978" t="str">
        <f>IF(ISBLANK(Клиенты_исходные!D978),"",IF(LEN(SUBSTITUTE(SUBSTITUTE(SUBSTITUTE(SUBSTITUTE(SUBSTITUTE(Клиенты_исходные!D978," ",""),"-",""),"+",""),"(",""),")",""))=11,"+7 ("&amp;MID(IF(LEFT(SUBSTITUTE(SUBSTITUTE(SUBSTITUTE(SUBSTITUTE(SUBSTITUTE(Клиенты_исходные!D978," ",""),"-",""),"+",""),"(",""),")",""))="8","7"&amp;MID(SUBSTITUTE(SUBSTITUTE(SUBSTITUTE(SUBSTITUTE(SUBSTITUTE(Клиенты_исходные!D978," ",""),"-",""),"+",""),"(",""),")",""),2,10),SUBSTITUTE(SUBSTITUTE(SUBSTITUTE(SUBSTITUTE(SUBSTITUTE(Клиенты_исходные!D978," ",""),"-",""),"+",""),"(",""),")","")),2,3)&amp;") "&amp;MID(IF(LEFT(SUBSTITUTE(SUBSTITUTE(SUBSTITUTE(SUBSTITUTE(SUBSTITUTE(Клиенты_исходные!D978," ",""),"-",""),"+",""),"(",""),")",""))="8","7"&amp;MID(SUBSTITUTE(SUBSTITUTE(SUBSTITUTE(SUBSTITUTE(SUBSTITUTE(Клиенты_исходные!D978," ",""),"-",""),"+",""),"(",""),")",""),2,10),SUBSTITUTE(SUBSTITUTE(SUBSTITUTE(SUBSTITUTE(SUBSTITUTE(Клиенты_исходные!D978," ",""),"-",""),"+",""),"(",""),")","")),5,3)&amp;"-"&amp;MID(IF(LEFT(SUBSTITUTE(SUBSTITUTE(SUBSTITUTE(SUBSTITUTE(SUBSTITUTE(Клиенты_исходные!D978," ",""),"-",""),"+",""),"(",""),")",""))="8","7"&amp;MID(SUBSTITUTE(SUBSTITUTE(SUBSTITUTE(SUBSTITUTE(SUBSTITUTE(Клиенты_исходные!D978," ",""),"-",""),"+",""),"(",""),")",""),2,10),SUBSTITUTE(SUBSTITUTE(SUBSTITUTE(SUBSTITUTE(SUBSTITUTE(Клиенты_исходные!D978," ",""),"-",""),"+",""),"(",""),")","")),8,2)&amp;"-"&amp;MID(IF(LEFT(SUBSTITUTE(SUBSTITUTE(SUBSTITUTE(SUBSTITUTE(SUBSTITUTE(Клиенты_исходные!D978," ",""),"-",""),"+",""),"(",""),")",""))="8","7"&amp;MID(SUBSTITUTE(SUBSTITUTE(SUBSTITUTE(SUBSTITUTE(SUBSTITUTE(Клиенты_исходные!D978," ",""),"-",""),"+",""),"(",""),")",""),2,10),SUBSTITUTE(SUBSTITUTE(SUBSTITUTE(SUBSTITUTE(SUBSTITUTE(Клиенты_исходные!D978," ",""),"-",""),"+",""),"(",""),")","")),10,2),IF(LEN(SUBSTITUTE(SUBSTITUTE(SUBSTITUTE(SUBSTITUTE(SUBSTITUTE(Клиенты_исходные!D978," ",""),"-",""),"+",""),"(",""),")",""))=10,"+7 ("&amp;MID(SUBSTITUTE(SUBSTITUTE(SUBSTITUTE(SUBSTITUTE(SUBSTITUTE(Клиенты_исходные!D978," ",""),"-",""),"+",""),"(",""),")",""),1,3)&amp;") "&amp;MID(SUBSTITUTE(SUBSTITUTE(SUBSTITUTE(SUBSTITUTE(SUBSTITUTE(Клиенты_исходные!D978," ",""),"-",""),"+",""),"(",""),")",""),4,3)&amp;"-"&amp;MID(SUBSTITUTE(SUBSTITUTE(SUBSTITUTE(SUBSTITUTE(SUBSTITUTE(Клиенты_исходные!D978," ",""),"-",""),"+",""),"(",""),")",""),6,2)&amp;"-"&amp;MID(SUBSTITUTE(SUBSTITUTE(SUBSTITUTE(SUBSTITUTE(SUBSTITUTE(Клиенты_исходные!D978," ",""),"-",""),"+",""),"(",""),")",""),8,2),Клиенты_исходные!D978)))</f>
        <v xml:space="preserve">+7 (903) 123-45-67</v>
      </c>
      <c r="E978" t="str">
        <f>IF(ISBLANK(Клиенты_исходные!E978),"",IF(ISNUMBER(FIND(".",MID(Клиенты_исходные!E978,FIND("@",Клиенты_исходные!E978)+1,255))),Клиенты_исходные!E978,IF(ISNUMBER(FIND("gmail",Клиенты_исходные!E978)),Клиенты_исходные!E978&amp;".com",Клиенты_исходные!E978&amp;".ru")))</f>
        <v>varlamova@yandex.ru</v>
      </c>
      <c r="F978" t="str">
        <f>IFERROR(VLOOKUP(Клиенты_исходные!F978,Справочники!$J$2:$K$50,2,FALSE),Клиенты_исходные!F978)</f>
        <v>Майкоп</v>
      </c>
      <c r="G978" s="8">
        <f>IFERROR(IF(ISNUMBER(FIND(".",Клиенты_исходные!G978)),DATE(RIGHT(Клиенты_исходные!G978,4),MID(Клиенты_исходные!G978,4,2),LEFT(Клиенты_исходные!G978,2)),DATE(LEFT(Клиенты_исходные!G978,4),MID(Клиенты_исходные!G978,6,2),RIGHT(Клиенты_исходные!G978,2))),Клиенты_исходные!G978)</f>
        <v>54464</v>
      </c>
      <c r="H978">
        <f t="shared" ca="1" si="91"/>
        <v>34</v>
      </c>
      <c r="I978" t="str">
        <f t="shared" si="92"/>
        <v>OK</v>
      </c>
      <c r="J978" t="str">
        <f t="shared" si="93"/>
        <v>OK</v>
      </c>
    </row>
    <row r="979">
      <c r="A979" t="str">
        <f>Клиенты_исходные!A979</f>
        <v>C0978</v>
      </c>
      <c r="B979" t="str">
        <f>PROPER(TRIM(Клиенты_исходные!B979))</f>
        <v xml:space="preserve">Просвирнин Илья Александрович</v>
      </c>
      <c r="C979" s="8">
        <f>IFERROR(IF(ISNUMBER(FIND(".",Клиенты_исходные!C979)),DATE(RIGHT(Клиенты_исходные!C979,4),MID(Клиенты_исходные!C979,4,2),LEFT(Клиенты_исходные!C979,2)),DATE(LEFT(Клиенты_исходные!C979,4),MID(Клиенты_исходные!C979,6,2),RIGHT(Клиенты_исходные!C979,2))),Клиенты_исходные!C979)</f>
        <v>26987</v>
      </c>
      <c r="D979" t="str">
        <f>IF(ISBLANK(Клиенты_исходные!D979),"",IF(LEN(SUBSTITUTE(SUBSTITUTE(SUBSTITUTE(SUBSTITUTE(SUBSTITUTE(Клиенты_исходные!D979," ",""),"-",""),"+",""),"(",""),")",""))=11,"+7 ("&amp;MID(IF(LEFT(SUBSTITUTE(SUBSTITUTE(SUBSTITUTE(SUBSTITUTE(SUBSTITUTE(Клиенты_исходные!D979," ",""),"-",""),"+",""),"(",""),")",""))="8","7"&amp;MID(SUBSTITUTE(SUBSTITUTE(SUBSTITUTE(SUBSTITUTE(SUBSTITUTE(Клиенты_исходные!D979," ",""),"-",""),"+",""),"(",""),")",""),2,10),SUBSTITUTE(SUBSTITUTE(SUBSTITUTE(SUBSTITUTE(SUBSTITUTE(Клиенты_исходные!D979," ",""),"-",""),"+",""),"(",""),")","")),2,3)&amp;") "&amp;MID(IF(LEFT(SUBSTITUTE(SUBSTITUTE(SUBSTITUTE(SUBSTITUTE(SUBSTITUTE(Клиенты_исходные!D979," ",""),"-",""),"+",""),"(",""),")",""))="8","7"&amp;MID(SUBSTITUTE(SUBSTITUTE(SUBSTITUTE(SUBSTITUTE(SUBSTITUTE(Клиенты_исходные!D979," ",""),"-",""),"+",""),"(",""),")",""),2,10),SUBSTITUTE(SUBSTITUTE(SUBSTITUTE(SUBSTITUTE(SUBSTITUTE(Клиенты_исходные!D979," ",""),"-",""),"+",""),"(",""),")","")),5,3)&amp;"-"&amp;MID(IF(LEFT(SUBSTITUTE(SUBSTITUTE(SUBSTITUTE(SUBSTITUTE(SUBSTITUTE(Клиенты_исходные!D979," ",""),"-",""),"+",""),"(",""),")",""))="8","7"&amp;MID(SUBSTITUTE(SUBSTITUTE(SUBSTITUTE(SUBSTITUTE(SUBSTITUTE(Клиенты_исходные!D979," ",""),"-",""),"+",""),"(",""),")",""),2,10),SUBSTITUTE(SUBSTITUTE(SUBSTITUTE(SUBSTITUTE(SUBSTITUTE(Клиенты_исходные!D979," ",""),"-",""),"+",""),"(",""),")","")),8,2)&amp;"-"&amp;MID(IF(LEFT(SUBSTITUTE(SUBSTITUTE(SUBSTITUTE(SUBSTITUTE(SUBSTITUTE(Клиенты_исходные!D979," ",""),"-",""),"+",""),"(",""),")",""))="8","7"&amp;MID(SUBSTITUTE(SUBSTITUTE(SUBSTITUTE(SUBSTITUTE(SUBSTITUTE(Клиенты_исходные!D979," ",""),"-",""),"+",""),"(",""),")",""),2,10),SUBSTITUTE(SUBSTITUTE(SUBSTITUTE(SUBSTITUTE(SUBSTITUTE(Клиенты_исходные!D979," ",""),"-",""),"+",""),"(",""),")","")),10,2),IF(LEN(SUBSTITUTE(SUBSTITUTE(SUBSTITUTE(SUBSTITUTE(SUBSTITUTE(Клиенты_исходные!D979," ",""),"-",""),"+",""),"(",""),")",""))=10,"+7 ("&amp;MID(SUBSTITUTE(SUBSTITUTE(SUBSTITUTE(SUBSTITUTE(SUBSTITUTE(Клиенты_исходные!D979," ",""),"-",""),"+",""),"(",""),")",""),1,3)&amp;") "&amp;MID(SUBSTITUTE(SUBSTITUTE(SUBSTITUTE(SUBSTITUTE(SUBSTITUTE(Клиенты_исходные!D979," ",""),"-",""),"+",""),"(",""),")",""),4,3)&amp;"-"&amp;MID(SUBSTITUTE(SUBSTITUTE(SUBSTITUTE(SUBSTITUTE(SUBSTITUTE(Клиенты_исходные!D979," ",""),"-",""),"+",""),"(",""),")",""),6,2)&amp;"-"&amp;MID(SUBSTITUTE(SUBSTITUTE(SUBSTITUTE(SUBSTITUTE(SUBSTITUTE(Клиенты_исходные!D979," ",""),"-",""),"+",""),"(",""),")",""),8,2),Клиенты_исходные!D979)))</f>
        <v xml:space="preserve">+7 (903) 234-56-78</v>
      </c>
      <c r="E979" t="str">
        <f>IF(ISBLANK(Клиенты_исходные!E979),"",IF(ISNUMBER(FIND(".",MID(Клиенты_исходные!E979,FIND("@",Клиенты_исходные!E979)+1,255))),Клиенты_исходные!E979,IF(ISNUMBER(FIND("gmail",Клиенты_исходные!E979)),Клиенты_исходные!E979&amp;".com",Клиенты_исходные!E979&amp;".ru")))</f>
        <v>prosvirnin@gmail.com</v>
      </c>
      <c r="F979" t="str">
        <f>IFERROR(VLOOKUP(Клиенты_исходные!F979,Справочники!$J$2:$K$50,2,FALSE),Клиенты_исходные!F979)</f>
        <v>Уссурийск</v>
      </c>
      <c r="G979" s="8">
        <f>IFERROR(IF(ISNUMBER(FIND(".",Клиенты_исходные!G979)),DATE(RIGHT(Клиенты_исходные!G979,4),MID(Клиенты_исходные!G979,4,2),LEFT(Клиенты_исходные!G979,2)),DATE(LEFT(Клиенты_исходные!G979,4),MID(Клиенты_исходные!G979,6,2),RIGHT(Клиенты_исходные!G979,2))),Клиенты_исходные!G979)</f>
        <v>54464</v>
      </c>
      <c r="H979">
        <f t="shared" ca="1" si="91"/>
        <v>52</v>
      </c>
      <c r="I979" t="str">
        <f t="shared" si="92"/>
        <v>OK</v>
      </c>
      <c r="J979" t="str">
        <f t="shared" si="93"/>
        <v>OK</v>
      </c>
    </row>
    <row r="980">
      <c r="A980" t="str">
        <f>Клиенты_исходные!A980</f>
        <v>C0979</v>
      </c>
      <c r="B980" t="str">
        <f>PROPER(TRIM(Клиенты_исходные!B980))</f>
        <v xml:space="preserve">Анищенко Мария Павловна</v>
      </c>
      <c r="C980" s="8">
        <f>IFERROR(IF(ISNUMBER(FIND(".",Клиенты_исходные!C980)),DATE(RIGHT(Клиенты_исходные!C980,4),MID(Клиенты_исходные!C980,4,2),LEFT(Клиенты_исходные!C980,2)),DATE(LEFT(Клиенты_исходные!C980,4),MID(Клиенты_исходные!C980,6,2),RIGHT(Клиенты_исходные!C980,2))),Клиенты_исходные!C980)</f>
        <v>31649</v>
      </c>
      <c r="D980" t="str">
        <f>IF(ISBLANK(Клиенты_исходные!D980),"",IF(LEN(SUBSTITUTE(SUBSTITUTE(SUBSTITUTE(SUBSTITUTE(SUBSTITUTE(Клиенты_исходные!D980," ",""),"-",""),"+",""),"(",""),")",""))=11,"+7 ("&amp;MID(IF(LEFT(SUBSTITUTE(SUBSTITUTE(SUBSTITUTE(SUBSTITUTE(SUBSTITUTE(Клиенты_исходные!D980," ",""),"-",""),"+",""),"(",""),")",""))="8","7"&amp;MID(SUBSTITUTE(SUBSTITUTE(SUBSTITUTE(SUBSTITUTE(SUBSTITUTE(Клиенты_исходные!D980," ",""),"-",""),"+",""),"(",""),")",""),2,10),SUBSTITUTE(SUBSTITUTE(SUBSTITUTE(SUBSTITUTE(SUBSTITUTE(Клиенты_исходные!D980," ",""),"-",""),"+",""),"(",""),")","")),2,3)&amp;") "&amp;MID(IF(LEFT(SUBSTITUTE(SUBSTITUTE(SUBSTITUTE(SUBSTITUTE(SUBSTITUTE(Клиенты_исходные!D980," ",""),"-",""),"+",""),"(",""),")",""))="8","7"&amp;MID(SUBSTITUTE(SUBSTITUTE(SUBSTITUTE(SUBSTITUTE(SUBSTITUTE(Клиенты_исходные!D980," ",""),"-",""),"+",""),"(",""),")",""),2,10),SUBSTITUTE(SUBSTITUTE(SUBSTITUTE(SUBSTITUTE(SUBSTITUTE(Клиенты_исходные!D980," ",""),"-",""),"+",""),"(",""),")","")),5,3)&amp;"-"&amp;MID(IF(LEFT(SUBSTITUTE(SUBSTITUTE(SUBSTITUTE(SUBSTITUTE(SUBSTITUTE(Клиенты_исходные!D980," ",""),"-",""),"+",""),"(",""),")",""))="8","7"&amp;MID(SUBSTITUTE(SUBSTITUTE(SUBSTITUTE(SUBSTITUTE(SUBSTITUTE(Клиенты_исходные!D980," ",""),"-",""),"+",""),"(",""),")",""),2,10),SUBSTITUTE(SUBSTITUTE(SUBSTITUTE(SUBSTITUTE(SUBSTITUTE(Клиенты_исходные!D980," ",""),"-",""),"+",""),"(",""),")","")),8,2)&amp;"-"&amp;MID(IF(LEFT(SUBSTITUTE(SUBSTITUTE(SUBSTITUTE(SUBSTITUTE(SUBSTITUTE(Клиенты_исходные!D980," ",""),"-",""),"+",""),"(",""),")",""))="8","7"&amp;MID(SUBSTITUTE(SUBSTITUTE(SUBSTITUTE(SUBSTITUTE(SUBSTITUTE(Клиенты_исходные!D980," ",""),"-",""),"+",""),"(",""),")",""),2,10),SUBSTITUTE(SUBSTITUTE(SUBSTITUTE(SUBSTITUTE(SUBSTITUTE(Клиенты_исходные!D980," ",""),"-",""),"+",""),"(",""),")","")),10,2),IF(LEN(SUBSTITUTE(SUBSTITUTE(SUBSTITUTE(SUBSTITUTE(SUBSTITUTE(Клиенты_исходные!D980," ",""),"-",""),"+",""),"(",""),")",""))=10,"+7 ("&amp;MID(SUBSTITUTE(SUBSTITUTE(SUBSTITUTE(SUBSTITUTE(SUBSTITUTE(Клиенты_исходные!D980," ",""),"-",""),"+",""),"(",""),")",""),1,3)&amp;") "&amp;MID(SUBSTITUTE(SUBSTITUTE(SUBSTITUTE(SUBSTITUTE(SUBSTITUTE(Клиенты_исходные!D980," ",""),"-",""),"+",""),"(",""),")",""),4,3)&amp;"-"&amp;MID(SUBSTITUTE(SUBSTITUTE(SUBSTITUTE(SUBSTITUTE(SUBSTITUTE(Клиенты_исходные!D980," ",""),"-",""),"+",""),"(",""),")",""),6,2)&amp;"-"&amp;MID(SUBSTITUTE(SUBSTITUTE(SUBSTITUTE(SUBSTITUTE(SUBSTITUTE(Клиенты_исходные!D980," ",""),"-",""),"+",""),"(",""),")",""),8,2),Клиенты_исходные!D980)))</f>
        <v xml:space="preserve">+7 (903) 234-56-78</v>
      </c>
      <c r="E980" t="str">
        <f>IF(ISBLANK(Клиенты_исходные!E980),"",IF(ISNUMBER(FIND(".",MID(Клиенты_исходные!E980,FIND("@",Клиенты_исходные!E980)+1,255))),Клиенты_исходные!E980,IF(ISNUMBER(FIND("gmail",Клиенты_исходные!E980)),Клиенты_исходные!E980&amp;".com",Клиенты_исходные!E980&amp;".ru")))</f>
        <v>anischenko@mail.ru</v>
      </c>
      <c r="F980" t="str">
        <f>IFERROR(VLOOKUP(Клиенты_исходные!F980,Справочники!$J$2:$K$50,2,FALSE),Клиенты_исходные!F980)</f>
        <v>Миасс</v>
      </c>
      <c r="G980" s="8">
        <f>IFERROR(IF(ISNUMBER(FIND(".",Клиенты_исходные!G980)),DATE(RIGHT(Клиенты_исходные!G980,4),MID(Клиенты_исходные!G980,4,2),LEFT(Клиенты_исходные!G980,2)),DATE(LEFT(Клиенты_исходные!G980,4),MID(Клиенты_исходные!G980,6,2),RIGHT(Клиенты_исходные!G980,2))),Клиенты_исходные!G980)</f>
        <v>54483</v>
      </c>
      <c r="H980">
        <f t="shared" ca="1" si="91"/>
        <v>40</v>
      </c>
      <c r="I980" t="str">
        <f t="shared" si="92"/>
        <v>OK</v>
      </c>
      <c r="J980" t="str">
        <f t="shared" si="93"/>
        <v>OK</v>
      </c>
    </row>
    <row r="981">
      <c r="A981" t="str">
        <f>Клиенты_исходные!A981</f>
        <v>C0980</v>
      </c>
      <c r="B981" t="str">
        <f>PROPER(TRIM(Клиенты_исходные!B981))</f>
        <v xml:space="preserve">Романенко Денис Викторович</v>
      </c>
      <c r="C981" s="8">
        <f>IFERROR(IF(ISNUMBER(FIND(".",Клиенты_исходные!C981)),DATE(RIGHT(Клиенты_исходные!C981,4),MID(Клиенты_исходные!C981,4,2),LEFT(Клиенты_исходные!C981,2)),DATE(LEFT(Клиенты_исходные!C981,4),MID(Клиенты_исходные!C981,6,2),RIGHT(Клиенты_исходные!C981,2))),Клиенты_исходные!C981)</f>
        <v>30382</v>
      </c>
      <c r="D981" t="str">
        <f>IF(ISBLANK(Клиенты_исходные!D981),"",IF(LEN(SUBSTITUTE(SUBSTITUTE(SUBSTITUTE(SUBSTITUTE(SUBSTITUTE(Клиенты_исходные!D981," ",""),"-",""),"+",""),"(",""),")",""))=11,"+7 ("&amp;MID(IF(LEFT(SUBSTITUTE(SUBSTITUTE(SUBSTITUTE(SUBSTITUTE(SUBSTITUTE(Клиенты_исходные!D981," ",""),"-",""),"+",""),"(",""),")",""))="8","7"&amp;MID(SUBSTITUTE(SUBSTITUTE(SUBSTITUTE(SUBSTITUTE(SUBSTITUTE(Клиенты_исходные!D981," ",""),"-",""),"+",""),"(",""),")",""),2,10),SUBSTITUTE(SUBSTITUTE(SUBSTITUTE(SUBSTITUTE(SUBSTITUTE(Клиенты_исходные!D981," ",""),"-",""),"+",""),"(",""),")","")),2,3)&amp;") "&amp;MID(IF(LEFT(SUBSTITUTE(SUBSTITUTE(SUBSTITUTE(SUBSTITUTE(SUBSTITUTE(Клиенты_исходные!D981," ",""),"-",""),"+",""),"(",""),")",""))="8","7"&amp;MID(SUBSTITUTE(SUBSTITUTE(SUBSTITUTE(SUBSTITUTE(SUBSTITUTE(Клиенты_исходные!D981," ",""),"-",""),"+",""),"(",""),")",""),2,10),SUBSTITUTE(SUBSTITUTE(SUBSTITUTE(SUBSTITUTE(SUBSTITUTE(Клиенты_исходные!D981," ",""),"-",""),"+",""),"(",""),")","")),5,3)&amp;"-"&amp;MID(IF(LEFT(SUBSTITUTE(SUBSTITUTE(SUBSTITUTE(SUBSTITUTE(SUBSTITUTE(Клиенты_исходные!D981," ",""),"-",""),"+",""),"(",""),")",""))="8","7"&amp;MID(SUBSTITUTE(SUBSTITUTE(SUBSTITUTE(SUBSTITUTE(SUBSTITUTE(Клиенты_исходные!D981," ",""),"-",""),"+",""),"(",""),")",""),2,10),SUBSTITUTE(SUBSTITUTE(SUBSTITUTE(SUBSTITUTE(SUBSTITUTE(Клиенты_исходные!D981," ",""),"-",""),"+",""),"(",""),")","")),8,2)&amp;"-"&amp;MID(IF(LEFT(SUBSTITUTE(SUBSTITUTE(SUBSTITUTE(SUBSTITUTE(SUBSTITUTE(Клиенты_исходные!D981," ",""),"-",""),"+",""),"(",""),")",""))="8","7"&amp;MID(SUBSTITUTE(SUBSTITUTE(SUBSTITUTE(SUBSTITUTE(SUBSTITUTE(Клиенты_исходные!D981," ",""),"-",""),"+",""),"(",""),")",""),2,10),SUBSTITUTE(SUBSTITUTE(SUBSTITUTE(SUBSTITUTE(SUBSTITUTE(Клиенты_исходные!D981," ",""),"-",""),"+",""),"(",""),")","")),10,2),IF(LEN(SUBSTITUTE(SUBSTITUTE(SUBSTITUTE(SUBSTITUTE(SUBSTITUTE(Клиенты_исходные!D981," ",""),"-",""),"+",""),"(",""),")",""))=10,"+7 ("&amp;MID(SUBSTITUTE(SUBSTITUTE(SUBSTITUTE(SUBSTITUTE(SUBSTITUTE(Клиенты_исходные!D981," ",""),"-",""),"+",""),"(",""),")",""),1,3)&amp;") "&amp;MID(SUBSTITUTE(SUBSTITUTE(SUBSTITUTE(SUBSTITUTE(SUBSTITUTE(Клиенты_исходные!D981," ",""),"-",""),"+",""),"(",""),")",""),4,3)&amp;"-"&amp;MID(SUBSTITUTE(SUBSTITUTE(SUBSTITUTE(SUBSTITUTE(SUBSTITUTE(Клиенты_исходные!D981," ",""),"-",""),"+",""),"(",""),")",""),6,2)&amp;"-"&amp;MID(SUBSTITUTE(SUBSTITUTE(SUBSTITUTE(SUBSTITUTE(SUBSTITUTE(Клиенты_исходные!D981," ",""),"-",""),"+",""),"(",""),")",""),8,2),Клиенты_исходные!D981)))</f>
        <v xml:space="preserve">+7 (903) 234-56-78</v>
      </c>
      <c r="E981" t="str">
        <f>IF(ISBLANK(Клиенты_исходные!E981),"",IF(ISNUMBER(FIND(".",MID(Клиенты_исходные!E981,FIND("@",Клиенты_исходные!E981)+1,255))),Клиенты_исходные!E981,IF(ISNUMBER(FIND("gmail",Клиенты_исходные!E981)),Клиенты_исходные!E981&amp;".com",Клиенты_исходные!E981&amp;".ru")))</f>
        <v>romanenko@yandex.ru</v>
      </c>
      <c r="F981" t="str">
        <f>IFERROR(VLOOKUP(Клиенты_исходные!F981,Справочники!$J$2:$K$50,2,FALSE),Клиенты_исходные!F981)</f>
        <v>Кызыл</v>
      </c>
      <c r="G981" s="8">
        <f>IFERROR(IF(ISNUMBER(FIND(".",Клиенты_исходные!G981)),DATE(RIGHT(Клиенты_исходные!G981,4),MID(Клиенты_исходные!G981,4,2),LEFT(Клиенты_исходные!G981,2)),DATE(LEFT(Клиенты_исходные!G981,4),MID(Клиенты_исходные!G981,6,2),RIGHT(Клиенты_исходные!G981,2))),Клиенты_исходные!G981)</f>
        <v>54497</v>
      </c>
      <c r="H981">
        <f t="shared" ca="1" si="91"/>
        <v>43</v>
      </c>
      <c r="I981" t="str">
        <f t="shared" si="92"/>
        <v>OK</v>
      </c>
      <c r="J981" t="str">
        <f t="shared" si="93"/>
        <v>OK</v>
      </c>
    </row>
    <row r="982">
      <c r="A982" t="str">
        <f>Клиенты_исходные!A982</f>
        <v>C0981</v>
      </c>
      <c r="B982" t="str">
        <f>PROPER(TRIM(Клиенты_исходные!B982))</f>
        <v xml:space="preserve">Сергеева Ольга Сергеевна</v>
      </c>
      <c r="C982" s="8">
        <f>IFERROR(IF(ISNUMBER(FIND(".",Клиенты_исходные!C982)),DATE(RIGHT(Клиенты_исходные!C982,4),MID(Клиенты_исходные!C982,4,2),LEFT(Клиенты_исходные!C982,2)),DATE(LEFT(Клиенты_исходные!C982,4),MID(Клиенты_исходные!C982,6,2),RIGHT(Клиенты_исходные!C982,2))),Клиенты_исходные!C982)</f>
        <v>33583</v>
      </c>
      <c r="D982" t="str">
        <f>IF(ISBLANK(Клиенты_исходные!D982),"",IF(LEN(SUBSTITUTE(SUBSTITUTE(SUBSTITUTE(SUBSTITUTE(SUBSTITUTE(Клиенты_исходные!D982," ",""),"-",""),"+",""),"(",""),")",""))=11,"+7 ("&amp;MID(IF(LEFT(SUBSTITUTE(SUBSTITUTE(SUBSTITUTE(SUBSTITUTE(SUBSTITUTE(Клиенты_исходные!D982," ",""),"-",""),"+",""),"(",""),")",""))="8","7"&amp;MID(SUBSTITUTE(SUBSTITUTE(SUBSTITUTE(SUBSTITUTE(SUBSTITUTE(Клиенты_исходные!D982," ",""),"-",""),"+",""),"(",""),")",""),2,10),SUBSTITUTE(SUBSTITUTE(SUBSTITUTE(SUBSTITUTE(SUBSTITUTE(Клиенты_исходные!D982," ",""),"-",""),"+",""),"(",""),")","")),2,3)&amp;") "&amp;MID(IF(LEFT(SUBSTITUTE(SUBSTITUTE(SUBSTITUTE(SUBSTITUTE(SUBSTITUTE(Клиенты_исходные!D982," ",""),"-",""),"+",""),"(",""),")",""))="8","7"&amp;MID(SUBSTITUTE(SUBSTITUTE(SUBSTITUTE(SUBSTITUTE(SUBSTITUTE(Клиенты_исходные!D982," ",""),"-",""),"+",""),"(",""),")",""),2,10),SUBSTITUTE(SUBSTITUTE(SUBSTITUTE(SUBSTITUTE(SUBSTITUTE(Клиенты_исходные!D982," ",""),"-",""),"+",""),"(",""),")","")),5,3)&amp;"-"&amp;MID(IF(LEFT(SUBSTITUTE(SUBSTITUTE(SUBSTITUTE(SUBSTITUTE(SUBSTITUTE(Клиенты_исходные!D982," ",""),"-",""),"+",""),"(",""),")",""))="8","7"&amp;MID(SUBSTITUTE(SUBSTITUTE(SUBSTITUTE(SUBSTITUTE(SUBSTITUTE(Клиенты_исходные!D982," ",""),"-",""),"+",""),"(",""),")",""),2,10),SUBSTITUTE(SUBSTITUTE(SUBSTITUTE(SUBSTITUTE(SUBSTITUTE(Клиенты_исходные!D982," ",""),"-",""),"+",""),"(",""),")","")),8,2)&amp;"-"&amp;MID(IF(LEFT(SUBSTITUTE(SUBSTITUTE(SUBSTITUTE(SUBSTITUTE(SUBSTITUTE(Клиенты_исходные!D982," ",""),"-",""),"+",""),"(",""),")",""))="8","7"&amp;MID(SUBSTITUTE(SUBSTITUTE(SUBSTITUTE(SUBSTITUTE(SUBSTITUTE(Клиенты_исходные!D982," ",""),"-",""),"+",""),"(",""),")",""),2,10),SUBSTITUTE(SUBSTITUTE(SUBSTITUTE(SUBSTITUTE(SUBSTITUTE(Клиенты_исходные!D982," ",""),"-",""),"+",""),"(",""),")","")),10,2),IF(LEN(SUBSTITUTE(SUBSTITUTE(SUBSTITUTE(SUBSTITUTE(SUBSTITUTE(Клиенты_исходные!D982," ",""),"-",""),"+",""),"(",""),")",""))=10,"+7 ("&amp;MID(SUBSTITUTE(SUBSTITUTE(SUBSTITUTE(SUBSTITUTE(SUBSTITUTE(Клиенты_исходные!D982," ",""),"-",""),"+",""),"(",""),")",""),1,3)&amp;") "&amp;MID(SUBSTITUTE(SUBSTITUTE(SUBSTITUTE(SUBSTITUTE(SUBSTITUTE(Клиенты_исходные!D982," ",""),"-",""),"+",""),"(",""),")",""),4,3)&amp;"-"&amp;MID(SUBSTITUTE(SUBSTITUTE(SUBSTITUTE(SUBSTITUTE(SUBSTITUTE(Клиенты_исходные!D982," ",""),"-",""),"+",""),"(",""),")",""),6,2)&amp;"-"&amp;MID(SUBSTITUTE(SUBSTITUTE(SUBSTITUTE(SUBSTITUTE(SUBSTITUTE(Клиенты_исходные!D982," ",""),"-",""),"+",""),"(",""),")",""),8,2),Клиенты_исходные!D982)))</f>
        <v xml:space="preserve">+7 (903) 345-67-89</v>
      </c>
      <c r="E982" t="str">
        <f>IF(ISBLANK(Клиенты_исходные!E982),"",IF(ISNUMBER(FIND(".",MID(Клиенты_исходные!E982,FIND("@",Клиенты_исходные!E982)+1,255))),Клиенты_исходные!E982,IF(ISNUMBER(FIND("gmail",Клиенты_исходные!E982)),Клиенты_исходные!E982&amp;".com",Клиенты_исходные!E982&amp;".ru")))</f>
        <v>sergeeva@gmail.com</v>
      </c>
      <c r="F982" t="str">
        <f>IFERROR(VLOOKUP(Клиенты_исходные!F982,Справочники!$J$2:$K$50,2,FALSE),Клиенты_исходные!F982)</f>
        <v>Калининград</v>
      </c>
      <c r="G982" s="8">
        <f>IFERROR(IF(ISNUMBER(FIND(".",Клиенты_исходные!G982)),DATE(RIGHT(Клиенты_исходные!G982,4),MID(Клиенты_исходные!G982,4,2),LEFT(Клиенты_исходные!G982,2)),DATE(LEFT(Клиенты_исходные!G982,4),MID(Клиенты_исходные!G982,6,2),RIGHT(Клиенты_исходные!G982,2))),Клиенты_исходные!G982)</f>
        <v>54497</v>
      </c>
      <c r="H982">
        <f t="shared" ca="1" si="91"/>
        <v>34</v>
      </c>
      <c r="I982" t="str">
        <f t="shared" si="92"/>
        <v>OK</v>
      </c>
      <c r="J982" t="str">
        <f t="shared" si="93"/>
        <v>OK</v>
      </c>
    </row>
    <row r="983">
      <c r="A983" t="str">
        <f>Клиенты_исходные!A983</f>
        <v>C0982</v>
      </c>
      <c r="B983" t="str">
        <f>PROPER(TRIM(Клиенты_исходные!B983))</f>
        <v xml:space="preserve">Долгов Андрей Олегович</v>
      </c>
      <c r="C983" s="8">
        <f>IFERROR(IF(ISNUMBER(FIND(".",Клиенты_исходные!C983)),DATE(RIGHT(Клиенты_исходные!C983,4),MID(Клиенты_исходные!C983,4,2),LEFT(Клиенты_исходные!C983,2)),DATE(LEFT(Клиенты_исходные!C983,4),MID(Клиенты_исходные!C983,6,2),RIGHT(Клиенты_исходные!C983,2))),Клиенты_исходные!C983)</f>
        <v>27879</v>
      </c>
      <c r="D983" t="str">
        <f>IF(ISBLANK(Клиенты_исходные!D983),"",IF(LEN(SUBSTITUTE(SUBSTITUTE(SUBSTITUTE(SUBSTITUTE(SUBSTITUTE(Клиенты_исходные!D983," ",""),"-",""),"+",""),"(",""),")",""))=11,"+7 ("&amp;MID(IF(LEFT(SUBSTITUTE(SUBSTITUTE(SUBSTITUTE(SUBSTITUTE(SUBSTITUTE(Клиенты_исходные!D983," ",""),"-",""),"+",""),"(",""),")",""))="8","7"&amp;MID(SUBSTITUTE(SUBSTITUTE(SUBSTITUTE(SUBSTITUTE(SUBSTITUTE(Клиенты_исходные!D983," ",""),"-",""),"+",""),"(",""),")",""),2,10),SUBSTITUTE(SUBSTITUTE(SUBSTITUTE(SUBSTITUTE(SUBSTITUTE(Клиенты_исходные!D983," ",""),"-",""),"+",""),"(",""),")","")),2,3)&amp;") "&amp;MID(IF(LEFT(SUBSTITUTE(SUBSTITUTE(SUBSTITUTE(SUBSTITUTE(SUBSTITUTE(Клиенты_исходные!D983," ",""),"-",""),"+",""),"(",""),")",""))="8","7"&amp;MID(SUBSTITUTE(SUBSTITUTE(SUBSTITUTE(SUBSTITUTE(SUBSTITUTE(Клиенты_исходные!D983," ",""),"-",""),"+",""),"(",""),")",""),2,10),SUBSTITUTE(SUBSTITUTE(SUBSTITUTE(SUBSTITUTE(SUBSTITUTE(Клиенты_исходные!D983," ",""),"-",""),"+",""),"(",""),")","")),5,3)&amp;"-"&amp;MID(IF(LEFT(SUBSTITUTE(SUBSTITUTE(SUBSTITUTE(SUBSTITUTE(SUBSTITUTE(Клиенты_исходные!D983," ",""),"-",""),"+",""),"(",""),")",""))="8","7"&amp;MID(SUBSTITUTE(SUBSTITUTE(SUBSTITUTE(SUBSTITUTE(SUBSTITUTE(Клиенты_исходные!D983," ",""),"-",""),"+",""),"(",""),")",""),2,10),SUBSTITUTE(SUBSTITUTE(SUBSTITUTE(SUBSTITUTE(SUBSTITUTE(Клиенты_исходные!D983," ",""),"-",""),"+",""),"(",""),")","")),8,2)&amp;"-"&amp;MID(IF(LEFT(SUBSTITUTE(SUBSTITUTE(SUBSTITUTE(SUBSTITUTE(SUBSTITUTE(Клиенты_исходные!D983," ",""),"-",""),"+",""),"(",""),")",""))="8","7"&amp;MID(SUBSTITUTE(SUBSTITUTE(SUBSTITUTE(SUBSTITUTE(SUBSTITUTE(Клиенты_исходные!D983," ",""),"-",""),"+",""),"(",""),")",""),2,10),SUBSTITUTE(SUBSTITUTE(SUBSTITUTE(SUBSTITUTE(SUBSTITUTE(Клиенты_исходные!D983," ",""),"-",""),"+",""),"(",""),")","")),10,2),IF(LEN(SUBSTITUTE(SUBSTITUTE(SUBSTITUTE(SUBSTITUTE(SUBSTITUTE(Клиенты_исходные!D983," ",""),"-",""),"+",""),"(",""),")",""))=10,"+7 ("&amp;MID(SUBSTITUTE(SUBSTITUTE(SUBSTITUTE(SUBSTITUTE(SUBSTITUTE(Клиенты_исходные!D983," ",""),"-",""),"+",""),"(",""),")",""),1,3)&amp;") "&amp;MID(SUBSTITUTE(SUBSTITUTE(SUBSTITUTE(SUBSTITUTE(SUBSTITUTE(Клиенты_исходные!D983," ",""),"-",""),"+",""),"(",""),")",""),4,3)&amp;"-"&amp;MID(SUBSTITUTE(SUBSTITUTE(SUBSTITUTE(SUBSTITUTE(SUBSTITUTE(Клиенты_исходные!D983," ",""),"-",""),"+",""),"(",""),")",""),6,2)&amp;"-"&amp;MID(SUBSTITUTE(SUBSTITUTE(SUBSTITUTE(SUBSTITUTE(SUBSTITUTE(Клиенты_исходные!D983," ",""),"-",""),"+",""),"(",""),")",""),8,2),Клиенты_исходные!D983)))</f>
        <v xml:space="preserve">+7 (903) 345-67-89</v>
      </c>
      <c r="E983" t="str">
        <f>IF(ISBLANK(Клиенты_исходные!E983),"",IF(ISNUMBER(FIND(".",MID(Клиенты_исходные!E983,FIND("@",Клиенты_исходные!E983)+1,255))),Клиенты_исходные!E983,IF(ISNUMBER(FIND("gmail",Клиенты_исходные!E983)),Клиенты_исходные!E983&amp;".com",Клиенты_исходные!E983&amp;".ru")))</f>
        <v>dolgov@mail.ru</v>
      </c>
      <c r="F983" t="str">
        <f>IFERROR(VLOOKUP(Клиенты_исходные!F983,Справочники!$J$2:$K$50,2,FALSE),Клиенты_исходные!F983)</f>
        <v>Петрозаводск</v>
      </c>
      <c r="G983" s="8">
        <f>IFERROR(IF(ISNUMBER(FIND(".",Клиенты_исходные!G983)),DATE(RIGHT(Клиенты_исходные!G983,4),MID(Клиенты_исходные!G983,4,2),LEFT(Клиенты_исходные!G983,2)),DATE(LEFT(Клиенты_исходные!G983,4),MID(Клиенты_исходные!G983,6,2),RIGHT(Клиенты_исходные!G983,2))),Клиенты_исходные!G983)</f>
        <v>54514</v>
      </c>
      <c r="H983">
        <f t="shared" ca="1" si="91"/>
        <v>50</v>
      </c>
      <c r="I983" t="str">
        <f t="shared" si="92"/>
        <v>OK</v>
      </c>
      <c r="J983" t="str">
        <f t="shared" si="93"/>
        <v>OK</v>
      </c>
    </row>
    <row r="984">
      <c r="A984" t="str">
        <f>Клиенты_исходные!A984</f>
        <v>C0983</v>
      </c>
      <c r="B984" t="str">
        <f>PROPER(TRIM(Клиенты_исходные!B984))</f>
        <v xml:space="preserve">Костина Екатерина Владимировна</v>
      </c>
      <c r="C984" s="8">
        <f>IFERROR(IF(ISNUMBER(FIND(".",Клиенты_исходные!C984)),DATE(RIGHT(Клиенты_исходные!C984,4),MID(Клиенты_исходные!C984,4,2),LEFT(Клиенты_исходные!C984,2)),DATE(LEFT(Клиенты_исходные!C984,4),MID(Клиенты_исходные!C984,6,2),RIGHT(Клиенты_исходные!C984,2))),Клиенты_исходные!C984)</f>
        <v>30240</v>
      </c>
      <c r="D984" t="str">
        <f>IF(ISBLANK(Клиенты_исходные!D984),"",IF(LEN(SUBSTITUTE(SUBSTITUTE(SUBSTITUTE(SUBSTITUTE(SUBSTITUTE(Клиенты_исходные!D984," ",""),"-",""),"+",""),"(",""),")",""))=11,"+7 ("&amp;MID(IF(LEFT(SUBSTITUTE(SUBSTITUTE(SUBSTITUTE(SUBSTITUTE(SUBSTITUTE(Клиенты_исходные!D984," ",""),"-",""),"+",""),"(",""),")",""))="8","7"&amp;MID(SUBSTITUTE(SUBSTITUTE(SUBSTITUTE(SUBSTITUTE(SUBSTITUTE(Клиенты_исходные!D984," ",""),"-",""),"+",""),"(",""),")",""),2,10),SUBSTITUTE(SUBSTITUTE(SUBSTITUTE(SUBSTITUTE(SUBSTITUTE(Клиенты_исходные!D984," ",""),"-",""),"+",""),"(",""),")","")),2,3)&amp;") "&amp;MID(IF(LEFT(SUBSTITUTE(SUBSTITUTE(SUBSTITUTE(SUBSTITUTE(SUBSTITUTE(Клиенты_исходные!D984," ",""),"-",""),"+",""),"(",""),")",""))="8","7"&amp;MID(SUBSTITUTE(SUBSTITUTE(SUBSTITUTE(SUBSTITUTE(SUBSTITUTE(Клиенты_исходные!D984," ",""),"-",""),"+",""),"(",""),")",""),2,10),SUBSTITUTE(SUBSTITUTE(SUBSTITUTE(SUBSTITUTE(SUBSTITUTE(Клиенты_исходные!D984," ",""),"-",""),"+",""),"(",""),")","")),5,3)&amp;"-"&amp;MID(IF(LEFT(SUBSTITUTE(SUBSTITUTE(SUBSTITUTE(SUBSTITUTE(SUBSTITUTE(Клиенты_исходные!D984," ",""),"-",""),"+",""),"(",""),")",""))="8","7"&amp;MID(SUBSTITUTE(SUBSTITUTE(SUBSTITUTE(SUBSTITUTE(SUBSTITUTE(Клиенты_исходные!D984," ",""),"-",""),"+",""),"(",""),")",""),2,10),SUBSTITUTE(SUBSTITUTE(SUBSTITUTE(SUBSTITUTE(SUBSTITUTE(Клиенты_исходные!D984," ",""),"-",""),"+",""),"(",""),")","")),8,2)&amp;"-"&amp;MID(IF(LEFT(SUBSTITUTE(SUBSTITUTE(SUBSTITUTE(SUBSTITUTE(SUBSTITUTE(Клиенты_исходные!D984," ",""),"-",""),"+",""),"(",""),")",""))="8","7"&amp;MID(SUBSTITUTE(SUBSTITUTE(SUBSTITUTE(SUBSTITUTE(SUBSTITUTE(Клиенты_исходные!D984," ",""),"-",""),"+",""),"(",""),")",""),2,10),SUBSTITUTE(SUBSTITUTE(SUBSTITUTE(SUBSTITUTE(SUBSTITUTE(Клиенты_исходные!D984," ",""),"-",""),"+",""),"(",""),")","")),10,2),IF(LEN(SUBSTITUTE(SUBSTITUTE(SUBSTITUTE(SUBSTITUTE(SUBSTITUTE(Клиенты_исходные!D984," ",""),"-",""),"+",""),"(",""),")",""))=10,"+7 ("&amp;MID(SUBSTITUTE(SUBSTITUTE(SUBSTITUTE(SUBSTITUTE(SUBSTITUTE(Клиенты_исходные!D984," ",""),"-",""),"+",""),"(",""),")",""),1,3)&amp;") "&amp;MID(SUBSTITUTE(SUBSTITUTE(SUBSTITUTE(SUBSTITUTE(SUBSTITUTE(Клиенты_исходные!D984," ",""),"-",""),"+",""),"(",""),")",""),4,3)&amp;"-"&amp;MID(SUBSTITUTE(SUBSTITUTE(SUBSTITUTE(SUBSTITUTE(SUBSTITUTE(Клиенты_исходные!D984," ",""),"-",""),"+",""),"(",""),")",""),6,2)&amp;"-"&amp;MID(SUBSTITUTE(SUBSTITUTE(SUBSTITUTE(SUBSTITUTE(SUBSTITUTE(Клиенты_исходные!D984," ",""),"-",""),"+",""),"(",""),")",""),8,2),Клиенты_исходные!D984)))</f>
        <v xml:space="preserve">+7 (903) 345-67-89</v>
      </c>
      <c r="E984" t="str">
        <f>IF(ISBLANK(Клиенты_исходные!E984),"",IF(ISNUMBER(FIND(".",MID(Клиенты_исходные!E984,FIND("@",Клиенты_исходные!E984)+1,255))),Клиенты_исходные!E984,IF(ISNUMBER(FIND("gmail",Клиенты_исходные!E984)),Клиенты_исходные!E984&amp;".com",Клиенты_исходные!E984&amp;".ru")))</f>
        <v>kostina@yandex.ru</v>
      </c>
      <c r="F984" t="str">
        <f>IFERROR(VLOOKUP(Клиенты_исходные!F984,Справочники!$J$2:$K$50,2,FALSE),Клиенты_исходные!F984)</f>
        <v>Рубцовск</v>
      </c>
      <c r="G984" s="8">
        <f>IFERROR(IF(ISNUMBER(FIND(".",Клиенты_исходные!G984)),DATE(RIGHT(Клиенты_исходные!G984,4),MID(Клиенты_исходные!G984,4,2),LEFT(Клиенты_исходные!G984,2)),DATE(LEFT(Клиенты_исходные!G984,4),MID(Клиенты_исходные!G984,6,2),RIGHT(Клиенты_исходные!G984,2))),Клиенты_исходные!G984)</f>
        <v>54523</v>
      </c>
      <c r="H984">
        <f t="shared" ca="1" si="91"/>
        <v>43</v>
      </c>
      <c r="I984" t="str">
        <f t="shared" si="92"/>
        <v>OK</v>
      </c>
      <c r="J984" t="str">
        <f t="shared" si="93"/>
        <v>OK</v>
      </c>
    </row>
    <row r="985">
      <c r="A985" t="str">
        <f>Клиенты_исходные!A985</f>
        <v>C0984</v>
      </c>
      <c r="B985" t="str">
        <f>PROPER(TRIM(Клиенты_исходные!B985))</f>
        <v xml:space="preserve">Скворцов Илья Александрович</v>
      </c>
      <c r="C985" s="8">
        <f>IFERROR(IF(ISNUMBER(FIND(".",Клиенты_исходные!C985)),DATE(RIGHT(Клиенты_исходные!C985,4),MID(Клиенты_исходные!C985,4,2),LEFT(Клиенты_исходные!C985,2)),DATE(LEFT(Клиенты_исходные!C985,4),MID(Клиенты_исходные!C985,6,2),RIGHT(Клиенты_исходные!C985,2))),Клиенты_исходные!C985)</f>
        <v>32728</v>
      </c>
      <c r="D985" t="str">
        <f>IF(ISBLANK(Клиенты_исходные!D985),"",IF(LEN(SUBSTITUTE(SUBSTITUTE(SUBSTITUTE(SUBSTITUTE(SUBSTITUTE(Клиенты_исходные!D985," ",""),"-",""),"+",""),"(",""),")",""))=11,"+7 ("&amp;MID(IF(LEFT(SUBSTITUTE(SUBSTITUTE(SUBSTITUTE(SUBSTITUTE(SUBSTITUTE(Клиенты_исходные!D985," ",""),"-",""),"+",""),"(",""),")",""))="8","7"&amp;MID(SUBSTITUTE(SUBSTITUTE(SUBSTITUTE(SUBSTITUTE(SUBSTITUTE(Клиенты_исходные!D985," ",""),"-",""),"+",""),"(",""),")",""),2,10),SUBSTITUTE(SUBSTITUTE(SUBSTITUTE(SUBSTITUTE(SUBSTITUTE(Клиенты_исходные!D985," ",""),"-",""),"+",""),"(",""),")","")),2,3)&amp;") "&amp;MID(IF(LEFT(SUBSTITUTE(SUBSTITUTE(SUBSTITUTE(SUBSTITUTE(SUBSTITUTE(Клиенты_исходные!D985," ",""),"-",""),"+",""),"(",""),")",""))="8","7"&amp;MID(SUBSTITUTE(SUBSTITUTE(SUBSTITUTE(SUBSTITUTE(SUBSTITUTE(Клиенты_исходные!D985," ",""),"-",""),"+",""),"(",""),")",""),2,10),SUBSTITUTE(SUBSTITUTE(SUBSTITUTE(SUBSTITUTE(SUBSTITUTE(Клиенты_исходные!D985," ",""),"-",""),"+",""),"(",""),")","")),5,3)&amp;"-"&amp;MID(IF(LEFT(SUBSTITUTE(SUBSTITUTE(SUBSTITUTE(SUBSTITUTE(SUBSTITUTE(Клиенты_исходные!D985," ",""),"-",""),"+",""),"(",""),")",""))="8","7"&amp;MID(SUBSTITUTE(SUBSTITUTE(SUBSTITUTE(SUBSTITUTE(SUBSTITUTE(Клиенты_исходные!D985," ",""),"-",""),"+",""),"(",""),")",""),2,10),SUBSTITUTE(SUBSTITUTE(SUBSTITUTE(SUBSTITUTE(SUBSTITUTE(Клиенты_исходные!D985," ",""),"-",""),"+",""),"(",""),")","")),8,2)&amp;"-"&amp;MID(IF(LEFT(SUBSTITUTE(SUBSTITUTE(SUBSTITUTE(SUBSTITUTE(SUBSTITUTE(Клиенты_исходные!D985," ",""),"-",""),"+",""),"(",""),")",""))="8","7"&amp;MID(SUBSTITUTE(SUBSTITUTE(SUBSTITUTE(SUBSTITUTE(SUBSTITUTE(Клиенты_исходные!D985," ",""),"-",""),"+",""),"(",""),")",""),2,10),SUBSTITUTE(SUBSTITUTE(SUBSTITUTE(SUBSTITUTE(SUBSTITUTE(Клиенты_исходные!D985," ",""),"-",""),"+",""),"(",""),")","")),10,2),IF(LEN(SUBSTITUTE(SUBSTITUTE(SUBSTITUTE(SUBSTITUTE(SUBSTITUTE(Клиенты_исходные!D985," ",""),"-",""),"+",""),"(",""),")",""))=10,"+7 ("&amp;MID(SUBSTITUTE(SUBSTITUTE(SUBSTITUTE(SUBSTITUTE(SUBSTITUTE(Клиенты_исходные!D985," ",""),"-",""),"+",""),"(",""),")",""),1,3)&amp;") "&amp;MID(SUBSTITUTE(SUBSTITUTE(SUBSTITUTE(SUBSTITUTE(SUBSTITUTE(Клиенты_исходные!D985," ",""),"-",""),"+",""),"(",""),")",""),4,3)&amp;"-"&amp;MID(SUBSTITUTE(SUBSTITUTE(SUBSTITUTE(SUBSTITUTE(SUBSTITUTE(Клиенты_исходные!D985," ",""),"-",""),"+",""),"(",""),")",""),6,2)&amp;"-"&amp;MID(SUBSTITUTE(SUBSTITUTE(SUBSTITUTE(SUBSTITUTE(SUBSTITUTE(Клиенты_исходные!D985," ",""),"-",""),"+",""),"(",""),")",""),8,2),Клиенты_исходные!D985)))</f>
        <v xml:space="preserve">+7 (903) 456-78-90</v>
      </c>
      <c r="E985" t="str">
        <f>IF(ISBLANK(Клиенты_исходные!E985),"",IF(ISNUMBER(FIND(".",MID(Клиенты_исходные!E985,FIND("@",Клиенты_исходные!E985)+1,255))),Клиенты_исходные!E985,IF(ISNUMBER(FIND("gmail",Клиенты_исходные!E985)),Клиенты_исходные!E985&amp;".com",Клиенты_исходные!E985&amp;".ru")))</f>
        <v>skvortsov@gmail.com</v>
      </c>
      <c r="F985" t="str">
        <f>IFERROR(VLOOKUP(Клиенты_исходные!F985,Справочники!$J$2:$K$50,2,FALSE),Клиенты_исходные!F985)</f>
        <v>Элиста</v>
      </c>
      <c r="G985" s="8">
        <f>IFERROR(IF(ISNUMBER(FIND(".",Клиенты_исходные!G985)),DATE(RIGHT(Клиенты_исходные!G985,4),MID(Клиенты_исходные!G985,4,2),LEFT(Клиенты_исходные!G985,2)),DATE(LEFT(Клиенты_исходные!G985,4),MID(Клиенты_исходные!G985,6,2),RIGHT(Клиенты_исходные!G985,2))),Клиенты_исходные!G985)</f>
        <v>54523</v>
      </c>
      <c r="H985">
        <f t="shared" ca="1" si="91"/>
        <v>37</v>
      </c>
      <c r="I985" t="str">
        <f t="shared" si="92"/>
        <v>OK</v>
      </c>
      <c r="J985" t="str">
        <f t="shared" si="93"/>
        <v>OK</v>
      </c>
    </row>
    <row r="986">
      <c r="A986" t="str">
        <f>Клиенты_исходные!A986</f>
        <v>C0985</v>
      </c>
      <c r="B986" t="str">
        <f>PROPER(TRIM(Клиенты_исходные!B986))</f>
        <v xml:space="preserve">Копылова Мария Павловна</v>
      </c>
      <c r="C986" s="8">
        <f>IFERROR(IF(ISNUMBER(FIND(".",Клиенты_исходные!C986)),DATE(RIGHT(Клиенты_исходные!C986,4),MID(Клиенты_исходные!C986,4,2),LEFT(Клиенты_исходные!C986,2)),DATE(LEFT(Клиенты_исходные!C986,4),MID(Клиенты_исходные!C986,6,2),RIGHT(Клиенты_исходные!C986,2))),Клиенты_исходные!C986)</f>
        <v>27569</v>
      </c>
      <c r="D986" t="str">
        <f>IF(ISBLANK(Клиенты_исходные!D986),"",IF(LEN(SUBSTITUTE(SUBSTITUTE(SUBSTITUTE(SUBSTITUTE(SUBSTITUTE(Клиенты_исходные!D986," ",""),"-",""),"+",""),"(",""),")",""))=11,"+7 ("&amp;MID(IF(LEFT(SUBSTITUTE(SUBSTITUTE(SUBSTITUTE(SUBSTITUTE(SUBSTITUTE(Клиенты_исходные!D986," ",""),"-",""),"+",""),"(",""),")",""))="8","7"&amp;MID(SUBSTITUTE(SUBSTITUTE(SUBSTITUTE(SUBSTITUTE(SUBSTITUTE(Клиенты_исходные!D986," ",""),"-",""),"+",""),"(",""),")",""),2,10),SUBSTITUTE(SUBSTITUTE(SUBSTITUTE(SUBSTITUTE(SUBSTITUTE(Клиенты_исходные!D986," ",""),"-",""),"+",""),"(",""),")","")),2,3)&amp;") "&amp;MID(IF(LEFT(SUBSTITUTE(SUBSTITUTE(SUBSTITUTE(SUBSTITUTE(SUBSTITUTE(Клиенты_исходные!D986," ",""),"-",""),"+",""),"(",""),")",""))="8","7"&amp;MID(SUBSTITUTE(SUBSTITUTE(SUBSTITUTE(SUBSTITUTE(SUBSTITUTE(Клиенты_исходные!D986," ",""),"-",""),"+",""),"(",""),")",""),2,10),SUBSTITUTE(SUBSTITUTE(SUBSTITUTE(SUBSTITUTE(SUBSTITUTE(Клиенты_исходные!D986," ",""),"-",""),"+",""),"(",""),")","")),5,3)&amp;"-"&amp;MID(IF(LEFT(SUBSTITUTE(SUBSTITUTE(SUBSTITUTE(SUBSTITUTE(SUBSTITUTE(Клиенты_исходные!D986," ",""),"-",""),"+",""),"(",""),")",""))="8","7"&amp;MID(SUBSTITUTE(SUBSTITUTE(SUBSTITUTE(SUBSTITUTE(SUBSTITUTE(Клиенты_исходные!D986," ",""),"-",""),"+",""),"(",""),")",""),2,10),SUBSTITUTE(SUBSTITUTE(SUBSTITUTE(SUBSTITUTE(SUBSTITUTE(Клиенты_исходные!D986," ",""),"-",""),"+",""),"(",""),")","")),8,2)&amp;"-"&amp;MID(IF(LEFT(SUBSTITUTE(SUBSTITUTE(SUBSTITUTE(SUBSTITUTE(SUBSTITUTE(Клиенты_исходные!D986," ",""),"-",""),"+",""),"(",""),")",""))="8","7"&amp;MID(SUBSTITUTE(SUBSTITUTE(SUBSTITUTE(SUBSTITUTE(SUBSTITUTE(Клиенты_исходные!D986," ",""),"-",""),"+",""),"(",""),")",""),2,10),SUBSTITUTE(SUBSTITUTE(SUBSTITUTE(SUBSTITUTE(SUBSTITUTE(Клиенты_исходные!D986," ",""),"-",""),"+",""),"(",""),")","")),10,2),IF(LEN(SUBSTITUTE(SUBSTITUTE(SUBSTITUTE(SUBSTITUTE(SUBSTITUTE(Клиенты_исходные!D986," ",""),"-",""),"+",""),"(",""),")",""))=10,"+7 ("&amp;MID(SUBSTITUTE(SUBSTITUTE(SUBSTITUTE(SUBSTITUTE(SUBSTITUTE(Клиенты_исходные!D986," ",""),"-",""),"+",""),"(",""),")",""),1,3)&amp;") "&amp;MID(SUBSTITUTE(SUBSTITUTE(SUBSTITUTE(SUBSTITUTE(SUBSTITUTE(Клиенты_исходные!D986," ",""),"-",""),"+",""),"(",""),")",""),4,3)&amp;"-"&amp;MID(SUBSTITUTE(SUBSTITUTE(SUBSTITUTE(SUBSTITUTE(SUBSTITUTE(Клиенты_исходные!D986," ",""),"-",""),"+",""),"(",""),")",""),6,2)&amp;"-"&amp;MID(SUBSTITUTE(SUBSTITUTE(SUBSTITUTE(SUBSTITUTE(SUBSTITUTE(Клиенты_исходные!D986," ",""),"-",""),"+",""),"(",""),")",""),8,2),Клиенты_исходные!D986)))</f>
        <v xml:space="preserve">+7 (903) 456-78-90</v>
      </c>
      <c r="E986" t="str">
        <f>IF(ISBLANK(Клиенты_исходные!E986),"",IF(ISNUMBER(FIND(".",MID(Клиенты_исходные!E986,FIND("@",Клиенты_исходные!E986)+1,255))),Клиенты_исходные!E986,IF(ISNUMBER(FIND("gmail",Клиенты_исходные!E986)),Клиенты_исходные!E986&amp;".com",Клиенты_исходные!E986&amp;".ru")))</f>
        <v>kopylova@mail.ru</v>
      </c>
      <c r="F986" t="str">
        <f>IFERROR(VLOOKUP(Клиенты_исходные!F986,Справочники!$J$2:$K$50,2,FALSE),Клиенты_исходные!F986)</f>
        <v>Орск</v>
      </c>
      <c r="G986" s="8">
        <f>IFERROR(IF(ISNUMBER(FIND(".",Клиенты_исходные!G986)),DATE(RIGHT(Клиенты_исходные!G986,4),MID(Клиенты_исходные!G986,4,2),LEFT(Клиенты_исходные!G986,2)),DATE(LEFT(Клиенты_исходные!G986,4),MID(Клиенты_исходные!G986,6,2),RIGHT(Клиенты_исходные!G986,2))),Клиенты_исходные!G986)</f>
        <v>54544</v>
      </c>
      <c r="H986">
        <f t="shared" ca="1" si="91"/>
        <v>51</v>
      </c>
      <c r="I986" t="str">
        <f t="shared" si="92"/>
        <v>OK</v>
      </c>
      <c r="J986" t="str">
        <f t="shared" si="93"/>
        <v>OK</v>
      </c>
    </row>
    <row r="987">
      <c r="A987" t="str">
        <f>Клиенты_исходные!A987</f>
        <v>C0986</v>
      </c>
      <c r="B987" t="str">
        <f>PROPER(TRIM(Клиенты_исходные!B987))</f>
        <v xml:space="preserve">Харитонов Денис Сергеевич</v>
      </c>
      <c r="C987" s="8">
        <f>IFERROR(IF(ISNUMBER(FIND(".",Клиенты_исходные!C987)),DATE(RIGHT(Клиенты_исходные!C987,4),MID(Клиенты_исходные!C987,4,2),LEFT(Клиенты_исходные!C987,2)),DATE(LEFT(Клиенты_исходные!C987,4),MID(Клиенты_исходные!C987,6,2),RIGHT(Клиенты_исходные!C987,2))),Клиенты_исходные!C987)</f>
        <v>31425</v>
      </c>
      <c r="D987" t="str">
        <f>IF(ISBLANK(Клиенты_исходные!D987),"",IF(LEN(SUBSTITUTE(SUBSTITUTE(SUBSTITUTE(SUBSTITUTE(SUBSTITUTE(Клиенты_исходные!D987," ",""),"-",""),"+",""),"(",""),")",""))=11,"+7 ("&amp;MID(IF(LEFT(SUBSTITUTE(SUBSTITUTE(SUBSTITUTE(SUBSTITUTE(SUBSTITUTE(Клиенты_исходные!D987," ",""),"-",""),"+",""),"(",""),")",""))="8","7"&amp;MID(SUBSTITUTE(SUBSTITUTE(SUBSTITUTE(SUBSTITUTE(SUBSTITUTE(Клиенты_исходные!D987," ",""),"-",""),"+",""),"(",""),")",""),2,10),SUBSTITUTE(SUBSTITUTE(SUBSTITUTE(SUBSTITUTE(SUBSTITUTE(Клиенты_исходные!D987," ",""),"-",""),"+",""),"(",""),")","")),2,3)&amp;") "&amp;MID(IF(LEFT(SUBSTITUTE(SUBSTITUTE(SUBSTITUTE(SUBSTITUTE(SUBSTITUTE(Клиенты_исходные!D987," ",""),"-",""),"+",""),"(",""),")",""))="8","7"&amp;MID(SUBSTITUTE(SUBSTITUTE(SUBSTITUTE(SUBSTITUTE(SUBSTITUTE(Клиенты_исходные!D987," ",""),"-",""),"+",""),"(",""),")",""),2,10),SUBSTITUTE(SUBSTITUTE(SUBSTITUTE(SUBSTITUTE(SUBSTITUTE(Клиенты_исходные!D987," ",""),"-",""),"+",""),"(",""),")","")),5,3)&amp;"-"&amp;MID(IF(LEFT(SUBSTITUTE(SUBSTITUTE(SUBSTITUTE(SUBSTITUTE(SUBSTITUTE(Клиенты_исходные!D987," ",""),"-",""),"+",""),"(",""),")",""))="8","7"&amp;MID(SUBSTITUTE(SUBSTITUTE(SUBSTITUTE(SUBSTITUTE(SUBSTITUTE(Клиенты_исходные!D987," ",""),"-",""),"+",""),"(",""),")",""),2,10),SUBSTITUTE(SUBSTITUTE(SUBSTITUTE(SUBSTITUTE(SUBSTITUTE(Клиенты_исходные!D987," ",""),"-",""),"+",""),"(",""),")","")),8,2)&amp;"-"&amp;MID(IF(LEFT(SUBSTITUTE(SUBSTITUTE(SUBSTITUTE(SUBSTITUTE(SUBSTITUTE(Клиенты_исходные!D987," ",""),"-",""),"+",""),"(",""),")",""))="8","7"&amp;MID(SUBSTITUTE(SUBSTITUTE(SUBSTITUTE(SUBSTITUTE(SUBSTITUTE(Клиенты_исходные!D987," ",""),"-",""),"+",""),"(",""),")",""),2,10),SUBSTITUTE(SUBSTITUTE(SUBSTITUTE(SUBSTITUTE(SUBSTITUTE(Клиенты_исходные!D987," ",""),"-",""),"+",""),"(",""),")","")),10,2),IF(LEN(SUBSTITUTE(SUBSTITUTE(SUBSTITUTE(SUBSTITUTE(SUBSTITUTE(Клиенты_исходные!D987," ",""),"-",""),"+",""),"(",""),")",""))=10,"+7 ("&amp;MID(SUBSTITUTE(SUBSTITUTE(SUBSTITUTE(SUBSTITUTE(SUBSTITUTE(Клиенты_исходные!D987," ",""),"-",""),"+",""),"(",""),")",""),1,3)&amp;") "&amp;MID(SUBSTITUTE(SUBSTITUTE(SUBSTITUTE(SUBSTITUTE(SUBSTITUTE(Клиенты_исходные!D987," ",""),"-",""),"+",""),"(",""),")",""),4,3)&amp;"-"&amp;MID(SUBSTITUTE(SUBSTITUTE(SUBSTITUTE(SUBSTITUTE(SUBSTITUTE(Клиенты_исходные!D987," ",""),"-",""),"+",""),"(",""),")",""),6,2)&amp;"-"&amp;MID(SUBSTITUTE(SUBSTITUTE(SUBSTITUTE(SUBSTITUTE(SUBSTITUTE(Клиенты_исходные!D987," ",""),"-",""),"+",""),"(",""),")",""),8,2),Клиенты_исходные!D987)))</f>
        <v xml:space="preserve">+7 (903) 456-78-90</v>
      </c>
      <c r="E987" t="str">
        <f>IF(ISBLANK(Клиенты_исходные!E987),"",IF(ISNUMBER(FIND(".",MID(Клиенты_исходные!E987,FIND("@",Клиенты_исходные!E987)+1,255))),Клиенты_исходные!E987,IF(ISNUMBER(FIND("gmail",Клиенты_исходные!E987)),Клиенты_исходные!E987&amp;".com",Клиенты_исходные!E987&amp;".ru")))</f>
        <v>haritonov@yandex.ru</v>
      </c>
      <c r="F987" t="str">
        <f>IFERROR(VLOOKUP(Клиенты_исходные!F987,Справочники!$J$2:$K$50,2,FALSE),Клиенты_исходные!F987)</f>
        <v>Нижневартовск</v>
      </c>
      <c r="G987" s="8">
        <f>IFERROR(IF(ISNUMBER(FIND(".",Клиенты_исходные!G987)),DATE(RIGHT(Клиенты_исходные!G987,4),MID(Клиенты_исходные!G987,4,2),LEFT(Клиенты_исходные!G987,2)),DATE(LEFT(Клиенты_исходные!G987,4),MID(Клиенты_исходные!G987,6,2),RIGHT(Клиенты_исходные!G987,2))),Клиенты_исходные!G987)</f>
        <v>54558</v>
      </c>
      <c r="H987">
        <f t="shared" ca="1" si="91"/>
        <v>40</v>
      </c>
      <c r="I987" t="str">
        <f t="shared" si="92"/>
        <v>OK</v>
      </c>
      <c r="J987" t="str">
        <f t="shared" si="93"/>
        <v>OK</v>
      </c>
    </row>
    <row r="988">
      <c r="A988" t="str">
        <f>Клиенты_исходные!A988</f>
        <v>C0987</v>
      </c>
      <c r="B988" t="str">
        <f>PROPER(TRIM(Клиенты_исходные!B988))</f>
        <v xml:space="preserve">Александрова Ольга Владимировна</v>
      </c>
      <c r="C988" s="8">
        <f>IFERROR(IF(ISNUMBER(FIND(".",Клиенты_исходные!C988)),DATE(RIGHT(Клиенты_исходные!C988,4),MID(Клиенты_исходные!C988,4,2),LEFT(Клиенты_исходные!C988,2)),DATE(LEFT(Клиенты_исходные!C988,4),MID(Клиенты_исходные!C988,6,2),RIGHT(Клиенты_исходные!C988,2))),Клиенты_исходные!C988)</f>
        <v>33020</v>
      </c>
      <c r="D988" t="str">
        <f>IF(ISBLANK(Клиенты_исходные!D988),"",IF(LEN(SUBSTITUTE(SUBSTITUTE(SUBSTITUTE(SUBSTITUTE(SUBSTITUTE(Клиенты_исходные!D988," ",""),"-",""),"+",""),"(",""),")",""))=11,"+7 ("&amp;MID(IF(LEFT(SUBSTITUTE(SUBSTITUTE(SUBSTITUTE(SUBSTITUTE(SUBSTITUTE(Клиенты_исходные!D988," ",""),"-",""),"+",""),"(",""),")",""))="8","7"&amp;MID(SUBSTITUTE(SUBSTITUTE(SUBSTITUTE(SUBSTITUTE(SUBSTITUTE(Клиенты_исходные!D988," ",""),"-",""),"+",""),"(",""),")",""),2,10),SUBSTITUTE(SUBSTITUTE(SUBSTITUTE(SUBSTITUTE(SUBSTITUTE(Клиенты_исходные!D988," ",""),"-",""),"+",""),"(",""),")","")),2,3)&amp;") "&amp;MID(IF(LEFT(SUBSTITUTE(SUBSTITUTE(SUBSTITUTE(SUBSTITUTE(SUBSTITUTE(Клиенты_исходные!D988," ",""),"-",""),"+",""),"(",""),")",""))="8","7"&amp;MID(SUBSTITUTE(SUBSTITUTE(SUBSTITUTE(SUBSTITUTE(SUBSTITUTE(Клиенты_исходные!D988," ",""),"-",""),"+",""),"(",""),")",""),2,10),SUBSTITUTE(SUBSTITUTE(SUBSTITUTE(SUBSTITUTE(SUBSTITUTE(Клиенты_исходные!D988," ",""),"-",""),"+",""),"(",""),")","")),5,3)&amp;"-"&amp;MID(IF(LEFT(SUBSTITUTE(SUBSTITUTE(SUBSTITUTE(SUBSTITUTE(SUBSTITUTE(Клиенты_исходные!D988," ",""),"-",""),"+",""),"(",""),")",""))="8","7"&amp;MID(SUBSTITUTE(SUBSTITUTE(SUBSTITUTE(SUBSTITUTE(SUBSTITUTE(Клиенты_исходные!D988," ",""),"-",""),"+",""),"(",""),")",""),2,10),SUBSTITUTE(SUBSTITUTE(SUBSTITUTE(SUBSTITUTE(SUBSTITUTE(Клиенты_исходные!D988," ",""),"-",""),"+",""),"(",""),")","")),8,2)&amp;"-"&amp;MID(IF(LEFT(SUBSTITUTE(SUBSTITUTE(SUBSTITUTE(SUBSTITUTE(SUBSTITUTE(Клиенты_исходные!D988," ",""),"-",""),"+",""),"(",""),")",""))="8","7"&amp;MID(SUBSTITUTE(SUBSTITUTE(SUBSTITUTE(SUBSTITUTE(SUBSTITUTE(Клиенты_исходные!D988," ",""),"-",""),"+",""),"(",""),")",""),2,10),SUBSTITUTE(SUBSTITUTE(SUBSTITUTE(SUBSTITUTE(SUBSTITUTE(Клиенты_исходные!D988," ",""),"-",""),"+",""),"(",""),")","")),10,2),IF(LEN(SUBSTITUTE(SUBSTITUTE(SUBSTITUTE(SUBSTITUTE(SUBSTITUTE(Клиенты_исходные!D988," ",""),"-",""),"+",""),"(",""),")",""))=10,"+7 ("&amp;MID(SUBSTITUTE(SUBSTITUTE(SUBSTITUTE(SUBSTITUTE(SUBSTITUTE(Клиенты_исходные!D988," ",""),"-",""),"+",""),"(",""),")",""),1,3)&amp;") "&amp;MID(SUBSTITUTE(SUBSTITUTE(SUBSTITUTE(SUBSTITUTE(SUBSTITUTE(Клиенты_исходные!D988," ",""),"-",""),"+",""),"(",""),")",""),4,3)&amp;"-"&amp;MID(SUBSTITUTE(SUBSTITUTE(SUBSTITUTE(SUBSTITUTE(SUBSTITUTE(Клиенты_исходные!D988," ",""),"-",""),"+",""),"(",""),")",""),6,2)&amp;"-"&amp;MID(SUBSTITUTE(SUBSTITUTE(SUBSTITUTE(SUBSTITUTE(SUBSTITUTE(Клиенты_исходные!D988," ",""),"-",""),"+",""),"(",""),")",""),8,2),Клиенты_исходные!D988)))</f>
        <v xml:space="preserve">+7 (903) 567-89-01</v>
      </c>
      <c r="E988" t="str">
        <f>IF(ISBLANK(Клиенты_исходные!E988),"",IF(ISNUMBER(FIND(".",MID(Клиенты_исходные!E988,FIND("@",Клиенты_исходные!E988)+1,255))),Клиенты_исходные!E988,IF(ISNUMBER(FIND("gmail",Клиенты_исходные!E988)),Клиенты_исходные!E988&amp;".com",Клиенты_исходные!E988&amp;".ru")))</f>
        <v>aleksandrova@gmail.com</v>
      </c>
      <c r="F988" t="str">
        <f>IFERROR(VLOOKUP(Клиенты_исходные!F988,Справочники!$J$2:$K$50,2,FALSE),Клиенты_исходные!F988)</f>
        <v>Новороссийск</v>
      </c>
      <c r="G988" s="8">
        <f>IFERROR(IF(ISNUMBER(FIND(".",Клиенты_исходные!G988)),DATE(RIGHT(Клиенты_исходные!G988,4),MID(Клиенты_исходные!G988,4,2),LEFT(Клиенты_исходные!G988,2)),DATE(LEFT(Клиенты_исходные!G988,4),MID(Клиенты_исходные!G988,6,2),RIGHT(Клиенты_исходные!G988,2))),Клиенты_исходные!G988)</f>
        <v>54558</v>
      </c>
      <c r="H988">
        <f t="shared" ca="1" si="91"/>
        <v>36</v>
      </c>
      <c r="I988" t="str">
        <f t="shared" si="92"/>
        <v>OK</v>
      </c>
      <c r="J988" t="str">
        <f t="shared" si="93"/>
        <v>OK</v>
      </c>
    </row>
    <row r="989">
      <c r="A989" t="str">
        <f>Клиенты_исходные!A989</f>
        <v>C0988</v>
      </c>
      <c r="B989" t="str">
        <f>PROPER(TRIM(Клиенты_исходные!B989))</f>
        <v xml:space="preserve">Стрельцов Андрей Олегович</v>
      </c>
      <c r="C989" s="8">
        <f>IFERROR(IF(ISNUMBER(FIND(".",Клиенты_исходные!C989)),DATE(RIGHT(Клиенты_исходные!C989,4),MID(Клиенты_исходные!C989,4,2),LEFT(Клиенты_исходные!C989,2)),DATE(LEFT(Клиенты_исходные!C989,4),MID(Клиенты_исходные!C989,6,2),RIGHT(Клиенты_исходные!C989,2))),Клиенты_исходные!C989)</f>
        <v>29848</v>
      </c>
      <c r="D989" t="str">
        <f>IF(ISBLANK(Клиенты_исходные!D989),"",IF(LEN(SUBSTITUTE(SUBSTITUTE(SUBSTITUTE(SUBSTITUTE(SUBSTITUTE(Клиенты_исходные!D989," ",""),"-",""),"+",""),"(",""),")",""))=11,"+7 ("&amp;MID(IF(LEFT(SUBSTITUTE(SUBSTITUTE(SUBSTITUTE(SUBSTITUTE(SUBSTITUTE(Клиенты_исходные!D989," ",""),"-",""),"+",""),"(",""),")",""))="8","7"&amp;MID(SUBSTITUTE(SUBSTITUTE(SUBSTITUTE(SUBSTITUTE(SUBSTITUTE(Клиенты_исходные!D989," ",""),"-",""),"+",""),"(",""),")",""),2,10),SUBSTITUTE(SUBSTITUTE(SUBSTITUTE(SUBSTITUTE(SUBSTITUTE(Клиенты_исходные!D989," ",""),"-",""),"+",""),"(",""),")","")),2,3)&amp;") "&amp;MID(IF(LEFT(SUBSTITUTE(SUBSTITUTE(SUBSTITUTE(SUBSTITUTE(SUBSTITUTE(Клиенты_исходные!D989," ",""),"-",""),"+",""),"(",""),")",""))="8","7"&amp;MID(SUBSTITUTE(SUBSTITUTE(SUBSTITUTE(SUBSTITUTE(SUBSTITUTE(Клиенты_исходные!D989," ",""),"-",""),"+",""),"(",""),")",""),2,10),SUBSTITUTE(SUBSTITUTE(SUBSTITUTE(SUBSTITUTE(SUBSTITUTE(Клиенты_исходные!D989," ",""),"-",""),"+",""),"(",""),")","")),5,3)&amp;"-"&amp;MID(IF(LEFT(SUBSTITUTE(SUBSTITUTE(SUBSTITUTE(SUBSTITUTE(SUBSTITUTE(Клиенты_исходные!D989," ",""),"-",""),"+",""),"(",""),")",""))="8","7"&amp;MID(SUBSTITUTE(SUBSTITUTE(SUBSTITUTE(SUBSTITUTE(SUBSTITUTE(Клиенты_исходные!D989," ",""),"-",""),"+",""),"(",""),")",""),2,10),SUBSTITUTE(SUBSTITUTE(SUBSTITUTE(SUBSTITUTE(SUBSTITUTE(Клиенты_исходные!D989," ",""),"-",""),"+",""),"(",""),")","")),8,2)&amp;"-"&amp;MID(IF(LEFT(SUBSTITUTE(SUBSTITUTE(SUBSTITUTE(SUBSTITUTE(SUBSTITUTE(Клиенты_исходные!D989," ",""),"-",""),"+",""),"(",""),")",""))="8","7"&amp;MID(SUBSTITUTE(SUBSTITUTE(SUBSTITUTE(SUBSTITUTE(SUBSTITUTE(Клиенты_исходные!D989," ",""),"-",""),"+",""),"(",""),")",""),2,10),SUBSTITUTE(SUBSTITUTE(SUBSTITUTE(SUBSTITUTE(SUBSTITUTE(Клиенты_исходные!D989," ",""),"-",""),"+",""),"(",""),")","")),10,2),IF(LEN(SUBSTITUTE(SUBSTITUTE(SUBSTITUTE(SUBSTITUTE(SUBSTITUTE(Клиенты_исходные!D989," ",""),"-",""),"+",""),"(",""),")",""))=10,"+7 ("&amp;MID(SUBSTITUTE(SUBSTITUTE(SUBSTITUTE(SUBSTITUTE(SUBSTITUTE(Клиенты_исходные!D989," ",""),"-",""),"+",""),"(",""),")",""),1,3)&amp;") "&amp;MID(SUBSTITUTE(SUBSTITUTE(SUBSTITUTE(SUBSTITUTE(SUBSTITUTE(Клиенты_исходные!D989," ",""),"-",""),"+",""),"(",""),")",""),4,3)&amp;"-"&amp;MID(SUBSTITUTE(SUBSTITUTE(SUBSTITUTE(SUBSTITUTE(SUBSTITUTE(Клиенты_исходные!D989," ",""),"-",""),"+",""),"(",""),")",""),6,2)&amp;"-"&amp;MID(SUBSTITUTE(SUBSTITUTE(SUBSTITUTE(SUBSTITUTE(SUBSTITUTE(Клиенты_исходные!D989," ",""),"-",""),"+",""),"(",""),")",""),8,2),Клиенты_исходные!D989)))</f>
        <v xml:space="preserve">+7 (903) 567-89-01</v>
      </c>
      <c r="E989" t="str">
        <f>IF(ISBLANK(Клиенты_исходные!E989),"",IF(ISNUMBER(FIND(".",MID(Клиенты_исходные!E989,FIND("@",Клиенты_исходные!E989)+1,255))),Клиенты_исходные!E989,IF(ISNUMBER(FIND("gmail",Клиенты_исходные!E989)),Клиенты_исходные!E989&amp;".com",Клиенты_исходные!E989&amp;".ru")))</f>
        <v>streltsov@mail.ru</v>
      </c>
      <c r="F989" t="str">
        <f>IFERROR(VLOOKUP(Клиенты_исходные!F989,Справочники!$J$2:$K$50,2,FALSE),Клиенты_исходные!F989)</f>
        <v>Химки</v>
      </c>
      <c r="G989" s="8">
        <f>IFERROR(IF(ISNUMBER(FIND(".",Клиенты_исходные!G989)),DATE(RIGHT(Клиенты_исходные!G989,4),MID(Клиенты_исходные!G989,4,2),LEFT(Клиенты_исходные!G989,2)),DATE(LEFT(Клиенты_исходные!G989,4),MID(Клиенты_исходные!G989,6,2),RIGHT(Клиенты_исходные!G989,2))),Клиенты_исходные!G989)</f>
        <v>54575</v>
      </c>
      <c r="H989">
        <f t="shared" ca="1" si="91"/>
        <v>45</v>
      </c>
      <c r="I989" t="str">
        <f t="shared" si="92"/>
        <v>OK</v>
      </c>
      <c r="J989" t="str">
        <f t="shared" si="93"/>
        <v>OK</v>
      </c>
    </row>
    <row r="990">
      <c r="A990" t="str">
        <f>Клиенты_исходные!A990</f>
        <v>C0989</v>
      </c>
      <c r="B990" t="str">
        <f>PROPER(TRIM(Клиенты_исходные!B990))</f>
        <v xml:space="preserve">Бугрова Екатерина Сергеевна</v>
      </c>
      <c r="C990" s="8">
        <f>IFERROR(IF(ISNUMBER(FIND(".",Клиенты_исходные!C990)),DATE(RIGHT(Клиенты_исходные!C990,4),MID(Клиенты_исходные!C990,4,2),LEFT(Клиенты_исходные!C990,2)),DATE(LEFT(Клиенты_исходные!C990,4),MID(Клиенты_исходные!C990,6,2),RIGHT(Клиенты_исходные!C990,2))),Клиенты_исходные!C990)</f>
        <v>31962</v>
      </c>
      <c r="D990" t="str">
        <f>IF(ISBLANK(Клиенты_исходные!D990),"",IF(LEN(SUBSTITUTE(SUBSTITUTE(SUBSTITUTE(SUBSTITUTE(SUBSTITUTE(Клиенты_исходные!D990," ",""),"-",""),"+",""),"(",""),")",""))=11,"+7 ("&amp;MID(IF(LEFT(SUBSTITUTE(SUBSTITUTE(SUBSTITUTE(SUBSTITUTE(SUBSTITUTE(Клиенты_исходные!D990," ",""),"-",""),"+",""),"(",""),")",""))="8","7"&amp;MID(SUBSTITUTE(SUBSTITUTE(SUBSTITUTE(SUBSTITUTE(SUBSTITUTE(Клиенты_исходные!D990," ",""),"-",""),"+",""),"(",""),")",""),2,10),SUBSTITUTE(SUBSTITUTE(SUBSTITUTE(SUBSTITUTE(SUBSTITUTE(Клиенты_исходные!D990," ",""),"-",""),"+",""),"(",""),")","")),2,3)&amp;") "&amp;MID(IF(LEFT(SUBSTITUTE(SUBSTITUTE(SUBSTITUTE(SUBSTITUTE(SUBSTITUTE(Клиенты_исходные!D990," ",""),"-",""),"+",""),"(",""),")",""))="8","7"&amp;MID(SUBSTITUTE(SUBSTITUTE(SUBSTITUTE(SUBSTITUTE(SUBSTITUTE(Клиенты_исходные!D990," ",""),"-",""),"+",""),"(",""),")",""),2,10),SUBSTITUTE(SUBSTITUTE(SUBSTITUTE(SUBSTITUTE(SUBSTITUTE(Клиенты_исходные!D990," ",""),"-",""),"+",""),"(",""),")","")),5,3)&amp;"-"&amp;MID(IF(LEFT(SUBSTITUTE(SUBSTITUTE(SUBSTITUTE(SUBSTITUTE(SUBSTITUTE(Клиенты_исходные!D990," ",""),"-",""),"+",""),"(",""),")",""))="8","7"&amp;MID(SUBSTITUTE(SUBSTITUTE(SUBSTITUTE(SUBSTITUTE(SUBSTITUTE(Клиенты_исходные!D990," ",""),"-",""),"+",""),"(",""),")",""),2,10),SUBSTITUTE(SUBSTITUTE(SUBSTITUTE(SUBSTITUTE(SUBSTITUTE(Клиенты_исходные!D990," ",""),"-",""),"+",""),"(",""),")","")),8,2)&amp;"-"&amp;MID(IF(LEFT(SUBSTITUTE(SUBSTITUTE(SUBSTITUTE(SUBSTITUTE(SUBSTITUTE(Клиенты_исходные!D990," ",""),"-",""),"+",""),"(",""),")",""))="8","7"&amp;MID(SUBSTITUTE(SUBSTITUTE(SUBSTITUTE(SUBSTITUTE(SUBSTITUTE(Клиенты_исходные!D990," ",""),"-",""),"+",""),"(",""),")",""),2,10),SUBSTITUTE(SUBSTITUTE(SUBSTITUTE(SUBSTITUTE(SUBSTITUTE(Клиенты_исходные!D990," ",""),"-",""),"+",""),"(",""),")","")),10,2),IF(LEN(SUBSTITUTE(SUBSTITUTE(SUBSTITUTE(SUBSTITUTE(SUBSTITUTE(Клиенты_исходные!D990," ",""),"-",""),"+",""),"(",""),")",""))=10,"+7 ("&amp;MID(SUBSTITUTE(SUBSTITUTE(SUBSTITUTE(SUBSTITUTE(SUBSTITUTE(Клиенты_исходные!D990," ",""),"-",""),"+",""),"(",""),")",""),1,3)&amp;") "&amp;MID(SUBSTITUTE(SUBSTITUTE(SUBSTITUTE(SUBSTITUTE(SUBSTITUTE(Клиенты_исходные!D990," ",""),"-",""),"+",""),"(",""),")",""),4,3)&amp;"-"&amp;MID(SUBSTITUTE(SUBSTITUTE(SUBSTITUTE(SUBSTITUTE(SUBSTITUTE(Клиенты_исходные!D990," ",""),"-",""),"+",""),"(",""),")",""),6,2)&amp;"-"&amp;MID(SUBSTITUTE(SUBSTITUTE(SUBSTITUTE(SUBSTITUTE(SUBSTITUTE(Клиенты_исходные!D990," ",""),"-",""),"+",""),"(",""),")",""),8,2),Клиенты_исходные!D990)))</f>
        <v xml:space="preserve">+7 (903) 567-89-01</v>
      </c>
      <c r="E990" t="str">
        <f>IF(ISBLANK(Клиенты_исходные!E990),"",IF(ISNUMBER(FIND(".",MID(Клиенты_исходные!E990,FIND("@",Клиенты_исходные!E990)+1,255))),Клиенты_исходные!E990,IF(ISNUMBER(FIND("gmail",Клиенты_исходные!E990)),Клиенты_исходные!E990&amp;".com",Клиенты_исходные!E990&amp;".ru")))</f>
        <v>bugrova@yandex.ru</v>
      </c>
      <c r="F990" t="str">
        <f>IFERROR(VLOOKUP(Клиенты_исходные!F990,Справочники!$J$2:$K$50,2,FALSE),Клиенты_исходные!F990)</f>
        <v>Подольск</v>
      </c>
      <c r="G990" s="8">
        <f>IFERROR(IF(ISNUMBER(FIND(".",Клиенты_исходные!G990)),DATE(RIGHT(Клиенты_исходные!G990,4),MID(Клиенты_исходные!G990,4,2),LEFT(Клиенты_исходные!G990,2)),DATE(LEFT(Клиенты_исходные!G990,4),MID(Клиенты_исходные!G990,6,2),RIGHT(Клиенты_исходные!G990,2))),Клиенты_исходные!G990)</f>
        <v>54584</v>
      </c>
      <c r="H990">
        <f t="shared" ca="1" si="91"/>
        <v>39</v>
      </c>
      <c r="I990" t="str">
        <f t="shared" si="92"/>
        <v>OK</v>
      </c>
      <c r="J990" t="str">
        <f t="shared" si="93"/>
        <v>OK</v>
      </c>
    </row>
    <row r="991">
      <c r="A991" t="str">
        <f>Клиенты_исходные!A991</f>
        <v>C0990</v>
      </c>
      <c r="B991" t="str">
        <f>PROPER(TRIM(Клиенты_исходные!B991))</f>
        <v xml:space="preserve">Чумак Илья Александрович</v>
      </c>
      <c r="C991" s="8">
        <f>IFERROR(IF(ISNUMBER(FIND(".",Клиенты_исходные!C991)),DATE(RIGHT(Клиенты_исходные!C991,4),MID(Клиенты_исходные!C991,4,2),LEFT(Клиенты_исходные!C991,2)),DATE(LEFT(Клиенты_исходные!C991,4),MID(Клиенты_исходные!C991,6,2),RIGHT(Клиенты_исходные!C991,2))),Клиенты_исходные!C991)</f>
        <v>26615</v>
      </c>
      <c r="D991" t="str">
        <f>IF(ISBLANK(Клиенты_исходные!D991),"",IF(LEN(SUBSTITUTE(SUBSTITUTE(SUBSTITUTE(SUBSTITUTE(SUBSTITUTE(Клиенты_исходные!D991," ",""),"-",""),"+",""),"(",""),")",""))=11,"+7 ("&amp;MID(IF(LEFT(SUBSTITUTE(SUBSTITUTE(SUBSTITUTE(SUBSTITUTE(SUBSTITUTE(Клиенты_исходные!D991," ",""),"-",""),"+",""),"(",""),")",""))="8","7"&amp;MID(SUBSTITUTE(SUBSTITUTE(SUBSTITUTE(SUBSTITUTE(SUBSTITUTE(Клиенты_исходные!D991," ",""),"-",""),"+",""),"(",""),")",""),2,10),SUBSTITUTE(SUBSTITUTE(SUBSTITUTE(SUBSTITUTE(SUBSTITUTE(Клиенты_исходные!D991," ",""),"-",""),"+",""),"(",""),")","")),2,3)&amp;") "&amp;MID(IF(LEFT(SUBSTITUTE(SUBSTITUTE(SUBSTITUTE(SUBSTITUTE(SUBSTITUTE(Клиенты_исходные!D991," ",""),"-",""),"+",""),"(",""),")",""))="8","7"&amp;MID(SUBSTITUTE(SUBSTITUTE(SUBSTITUTE(SUBSTITUTE(SUBSTITUTE(Клиенты_исходные!D991," ",""),"-",""),"+",""),"(",""),")",""),2,10),SUBSTITUTE(SUBSTITUTE(SUBSTITUTE(SUBSTITUTE(SUBSTITUTE(Клиенты_исходные!D991," ",""),"-",""),"+",""),"(",""),")","")),5,3)&amp;"-"&amp;MID(IF(LEFT(SUBSTITUTE(SUBSTITUTE(SUBSTITUTE(SUBSTITUTE(SUBSTITUTE(Клиенты_исходные!D991," ",""),"-",""),"+",""),"(",""),")",""))="8","7"&amp;MID(SUBSTITUTE(SUBSTITUTE(SUBSTITUTE(SUBSTITUTE(SUBSTITUTE(Клиенты_исходные!D991," ",""),"-",""),"+",""),"(",""),")",""),2,10),SUBSTITUTE(SUBSTITUTE(SUBSTITUTE(SUBSTITUTE(SUBSTITUTE(Клиенты_исходные!D991," ",""),"-",""),"+",""),"(",""),")","")),8,2)&amp;"-"&amp;MID(IF(LEFT(SUBSTITUTE(SUBSTITUTE(SUBSTITUTE(SUBSTITUTE(SUBSTITUTE(Клиенты_исходные!D991," ",""),"-",""),"+",""),"(",""),")",""))="8","7"&amp;MID(SUBSTITUTE(SUBSTITUTE(SUBSTITUTE(SUBSTITUTE(SUBSTITUTE(Клиенты_исходные!D991," ",""),"-",""),"+",""),"(",""),")",""),2,10),SUBSTITUTE(SUBSTITUTE(SUBSTITUTE(SUBSTITUTE(SUBSTITUTE(Клиенты_исходные!D991," ",""),"-",""),"+",""),"(",""),")","")),10,2),IF(LEN(SUBSTITUTE(SUBSTITUTE(SUBSTITUTE(SUBSTITUTE(SUBSTITUTE(Клиенты_исходные!D991," ",""),"-",""),"+",""),"(",""),")",""))=10,"+7 ("&amp;MID(SUBSTITUTE(SUBSTITUTE(SUBSTITUTE(SUBSTITUTE(SUBSTITUTE(Клиенты_исходные!D991," ",""),"-",""),"+",""),"(",""),")",""),1,3)&amp;") "&amp;MID(SUBSTITUTE(SUBSTITUTE(SUBSTITUTE(SUBSTITUTE(SUBSTITUTE(Клиенты_исходные!D991," ",""),"-",""),"+",""),"(",""),")",""),4,3)&amp;"-"&amp;MID(SUBSTITUTE(SUBSTITUTE(SUBSTITUTE(SUBSTITUTE(SUBSTITUTE(Клиенты_исходные!D991," ",""),"-",""),"+",""),"(",""),")",""),6,2)&amp;"-"&amp;MID(SUBSTITUTE(SUBSTITUTE(SUBSTITUTE(SUBSTITUTE(SUBSTITUTE(Клиенты_исходные!D991," ",""),"-",""),"+",""),"(",""),")",""),8,2),Клиенты_исходные!D991)))</f>
        <v xml:space="preserve">+7 (903) 678-90-12</v>
      </c>
      <c r="E991" t="str">
        <f>IF(ISBLANK(Клиенты_исходные!E991),"",IF(ISNUMBER(FIND(".",MID(Клиенты_исходные!E991,FIND("@",Клиенты_исходные!E991)+1,255))),Клиенты_исходные!E991,IF(ISNUMBER(FIND("gmail",Клиенты_исходные!E991)),Клиенты_исходные!E991&amp;".com",Клиенты_исходные!E991&amp;".ru")))</f>
        <v>chumak@gmail.com</v>
      </c>
      <c r="F991" t="str">
        <f>IFERROR(VLOOKUP(Клиенты_исходные!F991,Справочники!$J$2:$K$50,2,FALSE),Клиенты_исходные!F991)</f>
        <v>Балашиха</v>
      </c>
      <c r="G991" s="8">
        <f>IFERROR(IF(ISNUMBER(FIND(".",Клиенты_исходные!G991)),DATE(RIGHT(Клиенты_исходные!G991,4),MID(Клиенты_исходные!G991,4,2),LEFT(Клиенты_исходные!G991,2)),DATE(LEFT(Клиенты_исходные!G991,4),MID(Клиенты_исходные!G991,6,2),RIGHT(Клиенты_исходные!G991,2))),Клиенты_исходные!G991)</f>
        <v>54584</v>
      </c>
      <c r="H991">
        <f t="shared" ca="1" si="91"/>
        <v>53</v>
      </c>
      <c r="I991" t="str">
        <f t="shared" si="92"/>
        <v>OK</v>
      </c>
      <c r="J991" t="str">
        <f t="shared" si="93"/>
        <v>OK</v>
      </c>
    </row>
    <row r="992">
      <c r="A992" t="str">
        <f>Клиенты_исходные!A992</f>
        <v>C0991</v>
      </c>
      <c r="B992" t="str">
        <f>PROPER(TRIM(Клиенты_исходные!B992))</f>
        <v xml:space="preserve">Майорова Мария Павловна</v>
      </c>
      <c r="C992" s="8">
        <f>IFERROR(IF(ISNUMBER(FIND(".",Клиенты_исходные!C992)),DATE(RIGHT(Клиенты_исходные!C992,4),MID(Клиенты_исходные!C992,4,2),LEFT(Клиенты_исходные!C992,2)),DATE(LEFT(Клиенты_исходные!C992,4),MID(Клиенты_исходные!C992,6,2),RIGHT(Клиенты_исходные!C992,2))),Клиенты_исходные!C992)</f>
        <v>30762</v>
      </c>
      <c r="D992" t="str">
        <f>IF(ISBLANK(Клиенты_исходные!D992),"",IF(LEN(SUBSTITUTE(SUBSTITUTE(SUBSTITUTE(SUBSTITUTE(SUBSTITUTE(Клиенты_исходные!D992," ",""),"-",""),"+",""),"(",""),")",""))=11,"+7 ("&amp;MID(IF(LEFT(SUBSTITUTE(SUBSTITUTE(SUBSTITUTE(SUBSTITUTE(SUBSTITUTE(Клиенты_исходные!D992," ",""),"-",""),"+",""),"(",""),")",""))="8","7"&amp;MID(SUBSTITUTE(SUBSTITUTE(SUBSTITUTE(SUBSTITUTE(SUBSTITUTE(Клиенты_исходные!D992," ",""),"-",""),"+",""),"(",""),")",""),2,10),SUBSTITUTE(SUBSTITUTE(SUBSTITUTE(SUBSTITUTE(SUBSTITUTE(Клиенты_исходные!D992," ",""),"-",""),"+",""),"(",""),")","")),2,3)&amp;") "&amp;MID(IF(LEFT(SUBSTITUTE(SUBSTITUTE(SUBSTITUTE(SUBSTITUTE(SUBSTITUTE(Клиенты_исходные!D992," ",""),"-",""),"+",""),"(",""),")",""))="8","7"&amp;MID(SUBSTITUTE(SUBSTITUTE(SUBSTITUTE(SUBSTITUTE(SUBSTITUTE(Клиенты_исходные!D992," ",""),"-",""),"+",""),"(",""),")",""),2,10),SUBSTITUTE(SUBSTITUTE(SUBSTITUTE(SUBSTITUTE(SUBSTITUTE(Клиенты_исходные!D992," ",""),"-",""),"+",""),"(",""),")","")),5,3)&amp;"-"&amp;MID(IF(LEFT(SUBSTITUTE(SUBSTITUTE(SUBSTITUTE(SUBSTITUTE(SUBSTITUTE(Клиенты_исходные!D992," ",""),"-",""),"+",""),"(",""),")",""))="8","7"&amp;MID(SUBSTITUTE(SUBSTITUTE(SUBSTITUTE(SUBSTITUTE(SUBSTITUTE(Клиенты_исходные!D992," ",""),"-",""),"+",""),"(",""),")",""),2,10),SUBSTITUTE(SUBSTITUTE(SUBSTITUTE(SUBSTITUTE(SUBSTITUTE(Клиенты_исходные!D992," ",""),"-",""),"+",""),"(",""),")","")),8,2)&amp;"-"&amp;MID(IF(LEFT(SUBSTITUTE(SUBSTITUTE(SUBSTITUTE(SUBSTITUTE(SUBSTITUTE(Клиенты_исходные!D992," ",""),"-",""),"+",""),"(",""),")",""))="8","7"&amp;MID(SUBSTITUTE(SUBSTITUTE(SUBSTITUTE(SUBSTITUTE(SUBSTITUTE(Клиенты_исходные!D992," ",""),"-",""),"+",""),"(",""),")",""),2,10),SUBSTITUTE(SUBSTITUTE(SUBSTITUTE(SUBSTITUTE(SUBSTITUTE(Клиенты_исходные!D992," ",""),"-",""),"+",""),"(",""),")","")),10,2),IF(LEN(SUBSTITUTE(SUBSTITUTE(SUBSTITUTE(SUBSTITUTE(SUBSTITUTE(Клиенты_исходные!D992," ",""),"-",""),"+",""),"(",""),")",""))=10,"+7 ("&amp;MID(SUBSTITUTE(SUBSTITUTE(SUBSTITUTE(SUBSTITUTE(SUBSTITUTE(Клиенты_исходные!D992," ",""),"-",""),"+",""),"(",""),")",""),1,3)&amp;") "&amp;MID(SUBSTITUTE(SUBSTITUTE(SUBSTITUTE(SUBSTITUTE(SUBSTITUTE(Клиенты_исходные!D992," ",""),"-",""),"+",""),"(",""),")",""),4,3)&amp;"-"&amp;MID(SUBSTITUTE(SUBSTITUTE(SUBSTITUTE(SUBSTITUTE(SUBSTITUTE(Клиенты_исходные!D992," ",""),"-",""),"+",""),"(",""),")",""),6,2)&amp;"-"&amp;MID(SUBSTITUTE(SUBSTITUTE(SUBSTITUTE(SUBSTITUTE(SUBSTITUTE(Клиенты_исходные!D992," ",""),"-",""),"+",""),"(",""),")",""),8,2),Клиенты_исходные!D992)))</f>
        <v xml:space="preserve">+7 (903) 678-90-12</v>
      </c>
      <c r="E992" t="str">
        <f>IF(ISBLANK(Клиенты_исходные!E992),"",IF(ISNUMBER(FIND(".",MID(Клиенты_исходные!E992,FIND("@",Клиенты_исходные!E992)+1,255))),Клиенты_исходные!E992,IF(ISNUMBER(FIND("gmail",Клиенты_исходные!E992)),Клиенты_исходные!E992&amp;".com",Клиенты_исходные!E992&amp;".ru")))</f>
        <v>mayorova@mail.ru</v>
      </c>
      <c r="F992" t="str">
        <f>IFERROR(VLOOKUP(Клиенты_исходные!F992,Справочники!$J$2:$K$50,2,FALSE),Клиенты_исходные!F992)</f>
        <v>Сургут</v>
      </c>
      <c r="G992" s="8">
        <f>IFERROR(IF(ISNUMBER(FIND(".",Клиенты_исходные!G992)),DATE(RIGHT(Клиенты_исходные!G992,4),MID(Клиенты_исходные!G992,4,2),LEFT(Клиенты_исходные!G992,2)),DATE(LEFT(Клиенты_исходные!G992,4),MID(Клиенты_исходные!G992,6,2),RIGHT(Клиенты_исходные!G992,2))),Клиенты_исходные!G992)</f>
        <v>54605</v>
      </c>
      <c r="H992">
        <f t="shared" ca="1" si="91"/>
        <v>42</v>
      </c>
      <c r="I992" t="str">
        <f t="shared" si="92"/>
        <v>OK</v>
      </c>
      <c r="J992" t="str">
        <f t="shared" si="93"/>
        <v>OK</v>
      </c>
    </row>
    <row r="993">
      <c r="A993" t="str">
        <f>Клиенты_исходные!A993</f>
        <v>C0992</v>
      </c>
      <c r="B993" t="str">
        <f>PROPER(TRIM(Клиенты_исходные!B993))</f>
        <v xml:space="preserve">Крылов Денис Викторович</v>
      </c>
      <c r="C993" s="8">
        <f>IFERROR(IF(ISNUMBER(FIND(".",Клиенты_исходные!C993)),DATE(RIGHT(Клиенты_исходные!C993,4),MID(Клиенты_исходные!C993,4,2),LEFT(Клиенты_исходные!C993,2)),DATE(LEFT(Клиенты_исходные!C993,4),MID(Клиенты_исходные!C993,6,2),RIGHT(Клиенты_исходные!C993,2))),Клиенты_исходные!C993)</f>
        <v>33958</v>
      </c>
      <c r="D993" t="str">
        <f>IF(ISBLANK(Клиенты_исходные!D993),"",IF(LEN(SUBSTITUTE(SUBSTITUTE(SUBSTITUTE(SUBSTITUTE(SUBSTITUTE(Клиенты_исходные!D993," ",""),"-",""),"+",""),"(",""),")",""))=11,"+7 ("&amp;MID(IF(LEFT(SUBSTITUTE(SUBSTITUTE(SUBSTITUTE(SUBSTITUTE(SUBSTITUTE(Клиенты_исходные!D993," ",""),"-",""),"+",""),"(",""),")",""))="8","7"&amp;MID(SUBSTITUTE(SUBSTITUTE(SUBSTITUTE(SUBSTITUTE(SUBSTITUTE(Клиенты_исходные!D993," ",""),"-",""),"+",""),"(",""),")",""),2,10),SUBSTITUTE(SUBSTITUTE(SUBSTITUTE(SUBSTITUTE(SUBSTITUTE(Клиенты_исходные!D993," ",""),"-",""),"+",""),"(",""),")","")),2,3)&amp;") "&amp;MID(IF(LEFT(SUBSTITUTE(SUBSTITUTE(SUBSTITUTE(SUBSTITUTE(SUBSTITUTE(Клиенты_исходные!D993," ",""),"-",""),"+",""),"(",""),")",""))="8","7"&amp;MID(SUBSTITUTE(SUBSTITUTE(SUBSTITUTE(SUBSTITUTE(SUBSTITUTE(Клиенты_исходные!D993," ",""),"-",""),"+",""),"(",""),")",""),2,10),SUBSTITUTE(SUBSTITUTE(SUBSTITUTE(SUBSTITUTE(SUBSTITUTE(Клиенты_исходные!D993," ",""),"-",""),"+",""),"(",""),")","")),5,3)&amp;"-"&amp;MID(IF(LEFT(SUBSTITUTE(SUBSTITUTE(SUBSTITUTE(SUBSTITUTE(SUBSTITUTE(Клиенты_исходные!D993," ",""),"-",""),"+",""),"(",""),")",""))="8","7"&amp;MID(SUBSTITUTE(SUBSTITUTE(SUBSTITUTE(SUBSTITUTE(SUBSTITUTE(Клиенты_исходные!D993," ",""),"-",""),"+",""),"(",""),")",""),2,10),SUBSTITUTE(SUBSTITUTE(SUBSTITUTE(SUBSTITUTE(SUBSTITUTE(Клиенты_исходные!D993," ",""),"-",""),"+",""),"(",""),")","")),8,2)&amp;"-"&amp;MID(IF(LEFT(SUBSTITUTE(SUBSTITUTE(SUBSTITUTE(SUBSTITUTE(SUBSTITUTE(Клиенты_исходные!D993," ",""),"-",""),"+",""),"(",""),")",""))="8","7"&amp;MID(SUBSTITUTE(SUBSTITUTE(SUBSTITUTE(SUBSTITUTE(SUBSTITUTE(Клиенты_исходные!D993," ",""),"-",""),"+",""),"(",""),")",""),2,10),SUBSTITUTE(SUBSTITUTE(SUBSTITUTE(SUBSTITUTE(SUBSTITUTE(Клиенты_исходные!D993," ",""),"-",""),"+",""),"(",""),")","")),10,2),IF(LEN(SUBSTITUTE(SUBSTITUTE(SUBSTITUTE(SUBSTITUTE(SUBSTITUTE(Клиенты_исходные!D993," ",""),"-",""),"+",""),"(",""),")",""))=10,"+7 ("&amp;MID(SUBSTITUTE(SUBSTITUTE(SUBSTITUTE(SUBSTITUTE(SUBSTITUTE(Клиенты_исходные!D993," ",""),"-",""),"+",""),"(",""),")",""),1,3)&amp;") "&amp;MID(SUBSTITUTE(SUBSTITUTE(SUBSTITUTE(SUBSTITUTE(SUBSTITUTE(Клиенты_исходные!D993," ",""),"-",""),"+",""),"(",""),")",""),4,3)&amp;"-"&amp;MID(SUBSTITUTE(SUBSTITUTE(SUBSTITUTE(SUBSTITUTE(SUBSTITUTE(Клиенты_исходные!D993," ",""),"-",""),"+",""),"(",""),")",""),6,2)&amp;"-"&amp;MID(SUBSTITUTE(SUBSTITUTE(SUBSTITUTE(SUBSTITUTE(SUBSTITUTE(Клиенты_исходные!D993," ",""),"-",""),"+",""),"(",""),")",""),8,2),Клиенты_исходные!D993)))</f>
        <v xml:space="preserve">+7 (903) 678-90-12</v>
      </c>
      <c r="E993" t="str">
        <f>IF(ISBLANK(Клиенты_исходные!E993),"",IF(ISNUMBER(FIND(".",MID(Клиенты_исходные!E993,FIND("@",Клиенты_исходные!E993)+1,255))),Клиенты_исходные!E993,IF(ISNUMBER(FIND("gmail",Клиенты_исходные!E993)),Клиенты_исходные!E993&amp;".com",Клиенты_исходные!E993&amp;".ru")))</f>
        <v>krylov@yandex.ru</v>
      </c>
      <c r="F993" t="str">
        <f>IFERROR(VLOOKUP(Клиенты_исходные!F993,Справочники!$J$2:$K$50,2,FALSE),Клиенты_исходные!F993)</f>
        <v>Армавир</v>
      </c>
      <c r="G993" s="8">
        <f>IFERROR(IF(ISNUMBER(FIND(".",Клиенты_исходные!G993)),DATE(RIGHT(Клиенты_исходные!G993,4),MID(Клиенты_исходные!G993,4,2),LEFT(Клиенты_исходные!G993,2)),DATE(LEFT(Клиенты_исходные!G993,4),MID(Клиенты_исходные!G993,6,2),RIGHT(Клиенты_исходные!G993,2))),Клиенты_исходные!G993)</f>
        <v>54619</v>
      </c>
      <c r="H993">
        <f t="shared" ca="1" si="91"/>
        <v>33</v>
      </c>
      <c r="I993" t="str">
        <f t="shared" si="92"/>
        <v>OK</v>
      </c>
      <c r="J993" t="str">
        <f t="shared" si="93"/>
        <v>OK</v>
      </c>
    </row>
    <row r="994">
      <c r="A994" t="str">
        <f>Клиенты_исходные!A994</f>
        <v>C0993</v>
      </c>
      <c r="B994" t="str">
        <f>PROPER(TRIM(Клиенты_исходные!B994))</f>
        <v xml:space="preserve">Королева Ольга Сергеевна</v>
      </c>
      <c r="C994" s="8">
        <f>IFERROR(IF(ISNUMBER(FIND(".",Клиенты_исходные!C994)),DATE(RIGHT(Клиенты_исходные!C994,4),MID(Клиенты_исходные!C994,4,2),LEFT(Клиенты_исходные!C994,2)),DATE(LEFT(Клиенты_исходные!C994,4),MID(Клиенты_исходные!C994,6,2),RIGHT(Клиенты_исходные!C994,2))),Клиенты_исходные!C994)</f>
        <v>28730</v>
      </c>
      <c r="D994" t="str">
        <f>IF(ISBLANK(Клиенты_исходные!D994),"",IF(LEN(SUBSTITUTE(SUBSTITUTE(SUBSTITUTE(SUBSTITUTE(SUBSTITUTE(Клиенты_исходные!D994," ",""),"-",""),"+",""),"(",""),")",""))=11,"+7 ("&amp;MID(IF(LEFT(SUBSTITUTE(SUBSTITUTE(SUBSTITUTE(SUBSTITUTE(SUBSTITUTE(Клиенты_исходные!D994," ",""),"-",""),"+",""),"(",""),")",""))="8","7"&amp;MID(SUBSTITUTE(SUBSTITUTE(SUBSTITUTE(SUBSTITUTE(SUBSTITUTE(Клиенты_исходные!D994," ",""),"-",""),"+",""),"(",""),")",""),2,10),SUBSTITUTE(SUBSTITUTE(SUBSTITUTE(SUBSTITUTE(SUBSTITUTE(Клиенты_исходные!D994," ",""),"-",""),"+",""),"(",""),")","")),2,3)&amp;") "&amp;MID(IF(LEFT(SUBSTITUTE(SUBSTITUTE(SUBSTITUTE(SUBSTITUTE(SUBSTITUTE(Клиенты_исходные!D994," ",""),"-",""),"+",""),"(",""),")",""))="8","7"&amp;MID(SUBSTITUTE(SUBSTITUTE(SUBSTITUTE(SUBSTITUTE(SUBSTITUTE(Клиенты_исходные!D994," ",""),"-",""),"+",""),"(",""),")",""),2,10),SUBSTITUTE(SUBSTITUTE(SUBSTITUTE(SUBSTITUTE(SUBSTITUTE(Клиенты_исходные!D994," ",""),"-",""),"+",""),"(",""),")","")),5,3)&amp;"-"&amp;MID(IF(LEFT(SUBSTITUTE(SUBSTITUTE(SUBSTITUTE(SUBSTITUTE(SUBSTITUTE(Клиенты_исходные!D994," ",""),"-",""),"+",""),"(",""),")",""))="8","7"&amp;MID(SUBSTITUTE(SUBSTITUTE(SUBSTITUTE(SUBSTITUTE(SUBSTITUTE(Клиенты_исходные!D994," ",""),"-",""),"+",""),"(",""),")",""),2,10),SUBSTITUTE(SUBSTITUTE(SUBSTITUTE(SUBSTITUTE(SUBSTITUTE(Клиенты_исходные!D994," ",""),"-",""),"+",""),"(",""),")","")),8,2)&amp;"-"&amp;MID(IF(LEFT(SUBSTITUTE(SUBSTITUTE(SUBSTITUTE(SUBSTITUTE(SUBSTITUTE(Клиенты_исходные!D994," ",""),"-",""),"+",""),"(",""),")",""))="8","7"&amp;MID(SUBSTITUTE(SUBSTITUTE(SUBSTITUTE(SUBSTITUTE(SUBSTITUTE(Клиенты_исходные!D994," ",""),"-",""),"+",""),"(",""),")",""),2,10),SUBSTITUTE(SUBSTITUTE(SUBSTITUTE(SUBSTITUTE(SUBSTITUTE(Клиенты_исходные!D994," ",""),"-",""),"+",""),"(",""),")","")),10,2),IF(LEN(SUBSTITUTE(SUBSTITUTE(SUBSTITUTE(SUBSTITUTE(SUBSTITUTE(Клиенты_исходные!D994," ",""),"-",""),"+",""),"(",""),")",""))=10,"+7 ("&amp;MID(SUBSTITUTE(SUBSTITUTE(SUBSTITUTE(SUBSTITUTE(SUBSTITUTE(Клиенты_исходные!D994," ",""),"-",""),"+",""),"(",""),")",""),1,3)&amp;") "&amp;MID(SUBSTITUTE(SUBSTITUTE(SUBSTITUTE(SUBSTITUTE(SUBSTITUTE(Клиенты_исходные!D994," ",""),"-",""),"+",""),"(",""),")",""),4,3)&amp;"-"&amp;MID(SUBSTITUTE(SUBSTITUTE(SUBSTITUTE(SUBSTITUTE(SUBSTITUTE(Клиенты_исходные!D994," ",""),"-",""),"+",""),"(",""),")",""),6,2)&amp;"-"&amp;MID(SUBSTITUTE(SUBSTITUTE(SUBSTITUTE(SUBSTITUTE(SUBSTITUTE(Клиенты_исходные!D994," ",""),"-",""),"+",""),"(",""),")",""),8,2),Клиенты_исходные!D994)))</f>
        <v xml:space="preserve">+7 (903) 789-01-23</v>
      </c>
      <c r="E994" t="str">
        <f>IF(ISBLANK(Клиенты_исходные!E994),"",IF(ISNUMBER(FIND(".",MID(Клиенты_исходные!E994,FIND("@",Клиенты_исходные!E994)+1,255))),Клиенты_исходные!E994,IF(ISNUMBER(FIND("gmail",Клиенты_исходные!E994)),Клиенты_исходные!E994&amp;".com",Клиенты_исходные!E994&amp;".ru")))</f>
        <v>koroleva@gmail.com</v>
      </c>
      <c r="F994" t="str">
        <f>IFERROR(VLOOKUP(Клиенты_исходные!F994,Справочники!$J$2:$K$50,2,FALSE),Клиенты_исходные!F994)</f>
        <v>Волжский</v>
      </c>
      <c r="G994" s="8">
        <f>IFERROR(IF(ISNUMBER(FIND(".",Клиенты_исходные!G994)),DATE(RIGHT(Клиенты_исходные!G994,4),MID(Клиенты_исходные!G994,4,2),LEFT(Клиенты_исходные!G994,2)),DATE(LEFT(Клиенты_исходные!G994,4),MID(Клиенты_исходные!G994,6,2),RIGHT(Клиенты_исходные!G994,2))),Клиенты_исходные!G994)</f>
        <v>54619</v>
      </c>
      <c r="H994">
        <f t="shared" ca="1" si="91"/>
        <v>48</v>
      </c>
      <c r="I994" t="str">
        <f t="shared" si="92"/>
        <v>OK</v>
      </c>
      <c r="J994" t="str">
        <f t="shared" si="93"/>
        <v>OK</v>
      </c>
    </row>
    <row r="995">
      <c r="A995" t="str">
        <f>Клиенты_исходные!A995</f>
        <v>C0994</v>
      </c>
      <c r="B995" t="str">
        <f>PROPER(TRIM(Клиенты_исходные!B995))</f>
        <v xml:space="preserve">Кузьмин Андрей Олегович</v>
      </c>
      <c r="C995" s="8">
        <f>IFERROR(IF(ISNUMBER(FIND(".",Клиенты_исходные!C995)),DATE(RIGHT(Клиенты_исходные!C995,4),MID(Клиенты_исходные!C995,4,2),LEFT(Клиенты_исходные!C995,2)),DATE(LEFT(Клиенты_исходные!C995,4),MID(Клиенты_исходные!C995,6,2),RIGHT(Клиенты_исходные!C995,2))),Клиенты_исходные!C995)</f>
        <v>31337</v>
      </c>
      <c r="D995" t="str">
        <f>IF(ISBLANK(Клиенты_исходные!D995),"",IF(LEN(SUBSTITUTE(SUBSTITUTE(SUBSTITUTE(SUBSTITUTE(SUBSTITUTE(Клиенты_исходные!D995," ",""),"-",""),"+",""),"(",""),")",""))=11,"+7 ("&amp;MID(IF(LEFT(SUBSTITUTE(SUBSTITUTE(SUBSTITUTE(SUBSTITUTE(SUBSTITUTE(Клиенты_исходные!D995," ",""),"-",""),"+",""),"(",""),")",""))="8","7"&amp;MID(SUBSTITUTE(SUBSTITUTE(SUBSTITUTE(SUBSTITUTE(SUBSTITUTE(Клиенты_исходные!D995," ",""),"-",""),"+",""),"(",""),")",""),2,10),SUBSTITUTE(SUBSTITUTE(SUBSTITUTE(SUBSTITUTE(SUBSTITUTE(Клиенты_исходные!D995," ",""),"-",""),"+",""),"(",""),")","")),2,3)&amp;") "&amp;MID(IF(LEFT(SUBSTITUTE(SUBSTITUTE(SUBSTITUTE(SUBSTITUTE(SUBSTITUTE(Клиенты_исходные!D995," ",""),"-",""),"+",""),"(",""),")",""))="8","7"&amp;MID(SUBSTITUTE(SUBSTITUTE(SUBSTITUTE(SUBSTITUTE(SUBSTITUTE(Клиенты_исходные!D995," ",""),"-",""),"+",""),"(",""),")",""),2,10),SUBSTITUTE(SUBSTITUTE(SUBSTITUTE(SUBSTITUTE(SUBSTITUTE(Клиенты_исходные!D995," ",""),"-",""),"+",""),"(",""),")","")),5,3)&amp;"-"&amp;MID(IF(LEFT(SUBSTITUTE(SUBSTITUTE(SUBSTITUTE(SUBSTITUTE(SUBSTITUTE(Клиенты_исходные!D995," ",""),"-",""),"+",""),"(",""),")",""))="8","7"&amp;MID(SUBSTITUTE(SUBSTITUTE(SUBSTITUTE(SUBSTITUTE(SUBSTITUTE(Клиенты_исходные!D995," ",""),"-",""),"+",""),"(",""),")",""),2,10),SUBSTITUTE(SUBSTITUTE(SUBSTITUTE(SUBSTITUTE(SUBSTITUTE(Клиенты_исходные!D995," ",""),"-",""),"+",""),"(",""),")","")),8,2)&amp;"-"&amp;MID(IF(LEFT(SUBSTITUTE(SUBSTITUTE(SUBSTITUTE(SUBSTITUTE(SUBSTITUTE(Клиенты_исходные!D995," ",""),"-",""),"+",""),"(",""),")",""))="8","7"&amp;MID(SUBSTITUTE(SUBSTITUTE(SUBSTITUTE(SUBSTITUTE(SUBSTITUTE(Клиенты_исходные!D995," ",""),"-",""),"+",""),"(",""),")",""),2,10),SUBSTITUTE(SUBSTITUTE(SUBSTITUTE(SUBSTITUTE(SUBSTITUTE(Клиенты_исходные!D995," ",""),"-",""),"+",""),"(",""),")","")),10,2),IF(LEN(SUBSTITUTE(SUBSTITUTE(SUBSTITUTE(SUBSTITUTE(SUBSTITUTE(Клиенты_исходные!D995," ",""),"-",""),"+",""),"(",""),")",""))=10,"+7 ("&amp;MID(SUBSTITUTE(SUBSTITUTE(SUBSTITUTE(SUBSTITUTE(SUBSTITUTE(Клиенты_исходные!D995," ",""),"-",""),"+",""),"(",""),")",""),1,3)&amp;") "&amp;MID(SUBSTITUTE(SUBSTITUTE(SUBSTITUTE(SUBSTITUTE(SUBSTITUTE(Клиенты_исходные!D995," ",""),"-",""),"+",""),"(",""),")",""),4,3)&amp;"-"&amp;MID(SUBSTITUTE(SUBSTITUTE(SUBSTITUTE(SUBSTITUTE(SUBSTITUTE(Клиенты_исходные!D995," ",""),"-",""),"+",""),"(",""),")",""),6,2)&amp;"-"&amp;MID(SUBSTITUTE(SUBSTITUTE(SUBSTITUTE(SUBSTITUTE(SUBSTITUTE(Клиенты_исходные!D995," ",""),"-",""),"+",""),"(",""),")",""),8,2),Клиенты_исходные!D995)))</f>
        <v xml:space="preserve">+7 (903) 789-01-23</v>
      </c>
      <c r="E995" t="str">
        <f>IF(ISBLANK(Клиенты_исходные!E995),"",IF(ISNUMBER(FIND(".",MID(Клиенты_исходные!E995,FIND("@",Клиенты_исходные!E995)+1,255))),Клиенты_исходные!E995,IF(ISNUMBER(FIND("gmail",Клиенты_исходные!E995)),Клиенты_исходные!E995&amp;".com",Клиенты_исходные!E995&amp;".ru")))</f>
        <v>kuzmin@mail.ru</v>
      </c>
      <c r="F995" t="str">
        <f>IFERROR(VLOOKUP(Клиенты_исходные!F995,Справочники!$J$2:$K$50,2,FALSE),Клиенты_исходные!F995)</f>
        <v>Шахты</v>
      </c>
      <c r="G995" s="8">
        <f>IFERROR(IF(ISNUMBER(FIND(".",Клиенты_исходные!G995)),DATE(RIGHT(Клиенты_исходные!G995,4),MID(Клиенты_исходные!G995,4,2),LEFT(Клиенты_исходные!G995,2)),DATE(LEFT(Клиенты_исходные!G995,4),MID(Клиенты_исходные!G995,6,2),RIGHT(Клиенты_исходные!G995,2))),Клиенты_исходные!G995)</f>
        <v>54636</v>
      </c>
      <c r="H995">
        <f t="shared" ca="1" si="91"/>
        <v>40</v>
      </c>
      <c r="I995" t="str">
        <f t="shared" si="92"/>
        <v>OK</v>
      </c>
      <c r="J995" t="str">
        <f t="shared" si="93"/>
        <v>OK</v>
      </c>
    </row>
    <row r="996">
      <c r="A996" t="str">
        <f>Клиенты_исходные!A996</f>
        <v>C0995</v>
      </c>
      <c r="B996" t="str">
        <f>PROPER(TRIM(Клиенты_исходные!B996))</f>
        <v xml:space="preserve">Егорова Екатерина Владимировна</v>
      </c>
      <c r="C996" s="8">
        <f>IFERROR(IF(ISNUMBER(FIND(".",Клиенты_исходные!C996)),DATE(RIGHT(Клиенты_исходные!C996,4),MID(Клиенты_исходные!C996,4,2),LEFT(Клиенты_исходные!C996,2)),DATE(LEFT(Клиенты_исходные!C996,4),MID(Клиенты_исходные!C996,6,2),RIGHT(Клиенты_исходные!C996,2))),Клиенты_исходные!C996)</f>
        <v>33578</v>
      </c>
      <c r="D996" t="str">
        <f>IF(ISBLANK(Клиенты_исходные!D996),"",IF(LEN(SUBSTITUTE(SUBSTITUTE(SUBSTITUTE(SUBSTITUTE(SUBSTITUTE(Клиенты_исходные!D996," ",""),"-",""),"+",""),"(",""),")",""))=11,"+7 ("&amp;MID(IF(LEFT(SUBSTITUTE(SUBSTITUTE(SUBSTITUTE(SUBSTITUTE(SUBSTITUTE(Клиенты_исходные!D996," ",""),"-",""),"+",""),"(",""),")",""))="8","7"&amp;MID(SUBSTITUTE(SUBSTITUTE(SUBSTITUTE(SUBSTITUTE(SUBSTITUTE(Клиенты_исходные!D996," ",""),"-",""),"+",""),"(",""),")",""),2,10),SUBSTITUTE(SUBSTITUTE(SUBSTITUTE(SUBSTITUTE(SUBSTITUTE(Клиенты_исходные!D996," ",""),"-",""),"+",""),"(",""),")","")),2,3)&amp;") "&amp;MID(IF(LEFT(SUBSTITUTE(SUBSTITUTE(SUBSTITUTE(SUBSTITUTE(SUBSTITUTE(Клиенты_исходные!D996," ",""),"-",""),"+",""),"(",""),")",""))="8","7"&amp;MID(SUBSTITUTE(SUBSTITUTE(SUBSTITUTE(SUBSTITUTE(SUBSTITUTE(Клиенты_исходные!D996," ",""),"-",""),"+",""),"(",""),")",""),2,10),SUBSTITUTE(SUBSTITUTE(SUBSTITUTE(SUBSTITUTE(SUBSTITUTE(Клиенты_исходные!D996," ",""),"-",""),"+",""),"(",""),")","")),5,3)&amp;"-"&amp;MID(IF(LEFT(SUBSTITUTE(SUBSTITUTE(SUBSTITUTE(SUBSTITUTE(SUBSTITUTE(Клиенты_исходные!D996," ",""),"-",""),"+",""),"(",""),")",""))="8","7"&amp;MID(SUBSTITUTE(SUBSTITUTE(SUBSTITUTE(SUBSTITUTE(SUBSTITUTE(Клиенты_исходные!D996," ",""),"-",""),"+",""),"(",""),")",""),2,10),SUBSTITUTE(SUBSTITUTE(SUBSTITUTE(SUBSTITUTE(SUBSTITUTE(Клиенты_исходные!D996," ",""),"-",""),"+",""),"(",""),")","")),8,2)&amp;"-"&amp;MID(IF(LEFT(SUBSTITUTE(SUBSTITUTE(SUBSTITUTE(SUBSTITUTE(SUBSTITUTE(Клиенты_исходные!D996," ",""),"-",""),"+",""),"(",""),")",""))="8","7"&amp;MID(SUBSTITUTE(SUBSTITUTE(SUBSTITUTE(SUBSTITUTE(SUBSTITUTE(Клиенты_исходные!D996," ",""),"-",""),"+",""),"(",""),")",""),2,10),SUBSTITUTE(SUBSTITUTE(SUBSTITUTE(SUBSTITUTE(SUBSTITUTE(Клиенты_исходные!D996," ",""),"-",""),"+",""),"(",""),")","")),10,2),IF(LEN(SUBSTITUTE(SUBSTITUTE(SUBSTITUTE(SUBSTITUTE(SUBSTITUTE(Клиенты_исходные!D996," ",""),"-",""),"+",""),"(",""),")",""))=10,"+7 ("&amp;MID(SUBSTITUTE(SUBSTITUTE(SUBSTITUTE(SUBSTITUTE(SUBSTITUTE(Клиенты_исходные!D996," ",""),"-",""),"+",""),"(",""),")",""),1,3)&amp;") "&amp;MID(SUBSTITUTE(SUBSTITUTE(SUBSTITUTE(SUBSTITUTE(SUBSTITUTE(Клиенты_исходные!D996," ",""),"-",""),"+",""),"(",""),")",""),4,3)&amp;"-"&amp;MID(SUBSTITUTE(SUBSTITUTE(SUBSTITUTE(SUBSTITUTE(SUBSTITUTE(Клиенты_исходные!D996," ",""),"-",""),"+",""),"(",""),")",""),6,2)&amp;"-"&amp;MID(SUBSTITUTE(SUBSTITUTE(SUBSTITUTE(SUBSTITUTE(SUBSTITUTE(Клиенты_исходные!D996," ",""),"-",""),"+",""),"(",""),")",""),8,2),Клиенты_исходные!D996)))</f>
        <v xml:space="preserve">+7 (903) 789-01-23</v>
      </c>
      <c r="E996" t="str">
        <f>IF(ISBLANK(Клиенты_исходные!E996),"",IF(ISNUMBER(FIND(".",MID(Клиенты_исходные!E996,FIND("@",Клиенты_исходные!E996)+1,255))),Клиенты_исходные!E996,IF(ISNUMBER(FIND("gmail",Клиенты_исходные!E996)),Клиенты_исходные!E996&amp;".com",Клиенты_исходные!E996&amp;".ru")))</f>
        <v>egorova@yandex.ru</v>
      </c>
      <c r="F996" t="str">
        <f>IFERROR(VLOOKUP(Клиенты_исходные!F996,Справочники!$J$2:$K$50,2,FALSE),Клиенты_исходные!F996)</f>
        <v>Златоуст</v>
      </c>
      <c r="G996" s="8">
        <f>IFERROR(IF(ISNUMBER(FIND(".",Клиенты_исходные!G996)),DATE(RIGHT(Клиенты_исходные!G996,4),MID(Клиенты_исходные!G996,4,2),LEFT(Клиенты_исходные!G996,2)),DATE(LEFT(Клиенты_исходные!G996,4),MID(Клиенты_исходные!G996,6,2),RIGHT(Клиенты_исходные!G996,2))),Клиенты_исходные!G996)</f>
        <v>54645</v>
      </c>
      <c r="H996">
        <f t="shared" ref="H996:H999" ca="1" si="94">DATEDIF(C996,TODAY(),"Y")</f>
        <v>34</v>
      </c>
      <c r="I996" t="str">
        <f t="shared" ref="I996:I999" si="95">IF(OR(H996&lt;18,H996&gt;80),"Ошибка даты рождения","OK")</f>
        <v>OK</v>
      </c>
      <c r="J996" t="str">
        <f t="shared" ref="J996:J999" si="96">IF(AND(ISNUMBER(FIND("@",E996)),ISNUMBER(FIND(".",MID(E996,FIND("@",E996)+1,255)))),"OK","Ошибка Email")</f>
        <v>OK</v>
      </c>
    </row>
    <row r="997">
      <c r="A997" t="str">
        <f>Клиенты_исходные!A997</f>
        <v>C0996</v>
      </c>
      <c r="B997" t="str">
        <f>PROPER(TRIM(Клиенты_исходные!B997))</f>
        <v xml:space="preserve">Пешехонов Илья Александрович</v>
      </c>
      <c r="C997" s="8">
        <f>IFERROR(IF(ISNUMBER(FIND(".",Клиенты_исходные!C997)),DATE(RIGHT(Клиенты_исходные!C997,4),MID(Клиенты_исходные!C997,4,2),LEFT(Клиенты_исходные!C997,2)),DATE(LEFT(Клиенты_исходные!C997,4),MID(Клиенты_исходные!C997,6,2),RIGHT(Клиенты_исходные!C997,2))),Клиенты_исходные!C997)</f>
        <v>26860</v>
      </c>
      <c r="D997" t="str">
        <f>IF(ISBLANK(Клиенты_исходные!D997),"",IF(LEN(SUBSTITUTE(SUBSTITUTE(SUBSTITUTE(SUBSTITUTE(SUBSTITUTE(Клиенты_исходные!D997," ",""),"-",""),"+",""),"(",""),")",""))=11,"+7 ("&amp;MID(IF(LEFT(SUBSTITUTE(SUBSTITUTE(SUBSTITUTE(SUBSTITUTE(SUBSTITUTE(Клиенты_исходные!D997," ",""),"-",""),"+",""),"(",""),")",""))="8","7"&amp;MID(SUBSTITUTE(SUBSTITUTE(SUBSTITUTE(SUBSTITUTE(SUBSTITUTE(Клиенты_исходные!D997," ",""),"-",""),"+",""),"(",""),")",""),2,10),SUBSTITUTE(SUBSTITUTE(SUBSTITUTE(SUBSTITUTE(SUBSTITUTE(Клиенты_исходные!D997," ",""),"-",""),"+",""),"(",""),")","")),2,3)&amp;") "&amp;MID(IF(LEFT(SUBSTITUTE(SUBSTITUTE(SUBSTITUTE(SUBSTITUTE(SUBSTITUTE(Клиенты_исходные!D997," ",""),"-",""),"+",""),"(",""),")",""))="8","7"&amp;MID(SUBSTITUTE(SUBSTITUTE(SUBSTITUTE(SUBSTITUTE(SUBSTITUTE(Клиенты_исходные!D997," ",""),"-",""),"+",""),"(",""),")",""),2,10),SUBSTITUTE(SUBSTITUTE(SUBSTITUTE(SUBSTITUTE(SUBSTITUTE(Клиенты_исходные!D997," ",""),"-",""),"+",""),"(",""),")","")),5,3)&amp;"-"&amp;MID(IF(LEFT(SUBSTITUTE(SUBSTITUTE(SUBSTITUTE(SUBSTITUTE(SUBSTITUTE(Клиенты_исходные!D997," ",""),"-",""),"+",""),"(",""),")",""))="8","7"&amp;MID(SUBSTITUTE(SUBSTITUTE(SUBSTITUTE(SUBSTITUTE(SUBSTITUTE(Клиенты_исходные!D997," ",""),"-",""),"+",""),"(",""),")",""),2,10),SUBSTITUTE(SUBSTITUTE(SUBSTITUTE(SUBSTITUTE(SUBSTITUTE(Клиенты_исходные!D997," ",""),"-",""),"+",""),"(",""),")","")),8,2)&amp;"-"&amp;MID(IF(LEFT(SUBSTITUTE(SUBSTITUTE(SUBSTITUTE(SUBSTITUTE(SUBSTITUTE(Клиенты_исходные!D997," ",""),"-",""),"+",""),"(",""),")",""))="8","7"&amp;MID(SUBSTITUTE(SUBSTITUTE(SUBSTITUTE(SUBSTITUTE(SUBSTITUTE(Клиенты_исходные!D997," ",""),"-",""),"+",""),"(",""),")",""),2,10),SUBSTITUTE(SUBSTITUTE(SUBSTITUTE(SUBSTITUTE(SUBSTITUTE(Клиенты_исходные!D997," ",""),"-",""),"+",""),"(",""),")","")),10,2),IF(LEN(SUBSTITUTE(SUBSTITUTE(SUBSTITUTE(SUBSTITUTE(SUBSTITUTE(Клиенты_исходные!D997," ",""),"-",""),"+",""),"(",""),")",""))=10,"+7 ("&amp;MID(SUBSTITUTE(SUBSTITUTE(SUBSTITUTE(SUBSTITUTE(SUBSTITUTE(Клиенты_исходные!D997," ",""),"-",""),"+",""),"(",""),")",""),1,3)&amp;") "&amp;MID(SUBSTITUTE(SUBSTITUTE(SUBSTITUTE(SUBSTITUTE(SUBSTITUTE(Клиенты_исходные!D997," ",""),"-",""),"+",""),"(",""),")",""),4,3)&amp;"-"&amp;MID(SUBSTITUTE(SUBSTITUTE(SUBSTITUTE(SUBSTITUTE(SUBSTITUTE(Клиенты_исходные!D997," ",""),"-",""),"+",""),"(",""),")",""),6,2)&amp;"-"&amp;MID(SUBSTITUTE(SUBSTITUTE(SUBSTITUTE(SUBSTITUTE(SUBSTITUTE(Клиенты_исходные!D997," ",""),"-",""),"+",""),"(",""),")",""),8,2),Клиенты_исходные!D997)))</f>
        <v xml:space="preserve">+7 (903) 890-12-34</v>
      </c>
      <c r="E997" t="str">
        <f>IF(ISBLANK(Клиенты_исходные!E997),"",IF(ISNUMBER(FIND(".",MID(Клиенты_исходные!E997,FIND("@",Клиенты_исходные!E997)+1,255))),Клиенты_исходные!E997,IF(ISNUMBER(FIND("gmail",Клиенты_исходные!E997)),Клиенты_исходные!E997&amp;".com",Клиенты_исходные!E997&amp;".ru")))</f>
        <v>peshehonov@gmail.com</v>
      </c>
      <c r="F997" t="str">
        <f>IFERROR(VLOOKUP(Клиенты_исходные!F997,Справочники!$J$2:$K$50,2,FALSE),Клиенты_исходные!F997)</f>
        <v>Ангарск</v>
      </c>
      <c r="G997" s="8">
        <f>IFERROR(IF(ISNUMBER(FIND(".",Клиенты_исходные!G997)),DATE(RIGHT(Клиенты_исходные!G997,4),MID(Клиенты_исходные!G997,4,2),LEFT(Клиенты_исходные!G997,2)),DATE(LEFT(Клиенты_исходные!G997,4),MID(Клиенты_исходные!G997,6,2),RIGHT(Клиенты_исходные!G997,2))),Клиенты_исходные!G997)</f>
        <v>54645</v>
      </c>
      <c r="H997">
        <f t="shared" ca="1" si="94"/>
        <v>53</v>
      </c>
      <c r="I997" t="str">
        <f t="shared" si="95"/>
        <v>OK</v>
      </c>
      <c r="J997" t="str">
        <f t="shared" si="96"/>
        <v>OK</v>
      </c>
    </row>
    <row r="998">
      <c r="A998" t="str">
        <f>Клиенты_исходные!A998</f>
        <v>C0997</v>
      </c>
      <c r="B998" t="str">
        <f>PROPER(TRIM(Клиенты_исходные!B998))</f>
        <v xml:space="preserve">Терёхина Мария Павловна</v>
      </c>
      <c r="C998" s="8">
        <f>IFERROR(IF(ISNUMBER(FIND(".",Клиенты_исходные!C998)),DATE(RIGHT(Клиенты_исходные!C998,4),MID(Клиенты_исходные!C998,4,2),LEFT(Клиенты_исходные!C998,2)),DATE(LEFT(Клиенты_исходные!C998,4),MID(Клиенты_исходные!C998,6,2),RIGHT(Клиенты_исходные!C998,2))),Клиенты_исходные!C998)</f>
        <v>29334</v>
      </c>
      <c r="D998" t="str">
        <f>IF(ISBLANK(Клиенты_исходные!D998),"",IF(LEN(SUBSTITUTE(SUBSTITUTE(SUBSTITUTE(SUBSTITUTE(SUBSTITUTE(Клиенты_исходные!D998," ",""),"-",""),"+",""),"(",""),")",""))=11,"+7 ("&amp;MID(IF(LEFT(SUBSTITUTE(SUBSTITUTE(SUBSTITUTE(SUBSTITUTE(SUBSTITUTE(Клиенты_исходные!D998," ",""),"-",""),"+",""),"(",""),")",""))="8","7"&amp;MID(SUBSTITUTE(SUBSTITUTE(SUBSTITUTE(SUBSTITUTE(SUBSTITUTE(Клиенты_исходные!D998," ",""),"-",""),"+",""),"(",""),")",""),2,10),SUBSTITUTE(SUBSTITUTE(SUBSTITUTE(SUBSTITUTE(SUBSTITUTE(Клиенты_исходные!D998," ",""),"-",""),"+",""),"(",""),")","")),2,3)&amp;") "&amp;MID(IF(LEFT(SUBSTITUTE(SUBSTITUTE(SUBSTITUTE(SUBSTITUTE(SUBSTITUTE(Клиенты_исходные!D998," ",""),"-",""),"+",""),"(",""),")",""))="8","7"&amp;MID(SUBSTITUTE(SUBSTITUTE(SUBSTITUTE(SUBSTITUTE(SUBSTITUTE(Клиенты_исходные!D998," ",""),"-",""),"+",""),"(",""),")",""),2,10),SUBSTITUTE(SUBSTITUTE(SUBSTITUTE(SUBSTITUTE(SUBSTITUTE(Клиенты_исходные!D998," ",""),"-",""),"+",""),"(",""),")","")),5,3)&amp;"-"&amp;MID(IF(LEFT(SUBSTITUTE(SUBSTITUTE(SUBSTITUTE(SUBSTITUTE(SUBSTITUTE(Клиенты_исходные!D998," ",""),"-",""),"+",""),"(",""),")",""))="8","7"&amp;MID(SUBSTITUTE(SUBSTITUTE(SUBSTITUTE(SUBSTITUTE(SUBSTITUTE(Клиенты_исходные!D998," ",""),"-",""),"+",""),"(",""),")",""),2,10),SUBSTITUTE(SUBSTITUTE(SUBSTITUTE(SUBSTITUTE(SUBSTITUTE(Клиенты_исходные!D998," ",""),"-",""),"+",""),"(",""),")","")),8,2)&amp;"-"&amp;MID(IF(LEFT(SUBSTITUTE(SUBSTITUTE(SUBSTITUTE(SUBSTITUTE(SUBSTITUTE(Клиенты_исходные!D998," ",""),"-",""),"+",""),"(",""),")",""))="8","7"&amp;MID(SUBSTITUTE(SUBSTITUTE(SUBSTITUTE(SUBSTITUTE(SUBSTITUTE(Клиенты_исходные!D998," ",""),"-",""),"+",""),"(",""),")",""),2,10),SUBSTITUTE(SUBSTITUTE(SUBSTITUTE(SUBSTITUTE(SUBSTITUTE(Клиенты_исходные!D998," ",""),"-",""),"+",""),"(",""),")","")),10,2),IF(LEN(SUBSTITUTE(SUBSTITUTE(SUBSTITUTE(SUBSTITUTE(SUBSTITUTE(Клиенты_исходные!D998," ",""),"-",""),"+",""),"(",""),")",""))=10,"+7 ("&amp;MID(SUBSTITUTE(SUBSTITUTE(SUBSTITUTE(SUBSTITUTE(SUBSTITUTE(Клиенты_исходные!D998," ",""),"-",""),"+",""),"(",""),")",""),1,3)&amp;") "&amp;MID(SUBSTITUTE(SUBSTITUTE(SUBSTITUTE(SUBSTITUTE(SUBSTITUTE(Клиенты_исходные!D998," ",""),"-",""),"+",""),"(",""),")",""),4,3)&amp;"-"&amp;MID(SUBSTITUTE(SUBSTITUTE(SUBSTITUTE(SUBSTITUTE(SUBSTITUTE(Клиенты_исходные!D998," ",""),"-",""),"+",""),"(",""),")",""),6,2)&amp;"-"&amp;MID(SUBSTITUTE(SUBSTITUTE(SUBSTITUTE(SUBSTITUTE(SUBSTITUTE(Клиенты_исходные!D998," ",""),"-",""),"+",""),"(",""),")",""),8,2),Клиенты_исходные!D998)))</f>
        <v xml:space="preserve">+7 (903) 890-12-34</v>
      </c>
      <c r="E998" t="str">
        <f>IF(ISBLANK(Клиенты_исходные!E998),"",IF(ISNUMBER(FIND(".",MID(Клиенты_исходные!E998,FIND("@",Клиенты_исходные!E998)+1,255))),Клиенты_исходные!E998,IF(ISNUMBER(FIND("gmail",Клиенты_исходные!E998)),Клиенты_исходные!E998&amp;".com",Клиенты_исходные!E998&amp;".ru")))</f>
        <v>teryohina@mail.ru</v>
      </c>
      <c r="F998" t="str">
        <f>IFERROR(VLOOKUP(Клиенты_исходные!F998,Справочники!$J$2:$K$50,2,FALSE),Клиенты_исходные!F998)</f>
        <v>Озёрск</v>
      </c>
      <c r="G998" s="8">
        <f>IFERROR(IF(ISNUMBER(FIND(".",Клиенты_исходные!G998)),DATE(RIGHT(Клиенты_исходные!G998,4),MID(Клиенты_исходные!G998,4,2),LEFT(Клиенты_исходные!G998,2)),DATE(LEFT(Клиенты_исходные!G998,4),MID(Клиенты_исходные!G998,6,2),RIGHT(Клиенты_исходные!G998,2))),Клиенты_исходные!G998)</f>
        <v>54667</v>
      </c>
      <c r="H998">
        <f t="shared" ca="1" si="94"/>
        <v>46</v>
      </c>
      <c r="I998" t="str">
        <f t="shared" si="95"/>
        <v>OK</v>
      </c>
      <c r="J998" t="str">
        <f t="shared" si="96"/>
        <v>OK</v>
      </c>
    </row>
    <row r="999">
      <c r="A999" t="str">
        <f>Клиенты_исходные!A999</f>
        <v>C0998</v>
      </c>
      <c r="B999" t="str">
        <f>PROPER(TRIM(Клиенты_исходные!B999))</f>
        <v xml:space="preserve">Белоусов Денис Сергеевич</v>
      </c>
      <c r="C999" s="8">
        <f>IFERROR(IF(ISNUMBER(FIND(".",Клиенты_исходные!C999)),DATE(RIGHT(Клиенты_исходные!C999,4),MID(Клиенты_исходные!C999,4,2),LEFT(Клиенты_исходные!C999,2)),DATE(LEFT(Клиенты_исходные!C999,4),MID(Клиенты_исходные!C999,6,2),RIGHT(Клиенты_исходные!C999,2))),Клиенты_исходные!C999)</f>
        <v>32765</v>
      </c>
      <c r="D999" t="str">
        <f>IF(ISBLANK(Клиенты_исходные!D999),"",IF(LEN(SUBSTITUTE(SUBSTITUTE(SUBSTITUTE(SUBSTITUTE(SUBSTITUTE(Клиенты_исходные!D999," ",""),"-",""),"+",""),"(",""),")",""))=11,"+7 ("&amp;MID(IF(LEFT(SUBSTITUTE(SUBSTITUTE(SUBSTITUTE(SUBSTITUTE(SUBSTITUTE(Клиенты_исходные!D999," ",""),"-",""),"+",""),"(",""),")",""))="8","7"&amp;MID(SUBSTITUTE(SUBSTITUTE(SUBSTITUTE(SUBSTITUTE(SUBSTITUTE(Клиенты_исходные!D999," ",""),"-",""),"+",""),"(",""),")",""),2,10),SUBSTITUTE(SUBSTITUTE(SUBSTITUTE(SUBSTITUTE(SUBSTITUTE(Клиенты_исходные!D999," ",""),"-",""),"+",""),"(",""),")","")),2,3)&amp;") "&amp;MID(IF(LEFT(SUBSTITUTE(SUBSTITUTE(SUBSTITUTE(SUBSTITUTE(SUBSTITUTE(Клиенты_исходные!D999," ",""),"-",""),"+",""),"(",""),")",""))="8","7"&amp;MID(SUBSTITUTE(SUBSTITUTE(SUBSTITUTE(SUBSTITUTE(SUBSTITUTE(Клиенты_исходные!D999," ",""),"-",""),"+",""),"(",""),")",""),2,10),SUBSTITUTE(SUBSTITUTE(SUBSTITUTE(SUBSTITUTE(SUBSTITUTE(Клиенты_исходные!D999," ",""),"-",""),"+",""),"(",""),")","")),5,3)&amp;"-"&amp;MID(IF(LEFT(SUBSTITUTE(SUBSTITUTE(SUBSTITUTE(SUBSTITUTE(SUBSTITUTE(Клиенты_исходные!D999," ",""),"-",""),"+",""),"(",""),")",""))="8","7"&amp;MID(SUBSTITUTE(SUBSTITUTE(SUBSTITUTE(SUBSTITUTE(SUBSTITUTE(Клиенты_исходные!D999," ",""),"-",""),"+",""),"(",""),")",""),2,10),SUBSTITUTE(SUBSTITUTE(SUBSTITUTE(SUBSTITUTE(SUBSTITUTE(Клиенты_исходные!D999," ",""),"-",""),"+",""),"(",""),")","")),8,2)&amp;"-"&amp;MID(IF(LEFT(SUBSTITUTE(SUBSTITUTE(SUBSTITUTE(SUBSTITUTE(SUBSTITUTE(Клиенты_исходные!D999," ",""),"-",""),"+",""),"(",""),")",""))="8","7"&amp;MID(SUBSTITUTE(SUBSTITUTE(SUBSTITUTE(SUBSTITUTE(SUBSTITUTE(Клиенты_исходные!D999," ",""),"-",""),"+",""),"(",""),")",""),2,10),SUBSTITUTE(SUBSTITUTE(SUBSTITUTE(SUBSTITUTE(SUBSTITUTE(Клиенты_исходные!D999," ",""),"-",""),"+",""),"(",""),")","")),10,2),IF(LEN(SUBSTITUTE(SUBSTITUTE(SUBSTITUTE(SUBSTITUTE(SUBSTITUTE(Клиенты_исходные!D999," ",""),"-",""),"+",""),"(",""),")",""))=10,"+7 ("&amp;MID(SUBSTITUTE(SUBSTITUTE(SUBSTITUTE(SUBSTITUTE(SUBSTITUTE(Клиенты_исходные!D999," ",""),"-",""),"+",""),"(",""),")",""),1,3)&amp;") "&amp;MID(SUBSTITUTE(SUBSTITUTE(SUBSTITUTE(SUBSTITUTE(SUBSTITUTE(Клиенты_исходные!D999," ",""),"-",""),"+",""),"(",""),")",""),4,3)&amp;"-"&amp;MID(SUBSTITUTE(SUBSTITUTE(SUBSTITUTE(SUBSTITUTE(SUBSTITUTE(Клиенты_исходные!D999," ",""),"-",""),"+",""),"(",""),")",""),6,2)&amp;"-"&amp;MID(SUBSTITUTE(SUBSTITUTE(SUBSTITUTE(SUBSTITUTE(SUBSTITUTE(Клиенты_исходные!D999," ",""),"-",""),"+",""),"(",""),")",""),8,2),Клиенты_исходные!D999)))</f>
        <v xml:space="preserve">+7 (903) 890-12-34</v>
      </c>
      <c r="E999" t="str">
        <f>IF(ISBLANK(Клиенты_исходные!E999),"",IF(ISNUMBER(FIND(".",MID(Клиенты_исходные!E999,FIND("@",Клиенты_исходные!E999)+1,255))),Клиенты_исходные!E999,IF(ISNUMBER(FIND("gmail",Клиенты_исходные!E999)),Клиенты_исходные!E999&amp;".com",Клиенты_исходные!E999&amp;".ru")))</f>
        <v>belousov@yandex.ru</v>
      </c>
      <c r="F999" t="str">
        <f>IFERROR(VLOOKUP(Клиенты_исходные!F999,Справочники!$J$2:$K$50,2,FALSE),Клиенты_исходные!F999)</f>
        <v>Орел</v>
      </c>
      <c r="G999" s="8">
        <f>IFERROR(IF(ISNUMBER(FIND(".",Клиенты_исходные!G999)),DATE(RIGHT(Клиенты_исходные!G999,4),MID(Клиенты_исходные!G999,4,2),LEFT(Клиенты_исходные!G999,2)),DATE(LEFT(Клиенты_исходные!G999,4),MID(Клиенты_исходные!G999,6,2),RIGHT(Клиенты_исходные!G999,2))),Клиенты_исходные!G999)</f>
        <v>54681</v>
      </c>
      <c r="H999">
        <f t="shared" ca="1" si="94"/>
        <v>37</v>
      </c>
      <c r="I999" t="str">
        <f t="shared" si="95"/>
        <v>OK</v>
      </c>
      <c r="J999" t="str">
        <f t="shared" si="96"/>
        <v>OK</v>
      </c>
    </row>
    <row r="1000">
      <c r="A1000" t="str">
        <f>'Клиенты_исходные'!A1000</f>
        <v>C0999</v>
      </c>
      <c r="B1000" t="str">
        <f>PROPER(TRIM('Клиенты_исходные'!B1000))</f>
        <v xml:space="preserve">Бабушкина Ольга Владимировна</v>
      </c>
      <c r="C1000" s="8">
        <f>IFERROR(IF(ISNUMBER(FIND(".",'Клиенты_исходные'!C1000)),DATE(RIGHT('Клиенты_исходные'!C1000,4),MID('Клиенты_исходные'!C1000,4,2),LEFT('Клиенты_исходные'!C1000,2)),DATE(LEFT('Клиенты_исходные'!C1000,4),MID('Клиенты_исходные'!C1000,6,2),RIGHT('Клиенты_исходные'!C1000,2))),'Клиенты_исходные'!C1000)</f>
        <v>27911</v>
      </c>
      <c r="D1000" t="str">
        <f>IF(ISBLANK(Клиенты_исходные!D1000),"",IF(LEN(SUBSTITUTE(SUBSTITUTE(SUBSTITUTE(SUBSTITUTE(SUBSTITUTE(Клиенты_исходные!D1000," ",""),"-",""),"+",""),"(",""),")",""))=11,"+7 ("&amp;MID(IF(LEFT(SUBSTITUTE(SUBSTITUTE(SUBSTITUTE(SUBSTITUTE(SUBSTITUTE(Клиенты_исходные!D1000," ",""),"-",""),"+",""),"(",""),")",""))="8","7"&amp;MID(SUBSTITUTE(SUBSTITUTE(SUBSTITUTE(SUBSTITUTE(SUBSTITUTE(Клиенты_исходные!D1000," ",""),"-",""),"+",""),"(",""),")",""),2,10),SUBSTITUTE(SUBSTITUTE(SUBSTITUTE(SUBSTITUTE(SUBSTITUTE(Клиенты_исходные!D1000," ",""),"-",""),"+",""),"(",""),")","")),2,3)&amp;") "&amp;MID(IF(LEFT(SUBSTITUTE(SUBSTITUTE(SUBSTITUTE(SUBSTITUTE(SUBSTITUTE(Клиенты_исходные!D1000," ",""),"-",""),"+",""),"(",""),")",""))="8","7"&amp;MID(SUBSTITUTE(SUBSTITUTE(SUBSTITUTE(SUBSTITUTE(SUBSTITUTE(Клиенты_исходные!D1000," ",""),"-",""),"+",""),"(",""),")",""),2,10),SUBSTITUTE(SUBSTITUTE(SUBSTITUTE(SUBSTITUTE(SUBSTITUTE(Клиенты_исходные!D1000," ",""),"-",""),"+",""),"(",""),")","")),5,3)&amp;"-"&amp;MID(IF(LEFT(SUBSTITUTE(SUBSTITUTE(SUBSTITUTE(SUBSTITUTE(SUBSTITUTE(Клиенты_исходные!D1000," ",""),"-",""),"+",""),"(",""),")",""))="8","7"&amp;MID(SUBSTITUTE(SUBSTITUTE(SUBSTITUTE(SUBSTITUTE(SUBSTITUTE(Клиенты_исходные!D1000," ",""),"-",""),"+",""),"(",""),")",""),2,10),SUBSTITUTE(SUBSTITUTE(SUBSTITUTE(SUBSTITUTE(SUBSTITUTE(Клиенты_исходные!D1000," ",""),"-",""),"+",""),"(",""),")","")),8,2)&amp;"-"&amp;MID(IF(LEFT(SUBSTITUTE(SUBSTITUTE(SUBSTITUTE(SUBSTITUTE(SUBSTITUTE(Клиенты_исходные!D1000," ",""),"-",""),"+",""),"(",""),")",""))="8","7"&amp;MID(SUBSTITUTE(SUBSTITUTE(SUBSTITUTE(SUBSTITUTE(SUBSTITUTE(Клиенты_исходные!D1000," ",""),"-",""),"+",""),"(",""),")",""),2,10),SUBSTITUTE(SUBSTITUTE(SUBSTITUTE(SUBSTITUTE(SUBSTITUTE(Клиенты_исходные!D1000," ",""),"-",""),"+",""),"(",""),")","")),10,2),IF(LEN(SUBSTITUTE(SUBSTITUTE(SUBSTITUTE(SUBSTITUTE(SUBSTITUTE(Клиенты_исходные!D1000," ",""),"-",""),"+",""),"(",""),")",""))=10,"+7 ("&amp;MID(SUBSTITUTE(SUBSTITUTE(SUBSTITUTE(SUBSTITUTE(SUBSTITUTE(Клиенты_исходные!D1000," ",""),"-",""),"+",""),"(",""),")",""),1,3)&amp;") "&amp;MID(SUBSTITUTE(SUBSTITUTE(SUBSTITUTE(SUBSTITUTE(SUBSTITUTE(Клиенты_исходные!D1000," ",""),"-",""),"+",""),"(",""),")",""),4,3)&amp;"-"&amp;MID(SUBSTITUTE(SUBSTITUTE(SUBSTITUTE(SUBSTITUTE(SUBSTITUTE(Клиенты_исходные!D1000," ",""),"-",""),"+",""),"(",""),")",""),6,2)&amp;"-"&amp;MID(SUBSTITUTE(SUBSTITUTE(SUBSTITUTE(SUBSTITUTE(SUBSTITUTE(Клиенты_исходные!D1000," ",""),"-",""),"+",""),"(",""),")",""),8,2),Клиенты_исходные!D1000)))</f>
        <v xml:space="preserve">+7 (903) 901-23-45</v>
      </c>
      <c r="E1000" t="str">
        <f>IF(ISBLANK(Клиенты_исходные!E1000),"",IF(ISNUMBER(FIND(".",MID(Клиенты_исходные!E1000,FIND("@",Клиенты_исходные!E1000)+1,255))),Клиенты_исходные!E1000,IF(ISNUMBER(FIND("gmail",Клиенты_исходные!E1000)),Клиенты_исходные!E1000&amp;".com",Клиенты_исходные!E1000&amp;".ru")))</f>
        <v>babushkina@gmail.com</v>
      </c>
      <c r="F1000" t="str">
        <f>IFERROR(VLOOKUP('Клиенты_исходные'!F1000,Справочники!$J$2:$K$50,2,FALSE),'Клиенты_исходные'!F1000)</f>
        <v>Магнитогорск</v>
      </c>
      <c r="G1000" s="8">
        <f>IFERROR(IF(ISNUMBER(FIND(".",'Клиенты_исходные'!G1000)),DATE(RIGHT('Клиенты_исходные'!G1000,4),MID('Клиенты_исходные'!G1000,4,2),LEFT('Клиенты_исходные'!G1000,2)),DATE(LEFT('Клиенты_исходные'!G1000,4),MID('Клиенты_исходные'!G1000,6,2),RIGHT('Клиенты_исходные'!G1000,2))),'Клиенты_исходные'!G1000)</f>
        <v>54681</v>
      </c>
      <c r="H1000">
        <f t="shared" ref="H1000:H1001" ca="1" si="97">DATEDIF(C1000,TODAY(),"Y")</f>
        <v>50</v>
      </c>
      <c r="I1000" t="str">
        <f t="shared" ref="I1000:I1001" si="98">IF(OR(H1000&lt;18,H1000&gt;80),"Ошибка даты рождения","OK")</f>
        <v>OK</v>
      </c>
      <c r="J1000" t="str">
        <f t="shared" ref="J1000:J1001" si="99">IF(AND(ISNUMBER(FIND("@",E1000)),ISNUMBER(FIND(".",MID(E1000,FIND("@",E1000)+1,255)))),"OK","Ошибка Email")</f>
        <v>OK</v>
      </c>
    </row>
    <row r="1001">
      <c r="A1001" t="str">
        <f>Клиенты_исходные!A1001</f>
        <v>C1000</v>
      </c>
      <c r="B1001" t="str">
        <f>PROPER(TRIM(Клиенты_исходные!B1001))</f>
        <v xml:space="preserve">Толстых Андрей Олегович</v>
      </c>
      <c r="C1001" s="8">
        <f>IFERROR(IF(ISNUMBER(FIND(".",Клиенты_исходные!C1001)),DATE(RIGHT(Клиенты_исходные!C1001,4),MID(Клиенты_исходные!C1001,4,2),LEFT(Клиенты_исходные!C1001,2)),DATE(LEFT(Клиенты_исходные!C1001,4),MID(Клиенты_исходные!C1001,6,2),RIGHT(Клиенты_исходные!C1001,2))),Клиенты_исходные!C1001)</f>
        <v>30904</v>
      </c>
      <c r="D1001" t="str">
        <f>IF(ISBLANK(Клиенты_исходные!D1001),"",IF(LEN(SUBSTITUTE(SUBSTITUTE(SUBSTITUTE(SUBSTITUTE(SUBSTITUTE(Клиенты_исходные!D1001," ",""),"-",""),"+",""),"(",""),")",""))=11,"+7 ("&amp;MID(IF(LEFT(SUBSTITUTE(SUBSTITUTE(SUBSTITUTE(SUBSTITUTE(SUBSTITUTE(Клиенты_исходные!D1001," ",""),"-",""),"+",""),"(",""),")",""))="8","7"&amp;MID(SUBSTITUTE(SUBSTITUTE(SUBSTITUTE(SUBSTITUTE(SUBSTITUTE(Клиенты_исходные!D1001," ",""),"-",""),"+",""),"(",""),")",""),2,10),SUBSTITUTE(SUBSTITUTE(SUBSTITUTE(SUBSTITUTE(SUBSTITUTE(Клиенты_исходные!D1001," ",""),"-",""),"+",""),"(",""),")","")),2,3)&amp;") "&amp;MID(IF(LEFT(SUBSTITUTE(SUBSTITUTE(SUBSTITUTE(SUBSTITUTE(SUBSTITUTE(Клиенты_исходные!D1001," ",""),"-",""),"+",""),"(",""),")",""))="8","7"&amp;MID(SUBSTITUTE(SUBSTITUTE(SUBSTITUTE(SUBSTITUTE(SUBSTITUTE(Клиенты_исходные!D1001," ",""),"-",""),"+",""),"(",""),")",""),2,10),SUBSTITUTE(SUBSTITUTE(SUBSTITUTE(SUBSTITUTE(SUBSTITUTE(Клиенты_исходные!D1001," ",""),"-",""),"+",""),"(",""),")","")),5,3)&amp;"-"&amp;MID(IF(LEFT(SUBSTITUTE(SUBSTITUTE(SUBSTITUTE(SUBSTITUTE(SUBSTITUTE(Клиенты_исходные!D1001," ",""),"-",""),"+",""),"(",""),")",""))="8","7"&amp;MID(SUBSTITUTE(SUBSTITUTE(SUBSTITUTE(SUBSTITUTE(SUBSTITUTE(Клиенты_исходные!D1001," ",""),"-",""),"+",""),"(",""),")",""),2,10),SUBSTITUTE(SUBSTITUTE(SUBSTITUTE(SUBSTITUTE(SUBSTITUTE(Клиенты_исходные!D1001," ",""),"-",""),"+",""),"(",""),")","")),8,2)&amp;"-"&amp;MID(IF(LEFT(SUBSTITUTE(SUBSTITUTE(SUBSTITUTE(SUBSTITUTE(SUBSTITUTE(Клиенты_исходные!D1001," ",""),"-",""),"+",""),"(",""),")",""))="8","7"&amp;MID(SUBSTITUTE(SUBSTITUTE(SUBSTITUTE(SUBSTITUTE(SUBSTITUTE(Клиенты_исходные!D1001," ",""),"-",""),"+",""),"(",""),")",""),2,10),SUBSTITUTE(SUBSTITUTE(SUBSTITUTE(SUBSTITUTE(SUBSTITUTE(Клиенты_исходные!D1001," ",""),"-",""),"+",""),"(",""),")","")),10,2),IF(LEN(SUBSTITUTE(SUBSTITUTE(SUBSTITUTE(SUBSTITUTE(SUBSTITUTE(Клиенты_исходные!D1001," ",""),"-",""),"+",""),"(",""),")",""))=10,"+7 ("&amp;MID(SUBSTITUTE(SUBSTITUTE(SUBSTITUTE(SUBSTITUTE(SUBSTITUTE(Клиенты_исходные!D1001," ",""),"-",""),"+",""),"(",""),")",""),1,3)&amp;") "&amp;MID(SUBSTITUTE(SUBSTITUTE(SUBSTITUTE(SUBSTITUTE(SUBSTITUTE(Клиенты_исходные!D1001," ",""),"-",""),"+",""),"(",""),")",""),4,3)&amp;"-"&amp;MID(SUBSTITUTE(SUBSTITUTE(SUBSTITUTE(SUBSTITUTE(SUBSTITUTE(Клиенты_исходные!D1001," ",""),"-",""),"+",""),"(",""),")",""),6,2)&amp;"-"&amp;MID(SUBSTITUTE(SUBSTITUTE(SUBSTITUTE(SUBSTITUTE(SUBSTITUTE(Клиенты_исходные!D1001," ",""),"-",""),"+",""),"(",""),")",""),8,2),Клиенты_исходные!D1001)))</f>
        <v xml:space="preserve">+7 (903) 901-23-45</v>
      </c>
      <c r="E1001" t="str">
        <f>IF(ISBLANK(Клиенты_исходные!E1001),"",IF(ISNUMBER(FIND(".",MID(Клиенты_исходные!E1001,FIND("@",Клиенты_исходные!E1001)+1,255))),Клиенты_исходные!E1001,IF(ISNUMBER(FIND("gmail",Клиенты_исходные!E1001)),Клиенты_исходные!E1001&amp;".com",Клиенты_исходные!E1001&amp;".ru")))</f>
        <v>tolstyh@mail.ru</v>
      </c>
      <c r="F1001" t="str">
        <f>IFERROR(VLOOKUP(Клиенты_исходные!F1001,Справочники!$J$2:$K$50,2,FALSE),Клиенты_исходные!F1001)</f>
        <v>Якутск</v>
      </c>
      <c r="G1001" s="8">
        <f>IFERROR(IF(ISNUMBER(FIND(".",Клиенты_исходные!G1001)),DATE(RIGHT(Клиенты_исходные!G1001,4),MID(Клиенты_исходные!G1001,4,2),LEFT(Клиенты_исходные!G1001,2)),DATE(LEFT(Клиенты_исходные!G1001,4),MID(Клиенты_исходные!G1001,6,2),RIGHT(Клиенты_исходные!G1001,2))),Клиенты_исходные!G1001)</f>
        <v>54697</v>
      </c>
      <c r="H1001">
        <f t="shared" ca="1" si="97"/>
        <v>42</v>
      </c>
      <c r="I1001" t="str">
        <f t="shared" si="98"/>
        <v>OK</v>
      </c>
      <c r="J1001" t="str">
        <f t="shared" si="99"/>
        <v>OK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8" defaultRowHeight="14.25"/>
  <cols>
    <col bestFit="1" min="1" max="1" width="21.09375"/>
    <col bestFit="1" min="2" max="2" width="11.6640625"/>
    <col bestFit="1" min="4" max="4" width="9.28125"/>
    <col bestFit="1" min="7" max="7" width="9.953125"/>
    <col bestFit="1" min="8" max="8" width="9.6640625"/>
    <col bestFit="1" min="10" max="11" width="15.953125"/>
    <col bestFit="1" min="13" max="13" width="7.6640625"/>
  </cols>
  <sheetData>
    <row r="1">
      <c r="A1" s="9" t="s">
        <v>7924</v>
      </c>
      <c r="B1" s="9" t="s">
        <v>7925</v>
      </c>
      <c r="C1" s="2"/>
      <c r="D1" s="9" t="s">
        <v>7924</v>
      </c>
      <c r="E1" s="9" t="s">
        <v>7925</v>
      </c>
      <c r="F1" s="2"/>
      <c r="G1" s="9" t="s">
        <v>7924</v>
      </c>
      <c r="H1" s="9" t="s">
        <v>7925</v>
      </c>
      <c r="I1" s="2"/>
      <c r="J1" s="9" t="s">
        <v>7924</v>
      </c>
      <c r="K1" s="9" t="s">
        <v>7925</v>
      </c>
      <c r="L1" s="2"/>
      <c r="M1" s="9" t="s">
        <v>7926</v>
      </c>
      <c r="N1" s="9" t="s">
        <v>7927</v>
      </c>
    </row>
    <row r="2">
      <c r="A2" s="10" t="s">
        <v>10</v>
      </c>
      <c r="B2" s="10" t="s">
        <v>10</v>
      </c>
      <c r="D2" s="10" t="s">
        <v>14</v>
      </c>
      <c r="E2" s="10" t="s">
        <v>34</v>
      </c>
      <c r="G2" s="10" t="s">
        <v>1886</v>
      </c>
      <c r="H2" s="10" t="s">
        <v>1886</v>
      </c>
      <c r="J2" s="10" t="s">
        <v>3940</v>
      </c>
      <c r="K2" s="10" t="s">
        <v>3940</v>
      </c>
      <c r="M2" s="10" t="s">
        <v>7928</v>
      </c>
      <c r="N2" s="10">
        <v>95</v>
      </c>
    </row>
    <row r="3">
      <c r="A3" s="10" t="s">
        <v>17</v>
      </c>
      <c r="B3" s="10" t="s">
        <v>10</v>
      </c>
      <c r="D3" s="10" t="s">
        <v>20</v>
      </c>
      <c r="E3" s="10" t="s">
        <v>34</v>
      </c>
      <c r="G3" s="10" t="s">
        <v>1891</v>
      </c>
      <c r="H3" s="10" t="s">
        <v>1886</v>
      </c>
      <c r="J3" s="10" t="s">
        <v>7929</v>
      </c>
      <c r="K3" s="10" t="s">
        <v>3940</v>
      </c>
      <c r="M3" s="10" t="s">
        <v>7930</v>
      </c>
      <c r="N3" s="10">
        <v>100</v>
      </c>
    </row>
    <row r="4">
      <c r="A4" s="10" t="s">
        <v>23</v>
      </c>
      <c r="B4" s="10" t="s">
        <v>10</v>
      </c>
      <c r="D4" s="10" t="s">
        <v>34</v>
      </c>
      <c r="E4" s="10" t="s">
        <v>34</v>
      </c>
      <c r="G4" s="10" t="s">
        <v>1896</v>
      </c>
      <c r="H4" s="10" t="s">
        <v>1886</v>
      </c>
      <c r="J4" s="10" t="s">
        <v>7931</v>
      </c>
      <c r="K4" s="10" t="s">
        <v>3940</v>
      </c>
      <c r="M4" s="10" t="s">
        <v>7932</v>
      </c>
      <c r="N4" s="10">
        <v>1</v>
      </c>
    </row>
    <row r="5">
      <c r="A5" s="10" t="s">
        <v>30</v>
      </c>
      <c r="B5" s="10" t="s">
        <v>30</v>
      </c>
      <c r="D5" s="10" t="s">
        <v>27</v>
      </c>
      <c r="E5" s="10" t="s">
        <v>34</v>
      </c>
      <c r="G5" s="10" t="s">
        <v>7933</v>
      </c>
      <c r="H5" s="10" t="s">
        <v>1886</v>
      </c>
      <c r="J5" s="10" t="s">
        <v>7934</v>
      </c>
      <c r="K5" s="10" t="s">
        <v>3940</v>
      </c>
    </row>
    <row r="6">
      <c r="A6" s="10" t="s">
        <v>37</v>
      </c>
      <c r="B6" s="10" t="s">
        <v>30</v>
      </c>
      <c r="G6" s="10" t="s">
        <v>1901</v>
      </c>
      <c r="H6" s="10" t="s">
        <v>1928</v>
      </c>
      <c r="J6" s="10" t="s">
        <v>3945</v>
      </c>
      <c r="K6" s="10" t="s">
        <v>3945</v>
      </c>
    </row>
    <row r="7">
      <c r="A7" s="10" t="s">
        <v>61</v>
      </c>
      <c r="B7" s="10" t="s">
        <v>61</v>
      </c>
      <c r="G7" s="10" t="s">
        <v>1928</v>
      </c>
      <c r="H7" s="10" t="s">
        <v>1928</v>
      </c>
      <c r="J7" s="10" t="s">
        <v>7935</v>
      </c>
      <c r="K7" s="10" t="s">
        <v>3945</v>
      </c>
    </row>
    <row r="8">
      <c r="A8" s="10" t="s">
        <v>75</v>
      </c>
      <c r="B8" s="10" t="s">
        <v>75</v>
      </c>
      <c r="G8" s="10" t="s">
        <v>1907</v>
      </c>
      <c r="H8" s="10" t="s">
        <v>1928</v>
      </c>
      <c r="J8" s="10" t="s">
        <v>7936</v>
      </c>
      <c r="K8" s="10" t="s">
        <v>3945</v>
      </c>
    </row>
    <row r="9">
      <c r="A9" s="10" t="s">
        <v>90</v>
      </c>
      <c r="B9" s="10" t="s">
        <v>90</v>
      </c>
      <c r="G9" s="10" t="s">
        <v>1910</v>
      </c>
      <c r="H9" s="10" t="s">
        <v>7937</v>
      </c>
    </row>
    <row r="10">
      <c r="A10" s="10" t="s">
        <v>135</v>
      </c>
      <c r="B10" s="10" t="s">
        <v>135</v>
      </c>
      <c r="G10" s="10" t="s">
        <v>7937</v>
      </c>
      <c r="H10" s="10" t="s">
        <v>7937</v>
      </c>
    </row>
    <row r="11">
      <c r="A11" s="10" t="s">
        <v>149</v>
      </c>
      <c r="B11" s="10" t="s">
        <v>149</v>
      </c>
    </row>
    <row r="12">
      <c r="A12" s="10" t="s">
        <v>191</v>
      </c>
      <c r="B12" s="10" t="s">
        <v>191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8" defaultRowHeight="14.25"/>
  <cols>
    <col bestFit="1" min="1" max="1" width="25.76171875"/>
    <col bestFit="1" min="3" max="3" width="11.8515625"/>
    <col bestFit="1" min="4" max="4" width="15.76171875"/>
  </cols>
  <sheetData>
    <row r="1">
      <c r="A1" s="11" t="s">
        <v>7938</v>
      </c>
      <c r="B1" s="11" t="s">
        <v>7939</v>
      </c>
      <c r="C1" s="11" t="s">
        <v>7940</v>
      </c>
      <c r="D1" s="11" t="s">
        <v>7941</v>
      </c>
    </row>
    <row r="2">
      <c r="A2" s="10" t="s">
        <v>7942</v>
      </c>
      <c r="B2" s="10">
        <f>COUNTA(Товары_исходные!A:A)-1</f>
        <v>501</v>
      </c>
      <c r="C2" s="10">
        <f>COUNTA('Товары_очищенные'!A:A)-1</f>
        <v>501</v>
      </c>
      <c r="D2" s="10">
        <f t="shared" ref="D2:D5" si="100">B2-C2</f>
        <v>0</v>
      </c>
    </row>
    <row r="3">
      <c r="A3" s="10" t="s">
        <v>7943</v>
      </c>
      <c r="B3" s="10">
        <f>COUNTA('Поставщики_исходные'!A:A)-1</f>
        <v>50</v>
      </c>
      <c r="C3" s="10">
        <f>COUNTA('Поставщики_очищенные'!A:A)-1</f>
        <v>50</v>
      </c>
      <c r="D3" s="10">
        <f t="shared" si="100"/>
        <v>0</v>
      </c>
    </row>
    <row r="4">
      <c r="A4" s="10" t="s">
        <v>7944</v>
      </c>
      <c r="B4" s="10">
        <f>COUNTA('Продажи_исходные'!A:A)-1</f>
        <v>999</v>
      </c>
      <c r="C4" s="10">
        <f>COUNTA(Продажи_очищенные!A:A)-1</f>
        <v>1000</v>
      </c>
      <c r="D4" s="10">
        <f>B4-C4</f>
        <v>-1</v>
      </c>
    </row>
    <row r="5">
      <c r="A5" s="10" t="s">
        <v>7945</v>
      </c>
      <c r="B5" s="10">
        <f>COUNTA('Клиенты_исходные'!A:A)-1</f>
        <v>1000</v>
      </c>
      <c r="C5" s="10">
        <f>COUNTA('Клиенты_очищенные'!A:A)-1</f>
        <v>1000</v>
      </c>
      <c r="D5" s="10">
        <f t="shared" si="100"/>
        <v>0</v>
      </c>
    </row>
    <row r="7">
      <c r="A7" s="11" t="s">
        <v>7946</v>
      </c>
      <c r="B7" s="11" t="s">
        <v>7947</v>
      </c>
    </row>
    <row r="8">
      <c r="A8" s="10" t="s">
        <v>7948</v>
      </c>
      <c r="B8" s="10">
        <f>COUNTIF('Поставщики_очищенные'!J:J,"Ошибка ИНН")</f>
        <v>16</v>
      </c>
    </row>
    <row r="9">
      <c r="A9" s="10" t="s">
        <v>7949</v>
      </c>
      <c r="B9" s="10">
        <f>COUNTIF('Поставщики_очищенные'!K:K,"Ошибка Email")</f>
        <v>0</v>
      </c>
      <c r="C9" s="12"/>
    </row>
    <row r="10">
      <c r="A10" s="10" t="s">
        <v>7950</v>
      </c>
      <c r="B10" s="10">
        <f>COUNTIF('Клиенты_очищенные'!J:J,"Ошибка Email")</f>
        <v>130</v>
      </c>
    </row>
    <row r="11">
      <c r="A11" s="10" t="s">
        <v>7951</v>
      </c>
      <c r="B11" s="10">
        <f>COUNTIF('Клиенты_очищенные'!I:I,"Ошибка даты рождения")</f>
        <v>0</v>
      </c>
    </row>
    <row r="12">
      <c r="A12" s="10" t="s">
        <v>7952</v>
      </c>
      <c r="B12" s="10">
        <f>COUNTIF('Товары_очищенные'!H:H,"Розница ниже закупки")</f>
        <v>0</v>
      </c>
    </row>
    <row r="13">
      <c r="A13" s="10" t="s">
        <v>7953</v>
      </c>
      <c r="B13" s="10">
        <f>COUNTIF('Товары_очищенные'!I:I,"Дубликат")</f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Р7-Офис/2026.3.1.3296-2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</cp:lastModifiedBy>
  <cp:revision>2</cp:revision>
  <dcterms:created xsi:type="dcterms:W3CDTF">2026-10-02T16:33:58Z</dcterms:created>
  <dcterms:modified xsi:type="dcterms:W3CDTF">2026-10-02T18:45:29Z</dcterms:modified>
</cp:coreProperties>
</file>